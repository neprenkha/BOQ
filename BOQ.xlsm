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DATA HARGA MATERIAL\"/>
    </mc:Choice>
  </mc:AlternateContent>
  <xr:revisionPtr revIDLastSave="0" documentId="13_ncr:1_{5923A062-C33F-4CD8-A3F6-E4EE4DB8335A}" xr6:coauthVersionLast="47" xr6:coauthVersionMax="47" xr10:uidLastSave="{00000000-0000-0000-0000-000000000000}"/>
  <bookViews>
    <workbookView xWindow="57480" yWindow="-120" windowWidth="29040" windowHeight="15840" firstSheet="1" activeTab="5" xr2:uid="{00000000-000D-0000-FFFF-FFFF00000000}"/>
  </bookViews>
  <sheets>
    <sheet name="PurchaseBAK" sheetId="25" state="hidden" r:id="rId1"/>
    <sheet name="Button" sheetId="28" r:id="rId2"/>
    <sheet name="README" sheetId="16" r:id="rId3"/>
    <sheet name="Search" sheetId="24" r:id="rId4"/>
    <sheet name="Purchase" sheetId="23" r:id="rId5"/>
    <sheet name="Summary" sheetId="12" r:id="rId6"/>
    <sheet name="S01" sheetId="21" r:id="rId7"/>
    <sheet name="S02" sheetId="26" r:id="rId8"/>
    <sheet name="S03" sheetId="27" r:id="rId9"/>
    <sheet name="_SummaryBackup" sheetId="29" state="veryHidden" r:id="rId10"/>
  </sheets>
  <definedNames>
    <definedName name="_xlpm.b" hidden="1" xlm="1">#NAME?</definedName>
    <definedName name="_xlpm.base" hidden="1" xlm="1">#NAME?</definedName>
    <definedName name="_xlpm.c" hidden="1" xlm="1">#NAME?</definedName>
    <definedName name="_xlpm.cat" hidden="1" xlm="1">#NAME?</definedName>
    <definedName name="_xlpm.cols" hidden="1" xlm="1">#NAME?</definedName>
    <definedName name="_xlpm.cond" hidden="1" xlm="1">#NAME?</definedName>
    <definedName name="_xlpm.desc" hidden="1" xlm="1">#NAME?</definedName>
    <definedName name="_xlpm.descAll" hidden="1" xlm="1">#NAME?</definedName>
    <definedName name="_xlpm.filtered" hidden="1" xlm="1">#NAME?</definedName>
    <definedName name="_xlpm.inc" hidden="1" xlm="1">#NAME?</definedName>
    <definedName name="_xlpm.incVec" hidden="1" xlm="1">#NAME?</definedName>
    <definedName name="_xlpm.k" hidden="1" xlm="1">#NAME?</definedName>
    <definedName name="_xlpm.mn" hidden="1" xlm="1">#NAME?</definedName>
    <definedName name="_xlpm.mx" hidden="1" xlm="1">#NAME?</definedName>
    <definedName name="_xlpm.oq" hidden="1" xlm="1">#NAME?</definedName>
    <definedName name="_xlpm.orate" hidden="1" xlm="1">#NAME?</definedName>
    <definedName name="_xlpm.ps" hidden="1" xlm="1">#NAME?</definedName>
    <definedName name="_xlpm.pu" hidden="1" xlm="1">#NAME?</definedName>
    <definedName name="_xlpm.r" hidden="1" xlm="1">#NAME?</definedName>
    <definedName name="_xlpm.rate" hidden="1" xlm="1">#NAME?</definedName>
    <definedName name="_xlpm.rateAll" hidden="1" xlm="1">#NAME?</definedName>
    <definedName name="_xlpm.raw" hidden="1" xlm="1">#NAME?</definedName>
    <definedName name="_xlpm.rows" hidden="1" xlm="1">#NAME?</definedName>
    <definedName name="_xlpm.sh" hidden="1" xlm="1">#NAME?</definedName>
    <definedName name="_xlpm.shIdx" hidden="1" xlm="1">#NAME?</definedName>
    <definedName name="_xlpm.spec" hidden="1" xlm="1">#NAME?</definedName>
    <definedName name="_xlpm.specAll" hidden="1" xlm="1">#NAME?</definedName>
    <definedName name="_xlpm.tbl" hidden="1" xlm="1">#NAME?</definedName>
    <definedName name="_xlpm.tot" hidden="1" xlm="1">#NAME?</definedName>
    <definedName name="_xlpm.totAll" hidden="1" xlm="1">#NAME?</definedName>
    <definedName name="_xlpm.uom" hidden="1" xlm="1">#NAME?</definedName>
    <definedName name="_xlpm.uomAll" hidden="1" xlm="1">#NAME?</definedName>
    <definedName name="_xlpm.usage" hidden="1" xlm="1">#NAME?</definedName>
    <definedName name="_xlpm.usageAll" hidden="1" xlm="1">#NAME?</definedName>
    <definedName name="_xlpm.useW" hidden="1" xlm="1">#NAME?</definedName>
    <definedName name="_xlpm.useWAll" hidden="1" xlm="1">#NAME?</definedName>
    <definedName name="_xlpm.v" hidden="1" xlm="1">#NAME?</definedName>
    <definedName name="_xlpm.wast" hidden="1" xlm="1">#NAME?</definedName>
    <definedName name="_xlpm.wastAll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12" l="1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C1" i="29"/>
  <c r="D1" i="29"/>
  <c r="E1" i="29"/>
  <c r="F1" i="29"/>
  <c r="G1" i="29"/>
  <c r="B3" i="29"/>
  <c r="B4" i="29"/>
  <c r="B5" i="29"/>
  <c r="B6" i="29"/>
  <c r="C6" i="29" s="1"/>
  <c r="D6" i="29"/>
  <c r="E6" i="29"/>
  <c r="F6" i="29"/>
  <c r="G6" i="29"/>
  <c r="B7" i="29"/>
  <c r="E7" i="29" s="1"/>
  <c r="C7" i="29"/>
  <c r="D7" i="29"/>
  <c r="G7" i="29"/>
  <c r="B8" i="29"/>
  <c r="C8" i="29"/>
  <c r="D8" i="29"/>
  <c r="E8" i="29"/>
  <c r="F8" i="29"/>
  <c r="G8" i="29"/>
  <c r="B9" i="29"/>
  <c r="C9" i="29" s="1"/>
  <c r="D9" i="29"/>
  <c r="G9" i="29"/>
  <c r="B10" i="29"/>
  <c r="C10" i="29" s="1"/>
  <c r="D10" i="29"/>
  <c r="E10" i="29"/>
  <c r="F10" i="29"/>
  <c r="G10" i="29"/>
  <c r="B11" i="29"/>
  <c r="C11" i="29"/>
  <c r="D11" i="29"/>
  <c r="E11" i="29"/>
  <c r="F11" i="29"/>
  <c r="G11" i="29"/>
  <c r="B12" i="29"/>
  <c r="C12" i="29"/>
  <c r="D12" i="29"/>
  <c r="E12" i="29"/>
  <c r="F12" i="29"/>
  <c r="G12" i="29"/>
  <c r="B13" i="29"/>
  <c r="C13" i="29" s="1"/>
  <c r="F13" i="29"/>
  <c r="G13" i="29"/>
  <c r="B14" i="29"/>
  <c r="C14" i="29"/>
  <c r="D14" i="29"/>
  <c r="E14" i="29"/>
  <c r="F14" i="29"/>
  <c r="G14" i="29"/>
  <c r="B15" i="29"/>
  <c r="C15" i="29"/>
  <c r="D15" i="29"/>
  <c r="E15" i="29"/>
  <c r="F15" i="29"/>
  <c r="G15" i="29"/>
  <c r="B16" i="29"/>
  <c r="C16" i="29" s="1"/>
  <c r="E16" i="29"/>
  <c r="F16" i="29"/>
  <c r="G16" i="29"/>
  <c r="B17" i="29"/>
  <c r="D17" i="29" s="1"/>
  <c r="C17" i="29"/>
  <c r="E17" i="29"/>
  <c r="F17" i="29"/>
  <c r="G17" i="29"/>
  <c r="B18" i="29"/>
  <c r="C18" i="29" s="1"/>
  <c r="G18" i="29"/>
  <c r="B19" i="29"/>
  <c r="C19" i="29" s="1"/>
  <c r="E19" i="29"/>
  <c r="F19" i="29"/>
  <c r="G19" i="29"/>
  <c r="B20" i="29"/>
  <c r="C20" i="29" s="1"/>
  <c r="G20" i="29"/>
  <c r="B21" i="29"/>
  <c r="C21" i="29" s="1"/>
  <c r="G21" i="29"/>
  <c r="B22" i="29"/>
  <c r="C22" i="29" s="1"/>
  <c r="D22" i="29"/>
  <c r="E22" i="29"/>
  <c r="F22" i="29"/>
  <c r="G22" i="29"/>
  <c r="B23" i="29"/>
  <c r="E23" i="29" s="1"/>
  <c r="C23" i="29"/>
  <c r="D23" i="29"/>
  <c r="G23" i="29"/>
  <c r="B24" i="29"/>
  <c r="C24" i="29" s="1"/>
  <c r="D24" i="29"/>
  <c r="E24" i="29"/>
  <c r="F24" i="29"/>
  <c r="G24" i="29"/>
  <c r="B25" i="29"/>
  <c r="C25" i="29" s="1"/>
  <c r="D25" i="29"/>
  <c r="G25" i="29"/>
  <c r="B26" i="29"/>
  <c r="C26" i="29"/>
  <c r="D26" i="29"/>
  <c r="E26" i="29"/>
  <c r="F26" i="29"/>
  <c r="G26" i="29"/>
  <c r="B27" i="29"/>
  <c r="C27" i="29"/>
  <c r="D27" i="29"/>
  <c r="E27" i="29"/>
  <c r="F27" i="29"/>
  <c r="G27" i="29"/>
  <c r="B28" i="29"/>
  <c r="C28" i="29"/>
  <c r="D28" i="29"/>
  <c r="E28" i="29"/>
  <c r="F28" i="29"/>
  <c r="G28" i="29"/>
  <c r="B29" i="29"/>
  <c r="E29" i="29" s="1"/>
  <c r="C29" i="29"/>
  <c r="D29" i="29"/>
  <c r="F29" i="29"/>
  <c r="G29" i="29"/>
  <c r="B30" i="29"/>
  <c r="C30" i="29"/>
  <c r="D30" i="29"/>
  <c r="E30" i="29"/>
  <c r="F30" i="29"/>
  <c r="G30" i="29"/>
  <c r="B31" i="29"/>
  <c r="C31" i="29"/>
  <c r="D31" i="29"/>
  <c r="E31" i="29"/>
  <c r="F31" i="29"/>
  <c r="G31" i="29"/>
  <c r="B32" i="29"/>
  <c r="C32" i="29" s="1"/>
  <c r="D32" i="29"/>
  <c r="E32" i="29"/>
  <c r="F32" i="29"/>
  <c r="G32" i="29"/>
  <c r="B33" i="29"/>
  <c r="C33" i="29"/>
  <c r="D33" i="29"/>
  <c r="E33" i="29"/>
  <c r="F33" i="29"/>
  <c r="G33" i="29"/>
  <c r="B34" i="29"/>
  <c r="C34" i="29" s="1"/>
  <c r="G34" i="29"/>
  <c r="B35" i="29"/>
  <c r="C35" i="29" s="1"/>
  <c r="E35" i="29"/>
  <c r="F35" i="29"/>
  <c r="G35" i="29"/>
  <c r="B36" i="29"/>
  <c r="C36" i="29" s="1"/>
  <c r="G36" i="29"/>
  <c r="B37" i="29"/>
  <c r="C37" i="29" s="1"/>
  <c r="G37" i="29"/>
  <c r="B38" i="29"/>
  <c r="C38" i="29" s="1"/>
  <c r="D38" i="29"/>
  <c r="E38" i="29"/>
  <c r="F38" i="29"/>
  <c r="G38" i="29"/>
  <c r="B39" i="29"/>
  <c r="E39" i="29" s="1"/>
  <c r="D39" i="29"/>
  <c r="G39" i="29"/>
  <c r="B40" i="29"/>
  <c r="C40" i="29" s="1"/>
  <c r="D40" i="29"/>
  <c r="E40" i="29"/>
  <c r="G40" i="29"/>
  <c r="B41" i="29"/>
  <c r="E41" i="29" s="1"/>
  <c r="C41" i="29"/>
  <c r="D41" i="29"/>
  <c r="G41" i="29"/>
  <c r="B42" i="29"/>
  <c r="C42" i="29"/>
  <c r="D42" i="29"/>
  <c r="E42" i="29"/>
  <c r="F42" i="29"/>
  <c r="G42" i="29"/>
  <c r="B43" i="29"/>
  <c r="C43" i="29" s="1"/>
  <c r="D43" i="29"/>
  <c r="E43" i="29"/>
  <c r="F43" i="29"/>
  <c r="G43" i="29"/>
  <c r="B44" i="29"/>
  <c r="C44" i="29"/>
  <c r="D44" i="29"/>
  <c r="E44" i="29"/>
  <c r="F44" i="29"/>
  <c r="G44" i="29"/>
  <c r="B45" i="29"/>
  <c r="E45" i="29" s="1"/>
  <c r="C45" i="29"/>
  <c r="D45" i="29"/>
  <c r="F45" i="29"/>
  <c r="G45" i="29"/>
  <c r="B46" i="29"/>
  <c r="C46" i="29"/>
  <c r="D46" i="29"/>
  <c r="E46" i="29"/>
  <c r="F46" i="29"/>
  <c r="G46" i="29"/>
  <c r="B47" i="29"/>
  <c r="C47" i="29"/>
  <c r="D47" i="29"/>
  <c r="E47" i="29"/>
  <c r="F47" i="29"/>
  <c r="G47" i="29"/>
  <c r="B48" i="29"/>
  <c r="E48" i="29" s="1"/>
  <c r="F48" i="29"/>
  <c r="G48" i="29"/>
  <c r="B49" i="29"/>
  <c r="C49" i="29"/>
  <c r="D49" i="29"/>
  <c r="E49" i="29"/>
  <c r="F49" i="29"/>
  <c r="G49" i="29"/>
  <c r="P3" i="12"/>
  <c r="O3" i="12"/>
  <c r="N3" i="12"/>
  <c r="M3" i="12"/>
  <c r="I3" i="12" a="1"/>
  <c r="I3" i="12" s="1"/>
  <c r="C4" i="29"/>
  <c r="C3" i="29"/>
  <c r="C5" i="29"/>
  <c r="F37" i="29" l="1"/>
  <c r="F21" i="29"/>
  <c r="D16" i="29"/>
  <c r="C48" i="29"/>
  <c r="E37" i="29"/>
  <c r="E21" i="29"/>
  <c r="D37" i="29"/>
  <c r="D21" i="29"/>
  <c r="F36" i="29"/>
  <c r="E36" i="29"/>
  <c r="F41" i="29"/>
  <c r="D36" i="29"/>
  <c r="F25" i="29"/>
  <c r="D20" i="29"/>
  <c r="F9" i="29"/>
  <c r="F20" i="29"/>
  <c r="E20" i="29"/>
  <c r="E25" i="29"/>
  <c r="E9" i="29"/>
  <c r="D48" i="29"/>
  <c r="F40" i="29"/>
  <c r="D35" i="29"/>
  <c r="D19" i="29"/>
  <c r="C39" i="29"/>
  <c r="E13" i="29"/>
  <c r="F34" i="29"/>
  <c r="F18" i="29"/>
  <c r="D13" i="29"/>
  <c r="E34" i="29"/>
  <c r="E18" i="29"/>
  <c r="F39" i="29"/>
  <c r="D34" i="29"/>
  <c r="F23" i="29"/>
  <c r="D18" i="29"/>
  <c r="F7" i="29"/>
  <c r="AJ49" i="27"/>
  <c r="AI49" i="27"/>
  <c r="AH49" i="27"/>
  <c r="Y49" i="27"/>
  <c r="X49" i="27"/>
  <c r="W49" i="27"/>
  <c r="N49" i="27"/>
  <c r="M49" i="27"/>
  <c r="L49" i="27"/>
  <c r="AJ48" i="27"/>
  <c r="AI48" i="27"/>
  <c r="AH48" i="27"/>
  <c r="Y48" i="27"/>
  <c r="X48" i="27"/>
  <c r="W48" i="27"/>
  <c r="N48" i="27"/>
  <c r="M48" i="27"/>
  <c r="L48" i="27"/>
  <c r="AJ47" i="27"/>
  <c r="AI47" i="27"/>
  <c r="AH47" i="27"/>
  <c r="Y47" i="27"/>
  <c r="X47" i="27"/>
  <c r="W47" i="27"/>
  <c r="N47" i="27"/>
  <c r="M47" i="27"/>
  <c r="L47" i="27"/>
  <c r="AJ46" i="27"/>
  <c r="AI46" i="27"/>
  <c r="AH46" i="27"/>
  <c r="Y46" i="27"/>
  <c r="X46" i="27"/>
  <c r="W46" i="27"/>
  <c r="N46" i="27"/>
  <c r="M46" i="27"/>
  <c r="L46" i="27"/>
  <c r="AJ45" i="27"/>
  <c r="AI45" i="27"/>
  <c r="AH45" i="27"/>
  <c r="Y45" i="27"/>
  <c r="X45" i="27"/>
  <c r="W45" i="27"/>
  <c r="N45" i="27"/>
  <c r="M45" i="27"/>
  <c r="L45" i="27"/>
  <c r="AJ44" i="27"/>
  <c r="AI44" i="27"/>
  <c r="AH44" i="27"/>
  <c r="Y44" i="27"/>
  <c r="X44" i="27"/>
  <c r="W44" i="27"/>
  <c r="N44" i="27"/>
  <c r="M44" i="27"/>
  <c r="L44" i="27"/>
  <c r="AJ43" i="27"/>
  <c r="AI43" i="27"/>
  <c r="AH43" i="27"/>
  <c r="Y43" i="27"/>
  <c r="X43" i="27"/>
  <c r="W43" i="27"/>
  <c r="N43" i="27"/>
  <c r="M43" i="27"/>
  <c r="L43" i="27"/>
  <c r="AJ42" i="27"/>
  <c r="AI42" i="27"/>
  <c r="AH42" i="27"/>
  <c r="Y42" i="27"/>
  <c r="X42" i="27"/>
  <c r="W42" i="27"/>
  <c r="N42" i="27"/>
  <c r="M42" i="27"/>
  <c r="L42" i="27"/>
  <c r="AJ41" i="27"/>
  <c r="AI41" i="27"/>
  <c r="AH41" i="27"/>
  <c r="Y41" i="27"/>
  <c r="X41" i="27"/>
  <c r="W41" i="27"/>
  <c r="N41" i="27"/>
  <c r="M41" i="27"/>
  <c r="L41" i="27"/>
  <c r="AJ40" i="27"/>
  <c r="AI40" i="27"/>
  <c r="AH40" i="27"/>
  <c r="Y40" i="27"/>
  <c r="X40" i="27"/>
  <c r="W40" i="27"/>
  <c r="N40" i="27"/>
  <c r="M40" i="27"/>
  <c r="L40" i="27"/>
  <c r="AJ39" i="27"/>
  <c r="AI39" i="27"/>
  <c r="AH39" i="27"/>
  <c r="Y39" i="27"/>
  <c r="X39" i="27"/>
  <c r="W39" i="27"/>
  <c r="N39" i="27"/>
  <c r="M39" i="27"/>
  <c r="L39" i="27"/>
  <c r="AJ38" i="27"/>
  <c r="AI38" i="27"/>
  <c r="AH38" i="27"/>
  <c r="Y38" i="27"/>
  <c r="X38" i="27"/>
  <c r="W38" i="27"/>
  <c r="N38" i="27"/>
  <c r="M38" i="27"/>
  <c r="L38" i="27"/>
  <c r="AJ37" i="27"/>
  <c r="AI37" i="27"/>
  <c r="AH37" i="27"/>
  <c r="Y37" i="27"/>
  <c r="X37" i="27"/>
  <c r="W37" i="27"/>
  <c r="N37" i="27"/>
  <c r="M37" i="27"/>
  <c r="L37" i="27"/>
  <c r="AJ36" i="27"/>
  <c r="AI36" i="27"/>
  <c r="AH36" i="27"/>
  <c r="Y36" i="27"/>
  <c r="X36" i="27"/>
  <c r="W36" i="27"/>
  <c r="N36" i="27"/>
  <c r="M36" i="27"/>
  <c r="L36" i="27"/>
  <c r="AJ35" i="27"/>
  <c r="AI35" i="27"/>
  <c r="AH35" i="27"/>
  <c r="Y35" i="27"/>
  <c r="X35" i="27"/>
  <c r="W35" i="27"/>
  <c r="N35" i="27"/>
  <c r="M35" i="27"/>
  <c r="L35" i="27"/>
  <c r="AJ34" i="27"/>
  <c r="AI34" i="27"/>
  <c r="AH34" i="27"/>
  <c r="Y34" i="27"/>
  <c r="X34" i="27"/>
  <c r="W34" i="27"/>
  <c r="N34" i="27"/>
  <c r="M34" i="27"/>
  <c r="L34" i="27"/>
  <c r="AJ33" i="27"/>
  <c r="AI33" i="27"/>
  <c r="AH33" i="27"/>
  <c r="Y33" i="27"/>
  <c r="X33" i="27"/>
  <c r="W33" i="27"/>
  <c r="N33" i="27"/>
  <c r="M33" i="27"/>
  <c r="L33" i="27"/>
  <c r="AJ32" i="27"/>
  <c r="AI32" i="27"/>
  <c r="AH32" i="27"/>
  <c r="Y32" i="27"/>
  <c r="X32" i="27"/>
  <c r="W32" i="27"/>
  <c r="N32" i="27"/>
  <c r="M32" i="27"/>
  <c r="L32" i="27"/>
  <c r="AJ31" i="27"/>
  <c r="AI31" i="27"/>
  <c r="AH31" i="27"/>
  <c r="Y31" i="27"/>
  <c r="X31" i="27"/>
  <c r="W31" i="27"/>
  <c r="N31" i="27"/>
  <c r="M31" i="27"/>
  <c r="L31" i="27"/>
  <c r="AJ30" i="27"/>
  <c r="AI30" i="27"/>
  <c r="AH30" i="27"/>
  <c r="Y30" i="27"/>
  <c r="X30" i="27"/>
  <c r="W30" i="27"/>
  <c r="N30" i="27"/>
  <c r="M30" i="27"/>
  <c r="L30" i="27"/>
  <c r="AJ29" i="27"/>
  <c r="AI29" i="27"/>
  <c r="AH29" i="27"/>
  <c r="Y29" i="27"/>
  <c r="X29" i="27"/>
  <c r="W29" i="27"/>
  <c r="N29" i="27"/>
  <c r="M29" i="27"/>
  <c r="L29" i="27"/>
  <c r="AJ28" i="27"/>
  <c r="AI28" i="27"/>
  <c r="AH28" i="27"/>
  <c r="Y28" i="27"/>
  <c r="X28" i="27"/>
  <c r="W28" i="27"/>
  <c r="N28" i="27"/>
  <c r="M28" i="27"/>
  <c r="L28" i="27"/>
  <c r="AJ27" i="27"/>
  <c r="AI27" i="27"/>
  <c r="AH27" i="27"/>
  <c r="Y27" i="27"/>
  <c r="X27" i="27"/>
  <c r="W27" i="27"/>
  <c r="N27" i="27"/>
  <c r="M27" i="27"/>
  <c r="L27" i="27"/>
  <c r="AJ26" i="27"/>
  <c r="AI26" i="27"/>
  <c r="AH26" i="27"/>
  <c r="Y26" i="27"/>
  <c r="X26" i="27"/>
  <c r="W26" i="27"/>
  <c r="N26" i="27"/>
  <c r="M26" i="27"/>
  <c r="L26" i="27"/>
  <c r="AJ25" i="27"/>
  <c r="AI25" i="27"/>
  <c r="AH25" i="27"/>
  <c r="Y25" i="27"/>
  <c r="X25" i="27"/>
  <c r="W25" i="27"/>
  <c r="N25" i="27"/>
  <c r="M25" i="27"/>
  <c r="L25" i="27"/>
  <c r="AJ24" i="27"/>
  <c r="AI24" i="27"/>
  <c r="AH24" i="27"/>
  <c r="Y24" i="27"/>
  <c r="X24" i="27"/>
  <c r="W24" i="27"/>
  <c r="N24" i="27"/>
  <c r="M24" i="27"/>
  <c r="L24" i="27"/>
  <c r="AJ23" i="27"/>
  <c r="AI23" i="27"/>
  <c r="AH23" i="27"/>
  <c r="Y23" i="27"/>
  <c r="X23" i="27"/>
  <c r="W23" i="27"/>
  <c r="N23" i="27"/>
  <c r="M23" i="27"/>
  <c r="L23" i="27"/>
  <c r="AJ22" i="27"/>
  <c r="AI22" i="27"/>
  <c r="AH22" i="27"/>
  <c r="Y22" i="27"/>
  <c r="X22" i="27"/>
  <c r="W22" i="27"/>
  <c r="N22" i="27"/>
  <c r="M22" i="27"/>
  <c r="L22" i="27"/>
  <c r="AJ21" i="27"/>
  <c r="AI21" i="27"/>
  <c r="AH21" i="27"/>
  <c r="Y21" i="27"/>
  <c r="X21" i="27"/>
  <c r="W21" i="27"/>
  <c r="N21" i="27"/>
  <c r="M21" i="27"/>
  <c r="L21" i="27"/>
  <c r="AJ20" i="27"/>
  <c r="AI20" i="27"/>
  <c r="AH20" i="27"/>
  <c r="Y20" i="27"/>
  <c r="X20" i="27"/>
  <c r="W20" i="27"/>
  <c r="N20" i="27"/>
  <c r="M20" i="27"/>
  <c r="L20" i="27"/>
  <c r="AJ19" i="27"/>
  <c r="AI19" i="27"/>
  <c r="AH19" i="27"/>
  <c r="Y19" i="27"/>
  <c r="X19" i="27"/>
  <c r="W19" i="27"/>
  <c r="N19" i="27"/>
  <c r="M19" i="27"/>
  <c r="L19" i="27"/>
  <c r="AJ18" i="27"/>
  <c r="AI18" i="27"/>
  <c r="AH18" i="27"/>
  <c r="Y18" i="27"/>
  <c r="X18" i="27"/>
  <c r="W18" i="27"/>
  <c r="N18" i="27"/>
  <c r="M18" i="27"/>
  <c r="L18" i="27"/>
  <c r="AJ17" i="27"/>
  <c r="AI17" i="27"/>
  <c r="AH17" i="27"/>
  <c r="Y17" i="27"/>
  <c r="X17" i="27"/>
  <c r="W17" i="27"/>
  <c r="N17" i="27"/>
  <c r="M17" i="27"/>
  <c r="L17" i="27"/>
  <c r="AJ16" i="27"/>
  <c r="AI16" i="27"/>
  <c r="AH16" i="27"/>
  <c r="Y16" i="27"/>
  <c r="X16" i="27"/>
  <c r="W16" i="27"/>
  <c r="N16" i="27"/>
  <c r="M16" i="27"/>
  <c r="L16" i="27"/>
  <c r="AJ15" i="27"/>
  <c r="AI15" i="27"/>
  <c r="AH15" i="27"/>
  <c r="Y15" i="27"/>
  <c r="X15" i="27"/>
  <c r="W15" i="27"/>
  <c r="N15" i="27"/>
  <c r="M15" i="27"/>
  <c r="L15" i="27"/>
  <c r="AJ14" i="27"/>
  <c r="AI14" i="27"/>
  <c r="AH14" i="27"/>
  <c r="Y14" i="27"/>
  <c r="X14" i="27"/>
  <c r="W14" i="27"/>
  <c r="N14" i="27"/>
  <c r="M14" i="27"/>
  <c r="L14" i="27"/>
  <c r="AJ13" i="27"/>
  <c r="AI13" i="27"/>
  <c r="AH13" i="27"/>
  <c r="Y13" i="27"/>
  <c r="X13" i="27"/>
  <c r="W13" i="27"/>
  <c r="N13" i="27"/>
  <c r="M13" i="27"/>
  <c r="L13" i="27"/>
  <c r="AJ12" i="27"/>
  <c r="AI12" i="27"/>
  <c r="AH12" i="27"/>
  <c r="Y12" i="27"/>
  <c r="X12" i="27"/>
  <c r="W12" i="27"/>
  <c r="N12" i="27"/>
  <c r="M12" i="27"/>
  <c r="L12" i="27"/>
  <c r="AJ11" i="27"/>
  <c r="AI11" i="27"/>
  <c r="AH11" i="27"/>
  <c r="Y11" i="27"/>
  <c r="X11" i="27"/>
  <c r="W11" i="27"/>
  <c r="L11" i="27"/>
  <c r="M11" i="27" s="1"/>
  <c r="N11" i="27" s="1"/>
  <c r="AJ10" i="27"/>
  <c r="AI10" i="27"/>
  <c r="AH10" i="27"/>
  <c r="Y10" i="27"/>
  <c r="X10" i="27"/>
  <c r="W10" i="27"/>
  <c r="M10" i="27"/>
  <c r="N10" i="27" s="1"/>
  <c r="L10" i="27"/>
  <c r="AJ9" i="27"/>
  <c r="AI9" i="27"/>
  <c r="AH9" i="27"/>
  <c r="Y9" i="27"/>
  <c r="X9" i="27"/>
  <c r="W9" i="27"/>
  <c r="L9" i="27"/>
  <c r="M9" i="27" s="1"/>
  <c r="N9" i="27" s="1"/>
  <c r="AJ8" i="27"/>
  <c r="AI8" i="27"/>
  <c r="AH8" i="27"/>
  <c r="Y8" i="27"/>
  <c r="X8" i="27"/>
  <c r="W8" i="27"/>
  <c r="L8" i="27"/>
  <c r="M8" i="27" s="1"/>
  <c r="N8" i="27" s="1"/>
  <c r="AH7" i="27"/>
  <c r="AI7" i="27" s="1"/>
  <c r="AJ7" i="27" s="1"/>
  <c r="Y7" i="27"/>
  <c r="X7" i="27"/>
  <c r="W7" i="27"/>
  <c r="L7" i="27"/>
  <c r="M7" i="27" s="1"/>
  <c r="N7" i="27" s="1"/>
  <c r="AH6" i="27"/>
  <c r="AI6" i="27" s="1"/>
  <c r="AJ6" i="27" s="1"/>
  <c r="Y6" i="27"/>
  <c r="X6" i="27"/>
  <c r="W6" i="27"/>
  <c r="M6" i="27"/>
  <c r="N6" i="27" s="1"/>
  <c r="L6" i="27"/>
  <c r="AI5" i="27"/>
  <c r="AJ5" i="27" s="1"/>
  <c r="AH5" i="27"/>
  <c r="Y5" i="27"/>
  <c r="X5" i="27"/>
  <c r="W5" i="27"/>
  <c r="M5" i="27"/>
  <c r="N5" i="27" s="1"/>
  <c r="L5" i="27"/>
  <c r="AH4" i="27"/>
  <c r="AI4" i="27" s="1"/>
  <c r="AJ4" i="27" s="1"/>
  <c r="W4" i="27"/>
  <c r="X4" i="27" s="1"/>
  <c r="Y4" i="27" s="1"/>
  <c r="L4" i="27"/>
  <c r="M4" i="27" s="1"/>
  <c r="N4" i="27" s="1"/>
  <c r="AH3" i="27"/>
  <c r="AI3" i="27" s="1"/>
  <c r="AJ3" i="27" s="1"/>
  <c r="X3" i="27"/>
  <c r="Y3" i="27" s="1"/>
  <c r="W3" i="27"/>
  <c r="L3" i="27"/>
  <c r="M3" i="27" s="1"/>
  <c r="N3" i="27" s="1"/>
  <c r="AA1" i="27" a="1"/>
  <c r="AA1" i="27" s="1"/>
  <c r="P1" i="27" a="1"/>
  <c r="P1" i="27" s="1"/>
  <c r="E1" i="27" a="1"/>
  <c r="E1" i="27" s="1"/>
  <c r="A1" i="27" a="1"/>
  <c r="A1" i="27" s="1"/>
  <c r="AJ49" i="26"/>
  <c r="AI49" i="26"/>
  <c r="AH49" i="26"/>
  <c r="Y49" i="26"/>
  <c r="X49" i="26"/>
  <c r="W49" i="26"/>
  <c r="N49" i="26"/>
  <c r="M49" i="26"/>
  <c r="L49" i="26"/>
  <c r="AJ48" i="26"/>
  <c r="AI48" i="26"/>
  <c r="AH48" i="26"/>
  <c r="Y48" i="26"/>
  <c r="X48" i="26"/>
  <c r="W48" i="26"/>
  <c r="N48" i="26"/>
  <c r="M48" i="26"/>
  <c r="L48" i="26"/>
  <c r="AJ47" i="26"/>
  <c r="AI47" i="26"/>
  <c r="AH47" i="26"/>
  <c r="Y47" i="26"/>
  <c r="X47" i="26"/>
  <c r="W47" i="26"/>
  <c r="N47" i="26"/>
  <c r="M47" i="26"/>
  <c r="L47" i="26"/>
  <c r="AJ46" i="26"/>
  <c r="AI46" i="26"/>
  <c r="AH46" i="26"/>
  <c r="Y46" i="26"/>
  <c r="X46" i="26"/>
  <c r="W46" i="26"/>
  <c r="N46" i="26"/>
  <c r="M46" i="26"/>
  <c r="L46" i="26"/>
  <c r="AJ45" i="26"/>
  <c r="AI45" i="26"/>
  <c r="AH45" i="26"/>
  <c r="Y45" i="26"/>
  <c r="X45" i="26"/>
  <c r="W45" i="26"/>
  <c r="N45" i="26"/>
  <c r="M45" i="26"/>
  <c r="L45" i="26"/>
  <c r="AJ44" i="26"/>
  <c r="AI44" i="26"/>
  <c r="AH44" i="26"/>
  <c r="Y44" i="26"/>
  <c r="X44" i="26"/>
  <c r="W44" i="26"/>
  <c r="N44" i="26"/>
  <c r="M44" i="26"/>
  <c r="L44" i="26"/>
  <c r="AJ43" i="26"/>
  <c r="AI43" i="26"/>
  <c r="AH43" i="26"/>
  <c r="Y43" i="26"/>
  <c r="X43" i="26"/>
  <c r="W43" i="26"/>
  <c r="N43" i="26"/>
  <c r="M43" i="26"/>
  <c r="L43" i="26"/>
  <c r="AJ42" i="26"/>
  <c r="AI42" i="26"/>
  <c r="AH42" i="26"/>
  <c r="Y42" i="26"/>
  <c r="X42" i="26"/>
  <c r="W42" i="26"/>
  <c r="N42" i="26"/>
  <c r="M42" i="26"/>
  <c r="L42" i="26"/>
  <c r="AJ41" i="26"/>
  <c r="AI41" i="26"/>
  <c r="AH41" i="26"/>
  <c r="Y41" i="26"/>
  <c r="X41" i="26"/>
  <c r="W41" i="26"/>
  <c r="N41" i="26"/>
  <c r="M41" i="26"/>
  <c r="L41" i="26"/>
  <c r="AJ40" i="26"/>
  <c r="AI40" i="26"/>
  <c r="AH40" i="26"/>
  <c r="Y40" i="26"/>
  <c r="X40" i="26"/>
  <c r="W40" i="26"/>
  <c r="N40" i="26"/>
  <c r="M40" i="26"/>
  <c r="L40" i="26"/>
  <c r="AJ39" i="26"/>
  <c r="AI39" i="26"/>
  <c r="AH39" i="26"/>
  <c r="Y39" i="26"/>
  <c r="X39" i="26"/>
  <c r="W39" i="26"/>
  <c r="N39" i="26"/>
  <c r="M39" i="26"/>
  <c r="L39" i="26"/>
  <c r="AJ38" i="26"/>
  <c r="AI38" i="26"/>
  <c r="AH38" i="26"/>
  <c r="Y38" i="26"/>
  <c r="X38" i="26"/>
  <c r="W38" i="26"/>
  <c r="N38" i="26"/>
  <c r="M38" i="26"/>
  <c r="L38" i="26"/>
  <c r="AJ37" i="26"/>
  <c r="AI37" i="26"/>
  <c r="AH37" i="26"/>
  <c r="Y37" i="26"/>
  <c r="X37" i="26"/>
  <c r="W37" i="26"/>
  <c r="N37" i="26"/>
  <c r="M37" i="26"/>
  <c r="L37" i="26"/>
  <c r="AJ36" i="26"/>
  <c r="AI36" i="26"/>
  <c r="AH36" i="26"/>
  <c r="Y36" i="26"/>
  <c r="X36" i="26"/>
  <c r="W36" i="26"/>
  <c r="N36" i="26"/>
  <c r="M36" i="26"/>
  <c r="L36" i="26"/>
  <c r="AJ35" i="26"/>
  <c r="AI35" i="26"/>
  <c r="AH35" i="26"/>
  <c r="Y35" i="26"/>
  <c r="X35" i="26"/>
  <c r="W35" i="26"/>
  <c r="N35" i="26"/>
  <c r="M35" i="26"/>
  <c r="L35" i="26"/>
  <c r="AJ34" i="26"/>
  <c r="AI34" i="26"/>
  <c r="AH34" i="26"/>
  <c r="Y34" i="26"/>
  <c r="X34" i="26"/>
  <c r="W34" i="26"/>
  <c r="N34" i="26"/>
  <c r="M34" i="26"/>
  <c r="L34" i="26"/>
  <c r="AJ33" i="26"/>
  <c r="AI33" i="26"/>
  <c r="AH33" i="26"/>
  <c r="Y33" i="26"/>
  <c r="X33" i="26"/>
  <c r="W33" i="26"/>
  <c r="N33" i="26"/>
  <c r="M33" i="26"/>
  <c r="L33" i="26"/>
  <c r="AJ32" i="26"/>
  <c r="AI32" i="26"/>
  <c r="AH32" i="26"/>
  <c r="Y32" i="26"/>
  <c r="X32" i="26"/>
  <c r="W32" i="26"/>
  <c r="N32" i="26"/>
  <c r="M32" i="26"/>
  <c r="L32" i="26"/>
  <c r="AJ31" i="26"/>
  <c r="AI31" i="26"/>
  <c r="AH31" i="26"/>
  <c r="Y31" i="26"/>
  <c r="X31" i="26"/>
  <c r="W31" i="26"/>
  <c r="N31" i="26"/>
  <c r="M31" i="26"/>
  <c r="L31" i="26"/>
  <c r="AJ30" i="26"/>
  <c r="AI30" i="26"/>
  <c r="AH30" i="26"/>
  <c r="Y30" i="26"/>
  <c r="X30" i="26"/>
  <c r="W30" i="26"/>
  <c r="N30" i="26"/>
  <c r="M30" i="26"/>
  <c r="L30" i="26"/>
  <c r="AJ29" i="26"/>
  <c r="AI29" i="26"/>
  <c r="AH29" i="26"/>
  <c r="Y29" i="26"/>
  <c r="X29" i="26"/>
  <c r="W29" i="26"/>
  <c r="N29" i="26"/>
  <c r="M29" i="26"/>
  <c r="L29" i="26"/>
  <c r="AJ28" i="26"/>
  <c r="AI28" i="26"/>
  <c r="AH28" i="26"/>
  <c r="Y28" i="26"/>
  <c r="X28" i="26"/>
  <c r="W28" i="26"/>
  <c r="N28" i="26"/>
  <c r="M28" i="26"/>
  <c r="L28" i="26"/>
  <c r="AJ27" i="26"/>
  <c r="AI27" i="26"/>
  <c r="AH27" i="26"/>
  <c r="Y27" i="26"/>
  <c r="X27" i="26"/>
  <c r="W27" i="26"/>
  <c r="N27" i="26"/>
  <c r="M27" i="26"/>
  <c r="L27" i="26"/>
  <c r="AJ26" i="26"/>
  <c r="AI26" i="26"/>
  <c r="AH26" i="26"/>
  <c r="Y26" i="26"/>
  <c r="X26" i="26"/>
  <c r="W26" i="26"/>
  <c r="L26" i="26"/>
  <c r="M26" i="26" s="1"/>
  <c r="N26" i="26" s="1"/>
  <c r="AJ25" i="26"/>
  <c r="AI25" i="26"/>
  <c r="AH25" i="26"/>
  <c r="Y25" i="26"/>
  <c r="X25" i="26"/>
  <c r="W25" i="26"/>
  <c r="M25" i="26"/>
  <c r="N25" i="26" s="1"/>
  <c r="L25" i="26"/>
  <c r="AJ24" i="26"/>
  <c r="AI24" i="26"/>
  <c r="AH24" i="26"/>
  <c r="Y24" i="26"/>
  <c r="X24" i="26"/>
  <c r="W24" i="26"/>
  <c r="L24" i="26"/>
  <c r="M24" i="26" s="1"/>
  <c r="N24" i="26" s="1"/>
  <c r="AJ23" i="26"/>
  <c r="AI23" i="26"/>
  <c r="AH23" i="26"/>
  <c r="Y23" i="26"/>
  <c r="X23" i="26"/>
  <c r="W23" i="26"/>
  <c r="M23" i="26"/>
  <c r="N23" i="26" s="1"/>
  <c r="L23" i="26"/>
  <c r="AJ22" i="26"/>
  <c r="AI22" i="26"/>
  <c r="AH22" i="26"/>
  <c r="Y22" i="26"/>
  <c r="X22" i="26"/>
  <c r="W22" i="26"/>
  <c r="N22" i="26"/>
  <c r="M22" i="26"/>
  <c r="L22" i="26"/>
  <c r="AJ21" i="26"/>
  <c r="AI21" i="26"/>
  <c r="AH21" i="26"/>
  <c r="Y21" i="26"/>
  <c r="X21" i="26"/>
  <c r="W21" i="26"/>
  <c r="M21" i="26"/>
  <c r="N21" i="26" s="1"/>
  <c r="L21" i="26"/>
  <c r="AJ20" i="26"/>
  <c r="AI20" i="26"/>
  <c r="AH20" i="26"/>
  <c r="Y20" i="26"/>
  <c r="X20" i="26"/>
  <c r="W20" i="26"/>
  <c r="N20" i="26"/>
  <c r="M20" i="26"/>
  <c r="L20" i="26"/>
  <c r="AJ19" i="26"/>
  <c r="AI19" i="26"/>
  <c r="AH19" i="26"/>
  <c r="Y19" i="26"/>
  <c r="X19" i="26"/>
  <c r="W19" i="26"/>
  <c r="L19" i="26"/>
  <c r="M19" i="26" s="1"/>
  <c r="N19" i="26" s="1"/>
  <c r="AJ18" i="26"/>
  <c r="AI18" i="26"/>
  <c r="AH18" i="26"/>
  <c r="Y18" i="26"/>
  <c r="X18" i="26"/>
  <c r="W18" i="26"/>
  <c r="L18" i="26"/>
  <c r="M18" i="26" s="1"/>
  <c r="N18" i="26" s="1"/>
  <c r="AJ17" i="26"/>
  <c r="AI17" i="26"/>
  <c r="AH17" i="26"/>
  <c r="Y17" i="26"/>
  <c r="X17" i="26"/>
  <c r="W17" i="26"/>
  <c r="M17" i="26"/>
  <c r="N17" i="26" s="1"/>
  <c r="L17" i="26"/>
  <c r="AJ16" i="26"/>
  <c r="AI16" i="26"/>
  <c r="AH16" i="26"/>
  <c r="Y16" i="26"/>
  <c r="X16" i="26"/>
  <c r="W16" i="26"/>
  <c r="L16" i="26"/>
  <c r="M16" i="26" s="1"/>
  <c r="N16" i="26" s="1"/>
  <c r="AJ15" i="26"/>
  <c r="AI15" i="26"/>
  <c r="AH15" i="26"/>
  <c r="Y15" i="26"/>
  <c r="X15" i="26"/>
  <c r="W15" i="26"/>
  <c r="L15" i="26"/>
  <c r="M15" i="26" s="1"/>
  <c r="N15" i="26" s="1"/>
  <c r="AJ14" i="26"/>
  <c r="AI14" i="26"/>
  <c r="AH14" i="26"/>
  <c r="Y14" i="26"/>
  <c r="X14" i="26"/>
  <c r="W14" i="26"/>
  <c r="L14" i="26"/>
  <c r="M14" i="26" s="1"/>
  <c r="N14" i="26" s="1"/>
  <c r="AJ13" i="26"/>
  <c r="AI13" i="26"/>
  <c r="AH13" i="26"/>
  <c r="Y13" i="26"/>
  <c r="X13" i="26"/>
  <c r="W13" i="26"/>
  <c r="L13" i="26"/>
  <c r="M13" i="26" s="1"/>
  <c r="N13" i="26" s="1"/>
  <c r="AJ12" i="26"/>
  <c r="AI12" i="26"/>
  <c r="AH12" i="26"/>
  <c r="Y12" i="26"/>
  <c r="X12" i="26"/>
  <c r="W12" i="26"/>
  <c r="L12" i="26"/>
  <c r="M12" i="26" s="1"/>
  <c r="N12" i="26" s="1"/>
  <c r="AJ11" i="26"/>
  <c r="AI11" i="26"/>
  <c r="AH11" i="26"/>
  <c r="Y11" i="26"/>
  <c r="X11" i="26"/>
  <c r="W11" i="26"/>
  <c r="L11" i="26"/>
  <c r="M11" i="26" s="1"/>
  <c r="N11" i="26" s="1"/>
  <c r="AJ10" i="26"/>
  <c r="AI10" i="26"/>
  <c r="AH10" i="26"/>
  <c r="Y10" i="26"/>
  <c r="X10" i="26"/>
  <c r="W10" i="26"/>
  <c r="L10" i="26"/>
  <c r="M10" i="26" s="1"/>
  <c r="N10" i="26" s="1"/>
  <c r="AJ9" i="26"/>
  <c r="AI9" i="26"/>
  <c r="AH9" i="26"/>
  <c r="Y9" i="26"/>
  <c r="X9" i="26"/>
  <c r="W9" i="26"/>
  <c r="L9" i="26"/>
  <c r="M9" i="26" s="1"/>
  <c r="N9" i="26" s="1"/>
  <c r="AJ8" i="26"/>
  <c r="AI8" i="26"/>
  <c r="AH8" i="26"/>
  <c r="Y8" i="26"/>
  <c r="X8" i="26"/>
  <c r="W8" i="26"/>
  <c r="L8" i="26"/>
  <c r="M8" i="26" s="1"/>
  <c r="N8" i="26" s="1"/>
  <c r="AJ7" i="26"/>
  <c r="AI7" i="26"/>
  <c r="AH7" i="26"/>
  <c r="Y7" i="26"/>
  <c r="X7" i="26"/>
  <c r="W7" i="26"/>
  <c r="L7" i="26"/>
  <c r="M7" i="26" s="1"/>
  <c r="N7" i="26" s="1"/>
  <c r="AJ6" i="26"/>
  <c r="AI6" i="26"/>
  <c r="AH6" i="26"/>
  <c r="W6" i="26"/>
  <c r="X6" i="26" s="1"/>
  <c r="Y6" i="26" s="1"/>
  <c r="L6" i="26"/>
  <c r="M6" i="26" s="1"/>
  <c r="N6" i="26" s="1"/>
  <c r="AJ5" i="26"/>
  <c r="AI5" i="26"/>
  <c r="AH5" i="26"/>
  <c r="W5" i="26"/>
  <c r="X5" i="26" s="1"/>
  <c r="Y5" i="26" s="1"/>
  <c r="L5" i="26"/>
  <c r="M5" i="26" s="1"/>
  <c r="N5" i="26" s="1"/>
  <c r="AH4" i="26"/>
  <c r="AI4" i="26" s="1"/>
  <c r="AJ4" i="26" s="1"/>
  <c r="W4" i="26"/>
  <c r="X4" i="26" s="1"/>
  <c r="Y4" i="26" s="1"/>
  <c r="L4" i="26"/>
  <c r="M4" i="26" s="1"/>
  <c r="N4" i="26" s="1"/>
  <c r="AH3" i="26"/>
  <c r="AI3" i="26" s="1"/>
  <c r="AJ3" i="26" s="1"/>
  <c r="W3" i="26"/>
  <c r="X3" i="26" s="1"/>
  <c r="Y3" i="26" s="1"/>
  <c r="L3" i="26"/>
  <c r="M3" i="26" s="1"/>
  <c r="N3" i="26" s="1"/>
  <c r="AA1" i="26" a="1"/>
  <c r="AA1" i="26" s="1"/>
  <c r="P1" i="26" a="1"/>
  <c r="P1" i="26" s="1"/>
  <c r="E1" i="26" a="1"/>
  <c r="E1" i="26" s="1"/>
  <c r="A1" i="26" a="1"/>
  <c r="A1" i="26" s="1"/>
  <c r="K266" i="25"/>
  <c r="K265" i="25"/>
  <c r="K264" i="25"/>
  <c r="K263" i="25"/>
  <c r="K262" i="25"/>
  <c r="K261" i="25"/>
  <c r="K260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L131" i="25"/>
  <c r="K131" i="25"/>
  <c r="L130" i="25"/>
  <c r="K130" i="25"/>
  <c r="L129" i="25"/>
  <c r="K129" i="25"/>
  <c r="L128" i="25"/>
  <c r="K128" i="25"/>
  <c r="M127" i="25"/>
  <c r="L127" i="25"/>
  <c r="K127" i="25"/>
  <c r="M126" i="25"/>
  <c r="L126" i="25"/>
  <c r="K126" i="25"/>
  <c r="M125" i="25"/>
  <c r="L125" i="25"/>
  <c r="K125" i="25"/>
  <c r="M124" i="25"/>
  <c r="L124" i="25"/>
  <c r="K124" i="25"/>
  <c r="M123" i="25"/>
  <c r="L123" i="25"/>
  <c r="K123" i="25"/>
  <c r="M122" i="25"/>
  <c r="L122" i="25"/>
  <c r="K122" i="25"/>
  <c r="M121" i="25"/>
  <c r="L121" i="25"/>
  <c r="K121" i="25"/>
  <c r="M120" i="25"/>
  <c r="L120" i="25"/>
  <c r="K120" i="25"/>
  <c r="M119" i="25"/>
  <c r="L119" i="25"/>
  <c r="K119" i="25"/>
  <c r="M118" i="25"/>
  <c r="L118" i="25"/>
  <c r="K118" i="25"/>
  <c r="M117" i="25"/>
  <c r="L117" i="25"/>
  <c r="K117" i="25"/>
  <c r="M116" i="25"/>
  <c r="L116" i="25"/>
  <c r="K116" i="25"/>
  <c r="M115" i="25"/>
  <c r="L115" i="25"/>
  <c r="K115" i="25"/>
  <c r="M114" i="25"/>
  <c r="L114" i="25"/>
  <c r="K114" i="25"/>
  <c r="M113" i="25"/>
  <c r="L113" i="25"/>
  <c r="K113" i="25"/>
  <c r="M112" i="25"/>
  <c r="L112" i="25"/>
  <c r="K112" i="25"/>
  <c r="M111" i="25"/>
  <c r="L111" i="25"/>
  <c r="K111" i="25"/>
  <c r="M110" i="25"/>
  <c r="L110" i="25"/>
  <c r="K110" i="25"/>
  <c r="M109" i="25"/>
  <c r="L109" i="25"/>
  <c r="K109" i="25"/>
  <c r="M108" i="25"/>
  <c r="L108" i="25"/>
  <c r="K108" i="25"/>
  <c r="M107" i="25"/>
  <c r="L107" i="25"/>
  <c r="K107" i="25"/>
  <c r="M106" i="25"/>
  <c r="L106" i="25"/>
  <c r="K106" i="25"/>
  <c r="M105" i="25"/>
  <c r="L105" i="25"/>
  <c r="K105" i="25"/>
  <c r="M104" i="25"/>
  <c r="L104" i="25"/>
  <c r="K104" i="25"/>
  <c r="M103" i="25"/>
  <c r="L103" i="25"/>
  <c r="K103" i="25"/>
  <c r="M102" i="25"/>
  <c r="L102" i="25"/>
  <c r="K102" i="25"/>
  <c r="M101" i="25"/>
  <c r="L101" i="25"/>
  <c r="K101" i="25"/>
  <c r="M100" i="25"/>
  <c r="L100" i="25"/>
  <c r="K100" i="25"/>
  <c r="M99" i="25"/>
  <c r="L99" i="25"/>
  <c r="K99" i="25"/>
  <c r="M98" i="25"/>
  <c r="L98" i="25"/>
  <c r="K98" i="25"/>
  <c r="M97" i="25"/>
  <c r="L97" i="25"/>
  <c r="K97" i="25"/>
  <c r="M96" i="25"/>
  <c r="L96" i="25"/>
  <c r="K96" i="25"/>
  <c r="M95" i="25"/>
  <c r="L95" i="25"/>
  <c r="K95" i="25"/>
  <c r="M94" i="25"/>
  <c r="L94" i="25"/>
  <c r="K94" i="25"/>
  <c r="M93" i="25"/>
  <c r="L93" i="25"/>
  <c r="K93" i="25"/>
  <c r="M92" i="25"/>
  <c r="L92" i="25"/>
  <c r="K92" i="25"/>
  <c r="M91" i="25"/>
  <c r="L91" i="25"/>
  <c r="K91" i="25"/>
  <c r="M90" i="25"/>
  <c r="L90" i="25"/>
  <c r="K90" i="25"/>
  <c r="M89" i="25"/>
  <c r="L89" i="25"/>
  <c r="K89" i="25"/>
  <c r="M88" i="25"/>
  <c r="L88" i="25"/>
  <c r="K88" i="25"/>
  <c r="M87" i="25"/>
  <c r="L87" i="25"/>
  <c r="K87" i="25"/>
  <c r="M86" i="25"/>
  <c r="L86" i="25"/>
  <c r="K86" i="25"/>
  <c r="M85" i="25"/>
  <c r="L85" i="25"/>
  <c r="K85" i="25"/>
  <c r="M84" i="25"/>
  <c r="L84" i="25"/>
  <c r="K84" i="25"/>
  <c r="M83" i="25"/>
  <c r="L83" i="25"/>
  <c r="K83" i="25"/>
  <c r="M82" i="25"/>
  <c r="L82" i="25"/>
  <c r="K82" i="25"/>
  <c r="M81" i="25"/>
  <c r="L81" i="25"/>
  <c r="K81" i="25"/>
  <c r="M80" i="25"/>
  <c r="L80" i="25"/>
  <c r="K80" i="25"/>
  <c r="M79" i="25"/>
  <c r="L79" i="25"/>
  <c r="K79" i="25"/>
  <c r="M78" i="25"/>
  <c r="L78" i="25"/>
  <c r="K78" i="25"/>
  <c r="M77" i="25"/>
  <c r="L77" i="25"/>
  <c r="K77" i="25"/>
  <c r="M76" i="25"/>
  <c r="L76" i="25"/>
  <c r="K76" i="25"/>
  <c r="M75" i="25"/>
  <c r="L75" i="25"/>
  <c r="K75" i="25"/>
  <c r="M74" i="25"/>
  <c r="L74" i="25"/>
  <c r="K74" i="25"/>
  <c r="M73" i="25"/>
  <c r="L73" i="25"/>
  <c r="K73" i="25"/>
  <c r="M72" i="25"/>
  <c r="L72" i="25"/>
  <c r="K72" i="25"/>
  <c r="M71" i="25"/>
  <c r="L71" i="25"/>
  <c r="K71" i="25"/>
  <c r="M70" i="25"/>
  <c r="L70" i="25"/>
  <c r="K70" i="25"/>
  <c r="M69" i="25"/>
  <c r="L69" i="25"/>
  <c r="K69" i="25"/>
  <c r="M68" i="25"/>
  <c r="L68" i="25"/>
  <c r="K68" i="25"/>
  <c r="M67" i="25"/>
  <c r="L67" i="25"/>
  <c r="K67" i="25"/>
  <c r="M66" i="25"/>
  <c r="L66" i="25"/>
  <c r="K66" i="25"/>
  <c r="M65" i="25"/>
  <c r="L65" i="25"/>
  <c r="K65" i="25"/>
  <c r="M64" i="25"/>
  <c r="L64" i="25"/>
  <c r="K64" i="25"/>
  <c r="M63" i="25"/>
  <c r="L63" i="25"/>
  <c r="K63" i="25"/>
  <c r="M62" i="25"/>
  <c r="L62" i="25"/>
  <c r="K62" i="25"/>
  <c r="M61" i="25"/>
  <c r="L61" i="25"/>
  <c r="K61" i="25"/>
  <c r="J61" i="25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3" i="12"/>
  <c r="C46" i="12"/>
  <c r="D30" i="12"/>
  <c r="C16" i="12"/>
  <c r="C42" i="12"/>
  <c r="C47" i="12"/>
  <c r="C44" i="12"/>
  <c r="D25" i="12"/>
  <c r="D29" i="12"/>
  <c r="C43" i="12"/>
  <c r="C48" i="12"/>
  <c r="D23" i="12"/>
  <c r="C41" i="12"/>
  <c r="D28" i="12"/>
  <c r="D26" i="12"/>
  <c r="C14" i="12"/>
  <c r="C9" i="12"/>
  <c r="D24" i="12"/>
  <c r="C10" i="12"/>
  <c r="C15" i="12"/>
  <c r="C11" i="12"/>
  <c r="C12" i="12"/>
  <c r="C49" i="12"/>
  <c r="C20" i="12"/>
  <c r="C45" i="12"/>
  <c r="D27" i="12"/>
  <c r="C21" i="12"/>
  <c r="C22" i="12"/>
  <c r="D31" i="12"/>
  <c r="D36" i="12"/>
  <c r="C40" i="12"/>
  <c r="E10" i="12"/>
  <c r="E43" i="12"/>
  <c r="E46" i="12"/>
  <c r="E48" i="12"/>
  <c r="C19" i="12"/>
  <c r="C28" i="12"/>
  <c r="D34" i="12"/>
  <c r="D37" i="12"/>
  <c r="E41" i="12"/>
  <c r="E11" i="12"/>
  <c r="E45" i="12"/>
  <c r="E16" i="12"/>
  <c r="D20" i="12"/>
  <c r="C29" i="12"/>
  <c r="D38" i="12"/>
  <c r="E42" i="12"/>
  <c r="E44" i="12"/>
  <c r="E47" i="12"/>
  <c r="E18" i="12"/>
  <c r="C25" i="12"/>
  <c r="C31" i="12"/>
  <c r="E9" i="12"/>
  <c r="E12" i="12"/>
  <c r="C17" i="12"/>
  <c r="C27" i="12"/>
  <c r="D32" i="12"/>
  <c r="E13" i="12"/>
  <c r="E14" i="12"/>
  <c r="D22" i="12"/>
  <c r="D35" i="12"/>
  <c r="E15" i="12"/>
  <c r="C26" i="12"/>
  <c r="D33" i="12"/>
  <c r="D21" i="12"/>
  <c r="C30" i="12"/>
  <c r="D7" i="12"/>
  <c r="E8" i="12"/>
  <c r="C7" i="12"/>
  <c r="E6" i="12"/>
  <c r="D6" i="12"/>
  <c r="D8" i="12"/>
  <c r="C8" i="12"/>
  <c r="E7" i="12"/>
  <c r="C6" i="12"/>
  <c r="E5" i="29"/>
  <c r="D5" i="29"/>
  <c r="E4" i="29"/>
  <c r="E4" i="12"/>
  <c r="D4" i="29"/>
  <c r="E3" i="29"/>
  <c r="D3" i="29"/>
  <c r="D3" i="12"/>
  <c r="D5" i="12"/>
  <c r="E5" i="12"/>
  <c r="D4" i="12"/>
  <c r="E3" i="12"/>
  <c r="F3" i="29" l="1"/>
  <c r="G3" i="29" s="1"/>
  <c r="F4" i="29"/>
  <c r="G4" i="29" s="1"/>
  <c r="F5" i="29"/>
  <c r="G5" i="29" s="1"/>
  <c r="AJ1" i="27"/>
  <c r="Y1" i="27"/>
  <c r="N1" i="27"/>
  <c r="AJ1" i="26"/>
  <c r="Y1" i="26"/>
  <c r="N1" i="26"/>
  <c r="F6" i="12"/>
  <c r="G6" i="12" s="1"/>
  <c r="C39" i="12"/>
  <c r="C33" i="12"/>
  <c r="D42" i="12"/>
  <c r="D41" i="12"/>
  <c r="D9" i="12"/>
  <c r="E49" i="12"/>
  <c r="E33" i="12"/>
  <c r="C24" i="12"/>
  <c r="D45" i="12"/>
  <c r="E27" i="12"/>
  <c r="D48" i="12"/>
  <c r="C32" i="12"/>
  <c r="C37" i="12"/>
  <c r="E31" i="12"/>
  <c r="D13" i="12"/>
  <c r="D16" i="12"/>
  <c r="D10" i="12"/>
  <c r="D47" i="12"/>
  <c r="E35" i="12"/>
  <c r="E40" i="12"/>
  <c r="D14" i="12"/>
  <c r="C36" i="12"/>
  <c r="D44" i="12"/>
  <c r="D11" i="12"/>
  <c r="E25" i="12"/>
  <c r="E19" i="12"/>
  <c r="D40" i="12"/>
  <c r="E17" i="12"/>
  <c r="E37" i="12"/>
  <c r="D39" i="12"/>
  <c r="C23" i="12"/>
  <c r="D17" i="12"/>
  <c r="D46" i="12"/>
  <c r="E36" i="12"/>
  <c r="E20" i="12"/>
  <c r="C38" i="12"/>
  <c r="E39" i="12"/>
  <c r="E23" i="12"/>
  <c r="C18" i="12"/>
  <c r="E34" i="12"/>
  <c r="E30" i="12"/>
  <c r="E22" i="12"/>
  <c r="E26" i="12"/>
  <c r="D15" i="12"/>
  <c r="E32" i="12"/>
  <c r="D19" i="12"/>
  <c r="D49" i="12"/>
  <c r="E24" i="12"/>
  <c r="E38" i="12"/>
  <c r="E21" i="12"/>
  <c r="C13" i="12"/>
  <c r="D43" i="12"/>
  <c r="E29" i="12"/>
  <c r="E28" i="12"/>
  <c r="C35" i="12"/>
  <c r="D12" i="12"/>
  <c r="D18" i="12"/>
  <c r="C34" i="12"/>
  <c r="F34" i="12" l="1"/>
  <c r="G34" i="12" s="1"/>
  <c r="F12" i="12"/>
  <c r="G12" i="12" s="1"/>
  <c r="F35" i="12"/>
  <c r="G35" i="12" s="1"/>
  <c r="F28" i="12"/>
  <c r="G28" i="12" s="1"/>
  <c r="F29" i="12"/>
  <c r="G29" i="12" s="1"/>
  <c r="F43" i="12"/>
  <c r="G43" i="12" s="1"/>
  <c r="F13" i="12"/>
  <c r="G13" i="12" s="1"/>
  <c r="F21" i="12"/>
  <c r="G21" i="12" s="1"/>
  <c r="F49" i="12"/>
  <c r="G49" i="12" s="1"/>
  <c r="F19" i="12"/>
  <c r="G19" i="12" s="1"/>
  <c r="F15" i="12"/>
  <c r="G15" i="12" s="1"/>
  <c r="F26" i="12"/>
  <c r="G26" i="12" s="1"/>
  <c r="F22" i="12"/>
  <c r="G22" i="12" s="1"/>
  <c r="F30" i="12"/>
  <c r="G30" i="12" s="1"/>
  <c r="F18" i="12"/>
  <c r="G18" i="12" s="1"/>
  <c r="F38" i="12"/>
  <c r="G38" i="12" s="1"/>
  <c r="F20" i="12"/>
  <c r="G20" i="12" s="1"/>
  <c r="F46" i="12"/>
  <c r="G46" i="12" s="1"/>
  <c r="F17" i="12"/>
  <c r="G17" i="12" s="1"/>
  <c r="F23" i="12"/>
  <c r="G23" i="12" s="1"/>
  <c r="F40" i="12"/>
  <c r="G40" i="12" s="1"/>
  <c r="F25" i="12"/>
  <c r="G25" i="12" s="1"/>
  <c r="F11" i="12"/>
  <c r="G11" i="12" s="1"/>
  <c r="F44" i="12"/>
  <c r="G44" i="12" s="1"/>
  <c r="F36" i="12"/>
  <c r="G36" i="12" s="1"/>
  <c r="F14" i="12"/>
  <c r="G14" i="12" s="1"/>
  <c r="F47" i="12"/>
  <c r="G47" i="12" s="1"/>
  <c r="F10" i="12"/>
  <c r="G10" i="12" s="1"/>
  <c r="F16" i="12"/>
  <c r="G16" i="12" s="1"/>
  <c r="F31" i="12"/>
  <c r="G31" i="12" s="1"/>
  <c r="F37" i="12"/>
  <c r="G37" i="12" s="1"/>
  <c r="F32" i="12"/>
  <c r="G32" i="12" s="1"/>
  <c r="F48" i="12"/>
  <c r="G48" i="12" s="1"/>
  <c r="F27" i="12"/>
  <c r="G27" i="12" s="1"/>
  <c r="F45" i="12"/>
  <c r="G45" i="12" s="1"/>
  <c r="F24" i="12"/>
  <c r="G24" i="12" s="1"/>
  <c r="F9" i="12"/>
  <c r="G9" i="12" s="1"/>
  <c r="F41" i="12"/>
  <c r="G41" i="12" s="1"/>
  <c r="F42" i="12"/>
  <c r="G42" i="12" s="1"/>
  <c r="F33" i="12"/>
  <c r="G33" i="12" s="1"/>
  <c r="F39" i="12"/>
  <c r="G39" i="12" s="1"/>
  <c r="F8" i="12"/>
  <c r="G8" i="12" s="1"/>
  <c r="F7" i="12"/>
  <c r="G7" i="12" s="1"/>
  <c r="AJ49" i="21" l="1"/>
  <c r="AI49" i="21"/>
  <c r="AH49" i="21"/>
  <c r="Y49" i="21"/>
  <c r="X49" i="21"/>
  <c r="W49" i="21"/>
  <c r="N49" i="21"/>
  <c r="M49" i="21"/>
  <c r="L49" i="21"/>
  <c r="AJ48" i="21"/>
  <c r="AI48" i="21"/>
  <c r="AH48" i="21"/>
  <c r="Y48" i="21"/>
  <c r="X48" i="21"/>
  <c r="W48" i="21"/>
  <c r="N48" i="21"/>
  <c r="M48" i="21"/>
  <c r="L48" i="21"/>
  <c r="AJ47" i="21"/>
  <c r="AI47" i="21"/>
  <c r="AH47" i="21"/>
  <c r="Y47" i="21"/>
  <c r="X47" i="21"/>
  <c r="W47" i="21"/>
  <c r="N47" i="21"/>
  <c r="M47" i="21"/>
  <c r="L47" i="21"/>
  <c r="AJ46" i="21"/>
  <c r="AI46" i="21"/>
  <c r="AH46" i="21"/>
  <c r="Y46" i="21"/>
  <c r="X46" i="21"/>
  <c r="W46" i="21"/>
  <c r="N46" i="21"/>
  <c r="M46" i="21"/>
  <c r="L46" i="21"/>
  <c r="AJ45" i="21"/>
  <c r="AI45" i="21"/>
  <c r="AH45" i="21"/>
  <c r="Y45" i="21"/>
  <c r="X45" i="21"/>
  <c r="W45" i="21"/>
  <c r="N45" i="21"/>
  <c r="M45" i="21"/>
  <c r="L45" i="21"/>
  <c r="AJ44" i="21"/>
  <c r="AI44" i="21"/>
  <c r="AH44" i="21"/>
  <c r="Y44" i="21"/>
  <c r="X44" i="21"/>
  <c r="W44" i="21"/>
  <c r="N44" i="21"/>
  <c r="M44" i="21"/>
  <c r="L44" i="21"/>
  <c r="AJ43" i="21"/>
  <c r="AI43" i="21"/>
  <c r="AH43" i="21"/>
  <c r="Y43" i="21"/>
  <c r="X43" i="21"/>
  <c r="W43" i="21"/>
  <c r="N43" i="21"/>
  <c r="M43" i="21"/>
  <c r="L43" i="21"/>
  <c r="AJ42" i="21"/>
  <c r="AI42" i="21"/>
  <c r="AH42" i="21"/>
  <c r="Y42" i="21"/>
  <c r="X42" i="21"/>
  <c r="W42" i="21"/>
  <c r="N42" i="21"/>
  <c r="M42" i="21"/>
  <c r="L42" i="21"/>
  <c r="AJ41" i="21"/>
  <c r="AI41" i="21"/>
  <c r="AH41" i="21"/>
  <c r="Y41" i="21"/>
  <c r="X41" i="21"/>
  <c r="W41" i="21"/>
  <c r="N41" i="21"/>
  <c r="M41" i="21"/>
  <c r="L41" i="21"/>
  <c r="AJ40" i="21"/>
  <c r="AI40" i="21"/>
  <c r="AH40" i="21"/>
  <c r="Y40" i="21"/>
  <c r="X40" i="21"/>
  <c r="W40" i="21"/>
  <c r="N40" i="21"/>
  <c r="M40" i="21"/>
  <c r="L40" i="21"/>
  <c r="AJ39" i="21"/>
  <c r="AI39" i="21"/>
  <c r="AH39" i="21"/>
  <c r="Y39" i="21"/>
  <c r="X39" i="21"/>
  <c r="W39" i="21"/>
  <c r="N39" i="21"/>
  <c r="M39" i="21"/>
  <c r="L39" i="21"/>
  <c r="AJ38" i="21"/>
  <c r="AI38" i="21"/>
  <c r="AH38" i="21"/>
  <c r="Y38" i="21"/>
  <c r="X38" i="21"/>
  <c r="W38" i="21"/>
  <c r="N38" i="21"/>
  <c r="M38" i="21"/>
  <c r="L38" i="21"/>
  <c r="AJ37" i="21"/>
  <c r="AI37" i="21"/>
  <c r="AH37" i="21"/>
  <c r="Y37" i="21"/>
  <c r="X37" i="21"/>
  <c r="W37" i="21"/>
  <c r="N37" i="21"/>
  <c r="M37" i="21"/>
  <c r="L37" i="21"/>
  <c r="AJ36" i="21"/>
  <c r="AI36" i="21"/>
  <c r="AH36" i="21"/>
  <c r="Y36" i="21"/>
  <c r="X36" i="21"/>
  <c r="W36" i="21"/>
  <c r="N36" i="21"/>
  <c r="M36" i="21"/>
  <c r="L36" i="21"/>
  <c r="AJ35" i="21"/>
  <c r="AI35" i="21"/>
  <c r="AH35" i="21"/>
  <c r="Y35" i="21"/>
  <c r="X35" i="21"/>
  <c r="W35" i="21"/>
  <c r="N35" i="21"/>
  <c r="M35" i="21"/>
  <c r="L35" i="21"/>
  <c r="AJ34" i="21"/>
  <c r="AI34" i="21"/>
  <c r="AH34" i="21"/>
  <c r="Y34" i="21"/>
  <c r="X34" i="21"/>
  <c r="W34" i="21"/>
  <c r="N34" i="21"/>
  <c r="M34" i="21"/>
  <c r="L34" i="21"/>
  <c r="AJ33" i="21"/>
  <c r="AI33" i="21"/>
  <c r="AH33" i="21"/>
  <c r="Y33" i="21"/>
  <c r="X33" i="21"/>
  <c r="W33" i="21"/>
  <c r="N33" i="21"/>
  <c r="M33" i="21"/>
  <c r="L33" i="21"/>
  <c r="AJ32" i="21"/>
  <c r="AI32" i="21"/>
  <c r="AH32" i="21"/>
  <c r="Y32" i="21"/>
  <c r="X32" i="21"/>
  <c r="W32" i="21"/>
  <c r="N32" i="21"/>
  <c r="M32" i="21"/>
  <c r="L32" i="21"/>
  <c r="AJ31" i="21"/>
  <c r="AI31" i="21"/>
  <c r="AH31" i="21"/>
  <c r="Y31" i="21"/>
  <c r="X31" i="21"/>
  <c r="W31" i="21"/>
  <c r="N31" i="21"/>
  <c r="M31" i="21"/>
  <c r="L31" i="21"/>
  <c r="AJ30" i="21"/>
  <c r="AI30" i="21"/>
  <c r="AH30" i="21"/>
  <c r="Y30" i="21"/>
  <c r="X30" i="21"/>
  <c r="W30" i="21"/>
  <c r="N30" i="21"/>
  <c r="M30" i="21"/>
  <c r="L30" i="21"/>
  <c r="AJ29" i="21"/>
  <c r="AI29" i="21"/>
  <c r="AH29" i="21"/>
  <c r="Y29" i="21"/>
  <c r="X29" i="21"/>
  <c r="W29" i="21"/>
  <c r="N29" i="21"/>
  <c r="M29" i="21"/>
  <c r="L29" i="21"/>
  <c r="AJ28" i="21"/>
  <c r="AI28" i="21"/>
  <c r="AH28" i="21"/>
  <c r="Y28" i="21"/>
  <c r="X28" i="21"/>
  <c r="W28" i="21"/>
  <c r="N28" i="21"/>
  <c r="M28" i="21"/>
  <c r="L28" i="21"/>
  <c r="AJ27" i="21"/>
  <c r="AI27" i="21"/>
  <c r="AH27" i="21"/>
  <c r="Y27" i="21"/>
  <c r="X27" i="21"/>
  <c r="W27" i="21"/>
  <c r="N27" i="21"/>
  <c r="M27" i="21"/>
  <c r="L27" i="21"/>
  <c r="AJ26" i="21"/>
  <c r="AI26" i="21"/>
  <c r="AH26" i="21"/>
  <c r="Y26" i="21"/>
  <c r="X26" i="21"/>
  <c r="W26" i="21"/>
  <c r="L26" i="21"/>
  <c r="M26" i="21" s="1"/>
  <c r="N26" i="21" s="1"/>
  <c r="AJ25" i="21"/>
  <c r="AI25" i="21"/>
  <c r="AH25" i="21"/>
  <c r="Y25" i="21"/>
  <c r="X25" i="21"/>
  <c r="W25" i="21"/>
  <c r="M25" i="21"/>
  <c r="N25" i="21" s="1"/>
  <c r="L25" i="21"/>
  <c r="AJ24" i="21"/>
  <c r="AI24" i="21"/>
  <c r="AH24" i="21"/>
  <c r="Y24" i="21"/>
  <c r="X24" i="21"/>
  <c r="W24" i="21"/>
  <c r="L24" i="21"/>
  <c r="M24" i="21" s="1"/>
  <c r="N24" i="21" s="1"/>
  <c r="AJ23" i="21"/>
  <c r="AI23" i="21"/>
  <c r="AH23" i="21"/>
  <c r="Y23" i="21"/>
  <c r="X23" i="21"/>
  <c r="W23" i="21"/>
  <c r="L23" i="21"/>
  <c r="M23" i="21" s="1"/>
  <c r="N23" i="21" s="1"/>
  <c r="AJ22" i="21"/>
  <c r="AI22" i="21"/>
  <c r="AH22" i="21"/>
  <c r="Y22" i="21"/>
  <c r="X22" i="21"/>
  <c r="W22" i="21"/>
  <c r="L22" i="21"/>
  <c r="M22" i="21" s="1"/>
  <c r="N22" i="21" s="1"/>
  <c r="AJ21" i="21"/>
  <c r="AI21" i="21"/>
  <c r="AH21" i="21"/>
  <c r="Y21" i="21"/>
  <c r="X21" i="21"/>
  <c r="W21" i="21"/>
  <c r="L21" i="21"/>
  <c r="M21" i="21" s="1"/>
  <c r="N21" i="21" s="1"/>
  <c r="AJ20" i="21"/>
  <c r="AI20" i="21"/>
  <c r="AH20" i="21"/>
  <c r="Y20" i="21"/>
  <c r="X20" i="21"/>
  <c r="W20" i="21"/>
  <c r="L20" i="21"/>
  <c r="M20" i="21" s="1"/>
  <c r="N20" i="21" s="1"/>
  <c r="AJ19" i="21"/>
  <c r="AI19" i="21"/>
  <c r="AH19" i="21"/>
  <c r="Y19" i="21"/>
  <c r="X19" i="21"/>
  <c r="W19" i="21"/>
  <c r="L19" i="21"/>
  <c r="M19" i="21" s="1"/>
  <c r="N19" i="21" s="1"/>
  <c r="AJ18" i="21"/>
  <c r="AI18" i="21"/>
  <c r="AH18" i="21"/>
  <c r="Y18" i="21"/>
  <c r="X18" i="21"/>
  <c r="W18" i="21"/>
  <c r="L18" i="21"/>
  <c r="M18" i="21" s="1"/>
  <c r="N18" i="21" s="1"/>
  <c r="AJ17" i="21"/>
  <c r="AI17" i="21"/>
  <c r="AH17" i="21"/>
  <c r="Y17" i="21"/>
  <c r="X17" i="21"/>
  <c r="W17" i="21"/>
  <c r="L17" i="21"/>
  <c r="M17" i="21" s="1"/>
  <c r="N17" i="21" s="1"/>
  <c r="AJ16" i="21"/>
  <c r="AI16" i="21"/>
  <c r="AH16" i="21"/>
  <c r="Y16" i="21"/>
  <c r="X16" i="21"/>
  <c r="W16" i="21"/>
  <c r="L16" i="21"/>
  <c r="M16" i="21" s="1"/>
  <c r="N16" i="21" s="1"/>
  <c r="AJ15" i="21"/>
  <c r="AI15" i="21"/>
  <c r="AH15" i="21"/>
  <c r="Y15" i="21"/>
  <c r="X15" i="21"/>
  <c r="W15" i="21"/>
  <c r="L15" i="21"/>
  <c r="M15" i="21" s="1"/>
  <c r="N15" i="21" s="1"/>
  <c r="AJ14" i="21"/>
  <c r="AI14" i="21"/>
  <c r="AH14" i="21"/>
  <c r="Y14" i="21"/>
  <c r="X14" i="21"/>
  <c r="W14" i="21"/>
  <c r="L14" i="21"/>
  <c r="M14" i="21" s="1"/>
  <c r="N14" i="21" s="1"/>
  <c r="AJ13" i="21"/>
  <c r="AI13" i="21"/>
  <c r="AH13" i="21"/>
  <c r="Y13" i="21"/>
  <c r="X13" i="21"/>
  <c r="W13" i="21"/>
  <c r="L13" i="21"/>
  <c r="M13" i="21" s="1"/>
  <c r="N13" i="21" s="1"/>
  <c r="AJ12" i="21"/>
  <c r="AI12" i="21"/>
  <c r="AH12" i="21"/>
  <c r="Y12" i="21"/>
  <c r="X12" i="21"/>
  <c r="W12" i="21"/>
  <c r="M12" i="21"/>
  <c r="N12" i="21" s="1"/>
  <c r="L12" i="21"/>
  <c r="AJ11" i="21"/>
  <c r="AI11" i="21"/>
  <c r="AH11" i="21"/>
  <c r="Y11" i="21"/>
  <c r="X11" i="21"/>
  <c r="W11" i="21"/>
  <c r="L11" i="21"/>
  <c r="M11" i="21" s="1"/>
  <c r="N11" i="21" s="1"/>
  <c r="AJ10" i="21"/>
  <c r="AI10" i="21"/>
  <c r="AH10" i="21"/>
  <c r="Y10" i="21"/>
  <c r="X10" i="21"/>
  <c r="W10" i="21"/>
  <c r="L10" i="21"/>
  <c r="M10" i="21" s="1"/>
  <c r="N10" i="21" s="1"/>
  <c r="AJ9" i="21"/>
  <c r="AI9" i="21"/>
  <c r="AH9" i="21"/>
  <c r="Y9" i="21"/>
  <c r="X9" i="21"/>
  <c r="W9" i="21"/>
  <c r="M9" i="21"/>
  <c r="N9" i="21" s="1"/>
  <c r="L9" i="21"/>
  <c r="AJ8" i="21"/>
  <c r="AI8" i="21"/>
  <c r="AH8" i="21"/>
  <c r="Y8" i="21"/>
  <c r="X8" i="21"/>
  <c r="W8" i="21"/>
  <c r="L8" i="21"/>
  <c r="M8" i="21" s="1"/>
  <c r="N8" i="21" s="1"/>
  <c r="AJ7" i="21"/>
  <c r="AI7" i="21"/>
  <c r="AH7" i="21"/>
  <c r="Y7" i="21"/>
  <c r="X7" i="21"/>
  <c r="W7" i="21"/>
  <c r="L7" i="21"/>
  <c r="M7" i="21" s="1"/>
  <c r="N7" i="21" s="1"/>
  <c r="AJ6" i="21"/>
  <c r="AI6" i="21"/>
  <c r="AH6" i="21"/>
  <c r="Y6" i="21"/>
  <c r="X6" i="21"/>
  <c r="W6" i="21"/>
  <c r="L6" i="21"/>
  <c r="M6" i="21" s="1"/>
  <c r="N6" i="21" s="1"/>
  <c r="AJ5" i="21"/>
  <c r="AI5" i="21"/>
  <c r="AH5" i="21"/>
  <c r="W5" i="21"/>
  <c r="X5" i="21" s="1"/>
  <c r="Y5" i="21" s="1"/>
  <c r="L5" i="21"/>
  <c r="M5" i="21" s="1"/>
  <c r="N5" i="21" s="1"/>
  <c r="AH4" i="21"/>
  <c r="AI4" i="21" s="1"/>
  <c r="AJ4" i="21" s="1"/>
  <c r="W4" i="21"/>
  <c r="X4" i="21" s="1"/>
  <c r="Y4" i="21" s="1"/>
  <c r="L4" i="21"/>
  <c r="M4" i="21" s="1"/>
  <c r="N4" i="21" s="1"/>
  <c r="AH3" i="21"/>
  <c r="AI3" i="21" s="1"/>
  <c r="AJ3" i="21" s="1"/>
  <c r="W3" i="21"/>
  <c r="X3" i="21" s="1"/>
  <c r="Y3" i="21" s="1"/>
  <c r="L3" i="21"/>
  <c r="M3" i="21" s="1"/>
  <c r="N3" i="21" s="1"/>
  <c r="AA1" i="21" a="1"/>
  <c r="AA1" i="21" s="1"/>
  <c r="P1" i="21" a="1"/>
  <c r="P1" i="21" s="1"/>
  <c r="E1" i="21" a="1"/>
  <c r="E1" i="21" s="1"/>
  <c r="A1" i="21" a="1"/>
  <c r="A1" i="21" s="1"/>
  <c r="C3" i="12"/>
  <c r="C5" i="12"/>
  <c r="AJ1" i="21" l="1"/>
  <c r="Y1" i="21"/>
  <c r="F5" i="12"/>
  <c r="G5" i="12" s="1"/>
  <c r="T3" i="12" a="1"/>
  <c r="N1" i="21"/>
  <c r="C4" i="12"/>
  <c r="F4" i="12" l="1"/>
  <c r="G4" i="12" s="1"/>
  <c r="T3" i="12"/>
  <c r="AA1" i="12"/>
  <c r="E1" i="12" a="1"/>
  <c r="E1" i="12" s="1"/>
  <c r="D1" i="12" a="1"/>
  <c r="D1" i="12" s="1"/>
  <c r="C1" i="12" a="1"/>
  <c r="C1" i="12" s="1"/>
  <c r="F3" i="12"/>
  <c r="F1" i="12" l="1" a="1"/>
  <c r="F1" i="12" s="1"/>
  <c r="Q52" i="12"/>
  <c r="R52" i="12" s="1"/>
  <c r="Q17" i="12"/>
  <c r="R17" i="12" s="1"/>
  <c r="Q13" i="12"/>
  <c r="R13" i="12" s="1"/>
  <c r="Q34" i="12"/>
  <c r="R34" i="12" s="1"/>
  <c r="Q43" i="12"/>
  <c r="R43" i="12" s="1"/>
  <c r="Q32" i="12"/>
  <c r="R32" i="12" s="1"/>
  <c r="Q57" i="12"/>
  <c r="R57" i="12" s="1"/>
  <c r="Q61" i="12"/>
  <c r="R61" i="12" s="1"/>
  <c r="Q35" i="12"/>
  <c r="R35" i="12" s="1"/>
  <c r="Q22" i="12"/>
  <c r="R22" i="12" s="1"/>
  <c r="Q59" i="12"/>
  <c r="R59" i="12" s="1"/>
  <c r="Q55" i="12"/>
  <c r="R55" i="12" s="1"/>
  <c r="Q37" i="12"/>
  <c r="R37" i="12" s="1"/>
  <c r="Q42" i="12"/>
  <c r="R42" i="12" s="1"/>
  <c r="Q30" i="12"/>
  <c r="R30" i="12" s="1"/>
  <c r="Q24" i="12"/>
  <c r="R24" i="12" s="1"/>
  <c r="Q54" i="12"/>
  <c r="R54" i="12" s="1"/>
  <c r="Q47" i="12"/>
  <c r="R47" i="12" s="1"/>
  <c r="Q26" i="12"/>
  <c r="R26" i="12" s="1"/>
  <c r="Q5" i="12"/>
  <c r="R5" i="12" s="1"/>
  <c r="Q39" i="12"/>
  <c r="R39" i="12" s="1"/>
  <c r="Q50" i="12"/>
  <c r="R50" i="12" s="1"/>
  <c r="Q48" i="12"/>
  <c r="R48" i="12" s="1"/>
  <c r="Q56" i="12"/>
  <c r="R56" i="12" s="1"/>
  <c r="Q23" i="12"/>
  <c r="R23" i="12" s="1"/>
  <c r="Q33" i="12"/>
  <c r="R33" i="12" s="1"/>
  <c r="Q12" i="12"/>
  <c r="R12" i="12" s="1"/>
  <c r="Q20" i="12"/>
  <c r="R20" i="12" s="1"/>
  <c r="Q6" i="12"/>
  <c r="R6" i="12" s="1"/>
  <c r="Q36" i="12"/>
  <c r="R36" i="12" s="1"/>
  <c r="Q46" i="12"/>
  <c r="R46" i="12" s="1"/>
  <c r="Q44" i="12"/>
  <c r="R44" i="12" s="1"/>
  <c r="Q53" i="12"/>
  <c r="R53" i="12" s="1"/>
  <c r="Q7" i="12"/>
  <c r="R7" i="12" s="1"/>
  <c r="Q21" i="12"/>
  <c r="R21" i="12" s="1"/>
  <c r="Q18" i="12"/>
  <c r="R18" i="12" s="1"/>
  <c r="Q15" i="12"/>
  <c r="R15" i="12" s="1"/>
  <c r="Q31" i="12"/>
  <c r="R31" i="12" s="1"/>
  <c r="Q4" i="12"/>
  <c r="R4" i="12" s="1"/>
  <c r="Q60" i="12"/>
  <c r="R60" i="12" s="1"/>
  <c r="Q49" i="12"/>
  <c r="R49" i="12" s="1"/>
  <c r="Q62" i="12"/>
  <c r="R62" i="12" s="1"/>
  <c r="Q27" i="12"/>
  <c r="R27" i="12" s="1"/>
  <c r="Q10" i="12"/>
  <c r="R10" i="12" s="1"/>
  <c r="Q28" i="12"/>
  <c r="R28" i="12" s="1"/>
  <c r="Q41" i="12"/>
  <c r="R41" i="12" s="1"/>
  <c r="Q29" i="12"/>
  <c r="R29" i="12" s="1"/>
  <c r="Q25" i="12"/>
  <c r="R25" i="12" s="1"/>
  <c r="Q38" i="12"/>
  <c r="R38" i="12" s="1"/>
  <c r="Q51" i="12"/>
  <c r="R51" i="12" s="1"/>
  <c r="Q40" i="12"/>
  <c r="R40" i="12" s="1"/>
  <c r="Q11" i="12"/>
  <c r="R11" i="12" s="1"/>
  <c r="Q8" i="12"/>
  <c r="R8" i="12" s="1"/>
  <c r="Q45" i="12"/>
  <c r="R45" i="12" s="1"/>
  <c r="Q16" i="12"/>
  <c r="R16" i="12" s="1"/>
  <c r="Q58" i="12"/>
  <c r="R58" i="12" s="1"/>
  <c r="Q9" i="12"/>
  <c r="R9" i="12" s="1"/>
  <c r="Q14" i="12"/>
  <c r="R14" i="12" s="1"/>
  <c r="Q19" i="12"/>
  <c r="R19" i="12" s="1"/>
  <c r="G3" i="12"/>
  <c r="G1" i="12" s="1" a="1"/>
  <c r="G1" i="12" s="1"/>
  <c r="Q3" i="12" l="1"/>
  <c r="R3" i="12" s="1"/>
  <c r="R1" i="12" s="1"/>
  <c r="B3" i="25" a="1"/>
  <c r="N25" i="25" l="1"/>
  <c r="N42" i="25"/>
  <c r="N43" i="25"/>
  <c r="N19" i="25"/>
  <c r="N30" i="25"/>
  <c r="N24" i="25"/>
  <c r="N51" i="25"/>
  <c r="N23" i="25"/>
  <c r="N4" i="25"/>
  <c r="N37" i="25"/>
  <c r="N6" i="25"/>
  <c r="N38" i="25"/>
  <c r="N36" i="25"/>
  <c r="N17" i="25"/>
  <c r="N49" i="25"/>
  <c r="N11" i="25"/>
  <c r="N5" i="25"/>
  <c r="N32" i="25"/>
  <c r="N13" i="25"/>
  <c r="N45" i="25"/>
  <c r="N26" i="25"/>
  <c r="N7" i="25"/>
  <c r="N39" i="25"/>
  <c r="N20" i="25"/>
  <c r="N33" i="25"/>
  <c r="N14" i="25"/>
  <c r="N18" i="25"/>
  <c r="N44" i="25"/>
  <c r="N46" i="25"/>
  <c r="N50" i="25"/>
  <c r="N27" i="25"/>
  <c r="N8" i="25"/>
  <c r="N31" i="25"/>
  <c r="N40" i="25"/>
  <c r="N12" i="25"/>
  <c r="N21" i="25"/>
  <c r="N34" i="25"/>
  <c r="B3" i="25"/>
  <c r="N15" i="25"/>
  <c r="N47" i="25"/>
  <c r="N28" i="25"/>
  <c r="N9" i="25"/>
  <c r="N41" i="25"/>
  <c r="N22" i="25"/>
  <c r="N35" i="25"/>
  <c r="N16" i="25"/>
  <c r="N48" i="25"/>
  <c r="N29" i="25"/>
  <c r="N10" i="25"/>
  <c r="L47" i="25" l="1"/>
  <c r="K29" i="25"/>
  <c r="L55" i="25"/>
  <c r="J4" i="25"/>
  <c r="K30" i="25"/>
  <c r="K36" i="25"/>
  <c r="J26" i="25"/>
  <c r="L21" i="25"/>
  <c r="K58" i="25"/>
  <c r="J58" i="25"/>
  <c r="K28" i="25"/>
  <c r="K38" i="25"/>
  <c r="K53" i="25"/>
  <c r="J44" i="25"/>
  <c r="L15" i="25"/>
  <c r="K16" i="25"/>
  <c r="K20" i="25"/>
  <c r="L30" i="25"/>
  <c r="L31" i="25"/>
  <c r="L44" i="25"/>
  <c r="L60" i="25"/>
  <c r="J22" i="25"/>
  <c r="K55" i="25"/>
  <c r="M55" i="25" s="1"/>
  <c r="K26" i="25"/>
  <c r="K56" i="25"/>
  <c r="L58" i="25"/>
  <c r="K25" i="25"/>
  <c r="K11" i="25"/>
  <c r="K41" i="25"/>
  <c r="J48" i="25"/>
  <c r="L32" i="25"/>
  <c r="L36" i="25"/>
  <c r="K43" i="25"/>
  <c r="M43" i="25" s="1"/>
  <c r="J19" i="25"/>
  <c r="K18" i="25"/>
  <c r="K19" i="25"/>
  <c r="J23" i="25"/>
  <c r="L41" i="25"/>
  <c r="K24" i="25"/>
  <c r="K33" i="25"/>
  <c r="L54" i="25"/>
  <c r="L40" i="25"/>
  <c r="J40" i="25"/>
  <c r="J51" i="25"/>
  <c r="J33" i="25"/>
  <c r="J34" i="25"/>
  <c r="L43" i="25"/>
  <c r="J56" i="25"/>
  <c r="L16" i="25"/>
  <c r="L45" i="25"/>
  <c r="K45" i="25"/>
  <c r="J54" i="25"/>
  <c r="L59" i="25"/>
  <c r="L29" i="25"/>
  <c r="M29" i="25" s="1"/>
  <c r="L49" i="25"/>
  <c r="K59" i="25"/>
  <c r="M59" i="25" s="1"/>
  <c r="L7" i="25"/>
  <c r="K23" i="25"/>
  <c r="J38" i="25"/>
  <c r="L23" i="25"/>
  <c r="J46" i="25"/>
  <c r="L12" i="25"/>
  <c r="J57" i="25"/>
  <c r="K6" i="25"/>
  <c r="K60" i="25"/>
  <c r="M60" i="25" s="1"/>
  <c r="K12" i="25"/>
  <c r="M12" i="25" s="1"/>
  <c r="K51" i="25"/>
  <c r="L56" i="25"/>
  <c r="J17" i="25"/>
  <c r="J15" i="25"/>
  <c r="J47" i="25"/>
  <c r="L13" i="25"/>
  <c r="K31" i="25"/>
  <c r="M31" i="25" s="1"/>
  <c r="J24" i="25"/>
  <c r="K39" i="25"/>
  <c r="J14" i="25"/>
  <c r="L33" i="25"/>
  <c r="L52" i="25"/>
  <c r="J32" i="25"/>
  <c r="K15" i="25"/>
  <c r="M15" i="25" s="1"/>
  <c r="J31" i="25"/>
  <c r="J60" i="25"/>
  <c r="K40" i="25"/>
  <c r="M40" i="25" s="1"/>
  <c r="J53" i="25"/>
  <c r="J28" i="25"/>
  <c r="L37" i="25"/>
  <c r="K10" i="25"/>
  <c r="M10" i="25" s="1"/>
  <c r="L19" i="25"/>
  <c r="J10" i="25"/>
  <c r="L28" i="25"/>
  <c r="J30" i="25"/>
  <c r="J12" i="25"/>
  <c r="L34" i="25"/>
  <c r="K5" i="25"/>
  <c r="M5" i="25" s="1"/>
  <c r="L51" i="25"/>
  <c r="L35" i="25"/>
  <c r="K49" i="25"/>
  <c r="M49" i="25" s="1"/>
  <c r="L5" i="25"/>
  <c r="J37" i="25"/>
  <c r="K13" i="25"/>
  <c r="K22" i="25"/>
  <c r="M22" i="25" s="1"/>
  <c r="L26" i="25"/>
  <c r="J25" i="25"/>
  <c r="J29" i="25"/>
  <c r="L11" i="25"/>
  <c r="J21" i="25"/>
  <c r="L57" i="25"/>
  <c r="L25" i="25"/>
  <c r="L24" i="25"/>
  <c r="L10" i="25"/>
  <c r="L6" i="25"/>
  <c r="J59" i="25"/>
  <c r="K4" i="25"/>
  <c r="L22" i="25"/>
  <c r="J36" i="25"/>
  <c r="K50" i="25"/>
  <c r="L8" i="25"/>
  <c r="J13" i="25"/>
  <c r="J39" i="25"/>
  <c r="J43" i="25"/>
  <c r="K17" i="25"/>
  <c r="K46" i="25"/>
  <c r="J8" i="25"/>
  <c r="L46" i="25"/>
  <c r="J7" i="25"/>
  <c r="L53" i="25"/>
  <c r="L20" i="25"/>
  <c r="J55" i="25"/>
  <c r="J5" i="25"/>
  <c r="L3" i="25"/>
  <c r="K3" i="25"/>
  <c r="M3" i="25" s="1"/>
  <c r="J3" i="25"/>
  <c r="A3" i="25" a="1"/>
  <c r="A3" i="25" s="1"/>
  <c r="J16" i="25"/>
  <c r="L14" i="25"/>
  <c r="J18" i="25"/>
  <c r="L38" i="25"/>
  <c r="J9" i="25"/>
  <c r="K37" i="25"/>
  <c r="M37" i="25" s="1"/>
  <c r="L42" i="25"/>
  <c r="K47" i="25"/>
  <c r="M47" i="25" s="1"/>
  <c r="J35" i="25"/>
  <c r="K8" i="25"/>
  <c r="M8" i="25" s="1"/>
  <c r="J41" i="25"/>
  <c r="L39" i="25"/>
  <c r="K34" i="25"/>
  <c r="M34" i="25" s="1"/>
  <c r="L18" i="25"/>
  <c r="L4" i="25"/>
  <c r="J20" i="25"/>
  <c r="K27" i="25"/>
  <c r="J52" i="25"/>
  <c r="K52" i="25"/>
  <c r="M52" i="25" s="1"/>
  <c r="J45" i="25"/>
  <c r="K32" i="25"/>
  <c r="M32" i="25" s="1"/>
  <c r="K44" i="25"/>
  <c r="M44" i="25" s="1"/>
  <c r="J6" i="25"/>
  <c r="L9" i="25"/>
  <c r="J11" i="25"/>
  <c r="K54" i="25"/>
  <c r="M54" i="25" s="1"/>
  <c r="L48" i="25"/>
  <c r="J50" i="25"/>
  <c r="K9" i="25"/>
  <c r="K14" i="25"/>
  <c r="M14" i="25" s="1"/>
  <c r="K42" i="25"/>
  <c r="M42" i="25" s="1"/>
  <c r="J49" i="25"/>
  <c r="L17" i="25"/>
  <c r="K57" i="25"/>
  <c r="M57" i="25" s="1"/>
  <c r="J27" i="25"/>
  <c r="K48" i="25"/>
  <c r="J42" i="25"/>
  <c r="K7" i="25"/>
  <c r="M7" i="25" s="1"/>
  <c r="K21" i="25"/>
  <c r="M21" i="25" s="1"/>
  <c r="L27" i="25"/>
  <c r="L50" i="25"/>
  <c r="K35" i="25"/>
  <c r="M35" i="25" l="1"/>
  <c r="M50" i="25"/>
  <c r="M48" i="25"/>
  <c r="M58" i="25"/>
  <c r="M51" i="25"/>
  <c r="M25" i="25"/>
  <c r="M56" i="25"/>
  <c r="M27" i="25"/>
  <c r="M24" i="25"/>
  <c r="M36" i="25"/>
  <c r="M18" i="25"/>
  <c r="M9" i="25"/>
  <c r="M6" i="25"/>
  <c r="M41" i="25"/>
  <c r="M11" i="25"/>
  <c r="M46" i="25"/>
  <c r="M23" i="25"/>
  <c r="M17" i="25"/>
  <c r="M26" i="25"/>
  <c r="M45" i="25"/>
  <c r="M4" i="25"/>
  <c r="M20" i="25"/>
  <c r="M16" i="25"/>
  <c r="M53" i="25"/>
  <c r="M38" i="25"/>
  <c r="M39" i="25"/>
  <c r="M28" i="25"/>
  <c r="M33" i="25"/>
  <c r="M30" i="25"/>
  <c r="M13" i="25"/>
  <c r="M1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<sst xmlns="http://schemas.openxmlformats.org/spreadsheetml/2006/main" count="812" uniqueCount="526">
  <si>
    <t>Spec</t>
  </si>
  <si>
    <t>UOM</t>
  </si>
  <si>
    <t>Final Qty</t>
  </si>
  <si>
    <t>Description</t>
  </si>
  <si>
    <t>Price/Unit (RM)</t>
  </si>
  <si>
    <t>Wastage/Buffer</t>
  </si>
  <si>
    <t>Note</t>
  </si>
  <si>
    <t>Sheet</t>
  </si>
  <si>
    <t>Tile 300mm x 600mm</t>
  </si>
  <si>
    <t>PCS</t>
  </si>
  <si>
    <t>BAG</t>
  </si>
  <si>
    <t>SET</t>
  </si>
  <si>
    <t>RORO Bin - 2ft (Per Trip)</t>
  </si>
  <si>
    <t>TRIP</t>
  </si>
  <si>
    <t>Usage Qty</t>
  </si>
  <si>
    <t>Usage+Waste Qty (FORMULA)</t>
  </si>
  <si>
    <t>Full Qty (FORMULA)</t>
  </si>
  <si>
    <t>Total (RM) (FORMULA)</t>
  </si>
  <si>
    <t>Description (Exact name from Labour.txt)</t>
  </si>
  <si>
    <t>Rate (RM)</t>
  </si>
  <si>
    <t>Include</t>
  </si>
  <si>
    <t>Materials RM</t>
  </si>
  <si>
    <t>Labour RM</t>
  </si>
  <si>
    <t>Service RM</t>
  </si>
  <si>
    <t>Total RM</t>
  </si>
  <si>
    <t>Override Qty</t>
  </si>
  <si>
    <t>SUMMARY PARAMS (editable)</t>
  </si>
  <si>
    <t>Scope Total RM (Standalone)</t>
  </si>
  <si>
    <t>Scope Total RM (Selected)</t>
  </si>
  <si>
    <t>Sum Usage Qty</t>
  </si>
  <si>
    <t>Sum Usage+Waste Qty</t>
  </si>
  <si>
    <t>CONSOLIDATED LINES (selected scopes)</t>
  </si>
  <si>
    <t>Category</t>
  </si>
  <si>
    <t>Description (Exact name)</t>
  </si>
  <si>
    <t>TIN</t>
  </si>
  <si>
    <t>Labour - Tukang (Skilled) (Per MH)</t>
  </si>
  <si>
    <t>MH</t>
  </si>
  <si>
    <t>Labour - Helper (Per MH)</t>
  </si>
  <si>
    <t>S02-TITLE</t>
  </si>
  <si>
    <t>S03-TITLE</t>
  </si>
  <si>
    <t>KG</t>
  </si>
  <si>
    <t>BOX</t>
  </si>
  <si>
    <t>UNIT</t>
  </si>
  <si>
    <t>Scaffolding Bay Set (Used) 1.7m(H) x 0.9m(W) incl 1 Platform (Per Month). Deposit RM195/set refundable.</t>
  </si>
  <si>
    <t>Scaffolding Jack + U-Head Set (Used) 600mm (2 Jack Base + 2 U-Head) (Per Month). Deposit RM40/set refundable.</t>
  </si>
  <si>
    <t>#</t>
  </si>
  <si>
    <t>Base UOM</t>
  </si>
  <si>
    <t>Base Rate</t>
  </si>
  <si>
    <t>Auto Qty (Usage+Waste)</t>
  </si>
  <si>
    <t>Key</t>
  </si>
  <si>
    <t>Final UOM</t>
  </si>
  <si>
    <t>Final Rate</t>
  </si>
  <si>
    <t>LABOUR|Labour - Tukang (Skilled) (Per MH)|MH</t>
  </si>
  <si>
    <t>LABOUR|Labour - Helper (Per MH)|MH</t>
  </si>
  <si>
    <t>MATERIAL|SIKA Waterproof Compound Top Seal 107 (A+B) 25.00kg|SET</t>
  </si>
  <si>
    <t>Purchase UOM</t>
  </si>
  <si>
    <t>Pack Size</t>
  </si>
  <si>
    <t>Override Rate</t>
  </si>
  <si>
    <t>Active (1/0)</t>
  </si>
  <si>
    <t>SUMMARY LIST</t>
  </si>
  <si>
    <t>Rate</t>
  </si>
  <si>
    <t>Auto Qty</t>
  </si>
  <si>
    <t>Active</t>
  </si>
  <si>
    <t>No</t>
  </si>
  <si>
    <t>Status</t>
  </si>
  <si>
    <t>Source Row</t>
  </si>
  <si>
    <t>Search</t>
  </si>
  <si>
    <t>Purchase Row</t>
  </si>
  <si>
    <t>Seq</t>
  </si>
  <si>
    <t>## BOQ Calculation Rules (Must Follow)</t>
  </si>
  <si>
    <t>- Full rules: docs/1.1ARAHAN.md</t>
  </si>
  <si>
    <t>- Price references (mandatory):</t>
  </si>
  <si>
    <t xml:space="preserve">  - data/1.2 Materials</t>
  </si>
  <si>
    <t xml:space="preserve">  - data/1.3 Labour</t>
  </si>
  <si>
    <t>- Output must be Markdown tables (inline in chat), not HTML.</t>
  </si>
  <si>
    <t>- For area-based scopes: must show both RM/sqft and RM/sqm.</t>
  </si>
  <si>
    <t>- If an item is missing from Materials/Labour: stop and ask before calculating.</t>
  </si>
  <si>
    <t># README - BOQ.xlsx Workflow (S01-S100 + SUMMARY)</t>
  </si>
  <si>
    <t>**Version:** V4 (Consolidated, No Duplication)</t>
  </si>
  <si>
    <t>**Last update:** 2026-02-15</t>
  </si>
  <si>
    <t>## 0) Tujuan Dokumen</t>
  </si>
  <si>
    <t>Dokumen ini ialah rujukan tunggal untuk aliran kerja BOQ.xlsx, format output ChatGPT, polisi formula, piawaian nota, dan kaedah produktiviti buruh.</t>
  </si>
  <si>
    <t>Ia menggantikan versi berasingan sebelum ini (README + Tracker Handover) supaya **tiada percanggahan** dan **tiada maklumat penting tercicir**.</t>
  </si>
  <si>
    <t>---</t>
  </si>
  <si>
    <t>## 1) Sumber Autoritatif (WAJIB)</t>
  </si>
  <si>
    <t>Ikut susunan keutamaan berikut:</t>
  </si>
  <si>
    <t>1. README ini (workflow, layout, rules)</t>
  </si>
  <si>
    <t>2. `1.2 Materials.txt` (nama item material, UOM, harga jika ada)</t>
  </si>
  <si>
    <t>3. `1.3 Labour.txt` (nama item labour/service/rental, UOM, kadar jika ada)</t>
  </si>
  <si>
    <t>### Hard Rules</t>
  </si>
  <si>
    <t>- `Description` mesti sama tepat dengan master list (huruf besar/kecil, jarak, ejaan).</t>
  </si>
  <si>
    <t>- `UOM` mesti padan dengan UOM dalam master list bagi `Description` tersebut.</t>
  </si>
  <si>
    <t>- Jika item tiada dalam master list:</t>
  </si>
  <si>
    <t xml:space="preserve">  - **Jangan cipta nama baru dalam BOQ.**</t>
  </si>
  <si>
    <t xml:space="preserve">  - Tambah item dahulu ke fail master berkaitan (`1.2 Materials.txt` / `1.3 Labour.txt`), kemudian baru guna.</t>
  </si>
  <si>
    <t>- Jika SPEC A:C sudah cukup, **jangan buat andaian tambahan**.</t>
  </si>
  <si>
    <t>## 2) Nama Sheet (STRICT)</t>
  </si>
  <si>
    <t>- Work sheets: `S01` hingga `S100` (format tepat)</t>
  </si>
  <si>
    <t>- Summary sheet: `SUMMARY` (jangan rename)</t>
  </si>
  <si>
    <t>## 3) Fasa Kerja (ChatGPT Mode)</t>
  </si>
  <si>
    <t>### Phase A: SPEC First (A:C sahaja)</t>
  </si>
  <si>
    <t>- Semak, bincang, dan finalkan SPEC dalam kolum A:C dahulu.</t>
  </si>
  <si>
    <t>- Jangan isi block kuantiti/cost sebelum SPEC final.</t>
  </si>
  <si>
    <t>- Semua default coverage/yield yang perlu mesti dipastikan di SPEC (atau guna default rasmi di Seksyen 8).</t>
  </si>
  <si>
    <t>### Phase B: Takeoff + Fill Blocks (Paste-ready TSV)</t>
  </si>
  <si>
    <t>- ChatGPT keluarkan **3 blok TSV**: Materials, Labour, Service.</t>
  </si>
  <si>
    <t>- Output mesti untuk **input columns sahaja** (7 kolum setiap blok).</t>
  </si>
  <si>
    <t>- **Jangan output formula columns.**</t>
  </si>
  <si>
    <t>### Phase C: Review + Summary</t>
  </si>
  <si>
    <t>- Semak konsistensi item antara scope.</t>
  </si>
  <si>
    <t>- Semak total, consolidation, dan include flag di `SUMMARY`.</t>
  </si>
  <si>
    <t>## 4) Peraturan Konsistensi Merentas Scope (KRITIKAL)</t>
  </si>
  <si>
    <t>Jika satu fungsi kerja guna item master tertentu di S01, maka S02..S100 mesti guna item master yang sama (nama tepat) untuk fungsi sama.</t>
  </si>
  <si>
    <t>Tujuan:</t>
  </si>
  <si>
    <t>- Consolidation dalam `SUMMARY` bergantung pada `Description` yang identik.</t>
  </si>
  <si>
    <t>Jika perlu tukar jenis/brand dengan sengaja:</t>
  </si>
  <si>
    <t>- Nyatakan sebab dalam SPEC (A:C) dan pada `Note`.</t>
  </si>
  <si>
    <t>- Kekalkan baris lama (update-only), set `Usage Qty = 0` jika obsolete.</t>
  </si>
  <si>
    <t>## 5) Layout Sheet SXX (Locked)</t>
  </si>
  <si>
    <t>### SPEC</t>
  </si>
  <si>
    <t>- `A:C` = SPEC (editable)</t>
  </si>
  <si>
    <t>- `D` = spacer (kosong)</t>
  </si>
  <si>
    <t>### Block 1: MATERIALS (`E:N`)</t>
  </si>
  <si>
    <t>Input columns:</t>
  </si>
  <si>
    <t>- `E` Note</t>
  </si>
  <si>
    <t>- `F` Spec</t>
  </si>
  <si>
    <t>- `G` Description (exact dari `1.2 Materials.txt`)</t>
  </si>
  <si>
    <t>- `H` UOM (dari `1.2 Materials.txt`)</t>
  </si>
  <si>
    <t>- `I` Usage Qty</t>
  </si>
  <si>
    <t>- `J` Wastage/Buffer (decimal, cth `0.10`)</t>
  </si>
  <si>
    <t>- `K` Price/Unit (RM)</t>
  </si>
  <si>
    <t>Formula columns (JANGAN paste):</t>
  </si>
  <si>
    <t>- `L` Usage+Waste Qty</t>
  </si>
  <si>
    <t>- `M` Full Qty (Standalone)</t>
  </si>
  <si>
    <t>- `N` Total (RM)</t>
  </si>
  <si>
    <t>`O` = spacer</t>
  </si>
  <si>
    <t>### Block 2: LABOUR (`P:Y`)</t>
  </si>
  <si>
    <t>- `P` Note</t>
  </si>
  <si>
    <t>- `Q` Spec</t>
  </si>
  <si>
    <t>- `R` Description (exact dari `1.3 Labour.txt`)</t>
  </si>
  <si>
    <t>- `S` UOM</t>
  </si>
  <si>
    <t>- `T` Usage Qty</t>
  </si>
  <si>
    <t>- `U` Wastage/Buffer</t>
  </si>
  <si>
    <t>- `V` Rate (RM)</t>
  </si>
  <si>
    <t>- `W` Usage+Waste Qty</t>
  </si>
  <si>
    <t>- `X` Full Qty (Standalone)</t>
  </si>
  <si>
    <t>- `Y` Total (RM)</t>
  </si>
  <si>
    <t>`Z` = spacer</t>
  </si>
  <si>
    <t>### Block 3: SERVICE/RENTAL (`AA:AJ`)</t>
  </si>
  <si>
    <t>- `AA` Note</t>
  </si>
  <si>
    <t>- `AB` Spec</t>
  </si>
  <si>
    <t>- `AC` Description (exact dari `1.3 Labour.txt` untuk service/rental)</t>
  </si>
  <si>
    <t>- `AD` UOM</t>
  </si>
  <si>
    <t>- `AE` Usage Qty</t>
  </si>
  <si>
    <t>- `AF` Wastage/Buffer</t>
  </si>
  <si>
    <t>- `AG` Rate (RM)</t>
  </si>
  <si>
    <t>- `AH` Usage+Waste Qty</t>
  </si>
  <si>
    <t>- `AI` Full Qty (Standalone)</t>
  </si>
  <si>
    <t>- `AJ` Total (RM)</t>
  </si>
  <si>
    <t>## 6) Peraturan Output ChatGPT (PALING PENTING)</t>
  </si>
  <si>
    <t>Output mestilah **TSV sahaja** untuk kolum input:</t>
  </si>
  <si>
    <t>1. Materials: paste ke `E:K` (7 kolum)</t>
  </si>
  <si>
    <t xml:space="preserve">   - `[Note, Spec, Description, UOM, Usage Qty, Wastage/Buffer, Price/Unit]`</t>
  </si>
  <si>
    <t>2. Labour: paste ke `P:V` (7 kolum)</t>
  </si>
  <si>
    <t xml:space="preserve">   - `[Note, Spec, Description, UOM, Usage Qty, Wastage/Buffer, Rate]`</t>
  </si>
  <si>
    <t>3. Service: paste ke `AA:AG` (7 kolum)</t>
  </si>
  <si>
    <t>### Format Output</t>
  </si>
  <si>
    <t>- Tab-delimited sahaja.</t>
  </si>
  <si>
    <t>- Tiada ulasan tambahan di luar blok TSV.</t>
  </si>
  <si>
    <t>- Tiada blank line dalam blok.</t>
  </si>
  <si>
    <t>- Sel numerik mesti nombor sahaja (tiada teks/unit campur).</t>
  </si>
  <si>
    <t>## 7) Polisi Formula (Current)</t>
  </si>
  <si>
    <t>### Polisi utama</t>
  </si>
  <si>
    <t>- **Jangan round-up per row** di sheet SXX.</t>
  </si>
  <si>
    <t>- Rounding/purchase-unit conversion/optimization dibuat kemudian di `SUMMARY` atau semakan manual.</t>
  </si>
  <si>
    <t>### Formula rujukan (contoh row 3)</t>
  </si>
  <si>
    <t>Materials:</t>
  </si>
  <si>
    <t>- `L3 = I3*(1+J3)`</t>
  </si>
  <si>
    <t>- `M3 = L3`</t>
  </si>
  <si>
    <t>- `N3 = IF(K3="","",M3*K3)`</t>
  </si>
  <si>
    <t>Labour:</t>
  </si>
  <si>
    <t>- `W3 = T3*(1+U3)`</t>
  </si>
  <si>
    <t>- `X3 = W3`</t>
  </si>
  <si>
    <t>- `Y3 = IF(V3="","",X3*V3)`</t>
  </si>
  <si>
    <t>Service:</t>
  </si>
  <si>
    <t>- `AH3 = AE3*(1+AF3)`</t>
  </si>
  <si>
    <t>- `AI3 = AH3`</t>
  </si>
  <si>
    <t>- `AJ3 = IF(AG3="","",AI3*AG3)`</t>
  </si>
  <si>
    <t>Fill formula ke bawah (cth row 3 hingga row 100). Jangan overwrite formula columns semasa paste.</t>
  </si>
  <si>
    <t>## 8) Default Kuantiti (Untuk Elak Usage Qty Kosong)</t>
  </si>
  <si>
    <t>Matlamat: selepas SPEC final, elakkan `Usage Qty` kosong untuk item normal takeoff.</t>
  </si>
  <si>
    <t>Peraturan:</t>
  </si>
  <si>
    <t>- Jika kiraan perlukan coverage/yield dan SPEC tidak beri nilai, guna default bawah dan tulis `DEFAULT USED:` pada `Note`.</t>
  </si>
  <si>
    <t>- Guna `INPUT NEEDED:` **hanya jika**:</t>
  </si>
  <si>
    <t xml:space="preserve">  1. Geometri/dimensi wajib tiada,</t>
  </si>
  <si>
    <t xml:space="preserve">  2. Item master list tiada,</t>
  </si>
  <si>
    <t xml:space="preserve">  3. Kiraan memang mustahil walaupun dengan default.</t>
  </si>
  <si>
    <t>Default library:</t>
  </si>
  <si>
    <t>- Tile adhesive coverage: **4 sqm per 25kg bag**</t>
  </si>
  <si>
    <t>- Tile grout coverage: **35 sqm per 20kg bag** (300x600, 3mm joint)</t>
  </si>
  <si>
    <t>- Waterproofing Top Seal 107 (2 coats): **8 sqm per set**</t>
  </si>
  <si>
    <t>- Screed/patch yield: **mesti dinyatakan dalam SPEC** (jika tiada, `INPUT NEEDED`)</t>
  </si>
  <si>
    <t>## 9) Notes Standard (Audit)</t>
  </si>
  <si>
    <t>Prefix yang dibenarkan dalam `Note`:</t>
  </si>
  <si>
    <t>- `CALC NOTE:`</t>
  </si>
  <si>
    <t>- `DEFAULT USED:`</t>
  </si>
  <si>
    <t>- `CONFLICT:`</t>
  </si>
  <si>
    <t>- `INPUT NEEDED:`</t>
  </si>
  <si>
    <t>- Jangan guna `INPUT NEEDED` jika data SPEC sebenarnya sudah cukup.</t>
  </si>
  <si>
    <t>- Jika item master list tiada, nyatakan item apa yang hilang dan fail mana perlu ditambah.</t>
  </si>
  <si>
    <t>## 10) Update-Only Rule (STRICT)</t>
  </si>
  <si>
    <t>- Jangan delete baris lama yang masih bernilai rujukan.</t>
  </si>
  <si>
    <t>- Jika obsolete: set `Usage Qty = 0` + jelaskan di `Note`.</t>
  </si>
  <si>
    <t>- Tambah baris baru di bawah baris sedia ada.</t>
  </si>
  <si>
    <t>## 11) Labour Productivity Rules (MANDATORY)</t>
  </si>
  <si>
    <t>Semua anggaran MH mesti **Moderate/Realistic**, bukan ideal 100%.</t>
  </si>
  <si>
    <t>### Langkah Kiraan</t>
  </si>
  <si>
    <t>1. Tentukan `IdealMH` (teori, 100% efficiency).</t>
  </si>
  <si>
    <t>2. Pilih `Eff` mengikut kompleksiti (satu nilai per baris/sekumpulan kerja):</t>
  </si>
  <si>
    <t xml:space="preserve">   - Light work: `Eff = 0.80`</t>
  </si>
  <si>
    <t xml:space="preserve">   - Medium work: `Eff = 0.65` (default)</t>
  </si>
  <si>
    <t xml:space="preserve">   - Heavy work: `Eff = 0.55`</t>
  </si>
  <si>
    <t>3. Efficiency adjust: `RealMH = IdealMH / Eff`</t>
  </si>
  <si>
    <t>4. Logistics &amp; handling: `RealMH = RealMH * 1.20`</t>
  </si>
  <si>
    <t>5. Sequence &amp; interruption: `RealMH = RealMH * 1.15`</t>
  </si>
  <si>
    <t>### Anti-double-counting (WAJIB)</t>
  </si>
  <si>
    <t>Jika kerja trade sama dipecah ke banyak micro-row untuk crew/day yang sama:</t>
  </si>
  <si>
    <t>- Jangan apply `x1.20` dan `x1.15` berulang pada setiap micro-row.</t>
  </si>
  <si>
    <t>- Apply overhead sekali pada subtotal level, kemudian agih semula jika perlu.</t>
  </si>
  <si>
    <t>- Kaedah mesti diterangkan dalam `CALC NOTE`.</t>
  </si>
  <si>
    <t>### Waiting time note</t>
  </si>
  <si>
    <t>Jika waiting boleh diisi dengan kerja produktif lain (parallel), faktor `1.15` boleh dikurangkan/skip untuk bahagian itu.</t>
  </si>
  <si>
    <t>Mesti jelaskan sebab dalam `CALC NOTE`.</t>
  </si>
  <si>
    <t>### Keperluan audit note setiap baris labour</t>
  </si>
  <si>
    <t>Contoh format:</t>
  </si>
  <si>
    <t>- `CALC NOTE: IdealMH=12.0, Eff=0.65, x1.20 logistics, x1.15 sequence =&gt; RealMH=25.5`</t>
  </si>
  <si>
    <t>### Polisi default labour</t>
  </si>
  <si>
    <t>Jika SPEC tiada basis produktiviti terperinci:</t>
  </si>
  <si>
    <t>- guna default moderate,</t>
  </si>
  <si>
    <t>- tandakan `DEFAULT USED:` (bukan `INPUT NEEDED:`),</t>
  </si>
  <si>
    <t>- kekalkan perpuluhan (jangan round MH per row).</t>
  </si>
  <si>
    <t>## 12) SUMMARY Usage (Monitoring)</t>
  </si>
  <si>
    <t>`SUMMARY` digunakan untuk pemilihan scope dan consolidation item.</t>
  </si>
  <si>
    <t>### Senario A: Standalone scope</t>
  </si>
  <si>
    <t>- Jika pelanggan pilih satu scope, guna nilai scope tersebut.</t>
  </si>
  <si>
    <t>### Senario B: Multi-scope project</t>
  </si>
  <si>
    <t>- Consolidate mengikut `Description` yang sama tepat.</t>
  </si>
  <si>
    <t>- Jumlahkan `Usage Qty` dan `Usage+Waste Qty` merentas scope terpilih dahulu.</t>
  </si>
  <si>
    <t>- Rounding/packaging conversion dibuat di peringkat summary/manual review.</t>
  </si>
  <si>
    <t>### Include flag</t>
  </si>
  <si>
    <t>- Gunakan Include `0/1` di `SUMMARY` untuk pilih scope `S01..S100`.</t>
  </si>
  <si>
    <t>## 13) Prompt Handover (Untuk Sesi Baru)</t>
  </si>
  <si>
    <t>Gunakan prompt ini:</t>
  </si>
  <si>
    <t>&gt; We are using BOQ.xlsx S01..S100 + SUMMARY.</t>
  </si>
  <si>
    <t>&gt; SPEC is A:C only. Use 3 blocks only:</t>
  </si>
  <si>
    <t>&gt; Materials E:N (paste E:K only),</t>
  </si>
  <si>
    <t>&gt; Labour P:Y (paste P:V only),</t>
  </si>
  <si>
    <t>&gt; Service AA:AJ (paste AA:AG only).</t>
  </si>
  <si>
    <t>&gt; Do NOT output or overwrite formula columns (L:M:N, W:X:Y, AH:AI:AJ).</t>
  </si>
  <si>
    <t>&gt; Descriptions and UOM must match 1.2 Materials.txt / 1.3 Labour.txt exactly.</t>
  </si>
  <si>
    <t>&gt; After SPEC is finalized, produce TSV blocks only (7 columns each).</t>
  </si>
  <si>
    <t>&gt; Labour must follow README Section 11 Labour Productivity Rules (Moderate/Realistic).</t>
  </si>
  <si>
    <t>S01-TITLE</t>
  </si>
  <si>
    <t>KERJA UBAHSUAI &amp; PEMBAIKAN BILIK AIR TINGKAT ATAS</t>
  </si>
  <si>
    <t>LOKASI: TINGKAT ATAS, BILIK AIR 6'x8'</t>
  </si>
  <si>
    <t>S01-OVERVIEW</t>
  </si>
  <si>
    <t>PECAH KEMASAN ASAL (LANTAI/DINDING/CEILING/TINGKAP), RAWAT LEKATAN/KEMASAN, PASANG SEMULA KEMASAN &amp; FITTING</t>
  </si>
  <si>
    <t>BILIK AIR SHARED, 2 PINTU (7'x3' setiap satu), FULL HEIGHT MOZEK 2400MM</t>
  </si>
  <si>
    <t>S01-PECAH</t>
  </si>
  <si>
    <t>PECAH/KOPEK SEMUA KEMASAN LAMA LANTAI, DINDING, CEILING, FLOOR TRAP &amp; TINGKAP SAMPAI KONKRIT/ASAS</t>
  </si>
  <si>
    <t>SEMUA SISA DIBUANG KE RORO/PELUPUSAN</t>
  </si>
  <si>
    <t>S01-BUCU-PIPE</t>
  </si>
  <si>
    <t>NAIK BATA SIMEN (CEMENT BRICK) UNTUK TUTUP PIPE BAU JAMBAN 4" DI BUCU, BENTUK L-SHAPE (7" SETIAP SISI)</t>
  </si>
  <si>
    <t>SIAP PLASTER &amp; SIAP UNTUK TILE, MINTA PASTIKAN KEMAS KEDAP AIR</t>
  </si>
  <si>
    <t>S01-TINGKAP</t>
  </si>
  <si>
    <t>PECAH TINGKAP 2'Hx4'W, KECILKAN BUKAAN JADI 2'Hx3'W, TAMBAH/MATU &amp; PLASTER RAPI, SIAP UNTUK PASANG CASEMENT WINDOW BARU</t>
  </si>
  <si>
    <t>SEMUA KEMASAN BARU DILICINKAN DAN SIAP UNTUK TILE</t>
  </si>
  <si>
    <t>S01-CEILING</t>
  </si>
  <si>
    <t>PECAH CEILING LAMA, SEDIAKAN RUANG UNTUK PLASTER CEILING BARU</t>
  </si>
  <si>
    <t>UKURAN ASAL 4'x2', DIUBAH KE PLASTER CEILING PENUH BILIK AIR</t>
  </si>
  <si>
    <t>S01-FLOOR PREP</t>
  </si>
  <si>
    <t>RATA DAN PADATKAN LANTAI UNTUK SUBSTRATE WATERPROOF DAN TILING</t>
  </si>
  <si>
    <t>SEMUA HABUK DIBERSIHKAN SEBELUM MULAKAN WATERPROOFING</t>
  </si>
  <si>
    <t>S01-WATERPROOF</t>
  </si>
  <si>
    <t>WATERPROOFING PENUH LANTAI &amp; KAKI DINDING (MIN 2 COATS, LEBIH KURANG 2400MM TINGGI)</t>
  </si>
  <si>
    <t>GUNAKAN BAHAN STANDARD WATERPROOFING, TAK BOLEH LANGKAU LANGKAH INI</t>
  </si>
  <si>
    <t>S01-FLOORTRAP</t>
  </si>
  <si>
    <t>PASANG FLOOR TRAP BARU (JENIS TILE), SESUAI DENGAN MOZEK</t>
  </si>
  <si>
    <t>GUNAKAN JENIS SESUAI MASTER LIST MATERIALS</t>
  </si>
  <si>
    <t>S01-TILES-LANTAI</t>
  </si>
  <si>
    <t>PASANG MOZEK BARU LANTAI 300x600MM</t>
  </si>
  <si>
    <t>UKURAN RUANG 6’x8’, SUSUNAN/CORAK TERTAKLUK PILIHAN USER</t>
  </si>
  <si>
    <t>S01-TILES-DINDING</t>
  </si>
  <si>
    <t>PASANG MOZEK DINDING 300x450MM, FULL HEIGHT 2400MM</t>
  </si>
  <si>
    <t>KECUALI KAWASAN PINTU/TINGKAP: HANYA CAT &amp; KEMASAN FRAME</t>
  </si>
  <si>
    <t>S01-TINGKAP-BARU</t>
  </si>
  <si>
    <t>PASANG CASEMENT WINDOW 2'Hx3'W</t>
  </si>
  <si>
    <t>FRAME DIPASANG KEMAS</t>
  </si>
  <si>
    <t>CALC NOTE: Floor 6ftx8ft=4.46sqm; 300x600 tile=0.18sqm/pc -&gt; 25pc</t>
  </si>
  <si>
    <t>CALC NOTE: Wall net=16.87sqm; 300x450 tile=0.135sqm/pc -&gt; 125pc (includes L-shape boxing)</t>
  </si>
  <si>
    <t>Tile 300mm x 450mm</t>
  </si>
  <si>
    <t>DEFAULT USED: Coverage 5sqm/bag for wall+floor tile area ~21.3sqm</t>
  </si>
  <si>
    <t>Tile Adhesive Weber 99</t>
  </si>
  <si>
    <t>DEFAULT USED: Narrow joint grout; coverage based on standard usage</t>
  </si>
  <si>
    <t>Weber Weberfill Fine Grout Coloured Grout For Narrow Tile Joint (3.5kg)</t>
  </si>
  <si>
    <t>DEFAULT USED: WP for floor + wall upturn/full height as per spec</t>
  </si>
  <si>
    <t>Weber WP100 Waterproof</t>
  </si>
  <si>
    <t>set</t>
  </si>
  <si>
    <t>CALC NOTE: L-shape boxing 7in+7in to 2400mm; estimate brick count for box + plaster</t>
  </si>
  <si>
    <t>Cement Bricks</t>
  </si>
  <si>
    <t>DEFAULT USED: For brickwork + patching + tile bedding</t>
  </si>
  <si>
    <t>YTL Cement</t>
  </si>
  <si>
    <t>bag</t>
  </si>
  <si>
    <t>Coarse Sand (Scoop)</t>
  </si>
  <si>
    <t>SCOOP</t>
  </si>
  <si>
    <t>CALC NOTE: Ceiling area 6ftx8ft=48sqft; 4x6 board=24sqft -&gt; 2pcs</t>
  </si>
  <si>
    <t>Gypsum Board 4ft x 6ft x 9mm (Super 9)</t>
  </si>
  <si>
    <t>DEFAULT USED: Ceiling framing for plaster ceiling</t>
  </si>
  <si>
    <t>Metal Furring 30mm x 0.30mm x 12.00ft</t>
  </si>
  <si>
    <t>DEFAULT USED: Ceiling fasteners</t>
  </si>
  <si>
    <t>Screw #6 x 1 (WM)</t>
  </si>
  <si>
    <t>DEFAULT USED: Jointing/patching for ceiling board</t>
  </si>
  <si>
    <t>A Plus Stopping Compound 20kg</t>
  </si>
  <si>
    <t>DEFAULT USED: Finishing skim for ceiling/patch areas</t>
  </si>
  <si>
    <t>Skim Coat Fine 25kg</t>
  </si>
  <si>
    <t>DEFAULT USED: Ceiling sealer before paint</t>
  </si>
  <si>
    <t>Primer Sealer 18L</t>
  </si>
  <si>
    <t>DEFAULT USED: Ceiling paint</t>
  </si>
  <si>
    <t>Nippon Super Matex Ceiling Paint 18L</t>
  </si>
  <si>
    <t>DEFAULT USED: 2 downlight points in bathroom ceiling</t>
  </si>
  <si>
    <t>LED Downlight 4in 12W</t>
  </si>
  <si>
    <t>DEFAULT USED: Toilet + basin cabinet + mirror combo set (as per Materials list)</t>
  </si>
  <si>
    <t>S01-SANITARY-SET</t>
  </si>
  <si>
    <t xml:space="preserve">DOCASA Combo, c/w One-piece rimless toilet bowl + modern bathroom sink cabinet with basin, mirror &amp; shelf , Soft-close seat and cover, Cistern fittings, Cistern cover with flush button, Straight connector </t>
  </si>
  <si>
    <t>DEFAULT USED: Shower head 8in</t>
  </si>
  <si>
    <t>Twins Shower Square 8"</t>
  </si>
  <si>
    <t>pc</t>
  </si>
  <si>
    <t>DEFAULT USED: Replace 3 pcs stopcock 1/2in</t>
  </si>
  <si>
    <t>DLM Stopcock 1/2"</t>
  </si>
  <si>
    <t>DEFAULT USED: Tile-type floor trap complete set</t>
  </si>
  <si>
    <t>Yessy Tile Floor Trap</t>
  </si>
  <si>
    <t>DEFAULT USED: Basin trap (PVC bottle trap)</t>
  </si>
  <si>
    <t>Bottle Trap PVC 11/4" 32mm Blue/green</t>
  </si>
  <si>
    <t>DEFAULT USED: Sealant for sanitary + window perimeter</t>
  </si>
  <si>
    <t>Silicone Sealant</t>
  </si>
  <si>
    <t>TUBE</t>
  </si>
  <si>
    <t>DEFAULT USED: Paint door frame only (black)</t>
  </si>
  <si>
    <t>S01-DOOR-FRAME</t>
  </si>
  <si>
    <t>Black Gloss Paint 5L</t>
  </si>
  <si>
    <t>3ftW X 2ftH 2 Top Hung Window</t>
  </si>
  <si>
    <t>CALC NOTE: Bathroom renovation labour lumped by MH (hacking+brickwork+waterproof+tiling+ceiling+sanitary install)</t>
  </si>
  <si>
    <t>CALC NOTE: Helper support MH for above works</t>
  </si>
  <si>
    <t>DEFAULT USED: 2 downlight installation points (cut hole + fit)</t>
  </si>
  <si>
    <t>Pemasangan Lampu Downlight / Tebuk</t>
  </si>
  <si>
    <t>CALC NOTE: Debris estimate uses buffer on volume (not on RORO qty). Risk: bathroom hack (floor+wall tiles+ceiling+window+brick boxing) may exceed 1x RORO 2ft capacity. INPUT NEEDED: confirm supplier capacity (m3/ton) for "RORO Bin - 2ft"; if not enough, add extra trip as separate scope line.</t>
  </si>
  <si>
    <t>S01-DEMOLISH</t>
  </si>
  <si>
    <t>CONFLICT: Additional RORO trip only if debris exceeds 1x bin capacity (based on buffered debris estimate). Set Qty to required trips after site confirm.</t>
  </si>
  <si>
    <t>PEMBAIKAN &amp; RAWATAN DAPUR</t>
  </si>
  <si>
    <t>LOKASI: RUANG DAPUR UTAMA DALAMAN</t>
  </si>
  <si>
    <t>CALC NOTE: Wall area ≈ (2x1352x2911 + 2x1345x3542)/1e6 ≈ 19.2sqm</t>
  </si>
  <si>
    <t>S02-SKIM</t>
  </si>
  <si>
    <t>S02-OVERVIEW</t>
  </si>
  <si>
    <t>RAWATAN SLAB LANTAI, DINDING DAPUR, DAN KEMASAN BARU</t>
  </si>
  <si>
    <t>SEMUA RAWATAN/BUANG KEMASAN LAMA, KEMASAN AKHIR PENUH</t>
  </si>
  <si>
    <t>DEFAULT USED: Repair + levelling works</t>
  </si>
  <si>
    <t>S02-LEVELING</t>
  </si>
  <si>
    <t>S02-PECAH</t>
  </si>
  <si>
    <t>KIKIS/BUANG SEMUA CAT TERKOPEK ATAU KEMASAN LAMA HINGGA KONKRIT ASAS</t>
  </si>
  <si>
    <t>SLAB DAPUR 2923mm x 3542mm; DINDING: 1352mm x 2911mm (2x), 1345mm x 3542mm (2x)</t>
  </si>
  <si>
    <t>S02-CRACK REPAIR</t>
  </si>
  <si>
    <t>ADA RETAK/CALAR PADA SLAB/DINDING: SKIM/CORRECT SEMULA SEBELUM CAT</t>
  </si>
  <si>
    <t>PASTIKAN TIADA BESI TERDEDAH, SEMUA KEMASAN DITUTUP SEMPURNA</t>
  </si>
  <si>
    <t>DEFAULT USED: Surface bonding agent</t>
  </si>
  <si>
    <t>Bond Admix 4L</t>
  </si>
  <si>
    <t>S02-RATAKAN</t>
  </si>
  <si>
    <t>DINDING &amp; SLAB DIPERATAKAN DENGAN PLASTER/REPAIR SEBELUM SKIM COAT</t>
  </si>
  <si>
    <t>SEMUA PERMUKAAN MESTI RATA, PADAT DAN LICIN</t>
  </si>
  <si>
    <t>DEFAULT USED: Wall sealer before paint</t>
  </si>
  <si>
    <t>S02-PAINT</t>
  </si>
  <si>
    <t>APPLY SKIM COAT HALUS KESELURUHAN SLAB&amp;DINDING DAPUR</t>
  </si>
  <si>
    <t>PASTIKAN SIAP UNTUK KEMASAN/CAT</t>
  </si>
  <si>
    <t>DEFAULT USED: Wall paint 2 coats</t>
  </si>
  <si>
    <t>Nippon Super Matex Interior Paint 18L</t>
  </si>
  <si>
    <t>S02-TINGKAP</t>
  </si>
  <si>
    <t>PECAH TINGKAP LAMA DAPUR 4'x4', PASANG BARU SLIDING WINDOW SAIZ SAMA/LUBANG DIUBAH JIKA PERLU</t>
  </si>
  <si>
    <t>KEMASAN RAPI SEKITAR FRAME</t>
  </si>
  <si>
    <t>DEFAULT USED: Sliding window replacement 4ft x 4ft</t>
  </si>
  <si>
    <t>S02-WINDOW</t>
  </si>
  <si>
    <t>Aluminium Sliding Window 4ft x 4ft Set</t>
  </si>
  <si>
    <t>S02-PINTU</t>
  </si>
  <si>
    <t>PECAH PINTU LAMA DAPUR 7'x3', PASANG PINTU SAFETY ALUMINIUM BARU</t>
  </si>
  <si>
    <t>BUKAAN/KEMASAN SEKITAR FRAME DIPERBAIKI DAN DIKEMAS</t>
  </si>
  <si>
    <t>DEFAULT USED: Safety aluminium door 7ft x 3ft</t>
  </si>
  <si>
    <t>S02-DOOR</t>
  </si>
  <si>
    <t>Safety Aluminium Door 7ft x 3ft Set</t>
  </si>
  <si>
    <t>S02-CAT</t>
  </si>
  <si>
    <t>CAT 2 LAPISAN KESELURUHAN DINDING &amp; SLAB DAPUR</t>
  </si>
  <si>
    <t>SERAGAMKAN DENGAN WARNA DINDING LAMA, TOUCH-UP AREA BUKAAN BARU</t>
  </si>
  <si>
    <t>DEFAULT USED: Window/door perimeter sealing</t>
  </si>
  <si>
    <t>S02-FINAL</t>
  </si>
  <si>
    <t>SEMAK &amp; TOUCH UP SEMUA SURFACE, LUBANG, DEFECT, SEBELUM HANDOVER</t>
  </si>
  <si>
    <t>PASTIKAN TIADA MASALAH KEMASAN/BESI TERDEDAH, MAKLUMKAN JIKA ADA</t>
  </si>
  <si>
    <t>DEFAULT USED: Touch-up filler for cracks</t>
  </si>
  <si>
    <t>S02-CRACK-REPAIR</t>
  </si>
  <si>
    <t>Wall Filler / Crack Filler</t>
  </si>
  <si>
    <t>DEFAULT USED: Cleaning after works</t>
  </si>
  <si>
    <t>Cleaning Chemical / Detergent</t>
  </si>
  <si>
    <t>CALC NOTE: Hacking, plaster repair, skim, paint, window+door install</t>
  </si>
  <si>
    <t>CALC NOTE: Helper support for above works</t>
  </si>
  <si>
    <t>DEFAULT USED: Install sliding window</t>
  </si>
  <si>
    <t>Pemasangan Tingkap Aluminium</t>
  </si>
  <si>
    <t>DEFAULT USED: Install aluminium door</t>
  </si>
  <si>
    <t>Pemasangan Pintu Aluminium</t>
  </si>
  <si>
    <t>CALC NOTE: Disposal included in S01 RORO; minor debris only</t>
  </si>
  <si>
    <t>PEMBAIKAN DINDING &amp; BEAM TERDEDAH YARD LUAR (PINTU BELAKANG DAPUR)</t>
  </si>
  <si>
    <t>LOKASI: LUAR RUMAH, SEKITAR PINTU BELAKANG DAPUR (YARD OUTDOOR)</t>
  </si>
  <si>
    <t>CALC NOTE: Wall 20ft x 20ft = 400sqft = 37.16sqm. Skim estimate ~3sqm/bag</t>
  </si>
  <si>
    <t>S03-SKIM</t>
  </si>
  <si>
    <t>S03-OVERVIEW</t>
  </si>
  <si>
    <t>RAWATAN DAN PEMBAIKAN CRACK &amp; BESI KONKRIT TERDEDAH ANTARA SLAB DAPUR/LEVEL BAWAH-YARD ATAS, SERTA KEMASAN DINDING LUAR 20FTx20FT</t>
  </si>
  <si>
    <t>DINDING YARD LUAS 20' x 20'; ADA CRACK 2FT x 6", BESI TERDEDAH (KESAN KEBASAHAN BILIK AIR TINGKAT ATAS)</t>
  </si>
  <si>
    <t>DEFAULT USED: Patch crack + cover exposed rebar</t>
  </si>
  <si>
    <t>S03-TUTUP</t>
  </si>
  <si>
    <t>Cement</t>
  </si>
  <si>
    <t>S03-PECAH</t>
  </si>
  <si>
    <t>KIKIS &amp; BUANG KEMASAN LAMA ATAU TERKOPEK DI DINDING LUAR DAN SEKITAR CRACK/BESI TERDEDAH</t>
  </si>
  <si>
    <t>HINGGA NAMPAK KONKRIT/STRUKTUR YANG STABIL</t>
  </si>
  <si>
    <t>S03-BERSIH</t>
  </si>
  <si>
    <t>BERSIHKAN BESI KONKRIT DARI KARAT, DEBU DAN KOTORAN DI KAWASAN YANG TERDEDAH</t>
  </si>
  <si>
    <t>BERUS DAWAI, ALAT MEKANIKAL/KIMIA JIKA PERLU</t>
  </si>
  <si>
    <t>DEFAULT USED: Bonding for patch/skim where needed</t>
  </si>
  <si>
    <t>tin</t>
  </si>
  <si>
    <t>S03-RAWAT</t>
  </si>
  <si>
    <t>SAPU RAWATAN ANTI-KARAT PENUH KEPADA SEMUA BESI KONKRIT TERBUKA</t>
  </si>
  <si>
    <t>TUNGGU SEHINGGA KERING PENUH</t>
  </si>
  <si>
    <t>DEFAULT USED: Remove rust on exposed rebar before anti-rust coat</t>
  </si>
  <si>
    <t>3R Rust Remover 500ml</t>
  </si>
  <si>
    <t>BTL</t>
  </si>
  <si>
    <t>TUTUP SEMULA BESI KONKRIT TERDEDAH DENGAN PLASTER/MORTAR PADAT &amp; KUAT</t>
  </si>
  <si>
    <t>PADAT, RATA DENGAN PERMUKAAN DINDING ASAL</t>
  </si>
  <si>
    <t>DEFAULT USED: Mechanical cleaning for rebar</t>
  </si>
  <si>
    <t>Steel Wire Brush</t>
  </si>
  <si>
    <t>SKIM COAT HALUS SELURUH DINDING LUAR 20'x20' TERMASUK AREA REPAIR</t>
  </si>
  <si>
    <t>SEDIAKAN PERMUKAAN LICIN &amp; SEMPURNA UNTUK CAT EXTERIOR</t>
  </si>
  <si>
    <t>DEFAULT USED: Anti-rust coat for exposed rebar / metal surface</t>
  </si>
  <si>
    <t>Black Oxide Paint 18L</t>
  </si>
  <si>
    <t>S03-CAT</t>
  </si>
  <si>
    <t>CAT 2 LAPISAN SELURUH DINDING LUAR 20'x20' &amp; KAWASAN REPAIR</t>
  </si>
  <si>
    <t>PASTIKAN WARNA SERAGAM DAN COVERAGE PENUH, TOUCH UP JIKA ADA</t>
  </si>
  <si>
    <t>DEFAULT USED: External wall sealer before paint</t>
  </si>
  <si>
    <t>Nippon Paint 5400 Wall Sealer 18L (Interior/Exterior)</t>
  </si>
  <si>
    <t>S03-SIASAT</t>
  </si>
  <si>
    <t>SEMAK DAN KENALPASTI JIKA ADA LAGI CRACK/BESI/DEFECT BARU DI YARD LUAR</t>
  </si>
  <si>
    <t>JIKA ADA, TAMBAH RAWATAN SAMA</t>
  </si>
  <si>
    <t>DEFAULT USED: External wall paint 2 coats for 20ftx20ft</t>
  </si>
  <si>
    <t>Colourland Weatherflex Base A 18L White</t>
  </si>
  <si>
    <t>S03-FINAL</t>
  </si>
  <si>
    <t>TOUCH UP KEMASAN, PASTIKAN TIADA LOMPANG/DEFECT BARU SEBELUM PENYERAHAN</t>
  </si>
  <si>
    <t>SIAP SEDIA UNTUK SERAH PROJEK</t>
  </si>
  <si>
    <t>CALC NOTE: Scrape loose finish + rebar clean/treat + patch + skim + repaint (20ftx20ft)</t>
  </si>
  <si>
    <t>CALC NOTE: External wall 20ft height requires full scaffold access. Estimated 2 bays for stable working platform.</t>
  </si>
  <si>
    <t>CALC NOTE: Levelling and height adjustment for 2 bays scaffold. 1 set per bay.</t>
  </si>
  <si>
    <t>CALC NOTE: Heavy debris mainly from S01; S03 may generate plaster/rust debris. Allocate 2 trips total shared usage.</t>
  </si>
  <si>
    <t>S03-DEMOLISH</t>
  </si>
  <si>
    <t>CALC NOTE: Refundable deposit for 2 bays scaffold (2 x RM195)</t>
  </si>
  <si>
    <t>Scaffolding Deposit (Refundable)</t>
  </si>
  <si>
    <t>CALC NOTE: Refundable deposit for 2 jack sets (2 x RM40)</t>
  </si>
  <si>
    <t>Scaffolding Jack + U-Head Deposit (Refundable)</t>
  </si>
  <si>
    <t>sand</t>
  </si>
  <si>
    <t>S01-WINDOW</t>
  </si>
  <si>
    <t>============================================================</t>
  </si>
  <si>
    <t>BUTTON FUNCTIONS (SEARCH SHEET)</t>
  </si>
  <si>
    <t>1) Add All</t>
  </si>
  <si>
    <t>- Apa yang berlaku:</t>
  </si>
  <si>
    <t xml:space="preserve">  - Sistem akan loop semua baris Summary, bina "Key" = Category|Description|UOM.</t>
  </si>
  <si>
    <t xml:space="preserve">  - Jika Key belum wujud dalam Purchase!T:Z, ia akan tambah baris baru dan set Active=1.</t>
  </si>
  <si>
    <t>- Bila guna:</t>
  </si>
  <si>
    <t xml:space="preserve">  - Kali pertama setup Purchase override table.</t>
  </si>
  <si>
    <t xml:space="preserve">  - Bila Summary ada item baru dan kau nak sync masuk Purchase.</t>
  </si>
  <si>
    <t>2) Refresh</t>
  </si>
  <si>
    <t xml:space="preserve">  - Refresh Summary List (A5:E) ikut filter keyword di B2.</t>
  </si>
  <si>
    <t xml:space="preserve">  - Refresh Purchase List (I11:M) ikut filter keyword di B3.</t>
  </si>
  <si>
    <t xml:space="preserve">  - Kalau auto-refresh tak jalan.</t>
  </si>
  <si>
    <t xml:space="preserve">  - Lepas buat perubahan dan nak paksa update paparan.</t>
  </si>
  <si>
    <t>3) Final View</t>
  </si>
  <si>
    <t>- Tujuan: Jana "final purchase view" dalam Purchase!A:S (bukan override table T:Z).</t>
  </si>
  <si>
    <t xml:space="preserve">  - Ambil base data dari Summary: Category, Description, UOM, Rate, Auto Qty.</t>
  </si>
  <si>
    <t xml:space="preserve">  - Padankan dengan override dalam Purchase!T:Z (Purchase UOM / Pack / Override Qty / Override Rate / Active / Note).</t>
  </si>
  <si>
    <t xml:space="preserve">  - Kira Final UOM, Final Qty, Final Rate, Total RM.</t>
  </si>
  <si>
    <t xml:space="preserve">  - Isi Status seperti OK / INACTIVE / INPUT NEEDED (Override Rate).</t>
  </si>
  <si>
    <t xml:space="preserve">  - Isi Source Row = nombor baris asal dalam Summary untuk trace.</t>
  </si>
  <si>
    <t xml:space="preserve">  - Untuk tengok senarai pembelian akhir yang dah dicampur dengan override.</t>
  </si>
  <si>
    <t>4) Add To Edit</t>
  </si>
  <si>
    <t xml:space="preserve">  - Kau highlight satu atau banyak baris di Summary list (A5:E).</t>
  </si>
  <si>
    <t xml:space="preserve">  - Sistem ambil Key setiap baris dan tambah ke Edit Grid.</t>
  </si>
  <si>
    <t xml:space="preserve">  - Jika Key sudah ada dalam Edit Grid, sistem akan skip dan bagi message "Key already exists in edit grid."</t>
  </si>
  <si>
    <t xml:space="preserve">  - Jika Key sudah wujud dalam Purchase override table, sistem akan auto-load value (Purchase UOM/Pack/Override/Rate/Note/Active) masuk Edit Grid.</t>
  </si>
  <si>
    <t xml:space="preserve">  - Nak buat override untuk beberapa item sekali gus tanpa pergi ke Purchase sheet.</t>
  </si>
  <si>
    <t>5) Save Edit Grid</t>
  </si>
  <si>
    <t>- Tujuan: Simpan semua perubahan dari Edit Grid (H:P) ke Purchase override table (Purchase!T:Z).</t>
  </si>
  <si>
    <t xml:space="preserve">  - Sistem baca setiap row dalam Edit Grid yang ada Key.</t>
  </si>
  <si>
    <t xml:space="preserve">  - Jika Key belum wujud dalam Purchase override table, sistem akan auto-add row baru.</t>
  </si>
  <si>
    <t xml:space="preserve">  - Sistem update column T:Z: Purchase UOM, Pack Size, Override Qty, Override Rate, Note, Active.</t>
  </si>
  <si>
    <t xml:space="preserve">  - Lepas kau isi override dan nak apply betul-betul ke Purchase.</t>
  </si>
  <si>
    <t>6) Clear Edit</t>
  </si>
  <si>
    <t xml:space="preserve">  - Padam contents dalam ruang Edit Grid untuk mula edit batch baru.</t>
  </si>
  <si>
    <t xml:space="preserve">  - Bila kau nak reset batch edit (tak ganggu Purchase data).</t>
  </si>
  <si>
    <t>7) Delete</t>
  </si>
  <si>
    <t>- Tujuan: "Soft delete" item (bukan buang row).</t>
  </si>
  <si>
    <t xml:space="preserve">  - Sistem set Active=0 untuk Key yang dipilih.</t>
  </si>
  <si>
    <t xml:space="preserve">  - Item masih kekal dalam table untuk trace/undo (update-only).</t>
  </si>
  <si>
    <t xml:space="preserve">  - Bila kau nak exclude item daripada final purchase list, tanpa hilangkan rekod.</t>
  </si>
  <si>
    <t xml:space="preserve">  - Contoh: item pasir guni tak nak pakai sebab dah guna pasir trip.</t>
  </si>
  <si>
    <t>8) Undo Last</t>
  </si>
  <si>
    <t xml:space="preserve">  - Sistem simpan snapshot row T:Z sebelum update/delete.</t>
  </si>
  <si>
    <t xml:space="preserve">  - Undo akan restore T:Z row tersebut semula.</t>
  </si>
  <si>
    <t xml:space="preserve">  - Bila tersalah set Active=0 / tersalah edit override qty/rate/note.</t>
  </si>
  <si>
    <t>- Tujuan: Masukkan semua item yang wujud dalam Summary (Consolidated) ke dalam Purchase override table.</t>
  </si>
  <si>
    <t>- Tujuan: Refresh paparan Search.</t>
  </si>
  <si>
    <t>- Tujuan: Masukkan item yang kau pilih dari Summary List ke dalam Edit Grid (H:P) untuk edit beramai-ramai.</t>
  </si>
  <si>
    <t>- Tujuan: Kosongkan Edit Grid (H:P) sahaja.</t>
  </si>
  <si>
    <t>- Tujuan: Undo perubahan terakhir yang dibuat dalam Purchase override table.</t>
  </si>
  <si>
    <t>OK</t>
  </si>
  <si>
    <t>S01</t>
  </si>
  <si>
    <t>S02</t>
  </si>
  <si>
    <t>S03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</si>
</sst>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49" fontId="0" fillId="3" borderId="0" xfId="0" applyNumberFormat="1" applyFill="1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0" fillId="4" borderId="0" xfId="0" applyFill="1"/>
    <xf numFmtId="4" fontId="0" fillId="0" borderId="0" xfId="0" applyNumberFormat="1"/>
    <xf numFmtId="4" fontId="1" fillId="5" borderId="0" xfId="0" applyNumberFormat="1" applyFont="1" applyFill="1"/>
    <xf numFmtId="4" fontId="1" fillId="0" borderId="0" xfId="0" applyNumberFormat="1" applyFont="1"/>
    <xf numFmtId="4" fontId="1" fillId="2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" fontId="0" fillId="5" borderId="1" xfId="0" applyNumberFormat="1" applyFill="1" applyBorder="1"/>
    <xf numFmtId="0" fontId="0" fillId="0" borderId="1" xfId="0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5" borderId="0" xfId="0" applyFill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19050</xdr:rowOff>
        </xdr:from>
        <xdr:to>
          <xdr:col>6</xdr:col>
          <xdr:colOff>990600</xdr:colOff>
          <xdr:row>2</xdr:row>
          <xdr:rowOff>161925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19050</xdr:rowOff>
        </xdr:from>
        <xdr:to>
          <xdr:col>6</xdr:col>
          <xdr:colOff>990600</xdr:colOff>
          <xdr:row>3</xdr:row>
          <xdr:rowOff>161925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</xdr:row>
          <xdr:rowOff>19050</xdr:rowOff>
        </xdr:from>
        <xdr:to>
          <xdr:col>6</xdr:col>
          <xdr:colOff>990600</xdr:colOff>
          <xdr:row>4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19050</xdr:rowOff>
        </xdr:from>
        <xdr:to>
          <xdr:col>6</xdr:col>
          <xdr:colOff>990600</xdr:colOff>
          <xdr:row>5</xdr:row>
          <xdr:rowOff>161925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3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19050</xdr:rowOff>
        </xdr:from>
        <xdr:to>
          <xdr:col>6</xdr:col>
          <xdr:colOff>990600</xdr:colOff>
          <xdr:row>6</xdr:row>
          <xdr:rowOff>161925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3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Edit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19050</xdr:rowOff>
        </xdr:from>
        <xdr:to>
          <xdr:col>6</xdr:col>
          <xdr:colOff>990600</xdr:colOff>
          <xdr:row>7</xdr:row>
          <xdr:rowOff>161925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3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8</xdr:row>
          <xdr:rowOff>19050</xdr:rowOff>
        </xdr:from>
        <xdr:to>
          <xdr:col>6</xdr:col>
          <xdr:colOff>990600</xdr:colOff>
          <xdr:row>8</xdr:row>
          <xdr:rowOff>161925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3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Override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19050</xdr:rowOff>
        </xdr:from>
        <xdr:to>
          <xdr:col>6</xdr:col>
          <xdr:colOff>990600</xdr:colOff>
          <xdr:row>9</xdr:row>
          <xdr:rowOff>161925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3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Last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A708C-D966-4AB1-84A6-E7F6D6095B24}">
  <sheetPr codeName="Sheet1"/>
  <dimension ref="A2:N300"/>
  <sheetViews>
    <sheetView zoomScale="75" zoomScaleNormal="75" workbookViewId="0">
      <selection activeCell="I33" sqref="I33"/>
    </sheetView>
  </sheetViews>
  <sheetFormatPr defaultRowHeight="15" x14ac:dyDescent="0.25"/>
  <cols>
    <col min="2" max="2" width="9.85546875" bestFit="1" customWidth="1"/>
    <col min="3" max="3" width="110" bestFit="1" customWidth="1"/>
    <col min="4" max="4" width="10.42578125" bestFit="1" customWidth="1"/>
    <col min="5" max="5" width="7" bestFit="1" customWidth="1"/>
    <col min="6" max="6" width="11.5703125" bestFit="1" customWidth="1"/>
    <col min="7" max="7" width="5.85546875" bestFit="1" customWidth="1"/>
    <col min="8" max="8" width="13.85546875" bestFit="1" customWidth="1"/>
    <col min="9" max="9" width="124.85546875" bestFit="1" customWidth="1"/>
  </cols>
  <sheetData>
    <row r="2" spans="1:14" x14ac:dyDescent="0.25">
      <c r="A2" s="13" t="s">
        <v>45</v>
      </c>
      <c r="B2" s="13" t="s">
        <v>32</v>
      </c>
      <c r="C2" s="13" t="s">
        <v>3</v>
      </c>
      <c r="D2" s="13" t="s">
        <v>46</v>
      </c>
      <c r="E2" s="13" t="s">
        <v>47</v>
      </c>
      <c r="F2" s="13" t="s">
        <v>29</v>
      </c>
      <c r="G2" s="13" t="s">
        <v>5</v>
      </c>
      <c r="H2" s="13" t="s">
        <v>48</v>
      </c>
      <c r="I2" s="13" t="s">
        <v>49</v>
      </c>
      <c r="J2" s="13" t="s">
        <v>50</v>
      </c>
      <c r="K2" s="13" t="s">
        <v>2</v>
      </c>
      <c r="L2" s="13" t="s">
        <v>51</v>
      </c>
      <c r="M2" s="13" t="s">
        <v>24</v>
      </c>
      <c r="N2" s="13" t="s">
        <v>6</v>
      </c>
    </row>
    <row r="3" spans="1:14" x14ac:dyDescent="0.25">
      <c r="A3" t="e" cm="1" vm="1">
        <f t="array" ref="A3:A300">_xlfn.LET(_xlpm.b,B3:B300,_xlpm.c,MMULT(--(ROW(_xlpm.b)&gt;=TRANSPOSE(ROW(_xlpm.b))),--(_xlpm.b&lt;&gt;"")),IF(_xlpm.b="","",_xlpm.c))</f>
        <v>#VALUE!</v>
      </c>
      <c r="B3" t="e" cm="1" vm="2">
        <f t="array" ref="B3:I3">_xlfn.LET(_xlpm.x,_xlfn._xlws.FILTER(Summary!I3:O300,Summary!I3:I300&lt;&gt;""),CHOOSE({1,2,3,4,5,6,7,8},INDEX(_xlpm.x,0,1),INDEX(_xlpm.x,0,2),INDEX(_xlpm.x,0,3),INDEX(_xlpm.x,0,4),INDEX(_xlpm.x,0,5),INDEX(_xlpm.x,0,6),INDEX(_xlpm.x,0,7),INDEX(_xlpm.x,0,1)&amp;"|"&amp;INDEX(_xlpm.x,0,2)&amp;"|"&amp;INDEX(_xlpm.x,0,3)))</f>
        <v>#VALUE!</v>
      </c>
      <c r="C3" t="e" vm="2">
        <v>#VALUE!</v>
      </c>
      <c r="D3" t="e" vm="2">
        <v>#VALUE!</v>
      </c>
      <c r="E3" t="e" vm="2">
        <v>#VALUE!</v>
      </c>
      <c r="F3" t="e" vm="2">
        <v>#VALUE!</v>
      </c>
      <c r="G3" t="e" vm="2">
        <v>#VALUE!</v>
      </c>
      <c r="H3" t="e" vm="2">
        <v>#VALUE!</v>
      </c>
      <c r="I3" t="e" vm="2">
        <v>#VALUE!</v>
      </c>
      <c r="J3" t="e" vm="1">
        <f>IF($B3="","",_xlfn.LET(_xlpm.pu,_xlfn.XLOOKUP($I3,$N$3:$N$300,$O$3:$O$300,""),IF(_xlpm.pu&lt;&gt;"",_xlpm.pu,$D3)))</f>
        <v>#VALUE!</v>
      </c>
      <c r="K3" t="e" vm="1">
        <f>IF($B3="","",_xlfn.LET(_xlpm.pu,_xlfn.XLOOKUP($I3,$N$3:$N$300,$O$3:$O$300,""),_xlpm.ps,_xlfn.XLOOKUP($I3,$N$3:$N$300,$P$3:$P$300,""),_xlpm.oq,_xlfn.XLOOKUP($I3,$N$3:$N$300,$Q$3:$Q$300,""),_xlpm.base,$H3,IF(_xlpm.oq&lt;&gt;"",_xlpm.oq,IF(_xlpm.ps="",_xlpm.base,IF(OR(_xlpm.pu="",_xlpm.pu=$D3),CEILING(_xlpm.base,_xlpm.ps),CEILING(_xlpm.base/_xlpm.ps,1))))))</f>
        <v>#VALUE!</v>
      </c>
      <c r="L3" t="e" vm="1">
        <f>IF($B3="","",_xlfn.LET(_xlpm.orate,_xlfn.XLOOKUP($I3,$N$3:$N$300,$R$3:$R$300,""),IF(_xlpm.orate&lt;&gt;"",_xlpm.orate,$E3)))</f>
        <v>#VALUE!</v>
      </c>
      <c r="M3" t="e" vm="1">
        <f>IF($B3="","",$K3*$L3)</f>
        <v>#VALUE!</v>
      </c>
    </row>
    <row r="4" spans="1:14" x14ac:dyDescent="0.25">
      <c r="A4" t="str">
        <v/>
      </c>
      <c r="J4" t="str">
        <f t="shared" ref="J4:J61" si="0">IF($B4="","",_xlfn.LET(_xlpm.pu,_xlfn.XLOOKUP($I4,$N$3:$N$300,$O$3:$O$300,""),IF(_xlpm.pu&lt;&gt;"",_xlpm.pu,$D4)))</f>
        <v/>
      </c>
      <c r="K4" t="str">
        <f t="shared" ref="K4:K67" si="1">IF($B4="","",_xlfn.LET(_xlpm.pu,_xlfn.XLOOKUP($I4,$N$3:$N$300,$O$3:$O$300,""),_xlpm.ps,_xlfn.XLOOKUP($I4,$N$3:$N$300,$P$3:$P$300,""),_xlpm.oq,_xlfn.XLOOKUP($I4,$N$3:$N$300,$Q$3:$Q$300,""),_xlpm.base,$H4,IF(_xlpm.oq&lt;&gt;"",_xlpm.oq,IF(_xlpm.ps="",_xlpm.base,IF(OR(_xlpm.pu="",_xlpm.pu=$D4),CEILING(_xlpm.base,_xlpm.ps),CEILING(_xlpm.base/_xlpm.ps,1))))))</f>
        <v/>
      </c>
      <c r="L4" t="str">
        <f t="shared" ref="L4:L67" si="2">IF($B4="","",_xlfn.LET(_xlpm.orate,_xlfn.XLOOKUP($I4,$N$3:$N$300,$R$3:$R$300,""),IF(_xlpm.orate&lt;&gt;"",_xlpm.orate,$E4)))</f>
        <v/>
      </c>
      <c r="M4" t="str">
        <f t="shared" ref="M4:M67" si="3">IF($B4="","",$K4*$L4)</f>
        <v/>
      </c>
      <c r="N4" t="str">
        <f t="shared" ref="N4:N51" si="4">IF($B4="","",_xlfn.XLOOKUP($I4,$T$3:$T$300,$Y$3:$Y$300,""))</f>
        <v/>
      </c>
    </row>
    <row r="5" spans="1:14" x14ac:dyDescent="0.25">
      <c r="A5" t="str">
        <v/>
      </c>
      <c r="J5" t="str">
        <f t="shared" si="0"/>
        <v/>
      </c>
      <c r="K5" t="str">
        <f t="shared" si="1"/>
        <v/>
      </c>
      <c r="L5" t="str">
        <f t="shared" si="2"/>
        <v/>
      </c>
      <c r="M5" t="str">
        <f t="shared" si="3"/>
        <v/>
      </c>
      <c r="N5" t="str">
        <f t="shared" si="4"/>
        <v/>
      </c>
    </row>
    <row r="6" spans="1:14" x14ac:dyDescent="0.25">
      <c r="A6" t="str">
        <v/>
      </c>
      <c r="J6" t="str">
        <f t="shared" si="0"/>
        <v/>
      </c>
      <c r="K6" t="str">
        <f t="shared" si="1"/>
        <v/>
      </c>
      <c r="L6" t="str">
        <f t="shared" si="2"/>
        <v/>
      </c>
      <c r="M6" t="str">
        <f t="shared" si="3"/>
        <v/>
      </c>
      <c r="N6" t="str">
        <f t="shared" si="4"/>
        <v/>
      </c>
    </row>
    <row r="7" spans="1:14" x14ac:dyDescent="0.25">
      <c r="A7" t="str">
        <v/>
      </c>
      <c r="J7" t="str">
        <f t="shared" si="0"/>
        <v/>
      </c>
      <c r="K7" t="str">
        <f t="shared" si="1"/>
        <v/>
      </c>
      <c r="L7" t="str">
        <f t="shared" si="2"/>
        <v/>
      </c>
      <c r="M7" t="str">
        <f t="shared" si="3"/>
        <v/>
      </c>
      <c r="N7" t="str">
        <f t="shared" si="4"/>
        <v/>
      </c>
    </row>
    <row r="8" spans="1:14" x14ac:dyDescent="0.25">
      <c r="A8" t="str">
        <v/>
      </c>
      <c r="J8" t="str">
        <f t="shared" si="0"/>
        <v/>
      </c>
      <c r="K8" t="str">
        <f t="shared" si="1"/>
        <v/>
      </c>
      <c r="L8" t="str">
        <f t="shared" si="2"/>
        <v/>
      </c>
      <c r="M8" t="str">
        <f t="shared" si="3"/>
        <v/>
      </c>
      <c r="N8" t="str">
        <f t="shared" si="4"/>
        <v/>
      </c>
    </row>
    <row r="9" spans="1:14" x14ac:dyDescent="0.25">
      <c r="A9" t="str">
        <v/>
      </c>
      <c r="J9" t="str">
        <f t="shared" si="0"/>
        <v/>
      </c>
      <c r="K9" t="str">
        <f t="shared" si="1"/>
        <v/>
      </c>
      <c r="L9" t="str">
        <f t="shared" si="2"/>
        <v/>
      </c>
      <c r="M9" t="str">
        <f t="shared" si="3"/>
        <v/>
      </c>
      <c r="N9" t="str">
        <f t="shared" si="4"/>
        <v/>
      </c>
    </row>
    <row r="10" spans="1:14" x14ac:dyDescent="0.25">
      <c r="A10" t="str">
        <v/>
      </c>
      <c r="J10" t="str">
        <f t="shared" si="0"/>
        <v/>
      </c>
      <c r="K10" t="str">
        <f t="shared" si="1"/>
        <v/>
      </c>
      <c r="L10" t="str">
        <f t="shared" si="2"/>
        <v/>
      </c>
      <c r="M10" t="str">
        <f t="shared" si="3"/>
        <v/>
      </c>
      <c r="N10" t="str">
        <f t="shared" si="4"/>
        <v/>
      </c>
    </row>
    <row r="11" spans="1:14" x14ac:dyDescent="0.25">
      <c r="A11" t="str">
        <v/>
      </c>
      <c r="J11" t="str">
        <f t="shared" si="0"/>
        <v/>
      </c>
      <c r="K11" t="str">
        <f t="shared" si="1"/>
        <v/>
      </c>
      <c r="L11" t="str">
        <f t="shared" si="2"/>
        <v/>
      </c>
      <c r="M11" t="str">
        <f t="shared" si="3"/>
        <v/>
      </c>
      <c r="N11" t="str">
        <f t="shared" si="4"/>
        <v/>
      </c>
    </row>
    <row r="12" spans="1:14" x14ac:dyDescent="0.25">
      <c r="A12" t="str">
        <v/>
      </c>
      <c r="J12" t="str">
        <f t="shared" si="0"/>
        <v/>
      </c>
      <c r="K12" t="str">
        <f t="shared" si="1"/>
        <v/>
      </c>
      <c r="L12" t="str">
        <f t="shared" si="2"/>
        <v/>
      </c>
      <c r="M12" t="str">
        <f t="shared" si="3"/>
        <v/>
      </c>
      <c r="N12" t="str">
        <f t="shared" si="4"/>
        <v/>
      </c>
    </row>
    <row r="13" spans="1:14" x14ac:dyDescent="0.25">
      <c r="A13" t="str">
        <v/>
      </c>
      <c r="J13" t="str">
        <f t="shared" si="0"/>
        <v/>
      </c>
      <c r="K13" t="str">
        <f t="shared" si="1"/>
        <v/>
      </c>
      <c r="L13" t="str">
        <f t="shared" si="2"/>
        <v/>
      </c>
      <c r="M13" t="str">
        <f t="shared" si="3"/>
        <v/>
      </c>
      <c r="N13" t="str">
        <f t="shared" si="4"/>
        <v/>
      </c>
    </row>
    <row r="14" spans="1:14" x14ac:dyDescent="0.25">
      <c r="A14" t="str">
        <v/>
      </c>
      <c r="J14" t="str">
        <f t="shared" si="0"/>
        <v/>
      </c>
      <c r="K14" t="str">
        <f t="shared" si="1"/>
        <v/>
      </c>
      <c r="L14" t="str">
        <f t="shared" si="2"/>
        <v/>
      </c>
      <c r="M14" t="str">
        <f t="shared" si="3"/>
        <v/>
      </c>
      <c r="N14" t="str">
        <f t="shared" si="4"/>
        <v/>
      </c>
    </row>
    <row r="15" spans="1:14" x14ac:dyDescent="0.25">
      <c r="A15" t="str">
        <v/>
      </c>
      <c r="J15" t="str">
        <f t="shared" si="0"/>
        <v/>
      </c>
      <c r="K15" t="str">
        <f t="shared" si="1"/>
        <v/>
      </c>
      <c r="L15" t="str">
        <f t="shared" si="2"/>
        <v/>
      </c>
      <c r="M15" t="str">
        <f t="shared" si="3"/>
        <v/>
      </c>
      <c r="N15" t="str">
        <f t="shared" si="4"/>
        <v/>
      </c>
    </row>
    <row r="16" spans="1:14" x14ac:dyDescent="0.25">
      <c r="A16" t="str">
        <v/>
      </c>
      <c r="J16" t="str">
        <f t="shared" si="0"/>
        <v/>
      </c>
      <c r="K16" t="str">
        <f t="shared" si="1"/>
        <v/>
      </c>
      <c r="L16" t="str">
        <f t="shared" si="2"/>
        <v/>
      </c>
      <c r="M16" t="str">
        <f t="shared" si="3"/>
        <v/>
      </c>
      <c r="N16" t="str">
        <f t="shared" si="4"/>
        <v/>
      </c>
    </row>
    <row r="17" spans="1:14" x14ac:dyDescent="0.25">
      <c r="A17" t="str">
        <v/>
      </c>
      <c r="J17" t="str">
        <f t="shared" si="0"/>
        <v/>
      </c>
      <c r="K17" t="str">
        <f t="shared" si="1"/>
        <v/>
      </c>
      <c r="L17" t="str">
        <f t="shared" si="2"/>
        <v/>
      </c>
      <c r="M17" t="str">
        <f t="shared" si="3"/>
        <v/>
      </c>
      <c r="N17" t="str">
        <f t="shared" si="4"/>
        <v/>
      </c>
    </row>
    <row r="18" spans="1:14" x14ac:dyDescent="0.25">
      <c r="A18" t="str">
        <v/>
      </c>
      <c r="J18" t="str">
        <f t="shared" si="0"/>
        <v/>
      </c>
      <c r="K18" t="str">
        <f t="shared" si="1"/>
        <v/>
      </c>
      <c r="L18" t="str">
        <f t="shared" si="2"/>
        <v/>
      </c>
      <c r="M18" t="str">
        <f t="shared" si="3"/>
        <v/>
      </c>
      <c r="N18" t="str">
        <f t="shared" si="4"/>
        <v/>
      </c>
    </row>
    <row r="19" spans="1:14" x14ac:dyDescent="0.25">
      <c r="A19" t="str">
        <v/>
      </c>
      <c r="J19" t="str">
        <f t="shared" si="0"/>
        <v/>
      </c>
      <c r="K19" t="str">
        <f t="shared" si="1"/>
        <v/>
      </c>
      <c r="L19" t="str">
        <f t="shared" si="2"/>
        <v/>
      </c>
      <c r="M19" t="str">
        <f t="shared" si="3"/>
        <v/>
      </c>
      <c r="N19" t="str">
        <f t="shared" si="4"/>
        <v/>
      </c>
    </row>
    <row r="20" spans="1:14" x14ac:dyDescent="0.25">
      <c r="A20" t="str">
        <v/>
      </c>
      <c r="J20" t="str">
        <f t="shared" si="0"/>
        <v/>
      </c>
      <c r="K20" t="str">
        <f t="shared" si="1"/>
        <v/>
      </c>
      <c r="L20" t="str">
        <f t="shared" si="2"/>
        <v/>
      </c>
      <c r="M20" t="str">
        <f t="shared" si="3"/>
        <v/>
      </c>
      <c r="N20" t="str">
        <f t="shared" si="4"/>
        <v/>
      </c>
    </row>
    <row r="21" spans="1:14" x14ac:dyDescent="0.25">
      <c r="A21" t="str">
        <v/>
      </c>
      <c r="J21" t="str">
        <f t="shared" si="0"/>
        <v/>
      </c>
      <c r="K21" t="str">
        <f t="shared" si="1"/>
        <v/>
      </c>
      <c r="L21" t="str">
        <f t="shared" si="2"/>
        <v/>
      </c>
      <c r="M21" t="str">
        <f t="shared" si="3"/>
        <v/>
      </c>
      <c r="N21" t="str">
        <f t="shared" si="4"/>
        <v/>
      </c>
    </row>
    <row r="22" spans="1:14" x14ac:dyDescent="0.25">
      <c r="A22" t="str">
        <v/>
      </c>
      <c r="J22" t="str">
        <f t="shared" si="0"/>
        <v/>
      </c>
      <c r="K22" t="str">
        <f t="shared" si="1"/>
        <v/>
      </c>
      <c r="L22" t="str">
        <f t="shared" si="2"/>
        <v/>
      </c>
      <c r="M22" t="str">
        <f t="shared" si="3"/>
        <v/>
      </c>
      <c r="N22" t="str">
        <f t="shared" si="4"/>
        <v/>
      </c>
    </row>
    <row r="23" spans="1:14" x14ac:dyDescent="0.25">
      <c r="A23" t="str">
        <v/>
      </c>
      <c r="J23" t="str">
        <f t="shared" si="0"/>
        <v/>
      </c>
      <c r="K23" t="str">
        <f t="shared" si="1"/>
        <v/>
      </c>
      <c r="L23" t="str">
        <f t="shared" si="2"/>
        <v/>
      </c>
      <c r="M23" t="str">
        <f t="shared" si="3"/>
        <v/>
      </c>
      <c r="N23" t="str">
        <f t="shared" si="4"/>
        <v/>
      </c>
    </row>
    <row r="24" spans="1:14" x14ac:dyDescent="0.25">
      <c r="A24" t="str">
        <v/>
      </c>
      <c r="J24" t="str">
        <f t="shared" si="0"/>
        <v/>
      </c>
      <c r="K24" t="str">
        <f t="shared" si="1"/>
        <v/>
      </c>
      <c r="L24" t="str">
        <f t="shared" si="2"/>
        <v/>
      </c>
      <c r="M24" t="str">
        <f t="shared" si="3"/>
        <v/>
      </c>
      <c r="N24" t="str">
        <f t="shared" si="4"/>
        <v/>
      </c>
    </row>
    <row r="25" spans="1:14" x14ac:dyDescent="0.25">
      <c r="A25" t="str">
        <v/>
      </c>
      <c r="J25" t="str">
        <f t="shared" si="0"/>
        <v/>
      </c>
      <c r="K25" t="str">
        <f t="shared" si="1"/>
        <v/>
      </c>
      <c r="L25" t="str">
        <f t="shared" si="2"/>
        <v/>
      </c>
      <c r="M25" t="str">
        <f t="shared" si="3"/>
        <v/>
      </c>
      <c r="N25" t="str">
        <f t="shared" si="4"/>
        <v/>
      </c>
    </row>
    <row r="26" spans="1:14" x14ac:dyDescent="0.25">
      <c r="A26" t="str">
        <v/>
      </c>
      <c r="J26" t="str">
        <f t="shared" si="0"/>
        <v/>
      </c>
      <c r="K26" t="str">
        <f t="shared" si="1"/>
        <v/>
      </c>
      <c r="L26" t="str">
        <f t="shared" si="2"/>
        <v/>
      </c>
      <c r="M26" t="str">
        <f t="shared" si="3"/>
        <v/>
      </c>
      <c r="N26" t="str">
        <f t="shared" si="4"/>
        <v/>
      </c>
    </row>
    <row r="27" spans="1:14" x14ac:dyDescent="0.25">
      <c r="A27" t="str">
        <v/>
      </c>
      <c r="J27" t="str">
        <f t="shared" si="0"/>
        <v/>
      </c>
      <c r="K27" t="str">
        <f t="shared" si="1"/>
        <v/>
      </c>
      <c r="L27" t="str">
        <f t="shared" si="2"/>
        <v/>
      </c>
      <c r="M27" t="str">
        <f t="shared" si="3"/>
        <v/>
      </c>
      <c r="N27" t="str">
        <f t="shared" si="4"/>
        <v/>
      </c>
    </row>
    <row r="28" spans="1:14" x14ac:dyDescent="0.25">
      <c r="A28" t="str">
        <v/>
      </c>
      <c r="J28" t="str">
        <f t="shared" si="0"/>
        <v/>
      </c>
      <c r="K28" t="str">
        <f t="shared" si="1"/>
        <v/>
      </c>
      <c r="L28" t="str">
        <f t="shared" si="2"/>
        <v/>
      </c>
      <c r="M28" t="str">
        <f t="shared" si="3"/>
        <v/>
      </c>
      <c r="N28" t="str">
        <f t="shared" si="4"/>
        <v/>
      </c>
    </row>
    <row r="29" spans="1:14" x14ac:dyDescent="0.25">
      <c r="A29" t="str">
        <v/>
      </c>
      <c r="J29" t="str">
        <f t="shared" si="0"/>
        <v/>
      </c>
      <c r="K29" t="str">
        <f t="shared" si="1"/>
        <v/>
      </c>
      <c r="L29" t="str">
        <f t="shared" si="2"/>
        <v/>
      </c>
      <c r="M29" t="str">
        <f t="shared" si="3"/>
        <v/>
      </c>
      <c r="N29" t="str">
        <f t="shared" si="4"/>
        <v/>
      </c>
    </row>
    <row r="30" spans="1:14" x14ac:dyDescent="0.25">
      <c r="A30" t="str">
        <v/>
      </c>
      <c r="J30" t="str">
        <f t="shared" si="0"/>
        <v/>
      </c>
      <c r="K30" t="str">
        <f t="shared" si="1"/>
        <v/>
      </c>
      <c r="L30" t="str">
        <f t="shared" si="2"/>
        <v/>
      </c>
      <c r="M30" t="str">
        <f t="shared" si="3"/>
        <v/>
      </c>
      <c r="N30" t="str">
        <f t="shared" si="4"/>
        <v/>
      </c>
    </row>
    <row r="31" spans="1:14" x14ac:dyDescent="0.25">
      <c r="A31" t="str">
        <v/>
      </c>
      <c r="J31" t="str">
        <f t="shared" si="0"/>
        <v/>
      </c>
      <c r="K31" t="str">
        <f t="shared" si="1"/>
        <v/>
      </c>
      <c r="L31" t="str">
        <f t="shared" si="2"/>
        <v/>
      </c>
      <c r="M31" t="str">
        <f t="shared" si="3"/>
        <v/>
      </c>
      <c r="N31" t="str">
        <f t="shared" si="4"/>
        <v/>
      </c>
    </row>
    <row r="32" spans="1:14" x14ac:dyDescent="0.25">
      <c r="A32" t="str">
        <v/>
      </c>
      <c r="J32" t="str">
        <f t="shared" si="0"/>
        <v/>
      </c>
      <c r="K32" t="str">
        <f t="shared" si="1"/>
        <v/>
      </c>
      <c r="L32" t="str">
        <f t="shared" si="2"/>
        <v/>
      </c>
      <c r="M32" t="str">
        <f t="shared" si="3"/>
        <v/>
      </c>
      <c r="N32" t="str">
        <f t="shared" si="4"/>
        <v/>
      </c>
    </row>
    <row r="33" spans="1:14" x14ac:dyDescent="0.25">
      <c r="A33" t="str">
        <v/>
      </c>
      <c r="J33" t="str">
        <f t="shared" si="0"/>
        <v/>
      </c>
      <c r="K33" t="str">
        <f t="shared" si="1"/>
        <v/>
      </c>
      <c r="L33" t="str">
        <f t="shared" si="2"/>
        <v/>
      </c>
      <c r="M33" t="str">
        <f t="shared" si="3"/>
        <v/>
      </c>
      <c r="N33" t="str">
        <f t="shared" si="4"/>
        <v/>
      </c>
    </row>
    <row r="34" spans="1:14" x14ac:dyDescent="0.25">
      <c r="A34" t="str">
        <v/>
      </c>
      <c r="J34" t="str">
        <f t="shared" si="0"/>
        <v/>
      </c>
      <c r="K34" t="str">
        <f t="shared" si="1"/>
        <v/>
      </c>
      <c r="L34" t="str">
        <f t="shared" si="2"/>
        <v/>
      </c>
      <c r="M34" t="str">
        <f t="shared" si="3"/>
        <v/>
      </c>
      <c r="N34" t="str">
        <f t="shared" si="4"/>
        <v/>
      </c>
    </row>
    <row r="35" spans="1:14" x14ac:dyDescent="0.25">
      <c r="A35" t="str">
        <v/>
      </c>
      <c r="J35" t="str">
        <f t="shared" si="0"/>
        <v/>
      </c>
      <c r="K35" t="str">
        <f t="shared" si="1"/>
        <v/>
      </c>
      <c r="L35" t="str">
        <f t="shared" si="2"/>
        <v/>
      </c>
      <c r="M35" t="str">
        <f t="shared" si="3"/>
        <v/>
      </c>
      <c r="N35" t="str">
        <f t="shared" si="4"/>
        <v/>
      </c>
    </row>
    <row r="36" spans="1:14" x14ac:dyDescent="0.25">
      <c r="A36" t="str">
        <v/>
      </c>
      <c r="J36" t="str">
        <f t="shared" si="0"/>
        <v/>
      </c>
      <c r="K36" t="str">
        <f t="shared" si="1"/>
        <v/>
      </c>
      <c r="L36" t="str">
        <f t="shared" si="2"/>
        <v/>
      </c>
      <c r="M36" t="str">
        <f t="shared" si="3"/>
        <v/>
      </c>
      <c r="N36" t="str">
        <f t="shared" si="4"/>
        <v/>
      </c>
    </row>
    <row r="37" spans="1:14" x14ac:dyDescent="0.25">
      <c r="A37" t="str">
        <v/>
      </c>
      <c r="J37" t="str">
        <f t="shared" si="0"/>
        <v/>
      </c>
      <c r="K37" t="str">
        <f t="shared" si="1"/>
        <v/>
      </c>
      <c r="L37" t="str">
        <f t="shared" si="2"/>
        <v/>
      </c>
      <c r="M37" t="str">
        <f t="shared" si="3"/>
        <v/>
      </c>
      <c r="N37" t="str">
        <f t="shared" si="4"/>
        <v/>
      </c>
    </row>
    <row r="38" spans="1:14" x14ac:dyDescent="0.25">
      <c r="A38" t="str">
        <v/>
      </c>
      <c r="J38" t="str">
        <f t="shared" si="0"/>
        <v/>
      </c>
      <c r="K38" t="str">
        <f t="shared" si="1"/>
        <v/>
      </c>
      <c r="L38" t="str">
        <f t="shared" si="2"/>
        <v/>
      </c>
      <c r="M38" t="str">
        <f t="shared" si="3"/>
        <v/>
      </c>
      <c r="N38" t="str">
        <f t="shared" si="4"/>
        <v/>
      </c>
    </row>
    <row r="39" spans="1:14" x14ac:dyDescent="0.25">
      <c r="A39" t="str">
        <v/>
      </c>
      <c r="J39" t="str">
        <f t="shared" si="0"/>
        <v/>
      </c>
      <c r="K39" t="str">
        <f t="shared" si="1"/>
        <v/>
      </c>
      <c r="L39" t="str">
        <f t="shared" si="2"/>
        <v/>
      </c>
      <c r="M39" t="str">
        <f t="shared" si="3"/>
        <v/>
      </c>
      <c r="N39" t="str">
        <f t="shared" si="4"/>
        <v/>
      </c>
    </row>
    <row r="40" spans="1:14" x14ac:dyDescent="0.25">
      <c r="A40" t="str">
        <v/>
      </c>
      <c r="J40" t="str">
        <f t="shared" si="0"/>
        <v/>
      </c>
      <c r="K40" t="str">
        <f t="shared" si="1"/>
        <v/>
      </c>
      <c r="L40" t="str">
        <f t="shared" si="2"/>
        <v/>
      </c>
      <c r="M40" t="str">
        <f t="shared" si="3"/>
        <v/>
      </c>
      <c r="N40" t="str">
        <f t="shared" si="4"/>
        <v/>
      </c>
    </row>
    <row r="41" spans="1:14" x14ac:dyDescent="0.25">
      <c r="A41" t="str">
        <v/>
      </c>
      <c r="J41" t="str">
        <f t="shared" si="0"/>
        <v/>
      </c>
      <c r="K41" t="str">
        <f t="shared" si="1"/>
        <v/>
      </c>
      <c r="L41" t="str">
        <f t="shared" si="2"/>
        <v/>
      </c>
      <c r="M41" t="str">
        <f t="shared" si="3"/>
        <v/>
      </c>
      <c r="N41" t="str">
        <f t="shared" si="4"/>
        <v/>
      </c>
    </row>
    <row r="42" spans="1:14" x14ac:dyDescent="0.25">
      <c r="A42" t="str">
        <v/>
      </c>
      <c r="J42" t="str">
        <f t="shared" si="0"/>
        <v/>
      </c>
      <c r="K42" t="str">
        <f t="shared" si="1"/>
        <v/>
      </c>
      <c r="L42" t="str">
        <f t="shared" si="2"/>
        <v/>
      </c>
      <c r="M42" t="str">
        <f t="shared" si="3"/>
        <v/>
      </c>
      <c r="N42" t="str">
        <f t="shared" si="4"/>
        <v/>
      </c>
    </row>
    <row r="43" spans="1:14" x14ac:dyDescent="0.25">
      <c r="A43" t="str">
        <v/>
      </c>
      <c r="J43" t="str">
        <f t="shared" si="0"/>
        <v/>
      </c>
      <c r="K43" t="str">
        <f t="shared" si="1"/>
        <v/>
      </c>
      <c r="L43" t="str">
        <f t="shared" si="2"/>
        <v/>
      </c>
      <c r="M43" t="str">
        <f t="shared" si="3"/>
        <v/>
      </c>
      <c r="N43" t="str">
        <f t="shared" si="4"/>
        <v/>
      </c>
    </row>
    <row r="44" spans="1:14" x14ac:dyDescent="0.25">
      <c r="A44" t="str">
        <v/>
      </c>
      <c r="J44" t="str">
        <f t="shared" si="0"/>
        <v/>
      </c>
      <c r="K44" t="str">
        <f t="shared" si="1"/>
        <v/>
      </c>
      <c r="L44" t="str">
        <f t="shared" si="2"/>
        <v/>
      </c>
      <c r="M44" t="str">
        <f t="shared" si="3"/>
        <v/>
      </c>
      <c r="N44" t="str">
        <f t="shared" si="4"/>
        <v/>
      </c>
    </row>
    <row r="45" spans="1:14" x14ac:dyDescent="0.25">
      <c r="A45" t="str">
        <v/>
      </c>
      <c r="J45" t="str">
        <f t="shared" si="0"/>
        <v/>
      </c>
      <c r="K45" t="str">
        <f t="shared" si="1"/>
        <v/>
      </c>
      <c r="L45" t="str">
        <f t="shared" si="2"/>
        <v/>
      </c>
      <c r="M45" t="str">
        <f t="shared" si="3"/>
        <v/>
      </c>
      <c r="N45" t="str">
        <f t="shared" si="4"/>
        <v/>
      </c>
    </row>
    <row r="46" spans="1:14" x14ac:dyDescent="0.25">
      <c r="A46" t="str">
        <v/>
      </c>
      <c r="J46" t="str">
        <f t="shared" si="0"/>
        <v/>
      </c>
      <c r="K46" t="str">
        <f t="shared" si="1"/>
        <v/>
      </c>
      <c r="L46" t="str">
        <f t="shared" si="2"/>
        <v/>
      </c>
      <c r="M46" t="str">
        <f t="shared" si="3"/>
        <v/>
      </c>
      <c r="N46" t="str">
        <f t="shared" si="4"/>
        <v/>
      </c>
    </row>
    <row r="47" spans="1:14" x14ac:dyDescent="0.25">
      <c r="A47" t="str">
        <v/>
      </c>
      <c r="J47" t="str">
        <f t="shared" si="0"/>
        <v/>
      </c>
      <c r="K47" t="str">
        <f t="shared" si="1"/>
        <v/>
      </c>
      <c r="L47" t="str">
        <f t="shared" si="2"/>
        <v/>
      </c>
      <c r="M47" t="str">
        <f t="shared" si="3"/>
        <v/>
      </c>
      <c r="N47" t="str">
        <f t="shared" si="4"/>
        <v/>
      </c>
    </row>
    <row r="48" spans="1:14" x14ac:dyDescent="0.25">
      <c r="A48" t="str">
        <v/>
      </c>
      <c r="J48" t="str">
        <f t="shared" si="0"/>
        <v/>
      </c>
      <c r="K48" t="str">
        <f t="shared" si="1"/>
        <v/>
      </c>
      <c r="L48" t="str">
        <f t="shared" si="2"/>
        <v/>
      </c>
      <c r="M48" t="str">
        <f t="shared" si="3"/>
        <v/>
      </c>
      <c r="N48" t="str">
        <f t="shared" si="4"/>
        <v/>
      </c>
    </row>
    <row r="49" spans="1:14" x14ac:dyDescent="0.25">
      <c r="A49" t="str">
        <v/>
      </c>
      <c r="J49" t="str">
        <f t="shared" si="0"/>
        <v/>
      </c>
      <c r="K49" t="str">
        <f t="shared" si="1"/>
        <v/>
      </c>
      <c r="L49" t="str">
        <f t="shared" si="2"/>
        <v/>
      </c>
      <c r="M49" t="str">
        <f t="shared" si="3"/>
        <v/>
      </c>
      <c r="N49" t="str">
        <f t="shared" si="4"/>
        <v/>
      </c>
    </row>
    <row r="50" spans="1:14" x14ac:dyDescent="0.25">
      <c r="A50" t="str">
        <v/>
      </c>
      <c r="J50" t="str">
        <f t="shared" si="0"/>
        <v/>
      </c>
      <c r="K50" t="str">
        <f t="shared" si="1"/>
        <v/>
      </c>
      <c r="L50" t="str">
        <f t="shared" si="2"/>
        <v/>
      </c>
      <c r="M50" t="str">
        <f t="shared" si="3"/>
        <v/>
      </c>
      <c r="N50" t="str">
        <f t="shared" si="4"/>
        <v/>
      </c>
    </row>
    <row r="51" spans="1:14" x14ac:dyDescent="0.25">
      <c r="A51" t="str">
        <v/>
      </c>
      <c r="J51" t="str">
        <f t="shared" si="0"/>
        <v/>
      </c>
      <c r="K51" t="str">
        <f t="shared" si="1"/>
        <v/>
      </c>
      <c r="L51" t="str">
        <f t="shared" si="2"/>
        <v/>
      </c>
      <c r="M51" t="str">
        <f t="shared" si="3"/>
        <v/>
      </c>
      <c r="N51" t="str">
        <f t="shared" si="4"/>
        <v/>
      </c>
    </row>
    <row r="52" spans="1:14" x14ac:dyDescent="0.25">
      <c r="A52" t="str">
        <v/>
      </c>
      <c r="J52" t="str">
        <f>IF($B52="","",_xlfn.LET(_xlpm.pu,_xlfn.XLOOKUP($I52,$N$3:$N$300,$O$3:$O$300,""),IF(_xlpm.pu&lt;&gt;"",_xlpm.pu,$D52)))</f>
        <v/>
      </c>
      <c r="K52" t="str">
        <f t="shared" si="1"/>
        <v/>
      </c>
      <c r="L52" t="str">
        <f t="shared" si="2"/>
        <v/>
      </c>
      <c r="M52" t="str">
        <f t="shared" si="3"/>
        <v/>
      </c>
    </row>
    <row r="53" spans="1:14" x14ac:dyDescent="0.25">
      <c r="A53" t="str">
        <v/>
      </c>
      <c r="J53" t="str">
        <f t="shared" si="0"/>
        <v/>
      </c>
      <c r="K53" t="str">
        <f t="shared" si="1"/>
        <v/>
      </c>
      <c r="L53" t="str">
        <f t="shared" si="2"/>
        <v/>
      </c>
      <c r="M53" t="str">
        <f t="shared" si="3"/>
        <v/>
      </c>
    </row>
    <row r="54" spans="1:14" x14ac:dyDescent="0.25">
      <c r="A54" t="str">
        <v/>
      </c>
      <c r="J54" t="str">
        <f t="shared" si="0"/>
        <v/>
      </c>
      <c r="K54" t="str">
        <f t="shared" si="1"/>
        <v/>
      </c>
      <c r="L54" t="str">
        <f t="shared" si="2"/>
        <v/>
      </c>
      <c r="M54" t="str">
        <f t="shared" si="3"/>
        <v/>
      </c>
    </row>
    <row r="55" spans="1:14" x14ac:dyDescent="0.25">
      <c r="A55" t="str">
        <v/>
      </c>
      <c r="J55" t="str">
        <f t="shared" si="0"/>
        <v/>
      </c>
      <c r="K55" t="str">
        <f t="shared" si="1"/>
        <v/>
      </c>
      <c r="L55" t="str">
        <f t="shared" si="2"/>
        <v/>
      </c>
      <c r="M55" t="str">
        <f t="shared" si="3"/>
        <v/>
      </c>
    </row>
    <row r="56" spans="1:14" x14ac:dyDescent="0.25">
      <c r="A56" t="str">
        <v/>
      </c>
      <c r="J56" t="str">
        <f t="shared" si="0"/>
        <v/>
      </c>
      <c r="K56" t="str">
        <f t="shared" si="1"/>
        <v/>
      </c>
      <c r="L56" t="str">
        <f t="shared" si="2"/>
        <v/>
      </c>
      <c r="M56" t="str">
        <f t="shared" si="3"/>
        <v/>
      </c>
    </row>
    <row r="57" spans="1:14" x14ac:dyDescent="0.25">
      <c r="A57" t="str">
        <v/>
      </c>
      <c r="J57" t="str">
        <f t="shared" si="0"/>
        <v/>
      </c>
      <c r="K57" t="str">
        <f t="shared" si="1"/>
        <v/>
      </c>
      <c r="L57" t="str">
        <f t="shared" si="2"/>
        <v/>
      </c>
      <c r="M57" t="str">
        <f t="shared" si="3"/>
        <v/>
      </c>
    </row>
    <row r="58" spans="1:14" x14ac:dyDescent="0.25">
      <c r="A58" t="str">
        <v/>
      </c>
      <c r="J58" t="str">
        <f t="shared" si="0"/>
        <v/>
      </c>
      <c r="K58" t="str">
        <f t="shared" si="1"/>
        <v/>
      </c>
      <c r="L58" t="str">
        <f t="shared" si="2"/>
        <v/>
      </c>
      <c r="M58" t="str">
        <f t="shared" si="3"/>
        <v/>
      </c>
    </row>
    <row r="59" spans="1:14" x14ac:dyDescent="0.25">
      <c r="A59" t="str">
        <v/>
      </c>
      <c r="J59" t="str">
        <f t="shared" si="0"/>
        <v/>
      </c>
      <c r="K59" t="str">
        <f t="shared" si="1"/>
        <v/>
      </c>
      <c r="L59" t="str">
        <f t="shared" si="2"/>
        <v/>
      </c>
      <c r="M59" t="str">
        <f t="shared" si="3"/>
        <v/>
      </c>
    </row>
    <row r="60" spans="1:14" x14ac:dyDescent="0.25">
      <c r="A60" t="str">
        <v/>
      </c>
      <c r="J60" t="str">
        <f t="shared" si="0"/>
        <v/>
      </c>
      <c r="K60" t="str">
        <f t="shared" si="1"/>
        <v/>
      </c>
      <c r="L60" t="str">
        <f t="shared" si="2"/>
        <v/>
      </c>
      <c r="M60" t="str">
        <f t="shared" si="3"/>
        <v/>
      </c>
    </row>
    <row r="61" spans="1:14" x14ac:dyDescent="0.25">
      <c r="A61" t="str">
        <v/>
      </c>
      <c r="J61" t="str">
        <f t="shared" si="0"/>
        <v/>
      </c>
      <c r="K61" t="str">
        <f t="shared" si="1"/>
        <v/>
      </c>
      <c r="L61" t="str">
        <f t="shared" si="2"/>
        <v/>
      </c>
      <c r="M61" t="str">
        <f t="shared" si="3"/>
        <v/>
      </c>
    </row>
    <row r="62" spans="1:14" x14ac:dyDescent="0.25">
      <c r="A62" t="str">
        <v/>
      </c>
      <c r="K62" t="str">
        <f t="shared" si="1"/>
        <v/>
      </c>
      <c r="L62" t="str">
        <f t="shared" si="2"/>
        <v/>
      </c>
      <c r="M62" t="str">
        <f t="shared" si="3"/>
        <v/>
      </c>
    </row>
    <row r="63" spans="1:14" x14ac:dyDescent="0.25">
      <c r="A63" t="str">
        <v/>
      </c>
      <c r="K63" t="str">
        <f t="shared" si="1"/>
        <v/>
      </c>
      <c r="L63" t="str">
        <f t="shared" si="2"/>
        <v/>
      </c>
      <c r="M63" t="str">
        <f t="shared" si="3"/>
        <v/>
      </c>
    </row>
    <row r="64" spans="1:14" x14ac:dyDescent="0.25">
      <c r="A64" t="str">
        <v/>
      </c>
      <c r="K64" t="str">
        <f t="shared" si="1"/>
        <v/>
      </c>
      <c r="L64" t="str">
        <f t="shared" si="2"/>
        <v/>
      </c>
      <c r="M64" t="str">
        <f t="shared" si="3"/>
        <v/>
      </c>
    </row>
    <row r="65" spans="1:13" x14ac:dyDescent="0.25">
      <c r="A65" t="str">
        <v/>
      </c>
      <c r="K65" t="str">
        <f t="shared" si="1"/>
        <v/>
      </c>
      <c r="L65" t="str">
        <f t="shared" si="2"/>
        <v/>
      </c>
      <c r="M65" t="str">
        <f t="shared" si="3"/>
        <v/>
      </c>
    </row>
    <row r="66" spans="1:13" x14ac:dyDescent="0.25">
      <c r="A66" t="str">
        <v/>
      </c>
      <c r="K66" t="str">
        <f t="shared" si="1"/>
        <v/>
      </c>
      <c r="L66" t="str">
        <f t="shared" si="2"/>
        <v/>
      </c>
      <c r="M66" t="str">
        <f t="shared" si="3"/>
        <v/>
      </c>
    </row>
    <row r="67" spans="1:13" x14ac:dyDescent="0.25">
      <c r="A67" t="str">
        <v/>
      </c>
      <c r="K67" t="str">
        <f t="shared" si="1"/>
        <v/>
      </c>
      <c r="L67" t="str">
        <f t="shared" si="2"/>
        <v/>
      </c>
      <c r="M67" t="str">
        <f t="shared" si="3"/>
        <v/>
      </c>
    </row>
    <row r="68" spans="1:13" x14ac:dyDescent="0.25">
      <c r="A68" t="str">
        <v/>
      </c>
      <c r="K68" t="str">
        <f t="shared" ref="K68:K131" si="5">IF($B68="","",_xlfn.LET(_xlpm.pu,_xlfn.XLOOKUP($I68,$N$3:$N$300,$O$3:$O$300,""),_xlpm.ps,_xlfn.XLOOKUP($I68,$N$3:$N$300,$P$3:$P$300,""),_xlpm.oq,_xlfn.XLOOKUP($I68,$N$3:$N$300,$Q$3:$Q$300,""),_xlpm.base,$H68,IF(_xlpm.oq&lt;&gt;"",_xlpm.oq,IF(_xlpm.ps="",_xlpm.base,IF(OR(_xlpm.pu="",_xlpm.pu=$D68),CEILING(_xlpm.base,_xlpm.ps),CEILING(_xlpm.base/_xlpm.ps,1))))))</f>
        <v/>
      </c>
      <c r="L68" t="str">
        <f t="shared" ref="L68:L131" si="6">IF($B68="","",_xlfn.LET(_xlpm.orate,_xlfn.XLOOKUP($I68,$N$3:$N$300,$R$3:$R$300,""),IF(_xlpm.orate&lt;&gt;"",_xlpm.orate,$E68)))</f>
        <v/>
      </c>
      <c r="M68" t="str">
        <f t="shared" ref="M68:M127" si="7">IF($B68="","",$K68*$L68)</f>
        <v/>
      </c>
    </row>
    <row r="69" spans="1:13" x14ac:dyDescent="0.25">
      <c r="A69" t="str">
        <v/>
      </c>
      <c r="K69" t="str">
        <f t="shared" si="5"/>
        <v/>
      </c>
      <c r="L69" t="str">
        <f t="shared" si="6"/>
        <v/>
      </c>
      <c r="M69" t="str">
        <f t="shared" si="7"/>
        <v/>
      </c>
    </row>
    <row r="70" spans="1:13" x14ac:dyDescent="0.25">
      <c r="A70" t="str">
        <v/>
      </c>
      <c r="K70" t="str">
        <f t="shared" si="5"/>
        <v/>
      </c>
      <c r="L70" t="str">
        <f t="shared" si="6"/>
        <v/>
      </c>
      <c r="M70" t="str">
        <f t="shared" si="7"/>
        <v/>
      </c>
    </row>
    <row r="71" spans="1:13" x14ac:dyDescent="0.25">
      <c r="A71" t="str">
        <v/>
      </c>
      <c r="K71" t="str">
        <f t="shared" si="5"/>
        <v/>
      </c>
      <c r="L71" t="str">
        <f t="shared" si="6"/>
        <v/>
      </c>
      <c r="M71" t="str">
        <f t="shared" si="7"/>
        <v/>
      </c>
    </row>
    <row r="72" spans="1:13" x14ac:dyDescent="0.25">
      <c r="A72" t="str">
        <v/>
      </c>
      <c r="K72" t="str">
        <f t="shared" si="5"/>
        <v/>
      </c>
      <c r="L72" t="str">
        <f t="shared" si="6"/>
        <v/>
      </c>
      <c r="M72" t="str">
        <f t="shared" si="7"/>
        <v/>
      </c>
    </row>
    <row r="73" spans="1:13" x14ac:dyDescent="0.25">
      <c r="A73" t="str">
        <v/>
      </c>
      <c r="K73" t="str">
        <f t="shared" si="5"/>
        <v/>
      </c>
      <c r="L73" t="str">
        <f t="shared" si="6"/>
        <v/>
      </c>
      <c r="M73" t="str">
        <f t="shared" si="7"/>
        <v/>
      </c>
    </row>
    <row r="74" spans="1:13" x14ac:dyDescent="0.25">
      <c r="A74" t="str">
        <v/>
      </c>
      <c r="K74" t="str">
        <f t="shared" si="5"/>
        <v/>
      </c>
      <c r="L74" t="str">
        <f t="shared" si="6"/>
        <v/>
      </c>
      <c r="M74" t="str">
        <f t="shared" si="7"/>
        <v/>
      </c>
    </row>
    <row r="75" spans="1:13" x14ac:dyDescent="0.25">
      <c r="A75" t="str">
        <v/>
      </c>
      <c r="K75" t="str">
        <f t="shared" si="5"/>
        <v/>
      </c>
      <c r="L75" t="str">
        <f t="shared" si="6"/>
        <v/>
      </c>
      <c r="M75" t="str">
        <f t="shared" si="7"/>
        <v/>
      </c>
    </row>
    <row r="76" spans="1:13" x14ac:dyDescent="0.25">
      <c r="A76" t="str">
        <v/>
      </c>
      <c r="K76" t="str">
        <f t="shared" si="5"/>
        <v/>
      </c>
      <c r="L76" t="str">
        <f t="shared" si="6"/>
        <v/>
      </c>
      <c r="M76" t="str">
        <f t="shared" si="7"/>
        <v/>
      </c>
    </row>
    <row r="77" spans="1:13" x14ac:dyDescent="0.25">
      <c r="A77" t="str">
        <v/>
      </c>
      <c r="K77" t="str">
        <f t="shared" si="5"/>
        <v/>
      </c>
      <c r="L77" t="str">
        <f t="shared" si="6"/>
        <v/>
      </c>
      <c r="M77" t="str">
        <f t="shared" si="7"/>
        <v/>
      </c>
    </row>
    <row r="78" spans="1:13" x14ac:dyDescent="0.25">
      <c r="A78" t="str">
        <v/>
      </c>
      <c r="K78" t="str">
        <f t="shared" si="5"/>
        <v/>
      </c>
      <c r="L78" t="str">
        <f t="shared" si="6"/>
        <v/>
      </c>
      <c r="M78" t="str">
        <f t="shared" si="7"/>
        <v/>
      </c>
    </row>
    <row r="79" spans="1:13" x14ac:dyDescent="0.25">
      <c r="A79" t="str">
        <v/>
      </c>
      <c r="K79" t="str">
        <f t="shared" si="5"/>
        <v/>
      </c>
      <c r="L79" t="str">
        <f t="shared" si="6"/>
        <v/>
      </c>
      <c r="M79" t="str">
        <f t="shared" si="7"/>
        <v/>
      </c>
    </row>
    <row r="80" spans="1:13" x14ac:dyDescent="0.25">
      <c r="A80" t="str">
        <v/>
      </c>
      <c r="K80" t="str">
        <f t="shared" si="5"/>
        <v/>
      </c>
      <c r="L80" t="str">
        <f t="shared" si="6"/>
        <v/>
      </c>
      <c r="M80" t="str">
        <f t="shared" si="7"/>
        <v/>
      </c>
    </row>
    <row r="81" spans="1:13" x14ac:dyDescent="0.25">
      <c r="A81" t="str">
        <v/>
      </c>
      <c r="K81" t="str">
        <f t="shared" si="5"/>
        <v/>
      </c>
      <c r="L81" t="str">
        <f t="shared" si="6"/>
        <v/>
      </c>
      <c r="M81" t="str">
        <f t="shared" si="7"/>
        <v/>
      </c>
    </row>
    <row r="82" spans="1:13" x14ac:dyDescent="0.25">
      <c r="A82" t="str">
        <v/>
      </c>
      <c r="K82" t="str">
        <f t="shared" si="5"/>
        <v/>
      </c>
      <c r="L82" t="str">
        <f t="shared" si="6"/>
        <v/>
      </c>
      <c r="M82" t="str">
        <f t="shared" si="7"/>
        <v/>
      </c>
    </row>
    <row r="83" spans="1:13" x14ac:dyDescent="0.25">
      <c r="A83" t="str">
        <v/>
      </c>
      <c r="K83" t="str">
        <f t="shared" si="5"/>
        <v/>
      </c>
      <c r="L83" t="str">
        <f t="shared" si="6"/>
        <v/>
      </c>
      <c r="M83" t="str">
        <f t="shared" si="7"/>
        <v/>
      </c>
    </row>
    <row r="84" spans="1:13" x14ac:dyDescent="0.25">
      <c r="A84" t="str">
        <v/>
      </c>
      <c r="K84" t="str">
        <f t="shared" si="5"/>
        <v/>
      </c>
      <c r="L84" t="str">
        <f t="shared" si="6"/>
        <v/>
      </c>
      <c r="M84" t="str">
        <f t="shared" si="7"/>
        <v/>
      </c>
    </row>
    <row r="85" spans="1:13" x14ac:dyDescent="0.25">
      <c r="A85" t="str">
        <v/>
      </c>
      <c r="K85" t="str">
        <f t="shared" si="5"/>
        <v/>
      </c>
      <c r="L85" t="str">
        <f t="shared" si="6"/>
        <v/>
      </c>
      <c r="M85" t="str">
        <f t="shared" si="7"/>
        <v/>
      </c>
    </row>
    <row r="86" spans="1:13" x14ac:dyDescent="0.25">
      <c r="A86" t="str">
        <v/>
      </c>
      <c r="K86" t="str">
        <f t="shared" si="5"/>
        <v/>
      </c>
      <c r="L86" t="str">
        <f t="shared" si="6"/>
        <v/>
      </c>
      <c r="M86" t="str">
        <f t="shared" si="7"/>
        <v/>
      </c>
    </row>
    <row r="87" spans="1:13" x14ac:dyDescent="0.25">
      <c r="A87" t="str">
        <v/>
      </c>
      <c r="K87" t="str">
        <f t="shared" si="5"/>
        <v/>
      </c>
      <c r="L87" t="str">
        <f t="shared" si="6"/>
        <v/>
      </c>
      <c r="M87" t="str">
        <f t="shared" si="7"/>
        <v/>
      </c>
    </row>
    <row r="88" spans="1:13" x14ac:dyDescent="0.25">
      <c r="A88" t="str">
        <v/>
      </c>
      <c r="K88" t="str">
        <f t="shared" si="5"/>
        <v/>
      </c>
      <c r="L88" t="str">
        <f t="shared" si="6"/>
        <v/>
      </c>
      <c r="M88" t="str">
        <f t="shared" si="7"/>
        <v/>
      </c>
    </row>
    <row r="89" spans="1:13" x14ac:dyDescent="0.25">
      <c r="A89" t="str">
        <v/>
      </c>
      <c r="K89" t="str">
        <f t="shared" si="5"/>
        <v/>
      </c>
      <c r="L89" t="str">
        <f t="shared" si="6"/>
        <v/>
      </c>
      <c r="M89" t="str">
        <f t="shared" si="7"/>
        <v/>
      </c>
    </row>
    <row r="90" spans="1:13" x14ac:dyDescent="0.25">
      <c r="A90" t="str">
        <v/>
      </c>
      <c r="K90" t="str">
        <f t="shared" si="5"/>
        <v/>
      </c>
      <c r="L90" t="str">
        <f t="shared" si="6"/>
        <v/>
      </c>
      <c r="M90" t="str">
        <f t="shared" si="7"/>
        <v/>
      </c>
    </row>
    <row r="91" spans="1:13" x14ac:dyDescent="0.25">
      <c r="A91" t="str">
        <v/>
      </c>
      <c r="K91" t="str">
        <f t="shared" si="5"/>
        <v/>
      </c>
      <c r="L91" t="str">
        <f t="shared" si="6"/>
        <v/>
      </c>
      <c r="M91" t="str">
        <f t="shared" si="7"/>
        <v/>
      </c>
    </row>
    <row r="92" spans="1:13" x14ac:dyDescent="0.25">
      <c r="A92" t="str">
        <v/>
      </c>
      <c r="K92" t="str">
        <f t="shared" si="5"/>
        <v/>
      </c>
      <c r="L92" t="str">
        <f t="shared" si="6"/>
        <v/>
      </c>
      <c r="M92" t="str">
        <f t="shared" si="7"/>
        <v/>
      </c>
    </row>
    <row r="93" spans="1:13" x14ac:dyDescent="0.25">
      <c r="A93" t="str">
        <v/>
      </c>
      <c r="K93" t="str">
        <f t="shared" si="5"/>
        <v/>
      </c>
      <c r="L93" t="str">
        <f t="shared" si="6"/>
        <v/>
      </c>
      <c r="M93" t="str">
        <f t="shared" si="7"/>
        <v/>
      </c>
    </row>
    <row r="94" spans="1:13" x14ac:dyDescent="0.25">
      <c r="A94" t="str">
        <v/>
      </c>
      <c r="K94" t="str">
        <f t="shared" si="5"/>
        <v/>
      </c>
      <c r="L94" t="str">
        <f t="shared" si="6"/>
        <v/>
      </c>
      <c r="M94" t="str">
        <f t="shared" si="7"/>
        <v/>
      </c>
    </row>
    <row r="95" spans="1:13" x14ac:dyDescent="0.25">
      <c r="A95" t="str">
        <v/>
      </c>
      <c r="K95" t="str">
        <f t="shared" si="5"/>
        <v/>
      </c>
      <c r="L95" t="str">
        <f t="shared" si="6"/>
        <v/>
      </c>
      <c r="M95" t="str">
        <f t="shared" si="7"/>
        <v/>
      </c>
    </row>
    <row r="96" spans="1:13" x14ac:dyDescent="0.25">
      <c r="A96" t="str">
        <v/>
      </c>
      <c r="K96" t="str">
        <f t="shared" si="5"/>
        <v/>
      </c>
      <c r="L96" t="str">
        <f t="shared" si="6"/>
        <v/>
      </c>
      <c r="M96" t="str">
        <f t="shared" si="7"/>
        <v/>
      </c>
    </row>
    <row r="97" spans="1:13" x14ac:dyDescent="0.25">
      <c r="A97" t="str">
        <v/>
      </c>
      <c r="K97" t="str">
        <f t="shared" si="5"/>
        <v/>
      </c>
      <c r="L97" t="str">
        <f t="shared" si="6"/>
        <v/>
      </c>
      <c r="M97" t="str">
        <f t="shared" si="7"/>
        <v/>
      </c>
    </row>
    <row r="98" spans="1:13" x14ac:dyDescent="0.25">
      <c r="A98" t="str">
        <v/>
      </c>
      <c r="K98" t="str">
        <f t="shared" si="5"/>
        <v/>
      </c>
      <c r="L98" t="str">
        <f t="shared" si="6"/>
        <v/>
      </c>
      <c r="M98" t="str">
        <f t="shared" si="7"/>
        <v/>
      </c>
    </row>
    <row r="99" spans="1:13" x14ac:dyDescent="0.25">
      <c r="A99" t="str">
        <v/>
      </c>
      <c r="K99" t="str">
        <f t="shared" si="5"/>
        <v/>
      </c>
      <c r="L99" t="str">
        <f t="shared" si="6"/>
        <v/>
      </c>
      <c r="M99" t="str">
        <f t="shared" si="7"/>
        <v/>
      </c>
    </row>
    <row r="100" spans="1:13" x14ac:dyDescent="0.25">
      <c r="A100" t="str">
        <v/>
      </c>
      <c r="K100" t="str">
        <f t="shared" si="5"/>
        <v/>
      </c>
      <c r="L100" t="str">
        <f t="shared" si="6"/>
        <v/>
      </c>
      <c r="M100" t="str">
        <f t="shared" si="7"/>
        <v/>
      </c>
    </row>
    <row r="101" spans="1:13" x14ac:dyDescent="0.25">
      <c r="A101" t="str">
        <v/>
      </c>
      <c r="K101" t="str">
        <f t="shared" si="5"/>
        <v/>
      </c>
      <c r="L101" t="str">
        <f t="shared" si="6"/>
        <v/>
      </c>
      <c r="M101" t="str">
        <f t="shared" si="7"/>
        <v/>
      </c>
    </row>
    <row r="102" spans="1:13" x14ac:dyDescent="0.25">
      <c r="A102" t="str">
        <v/>
      </c>
      <c r="K102" t="str">
        <f t="shared" si="5"/>
        <v/>
      </c>
      <c r="L102" t="str">
        <f t="shared" si="6"/>
        <v/>
      </c>
      <c r="M102" t="str">
        <f t="shared" si="7"/>
        <v/>
      </c>
    </row>
    <row r="103" spans="1:13" x14ac:dyDescent="0.25">
      <c r="A103" t="str">
        <v/>
      </c>
      <c r="K103" t="str">
        <f t="shared" si="5"/>
        <v/>
      </c>
      <c r="L103" t="str">
        <f t="shared" si="6"/>
        <v/>
      </c>
      <c r="M103" t="str">
        <f t="shared" si="7"/>
        <v/>
      </c>
    </row>
    <row r="104" spans="1:13" x14ac:dyDescent="0.25">
      <c r="A104" t="str">
        <v/>
      </c>
      <c r="K104" t="str">
        <f t="shared" si="5"/>
        <v/>
      </c>
      <c r="L104" t="str">
        <f t="shared" si="6"/>
        <v/>
      </c>
      <c r="M104" t="str">
        <f t="shared" si="7"/>
        <v/>
      </c>
    </row>
    <row r="105" spans="1:13" x14ac:dyDescent="0.25">
      <c r="A105" t="str">
        <v/>
      </c>
      <c r="K105" t="str">
        <f t="shared" si="5"/>
        <v/>
      </c>
      <c r="L105" t="str">
        <f t="shared" si="6"/>
        <v/>
      </c>
      <c r="M105" t="str">
        <f t="shared" si="7"/>
        <v/>
      </c>
    </row>
    <row r="106" spans="1:13" x14ac:dyDescent="0.25">
      <c r="A106" t="str">
        <v/>
      </c>
      <c r="K106" t="str">
        <f t="shared" si="5"/>
        <v/>
      </c>
      <c r="L106" t="str">
        <f t="shared" si="6"/>
        <v/>
      </c>
      <c r="M106" t="str">
        <f t="shared" si="7"/>
        <v/>
      </c>
    </row>
    <row r="107" spans="1:13" x14ac:dyDescent="0.25">
      <c r="A107" t="str">
        <v/>
      </c>
      <c r="K107" t="str">
        <f t="shared" si="5"/>
        <v/>
      </c>
      <c r="L107" t="str">
        <f t="shared" si="6"/>
        <v/>
      </c>
      <c r="M107" t="str">
        <f t="shared" si="7"/>
        <v/>
      </c>
    </row>
    <row r="108" spans="1:13" x14ac:dyDescent="0.25">
      <c r="A108" t="str">
        <v/>
      </c>
      <c r="K108" t="str">
        <f t="shared" si="5"/>
        <v/>
      </c>
      <c r="L108" t="str">
        <f t="shared" si="6"/>
        <v/>
      </c>
      <c r="M108" t="str">
        <f t="shared" si="7"/>
        <v/>
      </c>
    </row>
    <row r="109" spans="1:13" x14ac:dyDescent="0.25">
      <c r="A109" t="str">
        <v/>
      </c>
      <c r="K109" t="str">
        <f t="shared" si="5"/>
        <v/>
      </c>
      <c r="L109" t="str">
        <f t="shared" si="6"/>
        <v/>
      </c>
      <c r="M109" t="str">
        <f t="shared" si="7"/>
        <v/>
      </c>
    </row>
    <row r="110" spans="1:13" x14ac:dyDescent="0.25">
      <c r="A110" t="str">
        <v/>
      </c>
      <c r="K110" t="str">
        <f t="shared" si="5"/>
        <v/>
      </c>
      <c r="L110" t="str">
        <f t="shared" si="6"/>
        <v/>
      </c>
      <c r="M110" t="str">
        <f t="shared" si="7"/>
        <v/>
      </c>
    </row>
    <row r="111" spans="1:13" x14ac:dyDescent="0.25">
      <c r="A111" t="str">
        <v/>
      </c>
      <c r="K111" t="str">
        <f t="shared" si="5"/>
        <v/>
      </c>
      <c r="L111" t="str">
        <f t="shared" si="6"/>
        <v/>
      </c>
      <c r="M111" t="str">
        <f t="shared" si="7"/>
        <v/>
      </c>
    </row>
    <row r="112" spans="1:13" x14ac:dyDescent="0.25">
      <c r="A112" t="str">
        <v/>
      </c>
      <c r="K112" t="str">
        <f t="shared" si="5"/>
        <v/>
      </c>
      <c r="L112" t="str">
        <f t="shared" si="6"/>
        <v/>
      </c>
      <c r="M112" t="str">
        <f t="shared" si="7"/>
        <v/>
      </c>
    </row>
    <row r="113" spans="1:13" x14ac:dyDescent="0.25">
      <c r="A113" t="str">
        <v/>
      </c>
      <c r="K113" t="str">
        <f t="shared" si="5"/>
        <v/>
      </c>
      <c r="L113" t="str">
        <f t="shared" si="6"/>
        <v/>
      </c>
      <c r="M113" t="str">
        <f t="shared" si="7"/>
        <v/>
      </c>
    </row>
    <row r="114" spans="1:13" x14ac:dyDescent="0.25">
      <c r="A114" t="str">
        <v/>
      </c>
      <c r="K114" t="str">
        <f t="shared" si="5"/>
        <v/>
      </c>
      <c r="L114" t="str">
        <f t="shared" si="6"/>
        <v/>
      </c>
      <c r="M114" t="str">
        <f t="shared" si="7"/>
        <v/>
      </c>
    </row>
    <row r="115" spans="1:13" x14ac:dyDescent="0.25">
      <c r="A115" t="str">
        <v/>
      </c>
      <c r="K115" t="str">
        <f t="shared" si="5"/>
        <v/>
      </c>
      <c r="L115" t="str">
        <f t="shared" si="6"/>
        <v/>
      </c>
      <c r="M115" t="str">
        <f t="shared" si="7"/>
        <v/>
      </c>
    </row>
    <row r="116" spans="1:13" x14ac:dyDescent="0.25">
      <c r="A116" t="str">
        <v/>
      </c>
      <c r="K116" t="str">
        <f t="shared" si="5"/>
        <v/>
      </c>
      <c r="L116" t="str">
        <f t="shared" si="6"/>
        <v/>
      </c>
      <c r="M116" t="str">
        <f t="shared" si="7"/>
        <v/>
      </c>
    </row>
    <row r="117" spans="1:13" x14ac:dyDescent="0.25">
      <c r="A117" t="str">
        <v/>
      </c>
      <c r="K117" t="str">
        <f t="shared" si="5"/>
        <v/>
      </c>
      <c r="L117" t="str">
        <f t="shared" si="6"/>
        <v/>
      </c>
      <c r="M117" t="str">
        <f t="shared" si="7"/>
        <v/>
      </c>
    </row>
    <row r="118" spans="1:13" x14ac:dyDescent="0.25">
      <c r="A118" t="str">
        <v/>
      </c>
      <c r="K118" t="str">
        <f t="shared" si="5"/>
        <v/>
      </c>
      <c r="L118" t="str">
        <f t="shared" si="6"/>
        <v/>
      </c>
      <c r="M118" t="str">
        <f t="shared" si="7"/>
        <v/>
      </c>
    </row>
    <row r="119" spans="1:13" x14ac:dyDescent="0.25">
      <c r="A119" t="str">
        <v/>
      </c>
      <c r="K119" t="str">
        <f t="shared" si="5"/>
        <v/>
      </c>
      <c r="L119" t="str">
        <f t="shared" si="6"/>
        <v/>
      </c>
      <c r="M119" t="str">
        <f t="shared" si="7"/>
        <v/>
      </c>
    </row>
    <row r="120" spans="1:13" x14ac:dyDescent="0.25">
      <c r="A120" t="str">
        <v/>
      </c>
      <c r="K120" t="str">
        <f t="shared" si="5"/>
        <v/>
      </c>
      <c r="L120" t="str">
        <f t="shared" si="6"/>
        <v/>
      </c>
      <c r="M120" t="str">
        <f t="shared" si="7"/>
        <v/>
      </c>
    </row>
    <row r="121" spans="1:13" x14ac:dyDescent="0.25">
      <c r="A121" t="str">
        <v/>
      </c>
      <c r="K121" t="str">
        <f t="shared" si="5"/>
        <v/>
      </c>
      <c r="L121" t="str">
        <f t="shared" si="6"/>
        <v/>
      </c>
      <c r="M121" t="str">
        <f t="shared" si="7"/>
        <v/>
      </c>
    </row>
    <row r="122" spans="1:13" x14ac:dyDescent="0.25">
      <c r="A122" t="str">
        <v/>
      </c>
      <c r="K122" t="str">
        <f t="shared" si="5"/>
        <v/>
      </c>
      <c r="L122" t="str">
        <f t="shared" si="6"/>
        <v/>
      </c>
      <c r="M122" t="str">
        <f t="shared" si="7"/>
        <v/>
      </c>
    </row>
    <row r="123" spans="1:13" x14ac:dyDescent="0.25">
      <c r="A123" t="str">
        <v/>
      </c>
      <c r="K123" t="str">
        <f t="shared" si="5"/>
        <v/>
      </c>
      <c r="L123" t="str">
        <f t="shared" si="6"/>
        <v/>
      </c>
      <c r="M123" t="str">
        <f t="shared" si="7"/>
        <v/>
      </c>
    </row>
    <row r="124" spans="1:13" x14ac:dyDescent="0.25">
      <c r="A124" t="str">
        <v/>
      </c>
      <c r="K124" t="str">
        <f t="shared" si="5"/>
        <v/>
      </c>
      <c r="L124" t="str">
        <f t="shared" si="6"/>
        <v/>
      </c>
      <c r="M124" t="str">
        <f t="shared" si="7"/>
        <v/>
      </c>
    </row>
    <row r="125" spans="1:13" x14ac:dyDescent="0.25">
      <c r="A125" t="str">
        <v/>
      </c>
      <c r="K125" t="str">
        <f t="shared" si="5"/>
        <v/>
      </c>
      <c r="L125" t="str">
        <f t="shared" si="6"/>
        <v/>
      </c>
      <c r="M125" t="str">
        <f t="shared" si="7"/>
        <v/>
      </c>
    </row>
    <row r="126" spans="1:13" x14ac:dyDescent="0.25">
      <c r="A126" t="str">
        <v/>
      </c>
      <c r="K126" t="str">
        <f t="shared" si="5"/>
        <v/>
      </c>
      <c r="L126" t="str">
        <f t="shared" si="6"/>
        <v/>
      </c>
      <c r="M126" t="str">
        <f t="shared" si="7"/>
        <v/>
      </c>
    </row>
    <row r="127" spans="1:13" x14ac:dyDescent="0.25">
      <c r="A127" t="str">
        <v/>
      </c>
      <c r="K127" t="str">
        <f t="shared" si="5"/>
        <v/>
      </c>
      <c r="L127" t="str">
        <f t="shared" si="6"/>
        <v/>
      </c>
      <c r="M127" t="str">
        <f t="shared" si="7"/>
        <v/>
      </c>
    </row>
    <row r="128" spans="1:13" x14ac:dyDescent="0.25">
      <c r="A128" t="str">
        <v/>
      </c>
      <c r="K128" t="str">
        <f t="shared" si="5"/>
        <v/>
      </c>
      <c r="L128" t="str">
        <f t="shared" si="6"/>
        <v/>
      </c>
    </row>
    <row r="129" spans="1:12" x14ac:dyDescent="0.25">
      <c r="A129" t="str">
        <v/>
      </c>
      <c r="K129" t="str">
        <f t="shared" si="5"/>
        <v/>
      </c>
      <c r="L129" t="str">
        <f t="shared" si="6"/>
        <v/>
      </c>
    </row>
    <row r="130" spans="1:12" x14ac:dyDescent="0.25">
      <c r="A130" t="str">
        <v/>
      </c>
      <c r="K130" t="str">
        <f t="shared" si="5"/>
        <v/>
      </c>
      <c r="L130" t="str">
        <f t="shared" si="6"/>
        <v/>
      </c>
    </row>
    <row r="131" spans="1:12" x14ac:dyDescent="0.25">
      <c r="A131" t="str">
        <v/>
      </c>
      <c r="K131" t="str">
        <f t="shared" si="5"/>
        <v/>
      </c>
      <c r="L131" t="str">
        <f t="shared" si="6"/>
        <v/>
      </c>
    </row>
    <row r="132" spans="1:12" x14ac:dyDescent="0.25">
      <c r="A132" t="str">
        <v/>
      </c>
      <c r="K132" t="str">
        <f t="shared" ref="K132:K195" si="8">IF($B132="","",_xlfn.LET(_xlpm.pu,_xlfn.XLOOKUP($I132,$N$3:$N$300,$O$3:$O$300,""),_xlpm.ps,_xlfn.XLOOKUP($I132,$N$3:$N$300,$P$3:$P$300,""),_xlpm.oq,_xlfn.XLOOKUP($I132,$N$3:$N$300,$Q$3:$Q$300,""),_xlpm.base,$H132,IF(_xlpm.oq&lt;&gt;"",_xlpm.oq,IF(_xlpm.ps="",_xlpm.base,IF(OR(_xlpm.pu="",_xlpm.pu=$D132),CEILING(_xlpm.base,_xlpm.ps),CEILING(_xlpm.base/_xlpm.ps,1))))))</f>
        <v/>
      </c>
    </row>
    <row r="133" spans="1:12" x14ac:dyDescent="0.25">
      <c r="A133" t="str">
        <v/>
      </c>
      <c r="K133" t="str">
        <f t="shared" si="8"/>
        <v/>
      </c>
    </row>
    <row r="134" spans="1:12" x14ac:dyDescent="0.25">
      <c r="A134" t="str">
        <v/>
      </c>
      <c r="K134" t="str">
        <f t="shared" si="8"/>
        <v/>
      </c>
    </row>
    <row r="135" spans="1:12" x14ac:dyDescent="0.25">
      <c r="A135" t="str">
        <v/>
      </c>
      <c r="K135" t="str">
        <f t="shared" si="8"/>
        <v/>
      </c>
    </row>
    <row r="136" spans="1:12" x14ac:dyDescent="0.25">
      <c r="A136" t="str">
        <v/>
      </c>
      <c r="K136" t="str">
        <f t="shared" si="8"/>
        <v/>
      </c>
    </row>
    <row r="137" spans="1:12" x14ac:dyDescent="0.25">
      <c r="A137" t="str">
        <v/>
      </c>
      <c r="K137" t="str">
        <f t="shared" si="8"/>
        <v/>
      </c>
    </row>
    <row r="138" spans="1:12" x14ac:dyDescent="0.25">
      <c r="A138" t="str">
        <v/>
      </c>
      <c r="K138" t="str">
        <f t="shared" si="8"/>
        <v/>
      </c>
    </row>
    <row r="139" spans="1:12" x14ac:dyDescent="0.25">
      <c r="A139" t="str">
        <v/>
      </c>
      <c r="K139" t="str">
        <f t="shared" si="8"/>
        <v/>
      </c>
    </row>
    <row r="140" spans="1:12" x14ac:dyDescent="0.25">
      <c r="A140" t="str">
        <v/>
      </c>
      <c r="K140" t="str">
        <f t="shared" si="8"/>
        <v/>
      </c>
    </row>
    <row r="141" spans="1:12" x14ac:dyDescent="0.25">
      <c r="A141" t="str">
        <v/>
      </c>
      <c r="K141" t="str">
        <f t="shared" si="8"/>
        <v/>
      </c>
    </row>
    <row r="142" spans="1:12" x14ac:dyDescent="0.25">
      <c r="A142" t="str">
        <v/>
      </c>
      <c r="K142" t="str">
        <f t="shared" si="8"/>
        <v/>
      </c>
    </row>
    <row r="143" spans="1:12" x14ac:dyDescent="0.25">
      <c r="A143" t="str">
        <v/>
      </c>
      <c r="K143" t="str">
        <f t="shared" si="8"/>
        <v/>
      </c>
    </row>
    <row r="144" spans="1:12" x14ac:dyDescent="0.25">
      <c r="A144" t="str">
        <v/>
      </c>
      <c r="K144" t="str">
        <f t="shared" si="8"/>
        <v/>
      </c>
    </row>
    <row r="145" spans="1:11" x14ac:dyDescent="0.25">
      <c r="A145" t="str">
        <v/>
      </c>
      <c r="K145" t="str">
        <f t="shared" si="8"/>
        <v/>
      </c>
    </row>
    <row r="146" spans="1:11" x14ac:dyDescent="0.25">
      <c r="A146" t="str">
        <v/>
      </c>
      <c r="K146" t="str">
        <f t="shared" si="8"/>
        <v/>
      </c>
    </row>
    <row r="147" spans="1:11" x14ac:dyDescent="0.25">
      <c r="A147" t="str">
        <v/>
      </c>
      <c r="K147" t="str">
        <f t="shared" si="8"/>
        <v/>
      </c>
    </row>
    <row r="148" spans="1:11" x14ac:dyDescent="0.25">
      <c r="A148" t="str">
        <v/>
      </c>
      <c r="K148" t="str">
        <f t="shared" si="8"/>
        <v/>
      </c>
    </row>
    <row r="149" spans="1:11" x14ac:dyDescent="0.25">
      <c r="A149" t="str">
        <v/>
      </c>
      <c r="K149" t="str">
        <f t="shared" si="8"/>
        <v/>
      </c>
    </row>
    <row r="150" spans="1:11" x14ac:dyDescent="0.25">
      <c r="A150" t="str">
        <v/>
      </c>
      <c r="K150" t="str">
        <f t="shared" si="8"/>
        <v/>
      </c>
    </row>
    <row r="151" spans="1:11" x14ac:dyDescent="0.25">
      <c r="A151" t="str">
        <v/>
      </c>
      <c r="K151" t="str">
        <f t="shared" si="8"/>
        <v/>
      </c>
    </row>
    <row r="152" spans="1:11" x14ac:dyDescent="0.25">
      <c r="A152" t="str">
        <v/>
      </c>
      <c r="K152" t="str">
        <f t="shared" si="8"/>
        <v/>
      </c>
    </row>
    <row r="153" spans="1:11" x14ac:dyDescent="0.25">
      <c r="A153" t="str">
        <v/>
      </c>
      <c r="K153" t="str">
        <f t="shared" si="8"/>
        <v/>
      </c>
    </row>
    <row r="154" spans="1:11" x14ac:dyDescent="0.25">
      <c r="A154" t="str">
        <v/>
      </c>
      <c r="K154" t="str">
        <f t="shared" si="8"/>
        <v/>
      </c>
    </row>
    <row r="155" spans="1:11" x14ac:dyDescent="0.25">
      <c r="A155" t="str">
        <v/>
      </c>
      <c r="K155" t="str">
        <f t="shared" si="8"/>
        <v/>
      </c>
    </row>
    <row r="156" spans="1:11" x14ac:dyDescent="0.25">
      <c r="A156" t="str">
        <v/>
      </c>
      <c r="K156" t="str">
        <f t="shared" si="8"/>
        <v/>
      </c>
    </row>
    <row r="157" spans="1:11" x14ac:dyDescent="0.25">
      <c r="A157" t="str">
        <v/>
      </c>
      <c r="K157" t="str">
        <f t="shared" si="8"/>
        <v/>
      </c>
    </row>
    <row r="158" spans="1:11" x14ac:dyDescent="0.25">
      <c r="A158" t="str">
        <v/>
      </c>
      <c r="K158" t="str">
        <f t="shared" si="8"/>
        <v/>
      </c>
    </row>
    <row r="159" spans="1:11" x14ac:dyDescent="0.25">
      <c r="A159" t="str">
        <v/>
      </c>
      <c r="K159" t="str">
        <f t="shared" si="8"/>
        <v/>
      </c>
    </row>
    <row r="160" spans="1:11" x14ac:dyDescent="0.25">
      <c r="A160" t="str">
        <v/>
      </c>
      <c r="K160" t="str">
        <f t="shared" si="8"/>
        <v/>
      </c>
    </row>
    <row r="161" spans="1:11" x14ac:dyDescent="0.25">
      <c r="A161" t="str">
        <v/>
      </c>
      <c r="K161" t="str">
        <f t="shared" si="8"/>
        <v/>
      </c>
    </row>
    <row r="162" spans="1:11" x14ac:dyDescent="0.25">
      <c r="A162" t="str">
        <v/>
      </c>
      <c r="K162" t="str">
        <f t="shared" si="8"/>
        <v/>
      </c>
    </row>
    <row r="163" spans="1:11" x14ac:dyDescent="0.25">
      <c r="A163" t="str">
        <v/>
      </c>
      <c r="K163" t="str">
        <f t="shared" si="8"/>
        <v/>
      </c>
    </row>
    <row r="164" spans="1:11" x14ac:dyDescent="0.25">
      <c r="A164" t="str">
        <v/>
      </c>
      <c r="K164" t="str">
        <f t="shared" si="8"/>
        <v/>
      </c>
    </row>
    <row r="165" spans="1:11" x14ac:dyDescent="0.25">
      <c r="A165" t="str">
        <v/>
      </c>
      <c r="K165" t="str">
        <f t="shared" si="8"/>
        <v/>
      </c>
    </row>
    <row r="166" spans="1:11" x14ac:dyDescent="0.25">
      <c r="A166" t="str">
        <v/>
      </c>
      <c r="K166" t="str">
        <f t="shared" si="8"/>
        <v/>
      </c>
    </row>
    <row r="167" spans="1:11" x14ac:dyDescent="0.25">
      <c r="A167" t="str">
        <v/>
      </c>
      <c r="K167" t="str">
        <f t="shared" si="8"/>
        <v/>
      </c>
    </row>
    <row r="168" spans="1:11" x14ac:dyDescent="0.25">
      <c r="A168" t="str">
        <v/>
      </c>
      <c r="K168" t="str">
        <f t="shared" si="8"/>
        <v/>
      </c>
    </row>
    <row r="169" spans="1:11" x14ac:dyDescent="0.25">
      <c r="A169" t="str">
        <v/>
      </c>
      <c r="K169" t="str">
        <f t="shared" si="8"/>
        <v/>
      </c>
    </row>
    <row r="170" spans="1:11" x14ac:dyDescent="0.25">
      <c r="A170" t="str">
        <v/>
      </c>
      <c r="K170" t="str">
        <f t="shared" si="8"/>
        <v/>
      </c>
    </row>
    <row r="171" spans="1:11" x14ac:dyDescent="0.25">
      <c r="A171" t="str">
        <v/>
      </c>
      <c r="K171" t="str">
        <f t="shared" si="8"/>
        <v/>
      </c>
    </row>
    <row r="172" spans="1:11" x14ac:dyDescent="0.25">
      <c r="A172" t="str">
        <v/>
      </c>
      <c r="K172" t="str">
        <f t="shared" si="8"/>
        <v/>
      </c>
    </row>
    <row r="173" spans="1:11" x14ac:dyDescent="0.25">
      <c r="A173" t="str">
        <v/>
      </c>
      <c r="K173" t="str">
        <f t="shared" si="8"/>
        <v/>
      </c>
    </row>
    <row r="174" spans="1:11" x14ac:dyDescent="0.25">
      <c r="A174" t="str">
        <v/>
      </c>
      <c r="K174" t="str">
        <f t="shared" si="8"/>
        <v/>
      </c>
    </row>
    <row r="175" spans="1:11" x14ac:dyDescent="0.25">
      <c r="A175" t="str">
        <v/>
      </c>
      <c r="K175" t="str">
        <f t="shared" si="8"/>
        <v/>
      </c>
    </row>
    <row r="176" spans="1:11" x14ac:dyDescent="0.25">
      <c r="A176" t="str">
        <v/>
      </c>
      <c r="K176" t="str">
        <f t="shared" si="8"/>
        <v/>
      </c>
    </row>
    <row r="177" spans="1:11" x14ac:dyDescent="0.25">
      <c r="A177" t="str">
        <v/>
      </c>
      <c r="K177" t="str">
        <f t="shared" si="8"/>
        <v/>
      </c>
    </row>
    <row r="178" spans="1:11" x14ac:dyDescent="0.25">
      <c r="A178" t="str">
        <v/>
      </c>
      <c r="K178" t="str">
        <f t="shared" si="8"/>
        <v/>
      </c>
    </row>
    <row r="179" spans="1:11" x14ac:dyDescent="0.25">
      <c r="A179" t="str">
        <v/>
      </c>
      <c r="K179" t="str">
        <f t="shared" si="8"/>
        <v/>
      </c>
    </row>
    <row r="180" spans="1:11" x14ac:dyDescent="0.25">
      <c r="A180" t="str">
        <v/>
      </c>
      <c r="K180" t="str">
        <f t="shared" si="8"/>
        <v/>
      </c>
    </row>
    <row r="181" spans="1:11" x14ac:dyDescent="0.25">
      <c r="A181" t="str">
        <v/>
      </c>
      <c r="K181" t="str">
        <f t="shared" si="8"/>
        <v/>
      </c>
    </row>
    <row r="182" spans="1:11" x14ac:dyDescent="0.25">
      <c r="A182" t="str">
        <v/>
      </c>
      <c r="K182" t="str">
        <f t="shared" si="8"/>
        <v/>
      </c>
    </row>
    <row r="183" spans="1:11" x14ac:dyDescent="0.25">
      <c r="A183" t="str">
        <v/>
      </c>
      <c r="K183" t="str">
        <f t="shared" si="8"/>
        <v/>
      </c>
    </row>
    <row r="184" spans="1:11" x14ac:dyDescent="0.25">
      <c r="A184" t="str">
        <v/>
      </c>
      <c r="K184" t="str">
        <f t="shared" si="8"/>
        <v/>
      </c>
    </row>
    <row r="185" spans="1:11" x14ac:dyDescent="0.25">
      <c r="A185" t="str">
        <v/>
      </c>
      <c r="K185" t="str">
        <f t="shared" si="8"/>
        <v/>
      </c>
    </row>
    <row r="186" spans="1:11" x14ac:dyDescent="0.25">
      <c r="A186" t="str">
        <v/>
      </c>
      <c r="K186" t="str">
        <f t="shared" si="8"/>
        <v/>
      </c>
    </row>
    <row r="187" spans="1:11" x14ac:dyDescent="0.25">
      <c r="A187" t="str">
        <v/>
      </c>
      <c r="K187" t="str">
        <f t="shared" si="8"/>
        <v/>
      </c>
    </row>
    <row r="188" spans="1:11" x14ac:dyDescent="0.25">
      <c r="A188" t="str">
        <v/>
      </c>
      <c r="K188" t="str">
        <f t="shared" si="8"/>
        <v/>
      </c>
    </row>
    <row r="189" spans="1:11" x14ac:dyDescent="0.25">
      <c r="A189" t="str">
        <v/>
      </c>
      <c r="K189" t="str">
        <f t="shared" si="8"/>
        <v/>
      </c>
    </row>
    <row r="190" spans="1:11" x14ac:dyDescent="0.25">
      <c r="A190" t="str">
        <v/>
      </c>
      <c r="K190" t="str">
        <f t="shared" si="8"/>
        <v/>
      </c>
    </row>
    <row r="191" spans="1:11" x14ac:dyDescent="0.25">
      <c r="A191" t="str">
        <v/>
      </c>
      <c r="K191" t="str">
        <f t="shared" si="8"/>
        <v/>
      </c>
    </row>
    <row r="192" spans="1:11" x14ac:dyDescent="0.25">
      <c r="A192" t="str">
        <v/>
      </c>
      <c r="K192" t="str">
        <f t="shared" si="8"/>
        <v/>
      </c>
    </row>
    <row r="193" spans="1:11" x14ac:dyDescent="0.25">
      <c r="A193" t="str">
        <v/>
      </c>
      <c r="K193" t="str">
        <f t="shared" si="8"/>
        <v/>
      </c>
    </row>
    <row r="194" spans="1:11" x14ac:dyDescent="0.25">
      <c r="A194" t="str">
        <v/>
      </c>
      <c r="K194" t="str">
        <f t="shared" si="8"/>
        <v/>
      </c>
    </row>
    <row r="195" spans="1:11" x14ac:dyDescent="0.25">
      <c r="A195" t="str">
        <v/>
      </c>
      <c r="K195" t="str">
        <f t="shared" si="8"/>
        <v/>
      </c>
    </row>
    <row r="196" spans="1:11" x14ac:dyDescent="0.25">
      <c r="A196" t="str">
        <v/>
      </c>
      <c r="K196" t="str">
        <f t="shared" ref="K196:K259" si="9">IF($B196="","",_xlfn.LET(_xlpm.pu,_xlfn.XLOOKUP($I196,$N$3:$N$300,$O$3:$O$300,""),_xlpm.ps,_xlfn.XLOOKUP($I196,$N$3:$N$300,$P$3:$P$300,""),_xlpm.oq,_xlfn.XLOOKUP($I196,$N$3:$N$300,$Q$3:$Q$300,""),_xlpm.base,$H196,IF(_xlpm.oq&lt;&gt;"",_xlpm.oq,IF(_xlpm.ps="",_xlpm.base,IF(OR(_xlpm.pu="",_xlpm.pu=$D196),CEILING(_xlpm.base,_xlpm.ps),CEILING(_xlpm.base/_xlpm.ps,1))))))</f>
        <v/>
      </c>
    </row>
    <row r="197" spans="1:11" x14ac:dyDescent="0.25">
      <c r="A197" t="str">
        <v/>
      </c>
      <c r="K197" t="str">
        <f t="shared" si="9"/>
        <v/>
      </c>
    </row>
    <row r="198" spans="1:11" x14ac:dyDescent="0.25">
      <c r="A198" t="str">
        <v/>
      </c>
      <c r="K198" t="str">
        <f t="shared" si="9"/>
        <v/>
      </c>
    </row>
    <row r="199" spans="1:11" x14ac:dyDescent="0.25">
      <c r="A199" t="str">
        <v/>
      </c>
      <c r="K199" t="str">
        <f t="shared" si="9"/>
        <v/>
      </c>
    </row>
    <row r="200" spans="1:11" x14ac:dyDescent="0.25">
      <c r="A200" t="str">
        <v/>
      </c>
      <c r="K200" t="str">
        <f t="shared" si="9"/>
        <v/>
      </c>
    </row>
    <row r="201" spans="1:11" x14ac:dyDescent="0.25">
      <c r="A201" t="str">
        <v/>
      </c>
      <c r="K201" t="str">
        <f t="shared" si="9"/>
        <v/>
      </c>
    </row>
    <row r="202" spans="1:11" x14ac:dyDescent="0.25">
      <c r="A202" t="str">
        <v/>
      </c>
      <c r="K202" t="str">
        <f t="shared" si="9"/>
        <v/>
      </c>
    </row>
    <row r="203" spans="1:11" x14ac:dyDescent="0.25">
      <c r="A203" t="str">
        <v/>
      </c>
      <c r="K203" t="str">
        <f t="shared" si="9"/>
        <v/>
      </c>
    </row>
    <row r="204" spans="1:11" x14ac:dyDescent="0.25">
      <c r="A204" t="str">
        <v/>
      </c>
      <c r="K204" t="str">
        <f t="shared" si="9"/>
        <v/>
      </c>
    </row>
    <row r="205" spans="1:11" x14ac:dyDescent="0.25">
      <c r="A205" t="str">
        <v/>
      </c>
      <c r="K205" t="str">
        <f t="shared" si="9"/>
        <v/>
      </c>
    </row>
    <row r="206" spans="1:11" x14ac:dyDescent="0.25">
      <c r="A206" t="str">
        <v/>
      </c>
      <c r="K206" t="str">
        <f t="shared" si="9"/>
        <v/>
      </c>
    </row>
    <row r="207" spans="1:11" x14ac:dyDescent="0.25">
      <c r="A207" t="str">
        <v/>
      </c>
      <c r="K207" t="str">
        <f t="shared" si="9"/>
        <v/>
      </c>
    </row>
    <row r="208" spans="1:11" x14ac:dyDescent="0.25">
      <c r="A208" t="str">
        <v/>
      </c>
      <c r="K208" t="str">
        <f t="shared" si="9"/>
        <v/>
      </c>
    </row>
    <row r="209" spans="1:11" x14ac:dyDescent="0.25">
      <c r="A209" t="str">
        <v/>
      </c>
      <c r="K209" t="str">
        <f t="shared" si="9"/>
        <v/>
      </c>
    </row>
    <row r="210" spans="1:11" x14ac:dyDescent="0.25">
      <c r="A210" t="str">
        <v/>
      </c>
      <c r="K210" t="str">
        <f t="shared" si="9"/>
        <v/>
      </c>
    </row>
    <row r="211" spans="1:11" x14ac:dyDescent="0.25">
      <c r="A211" t="str">
        <v/>
      </c>
      <c r="K211" t="str">
        <f t="shared" si="9"/>
        <v/>
      </c>
    </row>
    <row r="212" spans="1:11" x14ac:dyDescent="0.25">
      <c r="A212" t="str">
        <v/>
      </c>
      <c r="K212" t="str">
        <f t="shared" si="9"/>
        <v/>
      </c>
    </row>
    <row r="213" spans="1:11" x14ac:dyDescent="0.25">
      <c r="A213" t="str">
        <v/>
      </c>
      <c r="K213" t="str">
        <f t="shared" si="9"/>
        <v/>
      </c>
    </row>
    <row r="214" spans="1:11" x14ac:dyDescent="0.25">
      <c r="A214" t="str">
        <v/>
      </c>
      <c r="K214" t="str">
        <f t="shared" si="9"/>
        <v/>
      </c>
    </row>
    <row r="215" spans="1:11" x14ac:dyDescent="0.25">
      <c r="A215" t="str">
        <v/>
      </c>
      <c r="K215" t="str">
        <f t="shared" si="9"/>
        <v/>
      </c>
    </row>
    <row r="216" spans="1:11" x14ac:dyDescent="0.25">
      <c r="A216" t="str">
        <v/>
      </c>
      <c r="K216" t="str">
        <f t="shared" si="9"/>
        <v/>
      </c>
    </row>
    <row r="217" spans="1:11" x14ac:dyDescent="0.25">
      <c r="A217" t="str">
        <v/>
      </c>
      <c r="K217" t="str">
        <f t="shared" si="9"/>
        <v/>
      </c>
    </row>
    <row r="218" spans="1:11" x14ac:dyDescent="0.25">
      <c r="A218" t="str">
        <v/>
      </c>
      <c r="K218" t="str">
        <f t="shared" si="9"/>
        <v/>
      </c>
    </row>
    <row r="219" spans="1:11" x14ac:dyDescent="0.25">
      <c r="A219" t="str">
        <v/>
      </c>
      <c r="K219" t="str">
        <f t="shared" si="9"/>
        <v/>
      </c>
    </row>
    <row r="220" spans="1:11" x14ac:dyDescent="0.25">
      <c r="A220" t="str">
        <v/>
      </c>
      <c r="K220" t="str">
        <f t="shared" si="9"/>
        <v/>
      </c>
    </row>
    <row r="221" spans="1:11" x14ac:dyDescent="0.25">
      <c r="A221" t="str">
        <v/>
      </c>
      <c r="K221" t="str">
        <f t="shared" si="9"/>
        <v/>
      </c>
    </row>
    <row r="222" spans="1:11" x14ac:dyDescent="0.25">
      <c r="A222" t="str">
        <v/>
      </c>
      <c r="K222" t="str">
        <f t="shared" si="9"/>
        <v/>
      </c>
    </row>
    <row r="223" spans="1:11" x14ac:dyDescent="0.25">
      <c r="A223" t="str">
        <v/>
      </c>
      <c r="K223" t="str">
        <f t="shared" si="9"/>
        <v/>
      </c>
    </row>
    <row r="224" spans="1:11" x14ac:dyDescent="0.25">
      <c r="A224" t="str">
        <v/>
      </c>
      <c r="K224" t="str">
        <f t="shared" si="9"/>
        <v/>
      </c>
    </row>
    <row r="225" spans="1:11" x14ac:dyDescent="0.25">
      <c r="A225" t="str">
        <v/>
      </c>
      <c r="K225" t="str">
        <f t="shared" si="9"/>
        <v/>
      </c>
    </row>
    <row r="226" spans="1:11" x14ac:dyDescent="0.25">
      <c r="A226" t="str">
        <v/>
      </c>
      <c r="K226" t="str">
        <f t="shared" si="9"/>
        <v/>
      </c>
    </row>
    <row r="227" spans="1:11" x14ac:dyDescent="0.25">
      <c r="A227" t="str">
        <v/>
      </c>
      <c r="K227" t="str">
        <f t="shared" si="9"/>
        <v/>
      </c>
    </row>
    <row r="228" spans="1:11" x14ac:dyDescent="0.25">
      <c r="A228" t="str">
        <v/>
      </c>
      <c r="K228" t="str">
        <f t="shared" si="9"/>
        <v/>
      </c>
    </row>
    <row r="229" spans="1:11" x14ac:dyDescent="0.25">
      <c r="A229" t="str">
        <v/>
      </c>
      <c r="K229" t="str">
        <f t="shared" si="9"/>
        <v/>
      </c>
    </row>
    <row r="230" spans="1:11" x14ac:dyDescent="0.25">
      <c r="A230" t="str">
        <v/>
      </c>
      <c r="K230" t="str">
        <f t="shared" si="9"/>
        <v/>
      </c>
    </row>
    <row r="231" spans="1:11" x14ac:dyDescent="0.25">
      <c r="A231" t="str">
        <v/>
      </c>
      <c r="K231" t="str">
        <f t="shared" si="9"/>
        <v/>
      </c>
    </row>
    <row r="232" spans="1:11" x14ac:dyDescent="0.25">
      <c r="A232" t="str">
        <v/>
      </c>
      <c r="K232" t="str">
        <f t="shared" si="9"/>
        <v/>
      </c>
    </row>
    <row r="233" spans="1:11" x14ac:dyDescent="0.25">
      <c r="A233" t="str">
        <v/>
      </c>
      <c r="K233" t="str">
        <f t="shared" si="9"/>
        <v/>
      </c>
    </row>
    <row r="234" spans="1:11" x14ac:dyDescent="0.25">
      <c r="A234" t="str">
        <v/>
      </c>
      <c r="K234" t="str">
        <f t="shared" si="9"/>
        <v/>
      </c>
    </row>
    <row r="235" spans="1:11" x14ac:dyDescent="0.25">
      <c r="A235" t="str">
        <v/>
      </c>
      <c r="K235" t="str">
        <f t="shared" si="9"/>
        <v/>
      </c>
    </row>
    <row r="236" spans="1:11" x14ac:dyDescent="0.25">
      <c r="A236" t="str">
        <v/>
      </c>
      <c r="K236" t="str">
        <f t="shared" si="9"/>
        <v/>
      </c>
    </row>
    <row r="237" spans="1:11" x14ac:dyDescent="0.25">
      <c r="A237" t="str">
        <v/>
      </c>
      <c r="K237" t="str">
        <f t="shared" si="9"/>
        <v/>
      </c>
    </row>
    <row r="238" spans="1:11" x14ac:dyDescent="0.25">
      <c r="A238" t="str">
        <v/>
      </c>
      <c r="K238" t="str">
        <f t="shared" si="9"/>
        <v/>
      </c>
    </row>
    <row r="239" spans="1:11" x14ac:dyDescent="0.25">
      <c r="A239" t="str">
        <v/>
      </c>
      <c r="K239" t="str">
        <f t="shared" si="9"/>
        <v/>
      </c>
    </row>
    <row r="240" spans="1:11" x14ac:dyDescent="0.25">
      <c r="A240" t="str">
        <v/>
      </c>
      <c r="K240" t="str">
        <f t="shared" si="9"/>
        <v/>
      </c>
    </row>
    <row r="241" spans="1:11" x14ac:dyDescent="0.25">
      <c r="A241" t="str">
        <v/>
      </c>
      <c r="K241" t="str">
        <f t="shared" si="9"/>
        <v/>
      </c>
    </row>
    <row r="242" spans="1:11" x14ac:dyDescent="0.25">
      <c r="A242" t="str">
        <v/>
      </c>
      <c r="K242" t="str">
        <f t="shared" si="9"/>
        <v/>
      </c>
    </row>
    <row r="243" spans="1:11" x14ac:dyDescent="0.25">
      <c r="A243" t="str">
        <v/>
      </c>
      <c r="K243" t="str">
        <f t="shared" si="9"/>
        <v/>
      </c>
    </row>
    <row r="244" spans="1:11" x14ac:dyDescent="0.25">
      <c r="A244" t="str">
        <v/>
      </c>
      <c r="K244" t="str">
        <f t="shared" si="9"/>
        <v/>
      </c>
    </row>
    <row r="245" spans="1:11" x14ac:dyDescent="0.25">
      <c r="A245" t="str">
        <v/>
      </c>
      <c r="K245" t="str">
        <f t="shared" si="9"/>
        <v/>
      </c>
    </row>
    <row r="246" spans="1:11" x14ac:dyDescent="0.25">
      <c r="A246" t="str">
        <v/>
      </c>
      <c r="K246" t="str">
        <f t="shared" si="9"/>
        <v/>
      </c>
    </row>
    <row r="247" spans="1:11" x14ac:dyDescent="0.25">
      <c r="A247" t="str">
        <v/>
      </c>
      <c r="K247" t="str">
        <f t="shared" si="9"/>
        <v/>
      </c>
    </row>
    <row r="248" spans="1:11" x14ac:dyDescent="0.25">
      <c r="A248" t="str">
        <v/>
      </c>
      <c r="K248" t="str">
        <f t="shared" si="9"/>
        <v/>
      </c>
    </row>
    <row r="249" spans="1:11" x14ac:dyDescent="0.25">
      <c r="A249" t="str">
        <v/>
      </c>
      <c r="K249" t="str">
        <f t="shared" si="9"/>
        <v/>
      </c>
    </row>
    <row r="250" spans="1:11" x14ac:dyDescent="0.25">
      <c r="A250" t="str">
        <v/>
      </c>
      <c r="K250" t="str">
        <f t="shared" si="9"/>
        <v/>
      </c>
    </row>
    <row r="251" spans="1:11" x14ac:dyDescent="0.25">
      <c r="A251" t="str">
        <v/>
      </c>
      <c r="K251" t="str">
        <f t="shared" si="9"/>
        <v/>
      </c>
    </row>
    <row r="252" spans="1:11" x14ac:dyDescent="0.25">
      <c r="A252" t="str">
        <v/>
      </c>
      <c r="K252" t="str">
        <f t="shared" si="9"/>
        <v/>
      </c>
    </row>
    <row r="253" spans="1:11" x14ac:dyDescent="0.25">
      <c r="A253" t="str">
        <v/>
      </c>
      <c r="K253" t="str">
        <f t="shared" si="9"/>
        <v/>
      </c>
    </row>
    <row r="254" spans="1:11" x14ac:dyDescent="0.25">
      <c r="A254" t="str">
        <v/>
      </c>
      <c r="K254" t="str">
        <f t="shared" si="9"/>
        <v/>
      </c>
    </row>
    <row r="255" spans="1:11" x14ac:dyDescent="0.25">
      <c r="A255" t="str">
        <v/>
      </c>
      <c r="K255" t="str">
        <f t="shared" si="9"/>
        <v/>
      </c>
    </row>
    <row r="256" spans="1:11" x14ac:dyDescent="0.25">
      <c r="A256" t="str">
        <v/>
      </c>
      <c r="K256" t="str">
        <f t="shared" si="9"/>
        <v/>
      </c>
    </row>
    <row r="257" spans="1:11" x14ac:dyDescent="0.25">
      <c r="A257" t="str">
        <v/>
      </c>
      <c r="K257" t="str">
        <f t="shared" si="9"/>
        <v/>
      </c>
    </row>
    <row r="258" spans="1:11" x14ac:dyDescent="0.25">
      <c r="A258" t="str">
        <v/>
      </c>
      <c r="K258" t="str">
        <f t="shared" si="9"/>
        <v/>
      </c>
    </row>
    <row r="259" spans="1:11" x14ac:dyDescent="0.25">
      <c r="A259" t="str">
        <v/>
      </c>
      <c r="K259" t="str">
        <f t="shared" si="9"/>
        <v/>
      </c>
    </row>
    <row r="260" spans="1:11" x14ac:dyDescent="0.25">
      <c r="A260" t="str">
        <v/>
      </c>
      <c r="K260" t="str">
        <f t="shared" ref="K260:K266" si="10">IF($B260="","",_xlfn.LET(_xlpm.pu,_xlfn.XLOOKUP($I260,$N$3:$N$300,$O$3:$O$300,""),_xlpm.ps,_xlfn.XLOOKUP($I260,$N$3:$N$300,$P$3:$P$300,""),_xlpm.oq,_xlfn.XLOOKUP($I260,$N$3:$N$300,$Q$3:$Q$300,""),_xlpm.base,$H260,IF(_xlpm.oq&lt;&gt;"",_xlpm.oq,IF(_xlpm.ps="",_xlpm.base,IF(OR(_xlpm.pu="",_xlpm.pu=$D260),CEILING(_xlpm.base,_xlpm.ps),CEILING(_xlpm.base/_xlpm.ps,1))))))</f>
        <v/>
      </c>
    </row>
    <row r="261" spans="1:11" x14ac:dyDescent="0.25">
      <c r="A261" t="str">
        <v/>
      </c>
      <c r="K261" t="str">
        <f t="shared" si="10"/>
        <v/>
      </c>
    </row>
    <row r="262" spans="1:11" x14ac:dyDescent="0.25">
      <c r="A262" t="str">
        <v/>
      </c>
      <c r="K262" t="str">
        <f t="shared" si="10"/>
        <v/>
      </c>
    </row>
    <row r="263" spans="1:11" x14ac:dyDescent="0.25">
      <c r="A263" t="str">
        <v/>
      </c>
      <c r="K263" t="str">
        <f t="shared" si="10"/>
        <v/>
      </c>
    </row>
    <row r="264" spans="1:11" x14ac:dyDescent="0.25">
      <c r="A264" t="str">
        <v/>
      </c>
      <c r="K264" t="str">
        <f t="shared" si="10"/>
        <v/>
      </c>
    </row>
    <row r="265" spans="1:11" x14ac:dyDescent="0.25">
      <c r="A265" t="str">
        <v/>
      </c>
      <c r="K265" t="str">
        <f t="shared" si="10"/>
        <v/>
      </c>
    </row>
    <row r="266" spans="1:11" x14ac:dyDescent="0.25">
      <c r="A266" t="str">
        <v/>
      </c>
      <c r="K266" t="str">
        <f t="shared" si="10"/>
        <v/>
      </c>
    </row>
    <row r="267" spans="1:11" x14ac:dyDescent="0.25">
      <c r="A267" t="str">
        <v/>
      </c>
    </row>
    <row r="268" spans="1:11" x14ac:dyDescent="0.25">
      <c r="A268" t="str">
        <v/>
      </c>
    </row>
    <row r="269" spans="1:11" x14ac:dyDescent="0.25">
      <c r="A269" t="str">
        <v/>
      </c>
    </row>
    <row r="270" spans="1:11" x14ac:dyDescent="0.25">
      <c r="A270" t="str">
        <v/>
      </c>
    </row>
    <row r="271" spans="1:11" x14ac:dyDescent="0.25">
      <c r="A271" t="str">
        <v/>
      </c>
    </row>
    <row r="272" spans="1:1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480D7-5902-42CA-A0ED-7E7DF71B5AAC}">
  <sheetPr codeName="Sheet5"/>
  <dimension ref="A1:A75"/>
  <sheetViews>
    <sheetView workbookViewId="0">
      <selection sqref="A1:A75"/>
    </sheetView>
  </sheetViews>
  <sheetFormatPr defaultRowHeight="15" x14ac:dyDescent="0.25"/>
  <cols>
    <col min="1" max="1" width="138.7109375" style="3" bestFit="1" customWidth="1"/>
  </cols>
  <sheetData>
    <row r="1" spans="1:1" x14ac:dyDescent="0.25">
      <c r="A1" s="3" t="s">
        <v>470</v>
      </c>
    </row>
    <row r="2" spans="1:1" x14ac:dyDescent="0.25">
      <c r="A2" s="3" t="s">
        <v>471</v>
      </c>
    </row>
    <row r="3" spans="1:1" x14ac:dyDescent="0.25">
      <c r="A3" s="3" t="s">
        <v>470</v>
      </c>
    </row>
    <row r="5" spans="1:1" x14ac:dyDescent="0.25">
      <c r="A5" s="3" t="s">
        <v>472</v>
      </c>
    </row>
    <row r="6" spans="1:1" x14ac:dyDescent="0.25">
      <c r="A6" s="3" t="s">
        <v>517</v>
      </c>
    </row>
    <row r="7" spans="1:1" x14ac:dyDescent="0.25">
      <c r="A7" s="3" t="s">
        <v>473</v>
      </c>
    </row>
    <row r="8" spans="1:1" x14ac:dyDescent="0.25">
      <c r="A8" s="3" t="s">
        <v>474</v>
      </c>
    </row>
    <row r="9" spans="1:1" x14ac:dyDescent="0.25">
      <c r="A9" s="3" t="s">
        <v>475</v>
      </c>
    </row>
    <row r="10" spans="1:1" x14ac:dyDescent="0.25">
      <c r="A10" s="3" t="s">
        <v>476</v>
      </c>
    </row>
    <row r="11" spans="1:1" x14ac:dyDescent="0.25">
      <c r="A11" s="3" t="s">
        <v>477</v>
      </c>
    </row>
    <row r="12" spans="1:1" x14ac:dyDescent="0.25">
      <c r="A12" s="3" t="s">
        <v>478</v>
      </c>
    </row>
    <row r="14" spans="1:1" x14ac:dyDescent="0.25">
      <c r="A14" s="3" t="s">
        <v>479</v>
      </c>
    </row>
    <row r="15" spans="1:1" x14ac:dyDescent="0.25">
      <c r="A15" s="3" t="s">
        <v>518</v>
      </c>
    </row>
    <row r="16" spans="1:1" x14ac:dyDescent="0.25">
      <c r="A16" s="3" t="s">
        <v>473</v>
      </c>
    </row>
    <row r="17" spans="1:1" x14ac:dyDescent="0.25">
      <c r="A17" s="3" t="s">
        <v>480</v>
      </c>
    </row>
    <row r="18" spans="1:1" x14ac:dyDescent="0.25">
      <c r="A18" s="3" t="s">
        <v>481</v>
      </c>
    </row>
    <row r="19" spans="1:1" x14ac:dyDescent="0.25">
      <c r="A19" s="3" t="s">
        <v>476</v>
      </c>
    </row>
    <row r="20" spans="1:1" x14ac:dyDescent="0.25">
      <c r="A20" s="3" t="s">
        <v>482</v>
      </c>
    </row>
    <row r="21" spans="1:1" x14ac:dyDescent="0.25">
      <c r="A21" s="3" t="s">
        <v>483</v>
      </c>
    </row>
    <row r="23" spans="1:1" x14ac:dyDescent="0.25">
      <c r="A23" s="3" t="s">
        <v>484</v>
      </c>
    </row>
    <row r="24" spans="1:1" x14ac:dyDescent="0.25">
      <c r="A24" s="3" t="s">
        <v>485</v>
      </c>
    </row>
    <row r="25" spans="1:1" x14ac:dyDescent="0.25">
      <c r="A25" s="3" t="s">
        <v>473</v>
      </c>
    </row>
    <row r="26" spans="1:1" x14ac:dyDescent="0.25">
      <c r="A26" s="3" t="s">
        <v>486</v>
      </c>
    </row>
    <row r="27" spans="1:1" x14ac:dyDescent="0.25">
      <c r="A27" s="3" t="s">
        <v>487</v>
      </c>
    </row>
    <row r="28" spans="1:1" x14ac:dyDescent="0.25">
      <c r="A28" s="3" t="s">
        <v>488</v>
      </c>
    </row>
    <row r="29" spans="1:1" x14ac:dyDescent="0.25">
      <c r="A29" s="3" t="s">
        <v>489</v>
      </c>
    </row>
    <row r="30" spans="1:1" x14ac:dyDescent="0.25">
      <c r="A30" s="3" t="s">
        <v>490</v>
      </c>
    </row>
    <row r="31" spans="1:1" x14ac:dyDescent="0.25">
      <c r="A31" s="3" t="s">
        <v>476</v>
      </c>
    </row>
    <row r="32" spans="1:1" x14ac:dyDescent="0.25">
      <c r="A32" s="3" t="s">
        <v>491</v>
      </c>
    </row>
    <row r="34" spans="1:1" x14ac:dyDescent="0.25">
      <c r="A34" s="3" t="s">
        <v>492</v>
      </c>
    </row>
    <row r="35" spans="1:1" x14ac:dyDescent="0.25">
      <c r="A35" s="3" t="s">
        <v>519</v>
      </c>
    </row>
    <row r="36" spans="1:1" x14ac:dyDescent="0.25">
      <c r="A36" s="3" t="s">
        <v>473</v>
      </c>
    </row>
    <row r="37" spans="1:1" x14ac:dyDescent="0.25">
      <c r="A37" s="3" t="s">
        <v>493</v>
      </c>
    </row>
    <row r="38" spans="1:1" x14ac:dyDescent="0.25">
      <c r="A38" s="3" t="s">
        <v>494</v>
      </c>
    </row>
    <row r="39" spans="1:1" x14ac:dyDescent="0.25">
      <c r="A39" s="3" t="s">
        <v>495</v>
      </c>
    </row>
    <row r="40" spans="1:1" x14ac:dyDescent="0.25">
      <c r="A40" s="3" t="s">
        <v>496</v>
      </c>
    </row>
    <row r="41" spans="1:1" x14ac:dyDescent="0.25">
      <c r="A41" s="3" t="s">
        <v>476</v>
      </c>
    </row>
    <row r="42" spans="1:1" x14ac:dyDescent="0.25">
      <c r="A42" s="3" t="s">
        <v>497</v>
      </c>
    </row>
    <row r="44" spans="1:1" x14ac:dyDescent="0.25">
      <c r="A44" s="3" t="s">
        <v>498</v>
      </c>
    </row>
    <row r="45" spans="1:1" x14ac:dyDescent="0.25">
      <c r="A45" s="3" t="s">
        <v>499</v>
      </c>
    </row>
    <row r="46" spans="1:1" x14ac:dyDescent="0.25">
      <c r="A46" s="3" t="s">
        <v>473</v>
      </c>
    </row>
    <row r="47" spans="1:1" x14ac:dyDescent="0.25">
      <c r="A47" s="3" t="s">
        <v>500</v>
      </c>
    </row>
    <row r="48" spans="1:1" x14ac:dyDescent="0.25">
      <c r="A48" s="3" t="s">
        <v>501</v>
      </c>
    </row>
    <row r="49" spans="1:1" x14ac:dyDescent="0.25">
      <c r="A49" s="3" t="s">
        <v>502</v>
      </c>
    </row>
    <row r="50" spans="1:1" x14ac:dyDescent="0.25">
      <c r="A50" s="3" t="s">
        <v>476</v>
      </c>
    </row>
    <row r="51" spans="1:1" x14ac:dyDescent="0.25">
      <c r="A51" s="3" t="s">
        <v>503</v>
      </c>
    </row>
    <row r="53" spans="1:1" x14ac:dyDescent="0.25">
      <c r="A53" s="3" t="s">
        <v>504</v>
      </c>
    </row>
    <row r="54" spans="1:1" x14ac:dyDescent="0.25">
      <c r="A54" s="3" t="s">
        <v>520</v>
      </c>
    </row>
    <row r="55" spans="1:1" x14ac:dyDescent="0.25">
      <c r="A55" s="3" t="s">
        <v>473</v>
      </c>
    </row>
    <row r="56" spans="1:1" x14ac:dyDescent="0.25">
      <c r="A56" s="3" t="s">
        <v>505</v>
      </c>
    </row>
    <row r="57" spans="1:1" x14ac:dyDescent="0.25">
      <c r="A57" s="3" t="s">
        <v>476</v>
      </c>
    </row>
    <row r="58" spans="1:1" x14ac:dyDescent="0.25">
      <c r="A58" s="3" t="s">
        <v>506</v>
      </c>
    </row>
    <row r="60" spans="1:1" x14ac:dyDescent="0.25">
      <c r="A60" s="3" t="s">
        <v>507</v>
      </c>
    </row>
    <row r="61" spans="1:1" x14ac:dyDescent="0.25">
      <c r="A61" s="3" t="s">
        <v>508</v>
      </c>
    </row>
    <row r="62" spans="1:1" x14ac:dyDescent="0.25">
      <c r="A62" s="3" t="s">
        <v>473</v>
      </c>
    </row>
    <row r="63" spans="1:1" x14ac:dyDescent="0.25">
      <c r="A63" s="3" t="s">
        <v>509</v>
      </c>
    </row>
    <row r="64" spans="1:1" x14ac:dyDescent="0.25">
      <c r="A64" s="3" t="s">
        <v>510</v>
      </c>
    </row>
    <row r="65" spans="1:1" x14ac:dyDescent="0.25">
      <c r="A65" s="3" t="s">
        <v>476</v>
      </c>
    </row>
    <row r="66" spans="1:1" x14ac:dyDescent="0.25">
      <c r="A66" s="3" t="s">
        <v>511</v>
      </c>
    </row>
    <row r="67" spans="1:1" x14ac:dyDescent="0.25">
      <c r="A67" s="3" t="s">
        <v>512</v>
      </c>
    </row>
    <row r="69" spans="1:1" x14ac:dyDescent="0.25">
      <c r="A69" s="3" t="s">
        <v>513</v>
      </c>
    </row>
    <row r="70" spans="1:1" x14ac:dyDescent="0.25">
      <c r="A70" s="3" t="s">
        <v>521</v>
      </c>
    </row>
    <row r="71" spans="1:1" x14ac:dyDescent="0.25">
      <c r="A71" s="3" t="s">
        <v>473</v>
      </c>
    </row>
    <row r="72" spans="1:1" x14ac:dyDescent="0.25">
      <c r="A72" s="3" t="s">
        <v>514</v>
      </c>
    </row>
    <row r="73" spans="1:1" x14ac:dyDescent="0.25">
      <c r="A73" s="3" t="s">
        <v>515</v>
      </c>
    </row>
    <row r="74" spans="1:1" x14ac:dyDescent="0.25">
      <c r="A74" s="3" t="s">
        <v>476</v>
      </c>
    </row>
    <row r="75" spans="1:1" x14ac:dyDescent="0.25">
      <c r="A75" s="3" t="s">
        <v>516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06F63-7B1B-4620-B9C0-BB2BE7C9A42B}">
  <sheetPr codeName="Sheet2"/>
  <dimension ref="A1:A271"/>
  <sheetViews>
    <sheetView workbookViewId="0">
      <selection sqref="A1:A271"/>
    </sheetView>
  </sheetViews>
  <sheetFormatPr defaultRowHeight="15" x14ac:dyDescent="0.25"/>
  <cols>
    <col min="1" max="1" width="120.140625" style="3" bestFit="1" customWidth="1"/>
    <col min="2" max="16384" width="9.140625" style="3"/>
  </cols>
  <sheetData>
    <row r="1" spans="1:1" x14ac:dyDescent="0.25">
      <c r="A1" s="3" t="s">
        <v>69</v>
      </c>
    </row>
    <row r="2" spans="1:1" x14ac:dyDescent="0.25">
      <c r="A2" s="3" t="s">
        <v>70</v>
      </c>
    </row>
    <row r="3" spans="1:1" x14ac:dyDescent="0.25">
      <c r="A3" s="3" t="s">
        <v>71</v>
      </c>
    </row>
    <row r="4" spans="1:1" x14ac:dyDescent="0.25">
      <c r="A4" s="3" t="s">
        <v>72</v>
      </c>
    </row>
    <row r="5" spans="1:1" x14ac:dyDescent="0.25">
      <c r="A5" s="3" t="s">
        <v>73</v>
      </c>
    </row>
    <row r="6" spans="1:1" x14ac:dyDescent="0.25">
      <c r="A6" s="3" t="s">
        <v>74</v>
      </c>
    </row>
    <row r="7" spans="1:1" x14ac:dyDescent="0.25">
      <c r="A7" s="3" t="s">
        <v>75</v>
      </c>
    </row>
    <row r="8" spans="1:1" x14ac:dyDescent="0.25">
      <c r="A8" s="3" t="s">
        <v>76</v>
      </c>
    </row>
    <row r="9" spans="1:1" x14ac:dyDescent="0.25">
      <c r="A9" s="3" t="s">
        <v>77</v>
      </c>
    </row>
    <row r="10" spans="1:1" x14ac:dyDescent="0.25">
      <c r="A10" s="3" t="s">
        <v>78</v>
      </c>
    </row>
    <row r="11" spans="1:1" x14ac:dyDescent="0.25">
      <c r="A11" s="3" t="s">
        <v>79</v>
      </c>
    </row>
    <row r="13" spans="1:1" x14ac:dyDescent="0.25">
      <c r="A13" s="3" t="s">
        <v>80</v>
      </c>
    </row>
    <row r="14" spans="1:1" x14ac:dyDescent="0.25">
      <c r="A14" s="3" t="s">
        <v>81</v>
      </c>
    </row>
    <row r="15" spans="1:1" x14ac:dyDescent="0.25">
      <c r="A15" s="3" t="s">
        <v>82</v>
      </c>
    </row>
    <row r="17" spans="1:1" x14ac:dyDescent="0.25">
      <c r="A17" s="3" t="s">
        <v>83</v>
      </c>
    </row>
    <row r="19" spans="1:1" x14ac:dyDescent="0.25">
      <c r="A19" s="3" t="s">
        <v>84</v>
      </c>
    </row>
    <row r="20" spans="1:1" x14ac:dyDescent="0.25">
      <c r="A20" s="3" t="s">
        <v>85</v>
      </c>
    </row>
    <row r="21" spans="1:1" x14ac:dyDescent="0.25">
      <c r="A21" s="3" t="s">
        <v>86</v>
      </c>
    </row>
    <row r="22" spans="1:1" x14ac:dyDescent="0.25">
      <c r="A22" s="3" t="s">
        <v>87</v>
      </c>
    </row>
    <row r="23" spans="1:1" x14ac:dyDescent="0.25">
      <c r="A23" s="3" t="s">
        <v>88</v>
      </c>
    </row>
    <row r="25" spans="1:1" x14ac:dyDescent="0.25">
      <c r="A25" s="3" t="s">
        <v>89</v>
      </c>
    </row>
    <row r="26" spans="1:1" x14ac:dyDescent="0.25">
      <c r="A26" s="3" t="s">
        <v>90</v>
      </c>
    </row>
    <row r="27" spans="1:1" x14ac:dyDescent="0.25">
      <c r="A27" s="3" t="s">
        <v>91</v>
      </c>
    </row>
    <row r="28" spans="1:1" x14ac:dyDescent="0.25">
      <c r="A28" s="3" t="s">
        <v>92</v>
      </c>
    </row>
    <row r="29" spans="1:1" x14ac:dyDescent="0.25">
      <c r="A29" s="3" t="s">
        <v>93</v>
      </c>
    </row>
    <row r="30" spans="1:1" x14ac:dyDescent="0.25">
      <c r="A30" s="3" t="s">
        <v>94</v>
      </c>
    </row>
    <row r="31" spans="1:1" x14ac:dyDescent="0.25">
      <c r="A31" s="3" t="s">
        <v>95</v>
      </c>
    </row>
    <row r="33" spans="1:1" x14ac:dyDescent="0.25">
      <c r="A33" s="3" t="s">
        <v>83</v>
      </c>
    </row>
    <row r="35" spans="1:1" x14ac:dyDescent="0.25">
      <c r="A35" s="3" t="s">
        <v>96</v>
      </c>
    </row>
    <row r="36" spans="1:1" x14ac:dyDescent="0.25">
      <c r="A36" s="3" t="s">
        <v>97</v>
      </c>
    </row>
    <row r="37" spans="1:1" x14ac:dyDescent="0.25">
      <c r="A37" s="3" t="s">
        <v>98</v>
      </c>
    </row>
    <row r="39" spans="1:1" x14ac:dyDescent="0.25">
      <c r="A39" s="3" t="s">
        <v>83</v>
      </c>
    </row>
    <row r="41" spans="1:1" x14ac:dyDescent="0.25">
      <c r="A41" s="3" t="s">
        <v>99</v>
      </c>
    </row>
    <row r="43" spans="1:1" x14ac:dyDescent="0.25">
      <c r="A43" s="3" t="s">
        <v>100</v>
      </c>
    </row>
    <row r="44" spans="1:1" x14ac:dyDescent="0.25">
      <c r="A44" s="3" t="s">
        <v>101</v>
      </c>
    </row>
    <row r="45" spans="1:1" x14ac:dyDescent="0.25">
      <c r="A45" s="3" t="s">
        <v>102</v>
      </c>
    </row>
    <row r="46" spans="1:1" x14ac:dyDescent="0.25">
      <c r="A46" s="3" t="s">
        <v>103</v>
      </c>
    </row>
    <row r="48" spans="1:1" x14ac:dyDescent="0.25">
      <c r="A48" s="3" t="s">
        <v>104</v>
      </c>
    </row>
    <row r="49" spans="1:1" x14ac:dyDescent="0.25">
      <c r="A49" s="3" t="s">
        <v>105</v>
      </c>
    </row>
    <row r="50" spans="1:1" x14ac:dyDescent="0.25">
      <c r="A50" s="3" t="s">
        <v>106</v>
      </c>
    </row>
    <row r="51" spans="1:1" x14ac:dyDescent="0.25">
      <c r="A51" s="3" t="s">
        <v>107</v>
      </c>
    </row>
    <row r="53" spans="1:1" x14ac:dyDescent="0.25">
      <c r="A53" s="3" t="s">
        <v>108</v>
      </c>
    </row>
    <row r="54" spans="1:1" x14ac:dyDescent="0.25">
      <c r="A54" s="3" t="s">
        <v>109</v>
      </c>
    </row>
    <row r="55" spans="1:1" x14ac:dyDescent="0.25">
      <c r="A55" s="3" t="s">
        <v>110</v>
      </c>
    </row>
    <row r="57" spans="1:1" x14ac:dyDescent="0.25">
      <c r="A57" s="3" t="s">
        <v>83</v>
      </c>
    </row>
    <row r="59" spans="1:1" x14ac:dyDescent="0.25">
      <c r="A59" s="3" t="s">
        <v>111</v>
      </c>
    </row>
    <row r="60" spans="1:1" x14ac:dyDescent="0.25">
      <c r="A60" s="3" t="s">
        <v>112</v>
      </c>
    </row>
    <row r="62" spans="1:1" x14ac:dyDescent="0.25">
      <c r="A62" s="3" t="s">
        <v>113</v>
      </c>
    </row>
    <row r="63" spans="1:1" x14ac:dyDescent="0.25">
      <c r="A63" s="3" t="s">
        <v>114</v>
      </c>
    </row>
    <row r="65" spans="1:1" x14ac:dyDescent="0.25">
      <c r="A65" s="3" t="s">
        <v>115</v>
      </c>
    </row>
    <row r="66" spans="1:1" x14ac:dyDescent="0.25">
      <c r="A66" s="3" t="s">
        <v>116</v>
      </c>
    </row>
    <row r="67" spans="1:1" x14ac:dyDescent="0.25">
      <c r="A67" s="3" t="s">
        <v>117</v>
      </c>
    </row>
    <row r="69" spans="1:1" x14ac:dyDescent="0.25">
      <c r="A69" s="3" t="s">
        <v>83</v>
      </c>
    </row>
    <row r="71" spans="1:1" x14ac:dyDescent="0.25">
      <c r="A71" s="3" t="s">
        <v>118</v>
      </c>
    </row>
    <row r="73" spans="1:1" x14ac:dyDescent="0.25">
      <c r="A73" s="3" t="s">
        <v>119</v>
      </c>
    </row>
    <row r="74" spans="1:1" x14ac:dyDescent="0.25">
      <c r="A74" s="3" t="s">
        <v>120</v>
      </c>
    </row>
    <row r="75" spans="1:1" x14ac:dyDescent="0.25">
      <c r="A75" s="3" t="s">
        <v>121</v>
      </c>
    </row>
    <row r="77" spans="1:1" x14ac:dyDescent="0.25">
      <c r="A77" s="3" t="s">
        <v>122</v>
      </c>
    </row>
    <row r="78" spans="1:1" x14ac:dyDescent="0.25">
      <c r="A78" s="3" t="s">
        <v>123</v>
      </c>
    </row>
    <row r="79" spans="1:1" x14ac:dyDescent="0.25">
      <c r="A79" s="3" t="s">
        <v>124</v>
      </c>
    </row>
    <row r="80" spans="1:1" x14ac:dyDescent="0.25">
      <c r="A80" s="3" t="s">
        <v>125</v>
      </c>
    </row>
    <row r="81" spans="1:1" x14ac:dyDescent="0.25">
      <c r="A81" s="3" t="s">
        <v>126</v>
      </c>
    </row>
    <row r="82" spans="1:1" x14ac:dyDescent="0.25">
      <c r="A82" s="3" t="s">
        <v>127</v>
      </c>
    </row>
    <row r="83" spans="1:1" x14ac:dyDescent="0.25">
      <c r="A83" s="3" t="s">
        <v>128</v>
      </c>
    </row>
    <row r="84" spans="1:1" x14ac:dyDescent="0.25">
      <c r="A84" s="3" t="s">
        <v>129</v>
      </c>
    </row>
    <row r="85" spans="1:1" x14ac:dyDescent="0.25">
      <c r="A85" s="3" t="s">
        <v>130</v>
      </c>
    </row>
    <row r="87" spans="1:1" x14ac:dyDescent="0.25">
      <c r="A87" s="3" t="s">
        <v>131</v>
      </c>
    </row>
    <row r="88" spans="1:1" x14ac:dyDescent="0.25">
      <c r="A88" s="3" t="s">
        <v>132</v>
      </c>
    </row>
    <row r="89" spans="1:1" x14ac:dyDescent="0.25">
      <c r="A89" s="3" t="s">
        <v>133</v>
      </c>
    </row>
    <row r="90" spans="1:1" x14ac:dyDescent="0.25">
      <c r="A90" s="3" t="s">
        <v>134</v>
      </c>
    </row>
    <row r="92" spans="1:1" x14ac:dyDescent="0.25">
      <c r="A92" s="3" t="s">
        <v>135</v>
      </c>
    </row>
    <row r="94" spans="1:1" x14ac:dyDescent="0.25">
      <c r="A94" s="3" t="s">
        <v>136</v>
      </c>
    </row>
    <row r="95" spans="1:1" x14ac:dyDescent="0.25">
      <c r="A95" s="3" t="s">
        <v>123</v>
      </c>
    </row>
    <row r="96" spans="1:1" x14ac:dyDescent="0.25">
      <c r="A96" s="3" t="s">
        <v>137</v>
      </c>
    </row>
    <row r="97" spans="1:1" x14ac:dyDescent="0.25">
      <c r="A97" s="3" t="s">
        <v>138</v>
      </c>
    </row>
    <row r="98" spans="1:1" x14ac:dyDescent="0.25">
      <c r="A98" s="3" t="s">
        <v>139</v>
      </c>
    </row>
    <row r="99" spans="1:1" x14ac:dyDescent="0.25">
      <c r="A99" s="3" t="s">
        <v>140</v>
      </c>
    </row>
    <row r="100" spans="1:1" x14ac:dyDescent="0.25">
      <c r="A100" s="3" t="s">
        <v>141</v>
      </c>
    </row>
    <row r="101" spans="1:1" x14ac:dyDescent="0.25">
      <c r="A101" s="3" t="s">
        <v>142</v>
      </c>
    </row>
    <row r="102" spans="1:1" x14ac:dyDescent="0.25">
      <c r="A102" s="3" t="s">
        <v>143</v>
      </c>
    </row>
    <row r="104" spans="1:1" x14ac:dyDescent="0.25">
      <c r="A104" s="3" t="s">
        <v>131</v>
      </c>
    </row>
    <row r="105" spans="1:1" x14ac:dyDescent="0.25">
      <c r="A105" s="3" t="s">
        <v>144</v>
      </c>
    </row>
    <row r="106" spans="1:1" x14ac:dyDescent="0.25">
      <c r="A106" s="3" t="s">
        <v>145</v>
      </c>
    </row>
    <row r="107" spans="1:1" x14ac:dyDescent="0.25">
      <c r="A107" s="3" t="s">
        <v>146</v>
      </c>
    </row>
    <row r="109" spans="1:1" x14ac:dyDescent="0.25">
      <c r="A109" s="3" t="s">
        <v>147</v>
      </c>
    </row>
    <row r="111" spans="1:1" x14ac:dyDescent="0.25">
      <c r="A111" s="3" t="s">
        <v>148</v>
      </c>
    </row>
    <row r="112" spans="1:1" x14ac:dyDescent="0.25">
      <c r="A112" s="3" t="s">
        <v>123</v>
      </c>
    </row>
    <row r="113" spans="1:1" x14ac:dyDescent="0.25">
      <c r="A113" s="3" t="s">
        <v>149</v>
      </c>
    </row>
    <row r="114" spans="1:1" x14ac:dyDescent="0.25">
      <c r="A114" s="3" t="s">
        <v>150</v>
      </c>
    </row>
    <row r="115" spans="1:1" x14ac:dyDescent="0.25">
      <c r="A115" s="3" t="s">
        <v>151</v>
      </c>
    </row>
    <row r="116" spans="1:1" x14ac:dyDescent="0.25">
      <c r="A116" s="3" t="s">
        <v>152</v>
      </c>
    </row>
    <row r="117" spans="1:1" x14ac:dyDescent="0.25">
      <c r="A117" s="3" t="s">
        <v>153</v>
      </c>
    </row>
    <row r="118" spans="1:1" x14ac:dyDescent="0.25">
      <c r="A118" s="3" t="s">
        <v>154</v>
      </c>
    </row>
    <row r="119" spans="1:1" x14ac:dyDescent="0.25">
      <c r="A119" s="3" t="s">
        <v>155</v>
      </c>
    </row>
    <row r="121" spans="1:1" x14ac:dyDescent="0.25">
      <c r="A121" s="3" t="s">
        <v>131</v>
      </c>
    </row>
    <row r="122" spans="1:1" x14ac:dyDescent="0.25">
      <c r="A122" s="3" t="s">
        <v>156</v>
      </c>
    </row>
    <row r="123" spans="1:1" x14ac:dyDescent="0.25">
      <c r="A123" s="3" t="s">
        <v>157</v>
      </c>
    </row>
    <row r="124" spans="1:1" x14ac:dyDescent="0.25">
      <c r="A124" s="3" t="s">
        <v>158</v>
      </c>
    </row>
    <row r="126" spans="1:1" x14ac:dyDescent="0.25">
      <c r="A126" s="3" t="s">
        <v>83</v>
      </c>
    </row>
    <row r="128" spans="1:1" x14ac:dyDescent="0.25">
      <c r="A128" s="3" t="s">
        <v>159</v>
      </c>
    </row>
    <row r="129" spans="1:1" x14ac:dyDescent="0.25">
      <c r="A129" s="3" t="s">
        <v>160</v>
      </c>
    </row>
    <row r="131" spans="1:1" x14ac:dyDescent="0.25">
      <c r="A131" s="3" t="s">
        <v>161</v>
      </c>
    </row>
    <row r="132" spans="1:1" x14ac:dyDescent="0.25">
      <c r="A132" s="3" t="s">
        <v>162</v>
      </c>
    </row>
    <row r="133" spans="1:1" x14ac:dyDescent="0.25">
      <c r="A133" s="3" t="s">
        <v>163</v>
      </c>
    </row>
    <row r="134" spans="1:1" x14ac:dyDescent="0.25">
      <c r="A134" s="3" t="s">
        <v>164</v>
      </c>
    </row>
    <row r="135" spans="1:1" x14ac:dyDescent="0.25">
      <c r="A135" s="3" t="s">
        <v>165</v>
      </c>
    </row>
    <row r="136" spans="1:1" x14ac:dyDescent="0.25">
      <c r="A136" s="3" t="s">
        <v>164</v>
      </c>
    </row>
    <row r="138" spans="1:1" x14ac:dyDescent="0.25">
      <c r="A138" s="3" t="s">
        <v>166</v>
      </c>
    </row>
    <row r="139" spans="1:1" x14ac:dyDescent="0.25">
      <c r="A139" s="3" t="s">
        <v>167</v>
      </c>
    </row>
    <row r="140" spans="1:1" x14ac:dyDescent="0.25">
      <c r="A140" s="3" t="s">
        <v>168</v>
      </c>
    </row>
    <row r="141" spans="1:1" x14ac:dyDescent="0.25">
      <c r="A141" s="3" t="s">
        <v>169</v>
      </c>
    </row>
    <row r="142" spans="1:1" x14ac:dyDescent="0.25">
      <c r="A142" s="3" t="s">
        <v>170</v>
      </c>
    </row>
    <row r="144" spans="1:1" x14ac:dyDescent="0.25">
      <c r="A144" s="3" t="s">
        <v>83</v>
      </c>
    </row>
    <row r="146" spans="1:1" x14ac:dyDescent="0.25">
      <c r="A146" s="3" t="s">
        <v>171</v>
      </c>
    </row>
    <row r="147" spans="1:1" x14ac:dyDescent="0.25">
      <c r="A147" s="3" t="s">
        <v>172</v>
      </c>
    </row>
    <row r="148" spans="1:1" x14ac:dyDescent="0.25">
      <c r="A148" s="3" t="s">
        <v>173</v>
      </c>
    </row>
    <row r="149" spans="1:1" x14ac:dyDescent="0.25">
      <c r="A149" s="3" t="s">
        <v>174</v>
      </c>
    </row>
    <row r="151" spans="1:1" x14ac:dyDescent="0.25">
      <c r="A151" s="3" t="s">
        <v>175</v>
      </c>
    </row>
    <row r="152" spans="1:1" x14ac:dyDescent="0.25">
      <c r="A152" s="3" t="s">
        <v>176</v>
      </c>
    </row>
    <row r="153" spans="1:1" x14ac:dyDescent="0.25">
      <c r="A153" s="3" t="s">
        <v>177</v>
      </c>
    </row>
    <row r="154" spans="1:1" x14ac:dyDescent="0.25">
      <c r="A154" s="3" t="s">
        <v>178</v>
      </c>
    </row>
    <row r="155" spans="1:1" x14ac:dyDescent="0.25">
      <c r="A155" s="3" t="s">
        <v>179</v>
      </c>
    </row>
    <row r="157" spans="1:1" x14ac:dyDescent="0.25">
      <c r="A157" s="3" t="s">
        <v>180</v>
      </c>
    </row>
    <row r="158" spans="1:1" x14ac:dyDescent="0.25">
      <c r="A158" s="3" t="s">
        <v>181</v>
      </c>
    </row>
    <row r="159" spans="1:1" x14ac:dyDescent="0.25">
      <c r="A159" s="3" t="s">
        <v>182</v>
      </c>
    </row>
    <row r="160" spans="1:1" x14ac:dyDescent="0.25">
      <c r="A160" s="3" t="s">
        <v>183</v>
      </c>
    </row>
    <row r="162" spans="1:1" x14ac:dyDescent="0.25">
      <c r="A162" s="3" t="s">
        <v>184</v>
      </c>
    </row>
    <row r="163" spans="1:1" x14ac:dyDescent="0.25">
      <c r="A163" s="3" t="s">
        <v>185</v>
      </c>
    </row>
    <row r="164" spans="1:1" x14ac:dyDescent="0.25">
      <c r="A164" s="3" t="s">
        <v>186</v>
      </c>
    </row>
    <row r="165" spans="1:1" x14ac:dyDescent="0.25">
      <c r="A165" s="3" t="s">
        <v>187</v>
      </c>
    </row>
    <row r="167" spans="1:1" x14ac:dyDescent="0.25">
      <c r="A167" s="3" t="s">
        <v>188</v>
      </c>
    </row>
    <row r="169" spans="1:1" x14ac:dyDescent="0.25">
      <c r="A169" s="3" t="s">
        <v>83</v>
      </c>
    </row>
    <row r="171" spans="1:1" x14ac:dyDescent="0.25">
      <c r="A171" s="3" t="s">
        <v>189</v>
      </c>
    </row>
    <row r="172" spans="1:1" x14ac:dyDescent="0.25">
      <c r="A172" s="3" t="s">
        <v>190</v>
      </c>
    </row>
    <row r="174" spans="1:1" x14ac:dyDescent="0.25">
      <c r="A174" s="3" t="s">
        <v>191</v>
      </c>
    </row>
    <row r="175" spans="1:1" x14ac:dyDescent="0.25">
      <c r="A175" s="3" t="s">
        <v>192</v>
      </c>
    </row>
    <row r="176" spans="1:1" x14ac:dyDescent="0.25">
      <c r="A176" s="3" t="s">
        <v>193</v>
      </c>
    </row>
    <row r="177" spans="1:1" x14ac:dyDescent="0.25">
      <c r="A177" s="3" t="s">
        <v>194</v>
      </c>
    </row>
    <row r="178" spans="1:1" x14ac:dyDescent="0.25">
      <c r="A178" s="3" t="s">
        <v>195</v>
      </c>
    </row>
    <row r="179" spans="1:1" x14ac:dyDescent="0.25">
      <c r="A179" s="3" t="s">
        <v>196</v>
      </c>
    </row>
    <row r="181" spans="1:1" x14ac:dyDescent="0.25">
      <c r="A181" s="3" t="s">
        <v>197</v>
      </c>
    </row>
    <row r="182" spans="1:1" x14ac:dyDescent="0.25">
      <c r="A182" s="3" t="s">
        <v>198</v>
      </c>
    </row>
    <row r="183" spans="1:1" x14ac:dyDescent="0.25">
      <c r="A183" s="3" t="s">
        <v>199</v>
      </c>
    </row>
    <row r="184" spans="1:1" x14ac:dyDescent="0.25">
      <c r="A184" s="3" t="s">
        <v>200</v>
      </c>
    </row>
    <row r="185" spans="1:1" x14ac:dyDescent="0.25">
      <c r="A185" s="3" t="s">
        <v>201</v>
      </c>
    </row>
    <row r="187" spans="1:1" x14ac:dyDescent="0.25">
      <c r="A187" s="3" t="s">
        <v>83</v>
      </c>
    </row>
    <row r="189" spans="1:1" x14ac:dyDescent="0.25">
      <c r="A189" s="3" t="s">
        <v>202</v>
      </c>
    </row>
    <row r="190" spans="1:1" x14ac:dyDescent="0.25">
      <c r="A190" s="3" t="s">
        <v>203</v>
      </c>
    </row>
    <row r="191" spans="1:1" x14ac:dyDescent="0.25">
      <c r="A191" s="3" t="s">
        <v>204</v>
      </c>
    </row>
    <row r="192" spans="1:1" x14ac:dyDescent="0.25">
      <c r="A192" s="3" t="s">
        <v>205</v>
      </c>
    </row>
    <row r="193" spans="1:1" x14ac:dyDescent="0.25">
      <c r="A193" s="3" t="s">
        <v>206</v>
      </c>
    </row>
    <row r="194" spans="1:1" x14ac:dyDescent="0.25">
      <c r="A194" s="3" t="s">
        <v>207</v>
      </c>
    </row>
    <row r="196" spans="1:1" x14ac:dyDescent="0.25">
      <c r="A196" s="3" t="s">
        <v>191</v>
      </c>
    </row>
    <row r="197" spans="1:1" x14ac:dyDescent="0.25">
      <c r="A197" s="3" t="s">
        <v>208</v>
      </c>
    </row>
    <row r="198" spans="1:1" x14ac:dyDescent="0.25">
      <c r="A198" s="3" t="s">
        <v>209</v>
      </c>
    </row>
    <row r="200" spans="1:1" x14ac:dyDescent="0.25">
      <c r="A200" s="3" t="s">
        <v>83</v>
      </c>
    </row>
    <row r="202" spans="1:1" x14ac:dyDescent="0.25">
      <c r="A202" s="3" t="s">
        <v>210</v>
      </c>
    </row>
    <row r="203" spans="1:1" x14ac:dyDescent="0.25">
      <c r="A203" s="3" t="s">
        <v>211</v>
      </c>
    </row>
    <row r="204" spans="1:1" x14ac:dyDescent="0.25">
      <c r="A204" s="3" t="s">
        <v>212</v>
      </c>
    </row>
    <row r="205" spans="1:1" x14ac:dyDescent="0.25">
      <c r="A205" s="3" t="s">
        <v>213</v>
      </c>
    </row>
    <row r="207" spans="1:1" x14ac:dyDescent="0.25">
      <c r="A207" s="3" t="s">
        <v>83</v>
      </c>
    </row>
    <row r="209" spans="1:1" x14ac:dyDescent="0.25">
      <c r="A209" s="3" t="s">
        <v>214</v>
      </c>
    </row>
    <row r="210" spans="1:1" x14ac:dyDescent="0.25">
      <c r="A210" s="3" t="s">
        <v>215</v>
      </c>
    </row>
    <row r="212" spans="1:1" x14ac:dyDescent="0.25">
      <c r="A212" s="3" t="s">
        <v>216</v>
      </c>
    </row>
    <row r="213" spans="1:1" x14ac:dyDescent="0.25">
      <c r="A213" s="3" t="s">
        <v>217</v>
      </c>
    </row>
    <row r="214" spans="1:1" x14ac:dyDescent="0.25">
      <c r="A214" s="3" t="s">
        <v>218</v>
      </c>
    </row>
    <row r="215" spans="1:1" x14ac:dyDescent="0.25">
      <c r="A215" s="3" t="s">
        <v>219</v>
      </c>
    </row>
    <row r="216" spans="1:1" x14ac:dyDescent="0.25">
      <c r="A216" s="3" t="s">
        <v>220</v>
      </c>
    </row>
    <row r="217" spans="1:1" x14ac:dyDescent="0.25">
      <c r="A217" s="3" t="s">
        <v>221</v>
      </c>
    </row>
    <row r="218" spans="1:1" x14ac:dyDescent="0.25">
      <c r="A218" s="3" t="s">
        <v>222</v>
      </c>
    </row>
    <row r="219" spans="1:1" x14ac:dyDescent="0.25">
      <c r="A219" s="3" t="s">
        <v>223</v>
      </c>
    </row>
    <row r="220" spans="1:1" x14ac:dyDescent="0.25">
      <c r="A220" s="3" t="s">
        <v>224</v>
      </c>
    </row>
    <row r="222" spans="1:1" x14ac:dyDescent="0.25">
      <c r="A222" s="3" t="s">
        <v>225</v>
      </c>
    </row>
    <row r="223" spans="1:1" x14ac:dyDescent="0.25">
      <c r="A223" s="3" t="s">
        <v>226</v>
      </c>
    </row>
    <row r="224" spans="1:1" x14ac:dyDescent="0.25">
      <c r="A224" s="3" t="s">
        <v>227</v>
      </c>
    </row>
    <row r="225" spans="1:1" x14ac:dyDescent="0.25">
      <c r="A225" s="3" t="s">
        <v>228</v>
      </c>
    </row>
    <row r="226" spans="1:1" x14ac:dyDescent="0.25">
      <c r="A226" s="3" t="s">
        <v>229</v>
      </c>
    </row>
    <row r="228" spans="1:1" x14ac:dyDescent="0.25">
      <c r="A228" s="3" t="s">
        <v>230</v>
      </c>
    </row>
    <row r="229" spans="1:1" x14ac:dyDescent="0.25">
      <c r="A229" s="3" t="s">
        <v>231</v>
      </c>
    </row>
    <row r="230" spans="1:1" x14ac:dyDescent="0.25">
      <c r="A230" s="3" t="s">
        <v>232</v>
      </c>
    </row>
    <row r="232" spans="1:1" x14ac:dyDescent="0.25">
      <c r="A232" s="3" t="s">
        <v>233</v>
      </c>
    </row>
    <row r="233" spans="1:1" x14ac:dyDescent="0.25">
      <c r="A233" s="3" t="s">
        <v>234</v>
      </c>
    </row>
    <row r="234" spans="1:1" x14ac:dyDescent="0.25">
      <c r="A234" s="3" t="s">
        <v>235</v>
      </c>
    </row>
    <row r="236" spans="1:1" x14ac:dyDescent="0.25">
      <c r="A236" s="3" t="s">
        <v>236</v>
      </c>
    </row>
    <row r="237" spans="1:1" x14ac:dyDescent="0.25">
      <c r="A237" s="3" t="s">
        <v>237</v>
      </c>
    </row>
    <row r="238" spans="1:1" x14ac:dyDescent="0.25">
      <c r="A238" s="3" t="s">
        <v>238</v>
      </c>
    </row>
    <row r="239" spans="1:1" x14ac:dyDescent="0.25">
      <c r="A239" s="3" t="s">
        <v>239</v>
      </c>
    </row>
    <row r="240" spans="1:1" x14ac:dyDescent="0.25">
      <c r="A240" s="3" t="s">
        <v>240</v>
      </c>
    </row>
    <row r="242" spans="1:1" x14ac:dyDescent="0.25">
      <c r="A242" s="3" t="s">
        <v>83</v>
      </c>
    </row>
    <row r="244" spans="1:1" x14ac:dyDescent="0.25">
      <c r="A244" s="3" t="s">
        <v>241</v>
      </c>
    </row>
    <row r="245" spans="1:1" x14ac:dyDescent="0.25">
      <c r="A245" s="3" t="s">
        <v>242</v>
      </c>
    </row>
    <row r="247" spans="1:1" x14ac:dyDescent="0.25">
      <c r="A247" s="3" t="s">
        <v>243</v>
      </c>
    </row>
    <row r="248" spans="1:1" x14ac:dyDescent="0.25">
      <c r="A248" s="3" t="s">
        <v>244</v>
      </c>
    </row>
    <row r="250" spans="1:1" x14ac:dyDescent="0.25">
      <c r="A250" s="3" t="s">
        <v>245</v>
      </c>
    </row>
    <row r="251" spans="1:1" x14ac:dyDescent="0.25">
      <c r="A251" s="3" t="s">
        <v>246</v>
      </c>
    </row>
    <row r="252" spans="1:1" x14ac:dyDescent="0.25">
      <c r="A252" s="3" t="s">
        <v>247</v>
      </c>
    </row>
    <row r="253" spans="1:1" x14ac:dyDescent="0.25">
      <c r="A253" s="3" t="s">
        <v>248</v>
      </c>
    </row>
    <row r="255" spans="1:1" x14ac:dyDescent="0.25">
      <c r="A255" s="3" t="s">
        <v>249</v>
      </c>
    </row>
    <row r="256" spans="1:1" x14ac:dyDescent="0.25">
      <c r="A256" s="3" t="s">
        <v>250</v>
      </c>
    </row>
    <row r="258" spans="1:1" x14ac:dyDescent="0.25">
      <c r="A258" s="3" t="s">
        <v>83</v>
      </c>
    </row>
    <row r="260" spans="1:1" x14ac:dyDescent="0.25">
      <c r="A260" s="3" t="s">
        <v>251</v>
      </c>
    </row>
    <row r="261" spans="1:1" x14ac:dyDescent="0.25">
      <c r="A261" s="3" t="s">
        <v>252</v>
      </c>
    </row>
    <row r="263" spans="1:1" x14ac:dyDescent="0.25">
      <c r="A263" s="3" t="s">
        <v>253</v>
      </c>
    </row>
    <row r="264" spans="1:1" x14ac:dyDescent="0.25">
      <c r="A264" s="3" t="s">
        <v>254</v>
      </c>
    </row>
    <row r="265" spans="1:1" x14ac:dyDescent="0.25">
      <c r="A265" s="3" t="s">
        <v>255</v>
      </c>
    </row>
    <row r="266" spans="1:1" x14ac:dyDescent="0.25">
      <c r="A266" s="3" t="s">
        <v>256</v>
      </c>
    </row>
    <row r="267" spans="1:1" x14ac:dyDescent="0.25">
      <c r="A267" s="3" t="s">
        <v>257</v>
      </c>
    </row>
    <row r="268" spans="1:1" x14ac:dyDescent="0.25">
      <c r="A268" s="3" t="s">
        <v>258</v>
      </c>
    </row>
    <row r="269" spans="1:1" x14ac:dyDescent="0.25">
      <c r="A269" s="3" t="s">
        <v>259</v>
      </c>
    </row>
    <row r="270" spans="1:1" x14ac:dyDescent="0.25">
      <c r="A270" s="3" t="s">
        <v>260</v>
      </c>
    </row>
    <row r="271" spans="1:1" x14ac:dyDescent="0.25">
      <c r="A271" s="3" t="s">
        <v>261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50EC1-1F33-48D9-8A71-655C9F451812}">
  <sheetPr codeName="Sheet3"/>
  <dimension ref="A1:Z13"/>
  <sheetViews>
    <sheetView zoomScale="75" zoomScaleNormal="75" workbookViewId="0">
      <selection activeCell="B32" sqref="B32"/>
    </sheetView>
  </sheetViews>
  <sheetFormatPr defaultRowHeight="15" x14ac:dyDescent="0.25"/>
  <cols>
    <col min="1" max="1" width="14.140625" bestFit="1" customWidth="1"/>
    <col min="2" max="2" width="110" bestFit="1" customWidth="1"/>
    <col min="7" max="17" width="15.7109375" customWidth="1"/>
  </cols>
  <sheetData>
    <row r="1" spans="1:26" x14ac:dyDescent="0.25">
      <c r="A1" s="19" t="s">
        <v>59</v>
      </c>
      <c r="H1" s="17" t="s">
        <v>68</v>
      </c>
      <c r="I1" s="17" t="s">
        <v>49</v>
      </c>
      <c r="J1" s="17" t="s">
        <v>55</v>
      </c>
      <c r="K1" s="17" t="s">
        <v>56</v>
      </c>
      <c r="L1" s="17" t="s">
        <v>25</v>
      </c>
      <c r="M1" s="17" t="s">
        <v>57</v>
      </c>
      <c r="N1" s="17" t="s">
        <v>6</v>
      </c>
      <c r="O1" s="17" t="s">
        <v>58</v>
      </c>
      <c r="P1" s="17" t="s">
        <v>67</v>
      </c>
      <c r="Z1">
        <v>5</v>
      </c>
    </row>
    <row r="2" spans="1:26" x14ac:dyDescent="0.25">
      <c r="A2" s="19" t="s">
        <v>66</v>
      </c>
      <c r="B2" t="s">
        <v>468</v>
      </c>
      <c r="Z2" t="s">
        <v>54</v>
      </c>
    </row>
    <row r="4" spans="1:26" x14ac:dyDescent="0.25">
      <c r="A4" s="18" t="s">
        <v>32</v>
      </c>
      <c r="B4" s="18" t="s">
        <v>3</v>
      </c>
      <c r="C4" s="18" t="s">
        <v>1</v>
      </c>
      <c r="D4" s="18" t="s">
        <v>60</v>
      </c>
      <c r="E4" s="18" t="s">
        <v>61</v>
      </c>
    </row>
    <row r="10" spans="1:26" x14ac:dyDescent="0.25">
      <c r="I10" s="17" t="s">
        <v>49</v>
      </c>
      <c r="J10" s="17" t="s">
        <v>25</v>
      </c>
      <c r="K10" s="17" t="s">
        <v>57</v>
      </c>
      <c r="L10" s="17" t="s">
        <v>62</v>
      </c>
      <c r="M10" s="17" t="s">
        <v>67</v>
      </c>
    </row>
    <row r="11" spans="1:26" x14ac:dyDescent="0.25">
      <c r="I11" t="s">
        <v>52</v>
      </c>
      <c r="L11">
        <v>1</v>
      </c>
      <c r="M11">
        <v>3</v>
      </c>
    </row>
    <row r="12" spans="1:26" x14ac:dyDescent="0.25">
      <c r="I12" t="s">
        <v>53</v>
      </c>
      <c r="L12">
        <v>1</v>
      </c>
      <c r="M12">
        <v>4</v>
      </c>
    </row>
    <row r="13" spans="1:26" x14ac:dyDescent="0.25">
      <c r="I13" t="s">
        <v>54</v>
      </c>
      <c r="L13">
        <v>1</v>
      </c>
      <c r="M13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2" r:id="rId3" name="Button 68">
              <controlPr defaultSize="0" print="0" autoFill="0" autoPict="0" macro="[0]!SEARCH_AddAllSummaryToPurchase">
                <anchor moveWithCells="1" sizeWithCells="1">
                  <from>
                    <xdr:col>6</xdr:col>
                    <xdr:colOff>47625</xdr:colOff>
                    <xdr:row>2</xdr:row>
                    <xdr:rowOff>19050</xdr:rowOff>
                  </from>
                  <to>
                    <xdr:col>6</xdr:col>
                    <xdr:colOff>990600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" name="Button 69">
              <controlPr defaultSize="0" print="0" autoFill="0" autoPict="0" macro="[0]!SEARCH_Refresh">
                <anchor moveWithCells="1" sizeWithCells="1">
                  <from>
                    <xdr:col>6</xdr:col>
                    <xdr:colOff>47625</xdr:colOff>
                    <xdr:row>3</xdr:row>
                    <xdr:rowOff>19050</xdr:rowOff>
                  </from>
                  <to>
                    <xdr:col>6</xdr:col>
                    <xdr:colOff>990600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" name="Button 70">
              <controlPr defaultSize="0" print="0" autoFill="0" autoPict="0" macro="[0]!SEARCH_BuildFinalView">
                <anchor moveWithCells="1" sizeWithCells="1">
                  <from>
                    <xdr:col>6</xdr:col>
                    <xdr:colOff>47625</xdr:colOff>
                    <xdr:row>4</xdr:row>
                    <xdr:rowOff>19050</xdr:rowOff>
                  </from>
                  <to>
                    <xdr:col>6</xdr:col>
                    <xdr:colOff>990600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" name="Button 71">
              <controlPr defaultSize="0" print="0" autoFill="0" autoPict="0" macro="[0]!SEARCH_AddSelectedToEdit">
                <anchor moveWithCells="1" sizeWithCells="1">
                  <from>
                    <xdr:col>6</xdr:col>
                    <xdr:colOff>47625</xdr:colOff>
                    <xdr:row>5</xdr:row>
                    <xdr:rowOff>19050</xdr:rowOff>
                  </from>
                  <to>
                    <xdr:col>6</xdr:col>
                    <xdr:colOff>990600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" name="Button 72">
              <controlPr defaultSize="0" print="0" autoFill="0" autoPict="0" macro="[0]!SEARCH_SaveEditGrid">
                <anchor moveWithCells="1" sizeWithCells="1">
                  <from>
                    <xdr:col>6</xdr:col>
                    <xdr:colOff>47625</xdr:colOff>
                    <xdr:row>6</xdr:row>
                    <xdr:rowOff>19050</xdr:rowOff>
                  </from>
                  <to>
                    <xdr:col>6</xdr:col>
                    <xdr:colOff>990600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8" name="Button 73">
              <controlPr defaultSize="0" print="0" autoFill="0" autoPict="0" macro="[0]!SEARCH_ClearEditGrid">
                <anchor moveWithCells="1" sizeWithCells="1">
                  <from>
                    <xdr:col>6</xdr:col>
                    <xdr:colOff>47625</xdr:colOff>
                    <xdr:row>7</xdr:row>
                    <xdr:rowOff>19050</xdr:rowOff>
                  </from>
                  <to>
                    <xdr:col>6</xdr:col>
                    <xdr:colOff>990600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9" name="Button 74">
              <controlPr defaultSize="0" print="0" autoFill="0" autoPict="0" macro="[0]!SEARCH_DeleteSelectedOverride">
                <anchor moveWithCells="1" sizeWithCells="1">
                  <from>
                    <xdr:col>6</xdr:col>
                    <xdr:colOff>47625</xdr:colOff>
                    <xdr:row>8</xdr:row>
                    <xdr:rowOff>19050</xdr:rowOff>
                  </from>
                  <to>
                    <xdr:col>6</xdr:col>
                    <xdr:colOff>990600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0" name="Button 75">
              <controlPr defaultSize="0" print="0" autoFill="0" autoPict="0" macro="[0]!SEARCH_UndoLast">
                <anchor moveWithCells="1" sizeWithCells="1">
                  <from>
                    <xdr:col>6</xdr:col>
                    <xdr:colOff>47625</xdr:colOff>
                    <xdr:row>9</xdr:row>
                    <xdr:rowOff>19050</xdr:rowOff>
                  </from>
                  <to>
                    <xdr:col>6</xdr:col>
                    <xdr:colOff>990600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6739-C211-4AD4-BD32-959B13B83F74}">
  <sheetPr codeName="Sheet4"/>
  <dimension ref="A1:Z5"/>
  <sheetViews>
    <sheetView zoomScale="75" zoomScaleNormal="75" workbookViewId="0">
      <selection activeCell="I42" sqref="I42"/>
    </sheetView>
  </sheetViews>
  <sheetFormatPr defaultRowHeight="15" x14ac:dyDescent="0.25"/>
  <cols>
    <col min="19" max="19" width="11.5703125" bestFit="1" customWidth="1"/>
    <col min="20" max="20" width="124.85546875" bestFit="1" customWidth="1"/>
  </cols>
  <sheetData>
    <row r="1" spans="1:26" x14ac:dyDescent="0.25">
      <c r="A1" t="s">
        <v>63</v>
      </c>
      <c r="B1" t="s">
        <v>49</v>
      </c>
      <c r="C1" t="s">
        <v>32</v>
      </c>
      <c r="D1" t="s">
        <v>3</v>
      </c>
      <c r="E1" t="s">
        <v>46</v>
      </c>
      <c r="F1" t="s">
        <v>47</v>
      </c>
      <c r="G1" t="s">
        <v>61</v>
      </c>
      <c r="H1" t="s">
        <v>55</v>
      </c>
      <c r="I1" t="s">
        <v>56</v>
      </c>
      <c r="J1" t="s">
        <v>25</v>
      </c>
      <c r="K1" t="s">
        <v>57</v>
      </c>
      <c r="L1" t="s">
        <v>50</v>
      </c>
      <c r="M1" t="s">
        <v>2</v>
      </c>
      <c r="N1" t="s">
        <v>51</v>
      </c>
      <c r="O1" t="s">
        <v>24</v>
      </c>
      <c r="P1" t="s">
        <v>62</v>
      </c>
      <c r="Q1" t="s">
        <v>6</v>
      </c>
      <c r="R1" t="s">
        <v>64</v>
      </c>
      <c r="S1" t="s">
        <v>65</v>
      </c>
    </row>
    <row r="2" spans="1:26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1:26" x14ac:dyDescent="0.25">
      <c r="T3" t="s">
        <v>52</v>
      </c>
      <c r="Z3">
        <v>1</v>
      </c>
    </row>
    <row r="4" spans="1:26" x14ac:dyDescent="0.25">
      <c r="T4" t="s">
        <v>53</v>
      </c>
      <c r="Z4">
        <v>1</v>
      </c>
    </row>
    <row r="5" spans="1:26" x14ac:dyDescent="0.25">
      <c r="T5" t="s">
        <v>54</v>
      </c>
      <c r="Z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80DC-425D-483C-9567-24B8A70C7C32}">
  <sheetPr codeName="Sheet6"/>
  <dimension ref="A1:AJ500"/>
  <sheetViews>
    <sheetView tabSelected="1" zoomScale="75" zoomScaleNormal="75" workbookViewId="0">
      <pane ySplit="49" topLeftCell="A50" activePane="bottomLeft" state="frozen"/>
      <selection pane="bottomLeft" activeCell="F33" sqref="F33"/>
    </sheetView>
  </sheetViews>
  <sheetFormatPr defaultColWidth="8.7109375" defaultRowHeight="15" x14ac:dyDescent="0.25"/>
  <cols>
    <col min="1" max="2" width="13.7109375" customWidth="1"/>
    <col min="3" max="3" width="13.28515625" bestFit="1" customWidth="1"/>
    <col min="4" max="4" width="10.85546875" bestFit="1" customWidth="1"/>
    <col min="5" max="5" width="11" bestFit="1" customWidth="1"/>
    <col min="6" max="6" width="27.140625" bestFit="1" customWidth="1"/>
    <col min="7" max="7" width="24.7109375" bestFit="1" customWidth="1"/>
    <col min="8" max="8" width="1.7109375" style="1" customWidth="1"/>
    <col min="9" max="9" width="5.7109375" customWidth="1"/>
    <col min="10" max="10" width="50.7109375" customWidth="1"/>
    <col min="11" max="11" width="7.5703125" bestFit="1" customWidth="1"/>
    <col min="12" max="12" width="9.85546875" style="9" bestFit="1" customWidth="1"/>
    <col min="13" max="13" width="14.42578125" style="9" bestFit="1" customWidth="1"/>
    <col min="14" max="14" width="15.5703125" style="9" bestFit="1" customWidth="1"/>
    <col min="15" max="15" width="21.7109375" style="9" bestFit="1" customWidth="1"/>
    <col min="16" max="16" width="12.5703125" style="9" bestFit="1" customWidth="1"/>
    <col min="17" max="18" width="10.42578125" style="9" bestFit="1" customWidth="1"/>
    <col min="19" max="19" width="1.7109375" style="1" customWidth="1"/>
    <col min="20" max="20" width="9.85546875" bestFit="1" customWidth="1"/>
    <col min="21" max="22" width="5.7109375" customWidth="1"/>
    <col min="23" max="26" width="5.7109375" style="9" customWidth="1"/>
    <col min="27" max="27" width="10.42578125" style="9" bestFit="1" customWidth="1"/>
  </cols>
  <sheetData>
    <row r="1" spans="1:36" x14ac:dyDescent="0.25">
      <c r="A1" s="21" t="s">
        <v>26</v>
      </c>
      <c r="B1" s="22"/>
      <c r="C1" s="15" cm="1">
        <f t="array" aca="1" ref="C1" ca="1">_xlfn.LET(_xlpm.v,IFERROR(--C$3:C$49,0),IF(SUMPRODUCT(--(_xlpm.v&lt;&gt;0))=0,"",SUM(_xlpm.v)))</f>
        <v>6511.57</v>
      </c>
      <c r="D1" s="15" cm="1">
        <f t="array" aca="1" ref="D1" ca="1">_xlfn.LET(_xlpm.v,IFERROR(--D$3:D$49,0),IF(SUMPRODUCT(--(_xlpm.v&lt;&gt;0))=0,"",SUM(_xlpm.v)))</f>
        <v>8070</v>
      </c>
      <c r="E1" s="15" cm="1">
        <f t="array" aca="1" ref="E1" ca="1">_xlfn.LET(_xlpm.v,IFERROR(--E$3:E$49,0),IF(SUMPRODUCT(--(_xlpm.v&lt;&gt;0))=0,"",SUM(_xlpm.v)))</f>
        <v>1000</v>
      </c>
      <c r="F1" s="15" cm="1">
        <f t="array" aca="1" ref="F1" ca="1">_xlfn.LET(_xlpm.v,IFERROR(--F$3:F$49,0),IF(SUMPRODUCT(--(_xlpm.v&lt;&gt;0))=0,"",SUM(_xlpm.v)))</f>
        <v>15581.57</v>
      </c>
      <c r="G1" s="15" cm="1">
        <f t="array" aca="1" ref="G1" ca="1">_xlfn.LET(_xlpm.v,IFERROR(--G$3:G$49,0),IF(SUMPRODUCT(--(_xlpm.v&lt;&gt;0))=0,"",SUM(_xlpm.v)))</f>
        <v>15581.57</v>
      </c>
      <c r="I1" t="s">
        <v>31</v>
      </c>
      <c r="L1"/>
      <c r="M1"/>
      <c r="N1"/>
      <c r="O1"/>
      <c r="P1"/>
      <c r="Q1"/>
      <c r="R1" s="10">
        <f>SUM(R3:R500)</f>
        <v>0</v>
      </c>
      <c r="S1" s="12"/>
      <c r="T1" s="11"/>
      <c r="U1" s="11"/>
      <c r="V1" s="11"/>
      <c r="W1" s="11"/>
      <c r="X1" s="11"/>
      <c r="Y1" s="11"/>
      <c r="Z1" s="11"/>
      <c r="AA1" s="10">
        <f t="shared" ref="AA1" si="0">SUM(AA3:AA500)</f>
        <v>0</v>
      </c>
    </row>
    <row r="2" spans="1:36" x14ac:dyDescent="0.25">
      <c r="A2" s="13" t="s">
        <v>20</v>
      </c>
      <c r="B2" s="13" t="s">
        <v>7</v>
      </c>
      <c r="C2" s="16" t="s">
        <v>21</v>
      </c>
      <c r="D2" s="16" t="s">
        <v>22</v>
      </c>
      <c r="E2" s="16" t="s">
        <v>23</v>
      </c>
      <c r="F2" s="16" t="s">
        <v>27</v>
      </c>
      <c r="G2" s="16" t="s">
        <v>28</v>
      </c>
      <c r="I2" t="s">
        <v>32</v>
      </c>
      <c r="J2" t="s">
        <v>33</v>
      </c>
      <c r="K2" t="s">
        <v>1</v>
      </c>
      <c r="L2" s="9" t="s">
        <v>19</v>
      </c>
      <c r="M2" s="9" t="s">
        <v>29</v>
      </c>
      <c r="N2" s="9" t="s">
        <v>5</v>
      </c>
      <c r="O2" s="9" t="s">
        <v>30</v>
      </c>
      <c r="P2" s="9" t="s">
        <v>25</v>
      </c>
      <c r="Q2" s="9" t="s">
        <v>2</v>
      </c>
      <c r="R2" s="9" t="s">
        <v>24</v>
      </c>
      <c r="W2"/>
      <c r="X2"/>
      <c r="Y2"/>
      <c r="Z2"/>
      <c r="AA2"/>
    </row>
    <row r="3" spans="1:36" x14ac:dyDescent="0.25">
      <c r="A3" s="13">
        <v>1</v>
      </c>
      <c r="B3" s="13" t="str">
        <f>IF($A3=1,"S"&amp;TEXT(ROW()-2,"00"),"")</f>
        <v>S01</v>
      </c>
      <c r="C3" s="9">
        <f ca="1">_xlfn.LET(_xlpm.sh,IFERROR(MID($B3,SEARCH("S",$B3),3),$B3),IF($B3="","",IFERROR(SUMIFS(INDIRECT("'"&amp;_xlpm.sh&amp;"'!N3:N300"),INDIRECT("'"&amp;_xlpm.sh&amp;"'!F3:F300"),"&lt;&gt;",INDIRECT("'"&amp;_xlpm.sh&amp;"'!H3:H300"),"&lt;&gt;"),0)))</f>
        <v>2900.9700000000003</v>
      </c>
      <c r="D3" s="9">
        <f ca="1">_xlfn.LET(_xlpm.sh,IFERROR(MID($B3,SEARCH("S",$B3),3),$B3),IF($B3="","",IFERROR(SUMIFS(INDIRECT("'"&amp;_xlpm.sh&amp;"'!Y3:Y300"),INDIRECT("'"&amp;_xlpm.sh&amp;"'!Q3:Q300"),"&lt;&gt;",INDIRECT("'"&amp;_xlpm.sh&amp;"'!S3:S300"),"&lt;&gt;"),0)))</f>
        <v>3150</v>
      </c>
      <c r="E3" s="9">
        <f ca="1">_xlfn.LET(_xlpm.sh,IFERROR(MID($B3,SEARCH("S",$B3),3),$B3),IF($B3="","",IFERROR(SUMIFS(INDIRECT("'"&amp;_xlpm.sh&amp;"'!AJ3:AJ300"),INDIRECT("'"&amp;_xlpm.sh&amp;"'!AB3:AB300"),"&lt;&gt;",INDIRECT("'"&amp;_xlpm.sh&amp;"'!AD3:AD300"),"&lt;&gt;"),0)))</f>
        <v>400</v>
      </c>
      <c r="F3" s="9">
        <f ca="1">IF($B3="","",C3+D3+E3)</f>
        <v>6450.97</v>
      </c>
      <c r="G3" s="9">
        <f ca="1">IF($A3=1,$F3,0)</f>
        <v>6450.97</v>
      </c>
      <c r="I3" t="str" cm="1">
        <f t="array" ref="I3:L3">IFERROR(_xlfn.LET(_xlpm.raw,$T$3:$AC$20000,_xlpm.filtered,_xlfn._xlws.FILTER(_xlpm.raw,INDEX(_xlpm.raw,,2)&lt;&gt;""),_xlpm.cols,CHOOSE({1,2,3,4},INDEX(_xlpm.filtered,,1),INDEX(_xlpm.filtered,,2),INDEX(_xlpm.filtered,,3),INDEX(_xlpm.filtered,,4)),_xlfn._xlws.SORT(_xlfn.UNIQUE(_xlpm.cols),1,1)),"")</f>
        <v/>
      </c>
      <c r="J3" t="str">
        <v/>
      </c>
      <c r="K3" t="str">
        <v/>
      </c>
      <c r="L3" s="9" t="str">
        <v/>
      </c>
      <c r="M3" s="9" t="str">
        <f>IF($J3="","",SUMIFS($X$3:$X$20000,$T$3:$T$20000,$I3,$U$3:$U$20000,$J3,$V$3:$V$20000,$K3,$W$3:$W$20000,$L3))</f>
        <v/>
      </c>
      <c r="N3" s="9" t="str">
        <f>IF($J3="","",SUMIFS($Y$3:$Y$20000,$T$3:$T$20000,$I3,$U$3:$U$20000,$J3,$V$3:$V$20000,$K3,$W$3:$W$20000,$L3))</f>
        <v/>
      </c>
      <c r="O3" s="9" t="str">
        <f>IF($J3="","",SUMIFS($Z$3:$Z$20000,$T$3:$T$20000,$I3,$U$3:$U$20000,$J3,$V$3:$V$20000,$K3,$W$3:$W$20000,$L3))</f>
        <v/>
      </c>
      <c r="P3" s="9" t="str">
        <f>IF($J3="","",SUMIFS($AA$3:$AA$20000,$T$3:$T$20000,$I3,$U$3:$U$20000,$J3,$V$3:$V$20000,$K3,$W$3:$W$20000,$L3))</f>
        <v/>
      </c>
      <c r="Q3" s="9" t="str">
        <f>IF($I3="","",IF($P3&lt;&gt;"",$P3,$O3))</f>
        <v/>
      </c>
      <c r="R3" s="9" t="str">
        <f>IF($I3="","",IF($Q3="","",$Q3*$L3))</f>
        <v/>
      </c>
      <c r="T3" t="str" cm="1">
        <f t="array" ref="T3">_xlfn.LET(
_xlpm.rows,ROWS(#REF!),
_xlpm.cols,18,
_xlpm.k,_xlfn.SEQUENCE(_xlpm.rows*_xlpm.cols),
_xlpm.r,MOD(_xlpm.k-1,_xlpm.rows)+1,
_xlpm.c,INT((_xlpm.k-1)/_xlpm.rows)+1,
_xlpm.shIdx,MOD(_xlpm.c-1,6)+1,
_xlpm.incVec,CHOOSE(_xlfn.SEQUENCE(1,6),
_xlfn.XLOOKUP("*S01*",$B$3:$B$49,$A$3:$A$49,0,2),
_xlfn.XLOOKUP("*S02*",$B$3:$B$49,$A$3:$A$49,0,2),
_xlfn.XLOOKUP("*S03*",$B$3:$B$49,$A$3:$A$49,0,2),
_xlfn.XLOOKUP("*S04*",$B$3:$B$49,$A$3:$A$49,0,2),
_xlfn.XLOOKUP("*S05*",$B$3:$B$49,$A$3:$A$49,0,2),
_xlfn.XLOOKUP("*S06*",$B$3:$B$49,$A$3:$A$49,0,2)
),
_xlpm.inc,INDEX(_xlpm.incVec,_xlpm.shIdx),
_xlpm.specAll,CHOOSE(_xlfn.SEQUENCE(1,18),#REF!,#REF!,#REF!,#REF!,#REF!,
'S01'!F3:F300,#REF!,#REF!,#REF!,#REF!,#REF!,
'S01'!Q3:Q300,#REF!,#REF!,#REF!,#REF!,#REF!,
'S01'!AB3:AB300
),
_xlpm.descAll,CHOOSE(_xlfn.SEQUENCE(1,18),#REF!,#REF!,#REF!,#REF!,#REF!,
'S01'!G3:G300,#REF!,#REF!,#REF!,#REF!,#REF!,
'S01'!R3:R300,#REF!,#REF!,#REF!,#REF!,#REF!,
'S01'!AC3:AC300
),
_xlpm.uomAll,CHOOSE(_xlfn.SEQUENCE(1,18),#REF!,#REF!,#REF!,#REF!,#REF!,
'S01'!H3:H300,#REF!,#REF!,#REF!,#REF!,#REF!,
'S01'!S3:S300,#REF!,#REF!,#REF!,#REF!,#REF!,
'S01'!AD3:AD300
),
_xlpm.rateAll,CHOOSE(_xlfn.SEQUENCE(1,18),#REF!,#REF!,#REF!,#REF!,#REF!,
'S01'!K3:K300,#REF!,#REF!,#REF!,#REF!,#REF!,
'S01'!V3:V300,#REF!,#REF!,#REF!,#REF!,#REF!,
'S01'!AG3:AG300
),
_xlpm.usageAll,CHOOSE(_xlfn.SEQUENCE(1,18),#REF!,#REF!,#REF!,#REF!,#REF!,
'S01'!I3:I300,#REF!,#REF!,#REF!,#REF!,#REF!,
'S01'!T3:T300,#REF!,#REF!,#REF!,#REF!,#REF!,
'S01'!AE3:AE300
),
_xlpm.wastAll,CHOOSE(_xlfn.SEQUENCE(1,18),#REF!,#REF!,#REF!,#REF!,#REF!,
'S01'!J3:J300,#REF!,#REF!,#REF!,#REF!,#REF!,
'S01'!U3:U300,#REF!,#REF!,#REF!,#REF!,#REF!,
'S01'!AF3:AF300
),
_xlpm.useWAll,CHOOSE(_xlfn.SEQUENCE(1,18),#REF!,#REF!,#REF!,#REF!,#REF!,
'S01'!L3:L300,#REF!,#REF!,#REF!,#REF!,#REF!,
'S01'!W3:W300,#REF!,#REF!,#REF!,#REF!,#REF!,
'S01'!AH3:AH300
),
_xlpm.totAll,CHOOSE(_xlfn.SEQUENCE(1,18),#REF!,#REF!,#REF!,#REF!,#REF!,
'S01'!N3:N300,#REF!,#REF!,#REF!,#REF!,#REF!,
'S01'!Y3:Y300,#REF!,#REF!,#REF!,#REF!,#REF!,
'S01'!AJ3:AJ300
),
_xlpm.spec,INDEX(_xlpm.specAll,_xlpm.r,_xlpm.c),
_xlpm.desc,INDEX(_xlpm.descAll,_xlpm.r,_xlpm.c),
_xlpm.uom,INDEX(_xlpm.uomAll,_xlpm.r,_xlpm.c),
_xlpm.rate,INDEX(_xlpm.rateAll,_xlpm.r,_xlpm.c),
_xlpm.usage,INDEX(_xlpm.usageAll,_xlpm.r,_xlpm.c),
_xlpm.wast,INDEX(_xlpm.wastAll,_xlpm.r,_xlpm.c),
_xlpm.useW,INDEX(_xlpm.useWAll,_xlpm.r,_xlpm.c),
_xlpm.tot,INDEX(_xlpm.totAll,_xlpm.r,_xlpm.c),
_xlpm.cat,IF(_xlpm.c&lt;=6,"MATERIAL",IF(_xlpm.c&lt;=12,"LABOUR","SERVICE")),
_xlpm.cond,(_xlpm.inc=1)*(_xlpm.spec&lt;&gt;"")*(_xlpm.desc&lt;&gt;"")*(_xlpm.uom&lt;&gt;"")*(IFERROR(--_xlpm.rate,0)&lt;&gt;0),
_xlpm.tbl,CHOOSE(_xlfn.SEQUENCE(1,8),
_xlpm.cat,_xlpm.desc,_xlpm.uom,IFERROR(--_xlpm.rate,0),IFERROR(--_xlpm.usage,0),IFERROR(--_xlpm.wast,0),IFERROR(--_xlpm.useW,0),IFERROR(--_xlpm.tot,0)
),
IFERROR(_xlfn._xlws.FILTER(_xlpm.tbl,_xlpm.cond),"")
)</f>
        <v/>
      </c>
      <c r="AI3" t="s">
        <v>522</v>
      </c>
      <c r="AJ3" t="s">
        <v>523</v>
      </c>
    </row>
    <row r="4" spans="1:36" x14ac:dyDescent="0.25">
      <c r="A4" s="13">
        <v>1</v>
      </c>
      <c r="B4" s="13" t="str">
        <f t="shared" ref="B4:B49" si="1">IF($A4=1,"S"&amp;TEXT(ROW()-2,"00"),"")</f>
        <v>S02</v>
      </c>
      <c r="C4" s="9">
        <f t="shared" ref="C4:C49" ca="1" si="2">_xlfn.LET(_xlpm.sh,IFERROR(MID($B4,SEARCH("S",$B4),3),$B4),IF($B4="","",IFERROR(SUMIFS(INDIRECT("'"&amp;_xlpm.sh&amp;"'!N3:N300"),INDIRECT("'"&amp;_xlpm.sh&amp;"'!F3:F300"),"&lt;&gt;",INDIRECT("'"&amp;_xlpm.sh&amp;"'!H3:H300"),"&lt;&gt;"),0)))</f>
        <v>2618.1999999999998</v>
      </c>
      <c r="D4" s="9">
        <f t="shared" ref="D4:D49" ca="1" si="3">_xlfn.LET(_xlpm.sh,IFERROR(MID($B4,SEARCH("S",$B4),3),$B4),IF($B4="","",IFERROR(SUMIFS(INDIRECT("'"&amp;_xlpm.sh&amp;"'!Y3:Y300"),INDIRECT("'"&amp;_xlpm.sh&amp;"'!Q3:Q300"),"&lt;&gt;",INDIRECT("'"&amp;_xlpm.sh&amp;"'!S3:S300"),"&lt;&gt;"),0)))</f>
        <v>2750</v>
      </c>
      <c r="E4" s="9">
        <f t="shared" ref="E4:E49" ca="1" si="4">_xlfn.LET(_xlpm.sh,IFERROR(MID($B4,SEARCH("S",$B4),3),$B4),IF($B4="","",IFERROR(SUMIFS(INDIRECT("'"&amp;_xlpm.sh&amp;"'!AJ3:AJ300"),INDIRECT("'"&amp;_xlpm.sh&amp;"'!AB3:AB300"),"&lt;&gt;",INDIRECT("'"&amp;_xlpm.sh&amp;"'!AD3:AD300"),"&lt;&gt;"),0)))</f>
        <v>0</v>
      </c>
      <c r="F4" s="9">
        <f t="shared" ref="F4:F49" ca="1" si="5">IF($B4="","",C4+D4+E4)</f>
        <v>5368.2</v>
      </c>
      <c r="G4" s="9">
        <f t="shared" ref="G4:G49" ca="1" si="6">IF($A4=1,$F4,0)</f>
        <v>5368.2</v>
      </c>
      <c r="M4" s="9" t="str">
        <f t="shared" ref="M4:M49" si="7">IF($J4="","",SUMIFS($X$3:$X$20000,$T$3:$T$20000,$I4,$U$3:$U$20000,$J4,$V$3:$V$20000,$K4,$W$3:$W$20000,$L4))</f>
        <v/>
      </c>
      <c r="N4" s="9" t="str">
        <f t="shared" ref="N4:N49" si="8">IF($J4="","",SUMIFS($Y$3:$Y$20000,$T$3:$T$20000,$I4,$U$3:$U$20000,$J4,$V$3:$V$20000,$K4,$W$3:$W$20000,$L4))</f>
        <v/>
      </c>
      <c r="O4" s="9" t="str">
        <f t="shared" ref="O4:O48" si="9">IF($J4="","",SUMIFS($Z$3:$Z$20000,$T$3:$T$20000,$I4,$U$3:$U$20000,$J4,$V$3:$V$20000,$K4,$W$3:$W$20000,$L4))</f>
        <v/>
      </c>
      <c r="P4" s="9" t="str">
        <f t="shared" ref="P4:P49" si="10">IF($J4="","",SUMIFS($AA$3:$AA$20000,$T$3:$T$20000,$I4,$U$3:$U$20000,$J4,$V$3:$V$20000,$K4,$W$3:$W$20000,$L4))</f>
        <v/>
      </c>
      <c r="Q4" s="9" t="str">
        <f t="shared" ref="Q4:Q67" si="11">IF($I4="","",IF($P4&lt;&gt;"",$P4,$O4))</f>
        <v/>
      </c>
      <c r="R4" s="9" t="str">
        <f t="shared" ref="R4:R67" si="12">IF($I4="","",IF($Q4="","",$Q4*$L4))</f>
        <v/>
      </c>
      <c r="AI4" t="s">
        <v>522</v>
      </c>
      <c r="AJ4" t="s">
        <v>524</v>
      </c>
    </row>
    <row r="5" spans="1:36" x14ac:dyDescent="0.25">
      <c r="A5" s="13">
        <v>1</v>
      </c>
      <c r="B5" s="13" t="str">
        <f t="shared" si="1"/>
        <v>S03</v>
      </c>
      <c r="C5" s="9">
        <f t="shared" ca="1" si="2"/>
        <v>992.40000000000009</v>
      </c>
      <c r="D5" s="9">
        <f t="shared" ca="1" si="3"/>
        <v>2170</v>
      </c>
      <c r="E5" s="9">
        <f t="shared" ca="1" si="4"/>
        <v>600</v>
      </c>
      <c r="F5" s="9">
        <f t="shared" ca="1" si="5"/>
        <v>3762.4</v>
      </c>
      <c r="G5" s="9">
        <f t="shared" ca="1" si="6"/>
        <v>3762.4</v>
      </c>
      <c r="M5" s="9" t="str">
        <f t="shared" si="7"/>
        <v/>
      </c>
      <c r="N5" s="9" t="str">
        <f t="shared" si="8"/>
        <v/>
      </c>
      <c r="O5" s="9" t="str">
        <f t="shared" si="9"/>
        <v/>
      </c>
      <c r="P5" s="9" t="str">
        <f t="shared" si="10"/>
        <v/>
      </c>
      <c r="Q5" s="9" t="str">
        <f t="shared" si="11"/>
        <v/>
      </c>
      <c r="R5" s="9" t="str">
        <f t="shared" si="12"/>
        <v/>
      </c>
      <c r="AI5" t="s">
        <v>522</v>
      </c>
      <c r="AJ5" t="s">
        <v>525</v>
      </c>
    </row>
    <row r="6" spans="1:36" x14ac:dyDescent="0.25">
      <c r="B6" t="str">
        <f t="shared" si="1"/>
        <v/>
      </c>
      <c r="C6" s="9" t="str">
        <f t="shared" ca="1" si="2"/>
        <v/>
      </c>
      <c r="D6" s="9" t="str">
        <f t="shared" ca="1" si="3"/>
        <v/>
      </c>
      <c r="E6" s="9" t="str">
        <f t="shared" ca="1" si="4"/>
        <v/>
      </c>
      <c r="F6" s="9" t="str">
        <f t="shared" si="5"/>
        <v/>
      </c>
      <c r="G6" s="9">
        <f t="shared" si="6"/>
        <v>0</v>
      </c>
      <c r="M6" s="9" t="str">
        <f t="shared" si="7"/>
        <v/>
      </c>
      <c r="N6" s="9" t="str">
        <f t="shared" si="8"/>
        <v/>
      </c>
      <c r="O6" s="9" t="str">
        <f t="shared" si="9"/>
        <v/>
      </c>
      <c r="P6" s="9" t="str">
        <f t="shared" si="10"/>
        <v/>
      </c>
      <c r="Q6" s="9" t="str">
        <f t="shared" si="11"/>
        <v/>
      </c>
      <c r="R6" s="9" t="str">
        <f t="shared" si="12"/>
        <v/>
      </c>
    </row>
    <row r="7" spans="1:36" x14ac:dyDescent="0.25">
      <c r="B7" t="str">
        <f t="shared" si="1"/>
        <v/>
      </c>
      <c r="C7" s="9" t="str">
        <f t="shared" ca="1" si="2"/>
        <v/>
      </c>
      <c r="D7" s="9" t="str">
        <f t="shared" ca="1" si="3"/>
        <v/>
      </c>
      <c r="E7" s="9" t="str">
        <f t="shared" ca="1" si="4"/>
        <v/>
      </c>
      <c r="F7" s="9" t="str">
        <f t="shared" si="5"/>
        <v/>
      </c>
      <c r="G7" s="9">
        <f t="shared" si="6"/>
        <v>0</v>
      </c>
      <c r="M7" s="9" t="str">
        <f t="shared" si="7"/>
        <v/>
      </c>
      <c r="N7" s="9" t="str">
        <f t="shared" si="8"/>
        <v/>
      </c>
      <c r="O7" s="9" t="str">
        <f t="shared" si="9"/>
        <v/>
      </c>
      <c r="P7" s="9" t="str">
        <f t="shared" si="10"/>
        <v/>
      </c>
      <c r="Q7" s="9" t="str">
        <f t="shared" si="11"/>
        <v/>
      </c>
      <c r="R7" s="9" t="str">
        <f t="shared" si="12"/>
        <v/>
      </c>
    </row>
    <row r="8" spans="1:36" x14ac:dyDescent="0.25">
      <c r="B8" t="str">
        <f t="shared" si="1"/>
        <v/>
      </c>
      <c r="C8" s="9" t="str">
        <f t="shared" ca="1" si="2"/>
        <v/>
      </c>
      <c r="D8" s="9" t="str">
        <f t="shared" ca="1" si="3"/>
        <v/>
      </c>
      <c r="E8" s="9" t="str">
        <f t="shared" ca="1" si="4"/>
        <v/>
      </c>
      <c r="F8" s="9" t="str">
        <f t="shared" si="5"/>
        <v/>
      </c>
      <c r="G8" s="9">
        <f t="shared" si="6"/>
        <v>0</v>
      </c>
      <c r="M8" s="9" t="str">
        <f t="shared" si="7"/>
        <v/>
      </c>
      <c r="N8" s="9" t="str">
        <f t="shared" si="8"/>
        <v/>
      </c>
      <c r="O8" s="9" t="str">
        <f t="shared" si="9"/>
        <v/>
      </c>
      <c r="P8" s="9" t="str">
        <f t="shared" si="10"/>
        <v/>
      </c>
      <c r="Q8" s="9" t="str">
        <f t="shared" si="11"/>
        <v/>
      </c>
      <c r="R8" s="9" t="str">
        <f t="shared" si="12"/>
        <v/>
      </c>
    </row>
    <row r="9" spans="1:36" x14ac:dyDescent="0.25">
      <c r="B9" t="str">
        <f t="shared" si="1"/>
        <v/>
      </c>
      <c r="C9" s="9" t="str">
        <f t="shared" ca="1" si="2"/>
        <v/>
      </c>
      <c r="D9" s="9" t="str">
        <f t="shared" ca="1" si="3"/>
        <v/>
      </c>
      <c r="E9" s="9" t="str">
        <f t="shared" ca="1" si="4"/>
        <v/>
      </c>
      <c r="F9" s="9" t="str">
        <f t="shared" si="5"/>
        <v/>
      </c>
      <c r="G9" s="9">
        <f t="shared" si="6"/>
        <v>0</v>
      </c>
      <c r="M9" s="9" t="str">
        <f t="shared" si="7"/>
        <v/>
      </c>
      <c r="N9" s="9" t="str">
        <f t="shared" si="8"/>
        <v/>
      </c>
      <c r="O9" s="9" t="str">
        <f t="shared" si="9"/>
        <v/>
      </c>
      <c r="P9" s="9" t="str">
        <f t="shared" si="10"/>
        <v/>
      </c>
      <c r="Q9" s="9" t="str">
        <f t="shared" si="11"/>
        <v/>
      </c>
      <c r="R9" s="9" t="str">
        <f t="shared" si="12"/>
        <v/>
      </c>
    </row>
    <row r="10" spans="1:36" x14ac:dyDescent="0.25">
      <c r="B10" t="str">
        <f t="shared" si="1"/>
        <v/>
      </c>
      <c r="C10" s="9" t="str">
        <f t="shared" ca="1" si="2"/>
        <v/>
      </c>
      <c r="D10" s="9" t="str">
        <f t="shared" ca="1" si="3"/>
        <v/>
      </c>
      <c r="E10" s="9" t="str">
        <f t="shared" ca="1" si="4"/>
        <v/>
      </c>
      <c r="F10" s="9" t="str">
        <f t="shared" si="5"/>
        <v/>
      </c>
      <c r="G10" s="9">
        <f t="shared" si="6"/>
        <v>0</v>
      </c>
      <c r="M10" s="9" t="str">
        <f t="shared" si="7"/>
        <v/>
      </c>
      <c r="N10" s="9" t="str">
        <f t="shared" si="8"/>
        <v/>
      </c>
      <c r="O10" s="9" t="str">
        <f t="shared" si="9"/>
        <v/>
      </c>
      <c r="P10" s="9" t="str">
        <f t="shared" si="10"/>
        <v/>
      </c>
      <c r="Q10" s="9" t="str">
        <f t="shared" si="11"/>
        <v/>
      </c>
      <c r="R10" s="9" t="str">
        <f t="shared" si="12"/>
        <v/>
      </c>
    </row>
    <row r="11" spans="1:36" x14ac:dyDescent="0.25">
      <c r="B11" t="str">
        <f t="shared" si="1"/>
        <v/>
      </c>
      <c r="C11" s="9" t="str">
        <f t="shared" ca="1" si="2"/>
        <v/>
      </c>
      <c r="D11" s="9" t="str">
        <f t="shared" ca="1" si="3"/>
        <v/>
      </c>
      <c r="E11" s="9" t="str">
        <f t="shared" ca="1" si="4"/>
        <v/>
      </c>
      <c r="F11" s="9" t="str">
        <f t="shared" si="5"/>
        <v/>
      </c>
      <c r="G11" s="9">
        <f t="shared" si="6"/>
        <v>0</v>
      </c>
      <c r="M11" s="9" t="str">
        <f t="shared" si="7"/>
        <v/>
      </c>
      <c r="N11" s="9" t="str">
        <f t="shared" si="8"/>
        <v/>
      </c>
      <c r="O11" s="9" t="str">
        <f t="shared" si="9"/>
        <v/>
      </c>
      <c r="P11" s="9" t="str">
        <f t="shared" si="10"/>
        <v/>
      </c>
      <c r="Q11" s="9" t="str">
        <f t="shared" si="11"/>
        <v/>
      </c>
      <c r="R11" s="9" t="str">
        <f t="shared" si="12"/>
        <v/>
      </c>
    </row>
    <row r="12" spans="1:36" x14ac:dyDescent="0.25">
      <c r="B12" t="str">
        <f t="shared" si="1"/>
        <v/>
      </c>
      <c r="C12" s="9" t="str">
        <f t="shared" ca="1" si="2"/>
        <v/>
      </c>
      <c r="D12" s="9" t="str">
        <f t="shared" ca="1" si="3"/>
        <v/>
      </c>
      <c r="E12" s="9" t="str">
        <f t="shared" ca="1" si="4"/>
        <v/>
      </c>
      <c r="F12" s="9" t="str">
        <f t="shared" si="5"/>
        <v/>
      </c>
      <c r="G12" s="9">
        <f t="shared" si="6"/>
        <v>0</v>
      </c>
      <c r="M12" s="9" t="str">
        <f t="shared" si="7"/>
        <v/>
      </c>
      <c r="N12" s="9" t="str">
        <f t="shared" si="8"/>
        <v/>
      </c>
      <c r="O12" s="9" t="str">
        <f t="shared" si="9"/>
        <v/>
      </c>
      <c r="P12" s="9" t="str">
        <f t="shared" si="10"/>
        <v/>
      </c>
      <c r="Q12" s="9" t="str">
        <f t="shared" si="11"/>
        <v/>
      </c>
      <c r="R12" s="9" t="str">
        <f t="shared" si="12"/>
        <v/>
      </c>
    </row>
    <row r="13" spans="1:36" x14ac:dyDescent="0.25">
      <c r="B13" t="str">
        <f t="shared" si="1"/>
        <v/>
      </c>
      <c r="C13" s="9" t="str">
        <f t="shared" ca="1" si="2"/>
        <v/>
      </c>
      <c r="D13" s="9" t="str">
        <f t="shared" ca="1" si="3"/>
        <v/>
      </c>
      <c r="E13" s="9" t="str">
        <f t="shared" ca="1" si="4"/>
        <v/>
      </c>
      <c r="F13" s="9" t="str">
        <f t="shared" si="5"/>
        <v/>
      </c>
      <c r="G13" s="9">
        <f t="shared" si="6"/>
        <v>0</v>
      </c>
      <c r="M13" s="9" t="str">
        <f t="shared" si="7"/>
        <v/>
      </c>
      <c r="N13" s="9" t="str">
        <f t="shared" si="8"/>
        <v/>
      </c>
      <c r="O13" s="9" t="str">
        <f t="shared" si="9"/>
        <v/>
      </c>
      <c r="P13" s="9" t="str">
        <f t="shared" si="10"/>
        <v/>
      </c>
      <c r="Q13" s="9" t="str">
        <f t="shared" si="11"/>
        <v/>
      </c>
      <c r="R13" s="9" t="str">
        <f t="shared" si="12"/>
        <v/>
      </c>
    </row>
    <row r="14" spans="1:36" x14ac:dyDescent="0.25">
      <c r="B14" t="str">
        <f t="shared" si="1"/>
        <v/>
      </c>
      <c r="C14" s="9" t="str">
        <f t="shared" ca="1" si="2"/>
        <v/>
      </c>
      <c r="D14" s="9" t="str">
        <f t="shared" ca="1" si="3"/>
        <v/>
      </c>
      <c r="E14" s="9" t="str">
        <f t="shared" ca="1" si="4"/>
        <v/>
      </c>
      <c r="F14" s="9" t="str">
        <f t="shared" si="5"/>
        <v/>
      </c>
      <c r="G14" s="9">
        <f t="shared" si="6"/>
        <v>0</v>
      </c>
      <c r="M14" s="9" t="str">
        <f t="shared" si="7"/>
        <v/>
      </c>
      <c r="N14" s="9" t="str">
        <f t="shared" si="8"/>
        <v/>
      </c>
      <c r="O14" s="9" t="str">
        <f t="shared" si="9"/>
        <v/>
      </c>
      <c r="P14" s="9" t="str">
        <f t="shared" si="10"/>
        <v/>
      </c>
      <c r="Q14" s="9" t="str">
        <f t="shared" si="11"/>
        <v/>
      </c>
      <c r="R14" s="9" t="str">
        <f t="shared" si="12"/>
        <v/>
      </c>
    </row>
    <row r="15" spans="1:36" x14ac:dyDescent="0.25">
      <c r="B15" t="str">
        <f t="shared" si="1"/>
        <v/>
      </c>
      <c r="C15" s="9" t="str">
        <f t="shared" ca="1" si="2"/>
        <v/>
      </c>
      <c r="D15" s="9" t="str">
        <f t="shared" ca="1" si="3"/>
        <v/>
      </c>
      <c r="E15" s="9" t="str">
        <f t="shared" ca="1" si="4"/>
        <v/>
      </c>
      <c r="F15" s="9" t="str">
        <f t="shared" si="5"/>
        <v/>
      </c>
      <c r="G15" s="9">
        <f t="shared" si="6"/>
        <v>0</v>
      </c>
      <c r="M15" s="9" t="str">
        <f t="shared" si="7"/>
        <v/>
      </c>
      <c r="N15" s="9" t="str">
        <f t="shared" si="8"/>
        <v/>
      </c>
      <c r="O15" s="9" t="str">
        <f t="shared" si="9"/>
        <v/>
      </c>
      <c r="P15" s="9" t="str">
        <f t="shared" si="10"/>
        <v/>
      </c>
      <c r="Q15" s="9" t="str">
        <f t="shared" si="11"/>
        <v/>
      </c>
      <c r="R15" s="9" t="str">
        <f t="shared" si="12"/>
        <v/>
      </c>
    </row>
    <row r="16" spans="1:36" x14ac:dyDescent="0.25">
      <c r="B16" t="str">
        <f t="shared" si="1"/>
        <v/>
      </c>
      <c r="C16" s="9" t="str">
        <f t="shared" ca="1" si="2"/>
        <v/>
      </c>
      <c r="D16" s="9" t="str">
        <f t="shared" ca="1" si="3"/>
        <v/>
      </c>
      <c r="E16" s="9" t="str">
        <f t="shared" ca="1" si="4"/>
        <v/>
      </c>
      <c r="F16" s="9" t="str">
        <f t="shared" si="5"/>
        <v/>
      </c>
      <c r="G16" s="9">
        <f t="shared" si="6"/>
        <v>0</v>
      </c>
      <c r="M16" s="9" t="str">
        <f t="shared" si="7"/>
        <v/>
      </c>
      <c r="N16" s="9" t="str">
        <f t="shared" si="8"/>
        <v/>
      </c>
      <c r="O16" s="9" t="str">
        <f t="shared" si="9"/>
        <v/>
      </c>
      <c r="P16" s="9" t="str">
        <f t="shared" si="10"/>
        <v/>
      </c>
      <c r="Q16" s="9" t="str">
        <f t="shared" si="11"/>
        <v/>
      </c>
      <c r="R16" s="9" t="str">
        <f t="shared" si="12"/>
        <v/>
      </c>
    </row>
    <row r="17" spans="2:18" x14ac:dyDescent="0.25">
      <c r="B17" t="str">
        <f t="shared" si="1"/>
        <v/>
      </c>
      <c r="C17" s="9" t="str">
        <f t="shared" ca="1" si="2"/>
        <v/>
      </c>
      <c r="D17" s="9" t="str">
        <f t="shared" ca="1" si="3"/>
        <v/>
      </c>
      <c r="E17" s="9" t="str">
        <f t="shared" ca="1" si="4"/>
        <v/>
      </c>
      <c r="F17" s="9" t="str">
        <f t="shared" si="5"/>
        <v/>
      </c>
      <c r="G17" s="9">
        <f t="shared" si="6"/>
        <v>0</v>
      </c>
      <c r="M17" s="9" t="str">
        <f t="shared" si="7"/>
        <v/>
      </c>
      <c r="N17" s="9" t="str">
        <f t="shared" si="8"/>
        <v/>
      </c>
      <c r="O17" s="9" t="str">
        <f t="shared" si="9"/>
        <v/>
      </c>
      <c r="P17" s="9" t="str">
        <f t="shared" si="10"/>
        <v/>
      </c>
      <c r="Q17" s="9" t="str">
        <f t="shared" si="11"/>
        <v/>
      </c>
      <c r="R17" s="9" t="str">
        <f t="shared" si="12"/>
        <v/>
      </c>
    </row>
    <row r="18" spans="2:18" x14ac:dyDescent="0.25">
      <c r="B18" t="str">
        <f t="shared" si="1"/>
        <v/>
      </c>
      <c r="C18" s="9" t="str">
        <f t="shared" ca="1" si="2"/>
        <v/>
      </c>
      <c r="D18" s="9" t="str">
        <f t="shared" ca="1" si="3"/>
        <v/>
      </c>
      <c r="E18" s="9" t="str">
        <f t="shared" ca="1" si="4"/>
        <v/>
      </c>
      <c r="F18" s="9" t="str">
        <f t="shared" si="5"/>
        <v/>
      </c>
      <c r="G18" s="9">
        <f t="shared" si="6"/>
        <v>0</v>
      </c>
      <c r="M18" s="9" t="str">
        <f t="shared" si="7"/>
        <v/>
      </c>
      <c r="N18" s="9" t="str">
        <f t="shared" si="8"/>
        <v/>
      </c>
      <c r="O18" s="9" t="str">
        <f t="shared" si="9"/>
        <v/>
      </c>
      <c r="P18" s="9" t="str">
        <f t="shared" si="10"/>
        <v/>
      </c>
      <c r="Q18" s="9" t="str">
        <f t="shared" si="11"/>
        <v/>
      </c>
      <c r="R18" s="9" t="str">
        <f t="shared" si="12"/>
        <v/>
      </c>
    </row>
    <row r="19" spans="2:18" x14ac:dyDescent="0.25">
      <c r="B19" t="str">
        <f t="shared" si="1"/>
        <v/>
      </c>
      <c r="C19" s="9" t="str">
        <f t="shared" ca="1" si="2"/>
        <v/>
      </c>
      <c r="D19" s="9" t="str">
        <f t="shared" ca="1" si="3"/>
        <v/>
      </c>
      <c r="E19" s="9" t="str">
        <f t="shared" ca="1" si="4"/>
        <v/>
      </c>
      <c r="F19" s="9" t="str">
        <f t="shared" si="5"/>
        <v/>
      </c>
      <c r="G19" s="9">
        <f t="shared" si="6"/>
        <v>0</v>
      </c>
      <c r="M19" s="9" t="str">
        <f t="shared" si="7"/>
        <v/>
      </c>
      <c r="N19" s="9" t="str">
        <f t="shared" si="8"/>
        <v/>
      </c>
      <c r="O19" s="9" t="str">
        <f t="shared" si="9"/>
        <v/>
      </c>
      <c r="P19" s="9" t="str">
        <f t="shared" si="10"/>
        <v/>
      </c>
      <c r="Q19" s="9" t="str">
        <f t="shared" si="11"/>
        <v/>
      </c>
      <c r="R19" s="9" t="str">
        <f t="shared" si="12"/>
        <v/>
      </c>
    </row>
    <row r="20" spans="2:18" x14ac:dyDescent="0.25">
      <c r="B20" t="str">
        <f t="shared" si="1"/>
        <v/>
      </c>
      <c r="C20" s="9" t="str">
        <f t="shared" ca="1" si="2"/>
        <v/>
      </c>
      <c r="D20" s="9" t="str">
        <f t="shared" ca="1" si="3"/>
        <v/>
      </c>
      <c r="E20" s="9" t="str">
        <f t="shared" ca="1" si="4"/>
        <v/>
      </c>
      <c r="F20" s="9" t="str">
        <f t="shared" si="5"/>
        <v/>
      </c>
      <c r="G20" s="9">
        <f t="shared" si="6"/>
        <v>0</v>
      </c>
      <c r="M20" s="9" t="str">
        <f t="shared" si="7"/>
        <v/>
      </c>
      <c r="N20" s="9" t="str">
        <f t="shared" si="8"/>
        <v/>
      </c>
      <c r="O20" s="9" t="str">
        <f t="shared" si="9"/>
        <v/>
      </c>
      <c r="P20" s="9" t="str">
        <f t="shared" si="10"/>
        <v/>
      </c>
      <c r="Q20" s="9" t="str">
        <f t="shared" si="11"/>
        <v/>
      </c>
      <c r="R20" s="9" t="str">
        <f t="shared" si="12"/>
        <v/>
      </c>
    </row>
    <row r="21" spans="2:18" x14ac:dyDescent="0.25">
      <c r="B21" t="str">
        <f t="shared" si="1"/>
        <v/>
      </c>
      <c r="C21" s="9" t="str">
        <f t="shared" ca="1" si="2"/>
        <v/>
      </c>
      <c r="D21" s="9" t="str">
        <f t="shared" ca="1" si="3"/>
        <v/>
      </c>
      <c r="E21" s="9" t="str">
        <f t="shared" ca="1" si="4"/>
        <v/>
      </c>
      <c r="F21" s="9" t="str">
        <f t="shared" si="5"/>
        <v/>
      </c>
      <c r="G21" s="9">
        <f t="shared" si="6"/>
        <v>0</v>
      </c>
      <c r="M21" s="9" t="str">
        <f t="shared" si="7"/>
        <v/>
      </c>
      <c r="N21" s="9" t="str">
        <f t="shared" si="8"/>
        <v/>
      </c>
      <c r="O21" s="9" t="str">
        <f t="shared" si="9"/>
        <v/>
      </c>
      <c r="P21" s="9" t="str">
        <f t="shared" si="10"/>
        <v/>
      </c>
      <c r="Q21" s="9" t="str">
        <f t="shared" si="11"/>
        <v/>
      </c>
      <c r="R21" s="9" t="str">
        <f t="shared" si="12"/>
        <v/>
      </c>
    </row>
    <row r="22" spans="2:18" x14ac:dyDescent="0.25">
      <c r="B22" t="str">
        <f t="shared" si="1"/>
        <v/>
      </c>
      <c r="C22" s="9" t="str">
        <f t="shared" ca="1" si="2"/>
        <v/>
      </c>
      <c r="D22" s="9" t="str">
        <f t="shared" ca="1" si="3"/>
        <v/>
      </c>
      <c r="E22" s="9" t="str">
        <f t="shared" ca="1" si="4"/>
        <v/>
      </c>
      <c r="F22" s="9" t="str">
        <f t="shared" si="5"/>
        <v/>
      </c>
      <c r="G22" s="9">
        <f t="shared" si="6"/>
        <v>0</v>
      </c>
      <c r="M22" s="9" t="str">
        <f t="shared" si="7"/>
        <v/>
      </c>
      <c r="N22" s="9" t="str">
        <f t="shared" si="8"/>
        <v/>
      </c>
      <c r="O22" s="9" t="str">
        <f t="shared" si="9"/>
        <v/>
      </c>
      <c r="P22" s="9" t="str">
        <f t="shared" si="10"/>
        <v/>
      </c>
      <c r="Q22" s="9" t="str">
        <f t="shared" si="11"/>
        <v/>
      </c>
      <c r="R22" s="9" t="str">
        <f t="shared" si="12"/>
        <v/>
      </c>
    </row>
    <row r="23" spans="2:18" x14ac:dyDescent="0.25">
      <c r="B23" t="str">
        <f t="shared" si="1"/>
        <v/>
      </c>
      <c r="C23" s="9" t="str">
        <f t="shared" ca="1" si="2"/>
        <v/>
      </c>
      <c r="D23" s="9" t="str">
        <f t="shared" ca="1" si="3"/>
        <v/>
      </c>
      <c r="E23" s="9" t="str">
        <f t="shared" ca="1" si="4"/>
        <v/>
      </c>
      <c r="F23" s="9" t="str">
        <f t="shared" si="5"/>
        <v/>
      </c>
      <c r="G23" s="9">
        <f t="shared" si="6"/>
        <v>0</v>
      </c>
      <c r="M23" s="9" t="str">
        <f t="shared" si="7"/>
        <v/>
      </c>
      <c r="N23" s="9" t="str">
        <f t="shared" si="8"/>
        <v/>
      </c>
      <c r="O23" s="9" t="str">
        <f t="shared" si="9"/>
        <v/>
      </c>
      <c r="P23" s="9" t="str">
        <f t="shared" si="10"/>
        <v/>
      </c>
      <c r="Q23" s="9" t="str">
        <f t="shared" si="11"/>
        <v/>
      </c>
      <c r="R23" s="9" t="str">
        <f t="shared" si="12"/>
        <v/>
      </c>
    </row>
    <row r="24" spans="2:18" x14ac:dyDescent="0.25">
      <c r="B24" t="str">
        <f t="shared" si="1"/>
        <v/>
      </c>
      <c r="C24" s="9" t="str">
        <f t="shared" ca="1" si="2"/>
        <v/>
      </c>
      <c r="D24" s="9" t="str">
        <f t="shared" ca="1" si="3"/>
        <v/>
      </c>
      <c r="E24" s="9" t="str">
        <f t="shared" ca="1" si="4"/>
        <v/>
      </c>
      <c r="F24" s="9" t="str">
        <f t="shared" si="5"/>
        <v/>
      </c>
      <c r="G24" s="9">
        <f t="shared" si="6"/>
        <v>0</v>
      </c>
      <c r="M24" s="9" t="str">
        <f t="shared" si="7"/>
        <v/>
      </c>
      <c r="N24" s="9" t="str">
        <f t="shared" si="8"/>
        <v/>
      </c>
      <c r="O24" s="9" t="str">
        <f t="shared" si="9"/>
        <v/>
      </c>
      <c r="P24" s="9" t="str">
        <f t="shared" si="10"/>
        <v/>
      </c>
      <c r="Q24" s="9" t="str">
        <f t="shared" si="11"/>
        <v/>
      </c>
      <c r="R24" s="9" t="str">
        <f t="shared" si="12"/>
        <v/>
      </c>
    </row>
    <row r="25" spans="2:18" x14ac:dyDescent="0.25">
      <c r="B25" t="str">
        <f t="shared" si="1"/>
        <v/>
      </c>
      <c r="C25" s="9" t="str">
        <f t="shared" ca="1" si="2"/>
        <v/>
      </c>
      <c r="D25" s="9" t="str">
        <f t="shared" ca="1" si="3"/>
        <v/>
      </c>
      <c r="E25" s="9" t="str">
        <f t="shared" ca="1" si="4"/>
        <v/>
      </c>
      <c r="F25" s="9" t="str">
        <f t="shared" si="5"/>
        <v/>
      </c>
      <c r="G25" s="9">
        <f t="shared" si="6"/>
        <v>0</v>
      </c>
      <c r="M25" s="9" t="str">
        <f t="shared" si="7"/>
        <v/>
      </c>
      <c r="N25" s="9" t="str">
        <f t="shared" si="8"/>
        <v/>
      </c>
      <c r="O25" s="9" t="str">
        <f t="shared" si="9"/>
        <v/>
      </c>
      <c r="P25" s="9" t="str">
        <f t="shared" si="10"/>
        <v/>
      </c>
      <c r="Q25" s="9" t="str">
        <f t="shared" si="11"/>
        <v/>
      </c>
      <c r="R25" s="9" t="str">
        <f t="shared" si="12"/>
        <v/>
      </c>
    </row>
    <row r="26" spans="2:18" x14ac:dyDescent="0.25">
      <c r="B26" t="str">
        <f t="shared" si="1"/>
        <v/>
      </c>
      <c r="C26" s="9" t="str">
        <f t="shared" ca="1" si="2"/>
        <v/>
      </c>
      <c r="D26" s="9" t="str">
        <f t="shared" ca="1" si="3"/>
        <v/>
      </c>
      <c r="E26" s="9" t="str">
        <f t="shared" ca="1" si="4"/>
        <v/>
      </c>
      <c r="F26" s="9" t="str">
        <f t="shared" si="5"/>
        <v/>
      </c>
      <c r="G26" s="9">
        <f t="shared" si="6"/>
        <v>0</v>
      </c>
      <c r="M26" s="9" t="str">
        <f t="shared" si="7"/>
        <v/>
      </c>
      <c r="N26" s="9" t="str">
        <f t="shared" si="8"/>
        <v/>
      </c>
      <c r="O26" s="9" t="str">
        <f t="shared" si="9"/>
        <v/>
      </c>
      <c r="P26" s="9" t="str">
        <f t="shared" si="10"/>
        <v/>
      </c>
      <c r="Q26" s="9" t="str">
        <f t="shared" si="11"/>
        <v/>
      </c>
      <c r="R26" s="9" t="str">
        <f t="shared" si="12"/>
        <v/>
      </c>
    </row>
    <row r="27" spans="2:18" x14ac:dyDescent="0.25">
      <c r="B27" t="str">
        <f t="shared" si="1"/>
        <v/>
      </c>
      <c r="C27" s="9" t="str">
        <f t="shared" ca="1" si="2"/>
        <v/>
      </c>
      <c r="D27" s="9" t="str">
        <f t="shared" ca="1" si="3"/>
        <v/>
      </c>
      <c r="E27" s="9" t="str">
        <f t="shared" ca="1" si="4"/>
        <v/>
      </c>
      <c r="F27" s="9" t="str">
        <f t="shared" si="5"/>
        <v/>
      </c>
      <c r="G27" s="9">
        <f t="shared" si="6"/>
        <v>0</v>
      </c>
      <c r="M27" s="9" t="str">
        <f t="shared" si="7"/>
        <v/>
      </c>
      <c r="N27" s="9" t="str">
        <f t="shared" si="8"/>
        <v/>
      </c>
      <c r="O27" s="9" t="str">
        <f t="shared" si="9"/>
        <v/>
      </c>
      <c r="P27" s="9" t="str">
        <f t="shared" si="10"/>
        <v/>
      </c>
      <c r="Q27" s="9" t="str">
        <f t="shared" si="11"/>
        <v/>
      </c>
      <c r="R27" s="9" t="str">
        <f t="shared" si="12"/>
        <v/>
      </c>
    </row>
    <row r="28" spans="2:18" x14ac:dyDescent="0.25">
      <c r="B28" t="str">
        <f t="shared" si="1"/>
        <v/>
      </c>
      <c r="C28" s="9" t="str">
        <f t="shared" ca="1" si="2"/>
        <v/>
      </c>
      <c r="D28" s="9" t="str">
        <f t="shared" ca="1" si="3"/>
        <v/>
      </c>
      <c r="E28" s="9" t="str">
        <f t="shared" ca="1" si="4"/>
        <v/>
      </c>
      <c r="F28" s="9" t="str">
        <f t="shared" si="5"/>
        <v/>
      </c>
      <c r="G28" s="9">
        <f t="shared" si="6"/>
        <v>0</v>
      </c>
      <c r="M28" s="9" t="str">
        <f t="shared" si="7"/>
        <v/>
      </c>
      <c r="N28" s="9" t="str">
        <f t="shared" si="8"/>
        <v/>
      </c>
      <c r="O28" s="9" t="str">
        <f t="shared" si="9"/>
        <v/>
      </c>
      <c r="P28" s="9" t="str">
        <f t="shared" si="10"/>
        <v/>
      </c>
      <c r="Q28" s="9" t="str">
        <f t="shared" si="11"/>
        <v/>
      </c>
      <c r="R28" s="9" t="str">
        <f t="shared" si="12"/>
        <v/>
      </c>
    </row>
    <row r="29" spans="2:18" x14ac:dyDescent="0.25">
      <c r="B29" t="str">
        <f t="shared" si="1"/>
        <v/>
      </c>
      <c r="C29" s="9" t="str">
        <f t="shared" ca="1" si="2"/>
        <v/>
      </c>
      <c r="D29" s="9" t="str">
        <f t="shared" ca="1" si="3"/>
        <v/>
      </c>
      <c r="E29" s="9" t="str">
        <f t="shared" ca="1" si="4"/>
        <v/>
      </c>
      <c r="F29" s="9" t="str">
        <f t="shared" si="5"/>
        <v/>
      </c>
      <c r="G29" s="9">
        <f t="shared" si="6"/>
        <v>0</v>
      </c>
      <c r="M29" s="9" t="str">
        <f t="shared" si="7"/>
        <v/>
      </c>
      <c r="N29" s="9" t="str">
        <f t="shared" si="8"/>
        <v/>
      </c>
      <c r="O29" s="9" t="str">
        <f t="shared" si="9"/>
        <v/>
      </c>
      <c r="P29" s="9" t="str">
        <f t="shared" si="10"/>
        <v/>
      </c>
      <c r="Q29" s="9" t="str">
        <f t="shared" si="11"/>
        <v/>
      </c>
      <c r="R29" s="9" t="str">
        <f t="shared" si="12"/>
        <v/>
      </c>
    </row>
    <row r="30" spans="2:18" x14ac:dyDescent="0.25">
      <c r="B30" t="str">
        <f t="shared" si="1"/>
        <v/>
      </c>
      <c r="C30" s="9" t="str">
        <f t="shared" ca="1" si="2"/>
        <v/>
      </c>
      <c r="D30" s="9" t="str">
        <f t="shared" ca="1" si="3"/>
        <v/>
      </c>
      <c r="E30" s="9" t="str">
        <f t="shared" ca="1" si="4"/>
        <v/>
      </c>
      <c r="F30" s="9" t="str">
        <f t="shared" si="5"/>
        <v/>
      </c>
      <c r="G30" s="9">
        <f t="shared" si="6"/>
        <v>0</v>
      </c>
      <c r="M30" s="9" t="str">
        <f t="shared" si="7"/>
        <v/>
      </c>
      <c r="N30" s="9" t="str">
        <f t="shared" si="8"/>
        <v/>
      </c>
      <c r="O30" s="9" t="str">
        <f t="shared" si="9"/>
        <v/>
      </c>
      <c r="P30" s="9" t="str">
        <f t="shared" si="10"/>
        <v/>
      </c>
      <c r="Q30" s="9" t="str">
        <f t="shared" si="11"/>
        <v/>
      </c>
      <c r="R30" s="9" t="str">
        <f t="shared" si="12"/>
        <v/>
      </c>
    </row>
    <row r="31" spans="2:18" x14ac:dyDescent="0.25">
      <c r="B31" t="str">
        <f t="shared" si="1"/>
        <v/>
      </c>
      <c r="C31" s="9" t="str">
        <f t="shared" ca="1" si="2"/>
        <v/>
      </c>
      <c r="D31" s="9" t="str">
        <f t="shared" ca="1" si="3"/>
        <v/>
      </c>
      <c r="E31" s="9" t="str">
        <f t="shared" ca="1" si="4"/>
        <v/>
      </c>
      <c r="F31" s="9" t="str">
        <f t="shared" si="5"/>
        <v/>
      </c>
      <c r="G31" s="9">
        <f t="shared" si="6"/>
        <v>0</v>
      </c>
      <c r="M31" s="9" t="str">
        <f t="shared" si="7"/>
        <v/>
      </c>
      <c r="N31" s="9" t="str">
        <f t="shared" si="8"/>
        <v/>
      </c>
      <c r="O31" s="9" t="str">
        <f t="shared" si="9"/>
        <v/>
      </c>
      <c r="P31" s="9" t="str">
        <f t="shared" si="10"/>
        <v/>
      </c>
      <c r="Q31" s="9" t="str">
        <f t="shared" si="11"/>
        <v/>
      </c>
      <c r="R31" s="9" t="str">
        <f t="shared" si="12"/>
        <v/>
      </c>
    </row>
    <row r="32" spans="2:18" x14ac:dyDescent="0.25">
      <c r="B32" t="str">
        <f t="shared" si="1"/>
        <v/>
      </c>
      <c r="C32" s="9" t="str">
        <f t="shared" ca="1" si="2"/>
        <v/>
      </c>
      <c r="D32" s="9" t="str">
        <f t="shared" ca="1" si="3"/>
        <v/>
      </c>
      <c r="E32" s="9" t="str">
        <f t="shared" ca="1" si="4"/>
        <v/>
      </c>
      <c r="F32" s="9" t="str">
        <f t="shared" si="5"/>
        <v/>
      </c>
      <c r="G32" s="9">
        <f t="shared" si="6"/>
        <v>0</v>
      </c>
      <c r="M32" s="9" t="str">
        <f t="shared" si="7"/>
        <v/>
      </c>
      <c r="N32" s="9" t="str">
        <f t="shared" si="8"/>
        <v/>
      </c>
      <c r="O32" s="9" t="str">
        <f t="shared" si="9"/>
        <v/>
      </c>
      <c r="P32" s="9" t="str">
        <f t="shared" si="10"/>
        <v/>
      </c>
      <c r="Q32" s="9" t="str">
        <f t="shared" si="11"/>
        <v/>
      </c>
      <c r="R32" s="9" t="str">
        <f t="shared" si="12"/>
        <v/>
      </c>
    </row>
    <row r="33" spans="2:18" x14ac:dyDescent="0.25">
      <c r="B33" t="str">
        <f t="shared" si="1"/>
        <v/>
      </c>
      <c r="C33" s="9" t="str">
        <f t="shared" ca="1" si="2"/>
        <v/>
      </c>
      <c r="D33" s="9" t="str">
        <f t="shared" ca="1" si="3"/>
        <v/>
      </c>
      <c r="E33" s="9" t="str">
        <f t="shared" ca="1" si="4"/>
        <v/>
      </c>
      <c r="F33" s="9" t="str">
        <f t="shared" si="5"/>
        <v/>
      </c>
      <c r="G33" s="9">
        <f t="shared" si="6"/>
        <v>0</v>
      </c>
      <c r="M33" s="9" t="str">
        <f t="shared" si="7"/>
        <v/>
      </c>
      <c r="N33" s="9" t="str">
        <f t="shared" si="8"/>
        <v/>
      </c>
      <c r="O33" s="9" t="str">
        <f t="shared" si="9"/>
        <v/>
      </c>
      <c r="P33" s="9" t="str">
        <f t="shared" si="10"/>
        <v/>
      </c>
      <c r="Q33" s="9" t="str">
        <f t="shared" si="11"/>
        <v/>
      </c>
      <c r="R33" s="9" t="str">
        <f t="shared" si="12"/>
        <v/>
      </c>
    </row>
    <row r="34" spans="2:18" x14ac:dyDescent="0.25">
      <c r="B34" t="str">
        <f t="shared" si="1"/>
        <v/>
      </c>
      <c r="C34" s="9" t="str">
        <f t="shared" ca="1" si="2"/>
        <v/>
      </c>
      <c r="D34" s="9" t="str">
        <f t="shared" ca="1" si="3"/>
        <v/>
      </c>
      <c r="E34" s="9" t="str">
        <f t="shared" ca="1" si="4"/>
        <v/>
      </c>
      <c r="F34" s="9" t="str">
        <f t="shared" si="5"/>
        <v/>
      </c>
      <c r="G34" s="9">
        <f t="shared" si="6"/>
        <v>0</v>
      </c>
      <c r="M34" s="9" t="str">
        <f t="shared" si="7"/>
        <v/>
      </c>
      <c r="N34" s="9" t="str">
        <f t="shared" si="8"/>
        <v/>
      </c>
      <c r="O34" s="9" t="str">
        <f t="shared" si="9"/>
        <v/>
      </c>
      <c r="P34" s="9" t="str">
        <f t="shared" si="10"/>
        <v/>
      </c>
      <c r="Q34" s="9" t="str">
        <f t="shared" si="11"/>
        <v/>
      </c>
      <c r="R34" s="9" t="str">
        <f t="shared" si="12"/>
        <v/>
      </c>
    </row>
    <row r="35" spans="2:18" x14ac:dyDescent="0.25">
      <c r="B35" t="str">
        <f t="shared" si="1"/>
        <v/>
      </c>
      <c r="C35" s="9" t="str">
        <f t="shared" ca="1" si="2"/>
        <v/>
      </c>
      <c r="D35" s="9" t="str">
        <f t="shared" ca="1" si="3"/>
        <v/>
      </c>
      <c r="E35" s="9" t="str">
        <f t="shared" ca="1" si="4"/>
        <v/>
      </c>
      <c r="F35" s="9" t="str">
        <f t="shared" si="5"/>
        <v/>
      </c>
      <c r="G35" s="9">
        <f t="shared" si="6"/>
        <v>0</v>
      </c>
      <c r="M35" s="9" t="str">
        <f t="shared" si="7"/>
        <v/>
      </c>
      <c r="N35" s="9" t="str">
        <f t="shared" si="8"/>
        <v/>
      </c>
      <c r="O35" s="9" t="str">
        <f t="shared" si="9"/>
        <v/>
      </c>
      <c r="P35" s="9" t="str">
        <f t="shared" si="10"/>
        <v/>
      </c>
      <c r="Q35" s="9" t="str">
        <f t="shared" si="11"/>
        <v/>
      </c>
      <c r="R35" s="9" t="str">
        <f t="shared" si="12"/>
        <v/>
      </c>
    </row>
    <row r="36" spans="2:18" x14ac:dyDescent="0.25">
      <c r="B36" t="str">
        <f t="shared" si="1"/>
        <v/>
      </c>
      <c r="C36" s="9" t="str">
        <f t="shared" ca="1" si="2"/>
        <v/>
      </c>
      <c r="D36" s="9" t="str">
        <f t="shared" ca="1" si="3"/>
        <v/>
      </c>
      <c r="E36" s="9" t="str">
        <f t="shared" ca="1" si="4"/>
        <v/>
      </c>
      <c r="F36" s="9" t="str">
        <f t="shared" si="5"/>
        <v/>
      </c>
      <c r="G36" s="9">
        <f t="shared" si="6"/>
        <v>0</v>
      </c>
      <c r="M36" s="9" t="str">
        <f t="shared" si="7"/>
        <v/>
      </c>
      <c r="N36" s="9" t="str">
        <f t="shared" si="8"/>
        <v/>
      </c>
      <c r="O36" s="9" t="str">
        <f t="shared" si="9"/>
        <v/>
      </c>
      <c r="P36" s="9" t="str">
        <f t="shared" si="10"/>
        <v/>
      </c>
      <c r="Q36" s="9" t="str">
        <f t="shared" si="11"/>
        <v/>
      </c>
      <c r="R36" s="9" t="str">
        <f t="shared" si="12"/>
        <v/>
      </c>
    </row>
    <row r="37" spans="2:18" x14ac:dyDescent="0.25">
      <c r="B37" t="str">
        <f t="shared" si="1"/>
        <v/>
      </c>
      <c r="C37" s="9" t="str">
        <f t="shared" ca="1" si="2"/>
        <v/>
      </c>
      <c r="D37" s="9" t="str">
        <f t="shared" ca="1" si="3"/>
        <v/>
      </c>
      <c r="E37" s="9" t="str">
        <f t="shared" ca="1" si="4"/>
        <v/>
      </c>
      <c r="F37" s="9" t="str">
        <f t="shared" si="5"/>
        <v/>
      </c>
      <c r="G37" s="9">
        <f t="shared" si="6"/>
        <v>0</v>
      </c>
      <c r="M37" s="9" t="str">
        <f t="shared" si="7"/>
        <v/>
      </c>
      <c r="N37" s="9" t="str">
        <f t="shared" si="8"/>
        <v/>
      </c>
      <c r="O37" s="9" t="str">
        <f t="shared" si="9"/>
        <v/>
      </c>
      <c r="P37" s="9" t="str">
        <f t="shared" si="10"/>
        <v/>
      </c>
      <c r="Q37" s="9" t="str">
        <f t="shared" si="11"/>
        <v/>
      </c>
      <c r="R37" s="9" t="str">
        <f t="shared" si="12"/>
        <v/>
      </c>
    </row>
    <row r="38" spans="2:18" x14ac:dyDescent="0.25">
      <c r="B38" t="str">
        <f t="shared" si="1"/>
        <v/>
      </c>
      <c r="C38" s="9" t="str">
        <f t="shared" ca="1" si="2"/>
        <v/>
      </c>
      <c r="D38" s="9" t="str">
        <f t="shared" ca="1" si="3"/>
        <v/>
      </c>
      <c r="E38" s="9" t="str">
        <f t="shared" ca="1" si="4"/>
        <v/>
      </c>
      <c r="F38" s="9" t="str">
        <f t="shared" si="5"/>
        <v/>
      </c>
      <c r="G38" s="9">
        <f t="shared" si="6"/>
        <v>0</v>
      </c>
      <c r="M38" s="9" t="str">
        <f t="shared" si="7"/>
        <v/>
      </c>
      <c r="N38" s="9" t="str">
        <f t="shared" si="8"/>
        <v/>
      </c>
      <c r="O38" s="9" t="str">
        <f t="shared" si="9"/>
        <v/>
      </c>
      <c r="P38" s="9" t="str">
        <f t="shared" si="10"/>
        <v/>
      </c>
      <c r="Q38" s="9" t="str">
        <f t="shared" si="11"/>
        <v/>
      </c>
      <c r="R38" s="9" t="str">
        <f t="shared" si="12"/>
        <v/>
      </c>
    </row>
    <row r="39" spans="2:18" x14ac:dyDescent="0.25">
      <c r="B39" t="str">
        <f t="shared" si="1"/>
        <v/>
      </c>
      <c r="C39" s="9" t="str">
        <f t="shared" ca="1" si="2"/>
        <v/>
      </c>
      <c r="D39" s="9" t="str">
        <f t="shared" ca="1" si="3"/>
        <v/>
      </c>
      <c r="E39" s="9" t="str">
        <f t="shared" ca="1" si="4"/>
        <v/>
      </c>
      <c r="F39" s="9" t="str">
        <f t="shared" si="5"/>
        <v/>
      </c>
      <c r="G39" s="9">
        <f t="shared" si="6"/>
        <v>0</v>
      </c>
      <c r="M39" s="9" t="str">
        <f t="shared" si="7"/>
        <v/>
      </c>
      <c r="N39" s="9" t="str">
        <f t="shared" si="8"/>
        <v/>
      </c>
      <c r="O39" s="9" t="str">
        <f t="shared" si="9"/>
        <v/>
      </c>
      <c r="P39" s="9" t="str">
        <f t="shared" si="10"/>
        <v/>
      </c>
      <c r="Q39" s="9" t="str">
        <f t="shared" si="11"/>
        <v/>
      </c>
      <c r="R39" s="9" t="str">
        <f t="shared" si="12"/>
        <v/>
      </c>
    </row>
    <row r="40" spans="2:18" x14ac:dyDescent="0.25">
      <c r="B40" t="str">
        <f t="shared" si="1"/>
        <v/>
      </c>
      <c r="C40" s="9" t="str">
        <f t="shared" ca="1" si="2"/>
        <v/>
      </c>
      <c r="D40" s="9" t="str">
        <f t="shared" ca="1" si="3"/>
        <v/>
      </c>
      <c r="E40" s="9" t="str">
        <f t="shared" ca="1" si="4"/>
        <v/>
      </c>
      <c r="F40" s="9" t="str">
        <f t="shared" si="5"/>
        <v/>
      </c>
      <c r="G40" s="9">
        <f t="shared" si="6"/>
        <v>0</v>
      </c>
      <c r="M40" s="9" t="str">
        <f t="shared" si="7"/>
        <v/>
      </c>
      <c r="N40" s="9" t="str">
        <f t="shared" si="8"/>
        <v/>
      </c>
      <c r="O40" s="9" t="str">
        <f t="shared" si="9"/>
        <v/>
      </c>
      <c r="P40" s="9" t="str">
        <f t="shared" si="10"/>
        <v/>
      </c>
      <c r="Q40" s="9" t="str">
        <f t="shared" si="11"/>
        <v/>
      </c>
      <c r="R40" s="9" t="str">
        <f t="shared" si="12"/>
        <v/>
      </c>
    </row>
    <row r="41" spans="2:18" x14ac:dyDescent="0.25">
      <c r="B41" t="str">
        <f t="shared" si="1"/>
        <v/>
      </c>
      <c r="C41" s="9" t="str">
        <f t="shared" ca="1" si="2"/>
        <v/>
      </c>
      <c r="D41" s="9" t="str">
        <f t="shared" ca="1" si="3"/>
        <v/>
      </c>
      <c r="E41" s="9" t="str">
        <f t="shared" ca="1" si="4"/>
        <v/>
      </c>
      <c r="F41" s="9" t="str">
        <f t="shared" si="5"/>
        <v/>
      </c>
      <c r="G41" s="9">
        <f t="shared" si="6"/>
        <v>0</v>
      </c>
      <c r="M41" s="9" t="str">
        <f t="shared" si="7"/>
        <v/>
      </c>
      <c r="N41" s="9" t="str">
        <f t="shared" si="8"/>
        <v/>
      </c>
      <c r="O41" s="9" t="str">
        <f t="shared" si="9"/>
        <v/>
      </c>
      <c r="P41" s="9" t="str">
        <f t="shared" si="10"/>
        <v/>
      </c>
      <c r="Q41" s="9" t="str">
        <f t="shared" si="11"/>
        <v/>
      </c>
      <c r="R41" s="9" t="str">
        <f t="shared" si="12"/>
        <v/>
      </c>
    </row>
    <row r="42" spans="2:18" x14ac:dyDescent="0.25">
      <c r="B42" t="str">
        <f t="shared" si="1"/>
        <v/>
      </c>
      <c r="C42" s="9" t="str">
        <f t="shared" ca="1" si="2"/>
        <v/>
      </c>
      <c r="D42" s="9" t="str">
        <f t="shared" ca="1" si="3"/>
        <v/>
      </c>
      <c r="E42" s="9" t="str">
        <f t="shared" ca="1" si="4"/>
        <v/>
      </c>
      <c r="F42" s="9" t="str">
        <f t="shared" si="5"/>
        <v/>
      </c>
      <c r="G42" s="9">
        <f t="shared" si="6"/>
        <v>0</v>
      </c>
      <c r="M42" s="9" t="str">
        <f t="shared" si="7"/>
        <v/>
      </c>
      <c r="N42" s="9" t="str">
        <f t="shared" si="8"/>
        <v/>
      </c>
      <c r="O42" s="9" t="str">
        <f t="shared" si="9"/>
        <v/>
      </c>
      <c r="P42" s="9" t="str">
        <f t="shared" si="10"/>
        <v/>
      </c>
      <c r="Q42" s="9" t="str">
        <f t="shared" si="11"/>
        <v/>
      </c>
      <c r="R42" s="9" t="str">
        <f t="shared" si="12"/>
        <v/>
      </c>
    </row>
    <row r="43" spans="2:18" x14ac:dyDescent="0.25">
      <c r="B43" t="str">
        <f t="shared" si="1"/>
        <v/>
      </c>
      <c r="C43" s="9" t="str">
        <f t="shared" ca="1" si="2"/>
        <v/>
      </c>
      <c r="D43" s="9" t="str">
        <f t="shared" ca="1" si="3"/>
        <v/>
      </c>
      <c r="E43" s="9" t="str">
        <f t="shared" ca="1" si="4"/>
        <v/>
      </c>
      <c r="F43" s="9" t="str">
        <f t="shared" si="5"/>
        <v/>
      </c>
      <c r="G43" s="9">
        <f t="shared" si="6"/>
        <v>0</v>
      </c>
      <c r="M43" s="9" t="str">
        <f t="shared" si="7"/>
        <v/>
      </c>
      <c r="N43" s="9" t="str">
        <f t="shared" si="8"/>
        <v/>
      </c>
      <c r="O43" s="9" t="str">
        <f t="shared" si="9"/>
        <v/>
      </c>
      <c r="P43" s="9" t="str">
        <f t="shared" si="10"/>
        <v/>
      </c>
      <c r="Q43" s="9" t="str">
        <f t="shared" si="11"/>
        <v/>
      </c>
      <c r="R43" s="9" t="str">
        <f t="shared" si="12"/>
        <v/>
      </c>
    </row>
    <row r="44" spans="2:18" x14ac:dyDescent="0.25">
      <c r="B44" t="str">
        <f t="shared" si="1"/>
        <v/>
      </c>
      <c r="C44" s="9" t="str">
        <f t="shared" ca="1" si="2"/>
        <v/>
      </c>
      <c r="D44" s="9" t="str">
        <f t="shared" ca="1" si="3"/>
        <v/>
      </c>
      <c r="E44" s="9" t="str">
        <f t="shared" ca="1" si="4"/>
        <v/>
      </c>
      <c r="F44" s="9" t="str">
        <f t="shared" si="5"/>
        <v/>
      </c>
      <c r="G44" s="9">
        <f t="shared" si="6"/>
        <v>0</v>
      </c>
      <c r="M44" s="9" t="str">
        <f t="shared" si="7"/>
        <v/>
      </c>
      <c r="N44" s="9" t="str">
        <f t="shared" si="8"/>
        <v/>
      </c>
      <c r="O44" s="9" t="str">
        <f t="shared" si="9"/>
        <v/>
      </c>
      <c r="P44" s="9" t="str">
        <f t="shared" si="10"/>
        <v/>
      </c>
      <c r="Q44" s="9" t="str">
        <f t="shared" si="11"/>
        <v/>
      </c>
      <c r="R44" s="9" t="str">
        <f t="shared" si="12"/>
        <v/>
      </c>
    </row>
    <row r="45" spans="2:18" x14ac:dyDescent="0.25">
      <c r="B45" t="str">
        <f t="shared" si="1"/>
        <v/>
      </c>
      <c r="C45" s="9" t="str">
        <f t="shared" ca="1" si="2"/>
        <v/>
      </c>
      <c r="D45" s="9" t="str">
        <f t="shared" ca="1" si="3"/>
        <v/>
      </c>
      <c r="E45" s="9" t="str">
        <f t="shared" ca="1" si="4"/>
        <v/>
      </c>
      <c r="F45" s="9" t="str">
        <f t="shared" si="5"/>
        <v/>
      </c>
      <c r="G45" s="9">
        <f t="shared" si="6"/>
        <v>0</v>
      </c>
      <c r="M45" s="9" t="str">
        <f t="shared" si="7"/>
        <v/>
      </c>
      <c r="N45" s="9" t="str">
        <f t="shared" si="8"/>
        <v/>
      </c>
      <c r="O45" s="9" t="str">
        <f t="shared" si="9"/>
        <v/>
      </c>
      <c r="P45" s="9" t="str">
        <f t="shared" si="10"/>
        <v/>
      </c>
      <c r="Q45" s="9" t="str">
        <f t="shared" si="11"/>
        <v/>
      </c>
      <c r="R45" s="9" t="str">
        <f t="shared" si="12"/>
        <v/>
      </c>
    </row>
    <row r="46" spans="2:18" x14ac:dyDescent="0.25">
      <c r="B46" t="str">
        <f t="shared" si="1"/>
        <v/>
      </c>
      <c r="C46" s="9" t="str">
        <f t="shared" ca="1" si="2"/>
        <v/>
      </c>
      <c r="D46" s="9" t="str">
        <f t="shared" ca="1" si="3"/>
        <v/>
      </c>
      <c r="E46" s="9" t="str">
        <f t="shared" ca="1" si="4"/>
        <v/>
      </c>
      <c r="F46" s="9" t="str">
        <f t="shared" si="5"/>
        <v/>
      </c>
      <c r="G46" s="9">
        <f t="shared" si="6"/>
        <v>0</v>
      </c>
      <c r="M46" s="9" t="str">
        <f t="shared" si="7"/>
        <v/>
      </c>
      <c r="N46" s="9" t="str">
        <f t="shared" si="8"/>
        <v/>
      </c>
      <c r="O46" s="9" t="str">
        <f t="shared" si="9"/>
        <v/>
      </c>
      <c r="P46" s="9" t="str">
        <f t="shared" si="10"/>
        <v/>
      </c>
      <c r="Q46" s="9" t="str">
        <f t="shared" si="11"/>
        <v/>
      </c>
      <c r="R46" s="9" t="str">
        <f t="shared" si="12"/>
        <v/>
      </c>
    </row>
    <row r="47" spans="2:18" x14ac:dyDescent="0.25">
      <c r="B47" t="str">
        <f t="shared" si="1"/>
        <v/>
      </c>
      <c r="C47" s="9" t="str">
        <f t="shared" ca="1" si="2"/>
        <v/>
      </c>
      <c r="D47" s="9" t="str">
        <f t="shared" ca="1" si="3"/>
        <v/>
      </c>
      <c r="E47" s="9" t="str">
        <f t="shared" ca="1" si="4"/>
        <v/>
      </c>
      <c r="F47" s="9" t="str">
        <f t="shared" si="5"/>
        <v/>
      </c>
      <c r="G47" s="9">
        <f t="shared" si="6"/>
        <v>0</v>
      </c>
      <c r="M47" s="9" t="str">
        <f t="shared" si="7"/>
        <v/>
      </c>
      <c r="N47" s="9" t="str">
        <f t="shared" si="8"/>
        <v/>
      </c>
      <c r="O47" s="9" t="str">
        <f t="shared" si="9"/>
        <v/>
      </c>
      <c r="P47" s="9" t="str">
        <f t="shared" si="10"/>
        <v/>
      </c>
      <c r="Q47" s="9" t="str">
        <f t="shared" si="11"/>
        <v/>
      </c>
      <c r="R47" s="9" t="str">
        <f t="shared" si="12"/>
        <v/>
      </c>
    </row>
    <row r="48" spans="2:18" x14ac:dyDescent="0.25">
      <c r="B48" t="str">
        <f t="shared" si="1"/>
        <v/>
      </c>
      <c r="C48" s="9" t="str">
        <f t="shared" ca="1" si="2"/>
        <v/>
      </c>
      <c r="D48" s="9" t="str">
        <f t="shared" ca="1" si="3"/>
        <v/>
      </c>
      <c r="E48" s="9" t="str">
        <f t="shared" ca="1" si="4"/>
        <v/>
      </c>
      <c r="F48" s="9" t="str">
        <f t="shared" si="5"/>
        <v/>
      </c>
      <c r="G48" s="9">
        <f t="shared" si="6"/>
        <v>0</v>
      </c>
      <c r="M48" s="9" t="str">
        <f t="shared" si="7"/>
        <v/>
      </c>
      <c r="N48" s="9" t="str">
        <f t="shared" si="8"/>
        <v/>
      </c>
      <c r="O48" s="9" t="str">
        <f t="shared" si="9"/>
        <v/>
      </c>
      <c r="P48" s="9" t="str">
        <f t="shared" si="10"/>
        <v/>
      </c>
      <c r="Q48" s="9" t="str">
        <f t="shared" si="11"/>
        <v/>
      </c>
      <c r="R48" s="9" t="str">
        <f t="shared" si="12"/>
        <v/>
      </c>
    </row>
    <row r="49" spans="2:18" x14ac:dyDescent="0.25">
      <c r="B49" t="str">
        <f t="shared" si="1"/>
        <v/>
      </c>
      <c r="C49" s="9" t="str">
        <f t="shared" ca="1" si="2"/>
        <v/>
      </c>
      <c r="D49" s="9" t="str">
        <f t="shared" ca="1" si="3"/>
        <v/>
      </c>
      <c r="E49" s="9" t="str">
        <f t="shared" ca="1" si="4"/>
        <v/>
      </c>
      <c r="F49" s="9" t="str">
        <f t="shared" si="5"/>
        <v/>
      </c>
      <c r="G49" s="9">
        <f t="shared" si="6"/>
        <v>0</v>
      </c>
      <c r="M49" s="9" t="str">
        <f t="shared" si="7"/>
        <v/>
      </c>
      <c r="N49" s="9" t="str">
        <f t="shared" si="8"/>
        <v/>
      </c>
      <c r="P49" s="9" t="str">
        <f t="shared" si="10"/>
        <v/>
      </c>
      <c r="Q49" s="9" t="str">
        <f t="shared" si="11"/>
        <v/>
      </c>
      <c r="R49" s="9" t="str">
        <f t="shared" si="12"/>
        <v/>
      </c>
    </row>
    <row r="50" spans="2:18" x14ac:dyDescent="0.25">
      <c r="Q50" s="9" t="str">
        <f t="shared" si="11"/>
        <v/>
      </c>
      <c r="R50" s="9" t="str">
        <f t="shared" si="12"/>
        <v/>
      </c>
    </row>
    <row r="51" spans="2:18" x14ac:dyDescent="0.25">
      <c r="C51" s="9"/>
      <c r="D51" s="9"/>
      <c r="E51" s="9"/>
      <c r="F51" s="9"/>
      <c r="G51" s="9"/>
      <c r="Q51" s="9" t="str">
        <f t="shared" si="11"/>
        <v/>
      </c>
      <c r="R51" s="9" t="str">
        <f t="shared" si="12"/>
        <v/>
      </c>
    </row>
    <row r="52" spans="2:18" x14ac:dyDescent="0.25">
      <c r="Q52" s="9" t="str">
        <f t="shared" si="11"/>
        <v/>
      </c>
      <c r="R52" s="9" t="str">
        <f t="shared" si="12"/>
        <v/>
      </c>
    </row>
    <row r="53" spans="2:18" x14ac:dyDescent="0.25">
      <c r="Q53" s="9" t="str">
        <f t="shared" si="11"/>
        <v/>
      </c>
      <c r="R53" s="9" t="str">
        <f t="shared" si="12"/>
        <v/>
      </c>
    </row>
    <row r="54" spans="2:18" x14ac:dyDescent="0.25">
      <c r="Q54" s="9" t="str">
        <f t="shared" si="11"/>
        <v/>
      </c>
      <c r="R54" s="9" t="str">
        <f t="shared" si="12"/>
        <v/>
      </c>
    </row>
    <row r="55" spans="2:18" x14ac:dyDescent="0.25">
      <c r="Q55" s="9" t="str">
        <f t="shared" si="11"/>
        <v/>
      </c>
      <c r="R55" s="9" t="str">
        <f t="shared" si="12"/>
        <v/>
      </c>
    </row>
    <row r="56" spans="2:18" x14ac:dyDescent="0.25">
      <c r="Q56" s="9" t="str">
        <f t="shared" si="11"/>
        <v/>
      </c>
      <c r="R56" s="9" t="str">
        <f t="shared" si="12"/>
        <v/>
      </c>
    </row>
    <row r="57" spans="2:18" x14ac:dyDescent="0.25">
      <c r="Q57" s="9" t="str">
        <f t="shared" si="11"/>
        <v/>
      </c>
      <c r="R57" s="9" t="str">
        <f t="shared" si="12"/>
        <v/>
      </c>
    </row>
    <row r="58" spans="2:18" x14ac:dyDescent="0.25">
      <c r="Q58" s="9" t="str">
        <f t="shared" si="11"/>
        <v/>
      </c>
      <c r="R58" s="9" t="str">
        <f t="shared" si="12"/>
        <v/>
      </c>
    </row>
    <row r="59" spans="2:18" x14ac:dyDescent="0.25">
      <c r="Q59" s="9" t="str">
        <f t="shared" si="11"/>
        <v/>
      </c>
      <c r="R59" s="9" t="str">
        <f t="shared" si="12"/>
        <v/>
      </c>
    </row>
    <row r="60" spans="2:18" x14ac:dyDescent="0.25">
      <c r="Q60" s="9" t="str">
        <f t="shared" si="11"/>
        <v/>
      </c>
      <c r="R60" s="9" t="str">
        <f t="shared" si="12"/>
        <v/>
      </c>
    </row>
    <row r="61" spans="2:18" x14ac:dyDescent="0.25">
      <c r="Q61" s="9" t="str">
        <f t="shared" si="11"/>
        <v/>
      </c>
      <c r="R61" s="9" t="str">
        <f t="shared" si="12"/>
        <v/>
      </c>
    </row>
    <row r="62" spans="2:18" x14ac:dyDescent="0.25">
      <c r="Q62" s="9" t="str">
        <f t="shared" si="11"/>
        <v/>
      </c>
      <c r="R62" s="9" t="str">
        <f t="shared" si="12"/>
        <v/>
      </c>
    </row>
    <row r="63" spans="2:18" x14ac:dyDescent="0.25">
      <c r="Q63" s="9" t="str">
        <f t="shared" si="11"/>
        <v/>
      </c>
      <c r="R63" s="9" t="str">
        <f t="shared" si="12"/>
        <v/>
      </c>
    </row>
    <row r="64" spans="2:18" x14ac:dyDescent="0.25">
      <c r="Q64" s="9" t="str">
        <f t="shared" si="11"/>
        <v/>
      </c>
      <c r="R64" s="9" t="str">
        <f t="shared" si="12"/>
        <v/>
      </c>
    </row>
    <row r="65" spans="17:18" x14ac:dyDescent="0.25">
      <c r="Q65" s="9" t="str">
        <f t="shared" si="11"/>
        <v/>
      </c>
      <c r="R65" s="9" t="str">
        <f t="shared" si="12"/>
        <v/>
      </c>
    </row>
    <row r="66" spans="17:18" x14ac:dyDescent="0.25">
      <c r="Q66" s="9" t="str">
        <f t="shared" si="11"/>
        <v/>
      </c>
      <c r="R66" s="9" t="str">
        <f t="shared" si="12"/>
        <v/>
      </c>
    </row>
    <row r="67" spans="17:18" x14ac:dyDescent="0.25">
      <c r="Q67" s="9" t="str">
        <f t="shared" si="11"/>
        <v/>
      </c>
      <c r="R67" s="9" t="str">
        <f t="shared" si="12"/>
        <v/>
      </c>
    </row>
    <row r="68" spans="17:18" x14ac:dyDescent="0.25">
      <c r="Q68" s="9" t="str">
        <f t="shared" ref="Q68:Q131" si="13">IF($I68="","",IF($P68&lt;&gt;"",$P68,$O68))</f>
        <v/>
      </c>
      <c r="R68" s="9" t="str">
        <f t="shared" ref="R68:R131" si="14">IF($I68="","",IF($Q68="","",$Q68*$L68))</f>
        <v/>
      </c>
    </row>
    <row r="69" spans="17:18" x14ac:dyDescent="0.25">
      <c r="Q69" s="9" t="str">
        <f t="shared" si="13"/>
        <v/>
      </c>
      <c r="R69" s="9" t="str">
        <f t="shared" si="14"/>
        <v/>
      </c>
    </row>
    <row r="70" spans="17:18" x14ac:dyDescent="0.25">
      <c r="Q70" s="9" t="str">
        <f t="shared" si="13"/>
        <v/>
      </c>
      <c r="R70" s="9" t="str">
        <f t="shared" si="14"/>
        <v/>
      </c>
    </row>
    <row r="71" spans="17:18" x14ac:dyDescent="0.25">
      <c r="Q71" s="9" t="str">
        <f t="shared" si="13"/>
        <v/>
      </c>
      <c r="R71" s="9" t="str">
        <f t="shared" si="14"/>
        <v/>
      </c>
    </row>
    <row r="72" spans="17:18" x14ac:dyDescent="0.25">
      <c r="Q72" s="9" t="str">
        <f t="shared" si="13"/>
        <v/>
      </c>
      <c r="R72" s="9" t="str">
        <f t="shared" si="14"/>
        <v/>
      </c>
    </row>
    <row r="73" spans="17:18" x14ac:dyDescent="0.25">
      <c r="Q73" s="9" t="str">
        <f t="shared" si="13"/>
        <v/>
      </c>
      <c r="R73" s="9" t="str">
        <f t="shared" si="14"/>
        <v/>
      </c>
    </row>
    <row r="74" spans="17:18" x14ac:dyDescent="0.25">
      <c r="Q74" s="9" t="str">
        <f t="shared" si="13"/>
        <v/>
      </c>
      <c r="R74" s="9" t="str">
        <f t="shared" si="14"/>
        <v/>
      </c>
    </row>
    <row r="75" spans="17:18" x14ac:dyDescent="0.25">
      <c r="Q75" s="9" t="str">
        <f t="shared" si="13"/>
        <v/>
      </c>
      <c r="R75" s="9" t="str">
        <f t="shared" si="14"/>
        <v/>
      </c>
    </row>
    <row r="76" spans="17:18" x14ac:dyDescent="0.25">
      <c r="Q76" s="9" t="str">
        <f t="shared" si="13"/>
        <v/>
      </c>
      <c r="R76" s="9" t="str">
        <f t="shared" si="14"/>
        <v/>
      </c>
    </row>
    <row r="77" spans="17:18" x14ac:dyDescent="0.25">
      <c r="Q77" s="9" t="str">
        <f t="shared" si="13"/>
        <v/>
      </c>
      <c r="R77" s="9" t="str">
        <f t="shared" si="14"/>
        <v/>
      </c>
    </row>
    <row r="78" spans="17:18" x14ac:dyDescent="0.25">
      <c r="Q78" s="9" t="str">
        <f t="shared" si="13"/>
        <v/>
      </c>
      <c r="R78" s="9" t="str">
        <f t="shared" si="14"/>
        <v/>
      </c>
    </row>
    <row r="79" spans="17:18" x14ac:dyDescent="0.25">
      <c r="Q79" s="9" t="str">
        <f t="shared" si="13"/>
        <v/>
      </c>
      <c r="R79" s="9" t="str">
        <f t="shared" si="14"/>
        <v/>
      </c>
    </row>
    <row r="80" spans="17:18" x14ac:dyDescent="0.25">
      <c r="Q80" s="9" t="str">
        <f t="shared" si="13"/>
        <v/>
      </c>
      <c r="R80" s="9" t="str">
        <f t="shared" si="14"/>
        <v/>
      </c>
    </row>
    <row r="81" spans="17:18" x14ac:dyDescent="0.25">
      <c r="Q81" s="9" t="str">
        <f t="shared" si="13"/>
        <v/>
      </c>
      <c r="R81" s="9" t="str">
        <f t="shared" si="14"/>
        <v/>
      </c>
    </row>
    <row r="82" spans="17:18" x14ac:dyDescent="0.25">
      <c r="Q82" s="9" t="str">
        <f t="shared" si="13"/>
        <v/>
      </c>
      <c r="R82" s="9" t="str">
        <f t="shared" si="14"/>
        <v/>
      </c>
    </row>
    <row r="83" spans="17:18" x14ac:dyDescent="0.25">
      <c r="Q83" s="9" t="str">
        <f t="shared" si="13"/>
        <v/>
      </c>
      <c r="R83" s="9" t="str">
        <f t="shared" si="14"/>
        <v/>
      </c>
    </row>
    <row r="84" spans="17:18" x14ac:dyDescent="0.25">
      <c r="Q84" s="9" t="str">
        <f t="shared" si="13"/>
        <v/>
      </c>
      <c r="R84" s="9" t="str">
        <f t="shared" si="14"/>
        <v/>
      </c>
    </row>
    <row r="85" spans="17:18" x14ac:dyDescent="0.25">
      <c r="Q85" s="9" t="str">
        <f t="shared" si="13"/>
        <v/>
      </c>
      <c r="R85" s="9" t="str">
        <f t="shared" si="14"/>
        <v/>
      </c>
    </row>
    <row r="86" spans="17:18" x14ac:dyDescent="0.25">
      <c r="Q86" s="9" t="str">
        <f t="shared" si="13"/>
        <v/>
      </c>
      <c r="R86" s="9" t="str">
        <f t="shared" si="14"/>
        <v/>
      </c>
    </row>
    <row r="87" spans="17:18" x14ac:dyDescent="0.25">
      <c r="Q87" s="9" t="str">
        <f t="shared" si="13"/>
        <v/>
      </c>
      <c r="R87" s="9" t="str">
        <f t="shared" si="14"/>
        <v/>
      </c>
    </row>
    <row r="88" spans="17:18" x14ac:dyDescent="0.25">
      <c r="Q88" s="9" t="str">
        <f t="shared" si="13"/>
        <v/>
      </c>
      <c r="R88" s="9" t="str">
        <f t="shared" si="14"/>
        <v/>
      </c>
    </row>
    <row r="89" spans="17:18" x14ac:dyDescent="0.25">
      <c r="Q89" s="9" t="str">
        <f t="shared" si="13"/>
        <v/>
      </c>
      <c r="R89" s="9" t="str">
        <f t="shared" si="14"/>
        <v/>
      </c>
    </row>
    <row r="90" spans="17:18" x14ac:dyDescent="0.25">
      <c r="Q90" s="9" t="str">
        <f t="shared" si="13"/>
        <v/>
      </c>
      <c r="R90" s="9" t="str">
        <f t="shared" si="14"/>
        <v/>
      </c>
    </row>
    <row r="91" spans="17:18" x14ac:dyDescent="0.25">
      <c r="Q91" s="9" t="str">
        <f t="shared" si="13"/>
        <v/>
      </c>
      <c r="R91" s="9" t="str">
        <f t="shared" si="14"/>
        <v/>
      </c>
    </row>
    <row r="92" spans="17:18" x14ac:dyDescent="0.25">
      <c r="Q92" s="9" t="str">
        <f t="shared" si="13"/>
        <v/>
      </c>
      <c r="R92" s="9" t="str">
        <f t="shared" si="14"/>
        <v/>
      </c>
    </row>
    <row r="93" spans="17:18" x14ac:dyDescent="0.25">
      <c r="Q93" s="9" t="str">
        <f t="shared" si="13"/>
        <v/>
      </c>
      <c r="R93" s="9" t="str">
        <f t="shared" si="14"/>
        <v/>
      </c>
    </row>
    <row r="94" spans="17:18" x14ac:dyDescent="0.25">
      <c r="Q94" s="9" t="str">
        <f t="shared" si="13"/>
        <v/>
      </c>
      <c r="R94" s="9" t="str">
        <f t="shared" si="14"/>
        <v/>
      </c>
    </row>
    <row r="95" spans="17:18" x14ac:dyDescent="0.25">
      <c r="Q95" s="9" t="str">
        <f t="shared" si="13"/>
        <v/>
      </c>
      <c r="R95" s="9" t="str">
        <f t="shared" si="14"/>
        <v/>
      </c>
    </row>
    <row r="96" spans="17:18" x14ac:dyDescent="0.25">
      <c r="Q96" s="9" t="str">
        <f t="shared" si="13"/>
        <v/>
      </c>
      <c r="R96" s="9" t="str">
        <f t="shared" si="14"/>
        <v/>
      </c>
    </row>
    <row r="97" spans="17:18" x14ac:dyDescent="0.25">
      <c r="Q97" s="9" t="str">
        <f t="shared" si="13"/>
        <v/>
      </c>
      <c r="R97" s="9" t="str">
        <f t="shared" si="14"/>
        <v/>
      </c>
    </row>
    <row r="98" spans="17:18" x14ac:dyDescent="0.25">
      <c r="Q98" s="9" t="str">
        <f t="shared" si="13"/>
        <v/>
      </c>
      <c r="R98" s="9" t="str">
        <f t="shared" si="14"/>
        <v/>
      </c>
    </row>
    <row r="99" spans="17:18" x14ac:dyDescent="0.25">
      <c r="Q99" s="9" t="str">
        <f t="shared" si="13"/>
        <v/>
      </c>
      <c r="R99" s="9" t="str">
        <f t="shared" si="14"/>
        <v/>
      </c>
    </row>
    <row r="100" spans="17:18" x14ac:dyDescent="0.25">
      <c r="Q100" s="9" t="str">
        <f t="shared" si="13"/>
        <v/>
      </c>
      <c r="R100" s="9" t="str">
        <f t="shared" si="14"/>
        <v/>
      </c>
    </row>
    <row r="101" spans="17:18" x14ac:dyDescent="0.25">
      <c r="Q101" s="9" t="str">
        <f t="shared" si="13"/>
        <v/>
      </c>
      <c r="R101" s="9" t="str">
        <f t="shared" si="14"/>
        <v/>
      </c>
    </row>
    <row r="102" spans="17:18" x14ac:dyDescent="0.25">
      <c r="Q102" s="9" t="str">
        <f t="shared" si="13"/>
        <v/>
      </c>
      <c r="R102" s="9" t="str">
        <f t="shared" si="14"/>
        <v/>
      </c>
    </row>
    <row r="103" spans="17:18" x14ac:dyDescent="0.25">
      <c r="Q103" s="9" t="str">
        <f t="shared" si="13"/>
        <v/>
      </c>
      <c r="R103" s="9" t="str">
        <f t="shared" si="14"/>
        <v/>
      </c>
    </row>
    <row r="104" spans="17:18" x14ac:dyDescent="0.25">
      <c r="Q104" s="9" t="str">
        <f t="shared" si="13"/>
        <v/>
      </c>
      <c r="R104" s="9" t="str">
        <f t="shared" si="14"/>
        <v/>
      </c>
    </row>
    <row r="105" spans="17:18" x14ac:dyDescent="0.25">
      <c r="Q105" s="9" t="str">
        <f t="shared" si="13"/>
        <v/>
      </c>
      <c r="R105" s="9" t="str">
        <f t="shared" si="14"/>
        <v/>
      </c>
    </row>
    <row r="106" spans="17:18" x14ac:dyDescent="0.25">
      <c r="Q106" s="9" t="str">
        <f t="shared" si="13"/>
        <v/>
      </c>
      <c r="R106" s="9" t="str">
        <f t="shared" si="14"/>
        <v/>
      </c>
    </row>
    <row r="107" spans="17:18" x14ac:dyDescent="0.25">
      <c r="Q107" s="9" t="str">
        <f t="shared" si="13"/>
        <v/>
      </c>
      <c r="R107" s="9" t="str">
        <f t="shared" si="14"/>
        <v/>
      </c>
    </row>
    <row r="108" spans="17:18" x14ac:dyDescent="0.25">
      <c r="Q108" s="9" t="str">
        <f t="shared" si="13"/>
        <v/>
      </c>
      <c r="R108" s="9" t="str">
        <f t="shared" si="14"/>
        <v/>
      </c>
    </row>
    <row r="109" spans="17:18" x14ac:dyDescent="0.25">
      <c r="Q109" s="9" t="str">
        <f t="shared" si="13"/>
        <v/>
      </c>
      <c r="R109" s="9" t="str">
        <f t="shared" si="14"/>
        <v/>
      </c>
    </row>
    <row r="110" spans="17:18" x14ac:dyDescent="0.25">
      <c r="Q110" s="9" t="str">
        <f t="shared" si="13"/>
        <v/>
      </c>
      <c r="R110" s="9" t="str">
        <f t="shared" si="14"/>
        <v/>
      </c>
    </row>
    <row r="111" spans="17:18" x14ac:dyDescent="0.25">
      <c r="Q111" s="9" t="str">
        <f t="shared" si="13"/>
        <v/>
      </c>
      <c r="R111" s="9" t="str">
        <f t="shared" si="14"/>
        <v/>
      </c>
    </row>
    <row r="112" spans="17:18" x14ac:dyDescent="0.25">
      <c r="Q112" s="9" t="str">
        <f t="shared" si="13"/>
        <v/>
      </c>
      <c r="R112" s="9" t="str">
        <f t="shared" si="14"/>
        <v/>
      </c>
    </row>
    <row r="113" spans="17:18" x14ac:dyDescent="0.25">
      <c r="Q113" s="9" t="str">
        <f t="shared" si="13"/>
        <v/>
      </c>
      <c r="R113" s="9" t="str">
        <f t="shared" si="14"/>
        <v/>
      </c>
    </row>
    <row r="114" spans="17:18" x14ac:dyDescent="0.25">
      <c r="Q114" s="9" t="str">
        <f t="shared" si="13"/>
        <v/>
      </c>
      <c r="R114" s="9" t="str">
        <f t="shared" si="14"/>
        <v/>
      </c>
    </row>
    <row r="115" spans="17:18" x14ac:dyDescent="0.25">
      <c r="Q115" s="9" t="str">
        <f t="shared" si="13"/>
        <v/>
      </c>
      <c r="R115" s="9" t="str">
        <f t="shared" si="14"/>
        <v/>
      </c>
    </row>
    <row r="116" spans="17:18" x14ac:dyDescent="0.25">
      <c r="Q116" s="9" t="str">
        <f t="shared" si="13"/>
        <v/>
      </c>
      <c r="R116" s="9" t="str">
        <f t="shared" si="14"/>
        <v/>
      </c>
    </row>
    <row r="117" spans="17:18" x14ac:dyDescent="0.25">
      <c r="Q117" s="9" t="str">
        <f t="shared" si="13"/>
        <v/>
      </c>
      <c r="R117" s="9" t="str">
        <f t="shared" si="14"/>
        <v/>
      </c>
    </row>
    <row r="118" spans="17:18" x14ac:dyDescent="0.25">
      <c r="Q118" s="9" t="str">
        <f t="shared" si="13"/>
        <v/>
      </c>
      <c r="R118" s="9" t="str">
        <f t="shared" si="14"/>
        <v/>
      </c>
    </row>
    <row r="119" spans="17:18" x14ac:dyDescent="0.25">
      <c r="Q119" s="9" t="str">
        <f t="shared" si="13"/>
        <v/>
      </c>
      <c r="R119" s="9" t="str">
        <f t="shared" si="14"/>
        <v/>
      </c>
    </row>
    <row r="120" spans="17:18" x14ac:dyDescent="0.25">
      <c r="Q120" s="9" t="str">
        <f t="shared" si="13"/>
        <v/>
      </c>
      <c r="R120" s="9" t="str">
        <f t="shared" si="14"/>
        <v/>
      </c>
    </row>
    <row r="121" spans="17:18" x14ac:dyDescent="0.25">
      <c r="Q121" s="9" t="str">
        <f t="shared" si="13"/>
        <v/>
      </c>
      <c r="R121" s="9" t="str">
        <f t="shared" si="14"/>
        <v/>
      </c>
    </row>
    <row r="122" spans="17:18" x14ac:dyDescent="0.25">
      <c r="Q122" s="9" t="str">
        <f t="shared" si="13"/>
        <v/>
      </c>
      <c r="R122" s="9" t="str">
        <f t="shared" si="14"/>
        <v/>
      </c>
    </row>
    <row r="123" spans="17:18" x14ac:dyDescent="0.25">
      <c r="Q123" s="9" t="str">
        <f t="shared" si="13"/>
        <v/>
      </c>
      <c r="R123" s="9" t="str">
        <f t="shared" si="14"/>
        <v/>
      </c>
    </row>
    <row r="124" spans="17:18" x14ac:dyDescent="0.25">
      <c r="Q124" s="9" t="str">
        <f t="shared" si="13"/>
        <v/>
      </c>
      <c r="R124" s="9" t="str">
        <f t="shared" si="14"/>
        <v/>
      </c>
    </row>
    <row r="125" spans="17:18" x14ac:dyDescent="0.25">
      <c r="Q125" s="9" t="str">
        <f t="shared" si="13"/>
        <v/>
      </c>
      <c r="R125" s="9" t="str">
        <f t="shared" si="14"/>
        <v/>
      </c>
    </row>
    <row r="126" spans="17:18" x14ac:dyDescent="0.25">
      <c r="Q126" s="9" t="str">
        <f t="shared" si="13"/>
        <v/>
      </c>
      <c r="R126" s="9" t="str">
        <f t="shared" si="14"/>
        <v/>
      </c>
    </row>
    <row r="127" spans="17:18" x14ac:dyDescent="0.25">
      <c r="Q127" s="9" t="str">
        <f t="shared" si="13"/>
        <v/>
      </c>
      <c r="R127" s="9" t="str">
        <f t="shared" si="14"/>
        <v/>
      </c>
    </row>
    <row r="128" spans="17:18" x14ac:dyDescent="0.25">
      <c r="Q128" s="9" t="str">
        <f t="shared" si="13"/>
        <v/>
      </c>
      <c r="R128" s="9" t="str">
        <f t="shared" si="14"/>
        <v/>
      </c>
    </row>
    <row r="129" spans="17:18" x14ac:dyDescent="0.25">
      <c r="Q129" s="9" t="str">
        <f t="shared" si="13"/>
        <v/>
      </c>
      <c r="R129" s="9" t="str">
        <f t="shared" si="14"/>
        <v/>
      </c>
    </row>
    <row r="130" spans="17:18" x14ac:dyDescent="0.25">
      <c r="Q130" s="9" t="str">
        <f t="shared" si="13"/>
        <v/>
      </c>
      <c r="R130" s="9" t="str">
        <f t="shared" si="14"/>
        <v/>
      </c>
    </row>
    <row r="131" spans="17:18" x14ac:dyDescent="0.25">
      <c r="Q131" s="9" t="str">
        <f t="shared" si="13"/>
        <v/>
      </c>
      <c r="R131" s="9" t="str">
        <f t="shared" si="14"/>
        <v/>
      </c>
    </row>
    <row r="132" spans="17:18" x14ac:dyDescent="0.25">
      <c r="Q132" s="9" t="str">
        <f t="shared" ref="Q132:Q195" si="15">IF($I132="","",IF($P132&lt;&gt;"",$P132,$O132))</f>
        <v/>
      </c>
      <c r="R132" s="9" t="str">
        <f t="shared" ref="R132:R195" si="16">IF($I132="","",IF($Q132="","",$Q132*$L132))</f>
        <v/>
      </c>
    </row>
    <row r="133" spans="17:18" x14ac:dyDescent="0.25">
      <c r="Q133" s="9" t="str">
        <f t="shared" si="15"/>
        <v/>
      </c>
      <c r="R133" s="9" t="str">
        <f t="shared" si="16"/>
        <v/>
      </c>
    </row>
    <row r="134" spans="17:18" x14ac:dyDescent="0.25">
      <c r="Q134" s="9" t="str">
        <f t="shared" si="15"/>
        <v/>
      </c>
      <c r="R134" s="9" t="str">
        <f t="shared" si="16"/>
        <v/>
      </c>
    </row>
    <row r="135" spans="17:18" x14ac:dyDescent="0.25">
      <c r="Q135" s="9" t="str">
        <f t="shared" si="15"/>
        <v/>
      </c>
      <c r="R135" s="9" t="str">
        <f t="shared" si="16"/>
        <v/>
      </c>
    </row>
    <row r="136" spans="17:18" x14ac:dyDescent="0.25">
      <c r="Q136" s="9" t="str">
        <f t="shared" si="15"/>
        <v/>
      </c>
      <c r="R136" s="9" t="str">
        <f t="shared" si="16"/>
        <v/>
      </c>
    </row>
    <row r="137" spans="17:18" x14ac:dyDescent="0.25">
      <c r="Q137" s="9" t="str">
        <f t="shared" si="15"/>
        <v/>
      </c>
      <c r="R137" s="9" t="str">
        <f t="shared" si="16"/>
        <v/>
      </c>
    </row>
    <row r="138" spans="17:18" x14ac:dyDescent="0.25">
      <c r="Q138" s="9" t="str">
        <f t="shared" si="15"/>
        <v/>
      </c>
      <c r="R138" s="9" t="str">
        <f t="shared" si="16"/>
        <v/>
      </c>
    </row>
    <row r="139" spans="17:18" x14ac:dyDescent="0.25">
      <c r="Q139" s="9" t="str">
        <f t="shared" si="15"/>
        <v/>
      </c>
      <c r="R139" s="9" t="str">
        <f t="shared" si="16"/>
        <v/>
      </c>
    </row>
    <row r="140" spans="17:18" x14ac:dyDescent="0.25">
      <c r="Q140" s="9" t="str">
        <f t="shared" si="15"/>
        <v/>
      </c>
      <c r="R140" s="9" t="str">
        <f t="shared" si="16"/>
        <v/>
      </c>
    </row>
    <row r="141" spans="17:18" x14ac:dyDescent="0.25">
      <c r="Q141" s="9" t="str">
        <f t="shared" si="15"/>
        <v/>
      </c>
      <c r="R141" s="9" t="str">
        <f t="shared" si="16"/>
        <v/>
      </c>
    </row>
    <row r="142" spans="17:18" x14ac:dyDescent="0.25">
      <c r="Q142" s="9" t="str">
        <f t="shared" si="15"/>
        <v/>
      </c>
      <c r="R142" s="9" t="str">
        <f t="shared" si="16"/>
        <v/>
      </c>
    </row>
    <row r="143" spans="17:18" x14ac:dyDescent="0.25">
      <c r="Q143" s="9" t="str">
        <f t="shared" si="15"/>
        <v/>
      </c>
      <c r="R143" s="9" t="str">
        <f t="shared" si="16"/>
        <v/>
      </c>
    </row>
    <row r="144" spans="17:18" x14ac:dyDescent="0.25">
      <c r="Q144" s="9" t="str">
        <f t="shared" si="15"/>
        <v/>
      </c>
      <c r="R144" s="9" t="str">
        <f t="shared" si="16"/>
        <v/>
      </c>
    </row>
    <row r="145" spans="17:18" x14ac:dyDescent="0.25">
      <c r="Q145" s="9" t="str">
        <f t="shared" si="15"/>
        <v/>
      </c>
      <c r="R145" s="9" t="str">
        <f t="shared" si="16"/>
        <v/>
      </c>
    </row>
    <row r="146" spans="17:18" x14ac:dyDescent="0.25">
      <c r="Q146" s="9" t="str">
        <f t="shared" si="15"/>
        <v/>
      </c>
      <c r="R146" s="9" t="str">
        <f t="shared" si="16"/>
        <v/>
      </c>
    </row>
    <row r="147" spans="17:18" x14ac:dyDescent="0.25">
      <c r="Q147" s="9" t="str">
        <f t="shared" si="15"/>
        <v/>
      </c>
      <c r="R147" s="9" t="str">
        <f t="shared" si="16"/>
        <v/>
      </c>
    </row>
    <row r="148" spans="17:18" x14ac:dyDescent="0.25">
      <c r="Q148" s="9" t="str">
        <f t="shared" si="15"/>
        <v/>
      </c>
      <c r="R148" s="9" t="str">
        <f t="shared" si="16"/>
        <v/>
      </c>
    </row>
    <row r="149" spans="17:18" x14ac:dyDescent="0.25">
      <c r="Q149" s="9" t="str">
        <f t="shared" si="15"/>
        <v/>
      </c>
      <c r="R149" s="9" t="str">
        <f t="shared" si="16"/>
        <v/>
      </c>
    </row>
    <row r="150" spans="17:18" x14ac:dyDescent="0.25">
      <c r="Q150" s="9" t="str">
        <f t="shared" si="15"/>
        <v/>
      </c>
      <c r="R150" s="9" t="str">
        <f t="shared" si="16"/>
        <v/>
      </c>
    </row>
    <row r="151" spans="17:18" x14ac:dyDescent="0.25">
      <c r="Q151" s="9" t="str">
        <f t="shared" si="15"/>
        <v/>
      </c>
      <c r="R151" s="9" t="str">
        <f t="shared" si="16"/>
        <v/>
      </c>
    </row>
    <row r="152" spans="17:18" x14ac:dyDescent="0.25">
      <c r="Q152" s="9" t="str">
        <f t="shared" si="15"/>
        <v/>
      </c>
      <c r="R152" s="9" t="str">
        <f t="shared" si="16"/>
        <v/>
      </c>
    </row>
    <row r="153" spans="17:18" x14ac:dyDescent="0.25">
      <c r="Q153" s="9" t="str">
        <f t="shared" si="15"/>
        <v/>
      </c>
      <c r="R153" s="9" t="str">
        <f t="shared" si="16"/>
        <v/>
      </c>
    </row>
    <row r="154" spans="17:18" x14ac:dyDescent="0.25">
      <c r="Q154" s="9" t="str">
        <f t="shared" si="15"/>
        <v/>
      </c>
      <c r="R154" s="9" t="str">
        <f t="shared" si="16"/>
        <v/>
      </c>
    </row>
    <row r="155" spans="17:18" x14ac:dyDescent="0.25">
      <c r="Q155" s="9" t="str">
        <f t="shared" si="15"/>
        <v/>
      </c>
      <c r="R155" s="9" t="str">
        <f t="shared" si="16"/>
        <v/>
      </c>
    </row>
    <row r="156" spans="17:18" x14ac:dyDescent="0.25">
      <c r="Q156" s="9" t="str">
        <f t="shared" si="15"/>
        <v/>
      </c>
      <c r="R156" s="9" t="str">
        <f t="shared" si="16"/>
        <v/>
      </c>
    </row>
    <row r="157" spans="17:18" x14ac:dyDescent="0.25">
      <c r="Q157" s="9" t="str">
        <f t="shared" si="15"/>
        <v/>
      </c>
      <c r="R157" s="9" t="str">
        <f t="shared" si="16"/>
        <v/>
      </c>
    </row>
    <row r="158" spans="17:18" x14ac:dyDescent="0.25">
      <c r="Q158" s="9" t="str">
        <f t="shared" si="15"/>
        <v/>
      </c>
      <c r="R158" s="9" t="str">
        <f t="shared" si="16"/>
        <v/>
      </c>
    </row>
    <row r="159" spans="17:18" x14ac:dyDescent="0.25">
      <c r="Q159" s="9" t="str">
        <f t="shared" si="15"/>
        <v/>
      </c>
      <c r="R159" s="9" t="str">
        <f t="shared" si="16"/>
        <v/>
      </c>
    </row>
    <row r="160" spans="17:18" x14ac:dyDescent="0.25">
      <c r="Q160" s="9" t="str">
        <f t="shared" si="15"/>
        <v/>
      </c>
      <c r="R160" s="9" t="str">
        <f t="shared" si="16"/>
        <v/>
      </c>
    </row>
    <row r="161" spans="17:18" x14ac:dyDescent="0.25">
      <c r="Q161" s="9" t="str">
        <f t="shared" si="15"/>
        <v/>
      </c>
      <c r="R161" s="9" t="str">
        <f t="shared" si="16"/>
        <v/>
      </c>
    </row>
    <row r="162" spans="17:18" x14ac:dyDescent="0.25">
      <c r="Q162" s="9" t="str">
        <f t="shared" si="15"/>
        <v/>
      </c>
      <c r="R162" s="9" t="str">
        <f t="shared" si="16"/>
        <v/>
      </c>
    </row>
    <row r="163" spans="17:18" x14ac:dyDescent="0.25">
      <c r="Q163" s="9" t="str">
        <f t="shared" si="15"/>
        <v/>
      </c>
      <c r="R163" s="9" t="str">
        <f t="shared" si="16"/>
        <v/>
      </c>
    </row>
    <row r="164" spans="17:18" x14ac:dyDescent="0.25">
      <c r="Q164" s="9" t="str">
        <f t="shared" si="15"/>
        <v/>
      </c>
      <c r="R164" s="9" t="str">
        <f t="shared" si="16"/>
        <v/>
      </c>
    </row>
    <row r="165" spans="17:18" x14ac:dyDescent="0.25">
      <c r="Q165" s="9" t="str">
        <f t="shared" si="15"/>
        <v/>
      </c>
      <c r="R165" s="9" t="str">
        <f t="shared" si="16"/>
        <v/>
      </c>
    </row>
    <row r="166" spans="17:18" x14ac:dyDescent="0.25">
      <c r="Q166" s="9" t="str">
        <f t="shared" si="15"/>
        <v/>
      </c>
      <c r="R166" s="9" t="str">
        <f t="shared" si="16"/>
        <v/>
      </c>
    </row>
    <row r="167" spans="17:18" x14ac:dyDescent="0.25">
      <c r="Q167" s="9" t="str">
        <f t="shared" si="15"/>
        <v/>
      </c>
      <c r="R167" s="9" t="str">
        <f t="shared" si="16"/>
        <v/>
      </c>
    </row>
    <row r="168" spans="17:18" x14ac:dyDescent="0.25">
      <c r="Q168" s="9" t="str">
        <f t="shared" si="15"/>
        <v/>
      </c>
      <c r="R168" s="9" t="str">
        <f t="shared" si="16"/>
        <v/>
      </c>
    </row>
    <row r="169" spans="17:18" x14ac:dyDescent="0.25">
      <c r="Q169" s="9" t="str">
        <f t="shared" si="15"/>
        <v/>
      </c>
      <c r="R169" s="9" t="str">
        <f t="shared" si="16"/>
        <v/>
      </c>
    </row>
    <row r="170" spans="17:18" x14ac:dyDescent="0.25">
      <c r="Q170" s="9" t="str">
        <f t="shared" si="15"/>
        <v/>
      </c>
      <c r="R170" s="9" t="str">
        <f t="shared" si="16"/>
        <v/>
      </c>
    </row>
    <row r="171" spans="17:18" x14ac:dyDescent="0.25">
      <c r="Q171" s="9" t="str">
        <f t="shared" si="15"/>
        <v/>
      </c>
      <c r="R171" s="9" t="str">
        <f t="shared" si="16"/>
        <v/>
      </c>
    </row>
    <row r="172" spans="17:18" x14ac:dyDescent="0.25">
      <c r="Q172" s="9" t="str">
        <f t="shared" si="15"/>
        <v/>
      </c>
      <c r="R172" s="9" t="str">
        <f t="shared" si="16"/>
        <v/>
      </c>
    </row>
    <row r="173" spans="17:18" x14ac:dyDescent="0.25">
      <c r="Q173" s="9" t="str">
        <f t="shared" si="15"/>
        <v/>
      </c>
      <c r="R173" s="9" t="str">
        <f t="shared" si="16"/>
        <v/>
      </c>
    </row>
    <row r="174" spans="17:18" x14ac:dyDescent="0.25">
      <c r="Q174" s="9" t="str">
        <f t="shared" si="15"/>
        <v/>
      </c>
      <c r="R174" s="9" t="str">
        <f t="shared" si="16"/>
        <v/>
      </c>
    </row>
    <row r="175" spans="17:18" x14ac:dyDescent="0.25">
      <c r="Q175" s="9" t="str">
        <f t="shared" si="15"/>
        <v/>
      </c>
      <c r="R175" s="9" t="str">
        <f t="shared" si="16"/>
        <v/>
      </c>
    </row>
    <row r="176" spans="17:18" x14ac:dyDescent="0.25">
      <c r="Q176" s="9" t="str">
        <f t="shared" si="15"/>
        <v/>
      </c>
      <c r="R176" s="9" t="str">
        <f t="shared" si="16"/>
        <v/>
      </c>
    </row>
    <row r="177" spans="17:18" x14ac:dyDescent="0.25">
      <c r="Q177" s="9" t="str">
        <f t="shared" si="15"/>
        <v/>
      </c>
      <c r="R177" s="9" t="str">
        <f t="shared" si="16"/>
        <v/>
      </c>
    </row>
    <row r="178" spans="17:18" x14ac:dyDescent="0.25">
      <c r="Q178" s="9" t="str">
        <f t="shared" si="15"/>
        <v/>
      </c>
      <c r="R178" s="9" t="str">
        <f t="shared" si="16"/>
        <v/>
      </c>
    </row>
    <row r="179" spans="17:18" x14ac:dyDescent="0.25">
      <c r="Q179" s="9" t="str">
        <f t="shared" si="15"/>
        <v/>
      </c>
      <c r="R179" s="9" t="str">
        <f t="shared" si="16"/>
        <v/>
      </c>
    </row>
    <row r="180" spans="17:18" x14ac:dyDescent="0.25">
      <c r="Q180" s="9" t="str">
        <f t="shared" si="15"/>
        <v/>
      </c>
      <c r="R180" s="9" t="str">
        <f t="shared" si="16"/>
        <v/>
      </c>
    </row>
    <row r="181" spans="17:18" x14ac:dyDescent="0.25">
      <c r="Q181" s="9" t="str">
        <f t="shared" si="15"/>
        <v/>
      </c>
      <c r="R181" s="9" t="str">
        <f t="shared" si="16"/>
        <v/>
      </c>
    </row>
    <row r="182" spans="17:18" x14ac:dyDescent="0.25">
      <c r="Q182" s="9" t="str">
        <f t="shared" si="15"/>
        <v/>
      </c>
      <c r="R182" s="9" t="str">
        <f t="shared" si="16"/>
        <v/>
      </c>
    </row>
    <row r="183" spans="17:18" x14ac:dyDescent="0.25">
      <c r="Q183" s="9" t="str">
        <f t="shared" si="15"/>
        <v/>
      </c>
      <c r="R183" s="9" t="str">
        <f t="shared" si="16"/>
        <v/>
      </c>
    </row>
    <row r="184" spans="17:18" x14ac:dyDescent="0.25">
      <c r="Q184" s="9" t="str">
        <f t="shared" si="15"/>
        <v/>
      </c>
      <c r="R184" s="9" t="str">
        <f t="shared" si="16"/>
        <v/>
      </c>
    </row>
    <row r="185" spans="17:18" x14ac:dyDescent="0.25">
      <c r="Q185" s="9" t="str">
        <f t="shared" si="15"/>
        <v/>
      </c>
      <c r="R185" s="9" t="str">
        <f t="shared" si="16"/>
        <v/>
      </c>
    </row>
    <row r="186" spans="17:18" x14ac:dyDescent="0.25">
      <c r="Q186" s="9" t="str">
        <f t="shared" si="15"/>
        <v/>
      </c>
      <c r="R186" s="9" t="str">
        <f t="shared" si="16"/>
        <v/>
      </c>
    </row>
    <row r="187" spans="17:18" x14ac:dyDescent="0.25">
      <c r="Q187" s="9" t="str">
        <f t="shared" si="15"/>
        <v/>
      </c>
      <c r="R187" s="9" t="str">
        <f t="shared" si="16"/>
        <v/>
      </c>
    </row>
    <row r="188" spans="17:18" x14ac:dyDescent="0.25">
      <c r="Q188" s="9" t="str">
        <f t="shared" si="15"/>
        <v/>
      </c>
      <c r="R188" s="9" t="str">
        <f t="shared" si="16"/>
        <v/>
      </c>
    </row>
    <row r="189" spans="17:18" x14ac:dyDescent="0.25">
      <c r="Q189" s="9" t="str">
        <f t="shared" si="15"/>
        <v/>
      </c>
      <c r="R189" s="9" t="str">
        <f t="shared" si="16"/>
        <v/>
      </c>
    </row>
    <row r="190" spans="17:18" x14ac:dyDescent="0.25">
      <c r="Q190" s="9" t="str">
        <f t="shared" si="15"/>
        <v/>
      </c>
      <c r="R190" s="9" t="str">
        <f t="shared" si="16"/>
        <v/>
      </c>
    </row>
    <row r="191" spans="17:18" x14ac:dyDescent="0.25">
      <c r="Q191" s="9" t="str">
        <f t="shared" si="15"/>
        <v/>
      </c>
      <c r="R191" s="9" t="str">
        <f t="shared" si="16"/>
        <v/>
      </c>
    </row>
    <row r="192" spans="17:18" x14ac:dyDescent="0.25">
      <c r="Q192" s="9" t="str">
        <f t="shared" si="15"/>
        <v/>
      </c>
      <c r="R192" s="9" t="str">
        <f t="shared" si="16"/>
        <v/>
      </c>
    </row>
    <row r="193" spans="17:18" x14ac:dyDescent="0.25">
      <c r="Q193" s="9" t="str">
        <f t="shared" si="15"/>
        <v/>
      </c>
      <c r="R193" s="9" t="str">
        <f t="shared" si="16"/>
        <v/>
      </c>
    </row>
    <row r="194" spans="17:18" x14ac:dyDescent="0.25">
      <c r="Q194" s="9" t="str">
        <f t="shared" si="15"/>
        <v/>
      </c>
      <c r="R194" s="9" t="str">
        <f t="shared" si="16"/>
        <v/>
      </c>
    </row>
    <row r="195" spans="17:18" x14ac:dyDescent="0.25">
      <c r="Q195" s="9" t="str">
        <f t="shared" si="15"/>
        <v/>
      </c>
      <c r="R195" s="9" t="str">
        <f t="shared" si="16"/>
        <v/>
      </c>
    </row>
    <row r="196" spans="17:18" x14ac:dyDescent="0.25">
      <c r="Q196" s="9" t="str">
        <f t="shared" ref="Q196:Q259" si="17">IF($I196="","",IF($P196&lt;&gt;"",$P196,$O196))</f>
        <v/>
      </c>
      <c r="R196" s="9" t="str">
        <f t="shared" ref="R196:R259" si="18">IF($I196="","",IF($Q196="","",$Q196*$L196))</f>
        <v/>
      </c>
    </row>
    <row r="197" spans="17:18" x14ac:dyDescent="0.25">
      <c r="Q197" s="9" t="str">
        <f t="shared" si="17"/>
        <v/>
      </c>
      <c r="R197" s="9" t="str">
        <f t="shared" si="18"/>
        <v/>
      </c>
    </row>
    <row r="198" spans="17:18" x14ac:dyDescent="0.25">
      <c r="Q198" s="9" t="str">
        <f t="shared" si="17"/>
        <v/>
      </c>
      <c r="R198" s="9" t="str">
        <f t="shared" si="18"/>
        <v/>
      </c>
    </row>
    <row r="199" spans="17:18" x14ac:dyDescent="0.25">
      <c r="Q199" s="9" t="str">
        <f t="shared" si="17"/>
        <v/>
      </c>
      <c r="R199" s="9" t="str">
        <f t="shared" si="18"/>
        <v/>
      </c>
    </row>
    <row r="200" spans="17:18" x14ac:dyDescent="0.25">
      <c r="Q200" s="9" t="str">
        <f t="shared" si="17"/>
        <v/>
      </c>
      <c r="R200" s="9" t="str">
        <f t="shared" si="18"/>
        <v/>
      </c>
    </row>
    <row r="201" spans="17:18" x14ac:dyDescent="0.25">
      <c r="Q201" s="9" t="str">
        <f t="shared" si="17"/>
        <v/>
      </c>
      <c r="R201" s="9" t="str">
        <f t="shared" si="18"/>
        <v/>
      </c>
    </row>
    <row r="202" spans="17:18" x14ac:dyDescent="0.25">
      <c r="Q202" s="9" t="str">
        <f t="shared" si="17"/>
        <v/>
      </c>
      <c r="R202" s="9" t="str">
        <f t="shared" si="18"/>
        <v/>
      </c>
    </row>
    <row r="203" spans="17:18" x14ac:dyDescent="0.25">
      <c r="Q203" s="9" t="str">
        <f t="shared" si="17"/>
        <v/>
      </c>
      <c r="R203" s="9" t="str">
        <f t="shared" si="18"/>
        <v/>
      </c>
    </row>
    <row r="204" spans="17:18" x14ac:dyDescent="0.25">
      <c r="Q204" s="9" t="str">
        <f t="shared" si="17"/>
        <v/>
      </c>
      <c r="R204" s="9" t="str">
        <f t="shared" si="18"/>
        <v/>
      </c>
    </row>
    <row r="205" spans="17:18" x14ac:dyDescent="0.25">
      <c r="Q205" s="9" t="str">
        <f t="shared" si="17"/>
        <v/>
      </c>
      <c r="R205" s="9" t="str">
        <f t="shared" si="18"/>
        <v/>
      </c>
    </row>
    <row r="206" spans="17:18" x14ac:dyDescent="0.25">
      <c r="Q206" s="9" t="str">
        <f t="shared" si="17"/>
        <v/>
      </c>
      <c r="R206" s="9" t="str">
        <f t="shared" si="18"/>
        <v/>
      </c>
    </row>
    <row r="207" spans="17:18" x14ac:dyDescent="0.25">
      <c r="Q207" s="9" t="str">
        <f t="shared" si="17"/>
        <v/>
      </c>
      <c r="R207" s="9" t="str">
        <f t="shared" si="18"/>
        <v/>
      </c>
    </row>
    <row r="208" spans="17:18" x14ac:dyDescent="0.25">
      <c r="Q208" s="9" t="str">
        <f t="shared" si="17"/>
        <v/>
      </c>
      <c r="R208" s="9" t="str">
        <f t="shared" si="18"/>
        <v/>
      </c>
    </row>
    <row r="209" spans="17:18" x14ac:dyDescent="0.25">
      <c r="Q209" s="9" t="str">
        <f t="shared" si="17"/>
        <v/>
      </c>
      <c r="R209" s="9" t="str">
        <f t="shared" si="18"/>
        <v/>
      </c>
    </row>
    <row r="210" spans="17:18" x14ac:dyDescent="0.25">
      <c r="Q210" s="9" t="str">
        <f t="shared" si="17"/>
        <v/>
      </c>
      <c r="R210" s="9" t="str">
        <f t="shared" si="18"/>
        <v/>
      </c>
    </row>
    <row r="211" spans="17:18" x14ac:dyDescent="0.25">
      <c r="Q211" s="9" t="str">
        <f t="shared" si="17"/>
        <v/>
      </c>
      <c r="R211" s="9" t="str">
        <f t="shared" si="18"/>
        <v/>
      </c>
    </row>
    <row r="212" spans="17:18" x14ac:dyDescent="0.25">
      <c r="Q212" s="9" t="str">
        <f t="shared" si="17"/>
        <v/>
      </c>
      <c r="R212" s="9" t="str">
        <f t="shared" si="18"/>
        <v/>
      </c>
    </row>
    <row r="213" spans="17:18" x14ac:dyDescent="0.25">
      <c r="Q213" s="9" t="str">
        <f t="shared" si="17"/>
        <v/>
      </c>
      <c r="R213" s="9" t="str">
        <f t="shared" si="18"/>
        <v/>
      </c>
    </row>
    <row r="214" spans="17:18" x14ac:dyDescent="0.25">
      <c r="Q214" s="9" t="str">
        <f t="shared" si="17"/>
        <v/>
      </c>
      <c r="R214" s="9" t="str">
        <f t="shared" si="18"/>
        <v/>
      </c>
    </row>
    <row r="215" spans="17:18" x14ac:dyDescent="0.25">
      <c r="Q215" s="9" t="str">
        <f t="shared" si="17"/>
        <v/>
      </c>
      <c r="R215" s="9" t="str">
        <f t="shared" si="18"/>
        <v/>
      </c>
    </row>
    <row r="216" spans="17:18" x14ac:dyDescent="0.25">
      <c r="Q216" s="9" t="str">
        <f t="shared" si="17"/>
        <v/>
      </c>
      <c r="R216" s="9" t="str">
        <f t="shared" si="18"/>
        <v/>
      </c>
    </row>
    <row r="217" spans="17:18" x14ac:dyDescent="0.25">
      <c r="Q217" s="9" t="str">
        <f t="shared" si="17"/>
        <v/>
      </c>
      <c r="R217" s="9" t="str">
        <f t="shared" si="18"/>
        <v/>
      </c>
    </row>
    <row r="218" spans="17:18" x14ac:dyDescent="0.25">
      <c r="Q218" s="9" t="str">
        <f t="shared" si="17"/>
        <v/>
      </c>
      <c r="R218" s="9" t="str">
        <f t="shared" si="18"/>
        <v/>
      </c>
    </row>
    <row r="219" spans="17:18" x14ac:dyDescent="0.25">
      <c r="Q219" s="9" t="str">
        <f t="shared" si="17"/>
        <v/>
      </c>
      <c r="R219" s="9" t="str">
        <f t="shared" si="18"/>
        <v/>
      </c>
    </row>
    <row r="220" spans="17:18" x14ac:dyDescent="0.25">
      <c r="Q220" s="9" t="str">
        <f t="shared" si="17"/>
        <v/>
      </c>
      <c r="R220" s="9" t="str">
        <f t="shared" si="18"/>
        <v/>
      </c>
    </row>
    <row r="221" spans="17:18" x14ac:dyDescent="0.25">
      <c r="Q221" s="9" t="str">
        <f t="shared" si="17"/>
        <v/>
      </c>
      <c r="R221" s="9" t="str">
        <f t="shared" si="18"/>
        <v/>
      </c>
    </row>
    <row r="222" spans="17:18" x14ac:dyDescent="0.25">
      <c r="Q222" s="9" t="str">
        <f t="shared" si="17"/>
        <v/>
      </c>
      <c r="R222" s="9" t="str">
        <f t="shared" si="18"/>
        <v/>
      </c>
    </row>
    <row r="223" spans="17:18" x14ac:dyDescent="0.25">
      <c r="Q223" s="9" t="str">
        <f t="shared" si="17"/>
        <v/>
      </c>
      <c r="R223" s="9" t="str">
        <f t="shared" si="18"/>
        <v/>
      </c>
    </row>
    <row r="224" spans="17:18" x14ac:dyDescent="0.25">
      <c r="Q224" s="9" t="str">
        <f t="shared" si="17"/>
        <v/>
      </c>
      <c r="R224" s="9" t="str">
        <f t="shared" si="18"/>
        <v/>
      </c>
    </row>
    <row r="225" spans="17:18" x14ac:dyDescent="0.25">
      <c r="Q225" s="9" t="str">
        <f t="shared" si="17"/>
        <v/>
      </c>
      <c r="R225" s="9" t="str">
        <f t="shared" si="18"/>
        <v/>
      </c>
    </row>
    <row r="226" spans="17:18" x14ac:dyDescent="0.25">
      <c r="Q226" s="9" t="str">
        <f t="shared" si="17"/>
        <v/>
      </c>
      <c r="R226" s="9" t="str">
        <f t="shared" si="18"/>
        <v/>
      </c>
    </row>
    <row r="227" spans="17:18" x14ac:dyDescent="0.25">
      <c r="Q227" s="9" t="str">
        <f t="shared" si="17"/>
        <v/>
      </c>
      <c r="R227" s="9" t="str">
        <f t="shared" si="18"/>
        <v/>
      </c>
    </row>
    <row r="228" spans="17:18" x14ac:dyDescent="0.25">
      <c r="Q228" s="9" t="str">
        <f t="shared" si="17"/>
        <v/>
      </c>
      <c r="R228" s="9" t="str">
        <f t="shared" si="18"/>
        <v/>
      </c>
    </row>
    <row r="229" spans="17:18" x14ac:dyDescent="0.25">
      <c r="Q229" s="9" t="str">
        <f t="shared" si="17"/>
        <v/>
      </c>
      <c r="R229" s="9" t="str">
        <f t="shared" si="18"/>
        <v/>
      </c>
    </row>
    <row r="230" spans="17:18" x14ac:dyDescent="0.25">
      <c r="Q230" s="9" t="str">
        <f t="shared" si="17"/>
        <v/>
      </c>
      <c r="R230" s="9" t="str">
        <f t="shared" si="18"/>
        <v/>
      </c>
    </row>
    <row r="231" spans="17:18" x14ac:dyDescent="0.25">
      <c r="Q231" s="9" t="str">
        <f t="shared" si="17"/>
        <v/>
      </c>
      <c r="R231" s="9" t="str">
        <f t="shared" si="18"/>
        <v/>
      </c>
    </row>
    <row r="232" spans="17:18" x14ac:dyDescent="0.25">
      <c r="Q232" s="9" t="str">
        <f t="shared" si="17"/>
        <v/>
      </c>
      <c r="R232" s="9" t="str">
        <f t="shared" si="18"/>
        <v/>
      </c>
    </row>
    <row r="233" spans="17:18" x14ac:dyDescent="0.25">
      <c r="Q233" s="9" t="str">
        <f t="shared" si="17"/>
        <v/>
      </c>
      <c r="R233" s="9" t="str">
        <f t="shared" si="18"/>
        <v/>
      </c>
    </row>
    <row r="234" spans="17:18" x14ac:dyDescent="0.25">
      <c r="Q234" s="9" t="str">
        <f t="shared" si="17"/>
        <v/>
      </c>
      <c r="R234" s="9" t="str">
        <f t="shared" si="18"/>
        <v/>
      </c>
    </row>
    <row r="235" spans="17:18" x14ac:dyDescent="0.25">
      <c r="Q235" s="9" t="str">
        <f t="shared" si="17"/>
        <v/>
      </c>
      <c r="R235" s="9" t="str">
        <f t="shared" si="18"/>
        <v/>
      </c>
    </row>
    <row r="236" spans="17:18" x14ac:dyDescent="0.25">
      <c r="Q236" s="9" t="str">
        <f t="shared" si="17"/>
        <v/>
      </c>
      <c r="R236" s="9" t="str">
        <f t="shared" si="18"/>
        <v/>
      </c>
    </row>
    <row r="237" spans="17:18" x14ac:dyDescent="0.25">
      <c r="Q237" s="9" t="str">
        <f t="shared" si="17"/>
        <v/>
      </c>
      <c r="R237" s="9" t="str">
        <f t="shared" si="18"/>
        <v/>
      </c>
    </row>
    <row r="238" spans="17:18" x14ac:dyDescent="0.25">
      <c r="Q238" s="9" t="str">
        <f t="shared" si="17"/>
        <v/>
      </c>
      <c r="R238" s="9" t="str">
        <f t="shared" si="18"/>
        <v/>
      </c>
    </row>
    <row r="239" spans="17:18" x14ac:dyDescent="0.25">
      <c r="Q239" s="9" t="str">
        <f t="shared" si="17"/>
        <v/>
      </c>
      <c r="R239" s="9" t="str">
        <f t="shared" si="18"/>
        <v/>
      </c>
    </row>
    <row r="240" spans="17:18" x14ac:dyDescent="0.25">
      <c r="Q240" s="9" t="str">
        <f t="shared" si="17"/>
        <v/>
      </c>
      <c r="R240" s="9" t="str">
        <f t="shared" si="18"/>
        <v/>
      </c>
    </row>
    <row r="241" spans="17:18" x14ac:dyDescent="0.25">
      <c r="Q241" s="9" t="str">
        <f t="shared" si="17"/>
        <v/>
      </c>
      <c r="R241" s="9" t="str">
        <f t="shared" si="18"/>
        <v/>
      </c>
    </row>
    <row r="242" spans="17:18" x14ac:dyDescent="0.25">
      <c r="Q242" s="9" t="str">
        <f t="shared" si="17"/>
        <v/>
      </c>
      <c r="R242" s="9" t="str">
        <f t="shared" si="18"/>
        <v/>
      </c>
    </row>
    <row r="243" spans="17:18" x14ac:dyDescent="0.25">
      <c r="Q243" s="9" t="str">
        <f t="shared" si="17"/>
        <v/>
      </c>
      <c r="R243" s="9" t="str">
        <f t="shared" si="18"/>
        <v/>
      </c>
    </row>
    <row r="244" spans="17:18" x14ac:dyDescent="0.25">
      <c r="Q244" s="9" t="str">
        <f t="shared" si="17"/>
        <v/>
      </c>
      <c r="R244" s="9" t="str">
        <f t="shared" si="18"/>
        <v/>
      </c>
    </row>
    <row r="245" spans="17:18" x14ac:dyDescent="0.25">
      <c r="Q245" s="9" t="str">
        <f t="shared" si="17"/>
        <v/>
      </c>
      <c r="R245" s="9" t="str">
        <f t="shared" si="18"/>
        <v/>
      </c>
    </row>
    <row r="246" spans="17:18" x14ac:dyDescent="0.25">
      <c r="Q246" s="9" t="str">
        <f t="shared" si="17"/>
        <v/>
      </c>
      <c r="R246" s="9" t="str">
        <f t="shared" si="18"/>
        <v/>
      </c>
    </row>
    <row r="247" spans="17:18" x14ac:dyDescent="0.25">
      <c r="Q247" s="9" t="str">
        <f t="shared" si="17"/>
        <v/>
      </c>
      <c r="R247" s="9" t="str">
        <f t="shared" si="18"/>
        <v/>
      </c>
    </row>
    <row r="248" spans="17:18" x14ac:dyDescent="0.25">
      <c r="Q248" s="9" t="str">
        <f t="shared" si="17"/>
        <v/>
      </c>
      <c r="R248" s="9" t="str">
        <f t="shared" si="18"/>
        <v/>
      </c>
    </row>
    <row r="249" spans="17:18" x14ac:dyDescent="0.25">
      <c r="Q249" s="9" t="str">
        <f t="shared" si="17"/>
        <v/>
      </c>
      <c r="R249" s="9" t="str">
        <f t="shared" si="18"/>
        <v/>
      </c>
    </row>
    <row r="250" spans="17:18" x14ac:dyDescent="0.25">
      <c r="Q250" s="9" t="str">
        <f t="shared" si="17"/>
        <v/>
      </c>
      <c r="R250" s="9" t="str">
        <f t="shared" si="18"/>
        <v/>
      </c>
    </row>
    <row r="251" spans="17:18" x14ac:dyDescent="0.25">
      <c r="Q251" s="9" t="str">
        <f t="shared" si="17"/>
        <v/>
      </c>
      <c r="R251" s="9" t="str">
        <f t="shared" si="18"/>
        <v/>
      </c>
    </row>
    <row r="252" spans="17:18" x14ac:dyDescent="0.25">
      <c r="Q252" s="9" t="str">
        <f t="shared" si="17"/>
        <v/>
      </c>
      <c r="R252" s="9" t="str">
        <f t="shared" si="18"/>
        <v/>
      </c>
    </row>
    <row r="253" spans="17:18" x14ac:dyDescent="0.25">
      <c r="Q253" s="9" t="str">
        <f t="shared" si="17"/>
        <v/>
      </c>
      <c r="R253" s="9" t="str">
        <f t="shared" si="18"/>
        <v/>
      </c>
    </row>
    <row r="254" spans="17:18" x14ac:dyDescent="0.25">
      <c r="Q254" s="9" t="str">
        <f t="shared" si="17"/>
        <v/>
      </c>
      <c r="R254" s="9" t="str">
        <f t="shared" si="18"/>
        <v/>
      </c>
    </row>
    <row r="255" spans="17:18" x14ac:dyDescent="0.25">
      <c r="Q255" s="9" t="str">
        <f t="shared" si="17"/>
        <v/>
      </c>
      <c r="R255" s="9" t="str">
        <f t="shared" si="18"/>
        <v/>
      </c>
    </row>
    <row r="256" spans="17:18" x14ac:dyDescent="0.25">
      <c r="Q256" s="9" t="str">
        <f t="shared" si="17"/>
        <v/>
      </c>
      <c r="R256" s="9" t="str">
        <f t="shared" si="18"/>
        <v/>
      </c>
    </row>
    <row r="257" spans="17:18" x14ac:dyDescent="0.25">
      <c r="Q257" s="9" t="str">
        <f t="shared" si="17"/>
        <v/>
      </c>
      <c r="R257" s="9" t="str">
        <f t="shared" si="18"/>
        <v/>
      </c>
    </row>
    <row r="258" spans="17:18" x14ac:dyDescent="0.25">
      <c r="Q258" s="9" t="str">
        <f t="shared" si="17"/>
        <v/>
      </c>
      <c r="R258" s="9" t="str">
        <f t="shared" si="18"/>
        <v/>
      </c>
    </row>
    <row r="259" spans="17:18" x14ac:dyDescent="0.25">
      <c r="Q259" s="9" t="str">
        <f t="shared" si="17"/>
        <v/>
      </c>
      <c r="R259" s="9" t="str">
        <f t="shared" si="18"/>
        <v/>
      </c>
    </row>
    <row r="260" spans="17:18" x14ac:dyDescent="0.25">
      <c r="Q260" s="9" t="str">
        <f t="shared" ref="Q260:Q323" si="19">IF($I260="","",IF($P260&lt;&gt;"",$P260,$O260))</f>
        <v/>
      </c>
      <c r="R260" s="9" t="str">
        <f t="shared" ref="R260:R323" si="20">IF($I260="","",IF($Q260="","",$Q260*$L260))</f>
        <v/>
      </c>
    </row>
    <row r="261" spans="17:18" x14ac:dyDescent="0.25">
      <c r="Q261" s="9" t="str">
        <f t="shared" si="19"/>
        <v/>
      </c>
      <c r="R261" s="9" t="str">
        <f t="shared" si="20"/>
        <v/>
      </c>
    </row>
    <row r="262" spans="17:18" x14ac:dyDescent="0.25">
      <c r="Q262" s="9" t="str">
        <f t="shared" si="19"/>
        <v/>
      </c>
      <c r="R262" s="9" t="str">
        <f t="shared" si="20"/>
        <v/>
      </c>
    </row>
    <row r="263" spans="17:18" x14ac:dyDescent="0.25">
      <c r="Q263" s="9" t="str">
        <f t="shared" si="19"/>
        <v/>
      </c>
      <c r="R263" s="9" t="str">
        <f t="shared" si="20"/>
        <v/>
      </c>
    </row>
    <row r="264" spans="17:18" x14ac:dyDescent="0.25">
      <c r="Q264" s="9" t="str">
        <f t="shared" si="19"/>
        <v/>
      </c>
      <c r="R264" s="9" t="str">
        <f t="shared" si="20"/>
        <v/>
      </c>
    </row>
    <row r="265" spans="17:18" x14ac:dyDescent="0.25">
      <c r="Q265" s="9" t="str">
        <f t="shared" si="19"/>
        <v/>
      </c>
      <c r="R265" s="9" t="str">
        <f t="shared" si="20"/>
        <v/>
      </c>
    </row>
    <row r="266" spans="17:18" x14ac:dyDescent="0.25">
      <c r="Q266" s="9" t="str">
        <f t="shared" si="19"/>
        <v/>
      </c>
      <c r="R266" s="9" t="str">
        <f t="shared" si="20"/>
        <v/>
      </c>
    </row>
    <row r="267" spans="17:18" x14ac:dyDescent="0.25">
      <c r="Q267" s="9" t="str">
        <f t="shared" si="19"/>
        <v/>
      </c>
      <c r="R267" s="9" t="str">
        <f t="shared" si="20"/>
        <v/>
      </c>
    </row>
    <row r="268" spans="17:18" x14ac:dyDescent="0.25">
      <c r="Q268" s="9" t="str">
        <f t="shared" si="19"/>
        <v/>
      </c>
      <c r="R268" s="9" t="str">
        <f t="shared" si="20"/>
        <v/>
      </c>
    </row>
    <row r="269" spans="17:18" x14ac:dyDescent="0.25">
      <c r="Q269" s="9" t="str">
        <f t="shared" si="19"/>
        <v/>
      </c>
      <c r="R269" s="9" t="str">
        <f t="shared" si="20"/>
        <v/>
      </c>
    </row>
    <row r="270" spans="17:18" x14ac:dyDescent="0.25">
      <c r="Q270" s="9" t="str">
        <f t="shared" si="19"/>
        <v/>
      </c>
      <c r="R270" s="9" t="str">
        <f t="shared" si="20"/>
        <v/>
      </c>
    </row>
    <row r="271" spans="17:18" x14ac:dyDescent="0.25">
      <c r="Q271" s="9" t="str">
        <f t="shared" si="19"/>
        <v/>
      </c>
      <c r="R271" s="9" t="str">
        <f t="shared" si="20"/>
        <v/>
      </c>
    </row>
    <row r="272" spans="17:18" x14ac:dyDescent="0.25">
      <c r="Q272" s="9" t="str">
        <f t="shared" si="19"/>
        <v/>
      </c>
      <c r="R272" s="9" t="str">
        <f t="shared" si="20"/>
        <v/>
      </c>
    </row>
    <row r="273" spans="17:18" x14ac:dyDescent="0.25">
      <c r="Q273" s="9" t="str">
        <f t="shared" si="19"/>
        <v/>
      </c>
      <c r="R273" s="9" t="str">
        <f t="shared" si="20"/>
        <v/>
      </c>
    </row>
    <row r="274" spans="17:18" x14ac:dyDescent="0.25">
      <c r="Q274" s="9" t="str">
        <f t="shared" si="19"/>
        <v/>
      </c>
      <c r="R274" s="9" t="str">
        <f t="shared" si="20"/>
        <v/>
      </c>
    </row>
    <row r="275" spans="17:18" x14ac:dyDescent="0.25">
      <c r="Q275" s="9" t="str">
        <f t="shared" si="19"/>
        <v/>
      </c>
      <c r="R275" s="9" t="str">
        <f t="shared" si="20"/>
        <v/>
      </c>
    </row>
    <row r="276" spans="17:18" x14ac:dyDescent="0.25">
      <c r="Q276" s="9" t="str">
        <f t="shared" si="19"/>
        <v/>
      </c>
      <c r="R276" s="9" t="str">
        <f t="shared" si="20"/>
        <v/>
      </c>
    </row>
    <row r="277" spans="17:18" x14ac:dyDescent="0.25">
      <c r="Q277" s="9" t="str">
        <f t="shared" si="19"/>
        <v/>
      </c>
      <c r="R277" s="9" t="str">
        <f t="shared" si="20"/>
        <v/>
      </c>
    </row>
    <row r="278" spans="17:18" x14ac:dyDescent="0.25">
      <c r="Q278" s="9" t="str">
        <f t="shared" si="19"/>
        <v/>
      </c>
      <c r="R278" s="9" t="str">
        <f t="shared" si="20"/>
        <v/>
      </c>
    </row>
    <row r="279" spans="17:18" x14ac:dyDescent="0.25">
      <c r="Q279" s="9" t="str">
        <f t="shared" si="19"/>
        <v/>
      </c>
      <c r="R279" s="9" t="str">
        <f t="shared" si="20"/>
        <v/>
      </c>
    </row>
    <row r="280" spans="17:18" x14ac:dyDescent="0.25">
      <c r="Q280" s="9" t="str">
        <f t="shared" si="19"/>
        <v/>
      </c>
      <c r="R280" s="9" t="str">
        <f t="shared" si="20"/>
        <v/>
      </c>
    </row>
    <row r="281" spans="17:18" x14ac:dyDescent="0.25">
      <c r="Q281" s="9" t="str">
        <f t="shared" si="19"/>
        <v/>
      </c>
      <c r="R281" s="9" t="str">
        <f t="shared" si="20"/>
        <v/>
      </c>
    </row>
    <row r="282" spans="17:18" x14ac:dyDescent="0.25">
      <c r="Q282" s="9" t="str">
        <f t="shared" si="19"/>
        <v/>
      </c>
      <c r="R282" s="9" t="str">
        <f t="shared" si="20"/>
        <v/>
      </c>
    </row>
    <row r="283" spans="17:18" x14ac:dyDescent="0.25">
      <c r="Q283" s="9" t="str">
        <f t="shared" si="19"/>
        <v/>
      </c>
      <c r="R283" s="9" t="str">
        <f t="shared" si="20"/>
        <v/>
      </c>
    </row>
    <row r="284" spans="17:18" x14ac:dyDescent="0.25">
      <c r="Q284" s="9" t="str">
        <f t="shared" si="19"/>
        <v/>
      </c>
      <c r="R284" s="9" t="str">
        <f t="shared" si="20"/>
        <v/>
      </c>
    </row>
    <row r="285" spans="17:18" x14ac:dyDescent="0.25">
      <c r="Q285" s="9" t="str">
        <f t="shared" si="19"/>
        <v/>
      </c>
      <c r="R285" s="9" t="str">
        <f t="shared" si="20"/>
        <v/>
      </c>
    </row>
    <row r="286" spans="17:18" x14ac:dyDescent="0.25">
      <c r="Q286" s="9" t="str">
        <f t="shared" si="19"/>
        <v/>
      </c>
      <c r="R286" s="9" t="str">
        <f t="shared" si="20"/>
        <v/>
      </c>
    </row>
    <row r="287" spans="17:18" x14ac:dyDescent="0.25">
      <c r="Q287" s="9" t="str">
        <f t="shared" si="19"/>
        <v/>
      </c>
      <c r="R287" s="9" t="str">
        <f t="shared" si="20"/>
        <v/>
      </c>
    </row>
    <row r="288" spans="17:18" x14ac:dyDescent="0.25">
      <c r="Q288" s="9" t="str">
        <f t="shared" si="19"/>
        <v/>
      </c>
      <c r="R288" s="9" t="str">
        <f t="shared" si="20"/>
        <v/>
      </c>
    </row>
    <row r="289" spans="17:18" x14ac:dyDescent="0.25">
      <c r="Q289" s="9" t="str">
        <f t="shared" si="19"/>
        <v/>
      </c>
      <c r="R289" s="9" t="str">
        <f t="shared" si="20"/>
        <v/>
      </c>
    </row>
    <row r="290" spans="17:18" x14ac:dyDescent="0.25">
      <c r="Q290" s="9" t="str">
        <f t="shared" si="19"/>
        <v/>
      </c>
      <c r="R290" s="9" t="str">
        <f t="shared" si="20"/>
        <v/>
      </c>
    </row>
    <row r="291" spans="17:18" x14ac:dyDescent="0.25">
      <c r="Q291" s="9" t="str">
        <f t="shared" si="19"/>
        <v/>
      </c>
      <c r="R291" s="9" t="str">
        <f t="shared" si="20"/>
        <v/>
      </c>
    </row>
    <row r="292" spans="17:18" x14ac:dyDescent="0.25">
      <c r="Q292" s="9" t="str">
        <f t="shared" si="19"/>
        <v/>
      </c>
      <c r="R292" s="9" t="str">
        <f t="shared" si="20"/>
        <v/>
      </c>
    </row>
    <row r="293" spans="17:18" x14ac:dyDescent="0.25">
      <c r="Q293" s="9" t="str">
        <f t="shared" si="19"/>
        <v/>
      </c>
      <c r="R293" s="9" t="str">
        <f t="shared" si="20"/>
        <v/>
      </c>
    </row>
    <row r="294" spans="17:18" x14ac:dyDescent="0.25">
      <c r="Q294" s="9" t="str">
        <f t="shared" si="19"/>
        <v/>
      </c>
      <c r="R294" s="9" t="str">
        <f t="shared" si="20"/>
        <v/>
      </c>
    </row>
    <row r="295" spans="17:18" x14ac:dyDescent="0.25">
      <c r="Q295" s="9" t="str">
        <f t="shared" si="19"/>
        <v/>
      </c>
      <c r="R295" s="9" t="str">
        <f t="shared" si="20"/>
        <v/>
      </c>
    </row>
    <row r="296" spans="17:18" x14ac:dyDescent="0.25">
      <c r="Q296" s="9" t="str">
        <f t="shared" si="19"/>
        <v/>
      </c>
      <c r="R296" s="9" t="str">
        <f t="shared" si="20"/>
        <v/>
      </c>
    </row>
    <row r="297" spans="17:18" x14ac:dyDescent="0.25">
      <c r="Q297" s="9" t="str">
        <f t="shared" si="19"/>
        <v/>
      </c>
      <c r="R297" s="9" t="str">
        <f t="shared" si="20"/>
        <v/>
      </c>
    </row>
    <row r="298" spans="17:18" x14ac:dyDescent="0.25">
      <c r="Q298" s="9" t="str">
        <f t="shared" si="19"/>
        <v/>
      </c>
      <c r="R298" s="9" t="str">
        <f t="shared" si="20"/>
        <v/>
      </c>
    </row>
    <row r="299" spans="17:18" x14ac:dyDescent="0.25">
      <c r="Q299" s="9" t="str">
        <f t="shared" si="19"/>
        <v/>
      </c>
      <c r="R299" s="9" t="str">
        <f t="shared" si="20"/>
        <v/>
      </c>
    </row>
    <row r="300" spans="17:18" x14ac:dyDescent="0.25">
      <c r="Q300" s="9" t="str">
        <f t="shared" si="19"/>
        <v/>
      </c>
      <c r="R300" s="9" t="str">
        <f t="shared" si="20"/>
        <v/>
      </c>
    </row>
    <row r="301" spans="17:18" x14ac:dyDescent="0.25">
      <c r="Q301" s="9" t="str">
        <f t="shared" si="19"/>
        <v/>
      </c>
      <c r="R301" s="9" t="str">
        <f t="shared" si="20"/>
        <v/>
      </c>
    </row>
    <row r="302" spans="17:18" x14ac:dyDescent="0.25">
      <c r="Q302" s="9" t="str">
        <f t="shared" si="19"/>
        <v/>
      </c>
      <c r="R302" s="9" t="str">
        <f t="shared" si="20"/>
        <v/>
      </c>
    </row>
    <row r="303" spans="17:18" x14ac:dyDescent="0.25">
      <c r="Q303" s="9" t="str">
        <f t="shared" si="19"/>
        <v/>
      </c>
      <c r="R303" s="9" t="str">
        <f t="shared" si="20"/>
        <v/>
      </c>
    </row>
    <row r="304" spans="17:18" x14ac:dyDescent="0.25">
      <c r="Q304" s="9" t="str">
        <f t="shared" si="19"/>
        <v/>
      </c>
      <c r="R304" s="9" t="str">
        <f t="shared" si="20"/>
        <v/>
      </c>
    </row>
    <row r="305" spans="17:18" x14ac:dyDescent="0.25">
      <c r="Q305" s="9" t="str">
        <f t="shared" si="19"/>
        <v/>
      </c>
      <c r="R305" s="9" t="str">
        <f t="shared" si="20"/>
        <v/>
      </c>
    </row>
    <row r="306" spans="17:18" x14ac:dyDescent="0.25">
      <c r="Q306" s="9" t="str">
        <f t="shared" si="19"/>
        <v/>
      </c>
      <c r="R306" s="9" t="str">
        <f t="shared" si="20"/>
        <v/>
      </c>
    </row>
    <row r="307" spans="17:18" x14ac:dyDescent="0.25">
      <c r="Q307" s="9" t="str">
        <f t="shared" si="19"/>
        <v/>
      </c>
      <c r="R307" s="9" t="str">
        <f t="shared" si="20"/>
        <v/>
      </c>
    </row>
    <row r="308" spans="17:18" x14ac:dyDescent="0.25">
      <c r="Q308" s="9" t="str">
        <f t="shared" si="19"/>
        <v/>
      </c>
      <c r="R308" s="9" t="str">
        <f t="shared" si="20"/>
        <v/>
      </c>
    </row>
    <row r="309" spans="17:18" x14ac:dyDescent="0.25">
      <c r="Q309" s="9" t="str">
        <f t="shared" si="19"/>
        <v/>
      </c>
      <c r="R309" s="9" t="str">
        <f t="shared" si="20"/>
        <v/>
      </c>
    </row>
    <row r="310" spans="17:18" x14ac:dyDescent="0.25">
      <c r="Q310" s="9" t="str">
        <f t="shared" si="19"/>
        <v/>
      </c>
      <c r="R310" s="9" t="str">
        <f t="shared" si="20"/>
        <v/>
      </c>
    </row>
    <row r="311" spans="17:18" x14ac:dyDescent="0.25">
      <c r="Q311" s="9" t="str">
        <f t="shared" si="19"/>
        <v/>
      </c>
      <c r="R311" s="9" t="str">
        <f t="shared" si="20"/>
        <v/>
      </c>
    </row>
    <row r="312" spans="17:18" x14ac:dyDescent="0.25">
      <c r="Q312" s="9" t="str">
        <f t="shared" si="19"/>
        <v/>
      </c>
      <c r="R312" s="9" t="str">
        <f t="shared" si="20"/>
        <v/>
      </c>
    </row>
    <row r="313" spans="17:18" x14ac:dyDescent="0.25">
      <c r="Q313" s="9" t="str">
        <f t="shared" si="19"/>
        <v/>
      </c>
      <c r="R313" s="9" t="str">
        <f t="shared" si="20"/>
        <v/>
      </c>
    </row>
    <row r="314" spans="17:18" x14ac:dyDescent="0.25">
      <c r="Q314" s="9" t="str">
        <f t="shared" si="19"/>
        <v/>
      </c>
      <c r="R314" s="9" t="str">
        <f t="shared" si="20"/>
        <v/>
      </c>
    </row>
    <row r="315" spans="17:18" x14ac:dyDescent="0.25">
      <c r="Q315" s="9" t="str">
        <f t="shared" si="19"/>
        <v/>
      </c>
      <c r="R315" s="9" t="str">
        <f t="shared" si="20"/>
        <v/>
      </c>
    </row>
    <row r="316" spans="17:18" x14ac:dyDescent="0.25">
      <c r="Q316" s="9" t="str">
        <f t="shared" si="19"/>
        <v/>
      </c>
      <c r="R316" s="9" t="str">
        <f t="shared" si="20"/>
        <v/>
      </c>
    </row>
    <row r="317" spans="17:18" x14ac:dyDescent="0.25">
      <c r="Q317" s="9" t="str">
        <f t="shared" si="19"/>
        <v/>
      </c>
      <c r="R317" s="9" t="str">
        <f t="shared" si="20"/>
        <v/>
      </c>
    </row>
    <row r="318" spans="17:18" x14ac:dyDescent="0.25">
      <c r="Q318" s="9" t="str">
        <f t="shared" si="19"/>
        <v/>
      </c>
      <c r="R318" s="9" t="str">
        <f t="shared" si="20"/>
        <v/>
      </c>
    </row>
    <row r="319" spans="17:18" x14ac:dyDescent="0.25">
      <c r="Q319" s="9" t="str">
        <f t="shared" si="19"/>
        <v/>
      </c>
      <c r="R319" s="9" t="str">
        <f t="shared" si="20"/>
        <v/>
      </c>
    </row>
    <row r="320" spans="17:18" x14ac:dyDescent="0.25">
      <c r="Q320" s="9" t="str">
        <f t="shared" si="19"/>
        <v/>
      </c>
      <c r="R320" s="9" t="str">
        <f t="shared" si="20"/>
        <v/>
      </c>
    </row>
    <row r="321" spans="17:18" x14ac:dyDescent="0.25">
      <c r="Q321" s="9" t="str">
        <f t="shared" si="19"/>
        <v/>
      </c>
      <c r="R321" s="9" t="str">
        <f t="shared" si="20"/>
        <v/>
      </c>
    </row>
    <row r="322" spans="17:18" x14ac:dyDescent="0.25">
      <c r="Q322" s="9" t="str">
        <f t="shared" si="19"/>
        <v/>
      </c>
      <c r="R322" s="9" t="str">
        <f t="shared" si="20"/>
        <v/>
      </c>
    </row>
    <row r="323" spans="17:18" x14ac:dyDescent="0.25">
      <c r="Q323" s="9" t="str">
        <f t="shared" si="19"/>
        <v/>
      </c>
      <c r="R323" s="9" t="str">
        <f t="shared" si="20"/>
        <v/>
      </c>
    </row>
    <row r="324" spans="17:18" x14ac:dyDescent="0.25">
      <c r="Q324" s="9" t="str">
        <f t="shared" ref="Q324:Q387" si="21">IF($I324="","",IF($P324&lt;&gt;"",$P324,$O324))</f>
        <v/>
      </c>
      <c r="R324" s="9" t="str">
        <f t="shared" ref="R324:R387" si="22">IF($I324="","",IF($Q324="","",$Q324*$L324))</f>
        <v/>
      </c>
    </row>
    <row r="325" spans="17:18" x14ac:dyDescent="0.25">
      <c r="Q325" s="9" t="str">
        <f t="shared" si="21"/>
        <v/>
      </c>
      <c r="R325" s="9" t="str">
        <f t="shared" si="22"/>
        <v/>
      </c>
    </row>
    <row r="326" spans="17:18" x14ac:dyDescent="0.25">
      <c r="Q326" s="9" t="str">
        <f t="shared" si="21"/>
        <v/>
      </c>
      <c r="R326" s="9" t="str">
        <f t="shared" si="22"/>
        <v/>
      </c>
    </row>
    <row r="327" spans="17:18" x14ac:dyDescent="0.25">
      <c r="Q327" s="9" t="str">
        <f t="shared" si="21"/>
        <v/>
      </c>
      <c r="R327" s="9" t="str">
        <f t="shared" si="22"/>
        <v/>
      </c>
    </row>
    <row r="328" spans="17:18" x14ac:dyDescent="0.25">
      <c r="Q328" s="9" t="str">
        <f t="shared" si="21"/>
        <v/>
      </c>
      <c r="R328" s="9" t="str">
        <f t="shared" si="22"/>
        <v/>
      </c>
    </row>
    <row r="329" spans="17:18" x14ac:dyDescent="0.25">
      <c r="Q329" s="9" t="str">
        <f t="shared" si="21"/>
        <v/>
      </c>
      <c r="R329" s="9" t="str">
        <f t="shared" si="22"/>
        <v/>
      </c>
    </row>
    <row r="330" spans="17:18" x14ac:dyDescent="0.25">
      <c r="Q330" s="9" t="str">
        <f t="shared" si="21"/>
        <v/>
      </c>
      <c r="R330" s="9" t="str">
        <f t="shared" si="22"/>
        <v/>
      </c>
    </row>
    <row r="331" spans="17:18" x14ac:dyDescent="0.25">
      <c r="Q331" s="9" t="str">
        <f t="shared" si="21"/>
        <v/>
      </c>
      <c r="R331" s="9" t="str">
        <f t="shared" si="22"/>
        <v/>
      </c>
    </row>
    <row r="332" spans="17:18" x14ac:dyDescent="0.25">
      <c r="Q332" s="9" t="str">
        <f t="shared" si="21"/>
        <v/>
      </c>
      <c r="R332" s="9" t="str">
        <f t="shared" si="22"/>
        <v/>
      </c>
    </row>
    <row r="333" spans="17:18" x14ac:dyDescent="0.25">
      <c r="Q333" s="9" t="str">
        <f t="shared" si="21"/>
        <v/>
      </c>
      <c r="R333" s="9" t="str">
        <f t="shared" si="22"/>
        <v/>
      </c>
    </row>
    <row r="334" spans="17:18" x14ac:dyDescent="0.25">
      <c r="Q334" s="9" t="str">
        <f t="shared" si="21"/>
        <v/>
      </c>
      <c r="R334" s="9" t="str">
        <f t="shared" si="22"/>
        <v/>
      </c>
    </row>
    <row r="335" spans="17:18" x14ac:dyDescent="0.25">
      <c r="Q335" s="9" t="str">
        <f t="shared" si="21"/>
        <v/>
      </c>
      <c r="R335" s="9" t="str">
        <f t="shared" si="22"/>
        <v/>
      </c>
    </row>
    <row r="336" spans="17:18" x14ac:dyDescent="0.25">
      <c r="Q336" s="9" t="str">
        <f t="shared" si="21"/>
        <v/>
      </c>
      <c r="R336" s="9" t="str">
        <f t="shared" si="22"/>
        <v/>
      </c>
    </row>
    <row r="337" spans="17:18" x14ac:dyDescent="0.25">
      <c r="Q337" s="9" t="str">
        <f t="shared" si="21"/>
        <v/>
      </c>
      <c r="R337" s="9" t="str">
        <f t="shared" si="22"/>
        <v/>
      </c>
    </row>
    <row r="338" spans="17:18" x14ac:dyDescent="0.25">
      <c r="Q338" s="9" t="str">
        <f t="shared" si="21"/>
        <v/>
      </c>
      <c r="R338" s="9" t="str">
        <f t="shared" si="22"/>
        <v/>
      </c>
    </row>
    <row r="339" spans="17:18" x14ac:dyDescent="0.25">
      <c r="Q339" s="9" t="str">
        <f t="shared" si="21"/>
        <v/>
      </c>
      <c r="R339" s="9" t="str">
        <f t="shared" si="22"/>
        <v/>
      </c>
    </row>
    <row r="340" spans="17:18" x14ac:dyDescent="0.25">
      <c r="Q340" s="9" t="str">
        <f t="shared" si="21"/>
        <v/>
      </c>
      <c r="R340" s="9" t="str">
        <f t="shared" si="22"/>
        <v/>
      </c>
    </row>
    <row r="341" spans="17:18" x14ac:dyDescent="0.25">
      <c r="Q341" s="9" t="str">
        <f t="shared" si="21"/>
        <v/>
      </c>
      <c r="R341" s="9" t="str">
        <f t="shared" si="22"/>
        <v/>
      </c>
    </row>
    <row r="342" spans="17:18" x14ac:dyDescent="0.25">
      <c r="Q342" s="9" t="str">
        <f t="shared" si="21"/>
        <v/>
      </c>
      <c r="R342" s="9" t="str">
        <f t="shared" si="22"/>
        <v/>
      </c>
    </row>
    <row r="343" spans="17:18" x14ac:dyDescent="0.25">
      <c r="Q343" s="9" t="str">
        <f t="shared" si="21"/>
        <v/>
      </c>
      <c r="R343" s="9" t="str">
        <f t="shared" si="22"/>
        <v/>
      </c>
    </row>
    <row r="344" spans="17:18" x14ac:dyDescent="0.25">
      <c r="Q344" s="9" t="str">
        <f t="shared" si="21"/>
        <v/>
      </c>
      <c r="R344" s="9" t="str">
        <f t="shared" si="22"/>
        <v/>
      </c>
    </row>
    <row r="345" spans="17:18" x14ac:dyDescent="0.25">
      <c r="Q345" s="9" t="str">
        <f t="shared" si="21"/>
        <v/>
      </c>
      <c r="R345" s="9" t="str">
        <f t="shared" si="22"/>
        <v/>
      </c>
    </row>
    <row r="346" spans="17:18" x14ac:dyDescent="0.25">
      <c r="Q346" s="9" t="str">
        <f t="shared" si="21"/>
        <v/>
      </c>
      <c r="R346" s="9" t="str">
        <f t="shared" si="22"/>
        <v/>
      </c>
    </row>
    <row r="347" spans="17:18" x14ac:dyDescent="0.25">
      <c r="Q347" s="9" t="str">
        <f t="shared" si="21"/>
        <v/>
      </c>
      <c r="R347" s="9" t="str">
        <f t="shared" si="22"/>
        <v/>
      </c>
    </row>
    <row r="348" spans="17:18" x14ac:dyDescent="0.25">
      <c r="Q348" s="9" t="str">
        <f t="shared" si="21"/>
        <v/>
      </c>
      <c r="R348" s="9" t="str">
        <f t="shared" si="22"/>
        <v/>
      </c>
    </row>
    <row r="349" spans="17:18" x14ac:dyDescent="0.25">
      <c r="Q349" s="9" t="str">
        <f t="shared" si="21"/>
        <v/>
      </c>
      <c r="R349" s="9" t="str">
        <f t="shared" si="22"/>
        <v/>
      </c>
    </row>
    <row r="350" spans="17:18" x14ac:dyDescent="0.25">
      <c r="Q350" s="9" t="str">
        <f t="shared" si="21"/>
        <v/>
      </c>
      <c r="R350" s="9" t="str">
        <f t="shared" si="22"/>
        <v/>
      </c>
    </row>
    <row r="351" spans="17:18" x14ac:dyDescent="0.25">
      <c r="Q351" s="9" t="str">
        <f t="shared" si="21"/>
        <v/>
      </c>
      <c r="R351" s="9" t="str">
        <f t="shared" si="22"/>
        <v/>
      </c>
    </row>
    <row r="352" spans="17:18" x14ac:dyDescent="0.25">
      <c r="Q352" s="9" t="str">
        <f t="shared" si="21"/>
        <v/>
      </c>
      <c r="R352" s="9" t="str">
        <f t="shared" si="22"/>
        <v/>
      </c>
    </row>
    <row r="353" spans="17:18" x14ac:dyDescent="0.25">
      <c r="Q353" s="9" t="str">
        <f t="shared" si="21"/>
        <v/>
      </c>
      <c r="R353" s="9" t="str">
        <f t="shared" si="22"/>
        <v/>
      </c>
    </row>
    <row r="354" spans="17:18" x14ac:dyDescent="0.25">
      <c r="Q354" s="9" t="str">
        <f t="shared" si="21"/>
        <v/>
      </c>
      <c r="R354" s="9" t="str">
        <f t="shared" si="22"/>
        <v/>
      </c>
    </row>
    <row r="355" spans="17:18" x14ac:dyDescent="0.25">
      <c r="Q355" s="9" t="str">
        <f t="shared" si="21"/>
        <v/>
      </c>
      <c r="R355" s="9" t="str">
        <f t="shared" si="22"/>
        <v/>
      </c>
    </row>
    <row r="356" spans="17:18" x14ac:dyDescent="0.25">
      <c r="Q356" s="9" t="str">
        <f t="shared" si="21"/>
        <v/>
      </c>
      <c r="R356" s="9" t="str">
        <f t="shared" si="22"/>
        <v/>
      </c>
    </row>
    <row r="357" spans="17:18" x14ac:dyDescent="0.25">
      <c r="Q357" s="9" t="str">
        <f t="shared" si="21"/>
        <v/>
      </c>
      <c r="R357" s="9" t="str">
        <f t="shared" si="22"/>
        <v/>
      </c>
    </row>
    <row r="358" spans="17:18" x14ac:dyDescent="0.25">
      <c r="Q358" s="9" t="str">
        <f t="shared" si="21"/>
        <v/>
      </c>
      <c r="R358" s="9" t="str">
        <f t="shared" si="22"/>
        <v/>
      </c>
    </row>
    <row r="359" spans="17:18" x14ac:dyDescent="0.25">
      <c r="Q359" s="9" t="str">
        <f t="shared" si="21"/>
        <v/>
      </c>
      <c r="R359" s="9" t="str">
        <f t="shared" si="22"/>
        <v/>
      </c>
    </row>
    <row r="360" spans="17:18" x14ac:dyDescent="0.25">
      <c r="Q360" s="9" t="str">
        <f t="shared" si="21"/>
        <v/>
      </c>
      <c r="R360" s="9" t="str">
        <f t="shared" si="22"/>
        <v/>
      </c>
    </row>
    <row r="361" spans="17:18" x14ac:dyDescent="0.25">
      <c r="Q361" s="9" t="str">
        <f t="shared" si="21"/>
        <v/>
      </c>
      <c r="R361" s="9" t="str">
        <f t="shared" si="22"/>
        <v/>
      </c>
    </row>
    <row r="362" spans="17:18" x14ac:dyDescent="0.25">
      <c r="Q362" s="9" t="str">
        <f t="shared" si="21"/>
        <v/>
      </c>
      <c r="R362" s="9" t="str">
        <f t="shared" si="22"/>
        <v/>
      </c>
    </row>
    <row r="363" spans="17:18" x14ac:dyDescent="0.25">
      <c r="Q363" s="9" t="str">
        <f t="shared" si="21"/>
        <v/>
      </c>
      <c r="R363" s="9" t="str">
        <f t="shared" si="22"/>
        <v/>
      </c>
    </row>
    <row r="364" spans="17:18" x14ac:dyDescent="0.25">
      <c r="Q364" s="9" t="str">
        <f t="shared" si="21"/>
        <v/>
      </c>
      <c r="R364" s="9" t="str">
        <f t="shared" si="22"/>
        <v/>
      </c>
    </row>
    <row r="365" spans="17:18" x14ac:dyDescent="0.25">
      <c r="Q365" s="9" t="str">
        <f t="shared" si="21"/>
        <v/>
      </c>
      <c r="R365" s="9" t="str">
        <f t="shared" si="22"/>
        <v/>
      </c>
    </row>
    <row r="366" spans="17:18" x14ac:dyDescent="0.25">
      <c r="Q366" s="9" t="str">
        <f t="shared" si="21"/>
        <v/>
      </c>
      <c r="R366" s="9" t="str">
        <f t="shared" si="22"/>
        <v/>
      </c>
    </row>
    <row r="367" spans="17:18" x14ac:dyDescent="0.25">
      <c r="Q367" s="9" t="str">
        <f t="shared" si="21"/>
        <v/>
      </c>
      <c r="R367" s="9" t="str">
        <f t="shared" si="22"/>
        <v/>
      </c>
    </row>
    <row r="368" spans="17:18" x14ac:dyDescent="0.25">
      <c r="Q368" s="9" t="str">
        <f t="shared" si="21"/>
        <v/>
      </c>
      <c r="R368" s="9" t="str">
        <f t="shared" si="22"/>
        <v/>
      </c>
    </row>
    <row r="369" spans="17:18" x14ac:dyDescent="0.25">
      <c r="Q369" s="9" t="str">
        <f t="shared" si="21"/>
        <v/>
      </c>
      <c r="R369" s="9" t="str">
        <f t="shared" si="22"/>
        <v/>
      </c>
    </row>
    <row r="370" spans="17:18" x14ac:dyDescent="0.25">
      <c r="Q370" s="9" t="str">
        <f t="shared" si="21"/>
        <v/>
      </c>
      <c r="R370" s="9" t="str">
        <f t="shared" si="22"/>
        <v/>
      </c>
    </row>
    <row r="371" spans="17:18" x14ac:dyDescent="0.25">
      <c r="Q371" s="9" t="str">
        <f t="shared" si="21"/>
        <v/>
      </c>
      <c r="R371" s="9" t="str">
        <f t="shared" si="22"/>
        <v/>
      </c>
    </row>
    <row r="372" spans="17:18" x14ac:dyDescent="0.25">
      <c r="Q372" s="9" t="str">
        <f t="shared" si="21"/>
        <v/>
      </c>
      <c r="R372" s="9" t="str">
        <f t="shared" si="22"/>
        <v/>
      </c>
    </row>
    <row r="373" spans="17:18" x14ac:dyDescent="0.25">
      <c r="Q373" s="9" t="str">
        <f t="shared" si="21"/>
        <v/>
      </c>
      <c r="R373" s="9" t="str">
        <f t="shared" si="22"/>
        <v/>
      </c>
    </row>
    <row r="374" spans="17:18" x14ac:dyDescent="0.25">
      <c r="Q374" s="9" t="str">
        <f t="shared" si="21"/>
        <v/>
      </c>
      <c r="R374" s="9" t="str">
        <f t="shared" si="22"/>
        <v/>
      </c>
    </row>
    <row r="375" spans="17:18" x14ac:dyDescent="0.25">
      <c r="Q375" s="9" t="str">
        <f t="shared" si="21"/>
        <v/>
      </c>
      <c r="R375" s="9" t="str">
        <f t="shared" si="22"/>
        <v/>
      </c>
    </row>
    <row r="376" spans="17:18" x14ac:dyDescent="0.25">
      <c r="Q376" s="9" t="str">
        <f t="shared" si="21"/>
        <v/>
      </c>
      <c r="R376" s="9" t="str">
        <f t="shared" si="22"/>
        <v/>
      </c>
    </row>
    <row r="377" spans="17:18" x14ac:dyDescent="0.25">
      <c r="Q377" s="9" t="str">
        <f t="shared" si="21"/>
        <v/>
      </c>
      <c r="R377" s="9" t="str">
        <f t="shared" si="22"/>
        <v/>
      </c>
    </row>
    <row r="378" spans="17:18" x14ac:dyDescent="0.25">
      <c r="Q378" s="9" t="str">
        <f t="shared" si="21"/>
        <v/>
      </c>
      <c r="R378" s="9" t="str">
        <f t="shared" si="22"/>
        <v/>
      </c>
    </row>
    <row r="379" spans="17:18" x14ac:dyDescent="0.25">
      <c r="Q379" s="9" t="str">
        <f t="shared" si="21"/>
        <v/>
      </c>
      <c r="R379" s="9" t="str">
        <f t="shared" si="22"/>
        <v/>
      </c>
    </row>
    <row r="380" spans="17:18" x14ac:dyDescent="0.25">
      <c r="Q380" s="9" t="str">
        <f t="shared" si="21"/>
        <v/>
      </c>
      <c r="R380" s="9" t="str">
        <f t="shared" si="22"/>
        <v/>
      </c>
    </row>
    <row r="381" spans="17:18" x14ac:dyDescent="0.25">
      <c r="Q381" s="9" t="str">
        <f t="shared" si="21"/>
        <v/>
      </c>
      <c r="R381" s="9" t="str">
        <f t="shared" si="22"/>
        <v/>
      </c>
    </row>
    <row r="382" spans="17:18" x14ac:dyDescent="0.25">
      <c r="Q382" s="9" t="str">
        <f t="shared" si="21"/>
        <v/>
      </c>
      <c r="R382" s="9" t="str">
        <f t="shared" si="22"/>
        <v/>
      </c>
    </row>
    <row r="383" spans="17:18" x14ac:dyDescent="0.25">
      <c r="Q383" s="9" t="str">
        <f t="shared" si="21"/>
        <v/>
      </c>
      <c r="R383" s="9" t="str">
        <f t="shared" si="22"/>
        <v/>
      </c>
    </row>
    <row r="384" spans="17:18" x14ac:dyDescent="0.25">
      <c r="Q384" s="9" t="str">
        <f t="shared" si="21"/>
        <v/>
      </c>
      <c r="R384" s="9" t="str">
        <f t="shared" si="22"/>
        <v/>
      </c>
    </row>
    <row r="385" spans="17:18" x14ac:dyDescent="0.25">
      <c r="Q385" s="9" t="str">
        <f t="shared" si="21"/>
        <v/>
      </c>
      <c r="R385" s="9" t="str">
        <f t="shared" si="22"/>
        <v/>
      </c>
    </row>
    <row r="386" spans="17:18" x14ac:dyDescent="0.25">
      <c r="Q386" s="9" t="str">
        <f t="shared" si="21"/>
        <v/>
      </c>
      <c r="R386" s="9" t="str">
        <f t="shared" si="22"/>
        <v/>
      </c>
    </row>
    <row r="387" spans="17:18" x14ac:dyDescent="0.25">
      <c r="Q387" s="9" t="str">
        <f t="shared" si="21"/>
        <v/>
      </c>
      <c r="R387" s="9" t="str">
        <f t="shared" si="22"/>
        <v/>
      </c>
    </row>
    <row r="388" spans="17:18" x14ac:dyDescent="0.25">
      <c r="Q388" s="9" t="str">
        <f t="shared" ref="Q388:Q451" si="23">IF($I388="","",IF($P388&lt;&gt;"",$P388,$O388))</f>
        <v/>
      </c>
      <c r="R388" s="9" t="str">
        <f t="shared" ref="R388:R451" si="24">IF($I388="","",IF($Q388="","",$Q388*$L388))</f>
        <v/>
      </c>
    </row>
    <row r="389" spans="17:18" x14ac:dyDescent="0.25">
      <c r="Q389" s="9" t="str">
        <f t="shared" si="23"/>
        <v/>
      </c>
      <c r="R389" s="9" t="str">
        <f t="shared" si="24"/>
        <v/>
      </c>
    </row>
    <row r="390" spans="17:18" x14ac:dyDescent="0.25">
      <c r="Q390" s="9" t="str">
        <f t="shared" si="23"/>
        <v/>
      </c>
      <c r="R390" s="9" t="str">
        <f t="shared" si="24"/>
        <v/>
      </c>
    </row>
    <row r="391" spans="17:18" x14ac:dyDescent="0.25">
      <c r="Q391" s="9" t="str">
        <f t="shared" si="23"/>
        <v/>
      </c>
      <c r="R391" s="9" t="str">
        <f t="shared" si="24"/>
        <v/>
      </c>
    </row>
    <row r="392" spans="17:18" x14ac:dyDescent="0.25">
      <c r="Q392" s="9" t="str">
        <f t="shared" si="23"/>
        <v/>
      </c>
      <c r="R392" s="9" t="str">
        <f t="shared" si="24"/>
        <v/>
      </c>
    </row>
    <row r="393" spans="17:18" x14ac:dyDescent="0.25">
      <c r="Q393" s="9" t="str">
        <f t="shared" si="23"/>
        <v/>
      </c>
      <c r="R393" s="9" t="str">
        <f t="shared" si="24"/>
        <v/>
      </c>
    </row>
    <row r="394" spans="17:18" x14ac:dyDescent="0.25">
      <c r="Q394" s="9" t="str">
        <f t="shared" si="23"/>
        <v/>
      </c>
      <c r="R394" s="9" t="str">
        <f t="shared" si="24"/>
        <v/>
      </c>
    </row>
    <row r="395" spans="17:18" x14ac:dyDescent="0.25">
      <c r="Q395" s="9" t="str">
        <f t="shared" si="23"/>
        <v/>
      </c>
      <c r="R395" s="9" t="str">
        <f t="shared" si="24"/>
        <v/>
      </c>
    </row>
    <row r="396" spans="17:18" x14ac:dyDescent="0.25">
      <c r="Q396" s="9" t="str">
        <f t="shared" si="23"/>
        <v/>
      </c>
      <c r="R396" s="9" t="str">
        <f t="shared" si="24"/>
        <v/>
      </c>
    </row>
    <row r="397" spans="17:18" x14ac:dyDescent="0.25">
      <c r="Q397" s="9" t="str">
        <f t="shared" si="23"/>
        <v/>
      </c>
      <c r="R397" s="9" t="str">
        <f t="shared" si="24"/>
        <v/>
      </c>
    </row>
    <row r="398" spans="17:18" x14ac:dyDescent="0.25">
      <c r="Q398" s="9" t="str">
        <f t="shared" si="23"/>
        <v/>
      </c>
      <c r="R398" s="9" t="str">
        <f t="shared" si="24"/>
        <v/>
      </c>
    </row>
    <row r="399" spans="17:18" x14ac:dyDescent="0.25">
      <c r="Q399" s="9" t="str">
        <f t="shared" si="23"/>
        <v/>
      </c>
      <c r="R399" s="9" t="str">
        <f t="shared" si="24"/>
        <v/>
      </c>
    </row>
    <row r="400" spans="17:18" x14ac:dyDescent="0.25">
      <c r="Q400" s="9" t="str">
        <f t="shared" si="23"/>
        <v/>
      </c>
      <c r="R400" s="9" t="str">
        <f t="shared" si="24"/>
        <v/>
      </c>
    </row>
    <row r="401" spans="17:18" x14ac:dyDescent="0.25">
      <c r="Q401" s="9" t="str">
        <f t="shared" si="23"/>
        <v/>
      </c>
      <c r="R401" s="9" t="str">
        <f t="shared" si="24"/>
        <v/>
      </c>
    </row>
    <row r="402" spans="17:18" x14ac:dyDescent="0.25">
      <c r="Q402" s="9" t="str">
        <f t="shared" si="23"/>
        <v/>
      </c>
      <c r="R402" s="9" t="str">
        <f t="shared" si="24"/>
        <v/>
      </c>
    </row>
    <row r="403" spans="17:18" x14ac:dyDescent="0.25">
      <c r="Q403" s="9" t="str">
        <f t="shared" si="23"/>
        <v/>
      </c>
      <c r="R403" s="9" t="str">
        <f t="shared" si="24"/>
        <v/>
      </c>
    </row>
    <row r="404" spans="17:18" x14ac:dyDescent="0.25">
      <c r="Q404" s="9" t="str">
        <f t="shared" si="23"/>
        <v/>
      </c>
      <c r="R404" s="9" t="str">
        <f t="shared" si="24"/>
        <v/>
      </c>
    </row>
    <row r="405" spans="17:18" x14ac:dyDescent="0.25">
      <c r="Q405" s="9" t="str">
        <f t="shared" si="23"/>
        <v/>
      </c>
      <c r="R405" s="9" t="str">
        <f t="shared" si="24"/>
        <v/>
      </c>
    </row>
    <row r="406" spans="17:18" x14ac:dyDescent="0.25">
      <c r="Q406" s="9" t="str">
        <f t="shared" si="23"/>
        <v/>
      </c>
      <c r="R406" s="9" t="str">
        <f t="shared" si="24"/>
        <v/>
      </c>
    </row>
    <row r="407" spans="17:18" x14ac:dyDescent="0.25">
      <c r="Q407" s="9" t="str">
        <f t="shared" si="23"/>
        <v/>
      </c>
      <c r="R407" s="9" t="str">
        <f t="shared" si="24"/>
        <v/>
      </c>
    </row>
    <row r="408" spans="17:18" x14ac:dyDescent="0.25">
      <c r="Q408" s="9" t="str">
        <f t="shared" si="23"/>
        <v/>
      </c>
      <c r="R408" s="9" t="str">
        <f t="shared" si="24"/>
        <v/>
      </c>
    </row>
    <row r="409" spans="17:18" x14ac:dyDescent="0.25">
      <c r="Q409" s="9" t="str">
        <f t="shared" si="23"/>
        <v/>
      </c>
      <c r="R409" s="9" t="str">
        <f t="shared" si="24"/>
        <v/>
      </c>
    </row>
    <row r="410" spans="17:18" x14ac:dyDescent="0.25">
      <c r="Q410" s="9" t="str">
        <f t="shared" si="23"/>
        <v/>
      </c>
      <c r="R410" s="9" t="str">
        <f t="shared" si="24"/>
        <v/>
      </c>
    </row>
    <row r="411" spans="17:18" x14ac:dyDescent="0.25">
      <c r="Q411" s="9" t="str">
        <f t="shared" si="23"/>
        <v/>
      </c>
      <c r="R411" s="9" t="str">
        <f t="shared" si="24"/>
        <v/>
      </c>
    </row>
    <row r="412" spans="17:18" x14ac:dyDescent="0.25">
      <c r="Q412" s="9" t="str">
        <f t="shared" si="23"/>
        <v/>
      </c>
      <c r="R412" s="9" t="str">
        <f t="shared" si="24"/>
        <v/>
      </c>
    </row>
    <row r="413" spans="17:18" x14ac:dyDescent="0.25">
      <c r="Q413" s="9" t="str">
        <f t="shared" si="23"/>
        <v/>
      </c>
      <c r="R413" s="9" t="str">
        <f t="shared" si="24"/>
        <v/>
      </c>
    </row>
    <row r="414" spans="17:18" x14ac:dyDescent="0.25">
      <c r="Q414" s="9" t="str">
        <f t="shared" si="23"/>
        <v/>
      </c>
      <c r="R414" s="9" t="str">
        <f t="shared" si="24"/>
        <v/>
      </c>
    </row>
    <row r="415" spans="17:18" x14ac:dyDescent="0.25">
      <c r="Q415" s="9" t="str">
        <f t="shared" si="23"/>
        <v/>
      </c>
      <c r="R415" s="9" t="str">
        <f t="shared" si="24"/>
        <v/>
      </c>
    </row>
    <row r="416" spans="17:18" x14ac:dyDescent="0.25">
      <c r="Q416" s="9" t="str">
        <f t="shared" si="23"/>
        <v/>
      </c>
      <c r="R416" s="9" t="str">
        <f t="shared" si="24"/>
        <v/>
      </c>
    </row>
    <row r="417" spans="17:18" x14ac:dyDescent="0.25">
      <c r="Q417" s="9" t="str">
        <f t="shared" si="23"/>
        <v/>
      </c>
      <c r="R417" s="9" t="str">
        <f t="shared" si="24"/>
        <v/>
      </c>
    </row>
    <row r="418" spans="17:18" x14ac:dyDescent="0.25">
      <c r="Q418" s="9" t="str">
        <f t="shared" si="23"/>
        <v/>
      </c>
      <c r="R418" s="9" t="str">
        <f t="shared" si="24"/>
        <v/>
      </c>
    </row>
    <row r="419" spans="17:18" x14ac:dyDescent="0.25">
      <c r="Q419" s="9" t="str">
        <f t="shared" si="23"/>
        <v/>
      </c>
      <c r="R419" s="9" t="str">
        <f t="shared" si="24"/>
        <v/>
      </c>
    </row>
    <row r="420" spans="17:18" x14ac:dyDescent="0.25">
      <c r="Q420" s="9" t="str">
        <f t="shared" si="23"/>
        <v/>
      </c>
      <c r="R420" s="9" t="str">
        <f t="shared" si="24"/>
        <v/>
      </c>
    </row>
    <row r="421" spans="17:18" x14ac:dyDescent="0.25">
      <c r="Q421" s="9" t="str">
        <f t="shared" si="23"/>
        <v/>
      </c>
      <c r="R421" s="9" t="str">
        <f t="shared" si="24"/>
        <v/>
      </c>
    </row>
    <row r="422" spans="17:18" x14ac:dyDescent="0.25">
      <c r="Q422" s="9" t="str">
        <f t="shared" si="23"/>
        <v/>
      </c>
      <c r="R422" s="9" t="str">
        <f t="shared" si="24"/>
        <v/>
      </c>
    </row>
    <row r="423" spans="17:18" x14ac:dyDescent="0.25">
      <c r="Q423" s="9" t="str">
        <f t="shared" si="23"/>
        <v/>
      </c>
      <c r="R423" s="9" t="str">
        <f t="shared" si="24"/>
        <v/>
      </c>
    </row>
    <row r="424" spans="17:18" x14ac:dyDescent="0.25">
      <c r="Q424" s="9" t="str">
        <f t="shared" si="23"/>
        <v/>
      </c>
      <c r="R424" s="9" t="str">
        <f t="shared" si="24"/>
        <v/>
      </c>
    </row>
    <row r="425" spans="17:18" x14ac:dyDescent="0.25">
      <c r="Q425" s="9" t="str">
        <f t="shared" si="23"/>
        <v/>
      </c>
      <c r="R425" s="9" t="str">
        <f t="shared" si="24"/>
        <v/>
      </c>
    </row>
    <row r="426" spans="17:18" x14ac:dyDescent="0.25">
      <c r="Q426" s="9" t="str">
        <f t="shared" si="23"/>
        <v/>
      </c>
      <c r="R426" s="9" t="str">
        <f t="shared" si="24"/>
        <v/>
      </c>
    </row>
    <row r="427" spans="17:18" x14ac:dyDescent="0.25">
      <c r="Q427" s="9" t="str">
        <f t="shared" si="23"/>
        <v/>
      </c>
      <c r="R427" s="9" t="str">
        <f t="shared" si="24"/>
        <v/>
      </c>
    </row>
    <row r="428" spans="17:18" x14ac:dyDescent="0.25">
      <c r="Q428" s="9" t="str">
        <f t="shared" si="23"/>
        <v/>
      </c>
      <c r="R428" s="9" t="str">
        <f t="shared" si="24"/>
        <v/>
      </c>
    </row>
    <row r="429" spans="17:18" x14ac:dyDescent="0.25">
      <c r="Q429" s="9" t="str">
        <f t="shared" si="23"/>
        <v/>
      </c>
      <c r="R429" s="9" t="str">
        <f t="shared" si="24"/>
        <v/>
      </c>
    </row>
    <row r="430" spans="17:18" x14ac:dyDescent="0.25">
      <c r="Q430" s="9" t="str">
        <f t="shared" si="23"/>
        <v/>
      </c>
      <c r="R430" s="9" t="str">
        <f t="shared" si="24"/>
        <v/>
      </c>
    </row>
    <row r="431" spans="17:18" x14ac:dyDescent="0.25">
      <c r="Q431" s="9" t="str">
        <f t="shared" si="23"/>
        <v/>
      </c>
      <c r="R431" s="9" t="str">
        <f t="shared" si="24"/>
        <v/>
      </c>
    </row>
    <row r="432" spans="17:18" x14ac:dyDescent="0.25">
      <c r="Q432" s="9" t="str">
        <f t="shared" si="23"/>
        <v/>
      </c>
      <c r="R432" s="9" t="str">
        <f t="shared" si="24"/>
        <v/>
      </c>
    </row>
    <row r="433" spans="17:18" x14ac:dyDescent="0.25">
      <c r="Q433" s="9" t="str">
        <f t="shared" si="23"/>
        <v/>
      </c>
      <c r="R433" s="9" t="str">
        <f t="shared" si="24"/>
        <v/>
      </c>
    </row>
    <row r="434" spans="17:18" x14ac:dyDescent="0.25">
      <c r="Q434" s="9" t="str">
        <f t="shared" si="23"/>
        <v/>
      </c>
      <c r="R434" s="9" t="str">
        <f t="shared" si="24"/>
        <v/>
      </c>
    </row>
    <row r="435" spans="17:18" x14ac:dyDescent="0.25">
      <c r="Q435" s="9" t="str">
        <f t="shared" si="23"/>
        <v/>
      </c>
      <c r="R435" s="9" t="str">
        <f t="shared" si="24"/>
        <v/>
      </c>
    </row>
    <row r="436" spans="17:18" x14ac:dyDescent="0.25">
      <c r="Q436" s="9" t="str">
        <f t="shared" si="23"/>
        <v/>
      </c>
      <c r="R436" s="9" t="str">
        <f t="shared" si="24"/>
        <v/>
      </c>
    </row>
    <row r="437" spans="17:18" x14ac:dyDescent="0.25">
      <c r="Q437" s="9" t="str">
        <f t="shared" si="23"/>
        <v/>
      </c>
      <c r="R437" s="9" t="str">
        <f t="shared" si="24"/>
        <v/>
      </c>
    </row>
    <row r="438" spans="17:18" x14ac:dyDescent="0.25">
      <c r="Q438" s="9" t="str">
        <f t="shared" si="23"/>
        <v/>
      </c>
      <c r="R438" s="9" t="str">
        <f t="shared" si="24"/>
        <v/>
      </c>
    </row>
    <row r="439" spans="17:18" x14ac:dyDescent="0.25">
      <c r="Q439" s="9" t="str">
        <f t="shared" si="23"/>
        <v/>
      </c>
      <c r="R439" s="9" t="str">
        <f t="shared" si="24"/>
        <v/>
      </c>
    </row>
    <row r="440" spans="17:18" x14ac:dyDescent="0.25">
      <c r="Q440" s="9" t="str">
        <f t="shared" si="23"/>
        <v/>
      </c>
      <c r="R440" s="9" t="str">
        <f t="shared" si="24"/>
        <v/>
      </c>
    </row>
    <row r="441" spans="17:18" x14ac:dyDescent="0.25">
      <c r="Q441" s="9" t="str">
        <f t="shared" si="23"/>
        <v/>
      </c>
      <c r="R441" s="9" t="str">
        <f t="shared" si="24"/>
        <v/>
      </c>
    </row>
    <row r="442" spans="17:18" x14ac:dyDescent="0.25">
      <c r="Q442" s="9" t="str">
        <f t="shared" si="23"/>
        <v/>
      </c>
      <c r="R442" s="9" t="str">
        <f t="shared" si="24"/>
        <v/>
      </c>
    </row>
    <row r="443" spans="17:18" x14ac:dyDescent="0.25">
      <c r="Q443" s="9" t="str">
        <f t="shared" si="23"/>
        <v/>
      </c>
      <c r="R443" s="9" t="str">
        <f t="shared" si="24"/>
        <v/>
      </c>
    </row>
    <row r="444" spans="17:18" x14ac:dyDescent="0.25">
      <c r="Q444" s="9" t="str">
        <f t="shared" si="23"/>
        <v/>
      </c>
      <c r="R444" s="9" t="str">
        <f t="shared" si="24"/>
        <v/>
      </c>
    </row>
    <row r="445" spans="17:18" x14ac:dyDescent="0.25">
      <c r="Q445" s="9" t="str">
        <f t="shared" si="23"/>
        <v/>
      </c>
      <c r="R445" s="9" t="str">
        <f t="shared" si="24"/>
        <v/>
      </c>
    </row>
    <row r="446" spans="17:18" x14ac:dyDescent="0.25">
      <c r="Q446" s="9" t="str">
        <f t="shared" si="23"/>
        <v/>
      </c>
      <c r="R446" s="9" t="str">
        <f t="shared" si="24"/>
        <v/>
      </c>
    </row>
    <row r="447" spans="17:18" x14ac:dyDescent="0.25">
      <c r="Q447" s="9" t="str">
        <f t="shared" si="23"/>
        <v/>
      </c>
      <c r="R447" s="9" t="str">
        <f t="shared" si="24"/>
        <v/>
      </c>
    </row>
    <row r="448" spans="17:18" x14ac:dyDescent="0.25">
      <c r="Q448" s="9" t="str">
        <f t="shared" si="23"/>
        <v/>
      </c>
      <c r="R448" s="9" t="str">
        <f t="shared" si="24"/>
        <v/>
      </c>
    </row>
    <row r="449" spans="17:18" x14ac:dyDescent="0.25">
      <c r="Q449" s="9" t="str">
        <f t="shared" si="23"/>
        <v/>
      </c>
      <c r="R449" s="9" t="str">
        <f t="shared" si="24"/>
        <v/>
      </c>
    </row>
    <row r="450" spans="17:18" x14ac:dyDescent="0.25">
      <c r="Q450" s="9" t="str">
        <f t="shared" si="23"/>
        <v/>
      </c>
      <c r="R450" s="9" t="str">
        <f t="shared" si="24"/>
        <v/>
      </c>
    </row>
    <row r="451" spans="17:18" x14ac:dyDescent="0.25">
      <c r="Q451" s="9" t="str">
        <f t="shared" si="23"/>
        <v/>
      </c>
      <c r="R451" s="9" t="str">
        <f t="shared" si="24"/>
        <v/>
      </c>
    </row>
    <row r="452" spans="17:18" x14ac:dyDescent="0.25">
      <c r="Q452" s="9" t="str">
        <f t="shared" ref="Q452:Q500" si="25">IF($I452="","",IF($P452&lt;&gt;"",$P452,$O452))</f>
        <v/>
      </c>
      <c r="R452" s="9" t="str">
        <f t="shared" ref="R452:R500" si="26">IF($I452="","",IF($Q452="","",$Q452*$L452))</f>
        <v/>
      </c>
    </row>
    <row r="453" spans="17:18" x14ac:dyDescent="0.25">
      <c r="Q453" s="9" t="str">
        <f t="shared" si="25"/>
        <v/>
      </c>
      <c r="R453" s="9" t="str">
        <f t="shared" si="26"/>
        <v/>
      </c>
    </row>
    <row r="454" spans="17:18" x14ac:dyDescent="0.25">
      <c r="Q454" s="9" t="str">
        <f t="shared" si="25"/>
        <v/>
      </c>
      <c r="R454" s="9" t="str">
        <f t="shared" si="26"/>
        <v/>
      </c>
    </row>
    <row r="455" spans="17:18" x14ac:dyDescent="0.25">
      <c r="Q455" s="9" t="str">
        <f t="shared" si="25"/>
        <v/>
      </c>
      <c r="R455" s="9" t="str">
        <f t="shared" si="26"/>
        <v/>
      </c>
    </row>
    <row r="456" spans="17:18" x14ac:dyDescent="0.25">
      <c r="Q456" s="9" t="str">
        <f t="shared" si="25"/>
        <v/>
      </c>
      <c r="R456" s="9" t="str">
        <f t="shared" si="26"/>
        <v/>
      </c>
    </row>
    <row r="457" spans="17:18" x14ac:dyDescent="0.25">
      <c r="Q457" s="9" t="str">
        <f t="shared" si="25"/>
        <v/>
      </c>
      <c r="R457" s="9" t="str">
        <f t="shared" si="26"/>
        <v/>
      </c>
    </row>
    <row r="458" spans="17:18" x14ac:dyDescent="0.25">
      <c r="Q458" s="9" t="str">
        <f t="shared" si="25"/>
        <v/>
      </c>
      <c r="R458" s="9" t="str">
        <f t="shared" si="26"/>
        <v/>
      </c>
    </row>
    <row r="459" spans="17:18" x14ac:dyDescent="0.25">
      <c r="Q459" s="9" t="str">
        <f t="shared" si="25"/>
        <v/>
      </c>
      <c r="R459" s="9" t="str">
        <f t="shared" si="26"/>
        <v/>
      </c>
    </row>
    <row r="460" spans="17:18" x14ac:dyDescent="0.25">
      <c r="Q460" s="9" t="str">
        <f t="shared" si="25"/>
        <v/>
      </c>
      <c r="R460" s="9" t="str">
        <f t="shared" si="26"/>
        <v/>
      </c>
    </row>
    <row r="461" spans="17:18" x14ac:dyDescent="0.25">
      <c r="Q461" s="9" t="str">
        <f t="shared" si="25"/>
        <v/>
      </c>
      <c r="R461" s="9" t="str">
        <f t="shared" si="26"/>
        <v/>
      </c>
    </row>
    <row r="462" spans="17:18" x14ac:dyDescent="0.25">
      <c r="Q462" s="9" t="str">
        <f t="shared" si="25"/>
        <v/>
      </c>
      <c r="R462" s="9" t="str">
        <f t="shared" si="26"/>
        <v/>
      </c>
    </row>
    <row r="463" spans="17:18" x14ac:dyDescent="0.25">
      <c r="Q463" s="9" t="str">
        <f t="shared" si="25"/>
        <v/>
      </c>
      <c r="R463" s="9" t="str">
        <f t="shared" si="26"/>
        <v/>
      </c>
    </row>
    <row r="464" spans="17:18" x14ac:dyDescent="0.25">
      <c r="Q464" s="9" t="str">
        <f t="shared" si="25"/>
        <v/>
      </c>
      <c r="R464" s="9" t="str">
        <f t="shared" si="26"/>
        <v/>
      </c>
    </row>
    <row r="465" spans="17:18" x14ac:dyDescent="0.25">
      <c r="Q465" s="9" t="str">
        <f t="shared" si="25"/>
        <v/>
      </c>
      <c r="R465" s="9" t="str">
        <f t="shared" si="26"/>
        <v/>
      </c>
    </row>
    <row r="466" spans="17:18" x14ac:dyDescent="0.25">
      <c r="Q466" s="9" t="str">
        <f t="shared" si="25"/>
        <v/>
      </c>
      <c r="R466" s="9" t="str">
        <f t="shared" si="26"/>
        <v/>
      </c>
    </row>
    <row r="467" spans="17:18" x14ac:dyDescent="0.25">
      <c r="Q467" s="9" t="str">
        <f t="shared" si="25"/>
        <v/>
      </c>
      <c r="R467" s="9" t="str">
        <f t="shared" si="26"/>
        <v/>
      </c>
    </row>
    <row r="468" spans="17:18" x14ac:dyDescent="0.25">
      <c r="Q468" s="9" t="str">
        <f t="shared" si="25"/>
        <v/>
      </c>
      <c r="R468" s="9" t="str">
        <f t="shared" si="26"/>
        <v/>
      </c>
    </row>
    <row r="469" spans="17:18" x14ac:dyDescent="0.25">
      <c r="Q469" s="9" t="str">
        <f t="shared" si="25"/>
        <v/>
      </c>
      <c r="R469" s="9" t="str">
        <f t="shared" si="26"/>
        <v/>
      </c>
    </row>
    <row r="470" spans="17:18" x14ac:dyDescent="0.25">
      <c r="Q470" s="9" t="str">
        <f t="shared" si="25"/>
        <v/>
      </c>
      <c r="R470" s="9" t="str">
        <f t="shared" si="26"/>
        <v/>
      </c>
    </row>
    <row r="471" spans="17:18" x14ac:dyDescent="0.25">
      <c r="Q471" s="9" t="str">
        <f t="shared" si="25"/>
        <v/>
      </c>
      <c r="R471" s="9" t="str">
        <f t="shared" si="26"/>
        <v/>
      </c>
    </row>
    <row r="472" spans="17:18" x14ac:dyDescent="0.25">
      <c r="Q472" s="9" t="str">
        <f t="shared" si="25"/>
        <v/>
      </c>
      <c r="R472" s="9" t="str">
        <f t="shared" si="26"/>
        <v/>
      </c>
    </row>
    <row r="473" spans="17:18" x14ac:dyDescent="0.25">
      <c r="Q473" s="9" t="str">
        <f t="shared" si="25"/>
        <v/>
      </c>
      <c r="R473" s="9" t="str">
        <f t="shared" si="26"/>
        <v/>
      </c>
    </row>
    <row r="474" spans="17:18" x14ac:dyDescent="0.25">
      <c r="Q474" s="9" t="str">
        <f t="shared" si="25"/>
        <v/>
      </c>
      <c r="R474" s="9" t="str">
        <f t="shared" si="26"/>
        <v/>
      </c>
    </row>
    <row r="475" spans="17:18" x14ac:dyDescent="0.25">
      <c r="Q475" s="9" t="str">
        <f t="shared" si="25"/>
        <v/>
      </c>
      <c r="R475" s="9" t="str">
        <f t="shared" si="26"/>
        <v/>
      </c>
    </row>
    <row r="476" spans="17:18" x14ac:dyDescent="0.25">
      <c r="Q476" s="9" t="str">
        <f t="shared" si="25"/>
        <v/>
      </c>
      <c r="R476" s="9" t="str">
        <f t="shared" si="26"/>
        <v/>
      </c>
    </row>
    <row r="477" spans="17:18" x14ac:dyDescent="0.25">
      <c r="Q477" s="9" t="str">
        <f t="shared" si="25"/>
        <v/>
      </c>
      <c r="R477" s="9" t="str">
        <f t="shared" si="26"/>
        <v/>
      </c>
    </row>
    <row r="478" spans="17:18" x14ac:dyDescent="0.25">
      <c r="Q478" s="9" t="str">
        <f t="shared" si="25"/>
        <v/>
      </c>
      <c r="R478" s="9" t="str">
        <f t="shared" si="26"/>
        <v/>
      </c>
    </row>
    <row r="479" spans="17:18" x14ac:dyDescent="0.25">
      <c r="Q479" s="9" t="str">
        <f t="shared" si="25"/>
        <v/>
      </c>
      <c r="R479" s="9" t="str">
        <f t="shared" si="26"/>
        <v/>
      </c>
    </row>
    <row r="480" spans="17:18" x14ac:dyDescent="0.25">
      <c r="Q480" s="9" t="str">
        <f t="shared" si="25"/>
        <v/>
      </c>
      <c r="R480" s="9" t="str">
        <f t="shared" si="26"/>
        <v/>
      </c>
    </row>
    <row r="481" spans="17:18" x14ac:dyDescent="0.25">
      <c r="Q481" s="9" t="str">
        <f t="shared" si="25"/>
        <v/>
      </c>
      <c r="R481" s="9" t="str">
        <f t="shared" si="26"/>
        <v/>
      </c>
    </row>
    <row r="482" spans="17:18" x14ac:dyDescent="0.25">
      <c r="Q482" s="9" t="str">
        <f t="shared" si="25"/>
        <v/>
      </c>
      <c r="R482" s="9" t="str">
        <f t="shared" si="26"/>
        <v/>
      </c>
    </row>
    <row r="483" spans="17:18" x14ac:dyDescent="0.25">
      <c r="Q483" s="9" t="str">
        <f t="shared" si="25"/>
        <v/>
      </c>
      <c r="R483" s="9" t="str">
        <f t="shared" si="26"/>
        <v/>
      </c>
    </row>
    <row r="484" spans="17:18" x14ac:dyDescent="0.25">
      <c r="Q484" s="9" t="str">
        <f t="shared" si="25"/>
        <v/>
      </c>
      <c r="R484" s="9" t="str">
        <f t="shared" si="26"/>
        <v/>
      </c>
    </row>
    <row r="485" spans="17:18" x14ac:dyDescent="0.25">
      <c r="Q485" s="9" t="str">
        <f t="shared" si="25"/>
        <v/>
      </c>
      <c r="R485" s="9" t="str">
        <f t="shared" si="26"/>
        <v/>
      </c>
    </row>
    <row r="486" spans="17:18" x14ac:dyDescent="0.25">
      <c r="Q486" s="9" t="str">
        <f t="shared" si="25"/>
        <v/>
      </c>
      <c r="R486" s="9" t="str">
        <f t="shared" si="26"/>
        <v/>
      </c>
    </row>
    <row r="487" spans="17:18" x14ac:dyDescent="0.25">
      <c r="Q487" s="9" t="str">
        <f t="shared" si="25"/>
        <v/>
      </c>
      <c r="R487" s="9" t="str">
        <f t="shared" si="26"/>
        <v/>
      </c>
    </row>
    <row r="488" spans="17:18" x14ac:dyDescent="0.25">
      <c r="Q488" s="9" t="str">
        <f t="shared" si="25"/>
        <v/>
      </c>
      <c r="R488" s="9" t="str">
        <f t="shared" si="26"/>
        <v/>
      </c>
    </row>
    <row r="489" spans="17:18" x14ac:dyDescent="0.25">
      <c r="Q489" s="9" t="str">
        <f t="shared" si="25"/>
        <v/>
      </c>
      <c r="R489" s="9" t="str">
        <f t="shared" si="26"/>
        <v/>
      </c>
    </row>
    <row r="490" spans="17:18" x14ac:dyDescent="0.25">
      <c r="Q490" s="9" t="str">
        <f t="shared" si="25"/>
        <v/>
      </c>
      <c r="R490" s="9" t="str">
        <f t="shared" si="26"/>
        <v/>
      </c>
    </row>
    <row r="491" spans="17:18" x14ac:dyDescent="0.25">
      <c r="Q491" s="9" t="str">
        <f t="shared" si="25"/>
        <v/>
      </c>
      <c r="R491" s="9" t="str">
        <f t="shared" si="26"/>
        <v/>
      </c>
    </row>
    <row r="492" spans="17:18" x14ac:dyDescent="0.25">
      <c r="Q492" s="9" t="str">
        <f t="shared" si="25"/>
        <v/>
      </c>
      <c r="R492" s="9" t="str">
        <f t="shared" si="26"/>
        <v/>
      </c>
    </row>
    <row r="493" spans="17:18" x14ac:dyDescent="0.25">
      <c r="Q493" s="9" t="str">
        <f t="shared" si="25"/>
        <v/>
      </c>
      <c r="R493" s="9" t="str">
        <f t="shared" si="26"/>
        <v/>
      </c>
    </row>
    <row r="494" spans="17:18" x14ac:dyDescent="0.25">
      <c r="Q494" s="9" t="str">
        <f t="shared" si="25"/>
        <v/>
      </c>
      <c r="R494" s="9" t="str">
        <f t="shared" si="26"/>
        <v/>
      </c>
    </row>
    <row r="495" spans="17:18" x14ac:dyDescent="0.25">
      <c r="Q495" s="9" t="str">
        <f t="shared" si="25"/>
        <v/>
      </c>
      <c r="R495" s="9" t="str">
        <f t="shared" si="26"/>
        <v/>
      </c>
    </row>
    <row r="496" spans="17:18" x14ac:dyDescent="0.25">
      <c r="Q496" s="9" t="str">
        <f t="shared" si="25"/>
        <v/>
      </c>
      <c r="R496" s="9" t="str">
        <f t="shared" si="26"/>
        <v/>
      </c>
    </row>
    <row r="497" spans="17:18" x14ac:dyDescent="0.25">
      <c r="Q497" s="9" t="str">
        <f t="shared" si="25"/>
        <v/>
      </c>
      <c r="R497" s="9" t="str">
        <f t="shared" si="26"/>
        <v/>
      </c>
    </row>
    <row r="498" spans="17:18" x14ac:dyDescent="0.25">
      <c r="Q498" s="9" t="str">
        <f t="shared" si="25"/>
        <v/>
      </c>
      <c r="R498" s="9" t="str">
        <f t="shared" si="26"/>
        <v/>
      </c>
    </row>
    <row r="499" spans="17:18" x14ac:dyDescent="0.25">
      <c r="Q499" s="9" t="str">
        <f t="shared" si="25"/>
        <v/>
      </c>
      <c r="R499" s="9" t="str">
        <f t="shared" si="26"/>
        <v/>
      </c>
    </row>
    <row r="500" spans="17:18" x14ac:dyDescent="0.25">
      <c r="Q500" s="9" t="str">
        <f t="shared" si="25"/>
        <v/>
      </c>
      <c r="R500" s="9" t="str">
        <f t="shared" si="26"/>
        <v/>
      </c>
    </row>
  </sheetData>
  <mergeCells count="1">
    <mergeCell ref="A1:B1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332A5-700F-4F48-9D1D-58A34D80FDCB}">
  <sheetPr codeName="Sheet12"/>
  <dimension ref="A1:AK49"/>
  <sheetViews>
    <sheetView zoomScale="75" zoomScaleNormal="75" workbookViewId="0">
      <pane ySplit="49" topLeftCell="A50" activePane="bottomLeft" state="frozen"/>
      <selection pane="bottomLeft" activeCell="S21" sqref="S21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23" t="str" cm="1">
        <f t="array" aca="1" ref="A1" ca="1">IFERROR(MID(CELL("filename",$A$1),FIND("]",CELL("filename",$A$1))+1,99),"SXX")</f>
        <v>S01</v>
      </c>
      <c r="B1" s="23"/>
      <c r="C1" s="23"/>
      <c r="E1" s="21" t="str" cm="1">
        <f t="array" aca="1" ref="E1" ca="1">IFERROR(MID(CELL("filename",$A$1),FIND("]",CELL("filename",$A$1))+1,99),"SXX")&amp;" MATERIALS (USAGE + STANDALONE)"</f>
        <v>S01 MATERIALS (USAGE + STANDALONE)</v>
      </c>
      <c r="F1" s="21"/>
      <c r="G1" s="21"/>
      <c r="H1" s="21"/>
      <c r="I1" s="21"/>
      <c r="J1" s="21"/>
      <c r="K1" s="21"/>
      <c r="L1" s="14"/>
      <c r="M1" s="14"/>
      <c r="N1" s="20">
        <f>SUM(N3:N49)</f>
        <v>2900.9700000000003</v>
      </c>
      <c r="P1" s="21" t="str" cm="1">
        <f t="array" aca="1" ref="P1" ca="1">IFERROR(MID(CELL("filename",$A$1),FIND("]",CELL("filename",$A$1))+1,99),"SXX")&amp;" LABOUR (USAGE + STANDALONE)"</f>
        <v>S01 LABOUR (USAGE + STANDALONE)</v>
      </c>
      <c r="Q1" s="21"/>
      <c r="R1" s="21"/>
      <c r="S1" s="21"/>
      <c r="T1" s="21"/>
      <c r="U1" s="21"/>
      <c r="V1" s="21"/>
      <c r="Y1" s="20">
        <f>SUM(Y3:Y49)</f>
        <v>3150</v>
      </c>
      <c r="AA1" s="24" t="str" cm="1">
        <f t="array" aca="1" ref="AA1" ca="1">IFERROR(MID(CELL("filename",$A$1),FIND("]",CELL("filename",$A$1))+1,99),"SXX")&amp;" RENTAL / SERVICE (USAGE + STANDALONE)"</f>
        <v>S01 RENTAL / SERVICE (USAGE + STANDALONE)</v>
      </c>
      <c r="AB1" s="24"/>
      <c r="AC1" s="24"/>
      <c r="AD1" s="24"/>
      <c r="AE1" s="24"/>
      <c r="AF1" s="24"/>
      <c r="AG1" s="24"/>
      <c r="AH1" s="6"/>
      <c r="AI1" s="6"/>
      <c r="AJ1" s="20">
        <f>SUM(AJ3:AJ49)</f>
        <v>400</v>
      </c>
    </row>
    <row r="2" spans="1:37" s="2" customFormat="1" x14ac:dyDescent="0.25">
      <c r="A2" s="4" t="s">
        <v>0</v>
      </c>
      <c r="B2" s="4" t="s">
        <v>3</v>
      </c>
      <c r="C2" s="4" t="s">
        <v>6</v>
      </c>
      <c r="D2" s="1"/>
      <c r="E2" s="2" t="s">
        <v>6</v>
      </c>
      <c r="F2" s="2" t="s">
        <v>0</v>
      </c>
      <c r="G2" s="2" t="s">
        <v>0</v>
      </c>
      <c r="H2" s="2" t="s">
        <v>3</v>
      </c>
      <c r="I2" s="2" t="s">
        <v>6</v>
      </c>
      <c r="J2" s="2" t="s">
        <v>5</v>
      </c>
      <c r="K2" s="2" t="s">
        <v>4</v>
      </c>
      <c r="L2" s="2" t="s">
        <v>15</v>
      </c>
      <c r="M2" s="2" t="s">
        <v>16</v>
      </c>
      <c r="N2" s="2" t="s">
        <v>17</v>
      </c>
      <c r="O2" s="1"/>
      <c r="P2" s="2" t="s">
        <v>6</v>
      </c>
      <c r="Q2" s="2" t="s">
        <v>0</v>
      </c>
      <c r="R2" s="2" t="s">
        <v>18</v>
      </c>
      <c r="S2" s="2" t="s">
        <v>1</v>
      </c>
      <c r="T2" s="2" t="s">
        <v>14</v>
      </c>
      <c r="U2" s="2" t="s">
        <v>5</v>
      </c>
      <c r="V2" s="2" t="s">
        <v>19</v>
      </c>
      <c r="W2" s="2" t="s">
        <v>15</v>
      </c>
      <c r="X2" s="2" t="s">
        <v>16</v>
      </c>
      <c r="Y2" s="2" t="s">
        <v>17</v>
      </c>
      <c r="Z2" s="5"/>
      <c r="AA2" s="7" t="s">
        <v>6</v>
      </c>
      <c r="AB2" s="2" t="s">
        <v>0</v>
      </c>
      <c r="AC2" s="2" t="s">
        <v>18</v>
      </c>
      <c r="AD2" s="2" t="s">
        <v>1</v>
      </c>
      <c r="AE2" s="2" t="s">
        <v>14</v>
      </c>
      <c r="AF2" s="2" t="s">
        <v>5</v>
      </c>
      <c r="AG2" s="2" t="s">
        <v>19</v>
      </c>
      <c r="AH2" s="2" t="s">
        <v>15</v>
      </c>
      <c r="AI2" s="2" t="s">
        <v>16</v>
      </c>
      <c r="AJ2" s="2" t="s">
        <v>17</v>
      </c>
      <c r="AK2" s="1"/>
    </row>
    <row r="3" spans="1:37" x14ac:dyDescent="0.25">
      <c r="A3" s="3" t="s">
        <v>262</v>
      </c>
      <c r="B3" s="3" t="s">
        <v>263</v>
      </c>
      <c r="C3" s="3" t="s">
        <v>264</v>
      </c>
      <c r="E3" t="s">
        <v>298</v>
      </c>
      <c r="F3" t="s">
        <v>289</v>
      </c>
      <c r="G3" t="s">
        <v>8</v>
      </c>
      <c r="H3" t="s">
        <v>9</v>
      </c>
      <c r="I3">
        <v>25</v>
      </c>
      <c r="J3">
        <v>0.08</v>
      </c>
      <c r="K3">
        <v>6.5</v>
      </c>
      <c r="L3" s="8">
        <f t="shared" ref="L3:L49" si="0">IF($G3="","",$I3*(1+IF($J3="",0,$J3)))</f>
        <v>27</v>
      </c>
      <c r="M3" s="8">
        <f t="shared" ref="M3:M49" si="1">IF($G3="","",$L3)</f>
        <v>27</v>
      </c>
      <c r="N3" s="8">
        <f t="shared" ref="N3:N49" si="2">IF($G3="","",IF($K3="","",$M3*$K3))</f>
        <v>175.5</v>
      </c>
      <c r="P3" t="s">
        <v>350</v>
      </c>
      <c r="Q3" t="s">
        <v>265</v>
      </c>
      <c r="R3" t="s">
        <v>35</v>
      </c>
      <c r="S3" t="s">
        <v>36</v>
      </c>
      <c r="T3">
        <v>80</v>
      </c>
      <c r="U3">
        <v>0</v>
      </c>
      <c r="V3">
        <v>22.5</v>
      </c>
      <c r="W3" s="8">
        <f>IF($R3="","",$T3*(1+IF($U3="",0,$U3)))</f>
        <v>80</v>
      </c>
      <c r="X3" s="8">
        <f>IF($R3="","",$W3)</f>
        <v>80</v>
      </c>
      <c r="Y3" s="8">
        <f>IF($R3="","",IF($V3="","",$X3*$V3))</f>
        <v>1800</v>
      </c>
      <c r="AA3" s="6" t="s">
        <v>354</v>
      </c>
      <c r="AB3" t="s">
        <v>355</v>
      </c>
      <c r="AC3" t="s">
        <v>12</v>
      </c>
      <c r="AD3" t="s">
        <v>13</v>
      </c>
      <c r="AE3">
        <v>2</v>
      </c>
      <c r="AF3">
        <v>0</v>
      </c>
      <c r="AG3">
        <v>200</v>
      </c>
      <c r="AH3" s="8">
        <f>IF($AC3="","",$AE3*(1+IF($AF3="",0,$AF3)))</f>
        <v>2</v>
      </c>
      <c r="AI3" s="8">
        <f>IF($AC3="","",$AH3)</f>
        <v>2</v>
      </c>
      <c r="AJ3" s="8">
        <f>IF($AC3="","",IF($AG3="","",$AI3*$AG3))</f>
        <v>400</v>
      </c>
    </row>
    <row r="4" spans="1:37" x14ac:dyDescent="0.25">
      <c r="A4" s="3" t="s">
        <v>265</v>
      </c>
      <c r="B4" s="3" t="s">
        <v>266</v>
      </c>
      <c r="C4" s="3" t="s">
        <v>267</v>
      </c>
      <c r="E4" t="s">
        <v>299</v>
      </c>
      <c r="F4" t="s">
        <v>292</v>
      </c>
      <c r="G4" t="s">
        <v>300</v>
      </c>
      <c r="H4" t="s">
        <v>9</v>
      </c>
      <c r="I4">
        <v>125</v>
      </c>
      <c r="J4">
        <v>0.12</v>
      </c>
      <c r="K4">
        <v>3</v>
      </c>
      <c r="L4" s="8">
        <f t="shared" si="0"/>
        <v>140</v>
      </c>
      <c r="M4" s="8">
        <f t="shared" si="1"/>
        <v>140</v>
      </c>
      <c r="N4" s="8">
        <f t="shared" si="2"/>
        <v>420</v>
      </c>
      <c r="P4" t="s">
        <v>351</v>
      </c>
      <c r="Q4" t="s">
        <v>265</v>
      </c>
      <c r="R4" t="s">
        <v>37</v>
      </c>
      <c r="S4" t="s">
        <v>36</v>
      </c>
      <c r="T4">
        <v>80</v>
      </c>
      <c r="U4">
        <v>0</v>
      </c>
      <c r="V4">
        <v>16.25</v>
      </c>
      <c r="W4" s="8">
        <f t="shared" ref="W4:W49" si="3">IF($R4="","",$T4*(1+IF($U4="",0,$U4)))</f>
        <v>80</v>
      </c>
      <c r="X4" s="8">
        <f t="shared" ref="X4:X49" si="4">IF($R4="","",$W4)</f>
        <v>80</v>
      </c>
      <c r="Y4" s="8">
        <f t="shared" ref="Y4:Y49" si="5">IF($R4="","",IF($V4="","",$X4*$V4))</f>
        <v>1300</v>
      </c>
      <c r="AA4" s="6" t="s">
        <v>356</v>
      </c>
      <c r="AB4" t="s">
        <v>355</v>
      </c>
      <c r="AC4" t="s">
        <v>12</v>
      </c>
      <c r="AD4" t="s">
        <v>13</v>
      </c>
      <c r="AE4">
        <v>0</v>
      </c>
      <c r="AF4">
        <v>0</v>
      </c>
      <c r="AG4">
        <v>200</v>
      </c>
      <c r="AH4" s="8">
        <f t="shared" ref="AH4:AH49" si="6">IF($AC4="","",$AE4*(1+IF($AF4="",0,$AF4)))</f>
        <v>0</v>
      </c>
      <c r="AI4" s="8">
        <f t="shared" ref="AI4:AI49" si="7">IF($AC4="","",$AH4)</f>
        <v>0</v>
      </c>
      <c r="AJ4" s="8">
        <f t="shared" ref="AJ4:AJ49" si="8">IF($AC4="","",IF($AG4="","",$AI4*$AG4))</f>
        <v>0</v>
      </c>
    </row>
    <row r="5" spans="1:37" x14ac:dyDescent="0.25">
      <c r="A5" s="3" t="s">
        <v>268</v>
      </c>
      <c r="B5" s="3" t="s">
        <v>269</v>
      </c>
      <c r="C5" s="3" t="s">
        <v>270</v>
      </c>
      <c r="E5" t="s">
        <v>301</v>
      </c>
      <c r="F5" t="s">
        <v>292</v>
      </c>
      <c r="G5" t="s">
        <v>302</v>
      </c>
      <c r="H5" t="s">
        <v>10</v>
      </c>
      <c r="I5">
        <v>5</v>
      </c>
      <c r="J5">
        <v>0.1</v>
      </c>
      <c r="K5">
        <v>25</v>
      </c>
      <c r="L5" s="8">
        <f t="shared" si="0"/>
        <v>5.5</v>
      </c>
      <c r="M5" s="8">
        <f t="shared" si="1"/>
        <v>5.5</v>
      </c>
      <c r="N5" s="8">
        <f t="shared" si="2"/>
        <v>137.5</v>
      </c>
      <c r="P5" t="s">
        <v>352</v>
      </c>
      <c r="Q5" t="s">
        <v>277</v>
      </c>
      <c r="R5" t="s">
        <v>353</v>
      </c>
      <c r="S5" t="s">
        <v>9</v>
      </c>
      <c r="T5">
        <v>2</v>
      </c>
      <c r="U5">
        <v>0</v>
      </c>
      <c r="V5">
        <v>25</v>
      </c>
      <c r="W5" s="8">
        <f t="shared" si="3"/>
        <v>2</v>
      </c>
      <c r="X5" s="8">
        <f t="shared" si="4"/>
        <v>2</v>
      </c>
      <c r="Y5" s="8">
        <f t="shared" si="5"/>
        <v>50</v>
      </c>
      <c r="AH5" s="8" t="str">
        <f t="shared" si="6"/>
        <v/>
      </c>
      <c r="AI5" s="8" t="str">
        <f t="shared" si="7"/>
        <v/>
      </c>
      <c r="AJ5" s="8" t="str">
        <f t="shared" si="8"/>
        <v/>
      </c>
    </row>
    <row r="6" spans="1:37" x14ac:dyDescent="0.25">
      <c r="A6" s="3" t="s">
        <v>271</v>
      </c>
      <c r="B6" s="3" t="s">
        <v>272</v>
      </c>
      <c r="C6" s="3" t="s">
        <v>273</v>
      </c>
      <c r="E6" t="s">
        <v>303</v>
      </c>
      <c r="F6" t="s">
        <v>292</v>
      </c>
      <c r="G6" t="s">
        <v>304</v>
      </c>
      <c r="H6" t="s">
        <v>10</v>
      </c>
      <c r="I6">
        <v>4</v>
      </c>
      <c r="J6">
        <v>0.1</v>
      </c>
      <c r="K6">
        <v>18</v>
      </c>
      <c r="L6" s="8">
        <f t="shared" si="0"/>
        <v>4.4000000000000004</v>
      </c>
      <c r="M6" s="8">
        <f t="shared" si="1"/>
        <v>4.4000000000000004</v>
      </c>
      <c r="N6" s="8">
        <f t="shared" si="2"/>
        <v>79.2</v>
      </c>
      <c r="W6" s="8" t="str">
        <f t="shared" si="3"/>
        <v/>
      </c>
      <c r="X6" s="8" t="str">
        <f t="shared" si="4"/>
        <v/>
      </c>
      <c r="Y6" s="8" t="str">
        <f t="shared" si="5"/>
        <v/>
      </c>
      <c r="AH6" s="8" t="str">
        <f t="shared" si="6"/>
        <v/>
      </c>
      <c r="AI6" s="8" t="str">
        <f t="shared" si="7"/>
        <v/>
      </c>
      <c r="AJ6" s="8" t="str">
        <f t="shared" si="8"/>
        <v/>
      </c>
    </row>
    <row r="7" spans="1:37" x14ac:dyDescent="0.25">
      <c r="A7" s="3" t="s">
        <v>274</v>
      </c>
      <c r="B7" s="3" t="s">
        <v>275</v>
      </c>
      <c r="C7" s="3" t="s">
        <v>276</v>
      </c>
      <c r="E7" t="s">
        <v>305</v>
      </c>
      <c r="F7" t="s">
        <v>283</v>
      </c>
      <c r="G7" t="s">
        <v>306</v>
      </c>
      <c r="H7" t="s">
        <v>307</v>
      </c>
      <c r="I7">
        <v>3</v>
      </c>
      <c r="J7">
        <v>0</v>
      </c>
      <c r="K7">
        <v>80</v>
      </c>
      <c r="L7" s="8">
        <f t="shared" si="0"/>
        <v>3</v>
      </c>
      <c r="M7" s="8">
        <f t="shared" si="1"/>
        <v>3</v>
      </c>
      <c r="N7" s="8">
        <f t="shared" si="2"/>
        <v>240</v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H7" s="8" t="str">
        <f t="shared" si="6"/>
        <v/>
      </c>
      <c r="AI7" s="8" t="str">
        <f t="shared" si="7"/>
        <v/>
      </c>
      <c r="AJ7" s="8" t="str">
        <f t="shared" si="8"/>
        <v/>
      </c>
    </row>
    <row r="8" spans="1:37" x14ac:dyDescent="0.25">
      <c r="A8" s="3" t="s">
        <v>277</v>
      </c>
      <c r="B8" s="3" t="s">
        <v>278</v>
      </c>
      <c r="C8" s="3" t="s">
        <v>279</v>
      </c>
      <c r="E8" t="s">
        <v>308</v>
      </c>
      <c r="F8" t="s">
        <v>271</v>
      </c>
      <c r="G8" t="s">
        <v>309</v>
      </c>
      <c r="H8" t="s">
        <v>9</v>
      </c>
      <c r="I8">
        <v>80</v>
      </c>
      <c r="J8">
        <v>0.1</v>
      </c>
      <c r="K8">
        <v>0.27</v>
      </c>
      <c r="L8" s="8">
        <f t="shared" si="0"/>
        <v>88</v>
      </c>
      <c r="M8" s="8">
        <f t="shared" si="1"/>
        <v>88</v>
      </c>
      <c r="N8" s="8">
        <f t="shared" si="2"/>
        <v>23.76</v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A9" s="3" t="s">
        <v>280</v>
      </c>
      <c r="B9" s="3" t="s">
        <v>281</v>
      </c>
      <c r="C9" s="3" t="s">
        <v>282</v>
      </c>
      <c r="E9" t="s">
        <v>310</v>
      </c>
      <c r="F9" t="s">
        <v>271</v>
      </c>
      <c r="G9" t="s">
        <v>311</v>
      </c>
      <c r="H9" t="s">
        <v>312</v>
      </c>
      <c r="I9">
        <v>10</v>
      </c>
      <c r="J9">
        <v>0.1</v>
      </c>
      <c r="K9">
        <v>24</v>
      </c>
      <c r="L9" s="8">
        <f t="shared" si="0"/>
        <v>11</v>
      </c>
      <c r="M9" s="8">
        <f t="shared" si="1"/>
        <v>11</v>
      </c>
      <c r="N9" s="8">
        <f t="shared" si="2"/>
        <v>264</v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A10" s="3" t="s">
        <v>283</v>
      </c>
      <c r="B10" s="3" t="s">
        <v>284</v>
      </c>
      <c r="C10" s="3" t="s">
        <v>285</v>
      </c>
      <c r="E10" t="s">
        <v>310</v>
      </c>
      <c r="F10" t="s">
        <v>271</v>
      </c>
      <c r="G10" t="s">
        <v>313</v>
      </c>
      <c r="H10" t="s">
        <v>314</v>
      </c>
      <c r="I10">
        <v>2</v>
      </c>
      <c r="J10">
        <v>0.1</v>
      </c>
      <c r="K10">
        <v>70</v>
      </c>
      <c r="L10" s="8">
        <f t="shared" si="0"/>
        <v>2.2000000000000002</v>
      </c>
      <c r="M10" s="8">
        <f t="shared" si="1"/>
        <v>2.2000000000000002</v>
      </c>
      <c r="N10" s="8">
        <f t="shared" si="2"/>
        <v>154</v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A11" s="3" t="s">
        <v>286</v>
      </c>
      <c r="B11" s="3" t="s">
        <v>287</v>
      </c>
      <c r="C11" s="3" t="s">
        <v>288</v>
      </c>
      <c r="E11" t="s">
        <v>315</v>
      </c>
      <c r="F11" t="s">
        <v>277</v>
      </c>
      <c r="G11" t="s">
        <v>316</v>
      </c>
      <c r="H11" t="s">
        <v>9</v>
      </c>
      <c r="I11">
        <v>2</v>
      </c>
      <c r="J11">
        <v>0.1</v>
      </c>
      <c r="K11">
        <v>14.8</v>
      </c>
      <c r="L11" s="8">
        <f t="shared" si="0"/>
        <v>2.2000000000000002</v>
      </c>
      <c r="M11" s="8">
        <f t="shared" si="1"/>
        <v>2.2000000000000002</v>
      </c>
      <c r="N11" s="8">
        <f t="shared" si="2"/>
        <v>32.56</v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A12" s="3" t="s">
        <v>289</v>
      </c>
      <c r="B12" s="3" t="s">
        <v>290</v>
      </c>
      <c r="C12" s="3" t="s">
        <v>291</v>
      </c>
      <c r="E12" t="s">
        <v>317</v>
      </c>
      <c r="F12" t="s">
        <v>277</v>
      </c>
      <c r="G12" t="s">
        <v>318</v>
      </c>
      <c r="H12" t="s">
        <v>9</v>
      </c>
      <c r="I12">
        <v>15</v>
      </c>
      <c r="J12">
        <v>0.1</v>
      </c>
      <c r="K12">
        <v>2.2999999999999998</v>
      </c>
      <c r="L12" s="8">
        <f t="shared" si="0"/>
        <v>16.5</v>
      </c>
      <c r="M12" s="8">
        <f t="shared" si="1"/>
        <v>16.5</v>
      </c>
      <c r="N12" s="8">
        <f t="shared" si="2"/>
        <v>37.949999999999996</v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A13" s="3" t="s">
        <v>292</v>
      </c>
      <c r="B13" s="3" t="s">
        <v>293</v>
      </c>
      <c r="C13" s="3" t="s">
        <v>294</v>
      </c>
      <c r="E13" t="s">
        <v>319</v>
      </c>
      <c r="F13" t="s">
        <v>277</v>
      </c>
      <c r="G13" t="s">
        <v>320</v>
      </c>
      <c r="H13" t="s">
        <v>41</v>
      </c>
      <c r="I13">
        <v>1</v>
      </c>
      <c r="J13">
        <v>0</v>
      </c>
      <c r="K13">
        <v>17.2</v>
      </c>
      <c r="L13" s="8">
        <f t="shared" si="0"/>
        <v>1</v>
      </c>
      <c r="M13" s="8">
        <f t="shared" si="1"/>
        <v>1</v>
      </c>
      <c r="N13" s="8">
        <f t="shared" si="2"/>
        <v>17.2</v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A14" s="3" t="s">
        <v>295</v>
      </c>
      <c r="B14" s="3" t="s">
        <v>296</v>
      </c>
      <c r="C14" s="3" t="s">
        <v>297</v>
      </c>
      <c r="E14" t="s">
        <v>321</v>
      </c>
      <c r="F14" t="s">
        <v>277</v>
      </c>
      <c r="G14" t="s">
        <v>322</v>
      </c>
      <c r="H14" t="s">
        <v>10</v>
      </c>
      <c r="I14">
        <v>1</v>
      </c>
      <c r="J14">
        <v>0</v>
      </c>
      <c r="K14">
        <v>16.5</v>
      </c>
      <c r="L14" s="8">
        <f t="shared" si="0"/>
        <v>1</v>
      </c>
      <c r="M14" s="8">
        <f t="shared" si="1"/>
        <v>1</v>
      </c>
      <c r="N14" s="8">
        <f t="shared" si="2"/>
        <v>16.5</v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E15" t="s">
        <v>323</v>
      </c>
      <c r="F15" t="s">
        <v>277</v>
      </c>
      <c r="G15" t="s">
        <v>324</v>
      </c>
      <c r="H15" t="s">
        <v>10</v>
      </c>
      <c r="I15">
        <v>1</v>
      </c>
      <c r="J15">
        <v>0</v>
      </c>
      <c r="K15">
        <v>16</v>
      </c>
      <c r="L15" s="8">
        <f t="shared" si="0"/>
        <v>1</v>
      </c>
      <c r="M15" s="8">
        <f t="shared" si="1"/>
        <v>1</v>
      </c>
      <c r="N15" s="8">
        <f t="shared" si="2"/>
        <v>16</v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E16" t="s">
        <v>325</v>
      </c>
      <c r="F16" t="s">
        <v>277</v>
      </c>
      <c r="G16" t="s">
        <v>326</v>
      </c>
      <c r="H16" t="s">
        <v>34</v>
      </c>
      <c r="I16">
        <v>1</v>
      </c>
      <c r="J16">
        <v>0</v>
      </c>
      <c r="K16">
        <v>95</v>
      </c>
      <c r="L16" s="8">
        <f t="shared" si="0"/>
        <v>1</v>
      </c>
      <c r="M16" s="8">
        <f t="shared" si="1"/>
        <v>1</v>
      </c>
      <c r="N16" s="8">
        <f t="shared" si="2"/>
        <v>95</v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E17" t="s">
        <v>327</v>
      </c>
      <c r="F17" t="s">
        <v>277</v>
      </c>
      <c r="G17" t="s">
        <v>328</v>
      </c>
      <c r="H17" t="s">
        <v>34</v>
      </c>
      <c r="I17">
        <v>1</v>
      </c>
      <c r="J17">
        <v>0</v>
      </c>
      <c r="K17">
        <v>85</v>
      </c>
      <c r="L17" s="8">
        <f t="shared" si="0"/>
        <v>1</v>
      </c>
      <c r="M17" s="8">
        <f t="shared" si="1"/>
        <v>1</v>
      </c>
      <c r="N17" s="8">
        <f t="shared" si="2"/>
        <v>85</v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E18" t="s">
        <v>329</v>
      </c>
      <c r="F18" t="s">
        <v>277</v>
      </c>
      <c r="G18" t="s">
        <v>330</v>
      </c>
      <c r="H18" t="s">
        <v>9</v>
      </c>
      <c r="I18">
        <v>2</v>
      </c>
      <c r="J18">
        <v>0</v>
      </c>
      <c r="K18">
        <v>9.9</v>
      </c>
      <c r="L18" s="8">
        <f t="shared" si="0"/>
        <v>2</v>
      </c>
      <c r="M18" s="8">
        <f t="shared" si="1"/>
        <v>2</v>
      </c>
      <c r="N18" s="8">
        <f t="shared" si="2"/>
        <v>19.8</v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E19" t="s">
        <v>331</v>
      </c>
      <c r="F19" t="s">
        <v>332</v>
      </c>
      <c r="G19" t="s">
        <v>333</v>
      </c>
      <c r="H19" t="s">
        <v>9</v>
      </c>
      <c r="I19">
        <v>1</v>
      </c>
      <c r="J19">
        <v>0</v>
      </c>
      <c r="K19">
        <v>650</v>
      </c>
      <c r="L19" s="8">
        <f t="shared" si="0"/>
        <v>1</v>
      </c>
      <c r="M19" s="8">
        <f t="shared" si="1"/>
        <v>1</v>
      </c>
      <c r="N19" s="8">
        <f t="shared" si="2"/>
        <v>650</v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E20" t="s">
        <v>334</v>
      </c>
      <c r="F20" t="s">
        <v>332</v>
      </c>
      <c r="G20" t="s">
        <v>335</v>
      </c>
      <c r="H20" t="s">
        <v>336</v>
      </c>
      <c r="I20">
        <v>1</v>
      </c>
      <c r="J20">
        <v>0</v>
      </c>
      <c r="K20">
        <v>35</v>
      </c>
      <c r="L20" s="8">
        <f t="shared" si="0"/>
        <v>1</v>
      </c>
      <c r="M20" s="8">
        <f t="shared" si="1"/>
        <v>1</v>
      </c>
      <c r="N20" s="8">
        <f t="shared" si="2"/>
        <v>35</v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E21" t="s">
        <v>337</v>
      </c>
      <c r="F21" t="s">
        <v>332</v>
      </c>
      <c r="G21" t="s">
        <v>338</v>
      </c>
      <c r="H21" t="s">
        <v>336</v>
      </c>
      <c r="I21">
        <v>3</v>
      </c>
      <c r="J21">
        <v>0</v>
      </c>
      <c r="K21">
        <v>45</v>
      </c>
      <c r="L21" s="8">
        <f t="shared" si="0"/>
        <v>3</v>
      </c>
      <c r="M21" s="8">
        <f t="shared" si="1"/>
        <v>3</v>
      </c>
      <c r="N21" s="8">
        <f t="shared" si="2"/>
        <v>135</v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E22" t="s">
        <v>339</v>
      </c>
      <c r="F22" t="s">
        <v>286</v>
      </c>
      <c r="G22" t="s">
        <v>340</v>
      </c>
      <c r="H22" t="s">
        <v>336</v>
      </c>
      <c r="I22">
        <v>1</v>
      </c>
      <c r="J22">
        <v>0</v>
      </c>
      <c r="K22">
        <v>15</v>
      </c>
      <c r="L22" s="8">
        <f t="shared" si="0"/>
        <v>1</v>
      </c>
      <c r="M22" s="8">
        <f t="shared" si="1"/>
        <v>1</v>
      </c>
      <c r="N22" s="8">
        <f t="shared" si="2"/>
        <v>15</v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E23" t="s">
        <v>341</v>
      </c>
      <c r="F23" t="s">
        <v>332</v>
      </c>
      <c r="G23" t="s">
        <v>342</v>
      </c>
      <c r="H23" t="s">
        <v>9</v>
      </c>
      <c r="I23">
        <v>1</v>
      </c>
      <c r="J23">
        <v>0</v>
      </c>
      <c r="K23">
        <v>8</v>
      </c>
      <c r="L23" s="8">
        <f t="shared" si="0"/>
        <v>1</v>
      </c>
      <c r="M23" s="8">
        <f t="shared" si="1"/>
        <v>1</v>
      </c>
      <c r="N23" s="8">
        <f t="shared" si="2"/>
        <v>8</v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E24" t="s">
        <v>343</v>
      </c>
      <c r="F24" t="s">
        <v>332</v>
      </c>
      <c r="G24" t="s">
        <v>344</v>
      </c>
      <c r="H24" t="s">
        <v>345</v>
      </c>
      <c r="I24">
        <v>2</v>
      </c>
      <c r="J24">
        <v>0</v>
      </c>
      <c r="K24">
        <v>8</v>
      </c>
      <c r="L24" s="8">
        <f t="shared" si="0"/>
        <v>2</v>
      </c>
      <c r="M24" s="8">
        <f t="shared" si="1"/>
        <v>2</v>
      </c>
      <c r="N24" s="8">
        <f t="shared" si="2"/>
        <v>16</v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E25" t="s">
        <v>346</v>
      </c>
      <c r="F25" t="s">
        <v>347</v>
      </c>
      <c r="G25" t="s">
        <v>348</v>
      </c>
      <c r="H25" t="s">
        <v>34</v>
      </c>
      <c r="I25">
        <v>1</v>
      </c>
      <c r="J25">
        <v>0</v>
      </c>
      <c r="K25">
        <v>78</v>
      </c>
      <c r="L25" s="8">
        <f t="shared" si="0"/>
        <v>1</v>
      </c>
      <c r="M25" s="8">
        <f t="shared" si="1"/>
        <v>1</v>
      </c>
      <c r="N25" s="8">
        <f t="shared" si="2"/>
        <v>78</v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E26" t="s">
        <v>346</v>
      </c>
      <c r="F26" t="s">
        <v>469</v>
      </c>
      <c r="G26" t="s">
        <v>349</v>
      </c>
      <c r="H26" t="s">
        <v>11</v>
      </c>
      <c r="I26">
        <v>1</v>
      </c>
      <c r="J26">
        <v>0</v>
      </c>
      <c r="K26">
        <v>150</v>
      </c>
      <c r="L26" s="8">
        <f t="shared" si="0"/>
        <v>1</v>
      </c>
      <c r="M26" s="8">
        <f t="shared" si="1"/>
        <v>1</v>
      </c>
      <c r="N26" s="8">
        <f t="shared" si="2"/>
        <v>150</v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42D1C-8053-4E72-A3BF-D670C717DE51}">
  <sheetPr codeName="Sheet13"/>
  <dimension ref="A1:AK49"/>
  <sheetViews>
    <sheetView zoomScale="75" zoomScaleNormal="75" workbookViewId="0">
      <pane ySplit="49" topLeftCell="A50" activePane="bottomLeft" state="frozen"/>
      <selection pane="bottomLeft" activeCell="Q22" sqref="Q22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23" t="str" cm="1">
        <f t="array" aca="1" ref="A1" ca="1">IFERROR(MID(CELL("filename",$A$1),FIND("]",CELL("filename",$A$1))+1,99),"SXX")</f>
        <v>S02</v>
      </c>
      <c r="B1" s="23"/>
      <c r="C1" s="23"/>
      <c r="E1" s="21" t="str" cm="1">
        <f t="array" aca="1" ref="E1" ca="1">IFERROR(MID(CELL("filename",$A$1),FIND("]",CELL("filename",$A$1))+1,99),"SXX")&amp;" MATERIALS (USAGE + STANDALONE)"</f>
        <v>S02 MATERIALS (USAGE + STANDALONE)</v>
      </c>
      <c r="F1" s="21"/>
      <c r="G1" s="21"/>
      <c r="H1" s="21"/>
      <c r="I1" s="21"/>
      <c r="J1" s="21"/>
      <c r="K1" s="21"/>
      <c r="L1" s="14"/>
      <c r="M1" s="14"/>
      <c r="N1" s="20">
        <f>SUM(N3:N49)</f>
        <v>2618.1999999999998</v>
      </c>
      <c r="P1" s="21" t="str" cm="1">
        <f t="array" aca="1" ref="P1" ca="1">IFERROR(MID(CELL("filename",$A$1),FIND("]",CELL("filename",$A$1))+1,99),"SXX")&amp;" LABOUR (USAGE + STANDALONE)"</f>
        <v>S02 LABOUR (USAGE + STANDALONE)</v>
      </c>
      <c r="Q1" s="21"/>
      <c r="R1" s="21"/>
      <c r="S1" s="21"/>
      <c r="T1" s="21"/>
      <c r="U1" s="21"/>
      <c r="V1" s="21"/>
      <c r="Y1" s="20">
        <f>SUM(Y3:Y49)</f>
        <v>2750</v>
      </c>
      <c r="AA1" s="24" t="str" cm="1">
        <f t="array" aca="1" ref="AA1" ca="1">IFERROR(MID(CELL("filename",$A$1),FIND("]",CELL("filename",$A$1))+1,99),"SXX")&amp;" RENTAL / SERVICE (USAGE + STANDALONE)"</f>
        <v>S02 RENTAL / SERVICE (USAGE + STANDALONE)</v>
      </c>
      <c r="AB1" s="24"/>
      <c r="AC1" s="24"/>
      <c r="AD1" s="24"/>
      <c r="AE1" s="24"/>
      <c r="AF1" s="24"/>
      <c r="AG1" s="24"/>
      <c r="AH1" s="6"/>
      <c r="AI1" s="6"/>
      <c r="AJ1" s="20">
        <f>SUM(AJ3:AJ49)</f>
        <v>0</v>
      </c>
    </row>
    <row r="2" spans="1:37" s="2" customFormat="1" x14ac:dyDescent="0.25">
      <c r="A2" s="4" t="s">
        <v>0</v>
      </c>
      <c r="B2" s="4" t="s">
        <v>3</v>
      </c>
      <c r="C2" s="4" t="s">
        <v>6</v>
      </c>
      <c r="D2" s="1"/>
      <c r="E2" s="2" t="s">
        <v>6</v>
      </c>
      <c r="F2" s="2" t="s">
        <v>0</v>
      </c>
      <c r="G2" s="2" t="s">
        <v>0</v>
      </c>
      <c r="H2" s="2" t="s">
        <v>3</v>
      </c>
      <c r="I2" s="2" t="s">
        <v>6</v>
      </c>
      <c r="J2" s="2" t="s">
        <v>5</v>
      </c>
      <c r="K2" s="2" t="s">
        <v>4</v>
      </c>
      <c r="L2" s="2" t="s">
        <v>15</v>
      </c>
      <c r="M2" s="2" t="s">
        <v>16</v>
      </c>
      <c r="N2" s="2" t="s">
        <v>17</v>
      </c>
      <c r="O2" s="1"/>
      <c r="P2" s="2" t="s">
        <v>6</v>
      </c>
      <c r="Q2" s="2" t="s">
        <v>0</v>
      </c>
      <c r="R2" s="2" t="s">
        <v>18</v>
      </c>
      <c r="S2" s="2" t="s">
        <v>1</v>
      </c>
      <c r="T2" s="2" t="s">
        <v>14</v>
      </c>
      <c r="U2" s="2" t="s">
        <v>5</v>
      </c>
      <c r="V2" s="2" t="s">
        <v>19</v>
      </c>
      <c r="W2" s="2" t="s">
        <v>15</v>
      </c>
      <c r="X2" s="2" t="s">
        <v>16</v>
      </c>
      <c r="Y2" s="2" t="s">
        <v>17</v>
      </c>
      <c r="Z2" s="5"/>
      <c r="AA2" s="7" t="s">
        <v>6</v>
      </c>
      <c r="AB2" s="2" t="s">
        <v>0</v>
      </c>
      <c r="AC2" s="2" t="s">
        <v>18</v>
      </c>
      <c r="AD2" s="2" t="s">
        <v>1</v>
      </c>
      <c r="AE2" s="2" t="s">
        <v>14</v>
      </c>
      <c r="AF2" s="2" t="s">
        <v>5</v>
      </c>
      <c r="AG2" s="2" t="s">
        <v>19</v>
      </c>
      <c r="AH2" s="2" t="s">
        <v>15</v>
      </c>
      <c r="AI2" s="2" t="s">
        <v>16</v>
      </c>
      <c r="AJ2" s="2" t="s">
        <v>17</v>
      </c>
      <c r="AK2" s="1"/>
    </row>
    <row r="3" spans="1:37" x14ac:dyDescent="0.25">
      <c r="A3" s="3" t="s">
        <v>38</v>
      </c>
      <c r="B3" s="3" t="s">
        <v>357</v>
      </c>
      <c r="C3" s="3" t="s">
        <v>358</v>
      </c>
      <c r="E3" t="s">
        <v>359</v>
      </c>
      <c r="F3" t="s">
        <v>360</v>
      </c>
      <c r="G3" t="s">
        <v>324</v>
      </c>
      <c r="H3" t="s">
        <v>10</v>
      </c>
      <c r="I3">
        <v>6</v>
      </c>
      <c r="J3">
        <v>0.1</v>
      </c>
      <c r="K3">
        <v>16</v>
      </c>
      <c r="L3" s="8">
        <f t="shared" ref="L3:L49" si="0">IF($G3="","",$I3*(1+IF($J3="",0,$J3)))</f>
        <v>6.6000000000000005</v>
      </c>
      <c r="M3" s="8">
        <f t="shared" ref="M3:M49" si="1">IF($G3="","",$L3)</f>
        <v>6.6000000000000005</v>
      </c>
      <c r="N3" s="8">
        <f t="shared" ref="N3:N49" si="2">IF($G3="","",IF($K3="","",$M3*$K3))</f>
        <v>105.60000000000001</v>
      </c>
      <c r="P3" t="s">
        <v>407</v>
      </c>
      <c r="Q3" t="s">
        <v>361</v>
      </c>
      <c r="R3" t="s">
        <v>35</v>
      </c>
      <c r="S3" t="s">
        <v>36</v>
      </c>
      <c r="T3">
        <v>64</v>
      </c>
      <c r="U3">
        <v>0</v>
      </c>
      <c r="V3">
        <v>22.5</v>
      </c>
      <c r="W3" s="8">
        <f>IF($R3="","",$T3*(1+IF($U3="",0,$U3)))</f>
        <v>64</v>
      </c>
      <c r="X3" s="8">
        <f>IF($R3="","",$W3)</f>
        <v>64</v>
      </c>
      <c r="Y3" s="8">
        <f>IF($R3="","",IF($V3="","",$X3*$V3))</f>
        <v>1440</v>
      </c>
      <c r="AA3" s="6" t="s">
        <v>413</v>
      </c>
      <c r="AB3" t="s">
        <v>366</v>
      </c>
      <c r="AC3" t="s">
        <v>12</v>
      </c>
      <c r="AD3" t="s">
        <v>13</v>
      </c>
      <c r="AE3">
        <v>0</v>
      </c>
      <c r="AF3">
        <v>0</v>
      </c>
      <c r="AG3">
        <v>200</v>
      </c>
      <c r="AH3" s="8">
        <f>IF($AC3="","",$AE3*(1+IF($AF3="",0,$AF3)))</f>
        <v>0</v>
      </c>
      <c r="AI3" s="8">
        <f>IF($AC3="","",$AH3)</f>
        <v>0</v>
      </c>
      <c r="AJ3" s="8">
        <f>IF($AC3="","",IF($AG3="","",$AI3*$AG3))</f>
        <v>0</v>
      </c>
    </row>
    <row r="4" spans="1:37" x14ac:dyDescent="0.25">
      <c r="A4" s="3" t="s">
        <v>361</v>
      </c>
      <c r="B4" s="3" t="s">
        <v>362</v>
      </c>
      <c r="C4" s="3" t="s">
        <v>363</v>
      </c>
      <c r="E4" t="s">
        <v>364</v>
      </c>
      <c r="F4" t="s">
        <v>365</v>
      </c>
      <c r="G4" t="s">
        <v>311</v>
      </c>
      <c r="H4" t="s">
        <v>312</v>
      </c>
      <c r="I4">
        <v>4</v>
      </c>
      <c r="J4">
        <v>0.1</v>
      </c>
      <c r="K4">
        <v>24</v>
      </c>
      <c r="L4" s="8">
        <f t="shared" si="0"/>
        <v>4.4000000000000004</v>
      </c>
      <c r="M4" s="8">
        <f t="shared" si="1"/>
        <v>4.4000000000000004</v>
      </c>
      <c r="N4" s="8">
        <f t="shared" si="2"/>
        <v>105.60000000000001</v>
      </c>
      <c r="P4" t="s">
        <v>408</v>
      </c>
      <c r="Q4" t="s">
        <v>361</v>
      </c>
      <c r="R4" t="s">
        <v>37</v>
      </c>
      <c r="S4" t="s">
        <v>36</v>
      </c>
      <c r="T4">
        <v>64</v>
      </c>
      <c r="U4">
        <v>0</v>
      </c>
      <c r="V4">
        <v>16.25</v>
      </c>
      <c r="W4" s="8">
        <f t="shared" ref="W4:W49" si="3">IF($R4="","",$T4*(1+IF($U4="",0,$U4)))</f>
        <v>64</v>
      </c>
      <c r="X4" s="8">
        <f t="shared" ref="X4:X49" si="4">IF($R4="","",$W4)</f>
        <v>64</v>
      </c>
      <c r="Y4" s="8">
        <f t="shared" ref="Y4:Y49" si="5">IF($R4="","",IF($V4="","",$X4*$V4))</f>
        <v>1040</v>
      </c>
      <c r="AH4" s="8" t="str">
        <f t="shared" ref="AH4:AH49" si="6">IF($AC4="","",$AE4*(1+IF($AF4="",0,$AF4)))</f>
        <v/>
      </c>
      <c r="AI4" s="8" t="str">
        <f t="shared" ref="AI4:AI49" si="7">IF($AC4="","",$AH4)</f>
        <v/>
      </c>
      <c r="AJ4" s="8" t="str">
        <f t="shared" ref="AJ4:AJ49" si="8">IF($AC4="","",IF($AG4="","",$AI4*$AG4))</f>
        <v/>
      </c>
    </row>
    <row r="5" spans="1:37" x14ac:dyDescent="0.25">
      <c r="A5" s="3" t="s">
        <v>366</v>
      </c>
      <c r="B5" s="3" t="s">
        <v>367</v>
      </c>
      <c r="C5" s="3" t="s">
        <v>368</v>
      </c>
      <c r="E5" t="s">
        <v>364</v>
      </c>
      <c r="F5" t="s">
        <v>365</v>
      </c>
      <c r="G5" t="s">
        <v>313</v>
      </c>
      <c r="H5" t="s">
        <v>314</v>
      </c>
      <c r="I5">
        <v>2</v>
      </c>
      <c r="J5">
        <v>0.1</v>
      </c>
      <c r="K5">
        <v>70</v>
      </c>
      <c r="L5" s="8">
        <f t="shared" si="0"/>
        <v>2.2000000000000002</v>
      </c>
      <c r="M5" s="8">
        <f t="shared" si="1"/>
        <v>2.2000000000000002</v>
      </c>
      <c r="N5" s="8">
        <f t="shared" si="2"/>
        <v>154</v>
      </c>
      <c r="P5" t="s">
        <v>409</v>
      </c>
      <c r="Q5" t="s">
        <v>387</v>
      </c>
      <c r="R5" t="s">
        <v>410</v>
      </c>
      <c r="S5" t="s">
        <v>307</v>
      </c>
      <c r="T5">
        <v>1</v>
      </c>
      <c r="U5">
        <v>0</v>
      </c>
      <c r="V5">
        <v>120</v>
      </c>
      <c r="W5" s="8">
        <f t="shared" si="3"/>
        <v>1</v>
      </c>
      <c r="X5" s="8">
        <f t="shared" si="4"/>
        <v>1</v>
      </c>
      <c r="Y5" s="8">
        <f t="shared" si="5"/>
        <v>120</v>
      </c>
      <c r="AH5" s="8" t="str">
        <f t="shared" si="6"/>
        <v/>
      </c>
      <c r="AI5" s="8" t="str">
        <f t="shared" si="7"/>
        <v/>
      </c>
      <c r="AJ5" s="8" t="str">
        <f t="shared" si="8"/>
        <v/>
      </c>
    </row>
    <row r="6" spans="1:37" x14ac:dyDescent="0.25">
      <c r="A6" s="3" t="s">
        <v>369</v>
      </c>
      <c r="B6" s="3" t="s">
        <v>370</v>
      </c>
      <c r="C6" s="3" t="s">
        <v>371</v>
      </c>
      <c r="E6" t="s">
        <v>372</v>
      </c>
      <c r="F6" t="s">
        <v>365</v>
      </c>
      <c r="G6" t="s">
        <v>373</v>
      </c>
      <c r="H6" t="s">
        <v>34</v>
      </c>
      <c r="I6">
        <v>1</v>
      </c>
      <c r="J6">
        <v>0</v>
      </c>
      <c r="K6">
        <v>20</v>
      </c>
      <c r="L6" s="8">
        <f t="shared" si="0"/>
        <v>1</v>
      </c>
      <c r="M6" s="8">
        <f t="shared" si="1"/>
        <v>1</v>
      </c>
      <c r="N6" s="8">
        <f t="shared" si="2"/>
        <v>20</v>
      </c>
      <c r="P6" t="s">
        <v>411</v>
      </c>
      <c r="Q6" t="s">
        <v>393</v>
      </c>
      <c r="R6" t="s">
        <v>412</v>
      </c>
      <c r="S6" t="s">
        <v>307</v>
      </c>
      <c r="T6">
        <v>1</v>
      </c>
      <c r="U6">
        <v>0</v>
      </c>
      <c r="V6">
        <v>150</v>
      </c>
      <c r="W6" s="8">
        <f t="shared" si="3"/>
        <v>1</v>
      </c>
      <c r="X6" s="8">
        <f t="shared" si="4"/>
        <v>1</v>
      </c>
      <c r="Y6" s="8">
        <f t="shared" si="5"/>
        <v>150</v>
      </c>
      <c r="AH6" s="8" t="str">
        <f t="shared" si="6"/>
        <v/>
      </c>
      <c r="AI6" s="8" t="str">
        <f t="shared" si="7"/>
        <v/>
      </c>
      <c r="AJ6" s="8" t="str">
        <f t="shared" si="8"/>
        <v/>
      </c>
    </row>
    <row r="7" spans="1:37" x14ac:dyDescent="0.25">
      <c r="A7" s="3" t="s">
        <v>374</v>
      </c>
      <c r="B7" s="3" t="s">
        <v>375</v>
      </c>
      <c r="C7" s="3" t="s">
        <v>376</v>
      </c>
      <c r="E7" t="s">
        <v>377</v>
      </c>
      <c r="F7" t="s">
        <v>378</v>
      </c>
      <c r="G7" t="s">
        <v>326</v>
      </c>
      <c r="H7" t="s">
        <v>34</v>
      </c>
      <c r="I7">
        <v>1</v>
      </c>
      <c r="J7">
        <v>0</v>
      </c>
      <c r="K7">
        <v>95</v>
      </c>
      <c r="L7" s="8">
        <f t="shared" si="0"/>
        <v>1</v>
      </c>
      <c r="M7" s="8">
        <f t="shared" si="1"/>
        <v>1</v>
      </c>
      <c r="N7" s="8">
        <f t="shared" si="2"/>
        <v>95</v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H7" s="8" t="str">
        <f t="shared" si="6"/>
        <v/>
      </c>
      <c r="AI7" s="8" t="str">
        <f t="shared" si="7"/>
        <v/>
      </c>
      <c r="AJ7" s="8" t="str">
        <f t="shared" si="8"/>
        <v/>
      </c>
    </row>
    <row r="8" spans="1:37" x14ac:dyDescent="0.25">
      <c r="A8" s="3" t="s">
        <v>360</v>
      </c>
      <c r="B8" s="3" t="s">
        <v>379</v>
      </c>
      <c r="C8" s="3" t="s">
        <v>380</v>
      </c>
      <c r="E8" t="s">
        <v>381</v>
      </c>
      <c r="F8" t="s">
        <v>378</v>
      </c>
      <c r="G8" t="s">
        <v>382</v>
      </c>
      <c r="H8" t="s">
        <v>34</v>
      </c>
      <c r="I8">
        <v>1</v>
      </c>
      <c r="J8">
        <v>0</v>
      </c>
      <c r="K8">
        <v>135</v>
      </c>
      <c r="L8" s="8">
        <f t="shared" si="0"/>
        <v>1</v>
      </c>
      <c r="M8" s="8">
        <f t="shared" si="1"/>
        <v>1</v>
      </c>
      <c r="N8" s="8">
        <f t="shared" si="2"/>
        <v>135</v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A9" s="3" t="s">
        <v>383</v>
      </c>
      <c r="B9" s="3" t="s">
        <v>384</v>
      </c>
      <c r="C9" s="3" t="s">
        <v>385</v>
      </c>
      <c r="E9" t="s">
        <v>386</v>
      </c>
      <c r="F9" t="s">
        <v>387</v>
      </c>
      <c r="G9" t="s">
        <v>388</v>
      </c>
      <c r="H9" t="s">
        <v>307</v>
      </c>
      <c r="I9">
        <v>1</v>
      </c>
      <c r="J9">
        <v>0</v>
      </c>
      <c r="K9">
        <v>210</v>
      </c>
      <c r="L9" s="8">
        <f t="shared" si="0"/>
        <v>1</v>
      </c>
      <c r="M9" s="8">
        <f t="shared" si="1"/>
        <v>1</v>
      </c>
      <c r="N9" s="8">
        <f t="shared" si="2"/>
        <v>210</v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A10" s="3" t="s">
        <v>389</v>
      </c>
      <c r="B10" s="3" t="s">
        <v>390</v>
      </c>
      <c r="C10" s="3" t="s">
        <v>391</v>
      </c>
      <c r="E10" t="s">
        <v>392</v>
      </c>
      <c r="F10" t="s">
        <v>393</v>
      </c>
      <c r="G10" t="s">
        <v>394</v>
      </c>
      <c r="H10" t="s">
        <v>307</v>
      </c>
      <c r="I10">
        <v>1</v>
      </c>
      <c r="J10">
        <v>0</v>
      </c>
      <c r="K10">
        <v>1750</v>
      </c>
      <c r="L10" s="8">
        <f t="shared" si="0"/>
        <v>1</v>
      </c>
      <c r="M10" s="8">
        <f t="shared" si="1"/>
        <v>1</v>
      </c>
      <c r="N10" s="8">
        <f t="shared" si="2"/>
        <v>1750</v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A11" s="3" t="s">
        <v>395</v>
      </c>
      <c r="B11" s="3" t="s">
        <v>396</v>
      </c>
      <c r="C11" s="3" t="s">
        <v>397</v>
      </c>
      <c r="E11" t="s">
        <v>398</v>
      </c>
      <c r="F11" t="s">
        <v>387</v>
      </c>
      <c r="G11" t="s">
        <v>344</v>
      </c>
      <c r="H11" t="s">
        <v>345</v>
      </c>
      <c r="I11">
        <v>2</v>
      </c>
      <c r="J11">
        <v>0</v>
      </c>
      <c r="K11">
        <v>8</v>
      </c>
      <c r="L11" s="8">
        <f t="shared" si="0"/>
        <v>2</v>
      </c>
      <c r="M11" s="8">
        <f t="shared" si="1"/>
        <v>2</v>
      </c>
      <c r="N11" s="8">
        <f t="shared" si="2"/>
        <v>16</v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A12" s="3" t="s">
        <v>399</v>
      </c>
      <c r="B12" s="3" t="s">
        <v>400</v>
      </c>
      <c r="C12" s="3" t="s">
        <v>401</v>
      </c>
      <c r="E12" t="s">
        <v>402</v>
      </c>
      <c r="F12" t="s">
        <v>403</v>
      </c>
      <c r="G12" t="s">
        <v>404</v>
      </c>
      <c r="H12" t="s">
        <v>40</v>
      </c>
      <c r="I12">
        <v>2</v>
      </c>
      <c r="J12">
        <v>0</v>
      </c>
      <c r="K12">
        <v>6</v>
      </c>
      <c r="L12" s="8">
        <f t="shared" si="0"/>
        <v>2</v>
      </c>
      <c r="M12" s="8">
        <f t="shared" si="1"/>
        <v>2</v>
      </c>
      <c r="N12" s="8">
        <f t="shared" si="2"/>
        <v>12</v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E13" t="s">
        <v>405</v>
      </c>
      <c r="F13" t="s">
        <v>399</v>
      </c>
      <c r="G13" t="s">
        <v>406</v>
      </c>
      <c r="H13" t="s">
        <v>307</v>
      </c>
      <c r="I13">
        <v>1</v>
      </c>
      <c r="J13">
        <v>0</v>
      </c>
      <c r="K13">
        <v>15</v>
      </c>
      <c r="L13" s="8">
        <f t="shared" si="0"/>
        <v>1</v>
      </c>
      <c r="M13" s="8">
        <f t="shared" si="1"/>
        <v>1</v>
      </c>
      <c r="N13" s="8">
        <f t="shared" si="2"/>
        <v>15</v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L14" s="8" t="str">
        <f t="shared" si="0"/>
        <v/>
      </c>
      <c r="M14" s="8" t="str">
        <f t="shared" si="1"/>
        <v/>
      </c>
      <c r="N14" s="8" t="str">
        <f t="shared" si="2"/>
        <v/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L15" s="8" t="str">
        <f t="shared" si="0"/>
        <v/>
      </c>
      <c r="M15" s="8" t="str">
        <f t="shared" si="1"/>
        <v/>
      </c>
      <c r="N15" s="8" t="str">
        <f t="shared" si="2"/>
        <v/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L16" s="8" t="str">
        <f t="shared" si="0"/>
        <v/>
      </c>
      <c r="M16" s="8" t="str">
        <f t="shared" si="1"/>
        <v/>
      </c>
      <c r="N16" s="8" t="str">
        <f t="shared" si="2"/>
        <v/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L17" s="8" t="str">
        <f t="shared" si="0"/>
        <v/>
      </c>
      <c r="M17" s="8" t="str">
        <f t="shared" si="1"/>
        <v/>
      </c>
      <c r="N17" s="8" t="str">
        <f t="shared" si="2"/>
        <v/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L18" s="8" t="str">
        <f t="shared" si="0"/>
        <v/>
      </c>
      <c r="M18" s="8" t="str">
        <f t="shared" si="1"/>
        <v/>
      </c>
      <c r="N18" s="8" t="str">
        <f t="shared" si="2"/>
        <v/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L19" s="8" t="str">
        <f t="shared" si="0"/>
        <v/>
      </c>
      <c r="M19" s="8" t="str">
        <f t="shared" si="1"/>
        <v/>
      </c>
      <c r="N19" s="8" t="str">
        <f t="shared" si="2"/>
        <v/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L20" s="8" t="str">
        <f t="shared" si="0"/>
        <v/>
      </c>
      <c r="M20" s="8" t="str">
        <f t="shared" si="1"/>
        <v/>
      </c>
      <c r="N20" s="8" t="str">
        <f t="shared" si="2"/>
        <v/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L21" s="8" t="str">
        <f t="shared" si="0"/>
        <v/>
      </c>
      <c r="M21" s="8" t="str">
        <f t="shared" si="1"/>
        <v/>
      </c>
      <c r="N21" s="8" t="str">
        <f t="shared" si="2"/>
        <v/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L22" s="8" t="str">
        <f t="shared" si="0"/>
        <v/>
      </c>
      <c r="M22" s="8" t="str">
        <f t="shared" si="1"/>
        <v/>
      </c>
      <c r="N22" s="8" t="str">
        <f t="shared" si="2"/>
        <v/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L23" s="8" t="str">
        <f t="shared" si="0"/>
        <v/>
      </c>
      <c r="M23" s="8" t="str">
        <f t="shared" si="1"/>
        <v/>
      </c>
      <c r="N23" s="8" t="str">
        <f t="shared" si="2"/>
        <v/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L24" s="8" t="str">
        <f t="shared" si="0"/>
        <v/>
      </c>
      <c r="M24" s="8" t="str">
        <f t="shared" si="1"/>
        <v/>
      </c>
      <c r="N24" s="8" t="str">
        <f t="shared" si="2"/>
        <v/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L25" s="8" t="str">
        <f t="shared" si="0"/>
        <v/>
      </c>
      <c r="M25" s="8" t="str">
        <f t="shared" si="1"/>
        <v/>
      </c>
      <c r="N25" s="8" t="str">
        <f t="shared" si="2"/>
        <v/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L26" s="8" t="str">
        <f t="shared" si="0"/>
        <v/>
      </c>
      <c r="M26" s="8" t="str">
        <f t="shared" si="1"/>
        <v/>
      </c>
      <c r="N26" s="8" t="str">
        <f t="shared" si="2"/>
        <v/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24204-BED6-46A1-B51D-214C2264D762}">
  <sheetPr codeName="Sheet14"/>
  <dimension ref="A1:AK49"/>
  <sheetViews>
    <sheetView zoomScale="75" zoomScaleNormal="75" workbookViewId="0">
      <pane ySplit="49" topLeftCell="A50" activePane="bottomLeft" state="frozen"/>
      <selection pane="bottomLeft" activeCell="H45" sqref="H45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23" t="str" cm="1">
        <f t="array" aca="1" ref="A1" ca="1">IFERROR(MID(CELL("filename",$A$1),FIND("]",CELL("filename",$A$1))+1,99),"SXX")</f>
        <v>S03</v>
      </c>
      <c r="B1" s="23"/>
      <c r="C1" s="23"/>
      <c r="E1" s="21" t="str" cm="1">
        <f t="array" aca="1" ref="E1" ca="1">IFERROR(MID(CELL("filename",$A$1),FIND("]",CELL("filename",$A$1))+1,99),"SXX")&amp;" MATERIALS (USAGE + STANDALONE)"</f>
        <v>S03 MATERIALS (USAGE + STANDALONE)</v>
      </c>
      <c r="F1" s="21"/>
      <c r="G1" s="21"/>
      <c r="H1" s="21"/>
      <c r="I1" s="21"/>
      <c r="J1" s="21"/>
      <c r="K1" s="21"/>
      <c r="L1" s="14"/>
      <c r="M1" s="14"/>
      <c r="N1">
        <f>SUM(N3:N49)</f>
        <v>992.40000000000009</v>
      </c>
      <c r="P1" s="21" t="str" cm="1">
        <f t="array" aca="1" ref="P1" ca="1">IFERROR(MID(CELL("filename",$A$1),FIND("]",CELL("filename",$A$1))+1,99),"SXX")&amp;" LABOUR (USAGE + STANDALONE)"</f>
        <v>S03 LABOUR (USAGE + STANDALONE)</v>
      </c>
      <c r="Q1" s="21"/>
      <c r="R1" s="21"/>
      <c r="S1" s="21"/>
      <c r="T1" s="21"/>
      <c r="U1" s="21"/>
      <c r="V1" s="21"/>
      <c r="Y1">
        <f>SUM(Y3:Y49)</f>
        <v>2170</v>
      </c>
      <c r="AA1" s="24" t="str" cm="1">
        <f t="array" aca="1" ref="AA1" ca="1">IFERROR(MID(CELL("filename",$A$1),FIND("]",CELL("filename",$A$1))+1,99),"SXX")&amp;" RENTAL / SERVICE (USAGE + STANDALONE)"</f>
        <v>S03 RENTAL / SERVICE (USAGE + STANDALONE)</v>
      </c>
      <c r="AB1" s="24"/>
      <c r="AC1" s="24"/>
      <c r="AD1" s="24"/>
      <c r="AE1" s="24"/>
      <c r="AF1" s="24"/>
      <c r="AG1" s="24"/>
      <c r="AH1" s="6"/>
      <c r="AI1" s="6"/>
      <c r="AJ1">
        <f>SUM(AJ3:AJ49)</f>
        <v>600</v>
      </c>
    </row>
    <row r="2" spans="1:37" s="2" customFormat="1" x14ac:dyDescent="0.25">
      <c r="A2" s="4" t="s">
        <v>0</v>
      </c>
      <c r="B2" s="4" t="s">
        <v>3</v>
      </c>
      <c r="C2" s="4" t="s">
        <v>6</v>
      </c>
      <c r="D2" s="1"/>
      <c r="E2" s="2" t="s">
        <v>6</v>
      </c>
      <c r="F2" s="2" t="s">
        <v>0</v>
      </c>
      <c r="G2" s="2" t="s">
        <v>0</v>
      </c>
      <c r="H2" s="2" t="s">
        <v>3</v>
      </c>
      <c r="I2" s="2" t="s">
        <v>6</v>
      </c>
      <c r="J2" s="2" t="s">
        <v>5</v>
      </c>
      <c r="K2" s="2" t="s">
        <v>4</v>
      </c>
      <c r="L2" s="2" t="s">
        <v>15</v>
      </c>
      <c r="M2" s="2" t="s">
        <v>16</v>
      </c>
      <c r="N2" s="2" t="s">
        <v>17</v>
      </c>
      <c r="O2" s="1"/>
      <c r="P2" s="2" t="s">
        <v>6</v>
      </c>
      <c r="Q2" s="2" t="s">
        <v>0</v>
      </c>
      <c r="R2" s="2" t="s">
        <v>18</v>
      </c>
      <c r="S2" s="2" t="s">
        <v>1</v>
      </c>
      <c r="T2" s="2" t="s">
        <v>14</v>
      </c>
      <c r="U2" s="2" t="s">
        <v>5</v>
      </c>
      <c r="V2" s="2" t="s">
        <v>19</v>
      </c>
      <c r="W2" s="2" t="s">
        <v>15</v>
      </c>
      <c r="X2" s="2" t="s">
        <v>16</v>
      </c>
      <c r="Y2" s="2" t="s">
        <v>17</v>
      </c>
      <c r="Z2" s="5"/>
      <c r="AA2" s="7" t="s">
        <v>6</v>
      </c>
      <c r="AB2" s="2" t="s">
        <v>0</v>
      </c>
      <c r="AC2" s="2" t="s">
        <v>18</v>
      </c>
      <c r="AD2" s="2" t="s">
        <v>1</v>
      </c>
      <c r="AE2" s="2" t="s">
        <v>14</v>
      </c>
      <c r="AF2" s="2" t="s">
        <v>5</v>
      </c>
      <c r="AG2" s="2" t="s">
        <v>19</v>
      </c>
      <c r="AH2" s="2" t="s">
        <v>15</v>
      </c>
      <c r="AI2" s="2" t="s">
        <v>16</v>
      </c>
      <c r="AJ2" s="2" t="s">
        <v>17</v>
      </c>
      <c r="AK2" s="1"/>
    </row>
    <row r="3" spans="1:37" x14ac:dyDescent="0.25">
      <c r="A3" s="3" t="s">
        <v>39</v>
      </c>
      <c r="B3" s="3" t="s">
        <v>414</v>
      </c>
      <c r="C3" s="3" t="s">
        <v>415</v>
      </c>
      <c r="E3" t="s">
        <v>416</v>
      </c>
      <c r="F3" t="s">
        <v>417</v>
      </c>
      <c r="G3" t="s">
        <v>324</v>
      </c>
      <c r="H3" t="s">
        <v>10</v>
      </c>
      <c r="I3">
        <v>12</v>
      </c>
      <c r="J3">
        <v>0</v>
      </c>
      <c r="K3">
        <v>16</v>
      </c>
      <c r="L3" s="8">
        <f t="shared" ref="L3:L49" si="0">IF($G3="","",$I3*(1+IF($J3="",0,$J3)))</f>
        <v>12</v>
      </c>
      <c r="M3" s="8">
        <f t="shared" ref="M3:M49" si="1">IF($G3="","",$L3)</f>
        <v>12</v>
      </c>
      <c r="N3" s="8">
        <f t="shared" ref="N3:N49" si="2">IF($G3="","",IF($K3="","",$M3*$K3))</f>
        <v>192</v>
      </c>
      <c r="P3" t="s">
        <v>459</v>
      </c>
      <c r="Q3" t="s">
        <v>418</v>
      </c>
      <c r="R3" t="s">
        <v>35</v>
      </c>
      <c r="S3" t="s">
        <v>36</v>
      </c>
      <c r="T3">
        <v>56</v>
      </c>
      <c r="U3">
        <v>0</v>
      </c>
      <c r="V3">
        <v>22.5</v>
      </c>
      <c r="W3" s="8">
        <f>IF($R3="","",$T3*(1+IF($U3="",0,$U3)))</f>
        <v>56</v>
      </c>
      <c r="X3" s="8">
        <f>IF($R3="","",$W3)</f>
        <v>56</v>
      </c>
      <c r="Y3" s="8">
        <f>IF($R3="","",IF($V3="","",$X3*$V3))</f>
        <v>1260</v>
      </c>
      <c r="AA3" s="6" t="s">
        <v>460</v>
      </c>
      <c r="AB3" t="s">
        <v>418</v>
      </c>
      <c r="AC3" t="s">
        <v>43</v>
      </c>
      <c r="AD3" t="s">
        <v>11</v>
      </c>
      <c r="AE3">
        <v>2</v>
      </c>
      <c r="AF3">
        <v>0</v>
      </c>
      <c r="AG3">
        <v>45</v>
      </c>
      <c r="AH3" s="8">
        <f>IF($AC3="","",$AE3*(1+IF($AF3="",0,$AF3)))</f>
        <v>2</v>
      </c>
      <c r="AI3" s="8">
        <f>IF($AC3="","",$AH3)</f>
        <v>2</v>
      </c>
      <c r="AJ3" s="8">
        <f>IF($AC3="","",IF($AG3="","",$AI3*$AG3))</f>
        <v>90</v>
      </c>
    </row>
    <row r="4" spans="1:37" x14ac:dyDescent="0.25">
      <c r="A4" s="3" t="s">
        <v>418</v>
      </c>
      <c r="B4" s="3" t="s">
        <v>419</v>
      </c>
      <c r="C4" s="3" t="s">
        <v>420</v>
      </c>
      <c r="E4" t="s">
        <v>421</v>
      </c>
      <c r="F4" t="s">
        <v>422</v>
      </c>
      <c r="G4" t="s">
        <v>423</v>
      </c>
      <c r="H4" t="s">
        <v>10</v>
      </c>
      <c r="I4">
        <v>4</v>
      </c>
      <c r="J4">
        <v>0</v>
      </c>
      <c r="K4">
        <v>24</v>
      </c>
      <c r="L4" s="8">
        <f t="shared" si="0"/>
        <v>4</v>
      </c>
      <c r="M4" s="8">
        <f t="shared" si="1"/>
        <v>4</v>
      </c>
      <c r="N4" s="8">
        <f t="shared" si="2"/>
        <v>96</v>
      </c>
      <c r="P4" t="s">
        <v>408</v>
      </c>
      <c r="Q4" t="s">
        <v>418</v>
      </c>
      <c r="R4" t="s">
        <v>37</v>
      </c>
      <c r="S4" t="s">
        <v>36</v>
      </c>
      <c r="T4">
        <v>56</v>
      </c>
      <c r="U4">
        <v>0</v>
      </c>
      <c r="V4">
        <v>16.25</v>
      </c>
      <c r="W4" s="8">
        <f t="shared" ref="W4:W49" si="3">IF($R4="","",$T4*(1+IF($U4="",0,$U4)))</f>
        <v>56</v>
      </c>
      <c r="X4" s="8">
        <f t="shared" ref="X4:X49" si="4">IF($R4="","",$W4)</f>
        <v>56</v>
      </c>
      <c r="Y4" s="8">
        <f t="shared" ref="Y4:Y49" si="5">IF($R4="","",IF($V4="","",$X4*$V4))</f>
        <v>910</v>
      </c>
      <c r="AA4" s="6" t="s">
        <v>461</v>
      </c>
      <c r="AB4" t="s">
        <v>418</v>
      </c>
      <c r="AC4" t="s">
        <v>44</v>
      </c>
      <c r="AD4" t="s">
        <v>11</v>
      </c>
      <c r="AE4">
        <v>2</v>
      </c>
      <c r="AF4">
        <v>0</v>
      </c>
      <c r="AG4">
        <v>20</v>
      </c>
      <c r="AH4" s="8">
        <f t="shared" ref="AH4:AH49" si="6">IF($AC4="","",$AE4*(1+IF($AF4="",0,$AF4)))</f>
        <v>2</v>
      </c>
      <c r="AI4" s="8">
        <f t="shared" ref="AI4:AI49" si="7">IF($AC4="","",$AH4)</f>
        <v>2</v>
      </c>
      <c r="AJ4" s="8">
        <f t="shared" ref="AJ4:AJ49" si="8">IF($AC4="","",IF($AG4="","",$AI4*$AG4))</f>
        <v>40</v>
      </c>
    </row>
    <row r="5" spans="1:37" x14ac:dyDescent="0.25">
      <c r="A5" s="3" t="s">
        <v>424</v>
      </c>
      <c r="B5" s="3" t="s">
        <v>425</v>
      </c>
      <c r="C5" s="3" t="s">
        <v>426</v>
      </c>
      <c r="E5" t="s">
        <v>421</v>
      </c>
      <c r="F5" t="s">
        <v>422</v>
      </c>
      <c r="G5" t="s">
        <v>313</v>
      </c>
      <c r="H5" t="s">
        <v>314</v>
      </c>
      <c r="I5">
        <v>2</v>
      </c>
      <c r="J5">
        <v>0</v>
      </c>
      <c r="K5">
        <v>70</v>
      </c>
      <c r="L5" s="8">
        <f t="shared" si="0"/>
        <v>2</v>
      </c>
      <c r="M5" s="8">
        <f t="shared" si="1"/>
        <v>2</v>
      </c>
      <c r="N5" s="8">
        <f t="shared" si="2"/>
        <v>140</v>
      </c>
      <c r="W5" s="8" t="str">
        <f t="shared" si="3"/>
        <v/>
      </c>
      <c r="X5" s="8" t="str">
        <f t="shared" si="4"/>
        <v/>
      </c>
      <c r="Y5" s="8" t="str">
        <f t="shared" si="5"/>
        <v/>
      </c>
      <c r="AA5" s="6" t="s">
        <v>462</v>
      </c>
      <c r="AB5" t="s">
        <v>463</v>
      </c>
      <c r="AC5" t="s">
        <v>12</v>
      </c>
      <c r="AD5" t="s">
        <v>13</v>
      </c>
      <c r="AE5">
        <v>0</v>
      </c>
      <c r="AF5">
        <v>0</v>
      </c>
      <c r="AG5">
        <v>200</v>
      </c>
      <c r="AH5" s="8">
        <f t="shared" si="6"/>
        <v>0</v>
      </c>
      <c r="AI5" s="8">
        <f t="shared" si="7"/>
        <v>0</v>
      </c>
      <c r="AJ5" s="8">
        <f t="shared" si="8"/>
        <v>0</v>
      </c>
    </row>
    <row r="6" spans="1:37" x14ac:dyDescent="0.25">
      <c r="A6" s="3" t="s">
        <v>427</v>
      </c>
      <c r="B6" s="3" t="s">
        <v>428</v>
      </c>
      <c r="C6" s="3" t="s">
        <v>429</v>
      </c>
      <c r="E6" t="s">
        <v>430</v>
      </c>
      <c r="F6" t="s">
        <v>422</v>
      </c>
      <c r="G6" t="s">
        <v>373</v>
      </c>
      <c r="H6" t="s">
        <v>431</v>
      </c>
      <c r="I6">
        <v>1</v>
      </c>
      <c r="J6">
        <v>0</v>
      </c>
      <c r="K6">
        <v>20</v>
      </c>
      <c r="L6" s="8">
        <f t="shared" si="0"/>
        <v>1</v>
      </c>
      <c r="M6" s="8">
        <f t="shared" si="1"/>
        <v>1</v>
      </c>
      <c r="N6" s="8">
        <f t="shared" si="2"/>
        <v>20</v>
      </c>
      <c r="W6" s="8" t="str">
        <f t="shared" si="3"/>
        <v/>
      </c>
      <c r="X6" s="8" t="str">
        <f t="shared" si="4"/>
        <v/>
      </c>
      <c r="Y6" s="8" t="str">
        <f t="shared" si="5"/>
        <v/>
      </c>
      <c r="AA6" s="6" t="s">
        <v>464</v>
      </c>
      <c r="AB6" t="s">
        <v>418</v>
      </c>
      <c r="AC6" t="s">
        <v>465</v>
      </c>
      <c r="AD6" t="s">
        <v>42</v>
      </c>
      <c r="AE6">
        <v>2</v>
      </c>
      <c r="AF6">
        <v>0</v>
      </c>
      <c r="AG6">
        <v>195</v>
      </c>
      <c r="AH6" s="8">
        <f t="shared" si="6"/>
        <v>2</v>
      </c>
      <c r="AI6" s="8">
        <f t="shared" si="7"/>
        <v>2</v>
      </c>
      <c r="AJ6" s="8">
        <f t="shared" si="8"/>
        <v>390</v>
      </c>
    </row>
    <row r="7" spans="1:37" x14ac:dyDescent="0.25">
      <c r="A7" s="3" t="s">
        <v>432</v>
      </c>
      <c r="B7" s="3" t="s">
        <v>433</v>
      </c>
      <c r="C7" s="3" t="s">
        <v>434</v>
      </c>
      <c r="E7" t="s">
        <v>435</v>
      </c>
      <c r="F7" t="s">
        <v>427</v>
      </c>
      <c r="G7" t="s">
        <v>436</v>
      </c>
      <c r="H7" t="s">
        <v>437</v>
      </c>
      <c r="I7">
        <v>2</v>
      </c>
      <c r="J7">
        <v>0</v>
      </c>
      <c r="K7">
        <v>24.9</v>
      </c>
      <c r="L7" s="8">
        <f t="shared" si="0"/>
        <v>2</v>
      </c>
      <c r="M7" s="8">
        <f t="shared" si="1"/>
        <v>2</v>
      </c>
      <c r="N7" s="8">
        <f t="shared" si="2"/>
        <v>49.8</v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A7" s="6" t="s">
        <v>466</v>
      </c>
      <c r="AB7" t="s">
        <v>418</v>
      </c>
      <c r="AC7" t="s">
        <v>467</v>
      </c>
      <c r="AD7" t="s">
        <v>42</v>
      </c>
      <c r="AE7">
        <v>2</v>
      </c>
      <c r="AF7">
        <v>0</v>
      </c>
      <c r="AG7">
        <v>40</v>
      </c>
      <c r="AH7" s="8">
        <f t="shared" si="6"/>
        <v>2</v>
      </c>
      <c r="AI7" s="8">
        <f t="shared" si="7"/>
        <v>2</v>
      </c>
      <c r="AJ7" s="8">
        <f t="shared" si="8"/>
        <v>80</v>
      </c>
    </row>
    <row r="8" spans="1:37" x14ac:dyDescent="0.25">
      <c r="A8" s="3" t="s">
        <v>422</v>
      </c>
      <c r="B8" s="3" t="s">
        <v>438</v>
      </c>
      <c r="C8" s="3" t="s">
        <v>439</v>
      </c>
      <c r="E8" t="s">
        <v>440</v>
      </c>
      <c r="F8" t="s">
        <v>427</v>
      </c>
      <c r="G8" t="s">
        <v>441</v>
      </c>
      <c r="H8" t="s">
        <v>9</v>
      </c>
      <c r="I8">
        <v>2</v>
      </c>
      <c r="J8">
        <v>0</v>
      </c>
      <c r="K8">
        <v>4.8</v>
      </c>
      <c r="L8" s="8">
        <f t="shared" si="0"/>
        <v>2</v>
      </c>
      <c r="M8" s="8">
        <f t="shared" si="1"/>
        <v>2</v>
      </c>
      <c r="N8" s="8">
        <f t="shared" si="2"/>
        <v>9.6</v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A9" s="3" t="s">
        <v>417</v>
      </c>
      <c r="B9" s="3" t="s">
        <v>442</v>
      </c>
      <c r="C9" s="3" t="s">
        <v>443</v>
      </c>
      <c r="E9" t="s">
        <v>444</v>
      </c>
      <c r="F9" t="s">
        <v>432</v>
      </c>
      <c r="G9" t="s">
        <v>445</v>
      </c>
      <c r="H9" t="s">
        <v>11</v>
      </c>
      <c r="I9">
        <v>1</v>
      </c>
      <c r="J9">
        <v>0</v>
      </c>
      <c r="K9">
        <v>65</v>
      </c>
      <c r="L9" s="8">
        <f t="shared" si="0"/>
        <v>1</v>
      </c>
      <c r="M9" s="8">
        <f t="shared" si="1"/>
        <v>1</v>
      </c>
      <c r="N9" s="8">
        <f t="shared" si="2"/>
        <v>65</v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A10" s="3" t="s">
        <v>446</v>
      </c>
      <c r="B10" s="3" t="s">
        <v>447</v>
      </c>
      <c r="C10" s="3" t="s">
        <v>448</v>
      </c>
      <c r="E10" t="s">
        <v>449</v>
      </c>
      <c r="F10" t="s">
        <v>446</v>
      </c>
      <c r="G10" t="s">
        <v>450</v>
      </c>
      <c r="H10" t="s">
        <v>42</v>
      </c>
      <c r="I10">
        <v>1</v>
      </c>
      <c r="J10">
        <v>0</v>
      </c>
      <c r="K10">
        <v>180</v>
      </c>
      <c r="L10" s="8">
        <f t="shared" si="0"/>
        <v>1</v>
      </c>
      <c r="M10" s="8">
        <f t="shared" si="1"/>
        <v>1</v>
      </c>
      <c r="N10" s="8">
        <f t="shared" si="2"/>
        <v>180</v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A11" s="3" t="s">
        <v>451</v>
      </c>
      <c r="B11" s="3" t="s">
        <v>452</v>
      </c>
      <c r="C11" s="3" t="s">
        <v>453</v>
      </c>
      <c r="E11" t="s">
        <v>454</v>
      </c>
      <c r="F11" t="s">
        <v>446</v>
      </c>
      <c r="G11" t="s">
        <v>455</v>
      </c>
      <c r="H11" t="s">
        <v>34</v>
      </c>
      <c r="I11">
        <v>2</v>
      </c>
      <c r="J11">
        <v>0</v>
      </c>
      <c r="K11">
        <v>120</v>
      </c>
      <c r="L11" s="8">
        <f t="shared" si="0"/>
        <v>2</v>
      </c>
      <c r="M11" s="8">
        <f t="shared" si="1"/>
        <v>2</v>
      </c>
      <c r="N11" s="8">
        <f t="shared" si="2"/>
        <v>240</v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A12" s="3" t="s">
        <v>456</v>
      </c>
      <c r="B12" s="3" t="s">
        <v>457</v>
      </c>
      <c r="C12" s="3" t="s">
        <v>458</v>
      </c>
      <c r="L12" s="8" t="str">
        <f t="shared" si="0"/>
        <v/>
      </c>
      <c r="M12" s="8" t="str">
        <f t="shared" si="1"/>
        <v/>
      </c>
      <c r="N12" s="8" t="str">
        <f t="shared" si="2"/>
        <v/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L13" s="8" t="str">
        <f t="shared" si="0"/>
        <v/>
      </c>
      <c r="M13" s="8" t="str">
        <f t="shared" si="1"/>
        <v/>
      </c>
      <c r="N13" s="8" t="str">
        <f t="shared" si="2"/>
        <v/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L14" s="8" t="str">
        <f t="shared" si="0"/>
        <v/>
      </c>
      <c r="M14" s="8" t="str">
        <f t="shared" si="1"/>
        <v/>
      </c>
      <c r="N14" s="8" t="str">
        <f t="shared" si="2"/>
        <v/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L15" s="8" t="str">
        <f t="shared" si="0"/>
        <v/>
      </c>
      <c r="M15" s="8" t="str">
        <f t="shared" si="1"/>
        <v/>
      </c>
      <c r="N15" s="8" t="str">
        <f t="shared" si="2"/>
        <v/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L16" s="8" t="str">
        <f t="shared" si="0"/>
        <v/>
      </c>
      <c r="M16" s="8" t="str">
        <f t="shared" si="1"/>
        <v/>
      </c>
      <c r="N16" s="8" t="str">
        <f t="shared" si="2"/>
        <v/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L17" s="8" t="str">
        <f t="shared" si="0"/>
        <v/>
      </c>
      <c r="M17" s="8" t="str">
        <f t="shared" si="1"/>
        <v/>
      </c>
      <c r="N17" s="8" t="str">
        <f t="shared" si="2"/>
        <v/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L18" s="8" t="str">
        <f t="shared" si="0"/>
        <v/>
      </c>
      <c r="M18" s="8" t="str">
        <f t="shared" si="1"/>
        <v/>
      </c>
      <c r="N18" s="8" t="str">
        <f t="shared" si="2"/>
        <v/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L19" s="8" t="str">
        <f t="shared" si="0"/>
        <v/>
      </c>
      <c r="M19" s="8" t="str">
        <f t="shared" si="1"/>
        <v/>
      </c>
      <c r="N19" s="8" t="str">
        <f t="shared" si="2"/>
        <v/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L20" s="8" t="str">
        <f t="shared" si="0"/>
        <v/>
      </c>
      <c r="M20" s="8" t="str">
        <f t="shared" si="1"/>
        <v/>
      </c>
      <c r="N20" s="8" t="str">
        <f t="shared" si="2"/>
        <v/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L21" s="8" t="str">
        <f t="shared" si="0"/>
        <v/>
      </c>
      <c r="M21" s="8" t="str">
        <f t="shared" si="1"/>
        <v/>
      </c>
      <c r="N21" s="8" t="str">
        <f t="shared" si="2"/>
        <v/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L22" s="8" t="str">
        <f t="shared" si="0"/>
        <v/>
      </c>
      <c r="M22" s="8" t="str">
        <f t="shared" si="1"/>
        <v/>
      </c>
      <c r="N22" s="8" t="str">
        <f t="shared" si="2"/>
        <v/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L23" s="8" t="str">
        <f t="shared" si="0"/>
        <v/>
      </c>
      <c r="M23" s="8" t="str">
        <f t="shared" si="1"/>
        <v/>
      </c>
      <c r="N23" s="8" t="str">
        <f t="shared" si="2"/>
        <v/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L24" s="8" t="str">
        <f t="shared" si="0"/>
        <v/>
      </c>
      <c r="M24" s="8" t="str">
        <f t="shared" si="1"/>
        <v/>
      </c>
      <c r="N24" s="8" t="str">
        <f t="shared" si="2"/>
        <v/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L25" s="8" t="str">
        <f t="shared" si="0"/>
        <v/>
      </c>
      <c r="M25" s="8" t="str">
        <f t="shared" si="1"/>
        <v/>
      </c>
      <c r="N25" s="8" t="str">
        <f t="shared" si="2"/>
        <v/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L26" s="8" t="str">
        <f t="shared" si="0"/>
        <v/>
      </c>
      <c r="M26" s="8" t="str">
        <f t="shared" si="1"/>
        <v/>
      </c>
      <c r="N26" s="8" t="str">
        <f t="shared" si="2"/>
        <v/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D1D6-3577-497F-BFCD-37DC30A20610}">
  <sheetPr codeName="Sheet7"/>
  <dimension ref="A1:G49"/>
  <sheetViews>
    <sheetView workbookViewId="0"/>
  </sheetViews>
  <sheetFormatPr defaultRowHeight="15" x14ac:dyDescent="0.25"/>
  <sheetData>
    <row r="1" spans="1:7" x14ac:dyDescent="0.25">
      <c r="A1" t="s">
        <v>26</v>
      </c>
      <c r="C1" t="str">
        <f>_xlfn.LET(_xlpm.v,IFERROR(--C$3:C$49,0),IF(SUMPRODUCT(--(_xlpm.v&lt;&gt;0))=0,"",SUM(_xlpm.v)))</f>
        <v/>
      </c>
      <c r="D1" t="str">
        <f>_xlfn.LET(_xlpm.v,IFERROR(--D$3:D$49,0),IF(SUMPRODUCT(--(_xlpm.v&lt;&gt;0))=0,"",SUM(_xlpm.v)))</f>
        <v/>
      </c>
      <c r="E1" t="str">
        <f>_xlfn.LET(_xlpm.v,IFERROR(--E$3:E$49,0),IF(SUMPRODUCT(--(_xlpm.v&lt;&gt;0))=0,"",SUM(_xlpm.v)))</f>
        <v/>
      </c>
      <c r="F1" t="str">
        <f>_xlfn.LET(_xlpm.v,IFERROR(--F$3:F$49,0),IF(SUMPRODUCT(--(_xlpm.v&lt;&gt;0))=0,"",SUM(_xlpm.v)))</f>
        <v/>
      </c>
      <c r="G1" t="str">
        <f>_xlfn.LET(_xlpm.v,IFERROR(--G$3:G$49,0),IF(SUMPRODUCT(--(_xlpm.v&lt;&gt;0))=0,"",SUM(_xlpm.v)))</f>
        <v/>
      </c>
    </row>
    <row r="2" spans="1:7" x14ac:dyDescent="0.25">
      <c r="A2" t="s">
        <v>20</v>
      </c>
      <c r="B2" t="s">
        <v>7</v>
      </c>
      <c r="C2" t="s">
        <v>21</v>
      </c>
      <c r="D2" t="s">
        <v>22</v>
      </c>
      <c r="E2" t="s">
        <v>23</v>
      </c>
      <c r="F2" t="s">
        <v>27</v>
      </c>
      <c r="G2" t="s">
        <v>28</v>
      </c>
    </row>
    <row r="3" spans="1:7" x14ac:dyDescent="0.25">
      <c r="A3">
        <v>1</v>
      </c>
      <c r="B3" t="str">
        <f t="shared" ref="B3:B49" si="0">IF($A3=1,"S"&amp;TEXT(ROW()-2,"00"),"")</f>
        <v>S01</v>
      </c>
      <c r="C3">
        <f t="shared" ref="C3:C49" ca="1" si="1">_xlfn.LET(_xlpm.sh,IFERROR(MID($B3,SEARCH("S",$B3),3),$B3),IF($B3="","",IFERROR(SUMIFS(INDIRECT("'"&amp;_xlpm.sh&amp;"'!N3:N300"),INDIRECT("'"&amp;_xlpm.sh&amp;"'!F3:F300"),"&lt;&gt;",INDIRECT("'"&amp;_xlpm.sh&amp;"'!H3:H300"),"&lt;&gt;"),0)))</f>
        <v>2900.9700000000003</v>
      </c>
      <c r="D3">
        <f t="shared" ref="D3:D49" ca="1" si="2">_xlfn.LET(_xlpm.sh,IFERROR(MID($B3,SEARCH("S",$B3),3),$B3),IF($B3="","",IFERROR(SUMIFS(INDIRECT("'"&amp;_xlpm.sh&amp;"'!Y3:Y300"),INDIRECT("'"&amp;_xlpm.sh&amp;"'!Q3:Q300"),"&lt;&gt;",INDIRECT("'"&amp;_xlpm.sh&amp;"'!S3:S300"),"&lt;&gt;"),0)))</f>
        <v>3150</v>
      </c>
      <c r="E3">
        <f t="shared" ref="E3:E49" ca="1" si="3">_xlfn.LET(_xlpm.sh,IFERROR(MID($B3,SEARCH("S",$B3),3),$B3),IF($B3="","",IFERROR(SUMIFS(INDIRECT("'"&amp;_xlpm.sh&amp;"'!AJ3:AJ300"),INDIRECT("'"&amp;_xlpm.sh&amp;"'!AB3:AB300"),"&lt;&gt;",INDIRECT("'"&amp;_xlpm.sh&amp;"'!AD3:AD300"),"&lt;&gt;"),0)))</f>
        <v>400</v>
      </c>
      <c r="F3">
        <f t="shared" ref="F3:F49" ca="1" si="4">IF($B3="","",C3+D3+E3)</f>
        <v>6450.97</v>
      </c>
      <c r="G3">
        <f t="shared" ref="G3:G49" ca="1" si="5">IF($A3=1,$F3,0)</f>
        <v>6450.97</v>
      </c>
    </row>
    <row r="4" spans="1:7" x14ac:dyDescent="0.25">
      <c r="A4">
        <v>1</v>
      </c>
      <c r="B4" t="str">
        <f t="shared" si="0"/>
        <v>S02</v>
      </c>
      <c r="C4">
        <f t="shared" ca="1" si="1"/>
        <v>2618.1999999999998</v>
      </c>
      <c r="D4">
        <f t="shared" ca="1" si="2"/>
        <v>2750</v>
      </c>
      <c r="E4">
        <f t="shared" ca="1" si="3"/>
        <v>0</v>
      </c>
      <c r="F4">
        <f t="shared" ca="1" si="4"/>
        <v>5368.2</v>
      </c>
      <c r="G4">
        <f t="shared" ca="1" si="5"/>
        <v>5368.2</v>
      </c>
    </row>
    <row r="5" spans="1:7" x14ac:dyDescent="0.25">
      <c r="A5">
        <v>1</v>
      </c>
      <c r="B5" t="str">
        <f t="shared" si="0"/>
        <v>S03</v>
      </c>
      <c r="C5">
        <f t="shared" ca="1" si="1"/>
        <v>992.40000000000009</v>
      </c>
      <c r="D5">
        <f t="shared" ca="1" si="2"/>
        <v>2170</v>
      </c>
      <c r="E5">
        <f t="shared" ca="1" si="3"/>
        <v>600</v>
      </c>
      <c r="F5">
        <f t="shared" ca="1" si="4"/>
        <v>3762.4</v>
      </c>
      <c r="G5">
        <f t="shared" ca="1" si="5"/>
        <v>3762.4</v>
      </c>
    </row>
    <row r="6" spans="1:7" x14ac:dyDescent="0.25">
      <c r="B6" t="str">
        <f t="shared" si="0"/>
        <v/>
      </c>
      <c r="C6" t="str">
        <f t="shared" ca="1" si="1"/>
        <v/>
      </c>
      <c r="D6" t="str">
        <f t="shared" ca="1" si="2"/>
        <v/>
      </c>
      <c r="E6" t="str">
        <f t="shared" ca="1" si="3"/>
        <v/>
      </c>
      <c r="F6" t="str">
        <f t="shared" si="4"/>
        <v/>
      </c>
      <c r="G6">
        <f t="shared" si="5"/>
        <v>0</v>
      </c>
    </row>
    <row r="7" spans="1:7" x14ac:dyDescent="0.25">
      <c r="B7" t="str">
        <f t="shared" si="0"/>
        <v/>
      </c>
      <c r="C7" t="str">
        <f t="shared" ca="1" si="1"/>
        <v/>
      </c>
      <c r="D7" t="str">
        <f t="shared" ca="1" si="2"/>
        <v/>
      </c>
      <c r="E7" t="str">
        <f t="shared" ca="1" si="3"/>
        <v/>
      </c>
      <c r="F7" t="str">
        <f t="shared" si="4"/>
        <v/>
      </c>
      <c r="G7">
        <f t="shared" si="5"/>
        <v>0</v>
      </c>
    </row>
    <row r="8" spans="1:7" x14ac:dyDescent="0.25">
      <c r="B8" t="str">
        <f t="shared" si="0"/>
        <v/>
      </c>
      <c r="C8" t="str">
        <f t="shared" ca="1" si="1"/>
        <v/>
      </c>
      <c r="D8" t="str">
        <f t="shared" ca="1" si="2"/>
        <v/>
      </c>
      <c r="E8" t="str">
        <f t="shared" ca="1" si="3"/>
        <v/>
      </c>
      <c r="F8" t="str">
        <f t="shared" si="4"/>
        <v/>
      </c>
      <c r="G8">
        <f t="shared" si="5"/>
        <v>0</v>
      </c>
    </row>
    <row r="9" spans="1:7" x14ac:dyDescent="0.25">
      <c r="B9" t="str">
        <f t="shared" si="0"/>
        <v/>
      </c>
      <c r="C9" t="str">
        <f t="shared" ca="1" si="1"/>
        <v/>
      </c>
      <c r="D9" t="str">
        <f t="shared" ca="1" si="2"/>
        <v/>
      </c>
      <c r="E9" t="str">
        <f t="shared" ca="1" si="3"/>
        <v/>
      </c>
      <c r="F9" t="str">
        <f t="shared" si="4"/>
        <v/>
      </c>
      <c r="G9">
        <f t="shared" si="5"/>
        <v>0</v>
      </c>
    </row>
    <row r="10" spans="1:7" x14ac:dyDescent="0.25">
      <c r="B10" t="str">
        <f t="shared" si="0"/>
        <v/>
      </c>
      <c r="C10" t="str">
        <f t="shared" ca="1" si="1"/>
        <v/>
      </c>
      <c r="D10" t="str">
        <f t="shared" ca="1" si="2"/>
        <v/>
      </c>
      <c r="E10" t="str">
        <f t="shared" ca="1" si="3"/>
        <v/>
      </c>
      <c r="F10" t="str">
        <f t="shared" si="4"/>
        <v/>
      </c>
      <c r="G10">
        <f t="shared" si="5"/>
        <v>0</v>
      </c>
    </row>
    <row r="11" spans="1:7" x14ac:dyDescent="0.25">
      <c r="B11" t="str">
        <f t="shared" si="0"/>
        <v/>
      </c>
      <c r="C11" t="str">
        <f t="shared" ca="1" si="1"/>
        <v/>
      </c>
      <c r="D11" t="str">
        <f t="shared" ca="1" si="2"/>
        <v/>
      </c>
      <c r="E11" t="str">
        <f t="shared" ca="1" si="3"/>
        <v/>
      </c>
      <c r="F11" t="str">
        <f t="shared" si="4"/>
        <v/>
      </c>
      <c r="G11">
        <f t="shared" si="5"/>
        <v>0</v>
      </c>
    </row>
    <row r="12" spans="1:7" x14ac:dyDescent="0.25">
      <c r="B12" t="str">
        <f t="shared" si="0"/>
        <v/>
      </c>
      <c r="C12" t="str">
        <f t="shared" ca="1" si="1"/>
        <v/>
      </c>
      <c r="D12" t="str">
        <f t="shared" ca="1" si="2"/>
        <v/>
      </c>
      <c r="E12" t="str">
        <f t="shared" ca="1" si="3"/>
        <v/>
      </c>
      <c r="F12" t="str">
        <f t="shared" si="4"/>
        <v/>
      </c>
      <c r="G12">
        <f t="shared" si="5"/>
        <v>0</v>
      </c>
    </row>
    <row r="13" spans="1:7" x14ac:dyDescent="0.25">
      <c r="B13" t="str">
        <f t="shared" si="0"/>
        <v/>
      </c>
      <c r="C13" t="str">
        <f t="shared" ca="1" si="1"/>
        <v/>
      </c>
      <c r="D13" t="str">
        <f t="shared" ca="1" si="2"/>
        <v/>
      </c>
      <c r="E13" t="str">
        <f t="shared" ca="1" si="3"/>
        <v/>
      </c>
      <c r="F13" t="str">
        <f t="shared" si="4"/>
        <v/>
      </c>
      <c r="G13">
        <f t="shared" si="5"/>
        <v>0</v>
      </c>
    </row>
    <row r="14" spans="1:7" x14ac:dyDescent="0.25">
      <c r="B14" t="str">
        <f t="shared" si="0"/>
        <v/>
      </c>
      <c r="C14" t="str">
        <f t="shared" ca="1" si="1"/>
        <v/>
      </c>
      <c r="D14" t="str">
        <f t="shared" ca="1" si="2"/>
        <v/>
      </c>
      <c r="E14" t="str">
        <f t="shared" ca="1" si="3"/>
        <v/>
      </c>
      <c r="F14" t="str">
        <f t="shared" si="4"/>
        <v/>
      </c>
      <c r="G14">
        <f t="shared" si="5"/>
        <v>0</v>
      </c>
    </row>
    <row r="15" spans="1:7" x14ac:dyDescent="0.25">
      <c r="B15" t="str">
        <f t="shared" si="0"/>
        <v/>
      </c>
      <c r="C15" t="str">
        <f t="shared" ca="1" si="1"/>
        <v/>
      </c>
      <c r="D15" t="str">
        <f t="shared" ca="1" si="2"/>
        <v/>
      </c>
      <c r="E15" t="str">
        <f t="shared" ca="1" si="3"/>
        <v/>
      </c>
      <c r="F15" t="str">
        <f t="shared" si="4"/>
        <v/>
      </c>
      <c r="G15">
        <f t="shared" si="5"/>
        <v>0</v>
      </c>
    </row>
    <row r="16" spans="1:7" x14ac:dyDescent="0.25">
      <c r="B16" t="str">
        <f t="shared" si="0"/>
        <v/>
      </c>
      <c r="C16" t="str">
        <f t="shared" ca="1" si="1"/>
        <v/>
      </c>
      <c r="D16" t="str">
        <f t="shared" ca="1" si="2"/>
        <v/>
      </c>
      <c r="E16" t="str">
        <f t="shared" ca="1" si="3"/>
        <v/>
      </c>
      <c r="F16" t="str">
        <f t="shared" si="4"/>
        <v/>
      </c>
      <c r="G16">
        <f t="shared" si="5"/>
        <v>0</v>
      </c>
    </row>
    <row r="17" spans="2:7" x14ac:dyDescent="0.25">
      <c r="B17" t="str">
        <f t="shared" si="0"/>
        <v/>
      </c>
      <c r="C17" t="str">
        <f t="shared" ca="1" si="1"/>
        <v/>
      </c>
      <c r="D17" t="str">
        <f t="shared" ca="1" si="2"/>
        <v/>
      </c>
      <c r="E17" t="str">
        <f t="shared" ca="1" si="3"/>
        <v/>
      </c>
      <c r="F17" t="str">
        <f t="shared" si="4"/>
        <v/>
      </c>
      <c r="G17">
        <f t="shared" si="5"/>
        <v>0</v>
      </c>
    </row>
    <row r="18" spans="2:7" x14ac:dyDescent="0.25">
      <c r="B18" t="str">
        <f t="shared" si="0"/>
        <v/>
      </c>
      <c r="C18" t="str">
        <f t="shared" ca="1" si="1"/>
        <v/>
      </c>
      <c r="D18" t="str">
        <f t="shared" ca="1" si="2"/>
        <v/>
      </c>
      <c r="E18" t="str">
        <f t="shared" ca="1" si="3"/>
        <v/>
      </c>
      <c r="F18" t="str">
        <f t="shared" si="4"/>
        <v/>
      </c>
      <c r="G18">
        <f t="shared" si="5"/>
        <v>0</v>
      </c>
    </row>
    <row r="19" spans="2:7" x14ac:dyDescent="0.25">
      <c r="B19" t="str">
        <f t="shared" si="0"/>
        <v/>
      </c>
      <c r="C19" t="str">
        <f t="shared" ca="1" si="1"/>
        <v/>
      </c>
      <c r="D19" t="str">
        <f t="shared" ca="1" si="2"/>
        <v/>
      </c>
      <c r="E19" t="str">
        <f t="shared" ca="1" si="3"/>
        <v/>
      </c>
      <c r="F19" t="str">
        <f t="shared" si="4"/>
        <v/>
      </c>
      <c r="G19">
        <f t="shared" si="5"/>
        <v>0</v>
      </c>
    </row>
    <row r="20" spans="2:7" x14ac:dyDescent="0.25">
      <c r="B20" t="str">
        <f t="shared" si="0"/>
        <v/>
      </c>
      <c r="C20" t="str">
        <f t="shared" ca="1" si="1"/>
        <v/>
      </c>
      <c r="D20" t="str">
        <f t="shared" ca="1" si="2"/>
        <v/>
      </c>
      <c r="E20" t="str">
        <f t="shared" ca="1" si="3"/>
        <v/>
      </c>
      <c r="F20" t="str">
        <f t="shared" si="4"/>
        <v/>
      </c>
      <c r="G20">
        <f t="shared" si="5"/>
        <v>0</v>
      </c>
    </row>
    <row r="21" spans="2:7" x14ac:dyDescent="0.25">
      <c r="B21" t="str">
        <f t="shared" si="0"/>
        <v/>
      </c>
      <c r="C21" t="str">
        <f t="shared" ca="1" si="1"/>
        <v/>
      </c>
      <c r="D21" t="str">
        <f t="shared" ca="1" si="2"/>
        <v/>
      </c>
      <c r="E21" t="str">
        <f t="shared" ca="1" si="3"/>
        <v/>
      </c>
      <c r="F21" t="str">
        <f t="shared" si="4"/>
        <v/>
      </c>
      <c r="G21">
        <f t="shared" si="5"/>
        <v>0</v>
      </c>
    </row>
    <row r="22" spans="2:7" x14ac:dyDescent="0.25">
      <c r="B22" t="str">
        <f t="shared" si="0"/>
        <v/>
      </c>
      <c r="C22" t="str">
        <f t="shared" ca="1" si="1"/>
        <v/>
      </c>
      <c r="D22" t="str">
        <f t="shared" ca="1" si="2"/>
        <v/>
      </c>
      <c r="E22" t="str">
        <f t="shared" ca="1" si="3"/>
        <v/>
      </c>
      <c r="F22" t="str">
        <f t="shared" si="4"/>
        <v/>
      </c>
      <c r="G22">
        <f t="shared" si="5"/>
        <v>0</v>
      </c>
    </row>
    <row r="23" spans="2:7" x14ac:dyDescent="0.25">
      <c r="B23" t="str">
        <f t="shared" si="0"/>
        <v/>
      </c>
      <c r="C23" t="str">
        <f t="shared" ca="1" si="1"/>
        <v/>
      </c>
      <c r="D23" t="str">
        <f t="shared" ca="1" si="2"/>
        <v/>
      </c>
      <c r="E23" t="str">
        <f t="shared" ca="1" si="3"/>
        <v/>
      </c>
      <c r="F23" t="str">
        <f t="shared" si="4"/>
        <v/>
      </c>
      <c r="G23">
        <f t="shared" si="5"/>
        <v>0</v>
      </c>
    </row>
    <row r="24" spans="2:7" x14ac:dyDescent="0.25">
      <c r="B24" t="str">
        <f t="shared" si="0"/>
        <v/>
      </c>
      <c r="C24" t="str">
        <f t="shared" ca="1" si="1"/>
        <v/>
      </c>
      <c r="D24" t="str">
        <f t="shared" ca="1" si="2"/>
        <v/>
      </c>
      <c r="E24" t="str">
        <f t="shared" ca="1" si="3"/>
        <v/>
      </c>
      <c r="F24" t="str">
        <f t="shared" si="4"/>
        <v/>
      </c>
      <c r="G24">
        <f t="shared" si="5"/>
        <v>0</v>
      </c>
    </row>
    <row r="25" spans="2:7" x14ac:dyDescent="0.25">
      <c r="B25" t="str">
        <f t="shared" si="0"/>
        <v/>
      </c>
      <c r="C25" t="str">
        <f t="shared" ca="1" si="1"/>
        <v/>
      </c>
      <c r="D25" t="str">
        <f t="shared" ca="1" si="2"/>
        <v/>
      </c>
      <c r="E25" t="str">
        <f t="shared" ca="1" si="3"/>
        <v/>
      </c>
      <c r="F25" t="str">
        <f t="shared" si="4"/>
        <v/>
      </c>
      <c r="G25">
        <f t="shared" si="5"/>
        <v>0</v>
      </c>
    </row>
    <row r="26" spans="2:7" x14ac:dyDescent="0.25">
      <c r="B26" t="str">
        <f t="shared" si="0"/>
        <v/>
      </c>
      <c r="C26" t="str">
        <f t="shared" ca="1" si="1"/>
        <v/>
      </c>
      <c r="D26" t="str">
        <f t="shared" ca="1" si="2"/>
        <v/>
      </c>
      <c r="E26" t="str">
        <f t="shared" ca="1" si="3"/>
        <v/>
      </c>
      <c r="F26" t="str">
        <f t="shared" si="4"/>
        <v/>
      </c>
      <c r="G26">
        <f t="shared" si="5"/>
        <v>0</v>
      </c>
    </row>
    <row r="27" spans="2:7" x14ac:dyDescent="0.25">
      <c r="B27" t="str">
        <f t="shared" si="0"/>
        <v/>
      </c>
      <c r="C27" t="str">
        <f t="shared" ca="1" si="1"/>
        <v/>
      </c>
      <c r="D27" t="str">
        <f t="shared" ca="1" si="2"/>
        <v/>
      </c>
      <c r="E27" t="str">
        <f t="shared" ca="1" si="3"/>
        <v/>
      </c>
      <c r="F27" t="str">
        <f t="shared" si="4"/>
        <v/>
      </c>
      <c r="G27">
        <f t="shared" si="5"/>
        <v>0</v>
      </c>
    </row>
    <row r="28" spans="2:7" x14ac:dyDescent="0.25">
      <c r="B28" t="str">
        <f t="shared" si="0"/>
        <v/>
      </c>
      <c r="C28" t="str">
        <f t="shared" ca="1" si="1"/>
        <v/>
      </c>
      <c r="D28" t="str">
        <f t="shared" ca="1" si="2"/>
        <v/>
      </c>
      <c r="E28" t="str">
        <f t="shared" ca="1" si="3"/>
        <v/>
      </c>
      <c r="F28" t="str">
        <f t="shared" si="4"/>
        <v/>
      </c>
      <c r="G28">
        <f t="shared" si="5"/>
        <v>0</v>
      </c>
    </row>
    <row r="29" spans="2:7" x14ac:dyDescent="0.25">
      <c r="B29" t="str">
        <f t="shared" si="0"/>
        <v/>
      </c>
      <c r="C29" t="str">
        <f t="shared" ca="1" si="1"/>
        <v/>
      </c>
      <c r="D29" t="str">
        <f t="shared" ca="1" si="2"/>
        <v/>
      </c>
      <c r="E29" t="str">
        <f t="shared" ca="1" si="3"/>
        <v/>
      </c>
      <c r="F29" t="str">
        <f t="shared" si="4"/>
        <v/>
      </c>
      <c r="G29">
        <f t="shared" si="5"/>
        <v>0</v>
      </c>
    </row>
    <row r="30" spans="2:7" x14ac:dyDescent="0.25">
      <c r="B30" t="str">
        <f t="shared" si="0"/>
        <v/>
      </c>
      <c r="C30" t="str">
        <f t="shared" ca="1" si="1"/>
        <v/>
      </c>
      <c r="D30" t="str">
        <f t="shared" ca="1" si="2"/>
        <v/>
      </c>
      <c r="E30" t="str">
        <f t="shared" ca="1" si="3"/>
        <v/>
      </c>
      <c r="F30" t="str">
        <f t="shared" si="4"/>
        <v/>
      </c>
      <c r="G30">
        <f t="shared" si="5"/>
        <v>0</v>
      </c>
    </row>
    <row r="31" spans="2:7" x14ac:dyDescent="0.25">
      <c r="B31" t="str">
        <f t="shared" si="0"/>
        <v/>
      </c>
      <c r="C31" t="str">
        <f t="shared" ca="1" si="1"/>
        <v/>
      </c>
      <c r="D31" t="str">
        <f t="shared" ca="1" si="2"/>
        <v/>
      </c>
      <c r="E31" t="str">
        <f t="shared" ca="1" si="3"/>
        <v/>
      </c>
      <c r="F31" t="str">
        <f t="shared" si="4"/>
        <v/>
      </c>
      <c r="G31">
        <f t="shared" si="5"/>
        <v>0</v>
      </c>
    </row>
    <row r="32" spans="2:7" x14ac:dyDescent="0.25">
      <c r="B32" t="str">
        <f t="shared" si="0"/>
        <v/>
      </c>
      <c r="C32" t="str">
        <f t="shared" ca="1" si="1"/>
        <v/>
      </c>
      <c r="D32" t="str">
        <f t="shared" ca="1" si="2"/>
        <v/>
      </c>
      <c r="E32" t="str">
        <f t="shared" ca="1" si="3"/>
        <v/>
      </c>
      <c r="F32" t="str">
        <f t="shared" si="4"/>
        <v/>
      </c>
      <c r="G32">
        <f t="shared" si="5"/>
        <v>0</v>
      </c>
    </row>
    <row r="33" spans="2:7" x14ac:dyDescent="0.25">
      <c r="B33" t="str">
        <f t="shared" si="0"/>
        <v/>
      </c>
      <c r="C33" t="str">
        <f t="shared" ca="1" si="1"/>
        <v/>
      </c>
      <c r="D33" t="str">
        <f t="shared" ca="1" si="2"/>
        <v/>
      </c>
      <c r="E33" t="str">
        <f t="shared" ca="1" si="3"/>
        <v/>
      </c>
      <c r="F33" t="str">
        <f t="shared" si="4"/>
        <v/>
      </c>
      <c r="G33">
        <f t="shared" si="5"/>
        <v>0</v>
      </c>
    </row>
    <row r="34" spans="2:7" x14ac:dyDescent="0.25">
      <c r="B34" t="str">
        <f t="shared" si="0"/>
        <v/>
      </c>
      <c r="C34" t="str">
        <f t="shared" ca="1" si="1"/>
        <v/>
      </c>
      <c r="D34" t="str">
        <f t="shared" ca="1" si="2"/>
        <v/>
      </c>
      <c r="E34" t="str">
        <f t="shared" ca="1" si="3"/>
        <v/>
      </c>
      <c r="F34" t="str">
        <f t="shared" si="4"/>
        <v/>
      </c>
      <c r="G34">
        <f t="shared" si="5"/>
        <v>0</v>
      </c>
    </row>
    <row r="35" spans="2:7" x14ac:dyDescent="0.25">
      <c r="B35" t="str">
        <f t="shared" si="0"/>
        <v/>
      </c>
      <c r="C35" t="str">
        <f t="shared" ca="1" si="1"/>
        <v/>
      </c>
      <c r="D35" t="str">
        <f t="shared" ca="1" si="2"/>
        <v/>
      </c>
      <c r="E35" t="str">
        <f t="shared" ca="1" si="3"/>
        <v/>
      </c>
      <c r="F35" t="str">
        <f t="shared" si="4"/>
        <v/>
      </c>
      <c r="G35">
        <f t="shared" si="5"/>
        <v>0</v>
      </c>
    </row>
    <row r="36" spans="2:7" x14ac:dyDescent="0.25">
      <c r="B36" t="str">
        <f t="shared" si="0"/>
        <v/>
      </c>
      <c r="C36" t="str">
        <f t="shared" ca="1" si="1"/>
        <v/>
      </c>
      <c r="D36" t="str">
        <f t="shared" ca="1" si="2"/>
        <v/>
      </c>
      <c r="E36" t="str">
        <f t="shared" ca="1" si="3"/>
        <v/>
      </c>
      <c r="F36" t="str">
        <f t="shared" si="4"/>
        <v/>
      </c>
      <c r="G36">
        <f t="shared" si="5"/>
        <v>0</v>
      </c>
    </row>
    <row r="37" spans="2:7" x14ac:dyDescent="0.25">
      <c r="B37" t="str">
        <f t="shared" si="0"/>
        <v/>
      </c>
      <c r="C37" t="str">
        <f t="shared" ca="1" si="1"/>
        <v/>
      </c>
      <c r="D37" t="str">
        <f t="shared" ca="1" si="2"/>
        <v/>
      </c>
      <c r="E37" t="str">
        <f t="shared" ca="1" si="3"/>
        <v/>
      </c>
      <c r="F37" t="str">
        <f t="shared" si="4"/>
        <v/>
      </c>
      <c r="G37">
        <f t="shared" si="5"/>
        <v>0</v>
      </c>
    </row>
    <row r="38" spans="2:7" x14ac:dyDescent="0.25">
      <c r="B38" t="str">
        <f t="shared" si="0"/>
        <v/>
      </c>
      <c r="C38" t="str">
        <f t="shared" ca="1" si="1"/>
        <v/>
      </c>
      <c r="D38" t="str">
        <f t="shared" ca="1" si="2"/>
        <v/>
      </c>
      <c r="E38" t="str">
        <f t="shared" ca="1" si="3"/>
        <v/>
      </c>
      <c r="F38" t="str">
        <f t="shared" si="4"/>
        <v/>
      </c>
      <c r="G38">
        <f t="shared" si="5"/>
        <v>0</v>
      </c>
    </row>
    <row r="39" spans="2:7" x14ac:dyDescent="0.25">
      <c r="B39" t="str">
        <f t="shared" si="0"/>
        <v/>
      </c>
      <c r="C39" t="str">
        <f t="shared" ca="1" si="1"/>
        <v/>
      </c>
      <c r="D39" t="str">
        <f t="shared" ca="1" si="2"/>
        <v/>
      </c>
      <c r="E39" t="str">
        <f t="shared" ca="1" si="3"/>
        <v/>
      </c>
      <c r="F39" t="str">
        <f t="shared" si="4"/>
        <v/>
      </c>
      <c r="G39">
        <f t="shared" si="5"/>
        <v>0</v>
      </c>
    </row>
    <row r="40" spans="2:7" x14ac:dyDescent="0.25">
      <c r="B40" t="str">
        <f t="shared" si="0"/>
        <v/>
      </c>
      <c r="C40" t="str">
        <f t="shared" ca="1" si="1"/>
        <v/>
      </c>
      <c r="D40" t="str">
        <f t="shared" ca="1" si="2"/>
        <v/>
      </c>
      <c r="E40" t="str">
        <f t="shared" ca="1" si="3"/>
        <v/>
      </c>
      <c r="F40" t="str">
        <f t="shared" si="4"/>
        <v/>
      </c>
      <c r="G40">
        <f t="shared" si="5"/>
        <v>0</v>
      </c>
    </row>
    <row r="41" spans="2:7" x14ac:dyDescent="0.25">
      <c r="B41" t="str">
        <f t="shared" si="0"/>
        <v/>
      </c>
      <c r="C41" t="str">
        <f t="shared" ca="1" si="1"/>
        <v/>
      </c>
      <c r="D41" t="str">
        <f t="shared" ca="1" si="2"/>
        <v/>
      </c>
      <c r="E41" t="str">
        <f t="shared" ca="1" si="3"/>
        <v/>
      </c>
      <c r="F41" t="str">
        <f t="shared" si="4"/>
        <v/>
      </c>
      <c r="G41">
        <f t="shared" si="5"/>
        <v>0</v>
      </c>
    </row>
    <row r="42" spans="2:7" x14ac:dyDescent="0.25">
      <c r="B42" t="str">
        <f t="shared" si="0"/>
        <v/>
      </c>
      <c r="C42" t="str">
        <f t="shared" ca="1" si="1"/>
        <v/>
      </c>
      <c r="D42" t="str">
        <f t="shared" ca="1" si="2"/>
        <v/>
      </c>
      <c r="E42" t="str">
        <f t="shared" ca="1" si="3"/>
        <v/>
      </c>
      <c r="F42" t="str">
        <f t="shared" si="4"/>
        <v/>
      </c>
      <c r="G42">
        <f t="shared" si="5"/>
        <v>0</v>
      </c>
    </row>
    <row r="43" spans="2:7" x14ac:dyDescent="0.25">
      <c r="B43" t="str">
        <f t="shared" si="0"/>
        <v/>
      </c>
      <c r="C43" t="str">
        <f t="shared" ca="1" si="1"/>
        <v/>
      </c>
      <c r="D43" t="str">
        <f t="shared" ca="1" si="2"/>
        <v/>
      </c>
      <c r="E43" t="str">
        <f t="shared" ca="1" si="3"/>
        <v/>
      </c>
      <c r="F43" t="str">
        <f t="shared" si="4"/>
        <v/>
      </c>
      <c r="G43">
        <f t="shared" si="5"/>
        <v>0</v>
      </c>
    </row>
    <row r="44" spans="2:7" x14ac:dyDescent="0.25">
      <c r="B44" t="str">
        <f t="shared" si="0"/>
        <v/>
      </c>
      <c r="C44" t="str">
        <f t="shared" ca="1" si="1"/>
        <v/>
      </c>
      <c r="D44" t="str">
        <f t="shared" ca="1" si="2"/>
        <v/>
      </c>
      <c r="E44" t="str">
        <f t="shared" ca="1" si="3"/>
        <v/>
      </c>
      <c r="F44" t="str">
        <f t="shared" si="4"/>
        <v/>
      </c>
      <c r="G44">
        <f t="shared" si="5"/>
        <v>0</v>
      </c>
    </row>
    <row r="45" spans="2:7" x14ac:dyDescent="0.25">
      <c r="B45" t="str">
        <f t="shared" si="0"/>
        <v/>
      </c>
      <c r="C45" t="str">
        <f t="shared" ca="1" si="1"/>
        <v/>
      </c>
      <c r="D45" t="str">
        <f t="shared" ca="1" si="2"/>
        <v/>
      </c>
      <c r="E45" t="str">
        <f t="shared" ca="1" si="3"/>
        <v/>
      </c>
      <c r="F45" t="str">
        <f t="shared" si="4"/>
        <v/>
      </c>
      <c r="G45">
        <f t="shared" si="5"/>
        <v>0</v>
      </c>
    </row>
    <row r="46" spans="2:7" x14ac:dyDescent="0.25">
      <c r="B46" t="str">
        <f t="shared" si="0"/>
        <v/>
      </c>
      <c r="C46" t="str">
        <f t="shared" ca="1" si="1"/>
        <v/>
      </c>
      <c r="D46" t="str">
        <f t="shared" ca="1" si="2"/>
        <v/>
      </c>
      <c r="E46" t="str">
        <f t="shared" ca="1" si="3"/>
        <v/>
      </c>
      <c r="F46" t="str">
        <f t="shared" si="4"/>
        <v/>
      </c>
      <c r="G46">
        <f t="shared" si="5"/>
        <v>0</v>
      </c>
    </row>
    <row r="47" spans="2:7" x14ac:dyDescent="0.25">
      <c r="B47" t="str">
        <f t="shared" si="0"/>
        <v/>
      </c>
      <c r="C47" t="str">
        <f t="shared" ca="1" si="1"/>
        <v/>
      </c>
      <c r="D47" t="str">
        <f t="shared" ca="1" si="2"/>
        <v/>
      </c>
      <c r="E47" t="str">
        <f t="shared" ca="1" si="3"/>
        <v/>
      </c>
      <c r="F47" t="str">
        <f t="shared" si="4"/>
        <v/>
      </c>
      <c r="G47">
        <f t="shared" si="5"/>
        <v>0</v>
      </c>
    </row>
    <row r="48" spans="2:7" x14ac:dyDescent="0.25">
      <c r="B48" t="str">
        <f t="shared" si="0"/>
        <v/>
      </c>
      <c r="C48" t="str">
        <f t="shared" ca="1" si="1"/>
        <v/>
      </c>
      <c r="D48" t="str">
        <f t="shared" ca="1" si="2"/>
        <v/>
      </c>
      <c r="E48" t="str">
        <f t="shared" ca="1" si="3"/>
        <v/>
      </c>
      <c r="F48" t="str">
        <f t="shared" si="4"/>
        <v/>
      </c>
      <c r="G48">
        <f t="shared" si="5"/>
        <v>0</v>
      </c>
    </row>
    <row r="49" spans="2:7" x14ac:dyDescent="0.25">
      <c r="B49" t="str">
        <f t="shared" si="0"/>
        <v/>
      </c>
      <c r="C49" t="str">
        <f t="shared" ca="1" si="1"/>
        <v/>
      </c>
      <c r="D49" t="str">
        <f t="shared" ca="1" si="2"/>
        <v/>
      </c>
      <c r="E49" t="str">
        <f t="shared" ca="1" si="3"/>
        <v/>
      </c>
      <c r="F49" t="str">
        <f t="shared" si="4"/>
        <v/>
      </c>
      <c r="G49">
        <f t="shared" si="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PurchaseBAK</vt:lpstr>
      <vt:lpstr>Button</vt:lpstr>
      <vt:lpstr>README</vt:lpstr>
      <vt:lpstr>Search</vt:lpstr>
      <vt:lpstr>Purchase</vt:lpstr>
      <vt:lpstr>Summary</vt:lpstr>
      <vt:lpstr>S01</vt:lpstr>
      <vt:lpstr>S02</vt:lpstr>
      <vt:lpstr>S03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Pa` Din</dc:creator>
  <cp:lastModifiedBy>Pa` Din</cp:lastModifiedBy>
  <dcterms:created xsi:type="dcterms:W3CDTF">2015-06-05T18:17:20Z</dcterms:created>
  <dcterms:modified xsi:type="dcterms:W3CDTF">2026-02-17T01:42:53Z</dcterms:modified>
</cp:coreProperties>
</file>