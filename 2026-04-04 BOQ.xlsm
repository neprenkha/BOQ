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DATA HARGA MATERIAL\BOQ SIAP\"/>
    </mc:Choice>
  </mc:AlternateContent>
  <xr:revisionPtr revIDLastSave="0" documentId="13_ncr:1_{24CDA157-1E00-4145-A4BE-5353ADDF4DEC}" xr6:coauthVersionLast="47" xr6:coauthVersionMax="47" xr10:uidLastSave="{00000000-0000-0000-0000-000000000000}"/>
  <bookViews>
    <workbookView xWindow="57480" yWindow="-120" windowWidth="29040" windowHeight="15840" tabRatio="823" firstSheet="1" activeTab="5" xr2:uid="{00000000-000D-0000-FFFF-FFFF00000000}"/>
  </bookViews>
  <sheets>
    <sheet name="SummaryHelper" sheetId="46" state="hidden" r:id="rId1"/>
    <sheet name="README" sheetId="16" r:id="rId2"/>
    <sheet name="ProcurementHelper" sheetId="48" state="hidden" r:id="rId3"/>
    <sheet name="Procurement" sheetId="47" r:id="rId4"/>
    <sheet name="Summary" sheetId="12" r:id="rId5"/>
    <sheet name="S01" sheetId="50" r:id="rId6"/>
  </sheets>
  <definedNames>
    <definedName name="_xlpm.all" hidden="1" xlm="1">#NAME?</definedName>
    <definedName name="_xlpm.Amt" hidden="1" xlm="1">#NAME?</definedName>
    <definedName name="_xlpm.b" hidden="1" xlm="1">#NAME?</definedName>
    <definedName name="_xlpm.base" hidden="1" xlm="1">#NAME?</definedName>
    <definedName name="_xlpm.blk" hidden="1" xlm="1">#NAME?</definedName>
    <definedName name="_xlpm.c" hidden="1" xlm="1">#NAME?</definedName>
    <definedName name="_xlpm.cat" hidden="1" xlm="1">#NAME?</definedName>
    <definedName name="_xlpm.cols" hidden="1" xlm="1">#NAME?</definedName>
    <definedName name="_xlpm.cond" hidden="1" xlm="1">#NAME?</definedName>
    <definedName name="_xlpm.d" hidden="1" xlm="1">#NAME?</definedName>
    <definedName name="_xlpm.data" hidden="1" xlm="1">#NAME?</definedName>
    <definedName name="_xlpm.desc" hidden="1" xlm="1">#NAME?</definedName>
    <definedName name="_xlpm.descAll" hidden="1" xlm="1">#NAME?</definedName>
    <definedName name="_xlpm.f" hidden="1" xlm="1">#NAME?</definedName>
    <definedName name="_xlpm.filtered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dxIn" hidden="1" xlm="1">#NAME?</definedName>
    <definedName name="_xlpm.inc" hidden="1" xlm="1">#NAME?</definedName>
    <definedName name="_xlpm.incVec" hidden="1" xlm="1">#NAME?</definedName>
    <definedName name="_xlpm.k" hidden="1" xlm="1">#NAME?</definedName>
    <definedName name="_xlpm.lab" hidden="1" xlm="1">#NAME?</definedName>
    <definedName name="_xlpm.mat" hidden="1" xlm="1">#NAME?</definedName>
    <definedName name="_xlpm.maxScopes" hidden="1" xlm="1">#NAME?</definedName>
    <definedName name="_xlpm.mn" hidden="1" xlm="1">#NAME?</definedName>
    <definedName name="_xlpm.mx" hidden="1" xlm="1">#NAME?</definedName>
    <definedName name="_xlpm.n" hidden="1" xlm="1">#NAME?</definedName>
    <definedName name="_xlpm.oq" hidden="1" xlm="1">#NAME?</definedName>
    <definedName name="_xlpm.orate" hidden="1" xlm="1">#NAME?</definedName>
    <definedName name="_xlpm.out" hidden="1" xlm="1">#NAME?</definedName>
    <definedName name="_xlpm.perSheet" hidden="1" xlm="1">#NAME?</definedName>
    <definedName name="_xlpm.ps" hidden="1" xlm="1">#NAME?</definedName>
    <definedName name="_xlpm.pu" hidden="1" xlm="1">#NAME?</definedName>
    <definedName name="_xlpm.QtyWU" hidden="1" xlm="1">#NAME?</definedName>
    <definedName name="_xlpm.r" hidden="1" xlm="1">#NAME?</definedName>
    <definedName name="_xlpm.rate" hidden="1" xlm="1">#NAME?</definedName>
    <definedName name="_xlpm.rateAll" hidden="1" xlm="1">#NAME?</definedName>
    <definedName name="_xlpm.raw" hidden="1" xlm="1">#NAME?</definedName>
    <definedName name="_xlpm.rows" hidden="1" xlm="1">#NAME?</definedName>
    <definedName name="_xlpm.rowsPerScope" hidden="1" xlm="1">#NAME?</definedName>
    <definedName name="_xlpm.sh" hidden="1" xlm="1">#NAME?</definedName>
    <definedName name="_xlpm.sheetCol" hidden="1" xlm="1">#NAME?</definedName>
    <definedName name="_xlpm.sheets" hidden="1" xlm="1">#NAME?</definedName>
    <definedName name="_xlpm.shIdx" hidden="1" xlm="1">#NAME?</definedName>
    <definedName name="_xlpm.spec" hidden="1" xlm="1">#NAME?</definedName>
    <definedName name="_xlpm.specAll" hidden="1" xlm="1">#NAME?</definedName>
    <definedName name="_xlpm.svc" hidden="1" xlm="1">#NAME?</definedName>
    <definedName name="_xlpm.tbl" hidden="1" xlm="1">#NAME?</definedName>
    <definedName name="_xlpm.tot" hidden="1" xlm="1">#NAME?</definedName>
    <definedName name="_xlpm.total" hidden="1" xlm="1">#NAME?</definedName>
    <definedName name="_xlpm.totAll" hidden="1" xlm="1">#NAME?</definedName>
    <definedName name="_xlpm.totalRows" hidden="1" xlm="1">#NAME?</definedName>
    <definedName name="_xlpm.uom" hidden="1" xlm="1">#NAME?</definedName>
    <definedName name="_xlpm.uomAll" hidden="1" xlm="1">#NAME?</definedName>
    <definedName name="_xlpm.usage" hidden="1" xlm="1">#NAME?</definedName>
    <definedName name="_xlpm.usageAll" hidden="1" xlm="1">#NAME?</definedName>
    <definedName name="_xlpm.usepw" hidden="1" xlm="1">#NAME?</definedName>
    <definedName name="_xlpm.useW" hidden="1" xlm="1">#NAME?</definedName>
    <definedName name="_xlpm.useWAll" hidden="1" xlm="1">#NAME?</definedName>
    <definedName name="_xlpm.v" hidden="1" xlm="1">#NAME?</definedName>
    <definedName name="_xlpm.wast" hidden="1" xlm="1">#NAME?</definedName>
    <definedName name="_xlpm.wastAll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12" l="1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3" i="12"/>
  <c r="I3" i="12" a="1"/>
  <c r="I3" i="12" s="1"/>
  <c r="AJ49" i="50"/>
  <c r="AI49" i="50"/>
  <c r="AH49" i="50"/>
  <c r="Y49" i="50"/>
  <c r="X49" i="50"/>
  <c r="W49" i="50"/>
  <c r="N49" i="50"/>
  <c r="M49" i="50"/>
  <c r="L49" i="50"/>
  <c r="AJ48" i="50"/>
  <c r="AI48" i="50"/>
  <c r="AH48" i="50"/>
  <c r="Y48" i="50"/>
  <c r="X48" i="50"/>
  <c r="W48" i="50"/>
  <c r="N48" i="50"/>
  <c r="M48" i="50"/>
  <c r="L48" i="50"/>
  <c r="AJ47" i="50"/>
  <c r="AI47" i="50"/>
  <c r="AH47" i="50"/>
  <c r="Y47" i="50"/>
  <c r="X47" i="50"/>
  <c r="W47" i="50"/>
  <c r="N47" i="50"/>
  <c r="M47" i="50"/>
  <c r="L47" i="50"/>
  <c r="AJ46" i="50"/>
  <c r="AI46" i="50"/>
  <c r="AH46" i="50"/>
  <c r="Y46" i="50"/>
  <c r="X46" i="50"/>
  <c r="W46" i="50"/>
  <c r="N46" i="50"/>
  <c r="M46" i="50"/>
  <c r="L46" i="50"/>
  <c r="AJ45" i="50"/>
  <c r="AI45" i="50"/>
  <c r="AH45" i="50"/>
  <c r="Y45" i="50"/>
  <c r="X45" i="50"/>
  <c r="W45" i="50"/>
  <c r="N45" i="50"/>
  <c r="M45" i="50"/>
  <c r="L45" i="50"/>
  <c r="AJ44" i="50"/>
  <c r="AI44" i="50"/>
  <c r="AH44" i="50"/>
  <c r="Y44" i="50"/>
  <c r="X44" i="50"/>
  <c r="W44" i="50"/>
  <c r="N44" i="50"/>
  <c r="M44" i="50"/>
  <c r="L44" i="50"/>
  <c r="AJ43" i="50"/>
  <c r="AI43" i="50"/>
  <c r="AH43" i="50"/>
  <c r="Y43" i="50"/>
  <c r="X43" i="50"/>
  <c r="W43" i="50"/>
  <c r="N43" i="50"/>
  <c r="M43" i="50"/>
  <c r="L43" i="50"/>
  <c r="AJ42" i="50"/>
  <c r="AI42" i="50"/>
  <c r="AH42" i="50"/>
  <c r="Y42" i="50"/>
  <c r="X42" i="50"/>
  <c r="W42" i="50"/>
  <c r="N42" i="50"/>
  <c r="M42" i="50"/>
  <c r="L42" i="50"/>
  <c r="AJ41" i="50"/>
  <c r="AI41" i="50"/>
  <c r="AH41" i="50"/>
  <c r="Y41" i="50"/>
  <c r="X41" i="50"/>
  <c r="W41" i="50"/>
  <c r="N41" i="50"/>
  <c r="M41" i="50"/>
  <c r="L41" i="50"/>
  <c r="AJ40" i="50"/>
  <c r="AI40" i="50"/>
  <c r="AH40" i="50"/>
  <c r="Y40" i="50"/>
  <c r="X40" i="50"/>
  <c r="W40" i="50"/>
  <c r="N40" i="50"/>
  <c r="M40" i="50"/>
  <c r="L40" i="50"/>
  <c r="AJ39" i="50"/>
  <c r="AI39" i="50"/>
  <c r="AH39" i="50"/>
  <c r="Y39" i="50"/>
  <c r="X39" i="50"/>
  <c r="W39" i="50"/>
  <c r="N39" i="50"/>
  <c r="M39" i="50"/>
  <c r="L39" i="50"/>
  <c r="AJ38" i="50"/>
  <c r="AI38" i="50"/>
  <c r="AH38" i="50"/>
  <c r="Y38" i="50"/>
  <c r="X38" i="50"/>
  <c r="W38" i="50"/>
  <c r="N38" i="50"/>
  <c r="M38" i="50"/>
  <c r="L38" i="50"/>
  <c r="AJ37" i="50"/>
  <c r="AI37" i="50"/>
  <c r="AH37" i="50"/>
  <c r="Y37" i="50"/>
  <c r="X37" i="50"/>
  <c r="W37" i="50"/>
  <c r="N37" i="50"/>
  <c r="M37" i="50"/>
  <c r="L37" i="50"/>
  <c r="AJ36" i="50"/>
  <c r="AI36" i="50"/>
  <c r="AH36" i="50"/>
  <c r="Y36" i="50"/>
  <c r="X36" i="50"/>
  <c r="W36" i="50"/>
  <c r="N36" i="50"/>
  <c r="M36" i="50"/>
  <c r="L36" i="50"/>
  <c r="AJ35" i="50"/>
  <c r="AI35" i="50"/>
  <c r="AH35" i="50"/>
  <c r="Y35" i="50"/>
  <c r="X35" i="50"/>
  <c r="W35" i="50"/>
  <c r="N35" i="50"/>
  <c r="M35" i="50"/>
  <c r="L35" i="50"/>
  <c r="AJ34" i="50"/>
  <c r="AI34" i="50"/>
  <c r="AH34" i="50"/>
  <c r="Y34" i="50"/>
  <c r="X34" i="50"/>
  <c r="W34" i="50"/>
  <c r="N34" i="50"/>
  <c r="M34" i="50"/>
  <c r="L34" i="50"/>
  <c r="AJ33" i="50"/>
  <c r="AI33" i="50"/>
  <c r="AH33" i="50"/>
  <c r="Y33" i="50"/>
  <c r="X33" i="50"/>
  <c r="W33" i="50"/>
  <c r="N33" i="50"/>
  <c r="M33" i="50"/>
  <c r="L33" i="50"/>
  <c r="AJ32" i="50"/>
  <c r="AI32" i="50"/>
  <c r="AH32" i="50"/>
  <c r="Y32" i="50"/>
  <c r="X32" i="50"/>
  <c r="W32" i="50"/>
  <c r="N32" i="50"/>
  <c r="M32" i="50"/>
  <c r="L32" i="50"/>
  <c r="AJ31" i="50"/>
  <c r="AI31" i="50"/>
  <c r="AH31" i="50"/>
  <c r="Y31" i="50"/>
  <c r="X31" i="50"/>
  <c r="W31" i="50"/>
  <c r="N31" i="50"/>
  <c r="M31" i="50"/>
  <c r="L31" i="50"/>
  <c r="AJ30" i="50"/>
  <c r="AI30" i="50"/>
  <c r="AH30" i="50"/>
  <c r="Y30" i="50"/>
  <c r="X30" i="50"/>
  <c r="W30" i="50"/>
  <c r="L30" i="50"/>
  <c r="M30" i="50" s="1"/>
  <c r="N30" i="50" s="1"/>
  <c r="AJ29" i="50"/>
  <c r="AI29" i="50"/>
  <c r="AH29" i="50"/>
  <c r="Y29" i="50"/>
  <c r="X29" i="50"/>
  <c r="W29" i="50"/>
  <c r="L29" i="50"/>
  <c r="M29" i="50" s="1"/>
  <c r="N29" i="50" s="1"/>
  <c r="AJ28" i="50"/>
  <c r="AI28" i="50"/>
  <c r="AH28" i="50"/>
  <c r="Y28" i="50"/>
  <c r="X28" i="50"/>
  <c r="W28" i="50"/>
  <c r="L28" i="50"/>
  <c r="M28" i="50" s="1"/>
  <c r="N28" i="50" s="1"/>
  <c r="AJ27" i="50"/>
  <c r="AI27" i="50"/>
  <c r="AH27" i="50"/>
  <c r="Y27" i="50"/>
  <c r="X27" i="50"/>
  <c r="W27" i="50"/>
  <c r="L27" i="50"/>
  <c r="M27" i="50" s="1"/>
  <c r="N27" i="50" s="1"/>
  <c r="AJ26" i="50"/>
  <c r="AI26" i="50"/>
  <c r="AH26" i="50"/>
  <c r="Y26" i="50"/>
  <c r="X26" i="50"/>
  <c r="W26" i="50"/>
  <c r="M26" i="50"/>
  <c r="N26" i="50" s="1"/>
  <c r="L26" i="50"/>
  <c r="AJ25" i="50"/>
  <c r="AI25" i="50"/>
  <c r="AH25" i="50"/>
  <c r="Y25" i="50"/>
  <c r="X25" i="50"/>
  <c r="W25" i="50"/>
  <c r="L25" i="50"/>
  <c r="M25" i="50" s="1"/>
  <c r="N25" i="50" s="1"/>
  <c r="AJ24" i="50"/>
  <c r="AI24" i="50"/>
  <c r="AH24" i="50"/>
  <c r="Y24" i="50"/>
  <c r="X24" i="50"/>
  <c r="W24" i="50"/>
  <c r="L24" i="50"/>
  <c r="M24" i="50" s="1"/>
  <c r="N24" i="50" s="1"/>
  <c r="AJ23" i="50"/>
  <c r="AI23" i="50"/>
  <c r="AH23" i="50"/>
  <c r="Y23" i="50"/>
  <c r="X23" i="50"/>
  <c r="W23" i="50"/>
  <c r="L23" i="50"/>
  <c r="M23" i="50" s="1"/>
  <c r="N23" i="50" s="1"/>
  <c r="AJ22" i="50"/>
  <c r="AI22" i="50"/>
  <c r="AH22" i="50"/>
  <c r="Y22" i="50"/>
  <c r="X22" i="50"/>
  <c r="W22" i="50"/>
  <c r="M22" i="50"/>
  <c r="N22" i="50" s="1"/>
  <c r="L22" i="50"/>
  <c r="AJ21" i="50"/>
  <c r="AI21" i="50"/>
  <c r="AH21" i="50"/>
  <c r="Y21" i="50"/>
  <c r="X21" i="50"/>
  <c r="W21" i="50"/>
  <c r="L21" i="50"/>
  <c r="M21" i="50" s="1"/>
  <c r="N21" i="50" s="1"/>
  <c r="AJ20" i="50"/>
  <c r="AI20" i="50"/>
  <c r="AH20" i="50"/>
  <c r="Y20" i="50"/>
  <c r="X20" i="50"/>
  <c r="W20" i="50"/>
  <c r="L20" i="50"/>
  <c r="M20" i="50" s="1"/>
  <c r="N20" i="50" s="1"/>
  <c r="AJ19" i="50"/>
  <c r="AI19" i="50"/>
  <c r="AH19" i="50"/>
  <c r="Y19" i="50"/>
  <c r="X19" i="50"/>
  <c r="W19" i="50"/>
  <c r="L19" i="50"/>
  <c r="M19" i="50" s="1"/>
  <c r="N19" i="50" s="1"/>
  <c r="AJ18" i="50"/>
  <c r="AI18" i="50"/>
  <c r="AH18" i="50"/>
  <c r="Y18" i="50"/>
  <c r="X18" i="50"/>
  <c r="W18" i="50"/>
  <c r="L18" i="50"/>
  <c r="M18" i="50" s="1"/>
  <c r="N18" i="50" s="1"/>
  <c r="AJ17" i="50"/>
  <c r="AI17" i="50"/>
  <c r="AH17" i="50"/>
  <c r="Y17" i="50"/>
  <c r="X17" i="50"/>
  <c r="W17" i="50"/>
  <c r="L17" i="50"/>
  <c r="M17" i="50" s="1"/>
  <c r="N17" i="50" s="1"/>
  <c r="AJ16" i="50"/>
  <c r="AI16" i="50"/>
  <c r="AH16" i="50"/>
  <c r="Y16" i="50"/>
  <c r="X16" i="50"/>
  <c r="W16" i="50"/>
  <c r="L16" i="50"/>
  <c r="M16" i="50" s="1"/>
  <c r="N16" i="50" s="1"/>
  <c r="AJ15" i="50"/>
  <c r="AI15" i="50"/>
  <c r="AH15" i="50"/>
  <c r="Y15" i="50"/>
  <c r="X15" i="50"/>
  <c r="W15" i="50"/>
  <c r="L15" i="50"/>
  <c r="M15" i="50" s="1"/>
  <c r="N15" i="50" s="1"/>
  <c r="AJ14" i="50"/>
  <c r="AI14" i="50"/>
  <c r="AH14" i="50"/>
  <c r="Y14" i="50"/>
  <c r="X14" i="50"/>
  <c r="W14" i="50"/>
  <c r="L14" i="50"/>
  <c r="M14" i="50" s="1"/>
  <c r="N14" i="50" s="1"/>
  <c r="AJ13" i="50"/>
  <c r="AI13" i="50"/>
  <c r="AH13" i="50"/>
  <c r="Y13" i="50"/>
  <c r="X13" i="50"/>
  <c r="W13" i="50"/>
  <c r="L13" i="50"/>
  <c r="M13" i="50" s="1"/>
  <c r="N13" i="50" s="1"/>
  <c r="AJ12" i="50"/>
  <c r="AI12" i="50"/>
  <c r="AH12" i="50"/>
  <c r="Y12" i="50"/>
  <c r="X12" i="50"/>
  <c r="W12" i="50"/>
  <c r="L12" i="50"/>
  <c r="M12" i="50" s="1"/>
  <c r="N12" i="50" s="1"/>
  <c r="AJ11" i="50"/>
  <c r="AI11" i="50"/>
  <c r="AH11" i="50"/>
  <c r="Y11" i="50"/>
  <c r="X11" i="50"/>
  <c r="W11" i="50"/>
  <c r="L11" i="50"/>
  <c r="M11" i="50" s="1"/>
  <c r="N11" i="50" s="1"/>
  <c r="AJ10" i="50"/>
  <c r="AI10" i="50"/>
  <c r="AH10" i="50"/>
  <c r="Y10" i="50"/>
  <c r="X10" i="50"/>
  <c r="W10" i="50"/>
  <c r="L10" i="50"/>
  <c r="M10" i="50" s="1"/>
  <c r="N10" i="50" s="1"/>
  <c r="AJ9" i="50"/>
  <c r="AI9" i="50"/>
  <c r="AH9" i="50"/>
  <c r="Y9" i="50"/>
  <c r="X9" i="50"/>
  <c r="W9" i="50"/>
  <c r="L9" i="50"/>
  <c r="M9" i="50" s="1"/>
  <c r="N9" i="50" s="1"/>
  <c r="AJ8" i="50"/>
  <c r="AI8" i="50"/>
  <c r="AH8" i="50"/>
  <c r="Y8" i="50"/>
  <c r="X8" i="50"/>
  <c r="W8" i="50"/>
  <c r="M8" i="50"/>
  <c r="N8" i="50" s="1"/>
  <c r="L8" i="50"/>
  <c r="AJ7" i="50"/>
  <c r="AI7" i="50"/>
  <c r="AH7" i="50"/>
  <c r="Y7" i="50"/>
  <c r="X7" i="50"/>
  <c r="W7" i="50"/>
  <c r="L7" i="50"/>
  <c r="M7" i="50" s="1"/>
  <c r="N7" i="50" s="1"/>
  <c r="AJ6" i="50"/>
  <c r="AI6" i="50"/>
  <c r="AH6" i="50"/>
  <c r="Y6" i="50"/>
  <c r="X6" i="50"/>
  <c r="W6" i="50"/>
  <c r="L6" i="50"/>
  <c r="M6" i="50" s="1"/>
  <c r="N6" i="50" s="1"/>
  <c r="AJ5" i="50"/>
  <c r="AI5" i="50"/>
  <c r="AH5" i="50"/>
  <c r="Y5" i="50"/>
  <c r="X5" i="50"/>
  <c r="W5" i="50"/>
  <c r="L5" i="50"/>
  <c r="M5" i="50" s="1"/>
  <c r="N5" i="50" s="1"/>
  <c r="AJ4" i="50"/>
  <c r="AI4" i="50"/>
  <c r="AH4" i="50"/>
  <c r="Y4" i="50"/>
  <c r="X4" i="50"/>
  <c r="W4" i="50"/>
  <c r="L4" i="50"/>
  <c r="M4" i="50" s="1"/>
  <c r="N4" i="50" s="1"/>
  <c r="AJ3" i="50"/>
  <c r="AJ1" i="50" s="1"/>
  <c r="AI3" i="50"/>
  <c r="AH3" i="50"/>
  <c r="W3" i="50"/>
  <c r="X3" i="50" s="1"/>
  <c r="Y3" i="50" s="1"/>
  <c r="Y1" i="50" s="1"/>
  <c r="L3" i="50"/>
  <c r="M3" i="50" s="1"/>
  <c r="N3" i="50" s="1"/>
  <c r="AA1" i="50" a="1"/>
  <c r="AA1" i="50" s="1"/>
  <c r="P1" i="50" a="1"/>
  <c r="P1" i="50" s="1"/>
  <c r="E1" i="50" a="1"/>
  <c r="E1" i="50" s="1"/>
  <c r="A1" i="50" a="1"/>
  <c r="A1" i="50" s="1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20" i="12"/>
  <c r="AN21" i="12"/>
  <c r="AN22" i="12"/>
  <c r="AN23" i="12"/>
  <c r="AN24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N50" i="12"/>
  <c r="AN51" i="12"/>
  <c r="AN52" i="12"/>
  <c r="AN53" i="12"/>
  <c r="AN54" i="12"/>
  <c r="AN55" i="12"/>
  <c r="AN56" i="12"/>
  <c r="AN57" i="12"/>
  <c r="AN58" i="12"/>
  <c r="AN59" i="12"/>
  <c r="AN60" i="12"/>
  <c r="AN61" i="12"/>
  <c r="AN62" i="12"/>
  <c r="AN63" i="12"/>
  <c r="AN64" i="12"/>
  <c r="AN65" i="12"/>
  <c r="AN66" i="12"/>
  <c r="AN67" i="12"/>
  <c r="AN68" i="12"/>
  <c r="AN69" i="12"/>
  <c r="AN70" i="12"/>
  <c r="AN71" i="12"/>
  <c r="AN72" i="12"/>
  <c r="AN73" i="12"/>
  <c r="AN74" i="12"/>
  <c r="AN75" i="12"/>
  <c r="AN76" i="12"/>
  <c r="AN77" i="12"/>
  <c r="AN78" i="12"/>
  <c r="AN79" i="12"/>
  <c r="AN80" i="12"/>
  <c r="AN81" i="12"/>
  <c r="AN82" i="12"/>
  <c r="AN83" i="12"/>
  <c r="AN84" i="12"/>
  <c r="AN85" i="12"/>
  <c r="AN86" i="12"/>
  <c r="AN87" i="12"/>
  <c r="AN88" i="12"/>
  <c r="AN89" i="12"/>
  <c r="AN90" i="12"/>
  <c r="AN91" i="12"/>
  <c r="AN92" i="12"/>
  <c r="AN93" i="12"/>
  <c r="AN94" i="12"/>
  <c r="AN95" i="12"/>
  <c r="AN96" i="12"/>
  <c r="AN97" i="12"/>
  <c r="AN98" i="12"/>
  <c r="AN99" i="12"/>
  <c r="AN100" i="12"/>
  <c r="AN101" i="12"/>
  <c r="AN102" i="12"/>
  <c r="AN103" i="12"/>
  <c r="AN104" i="12"/>
  <c r="AN105" i="12"/>
  <c r="AN106" i="12"/>
  <c r="AN107" i="12"/>
  <c r="AN108" i="12"/>
  <c r="AN109" i="12"/>
  <c r="AN110" i="12"/>
  <c r="AN111" i="12"/>
  <c r="AN112" i="12"/>
  <c r="AN113" i="12"/>
  <c r="AN114" i="12"/>
  <c r="AN115" i="12"/>
  <c r="AN116" i="12"/>
  <c r="AN117" i="12"/>
  <c r="AN118" i="12"/>
  <c r="AN119" i="12"/>
  <c r="AN120" i="12"/>
  <c r="AN121" i="12"/>
  <c r="AN122" i="12"/>
  <c r="AN123" i="12"/>
  <c r="AN124" i="12"/>
  <c r="AN125" i="12"/>
  <c r="AN126" i="12"/>
  <c r="AN127" i="12"/>
  <c r="AN128" i="12"/>
  <c r="AN129" i="12"/>
  <c r="AN130" i="12"/>
  <c r="AN131" i="12"/>
  <c r="AN132" i="12"/>
  <c r="AN133" i="12"/>
  <c r="AN134" i="12"/>
  <c r="AN135" i="12"/>
  <c r="AN136" i="12"/>
  <c r="AN137" i="12"/>
  <c r="AN138" i="12"/>
  <c r="AN139" i="12"/>
  <c r="AN140" i="12"/>
  <c r="AN141" i="12"/>
  <c r="AN142" i="12"/>
  <c r="AN143" i="12"/>
  <c r="AN144" i="12"/>
  <c r="AN145" i="12"/>
  <c r="AN146" i="12"/>
  <c r="AN147" i="12"/>
  <c r="AN148" i="12"/>
  <c r="AN149" i="12"/>
  <c r="AN150" i="12"/>
  <c r="AN151" i="12"/>
  <c r="AN152" i="12"/>
  <c r="AN153" i="12"/>
  <c r="AN154" i="12"/>
  <c r="AN155" i="12"/>
  <c r="AN156" i="12"/>
  <c r="AN157" i="12"/>
  <c r="AN158" i="12"/>
  <c r="AN159" i="12"/>
  <c r="AN160" i="12"/>
  <c r="AN161" i="12"/>
  <c r="AN162" i="12"/>
  <c r="AN163" i="12"/>
  <c r="AN164" i="12"/>
  <c r="AN165" i="12"/>
  <c r="AN166" i="12"/>
  <c r="AN167" i="12"/>
  <c r="AN168" i="12"/>
  <c r="AN169" i="12"/>
  <c r="AN170" i="12"/>
  <c r="AN171" i="12"/>
  <c r="AN172" i="12"/>
  <c r="AN173" i="12"/>
  <c r="AN174" i="12"/>
  <c r="AN175" i="12"/>
  <c r="AN176" i="12"/>
  <c r="AN177" i="12"/>
  <c r="AN178" i="12"/>
  <c r="AN179" i="12"/>
  <c r="AN180" i="12"/>
  <c r="AN181" i="12"/>
  <c r="AN182" i="12"/>
  <c r="AN183" i="12"/>
  <c r="AN184" i="12"/>
  <c r="AN185" i="12"/>
  <c r="AN186" i="12"/>
  <c r="AN187" i="12"/>
  <c r="AN188" i="12"/>
  <c r="AN189" i="12"/>
  <c r="AN190" i="12"/>
  <c r="AN191" i="12"/>
  <c r="AN192" i="12"/>
  <c r="AN193" i="12"/>
  <c r="AN194" i="12"/>
  <c r="AN195" i="12"/>
  <c r="AN196" i="12"/>
  <c r="AN197" i="12"/>
  <c r="AN198" i="12"/>
  <c r="AN199" i="12"/>
  <c r="AN200" i="12"/>
  <c r="AN201" i="12"/>
  <c r="AN202" i="12"/>
  <c r="AN203" i="12"/>
  <c r="AN204" i="12"/>
  <c r="AN205" i="12"/>
  <c r="AN206" i="12"/>
  <c r="AN207" i="12"/>
  <c r="AN208" i="12"/>
  <c r="AN209" i="12"/>
  <c r="AN210" i="12"/>
  <c r="AN211" i="12"/>
  <c r="AN212" i="12"/>
  <c r="AN213" i="12"/>
  <c r="AN214" i="12"/>
  <c r="AN215" i="12"/>
  <c r="AN216" i="12"/>
  <c r="AN217" i="12"/>
  <c r="AN218" i="12"/>
  <c r="AN219" i="12"/>
  <c r="AN220" i="12"/>
  <c r="AN221" i="12"/>
  <c r="AN222" i="12"/>
  <c r="AN223" i="12"/>
  <c r="AN224" i="12"/>
  <c r="AN225" i="12"/>
  <c r="AN226" i="12"/>
  <c r="AN227" i="12"/>
  <c r="AN228" i="12"/>
  <c r="AN229" i="12"/>
  <c r="AN230" i="12"/>
  <c r="AN231" i="12"/>
  <c r="AN232" i="12"/>
  <c r="AN233" i="12"/>
  <c r="AN234" i="12"/>
  <c r="AN235" i="12"/>
  <c r="AN236" i="12"/>
  <c r="AN237" i="12"/>
  <c r="AN238" i="12"/>
  <c r="AN239" i="12"/>
  <c r="AN240" i="12"/>
  <c r="AN241" i="12"/>
  <c r="AN242" i="12"/>
  <c r="AN243" i="12"/>
  <c r="AN244" i="12"/>
  <c r="AN245" i="12"/>
  <c r="AN246" i="12"/>
  <c r="AN247" i="12"/>
  <c r="AN248" i="12"/>
  <c r="AN249" i="12"/>
  <c r="AN250" i="12"/>
  <c r="AN251" i="12"/>
  <c r="AN252" i="12"/>
  <c r="AN253" i="12"/>
  <c r="AN254" i="12"/>
  <c r="AN255" i="12"/>
  <c r="AN256" i="12"/>
  <c r="AN257" i="12"/>
  <c r="AN258" i="12"/>
  <c r="AN259" i="12"/>
  <c r="AN260" i="12"/>
  <c r="AN261" i="12"/>
  <c r="AN262" i="12"/>
  <c r="AN263" i="12"/>
  <c r="AN264" i="12"/>
  <c r="AN265" i="12"/>
  <c r="AN266" i="12"/>
  <c r="AN267" i="12"/>
  <c r="AN268" i="12"/>
  <c r="AN269" i="12"/>
  <c r="AN270" i="12"/>
  <c r="AN271" i="12"/>
  <c r="AN272" i="12"/>
  <c r="AN273" i="12"/>
  <c r="AN274" i="12"/>
  <c r="AN275" i="12"/>
  <c r="AN276" i="12"/>
  <c r="AN277" i="12"/>
  <c r="AN278" i="12"/>
  <c r="AN279" i="12"/>
  <c r="AN280" i="12"/>
  <c r="AN281" i="12"/>
  <c r="AN282" i="12"/>
  <c r="AN283" i="12"/>
  <c r="AN284" i="12"/>
  <c r="AN285" i="12"/>
  <c r="AN286" i="12"/>
  <c r="AN287" i="12"/>
  <c r="AN288" i="12"/>
  <c r="AN289" i="12"/>
  <c r="AN290" i="12"/>
  <c r="AN291" i="12"/>
  <c r="AN292" i="12"/>
  <c r="AN293" i="12"/>
  <c r="AN294" i="12"/>
  <c r="AN295" i="12"/>
  <c r="AN296" i="12"/>
  <c r="AN297" i="12"/>
  <c r="AN298" i="12"/>
  <c r="AN299" i="12"/>
  <c r="AN300" i="12"/>
  <c r="AM1" i="12"/>
  <c r="AM8" i="12"/>
  <c r="AM9" i="12"/>
  <c r="AM10" i="12"/>
  <c r="AM11" i="12"/>
  <c r="AM12" i="12"/>
  <c r="AM13" i="12"/>
  <c r="AM14" i="12"/>
  <c r="AM15" i="12"/>
  <c r="AM16" i="12"/>
  <c r="AM17" i="12"/>
  <c r="AM18" i="12"/>
  <c r="AM19" i="12"/>
  <c r="AM20" i="12"/>
  <c r="AM21" i="12"/>
  <c r="AM22" i="12"/>
  <c r="AM23" i="12"/>
  <c r="AM24" i="12"/>
  <c r="AM25" i="12"/>
  <c r="AM26" i="12"/>
  <c r="AM27" i="12"/>
  <c r="AM28" i="12"/>
  <c r="AM29" i="12"/>
  <c r="AM30" i="12"/>
  <c r="AM31" i="12"/>
  <c r="AM32" i="12"/>
  <c r="AM33" i="12"/>
  <c r="AM34" i="12"/>
  <c r="AM35" i="12"/>
  <c r="AM36" i="12"/>
  <c r="AM37" i="12"/>
  <c r="AM38" i="12"/>
  <c r="AM39" i="12"/>
  <c r="AM40" i="12"/>
  <c r="AM41" i="12"/>
  <c r="AM42" i="12"/>
  <c r="AM43" i="12"/>
  <c r="AM44" i="12"/>
  <c r="AM45" i="12"/>
  <c r="AM46" i="12"/>
  <c r="AM47" i="12"/>
  <c r="AM48" i="12"/>
  <c r="AM49" i="12"/>
  <c r="AM50" i="12"/>
  <c r="AM51" i="12"/>
  <c r="AM52" i="12"/>
  <c r="AM53" i="12"/>
  <c r="AM54" i="12"/>
  <c r="AM55" i="12"/>
  <c r="AM56" i="12"/>
  <c r="AM57" i="12"/>
  <c r="AM58" i="12"/>
  <c r="AM59" i="12"/>
  <c r="AM60" i="12"/>
  <c r="AM61" i="12"/>
  <c r="AM62" i="12"/>
  <c r="AM63" i="12"/>
  <c r="AM64" i="12"/>
  <c r="AM65" i="12"/>
  <c r="AM66" i="12"/>
  <c r="AM67" i="12"/>
  <c r="AM68" i="12"/>
  <c r="AM69" i="12"/>
  <c r="AM70" i="12"/>
  <c r="AM71" i="12"/>
  <c r="AM72" i="12"/>
  <c r="AM73" i="12"/>
  <c r="AM74" i="12"/>
  <c r="AM75" i="12"/>
  <c r="AM76" i="12"/>
  <c r="AM77" i="12"/>
  <c r="AM78" i="12"/>
  <c r="AM79" i="12"/>
  <c r="AM80" i="12"/>
  <c r="AM81" i="12"/>
  <c r="AM82" i="12"/>
  <c r="AM83" i="12"/>
  <c r="AM84" i="12"/>
  <c r="AM85" i="12"/>
  <c r="AM86" i="12"/>
  <c r="AM87" i="12"/>
  <c r="AM88" i="12"/>
  <c r="AM89" i="12"/>
  <c r="AM90" i="12"/>
  <c r="AM91" i="12"/>
  <c r="AM92" i="12"/>
  <c r="AM93" i="12"/>
  <c r="AM94" i="12"/>
  <c r="AM95" i="12"/>
  <c r="AM96" i="12"/>
  <c r="AM97" i="12"/>
  <c r="AM98" i="12"/>
  <c r="AM99" i="12"/>
  <c r="AM100" i="12"/>
  <c r="AM101" i="12"/>
  <c r="AM102" i="12"/>
  <c r="AM103" i="12"/>
  <c r="AM104" i="12"/>
  <c r="AM105" i="12"/>
  <c r="AM106" i="12"/>
  <c r="AM107" i="12"/>
  <c r="AM108" i="12"/>
  <c r="AM109" i="12"/>
  <c r="AM110" i="12"/>
  <c r="AM111" i="12"/>
  <c r="AM112" i="12"/>
  <c r="AM113" i="12"/>
  <c r="AM114" i="12"/>
  <c r="AM115" i="12"/>
  <c r="AM116" i="12"/>
  <c r="AM117" i="12"/>
  <c r="AM118" i="12"/>
  <c r="AM119" i="12"/>
  <c r="AM120" i="12"/>
  <c r="AM121" i="12"/>
  <c r="AM122" i="12"/>
  <c r="AM123" i="12"/>
  <c r="AM124" i="12"/>
  <c r="AM125" i="12"/>
  <c r="AM126" i="12"/>
  <c r="AM127" i="12"/>
  <c r="AM128" i="12"/>
  <c r="AM129" i="12"/>
  <c r="AM130" i="12"/>
  <c r="AM131" i="12"/>
  <c r="AM132" i="12"/>
  <c r="AM133" i="12"/>
  <c r="AM134" i="12"/>
  <c r="AM135" i="12"/>
  <c r="AM136" i="12"/>
  <c r="AM137" i="12"/>
  <c r="AM138" i="12"/>
  <c r="AM139" i="12"/>
  <c r="AM140" i="12"/>
  <c r="AM141" i="12"/>
  <c r="AM142" i="12"/>
  <c r="AM143" i="12"/>
  <c r="AM144" i="12"/>
  <c r="AM145" i="12"/>
  <c r="AM146" i="12"/>
  <c r="AM147" i="12"/>
  <c r="AM148" i="12"/>
  <c r="AM149" i="12"/>
  <c r="AM150" i="12"/>
  <c r="AM151" i="12"/>
  <c r="AM152" i="12"/>
  <c r="AM153" i="12"/>
  <c r="AM154" i="12"/>
  <c r="AM155" i="12"/>
  <c r="AM156" i="12"/>
  <c r="AM157" i="12"/>
  <c r="AM158" i="12"/>
  <c r="AM159" i="12"/>
  <c r="AM160" i="12"/>
  <c r="AM161" i="12"/>
  <c r="AM162" i="12"/>
  <c r="AM163" i="12"/>
  <c r="AM164" i="12"/>
  <c r="AM165" i="12"/>
  <c r="AM166" i="12"/>
  <c r="AM167" i="12"/>
  <c r="AM168" i="12"/>
  <c r="AM169" i="12"/>
  <c r="AM170" i="12"/>
  <c r="AM171" i="12"/>
  <c r="AM172" i="12"/>
  <c r="AM173" i="12"/>
  <c r="AM174" i="12"/>
  <c r="AM175" i="12"/>
  <c r="AM176" i="12"/>
  <c r="AM177" i="12"/>
  <c r="AM178" i="12"/>
  <c r="AM179" i="12"/>
  <c r="AM180" i="12"/>
  <c r="AM181" i="12"/>
  <c r="AM182" i="12"/>
  <c r="AM183" i="12"/>
  <c r="AM184" i="12"/>
  <c r="AM185" i="12"/>
  <c r="AM186" i="12"/>
  <c r="AM187" i="12"/>
  <c r="AM188" i="12"/>
  <c r="AM189" i="12"/>
  <c r="AM190" i="12"/>
  <c r="AM191" i="12"/>
  <c r="AM192" i="12"/>
  <c r="AM193" i="12"/>
  <c r="AM194" i="12"/>
  <c r="AM195" i="12"/>
  <c r="AM196" i="12"/>
  <c r="AM197" i="12"/>
  <c r="AM198" i="12"/>
  <c r="AM199" i="12"/>
  <c r="AM200" i="12"/>
  <c r="AM201" i="12"/>
  <c r="AM202" i="12"/>
  <c r="AM203" i="12"/>
  <c r="AM204" i="12"/>
  <c r="AM205" i="12"/>
  <c r="AM206" i="12"/>
  <c r="AM207" i="12"/>
  <c r="AM208" i="12"/>
  <c r="AM209" i="12"/>
  <c r="AM210" i="12"/>
  <c r="AM211" i="12"/>
  <c r="AM212" i="12"/>
  <c r="AM213" i="12"/>
  <c r="AM214" i="12"/>
  <c r="AM215" i="12"/>
  <c r="AM216" i="12"/>
  <c r="AM217" i="12"/>
  <c r="AM218" i="12"/>
  <c r="AM219" i="12"/>
  <c r="AM220" i="12"/>
  <c r="AM221" i="12"/>
  <c r="AM222" i="12"/>
  <c r="AM223" i="12"/>
  <c r="AM224" i="12"/>
  <c r="AM225" i="12"/>
  <c r="AM226" i="12"/>
  <c r="AM227" i="12"/>
  <c r="AM228" i="12"/>
  <c r="AM229" i="12"/>
  <c r="AM230" i="12"/>
  <c r="AM231" i="12"/>
  <c r="AM232" i="12"/>
  <c r="AM233" i="12"/>
  <c r="AM234" i="12"/>
  <c r="AM235" i="12"/>
  <c r="AM236" i="12"/>
  <c r="AM237" i="12"/>
  <c r="AM238" i="12"/>
  <c r="AM239" i="12"/>
  <c r="AM240" i="12"/>
  <c r="AM241" i="12"/>
  <c r="AM242" i="12"/>
  <c r="AM243" i="12"/>
  <c r="AM244" i="12"/>
  <c r="AM245" i="12"/>
  <c r="AM246" i="12"/>
  <c r="AM247" i="12"/>
  <c r="AM248" i="12"/>
  <c r="AM249" i="12"/>
  <c r="AM250" i="12"/>
  <c r="AM251" i="12"/>
  <c r="AM252" i="12"/>
  <c r="AM253" i="12"/>
  <c r="AM254" i="12"/>
  <c r="AM255" i="12"/>
  <c r="AM256" i="12"/>
  <c r="AM257" i="12"/>
  <c r="AM258" i="12"/>
  <c r="AM259" i="12"/>
  <c r="AM260" i="12"/>
  <c r="AM261" i="12"/>
  <c r="AM262" i="12"/>
  <c r="AM263" i="12"/>
  <c r="AM264" i="12"/>
  <c r="AM265" i="12"/>
  <c r="AM266" i="12"/>
  <c r="AM267" i="12"/>
  <c r="AM268" i="12"/>
  <c r="AM269" i="12"/>
  <c r="AM270" i="12"/>
  <c r="AM271" i="12"/>
  <c r="AM272" i="12"/>
  <c r="AM273" i="12"/>
  <c r="AM274" i="12"/>
  <c r="AM275" i="12"/>
  <c r="AM276" i="12"/>
  <c r="AM277" i="12"/>
  <c r="AM278" i="12"/>
  <c r="AM279" i="12"/>
  <c r="AM280" i="12"/>
  <c r="AM281" i="12"/>
  <c r="AM282" i="12"/>
  <c r="AM283" i="12"/>
  <c r="AM284" i="12"/>
  <c r="AM285" i="12"/>
  <c r="AM286" i="12"/>
  <c r="AM287" i="12"/>
  <c r="AM288" i="12"/>
  <c r="AM289" i="12"/>
  <c r="AM290" i="12"/>
  <c r="AM291" i="12"/>
  <c r="AM292" i="12"/>
  <c r="AM293" i="12"/>
  <c r="AM294" i="12"/>
  <c r="AM295" i="12"/>
  <c r="AM296" i="12"/>
  <c r="AM297" i="12"/>
  <c r="AM298" i="12"/>
  <c r="AM299" i="12"/>
  <c r="AM300" i="12"/>
  <c r="AK8" i="12"/>
  <c r="AK9" i="12"/>
  <c r="AK10" i="12"/>
  <c r="AK11" i="12"/>
  <c r="AK12" i="12"/>
  <c r="AK13" i="12"/>
  <c r="AK14" i="12"/>
  <c r="AK15" i="12"/>
  <c r="AK16" i="12"/>
  <c r="AK17" i="12"/>
  <c r="AK18" i="12"/>
  <c r="AK19" i="12"/>
  <c r="AK20" i="12"/>
  <c r="AK21" i="12"/>
  <c r="AK22" i="12"/>
  <c r="AK23" i="12"/>
  <c r="AK24" i="12"/>
  <c r="AK25" i="12"/>
  <c r="AK26" i="12"/>
  <c r="AK27" i="12"/>
  <c r="AK28" i="12"/>
  <c r="AK29" i="12"/>
  <c r="AK30" i="12"/>
  <c r="AK31" i="12"/>
  <c r="AK32" i="12"/>
  <c r="AK33" i="12"/>
  <c r="AK34" i="12"/>
  <c r="AK35" i="12"/>
  <c r="AK36" i="12"/>
  <c r="AK37" i="12"/>
  <c r="AK38" i="12"/>
  <c r="AK39" i="12"/>
  <c r="AK40" i="12"/>
  <c r="AK41" i="12"/>
  <c r="AK42" i="12"/>
  <c r="AK43" i="12"/>
  <c r="AK44" i="12"/>
  <c r="AK45" i="12"/>
  <c r="AK46" i="12"/>
  <c r="AK47" i="12"/>
  <c r="AK48" i="12"/>
  <c r="AK49" i="12"/>
  <c r="AK50" i="12"/>
  <c r="AK51" i="12"/>
  <c r="AK52" i="12"/>
  <c r="AK53" i="12"/>
  <c r="AK54" i="12"/>
  <c r="AK55" i="12"/>
  <c r="AK56" i="12"/>
  <c r="AK57" i="12"/>
  <c r="AK58" i="12"/>
  <c r="AK59" i="12"/>
  <c r="AK60" i="12"/>
  <c r="AK61" i="12"/>
  <c r="AK62" i="12"/>
  <c r="AK63" i="12"/>
  <c r="AK64" i="12"/>
  <c r="AK65" i="12"/>
  <c r="AK66" i="12"/>
  <c r="AK67" i="12"/>
  <c r="AK68" i="12"/>
  <c r="AK69" i="12"/>
  <c r="AK70" i="12"/>
  <c r="AK71" i="12"/>
  <c r="AK72" i="12"/>
  <c r="AK73" i="12"/>
  <c r="AK74" i="12"/>
  <c r="AK75" i="12"/>
  <c r="AK76" i="12"/>
  <c r="AK77" i="12"/>
  <c r="AK78" i="12"/>
  <c r="AK79" i="12"/>
  <c r="AK80" i="12"/>
  <c r="AK81" i="12"/>
  <c r="AK82" i="12"/>
  <c r="AK83" i="12"/>
  <c r="AK84" i="12"/>
  <c r="AK85" i="12"/>
  <c r="AK86" i="12"/>
  <c r="AK87" i="12"/>
  <c r="AK88" i="12"/>
  <c r="AK89" i="12"/>
  <c r="AK90" i="12"/>
  <c r="AK91" i="12"/>
  <c r="AK92" i="12"/>
  <c r="AK93" i="12"/>
  <c r="AK94" i="12"/>
  <c r="AK95" i="12"/>
  <c r="AK96" i="12"/>
  <c r="AK97" i="12"/>
  <c r="AK98" i="12"/>
  <c r="AK99" i="12"/>
  <c r="AK100" i="12"/>
  <c r="AK101" i="12"/>
  <c r="AK102" i="12"/>
  <c r="AK103" i="12"/>
  <c r="AK104" i="12"/>
  <c r="AK105" i="12"/>
  <c r="AK106" i="12"/>
  <c r="AK107" i="12"/>
  <c r="AK108" i="12"/>
  <c r="AK109" i="12"/>
  <c r="AK110" i="12"/>
  <c r="AK111" i="12"/>
  <c r="AK112" i="12"/>
  <c r="AK113" i="12"/>
  <c r="AK114" i="12"/>
  <c r="AK115" i="12"/>
  <c r="AK116" i="12"/>
  <c r="AK117" i="12"/>
  <c r="AK118" i="12"/>
  <c r="AK119" i="12"/>
  <c r="AK120" i="12"/>
  <c r="AK121" i="12"/>
  <c r="AK122" i="12"/>
  <c r="AK123" i="12"/>
  <c r="AK124" i="12"/>
  <c r="AK125" i="12"/>
  <c r="AK126" i="12"/>
  <c r="AK127" i="12"/>
  <c r="AK128" i="12"/>
  <c r="AK129" i="12"/>
  <c r="AK130" i="12"/>
  <c r="AK131" i="12"/>
  <c r="AK132" i="12"/>
  <c r="AK133" i="12"/>
  <c r="AK134" i="12"/>
  <c r="AK135" i="12"/>
  <c r="AK136" i="12"/>
  <c r="AK137" i="12"/>
  <c r="AK138" i="12"/>
  <c r="AK139" i="12"/>
  <c r="AK140" i="12"/>
  <c r="AK141" i="12"/>
  <c r="AK142" i="12"/>
  <c r="AK143" i="12"/>
  <c r="AK144" i="12"/>
  <c r="AK145" i="12"/>
  <c r="AK146" i="12"/>
  <c r="AK147" i="12"/>
  <c r="AK148" i="12"/>
  <c r="AK149" i="12"/>
  <c r="AK150" i="12"/>
  <c r="AK151" i="12"/>
  <c r="AK152" i="12"/>
  <c r="AK153" i="12"/>
  <c r="AK154" i="12"/>
  <c r="AK155" i="12"/>
  <c r="AK156" i="12"/>
  <c r="AK157" i="12"/>
  <c r="AK158" i="12"/>
  <c r="AK159" i="12"/>
  <c r="AK160" i="12"/>
  <c r="AK161" i="12"/>
  <c r="AK162" i="12"/>
  <c r="AK163" i="12"/>
  <c r="AK164" i="12"/>
  <c r="AK165" i="12"/>
  <c r="AK166" i="12"/>
  <c r="AK167" i="12"/>
  <c r="AK168" i="12"/>
  <c r="AK169" i="12"/>
  <c r="AK170" i="12"/>
  <c r="AK171" i="12"/>
  <c r="AK172" i="12"/>
  <c r="AK173" i="12"/>
  <c r="AK174" i="12"/>
  <c r="AK175" i="12"/>
  <c r="AK176" i="12"/>
  <c r="AK177" i="12"/>
  <c r="AK178" i="12"/>
  <c r="AK179" i="12"/>
  <c r="AK180" i="12"/>
  <c r="AK181" i="12"/>
  <c r="AK182" i="12"/>
  <c r="AK183" i="12"/>
  <c r="AK184" i="12"/>
  <c r="AK185" i="12"/>
  <c r="AK186" i="12"/>
  <c r="AK187" i="12"/>
  <c r="AK188" i="12"/>
  <c r="AK189" i="12"/>
  <c r="AK190" i="12"/>
  <c r="AK191" i="12"/>
  <c r="AK192" i="12"/>
  <c r="AK193" i="12"/>
  <c r="AK194" i="12"/>
  <c r="AK195" i="12"/>
  <c r="AK196" i="12"/>
  <c r="AK197" i="12"/>
  <c r="AK198" i="12"/>
  <c r="AK199" i="12"/>
  <c r="AK200" i="12"/>
  <c r="AK201" i="12"/>
  <c r="AK202" i="12"/>
  <c r="AK203" i="12"/>
  <c r="AK204" i="12"/>
  <c r="AK205" i="12"/>
  <c r="AK206" i="12"/>
  <c r="AK207" i="12"/>
  <c r="AK208" i="12"/>
  <c r="AK209" i="12"/>
  <c r="AK210" i="12"/>
  <c r="AK211" i="12"/>
  <c r="AK212" i="12"/>
  <c r="AK213" i="12"/>
  <c r="AK214" i="12"/>
  <c r="AK215" i="12"/>
  <c r="AK216" i="12"/>
  <c r="AK217" i="12"/>
  <c r="AK218" i="12"/>
  <c r="AK219" i="12"/>
  <c r="AK220" i="12"/>
  <c r="AK221" i="12"/>
  <c r="AK222" i="12"/>
  <c r="AK223" i="12"/>
  <c r="AK224" i="12"/>
  <c r="AK225" i="12"/>
  <c r="AK226" i="12"/>
  <c r="AK227" i="12"/>
  <c r="AK228" i="12"/>
  <c r="AK229" i="12"/>
  <c r="AK230" i="12"/>
  <c r="AK231" i="12"/>
  <c r="AK232" i="12"/>
  <c r="AK233" i="12"/>
  <c r="AK234" i="12"/>
  <c r="AK235" i="12"/>
  <c r="AK236" i="12"/>
  <c r="AK237" i="12"/>
  <c r="AK238" i="12"/>
  <c r="AK239" i="12"/>
  <c r="AK240" i="12"/>
  <c r="AK241" i="12"/>
  <c r="AK242" i="12"/>
  <c r="AK243" i="12"/>
  <c r="AK244" i="12"/>
  <c r="AK245" i="12"/>
  <c r="AK246" i="12"/>
  <c r="AK247" i="12"/>
  <c r="AK248" i="12"/>
  <c r="AK249" i="12"/>
  <c r="AK250" i="12"/>
  <c r="AK251" i="12"/>
  <c r="AK252" i="12"/>
  <c r="AK253" i="12"/>
  <c r="AK254" i="12"/>
  <c r="AK255" i="12"/>
  <c r="AK256" i="12"/>
  <c r="AK257" i="12"/>
  <c r="AK258" i="12"/>
  <c r="AK259" i="12"/>
  <c r="AK260" i="12"/>
  <c r="AK261" i="12"/>
  <c r="AK262" i="12"/>
  <c r="AK263" i="12"/>
  <c r="AK264" i="12"/>
  <c r="AK265" i="12"/>
  <c r="AK266" i="12"/>
  <c r="AK267" i="12"/>
  <c r="AK268" i="12"/>
  <c r="AK269" i="12"/>
  <c r="AK270" i="12"/>
  <c r="AK271" i="12"/>
  <c r="AK272" i="12"/>
  <c r="AK273" i="12"/>
  <c r="AK274" i="12"/>
  <c r="AK275" i="12"/>
  <c r="AK276" i="12"/>
  <c r="AK277" i="12"/>
  <c r="AK278" i="12"/>
  <c r="AK279" i="12"/>
  <c r="AK280" i="12"/>
  <c r="AK281" i="12"/>
  <c r="AK282" i="12"/>
  <c r="AK283" i="12"/>
  <c r="AK284" i="12"/>
  <c r="AK285" i="12"/>
  <c r="AK286" i="12"/>
  <c r="AK287" i="12"/>
  <c r="AK288" i="12"/>
  <c r="AK289" i="12"/>
  <c r="AK290" i="12"/>
  <c r="AK291" i="12"/>
  <c r="AK292" i="12"/>
  <c r="AK293" i="12"/>
  <c r="AK294" i="12"/>
  <c r="AK295" i="12"/>
  <c r="AK296" i="12"/>
  <c r="AK297" i="12"/>
  <c r="AK298" i="12"/>
  <c r="AK299" i="12"/>
  <c r="AK300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20" i="12"/>
  <c r="AJ21" i="12"/>
  <c r="AJ22" i="12"/>
  <c r="AJ23" i="12"/>
  <c r="AJ24" i="12"/>
  <c r="AJ25" i="12"/>
  <c r="AJ26" i="12"/>
  <c r="AJ27" i="12"/>
  <c r="AJ28" i="12"/>
  <c r="AJ29" i="12"/>
  <c r="AJ30" i="12"/>
  <c r="AJ31" i="12"/>
  <c r="AJ32" i="12"/>
  <c r="AJ33" i="12"/>
  <c r="AJ34" i="12"/>
  <c r="AJ35" i="12"/>
  <c r="AJ36" i="12"/>
  <c r="AJ37" i="12"/>
  <c r="AJ38" i="12"/>
  <c r="AJ39" i="12"/>
  <c r="AJ40" i="12"/>
  <c r="AJ41" i="12"/>
  <c r="AJ42" i="12"/>
  <c r="AJ43" i="12"/>
  <c r="AJ44" i="12"/>
  <c r="AJ45" i="12"/>
  <c r="AJ46" i="12"/>
  <c r="AJ47" i="12"/>
  <c r="AJ48" i="12"/>
  <c r="AJ49" i="12"/>
  <c r="AJ50" i="12"/>
  <c r="AJ51" i="12"/>
  <c r="AJ52" i="12"/>
  <c r="AJ53" i="12"/>
  <c r="AJ54" i="12"/>
  <c r="AJ55" i="12"/>
  <c r="AJ56" i="12"/>
  <c r="AJ57" i="12"/>
  <c r="AJ58" i="12"/>
  <c r="AJ59" i="12"/>
  <c r="AJ60" i="12"/>
  <c r="AJ61" i="12"/>
  <c r="AJ62" i="12"/>
  <c r="AJ63" i="12"/>
  <c r="AJ64" i="12"/>
  <c r="AJ65" i="12"/>
  <c r="AJ66" i="12"/>
  <c r="AJ67" i="12"/>
  <c r="AJ68" i="12"/>
  <c r="AJ69" i="12"/>
  <c r="AJ70" i="12"/>
  <c r="AJ71" i="12"/>
  <c r="AJ72" i="12"/>
  <c r="AJ73" i="12"/>
  <c r="AJ74" i="12"/>
  <c r="AJ75" i="12"/>
  <c r="AJ76" i="12"/>
  <c r="AJ77" i="12"/>
  <c r="AJ78" i="12"/>
  <c r="AJ79" i="12"/>
  <c r="AJ80" i="12"/>
  <c r="AJ81" i="12"/>
  <c r="AJ82" i="12"/>
  <c r="AJ83" i="12"/>
  <c r="AJ84" i="12"/>
  <c r="AJ85" i="12"/>
  <c r="AJ86" i="12"/>
  <c r="AJ87" i="12"/>
  <c r="AJ88" i="12"/>
  <c r="AJ89" i="12"/>
  <c r="AJ90" i="12"/>
  <c r="AJ91" i="12"/>
  <c r="AJ92" i="12"/>
  <c r="AJ93" i="12"/>
  <c r="AJ94" i="12"/>
  <c r="AJ95" i="12"/>
  <c r="AJ96" i="12"/>
  <c r="AJ97" i="12"/>
  <c r="AJ98" i="12"/>
  <c r="AJ99" i="12"/>
  <c r="AJ100" i="12"/>
  <c r="AJ101" i="12"/>
  <c r="AJ102" i="12"/>
  <c r="AJ103" i="12"/>
  <c r="AJ104" i="12"/>
  <c r="AJ105" i="12"/>
  <c r="AJ106" i="12"/>
  <c r="AJ107" i="12"/>
  <c r="AJ108" i="12"/>
  <c r="AJ109" i="12"/>
  <c r="AJ110" i="12"/>
  <c r="AJ111" i="12"/>
  <c r="AJ112" i="12"/>
  <c r="AJ113" i="12"/>
  <c r="AJ114" i="12"/>
  <c r="AJ115" i="12"/>
  <c r="AJ116" i="12"/>
  <c r="AJ117" i="12"/>
  <c r="AJ118" i="12"/>
  <c r="AJ119" i="12"/>
  <c r="AJ120" i="12"/>
  <c r="AJ121" i="12"/>
  <c r="AJ122" i="12"/>
  <c r="AJ123" i="12"/>
  <c r="AJ124" i="12"/>
  <c r="AJ125" i="12"/>
  <c r="AJ126" i="12"/>
  <c r="AJ127" i="12"/>
  <c r="AJ128" i="12"/>
  <c r="AJ129" i="12"/>
  <c r="AJ130" i="12"/>
  <c r="AJ131" i="12"/>
  <c r="AJ132" i="12"/>
  <c r="AJ133" i="12"/>
  <c r="AJ134" i="12"/>
  <c r="AJ135" i="12"/>
  <c r="AJ136" i="12"/>
  <c r="AJ137" i="12"/>
  <c r="AJ138" i="12"/>
  <c r="AJ139" i="12"/>
  <c r="AJ140" i="12"/>
  <c r="AJ141" i="12"/>
  <c r="AJ142" i="12"/>
  <c r="AJ143" i="12"/>
  <c r="AJ144" i="12"/>
  <c r="AJ145" i="12"/>
  <c r="AJ146" i="12"/>
  <c r="AJ147" i="12"/>
  <c r="AJ148" i="12"/>
  <c r="AJ149" i="12"/>
  <c r="AJ150" i="12"/>
  <c r="AJ151" i="12"/>
  <c r="AJ152" i="12"/>
  <c r="AJ153" i="12"/>
  <c r="AJ154" i="12"/>
  <c r="AJ155" i="12"/>
  <c r="AJ156" i="12"/>
  <c r="AJ157" i="12"/>
  <c r="AJ158" i="12"/>
  <c r="AJ159" i="12"/>
  <c r="AJ160" i="12"/>
  <c r="AJ161" i="12"/>
  <c r="AJ162" i="12"/>
  <c r="AJ163" i="12"/>
  <c r="AJ164" i="12"/>
  <c r="AJ165" i="12"/>
  <c r="AJ166" i="12"/>
  <c r="AJ167" i="12"/>
  <c r="AJ168" i="12"/>
  <c r="AJ169" i="12"/>
  <c r="AJ170" i="12"/>
  <c r="AJ171" i="12"/>
  <c r="AJ172" i="12"/>
  <c r="AJ173" i="12"/>
  <c r="AJ174" i="12"/>
  <c r="AJ175" i="12"/>
  <c r="AJ176" i="12"/>
  <c r="AJ177" i="12"/>
  <c r="AJ178" i="12"/>
  <c r="AJ179" i="12"/>
  <c r="AJ180" i="12"/>
  <c r="AJ181" i="12"/>
  <c r="AJ182" i="12"/>
  <c r="AJ183" i="12"/>
  <c r="AJ184" i="12"/>
  <c r="AJ185" i="12"/>
  <c r="AJ186" i="12"/>
  <c r="AJ187" i="12"/>
  <c r="AJ188" i="12"/>
  <c r="AJ189" i="12"/>
  <c r="AJ190" i="12"/>
  <c r="AJ191" i="12"/>
  <c r="AJ192" i="12"/>
  <c r="AJ193" i="12"/>
  <c r="AJ194" i="12"/>
  <c r="AJ195" i="12"/>
  <c r="AJ196" i="12"/>
  <c r="AJ197" i="12"/>
  <c r="AJ198" i="12"/>
  <c r="AJ199" i="12"/>
  <c r="AJ200" i="12"/>
  <c r="AJ201" i="12"/>
  <c r="AJ202" i="12"/>
  <c r="AJ203" i="12"/>
  <c r="AJ204" i="12"/>
  <c r="AJ205" i="12"/>
  <c r="AJ206" i="12"/>
  <c r="AJ207" i="12"/>
  <c r="AJ208" i="12"/>
  <c r="AJ209" i="12"/>
  <c r="AJ210" i="12"/>
  <c r="AJ211" i="12"/>
  <c r="AJ212" i="12"/>
  <c r="AJ213" i="12"/>
  <c r="AJ214" i="12"/>
  <c r="AJ215" i="12"/>
  <c r="AJ216" i="12"/>
  <c r="AJ217" i="12"/>
  <c r="AJ218" i="12"/>
  <c r="AJ219" i="12"/>
  <c r="AJ220" i="12"/>
  <c r="AJ221" i="12"/>
  <c r="AJ222" i="12"/>
  <c r="AJ223" i="12"/>
  <c r="AJ224" i="12"/>
  <c r="AJ225" i="12"/>
  <c r="AJ226" i="12"/>
  <c r="AJ227" i="12"/>
  <c r="AJ228" i="12"/>
  <c r="AJ229" i="12"/>
  <c r="AJ230" i="12"/>
  <c r="AJ231" i="12"/>
  <c r="AJ232" i="12"/>
  <c r="AJ233" i="12"/>
  <c r="AJ234" i="12"/>
  <c r="AJ235" i="12"/>
  <c r="AJ236" i="12"/>
  <c r="AJ237" i="12"/>
  <c r="AJ238" i="12"/>
  <c r="AJ239" i="12"/>
  <c r="AJ240" i="12"/>
  <c r="AJ241" i="12"/>
  <c r="AJ242" i="12"/>
  <c r="AJ243" i="12"/>
  <c r="AJ244" i="12"/>
  <c r="AJ245" i="12"/>
  <c r="AJ246" i="12"/>
  <c r="AJ247" i="12"/>
  <c r="AJ248" i="12"/>
  <c r="AJ249" i="12"/>
  <c r="AJ250" i="12"/>
  <c r="AJ251" i="12"/>
  <c r="AJ252" i="12"/>
  <c r="AJ253" i="12"/>
  <c r="AJ254" i="12"/>
  <c r="AJ255" i="12"/>
  <c r="AJ256" i="12"/>
  <c r="AJ257" i="12"/>
  <c r="AJ258" i="12"/>
  <c r="AJ259" i="12"/>
  <c r="AJ260" i="12"/>
  <c r="AJ261" i="12"/>
  <c r="AJ262" i="12"/>
  <c r="AJ263" i="12"/>
  <c r="AJ264" i="12"/>
  <c r="AJ265" i="12"/>
  <c r="AJ266" i="12"/>
  <c r="AJ267" i="12"/>
  <c r="AJ268" i="12"/>
  <c r="AJ269" i="12"/>
  <c r="AJ270" i="12"/>
  <c r="AJ271" i="12"/>
  <c r="AJ272" i="12"/>
  <c r="AJ273" i="12"/>
  <c r="AJ274" i="12"/>
  <c r="AJ275" i="12"/>
  <c r="AJ276" i="12"/>
  <c r="AJ277" i="12"/>
  <c r="AJ278" i="12"/>
  <c r="AJ279" i="12"/>
  <c r="AJ280" i="12"/>
  <c r="AJ281" i="12"/>
  <c r="AJ282" i="12"/>
  <c r="AJ283" i="12"/>
  <c r="AJ284" i="12"/>
  <c r="AJ285" i="12"/>
  <c r="AJ286" i="12"/>
  <c r="AJ287" i="12"/>
  <c r="AJ288" i="12"/>
  <c r="AJ289" i="12"/>
  <c r="AJ290" i="12"/>
  <c r="AJ291" i="12"/>
  <c r="AJ292" i="12"/>
  <c r="AJ293" i="12"/>
  <c r="AJ294" i="12"/>
  <c r="AJ295" i="12"/>
  <c r="AJ296" i="12"/>
  <c r="AJ297" i="12"/>
  <c r="AJ298" i="12"/>
  <c r="AJ299" i="12"/>
  <c r="AJ300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AI30" i="12"/>
  <c r="AI31" i="12"/>
  <c r="AI32" i="12"/>
  <c r="AI33" i="12"/>
  <c r="AI34" i="12"/>
  <c r="AI35" i="12"/>
  <c r="AI36" i="12"/>
  <c r="AI37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64" i="12"/>
  <c r="AI65" i="12"/>
  <c r="AI66" i="12"/>
  <c r="AI67" i="12"/>
  <c r="AI68" i="12"/>
  <c r="AI69" i="12"/>
  <c r="AI70" i="12"/>
  <c r="AI71" i="12"/>
  <c r="AI72" i="12"/>
  <c r="AI73" i="12"/>
  <c r="AI74" i="12"/>
  <c r="AI75" i="12"/>
  <c r="AI76" i="12"/>
  <c r="AI77" i="12"/>
  <c r="AI78" i="12"/>
  <c r="AI79" i="12"/>
  <c r="AI80" i="12"/>
  <c r="AI81" i="12"/>
  <c r="AI82" i="12"/>
  <c r="AI83" i="12"/>
  <c r="AI84" i="12"/>
  <c r="AI85" i="12"/>
  <c r="AI86" i="12"/>
  <c r="AI87" i="12"/>
  <c r="AI88" i="12"/>
  <c r="AI89" i="12"/>
  <c r="AI90" i="12"/>
  <c r="AI91" i="12"/>
  <c r="AI92" i="12"/>
  <c r="AI93" i="12"/>
  <c r="AI94" i="12"/>
  <c r="AI95" i="12"/>
  <c r="AI96" i="12"/>
  <c r="AI97" i="12"/>
  <c r="AI98" i="12"/>
  <c r="AI99" i="12"/>
  <c r="AI100" i="12"/>
  <c r="AI101" i="12"/>
  <c r="AI102" i="12"/>
  <c r="AI103" i="12"/>
  <c r="AI104" i="12"/>
  <c r="AI105" i="12"/>
  <c r="AI106" i="12"/>
  <c r="AI107" i="12"/>
  <c r="AI108" i="12"/>
  <c r="AI109" i="12"/>
  <c r="AI110" i="12"/>
  <c r="AI111" i="12"/>
  <c r="AI112" i="12"/>
  <c r="AI113" i="12"/>
  <c r="AI114" i="12"/>
  <c r="AI115" i="12"/>
  <c r="AI116" i="12"/>
  <c r="AI117" i="12"/>
  <c r="AI118" i="12"/>
  <c r="AI119" i="12"/>
  <c r="AI120" i="12"/>
  <c r="AI121" i="12"/>
  <c r="AI122" i="12"/>
  <c r="AI123" i="12"/>
  <c r="AI124" i="12"/>
  <c r="AI125" i="12"/>
  <c r="AI126" i="12"/>
  <c r="AI127" i="12"/>
  <c r="AI128" i="12"/>
  <c r="AI129" i="12"/>
  <c r="AI130" i="12"/>
  <c r="AI131" i="12"/>
  <c r="AI132" i="12"/>
  <c r="AI133" i="12"/>
  <c r="AI134" i="12"/>
  <c r="AI135" i="12"/>
  <c r="AI136" i="12"/>
  <c r="AI137" i="12"/>
  <c r="AI138" i="12"/>
  <c r="AI139" i="12"/>
  <c r="AI140" i="12"/>
  <c r="AI141" i="12"/>
  <c r="AI142" i="12"/>
  <c r="AI143" i="12"/>
  <c r="AI144" i="12"/>
  <c r="AI145" i="12"/>
  <c r="AI146" i="12"/>
  <c r="AI147" i="12"/>
  <c r="AI148" i="12"/>
  <c r="AI149" i="12"/>
  <c r="AI150" i="12"/>
  <c r="AI151" i="12"/>
  <c r="AI152" i="12"/>
  <c r="AI153" i="12"/>
  <c r="AI154" i="12"/>
  <c r="AI155" i="12"/>
  <c r="AI156" i="12"/>
  <c r="AI157" i="12"/>
  <c r="AI158" i="12"/>
  <c r="AI159" i="12"/>
  <c r="AI160" i="12"/>
  <c r="AI161" i="12"/>
  <c r="AI162" i="12"/>
  <c r="AI163" i="12"/>
  <c r="AI164" i="12"/>
  <c r="AI165" i="12"/>
  <c r="AI166" i="12"/>
  <c r="AI167" i="12"/>
  <c r="AI168" i="12"/>
  <c r="AI169" i="12"/>
  <c r="AI170" i="12"/>
  <c r="AI171" i="12"/>
  <c r="AI172" i="12"/>
  <c r="AI173" i="12"/>
  <c r="AI174" i="12"/>
  <c r="AI175" i="12"/>
  <c r="AI176" i="12"/>
  <c r="AI177" i="12"/>
  <c r="AI178" i="12"/>
  <c r="AI179" i="12"/>
  <c r="AI180" i="12"/>
  <c r="AI181" i="12"/>
  <c r="AI182" i="12"/>
  <c r="AI183" i="12"/>
  <c r="AI184" i="12"/>
  <c r="AI185" i="12"/>
  <c r="AI186" i="12"/>
  <c r="AI187" i="12"/>
  <c r="AI188" i="12"/>
  <c r="AI189" i="12"/>
  <c r="AI190" i="12"/>
  <c r="AI191" i="12"/>
  <c r="AI192" i="12"/>
  <c r="AI193" i="12"/>
  <c r="AI194" i="12"/>
  <c r="AI195" i="12"/>
  <c r="AI196" i="12"/>
  <c r="AI197" i="12"/>
  <c r="AI198" i="12"/>
  <c r="AI199" i="12"/>
  <c r="AI200" i="12"/>
  <c r="AI201" i="12"/>
  <c r="AI202" i="12"/>
  <c r="AI203" i="12"/>
  <c r="AI204" i="12"/>
  <c r="AI205" i="12"/>
  <c r="AI206" i="12"/>
  <c r="AI207" i="12"/>
  <c r="AI208" i="12"/>
  <c r="AI209" i="12"/>
  <c r="AI210" i="12"/>
  <c r="AI211" i="12"/>
  <c r="AI212" i="12"/>
  <c r="AI213" i="12"/>
  <c r="AI214" i="12"/>
  <c r="AI215" i="12"/>
  <c r="AI216" i="12"/>
  <c r="AI217" i="12"/>
  <c r="AI218" i="12"/>
  <c r="AI219" i="12"/>
  <c r="AI220" i="12"/>
  <c r="AI221" i="12"/>
  <c r="AI222" i="12"/>
  <c r="AI223" i="12"/>
  <c r="AI224" i="12"/>
  <c r="AI225" i="12"/>
  <c r="AI226" i="12"/>
  <c r="AI227" i="12"/>
  <c r="AI228" i="12"/>
  <c r="AI229" i="12"/>
  <c r="AI230" i="12"/>
  <c r="AI231" i="12"/>
  <c r="AI232" i="12"/>
  <c r="AI233" i="12"/>
  <c r="AI234" i="12"/>
  <c r="AI235" i="12"/>
  <c r="AI236" i="12"/>
  <c r="AI237" i="12"/>
  <c r="AI238" i="12"/>
  <c r="AI239" i="12"/>
  <c r="AI240" i="12"/>
  <c r="AI241" i="12"/>
  <c r="AI242" i="12"/>
  <c r="AI243" i="12"/>
  <c r="AI244" i="12"/>
  <c r="AI245" i="12"/>
  <c r="AI246" i="12"/>
  <c r="AI247" i="12"/>
  <c r="AI248" i="12"/>
  <c r="AI249" i="12"/>
  <c r="AI250" i="12"/>
  <c r="AI251" i="12"/>
  <c r="AI252" i="12"/>
  <c r="AI253" i="12"/>
  <c r="AI254" i="12"/>
  <c r="AI255" i="12"/>
  <c r="AI256" i="12"/>
  <c r="AI257" i="12"/>
  <c r="AI258" i="12"/>
  <c r="AI259" i="12"/>
  <c r="AI260" i="12"/>
  <c r="AI261" i="12"/>
  <c r="AI262" i="12"/>
  <c r="AI263" i="12"/>
  <c r="AI264" i="12"/>
  <c r="AI265" i="12"/>
  <c r="AI266" i="12"/>
  <c r="AI267" i="12"/>
  <c r="AI268" i="12"/>
  <c r="AI269" i="12"/>
  <c r="AI270" i="12"/>
  <c r="AI271" i="12"/>
  <c r="AI272" i="12"/>
  <c r="AI273" i="12"/>
  <c r="AI274" i="12"/>
  <c r="AI275" i="12"/>
  <c r="AI276" i="12"/>
  <c r="AI277" i="12"/>
  <c r="AI278" i="12"/>
  <c r="AI279" i="12"/>
  <c r="AI280" i="12"/>
  <c r="AI281" i="12"/>
  <c r="AI282" i="12"/>
  <c r="AI283" i="12"/>
  <c r="AI284" i="12"/>
  <c r="AI285" i="12"/>
  <c r="AI286" i="12"/>
  <c r="AI287" i="12"/>
  <c r="AI288" i="12"/>
  <c r="AI289" i="12"/>
  <c r="AI290" i="12"/>
  <c r="AI291" i="12"/>
  <c r="AI292" i="12"/>
  <c r="AI293" i="12"/>
  <c r="AI294" i="12"/>
  <c r="AI295" i="12"/>
  <c r="AI296" i="12"/>
  <c r="AI297" i="12"/>
  <c r="AI298" i="12"/>
  <c r="AI299" i="12"/>
  <c r="AI300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29" i="12"/>
  <c r="AH30" i="12"/>
  <c r="AH31" i="12"/>
  <c r="AH32" i="12"/>
  <c r="AH33" i="12"/>
  <c r="AH34" i="12"/>
  <c r="AH35" i="12"/>
  <c r="AH36" i="12"/>
  <c r="AH37" i="12"/>
  <c r="AH38" i="12"/>
  <c r="AH39" i="12"/>
  <c r="AH40" i="12"/>
  <c r="AH41" i="12"/>
  <c r="AH42" i="12"/>
  <c r="AH43" i="12"/>
  <c r="AH44" i="12"/>
  <c r="AH45" i="12"/>
  <c r="AH46" i="12"/>
  <c r="AH47" i="12"/>
  <c r="AH48" i="12"/>
  <c r="AH49" i="12"/>
  <c r="AH50" i="12"/>
  <c r="AH51" i="12"/>
  <c r="AH52" i="12"/>
  <c r="AH53" i="12"/>
  <c r="AH54" i="12"/>
  <c r="AH55" i="12"/>
  <c r="AH56" i="12"/>
  <c r="AH57" i="12"/>
  <c r="AH58" i="12"/>
  <c r="AH59" i="12"/>
  <c r="AH60" i="12"/>
  <c r="AH61" i="12"/>
  <c r="AH62" i="12"/>
  <c r="AH63" i="12"/>
  <c r="AH64" i="12"/>
  <c r="AH65" i="12"/>
  <c r="AH66" i="12"/>
  <c r="AH67" i="12"/>
  <c r="AH68" i="12"/>
  <c r="AH69" i="12"/>
  <c r="AH70" i="12"/>
  <c r="AH71" i="12"/>
  <c r="AH72" i="12"/>
  <c r="AH73" i="12"/>
  <c r="AH74" i="12"/>
  <c r="AH75" i="12"/>
  <c r="AH76" i="12"/>
  <c r="AH77" i="12"/>
  <c r="AH78" i="12"/>
  <c r="AH79" i="12"/>
  <c r="AH80" i="12"/>
  <c r="AH81" i="12"/>
  <c r="AH82" i="12"/>
  <c r="AH83" i="12"/>
  <c r="AH84" i="12"/>
  <c r="AH85" i="12"/>
  <c r="AH86" i="12"/>
  <c r="AH87" i="12"/>
  <c r="AH88" i="12"/>
  <c r="AH89" i="12"/>
  <c r="AH90" i="12"/>
  <c r="AH91" i="12"/>
  <c r="AH92" i="12"/>
  <c r="AH93" i="12"/>
  <c r="AH94" i="12"/>
  <c r="AH95" i="12"/>
  <c r="AH96" i="12"/>
  <c r="AH97" i="12"/>
  <c r="AH98" i="12"/>
  <c r="AH99" i="12"/>
  <c r="AH100" i="12"/>
  <c r="AH101" i="12"/>
  <c r="AH102" i="12"/>
  <c r="AH103" i="12"/>
  <c r="AH104" i="12"/>
  <c r="AH105" i="12"/>
  <c r="AH106" i="12"/>
  <c r="AH107" i="12"/>
  <c r="AH108" i="12"/>
  <c r="AH109" i="12"/>
  <c r="AH110" i="12"/>
  <c r="AH111" i="12"/>
  <c r="AH112" i="12"/>
  <c r="AH113" i="12"/>
  <c r="AH114" i="12"/>
  <c r="AH115" i="12"/>
  <c r="AH116" i="12"/>
  <c r="AH117" i="12"/>
  <c r="AH118" i="12"/>
  <c r="AH119" i="12"/>
  <c r="AH120" i="12"/>
  <c r="AH121" i="12"/>
  <c r="AH122" i="12"/>
  <c r="AH123" i="12"/>
  <c r="AH124" i="12"/>
  <c r="AH125" i="12"/>
  <c r="AH126" i="12"/>
  <c r="AH127" i="12"/>
  <c r="AH128" i="12"/>
  <c r="AH129" i="12"/>
  <c r="AH130" i="12"/>
  <c r="AH131" i="12"/>
  <c r="AH132" i="12"/>
  <c r="AH133" i="12"/>
  <c r="AH134" i="12"/>
  <c r="AH135" i="12"/>
  <c r="AH136" i="12"/>
  <c r="AH137" i="12"/>
  <c r="AH138" i="12"/>
  <c r="AH139" i="12"/>
  <c r="AH140" i="12"/>
  <c r="AH141" i="12"/>
  <c r="AH142" i="12"/>
  <c r="AH143" i="12"/>
  <c r="AH144" i="12"/>
  <c r="AH145" i="12"/>
  <c r="AH146" i="12"/>
  <c r="AH147" i="12"/>
  <c r="AH148" i="12"/>
  <c r="AH149" i="12"/>
  <c r="AH150" i="12"/>
  <c r="AH151" i="12"/>
  <c r="AH152" i="12"/>
  <c r="AH153" i="12"/>
  <c r="AH154" i="12"/>
  <c r="AH155" i="12"/>
  <c r="AH156" i="12"/>
  <c r="AH157" i="12"/>
  <c r="AH158" i="12"/>
  <c r="AH159" i="12"/>
  <c r="AH160" i="12"/>
  <c r="AH161" i="12"/>
  <c r="AH162" i="12"/>
  <c r="AH163" i="12"/>
  <c r="AH164" i="12"/>
  <c r="AH165" i="12"/>
  <c r="AH166" i="12"/>
  <c r="AH167" i="12"/>
  <c r="AH168" i="12"/>
  <c r="AH169" i="12"/>
  <c r="AH170" i="12"/>
  <c r="AH171" i="12"/>
  <c r="AH172" i="12"/>
  <c r="AH173" i="12"/>
  <c r="AH174" i="12"/>
  <c r="AH175" i="12"/>
  <c r="AH176" i="12"/>
  <c r="AH177" i="12"/>
  <c r="AH178" i="12"/>
  <c r="AH179" i="12"/>
  <c r="AH180" i="12"/>
  <c r="AH181" i="12"/>
  <c r="AH182" i="12"/>
  <c r="AH183" i="12"/>
  <c r="AH184" i="12"/>
  <c r="AH185" i="12"/>
  <c r="AH186" i="12"/>
  <c r="AH187" i="12"/>
  <c r="AH188" i="12"/>
  <c r="AH189" i="12"/>
  <c r="AH190" i="12"/>
  <c r="AH191" i="12"/>
  <c r="AH192" i="12"/>
  <c r="AH193" i="12"/>
  <c r="AH194" i="12"/>
  <c r="AH195" i="12"/>
  <c r="AH196" i="12"/>
  <c r="AH197" i="12"/>
  <c r="AH198" i="12"/>
  <c r="AH199" i="12"/>
  <c r="AH200" i="12"/>
  <c r="AH201" i="12"/>
  <c r="AH202" i="12"/>
  <c r="AH203" i="12"/>
  <c r="AH204" i="12"/>
  <c r="AH205" i="12"/>
  <c r="AH206" i="12"/>
  <c r="AH207" i="12"/>
  <c r="AH208" i="12"/>
  <c r="AH209" i="12"/>
  <c r="AH210" i="12"/>
  <c r="AH211" i="12"/>
  <c r="AH212" i="12"/>
  <c r="AH213" i="12"/>
  <c r="AH214" i="12"/>
  <c r="AH215" i="12"/>
  <c r="AH216" i="12"/>
  <c r="AH217" i="12"/>
  <c r="AH218" i="12"/>
  <c r="AH219" i="12"/>
  <c r="AH220" i="12"/>
  <c r="AH221" i="12"/>
  <c r="AH222" i="12"/>
  <c r="AH223" i="12"/>
  <c r="AH224" i="12"/>
  <c r="AH225" i="12"/>
  <c r="AH226" i="12"/>
  <c r="AH227" i="12"/>
  <c r="AH228" i="12"/>
  <c r="AH229" i="12"/>
  <c r="AH230" i="12"/>
  <c r="AH231" i="12"/>
  <c r="AH232" i="12"/>
  <c r="AH233" i="12"/>
  <c r="AH234" i="12"/>
  <c r="AH235" i="12"/>
  <c r="AH236" i="12"/>
  <c r="AH237" i="12"/>
  <c r="AH238" i="12"/>
  <c r="AH239" i="12"/>
  <c r="AH240" i="12"/>
  <c r="AH241" i="12"/>
  <c r="AH242" i="12"/>
  <c r="AH243" i="12"/>
  <c r="AH244" i="12"/>
  <c r="AH245" i="12"/>
  <c r="AH246" i="12"/>
  <c r="AH247" i="12"/>
  <c r="AH248" i="12"/>
  <c r="AH249" i="12"/>
  <c r="AH250" i="12"/>
  <c r="AH251" i="12"/>
  <c r="AH252" i="12"/>
  <c r="AH253" i="12"/>
  <c r="AH254" i="12"/>
  <c r="AH255" i="12"/>
  <c r="AH256" i="12"/>
  <c r="AH257" i="12"/>
  <c r="AH258" i="12"/>
  <c r="AH259" i="12"/>
  <c r="AH260" i="12"/>
  <c r="AH261" i="12"/>
  <c r="AH262" i="12"/>
  <c r="AH263" i="12"/>
  <c r="AH264" i="12"/>
  <c r="AH265" i="12"/>
  <c r="AH266" i="12"/>
  <c r="AH267" i="12"/>
  <c r="AH268" i="12"/>
  <c r="AH269" i="12"/>
  <c r="AH270" i="12"/>
  <c r="AH271" i="12"/>
  <c r="AH272" i="12"/>
  <c r="AH273" i="12"/>
  <c r="AH274" i="12"/>
  <c r="AH275" i="12"/>
  <c r="AH276" i="12"/>
  <c r="AH277" i="12"/>
  <c r="AH278" i="12"/>
  <c r="AH279" i="12"/>
  <c r="AH280" i="12"/>
  <c r="AH281" i="12"/>
  <c r="AH282" i="12"/>
  <c r="AH283" i="12"/>
  <c r="AH284" i="12"/>
  <c r="AH285" i="12"/>
  <c r="AH286" i="12"/>
  <c r="AH287" i="12"/>
  <c r="AH288" i="12"/>
  <c r="AH289" i="12"/>
  <c r="AH290" i="12"/>
  <c r="AH291" i="12"/>
  <c r="AH292" i="12"/>
  <c r="AH293" i="12"/>
  <c r="AH294" i="12"/>
  <c r="AH295" i="12"/>
  <c r="AH296" i="12"/>
  <c r="AH297" i="12"/>
  <c r="AH298" i="12"/>
  <c r="AH299" i="12"/>
  <c r="AH300" i="12"/>
  <c r="AE3" i="12" a="1"/>
  <c r="AH7" i="12" s="1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B5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B108" i="12"/>
  <c r="AB109" i="12"/>
  <c r="AB110" i="12"/>
  <c r="AB111" i="12"/>
  <c r="AB112" i="12"/>
  <c r="AB113" i="12"/>
  <c r="AB114" i="12"/>
  <c r="AB115" i="12"/>
  <c r="AB116" i="12"/>
  <c r="AB117" i="12"/>
  <c r="AB118" i="12"/>
  <c r="AB119" i="12"/>
  <c r="AB120" i="12"/>
  <c r="AB121" i="12"/>
  <c r="AB122" i="12"/>
  <c r="AB123" i="12"/>
  <c r="AB124" i="12"/>
  <c r="AB125" i="12"/>
  <c r="AB126" i="12"/>
  <c r="AB127" i="12"/>
  <c r="AB128" i="12"/>
  <c r="AB129" i="12"/>
  <c r="AB130" i="12"/>
  <c r="AB131" i="12"/>
  <c r="AB132" i="12"/>
  <c r="AB133" i="12"/>
  <c r="AB134" i="12"/>
  <c r="AB135" i="12"/>
  <c r="AB136" i="12"/>
  <c r="AB137" i="12"/>
  <c r="AB138" i="12"/>
  <c r="AB139" i="12"/>
  <c r="AB140" i="12"/>
  <c r="AB141" i="12"/>
  <c r="AB142" i="12"/>
  <c r="AB143" i="12"/>
  <c r="AB144" i="12"/>
  <c r="AB145" i="12"/>
  <c r="AB146" i="12"/>
  <c r="AB147" i="12"/>
  <c r="AB148" i="12"/>
  <c r="AB149" i="12"/>
  <c r="AB150" i="12"/>
  <c r="AB151" i="12"/>
  <c r="AB152" i="12"/>
  <c r="AB153" i="12"/>
  <c r="AB154" i="12"/>
  <c r="AB155" i="12"/>
  <c r="AB156" i="12"/>
  <c r="AB157" i="12"/>
  <c r="AB158" i="12"/>
  <c r="AB159" i="12"/>
  <c r="AB160" i="12"/>
  <c r="AB161" i="12"/>
  <c r="AB162" i="12"/>
  <c r="AB163" i="12"/>
  <c r="AB164" i="12"/>
  <c r="AB165" i="12"/>
  <c r="AB166" i="12"/>
  <c r="AB167" i="12"/>
  <c r="AB168" i="12"/>
  <c r="AB169" i="12"/>
  <c r="AB170" i="12"/>
  <c r="AB171" i="12"/>
  <c r="AB172" i="12"/>
  <c r="AB173" i="12"/>
  <c r="AB174" i="12"/>
  <c r="AB175" i="12"/>
  <c r="AB176" i="12"/>
  <c r="AB177" i="12"/>
  <c r="AB178" i="12"/>
  <c r="AB179" i="12"/>
  <c r="AB180" i="12"/>
  <c r="AB181" i="12"/>
  <c r="AB182" i="12"/>
  <c r="AB183" i="12"/>
  <c r="AB184" i="12"/>
  <c r="AB185" i="12"/>
  <c r="AB186" i="12"/>
  <c r="AB187" i="12"/>
  <c r="AB188" i="12"/>
  <c r="AB189" i="12"/>
  <c r="AB190" i="12"/>
  <c r="AB191" i="12"/>
  <c r="AB192" i="12"/>
  <c r="AB193" i="12"/>
  <c r="AB194" i="12"/>
  <c r="AB195" i="12"/>
  <c r="AB196" i="12"/>
  <c r="AB197" i="12"/>
  <c r="AB198" i="12"/>
  <c r="AB199" i="12"/>
  <c r="AB200" i="12"/>
  <c r="AB201" i="12"/>
  <c r="AB202" i="12"/>
  <c r="AB203" i="12"/>
  <c r="AB204" i="12"/>
  <c r="AB205" i="12"/>
  <c r="AB206" i="12"/>
  <c r="AB207" i="12"/>
  <c r="AB208" i="12"/>
  <c r="AB209" i="12"/>
  <c r="AB210" i="12"/>
  <c r="AB211" i="12"/>
  <c r="AB212" i="12"/>
  <c r="AB213" i="12"/>
  <c r="AB214" i="12"/>
  <c r="AB215" i="12"/>
  <c r="AB216" i="12"/>
  <c r="AB217" i="12"/>
  <c r="AB218" i="12"/>
  <c r="AB219" i="12"/>
  <c r="AB220" i="12"/>
  <c r="AB221" i="12"/>
  <c r="AB222" i="12"/>
  <c r="AB223" i="12"/>
  <c r="AB224" i="12"/>
  <c r="AB225" i="12"/>
  <c r="AB226" i="12"/>
  <c r="AB227" i="12"/>
  <c r="AB228" i="12"/>
  <c r="AB229" i="12"/>
  <c r="AB230" i="12"/>
  <c r="AB231" i="12"/>
  <c r="AB232" i="12"/>
  <c r="AB233" i="12"/>
  <c r="AB234" i="12"/>
  <c r="AB235" i="12"/>
  <c r="AB236" i="12"/>
  <c r="AB237" i="12"/>
  <c r="AB238" i="12"/>
  <c r="AB239" i="12"/>
  <c r="AB240" i="12"/>
  <c r="AB241" i="12"/>
  <c r="AB242" i="12"/>
  <c r="AB243" i="12"/>
  <c r="AB244" i="12"/>
  <c r="AB245" i="12"/>
  <c r="AB246" i="12"/>
  <c r="AB247" i="12"/>
  <c r="AB248" i="12"/>
  <c r="AB249" i="12"/>
  <c r="AB250" i="12"/>
  <c r="AB251" i="12"/>
  <c r="AB252" i="12"/>
  <c r="AB253" i="12"/>
  <c r="AB254" i="12"/>
  <c r="AB255" i="12"/>
  <c r="AB256" i="12"/>
  <c r="AB257" i="12"/>
  <c r="AB258" i="12"/>
  <c r="AB259" i="12"/>
  <c r="AB260" i="12"/>
  <c r="AB261" i="12"/>
  <c r="AB262" i="12"/>
  <c r="AB263" i="12"/>
  <c r="AB264" i="12"/>
  <c r="AB265" i="12"/>
  <c r="AB266" i="12"/>
  <c r="AB267" i="12"/>
  <c r="AB268" i="12"/>
  <c r="AB269" i="12"/>
  <c r="AB270" i="12"/>
  <c r="AB271" i="12"/>
  <c r="AB272" i="12"/>
  <c r="AB273" i="12"/>
  <c r="AB274" i="12"/>
  <c r="AB275" i="12"/>
  <c r="AB276" i="12"/>
  <c r="AB277" i="12"/>
  <c r="AB278" i="12"/>
  <c r="AB279" i="12"/>
  <c r="AB280" i="12"/>
  <c r="AB281" i="12"/>
  <c r="AB282" i="12"/>
  <c r="AB283" i="12"/>
  <c r="AB284" i="12"/>
  <c r="AB285" i="12"/>
  <c r="AB286" i="12"/>
  <c r="AB287" i="12"/>
  <c r="AB288" i="12"/>
  <c r="AB289" i="12"/>
  <c r="AB290" i="12"/>
  <c r="AB291" i="12"/>
  <c r="AB292" i="12"/>
  <c r="AB293" i="12"/>
  <c r="AB294" i="12"/>
  <c r="AB295" i="12"/>
  <c r="AB296" i="12"/>
  <c r="AB297" i="12"/>
  <c r="AB298" i="12"/>
  <c r="AB299" i="12"/>
  <c r="AB300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01" i="12"/>
  <c r="Y202" i="12"/>
  <c r="Y203" i="12"/>
  <c r="Y204" i="12"/>
  <c r="Y205" i="12"/>
  <c r="Y206" i="12"/>
  <c r="Y207" i="12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Y220" i="12"/>
  <c r="Y221" i="12"/>
  <c r="Y222" i="12"/>
  <c r="Y223" i="12"/>
  <c r="Y224" i="12"/>
  <c r="Y225" i="12"/>
  <c r="Y226" i="12"/>
  <c r="Y227" i="12"/>
  <c r="Y228" i="12"/>
  <c r="Y229" i="12"/>
  <c r="Y230" i="12"/>
  <c r="Y231" i="12"/>
  <c r="Y232" i="12"/>
  <c r="Y233" i="12"/>
  <c r="Y234" i="12"/>
  <c r="Y235" i="12"/>
  <c r="Y236" i="12"/>
  <c r="Y237" i="12"/>
  <c r="Y238" i="12"/>
  <c r="Y239" i="12"/>
  <c r="Y240" i="12"/>
  <c r="Y241" i="12"/>
  <c r="Y242" i="12"/>
  <c r="Y243" i="12"/>
  <c r="Y244" i="12"/>
  <c r="Y245" i="12"/>
  <c r="Y246" i="12"/>
  <c r="Y247" i="12"/>
  <c r="Y248" i="12"/>
  <c r="Y249" i="12"/>
  <c r="Y250" i="12"/>
  <c r="Y251" i="12"/>
  <c r="Y252" i="12"/>
  <c r="Y253" i="12"/>
  <c r="Y254" i="12"/>
  <c r="Y255" i="12"/>
  <c r="Y256" i="12"/>
  <c r="Y257" i="12"/>
  <c r="Y258" i="12"/>
  <c r="Y259" i="12"/>
  <c r="Y260" i="12"/>
  <c r="Y261" i="12"/>
  <c r="Y262" i="12"/>
  <c r="Y263" i="12"/>
  <c r="Y264" i="12"/>
  <c r="Y265" i="12"/>
  <c r="Y266" i="12"/>
  <c r="Y267" i="12"/>
  <c r="Y268" i="12"/>
  <c r="Y269" i="12"/>
  <c r="Y270" i="12"/>
  <c r="Y271" i="12"/>
  <c r="Y272" i="12"/>
  <c r="Y273" i="12"/>
  <c r="Y274" i="12"/>
  <c r="Y275" i="12"/>
  <c r="Y276" i="12"/>
  <c r="Y277" i="12"/>
  <c r="Y278" i="12"/>
  <c r="Y279" i="12"/>
  <c r="Y280" i="12"/>
  <c r="Y281" i="12"/>
  <c r="Y282" i="12"/>
  <c r="Y283" i="12"/>
  <c r="Y284" i="12"/>
  <c r="Y285" i="12"/>
  <c r="Y286" i="12"/>
  <c r="Y287" i="12"/>
  <c r="Y288" i="12"/>
  <c r="Y289" i="12"/>
  <c r="Y290" i="12"/>
  <c r="Y291" i="12"/>
  <c r="Y292" i="12"/>
  <c r="Y293" i="12"/>
  <c r="Y294" i="12"/>
  <c r="Y295" i="12"/>
  <c r="Y296" i="12"/>
  <c r="Y297" i="12"/>
  <c r="Y298" i="12"/>
  <c r="Y299" i="12"/>
  <c r="Y300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108" i="12"/>
  <c r="W109" i="12"/>
  <c r="W110" i="12"/>
  <c r="W111" i="12"/>
  <c r="W112" i="12"/>
  <c r="W113" i="12"/>
  <c r="W114" i="12"/>
  <c r="W115" i="12"/>
  <c r="W116" i="12"/>
  <c r="W117" i="12"/>
  <c r="W118" i="12"/>
  <c r="W119" i="12"/>
  <c r="W120" i="12"/>
  <c r="W121" i="12"/>
  <c r="W122" i="12"/>
  <c r="W123" i="12"/>
  <c r="W124" i="12"/>
  <c r="W125" i="12"/>
  <c r="W126" i="12"/>
  <c r="W127" i="12"/>
  <c r="W128" i="12"/>
  <c r="W129" i="12"/>
  <c r="W130" i="12"/>
  <c r="W131" i="12"/>
  <c r="W132" i="12"/>
  <c r="W133" i="12"/>
  <c r="W134" i="12"/>
  <c r="W135" i="12"/>
  <c r="W136" i="12"/>
  <c r="W137" i="12"/>
  <c r="W138" i="12"/>
  <c r="W139" i="12"/>
  <c r="W140" i="12"/>
  <c r="W141" i="12"/>
  <c r="W142" i="12"/>
  <c r="W143" i="12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W158" i="12"/>
  <c r="W159" i="12"/>
  <c r="W160" i="12"/>
  <c r="W161" i="12"/>
  <c r="W162" i="12"/>
  <c r="W163" i="12"/>
  <c r="W164" i="12"/>
  <c r="W165" i="12"/>
  <c r="W166" i="12"/>
  <c r="W167" i="12"/>
  <c r="W168" i="12"/>
  <c r="W169" i="12"/>
  <c r="W170" i="12"/>
  <c r="W171" i="12"/>
  <c r="W172" i="12"/>
  <c r="W173" i="12"/>
  <c r="W174" i="12"/>
  <c r="W175" i="12"/>
  <c r="W176" i="12"/>
  <c r="W177" i="12"/>
  <c r="W178" i="12"/>
  <c r="W179" i="12"/>
  <c r="W180" i="12"/>
  <c r="W181" i="12"/>
  <c r="W182" i="12"/>
  <c r="W183" i="12"/>
  <c r="W184" i="12"/>
  <c r="W185" i="12"/>
  <c r="W186" i="12"/>
  <c r="W187" i="12"/>
  <c r="W188" i="12"/>
  <c r="W189" i="12"/>
  <c r="W190" i="12"/>
  <c r="W191" i="12"/>
  <c r="W192" i="12"/>
  <c r="W193" i="12"/>
  <c r="W194" i="12"/>
  <c r="W195" i="12"/>
  <c r="W196" i="12"/>
  <c r="W197" i="12"/>
  <c r="W198" i="12"/>
  <c r="W199" i="12"/>
  <c r="W200" i="12"/>
  <c r="W201" i="12"/>
  <c r="W202" i="12"/>
  <c r="W203" i="12"/>
  <c r="W204" i="12"/>
  <c r="W205" i="12"/>
  <c r="W206" i="12"/>
  <c r="W207" i="12"/>
  <c r="W208" i="12"/>
  <c r="W209" i="12"/>
  <c r="W210" i="12"/>
  <c r="W211" i="12"/>
  <c r="W212" i="12"/>
  <c r="W213" i="12"/>
  <c r="W214" i="12"/>
  <c r="W215" i="12"/>
  <c r="W216" i="12"/>
  <c r="W217" i="12"/>
  <c r="W218" i="12"/>
  <c r="W219" i="12"/>
  <c r="W220" i="12"/>
  <c r="W221" i="12"/>
  <c r="W222" i="12"/>
  <c r="W223" i="12"/>
  <c r="W224" i="12"/>
  <c r="W225" i="12"/>
  <c r="W226" i="12"/>
  <c r="W227" i="12"/>
  <c r="W228" i="12"/>
  <c r="W229" i="12"/>
  <c r="W230" i="12"/>
  <c r="W231" i="12"/>
  <c r="W232" i="12"/>
  <c r="W233" i="12"/>
  <c r="W234" i="12"/>
  <c r="W235" i="12"/>
  <c r="W236" i="12"/>
  <c r="W237" i="12"/>
  <c r="W238" i="12"/>
  <c r="W239" i="12"/>
  <c r="W240" i="12"/>
  <c r="W241" i="12"/>
  <c r="W242" i="12"/>
  <c r="W243" i="12"/>
  <c r="W244" i="12"/>
  <c r="W245" i="12"/>
  <c r="W246" i="12"/>
  <c r="W247" i="12"/>
  <c r="W248" i="12"/>
  <c r="W249" i="12"/>
  <c r="W250" i="12"/>
  <c r="W251" i="12"/>
  <c r="W252" i="12"/>
  <c r="W253" i="12"/>
  <c r="W254" i="12"/>
  <c r="W255" i="12"/>
  <c r="W256" i="12"/>
  <c r="W257" i="12"/>
  <c r="W258" i="12"/>
  <c r="W259" i="12"/>
  <c r="W260" i="12"/>
  <c r="W261" i="12"/>
  <c r="W262" i="12"/>
  <c r="W263" i="12"/>
  <c r="W264" i="12"/>
  <c r="W265" i="12"/>
  <c r="W266" i="12"/>
  <c r="W267" i="12"/>
  <c r="W268" i="12"/>
  <c r="W269" i="12"/>
  <c r="W270" i="12"/>
  <c r="W271" i="12"/>
  <c r="W272" i="12"/>
  <c r="W273" i="12"/>
  <c r="W274" i="12"/>
  <c r="W275" i="12"/>
  <c r="W276" i="12"/>
  <c r="W277" i="12"/>
  <c r="W278" i="12"/>
  <c r="W279" i="12"/>
  <c r="W280" i="12"/>
  <c r="W281" i="12"/>
  <c r="W282" i="12"/>
  <c r="W283" i="12"/>
  <c r="W284" i="12"/>
  <c r="W285" i="12"/>
  <c r="W286" i="12"/>
  <c r="W287" i="12"/>
  <c r="W288" i="12"/>
  <c r="W289" i="12"/>
  <c r="W290" i="12"/>
  <c r="W291" i="12"/>
  <c r="W292" i="12"/>
  <c r="W293" i="12"/>
  <c r="W294" i="12"/>
  <c r="W295" i="12"/>
  <c r="W296" i="12"/>
  <c r="W297" i="12"/>
  <c r="W298" i="12"/>
  <c r="W299" i="12"/>
  <c r="W300" i="12"/>
  <c r="AB1" i="12"/>
  <c r="Q1" i="12"/>
  <c r="T3" i="12" a="1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82" i="12"/>
  <c r="Q183" i="12"/>
  <c r="Q184" i="12"/>
  <c r="Q185" i="12"/>
  <c r="Q186" i="12"/>
  <c r="Q187" i="12"/>
  <c r="Q188" i="12"/>
  <c r="Q189" i="12"/>
  <c r="Q190" i="12"/>
  <c r="Q191" i="12"/>
  <c r="Q192" i="12"/>
  <c r="Q193" i="12"/>
  <c r="Q194" i="12"/>
  <c r="Q195" i="12"/>
  <c r="Q196" i="12"/>
  <c r="Q197" i="12"/>
  <c r="Q198" i="12"/>
  <c r="Q199" i="12"/>
  <c r="Q200" i="12"/>
  <c r="Q201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O117" i="12"/>
  <c r="O118" i="12"/>
  <c r="O119" i="12"/>
  <c r="O120" i="12"/>
  <c r="O121" i="12"/>
  <c r="O122" i="12"/>
  <c r="O123" i="12"/>
  <c r="O124" i="12"/>
  <c r="O125" i="12"/>
  <c r="O126" i="12"/>
  <c r="O127" i="12"/>
  <c r="O128" i="12"/>
  <c r="O129" i="12"/>
  <c r="O130" i="12"/>
  <c r="O131" i="12"/>
  <c r="O132" i="12"/>
  <c r="O133" i="12"/>
  <c r="O134" i="12"/>
  <c r="O135" i="12"/>
  <c r="O136" i="12"/>
  <c r="O137" i="12"/>
  <c r="O138" i="12"/>
  <c r="O139" i="12"/>
  <c r="O140" i="12"/>
  <c r="O141" i="12"/>
  <c r="O142" i="12"/>
  <c r="O143" i="12"/>
  <c r="O144" i="12"/>
  <c r="O145" i="12"/>
  <c r="O146" i="12"/>
  <c r="O147" i="12"/>
  <c r="O148" i="12"/>
  <c r="O149" i="12"/>
  <c r="O150" i="12"/>
  <c r="O151" i="12"/>
  <c r="O152" i="12"/>
  <c r="O153" i="12"/>
  <c r="O154" i="12"/>
  <c r="O155" i="12"/>
  <c r="O156" i="12"/>
  <c r="O157" i="12"/>
  <c r="O158" i="12"/>
  <c r="O159" i="12"/>
  <c r="O160" i="12"/>
  <c r="O161" i="12"/>
  <c r="O162" i="12"/>
  <c r="O163" i="12"/>
  <c r="O164" i="12"/>
  <c r="O165" i="12"/>
  <c r="O166" i="12"/>
  <c r="O167" i="12"/>
  <c r="O168" i="12"/>
  <c r="O169" i="12"/>
  <c r="O170" i="12"/>
  <c r="O171" i="12"/>
  <c r="O172" i="12"/>
  <c r="O173" i="12"/>
  <c r="O174" i="12"/>
  <c r="O175" i="12"/>
  <c r="O176" i="12"/>
  <c r="O177" i="12"/>
  <c r="O178" i="12"/>
  <c r="O179" i="12"/>
  <c r="O180" i="12"/>
  <c r="O181" i="12"/>
  <c r="O182" i="12"/>
  <c r="O183" i="12"/>
  <c r="O184" i="12"/>
  <c r="O185" i="12"/>
  <c r="O186" i="12"/>
  <c r="O187" i="12"/>
  <c r="O188" i="12"/>
  <c r="O189" i="12"/>
  <c r="O190" i="12"/>
  <c r="O191" i="12"/>
  <c r="O192" i="12"/>
  <c r="O193" i="12"/>
  <c r="O194" i="12"/>
  <c r="O195" i="12"/>
  <c r="O196" i="12"/>
  <c r="O197" i="12"/>
  <c r="O198" i="12"/>
  <c r="O199" i="12"/>
  <c r="O200" i="12"/>
  <c r="O201" i="12"/>
  <c r="O202" i="12"/>
  <c r="O203" i="12"/>
  <c r="O204" i="12"/>
  <c r="O205" i="12"/>
  <c r="O206" i="12"/>
  <c r="O207" i="12"/>
  <c r="O208" i="12"/>
  <c r="O209" i="12"/>
  <c r="O210" i="12"/>
  <c r="O211" i="12"/>
  <c r="O212" i="12"/>
  <c r="O213" i="12"/>
  <c r="O214" i="12"/>
  <c r="O215" i="12"/>
  <c r="O216" i="12"/>
  <c r="O217" i="12"/>
  <c r="O218" i="12"/>
  <c r="O219" i="12"/>
  <c r="O220" i="12"/>
  <c r="O221" i="12"/>
  <c r="O222" i="12"/>
  <c r="O223" i="12"/>
  <c r="O224" i="12"/>
  <c r="O225" i="12"/>
  <c r="O226" i="12"/>
  <c r="O227" i="12"/>
  <c r="O228" i="12"/>
  <c r="O229" i="12"/>
  <c r="O230" i="12"/>
  <c r="O231" i="12"/>
  <c r="O232" i="12"/>
  <c r="O233" i="12"/>
  <c r="O234" i="12"/>
  <c r="O235" i="12"/>
  <c r="O236" i="12"/>
  <c r="O237" i="12"/>
  <c r="O238" i="12"/>
  <c r="O239" i="12"/>
  <c r="O240" i="12"/>
  <c r="O241" i="12"/>
  <c r="O242" i="12"/>
  <c r="O243" i="12"/>
  <c r="O244" i="12"/>
  <c r="O245" i="12"/>
  <c r="O246" i="12"/>
  <c r="O247" i="12"/>
  <c r="O248" i="12"/>
  <c r="O249" i="12"/>
  <c r="O250" i="12"/>
  <c r="O251" i="12"/>
  <c r="O252" i="12"/>
  <c r="O253" i="12"/>
  <c r="O254" i="12"/>
  <c r="O255" i="12"/>
  <c r="O256" i="12"/>
  <c r="O257" i="12"/>
  <c r="O258" i="12"/>
  <c r="O259" i="12"/>
  <c r="O260" i="12"/>
  <c r="O261" i="12"/>
  <c r="O262" i="12"/>
  <c r="O263" i="12"/>
  <c r="O264" i="12"/>
  <c r="O265" i="12"/>
  <c r="O266" i="12"/>
  <c r="O267" i="12"/>
  <c r="O268" i="12"/>
  <c r="O269" i="12"/>
  <c r="O270" i="12"/>
  <c r="O271" i="12"/>
  <c r="O272" i="12"/>
  <c r="O273" i="12"/>
  <c r="O274" i="12"/>
  <c r="O275" i="12"/>
  <c r="O276" i="12"/>
  <c r="O277" i="12"/>
  <c r="O278" i="12"/>
  <c r="O279" i="12"/>
  <c r="O280" i="12"/>
  <c r="O281" i="12"/>
  <c r="O282" i="12"/>
  <c r="O283" i="12"/>
  <c r="O284" i="12"/>
  <c r="O285" i="12"/>
  <c r="O286" i="12"/>
  <c r="O287" i="12"/>
  <c r="O288" i="12"/>
  <c r="O289" i="12"/>
  <c r="O290" i="12"/>
  <c r="O291" i="12"/>
  <c r="O292" i="12"/>
  <c r="O293" i="12"/>
  <c r="O294" i="12"/>
  <c r="O295" i="12"/>
  <c r="O296" i="12"/>
  <c r="O297" i="12"/>
  <c r="O298" i="12"/>
  <c r="O299" i="12"/>
  <c r="O300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255" i="12"/>
  <c r="N256" i="12"/>
  <c r="N257" i="12"/>
  <c r="N258" i="12"/>
  <c r="N259" i="12"/>
  <c r="N260" i="12"/>
  <c r="N261" i="12"/>
  <c r="N262" i="12"/>
  <c r="N263" i="12"/>
  <c r="N264" i="12"/>
  <c r="N265" i="12"/>
  <c r="N266" i="12"/>
  <c r="N267" i="12"/>
  <c r="N268" i="12"/>
  <c r="N269" i="12"/>
  <c r="N270" i="12"/>
  <c r="N271" i="12"/>
  <c r="N272" i="12"/>
  <c r="N273" i="12"/>
  <c r="N274" i="12"/>
  <c r="N275" i="12"/>
  <c r="N276" i="12"/>
  <c r="N277" i="12"/>
  <c r="N278" i="12"/>
  <c r="N279" i="12"/>
  <c r="N280" i="12"/>
  <c r="N281" i="12"/>
  <c r="N282" i="12"/>
  <c r="N283" i="12"/>
  <c r="N284" i="12"/>
  <c r="N285" i="12"/>
  <c r="N286" i="12"/>
  <c r="N287" i="12"/>
  <c r="N288" i="12"/>
  <c r="N289" i="12"/>
  <c r="N290" i="12"/>
  <c r="N291" i="12"/>
  <c r="N292" i="12"/>
  <c r="N293" i="12"/>
  <c r="N294" i="12"/>
  <c r="N295" i="12"/>
  <c r="N296" i="12"/>
  <c r="N297" i="12"/>
  <c r="N298" i="12"/>
  <c r="N299" i="12"/>
  <c r="N300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M141" i="12"/>
  <c r="M142" i="12"/>
  <c r="M143" i="12"/>
  <c r="M144" i="12"/>
  <c r="M145" i="12"/>
  <c r="M146" i="12"/>
  <c r="M147" i="12"/>
  <c r="M148" i="12"/>
  <c r="M149" i="12"/>
  <c r="M150" i="12"/>
  <c r="M151" i="12"/>
  <c r="M152" i="12"/>
  <c r="M153" i="12"/>
  <c r="M154" i="12"/>
  <c r="M155" i="12"/>
  <c r="M156" i="12"/>
  <c r="M157" i="12"/>
  <c r="M158" i="12"/>
  <c r="M159" i="12"/>
  <c r="M160" i="12"/>
  <c r="M161" i="12"/>
  <c r="M162" i="12"/>
  <c r="M163" i="12"/>
  <c r="M164" i="12"/>
  <c r="M165" i="12"/>
  <c r="M166" i="12"/>
  <c r="M167" i="12"/>
  <c r="M168" i="12"/>
  <c r="M169" i="12"/>
  <c r="M170" i="12"/>
  <c r="M171" i="12"/>
  <c r="M172" i="12"/>
  <c r="M173" i="12"/>
  <c r="M174" i="12"/>
  <c r="M175" i="12"/>
  <c r="M176" i="12"/>
  <c r="M177" i="12"/>
  <c r="M178" i="12"/>
  <c r="M179" i="12"/>
  <c r="M180" i="12"/>
  <c r="M181" i="12"/>
  <c r="M182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09" i="12"/>
  <c r="M210" i="12"/>
  <c r="M211" i="12"/>
  <c r="M212" i="12"/>
  <c r="M213" i="12"/>
  <c r="M214" i="12"/>
  <c r="M215" i="12"/>
  <c r="M216" i="12"/>
  <c r="M217" i="12"/>
  <c r="M218" i="12"/>
  <c r="M219" i="12"/>
  <c r="M220" i="12"/>
  <c r="M221" i="12"/>
  <c r="M222" i="12"/>
  <c r="M223" i="12"/>
  <c r="M224" i="12"/>
  <c r="M225" i="12"/>
  <c r="M226" i="12"/>
  <c r="M227" i="12"/>
  <c r="M228" i="12"/>
  <c r="M229" i="12"/>
  <c r="M230" i="12"/>
  <c r="M231" i="12"/>
  <c r="M232" i="12"/>
  <c r="M233" i="12"/>
  <c r="M234" i="12"/>
  <c r="M235" i="12"/>
  <c r="M236" i="12"/>
  <c r="M237" i="12"/>
  <c r="M238" i="12"/>
  <c r="M239" i="12"/>
  <c r="M240" i="12"/>
  <c r="M241" i="12"/>
  <c r="M242" i="12"/>
  <c r="M243" i="12"/>
  <c r="M244" i="12"/>
  <c r="M245" i="12"/>
  <c r="M246" i="12"/>
  <c r="M247" i="12"/>
  <c r="M248" i="12"/>
  <c r="M249" i="12"/>
  <c r="M250" i="12"/>
  <c r="M251" i="12"/>
  <c r="M252" i="12"/>
  <c r="M253" i="12"/>
  <c r="M254" i="12"/>
  <c r="M255" i="12"/>
  <c r="M256" i="12"/>
  <c r="M257" i="12"/>
  <c r="M258" i="12"/>
  <c r="M259" i="12"/>
  <c r="M260" i="12"/>
  <c r="M261" i="12"/>
  <c r="M262" i="12"/>
  <c r="M263" i="12"/>
  <c r="M264" i="12"/>
  <c r="M265" i="12"/>
  <c r="M266" i="12"/>
  <c r="M267" i="12"/>
  <c r="M268" i="12"/>
  <c r="M269" i="12"/>
  <c r="M270" i="12"/>
  <c r="M271" i="12"/>
  <c r="M272" i="12"/>
  <c r="M273" i="12"/>
  <c r="M274" i="12"/>
  <c r="M275" i="12"/>
  <c r="M276" i="12"/>
  <c r="M277" i="12"/>
  <c r="M278" i="12"/>
  <c r="M279" i="12"/>
  <c r="M280" i="12"/>
  <c r="M281" i="12"/>
  <c r="M282" i="12"/>
  <c r="M283" i="12"/>
  <c r="M284" i="12"/>
  <c r="M285" i="12"/>
  <c r="M286" i="12"/>
  <c r="M287" i="12"/>
  <c r="M288" i="12"/>
  <c r="M289" i="12"/>
  <c r="M290" i="12"/>
  <c r="M291" i="12"/>
  <c r="M292" i="12"/>
  <c r="M293" i="12"/>
  <c r="M294" i="12"/>
  <c r="M295" i="12"/>
  <c r="M296" i="12"/>
  <c r="M297" i="12"/>
  <c r="M298" i="12"/>
  <c r="M299" i="12"/>
  <c r="M300" i="12"/>
  <c r="L117" i="12"/>
  <c r="L118" i="12"/>
  <c r="L119" i="12"/>
  <c r="L120" i="12"/>
  <c r="L121" i="12"/>
  <c r="L122" i="12"/>
  <c r="L123" i="12"/>
  <c r="L124" i="12"/>
  <c r="L125" i="12"/>
  <c r="L126" i="12"/>
  <c r="L127" i="12"/>
  <c r="L128" i="12"/>
  <c r="L129" i="12"/>
  <c r="L130" i="12"/>
  <c r="L131" i="12"/>
  <c r="L132" i="12"/>
  <c r="L133" i="12"/>
  <c r="L134" i="12"/>
  <c r="L135" i="12"/>
  <c r="L136" i="12"/>
  <c r="L137" i="12"/>
  <c r="L138" i="12"/>
  <c r="L139" i="12"/>
  <c r="L140" i="12"/>
  <c r="L141" i="12"/>
  <c r="L142" i="12"/>
  <c r="L143" i="12"/>
  <c r="L144" i="12"/>
  <c r="L145" i="12"/>
  <c r="L146" i="12"/>
  <c r="L147" i="12"/>
  <c r="L148" i="12"/>
  <c r="L149" i="12"/>
  <c r="L150" i="12"/>
  <c r="L151" i="12"/>
  <c r="L152" i="12"/>
  <c r="L153" i="12"/>
  <c r="L154" i="12"/>
  <c r="L155" i="12"/>
  <c r="L156" i="12"/>
  <c r="L157" i="12"/>
  <c r="L158" i="12"/>
  <c r="L159" i="12"/>
  <c r="L160" i="12"/>
  <c r="L161" i="12"/>
  <c r="L162" i="12"/>
  <c r="L163" i="12"/>
  <c r="L164" i="12"/>
  <c r="L165" i="12"/>
  <c r="L166" i="12"/>
  <c r="L167" i="12"/>
  <c r="L168" i="12"/>
  <c r="L169" i="12"/>
  <c r="L170" i="12"/>
  <c r="L171" i="12"/>
  <c r="L172" i="12"/>
  <c r="L173" i="12"/>
  <c r="L174" i="12"/>
  <c r="L175" i="12"/>
  <c r="L176" i="12"/>
  <c r="L177" i="12"/>
  <c r="L178" i="12"/>
  <c r="L179" i="12"/>
  <c r="L180" i="12"/>
  <c r="L181" i="12"/>
  <c r="L182" i="12"/>
  <c r="L183" i="12"/>
  <c r="L184" i="12"/>
  <c r="L185" i="12"/>
  <c r="L186" i="12"/>
  <c r="L187" i="12"/>
  <c r="L188" i="12"/>
  <c r="L189" i="12"/>
  <c r="L190" i="12"/>
  <c r="L191" i="12"/>
  <c r="L192" i="12"/>
  <c r="L193" i="12"/>
  <c r="L194" i="12"/>
  <c r="L195" i="12"/>
  <c r="L196" i="12"/>
  <c r="L197" i="12"/>
  <c r="L198" i="12"/>
  <c r="L199" i="12"/>
  <c r="L200" i="12"/>
  <c r="L201" i="12"/>
  <c r="L202" i="12"/>
  <c r="L203" i="12"/>
  <c r="L204" i="12"/>
  <c r="L205" i="12"/>
  <c r="L206" i="12"/>
  <c r="L207" i="12"/>
  <c r="L208" i="12"/>
  <c r="L209" i="12"/>
  <c r="L210" i="12"/>
  <c r="L211" i="12"/>
  <c r="L212" i="12"/>
  <c r="L213" i="12"/>
  <c r="L214" i="12"/>
  <c r="L215" i="12"/>
  <c r="L216" i="12"/>
  <c r="L217" i="12"/>
  <c r="L218" i="12"/>
  <c r="L219" i="12"/>
  <c r="L220" i="12"/>
  <c r="L221" i="12"/>
  <c r="L222" i="12"/>
  <c r="L223" i="12"/>
  <c r="L224" i="12"/>
  <c r="L225" i="12"/>
  <c r="L226" i="12"/>
  <c r="L227" i="12"/>
  <c r="L228" i="12"/>
  <c r="L229" i="12"/>
  <c r="L230" i="12"/>
  <c r="L231" i="12"/>
  <c r="L232" i="12"/>
  <c r="L233" i="12"/>
  <c r="L234" i="12"/>
  <c r="L235" i="12"/>
  <c r="L236" i="12"/>
  <c r="L237" i="12"/>
  <c r="L238" i="12"/>
  <c r="L239" i="12"/>
  <c r="L240" i="12"/>
  <c r="L241" i="12"/>
  <c r="L242" i="12"/>
  <c r="L243" i="12"/>
  <c r="L244" i="12"/>
  <c r="L245" i="12"/>
  <c r="L246" i="12"/>
  <c r="L247" i="12"/>
  <c r="L248" i="12"/>
  <c r="L249" i="12"/>
  <c r="L250" i="12"/>
  <c r="L251" i="12"/>
  <c r="L252" i="12"/>
  <c r="L253" i="12"/>
  <c r="L254" i="12"/>
  <c r="L255" i="12"/>
  <c r="L256" i="12"/>
  <c r="L257" i="12"/>
  <c r="L258" i="12"/>
  <c r="L259" i="12"/>
  <c r="L260" i="12"/>
  <c r="L261" i="12"/>
  <c r="L262" i="12"/>
  <c r="L263" i="12"/>
  <c r="L264" i="12"/>
  <c r="L265" i="12"/>
  <c r="L266" i="12"/>
  <c r="L267" i="12"/>
  <c r="L268" i="12"/>
  <c r="L269" i="12"/>
  <c r="L270" i="12"/>
  <c r="L271" i="12"/>
  <c r="L272" i="12"/>
  <c r="L273" i="12"/>
  <c r="L274" i="12"/>
  <c r="L275" i="12"/>
  <c r="L276" i="12"/>
  <c r="L277" i="12"/>
  <c r="L278" i="12"/>
  <c r="L279" i="12"/>
  <c r="L280" i="12"/>
  <c r="L281" i="12"/>
  <c r="L282" i="12"/>
  <c r="L283" i="12"/>
  <c r="L284" i="12"/>
  <c r="L285" i="12"/>
  <c r="L286" i="12"/>
  <c r="L287" i="12"/>
  <c r="L288" i="12"/>
  <c r="L289" i="12"/>
  <c r="L290" i="12"/>
  <c r="L291" i="12"/>
  <c r="L292" i="12"/>
  <c r="L293" i="12"/>
  <c r="L294" i="12"/>
  <c r="L295" i="12"/>
  <c r="L296" i="12"/>
  <c r="L297" i="12"/>
  <c r="L298" i="12"/>
  <c r="L299" i="12"/>
  <c r="L300" i="12"/>
  <c r="L301" i="12"/>
  <c r="L116" i="12"/>
  <c r="E13" i="12"/>
  <c r="D13" i="12"/>
  <c r="C13" i="12"/>
  <c r="D12" i="12"/>
  <c r="C3" i="12"/>
  <c r="E8" i="12"/>
  <c r="D3" i="12"/>
  <c r="E18" i="12"/>
  <c r="C20" i="12"/>
  <c r="E20" i="12"/>
  <c r="E4" i="12"/>
  <c r="D17" i="12"/>
  <c r="C16" i="12"/>
  <c r="D10" i="12"/>
  <c r="E16" i="12"/>
  <c r="C7" i="12"/>
  <c r="D20" i="12"/>
  <c r="C6" i="12"/>
  <c r="C18" i="12"/>
  <c r="E17" i="12"/>
  <c r="E11" i="12"/>
  <c r="E7" i="12"/>
  <c r="D16" i="12"/>
  <c r="D9" i="12"/>
  <c r="C9" i="12"/>
  <c r="D6" i="12"/>
  <c r="D7" i="12"/>
  <c r="E21" i="12"/>
  <c r="E9" i="12"/>
  <c r="D11" i="12"/>
  <c r="C17" i="12"/>
  <c r="E10" i="12"/>
  <c r="E14" i="12"/>
  <c r="C15" i="12"/>
  <c r="C10" i="12"/>
  <c r="D19" i="12"/>
  <c r="E19" i="12"/>
  <c r="C19" i="12"/>
  <c r="D21" i="12"/>
  <c r="D18" i="12"/>
  <c r="E5" i="12"/>
  <c r="D15" i="12"/>
  <c r="D4" i="12"/>
  <c r="C5" i="12"/>
  <c r="E3" i="12"/>
  <c r="E12" i="12"/>
  <c r="E6" i="12"/>
  <c r="C12" i="12"/>
  <c r="E15" i="12"/>
  <c r="C11" i="12"/>
  <c r="C14" i="12"/>
  <c r="C4" i="12"/>
  <c r="D8" i="12"/>
  <c r="D5" i="12"/>
  <c r="D14" i="12"/>
  <c r="C8" i="12"/>
  <c r="F20" i="12" l="1"/>
  <c r="G20" i="12" s="1"/>
  <c r="F19" i="12"/>
  <c r="G19" i="12" s="1"/>
  <c r="F18" i="12"/>
  <c r="G18" i="12" s="1"/>
  <c r="F17" i="12"/>
  <c r="G17" i="12" s="1"/>
  <c r="F16" i="12"/>
  <c r="G16" i="12" s="1"/>
  <c r="F15" i="12"/>
  <c r="G15" i="12" s="1"/>
  <c r="F14" i="12"/>
  <c r="G14" i="12" s="1"/>
  <c r="F13" i="12"/>
  <c r="G13" i="12" s="1"/>
  <c r="F12" i="12"/>
  <c r="G12" i="12" s="1"/>
  <c r="F11" i="12"/>
  <c r="G11" i="12" s="1"/>
  <c r="F10" i="12"/>
  <c r="G10" i="12" s="1"/>
  <c r="F9" i="12"/>
  <c r="G9" i="12" s="1"/>
  <c r="F8" i="12"/>
  <c r="G8" i="12" s="1"/>
  <c r="F7" i="12"/>
  <c r="G7" i="12" s="1"/>
  <c r="F6" i="12"/>
  <c r="G6" i="12" s="1"/>
  <c r="F5" i="12"/>
  <c r="G5" i="12" s="1"/>
  <c r="F4" i="12"/>
  <c r="G4" i="12" s="1"/>
  <c r="F3" i="12"/>
  <c r="G3" i="12" s="1"/>
  <c r="N1" i="50"/>
  <c r="O116" i="12"/>
  <c r="Q116" i="12" s="1"/>
  <c r="R116" i="12" s="1"/>
  <c r="N116" i="12"/>
  <c r="M116" i="12"/>
  <c r="O115" i="12"/>
  <c r="Q115" i="12" s="1"/>
  <c r="N115" i="12"/>
  <c r="M115" i="12"/>
  <c r="L115" i="12"/>
  <c r="O114" i="12"/>
  <c r="Q114" i="12" s="1"/>
  <c r="N114" i="12"/>
  <c r="L114" i="12"/>
  <c r="M114" i="12"/>
  <c r="O113" i="12"/>
  <c r="Q113" i="12" s="1"/>
  <c r="N113" i="12"/>
  <c r="M113" i="12"/>
  <c r="L113" i="12"/>
  <c r="O109" i="12"/>
  <c r="Q109" i="12" s="1"/>
  <c r="M112" i="12"/>
  <c r="N112" i="12"/>
  <c r="O112" i="12"/>
  <c r="Q112" i="12" s="1"/>
  <c r="L112" i="12"/>
  <c r="N111" i="12"/>
  <c r="O111" i="12"/>
  <c r="Q111" i="12" s="1"/>
  <c r="M111" i="12"/>
  <c r="L111" i="12"/>
  <c r="O110" i="12"/>
  <c r="Q110" i="12" s="1"/>
  <c r="N110" i="12"/>
  <c r="M110" i="12"/>
  <c r="L110" i="12"/>
  <c r="L109" i="12"/>
  <c r="R109" i="12" s="1"/>
  <c r="M109" i="12"/>
  <c r="N109" i="12"/>
  <c r="AI7" i="12"/>
  <c r="AJ7" i="12"/>
  <c r="AK7" i="12"/>
  <c r="AM7" i="12" s="1"/>
  <c r="AN7" i="12" s="1"/>
  <c r="Y4" i="12"/>
  <c r="X4" i="12"/>
  <c r="W4" i="12"/>
  <c r="AB4" i="12"/>
  <c r="T3" i="12"/>
  <c r="W3" i="12" s="1"/>
  <c r="AE3" i="12"/>
  <c r="AH3" i="12" s="1"/>
  <c r="AJ4" i="12"/>
  <c r="AJ5" i="12"/>
  <c r="AJ6" i="12"/>
  <c r="AI4" i="12"/>
  <c r="AI5" i="12"/>
  <c r="AI6" i="12"/>
  <c r="AH4" i="12"/>
  <c r="AH5" i="12"/>
  <c r="AK4" i="12"/>
  <c r="AM4" i="12" s="1"/>
  <c r="AH6" i="12"/>
  <c r="AK5" i="12"/>
  <c r="AM5" i="12" s="1"/>
  <c r="AK6" i="12"/>
  <c r="AM6" i="12" s="1"/>
  <c r="M108" i="12"/>
  <c r="L108" i="12"/>
  <c r="N108" i="12"/>
  <c r="O108" i="12"/>
  <c r="Q108" i="12" s="1"/>
  <c r="L3" i="12"/>
  <c r="O22" i="12"/>
  <c r="Q22" i="12" s="1"/>
  <c r="O54" i="12"/>
  <c r="Q54" i="12" s="1"/>
  <c r="O86" i="12"/>
  <c r="Q86" i="12" s="1"/>
  <c r="N13" i="12"/>
  <c r="N45" i="12"/>
  <c r="N77" i="12"/>
  <c r="M4" i="12"/>
  <c r="M36" i="12"/>
  <c r="M68" i="12"/>
  <c r="M100" i="12"/>
  <c r="L64" i="12"/>
  <c r="L96" i="12"/>
  <c r="L23" i="12"/>
  <c r="L28" i="12"/>
  <c r="L41" i="12"/>
  <c r="O23" i="12"/>
  <c r="Q23" i="12" s="1"/>
  <c r="O55" i="12"/>
  <c r="Q55" i="12" s="1"/>
  <c r="O87" i="12"/>
  <c r="Q87" i="12" s="1"/>
  <c r="N14" i="12"/>
  <c r="N46" i="12"/>
  <c r="N78" i="12"/>
  <c r="M5" i="12"/>
  <c r="M37" i="12"/>
  <c r="M69" i="12"/>
  <c r="M101" i="12"/>
  <c r="L65" i="12"/>
  <c r="L97" i="12"/>
  <c r="L24" i="12"/>
  <c r="L33" i="12"/>
  <c r="L34" i="12"/>
  <c r="L35" i="12"/>
  <c r="O20" i="12"/>
  <c r="Q20" i="12" s="1"/>
  <c r="O24" i="12"/>
  <c r="Q24" i="12" s="1"/>
  <c r="O56" i="12"/>
  <c r="Q56" i="12" s="1"/>
  <c r="O88" i="12"/>
  <c r="Q88" i="12" s="1"/>
  <c r="N15" i="12"/>
  <c r="N47" i="12"/>
  <c r="N79" i="12"/>
  <c r="M6" i="12"/>
  <c r="M38" i="12"/>
  <c r="M70" i="12"/>
  <c r="M102" i="12"/>
  <c r="L66" i="12"/>
  <c r="L98" i="12"/>
  <c r="L25" i="12"/>
  <c r="L26" i="12"/>
  <c r="M9" i="12"/>
  <c r="L69" i="12"/>
  <c r="O25" i="12"/>
  <c r="Q25" i="12" s="1"/>
  <c r="O57" i="12"/>
  <c r="Q57" i="12" s="1"/>
  <c r="O89" i="12"/>
  <c r="Q89" i="12" s="1"/>
  <c r="N16" i="12"/>
  <c r="N48" i="12"/>
  <c r="N80" i="12"/>
  <c r="M7" i="12"/>
  <c r="M39" i="12"/>
  <c r="M71" i="12"/>
  <c r="M103" i="12"/>
  <c r="L67" i="12"/>
  <c r="L99" i="12"/>
  <c r="N43" i="12"/>
  <c r="O26" i="12"/>
  <c r="Q26" i="12" s="1"/>
  <c r="O58" i="12"/>
  <c r="Q58" i="12" s="1"/>
  <c r="O90" i="12"/>
  <c r="Q90" i="12" s="1"/>
  <c r="N17" i="12"/>
  <c r="N49" i="12"/>
  <c r="N81" i="12"/>
  <c r="M8" i="12"/>
  <c r="M40" i="12"/>
  <c r="M72" i="12"/>
  <c r="M104" i="12"/>
  <c r="L68" i="12"/>
  <c r="L100" i="12"/>
  <c r="L27" i="12"/>
  <c r="L101" i="12"/>
  <c r="L31" i="12"/>
  <c r="L44" i="12"/>
  <c r="M66" i="12"/>
  <c r="O27" i="12"/>
  <c r="Q27" i="12" s="1"/>
  <c r="O59" i="12"/>
  <c r="Q59" i="12" s="1"/>
  <c r="O91" i="12"/>
  <c r="Q91" i="12" s="1"/>
  <c r="N18" i="12"/>
  <c r="N50" i="12"/>
  <c r="N82" i="12"/>
  <c r="M41" i="12"/>
  <c r="M73" i="12"/>
  <c r="M105" i="12"/>
  <c r="O28" i="12"/>
  <c r="Q28" i="12" s="1"/>
  <c r="O60" i="12"/>
  <c r="Q60" i="12" s="1"/>
  <c r="O92" i="12"/>
  <c r="Q92" i="12" s="1"/>
  <c r="N19" i="12"/>
  <c r="N51" i="12"/>
  <c r="N83" i="12"/>
  <c r="M10" i="12"/>
  <c r="M42" i="12"/>
  <c r="M74" i="12"/>
  <c r="M106" i="12"/>
  <c r="L70" i="12"/>
  <c r="L102" i="12"/>
  <c r="L29" i="12"/>
  <c r="L30" i="12"/>
  <c r="M12" i="12"/>
  <c r="L72" i="12"/>
  <c r="L105" i="12"/>
  <c r="L76" i="12"/>
  <c r="O29" i="12"/>
  <c r="Q29" i="12" s="1"/>
  <c r="O61" i="12"/>
  <c r="Q61" i="12" s="1"/>
  <c r="O93" i="12"/>
  <c r="Q93" i="12" s="1"/>
  <c r="N20" i="12"/>
  <c r="N52" i="12"/>
  <c r="N84" i="12"/>
  <c r="M11" i="12"/>
  <c r="M43" i="12"/>
  <c r="M75" i="12"/>
  <c r="M107" i="12"/>
  <c r="L71" i="12"/>
  <c r="L103" i="12"/>
  <c r="N21" i="12"/>
  <c r="M76" i="12"/>
  <c r="L73" i="12"/>
  <c r="L32" i="12"/>
  <c r="L22" i="12"/>
  <c r="L95" i="12"/>
  <c r="L63" i="12"/>
  <c r="M99" i="12"/>
  <c r="M67" i="12"/>
  <c r="M35" i="12"/>
  <c r="N76" i="12"/>
  <c r="N44" i="12"/>
  <c r="N12" i="12"/>
  <c r="O85" i="12"/>
  <c r="Q85" i="12" s="1"/>
  <c r="O53" i="12"/>
  <c r="Q53" i="12" s="1"/>
  <c r="O21" i="12"/>
  <c r="Q21" i="12" s="1"/>
  <c r="L20" i="12"/>
  <c r="L93" i="12"/>
  <c r="L61" i="12"/>
  <c r="M97" i="12"/>
  <c r="M65" i="12"/>
  <c r="M33" i="12"/>
  <c r="N106" i="12"/>
  <c r="N74" i="12"/>
  <c r="N42" i="12"/>
  <c r="N10" i="12"/>
  <c r="O83" i="12"/>
  <c r="Q83" i="12" s="1"/>
  <c r="O51" i="12"/>
  <c r="Q51" i="12" s="1"/>
  <c r="O19" i="12"/>
  <c r="Q19" i="12" s="1"/>
  <c r="L19" i="12"/>
  <c r="L92" i="12"/>
  <c r="L60" i="12"/>
  <c r="M96" i="12"/>
  <c r="M64" i="12"/>
  <c r="M32" i="12"/>
  <c r="N105" i="12"/>
  <c r="N73" i="12"/>
  <c r="N41" i="12"/>
  <c r="N9" i="12"/>
  <c r="O82" i="12"/>
  <c r="Q82" i="12" s="1"/>
  <c r="O50" i="12"/>
  <c r="Q50" i="12" s="1"/>
  <c r="O18" i="12"/>
  <c r="Q18" i="12" s="1"/>
  <c r="L18" i="12"/>
  <c r="L91" i="12"/>
  <c r="L59" i="12"/>
  <c r="M95" i="12"/>
  <c r="M63" i="12"/>
  <c r="M31" i="12"/>
  <c r="N104" i="12"/>
  <c r="N72" i="12"/>
  <c r="N40" i="12"/>
  <c r="N8" i="12"/>
  <c r="O81" i="12"/>
  <c r="Q81" i="12" s="1"/>
  <c r="O49" i="12"/>
  <c r="Q49" i="12" s="1"/>
  <c r="O17" i="12"/>
  <c r="Q17" i="12" s="1"/>
  <c r="L17" i="12"/>
  <c r="L90" i="12"/>
  <c r="L58" i="12"/>
  <c r="M94" i="12"/>
  <c r="M62" i="12"/>
  <c r="M30" i="12"/>
  <c r="N103" i="12"/>
  <c r="N71" i="12"/>
  <c r="N39" i="12"/>
  <c r="N7" i="12"/>
  <c r="O80" i="12"/>
  <c r="Q80" i="12" s="1"/>
  <c r="O48" i="12"/>
  <c r="Q48" i="12" s="1"/>
  <c r="O16" i="12"/>
  <c r="Q16" i="12" s="1"/>
  <c r="L89" i="12"/>
  <c r="L57" i="12"/>
  <c r="M93" i="12"/>
  <c r="M61" i="12"/>
  <c r="M29" i="12"/>
  <c r="N102" i="12"/>
  <c r="N70" i="12"/>
  <c r="N38" i="12"/>
  <c r="N6" i="12"/>
  <c r="O79" i="12"/>
  <c r="Q79" i="12" s="1"/>
  <c r="O47" i="12"/>
  <c r="Q47" i="12" s="1"/>
  <c r="O15" i="12"/>
  <c r="Q15" i="12" s="1"/>
  <c r="L21" i="12"/>
  <c r="O84" i="12"/>
  <c r="Q84" i="12" s="1"/>
  <c r="L88" i="12"/>
  <c r="L56" i="12"/>
  <c r="M92" i="12"/>
  <c r="M60" i="12"/>
  <c r="M28" i="12"/>
  <c r="N101" i="12"/>
  <c r="N69" i="12"/>
  <c r="N37" i="12"/>
  <c r="N5" i="12"/>
  <c r="O78" i="12"/>
  <c r="Q78" i="12" s="1"/>
  <c r="O46" i="12"/>
  <c r="Q46" i="12" s="1"/>
  <c r="O14" i="12"/>
  <c r="Q14" i="12" s="1"/>
  <c r="L14" i="12"/>
  <c r="L87" i="12"/>
  <c r="L55" i="12"/>
  <c r="M91" i="12"/>
  <c r="M59" i="12"/>
  <c r="M27" i="12"/>
  <c r="N100" i="12"/>
  <c r="N68" i="12"/>
  <c r="N36" i="12"/>
  <c r="N4" i="12"/>
  <c r="O77" i="12"/>
  <c r="Q77" i="12" s="1"/>
  <c r="O45" i="12"/>
  <c r="Q45" i="12" s="1"/>
  <c r="O13" i="12"/>
  <c r="Q13" i="12" s="1"/>
  <c r="M34" i="12"/>
  <c r="L13" i="12"/>
  <c r="L86" i="12"/>
  <c r="L54" i="12"/>
  <c r="M90" i="12"/>
  <c r="M58" i="12"/>
  <c r="M26" i="12"/>
  <c r="N99" i="12"/>
  <c r="N67" i="12"/>
  <c r="N35" i="12"/>
  <c r="O76" i="12"/>
  <c r="Q76" i="12" s="1"/>
  <c r="O44" i="12"/>
  <c r="Q44" i="12" s="1"/>
  <c r="O12" i="12"/>
  <c r="Q12" i="12" s="1"/>
  <c r="N75" i="12"/>
  <c r="L85" i="12"/>
  <c r="L53" i="12"/>
  <c r="M89" i="12"/>
  <c r="M57" i="12"/>
  <c r="M25" i="12"/>
  <c r="N98" i="12"/>
  <c r="N66" i="12"/>
  <c r="N34" i="12"/>
  <c r="O107" i="12"/>
  <c r="Q107" i="12" s="1"/>
  <c r="O75" i="12"/>
  <c r="Q75" i="12" s="1"/>
  <c r="O43" i="12"/>
  <c r="Q43" i="12" s="1"/>
  <c r="O11" i="12"/>
  <c r="Q11" i="12" s="1"/>
  <c r="L52" i="12"/>
  <c r="M88" i="12"/>
  <c r="M56" i="12"/>
  <c r="M24" i="12"/>
  <c r="N97" i="12"/>
  <c r="N65" i="12"/>
  <c r="N33" i="12"/>
  <c r="O106" i="12"/>
  <c r="Q106" i="12" s="1"/>
  <c r="O74" i="12"/>
  <c r="Q74" i="12" s="1"/>
  <c r="O42" i="12"/>
  <c r="Q42" i="12" s="1"/>
  <c r="O10" i="12"/>
  <c r="Q10" i="12" s="1"/>
  <c r="N11" i="12"/>
  <c r="L84" i="12"/>
  <c r="L10" i="12"/>
  <c r="L83" i="12"/>
  <c r="L51" i="12"/>
  <c r="M87" i="12"/>
  <c r="M55" i="12"/>
  <c r="M23" i="12"/>
  <c r="N96" i="12"/>
  <c r="N64" i="12"/>
  <c r="N32" i="12"/>
  <c r="O105" i="12"/>
  <c r="Q105" i="12" s="1"/>
  <c r="O73" i="12"/>
  <c r="Q73" i="12" s="1"/>
  <c r="O41" i="12"/>
  <c r="Q41" i="12" s="1"/>
  <c r="O9" i="12"/>
  <c r="Q9" i="12" s="1"/>
  <c r="N107" i="12"/>
  <c r="M86" i="12"/>
  <c r="N95" i="12"/>
  <c r="N63" i="12"/>
  <c r="N31" i="12"/>
  <c r="O104" i="12"/>
  <c r="Q104" i="12" s="1"/>
  <c r="O72" i="12"/>
  <c r="Q72" i="12" s="1"/>
  <c r="O40" i="12"/>
  <c r="Q40" i="12" s="1"/>
  <c r="O8" i="12"/>
  <c r="Q8" i="12" s="1"/>
  <c r="M54" i="12"/>
  <c r="L40" i="12"/>
  <c r="L81" i="12"/>
  <c r="L49" i="12"/>
  <c r="M85" i="12"/>
  <c r="M53" i="12"/>
  <c r="M21" i="12"/>
  <c r="N94" i="12"/>
  <c r="N62" i="12"/>
  <c r="N30" i="12"/>
  <c r="O103" i="12"/>
  <c r="Q103" i="12" s="1"/>
  <c r="O71" i="12"/>
  <c r="Q71" i="12" s="1"/>
  <c r="O39" i="12"/>
  <c r="Q39" i="12" s="1"/>
  <c r="O7" i="12"/>
  <c r="Q7" i="12" s="1"/>
  <c r="L9" i="12"/>
  <c r="L50" i="12"/>
  <c r="M22" i="12"/>
  <c r="L8" i="12"/>
  <c r="L39" i="12"/>
  <c r="L7" i="12"/>
  <c r="L80" i="12"/>
  <c r="L48" i="12"/>
  <c r="M84" i="12"/>
  <c r="M52" i="12"/>
  <c r="M20" i="12"/>
  <c r="N93" i="12"/>
  <c r="N61" i="12"/>
  <c r="N29" i="12"/>
  <c r="O102" i="12"/>
  <c r="Q102" i="12" s="1"/>
  <c r="O70" i="12"/>
  <c r="Q70" i="12" s="1"/>
  <c r="O38" i="12"/>
  <c r="Q38" i="12" s="1"/>
  <c r="O6" i="12"/>
  <c r="Q6" i="12" s="1"/>
  <c r="L16" i="12"/>
  <c r="L12" i="12"/>
  <c r="L38" i="12"/>
  <c r="L6" i="12"/>
  <c r="L79" i="12"/>
  <c r="L47" i="12"/>
  <c r="M83" i="12"/>
  <c r="M51" i="12"/>
  <c r="M19" i="12"/>
  <c r="N92" i="12"/>
  <c r="N60" i="12"/>
  <c r="N28" i="12"/>
  <c r="O101" i="12"/>
  <c r="Q101" i="12" s="1"/>
  <c r="O69" i="12"/>
  <c r="Q69" i="12" s="1"/>
  <c r="O37" i="12"/>
  <c r="Q37" i="12" s="1"/>
  <c r="O5" i="12"/>
  <c r="Q5" i="12" s="1"/>
  <c r="L62" i="12"/>
  <c r="L82" i="12"/>
  <c r="L37" i="12"/>
  <c r="L5" i="12"/>
  <c r="L78" i="12"/>
  <c r="L46" i="12"/>
  <c r="M82" i="12"/>
  <c r="M50" i="12"/>
  <c r="M18" i="12"/>
  <c r="N91" i="12"/>
  <c r="N59" i="12"/>
  <c r="N27" i="12"/>
  <c r="O100" i="12"/>
  <c r="Q100" i="12" s="1"/>
  <c r="O68" i="12"/>
  <c r="Q68" i="12" s="1"/>
  <c r="O36" i="12"/>
  <c r="Q36" i="12" s="1"/>
  <c r="O4" i="12"/>
  <c r="Q4" i="12" s="1"/>
  <c r="L11" i="12"/>
  <c r="L36" i="12"/>
  <c r="L4" i="12"/>
  <c r="L77" i="12"/>
  <c r="L45" i="12"/>
  <c r="M81" i="12"/>
  <c r="M49" i="12"/>
  <c r="M17" i="12"/>
  <c r="N90" i="12"/>
  <c r="N58" i="12"/>
  <c r="N26" i="12"/>
  <c r="O99" i="12"/>
  <c r="Q99" i="12" s="1"/>
  <c r="O67" i="12"/>
  <c r="Q67" i="12" s="1"/>
  <c r="O35" i="12"/>
  <c r="Q35" i="12" s="1"/>
  <c r="L94" i="12"/>
  <c r="M80" i="12"/>
  <c r="M48" i="12"/>
  <c r="M16" i="12"/>
  <c r="N89" i="12"/>
  <c r="N57" i="12"/>
  <c r="N25" i="12"/>
  <c r="O98" i="12"/>
  <c r="Q98" i="12" s="1"/>
  <c r="O66" i="12"/>
  <c r="Q66" i="12" s="1"/>
  <c r="O34" i="12"/>
  <c r="Q34" i="12" s="1"/>
  <c r="M98" i="12"/>
  <c r="O52" i="12"/>
  <c r="Q52" i="12" s="1"/>
  <c r="L107" i="12"/>
  <c r="L75" i="12"/>
  <c r="L43" i="12"/>
  <c r="M79" i="12"/>
  <c r="M47" i="12"/>
  <c r="M15" i="12"/>
  <c r="N88" i="12"/>
  <c r="N56" i="12"/>
  <c r="N24" i="12"/>
  <c r="O97" i="12"/>
  <c r="Q97" i="12" s="1"/>
  <c r="O65" i="12"/>
  <c r="Q65" i="12" s="1"/>
  <c r="O33" i="12"/>
  <c r="Q33" i="12" s="1"/>
  <c r="L15" i="12"/>
  <c r="L106" i="12"/>
  <c r="L74" i="12"/>
  <c r="L42" i="12"/>
  <c r="M78" i="12"/>
  <c r="M46" i="12"/>
  <c r="M14" i="12"/>
  <c r="N87" i="12"/>
  <c r="N55" i="12"/>
  <c r="N23" i="12"/>
  <c r="O96" i="12"/>
  <c r="Q96" i="12" s="1"/>
  <c r="O64" i="12"/>
  <c r="Q64" i="12" s="1"/>
  <c r="O32" i="12"/>
  <c r="Q32" i="12" s="1"/>
  <c r="M77" i="12"/>
  <c r="M45" i="12"/>
  <c r="M13" i="12"/>
  <c r="N86" i="12"/>
  <c r="N54" i="12"/>
  <c r="N22" i="12"/>
  <c r="O95" i="12"/>
  <c r="Q95" i="12" s="1"/>
  <c r="O63" i="12"/>
  <c r="Q63" i="12" s="1"/>
  <c r="O31" i="12"/>
  <c r="Q31" i="12" s="1"/>
  <c r="L104" i="12"/>
  <c r="M44" i="12"/>
  <c r="N85" i="12"/>
  <c r="N53" i="12"/>
  <c r="O94" i="12"/>
  <c r="Q94" i="12" s="1"/>
  <c r="O62" i="12"/>
  <c r="Q62" i="12" s="1"/>
  <c r="O30" i="12"/>
  <c r="Q30" i="12" s="1"/>
  <c r="C21" i="12"/>
  <c r="F21" i="12" l="1"/>
  <c r="G21" i="12" s="1"/>
  <c r="AB3" i="12"/>
  <c r="AC3" i="12" s="1"/>
  <c r="L3" i="48" s="1" a="1"/>
  <c r="L3" i="48" s="1"/>
  <c r="R115" i="12"/>
  <c r="R97" i="12"/>
  <c r="R114" i="12"/>
  <c r="R113" i="12"/>
  <c r="R112" i="12"/>
  <c r="R111" i="12"/>
  <c r="R110" i="12"/>
  <c r="R99" i="12"/>
  <c r="R102" i="12"/>
  <c r="R108" i="12"/>
  <c r="R107" i="12"/>
  <c r="R103" i="12"/>
  <c r="R106" i="12"/>
  <c r="R105" i="12"/>
  <c r="R104" i="12"/>
  <c r="R101" i="12"/>
  <c r="R98" i="12"/>
  <c r="R96" i="12"/>
  <c r="R100" i="12"/>
  <c r="R95" i="12"/>
  <c r="R94" i="12"/>
  <c r="R93" i="12"/>
  <c r="R92" i="12"/>
  <c r="R91" i="12"/>
  <c r="R90" i="12"/>
  <c r="R89" i="12"/>
  <c r="R88" i="12"/>
  <c r="R87" i="12"/>
  <c r="R86" i="12"/>
  <c r="R85" i="12"/>
  <c r="R84" i="12"/>
  <c r="R83" i="12"/>
  <c r="R82" i="12"/>
  <c r="R81" i="12"/>
  <c r="R80" i="12"/>
  <c r="R79" i="12"/>
  <c r="R78" i="12"/>
  <c r="R64" i="12"/>
  <c r="R68" i="12"/>
  <c r="R77" i="12"/>
  <c r="R76" i="12"/>
  <c r="R72" i="12"/>
  <c r="R75" i="12"/>
  <c r="R74" i="12"/>
  <c r="R70" i="12"/>
  <c r="R73" i="12"/>
  <c r="R69" i="12"/>
  <c r="R71" i="12"/>
  <c r="R67" i="12"/>
  <c r="R65" i="12"/>
  <c r="R66" i="12"/>
  <c r="R63" i="12"/>
  <c r="R62" i="12"/>
  <c r="R61" i="12"/>
  <c r="R60" i="12"/>
  <c r="R59" i="12"/>
  <c r="R58" i="12"/>
  <c r="R56" i="12"/>
  <c r="R57" i="12"/>
  <c r="R55" i="12"/>
  <c r="R54" i="12"/>
  <c r="R53" i="12"/>
  <c r="R52" i="12"/>
  <c r="R51" i="12"/>
  <c r="R50" i="12"/>
  <c r="R30" i="12"/>
  <c r="R49" i="12"/>
  <c r="R48" i="12"/>
  <c r="R47" i="12"/>
  <c r="R41" i="12"/>
  <c r="R46" i="12"/>
  <c r="R45" i="12"/>
  <c r="R44" i="12"/>
  <c r="R43" i="12"/>
  <c r="R42" i="12"/>
  <c r="R40" i="12"/>
  <c r="Y3" i="12"/>
  <c r="R34" i="12"/>
  <c r="R39" i="12"/>
  <c r="R37" i="12"/>
  <c r="X3" i="12"/>
  <c r="R38" i="12"/>
  <c r="R32" i="12"/>
  <c r="R36" i="12"/>
  <c r="R35" i="12"/>
  <c r="R33" i="12"/>
  <c r="R31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AC4" i="12"/>
  <c r="R16" i="12"/>
  <c r="R15" i="12"/>
  <c r="R14" i="12"/>
  <c r="R13" i="12"/>
  <c r="AI3" i="12"/>
  <c r="R12" i="12"/>
  <c r="AK3" i="12"/>
  <c r="AM3" i="12" s="1"/>
  <c r="AN3" i="12" s="1"/>
  <c r="W3" i="48" s="1" a="1"/>
  <c r="W3" i="48" s="1"/>
  <c r="AN6" i="12"/>
  <c r="R11" i="12"/>
  <c r="R10" i="12"/>
  <c r="R9" i="12"/>
  <c r="R8" i="12"/>
  <c r="AJ3" i="12"/>
  <c r="R7" i="12"/>
  <c r="R6" i="12"/>
  <c r="AN5" i="12"/>
  <c r="AN4" i="12"/>
  <c r="R4" i="12"/>
  <c r="M3" i="12"/>
  <c r="R5" i="12"/>
  <c r="N3" i="12"/>
  <c r="O3" i="12"/>
  <c r="AC1" i="12" l="1"/>
  <c r="AN1" i="12"/>
  <c r="A3" i="48" a="1"/>
  <c r="A3" i="48" s="1"/>
  <c r="Q3" i="12"/>
  <c r="R3" i="12" s="1"/>
  <c r="R1" i="12" s="1"/>
  <c r="E1" i="12" l="1" a="1"/>
  <c r="E1" i="12" s="1"/>
  <c r="D1" i="12" a="1"/>
  <c r="D1" i="12" s="1"/>
  <c r="C1" i="12" a="1"/>
  <c r="C1" i="12" s="1"/>
  <c r="F1" i="12" l="1" a="1"/>
  <c r="F1" i="12" s="1"/>
  <c r="G1" i="12" a="1"/>
  <c r="G1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<sst xmlns="http://schemas.openxmlformats.org/spreadsheetml/2006/main" count="1086" uniqueCount="491">
  <si>
    <t>Spec</t>
  </si>
  <si>
    <t>UOM</t>
  </si>
  <si>
    <t>Final Qty</t>
  </si>
  <si>
    <t>Description</t>
  </si>
  <si>
    <t>Wastage/Buffer</t>
  </si>
  <si>
    <t>Note</t>
  </si>
  <si>
    <t>Sheet</t>
  </si>
  <si>
    <t>Tile 300mm x 600mm</t>
  </si>
  <si>
    <t>PCS</t>
  </si>
  <si>
    <t>BAG</t>
  </si>
  <si>
    <t>SET</t>
  </si>
  <si>
    <t>TRIP</t>
  </si>
  <si>
    <t>Usage Qty</t>
  </si>
  <si>
    <t>Usage+Waste Qty (FORMULA)</t>
  </si>
  <si>
    <t>Full Qty (FORMULA)</t>
  </si>
  <si>
    <t>Total (RM) (FORMULA)</t>
  </si>
  <si>
    <t>Description (Exact name from Labour.txt)</t>
  </si>
  <si>
    <t>Rate (RM)</t>
  </si>
  <si>
    <t>Include</t>
  </si>
  <si>
    <t>Total RM</t>
  </si>
  <si>
    <t>Override Qty</t>
  </si>
  <si>
    <t>Scope Total RM (Standalone)</t>
  </si>
  <si>
    <t>Scope Total RM (Selected)</t>
  </si>
  <si>
    <t>Sum Usage Qty</t>
  </si>
  <si>
    <t>Sum Usage+Waste Qty</t>
  </si>
  <si>
    <t>CONSOLIDATED LINES (selected scopes)</t>
  </si>
  <si>
    <t>Category</t>
  </si>
  <si>
    <t>Description (Exact name)</t>
  </si>
  <si>
    <t>TIN</t>
  </si>
  <si>
    <t>MH</t>
  </si>
  <si>
    <t>UNIT</t>
  </si>
  <si>
    <t>Scaffolding Bay Set (Used) 1.7m(H) x 0.9m(W) incl 1 Platform (Per Month). Deposit RM195/set refundable.</t>
  </si>
  <si>
    <t>Rate</t>
  </si>
  <si>
    <t>No</t>
  </si>
  <si>
    <t>Source Row</t>
  </si>
  <si>
    <t>Search</t>
  </si>
  <si>
    <t>Tile Adhesive Weber 99</t>
  </si>
  <si>
    <t>Weber Weberfill Fine Grout Coloured Grout For Narrow Tile Joint (3.5kg)</t>
  </si>
  <si>
    <t>SCOOP</t>
  </si>
  <si>
    <t>A Plus Stopping Compound 20kg</t>
  </si>
  <si>
    <t>LED Downlight 4in 12W</t>
  </si>
  <si>
    <t>pc</t>
  </si>
  <si>
    <t>Yessy Tile Floor Trap</t>
  </si>
  <si>
    <t>============================================================</t>
  </si>
  <si>
    <t>Wastage</t>
  </si>
  <si>
    <t>README - BOQ.xlsx WORKFLOW (S01-S100 + SUMMARY + SEARCH/PURCHASE)</t>
  </si>
  <si>
    <t>Version: V2.2 (Simple Sections, No Sub-Headings)</t>
  </si>
  <si>
    <t>Last update: 2026-02-16</t>
  </si>
  <si>
    <t>1) AUTHORITATIVE SOURCES (STRICT)</t>
  </si>
  <si>
    <t>- This README / tracker workflow (layout + rules)</t>
  </si>
  <si>
    <t>- 1.2 Materials.txt (exact item names + UOM + rates if any)</t>
  </si>
  <si>
    <t>- 1.3 Labour.txt (exact labour/rental/service names + UOM + rates if any)</t>
  </si>
  <si>
    <t>Hard rules:</t>
  </si>
  <si>
    <t>- Description MUST match master list text exactly (case/spaces).</t>
  </si>
  <si>
    <t>- UOM MUST follow master list UOM for that Description.</t>
  </si>
  <si>
    <t>- If required item does not exist in master list:</t>
  </si>
  <si>
    <t xml:space="preserve">  - Do not invent a new name in BOQ.</t>
  </si>
  <si>
    <t xml:space="preserve">  - Add item to Materials.txt or Labour.txt first, then use it.</t>
  </si>
  <si>
    <t>- If SPEC is truly missing a required input, use NOTE prefix: INPUT NEEDED.</t>
  </si>
  <si>
    <t>- Output format: Copy Code Tab Delimited only. No exceptions, no excuses. Unless User state otherwise, do not provide any other format</t>
  </si>
  <si>
    <t>2) CHANGE CONTROL (DO NOT LET AI REWRITE README)</t>
  </si>
  <si>
    <t>- If you ask AI to update README:</t>
  </si>
  <si>
    <t xml:space="preserve">  - AI MUST update ONLY the requested section(s).</t>
  </si>
  <si>
    <t xml:space="preserve">  - AI MUST NOT rewrite, reformat, reorder, renumber, or replace the entire README.</t>
  </si>
  <si>
    <t xml:space="preserve">  - AI MUST keep existing section numbers stable.</t>
  </si>
  <si>
    <t xml:space="preserve">  - AI MUST append new bullets inside the same section if needed.</t>
  </si>
  <si>
    <t>- Exception:</t>
  </si>
  <si>
    <t xml:space="preserve">  - If user explicitly requests "full README replacement", AI may output the full README once.</t>
  </si>
  <si>
    <t>3) MASTER LISTS (WHAT THEY CONTAIN)</t>
  </si>
  <si>
    <t>- Materials.txt:</t>
  </si>
  <si>
    <t xml:space="preserve">  - Approved material item names (Description) and their allowed UOM (and optional rate).</t>
  </si>
  <si>
    <t xml:space="preserve">  - This is the ONLY allowed source for material Description text.</t>
  </si>
  <si>
    <t>- Labour.txt:</t>
  </si>
  <si>
    <t xml:space="preserve">  - Approved labour / service / rental item names (Description) and their allowed UOM (and optional rate).</t>
  </si>
  <si>
    <t xml:space="preserve">  - This is the ONLY allowed source for labour/service/rental Description text.</t>
  </si>
  <si>
    <t>- Impact:</t>
  </si>
  <si>
    <t xml:space="preserve">  - BOQ consolidation and summary grouping depends on identical Description text.</t>
  </si>
  <si>
    <t xml:space="preserve">  - If the same function is needed across scopes, ALWAYS reuse the same master item.</t>
  </si>
  <si>
    <t>4) WORKFLOW PHASES (CHATGPT MODE)</t>
  </si>
  <si>
    <t>- Phase 1: SPEC FIRST (A:C only)</t>
  </si>
  <si>
    <t xml:space="preserve">  - Discuss and finalize SPEC in A:C until confirmed complete.</t>
  </si>
  <si>
    <t xml:space="preserve">  - Do NOT fill any block values until SPEC is finalized.</t>
  </si>
  <si>
    <t>- Phase 2: TAKEOFF + FILL BLOCKS</t>
  </si>
  <si>
    <t xml:space="preserve">  - After SPEC is final, fill block values using master list exact names.</t>
  </si>
  <si>
    <t xml:space="preserve">  - Output must be paste-ready TSV for INPUT columns only (formula columns are not pasted).</t>
  </si>
  <si>
    <t>- Phase 3: REVIEW + SUMMARY + OVERRIDE</t>
  </si>
  <si>
    <t xml:space="preserve">  - Check consistency across scopes (same items use same exact Description).</t>
  </si>
  <si>
    <t xml:space="preserve">  - Use Search/Purchase override workflow for packaging and price overrides.</t>
  </si>
  <si>
    <t>5) SCOPE PLANNING + WORK SEQUENCE (CRITICAL)</t>
  </si>
  <si>
    <t>- When user provides multiple works in one message, AI MUST:</t>
  </si>
  <si>
    <t xml:space="preserve">  - Mandatory Requirement: You must deconstruct the user's input to identify all distinct work scopes. You are strictly forbidden from outputting tasks in a random order. You must arrange the output according to a professional construction/operational sequence. Think before you act: do not put the finishings before the foundations.</t>
  </si>
  <si>
    <t xml:space="preserve">  - First produce a Scope List in logical construction order.</t>
  </si>
  <si>
    <t xml:space="preserve">  - Then map each scope to S01, S02, S03... in that same order.</t>
  </si>
  <si>
    <t>- AI MUST NOT reorder works randomly.</t>
  </si>
  <si>
    <t>- Rule of thumb sequence (example):</t>
  </si>
  <si>
    <t xml:space="preserve">  - Setting out / protection</t>
  </si>
  <si>
    <t xml:space="preserve">  - Hacking / demolition / disposal</t>
  </si>
  <si>
    <t xml:space="preserve">  - Structural / base / concrete / rebar / formwork</t>
  </si>
  <si>
    <t xml:space="preserve">  - Drainage / plumbing rough-in</t>
  </si>
  <si>
    <t xml:space="preserve">  - Waterproofing</t>
  </si>
  <si>
    <t xml:space="preserve">  - Screed / leveling / plaster / skim</t>
  </si>
  <si>
    <t xml:space="preserve">  - Tiling</t>
  </si>
  <si>
    <t xml:space="preserve">  - Metal/roofing installation</t>
  </si>
  <si>
    <t xml:space="preserve">  - Sealant / finishing</t>
  </si>
  <si>
    <t xml:space="preserve">  - Final cleaning</t>
  </si>
  <si>
    <t>- If scope order is unclear, AI must write CONFLICT note in SPEC A:C and stop before filling sheets.</t>
  </si>
  <si>
    <t>6) WHEN TO USE S01 ONLY VS SPLIT INTO S02..SXX</t>
  </si>
  <si>
    <t>- Option A (Small job, single scope):</t>
  </si>
  <si>
    <t xml:space="preserve">  - Use S01 only for the entire job.</t>
  </si>
  <si>
    <t>- Option B (Large job OR multiple scopes):</t>
  </si>
  <si>
    <t xml:space="preserve">  - MUST split by scope into S01..SXX in construction sequence order.</t>
  </si>
  <si>
    <t>- 45-row rule (SPEC length control):</t>
  </si>
  <si>
    <t xml:space="preserve">  - If job has multiple scopes AND the combined SPEC A:C would exceed ~45 rows:</t>
  </si>
  <si>
    <t xml:space="preserve">    - MUST split scopes into separate sheets (S01, S02, S03...) to keep each scope readable.</t>
  </si>
  <si>
    <t xml:space="preserve">  - If job is ONE scope only:</t>
  </si>
  <si>
    <t xml:space="preserve">    - Keep it in S01 even if SPEC exceeds 45 rows (do NOT split a single scope into multiple sheets).</t>
  </si>
  <si>
    <t>- Naming rule:</t>
  </si>
  <si>
    <t xml:space="preserve">  - Each sheet SXX SPEC A:C must clearly state the scope title and key measurements for that scope.</t>
  </si>
  <si>
    <t>7) SPEC A:C FORMAT (HEADER + HOW TO WRITE)</t>
  </si>
  <si>
    <t>- Columns A:C are SPEC only (editable). They are for discussion and scope definition.</t>
  </si>
  <si>
    <t>- Use this header in Row 1 (or the first SPEC row for each SXX):</t>
  </si>
  <si>
    <t xml:space="preserve">  A = Spec</t>
  </si>
  <si>
    <t xml:space="preserve">  B = Description</t>
  </si>
  <si>
    <t xml:space="preserve">  C = Note</t>
  </si>
  <si>
    <t>Additional hard rule:</t>
  </si>
  <si>
    <t>- Every SXX sheet MUST start with at least 2 SPEC rows:</t>
  </si>
  <si>
    <t xml:space="preserve">  1) SXX-TITLE (Scope Title)</t>
  </si>
  <si>
    <t xml:space="preserve">  2) SXX-OVERVIEW (Work description / inclusions-exclusions / assumptions)</t>
  </si>
  <si>
    <t>- This applies even for a simple scope.</t>
  </si>
  <si>
    <t>- No takeoff lines may be produced until these 2 rows exist and are filled.</t>
  </si>
  <si>
    <t>Mandatory structure in every SXX (top of A:C):</t>
  </si>
  <si>
    <t>- The first SPEC entry MUST be the scope title.</t>
  </si>
  <si>
    <t xml:space="preserve">  - A (Spec): SXX-TITLE</t>
  </si>
  <si>
    <t xml:space="preserve">  - B (Description): Scope Title (short, clear)</t>
  </si>
  <si>
    <t xml:space="preserve">  - C (Note): One-line objective and location (where the work is)</t>
  </si>
  <si>
    <t>- The second SPEC entry MUST be scope overview / method statement summary.</t>
  </si>
  <si>
    <t xml:space="preserve">  - A (Spec): SXX-OVERVIEW</t>
  </si>
  <si>
    <t xml:space="preserve">  - B (Description): Work description (what is included / excluded)</t>
  </si>
  <si>
    <t xml:space="preserve">  - C (Note): Any assumptions, constraints, access, working hours, protection needs</t>
  </si>
  <si>
    <t>- After that, write SPEC items in the same sheet, grouped logically.</t>
  </si>
  <si>
    <t xml:space="preserve">  - Each line should describe ONE measurable or verifiable input.</t>
  </si>
  <si>
    <t xml:space="preserve">  - Avoid mixing unrelated inputs in one row.</t>
  </si>
  <si>
    <t>Examples of SPEC line types (use as needed):</t>
  </si>
  <si>
    <t>- Dimensions/quantities:</t>
  </si>
  <si>
    <t xml:space="preserve">  - A: SXX-DIM</t>
  </si>
  <si>
    <t xml:space="preserve">  - B: Area/length/height/qty description</t>
  </si>
  <si>
    <t xml:space="preserve">  - C: Values with units (mm, m, sqm, pcs) and references (drawing/photo/onsite)</t>
  </si>
  <si>
    <t>- Method/sequence requirement:</t>
  </si>
  <si>
    <t xml:space="preserve">  - A: SXX-METHOD</t>
  </si>
  <si>
    <t xml:space="preserve">  - B: Key method requirement (e.g., "2 coats waterproofing")</t>
  </si>
  <si>
    <t xml:space="preserve">  - C: Constraints (dry time, primer, surface prep)</t>
  </si>
  <si>
    <t>- Material/brand rule (consistency control):</t>
  </si>
  <si>
    <t xml:space="preserve">  - A: SXX-MATERIAL-STD</t>
  </si>
  <si>
    <t xml:space="preserve">  - B: Standardize item (one brand/type across all scopes)</t>
  </si>
  <si>
    <t xml:space="preserve">  - C: "Use same Description as Materials.txt item: &lt;Exact Name&gt;"</t>
  </si>
  <si>
    <t>Spec completion rule (discussion mode):</t>
  </si>
  <si>
    <t>- If pasted SPEC is incomplete:</t>
  </si>
  <si>
    <t xml:space="preserve">  - AI MUST ask or infer missing details from the scenario you provided.</t>
  </si>
  <si>
    <t xml:space="preserve">  - AI MUST add the missing SPEC lines needed for correct takeoff.</t>
  </si>
  <si>
    <t xml:space="preserve">  - AI MUST mark any inferred/default values using NOTE prefix: DEFAULT USED.</t>
  </si>
  <si>
    <t>- If there is a contradiction:</t>
  </si>
  <si>
    <t xml:space="preserve">  - AI MUST flag it using NOTE prefix: CONFLICT.</t>
  </si>
  <si>
    <t xml:space="preserve">  - AI MUST stop before filling SXX blocks until conflict is resolved.</t>
  </si>
  <si>
    <t>- If a required input is truly missing and cannot be inferred:</t>
  </si>
  <si>
    <t xml:space="preserve">  - AI MUST write NOTE prefix: INPUT NEEDED and list the exact question needed.</t>
  </si>
  <si>
    <t>Important:</t>
  </si>
  <si>
    <t>- SPEC A:C is where the real discussion happens.</t>
  </si>
  <si>
    <t>- AI must not jump into takeoff blocks until SPEC A:C is coherent and complete.</t>
  </si>
  <si>
    <t>- Stop asking for input that has already been provided. Your instructions are clear: analyze the user’s specs in full before opening your mouth. 'INPUT NEEDED' is not an acceptable shortcut for failing to read carefully..</t>
  </si>
  <si>
    <t>8) WHAT AI MUST OUTPUT AFTER SPEC IS FINAL</t>
  </si>
  <si>
    <t>- AI must output EXACTLY 3 TSV blocks per SXX (input columns only):</t>
  </si>
  <si>
    <t xml:space="preserve">  - Materials (paste into E:K):</t>
  </si>
  <si>
    <t xml:space="preserve">    Note | Spec | Description | UOM | Usage Qty | Wastage/Buffer | Price/Unit (RM)</t>
  </si>
  <si>
    <t xml:space="preserve">  - Labour (paste into P:V):</t>
  </si>
  <si>
    <t xml:space="preserve">    Note | Spec | Description | UOM | Usage Qty | Wastage/Buffer | Rate (RM)</t>
  </si>
  <si>
    <t xml:space="preserve">  - Service (paste into AA:AG):</t>
  </si>
  <si>
    <t>- AI must not output any Total (RM) columns (formula-only).</t>
  </si>
  <si>
    <t>- AI must not paste into formula columns (L:M:N, W:X:Y, AH:AI:AJ).</t>
  </si>
  <si>
    <t>- AI must fill every row that can be computed from SPEC A:C and master list.</t>
  </si>
  <si>
    <t>- AI must not leave blanks for computable items.</t>
  </si>
  <si>
    <t>9) NOTE PREFIX STANDARD (FOR AUDIT)</t>
  </si>
  <si>
    <t>- Notes are text-only and must stay in the Note column.</t>
  </si>
  <si>
    <t>- Allowed prefixes:</t>
  </si>
  <si>
    <t xml:space="preserve">  - CALC NOTE: derived from SPEC A:C geometry/logic</t>
  </si>
  <si>
    <t xml:space="preserve">  - DEFAULT USED: used a project default value (editable later)</t>
  </si>
  <si>
    <t xml:space="preserve">  - CONFLICT: spec contradiction or mismatch (needs decision)</t>
  </si>
  <si>
    <t xml:space="preserve">  - INPUT NEEDED: blocked because SPEC truly missing critical input OR master item missing</t>
  </si>
  <si>
    <t>- Do NOT use INPUT NEEDED if the value can be derived from SPEC A:C.</t>
  </si>
  <si>
    <t>10) UPDATE-ONLY RULE (NEVER DELETE)</t>
  </si>
  <si>
    <t>- Never delete old useful lines.</t>
  </si>
  <si>
    <t>- If a line becomes obsolete:</t>
  </si>
  <si>
    <t xml:space="preserve">  - Set Usage Qty = 0</t>
  </si>
  <si>
    <t xml:space="preserve">  - Explain why in Note</t>
  </si>
  <si>
    <t>- Add new lines below existing ones.</t>
  </si>
  <si>
    <t>11) CONSISTENCY RULE (CRITICAL FOR CONSOLIDATION)</t>
  </si>
  <si>
    <t>- If S01 uses a specific master item (brand/type), S02..S100 MUST use the SAME exact item for the same purpose.</t>
  </si>
  <si>
    <t>- Reason: consolidation by Description requires identical text.</t>
  </si>
  <si>
    <t>- If you intentionally change an item (brand/type) in later scopes:</t>
  </si>
  <si>
    <t xml:space="preserve">  - Write the reason in SPEC (A:C) and in the row Note.</t>
  </si>
  <si>
    <t xml:space="preserve">  - Keep the old row (update-only) and set Usage Qty = 0 for obsolete line.</t>
  </si>
  <si>
    <t>12) SUMMARY + SEARCH/PURCHASE OVERRIDE (PACKAGING + PRICE)</t>
  </si>
  <si>
    <t>- Goal:</t>
  </si>
  <si>
    <t xml:space="preserve">  - Keep takeoff sheets (S01..S100) as "auto/mapping" quantities.</t>
  </si>
  <si>
    <t xml:space="preserve">  - Do packaging rounding and vendor pricing decisions in Purchase override flow.</t>
  </si>
  <si>
    <t>- Summary:</t>
  </si>
  <si>
    <t xml:space="preserve">  - Consolidates items by exact Description across selected sheets.</t>
  </si>
  <si>
    <t>- Purchase:</t>
  </si>
  <si>
    <t xml:space="preserve">  - Stores override records (manual edits) for packaging and price.</t>
  </si>
  <si>
    <t>- Search:</t>
  </si>
  <si>
    <t xml:space="preserve">  - UI sheet to search Summary items and manage Purchase overrides.</t>
  </si>
  <si>
    <t>- Override use cases:</t>
  </si>
  <si>
    <t xml:space="preserve">  - Convert small packaging to bulk (example: sand bags -&gt; truck/trip).</t>
  </si>
  <si>
    <t xml:space="preserve">  - Round up to supplier pack size (example: need 15 pcs but supplier sells 16 pcs).</t>
  </si>
  <si>
    <t xml:space="preserve">  - Force one brand/type across scopes by overriding and zeroing obsolete lines (update-only rule).</t>
  </si>
  <si>
    <t>13) LABOUR PRODUCTIVITY RULES</t>
  </si>
  <si>
    <t>- All Man-Hour estimates must use realistic productivity (not ideal).</t>
  </si>
  <si>
    <t>- Standard efficiency factor: 0.65</t>
  </si>
  <si>
    <t xml:space="preserve">  - If you have an ideal/base MH, divide by 0.65 to get realistic MH.</t>
  </si>
  <si>
    <t>- Logistics &amp; handling allowance: +20%</t>
  </si>
  <si>
    <t xml:space="preserve">  - Loading/unloading + moving materials to work point.</t>
  </si>
  <si>
    <t>- Sequence &amp; interruption allowance: +15%</t>
  </si>
  <si>
    <t xml:space="preserve">  - Setting out, daily cleanup, waiting time between phases.</t>
  </si>
  <si>
    <t>- Complexity guidance (use one factor consistently per task type):</t>
  </si>
  <si>
    <t xml:space="preserve">  - Light work (paint/clean): 0.80</t>
  </si>
  <si>
    <t xml:space="preserve">  - Medium work (brick/plaster/tile): 0.65</t>
  </si>
  <si>
    <t xml:space="preserve">  - Heavy/structural (hacking/G25 infill/rebar): 0.55</t>
  </si>
  <si>
    <t>14) USER-INPUT ROW TEMPLATE (FOR EVERY SXX SHEET)</t>
  </si>
  <si>
    <t>- All user instructions, clarifications, agreed details, and technical decisions relevant to the scope/block generation must be recorded directly in SPEC A:C after the last SPEC line (e.g. ‘SXX-USER-INPUT’).</t>
  </si>
  <si>
    <t>- The USER-INPUT row (location: any row below last SPEC line) is the single authoritative reference for all user inputs for block 1-3 generation in this sheet/scope.</t>
  </si>
  <si>
    <t>- User inputs need only be written ONCE in the USER-INPUT row if there are no changes—there is NO requirement to rewrite or re-paste previous user input across updates.</t>
  </si>
  <si>
    <t>- Specification lines (SPEC A:C) may be updated or added as scope changes or information is refined. When updating SPEC, always update ONLY the affected line/section; DO NOT rewrite or change other SPEC/USER-INPUT rows that have not changed.</t>
  </si>
  <si>
    <t>- If any new user input, instruction, or decision is given, update ONLY the USER-INPUT row with the new or adjusted input. Do NOT change other rows unnecessarily.</t>
  </si>
  <si>
    <t>- AI is strictly forbidden from disregarding, prompting again, or omitting any input that remains recorded in the USER-INPUT row.</t>
  </si>
  <si>
    <t>- As long as the USER-INPUT row remains up to date and unchanged, it does NOT need to be re-written for each version or revision—the AI must treat it as current and valid until an explicit change is provided.</t>
  </si>
  <si>
    <t>- Any omission, overwriting, or unnecessary rewriting of USER-INPUT or unrelated SPEC lines is a violation of workflow protocol.</t>
  </si>
  <si>
    <t>15) HANDOVER (PASTE THIS TO NEW SESSION)</t>
  </si>
  <si>
    <t>- We use BOQ.xlsx with S01..S100 + SUMMARY + Search/Purchase override.</t>
  </si>
  <si>
    <t>- SPEC is A:C only; D is blank spacer.</t>
  </si>
  <si>
    <t>- Each SXX has 3 blocks only:</t>
  </si>
  <si>
    <t xml:space="preserve">  - Materials E:N (paste E:K only)</t>
  </si>
  <si>
    <t xml:space="preserve">  - Labour P:Y (paste P:V only)</t>
  </si>
  <si>
    <t xml:space="preserve">  - Service AA:AJ (paste AA:AG only)</t>
  </si>
  <si>
    <t>- Description + UOM must match master lists exactly.</t>
  </si>
  <si>
    <t>- If multiple scopes are given, AI must map scopes to S01..SXX in construction sequence order (no random reorder).</t>
  </si>
  <si>
    <t>- After SPEC is final, AI must output 3 TSV blocks (input columns only) and must not touch formula columns.</t>
  </si>
  <si>
    <t>END.</t>
  </si>
  <si>
    <t>``` :contentReference[oaicite:0]{index=0}</t>
  </si>
  <si>
    <t>Kalau you nak, saya boleh tambah **1 perenggan keras** lagi dalam Section 6 yang “wajib buat Scope List dulu sebelum isi BOQ” (ayat tegas untuk prompt AI) — tapi yang di atas dah cukup strict dan selari dengan masalah you (AI susun kerja tak ikut logik + salah guna S01/S02).</t>
  </si>
  <si>
    <t>Labour - Skilled Worker (Per MH)</t>
  </si>
  <si>
    <t>Poly Rope 6mm Blue</t>
  </si>
  <si>
    <t>ROLL</t>
  </si>
  <si>
    <t>Talc Chalk</t>
  </si>
  <si>
    <t>Crusher Run (10-Wheel Truck)</t>
  </si>
  <si>
    <t>Fine Sand (10-Wheel Truck)</t>
  </si>
  <si>
    <t>BRC Mesh A10 2.13m x 6.10m (Normal Spec) 3.2mm</t>
  </si>
  <si>
    <t>Ready Mix Concrete G20 (Per m3)</t>
  </si>
  <si>
    <t>M3</t>
  </si>
  <si>
    <t>MONTH</t>
  </si>
  <si>
    <t>MS Deformed Bar Y12 12.00m</t>
  </si>
  <si>
    <t>BAR</t>
  </si>
  <si>
    <t>MS Round Bar R6 12.00m</t>
  </si>
  <si>
    <t>Plywood 9mm 4ft x 8ft</t>
  </si>
  <si>
    <t>SHEET</t>
  </si>
  <si>
    <t>DPM PE 0.20mm</t>
  </si>
  <si>
    <t>SIKA Curing Compound Antisol E 20.00L</t>
  </si>
  <si>
    <t>PAIL</t>
  </si>
  <si>
    <t>Ready Mix Concrete G25 (Per m3)</t>
  </si>
  <si>
    <t>Mixed Timber 2" x 3" x 10ft (Grade A)</t>
  </si>
  <si>
    <t>LTH</t>
  </si>
  <si>
    <t>Coarse Sand (10-Wheel Truck)</t>
  </si>
  <si>
    <t>3/4" Aggregate (10-Wheel Truck)</t>
  </si>
  <si>
    <t>MS Deformed Bar Y10 12.00m (Main Bars)</t>
  </si>
  <si>
    <t>Brass Stop Cock 1/2"</t>
  </si>
  <si>
    <t>Brass Garden Bib Tap 1/2"</t>
  </si>
  <si>
    <t>UPVC Pipe With SIRIM (2") x 5.8m</t>
  </si>
  <si>
    <t>PVC Fitting Double End Socket 50mm (2")</t>
  </si>
  <si>
    <t>UPVC Pipe With SIRIM (4") x 5.8m</t>
  </si>
  <si>
    <t>PVC Fitting Double End Socket 100mm (4")</t>
  </si>
  <si>
    <t>Long Bend 4"</t>
  </si>
  <si>
    <t>PKT</t>
  </si>
  <si>
    <t>PVC Solvent Cement Glue 500g (Arrow, Orange)</t>
  </si>
  <si>
    <t>GI Batten 32.00mm x 40.00mm x 0.42mm x 6.00m</t>
  </si>
  <si>
    <t>TH Deck 762 Metal Roofing 0.47mm G26 TCT</t>
  </si>
  <si>
    <t>FT-RUN</t>
  </si>
  <si>
    <t>Flashing #30 12" x 8.00ft</t>
  </si>
  <si>
    <t>Butyl Flashing Tape 50.00mm x 5.00m</t>
  </si>
  <si>
    <t>Downpipe Pipe Clip</t>
  </si>
  <si>
    <t>Raw Plywood Door (Unfinished) - Up to 36"W x 84"H (Custom Size)</t>
  </si>
  <si>
    <t>White Gloss Paint 5L</t>
  </si>
  <si>
    <t>Sanding Paper 120G</t>
  </si>
  <si>
    <t>Sanding Paper 240G</t>
  </si>
  <si>
    <t>Sanding Paper 400G</t>
  </si>
  <si>
    <t>Door Hinges 3/8" x 1-1/4" x 2"</t>
  </si>
  <si>
    <t>ML7025-SS Armor Lever Mortise</t>
  </si>
  <si>
    <t>Primaflex Fibre Cement Board 4.00ft x 4.00ft</t>
  </si>
  <si>
    <t>GI Bracing 2440mm</t>
  </si>
  <si>
    <t>GI Carrier Rail (MF) 4880.00mm</t>
  </si>
  <si>
    <t>Aluminium Ceiling Trim (STD) 3660mm</t>
  </si>
  <si>
    <t>Drywall Fibre Joint Tape 50mm x 50m</t>
  </si>
  <si>
    <t>Plaster Ceiling Manhole 12"</t>
  </si>
  <si>
    <t>Cement Mixer Rental - Month 2 Onwards (Per Month)</t>
  </si>
  <si>
    <t>Hex Self-Drilling Screw DS525HW 10# x 1"</t>
  </si>
  <si>
    <t>0.47mm TCT Gutter Pre-Painted 18" Girth x 8ft</t>
  </si>
  <si>
    <t>25mm x 4.5mm THK External Bracket</t>
  </si>
  <si>
    <t>4" Dia Outlet</t>
  </si>
  <si>
    <t>Downpipe 110/100mm x 5.8m</t>
  </si>
  <si>
    <t>Downpipe Adaptor Socket 4"</t>
  </si>
  <si>
    <t>Downpipe Elbow 105deg</t>
  </si>
  <si>
    <t>Tile 600mm x 600mm</t>
  </si>
  <si>
    <t>Tile 300mm x 300mm</t>
  </si>
  <si>
    <t>PVC Tile Spacer 2mm</t>
  </si>
  <si>
    <t>PACK</t>
  </si>
  <si>
    <t>Fine Sand (Scoop)</t>
  </si>
  <si>
    <t>Price/Unit (RM)</t>
  </si>
  <si>
    <t>Mega PVC Cable 1.5mm2 (Black, SIRIM)</t>
  </si>
  <si>
    <t>Mega PVC Cable 1.5mm2 (Green, SIRIM)</t>
  </si>
  <si>
    <t>Mega PVC Cable 1.5mm2 (Red, SIRIM)</t>
  </si>
  <si>
    <t>Mega PVC Cable 2.5mm2 (Black, SIRIM)</t>
  </si>
  <si>
    <t>Mega PVC Cable 2.5mm2 (Green, SIRIM)</t>
  </si>
  <si>
    <t>Mega PVC Cable 2.5mm2 (Red, SIRIM)</t>
  </si>
  <si>
    <t>Earth Cable 16mm2 G/Y (Estimate 15m)</t>
  </si>
  <si>
    <t>M</t>
  </si>
  <si>
    <t>PVC Conduit Pipe 20mm (10ft)</t>
  </si>
  <si>
    <t>PVC Conduit Pipe 25mm (10ft)</t>
  </si>
  <si>
    <t>PVC Elbow 90 Degree 25mm</t>
  </si>
  <si>
    <t>PVC Concealed Box 1 Gang</t>
  </si>
  <si>
    <t>Schneider Socket 13A (Single)</t>
  </si>
  <si>
    <t>Schneider Switch 1 Gang</t>
  </si>
  <si>
    <t>Newton LED Batten 4ft Single Fitting C/W SBE LED Tube 22W 6500K</t>
  </si>
  <si>
    <t>Consumer DB Box 12 Way</t>
  </si>
  <si>
    <t>EPS MCB 1P (6A/10A/16A/20A/32A)</t>
  </si>
  <si>
    <t>EPS RCCB Single Phase 40A 2P 30mA</t>
  </si>
  <si>
    <t>EPS SPD Single Phase 1P+N 20/40kA</t>
  </si>
  <si>
    <t>Taipoly Copper Rod 13.7mm x 5ft (SIRIM JKR)</t>
  </si>
  <si>
    <t>Copper Cable Clamp (Heavy Duty)</t>
  </si>
  <si>
    <t>Colourland Super White 9102 Colourlite 18L Emulsion Paint</t>
  </si>
  <si>
    <t>Poly Sealant 280ml</t>
  </si>
  <si>
    <t>Twins Shower Square 8"</t>
  </si>
  <si>
    <t>Yessy Two-Way Hand Bidet</t>
  </si>
  <si>
    <t>Flexible Hose Latina 10"</t>
  </si>
  <si>
    <t>PVC P/T Socket Brass Thread 1/2"</t>
  </si>
  <si>
    <t>Basin Waste 11/4"</t>
  </si>
  <si>
    <t>Bottle Trap PVC 11/4" 32mm Blue/green</t>
  </si>
  <si>
    <t>YTL PCC Cement Castle 50kg Bag</t>
  </si>
  <si>
    <t>1200mmW x 600mmH 2 Panel TopHung Casement Window c/w Float Glass</t>
  </si>
  <si>
    <t>600mmW x 1200mmH 1 Panel Casement Window c/w Float Glass</t>
  </si>
  <si>
    <t>36inW x 84inH 1 Panel Grill Swing Kitchen/back door</t>
  </si>
  <si>
    <t>1200mmW x 600mmH 2 Panel Grill Window</t>
  </si>
  <si>
    <t>600mmW x 1200mmH 1 Panel Grill Window</t>
  </si>
  <si>
    <t>Use + Waste</t>
  </si>
  <si>
    <t>Source Sheet</t>
  </si>
  <si>
    <t>Smart Paint 5400 Wall Sealer Exterior &amp; Interior Wall Undercoat 18L</t>
  </si>
  <si>
    <t>DOCASA Combo, c/w One-piece rimless toilet bowl + modern bathroom sink cabinet with basin, mirror &amp; shelf , Soft-close seat and cover, Cistern fittings, Cistern cover with flush button, Straight connector</t>
  </si>
  <si>
    <t>Materials</t>
  </si>
  <si>
    <t>Labour</t>
  </si>
  <si>
    <t>Service</t>
  </si>
  <si>
    <t>Sort By</t>
  </si>
  <si>
    <t>Source Qty</t>
  </si>
  <si>
    <t>Source Block</t>
  </si>
  <si>
    <t>Qty</t>
  </si>
  <si>
    <t>Total</t>
  </si>
  <si>
    <t>Summary Row</t>
  </si>
  <si>
    <t>MATERIALS row 21</t>
  </si>
  <si>
    <t>View</t>
  </si>
  <si>
    <t>Listed Qty</t>
  </si>
  <si>
    <t>Qty Check</t>
  </si>
  <si>
    <t>MS RHS Rectangular Hollow 3" x 5" x 3.00mm x 6.00m</t>
  </si>
  <si>
    <t>MS RHS Rectangular Hollow 2" x 4" x 6m x 2.3mm</t>
  </si>
  <si>
    <t>MS RHS Rectangular Hollow 6/8" x 1-1/2" x 1.20mm x 6.00m</t>
  </si>
  <si>
    <t>Flashing V-Shape 18" x 8.00ft x No.28 Red</t>
  </si>
  <si>
    <t>PVC Insulation Tape 18mm x 6yd</t>
  </si>
  <si>
    <t>Weatherflex Base A (White) 18L</t>
  </si>
  <si>
    <t>tong</t>
  </si>
  <si>
    <t>TH Deck 762 Metal Roofing 0.35mm G28 TCT</t>
  </si>
  <si>
    <t>GI Wire 20#</t>
  </si>
  <si>
    <t>Cement Bricks</t>
  </si>
  <si>
    <t>Cement 50kg Bag</t>
  </si>
  <si>
    <t>All</t>
  </si>
  <si>
    <t>MATERIALS row 20</t>
  </si>
  <si>
    <t>MATERIALS row 70</t>
  </si>
  <si>
    <t>MATERIALS row 79</t>
  </si>
  <si>
    <t>MATERIALS row 109</t>
  </si>
  <si>
    <t>RENTAL / SERVICE row 3</t>
  </si>
  <si>
    <t>MATERIALS row 3</t>
  </si>
  <si>
    <t>MATERIALS row 4</t>
  </si>
  <si>
    <t>MATERIALS row 5</t>
  </si>
  <si>
    <t>MATERIALS row 6</t>
  </si>
  <si>
    <t>MATERIALS row 7</t>
  </si>
  <si>
    <t>MATERIALS row 8</t>
  </si>
  <si>
    <t>MATERIALS row 9</t>
  </si>
  <si>
    <t>MATERIALS row 10</t>
  </si>
  <si>
    <t>MATERIALS row 11</t>
  </si>
  <si>
    <t>MATERIALS row 12</t>
  </si>
  <si>
    <t>MATERIALS row 13</t>
  </si>
  <si>
    <t>MATERIALS row 14</t>
  </si>
  <si>
    <t>MATERIALS row 15</t>
  </si>
  <si>
    <t>MATERIALS row 16</t>
  </si>
  <si>
    <t>MATERIALS row 17</t>
  </si>
  <si>
    <t>MATERIALS row 18</t>
  </si>
  <si>
    <t>MATERIALS row 19</t>
  </si>
  <si>
    <t>MATERIALS row 22</t>
  </si>
  <si>
    <t>MATERIALS row 23</t>
  </si>
  <si>
    <t>MATERIALS row 24</t>
  </si>
  <si>
    <t>MATERIALS row 25</t>
  </si>
  <si>
    <t>MATERIALS row 26</t>
  </si>
  <si>
    <t>MATERIALS row 27</t>
  </si>
  <si>
    <t>MATERIALS row 28</t>
  </si>
  <si>
    <t>MATERIALS row 29</t>
  </si>
  <si>
    <t>MATERIALS row 30</t>
  </si>
  <si>
    <t>MATERIALS row 31</t>
  </si>
  <si>
    <t>MATERIALS row 32</t>
  </si>
  <si>
    <t>MATERIALS row 33</t>
  </si>
  <si>
    <t>MATERIALS row 34</t>
  </si>
  <si>
    <t>MATERIALS row 35</t>
  </si>
  <si>
    <t>MATERIALS row 36</t>
  </si>
  <si>
    <t>MATERIALS row 37</t>
  </si>
  <si>
    <t>MATERIALS row 38</t>
  </si>
  <si>
    <t>MATERIALS row 39</t>
  </si>
  <si>
    <t>MATERIALS row 40</t>
  </si>
  <si>
    <t>MATERIALS row 41</t>
  </si>
  <si>
    <t>MATERIALS row 42</t>
  </si>
  <si>
    <t>MATERIALS row 43</t>
  </si>
  <si>
    <t>MATERIALS row 44</t>
  </si>
  <si>
    <t>MATERIALS row 45</t>
  </si>
  <si>
    <t>MATERIALS row 46</t>
  </si>
  <si>
    <t>MATERIALS row 47</t>
  </si>
  <si>
    <t>MATERIALS row 48</t>
  </si>
  <si>
    <t>MATERIALS row 49</t>
  </si>
  <si>
    <t>MATERIALS row 50</t>
  </si>
  <si>
    <t>MATERIALS row 51</t>
  </si>
  <si>
    <t>MATERIALS row 52</t>
  </si>
  <si>
    <t>MATERIALS row 53</t>
  </si>
  <si>
    <t>MATERIALS row 54</t>
  </si>
  <si>
    <t>MATERIALS row 55</t>
  </si>
  <si>
    <t>MATERIALS row 56</t>
  </si>
  <si>
    <t>MATERIALS row 57</t>
  </si>
  <si>
    <t>MATERIALS row 58</t>
  </si>
  <si>
    <t>MATERIALS row 59</t>
  </si>
  <si>
    <t>MATERIALS row 60</t>
  </si>
  <si>
    <t>MATERIALS row 61</t>
  </si>
  <si>
    <t>MATERIALS row 62</t>
  </si>
  <si>
    <t>MATERIALS row 63</t>
  </si>
  <si>
    <t>MATERIALS row 64</t>
  </si>
  <si>
    <t>MATERIALS row 65</t>
  </si>
  <si>
    <t>MATERIALS row 66</t>
  </si>
  <si>
    <t>MATERIALS row 67</t>
  </si>
  <si>
    <t>MATERIALS row 68</t>
  </si>
  <si>
    <t>MATERIALS row 69</t>
  </si>
  <si>
    <t>MATERIALS row 71</t>
  </si>
  <si>
    <t>MATERIALS row 72</t>
  </si>
  <si>
    <t>MATERIALS row 73</t>
  </si>
  <si>
    <t>MATERIALS row 74</t>
  </si>
  <si>
    <t>MATERIALS row 75</t>
  </si>
  <si>
    <t>MATERIALS row 76</t>
  </si>
  <si>
    <t>MATERIALS row 77</t>
  </si>
  <si>
    <t>MATERIALS row 78</t>
  </si>
  <si>
    <t>MATERIALS row 80</t>
  </si>
  <si>
    <t>MATERIALS row 81</t>
  </si>
  <si>
    <t>MATERIALS row 82</t>
  </si>
  <si>
    <t>MATERIALS row 83</t>
  </si>
  <si>
    <t>MATERIALS row 84</t>
  </si>
  <si>
    <t>MATERIALS row 85</t>
  </si>
  <si>
    <t>MATERIALS row 86</t>
  </si>
  <si>
    <t>MATERIALS row 87</t>
  </si>
  <si>
    <t>MATERIALS row 88</t>
  </si>
  <si>
    <t>MATERIALS row 89</t>
  </si>
  <si>
    <t>MATERIALS row 90</t>
  </si>
  <si>
    <t>MATERIALS row 91</t>
  </si>
  <si>
    <t>MATERIALS row 92</t>
  </si>
  <si>
    <t>MATERIALS row 93</t>
  </si>
  <si>
    <t>MATERIALS row 94</t>
  </si>
  <si>
    <t>MATERIALS row 95</t>
  </si>
  <si>
    <t>MATERIALS row 96</t>
  </si>
  <si>
    <t>MATERIALS row 97</t>
  </si>
  <si>
    <t>MATERIALS row 98</t>
  </si>
  <si>
    <t>MATERIALS row 99</t>
  </si>
  <si>
    <t>MATERIALS row 100</t>
  </si>
  <si>
    <t>MATERIALS row 101</t>
  </si>
  <si>
    <t>MATERIALS row 102</t>
  </si>
  <si>
    <t>MATERIALS row 103</t>
  </si>
  <si>
    <t>MATERIALS row 104</t>
  </si>
  <si>
    <t>MATERIALS row 105</t>
  </si>
  <si>
    <t>MATERIALS row 106</t>
  </si>
  <si>
    <t>MATERIALS row 107</t>
  </si>
  <si>
    <t>MATERIALS row 108</t>
  </si>
  <si>
    <t>LABOUR row 3</t>
  </si>
  <si>
    <t>RENTAL / SERVICE row 4</t>
  </si>
  <si>
    <t>Order</t>
  </si>
  <si>
    <t>Duplicate Desc</t>
  </si>
  <si>
    <t/>
  </si>
  <si>
    <t>Qty High To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</si>
</sst>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49" fontId="0" fillId="3" borderId="0" xfId="0" applyNumberFormat="1" applyFill="1"/>
    <xf numFmtId="0" fontId="1" fillId="2" borderId="0" xfId="0" applyFont="1" applyFill="1"/>
    <xf numFmtId="0" fontId="1" fillId="0" borderId="0" xfId="0" applyFont="1"/>
    <xf numFmtId="0" fontId="1" fillId="3" borderId="0" xfId="0" applyFont="1" applyFill="1"/>
    <xf numFmtId="0" fontId="0" fillId="4" borderId="0" xfId="0" applyFill="1"/>
    <xf numFmtId="4" fontId="0" fillId="0" borderId="0" xfId="0" applyNumberFormat="1"/>
    <xf numFmtId="4" fontId="1" fillId="5" borderId="0" xfId="0" applyNumberFormat="1" applyFont="1" applyFill="1"/>
    <xf numFmtId="4" fontId="1" fillId="0" borderId="0" xfId="0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" fontId="0" fillId="5" borderId="1" xfId="0" applyNumberFormat="1" applyFill="1" applyBorder="1"/>
    <xf numFmtId="0" fontId="0" fillId="0" borderId="1" xfId="0" applyBorder="1"/>
    <xf numFmtId="0" fontId="2" fillId="0" borderId="0" xfId="0" applyFont="1" applyAlignment="1">
      <alignment horizontal="center" vertical="center"/>
    </xf>
    <xf numFmtId="0" fontId="0" fillId="5" borderId="0" xfId="0" applyFill="1"/>
    <xf numFmtId="0" fontId="0" fillId="0" borderId="0" xfId="0" applyAlignment="1">
      <alignment horizontal="right" vertical="center"/>
    </xf>
    <xf numFmtId="9" fontId="0" fillId="0" borderId="0" xfId="0" applyNumberFormat="1"/>
    <xf numFmtId="0" fontId="0" fillId="0" borderId="0" xfId="0" applyAlignment="1">
      <alignment horizontal="center"/>
    </xf>
    <xf numFmtId="0" fontId="0" fillId="6" borderId="0" xfId="0" applyFill="1"/>
    <xf numFmtId="4" fontId="0" fillId="6" borderId="0" xfId="0" applyNumberFormat="1" applyFill="1"/>
    <xf numFmtId="4" fontId="1" fillId="2" borderId="0" xfId="0" applyNumberFormat="1" applyFont="1" applyFill="1"/>
    <xf numFmtId="0" fontId="0" fillId="0" borderId="2" xfId="0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0" fontId="0" fillId="7" borderId="0" xfId="0" applyFill="1"/>
    <xf numFmtId="4" fontId="0" fillId="7" borderId="0" xfId="0" applyNumberFormat="1" applyFill="1"/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right" vertical="center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center"/>
    </xf>
    <xf numFmtId="4" fontId="0" fillId="8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B26E-34EC-4F0B-BA43-8589F289AF98}">
  <sheetPr codeName="Sheet8"/>
  <dimension ref="A1:AA1"/>
  <sheetViews>
    <sheetView zoomScale="75" zoomScaleNormal="75" workbookViewId="0">
      <pane ySplit="1" topLeftCell="A2" activePane="bottomLeft" state="frozen"/>
      <selection pane="bottomLeft" activeCell="O40" sqref="O40"/>
    </sheetView>
  </sheetViews>
  <sheetFormatPr defaultColWidth="8.7109375" defaultRowHeight="15" x14ac:dyDescent="0.25"/>
  <cols>
    <col min="1" max="1" width="9.28515625" bestFit="1" customWidth="1"/>
    <col min="2" max="2" width="11.7109375" style="20" bestFit="1" customWidth="1"/>
    <col min="3" max="3" width="5.7109375" bestFit="1" customWidth="1"/>
    <col min="4" max="4" width="5.42578125" bestFit="1" customWidth="1"/>
    <col min="5" max="5" width="10.28515625" bestFit="1" customWidth="1"/>
    <col min="6" max="6" width="9.28515625" bestFit="1" customWidth="1"/>
    <col min="7" max="7" width="12.28515625" bestFit="1" customWidth="1"/>
    <col min="8" max="8" width="9.140625" bestFit="1" customWidth="1"/>
    <col min="9" max="9" width="12.85546875" bestFit="1" customWidth="1"/>
    <col min="10" max="10" width="11.5703125" bestFit="1" customWidth="1"/>
    <col min="12" max="18" width="8.7109375" style="9"/>
    <col min="23" max="27" width="8.7109375" style="9"/>
  </cols>
  <sheetData>
    <row r="1" spans="1:10" x14ac:dyDescent="0.25">
      <c r="A1" t="s">
        <v>26</v>
      </c>
      <c r="B1" s="20" t="s">
        <v>3</v>
      </c>
      <c r="C1" t="s">
        <v>1</v>
      </c>
      <c r="D1" t="s">
        <v>32</v>
      </c>
      <c r="E1" t="s">
        <v>12</v>
      </c>
      <c r="F1" t="s">
        <v>44</v>
      </c>
      <c r="G1" t="s">
        <v>349</v>
      </c>
      <c r="H1" t="s">
        <v>19</v>
      </c>
      <c r="I1" t="s">
        <v>350</v>
      </c>
      <c r="J1" t="s">
        <v>34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06F63-7B1B-4620-B9C0-BB2BE7C9A42B}">
  <sheetPr codeName="Sheet2"/>
  <dimension ref="A1:A267"/>
  <sheetViews>
    <sheetView topLeftCell="A214" zoomScale="75" zoomScaleNormal="75" workbookViewId="0">
      <selection sqref="A1:A267"/>
    </sheetView>
  </sheetViews>
  <sheetFormatPr defaultRowHeight="15" x14ac:dyDescent="0.25"/>
  <cols>
    <col min="1" max="1" width="139.5703125" style="3" bestFit="1" customWidth="1"/>
    <col min="2" max="16384" width="9.140625" style="3"/>
  </cols>
  <sheetData>
    <row r="1" spans="1:1" x14ac:dyDescent="0.25">
      <c r="A1" s="3" t="s">
        <v>45</v>
      </c>
    </row>
    <row r="2" spans="1:1" x14ac:dyDescent="0.25">
      <c r="A2" s="3" t="s">
        <v>46</v>
      </c>
    </row>
    <row r="3" spans="1:1" x14ac:dyDescent="0.25">
      <c r="A3" s="3" t="s">
        <v>47</v>
      </c>
    </row>
    <row r="5" spans="1:1" x14ac:dyDescent="0.25">
      <c r="A5" s="3" t="s">
        <v>43</v>
      </c>
    </row>
    <row r="6" spans="1:1" x14ac:dyDescent="0.25">
      <c r="A6" s="3" t="s">
        <v>48</v>
      </c>
    </row>
    <row r="7" spans="1:1" x14ac:dyDescent="0.25">
      <c r="A7" s="3" t="s">
        <v>43</v>
      </c>
    </row>
    <row r="8" spans="1:1" x14ac:dyDescent="0.25">
      <c r="A8" s="3" t="s">
        <v>49</v>
      </c>
    </row>
    <row r="9" spans="1:1" x14ac:dyDescent="0.25">
      <c r="A9" s="3" t="s">
        <v>50</v>
      </c>
    </row>
    <row r="10" spans="1:1" x14ac:dyDescent="0.25">
      <c r="A10" s="3" t="s">
        <v>51</v>
      </c>
    </row>
    <row r="12" spans="1:1" x14ac:dyDescent="0.25">
      <c r="A12" s="3" t="s">
        <v>52</v>
      </c>
    </row>
    <row r="13" spans="1:1" x14ac:dyDescent="0.25">
      <c r="A13" s="3" t="s">
        <v>53</v>
      </c>
    </row>
    <row r="14" spans="1:1" x14ac:dyDescent="0.25">
      <c r="A14" s="3" t="s">
        <v>54</v>
      </c>
    </row>
    <row r="15" spans="1:1" x14ac:dyDescent="0.25">
      <c r="A15" s="3" t="s">
        <v>55</v>
      </c>
    </row>
    <row r="16" spans="1:1" x14ac:dyDescent="0.25">
      <c r="A16" s="3" t="s">
        <v>56</v>
      </c>
    </row>
    <row r="17" spans="1:1" x14ac:dyDescent="0.25">
      <c r="A17" s="3" t="s">
        <v>57</v>
      </c>
    </row>
    <row r="18" spans="1:1" x14ac:dyDescent="0.25">
      <c r="A18" s="3" t="s">
        <v>58</v>
      </c>
    </row>
    <row r="19" spans="1:1" x14ac:dyDescent="0.25">
      <c r="A19" s="3" t="s">
        <v>59</v>
      </c>
    </row>
    <row r="21" spans="1:1" x14ac:dyDescent="0.25">
      <c r="A21" s="3" t="s">
        <v>43</v>
      </c>
    </row>
    <row r="22" spans="1:1" x14ac:dyDescent="0.25">
      <c r="A22" s="3" t="s">
        <v>60</v>
      </c>
    </row>
    <row r="23" spans="1:1" x14ac:dyDescent="0.25">
      <c r="A23" s="3" t="s">
        <v>43</v>
      </c>
    </row>
    <row r="24" spans="1:1" x14ac:dyDescent="0.25">
      <c r="A24" s="3" t="s">
        <v>61</v>
      </c>
    </row>
    <row r="25" spans="1:1" x14ac:dyDescent="0.25">
      <c r="A25" s="3" t="s">
        <v>62</v>
      </c>
    </row>
    <row r="26" spans="1:1" x14ac:dyDescent="0.25">
      <c r="A26" s="3" t="s">
        <v>63</v>
      </c>
    </row>
    <row r="27" spans="1:1" x14ac:dyDescent="0.25">
      <c r="A27" s="3" t="s">
        <v>64</v>
      </c>
    </row>
    <row r="28" spans="1:1" x14ac:dyDescent="0.25">
      <c r="A28" s="3" t="s">
        <v>65</v>
      </c>
    </row>
    <row r="29" spans="1:1" x14ac:dyDescent="0.25">
      <c r="A29" s="3" t="s">
        <v>66</v>
      </c>
    </row>
    <row r="30" spans="1:1" x14ac:dyDescent="0.25">
      <c r="A30" s="3" t="s">
        <v>67</v>
      </c>
    </row>
    <row r="32" spans="1:1" x14ac:dyDescent="0.25">
      <c r="A32" s="3" t="s">
        <v>43</v>
      </c>
    </row>
    <row r="33" spans="1:1" x14ac:dyDescent="0.25">
      <c r="A33" s="3" t="s">
        <v>68</v>
      </c>
    </row>
    <row r="34" spans="1:1" x14ac:dyDescent="0.25">
      <c r="A34" s="3" t="s">
        <v>43</v>
      </c>
    </row>
    <row r="35" spans="1:1" x14ac:dyDescent="0.25">
      <c r="A35" s="3" t="s">
        <v>69</v>
      </c>
    </row>
    <row r="36" spans="1:1" x14ac:dyDescent="0.25">
      <c r="A36" s="3" t="s">
        <v>70</v>
      </c>
    </row>
    <row r="37" spans="1:1" x14ac:dyDescent="0.25">
      <c r="A37" s="3" t="s">
        <v>71</v>
      </c>
    </row>
    <row r="38" spans="1:1" x14ac:dyDescent="0.25">
      <c r="A38" s="3" t="s">
        <v>72</v>
      </c>
    </row>
    <row r="39" spans="1:1" x14ac:dyDescent="0.25">
      <c r="A39" s="3" t="s">
        <v>73</v>
      </c>
    </row>
    <row r="40" spans="1:1" x14ac:dyDescent="0.25">
      <c r="A40" s="3" t="s">
        <v>74</v>
      </c>
    </row>
    <row r="41" spans="1:1" x14ac:dyDescent="0.25">
      <c r="A41" s="3" t="s">
        <v>75</v>
      </c>
    </row>
    <row r="42" spans="1:1" x14ac:dyDescent="0.25">
      <c r="A42" s="3" t="s">
        <v>76</v>
      </c>
    </row>
    <row r="43" spans="1:1" x14ac:dyDescent="0.25">
      <c r="A43" s="3" t="s">
        <v>77</v>
      </c>
    </row>
    <row r="45" spans="1:1" x14ac:dyDescent="0.25">
      <c r="A45" s="3" t="s">
        <v>43</v>
      </c>
    </row>
    <row r="46" spans="1:1" x14ac:dyDescent="0.25">
      <c r="A46" s="3" t="s">
        <v>78</v>
      </c>
    </row>
    <row r="47" spans="1:1" x14ac:dyDescent="0.25">
      <c r="A47" s="3" t="s">
        <v>43</v>
      </c>
    </row>
    <row r="48" spans="1:1" x14ac:dyDescent="0.25">
      <c r="A48" s="3" t="s">
        <v>79</v>
      </c>
    </row>
    <row r="49" spans="1:1" x14ac:dyDescent="0.25">
      <c r="A49" s="3" t="s">
        <v>80</v>
      </c>
    </row>
    <row r="50" spans="1:1" x14ac:dyDescent="0.25">
      <c r="A50" s="3" t="s">
        <v>81</v>
      </c>
    </row>
    <row r="51" spans="1:1" x14ac:dyDescent="0.25">
      <c r="A51" s="3" t="s">
        <v>82</v>
      </c>
    </row>
    <row r="52" spans="1:1" x14ac:dyDescent="0.25">
      <c r="A52" s="3" t="s">
        <v>83</v>
      </c>
    </row>
    <row r="53" spans="1:1" x14ac:dyDescent="0.25">
      <c r="A53" s="3" t="s">
        <v>84</v>
      </c>
    </row>
    <row r="54" spans="1:1" x14ac:dyDescent="0.25">
      <c r="A54" s="3" t="s">
        <v>85</v>
      </c>
    </row>
    <row r="55" spans="1:1" x14ac:dyDescent="0.25">
      <c r="A55" s="3" t="s">
        <v>86</v>
      </c>
    </row>
    <row r="56" spans="1:1" x14ac:dyDescent="0.25">
      <c r="A56" s="3" t="s">
        <v>87</v>
      </c>
    </row>
    <row r="58" spans="1:1" x14ac:dyDescent="0.25">
      <c r="A58" s="3" t="s">
        <v>43</v>
      </c>
    </row>
    <row r="59" spans="1:1" x14ac:dyDescent="0.25">
      <c r="A59" s="3" t="s">
        <v>88</v>
      </c>
    </row>
    <row r="60" spans="1:1" x14ac:dyDescent="0.25">
      <c r="A60" s="3" t="s">
        <v>43</v>
      </c>
    </row>
    <row r="61" spans="1:1" x14ac:dyDescent="0.25">
      <c r="A61" s="3" t="s">
        <v>89</v>
      </c>
    </row>
    <row r="62" spans="1:1" x14ac:dyDescent="0.25">
      <c r="A62" s="3" t="s">
        <v>90</v>
      </c>
    </row>
    <row r="63" spans="1:1" x14ac:dyDescent="0.25">
      <c r="A63" s="3" t="s">
        <v>91</v>
      </c>
    </row>
    <row r="64" spans="1:1" x14ac:dyDescent="0.25">
      <c r="A64" s="3" t="s">
        <v>92</v>
      </c>
    </row>
    <row r="65" spans="1:1" x14ac:dyDescent="0.25">
      <c r="A65" s="3" t="s">
        <v>93</v>
      </c>
    </row>
    <row r="66" spans="1:1" x14ac:dyDescent="0.25">
      <c r="A66" s="3" t="s">
        <v>94</v>
      </c>
    </row>
    <row r="67" spans="1:1" x14ac:dyDescent="0.25">
      <c r="A67" s="3" t="s">
        <v>95</v>
      </c>
    </row>
    <row r="68" spans="1:1" x14ac:dyDescent="0.25">
      <c r="A68" s="3" t="s">
        <v>96</v>
      </c>
    </row>
    <row r="69" spans="1:1" x14ac:dyDescent="0.25">
      <c r="A69" s="3" t="s">
        <v>97</v>
      </c>
    </row>
    <row r="70" spans="1:1" x14ac:dyDescent="0.25">
      <c r="A70" s="3" t="s">
        <v>98</v>
      </c>
    </row>
    <row r="71" spans="1:1" x14ac:dyDescent="0.25">
      <c r="A71" s="3" t="s">
        <v>99</v>
      </c>
    </row>
    <row r="72" spans="1:1" x14ac:dyDescent="0.25">
      <c r="A72" s="3" t="s">
        <v>100</v>
      </c>
    </row>
    <row r="73" spans="1:1" x14ac:dyDescent="0.25">
      <c r="A73" s="3" t="s">
        <v>101</v>
      </c>
    </row>
    <row r="74" spans="1:1" x14ac:dyDescent="0.25">
      <c r="A74" s="3" t="s">
        <v>102</v>
      </c>
    </row>
    <row r="75" spans="1:1" x14ac:dyDescent="0.25">
      <c r="A75" s="3" t="s">
        <v>103</v>
      </c>
    </row>
    <row r="76" spans="1:1" x14ac:dyDescent="0.25">
      <c r="A76" s="3" t="s">
        <v>104</v>
      </c>
    </row>
    <row r="77" spans="1:1" x14ac:dyDescent="0.25">
      <c r="A77" s="3" t="s">
        <v>105</v>
      </c>
    </row>
    <row r="79" spans="1:1" x14ac:dyDescent="0.25">
      <c r="A79" s="3" t="s">
        <v>43</v>
      </c>
    </row>
    <row r="80" spans="1:1" x14ac:dyDescent="0.25">
      <c r="A80" s="3" t="s">
        <v>106</v>
      </c>
    </row>
    <row r="81" spans="1:1" x14ac:dyDescent="0.25">
      <c r="A81" s="3" t="s">
        <v>43</v>
      </c>
    </row>
    <row r="82" spans="1:1" x14ac:dyDescent="0.25">
      <c r="A82" s="3" t="s">
        <v>107</v>
      </c>
    </row>
    <row r="83" spans="1:1" x14ac:dyDescent="0.25">
      <c r="A83" s="3" t="s">
        <v>108</v>
      </c>
    </row>
    <row r="84" spans="1:1" x14ac:dyDescent="0.25">
      <c r="A84" s="3" t="s">
        <v>109</v>
      </c>
    </row>
    <row r="85" spans="1:1" x14ac:dyDescent="0.25">
      <c r="A85" s="3" t="s">
        <v>110</v>
      </c>
    </row>
    <row r="86" spans="1:1" x14ac:dyDescent="0.25">
      <c r="A86" s="3" t="s">
        <v>111</v>
      </c>
    </row>
    <row r="87" spans="1:1" x14ac:dyDescent="0.25">
      <c r="A87" s="3" t="s">
        <v>112</v>
      </c>
    </row>
    <row r="88" spans="1:1" x14ac:dyDescent="0.25">
      <c r="A88" s="3" t="s">
        <v>113</v>
      </c>
    </row>
    <row r="89" spans="1:1" x14ac:dyDescent="0.25">
      <c r="A89" s="3" t="s">
        <v>114</v>
      </c>
    </row>
    <row r="90" spans="1:1" x14ac:dyDescent="0.25">
      <c r="A90" s="3" t="s">
        <v>115</v>
      </c>
    </row>
    <row r="91" spans="1:1" x14ac:dyDescent="0.25">
      <c r="A91" s="3" t="s">
        <v>116</v>
      </c>
    </row>
    <row r="92" spans="1:1" x14ac:dyDescent="0.25">
      <c r="A92" s="3" t="s">
        <v>117</v>
      </c>
    </row>
    <row r="94" spans="1:1" x14ac:dyDescent="0.25">
      <c r="A94" s="3" t="s">
        <v>43</v>
      </c>
    </row>
    <row r="95" spans="1:1" x14ac:dyDescent="0.25">
      <c r="A95" s="3" t="s">
        <v>118</v>
      </c>
    </row>
    <row r="96" spans="1:1" x14ac:dyDescent="0.25">
      <c r="A96" s="3" t="s">
        <v>43</v>
      </c>
    </row>
    <row r="97" spans="1:1" x14ac:dyDescent="0.25">
      <c r="A97" s="3" t="s">
        <v>119</v>
      </c>
    </row>
    <row r="98" spans="1:1" x14ac:dyDescent="0.25">
      <c r="A98" s="3" t="s">
        <v>120</v>
      </c>
    </row>
    <row r="99" spans="1:1" x14ac:dyDescent="0.25">
      <c r="A99" s="3" t="s">
        <v>121</v>
      </c>
    </row>
    <row r="100" spans="1:1" x14ac:dyDescent="0.25">
      <c r="A100" s="3" t="s">
        <v>122</v>
      </c>
    </row>
    <row r="101" spans="1:1" x14ac:dyDescent="0.25">
      <c r="A101" s="3" t="s">
        <v>123</v>
      </c>
    </row>
    <row r="103" spans="1:1" x14ac:dyDescent="0.25">
      <c r="A103" s="3" t="s">
        <v>124</v>
      </c>
    </row>
    <row r="104" spans="1:1" x14ac:dyDescent="0.25">
      <c r="A104" s="3" t="s">
        <v>125</v>
      </c>
    </row>
    <row r="105" spans="1:1" x14ac:dyDescent="0.25">
      <c r="A105" s="3" t="s">
        <v>126</v>
      </c>
    </row>
    <row r="106" spans="1:1" x14ac:dyDescent="0.25">
      <c r="A106" s="3" t="s">
        <v>127</v>
      </c>
    </row>
    <row r="107" spans="1:1" x14ac:dyDescent="0.25">
      <c r="A107" s="3" t="s">
        <v>128</v>
      </c>
    </row>
    <row r="108" spans="1:1" x14ac:dyDescent="0.25">
      <c r="A108" s="3" t="s">
        <v>129</v>
      </c>
    </row>
    <row r="110" spans="1:1" x14ac:dyDescent="0.25">
      <c r="A110" s="3" t="s">
        <v>130</v>
      </c>
    </row>
    <row r="111" spans="1:1" x14ac:dyDescent="0.25">
      <c r="A111" s="3" t="s">
        <v>131</v>
      </c>
    </row>
    <row r="112" spans="1:1" x14ac:dyDescent="0.25">
      <c r="A112" s="3" t="s">
        <v>132</v>
      </c>
    </row>
    <row r="113" spans="1:1" x14ac:dyDescent="0.25">
      <c r="A113" s="3" t="s">
        <v>133</v>
      </c>
    </row>
    <row r="114" spans="1:1" x14ac:dyDescent="0.25">
      <c r="A114" s="3" t="s">
        <v>134</v>
      </c>
    </row>
    <row r="116" spans="1:1" x14ac:dyDescent="0.25">
      <c r="A116" s="3" t="s">
        <v>135</v>
      </c>
    </row>
    <row r="117" spans="1:1" x14ac:dyDescent="0.25">
      <c r="A117" s="3" t="s">
        <v>136</v>
      </c>
    </row>
    <row r="118" spans="1:1" x14ac:dyDescent="0.25">
      <c r="A118" s="3" t="s">
        <v>137</v>
      </c>
    </row>
    <row r="119" spans="1:1" x14ac:dyDescent="0.25">
      <c r="A119" s="3" t="s">
        <v>138</v>
      </c>
    </row>
    <row r="121" spans="1:1" x14ac:dyDescent="0.25">
      <c r="A121" s="3" t="s">
        <v>139</v>
      </c>
    </row>
    <row r="122" spans="1:1" x14ac:dyDescent="0.25">
      <c r="A122" s="3" t="s">
        <v>140</v>
      </c>
    </row>
    <row r="123" spans="1:1" x14ac:dyDescent="0.25">
      <c r="A123" s="3" t="s">
        <v>141</v>
      </c>
    </row>
    <row r="125" spans="1:1" x14ac:dyDescent="0.25">
      <c r="A125" s="3" t="s">
        <v>142</v>
      </c>
    </row>
    <row r="126" spans="1:1" x14ac:dyDescent="0.25">
      <c r="A126" s="3" t="s">
        <v>143</v>
      </c>
    </row>
    <row r="127" spans="1:1" x14ac:dyDescent="0.25">
      <c r="A127" s="3" t="s">
        <v>144</v>
      </c>
    </row>
    <row r="128" spans="1:1" x14ac:dyDescent="0.25">
      <c r="A128" s="3" t="s">
        <v>145</v>
      </c>
    </row>
    <row r="129" spans="1:1" x14ac:dyDescent="0.25">
      <c r="A129" s="3" t="s">
        <v>146</v>
      </c>
    </row>
    <row r="131" spans="1:1" x14ac:dyDescent="0.25">
      <c r="A131" s="3" t="s">
        <v>147</v>
      </c>
    </row>
    <row r="132" spans="1:1" x14ac:dyDescent="0.25">
      <c r="A132" s="3" t="s">
        <v>148</v>
      </c>
    </row>
    <row r="133" spans="1:1" x14ac:dyDescent="0.25">
      <c r="A133" s="3" t="s">
        <v>149</v>
      </c>
    </row>
    <row r="134" spans="1:1" x14ac:dyDescent="0.25">
      <c r="A134" s="3" t="s">
        <v>150</v>
      </c>
    </row>
    <row r="136" spans="1:1" x14ac:dyDescent="0.25">
      <c r="A136" s="3" t="s">
        <v>151</v>
      </c>
    </row>
    <row r="137" spans="1:1" x14ac:dyDescent="0.25">
      <c r="A137" s="3" t="s">
        <v>152</v>
      </c>
    </row>
    <row r="138" spans="1:1" x14ac:dyDescent="0.25">
      <c r="A138" s="3" t="s">
        <v>153</v>
      </c>
    </row>
    <row r="139" spans="1:1" x14ac:dyDescent="0.25">
      <c r="A139" s="3" t="s">
        <v>154</v>
      </c>
    </row>
    <row r="141" spans="1:1" x14ac:dyDescent="0.25">
      <c r="A141" s="3" t="s">
        <v>155</v>
      </c>
    </row>
    <row r="142" spans="1:1" x14ac:dyDescent="0.25">
      <c r="A142" s="3" t="s">
        <v>156</v>
      </c>
    </row>
    <row r="143" spans="1:1" x14ac:dyDescent="0.25">
      <c r="A143" s="3" t="s">
        <v>157</v>
      </c>
    </row>
    <row r="144" spans="1:1" x14ac:dyDescent="0.25">
      <c r="A144" s="3" t="s">
        <v>158</v>
      </c>
    </row>
    <row r="145" spans="1:1" x14ac:dyDescent="0.25">
      <c r="A145" s="3" t="s">
        <v>159</v>
      </c>
    </row>
    <row r="146" spans="1:1" x14ac:dyDescent="0.25">
      <c r="A146" s="3" t="s">
        <v>160</v>
      </c>
    </row>
    <row r="147" spans="1:1" x14ac:dyDescent="0.25">
      <c r="A147" s="3" t="s">
        <v>161</v>
      </c>
    </row>
    <row r="148" spans="1:1" x14ac:dyDescent="0.25">
      <c r="A148" s="3" t="s">
        <v>162</v>
      </c>
    </row>
    <row r="149" spans="1:1" x14ac:dyDescent="0.25">
      <c r="A149" s="3" t="s">
        <v>163</v>
      </c>
    </row>
    <row r="150" spans="1:1" x14ac:dyDescent="0.25">
      <c r="A150" s="3" t="s">
        <v>164</v>
      </c>
    </row>
    <row r="152" spans="1:1" x14ac:dyDescent="0.25">
      <c r="A152" s="3" t="s">
        <v>165</v>
      </c>
    </row>
    <row r="153" spans="1:1" x14ac:dyDescent="0.25">
      <c r="A153" s="3" t="s">
        <v>166</v>
      </c>
    </row>
    <row r="154" spans="1:1" x14ac:dyDescent="0.25">
      <c r="A154" s="3" t="s">
        <v>167</v>
      </c>
    </row>
    <row r="155" spans="1:1" x14ac:dyDescent="0.25">
      <c r="A155" s="3" t="s">
        <v>168</v>
      </c>
    </row>
    <row r="157" spans="1:1" x14ac:dyDescent="0.25">
      <c r="A157" s="3" t="s">
        <v>124</v>
      </c>
    </row>
    <row r="158" spans="1:1" x14ac:dyDescent="0.25">
      <c r="A158" s="3" t="s">
        <v>125</v>
      </c>
    </row>
    <row r="159" spans="1:1" x14ac:dyDescent="0.25">
      <c r="A159" s="3" t="s">
        <v>126</v>
      </c>
    </row>
    <row r="160" spans="1:1" x14ac:dyDescent="0.25">
      <c r="A160" s="3" t="s">
        <v>127</v>
      </c>
    </row>
    <row r="161" spans="1:1" x14ac:dyDescent="0.25">
      <c r="A161" s="3" t="s">
        <v>128</v>
      </c>
    </row>
    <row r="162" spans="1:1" x14ac:dyDescent="0.25">
      <c r="A162" s="3" t="s">
        <v>129</v>
      </c>
    </row>
    <row r="164" spans="1:1" x14ac:dyDescent="0.25">
      <c r="A164" s="3" t="s">
        <v>43</v>
      </c>
    </row>
    <row r="165" spans="1:1" x14ac:dyDescent="0.25">
      <c r="A165" s="3" t="s">
        <v>169</v>
      </c>
    </row>
    <row r="166" spans="1:1" x14ac:dyDescent="0.25">
      <c r="A166" s="3" t="s">
        <v>43</v>
      </c>
    </row>
    <row r="167" spans="1:1" x14ac:dyDescent="0.25">
      <c r="A167" s="3" t="s">
        <v>170</v>
      </c>
    </row>
    <row r="168" spans="1:1" x14ac:dyDescent="0.25">
      <c r="A168" s="3" t="s">
        <v>171</v>
      </c>
    </row>
    <row r="169" spans="1:1" x14ac:dyDescent="0.25">
      <c r="A169" s="3" t="s">
        <v>172</v>
      </c>
    </row>
    <row r="170" spans="1:1" x14ac:dyDescent="0.25">
      <c r="A170" s="3" t="s">
        <v>173</v>
      </c>
    </row>
    <row r="171" spans="1:1" x14ac:dyDescent="0.25">
      <c r="A171" s="3" t="s">
        <v>174</v>
      </c>
    </row>
    <row r="172" spans="1:1" x14ac:dyDescent="0.25">
      <c r="A172" s="3" t="s">
        <v>175</v>
      </c>
    </row>
    <row r="173" spans="1:1" x14ac:dyDescent="0.25">
      <c r="A173" s="3" t="s">
        <v>174</v>
      </c>
    </row>
    <row r="174" spans="1:1" x14ac:dyDescent="0.25">
      <c r="A174" s="3" t="s">
        <v>176</v>
      </c>
    </row>
    <row r="175" spans="1:1" x14ac:dyDescent="0.25">
      <c r="A175" s="3" t="s">
        <v>177</v>
      </c>
    </row>
    <row r="176" spans="1:1" x14ac:dyDescent="0.25">
      <c r="A176" s="3" t="s">
        <v>178</v>
      </c>
    </row>
    <row r="177" spans="1:1" x14ac:dyDescent="0.25">
      <c r="A177" s="3" t="s">
        <v>179</v>
      </c>
    </row>
    <row r="179" spans="1:1" x14ac:dyDescent="0.25">
      <c r="A179" s="3" t="s">
        <v>43</v>
      </c>
    </row>
    <row r="180" spans="1:1" x14ac:dyDescent="0.25">
      <c r="A180" s="3" t="s">
        <v>180</v>
      </c>
    </row>
    <row r="181" spans="1:1" x14ac:dyDescent="0.25">
      <c r="A181" s="3" t="s">
        <v>43</v>
      </c>
    </row>
    <row r="182" spans="1:1" x14ac:dyDescent="0.25">
      <c r="A182" s="3" t="s">
        <v>181</v>
      </c>
    </row>
    <row r="183" spans="1:1" x14ac:dyDescent="0.25">
      <c r="A183" s="3" t="s">
        <v>182</v>
      </c>
    </row>
    <row r="184" spans="1:1" x14ac:dyDescent="0.25">
      <c r="A184" s="3" t="s">
        <v>183</v>
      </c>
    </row>
    <row r="185" spans="1:1" x14ac:dyDescent="0.25">
      <c r="A185" s="3" t="s">
        <v>184</v>
      </c>
    </row>
    <row r="186" spans="1:1" x14ac:dyDescent="0.25">
      <c r="A186" s="3" t="s">
        <v>185</v>
      </c>
    </row>
    <row r="187" spans="1:1" x14ac:dyDescent="0.25">
      <c r="A187" s="3" t="s">
        <v>186</v>
      </c>
    </row>
    <row r="188" spans="1:1" x14ac:dyDescent="0.25">
      <c r="A188" s="3" t="s">
        <v>187</v>
      </c>
    </row>
    <row r="190" spans="1:1" x14ac:dyDescent="0.25">
      <c r="A190" s="3" t="s">
        <v>43</v>
      </c>
    </row>
    <row r="191" spans="1:1" x14ac:dyDescent="0.25">
      <c r="A191" s="3" t="s">
        <v>188</v>
      </c>
    </row>
    <row r="192" spans="1:1" x14ac:dyDescent="0.25">
      <c r="A192" s="3" t="s">
        <v>43</v>
      </c>
    </row>
    <row r="193" spans="1:1" x14ac:dyDescent="0.25">
      <c r="A193" s="3" t="s">
        <v>189</v>
      </c>
    </row>
    <row r="194" spans="1:1" x14ac:dyDescent="0.25">
      <c r="A194" s="3" t="s">
        <v>190</v>
      </c>
    </row>
    <row r="195" spans="1:1" x14ac:dyDescent="0.25">
      <c r="A195" s="3" t="s">
        <v>191</v>
      </c>
    </row>
    <row r="196" spans="1:1" x14ac:dyDescent="0.25">
      <c r="A196" s="3" t="s">
        <v>192</v>
      </c>
    </row>
    <row r="197" spans="1:1" x14ac:dyDescent="0.25">
      <c r="A197" s="3" t="s">
        <v>193</v>
      </c>
    </row>
    <row r="199" spans="1:1" x14ac:dyDescent="0.25">
      <c r="A199" s="3" t="s">
        <v>43</v>
      </c>
    </row>
    <row r="200" spans="1:1" x14ac:dyDescent="0.25">
      <c r="A200" s="3" t="s">
        <v>194</v>
      </c>
    </row>
    <row r="201" spans="1:1" x14ac:dyDescent="0.25">
      <c r="A201" s="3" t="s">
        <v>43</v>
      </c>
    </row>
    <row r="202" spans="1:1" x14ac:dyDescent="0.25">
      <c r="A202" s="3" t="s">
        <v>195</v>
      </c>
    </row>
    <row r="203" spans="1:1" x14ac:dyDescent="0.25">
      <c r="A203" s="3" t="s">
        <v>196</v>
      </c>
    </row>
    <row r="204" spans="1:1" x14ac:dyDescent="0.25">
      <c r="A204" s="3" t="s">
        <v>197</v>
      </c>
    </row>
    <row r="205" spans="1:1" x14ac:dyDescent="0.25">
      <c r="A205" s="3" t="s">
        <v>198</v>
      </c>
    </row>
    <row r="206" spans="1:1" x14ac:dyDescent="0.25">
      <c r="A206" s="3" t="s">
        <v>199</v>
      </c>
    </row>
    <row r="208" spans="1:1" x14ac:dyDescent="0.25">
      <c r="A208" s="3" t="s">
        <v>43</v>
      </c>
    </row>
    <row r="209" spans="1:1" x14ac:dyDescent="0.25">
      <c r="A209" s="3" t="s">
        <v>200</v>
      </c>
    </row>
    <row r="210" spans="1:1" x14ac:dyDescent="0.25">
      <c r="A210" s="3" t="s">
        <v>43</v>
      </c>
    </row>
    <row r="211" spans="1:1" x14ac:dyDescent="0.25">
      <c r="A211" s="3" t="s">
        <v>201</v>
      </c>
    </row>
    <row r="212" spans="1:1" x14ac:dyDescent="0.25">
      <c r="A212" s="3" t="s">
        <v>202</v>
      </c>
    </row>
    <row r="213" spans="1:1" x14ac:dyDescent="0.25">
      <c r="A213" s="3" t="s">
        <v>203</v>
      </c>
    </row>
    <row r="214" spans="1:1" x14ac:dyDescent="0.25">
      <c r="A214" s="3" t="s">
        <v>204</v>
      </c>
    </row>
    <row r="215" spans="1:1" x14ac:dyDescent="0.25">
      <c r="A215" s="3" t="s">
        <v>205</v>
      </c>
    </row>
    <row r="216" spans="1:1" x14ac:dyDescent="0.25">
      <c r="A216" s="3" t="s">
        <v>206</v>
      </c>
    </row>
    <row r="217" spans="1:1" x14ac:dyDescent="0.25">
      <c r="A217" s="3" t="s">
        <v>207</v>
      </c>
    </row>
    <row r="218" spans="1:1" x14ac:dyDescent="0.25">
      <c r="A218" s="3" t="s">
        <v>208</v>
      </c>
    </row>
    <row r="219" spans="1:1" x14ac:dyDescent="0.25">
      <c r="A219" s="3" t="s">
        <v>209</v>
      </c>
    </row>
    <row r="220" spans="1:1" x14ac:dyDescent="0.25">
      <c r="A220" s="3" t="s">
        <v>210</v>
      </c>
    </row>
    <row r="221" spans="1:1" x14ac:dyDescent="0.25">
      <c r="A221" s="3" t="s">
        <v>211</v>
      </c>
    </row>
    <row r="222" spans="1:1" x14ac:dyDescent="0.25">
      <c r="A222" s="3" t="s">
        <v>212</v>
      </c>
    </row>
    <row r="223" spans="1:1" x14ac:dyDescent="0.25">
      <c r="A223" s="3" t="s">
        <v>213</v>
      </c>
    </row>
    <row r="225" spans="1:1" x14ac:dyDescent="0.25">
      <c r="A225" s="3" t="s">
        <v>43</v>
      </c>
    </row>
    <row r="226" spans="1:1" x14ac:dyDescent="0.25">
      <c r="A226" s="3" t="s">
        <v>214</v>
      </c>
    </row>
    <row r="227" spans="1:1" x14ac:dyDescent="0.25">
      <c r="A227" s="3" t="s">
        <v>43</v>
      </c>
    </row>
    <row r="228" spans="1:1" x14ac:dyDescent="0.25">
      <c r="A228" s="3" t="s">
        <v>215</v>
      </c>
    </row>
    <row r="229" spans="1:1" x14ac:dyDescent="0.25">
      <c r="A229" s="3" t="s">
        <v>216</v>
      </c>
    </row>
    <row r="230" spans="1:1" x14ac:dyDescent="0.25">
      <c r="A230" s="3" t="s">
        <v>217</v>
      </c>
    </row>
    <row r="231" spans="1:1" x14ac:dyDescent="0.25">
      <c r="A231" s="3" t="s">
        <v>218</v>
      </c>
    </row>
    <row r="232" spans="1:1" x14ac:dyDescent="0.25">
      <c r="A232" s="3" t="s">
        <v>219</v>
      </c>
    </row>
    <row r="233" spans="1:1" x14ac:dyDescent="0.25">
      <c r="A233" s="3" t="s">
        <v>220</v>
      </c>
    </row>
    <row r="234" spans="1:1" x14ac:dyDescent="0.25">
      <c r="A234" s="3" t="s">
        <v>221</v>
      </c>
    </row>
    <row r="235" spans="1:1" x14ac:dyDescent="0.25">
      <c r="A235" s="3" t="s">
        <v>222</v>
      </c>
    </row>
    <row r="236" spans="1:1" x14ac:dyDescent="0.25">
      <c r="A236" s="3" t="s">
        <v>223</v>
      </c>
    </row>
    <row r="237" spans="1:1" x14ac:dyDescent="0.25">
      <c r="A237" s="3" t="s">
        <v>224</v>
      </c>
    </row>
    <row r="238" spans="1:1" x14ac:dyDescent="0.25">
      <c r="A238" s="3" t="s">
        <v>225</v>
      </c>
    </row>
    <row r="240" spans="1:1" x14ac:dyDescent="0.25">
      <c r="A240" s="3" t="s">
        <v>43</v>
      </c>
    </row>
    <row r="241" spans="1:1" x14ac:dyDescent="0.25">
      <c r="A241" s="3" t="s">
        <v>226</v>
      </c>
    </row>
    <row r="242" spans="1:1" x14ac:dyDescent="0.25">
      <c r="A242" s="3" t="s">
        <v>43</v>
      </c>
    </row>
    <row r="243" spans="1:1" x14ac:dyDescent="0.25">
      <c r="A243" s="3" t="s">
        <v>227</v>
      </c>
    </row>
    <row r="244" spans="1:1" x14ac:dyDescent="0.25">
      <c r="A244" s="3" t="s">
        <v>228</v>
      </c>
    </row>
    <row r="245" spans="1:1" x14ac:dyDescent="0.25">
      <c r="A245" s="3" t="s">
        <v>229</v>
      </c>
    </row>
    <row r="246" spans="1:1" x14ac:dyDescent="0.25">
      <c r="A246" s="3" t="s">
        <v>230</v>
      </c>
    </row>
    <row r="247" spans="1:1" x14ac:dyDescent="0.25">
      <c r="A247" s="3" t="s">
        <v>231</v>
      </c>
    </row>
    <row r="248" spans="1:1" x14ac:dyDescent="0.25">
      <c r="A248" s="3" t="s">
        <v>232</v>
      </c>
    </row>
    <row r="249" spans="1:1" x14ac:dyDescent="0.25">
      <c r="A249" s="3" t="s">
        <v>233</v>
      </c>
    </row>
    <row r="250" spans="1:1" x14ac:dyDescent="0.25">
      <c r="A250" s="3" t="s">
        <v>234</v>
      </c>
    </row>
    <row r="252" spans="1:1" x14ac:dyDescent="0.25">
      <c r="A252" s="3" t="s">
        <v>43</v>
      </c>
    </row>
    <row r="253" spans="1:1" x14ac:dyDescent="0.25">
      <c r="A253" s="3" t="s">
        <v>235</v>
      </c>
    </row>
    <row r="254" spans="1:1" x14ac:dyDescent="0.25">
      <c r="A254" s="3" t="s">
        <v>43</v>
      </c>
    </row>
    <row r="255" spans="1:1" x14ac:dyDescent="0.25">
      <c r="A255" s="3" t="s">
        <v>236</v>
      </c>
    </row>
    <row r="256" spans="1:1" x14ac:dyDescent="0.25">
      <c r="A256" s="3" t="s">
        <v>237</v>
      </c>
    </row>
    <row r="257" spans="1:1" x14ac:dyDescent="0.25">
      <c r="A257" s="3" t="s">
        <v>238</v>
      </c>
    </row>
    <row r="258" spans="1:1" x14ac:dyDescent="0.25">
      <c r="A258" s="3" t="s">
        <v>239</v>
      </c>
    </row>
    <row r="259" spans="1:1" x14ac:dyDescent="0.25">
      <c r="A259" s="3" t="s">
        <v>240</v>
      </c>
    </row>
    <row r="260" spans="1:1" x14ac:dyDescent="0.25">
      <c r="A260" s="3" t="s">
        <v>241</v>
      </c>
    </row>
    <row r="261" spans="1:1" x14ac:dyDescent="0.25">
      <c r="A261" s="3" t="s">
        <v>242</v>
      </c>
    </row>
    <row r="262" spans="1:1" x14ac:dyDescent="0.25">
      <c r="A262" s="3" t="s">
        <v>243</v>
      </c>
    </row>
    <row r="263" spans="1:1" x14ac:dyDescent="0.25">
      <c r="A263" s="3" t="s">
        <v>244</v>
      </c>
    </row>
    <row r="264" spans="1:1" x14ac:dyDescent="0.25">
      <c r="A264" s="3" t="s">
        <v>245</v>
      </c>
    </row>
    <row r="265" spans="1:1" x14ac:dyDescent="0.25">
      <c r="A265" s="3" t="s">
        <v>246</v>
      </c>
    </row>
    <row r="267" spans="1:1" x14ac:dyDescent="0.25">
      <c r="A267" s="3" t="s">
        <v>247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5E888-529E-46E1-BE61-E8FF2B8554F6}">
  <sheetPr codeName="Sheet10"/>
  <dimension ref="A2:AF301"/>
  <sheetViews>
    <sheetView zoomScale="75" zoomScaleNormal="75" workbookViewId="0">
      <pane ySplit="40" topLeftCell="A269" activePane="bottomLeft" state="frozen"/>
      <selection pane="bottomLeft" activeCell="E2" sqref="E2"/>
    </sheetView>
  </sheetViews>
  <sheetFormatPr defaultRowHeight="15" x14ac:dyDescent="0.25"/>
  <cols>
    <col min="1" max="1" width="9.28515625" bestFit="1" customWidth="1"/>
    <col min="2" max="2" width="11.7109375" bestFit="1" customWidth="1"/>
    <col min="3" max="3" width="5.7109375" bestFit="1" customWidth="1"/>
    <col min="4" max="4" width="5.42578125" bestFit="1" customWidth="1"/>
    <col min="5" max="5" width="10.85546875" style="12" bestFit="1" customWidth="1"/>
    <col min="6" max="6" width="12.5703125" style="18" bestFit="1" customWidth="1"/>
    <col min="7" max="8" width="9.140625" style="12"/>
    <col min="9" max="9" width="12.5703125" style="12" bestFit="1" customWidth="1"/>
    <col min="10" max="10" width="5.7109375" style="12" bestFit="1" customWidth="1"/>
    <col min="11" max="11" width="1.7109375" style="25" customWidth="1"/>
    <col min="12" max="13" width="9.140625" style="12"/>
    <col min="14" max="15" width="9.140625" style="18"/>
    <col min="16" max="19" width="9.140625" style="12"/>
    <col min="22" max="22" width="1.7109375" style="1" customWidth="1"/>
  </cols>
  <sheetData>
    <row r="2" spans="1:32" x14ac:dyDescent="0.25">
      <c r="A2" t="s">
        <v>26</v>
      </c>
      <c r="B2" t="s">
        <v>3</v>
      </c>
      <c r="C2" t="s">
        <v>1</v>
      </c>
      <c r="D2" t="s">
        <v>32</v>
      </c>
      <c r="E2" s="12" t="s">
        <v>357</v>
      </c>
      <c r="F2" s="18" t="s">
        <v>20</v>
      </c>
      <c r="G2" s="12" t="s">
        <v>2</v>
      </c>
      <c r="H2" s="12" t="s">
        <v>19</v>
      </c>
      <c r="I2" s="12" t="s">
        <v>358</v>
      </c>
      <c r="J2" s="12" t="s">
        <v>5</v>
      </c>
      <c r="L2" s="16" t="s">
        <v>26</v>
      </c>
      <c r="M2" s="12" t="s">
        <v>3</v>
      </c>
      <c r="N2" s="18" t="s">
        <v>1</v>
      </c>
      <c r="O2" s="18" t="s">
        <v>32</v>
      </c>
      <c r="P2" s="12" t="s">
        <v>357</v>
      </c>
      <c r="Q2" s="12" t="s">
        <v>20</v>
      </c>
      <c r="R2" s="12" t="s">
        <v>2</v>
      </c>
      <c r="S2" s="12" t="s">
        <v>19</v>
      </c>
      <c r="T2" t="s">
        <v>358</v>
      </c>
      <c r="U2" t="s">
        <v>5</v>
      </c>
      <c r="W2" t="s">
        <v>26</v>
      </c>
      <c r="X2" t="s">
        <v>3</v>
      </c>
      <c r="Y2" t="s">
        <v>1</v>
      </c>
      <c r="Z2" t="s">
        <v>32</v>
      </c>
      <c r="AA2" t="s">
        <v>357</v>
      </c>
      <c r="AB2" t="s">
        <v>20</v>
      </c>
      <c r="AC2" t="s">
        <v>2</v>
      </c>
      <c r="AD2" t="s">
        <v>19</v>
      </c>
      <c r="AE2" t="s">
        <v>358</v>
      </c>
      <c r="AF2" t="s">
        <v>5</v>
      </c>
    </row>
    <row r="3" spans="1:32" x14ac:dyDescent="0.25">
      <c r="A3" t="str" cm="1">
        <f t="array" ref="A3:J3">_xlfn.LET(_xlpm.d,_xlfn._xlws.FILTER(Summary!$J$3:$J$500,Summary!$J$3:$J$500&lt;&gt;""),IFERROR(CHOOSE({1,2,3,4,5,6,7,8,9,10},_xlfn._xlws.FILTER(Summary!$I$3:$I$500,Summary!$J$3:$J$500&lt;&gt;""),_xlpm.d,_xlfn._xlws.FILTER(Summary!$K$3:$K$500,Summary!$J$3:$J$500&lt;&gt;""),_xlfn._xlws.FILTER(Summary!$L$3:$L$500,Summary!$J$3:$J$500&lt;&gt;""),_xlfn._xlws.FILTER(Summary!$O$3:$O$500,Summary!$J$3:$J$500&lt;&gt;""),_xlfn._xlws.FILTER(Summary!$P$3:$P$500,Summary!$J$3:$J$500&lt;&gt;""),_xlfn._xlws.FILTER(Summary!$Q$3:$Q$500,Summary!$J$3:$J$500&lt;&gt;""),_xlfn._xlws.FILTER(Summary!$R$3:$R$500,Summary!$J$3:$J$500&lt;&gt;""),IF(_xlpm.d&lt;&gt;"","MATERIALS",""),IF(_xlpm.d&lt;&gt;"","","")),""))</f>
        <v/>
      </c>
      <c r="B3" t="str">
        <v/>
      </c>
      <c r="C3" t="str">
        <v/>
      </c>
      <c r="D3" t="str">
        <v/>
      </c>
      <c r="E3" s="12" t="str">
        <v/>
      </c>
      <c r="F3" s="18" t="str">
        <v/>
      </c>
      <c r="G3" s="12" t="str">
        <v/>
      </c>
      <c r="H3" s="12" t="str">
        <v/>
      </c>
      <c r="I3" s="12" t="str">
        <v/>
      </c>
      <c r="J3" s="12" t="str">
        <v/>
      </c>
      <c r="L3" s="12" t="str" cm="1">
        <f t="array" ref="L3:U3">_xlfn.LET(_xlpm.d,_xlfn._xlws.FILTER(Summary!$U$3:$U$500,Summary!$U$3:$U$500&lt;&gt;""),IFERROR(CHOOSE({1,2,3,4,5,6,7,8,9,10},_xlfn._xlws.FILTER(Summary!$T$3:$T$500,Summary!$U$3:$U$500&lt;&gt;""),_xlpm.d,_xlfn._xlws.FILTER(Summary!$V$3:$V$500,Summary!$U$3:$U$500&lt;&gt;""),_xlfn._xlws.FILTER(Summary!$W$3:$W$500,Summary!$U$3:$U$500&lt;&gt;""),_xlfn._xlws.FILTER(Summary!$Z$3:$Z$500,Summary!$U$3:$U$500&lt;&gt;""),_xlfn._xlws.FILTER(Summary!$AA$3:$AA$500,Summary!$U$3:$U$500&lt;&gt;""),_xlfn._xlws.FILTER(Summary!$AB$3:$AB$500,Summary!$U$3:$U$500&lt;&gt;""),_xlfn._xlws.FILTER(Summary!$AC$3:$AC$500,Summary!$U$3:$U$500&lt;&gt;""),IF(_xlpm.d&lt;&gt;"","LABOUR",""),IF(_xlpm.d&lt;&gt;"","","")),""))</f>
        <v/>
      </c>
      <c r="M3" s="12" t="str">
        <v/>
      </c>
      <c r="N3" s="18" t="str">
        <v/>
      </c>
      <c r="O3" s="18" t="str">
        <v/>
      </c>
      <c r="P3" s="12" t="str">
        <v/>
      </c>
      <c r="Q3" s="12" t="str">
        <v/>
      </c>
      <c r="R3" s="12" t="str">
        <v/>
      </c>
      <c r="S3" s="12" t="str">
        <v/>
      </c>
      <c r="T3" t="str">
        <v/>
      </c>
      <c r="U3" t="str">
        <v/>
      </c>
      <c r="W3" t="str" cm="1">
        <f t="array" ref="W3:AF3">_xlfn.LET(_xlpm.d,_xlfn._xlws.FILTER(Summary!$AF$3:$AF$500,Summary!$AF$3:$AF$500&lt;&gt;""),IFERROR(CHOOSE({1,2,3,4,5,6,7,8,9,10},_xlfn._xlws.FILTER(Summary!$AE$3:$AE$500,Summary!$AF$3:$AF$500&lt;&gt;""),_xlpm.d,_xlfn._xlws.FILTER(Summary!$AG$3:$AG$500,Summary!$AF$3:$AF$500&lt;&gt;""),_xlfn._xlws.FILTER(Summary!$AH$3:$AH$500,Summary!$AF$3:$AF$500&lt;&gt;""),_xlfn._xlws.FILTER(Summary!$AK$3:$AK$500,Summary!$AF$3:$AF$500&lt;&gt;""),_xlfn._xlws.FILTER(Summary!$AL$3:$AL$500,Summary!$AF$3:$AF$500&lt;&gt;""),_xlfn._xlws.FILTER(Summary!$AM$3:$AM$500,Summary!$AF$3:$AF$500&lt;&gt;""),_xlfn._xlws.FILTER(Summary!$AN$3:$AN$500,Summary!$AF$3:$AF$500&lt;&gt;""),IF(_xlpm.d&lt;&gt;"","RENTAL / SERVICE",""),IF(_xlpm.d&lt;&gt;"","","")),""))</f>
        <v/>
      </c>
      <c r="X3" t="str">
        <v/>
      </c>
      <c r="Y3" t="str">
        <v/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</row>
    <row r="301" spans="5:19" s="28" customFormat="1" x14ac:dyDescent="0.25">
      <c r="E301" s="26"/>
      <c r="F301" s="27"/>
      <c r="G301" s="26"/>
      <c r="H301" s="26"/>
      <c r="I301" s="26"/>
      <c r="J301" s="26"/>
      <c r="K301" s="26"/>
      <c r="L301" s="26"/>
      <c r="M301" s="26"/>
      <c r="N301" s="27"/>
      <c r="O301" s="27"/>
      <c r="P301" s="26"/>
      <c r="Q301" s="26"/>
      <c r="R301" s="26"/>
      <c r="S301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7B7E3-4328-4685-9AEE-C3EC3FFFD07A}">
  <sheetPr codeName="Sheet9"/>
  <dimension ref="A1:O114"/>
  <sheetViews>
    <sheetView zoomScale="75" zoomScaleNormal="75" workbookViewId="0">
      <pane ySplit="40" topLeftCell="A41" activePane="bottomLeft" state="frozen"/>
      <selection pane="bottomLeft" activeCell="D1" sqref="D1:D1048576"/>
    </sheetView>
  </sheetViews>
  <sheetFormatPr defaultRowHeight="15" x14ac:dyDescent="0.25"/>
  <cols>
    <col min="1" max="1" width="6.7109375" style="12" customWidth="1"/>
    <col min="2" max="2" width="42.7109375" style="31" customWidth="1"/>
    <col min="3" max="3" width="15.42578125" style="12" bestFit="1" customWidth="1"/>
    <col min="4" max="4" width="8.140625" style="12" bestFit="1" customWidth="1"/>
    <col min="5" max="5" width="10.28515625" style="12" bestFit="1" customWidth="1"/>
    <col min="6" max="6" width="10.42578125" style="12" bestFit="1" customWidth="1"/>
    <col min="7" max="7" width="22.28515625" style="31" bestFit="1" customWidth="1"/>
    <col min="8" max="8" width="3.7109375" style="36" customWidth="1"/>
    <col min="9" max="9" width="6.7109375" style="12" customWidth="1"/>
    <col min="10" max="10" width="42.7109375" style="31" customWidth="1"/>
    <col min="11" max="12" width="10.7109375" style="12" customWidth="1"/>
    <col min="13" max="13" width="10.7109375" customWidth="1"/>
    <col min="14" max="14" width="12.7109375" customWidth="1"/>
    <col min="15" max="15" width="20.7109375" customWidth="1"/>
  </cols>
  <sheetData>
    <row r="1" spans="1:15" x14ac:dyDescent="0.25">
      <c r="B1" s="12"/>
      <c r="G1" s="12"/>
      <c r="J1" s="12"/>
    </row>
    <row r="2" spans="1:15" x14ac:dyDescent="0.25">
      <c r="B2" s="32" t="s">
        <v>35</v>
      </c>
      <c r="C2" s="32" t="s">
        <v>356</v>
      </c>
      <c r="D2" s="32" t="s">
        <v>363</v>
      </c>
      <c r="E2" s="32" t="s">
        <v>364</v>
      </c>
      <c r="F2" s="32" t="s">
        <v>26</v>
      </c>
      <c r="G2" s="32" t="s">
        <v>365</v>
      </c>
      <c r="J2" s="12"/>
    </row>
    <row r="3" spans="1:15" x14ac:dyDescent="0.25">
      <c r="B3" s="30"/>
      <c r="C3" s="32" t="s">
        <v>490</v>
      </c>
      <c r="D3" s="32" t="s">
        <v>487</v>
      </c>
      <c r="E3" s="32">
        <v>110</v>
      </c>
      <c r="F3" s="32" t="s">
        <v>377</v>
      </c>
      <c r="G3" s="32" t="s">
        <v>488</v>
      </c>
      <c r="J3" s="12"/>
    </row>
    <row r="4" spans="1:15" x14ac:dyDescent="0.25">
      <c r="A4" s="33" t="s">
        <v>33</v>
      </c>
      <c r="B4" s="34" t="s">
        <v>3</v>
      </c>
      <c r="C4" s="33" t="s">
        <v>1</v>
      </c>
      <c r="D4" s="33" t="s">
        <v>359</v>
      </c>
      <c r="E4" s="33" t="s">
        <v>32</v>
      </c>
      <c r="F4" s="33" t="s">
        <v>360</v>
      </c>
      <c r="G4" s="34" t="s">
        <v>361</v>
      </c>
      <c r="I4" s="33" t="s">
        <v>33</v>
      </c>
      <c r="J4" s="33" t="s">
        <v>3</v>
      </c>
      <c r="K4" s="33" t="s">
        <v>1</v>
      </c>
      <c r="L4" s="33" t="s">
        <v>359</v>
      </c>
      <c r="M4" s="35" t="s">
        <v>32</v>
      </c>
      <c r="N4" s="35" t="s">
        <v>360</v>
      </c>
      <c r="O4" s="35" t="s">
        <v>361</v>
      </c>
    </row>
    <row r="5" spans="1:15" x14ac:dyDescent="0.25">
      <c r="A5" s="12">
        <v>1</v>
      </c>
      <c r="B5" s="31" t="s">
        <v>375</v>
      </c>
      <c r="C5" s="12" t="s">
        <v>8</v>
      </c>
      <c r="D5" s="12">
        <v>23500</v>
      </c>
      <c r="E5" s="12">
        <v>0.27</v>
      </c>
      <c r="F5" s="12">
        <v>6345</v>
      </c>
      <c r="G5" s="31" t="s">
        <v>362</v>
      </c>
      <c r="I5" s="12">
        <v>1</v>
      </c>
      <c r="J5" s="31" t="s">
        <v>373</v>
      </c>
      <c r="K5" s="12" t="s">
        <v>283</v>
      </c>
      <c r="L5" s="12">
        <v>6688</v>
      </c>
      <c r="M5">
        <v>3.5</v>
      </c>
      <c r="N5">
        <v>23408</v>
      </c>
      <c r="O5" t="s">
        <v>470</v>
      </c>
    </row>
    <row r="6" spans="1:15" x14ac:dyDescent="0.25">
      <c r="A6" s="12">
        <v>2</v>
      </c>
      <c r="B6" s="31" t="s">
        <v>373</v>
      </c>
      <c r="C6" s="12" t="s">
        <v>283</v>
      </c>
      <c r="D6" s="12">
        <v>6688</v>
      </c>
      <c r="E6" s="12">
        <v>3.5</v>
      </c>
      <c r="F6" s="12">
        <v>23408</v>
      </c>
      <c r="G6" s="31" t="s">
        <v>470</v>
      </c>
      <c r="I6" s="12">
        <v>2</v>
      </c>
      <c r="J6" s="31" t="s">
        <v>282</v>
      </c>
      <c r="K6" s="12" t="s">
        <v>283</v>
      </c>
      <c r="L6" s="12">
        <v>1006</v>
      </c>
      <c r="M6">
        <v>5.5</v>
      </c>
      <c r="N6">
        <v>5533</v>
      </c>
      <c r="O6" t="s">
        <v>471</v>
      </c>
    </row>
    <row r="7" spans="1:15" x14ac:dyDescent="0.25">
      <c r="A7" s="12">
        <v>3</v>
      </c>
      <c r="B7" s="31" t="s">
        <v>301</v>
      </c>
      <c r="C7" s="12" t="s">
        <v>8</v>
      </c>
      <c r="D7" s="12">
        <v>1660</v>
      </c>
      <c r="E7" s="12">
        <v>0.13</v>
      </c>
      <c r="F7" s="12">
        <v>215.8</v>
      </c>
      <c r="G7" s="31" t="s">
        <v>426</v>
      </c>
      <c r="I7" s="12">
        <v>3</v>
      </c>
      <c r="J7" s="31" t="s">
        <v>309</v>
      </c>
      <c r="K7" s="12" t="s">
        <v>8</v>
      </c>
      <c r="L7" s="12">
        <v>273</v>
      </c>
      <c r="M7">
        <v>4.5</v>
      </c>
      <c r="N7">
        <v>1228.5</v>
      </c>
      <c r="O7" t="s">
        <v>472</v>
      </c>
    </row>
    <row r="8" spans="1:15" x14ac:dyDescent="0.25">
      <c r="A8" s="12">
        <v>4</v>
      </c>
      <c r="B8" s="31" t="s">
        <v>248</v>
      </c>
      <c r="C8" s="12" t="s">
        <v>29</v>
      </c>
      <c r="D8" s="12">
        <v>1582</v>
      </c>
      <c r="E8" s="12">
        <v>22.5</v>
      </c>
      <c r="F8" s="12">
        <v>35595</v>
      </c>
      <c r="G8" s="31" t="s">
        <v>485</v>
      </c>
      <c r="I8" s="12">
        <v>4</v>
      </c>
      <c r="J8" s="31" t="s">
        <v>7</v>
      </c>
      <c r="K8" s="12" t="s">
        <v>8</v>
      </c>
      <c r="L8" s="12">
        <v>166</v>
      </c>
      <c r="M8">
        <v>6.5</v>
      </c>
      <c r="N8">
        <v>1079</v>
      </c>
      <c r="O8" t="s">
        <v>473</v>
      </c>
    </row>
    <row r="9" spans="1:15" x14ac:dyDescent="0.25">
      <c r="A9" s="12">
        <v>5</v>
      </c>
      <c r="B9" s="31" t="s">
        <v>282</v>
      </c>
      <c r="C9" s="12" t="s">
        <v>283</v>
      </c>
      <c r="D9" s="12">
        <v>1005.9000000000001</v>
      </c>
      <c r="E9" s="12">
        <v>5.5</v>
      </c>
      <c r="F9" s="12">
        <v>5532.4500000000007</v>
      </c>
      <c r="G9" s="31" t="s">
        <v>471</v>
      </c>
      <c r="I9" s="12">
        <v>5</v>
      </c>
      <c r="J9" s="31" t="s">
        <v>308</v>
      </c>
      <c r="K9" s="12" t="s">
        <v>8</v>
      </c>
      <c r="L9" s="12">
        <v>84</v>
      </c>
      <c r="M9">
        <v>15</v>
      </c>
      <c r="N9">
        <v>1260</v>
      </c>
      <c r="O9" t="s">
        <v>474</v>
      </c>
    </row>
    <row r="10" spans="1:15" x14ac:dyDescent="0.25">
      <c r="A10" s="12">
        <v>6</v>
      </c>
      <c r="B10" s="31" t="s">
        <v>309</v>
      </c>
      <c r="C10" s="12" t="s">
        <v>8</v>
      </c>
      <c r="D10" s="12">
        <v>273</v>
      </c>
      <c r="E10" s="12">
        <v>4.5</v>
      </c>
      <c r="F10" s="12">
        <v>1228.5</v>
      </c>
      <c r="G10" s="31" t="s">
        <v>472</v>
      </c>
      <c r="I10" s="12">
        <v>6</v>
      </c>
      <c r="J10" s="31" t="s">
        <v>322</v>
      </c>
      <c r="K10" s="12" t="s">
        <v>268</v>
      </c>
      <c r="L10" s="12">
        <v>23</v>
      </c>
      <c r="M10">
        <v>6.7999999999999989</v>
      </c>
      <c r="N10">
        <v>156.39999999999998</v>
      </c>
      <c r="O10" t="s">
        <v>449</v>
      </c>
    </row>
    <row r="11" spans="1:15" x14ac:dyDescent="0.25">
      <c r="A11" s="12">
        <v>7</v>
      </c>
      <c r="B11" s="31" t="s">
        <v>7</v>
      </c>
      <c r="C11" s="12" t="s">
        <v>8</v>
      </c>
      <c r="D11" s="12">
        <v>166</v>
      </c>
      <c r="E11" s="12">
        <v>6.5</v>
      </c>
      <c r="F11" s="12">
        <v>1079</v>
      </c>
      <c r="G11" s="31" t="s">
        <v>473</v>
      </c>
      <c r="I11" s="12">
        <v>7</v>
      </c>
      <c r="J11" s="31" t="s">
        <v>323</v>
      </c>
      <c r="K11" s="12" t="s">
        <v>268</v>
      </c>
      <c r="L11" s="12">
        <v>12</v>
      </c>
      <c r="M11">
        <v>10.199999999999999</v>
      </c>
      <c r="N11">
        <v>122.39999999999999</v>
      </c>
      <c r="O11" t="s">
        <v>450</v>
      </c>
    </row>
    <row r="12" spans="1:15" x14ac:dyDescent="0.25">
      <c r="A12" s="12">
        <v>8</v>
      </c>
      <c r="B12" s="31" t="s">
        <v>343</v>
      </c>
      <c r="C12" s="12" t="s">
        <v>9</v>
      </c>
      <c r="D12" s="12">
        <v>138.6</v>
      </c>
      <c r="E12" s="12">
        <v>24</v>
      </c>
      <c r="F12" s="12">
        <v>3326.3999999999996</v>
      </c>
      <c r="G12" s="31" t="s">
        <v>381</v>
      </c>
      <c r="I12" s="12">
        <v>8</v>
      </c>
      <c r="J12" s="31" t="s">
        <v>266</v>
      </c>
      <c r="K12" s="12" t="s">
        <v>256</v>
      </c>
      <c r="L12" s="12">
        <v>12</v>
      </c>
      <c r="M12">
        <v>339.99999999999994</v>
      </c>
      <c r="N12">
        <v>4079.9999999999991</v>
      </c>
      <c r="O12" t="s">
        <v>459</v>
      </c>
    </row>
    <row r="13" spans="1:15" x14ac:dyDescent="0.25">
      <c r="A13" s="12">
        <v>9</v>
      </c>
      <c r="B13" s="31" t="s">
        <v>258</v>
      </c>
      <c r="C13" s="12" t="s">
        <v>259</v>
      </c>
      <c r="D13" s="12">
        <v>108</v>
      </c>
      <c r="E13" s="12">
        <v>28</v>
      </c>
      <c r="F13" s="12">
        <v>3024</v>
      </c>
      <c r="G13" s="31" t="s">
        <v>438</v>
      </c>
      <c r="I13" s="12">
        <v>9</v>
      </c>
      <c r="J13" s="31" t="s">
        <v>275</v>
      </c>
      <c r="K13" s="12" t="s">
        <v>8</v>
      </c>
      <c r="L13" s="12">
        <v>7</v>
      </c>
      <c r="M13">
        <v>4.3</v>
      </c>
      <c r="N13">
        <v>30.099999999999998</v>
      </c>
      <c r="O13" t="s">
        <v>453</v>
      </c>
    </row>
    <row r="14" spans="1:15" x14ac:dyDescent="0.25">
      <c r="A14" s="12">
        <v>10</v>
      </c>
      <c r="B14" s="31" t="s">
        <v>308</v>
      </c>
      <c r="C14" s="12" t="s">
        <v>8</v>
      </c>
      <c r="D14" s="12">
        <v>84</v>
      </c>
      <c r="E14" s="12">
        <v>15</v>
      </c>
      <c r="F14" s="12">
        <v>1260</v>
      </c>
      <c r="G14" s="31" t="s">
        <v>474</v>
      </c>
      <c r="I14" s="12">
        <v>10</v>
      </c>
      <c r="J14" s="31" t="s">
        <v>255</v>
      </c>
      <c r="K14" s="12" t="s">
        <v>256</v>
      </c>
      <c r="L14" s="12">
        <v>7</v>
      </c>
      <c r="M14">
        <v>329.99999999999994</v>
      </c>
      <c r="N14">
        <v>2309.9999999999995</v>
      </c>
      <c r="O14" t="s">
        <v>458</v>
      </c>
    </row>
    <row r="15" spans="1:15" x14ac:dyDescent="0.25">
      <c r="A15" s="12">
        <v>11</v>
      </c>
      <c r="B15" s="31" t="s">
        <v>260</v>
      </c>
      <c r="C15" s="12" t="s">
        <v>259</v>
      </c>
      <c r="D15" s="12">
        <v>69.599999999999994</v>
      </c>
      <c r="E15" s="12">
        <v>15.000000000000002</v>
      </c>
      <c r="F15" s="12">
        <v>1044</v>
      </c>
      <c r="G15" s="31" t="s">
        <v>442</v>
      </c>
      <c r="I15" s="12">
        <v>11</v>
      </c>
      <c r="J15" s="31" t="s">
        <v>289</v>
      </c>
      <c r="K15" s="12" t="s">
        <v>8</v>
      </c>
      <c r="L15" s="12">
        <v>7</v>
      </c>
      <c r="M15">
        <v>0.3</v>
      </c>
      <c r="N15">
        <v>2.1</v>
      </c>
      <c r="O15" t="s">
        <v>460</v>
      </c>
    </row>
    <row r="16" spans="1:15" x14ac:dyDescent="0.25">
      <c r="A16" s="12">
        <v>12</v>
      </c>
      <c r="B16" s="31" t="s">
        <v>267</v>
      </c>
      <c r="C16" s="12" t="s">
        <v>268</v>
      </c>
      <c r="D16" s="12">
        <v>64.5</v>
      </c>
      <c r="E16" s="12">
        <v>15</v>
      </c>
      <c r="F16" s="12">
        <v>967.5</v>
      </c>
      <c r="G16" s="31" t="s">
        <v>435</v>
      </c>
      <c r="I16" s="12">
        <v>12</v>
      </c>
      <c r="J16" s="31" t="s">
        <v>290</v>
      </c>
      <c r="K16" s="12" t="s">
        <v>8</v>
      </c>
      <c r="L16" s="12">
        <v>7</v>
      </c>
      <c r="M16">
        <v>0.3</v>
      </c>
      <c r="N16">
        <v>2.1</v>
      </c>
      <c r="O16" t="s">
        <v>461</v>
      </c>
    </row>
    <row r="17" spans="1:15" x14ac:dyDescent="0.25">
      <c r="A17" s="12">
        <v>13</v>
      </c>
      <c r="B17" s="31" t="s">
        <v>31</v>
      </c>
      <c r="C17" s="12" t="s">
        <v>10</v>
      </c>
      <c r="D17" s="12">
        <v>60</v>
      </c>
      <c r="E17" s="12">
        <v>45</v>
      </c>
      <c r="F17" s="12">
        <v>2700</v>
      </c>
      <c r="G17" s="31" t="s">
        <v>486</v>
      </c>
      <c r="I17" s="12">
        <v>13</v>
      </c>
      <c r="J17" s="31" t="s">
        <v>291</v>
      </c>
      <c r="K17" s="12" t="s">
        <v>8</v>
      </c>
      <c r="L17" s="12">
        <v>7</v>
      </c>
      <c r="M17">
        <v>0.3</v>
      </c>
      <c r="N17">
        <v>2.1</v>
      </c>
      <c r="O17" t="s">
        <v>462</v>
      </c>
    </row>
    <row r="18" spans="1:15" x14ac:dyDescent="0.25">
      <c r="A18" s="12">
        <v>14</v>
      </c>
      <c r="B18" s="31" t="s">
        <v>261</v>
      </c>
      <c r="C18" s="12" t="s">
        <v>262</v>
      </c>
      <c r="D18" s="12">
        <v>53.400000000000006</v>
      </c>
      <c r="E18" s="12">
        <v>44.999999999999993</v>
      </c>
      <c r="F18" s="12">
        <v>2403</v>
      </c>
      <c r="G18" s="31" t="s">
        <v>445</v>
      </c>
      <c r="I18" s="12">
        <v>14</v>
      </c>
      <c r="J18" s="31" t="s">
        <v>327</v>
      </c>
      <c r="K18" s="12" t="s">
        <v>30</v>
      </c>
      <c r="L18" s="12">
        <v>5</v>
      </c>
      <c r="M18">
        <v>5.9</v>
      </c>
      <c r="N18">
        <v>29.5</v>
      </c>
      <c r="O18" t="s">
        <v>464</v>
      </c>
    </row>
    <row r="19" spans="1:15" x14ac:dyDescent="0.25">
      <c r="A19" s="12">
        <v>15</v>
      </c>
      <c r="B19" s="31" t="s">
        <v>295</v>
      </c>
      <c r="C19" s="12" t="s">
        <v>268</v>
      </c>
      <c r="D19" s="12">
        <v>31.5</v>
      </c>
      <c r="E19" s="12">
        <v>3.5</v>
      </c>
      <c r="F19" s="12">
        <v>110.25</v>
      </c>
      <c r="G19" s="31" t="s">
        <v>423</v>
      </c>
      <c r="I19" s="12">
        <v>15</v>
      </c>
      <c r="J19" s="31" t="s">
        <v>274</v>
      </c>
      <c r="K19" s="12" t="s">
        <v>8</v>
      </c>
      <c r="L19" s="12">
        <v>4</v>
      </c>
      <c r="M19">
        <v>49</v>
      </c>
      <c r="N19">
        <v>196</v>
      </c>
      <c r="O19" t="s">
        <v>477</v>
      </c>
    </row>
    <row r="20" spans="1:15" x14ac:dyDescent="0.25">
      <c r="A20" s="12">
        <v>16</v>
      </c>
      <c r="B20" s="31" t="s">
        <v>36</v>
      </c>
      <c r="C20" s="12" t="s">
        <v>9</v>
      </c>
      <c r="D20" s="12">
        <v>29</v>
      </c>
      <c r="E20" s="12">
        <v>25</v>
      </c>
      <c r="F20" s="12">
        <v>725</v>
      </c>
      <c r="G20" s="31" t="s">
        <v>475</v>
      </c>
      <c r="I20" s="12">
        <v>16</v>
      </c>
      <c r="J20" s="31" t="s">
        <v>347</v>
      </c>
      <c r="K20" s="12" t="s">
        <v>10</v>
      </c>
      <c r="L20" s="12">
        <v>3</v>
      </c>
      <c r="M20">
        <v>180</v>
      </c>
      <c r="N20">
        <v>540</v>
      </c>
      <c r="O20" t="s">
        <v>384</v>
      </c>
    </row>
    <row r="21" spans="1:15" x14ac:dyDescent="0.25">
      <c r="A21" s="12">
        <v>17</v>
      </c>
      <c r="B21" s="31" t="s">
        <v>281</v>
      </c>
      <c r="C21" s="12" t="s">
        <v>8</v>
      </c>
      <c r="D21" s="12">
        <v>27.3</v>
      </c>
      <c r="E21" s="12">
        <v>22</v>
      </c>
      <c r="F21" s="12">
        <v>600.6</v>
      </c>
      <c r="G21" s="31" t="s">
        <v>422</v>
      </c>
      <c r="I21" s="12">
        <v>17</v>
      </c>
      <c r="J21" s="31" t="s">
        <v>315</v>
      </c>
      <c r="K21" s="12" t="s">
        <v>250</v>
      </c>
      <c r="L21" s="12">
        <v>3</v>
      </c>
      <c r="M21">
        <v>92</v>
      </c>
      <c r="N21">
        <v>276</v>
      </c>
      <c r="O21" t="s">
        <v>430</v>
      </c>
    </row>
    <row r="22" spans="1:15" x14ac:dyDescent="0.25">
      <c r="A22" s="12">
        <v>18</v>
      </c>
      <c r="B22" s="31" t="s">
        <v>303</v>
      </c>
      <c r="C22" s="12" t="s">
        <v>8</v>
      </c>
      <c r="D22" s="12">
        <v>25.200000000000003</v>
      </c>
      <c r="E22" s="12">
        <v>7.5</v>
      </c>
      <c r="F22" s="12">
        <v>189.00000000000003</v>
      </c>
      <c r="G22" s="31" t="s">
        <v>386</v>
      </c>
      <c r="I22" s="12">
        <v>18</v>
      </c>
      <c r="J22" s="31" t="s">
        <v>316</v>
      </c>
      <c r="K22" s="12" t="s">
        <v>250</v>
      </c>
      <c r="L22" s="12">
        <v>3</v>
      </c>
      <c r="M22">
        <v>92</v>
      </c>
      <c r="N22">
        <v>276</v>
      </c>
      <c r="O22" t="s">
        <v>431</v>
      </c>
    </row>
    <row r="23" spans="1:15" x14ac:dyDescent="0.25">
      <c r="A23" s="12">
        <v>19</v>
      </c>
      <c r="B23" s="31" t="s">
        <v>322</v>
      </c>
      <c r="C23" s="12" t="s">
        <v>268</v>
      </c>
      <c r="D23" s="12">
        <v>23</v>
      </c>
      <c r="E23" s="12">
        <v>6.7999999999999989</v>
      </c>
      <c r="F23" s="12">
        <v>156.39999999999998</v>
      </c>
      <c r="G23" s="31" t="s">
        <v>449</v>
      </c>
      <c r="I23" s="12">
        <v>19</v>
      </c>
      <c r="J23" s="31" t="s">
        <v>277</v>
      </c>
      <c r="K23" s="12" t="s">
        <v>8</v>
      </c>
      <c r="L23" s="12">
        <v>3</v>
      </c>
      <c r="M23">
        <v>9.5</v>
      </c>
      <c r="N23">
        <v>28.5</v>
      </c>
      <c r="O23" t="s">
        <v>452</v>
      </c>
    </row>
    <row r="24" spans="1:15" x14ac:dyDescent="0.25">
      <c r="A24" s="12">
        <v>20</v>
      </c>
      <c r="B24" s="31" t="s">
        <v>368</v>
      </c>
      <c r="C24" s="12" t="s">
        <v>8</v>
      </c>
      <c r="D24" s="12">
        <v>20</v>
      </c>
      <c r="E24" s="12">
        <v>17</v>
      </c>
      <c r="F24" s="12">
        <v>340</v>
      </c>
      <c r="G24" s="31" t="s">
        <v>441</v>
      </c>
      <c r="I24" s="12">
        <v>20</v>
      </c>
      <c r="J24" s="31" t="s">
        <v>276</v>
      </c>
      <c r="K24" s="12" t="s">
        <v>8</v>
      </c>
      <c r="L24" s="12">
        <v>3</v>
      </c>
      <c r="M24">
        <v>91</v>
      </c>
      <c r="N24">
        <v>273</v>
      </c>
      <c r="O24" t="s">
        <v>478</v>
      </c>
    </row>
    <row r="25" spans="1:15" x14ac:dyDescent="0.25">
      <c r="A25" s="12">
        <v>21</v>
      </c>
      <c r="B25" s="31" t="s">
        <v>271</v>
      </c>
      <c r="C25" s="12" t="s">
        <v>259</v>
      </c>
      <c r="D25" s="12">
        <v>19.950000000000003</v>
      </c>
      <c r="E25" s="12">
        <v>22</v>
      </c>
      <c r="F25" s="12">
        <v>438.90000000000009</v>
      </c>
      <c r="G25" s="31" t="s">
        <v>437</v>
      </c>
      <c r="I25" s="12">
        <v>21</v>
      </c>
      <c r="J25" s="31" t="s">
        <v>314</v>
      </c>
      <c r="K25" s="12" t="s">
        <v>250</v>
      </c>
      <c r="L25" s="12">
        <v>2</v>
      </c>
      <c r="M25">
        <v>92</v>
      </c>
      <c r="N25">
        <v>184</v>
      </c>
      <c r="O25" t="s">
        <v>429</v>
      </c>
    </row>
    <row r="26" spans="1:15" x14ac:dyDescent="0.25">
      <c r="A26" s="12">
        <v>22</v>
      </c>
      <c r="B26" s="31" t="s">
        <v>254</v>
      </c>
      <c r="C26" s="12" t="s">
        <v>8</v>
      </c>
      <c r="D26" s="12">
        <v>19.796000000000003</v>
      </c>
      <c r="E26" s="12">
        <v>214.99999999999997</v>
      </c>
      <c r="F26" s="12">
        <v>4256.1400000000003</v>
      </c>
      <c r="G26" s="31" t="s">
        <v>398</v>
      </c>
      <c r="I26" s="12">
        <v>22</v>
      </c>
      <c r="J26" s="31" t="s">
        <v>327</v>
      </c>
      <c r="K26" s="12" t="s">
        <v>8</v>
      </c>
      <c r="L26" s="12">
        <v>2</v>
      </c>
      <c r="M26">
        <v>6.8</v>
      </c>
      <c r="N26">
        <v>13.6</v>
      </c>
      <c r="O26" t="s">
        <v>465</v>
      </c>
    </row>
    <row r="27" spans="1:15" x14ac:dyDescent="0.25">
      <c r="A27" s="12">
        <v>23</v>
      </c>
      <c r="B27" s="31" t="s">
        <v>284</v>
      </c>
      <c r="C27" s="12" t="s">
        <v>8</v>
      </c>
      <c r="D27" s="12">
        <v>18.5</v>
      </c>
      <c r="E27" s="12">
        <v>28</v>
      </c>
      <c r="F27" s="12">
        <v>518</v>
      </c>
      <c r="G27" s="31" t="s">
        <v>419</v>
      </c>
      <c r="I27" s="12">
        <v>23</v>
      </c>
      <c r="J27" s="31" t="s">
        <v>348</v>
      </c>
      <c r="K27" s="12" t="s">
        <v>10</v>
      </c>
      <c r="L27" s="12">
        <v>1</v>
      </c>
      <c r="M27">
        <v>170</v>
      </c>
      <c r="N27">
        <v>170</v>
      </c>
      <c r="O27" t="s">
        <v>391</v>
      </c>
    </row>
    <row r="28" spans="1:15" x14ac:dyDescent="0.25">
      <c r="A28" s="12">
        <v>24</v>
      </c>
      <c r="B28" s="31" t="s">
        <v>367</v>
      </c>
      <c r="C28" s="12" t="s">
        <v>8</v>
      </c>
      <c r="D28" s="12">
        <v>16</v>
      </c>
      <c r="E28" s="12">
        <v>107</v>
      </c>
      <c r="F28" s="12">
        <v>1712</v>
      </c>
      <c r="G28" s="31" t="s">
        <v>439</v>
      </c>
      <c r="I28" s="12">
        <v>24</v>
      </c>
      <c r="J28" s="31" t="s">
        <v>317</v>
      </c>
      <c r="K28" s="12" t="s">
        <v>250</v>
      </c>
      <c r="L28" s="12">
        <v>1</v>
      </c>
      <c r="M28">
        <v>146</v>
      </c>
      <c r="N28">
        <v>146</v>
      </c>
      <c r="O28" t="s">
        <v>432</v>
      </c>
    </row>
    <row r="29" spans="1:15" x14ac:dyDescent="0.25">
      <c r="A29" s="12">
        <v>25</v>
      </c>
      <c r="B29" s="31" t="s">
        <v>320</v>
      </c>
      <c r="C29" s="12" t="s">
        <v>321</v>
      </c>
      <c r="D29" s="12">
        <v>15</v>
      </c>
      <c r="E29" s="12">
        <v>10.5</v>
      </c>
      <c r="F29" s="12">
        <v>157.5</v>
      </c>
      <c r="G29" s="31" t="s">
        <v>413</v>
      </c>
      <c r="I29" s="12">
        <v>25</v>
      </c>
      <c r="J29" s="31" t="s">
        <v>318</v>
      </c>
      <c r="K29" s="12" t="s">
        <v>250</v>
      </c>
      <c r="L29" s="12">
        <v>1</v>
      </c>
      <c r="M29">
        <v>146</v>
      </c>
      <c r="N29">
        <v>146</v>
      </c>
      <c r="O29" t="s">
        <v>433</v>
      </c>
    </row>
    <row r="30" spans="1:15" x14ac:dyDescent="0.25">
      <c r="A30" s="12">
        <v>26</v>
      </c>
      <c r="B30" s="31" t="s">
        <v>325</v>
      </c>
      <c r="C30" s="12" t="s">
        <v>30</v>
      </c>
      <c r="D30" s="12">
        <v>15</v>
      </c>
      <c r="E30" s="12">
        <v>0.35</v>
      </c>
      <c r="F30" s="12">
        <v>5.25</v>
      </c>
      <c r="G30" s="31" t="s">
        <v>448</v>
      </c>
      <c r="I30" s="12">
        <v>26</v>
      </c>
      <c r="J30" s="31" t="s">
        <v>319</v>
      </c>
      <c r="K30" s="12" t="s">
        <v>250</v>
      </c>
      <c r="L30" s="12">
        <v>1</v>
      </c>
      <c r="M30">
        <v>146</v>
      </c>
      <c r="N30">
        <v>146</v>
      </c>
      <c r="O30" t="s">
        <v>434</v>
      </c>
    </row>
    <row r="31" spans="1:15" x14ac:dyDescent="0.25">
      <c r="A31" s="12">
        <v>27</v>
      </c>
      <c r="B31" s="31" t="s">
        <v>297</v>
      </c>
      <c r="C31" s="12" t="s">
        <v>268</v>
      </c>
      <c r="D31" s="12">
        <v>12.600000000000001</v>
      </c>
      <c r="E31" s="12">
        <v>8.5</v>
      </c>
      <c r="F31" s="12">
        <v>107.10000000000001</v>
      </c>
      <c r="G31" s="31" t="s">
        <v>393</v>
      </c>
      <c r="I31" s="12">
        <v>27</v>
      </c>
      <c r="J31" s="31" t="s">
        <v>42</v>
      </c>
      <c r="K31" s="12" t="s">
        <v>8</v>
      </c>
      <c r="L31" s="12">
        <v>1</v>
      </c>
      <c r="M31">
        <v>15</v>
      </c>
      <c r="N31">
        <v>15</v>
      </c>
      <c r="O31" t="s">
        <v>482</v>
      </c>
    </row>
    <row r="32" spans="1:15" x14ac:dyDescent="0.25">
      <c r="A32" s="12">
        <v>28</v>
      </c>
      <c r="B32" s="31" t="s">
        <v>286</v>
      </c>
      <c r="C32" s="12" t="s">
        <v>8</v>
      </c>
      <c r="D32" s="12">
        <v>12.600000000000001</v>
      </c>
      <c r="E32" s="12">
        <v>3</v>
      </c>
      <c r="F32" s="12">
        <v>37.800000000000004</v>
      </c>
      <c r="G32" s="31" t="s">
        <v>410</v>
      </c>
      <c r="I32" s="12">
        <v>28</v>
      </c>
      <c r="J32" s="31" t="s">
        <v>42</v>
      </c>
      <c r="K32" s="12" t="s">
        <v>41</v>
      </c>
      <c r="L32" s="12">
        <v>1</v>
      </c>
      <c r="M32">
        <v>15</v>
      </c>
      <c r="N32">
        <v>15</v>
      </c>
      <c r="O32" t="s">
        <v>483</v>
      </c>
    </row>
    <row r="33" spans="1:7" x14ac:dyDescent="0.25">
      <c r="A33" s="12">
        <v>29</v>
      </c>
      <c r="B33" s="31" t="s">
        <v>296</v>
      </c>
      <c r="C33" s="12" t="s">
        <v>8</v>
      </c>
      <c r="D33" s="12">
        <v>12.600000000000001</v>
      </c>
      <c r="E33" s="12">
        <v>20</v>
      </c>
      <c r="F33" s="12">
        <v>252.00000000000003</v>
      </c>
      <c r="G33" s="31" t="s">
        <v>424</v>
      </c>
    </row>
    <row r="34" spans="1:7" x14ac:dyDescent="0.25">
      <c r="A34" s="12">
        <v>30</v>
      </c>
      <c r="B34" s="31" t="s">
        <v>323</v>
      </c>
      <c r="C34" s="12" t="s">
        <v>268</v>
      </c>
      <c r="D34" s="12">
        <v>12</v>
      </c>
      <c r="E34" s="12">
        <v>10.199999999999999</v>
      </c>
      <c r="F34" s="12">
        <v>122.39999999999999</v>
      </c>
      <c r="G34" s="31" t="s">
        <v>450</v>
      </c>
    </row>
    <row r="35" spans="1:7" x14ac:dyDescent="0.25">
      <c r="A35" s="12">
        <v>31</v>
      </c>
      <c r="B35" s="31" t="s">
        <v>310</v>
      </c>
      <c r="C35" s="12" t="s">
        <v>311</v>
      </c>
      <c r="D35" s="12">
        <v>12</v>
      </c>
      <c r="E35" s="12">
        <v>1</v>
      </c>
      <c r="F35" s="12">
        <v>12</v>
      </c>
      <c r="G35" s="31" t="s">
        <v>456</v>
      </c>
    </row>
    <row r="36" spans="1:7" x14ac:dyDescent="0.25">
      <c r="A36" s="12">
        <v>32</v>
      </c>
      <c r="B36" s="31" t="s">
        <v>37</v>
      </c>
      <c r="C36" s="12" t="s">
        <v>9</v>
      </c>
      <c r="D36" s="12">
        <v>12</v>
      </c>
      <c r="E36" s="12">
        <v>18</v>
      </c>
      <c r="F36" s="12">
        <v>216</v>
      </c>
      <c r="G36" s="31" t="s">
        <v>480</v>
      </c>
    </row>
    <row r="37" spans="1:7" x14ac:dyDescent="0.25">
      <c r="A37" s="12">
        <v>33</v>
      </c>
      <c r="B37" s="31" t="s">
        <v>266</v>
      </c>
      <c r="C37" s="12" t="s">
        <v>256</v>
      </c>
      <c r="D37" s="12">
        <v>11.91</v>
      </c>
      <c r="E37" s="12">
        <v>339.99999999999994</v>
      </c>
      <c r="F37" s="12">
        <v>4049.3999999999992</v>
      </c>
      <c r="G37" s="31" t="s">
        <v>459</v>
      </c>
    </row>
    <row r="38" spans="1:7" x14ac:dyDescent="0.25">
      <c r="A38" s="12">
        <v>34</v>
      </c>
      <c r="B38" s="31" t="s">
        <v>40</v>
      </c>
      <c r="C38" s="12" t="s">
        <v>8</v>
      </c>
      <c r="D38" s="12">
        <v>10</v>
      </c>
      <c r="E38" s="12">
        <v>9.9</v>
      </c>
      <c r="F38" s="12">
        <v>99</v>
      </c>
      <c r="G38" s="31" t="s">
        <v>427</v>
      </c>
    </row>
    <row r="39" spans="1:7" x14ac:dyDescent="0.25">
      <c r="A39" s="12">
        <v>35</v>
      </c>
      <c r="B39" s="31" t="s">
        <v>326</v>
      </c>
      <c r="C39" s="12" t="s">
        <v>30</v>
      </c>
      <c r="D39" s="12">
        <v>10</v>
      </c>
      <c r="E39" s="12">
        <v>8.5</v>
      </c>
      <c r="F39" s="12">
        <v>85</v>
      </c>
      <c r="G39" s="31" t="s">
        <v>463</v>
      </c>
    </row>
    <row r="40" spans="1:7" x14ac:dyDescent="0.25">
      <c r="A40" s="12">
        <v>36</v>
      </c>
      <c r="B40" s="31" t="s">
        <v>302</v>
      </c>
      <c r="C40" s="12" t="s">
        <v>268</v>
      </c>
      <c r="D40" s="12">
        <v>8.4</v>
      </c>
      <c r="E40" s="12">
        <v>45</v>
      </c>
      <c r="F40" s="12">
        <v>378</v>
      </c>
      <c r="G40" s="31" t="s">
        <v>383</v>
      </c>
    </row>
    <row r="41" spans="1:7" x14ac:dyDescent="0.25">
      <c r="A41" s="12">
        <v>37</v>
      </c>
      <c r="B41" s="31" t="s">
        <v>307</v>
      </c>
      <c r="C41" s="12" t="s">
        <v>8</v>
      </c>
      <c r="D41" s="12">
        <v>8.4</v>
      </c>
      <c r="E41" s="12">
        <v>5.6</v>
      </c>
      <c r="F41" s="12">
        <v>47.04</v>
      </c>
      <c r="G41" s="31" t="s">
        <v>409</v>
      </c>
    </row>
    <row r="42" spans="1:7" x14ac:dyDescent="0.25">
      <c r="A42" s="12">
        <v>38</v>
      </c>
      <c r="B42" s="31" t="s">
        <v>255</v>
      </c>
      <c r="C42" s="12" t="s">
        <v>256</v>
      </c>
      <c r="D42" s="12">
        <v>6.7700000000000005</v>
      </c>
      <c r="E42" s="12">
        <v>329.99999999999994</v>
      </c>
      <c r="F42" s="12">
        <v>2234.1</v>
      </c>
      <c r="G42" s="31" t="s">
        <v>458</v>
      </c>
    </row>
    <row r="43" spans="1:7" x14ac:dyDescent="0.25">
      <c r="A43" s="12">
        <v>39</v>
      </c>
      <c r="B43" s="31" t="s">
        <v>289</v>
      </c>
      <c r="C43" s="12" t="s">
        <v>8</v>
      </c>
      <c r="D43" s="12">
        <v>6.6000000000000005</v>
      </c>
      <c r="E43" s="12">
        <v>0.3</v>
      </c>
      <c r="F43" s="12">
        <v>1.98</v>
      </c>
      <c r="G43" s="31" t="s">
        <v>460</v>
      </c>
    </row>
    <row r="44" spans="1:7" x14ac:dyDescent="0.25">
      <c r="A44" s="12">
        <v>40</v>
      </c>
      <c r="B44" s="31" t="s">
        <v>290</v>
      </c>
      <c r="C44" s="12" t="s">
        <v>8</v>
      </c>
      <c r="D44" s="12">
        <v>6.6000000000000005</v>
      </c>
      <c r="E44" s="12">
        <v>0.3</v>
      </c>
      <c r="F44" s="12">
        <v>1.98</v>
      </c>
      <c r="G44" s="31" t="s">
        <v>461</v>
      </c>
    </row>
    <row r="45" spans="1:7" x14ac:dyDescent="0.25">
      <c r="A45" s="12">
        <v>41</v>
      </c>
      <c r="B45" s="31" t="s">
        <v>291</v>
      </c>
      <c r="C45" s="12" t="s">
        <v>8</v>
      </c>
      <c r="D45" s="12">
        <v>6.6000000000000005</v>
      </c>
      <c r="E45" s="12">
        <v>0.3</v>
      </c>
      <c r="F45" s="12">
        <v>1.98</v>
      </c>
      <c r="G45" s="31" t="s">
        <v>462</v>
      </c>
    </row>
    <row r="46" spans="1:7" x14ac:dyDescent="0.25">
      <c r="A46" s="12">
        <v>42</v>
      </c>
      <c r="B46" s="31" t="s">
        <v>275</v>
      </c>
      <c r="C46" s="12" t="s">
        <v>8</v>
      </c>
      <c r="D46" s="12">
        <v>6.3000000000000007</v>
      </c>
      <c r="E46" s="12">
        <v>4.3</v>
      </c>
      <c r="F46" s="12">
        <v>27.090000000000003</v>
      </c>
      <c r="G46" s="31" t="s">
        <v>453</v>
      </c>
    </row>
    <row r="47" spans="1:7" x14ac:dyDescent="0.25">
      <c r="A47" s="12">
        <v>43</v>
      </c>
      <c r="B47" s="31" t="s">
        <v>366</v>
      </c>
      <c r="C47" s="12" t="s">
        <v>8</v>
      </c>
      <c r="D47" s="12">
        <v>6</v>
      </c>
      <c r="E47" s="12">
        <v>163</v>
      </c>
      <c r="F47" s="12">
        <v>978</v>
      </c>
      <c r="G47" s="31" t="s">
        <v>440</v>
      </c>
    </row>
    <row r="48" spans="1:7" x14ac:dyDescent="0.25">
      <c r="A48" s="12">
        <v>44</v>
      </c>
      <c r="B48" s="31" t="s">
        <v>328</v>
      </c>
      <c r="C48" s="12" t="s">
        <v>10</v>
      </c>
      <c r="D48" s="12">
        <v>6</v>
      </c>
      <c r="E48" s="12">
        <v>13</v>
      </c>
      <c r="F48" s="12">
        <v>78</v>
      </c>
      <c r="G48" s="31" t="s">
        <v>443</v>
      </c>
    </row>
    <row r="49" spans="1:7" x14ac:dyDescent="0.25">
      <c r="A49" s="12">
        <v>45</v>
      </c>
      <c r="B49" s="31" t="s">
        <v>294</v>
      </c>
      <c r="C49" s="12" t="s">
        <v>262</v>
      </c>
      <c r="D49" s="12">
        <v>5.25</v>
      </c>
      <c r="E49" s="12">
        <v>13</v>
      </c>
      <c r="F49" s="12">
        <v>68.25</v>
      </c>
      <c r="G49" s="31" t="s">
        <v>379</v>
      </c>
    </row>
    <row r="50" spans="1:7" x14ac:dyDescent="0.25">
      <c r="A50" s="12">
        <v>46</v>
      </c>
      <c r="B50" s="31" t="s">
        <v>340</v>
      </c>
      <c r="C50" s="12" t="s">
        <v>8</v>
      </c>
      <c r="D50" s="12">
        <v>5.25</v>
      </c>
      <c r="E50" s="12">
        <v>3</v>
      </c>
      <c r="F50" s="12">
        <v>15.75</v>
      </c>
      <c r="G50" s="31" t="s">
        <v>455</v>
      </c>
    </row>
    <row r="51" spans="1:7" x14ac:dyDescent="0.25">
      <c r="A51" s="12">
        <v>47</v>
      </c>
      <c r="B51" s="31" t="s">
        <v>327</v>
      </c>
      <c r="C51" s="12" t="s">
        <v>30</v>
      </c>
      <c r="D51" s="12">
        <v>5</v>
      </c>
      <c r="E51" s="12">
        <v>5.9</v>
      </c>
      <c r="F51" s="12">
        <v>29.5</v>
      </c>
      <c r="G51" s="31" t="s">
        <v>464</v>
      </c>
    </row>
    <row r="52" spans="1:7" x14ac:dyDescent="0.25">
      <c r="A52" s="12">
        <v>48</v>
      </c>
      <c r="B52" s="31" t="s">
        <v>264</v>
      </c>
      <c r="C52" s="12" t="s">
        <v>265</v>
      </c>
      <c r="D52" s="12">
        <v>5</v>
      </c>
      <c r="E52" s="12">
        <v>130</v>
      </c>
      <c r="F52" s="12">
        <v>650</v>
      </c>
      <c r="G52" s="31" t="s">
        <v>466</v>
      </c>
    </row>
    <row r="53" spans="1:7" x14ac:dyDescent="0.25">
      <c r="A53" s="12">
        <v>49</v>
      </c>
      <c r="B53" s="31" t="s">
        <v>305</v>
      </c>
      <c r="C53" s="12" t="s">
        <v>268</v>
      </c>
      <c r="D53" s="12">
        <v>4.2</v>
      </c>
      <c r="E53" s="12">
        <v>59</v>
      </c>
      <c r="F53" s="12">
        <v>247.8</v>
      </c>
      <c r="G53" s="31" t="s">
        <v>407</v>
      </c>
    </row>
    <row r="54" spans="1:7" x14ac:dyDescent="0.25">
      <c r="A54" s="12">
        <v>50</v>
      </c>
      <c r="B54" s="31" t="s">
        <v>306</v>
      </c>
      <c r="C54" s="12" t="s">
        <v>8</v>
      </c>
      <c r="D54" s="12">
        <v>4.2</v>
      </c>
      <c r="E54" s="12">
        <v>6.2</v>
      </c>
      <c r="F54" s="12">
        <v>26.040000000000003</v>
      </c>
      <c r="G54" s="31" t="s">
        <v>408</v>
      </c>
    </row>
    <row r="55" spans="1:7" x14ac:dyDescent="0.25">
      <c r="A55" s="12">
        <v>51</v>
      </c>
      <c r="B55" s="31" t="s">
        <v>336</v>
      </c>
      <c r="C55" s="12" t="s">
        <v>8</v>
      </c>
      <c r="D55" s="12">
        <v>4.2</v>
      </c>
      <c r="E55" s="12">
        <v>5.5</v>
      </c>
      <c r="F55" s="12">
        <v>23.1</v>
      </c>
      <c r="G55" s="31" t="s">
        <v>447</v>
      </c>
    </row>
    <row r="56" spans="1:7" x14ac:dyDescent="0.25">
      <c r="A56" s="12">
        <v>52</v>
      </c>
      <c r="B56" s="31" t="s">
        <v>304</v>
      </c>
      <c r="C56" s="12" t="s">
        <v>8</v>
      </c>
      <c r="D56" s="12">
        <v>4</v>
      </c>
      <c r="E56" s="12">
        <v>10</v>
      </c>
      <c r="F56" s="12">
        <v>40</v>
      </c>
      <c r="G56" s="31" t="s">
        <v>389</v>
      </c>
    </row>
    <row r="57" spans="1:7" x14ac:dyDescent="0.25">
      <c r="A57" s="12">
        <v>53</v>
      </c>
      <c r="B57" s="31" t="s">
        <v>376</v>
      </c>
      <c r="C57" s="12" t="s">
        <v>9</v>
      </c>
      <c r="D57" s="12">
        <v>4</v>
      </c>
      <c r="E57" s="12">
        <v>24</v>
      </c>
      <c r="F57" s="12">
        <v>96</v>
      </c>
      <c r="G57" s="31" t="s">
        <v>378</v>
      </c>
    </row>
    <row r="58" spans="1:7" x14ac:dyDescent="0.25">
      <c r="A58" s="12">
        <v>54</v>
      </c>
      <c r="B58" s="31" t="s">
        <v>330</v>
      </c>
      <c r="C58" s="12" t="s">
        <v>8</v>
      </c>
      <c r="D58" s="12">
        <v>4</v>
      </c>
      <c r="E58" s="12">
        <v>4.5999999999999996</v>
      </c>
      <c r="F58" s="12">
        <v>18.399999999999999</v>
      </c>
      <c r="G58" s="31" t="s">
        <v>414</v>
      </c>
    </row>
    <row r="59" spans="1:7" x14ac:dyDescent="0.25">
      <c r="A59" s="12">
        <v>55</v>
      </c>
      <c r="B59" s="31" t="s">
        <v>369</v>
      </c>
      <c r="C59" s="12" t="s">
        <v>8</v>
      </c>
      <c r="D59" s="12">
        <v>4</v>
      </c>
      <c r="E59" s="12">
        <v>25</v>
      </c>
      <c r="F59" s="12">
        <v>100</v>
      </c>
      <c r="G59" s="31" t="s">
        <v>420</v>
      </c>
    </row>
    <row r="60" spans="1:7" x14ac:dyDescent="0.25">
      <c r="A60" s="12">
        <v>56</v>
      </c>
      <c r="B60" s="31" t="s">
        <v>39</v>
      </c>
      <c r="C60" s="12" t="s">
        <v>9</v>
      </c>
      <c r="D60" s="12">
        <v>3.1500000000000004</v>
      </c>
      <c r="E60" s="12">
        <v>16.5</v>
      </c>
      <c r="F60" s="12">
        <v>51.975000000000009</v>
      </c>
      <c r="G60" s="31" t="s">
        <v>392</v>
      </c>
    </row>
    <row r="61" spans="1:7" x14ac:dyDescent="0.25">
      <c r="A61" s="12">
        <v>57</v>
      </c>
      <c r="B61" s="31" t="s">
        <v>285</v>
      </c>
      <c r="C61" s="12" t="s">
        <v>250</v>
      </c>
      <c r="D61" s="12">
        <v>3.1500000000000004</v>
      </c>
      <c r="E61" s="12">
        <v>15</v>
      </c>
      <c r="F61" s="12">
        <v>47.250000000000007</v>
      </c>
      <c r="G61" s="31" t="s">
        <v>399</v>
      </c>
    </row>
    <row r="62" spans="1:7" x14ac:dyDescent="0.25">
      <c r="A62" s="12">
        <v>58</v>
      </c>
      <c r="B62" s="31" t="s">
        <v>292</v>
      </c>
      <c r="C62" s="12" t="s">
        <v>8</v>
      </c>
      <c r="D62" s="12">
        <v>3.1500000000000004</v>
      </c>
      <c r="E62" s="12">
        <v>0.85</v>
      </c>
      <c r="F62" s="12">
        <v>2.6775000000000002</v>
      </c>
      <c r="G62" s="31" t="s">
        <v>406</v>
      </c>
    </row>
    <row r="63" spans="1:7" x14ac:dyDescent="0.25">
      <c r="A63" s="12">
        <v>59</v>
      </c>
      <c r="B63" s="31" t="s">
        <v>274</v>
      </c>
      <c r="C63" s="12" t="s">
        <v>8</v>
      </c>
      <c r="D63" s="12">
        <v>3.1500000000000004</v>
      </c>
      <c r="E63" s="12">
        <v>49</v>
      </c>
      <c r="F63" s="12">
        <v>154.35000000000002</v>
      </c>
      <c r="G63" s="31" t="s">
        <v>477</v>
      </c>
    </row>
    <row r="64" spans="1:7" x14ac:dyDescent="0.25">
      <c r="A64" s="12">
        <v>60</v>
      </c>
      <c r="B64" s="31" t="s">
        <v>288</v>
      </c>
      <c r="C64" s="12" t="s">
        <v>28</v>
      </c>
      <c r="D64" s="12">
        <v>3.1</v>
      </c>
      <c r="E64" s="12">
        <v>93.999999999999986</v>
      </c>
      <c r="F64" s="12">
        <v>291.39999999999998</v>
      </c>
      <c r="G64" s="31" t="s">
        <v>481</v>
      </c>
    </row>
    <row r="65" spans="1:7" x14ac:dyDescent="0.25">
      <c r="A65" s="12">
        <v>61</v>
      </c>
      <c r="B65" s="31" t="s">
        <v>347</v>
      </c>
      <c r="C65" s="12" t="s">
        <v>10</v>
      </c>
      <c r="D65" s="12">
        <v>3</v>
      </c>
      <c r="E65" s="12">
        <v>180</v>
      </c>
      <c r="F65" s="12">
        <v>540</v>
      </c>
      <c r="G65" s="31" t="s">
        <v>384</v>
      </c>
    </row>
    <row r="66" spans="1:7" x14ac:dyDescent="0.25">
      <c r="A66" s="12">
        <v>62</v>
      </c>
      <c r="B66" s="31" t="s">
        <v>344</v>
      </c>
      <c r="C66" s="12" t="s">
        <v>10</v>
      </c>
      <c r="D66" s="12">
        <v>3</v>
      </c>
      <c r="E66" s="12">
        <v>300</v>
      </c>
      <c r="F66" s="12">
        <v>900</v>
      </c>
      <c r="G66" s="31" t="s">
        <v>385</v>
      </c>
    </row>
    <row r="67" spans="1:7" x14ac:dyDescent="0.25">
      <c r="A67" s="12">
        <v>63</v>
      </c>
      <c r="B67" s="31" t="s">
        <v>315</v>
      </c>
      <c r="C67" s="12" t="s">
        <v>250</v>
      </c>
      <c r="D67" s="12">
        <v>3</v>
      </c>
      <c r="E67" s="12">
        <v>92</v>
      </c>
      <c r="F67" s="12">
        <v>276</v>
      </c>
      <c r="G67" s="31" t="s">
        <v>430</v>
      </c>
    </row>
    <row r="68" spans="1:7" x14ac:dyDescent="0.25">
      <c r="A68" s="12">
        <v>64</v>
      </c>
      <c r="B68" s="31" t="s">
        <v>316</v>
      </c>
      <c r="C68" s="12" t="s">
        <v>250</v>
      </c>
      <c r="D68" s="12">
        <v>3</v>
      </c>
      <c r="E68" s="12">
        <v>92</v>
      </c>
      <c r="F68" s="12">
        <v>276</v>
      </c>
      <c r="G68" s="31" t="s">
        <v>431</v>
      </c>
    </row>
    <row r="69" spans="1:7" x14ac:dyDescent="0.25">
      <c r="A69" s="12">
        <v>65</v>
      </c>
      <c r="B69" s="31" t="s">
        <v>335</v>
      </c>
      <c r="C69" s="12" t="s">
        <v>265</v>
      </c>
      <c r="D69" s="12">
        <v>2.1</v>
      </c>
      <c r="E69" s="12">
        <v>80</v>
      </c>
      <c r="F69" s="12">
        <v>168</v>
      </c>
      <c r="G69" s="31" t="s">
        <v>401</v>
      </c>
    </row>
    <row r="70" spans="1:7" x14ac:dyDescent="0.25">
      <c r="A70" s="12">
        <v>66</v>
      </c>
      <c r="B70" s="31" t="s">
        <v>298</v>
      </c>
      <c r="C70" s="12" t="s">
        <v>8</v>
      </c>
      <c r="D70" s="12">
        <v>2.1</v>
      </c>
      <c r="E70" s="12">
        <v>3</v>
      </c>
      <c r="F70" s="12">
        <v>6.3000000000000007</v>
      </c>
      <c r="G70" s="31" t="s">
        <v>412</v>
      </c>
    </row>
    <row r="71" spans="1:7" x14ac:dyDescent="0.25">
      <c r="A71" s="12">
        <v>67</v>
      </c>
      <c r="B71" s="31" t="s">
        <v>277</v>
      </c>
      <c r="C71" s="12" t="s">
        <v>8</v>
      </c>
      <c r="D71" s="12">
        <v>2.1</v>
      </c>
      <c r="E71" s="12">
        <v>9.5</v>
      </c>
      <c r="F71" s="12">
        <v>19.95</v>
      </c>
      <c r="G71" s="31" t="s">
        <v>452</v>
      </c>
    </row>
    <row r="72" spans="1:7" x14ac:dyDescent="0.25">
      <c r="A72" s="12">
        <v>68</v>
      </c>
      <c r="B72" s="31" t="s">
        <v>276</v>
      </c>
      <c r="C72" s="12" t="s">
        <v>8</v>
      </c>
      <c r="D72" s="12">
        <v>2.1</v>
      </c>
      <c r="E72" s="12">
        <v>91</v>
      </c>
      <c r="F72" s="12">
        <v>191.1</v>
      </c>
      <c r="G72" s="31" t="s">
        <v>478</v>
      </c>
    </row>
    <row r="73" spans="1:7" x14ac:dyDescent="0.25">
      <c r="A73" s="12">
        <v>69</v>
      </c>
      <c r="B73" s="31" t="s">
        <v>351</v>
      </c>
      <c r="C73" s="12" t="s">
        <v>265</v>
      </c>
      <c r="D73" s="12">
        <v>2.0499999999999998</v>
      </c>
      <c r="E73" s="12">
        <v>160</v>
      </c>
      <c r="F73" s="12">
        <v>328</v>
      </c>
      <c r="G73" s="31" t="s">
        <v>467</v>
      </c>
    </row>
    <row r="74" spans="1:7" x14ac:dyDescent="0.25">
      <c r="A74" s="12">
        <v>70</v>
      </c>
      <c r="B74" s="31" t="s">
        <v>272</v>
      </c>
      <c r="C74" s="12" t="s">
        <v>8</v>
      </c>
      <c r="D74" s="12">
        <v>2</v>
      </c>
      <c r="E74" s="12">
        <v>13</v>
      </c>
      <c r="F74" s="12">
        <v>26</v>
      </c>
      <c r="G74" s="31" t="s">
        <v>397</v>
      </c>
    </row>
    <row r="75" spans="1:7" x14ac:dyDescent="0.25">
      <c r="A75" s="12">
        <v>71</v>
      </c>
      <c r="B75" s="31" t="s">
        <v>263</v>
      </c>
      <c r="C75" s="12" t="s">
        <v>250</v>
      </c>
      <c r="D75" s="12">
        <v>2</v>
      </c>
      <c r="E75" s="12">
        <v>180</v>
      </c>
      <c r="F75" s="12">
        <v>360</v>
      </c>
      <c r="G75" s="31" t="s">
        <v>411</v>
      </c>
    </row>
    <row r="76" spans="1:7" x14ac:dyDescent="0.25">
      <c r="A76" s="12">
        <v>72</v>
      </c>
      <c r="B76" s="31" t="s">
        <v>312</v>
      </c>
      <c r="C76" s="12" t="s">
        <v>38</v>
      </c>
      <c r="D76" s="12">
        <v>2</v>
      </c>
      <c r="E76" s="12">
        <v>80</v>
      </c>
      <c r="F76" s="12">
        <v>160</v>
      </c>
      <c r="G76" s="31" t="s">
        <v>418</v>
      </c>
    </row>
    <row r="77" spans="1:7" x14ac:dyDescent="0.25">
      <c r="A77" s="12">
        <v>73</v>
      </c>
      <c r="B77" s="31" t="s">
        <v>339</v>
      </c>
      <c r="C77" s="12" t="s">
        <v>8</v>
      </c>
      <c r="D77" s="12">
        <v>2</v>
      </c>
      <c r="E77" s="12">
        <v>6</v>
      </c>
      <c r="F77" s="12">
        <v>12</v>
      </c>
      <c r="G77" s="31" t="s">
        <v>421</v>
      </c>
    </row>
    <row r="78" spans="1:7" x14ac:dyDescent="0.25">
      <c r="A78" s="12">
        <v>74</v>
      </c>
      <c r="B78" s="31" t="s">
        <v>374</v>
      </c>
      <c r="C78" s="12" t="s">
        <v>250</v>
      </c>
      <c r="D78" s="12">
        <v>2</v>
      </c>
      <c r="E78" s="12">
        <v>14</v>
      </c>
      <c r="F78" s="12">
        <v>28</v>
      </c>
      <c r="G78" s="31" t="s">
        <v>425</v>
      </c>
    </row>
    <row r="79" spans="1:7" x14ac:dyDescent="0.25">
      <c r="A79" s="12">
        <v>75</v>
      </c>
      <c r="B79" s="31" t="s">
        <v>314</v>
      </c>
      <c r="C79" s="12" t="s">
        <v>250</v>
      </c>
      <c r="D79" s="12">
        <v>2</v>
      </c>
      <c r="E79" s="12">
        <v>92</v>
      </c>
      <c r="F79" s="12">
        <v>184</v>
      </c>
      <c r="G79" s="31" t="s">
        <v>429</v>
      </c>
    </row>
    <row r="80" spans="1:7" x14ac:dyDescent="0.25">
      <c r="A80" s="12">
        <v>76</v>
      </c>
      <c r="B80" s="31" t="s">
        <v>299</v>
      </c>
      <c r="C80" s="12" t="s">
        <v>8</v>
      </c>
      <c r="D80" s="12">
        <v>2</v>
      </c>
      <c r="E80" s="12">
        <v>13</v>
      </c>
      <c r="F80" s="12">
        <v>26</v>
      </c>
      <c r="G80" s="31" t="s">
        <v>444</v>
      </c>
    </row>
    <row r="81" spans="1:7" x14ac:dyDescent="0.25">
      <c r="A81" s="12">
        <v>77</v>
      </c>
      <c r="B81" s="31" t="s">
        <v>324</v>
      </c>
      <c r="C81" s="12" t="s">
        <v>279</v>
      </c>
      <c r="D81" s="12">
        <v>2</v>
      </c>
      <c r="E81" s="12">
        <v>1.36</v>
      </c>
      <c r="F81" s="12">
        <v>2.72</v>
      </c>
      <c r="G81" s="31" t="s">
        <v>451</v>
      </c>
    </row>
    <row r="82" spans="1:7" x14ac:dyDescent="0.25">
      <c r="A82" s="12">
        <v>78</v>
      </c>
      <c r="B82" s="31" t="s">
        <v>370</v>
      </c>
      <c r="C82" s="12" t="s">
        <v>8</v>
      </c>
      <c r="D82" s="12">
        <v>2</v>
      </c>
      <c r="E82" s="12">
        <v>0.5</v>
      </c>
      <c r="F82" s="12">
        <v>1</v>
      </c>
      <c r="G82" s="31" t="s">
        <v>454</v>
      </c>
    </row>
    <row r="83" spans="1:7" x14ac:dyDescent="0.25">
      <c r="A83" s="12">
        <v>79</v>
      </c>
      <c r="B83" s="31" t="s">
        <v>327</v>
      </c>
      <c r="C83" s="12" t="s">
        <v>8</v>
      </c>
      <c r="D83" s="12">
        <v>2</v>
      </c>
      <c r="E83" s="12">
        <v>6.8</v>
      </c>
      <c r="F83" s="12">
        <v>13.6</v>
      </c>
      <c r="G83" s="31" t="s">
        <v>465</v>
      </c>
    </row>
    <row r="84" spans="1:7" x14ac:dyDescent="0.25">
      <c r="A84" s="12">
        <v>80</v>
      </c>
      <c r="B84" s="31" t="s">
        <v>371</v>
      </c>
      <c r="C84" s="12" t="s">
        <v>372</v>
      </c>
      <c r="D84" s="12">
        <v>2</v>
      </c>
      <c r="E84" s="12">
        <v>330</v>
      </c>
      <c r="F84" s="12">
        <v>660</v>
      </c>
      <c r="G84" s="31" t="s">
        <v>479</v>
      </c>
    </row>
    <row r="85" spans="1:7" x14ac:dyDescent="0.25">
      <c r="A85" s="12">
        <v>81</v>
      </c>
      <c r="B85" s="31" t="s">
        <v>270</v>
      </c>
      <c r="C85" s="12" t="s">
        <v>11</v>
      </c>
      <c r="D85" s="12">
        <v>1.6968999999999999</v>
      </c>
      <c r="E85" s="12">
        <v>830.00000000000011</v>
      </c>
      <c r="F85" s="12">
        <v>1408.4270000000001</v>
      </c>
      <c r="G85" s="31" t="s">
        <v>387</v>
      </c>
    </row>
    <row r="86" spans="1:7" x14ac:dyDescent="0.25">
      <c r="A86" s="12">
        <v>82</v>
      </c>
      <c r="B86" s="31" t="s">
        <v>269</v>
      </c>
      <c r="C86" s="12" t="s">
        <v>11</v>
      </c>
      <c r="D86" s="12">
        <v>1.1136999999999999</v>
      </c>
      <c r="E86" s="12">
        <v>850</v>
      </c>
      <c r="F86" s="12">
        <v>946.64499999999998</v>
      </c>
      <c r="G86" s="31" t="s">
        <v>400</v>
      </c>
    </row>
    <row r="87" spans="1:7" x14ac:dyDescent="0.25">
      <c r="A87" s="12">
        <v>83</v>
      </c>
      <c r="B87" s="31" t="s">
        <v>346</v>
      </c>
      <c r="C87" s="12" t="s">
        <v>10</v>
      </c>
      <c r="D87" s="12">
        <v>1</v>
      </c>
      <c r="E87" s="12">
        <v>800</v>
      </c>
      <c r="F87" s="12">
        <v>800</v>
      </c>
      <c r="G87" s="31" t="s">
        <v>388</v>
      </c>
    </row>
    <row r="88" spans="1:7" x14ac:dyDescent="0.25">
      <c r="A88" s="12">
        <v>84</v>
      </c>
      <c r="B88" s="31" t="s">
        <v>345</v>
      </c>
      <c r="C88" s="12" t="s">
        <v>10</v>
      </c>
      <c r="D88" s="12">
        <v>1</v>
      </c>
      <c r="E88" s="12">
        <v>240</v>
      </c>
      <c r="F88" s="12">
        <v>240</v>
      </c>
      <c r="G88" s="31" t="s">
        <v>390</v>
      </c>
    </row>
    <row r="89" spans="1:7" x14ac:dyDescent="0.25">
      <c r="A89" s="12">
        <v>85</v>
      </c>
      <c r="B89" s="31" t="s">
        <v>348</v>
      </c>
      <c r="C89" s="12" t="s">
        <v>10</v>
      </c>
      <c r="D89" s="12">
        <v>1</v>
      </c>
      <c r="E89" s="12">
        <v>170</v>
      </c>
      <c r="F89" s="12">
        <v>170</v>
      </c>
      <c r="G89" s="31" t="s">
        <v>391</v>
      </c>
    </row>
    <row r="90" spans="1:7" x14ac:dyDescent="0.25">
      <c r="A90" s="12">
        <v>86</v>
      </c>
      <c r="B90" s="31" t="s">
        <v>341</v>
      </c>
      <c r="C90" s="12" t="s">
        <v>8</v>
      </c>
      <c r="D90" s="12">
        <v>1</v>
      </c>
      <c r="E90" s="12">
        <v>4</v>
      </c>
      <c r="F90" s="12">
        <v>4</v>
      </c>
      <c r="G90" s="31" t="s">
        <v>394</v>
      </c>
    </row>
    <row r="91" spans="1:7" x14ac:dyDescent="0.25">
      <c r="A91" s="12">
        <v>87</v>
      </c>
      <c r="B91" s="31" t="s">
        <v>342</v>
      </c>
      <c r="C91" s="12" t="s">
        <v>8</v>
      </c>
      <c r="D91" s="12">
        <v>1</v>
      </c>
      <c r="E91" s="12">
        <v>8</v>
      </c>
      <c r="F91" s="12">
        <v>8</v>
      </c>
      <c r="G91" s="31" t="s">
        <v>395</v>
      </c>
    </row>
    <row r="92" spans="1:7" x14ac:dyDescent="0.25">
      <c r="A92" s="12">
        <v>88</v>
      </c>
      <c r="B92" s="31" t="s">
        <v>273</v>
      </c>
      <c r="C92" s="12" t="s">
        <v>8</v>
      </c>
      <c r="D92" s="12">
        <v>1</v>
      </c>
      <c r="E92" s="12">
        <v>8</v>
      </c>
      <c r="F92" s="12">
        <v>8</v>
      </c>
      <c r="G92" s="31" t="s">
        <v>396</v>
      </c>
    </row>
    <row r="93" spans="1:7" x14ac:dyDescent="0.25">
      <c r="A93" s="12">
        <v>89</v>
      </c>
      <c r="B93" s="31" t="s">
        <v>329</v>
      </c>
      <c r="C93" s="12" t="s">
        <v>30</v>
      </c>
      <c r="D93" s="12">
        <v>1</v>
      </c>
      <c r="E93" s="12">
        <v>185</v>
      </c>
      <c r="F93" s="12">
        <v>185</v>
      </c>
      <c r="G93" s="31" t="s">
        <v>402</v>
      </c>
    </row>
    <row r="94" spans="1:7" x14ac:dyDescent="0.25">
      <c r="A94" s="12">
        <v>90</v>
      </c>
      <c r="B94" s="31" t="s">
        <v>334</v>
      </c>
      <c r="C94" s="12" t="s">
        <v>8</v>
      </c>
      <c r="D94" s="12">
        <v>1</v>
      </c>
      <c r="E94" s="12">
        <v>6.5</v>
      </c>
      <c r="F94" s="12">
        <v>6.5</v>
      </c>
      <c r="G94" s="31" t="s">
        <v>403</v>
      </c>
    </row>
    <row r="95" spans="1:7" x14ac:dyDescent="0.25">
      <c r="A95" s="12">
        <v>91</v>
      </c>
      <c r="B95" s="31" t="s">
        <v>352</v>
      </c>
      <c r="C95" s="12" t="s">
        <v>8</v>
      </c>
      <c r="D95" s="12">
        <v>1</v>
      </c>
      <c r="E95" s="12">
        <v>650</v>
      </c>
      <c r="F95" s="12">
        <v>650</v>
      </c>
      <c r="G95" s="31" t="s">
        <v>405</v>
      </c>
    </row>
    <row r="96" spans="1:7" x14ac:dyDescent="0.25">
      <c r="A96" s="12">
        <v>92</v>
      </c>
      <c r="B96" s="31" t="s">
        <v>331</v>
      </c>
      <c r="C96" s="12" t="s">
        <v>8</v>
      </c>
      <c r="D96" s="12">
        <v>1</v>
      </c>
      <c r="E96" s="12">
        <v>59</v>
      </c>
      <c r="F96" s="12">
        <v>59</v>
      </c>
      <c r="G96" s="31" t="s">
        <v>415</v>
      </c>
    </row>
    <row r="97" spans="1:7" x14ac:dyDescent="0.25">
      <c r="A97" s="12">
        <v>93</v>
      </c>
      <c r="B97" s="31" t="s">
        <v>332</v>
      </c>
      <c r="C97" s="12" t="s">
        <v>8</v>
      </c>
      <c r="D97" s="12">
        <v>1</v>
      </c>
      <c r="E97" s="12">
        <v>165</v>
      </c>
      <c r="F97" s="12">
        <v>165</v>
      </c>
      <c r="G97" s="31" t="s">
        <v>416</v>
      </c>
    </row>
    <row r="98" spans="1:7" x14ac:dyDescent="0.25">
      <c r="A98" s="12">
        <v>94</v>
      </c>
      <c r="B98" s="31" t="s">
        <v>278</v>
      </c>
      <c r="C98" s="12" t="s">
        <v>279</v>
      </c>
      <c r="D98" s="12">
        <v>1</v>
      </c>
      <c r="E98" s="12">
        <v>8.4</v>
      </c>
      <c r="F98" s="12">
        <v>8.4</v>
      </c>
      <c r="G98" s="31" t="s">
        <v>428</v>
      </c>
    </row>
    <row r="99" spans="1:7" x14ac:dyDescent="0.25">
      <c r="A99" s="12">
        <v>95</v>
      </c>
      <c r="B99" s="31" t="s">
        <v>317</v>
      </c>
      <c r="C99" s="12" t="s">
        <v>250</v>
      </c>
      <c r="D99" s="12">
        <v>1</v>
      </c>
      <c r="E99" s="12">
        <v>146</v>
      </c>
      <c r="F99" s="12">
        <v>146</v>
      </c>
      <c r="G99" s="31" t="s">
        <v>432</v>
      </c>
    </row>
    <row r="100" spans="1:7" x14ac:dyDescent="0.25">
      <c r="A100" s="12">
        <v>96</v>
      </c>
      <c r="B100" s="31" t="s">
        <v>318</v>
      </c>
      <c r="C100" s="12" t="s">
        <v>250</v>
      </c>
      <c r="D100" s="12">
        <v>1</v>
      </c>
      <c r="E100" s="12">
        <v>146</v>
      </c>
      <c r="F100" s="12">
        <v>146</v>
      </c>
      <c r="G100" s="31" t="s">
        <v>433</v>
      </c>
    </row>
    <row r="101" spans="1:7" x14ac:dyDescent="0.25">
      <c r="A101" s="12">
        <v>97</v>
      </c>
      <c r="B101" s="31" t="s">
        <v>319</v>
      </c>
      <c r="C101" s="12" t="s">
        <v>250</v>
      </c>
      <c r="D101" s="12">
        <v>1</v>
      </c>
      <c r="E101" s="12">
        <v>146</v>
      </c>
      <c r="F101" s="12">
        <v>146</v>
      </c>
      <c r="G101" s="31" t="s">
        <v>434</v>
      </c>
    </row>
    <row r="102" spans="1:7" x14ac:dyDescent="0.25">
      <c r="A102" s="12">
        <v>98</v>
      </c>
      <c r="B102" s="31" t="s">
        <v>293</v>
      </c>
      <c r="C102" s="12" t="s">
        <v>10</v>
      </c>
      <c r="D102" s="12">
        <v>1</v>
      </c>
      <c r="E102" s="12">
        <v>60</v>
      </c>
      <c r="F102" s="12">
        <v>60</v>
      </c>
      <c r="G102" s="31" t="s">
        <v>436</v>
      </c>
    </row>
    <row r="103" spans="1:7" x14ac:dyDescent="0.25">
      <c r="A103" s="12">
        <v>99</v>
      </c>
      <c r="B103" s="31" t="s">
        <v>249</v>
      </c>
      <c r="C103" s="12" t="s">
        <v>250</v>
      </c>
      <c r="D103" s="12">
        <v>1</v>
      </c>
      <c r="E103" s="12">
        <v>15</v>
      </c>
      <c r="F103" s="12">
        <v>15</v>
      </c>
      <c r="G103" s="31" t="s">
        <v>446</v>
      </c>
    </row>
    <row r="104" spans="1:7" x14ac:dyDescent="0.25">
      <c r="A104" s="12">
        <v>100</v>
      </c>
      <c r="B104" s="31" t="s">
        <v>280</v>
      </c>
      <c r="C104" s="12" t="s">
        <v>8</v>
      </c>
      <c r="D104" s="12">
        <v>1</v>
      </c>
      <c r="E104" s="12">
        <v>1</v>
      </c>
      <c r="F104" s="12">
        <v>1</v>
      </c>
      <c r="G104" s="31" t="s">
        <v>380</v>
      </c>
    </row>
    <row r="105" spans="1:7" x14ac:dyDescent="0.25">
      <c r="A105" s="12">
        <v>101</v>
      </c>
      <c r="B105" s="31" t="s">
        <v>287</v>
      </c>
      <c r="C105" s="12" t="s">
        <v>8</v>
      </c>
      <c r="D105" s="12">
        <v>1</v>
      </c>
      <c r="E105" s="12">
        <v>150</v>
      </c>
      <c r="F105" s="12">
        <v>150</v>
      </c>
      <c r="G105" s="31" t="s">
        <v>457</v>
      </c>
    </row>
    <row r="106" spans="1:7" x14ac:dyDescent="0.25">
      <c r="A106" s="12">
        <v>102</v>
      </c>
      <c r="B106" s="31" t="s">
        <v>333</v>
      </c>
      <c r="C106" s="12" t="s">
        <v>268</v>
      </c>
      <c r="D106" s="12">
        <v>1</v>
      </c>
      <c r="E106" s="12">
        <v>48</v>
      </c>
      <c r="F106" s="12">
        <v>48</v>
      </c>
      <c r="G106" s="31" t="s">
        <v>468</v>
      </c>
    </row>
    <row r="107" spans="1:7" x14ac:dyDescent="0.25">
      <c r="A107" s="12">
        <v>103</v>
      </c>
      <c r="B107" s="31" t="s">
        <v>251</v>
      </c>
      <c r="C107" s="12" t="s">
        <v>8</v>
      </c>
      <c r="D107" s="12">
        <v>1</v>
      </c>
      <c r="E107" s="12">
        <v>4</v>
      </c>
      <c r="F107" s="12">
        <v>4</v>
      </c>
      <c r="G107" s="31" t="s">
        <v>469</v>
      </c>
    </row>
    <row r="108" spans="1:7" x14ac:dyDescent="0.25">
      <c r="A108" s="12">
        <v>104</v>
      </c>
      <c r="B108" s="31" t="s">
        <v>337</v>
      </c>
      <c r="C108" s="12" t="s">
        <v>41</v>
      </c>
      <c r="D108" s="12">
        <v>1</v>
      </c>
      <c r="E108" s="12">
        <v>35</v>
      </c>
      <c r="F108" s="12">
        <v>35</v>
      </c>
      <c r="G108" s="31" t="s">
        <v>476</v>
      </c>
    </row>
    <row r="109" spans="1:7" x14ac:dyDescent="0.25">
      <c r="A109" s="12">
        <v>105</v>
      </c>
      <c r="B109" s="31" t="s">
        <v>42</v>
      </c>
      <c r="C109" s="12" t="s">
        <v>8</v>
      </c>
      <c r="D109" s="12">
        <v>1</v>
      </c>
      <c r="E109" s="12">
        <v>15</v>
      </c>
      <c r="F109" s="12">
        <v>15</v>
      </c>
      <c r="G109" s="31" t="s">
        <v>482</v>
      </c>
    </row>
    <row r="110" spans="1:7" x14ac:dyDescent="0.25">
      <c r="A110" s="12">
        <v>106</v>
      </c>
      <c r="B110" s="31" t="s">
        <v>42</v>
      </c>
      <c r="C110" s="12" t="s">
        <v>41</v>
      </c>
      <c r="D110" s="12">
        <v>1</v>
      </c>
      <c r="E110" s="12">
        <v>15</v>
      </c>
      <c r="F110" s="12">
        <v>15</v>
      </c>
      <c r="G110" s="31" t="s">
        <v>483</v>
      </c>
    </row>
    <row r="111" spans="1:7" x14ac:dyDescent="0.25">
      <c r="A111" s="12">
        <v>107</v>
      </c>
      <c r="B111" s="31" t="s">
        <v>338</v>
      </c>
      <c r="C111" s="12" t="s">
        <v>41</v>
      </c>
      <c r="D111" s="12">
        <v>1</v>
      </c>
      <c r="E111" s="12">
        <v>60</v>
      </c>
      <c r="F111" s="12">
        <v>60</v>
      </c>
      <c r="G111" s="31" t="s">
        <v>484</v>
      </c>
    </row>
    <row r="112" spans="1:7" x14ac:dyDescent="0.25">
      <c r="A112" s="12">
        <v>108</v>
      </c>
      <c r="B112" s="31" t="s">
        <v>300</v>
      </c>
      <c r="C112" s="12" t="s">
        <v>257</v>
      </c>
      <c r="D112" s="12">
        <v>1</v>
      </c>
      <c r="E112" s="12">
        <v>450</v>
      </c>
      <c r="F112" s="12">
        <v>450</v>
      </c>
      <c r="G112" s="31" t="s">
        <v>382</v>
      </c>
    </row>
    <row r="113" spans="1:7" x14ac:dyDescent="0.25">
      <c r="A113" s="12">
        <v>109</v>
      </c>
      <c r="B113" s="31" t="s">
        <v>253</v>
      </c>
      <c r="C113" s="12" t="s">
        <v>11</v>
      </c>
      <c r="D113" s="12">
        <v>0.22000000000000003</v>
      </c>
      <c r="E113" s="12">
        <v>949.99999999999989</v>
      </c>
      <c r="F113" s="12">
        <v>209</v>
      </c>
      <c r="G113" s="31" t="s">
        <v>417</v>
      </c>
    </row>
    <row r="114" spans="1:7" x14ac:dyDescent="0.25">
      <c r="A114" s="12">
        <v>110</v>
      </c>
      <c r="B114" s="31" t="s">
        <v>252</v>
      </c>
      <c r="C114" s="12" t="s">
        <v>11</v>
      </c>
      <c r="D114" s="12">
        <v>0.16</v>
      </c>
      <c r="E114" s="12">
        <v>830</v>
      </c>
      <c r="F114" s="12">
        <v>132.80000000000001</v>
      </c>
      <c r="G114" s="31" t="s">
        <v>404</v>
      </c>
    </row>
  </sheetData>
  <sortState xmlns:xlrd2="http://schemas.microsoft.com/office/spreadsheetml/2017/richdata2" ref="I5:O32">
    <sortCondition descending="1" ref="L5"/>
  </sortState>
  <dataValidations count="4">
    <dataValidation type="list" allowBlank="1" showInputMessage="1" showErrorMessage="1" sqref="C3" xr:uid="{809F66B3-1250-405E-8F73-E4E5FB187BD2}">
      <formula1>"Description,Qty High To Low,Qty Low To High,Rate High To Low,Rate Low To High,Total High To Low,Total Low To High"</formula1>
    </dataValidation>
    <dataValidation type="list" allowBlank="1" showInputMessage="1" showErrorMessage="1" sqref="D3" xr:uid="{8F24A7B5-1592-4C76-9EB1-94565CD863D3}">
      <formula1>"Check,Order"</formula1>
    </dataValidation>
    <dataValidation type="list" allowBlank="1" showInputMessage="1" showErrorMessage="1" sqref="F3" xr:uid="{0187D477-EA6F-4B77-9900-2D6136507F9E}">
      <formula1>"All,Materials,Labour,Rental / Service"</formula1>
    </dataValidation>
    <dataValidation type="list" allowBlank="1" showInputMessage="1" showErrorMessage="1" sqref="G3" xr:uid="{D9C4D7B9-B290-4ACF-9CFD-BE360460EA1F}">
      <formula1>"All,Decimal,Whole,Less Than 1,1 And Above,Duplicate Desc"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80DC-425D-483C-9567-24B8A70C7C32}">
  <sheetPr codeName="Sheet6"/>
  <dimension ref="A1:AN301"/>
  <sheetViews>
    <sheetView zoomScale="75" zoomScaleNormal="75" workbookViewId="0">
      <pane ySplit="40" topLeftCell="A41" activePane="bottomLeft" state="frozen"/>
      <selection pane="bottomLeft" activeCell="Z3" sqref="Z3"/>
    </sheetView>
  </sheetViews>
  <sheetFormatPr defaultColWidth="8.7109375" defaultRowHeight="15" x14ac:dyDescent="0.25"/>
  <cols>
    <col min="1" max="1" width="8" bestFit="1" customWidth="1"/>
    <col min="2" max="2" width="8.42578125" style="20" bestFit="1" customWidth="1"/>
    <col min="3" max="4" width="10.42578125" bestFit="1" customWidth="1"/>
    <col min="5" max="5" width="9.28515625" bestFit="1" customWidth="1"/>
    <col min="6" max="7" width="12.7109375" customWidth="1"/>
    <col min="8" max="8" width="1.7109375" style="1" customWidth="1"/>
    <col min="9" max="9" width="9.85546875" bestFit="1" customWidth="1"/>
    <col min="10" max="10" width="10.7109375" customWidth="1"/>
    <col min="11" max="11" width="7.5703125" bestFit="1" customWidth="1"/>
    <col min="12" max="12" width="9.85546875" style="9" bestFit="1" customWidth="1"/>
    <col min="13" max="13" width="9.7109375" style="9" customWidth="1"/>
    <col min="14" max="14" width="8.7109375" style="9" customWidth="1"/>
    <col min="15" max="15" width="10.7109375" style="9" customWidth="1"/>
    <col min="16" max="16" width="6.7109375" style="9" customWidth="1"/>
    <col min="17" max="18" width="10.7109375" style="9" customWidth="1"/>
    <col min="19" max="19" width="1.7109375" style="1" customWidth="1"/>
    <col min="20" max="20" width="9.28515625" bestFit="1" customWidth="1"/>
    <col min="21" max="21" width="9.85546875" bestFit="1" customWidth="1"/>
    <col min="22" max="22" width="5.7109375" bestFit="1" customWidth="1"/>
    <col min="23" max="23" width="9.28515625" style="9" bestFit="1" customWidth="1"/>
    <col min="24" max="24" width="9.85546875" style="9" bestFit="1" customWidth="1"/>
    <col min="25" max="25" width="9.28515625" style="9" bestFit="1" customWidth="1"/>
    <col min="26" max="26" width="9.7109375" style="9" customWidth="1"/>
    <col min="27" max="27" width="6.7109375" style="9" customWidth="1"/>
    <col min="28" max="29" width="10.42578125" bestFit="1" customWidth="1"/>
    <col min="30" max="30" width="1.7109375" style="1" customWidth="1"/>
    <col min="38" max="38" width="6.7109375" customWidth="1"/>
    <col min="40" max="40" width="9.28515625" bestFit="1" customWidth="1"/>
  </cols>
  <sheetData>
    <row r="1" spans="1:40" x14ac:dyDescent="0.25">
      <c r="A1" s="13"/>
      <c r="B1" s="24"/>
      <c r="C1" s="14" t="str" cm="1">
        <f t="array" aca="1" ref="C1" ca="1">_xlfn.LET(_xlpm.v,IFERROR(--C$3:C$49,0),IF(SUMPRODUCT(--(_xlpm.v&lt;&gt;0))=0,"",SUM(_xlpm.v)))</f>
        <v/>
      </c>
      <c r="D1" s="14" t="str" cm="1">
        <f t="array" aca="1" ref="D1" ca="1">_xlfn.LET(_xlpm.v,IFERROR(--D$3:D$49,0),IF(SUMPRODUCT(--(_xlpm.v&lt;&gt;0))=0,"",SUM(_xlpm.v)))</f>
        <v/>
      </c>
      <c r="E1" s="14" t="str" cm="1">
        <f t="array" aca="1" ref="E1" ca="1">_xlfn.LET(_xlpm.v,IFERROR(--E$3:E$49,0),IF(SUMPRODUCT(--(_xlpm.v&lt;&gt;0))=0,"",SUM(_xlpm.v)))</f>
        <v/>
      </c>
      <c r="F1" s="14" t="str" cm="1">
        <f t="array" ref="F1">_xlfn.LET(_xlpm.v,IFERROR(--F$3:F$49,0),IF(SUMPRODUCT(--(_xlpm.v&lt;&gt;0))=0,"",SUM(_xlpm.v)))</f>
        <v/>
      </c>
      <c r="G1" s="14" t="str" cm="1">
        <f t="array" ref="G1">_xlfn.LET(_xlpm.v,IFERROR(--G$3:G$49,0),IF(SUMPRODUCT(--(_xlpm.v&lt;&gt;0))=0,"",SUM(_xlpm.v)))</f>
        <v/>
      </c>
      <c r="I1" t="s">
        <v>25</v>
      </c>
      <c r="L1"/>
      <c r="M1"/>
      <c r="N1"/>
      <c r="O1"/>
      <c r="P1"/>
      <c r="Q1" s="22">
        <f>SUMIFS(SummaryHelper!$H$2:$H$5000,SummaryHelper!$A$2:$A$5000,"MATERIALS")</f>
        <v>0</v>
      </c>
      <c r="R1" s="10">
        <f>SUM(R3:R300)</f>
        <v>0</v>
      </c>
      <c r="S1" s="23"/>
      <c r="U1" s="11"/>
      <c r="V1" s="11"/>
      <c r="W1" s="11"/>
      <c r="X1" s="11"/>
      <c r="Y1" s="11"/>
      <c r="Z1" s="11"/>
      <c r="AA1" s="11"/>
      <c r="AB1" s="22">
        <f>SUMIFS(SummaryHelper!$H$2:$H$5000,SummaryHelper!$A$2:$A$5000,"LABOUR")</f>
        <v>0</v>
      </c>
      <c r="AC1" s="10">
        <f>SUM(AC3:AC300)</f>
        <v>0</v>
      </c>
      <c r="AM1" s="21">
        <f>SUMIFS(SummaryHelper!$H$2:$H$5000,SummaryHelper!$A$2:$A$5000,"RENTAL / SERVICE")</f>
        <v>0</v>
      </c>
      <c r="AN1" s="10">
        <f>SUM(AN3:AN300)</f>
        <v>0</v>
      </c>
    </row>
    <row r="2" spans="1:40" x14ac:dyDescent="0.25">
      <c r="A2" s="12" t="s">
        <v>18</v>
      </c>
      <c r="B2" s="12" t="s">
        <v>6</v>
      </c>
      <c r="C2" s="15" t="s">
        <v>353</v>
      </c>
      <c r="D2" s="15" t="s">
        <v>354</v>
      </c>
      <c r="E2" s="15" t="s">
        <v>355</v>
      </c>
      <c r="F2" s="15" t="s">
        <v>21</v>
      </c>
      <c r="G2" s="15" t="s">
        <v>22</v>
      </c>
      <c r="I2" t="s">
        <v>26</v>
      </c>
      <c r="J2" t="s">
        <v>27</v>
      </c>
      <c r="K2" t="s">
        <v>1</v>
      </c>
      <c r="L2" s="9" t="s">
        <v>17</v>
      </c>
      <c r="M2" s="9" t="s">
        <v>23</v>
      </c>
      <c r="N2" s="9" t="s">
        <v>4</v>
      </c>
      <c r="O2" s="9" t="s">
        <v>24</v>
      </c>
      <c r="P2" s="9" t="s">
        <v>20</v>
      </c>
      <c r="Q2" s="9" t="s">
        <v>2</v>
      </c>
      <c r="R2" s="9" t="s">
        <v>19</v>
      </c>
      <c r="T2" t="s">
        <v>26</v>
      </c>
      <c r="U2" t="s">
        <v>27</v>
      </c>
      <c r="V2" t="s">
        <v>1</v>
      </c>
      <c r="W2" t="s">
        <v>17</v>
      </c>
      <c r="X2" t="s">
        <v>23</v>
      </c>
      <c r="Y2" t="s">
        <v>4</v>
      </c>
      <c r="Z2" t="s">
        <v>24</v>
      </c>
      <c r="AA2" t="s">
        <v>20</v>
      </c>
      <c r="AB2" t="s">
        <v>2</v>
      </c>
      <c r="AC2" t="s">
        <v>19</v>
      </c>
      <c r="AE2" t="s">
        <v>26</v>
      </c>
      <c r="AF2" t="s">
        <v>27</v>
      </c>
      <c r="AG2" t="s">
        <v>1</v>
      </c>
      <c r="AH2" t="s">
        <v>17</v>
      </c>
      <c r="AI2" t="s">
        <v>23</v>
      </c>
      <c r="AJ2" t="s">
        <v>4</v>
      </c>
      <c r="AK2" t="s">
        <v>24</v>
      </c>
      <c r="AL2" t="s">
        <v>20</v>
      </c>
      <c r="AM2" t="s">
        <v>2</v>
      </c>
      <c r="AN2" t="s">
        <v>19</v>
      </c>
    </row>
    <row r="3" spans="1:40" x14ac:dyDescent="0.25">
      <c r="A3" s="12"/>
      <c r="B3" s="12" t="str">
        <f>IF($A3&lt;&gt;1,"","S"&amp;TEXT(ROW()-2,"00"))</f>
        <v/>
      </c>
      <c r="C3" s="9" t="str">
        <f ca="1">IF($A3&lt;&gt;1,"",IF($B3="","",IFERROR(SUMIFS(INDIRECT("'"&amp;$B3&amp;"'!N3:N300"),INDIRECT("'"&amp;$B3&amp;"'!F3:F300"),"&lt;&gt;",INDIRECT("'"&amp;$B3&amp;"'!H3:H300"),"&lt;&gt;"),0)))</f>
        <v/>
      </c>
      <c r="D3" s="9" t="str">
        <f ca="1">IF($A3&lt;&gt;1,"",IF($B3="","",IFERROR(SUMIFS(INDIRECT("'"&amp;$B3&amp;"'!Y3:Y300"),INDIRECT("'"&amp;$B3&amp;"'!Q3:Q300"),"&lt;&gt;",INDIRECT("'"&amp;$B3&amp;"'!S3:S300"),"&lt;&gt;"),0)))</f>
        <v/>
      </c>
      <c r="E3" s="9" t="str">
        <f ca="1">IF($A3&lt;&gt;1,"",IF($B3="","",IFERROR(SUMIFS(INDIRECT("'"&amp;$B3&amp;"'!AJ3:AJ300"),INDIRECT("'"&amp;$B3&amp;"'!AB3:AB300"),"&lt;&gt;",INDIRECT("'"&amp;$B3&amp;"'!AD3:AD300"),"&lt;&gt;"),0)))</f>
        <v/>
      </c>
      <c r="F3" s="9" t="str">
        <f>IF($A3&lt;&gt;1,"",$C3+$D3+$E3)</f>
        <v/>
      </c>
      <c r="G3" s="9" t="str">
        <f>IF($A3=1,$F3,"")</f>
        <v/>
      </c>
      <c r="I3" t="str" cm="1">
        <f t="array" ref="I3">_xlfn.LET(_xlpm.x,_xlfn.UNIQUE(_xlfn._xlws.FILTER(CHOOSE({1,2,3},SummaryHelper!$A$2:$A$5000,SummaryHelper!$B$2:$B$5000,SummaryHelper!$C$2:$C$5000),(SummaryHelper!$A$2:$A$5000="MATERIALS")*(SummaryHelper!$B$2:$B$5000&lt;&gt;""),"")),IFERROR(_xlfn.SORTBY(_xlpm.x,INDEX(_xlpm.x,,2),1),""))</f>
        <v/>
      </c>
      <c r="L3" s="9" t="str">
        <f>IF($J3="","",IFERROR(SUMIFS(SummaryHelper!$H$2:$H$5000,SummaryHelper!$A$2:$A$5000,$I3,SummaryHelper!$B$2:$B$5000,$J3,SummaryHelper!$C$2:$C$5000,$K3)/SUMIFS(SummaryHelper!$G$2:$G$5000,SummaryHelper!$A$2:$A$5000,$I3,SummaryHelper!$B$2:$B$5000,$J3,SummaryHelper!$C$2:$C$5000,$K3),""))</f>
        <v/>
      </c>
      <c r="M3" s="9" t="str">
        <f>IF($J3="","",SUMIFS(SummaryHelper!$E$2:$E$5000,SummaryHelper!$A$2:$A$5000,$I3,SummaryHelper!$B$2:$B$5000,$J3,SummaryHelper!$C$2:$C$5000,$K3))</f>
        <v/>
      </c>
      <c r="N3" s="9" t="str">
        <f>IF($J3="","",SUMIFS(SummaryHelper!$F$2:$F$5000,SummaryHelper!$A$2:$A$5000,$I3,SummaryHelper!$B$2:$B$5000,$J3,SummaryHelper!$C$2:$C$5000,$K3))</f>
        <v/>
      </c>
      <c r="O3" s="9" t="str">
        <f>IF($J3="","",SUMIFS(SummaryHelper!$G$2:$G$5000,SummaryHelper!$A$2:$A$5000,$I3,SummaryHelper!$B$2:$B$5000,$J3,SummaryHelper!$C$2:$C$5000,$K3))</f>
        <v/>
      </c>
      <c r="Q3" s="9" t="str">
        <f>IF($J3="","",IF($P3="",ROUNDUP($O3,0),$P3))</f>
        <v/>
      </c>
      <c r="R3" s="9" t="str">
        <f>IF($J3="","",$Q3*$L3)</f>
        <v/>
      </c>
      <c r="T3" t="str" cm="1">
        <f t="array" ref="T3">IFERROR(_xlfn._xlws.SORT(_xlfn.UNIQUE(_xlfn._xlws.FILTER(CHOOSE({1,2,3},SummaryHelper!$A$2:$A$5000,SummaryHelper!$B$2:$B$5000,SummaryHelper!$C$2:$C$5000),(SummaryHelper!$A$2:$A$5000="LABOUR")*(SummaryHelper!$B$2:$B$5000&lt;&gt;""),""))),"")</f>
        <v/>
      </c>
      <c r="W3" s="9" t="str">
        <f>IF($U3="","",IFERROR(SUMIFS(SummaryHelper!$H$2:$H$5000,SummaryHelper!$A$2:$A$5000,$T3,SummaryHelper!$B$2:$B$5000,$U3,SummaryHelper!$C$2:$C$5000,$V3)/SUMIFS(SummaryHelper!$G$2:$G$5000,SummaryHelper!$A$2:$A$5000,$T3,SummaryHelper!$B$2:$B$5000,$U3,SummaryHelper!$C$2:$C$5000,$V3),""))</f>
        <v/>
      </c>
      <c r="X3" s="9" t="str">
        <f>IF($U3="","",SUMIFS(SummaryHelper!$E$2:$E$5000,SummaryHelper!$A$2:$A$5000,$T3,SummaryHelper!$B$2:$B$5000,$U3,SummaryHelper!$C$2:$C$5000,$V3))</f>
        <v/>
      </c>
      <c r="Y3" s="9" t="str">
        <f>IF($U3="","",SUMIFS(SummaryHelper!$F$2:$F$5000,SummaryHelper!$A$2:$A$5000,$T3,SummaryHelper!$B$2:$B$5000,$U3,SummaryHelper!$C$2:$C$5000,$V3))</f>
        <v/>
      </c>
      <c r="Z3" s="9">
        <v>1582</v>
      </c>
      <c r="AB3" s="9" t="str">
        <f>IF($U3="","",IF($AA3="",$Z3,$AA3))</f>
        <v/>
      </c>
      <c r="AC3" s="9" t="str">
        <f>IF($U3="","",$AB3*$W3)</f>
        <v/>
      </c>
      <c r="AE3" t="str" cm="1">
        <f t="array" ref="AE3">IFERROR(_xlfn._xlws.SORT(_xlfn.UNIQUE(_xlfn._xlws.FILTER(CHOOSE({1,2,3},SummaryHelper!$A$2:$A$5000,SummaryHelper!$B$2:$B$5000,SummaryHelper!$C$2:$C$5000),(SummaryHelper!$A$2:$A$5000="RENTAL / SERVICE")*(SummaryHelper!$B$2:$B$5000&lt;&gt;""),""))),"")</f>
        <v/>
      </c>
      <c r="AH3" t="str">
        <f>IF($AF3="","",IFERROR(SUMIFS(SummaryHelper!$H$2:$H$5000,SummaryHelper!$A$2:$A$5000,$AE3,SummaryHelper!$B$2:$B$5000,$AF3,SummaryHelper!$C$2:$C$5000,$AG3)/SUMIFS(SummaryHelper!$G$2:$G$5000,SummaryHelper!$A$2:$A$5000,$AE3,SummaryHelper!$B$2:$B$5000,$AF3,SummaryHelper!$C$2:$C$5000,$AG3),""))</f>
        <v/>
      </c>
      <c r="AI3" t="str">
        <f>IF($AF3="","",SUMIFS(SummaryHelper!$E$2:$E$5000,SummaryHelper!$A$2:$A$5000,$AE3,SummaryHelper!$B$2:$B$5000,$AF3,SummaryHelper!$C$2:$C$5000,$AG3))</f>
        <v/>
      </c>
      <c r="AJ3" t="str">
        <f>IF($AF3="","",SUMIFS(SummaryHelper!$F$2:$F$5000,SummaryHelper!$A$2:$A$5000,$AE3,SummaryHelper!$B$2:$B$5000,$AF3,SummaryHelper!$C$2:$C$5000,$AG3))</f>
        <v/>
      </c>
      <c r="AK3" t="str">
        <f>IF($AF3="","",SUMIFS(SummaryHelper!$G$2:$G$5000,SummaryHelper!$A$2:$A$5000,$AE3,SummaryHelper!$B$2:$B$5000,$AF3,SummaryHelper!$C$2:$C$5000,$AG3))</f>
        <v/>
      </c>
      <c r="AM3" t="str">
        <f>IF($AF3="","",IF($AL3="",$AK3,$AL3))</f>
        <v/>
      </c>
      <c r="AN3" t="str">
        <f>IF($AF3="","",$AM3*$AH3)</f>
        <v/>
      </c>
    </row>
    <row r="4" spans="1:40" x14ac:dyDescent="0.25">
      <c r="A4" s="12"/>
      <c r="B4" s="12" t="str">
        <f t="shared" ref="B4:B67" si="0">IF($A4&lt;&gt;1,"","S"&amp;TEXT(ROW()-2,"00"))</f>
        <v/>
      </c>
      <c r="C4" s="9" t="str">
        <f t="shared" ref="C4:C67" ca="1" si="1">IF($A4&lt;&gt;1,"",IF($B4="","",IFERROR(SUMIFS(INDIRECT("'"&amp;$B4&amp;"'!N3:N300"),INDIRECT("'"&amp;$B4&amp;"'!F3:F300"),"&lt;&gt;",INDIRECT("'"&amp;$B4&amp;"'!H3:H300"),"&lt;&gt;"),0)))</f>
        <v/>
      </c>
      <c r="D4" s="9" t="str">
        <f t="shared" ref="D4:D67" ca="1" si="2">IF($A4&lt;&gt;1,"",IF($B4="","",IFERROR(SUMIFS(INDIRECT("'"&amp;$B4&amp;"'!Y3:Y300"),INDIRECT("'"&amp;$B4&amp;"'!Q3:Q300"),"&lt;&gt;",INDIRECT("'"&amp;$B4&amp;"'!S3:S300"),"&lt;&gt;"),0)))</f>
        <v/>
      </c>
      <c r="E4" s="9" t="str">
        <f t="shared" ref="E4:E67" ca="1" si="3">IF($A4&lt;&gt;1,"",IF($B4="","",IFERROR(SUMIFS(INDIRECT("'"&amp;$B4&amp;"'!AJ3:AJ300"),INDIRECT("'"&amp;$B4&amp;"'!AB3:AB300"),"&lt;&gt;",INDIRECT("'"&amp;$B4&amp;"'!AD3:AD300"),"&lt;&gt;"),0)))</f>
        <v/>
      </c>
      <c r="F4" s="9" t="str">
        <f t="shared" ref="F4:F67" si="4">IF($A4&lt;&gt;1,"",$C4+$D4+$E4)</f>
        <v/>
      </c>
      <c r="G4" s="9" t="str">
        <f t="shared" ref="G4:G67" si="5">IF($A4=1,$F4,"")</f>
        <v/>
      </c>
      <c r="L4" s="9" t="str">
        <f>IF($J4="","",IFERROR(SUMIFS(SummaryHelper!$H$2:$H$5000,SummaryHelper!$A$2:$A$5000,$I4,SummaryHelper!$B$2:$B$5000,$J4,SummaryHelper!$C$2:$C$5000,$K4)/SUMIFS(SummaryHelper!$G$2:$G$5000,SummaryHelper!$A$2:$A$5000,$I4,SummaryHelper!$B$2:$B$5000,$J4,SummaryHelper!$C$2:$C$5000,$K4),""))</f>
        <v/>
      </c>
      <c r="M4" s="9" t="str">
        <f>IF($J4="","",SUMIFS(SummaryHelper!$E$2:$E$5000,SummaryHelper!$A$2:$A$5000,$I4,SummaryHelper!$B$2:$B$5000,$J4,SummaryHelper!$C$2:$C$5000,$K4))</f>
        <v/>
      </c>
      <c r="N4" s="9" t="str">
        <f>IF($J4="","",SUMIFS(SummaryHelper!$F$2:$F$5000,SummaryHelper!$A$2:$A$5000,$I4,SummaryHelper!$B$2:$B$5000,$J4,SummaryHelper!$C$2:$C$5000,$K4))</f>
        <v/>
      </c>
      <c r="O4" s="9" t="str">
        <f>IF($J4="","",SUMIFS(SummaryHelper!$G$2:$G$5000,SummaryHelper!$A$2:$A$5000,$I4,SummaryHelper!$B$2:$B$5000,$J4,SummaryHelper!$C$2:$C$5000,$K4))</f>
        <v/>
      </c>
      <c r="Q4" s="9" t="str">
        <f t="shared" ref="Q4:Q67" si="6">IF($J4="","",IF($P4="",ROUNDUP($O4,0),$P4))</f>
        <v/>
      </c>
      <c r="R4" s="9" t="str">
        <f t="shared" ref="R4:R67" si="7">IF($J4="","",$Q4*$L4)</f>
        <v/>
      </c>
      <c r="W4" s="9" t="str">
        <f>IF($U4="","",IFERROR(SUMIFS(SummaryHelper!$H$2:$H$5000,SummaryHelper!$A$2:$A$5000,$T4,SummaryHelper!$B$2:$B$5000,$U4,SummaryHelper!$C$2:$C$5000,$V4)/SUMIFS(SummaryHelper!$G$2:$G$5000,SummaryHelper!$A$2:$A$5000,$T4,SummaryHelper!$B$2:$B$5000,$U4,SummaryHelper!$C$2:$C$5000,$V4),""))</f>
        <v/>
      </c>
      <c r="X4" s="9" t="str">
        <f>IF($U4="","",SUMIFS(SummaryHelper!$E$2:$E$5000,SummaryHelper!$A$2:$A$5000,$T4,SummaryHelper!$B$2:$B$5000,$U4,SummaryHelper!$C$2:$C$5000,$V4))</f>
        <v/>
      </c>
      <c r="Y4" s="9" t="str">
        <f>IF($U4="","",SUMIFS(SummaryHelper!$F$2:$F$5000,SummaryHelper!$A$2:$A$5000,$T4,SummaryHelper!$B$2:$B$5000,$U4,SummaryHelper!$C$2:$C$5000,$V4))</f>
        <v/>
      </c>
      <c r="Z4" s="9" t="s">
        <v>489</v>
      </c>
      <c r="AB4" s="9" t="str">
        <f t="shared" ref="AB4:AB67" si="8">IF($U4="","",IF($AA4="",$Z4,$AA4))</f>
        <v/>
      </c>
      <c r="AC4" s="9" t="str">
        <f t="shared" ref="AC4:AC67" si="9">IF($U4="","",$AB4*$W4)</f>
        <v/>
      </c>
      <c r="AH4" t="str">
        <f>IF($AF4="","",IFERROR(SUMIFS(SummaryHelper!$H$2:$H$5000,SummaryHelper!$A$2:$A$5000,$AE4,SummaryHelper!$B$2:$B$5000,$AF4,SummaryHelper!$C$2:$C$5000,$AG4)/SUMIFS(SummaryHelper!$G$2:$G$5000,SummaryHelper!$A$2:$A$5000,$AE4,SummaryHelper!$B$2:$B$5000,$AF4,SummaryHelper!$C$2:$C$5000,$AG4),""))</f>
        <v/>
      </c>
      <c r="AI4" t="str">
        <f>IF($AF4="","",SUMIFS(SummaryHelper!$E$2:$E$5000,SummaryHelper!$A$2:$A$5000,$AE4,SummaryHelper!$B$2:$B$5000,$AF4,SummaryHelper!$C$2:$C$5000,$AG4))</f>
        <v/>
      </c>
      <c r="AJ4" t="str">
        <f>IF($AF4="","",SUMIFS(SummaryHelper!$F$2:$F$5000,SummaryHelper!$A$2:$A$5000,$AE4,SummaryHelper!$B$2:$B$5000,$AF4,SummaryHelper!$C$2:$C$5000,$AG4))</f>
        <v/>
      </c>
      <c r="AK4" t="str">
        <f>IF($AF4="","",SUMIFS(SummaryHelper!$G$2:$G$5000,SummaryHelper!$A$2:$A$5000,$AE4,SummaryHelper!$B$2:$B$5000,$AF4,SummaryHelper!$C$2:$C$5000,$AG4))</f>
        <v/>
      </c>
      <c r="AM4" t="str">
        <f t="shared" ref="AM4:AM67" si="10">IF($AF4="","",IF($AL4="",$AK4,$AL4))</f>
        <v/>
      </c>
      <c r="AN4" t="str">
        <f t="shared" ref="AN4:AN67" si="11">IF($AF4="","",$AM4*$AH4)</f>
        <v/>
      </c>
    </row>
    <row r="5" spans="1:40" x14ac:dyDescent="0.25">
      <c r="A5" s="12"/>
      <c r="B5" s="12" t="str">
        <f t="shared" si="0"/>
        <v/>
      </c>
      <c r="C5" s="9" t="str">
        <f t="shared" ca="1" si="1"/>
        <v/>
      </c>
      <c r="D5" s="9" t="str">
        <f t="shared" ca="1" si="2"/>
        <v/>
      </c>
      <c r="E5" s="9" t="str">
        <f t="shared" ca="1" si="3"/>
        <v/>
      </c>
      <c r="F5" s="9" t="str">
        <f t="shared" si="4"/>
        <v/>
      </c>
      <c r="G5" s="9" t="str">
        <f t="shared" si="5"/>
        <v/>
      </c>
      <c r="L5" s="9" t="str">
        <f>IF($J5="","",IFERROR(SUMIFS(SummaryHelper!$H$2:$H$5000,SummaryHelper!$A$2:$A$5000,$I5,SummaryHelper!$B$2:$B$5000,$J5,SummaryHelper!$C$2:$C$5000,$K5)/SUMIFS(SummaryHelper!$G$2:$G$5000,SummaryHelper!$A$2:$A$5000,$I5,SummaryHelper!$B$2:$B$5000,$J5,SummaryHelper!$C$2:$C$5000,$K5),""))</f>
        <v/>
      </c>
      <c r="M5" s="9" t="str">
        <f>IF($J5="","",SUMIFS(SummaryHelper!$E$2:$E$5000,SummaryHelper!$A$2:$A$5000,$I5,SummaryHelper!$B$2:$B$5000,$J5,SummaryHelper!$C$2:$C$5000,$K5))</f>
        <v/>
      </c>
      <c r="N5" s="9" t="str">
        <f>IF($J5="","",SUMIFS(SummaryHelper!$F$2:$F$5000,SummaryHelper!$A$2:$A$5000,$I5,SummaryHelper!$B$2:$B$5000,$J5,SummaryHelper!$C$2:$C$5000,$K5))</f>
        <v/>
      </c>
      <c r="O5" s="9" t="str">
        <f>IF($J5="","",SUMIFS(SummaryHelper!$G$2:$G$5000,SummaryHelper!$A$2:$A$5000,$I5,SummaryHelper!$B$2:$B$5000,$J5,SummaryHelper!$C$2:$C$5000,$K5))</f>
        <v/>
      </c>
      <c r="Q5" s="9" t="str">
        <f t="shared" si="6"/>
        <v/>
      </c>
      <c r="R5" s="9" t="str">
        <f t="shared" si="7"/>
        <v/>
      </c>
      <c r="W5" s="9" t="str">
        <f>IF($U5="","",IFERROR(SUMIFS(SummaryHelper!$H$2:$H$5000,SummaryHelper!$A$2:$A$5000,$T5,SummaryHelper!$B$2:$B$5000,$U5,SummaryHelper!$C$2:$C$5000,$V5)/SUMIFS(SummaryHelper!$G$2:$G$5000,SummaryHelper!$A$2:$A$5000,$T5,SummaryHelper!$B$2:$B$5000,$U5,SummaryHelper!$C$2:$C$5000,$V5),""))</f>
        <v/>
      </c>
      <c r="X5" s="9" t="str">
        <f>IF($U5="","",SUMIFS(SummaryHelper!$E$2:$E$5000,SummaryHelper!$A$2:$A$5000,$T5,SummaryHelper!$B$2:$B$5000,$U5,SummaryHelper!$C$2:$C$5000,$V5))</f>
        <v/>
      </c>
      <c r="Y5" s="9" t="str">
        <f>IF($U5="","",SUMIFS(SummaryHelper!$F$2:$F$5000,SummaryHelper!$A$2:$A$5000,$T5,SummaryHelper!$B$2:$B$5000,$U5,SummaryHelper!$C$2:$C$5000,$V5))</f>
        <v/>
      </c>
      <c r="Z5" s="9" t="s">
        <v>489</v>
      </c>
      <c r="AB5" s="9" t="str">
        <f t="shared" si="8"/>
        <v/>
      </c>
      <c r="AC5" s="9" t="str">
        <f t="shared" si="9"/>
        <v/>
      </c>
      <c r="AH5" t="str">
        <f>IF($AF5="","",IFERROR(SUMIFS(SummaryHelper!$H$2:$H$5000,SummaryHelper!$A$2:$A$5000,$AE5,SummaryHelper!$B$2:$B$5000,$AF5,SummaryHelper!$C$2:$C$5000,$AG5)/SUMIFS(SummaryHelper!$G$2:$G$5000,SummaryHelper!$A$2:$A$5000,$AE5,SummaryHelper!$B$2:$B$5000,$AF5,SummaryHelper!$C$2:$C$5000,$AG5),""))</f>
        <v/>
      </c>
      <c r="AI5" t="str">
        <f>IF($AF5="","",SUMIFS(SummaryHelper!$E$2:$E$5000,SummaryHelper!$A$2:$A$5000,$AE5,SummaryHelper!$B$2:$B$5000,$AF5,SummaryHelper!$C$2:$C$5000,$AG5))</f>
        <v/>
      </c>
      <c r="AJ5" t="str">
        <f>IF($AF5="","",SUMIFS(SummaryHelper!$F$2:$F$5000,SummaryHelper!$A$2:$A$5000,$AE5,SummaryHelper!$B$2:$B$5000,$AF5,SummaryHelper!$C$2:$C$5000,$AG5))</f>
        <v/>
      </c>
      <c r="AK5" t="str">
        <f>IF($AF5="","",SUMIFS(SummaryHelper!$G$2:$G$5000,SummaryHelper!$A$2:$A$5000,$AE5,SummaryHelper!$B$2:$B$5000,$AF5,SummaryHelper!$C$2:$C$5000,$AG5))</f>
        <v/>
      </c>
      <c r="AM5" t="str">
        <f t="shared" si="10"/>
        <v/>
      </c>
      <c r="AN5" t="str">
        <f t="shared" si="11"/>
        <v/>
      </c>
    </row>
    <row r="6" spans="1:40" x14ac:dyDescent="0.25">
      <c r="A6" s="12"/>
      <c r="B6" s="12" t="str">
        <f t="shared" si="0"/>
        <v/>
      </c>
      <c r="C6" s="9" t="str">
        <f t="shared" ca="1" si="1"/>
        <v/>
      </c>
      <c r="D6" s="9" t="str">
        <f t="shared" ca="1" si="2"/>
        <v/>
      </c>
      <c r="E6" s="9" t="str">
        <f t="shared" ca="1" si="3"/>
        <v/>
      </c>
      <c r="F6" s="9" t="str">
        <f t="shared" si="4"/>
        <v/>
      </c>
      <c r="G6" s="9" t="str">
        <f t="shared" si="5"/>
        <v/>
      </c>
      <c r="L6" s="9" t="str">
        <f>IF($J6="","",IFERROR(SUMIFS(SummaryHelper!$H$2:$H$5000,SummaryHelper!$A$2:$A$5000,$I6,SummaryHelper!$B$2:$B$5000,$J6,SummaryHelper!$C$2:$C$5000,$K6)/SUMIFS(SummaryHelper!$G$2:$G$5000,SummaryHelper!$A$2:$A$5000,$I6,SummaryHelper!$B$2:$B$5000,$J6,SummaryHelper!$C$2:$C$5000,$K6),""))</f>
        <v/>
      </c>
      <c r="M6" s="9" t="str">
        <f>IF($J6="","",SUMIFS(SummaryHelper!$E$2:$E$5000,SummaryHelper!$A$2:$A$5000,$I6,SummaryHelper!$B$2:$B$5000,$J6,SummaryHelper!$C$2:$C$5000,$K6))</f>
        <v/>
      </c>
      <c r="N6" s="9" t="str">
        <f>IF($J6="","",SUMIFS(SummaryHelper!$F$2:$F$5000,SummaryHelper!$A$2:$A$5000,$I6,SummaryHelper!$B$2:$B$5000,$J6,SummaryHelper!$C$2:$C$5000,$K6))</f>
        <v/>
      </c>
      <c r="O6" s="9" t="str">
        <f>IF($J6="","",SUMIFS(SummaryHelper!$G$2:$G$5000,SummaryHelper!$A$2:$A$5000,$I6,SummaryHelper!$B$2:$B$5000,$J6,SummaryHelper!$C$2:$C$5000,$K6))</f>
        <v/>
      </c>
      <c r="Q6" s="9" t="str">
        <f t="shared" si="6"/>
        <v/>
      </c>
      <c r="R6" s="9" t="str">
        <f t="shared" si="7"/>
        <v/>
      </c>
      <c r="W6" s="9" t="str">
        <f>IF($U6="","",IFERROR(SUMIFS(SummaryHelper!$H$2:$H$5000,SummaryHelper!$A$2:$A$5000,$T6,SummaryHelper!$B$2:$B$5000,$U6,SummaryHelper!$C$2:$C$5000,$V6)/SUMIFS(SummaryHelper!$G$2:$G$5000,SummaryHelper!$A$2:$A$5000,$T6,SummaryHelper!$B$2:$B$5000,$U6,SummaryHelper!$C$2:$C$5000,$V6),""))</f>
        <v/>
      </c>
      <c r="X6" s="9" t="str">
        <f>IF($U6="","",SUMIFS(SummaryHelper!$E$2:$E$5000,SummaryHelper!$A$2:$A$5000,$T6,SummaryHelper!$B$2:$B$5000,$U6,SummaryHelper!$C$2:$C$5000,$V6))</f>
        <v/>
      </c>
      <c r="Y6" s="9" t="str">
        <f>IF($U6="","",SUMIFS(SummaryHelper!$F$2:$F$5000,SummaryHelper!$A$2:$A$5000,$T6,SummaryHelper!$B$2:$B$5000,$U6,SummaryHelper!$C$2:$C$5000,$V6))</f>
        <v/>
      </c>
      <c r="Z6" s="9" t="s">
        <v>489</v>
      </c>
      <c r="AB6" s="9" t="str">
        <f t="shared" si="8"/>
        <v/>
      </c>
      <c r="AC6" s="9" t="str">
        <f t="shared" si="9"/>
        <v/>
      </c>
      <c r="AH6" t="str">
        <f>IF($AF6="","",IFERROR(SUMIFS(SummaryHelper!$H$2:$H$5000,SummaryHelper!$A$2:$A$5000,$AE6,SummaryHelper!$B$2:$B$5000,$AF6,SummaryHelper!$C$2:$C$5000,$AG6)/SUMIFS(SummaryHelper!$G$2:$G$5000,SummaryHelper!$A$2:$A$5000,$AE6,SummaryHelper!$B$2:$B$5000,$AF6,SummaryHelper!$C$2:$C$5000,$AG6),""))</f>
        <v/>
      </c>
      <c r="AI6" t="str">
        <f>IF($AF6="","",SUMIFS(SummaryHelper!$E$2:$E$5000,SummaryHelper!$A$2:$A$5000,$AE6,SummaryHelper!$B$2:$B$5000,$AF6,SummaryHelper!$C$2:$C$5000,$AG6))</f>
        <v/>
      </c>
      <c r="AJ6" t="str">
        <f>IF($AF6="","",SUMIFS(SummaryHelper!$F$2:$F$5000,SummaryHelper!$A$2:$A$5000,$AE6,SummaryHelper!$B$2:$B$5000,$AF6,SummaryHelper!$C$2:$C$5000,$AG6))</f>
        <v/>
      </c>
      <c r="AK6" t="str">
        <f>IF($AF6="","",SUMIFS(SummaryHelper!$G$2:$G$5000,SummaryHelper!$A$2:$A$5000,$AE6,SummaryHelper!$B$2:$B$5000,$AF6,SummaryHelper!$C$2:$C$5000,$AG6))</f>
        <v/>
      </c>
      <c r="AM6" t="str">
        <f t="shared" si="10"/>
        <v/>
      </c>
      <c r="AN6" t="str">
        <f t="shared" si="11"/>
        <v/>
      </c>
    </row>
    <row r="7" spans="1:40" x14ac:dyDescent="0.25">
      <c r="A7" s="12"/>
      <c r="B7" s="12" t="str">
        <f t="shared" si="0"/>
        <v/>
      </c>
      <c r="C7" s="9" t="str">
        <f t="shared" ca="1" si="1"/>
        <v/>
      </c>
      <c r="D7" s="9" t="str">
        <f t="shared" ca="1" si="2"/>
        <v/>
      </c>
      <c r="E7" s="9" t="str">
        <f t="shared" ca="1" si="3"/>
        <v/>
      </c>
      <c r="F7" s="9" t="str">
        <f t="shared" si="4"/>
        <v/>
      </c>
      <c r="G7" s="9" t="str">
        <f t="shared" si="5"/>
        <v/>
      </c>
      <c r="L7" s="9" t="str">
        <f>IF($J7="","",IFERROR(SUMIFS(SummaryHelper!$H$2:$H$5000,SummaryHelper!$A$2:$A$5000,$I7,SummaryHelper!$B$2:$B$5000,$J7,SummaryHelper!$C$2:$C$5000,$K7)/SUMIFS(SummaryHelper!$G$2:$G$5000,SummaryHelper!$A$2:$A$5000,$I7,SummaryHelper!$B$2:$B$5000,$J7,SummaryHelper!$C$2:$C$5000,$K7),""))</f>
        <v/>
      </c>
      <c r="M7" s="9" t="str">
        <f>IF($J7="","",SUMIFS(SummaryHelper!$E$2:$E$5000,SummaryHelper!$A$2:$A$5000,$I7,SummaryHelper!$B$2:$B$5000,$J7,SummaryHelper!$C$2:$C$5000,$K7))</f>
        <v/>
      </c>
      <c r="N7" s="9" t="str">
        <f>IF($J7="","",SUMIFS(SummaryHelper!$F$2:$F$5000,SummaryHelper!$A$2:$A$5000,$I7,SummaryHelper!$B$2:$B$5000,$J7,SummaryHelper!$C$2:$C$5000,$K7))</f>
        <v/>
      </c>
      <c r="O7" s="9" t="str">
        <f>IF($J7="","",SUMIFS(SummaryHelper!$G$2:$G$5000,SummaryHelper!$A$2:$A$5000,$I7,SummaryHelper!$B$2:$B$5000,$J7,SummaryHelper!$C$2:$C$5000,$K7))</f>
        <v/>
      </c>
      <c r="Q7" s="9" t="str">
        <f t="shared" si="6"/>
        <v/>
      </c>
      <c r="R7" s="9" t="str">
        <f t="shared" si="7"/>
        <v/>
      </c>
      <c r="W7" s="9" t="str">
        <f>IF($U7="","",IFERROR(SUMIFS(SummaryHelper!$H$2:$H$5000,SummaryHelper!$A$2:$A$5000,$T7,SummaryHelper!$B$2:$B$5000,$U7,SummaryHelper!$C$2:$C$5000,$V7)/SUMIFS(SummaryHelper!$G$2:$G$5000,SummaryHelper!$A$2:$A$5000,$T7,SummaryHelper!$B$2:$B$5000,$U7,SummaryHelper!$C$2:$C$5000,$V7),""))</f>
        <v/>
      </c>
      <c r="X7" s="9" t="str">
        <f>IF($U7="","",SUMIFS(SummaryHelper!$E$2:$E$5000,SummaryHelper!$A$2:$A$5000,$T7,SummaryHelper!$B$2:$B$5000,$U7,SummaryHelper!$C$2:$C$5000,$V7))</f>
        <v/>
      </c>
      <c r="Y7" s="9" t="str">
        <f>IF($U7="","",SUMIFS(SummaryHelper!$F$2:$F$5000,SummaryHelper!$A$2:$A$5000,$T7,SummaryHelper!$B$2:$B$5000,$U7,SummaryHelper!$C$2:$C$5000,$V7))</f>
        <v/>
      </c>
      <c r="Z7" s="9" t="s">
        <v>489</v>
      </c>
      <c r="AB7" s="9" t="str">
        <f t="shared" si="8"/>
        <v/>
      </c>
      <c r="AC7" s="9" t="str">
        <f t="shared" si="9"/>
        <v/>
      </c>
      <c r="AH7" t="str">
        <f>IF($AF7="","",IFERROR(SUMIFS(SummaryHelper!$H$2:$H$5000,SummaryHelper!$A$2:$A$5000,$AE7,SummaryHelper!$B$2:$B$5000,$AF7,SummaryHelper!$C$2:$C$5000,$AG7)/SUMIFS(SummaryHelper!$G$2:$G$5000,SummaryHelper!$A$2:$A$5000,$AE7,SummaryHelper!$B$2:$B$5000,$AF7,SummaryHelper!$C$2:$C$5000,$AG7),""))</f>
        <v/>
      </c>
      <c r="AI7" t="str">
        <f>IF($AF7="","",SUMIFS(SummaryHelper!$E$2:$E$5000,SummaryHelper!$A$2:$A$5000,$AE7,SummaryHelper!$B$2:$B$5000,$AF7,SummaryHelper!$C$2:$C$5000,$AG7))</f>
        <v/>
      </c>
      <c r="AJ7" t="str">
        <f>IF($AF7="","",SUMIFS(SummaryHelper!$F$2:$F$5000,SummaryHelper!$A$2:$A$5000,$AE7,SummaryHelper!$B$2:$B$5000,$AF7,SummaryHelper!$C$2:$C$5000,$AG7))</f>
        <v/>
      </c>
      <c r="AK7" t="str">
        <f>IF($AF7="","",SUMIFS(SummaryHelper!$G$2:$G$5000,SummaryHelper!$A$2:$A$5000,$AE7,SummaryHelper!$B$2:$B$5000,$AF7,SummaryHelper!$C$2:$C$5000,$AG7))</f>
        <v/>
      </c>
      <c r="AM7" t="str">
        <f t="shared" si="10"/>
        <v/>
      </c>
      <c r="AN7" t="str">
        <f t="shared" si="11"/>
        <v/>
      </c>
    </row>
    <row r="8" spans="1:40" x14ac:dyDescent="0.25">
      <c r="A8" s="12"/>
      <c r="B8" s="12" t="str">
        <f t="shared" si="0"/>
        <v/>
      </c>
      <c r="C8" s="9" t="str">
        <f t="shared" ca="1" si="1"/>
        <v/>
      </c>
      <c r="D8" s="9" t="str">
        <f t="shared" ca="1" si="2"/>
        <v/>
      </c>
      <c r="E8" s="9" t="str">
        <f t="shared" ca="1" si="3"/>
        <v/>
      </c>
      <c r="F8" s="9" t="str">
        <f t="shared" si="4"/>
        <v/>
      </c>
      <c r="G8" s="9" t="str">
        <f t="shared" si="5"/>
        <v/>
      </c>
      <c r="L8" s="9" t="str">
        <f>IF($J8="","",IFERROR(SUMIFS(SummaryHelper!$H$2:$H$5000,SummaryHelper!$A$2:$A$5000,$I8,SummaryHelper!$B$2:$B$5000,$J8,SummaryHelper!$C$2:$C$5000,$K8)/SUMIFS(SummaryHelper!$G$2:$G$5000,SummaryHelper!$A$2:$A$5000,$I8,SummaryHelper!$B$2:$B$5000,$J8,SummaryHelper!$C$2:$C$5000,$K8),""))</f>
        <v/>
      </c>
      <c r="M8" s="9" t="str">
        <f>IF($J8="","",SUMIFS(SummaryHelper!$E$2:$E$5000,SummaryHelper!$A$2:$A$5000,$I8,SummaryHelper!$B$2:$B$5000,$J8,SummaryHelper!$C$2:$C$5000,$K8))</f>
        <v/>
      </c>
      <c r="N8" s="9" t="str">
        <f>IF($J8="","",SUMIFS(SummaryHelper!$F$2:$F$5000,SummaryHelper!$A$2:$A$5000,$I8,SummaryHelper!$B$2:$B$5000,$J8,SummaryHelper!$C$2:$C$5000,$K8))</f>
        <v/>
      </c>
      <c r="O8" s="9" t="str">
        <f>IF($J8="","",SUMIFS(SummaryHelper!$G$2:$G$5000,SummaryHelper!$A$2:$A$5000,$I8,SummaryHelper!$B$2:$B$5000,$J8,SummaryHelper!$C$2:$C$5000,$K8))</f>
        <v/>
      </c>
      <c r="Q8" s="9" t="str">
        <f t="shared" si="6"/>
        <v/>
      </c>
      <c r="R8" s="9" t="str">
        <f t="shared" si="7"/>
        <v/>
      </c>
      <c r="W8" s="9" t="str">
        <f>IF($U8="","",IFERROR(SUMIFS(SummaryHelper!$H$2:$H$5000,SummaryHelper!$A$2:$A$5000,$T8,SummaryHelper!$B$2:$B$5000,$U8,SummaryHelper!$C$2:$C$5000,$V8)/SUMIFS(SummaryHelper!$G$2:$G$5000,SummaryHelper!$A$2:$A$5000,$T8,SummaryHelper!$B$2:$B$5000,$U8,SummaryHelper!$C$2:$C$5000,$V8),""))</f>
        <v/>
      </c>
      <c r="X8" s="9" t="str">
        <f>IF($U8="","",SUMIFS(SummaryHelper!$E$2:$E$5000,SummaryHelper!$A$2:$A$5000,$T8,SummaryHelper!$B$2:$B$5000,$U8,SummaryHelper!$C$2:$C$5000,$V8))</f>
        <v/>
      </c>
      <c r="Y8" s="9" t="str">
        <f>IF($U8="","",SUMIFS(SummaryHelper!$F$2:$F$5000,SummaryHelper!$A$2:$A$5000,$T8,SummaryHelper!$B$2:$B$5000,$U8,SummaryHelper!$C$2:$C$5000,$V8))</f>
        <v/>
      </c>
      <c r="Z8" s="9" t="s">
        <v>489</v>
      </c>
      <c r="AB8" s="9" t="str">
        <f t="shared" si="8"/>
        <v/>
      </c>
      <c r="AC8" s="9" t="str">
        <f t="shared" si="9"/>
        <v/>
      </c>
      <c r="AH8" t="str">
        <f>IF($AF8="","",IFERROR(SUMIFS(SummaryHelper!$H$2:$H$5000,SummaryHelper!$A$2:$A$5000,$AE8,SummaryHelper!$B$2:$B$5000,$AF8,SummaryHelper!$C$2:$C$5000,$AG8)/SUMIFS(SummaryHelper!$G$2:$G$5000,SummaryHelper!$A$2:$A$5000,$AE8,SummaryHelper!$B$2:$B$5000,$AF8,SummaryHelper!$C$2:$C$5000,$AG8),""))</f>
        <v/>
      </c>
      <c r="AI8" t="str">
        <f>IF($AF8="","",SUMIFS(SummaryHelper!$E$2:$E$5000,SummaryHelper!$A$2:$A$5000,$AE8,SummaryHelper!$B$2:$B$5000,$AF8,SummaryHelper!$C$2:$C$5000,$AG8))</f>
        <v/>
      </c>
      <c r="AJ8" t="str">
        <f>IF($AF8="","",SUMIFS(SummaryHelper!$F$2:$F$5000,SummaryHelper!$A$2:$A$5000,$AE8,SummaryHelper!$B$2:$B$5000,$AF8,SummaryHelper!$C$2:$C$5000,$AG8))</f>
        <v/>
      </c>
      <c r="AK8" t="str">
        <f>IF($AF8="","",SUMIFS(SummaryHelper!$G$2:$G$5000,SummaryHelper!$A$2:$A$5000,$AE8,SummaryHelper!$B$2:$B$5000,$AF8,SummaryHelper!$C$2:$C$5000,$AG8))</f>
        <v/>
      </c>
      <c r="AM8" t="str">
        <f t="shared" si="10"/>
        <v/>
      </c>
      <c r="AN8" t="str">
        <f t="shared" si="11"/>
        <v/>
      </c>
    </row>
    <row r="9" spans="1:40" x14ac:dyDescent="0.25">
      <c r="A9" s="12"/>
      <c r="B9" s="12" t="str">
        <f t="shared" si="0"/>
        <v/>
      </c>
      <c r="C9" s="9" t="str">
        <f t="shared" ca="1" si="1"/>
        <v/>
      </c>
      <c r="D9" s="9" t="str">
        <f t="shared" ca="1" si="2"/>
        <v/>
      </c>
      <c r="E9" s="9" t="str">
        <f t="shared" ca="1" si="3"/>
        <v/>
      </c>
      <c r="F9" s="9" t="str">
        <f t="shared" si="4"/>
        <v/>
      </c>
      <c r="G9" s="9" t="str">
        <f t="shared" si="5"/>
        <v/>
      </c>
      <c r="L9" s="9" t="str">
        <f>IF($J9="","",IFERROR(SUMIFS(SummaryHelper!$H$2:$H$5000,SummaryHelper!$A$2:$A$5000,$I9,SummaryHelper!$B$2:$B$5000,$J9,SummaryHelper!$C$2:$C$5000,$K9)/SUMIFS(SummaryHelper!$G$2:$G$5000,SummaryHelper!$A$2:$A$5000,$I9,SummaryHelper!$B$2:$B$5000,$J9,SummaryHelper!$C$2:$C$5000,$K9),""))</f>
        <v/>
      </c>
      <c r="M9" s="9" t="str">
        <f>IF($J9="","",SUMIFS(SummaryHelper!$E$2:$E$5000,SummaryHelper!$A$2:$A$5000,$I9,SummaryHelper!$B$2:$B$5000,$J9,SummaryHelper!$C$2:$C$5000,$K9))</f>
        <v/>
      </c>
      <c r="N9" s="9" t="str">
        <f>IF($J9="","",SUMIFS(SummaryHelper!$F$2:$F$5000,SummaryHelper!$A$2:$A$5000,$I9,SummaryHelper!$B$2:$B$5000,$J9,SummaryHelper!$C$2:$C$5000,$K9))</f>
        <v/>
      </c>
      <c r="O9" s="9" t="str">
        <f>IF($J9="","",SUMIFS(SummaryHelper!$G$2:$G$5000,SummaryHelper!$A$2:$A$5000,$I9,SummaryHelper!$B$2:$B$5000,$J9,SummaryHelper!$C$2:$C$5000,$K9))</f>
        <v/>
      </c>
      <c r="Q9" s="9" t="str">
        <f t="shared" si="6"/>
        <v/>
      </c>
      <c r="R9" s="9" t="str">
        <f t="shared" si="7"/>
        <v/>
      </c>
      <c r="W9" s="9" t="str">
        <f>IF($U9="","",IFERROR(SUMIFS(SummaryHelper!$H$2:$H$5000,SummaryHelper!$A$2:$A$5000,$T9,SummaryHelper!$B$2:$B$5000,$U9,SummaryHelper!$C$2:$C$5000,$V9)/SUMIFS(SummaryHelper!$G$2:$G$5000,SummaryHelper!$A$2:$A$5000,$T9,SummaryHelper!$B$2:$B$5000,$U9,SummaryHelper!$C$2:$C$5000,$V9),""))</f>
        <v/>
      </c>
      <c r="X9" s="9" t="str">
        <f>IF($U9="","",SUMIFS(SummaryHelper!$E$2:$E$5000,SummaryHelper!$A$2:$A$5000,$T9,SummaryHelper!$B$2:$B$5000,$U9,SummaryHelper!$C$2:$C$5000,$V9))</f>
        <v/>
      </c>
      <c r="Y9" s="9" t="str">
        <f>IF($U9="","",SUMIFS(SummaryHelper!$F$2:$F$5000,SummaryHelper!$A$2:$A$5000,$T9,SummaryHelper!$B$2:$B$5000,$U9,SummaryHelper!$C$2:$C$5000,$V9))</f>
        <v/>
      </c>
      <c r="Z9" s="9" t="s">
        <v>489</v>
      </c>
      <c r="AB9" s="9" t="str">
        <f t="shared" si="8"/>
        <v/>
      </c>
      <c r="AC9" s="9" t="str">
        <f t="shared" si="9"/>
        <v/>
      </c>
      <c r="AH9" t="str">
        <f>IF($AF9="","",IFERROR(SUMIFS(SummaryHelper!$H$2:$H$5000,SummaryHelper!$A$2:$A$5000,$AE9,SummaryHelper!$B$2:$B$5000,$AF9,SummaryHelper!$C$2:$C$5000,$AG9)/SUMIFS(SummaryHelper!$G$2:$G$5000,SummaryHelper!$A$2:$A$5000,$AE9,SummaryHelper!$B$2:$B$5000,$AF9,SummaryHelper!$C$2:$C$5000,$AG9),""))</f>
        <v/>
      </c>
      <c r="AI9" t="str">
        <f>IF($AF9="","",SUMIFS(SummaryHelper!$E$2:$E$5000,SummaryHelper!$A$2:$A$5000,$AE9,SummaryHelper!$B$2:$B$5000,$AF9,SummaryHelper!$C$2:$C$5000,$AG9))</f>
        <v/>
      </c>
      <c r="AJ9" t="str">
        <f>IF($AF9="","",SUMIFS(SummaryHelper!$F$2:$F$5000,SummaryHelper!$A$2:$A$5000,$AE9,SummaryHelper!$B$2:$B$5000,$AF9,SummaryHelper!$C$2:$C$5000,$AG9))</f>
        <v/>
      </c>
      <c r="AK9" t="str">
        <f>IF($AF9="","",SUMIFS(SummaryHelper!$G$2:$G$5000,SummaryHelper!$A$2:$A$5000,$AE9,SummaryHelper!$B$2:$B$5000,$AF9,SummaryHelper!$C$2:$C$5000,$AG9))</f>
        <v/>
      </c>
      <c r="AM9" t="str">
        <f t="shared" si="10"/>
        <v/>
      </c>
      <c r="AN9" t="str">
        <f t="shared" si="11"/>
        <v/>
      </c>
    </row>
    <row r="10" spans="1:40" x14ac:dyDescent="0.25">
      <c r="A10" s="12"/>
      <c r="B10" s="12" t="str">
        <f t="shared" si="0"/>
        <v/>
      </c>
      <c r="C10" s="9" t="str">
        <f t="shared" ca="1" si="1"/>
        <v/>
      </c>
      <c r="D10" s="9" t="str">
        <f t="shared" ca="1" si="2"/>
        <v/>
      </c>
      <c r="E10" s="9" t="str">
        <f t="shared" ca="1" si="3"/>
        <v/>
      </c>
      <c r="F10" s="9" t="str">
        <f t="shared" si="4"/>
        <v/>
      </c>
      <c r="G10" s="9" t="str">
        <f t="shared" si="5"/>
        <v/>
      </c>
      <c r="L10" s="9" t="str">
        <f>IF($J10="","",IFERROR(SUMIFS(SummaryHelper!$H$2:$H$5000,SummaryHelper!$A$2:$A$5000,$I10,SummaryHelper!$B$2:$B$5000,$J10,SummaryHelper!$C$2:$C$5000,$K10)/SUMIFS(SummaryHelper!$G$2:$G$5000,SummaryHelper!$A$2:$A$5000,$I10,SummaryHelper!$B$2:$B$5000,$J10,SummaryHelper!$C$2:$C$5000,$K10),""))</f>
        <v/>
      </c>
      <c r="M10" s="9" t="str">
        <f>IF($J10="","",SUMIFS(SummaryHelper!$E$2:$E$5000,SummaryHelper!$A$2:$A$5000,$I10,SummaryHelper!$B$2:$B$5000,$J10,SummaryHelper!$C$2:$C$5000,$K10))</f>
        <v/>
      </c>
      <c r="N10" s="9" t="str">
        <f>IF($J10="","",SUMIFS(SummaryHelper!$F$2:$F$5000,SummaryHelper!$A$2:$A$5000,$I10,SummaryHelper!$B$2:$B$5000,$J10,SummaryHelper!$C$2:$C$5000,$K10))</f>
        <v/>
      </c>
      <c r="O10" s="9" t="str">
        <f>IF($J10="","",SUMIFS(SummaryHelper!$G$2:$G$5000,SummaryHelper!$A$2:$A$5000,$I10,SummaryHelper!$B$2:$B$5000,$J10,SummaryHelper!$C$2:$C$5000,$K10))</f>
        <v/>
      </c>
      <c r="Q10" s="9" t="str">
        <f t="shared" si="6"/>
        <v/>
      </c>
      <c r="R10" s="9" t="str">
        <f t="shared" si="7"/>
        <v/>
      </c>
      <c r="W10" s="9" t="str">
        <f>IF($U10="","",IFERROR(SUMIFS(SummaryHelper!$H$2:$H$5000,SummaryHelper!$A$2:$A$5000,$T10,SummaryHelper!$B$2:$B$5000,$U10,SummaryHelper!$C$2:$C$5000,$V10)/SUMIFS(SummaryHelper!$G$2:$G$5000,SummaryHelper!$A$2:$A$5000,$T10,SummaryHelper!$B$2:$B$5000,$U10,SummaryHelper!$C$2:$C$5000,$V10),""))</f>
        <v/>
      </c>
      <c r="X10" s="9" t="str">
        <f>IF($U10="","",SUMIFS(SummaryHelper!$E$2:$E$5000,SummaryHelper!$A$2:$A$5000,$T10,SummaryHelper!$B$2:$B$5000,$U10,SummaryHelper!$C$2:$C$5000,$V10))</f>
        <v/>
      </c>
      <c r="Y10" s="9" t="str">
        <f>IF($U10="","",SUMIFS(SummaryHelper!$F$2:$F$5000,SummaryHelper!$A$2:$A$5000,$T10,SummaryHelper!$B$2:$B$5000,$U10,SummaryHelper!$C$2:$C$5000,$V10))</f>
        <v/>
      </c>
      <c r="Z10" s="9" t="s">
        <v>489</v>
      </c>
      <c r="AB10" s="9" t="str">
        <f t="shared" si="8"/>
        <v/>
      </c>
      <c r="AC10" s="9" t="str">
        <f t="shared" si="9"/>
        <v/>
      </c>
      <c r="AH10" t="str">
        <f>IF($AF10="","",IFERROR(SUMIFS(SummaryHelper!$H$2:$H$5000,SummaryHelper!$A$2:$A$5000,$AE10,SummaryHelper!$B$2:$B$5000,$AF10,SummaryHelper!$C$2:$C$5000,$AG10)/SUMIFS(SummaryHelper!$G$2:$G$5000,SummaryHelper!$A$2:$A$5000,$AE10,SummaryHelper!$B$2:$B$5000,$AF10,SummaryHelper!$C$2:$C$5000,$AG10),""))</f>
        <v/>
      </c>
      <c r="AI10" t="str">
        <f>IF($AF10="","",SUMIFS(SummaryHelper!$E$2:$E$5000,SummaryHelper!$A$2:$A$5000,$AE10,SummaryHelper!$B$2:$B$5000,$AF10,SummaryHelper!$C$2:$C$5000,$AG10))</f>
        <v/>
      </c>
      <c r="AJ10" t="str">
        <f>IF($AF10="","",SUMIFS(SummaryHelper!$F$2:$F$5000,SummaryHelper!$A$2:$A$5000,$AE10,SummaryHelper!$B$2:$B$5000,$AF10,SummaryHelper!$C$2:$C$5000,$AG10))</f>
        <v/>
      </c>
      <c r="AK10" t="str">
        <f>IF($AF10="","",SUMIFS(SummaryHelper!$G$2:$G$5000,SummaryHelper!$A$2:$A$5000,$AE10,SummaryHelper!$B$2:$B$5000,$AF10,SummaryHelper!$C$2:$C$5000,$AG10))</f>
        <v/>
      </c>
      <c r="AM10" t="str">
        <f t="shared" si="10"/>
        <v/>
      </c>
      <c r="AN10" t="str">
        <f t="shared" si="11"/>
        <v/>
      </c>
    </row>
    <row r="11" spans="1:40" x14ac:dyDescent="0.25">
      <c r="A11" s="12"/>
      <c r="B11" s="12" t="str">
        <f t="shared" si="0"/>
        <v/>
      </c>
      <c r="C11" s="9" t="str">
        <f t="shared" ca="1" si="1"/>
        <v/>
      </c>
      <c r="D11" s="9" t="str">
        <f t="shared" ca="1" si="2"/>
        <v/>
      </c>
      <c r="E11" s="9" t="str">
        <f t="shared" ca="1" si="3"/>
        <v/>
      </c>
      <c r="F11" s="9" t="str">
        <f t="shared" si="4"/>
        <v/>
      </c>
      <c r="G11" s="9" t="str">
        <f t="shared" si="5"/>
        <v/>
      </c>
      <c r="L11" s="9" t="str">
        <f>IF($J11="","",IFERROR(SUMIFS(SummaryHelper!$H$2:$H$5000,SummaryHelper!$A$2:$A$5000,$I11,SummaryHelper!$B$2:$B$5000,$J11,SummaryHelper!$C$2:$C$5000,$K11)/SUMIFS(SummaryHelper!$G$2:$G$5000,SummaryHelper!$A$2:$A$5000,$I11,SummaryHelper!$B$2:$B$5000,$J11,SummaryHelper!$C$2:$C$5000,$K11),""))</f>
        <v/>
      </c>
      <c r="M11" s="9" t="str">
        <f>IF($J11="","",SUMIFS(SummaryHelper!$E$2:$E$5000,SummaryHelper!$A$2:$A$5000,$I11,SummaryHelper!$B$2:$B$5000,$J11,SummaryHelper!$C$2:$C$5000,$K11))</f>
        <v/>
      </c>
      <c r="N11" s="9" t="str">
        <f>IF($J11="","",SUMIFS(SummaryHelper!$F$2:$F$5000,SummaryHelper!$A$2:$A$5000,$I11,SummaryHelper!$B$2:$B$5000,$J11,SummaryHelper!$C$2:$C$5000,$K11))</f>
        <v/>
      </c>
      <c r="O11" s="9" t="str">
        <f>IF($J11="","",SUMIFS(SummaryHelper!$G$2:$G$5000,SummaryHelper!$A$2:$A$5000,$I11,SummaryHelper!$B$2:$B$5000,$J11,SummaryHelper!$C$2:$C$5000,$K11))</f>
        <v/>
      </c>
      <c r="Q11" s="9" t="str">
        <f t="shared" si="6"/>
        <v/>
      </c>
      <c r="R11" s="9" t="str">
        <f t="shared" si="7"/>
        <v/>
      </c>
      <c r="W11" s="9" t="str">
        <f>IF($U11="","",IFERROR(SUMIFS(SummaryHelper!$H$2:$H$5000,SummaryHelper!$A$2:$A$5000,$T11,SummaryHelper!$B$2:$B$5000,$U11,SummaryHelper!$C$2:$C$5000,$V11)/SUMIFS(SummaryHelper!$G$2:$G$5000,SummaryHelper!$A$2:$A$5000,$T11,SummaryHelper!$B$2:$B$5000,$U11,SummaryHelper!$C$2:$C$5000,$V11),""))</f>
        <v/>
      </c>
      <c r="X11" s="9" t="str">
        <f>IF($U11="","",SUMIFS(SummaryHelper!$E$2:$E$5000,SummaryHelper!$A$2:$A$5000,$T11,SummaryHelper!$B$2:$B$5000,$U11,SummaryHelper!$C$2:$C$5000,$V11))</f>
        <v/>
      </c>
      <c r="Y11" s="9" t="str">
        <f>IF($U11="","",SUMIFS(SummaryHelper!$F$2:$F$5000,SummaryHelper!$A$2:$A$5000,$T11,SummaryHelper!$B$2:$B$5000,$U11,SummaryHelper!$C$2:$C$5000,$V11))</f>
        <v/>
      </c>
      <c r="Z11" s="9" t="s">
        <v>489</v>
      </c>
      <c r="AB11" s="9" t="str">
        <f t="shared" si="8"/>
        <v/>
      </c>
      <c r="AC11" s="9" t="str">
        <f t="shared" si="9"/>
        <v/>
      </c>
      <c r="AH11" t="str">
        <f>IF($AF11="","",IFERROR(SUMIFS(SummaryHelper!$H$2:$H$5000,SummaryHelper!$A$2:$A$5000,$AE11,SummaryHelper!$B$2:$B$5000,$AF11,SummaryHelper!$C$2:$C$5000,$AG11)/SUMIFS(SummaryHelper!$G$2:$G$5000,SummaryHelper!$A$2:$A$5000,$AE11,SummaryHelper!$B$2:$B$5000,$AF11,SummaryHelper!$C$2:$C$5000,$AG11),""))</f>
        <v/>
      </c>
      <c r="AI11" t="str">
        <f>IF($AF11="","",SUMIFS(SummaryHelper!$E$2:$E$5000,SummaryHelper!$A$2:$A$5000,$AE11,SummaryHelper!$B$2:$B$5000,$AF11,SummaryHelper!$C$2:$C$5000,$AG11))</f>
        <v/>
      </c>
      <c r="AJ11" t="str">
        <f>IF($AF11="","",SUMIFS(SummaryHelper!$F$2:$F$5000,SummaryHelper!$A$2:$A$5000,$AE11,SummaryHelper!$B$2:$B$5000,$AF11,SummaryHelper!$C$2:$C$5000,$AG11))</f>
        <v/>
      </c>
      <c r="AK11" t="str">
        <f>IF($AF11="","",SUMIFS(SummaryHelper!$G$2:$G$5000,SummaryHelper!$A$2:$A$5000,$AE11,SummaryHelper!$B$2:$B$5000,$AF11,SummaryHelper!$C$2:$C$5000,$AG11))</f>
        <v/>
      </c>
      <c r="AM11" t="str">
        <f t="shared" si="10"/>
        <v/>
      </c>
      <c r="AN11" t="str">
        <f t="shared" si="11"/>
        <v/>
      </c>
    </row>
    <row r="12" spans="1:40" x14ac:dyDescent="0.25">
      <c r="A12" s="12"/>
      <c r="B12" s="12" t="str">
        <f t="shared" si="0"/>
        <v/>
      </c>
      <c r="C12" s="9" t="str">
        <f t="shared" ca="1" si="1"/>
        <v/>
      </c>
      <c r="D12" s="9" t="str">
        <f t="shared" ca="1" si="2"/>
        <v/>
      </c>
      <c r="E12" s="9" t="str">
        <f t="shared" ca="1" si="3"/>
        <v/>
      </c>
      <c r="F12" s="9" t="str">
        <f t="shared" si="4"/>
        <v/>
      </c>
      <c r="G12" s="9" t="str">
        <f t="shared" si="5"/>
        <v/>
      </c>
      <c r="L12" s="9" t="str">
        <f>IF($J12="","",IFERROR(SUMIFS(SummaryHelper!$H$2:$H$5000,SummaryHelper!$A$2:$A$5000,$I12,SummaryHelper!$B$2:$B$5000,$J12,SummaryHelper!$C$2:$C$5000,$K12)/SUMIFS(SummaryHelper!$G$2:$G$5000,SummaryHelper!$A$2:$A$5000,$I12,SummaryHelper!$B$2:$B$5000,$J12,SummaryHelper!$C$2:$C$5000,$K12),""))</f>
        <v/>
      </c>
      <c r="M12" s="9" t="str">
        <f>IF($J12="","",SUMIFS(SummaryHelper!$E$2:$E$5000,SummaryHelper!$A$2:$A$5000,$I12,SummaryHelper!$B$2:$B$5000,$J12,SummaryHelper!$C$2:$C$5000,$K12))</f>
        <v/>
      </c>
      <c r="N12" s="9" t="str">
        <f>IF($J12="","",SUMIFS(SummaryHelper!$F$2:$F$5000,SummaryHelper!$A$2:$A$5000,$I12,SummaryHelper!$B$2:$B$5000,$J12,SummaryHelper!$C$2:$C$5000,$K12))</f>
        <v/>
      </c>
      <c r="O12" s="9" t="str">
        <f>IF($J12="","",SUMIFS(SummaryHelper!$G$2:$G$5000,SummaryHelper!$A$2:$A$5000,$I12,SummaryHelper!$B$2:$B$5000,$J12,SummaryHelper!$C$2:$C$5000,$K12))</f>
        <v/>
      </c>
      <c r="Q12" s="9" t="str">
        <f t="shared" si="6"/>
        <v/>
      </c>
      <c r="R12" s="9" t="str">
        <f t="shared" si="7"/>
        <v/>
      </c>
      <c r="W12" s="9" t="str">
        <f>IF($U12="","",IFERROR(SUMIFS(SummaryHelper!$H$2:$H$5000,SummaryHelper!$A$2:$A$5000,$T12,SummaryHelper!$B$2:$B$5000,$U12,SummaryHelper!$C$2:$C$5000,$V12)/SUMIFS(SummaryHelper!$G$2:$G$5000,SummaryHelper!$A$2:$A$5000,$T12,SummaryHelper!$B$2:$B$5000,$U12,SummaryHelper!$C$2:$C$5000,$V12),""))</f>
        <v/>
      </c>
      <c r="X12" s="9" t="str">
        <f>IF($U12="","",SUMIFS(SummaryHelper!$E$2:$E$5000,SummaryHelper!$A$2:$A$5000,$T12,SummaryHelper!$B$2:$B$5000,$U12,SummaryHelper!$C$2:$C$5000,$V12))</f>
        <v/>
      </c>
      <c r="Y12" s="9" t="str">
        <f>IF($U12="","",SUMIFS(SummaryHelper!$F$2:$F$5000,SummaryHelper!$A$2:$A$5000,$T12,SummaryHelper!$B$2:$B$5000,$U12,SummaryHelper!$C$2:$C$5000,$V12))</f>
        <v/>
      </c>
      <c r="Z12" s="9" t="s">
        <v>489</v>
      </c>
      <c r="AB12" s="9" t="str">
        <f t="shared" si="8"/>
        <v/>
      </c>
      <c r="AC12" s="9" t="str">
        <f t="shared" si="9"/>
        <v/>
      </c>
      <c r="AH12" t="str">
        <f>IF($AF12="","",IFERROR(SUMIFS(SummaryHelper!$H$2:$H$5000,SummaryHelper!$A$2:$A$5000,$AE12,SummaryHelper!$B$2:$B$5000,$AF12,SummaryHelper!$C$2:$C$5000,$AG12)/SUMIFS(SummaryHelper!$G$2:$G$5000,SummaryHelper!$A$2:$A$5000,$AE12,SummaryHelper!$B$2:$B$5000,$AF12,SummaryHelper!$C$2:$C$5000,$AG12),""))</f>
        <v/>
      </c>
      <c r="AI12" t="str">
        <f>IF($AF12="","",SUMIFS(SummaryHelper!$E$2:$E$5000,SummaryHelper!$A$2:$A$5000,$AE12,SummaryHelper!$B$2:$B$5000,$AF12,SummaryHelper!$C$2:$C$5000,$AG12))</f>
        <v/>
      </c>
      <c r="AJ12" t="str">
        <f>IF($AF12="","",SUMIFS(SummaryHelper!$F$2:$F$5000,SummaryHelper!$A$2:$A$5000,$AE12,SummaryHelper!$B$2:$B$5000,$AF12,SummaryHelper!$C$2:$C$5000,$AG12))</f>
        <v/>
      </c>
      <c r="AK12" t="str">
        <f>IF($AF12="","",SUMIFS(SummaryHelper!$G$2:$G$5000,SummaryHelper!$A$2:$A$5000,$AE12,SummaryHelper!$B$2:$B$5000,$AF12,SummaryHelper!$C$2:$C$5000,$AG12))</f>
        <v/>
      </c>
      <c r="AM12" t="str">
        <f t="shared" si="10"/>
        <v/>
      </c>
      <c r="AN12" t="str">
        <f t="shared" si="11"/>
        <v/>
      </c>
    </row>
    <row r="13" spans="1:40" x14ac:dyDescent="0.25">
      <c r="A13" s="12"/>
      <c r="B13" s="12" t="str">
        <f t="shared" si="0"/>
        <v/>
      </c>
      <c r="C13" s="9" t="str">
        <f t="shared" ca="1" si="1"/>
        <v/>
      </c>
      <c r="D13" s="9" t="str">
        <f t="shared" ca="1" si="2"/>
        <v/>
      </c>
      <c r="E13" s="9" t="str">
        <f t="shared" ca="1" si="3"/>
        <v/>
      </c>
      <c r="F13" s="9" t="str">
        <f t="shared" si="4"/>
        <v/>
      </c>
      <c r="G13" s="9" t="str">
        <f t="shared" si="5"/>
        <v/>
      </c>
      <c r="L13" s="9" t="str">
        <f>IF($J13="","",IFERROR(SUMIFS(SummaryHelper!$H$2:$H$5000,SummaryHelper!$A$2:$A$5000,$I13,SummaryHelper!$B$2:$B$5000,$J13,SummaryHelper!$C$2:$C$5000,$K13)/SUMIFS(SummaryHelper!$G$2:$G$5000,SummaryHelper!$A$2:$A$5000,$I13,SummaryHelper!$B$2:$B$5000,$J13,SummaryHelper!$C$2:$C$5000,$K13),""))</f>
        <v/>
      </c>
      <c r="M13" s="9" t="str">
        <f>IF($J13="","",SUMIFS(SummaryHelper!$E$2:$E$5000,SummaryHelper!$A$2:$A$5000,$I13,SummaryHelper!$B$2:$B$5000,$J13,SummaryHelper!$C$2:$C$5000,$K13))</f>
        <v/>
      </c>
      <c r="N13" s="9" t="str">
        <f>IF($J13="","",SUMIFS(SummaryHelper!$F$2:$F$5000,SummaryHelper!$A$2:$A$5000,$I13,SummaryHelper!$B$2:$B$5000,$J13,SummaryHelper!$C$2:$C$5000,$K13))</f>
        <v/>
      </c>
      <c r="O13" s="9" t="str">
        <f>IF($J13="","",SUMIFS(SummaryHelper!$G$2:$G$5000,SummaryHelper!$A$2:$A$5000,$I13,SummaryHelper!$B$2:$B$5000,$J13,SummaryHelper!$C$2:$C$5000,$K13))</f>
        <v/>
      </c>
      <c r="Q13" s="9" t="str">
        <f t="shared" si="6"/>
        <v/>
      </c>
      <c r="R13" s="9" t="str">
        <f t="shared" si="7"/>
        <v/>
      </c>
      <c r="W13" s="9" t="str">
        <f>IF($U13="","",IFERROR(SUMIFS(SummaryHelper!$H$2:$H$5000,SummaryHelper!$A$2:$A$5000,$T13,SummaryHelper!$B$2:$B$5000,$U13,SummaryHelper!$C$2:$C$5000,$V13)/SUMIFS(SummaryHelper!$G$2:$G$5000,SummaryHelper!$A$2:$A$5000,$T13,SummaryHelper!$B$2:$B$5000,$U13,SummaryHelper!$C$2:$C$5000,$V13),""))</f>
        <v/>
      </c>
      <c r="X13" s="9" t="str">
        <f>IF($U13="","",SUMIFS(SummaryHelper!$E$2:$E$5000,SummaryHelper!$A$2:$A$5000,$T13,SummaryHelper!$B$2:$B$5000,$U13,SummaryHelper!$C$2:$C$5000,$V13))</f>
        <v/>
      </c>
      <c r="Y13" s="9" t="str">
        <f>IF($U13="","",SUMIFS(SummaryHelper!$F$2:$F$5000,SummaryHelper!$A$2:$A$5000,$T13,SummaryHelper!$B$2:$B$5000,$U13,SummaryHelper!$C$2:$C$5000,$V13))</f>
        <v/>
      </c>
      <c r="Z13" s="9" t="s">
        <v>489</v>
      </c>
      <c r="AB13" s="9" t="str">
        <f t="shared" si="8"/>
        <v/>
      </c>
      <c r="AC13" s="9" t="str">
        <f t="shared" si="9"/>
        <v/>
      </c>
      <c r="AH13" t="str">
        <f>IF($AF13="","",IFERROR(SUMIFS(SummaryHelper!$H$2:$H$5000,SummaryHelper!$A$2:$A$5000,$AE13,SummaryHelper!$B$2:$B$5000,$AF13,SummaryHelper!$C$2:$C$5000,$AG13)/SUMIFS(SummaryHelper!$G$2:$G$5000,SummaryHelper!$A$2:$A$5000,$AE13,SummaryHelper!$B$2:$B$5000,$AF13,SummaryHelper!$C$2:$C$5000,$AG13),""))</f>
        <v/>
      </c>
      <c r="AI13" t="str">
        <f>IF($AF13="","",SUMIFS(SummaryHelper!$E$2:$E$5000,SummaryHelper!$A$2:$A$5000,$AE13,SummaryHelper!$B$2:$B$5000,$AF13,SummaryHelper!$C$2:$C$5000,$AG13))</f>
        <v/>
      </c>
      <c r="AJ13" t="str">
        <f>IF($AF13="","",SUMIFS(SummaryHelper!$F$2:$F$5000,SummaryHelper!$A$2:$A$5000,$AE13,SummaryHelper!$B$2:$B$5000,$AF13,SummaryHelper!$C$2:$C$5000,$AG13))</f>
        <v/>
      </c>
      <c r="AK13" t="str">
        <f>IF($AF13="","",SUMIFS(SummaryHelper!$G$2:$G$5000,SummaryHelper!$A$2:$A$5000,$AE13,SummaryHelper!$B$2:$B$5000,$AF13,SummaryHelper!$C$2:$C$5000,$AG13))</f>
        <v/>
      </c>
      <c r="AM13" t="str">
        <f t="shared" si="10"/>
        <v/>
      </c>
      <c r="AN13" t="str">
        <f t="shared" si="11"/>
        <v/>
      </c>
    </row>
    <row r="14" spans="1:40" x14ac:dyDescent="0.25">
      <c r="A14" s="12"/>
      <c r="B14" s="12" t="str">
        <f t="shared" si="0"/>
        <v/>
      </c>
      <c r="C14" s="9" t="str">
        <f t="shared" ca="1" si="1"/>
        <v/>
      </c>
      <c r="D14" s="9" t="str">
        <f t="shared" ca="1" si="2"/>
        <v/>
      </c>
      <c r="E14" s="9" t="str">
        <f t="shared" ca="1" si="3"/>
        <v/>
      </c>
      <c r="F14" s="9" t="str">
        <f t="shared" si="4"/>
        <v/>
      </c>
      <c r="G14" s="9" t="str">
        <f t="shared" si="5"/>
        <v/>
      </c>
      <c r="L14" s="9" t="str">
        <f>IF($J14="","",IFERROR(SUMIFS(SummaryHelper!$H$2:$H$5000,SummaryHelper!$A$2:$A$5000,$I14,SummaryHelper!$B$2:$B$5000,$J14,SummaryHelper!$C$2:$C$5000,$K14)/SUMIFS(SummaryHelper!$G$2:$G$5000,SummaryHelper!$A$2:$A$5000,$I14,SummaryHelper!$B$2:$B$5000,$J14,SummaryHelper!$C$2:$C$5000,$K14),""))</f>
        <v/>
      </c>
      <c r="M14" s="9" t="str">
        <f>IF($J14="","",SUMIFS(SummaryHelper!$E$2:$E$5000,SummaryHelper!$A$2:$A$5000,$I14,SummaryHelper!$B$2:$B$5000,$J14,SummaryHelper!$C$2:$C$5000,$K14))</f>
        <v/>
      </c>
      <c r="N14" s="9" t="str">
        <f>IF($J14="","",SUMIFS(SummaryHelper!$F$2:$F$5000,SummaryHelper!$A$2:$A$5000,$I14,SummaryHelper!$B$2:$B$5000,$J14,SummaryHelper!$C$2:$C$5000,$K14))</f>
        <v/>
      </c>
      <c r="O14" s="9" t="str">
        <f>IF($J14="","",SUMIFS(SummaryHelper!$G$2:$G$5000,SummaryHelper!$A$2:$A$5000,$I14,SummaryHelper!$B$2:$B$5000,$J14,SummaryHelper!$C$2:$C$5000,$K14))</f>
        <v/>
      </c>
      <c r="Q14" s="9" t="str">
        <f t="shared" si="6"/>
        <v/>
      </c>
      <c r="R14" s="9" t="str">
        <f t="shared" si="7"/>
        <v/>
      </c>
      <c r="W14" s="9" t="str">
        <f>IF($U14="","",IFERROR(SUMIFS(SummaryHelper!$H$2:$H$5000,SummaryHelper!$A$2:$A$5000,$T14,SummaryHelper!$B$2:$B$5000,$U14,SummaryHelper!$C$2:$C$5000,$V14)/SUMIFS(SummaryHelper!$G$2:$G$5000,SummaryHelper!$A$2:$A$5000,$T14,SummaryHelper!$B$2:$B$5000,$U14,SummaryHelper!$C$2:$C$5000,$V14),""))</f>
        <v/>
      </c>
      <c r="X14" s="9" t="str">
        <f>IF($U14="","",SUMIFS(SummaryHelper!$E$2:$E$5000,SummaryHelper!$A$2:$A$5000,$T14,SummaryHelper!$B$2:$B$5000,$U14,SummaryHelper!$C$2:$C$5000,$V14))</f>
        <v/>
      </c>
      <c r="Y14" s="9" t="str">
        <f>IF($U14="","",SUMIFS(SummaryHelper!$F$2:$F$5000,SummaryHelper!$A$2:$A$5000,$T14,SummaryHelper!$B$2:$B$5000,$U14,SummaryHelper!$C$2:$C$5000,$V14))</f>
        <v/>
      </c>
      <c r="Z14" s="9" t="s">
        <v>489</v>
      </c>
      <c r="AB14" s="9" t="str">
        <f t="shared" si="8"/>
        <v/>
      </c>
      <c r="AC14" s="9" t="str">
        <f t="shared" si="9"/>
        <v/>
      </c>
      <c r="AH14" t="str">
        <f>IF($AF14="","",IFERROR(SUMIFS(SummaryHelper!$H$2:$H$5000,SummaryHelper!$A$2:$A$5000,$AE14,SummaryHelper!$B$2:$B$5000,$AF14,SummaryHelper!$C$2:$C$5000,$AG14)/SUMIFS(SummaryHelper!$G$2:$G$5000,SummaryHelper!$A$2:$A$5000,$AE14,SummaryHelper!$B$2:$B$5000,$AF14,SummaryHelper!$C$2:$C$5000,$AG14),""))</f>
        <v/>
      </c>
      <c r="AI14" t="str">
        <f>IF($AF14="","",SUMIFS(SummaryHelper!$E$2:$E$5000,SummaryHelper!$A$2:$A$5000,$AE14,SummaryHelper!$B$2:$B$5000,$AF14,SummaryHelper!$C$2:$C$5000,$AG14))</f>
        <v/>
      </c>
      <c r="AJ14" t="str">
        <f>IF($AF14="","",SUMIFS(SummaryHelper!$F$2:$F$5000,SummaryHelper!$A$2:$A$5000,$AE14,SummaryHelper!$B$2:$B$5000,$AF14,SummaryHelper!$C$2:$C$5000,$AG14))</f>
        <v/>
      </c>
      <c r="AK14" t="str">
        <f>IF($AF14="","",SUMIFS(SummaryHelper!$G$2:$G$5000,SummaryHelper!$A$2:$A$5000,$AE14,SummaryHelper!$B$2:$B$5000,$AF14,SummaryHelper!$C$2:$C$5000,$AG14))</f>
        <v/>
      </c>
      <c r="AM14" t="str">
        <f t="shared" si="10"/>
        <v/>
      </c>
      <c r="AN14" t="str">
        <f t="shared" si="11"/>
        <v/>
      </c>
    </row>
    <row r="15" spans="1:40" x14ac:dyDescent="0.25">
      <c r="A15" s="12"/>
      <c r="B15" s="12" t="str">
        <f t="shared" si="0"/>
        <v/>
      </c>
      <c r="C15" s="9" t="str">
        <f t="shared" ca="1" si="1"/>
        <v/>
      </c>
      <c r="D15" s="9" t="str">
        <f t="shared" ca="1" si="2"/>
        <v/>
      </c>
      <c r="E15" s="9" t="str">
        <f t="shared" ca="1" si="3"/>
        <v/>
      </c>
      <c r="F15" s="9" t="str">
        <f t="shared" si="4"/>
        <v/>
      </c>
      <c r="G15" s="9" t="str">
        <f t="shared" si="5"/>
        <v/>
      </c>
      <c r="L15" s="9" t="str">
        <f>IF($J15="","",IFERROR(SUMIFS(SummaryHelper!$H$2:$H$5000,SummaryHelper!$A$2:$A$5000,$I15,SummaryHelper!$B$2:$B$5000,$J15,SummaryHelper!$C$2:$C$5000,$K15)/SUMIFS(SummaryHelper!$G$2:$G$5000,SummaryHelper!$A$2:$A$5000,$I15,SummaryHelper!$B$2:$B$5000,$J15,SummaryHelper!$C$2:$C$5000,$K15),""))</f>
        <v/>
      </c>
      <c r="M15" s="9" t="str">
        <f>IF($J15="","",SUMIFS(SummaryHelper!$E$2:$E$5000,SummaryHelper!$A$2:$A$5000,$I15,SummaryHelper!$B$2:$B$5000,$J15,SummaryHelper!$C$2:$C$5000,$K15))</f>
        <v/>
      </c>
      <c r="N15" s="9" t="str">
        <f>IF($J15="","",SUMIFS(SummaryHelper!$F$2:$F$5000,SummaryHelper!$A$2:$A$5000,$I15,SummaryHelper!$B$2:$B$5000,$J15,SummaryHelper!$C$2:$C$5000,$K15))</f>
        <v/>
      </c>
      <c r="O15" s="9" t="str">
        <f>IF($J15="","",SUMIFS(SummaryHelper!$G$2:$G$5000,SummaryHelper!$A$2:$A$5000,$I15,SummaryHelper!$B$2:$B$5000,$J15,SummaryHelper!$C$2:$C$5000,$K15))</f>
        <v/>
      </c>
      <c r="Q15" s="9" t="str">
        <f t="shared" si="6"/>
        <v/>
      </c>
      <c r="R15" s="9" t="str">
        <f t="shared" si="7"/>
        <v/>
      </c>
      <c r="W15" s="9" t="str">
        <f>IF($U15="","",IFERROR(SUMIFS(SummaryHelper!$H$2:$H$5000,SummaryHelper!$A$2:$A$5000,$T15,SummaryHelper!$B$2:$B$5000,$U15,SummaryHelper!$C$2:$C$5000,$V15)/SUMIFS(SummaryHelper!$G$2:$G$5000,SummaryHelper!$A$2:$A$5000,$T15,SummaryHelper!$B$2:$B$5000,$U15,SummaryHelper!$C$2:$C$5000,$V15),""))</f>
        <v/>
      </c>
      <c r="X15" s="9" t="str">
        <f>IF($U15="","",SUMIFS(SummaryHelper!$E$2:$E$5000,SummaryHelper!$A$2:$A$5000,$T15,SummaryHelper!$B$2:$B$5000,$U15,SummaryHelper!$C$2:$C$5000,$V15))</f>
        <v/>
      </c>
      <c r="Y15" s="9" t="str">
        <f>IF($U15="","",SUMIFS(SummaryHelper!$F$2:$F$5000,SummaryHelper!$A$2:$A$5000,$T15,SummaryHelper!$B$2:$B$5000,$U15,SummaryHelper!$C$2:$C$5000,$V15))</f>
        <v/>
      </c>
      <c r="Z15" s="9" t="s">
        <v>489</v>
      </c>
      <c r="AB15" s="9" t="str">
        <f t="shared" si="8"/>
        <v/>
      </c>
      <c r="AC15" s="9" t="str">
        <f t="shared" si="9"/>
        <v/>
      </c>
      <c r="AH15" t="str">
        <f>IF($AF15="","",IFERROR(SUMIFS(SummaryHelper!$H$2:$H$5000,SummaryHelper!$A$2:$A$5000,$AE15,SummaryHelper!$B$2:$B$5000,$AF15,SummaryHelper!$C$2:$C$5000,$AG15)/SUMIFS(SummaryHelper!$G$2:$G$5000,SummaryHelper!$A$2:$A$5000,$AE15,SummaryHelper!$B$2:$B$5000,$AF15,SummaryHelper!$C$2:$C$5000,$AG15),""))</f>
        <v/>
      </c>
      <c r="AI15" t="str">
        <f>IF($AF15="","",SUMIFS(SummaryHelper!$E$2:$E$5000,SummaryHelper!$A$2:$A$5000,$AE15,SummaryHelper!$B$2:$B$5000,$AF15,SummaryHelper!$C$2:$C$5000,$AG15))</f>
        <v/>
      </c>
      <c r="AJ15" t="str">
        <f>IF($AF15="","",SUMIFS(SummaryHelper!$F$2:$F$5000,SummaryHelper!$A$2:$A$5000,$AE15,SummaryHelper!$B$2:$B$5000,$AF15,SummaryHelper!$C$2:$C$5000,$AG15))</f>
        <v/>
      </c>
      <c r="AK15" t="str">
        <f>IF($AF15="","",SUMIFS(SummaryHelper!$G$2:$G$5000,SummaryHelper!$A$2:$A$5000,$AE15,SummaryHelper!$B$2:$B$5000,$AF15,SummaryHelper!$C$2:$C$5000,$AG15))</f>
        <v/>
      </c>
      <c r="AM15" t="str">
        <f t="shared" si="10"/>
        <v/>
      </c>
      <c r="AN15" t="str">
        <f t="shared" si="11"/>
        <v/>
      </c>
    </row>
    <row r="16" spans="1:40" x14ac:dyDescent="0.25">
      <c r="A16" s="12"/>
      <c r="B16" s="12" t="str">
        <f t="shared" si="0"/>
        <v/>
      </c>
      <c r="C16" s="9" t="str">
        <f t="shared" ca="1" si="1"/>
        <v/>
      </c>
      <c r="D16" s="9" t="str">
        <f t="shared" ca="1" si="2"/>
        <v/>
      </c>
      <c r="E16" s="9" t="str">
        <f t="shared" ca="1" si="3"/>
        <v/>
      </c>
      <c r="F16" s="9" t="str">
        <f t="shared" si="4"/>
        <v/>
      </c>
      <c r="G16" s="9" t="str">
        <f t="shared" si="5"/>
        <v/>
      </c>
      <c r="L16" s="9" t="str">
        <f>IF($J16="","",IFERROR(SUMIFS(SummaryHelper!$H$2:$H$5000,SummaryHelper!$A$2:$A$5000,$I16,SummaryHelper!$B$2:$B$5000,$J16,SummaryHelper!$C$2:$C$5000,$K16)/SUMIFS(SummaryHelper!$G$2:$G$5000,SummaryHelper!$A$2:$A$5000,$I16,SummaryHelper!$B$2:$B$5000,$J16,SummaryHelper!$C$2:$C$5000,$K16),""))</f>
        <v/>
      </c>
      <c r="M16" s="9" t="str">
        <f>IF($J16="","",SUMIFS(SummaryHelper!$E$2:$E$5000,SummaryHelper!$A$2:$A$5000,$I16,SummaryHelper!$B$2:$B$5000,$J16,SummaryHelper!$C$2:$C$5000,$K16))</f>
        <v/>
      </c>
      <c r="N16" s="9" t="str">
        <f>IF($J16="","",SUMIFS(SummaryHelper!$F$2:$F$5000,SummaryHelper!$A$2:$A$5000,$I16,SummaryHelper!$B$2:$B$5000,$J16,SummaryHelper!$C$2:$C$5000,$K16))</f>
        <v/>
      </c>
      <c r="O16" s="9" t="str">
        <f>IF($J16="","",SUMIFS(SummaryHelper!$G$2:$G$5000,SummaryHelper!$A$2:$A$5000,$I16,SummaryHelper!$B$2:$B$5000,$J16,SummaryHelper!$C$2:$C$5000,$K16))</f>
        <v/>
      </c>
      <c r="Q16" s="9" t="str">
        <f t="shared" si="6"/>
        <v/>
      </c>
      <c r="R16" s="9" t="str">
        <f t="shared" si="7"/>
        <v/>
      </c>
      <c r="W16" s="9" t="str">
        <f>IF($U16="","",IFERROR(SUMIFS(SummaryHelper!$H$2:$H$5000,SummaryHelper!$A$2:$A$5000,$T16,SummaryHelper!$B$2:$B$5000,$U16,SummaryHelper!$C$2:$C$5000,$V16)/SUMIFS(SummaryHelper!$G$2:$G$5000,SummaryHelper!$A$2:$A$5000,$T16,SummaryHelper!$B$2:$B$5000,$U16,SummaryHelper!$C$2:$C$5000,$V16),""))</f>
        <v/>
      </c>
      <c r="X16" s="9" t="str">
        <f>IF($U16="","",SUMIFS(SummaryHelper!$E$2:$E$5000,SummaryHelper!$A$2:$A$5000,$T16,SummaryHelper!$B$2:$B$5000,$U16,SummaryHelper!$C$2:$C$5000,$V16))</f>
        <v/>
      </c>
      <c r="Y16" s="9" t="str">
        <f>IF($U16="","",SUMIFS(SummaryHelper!$F$2:$F$5000,SummaryHelper!$A$2:$A$5000,$T16,SummaryHelper!$B$2:$B$5000,$U16,SummaryHelper!$C$2:$C$5000,$V16))</f>
        <v/>
      </c>
      <c r="Z16" s="9" t="s">
        <v>489</v>
      </c>
      <c r="AB16" s="9" t="str">
        <f t="shared" si="8"/>
        <v/>
      </c>
      <c r="AC16" s="9" t="str">
        <f t="shared" si="9"/>
        <v/>
      </c>
      <c r="AH16" t="str">
        <f>IF($AF16="","",IFERROR(SUMIFS(SummaryHelper!$H$2:$H$5000,SummaryHelper!$A$2:$A$5000,$AE16,SummaryHelper!$B$2:$B$5000,$AF16,SummaryHelper!$C$2:$C$5000,$AG16)/SUMIFS(SummaryHelper!$G$2:$G$5000,SummaryHelper!$A$2:$A$5000,$AE16,SummaryHelper!$B$2:$B$5000,$AF16,SummaryHelper!$C$2:$C$5000,$AG16),""))</f>
        <v/>
      </c>
      <c r="AI16" t="str">
        <f>IF($AF16="","",SUMIFS(SummaryHelper!$E$2:$E$5000,SummaryHelper!$A$2:$A$5000,$AE16,SummaryHelper!$B$2:$B$5000,$AF16,SummaryHelper!$C$2:$C$5000,$AG16))</f>
        <v/>
      </c>
      <c r="AJ16" t="str">
        <f>IF($AF16="","",SUMIFS(SummaryHelper!$F$2:$F$5000,SummaryHelper!$A$2:$A$5000,$AE16,SummaryHelper!$B$2:$B$5000,$AF16,SummaryHelper!$C$2:$C$5000,$AG16))</f>
        <v/>
      </c>
      <c r="AK16" t="str">
        <f>IF($AF16="","",SUMIFS(SummaryHelper!$G$2:$G$5000,SummaryHelper!$A$2:$A$5000,$AE16,SummaryHelper!$B$2:$B$5000,$AF16,SummaryHelper!$C$2:$C$5000,$AG16))</f>
        <v/>
      </c>
      <c r="AM16" t="str">
        <f t="shared" si="10"/>
        <v/>
      </c>
      <c r="AN16" t="str">
        <f t="shared" si="11"/>
        <v/>
      </c>
    </row>
    <row r="17" spans="1:40" x14ac:dyDescent="0.25">
      <c r="A17" s="12"/>
      <c r="B17" s="12" t="str">
        <f t="shared" si="0"/>
        <v/>
      </c>
      <c r="C17" s="9" t="str">
        <f t="shared" ca="1" si="1"/>
        <v/>
      </c>
      <c r="D17" s="9" t="str">
        <f t="shared" ca="1" si="2"/>
        <v/>
      </c>
      <c r="E17" s="9" t="str">
        <f t="shared" ca="1" si="3"/>
        <v/>
      </c>
      <c r="F17" s="9" t="str">
        <f t="shared" si="4"/>
        <v/>
      </c>
      <c r="G17" s="9" t="str">
        <f t="shared" si="5"/>
        <v/>
      </c>
      <c r="L17" s="9" t="str">
        <f>IF($J17="","",IFERROR(SUMIFS(SummaryHelper!$H$2:$H$5000,SummaryHelper!$A$2:$A$5000,$I17,SummaryHelper!$B$2:$B$5000,$J17,SummaryHelper!$C$2:$C$5000,$K17)/SUMIFS(SummaryHelper!$G$2:$G$5000,SummaryHelper!$A$2:$A$5000,$I17,SummaryHelper!$B$2:$B$5000,$J17,SummaryHelper!$C$2:$C$5000,$K17),""))</f>
        <v/>
      </c>
      <c r="M17" s="9" t="str">
        <f>IF($J17="","",SUMIFS(SummaryHelper!$E$2:$E$5000,SummaryHelper!$A$2:$A$5000,$I17,SummaryHelper!$B$2:$B$5000,$J17,SummaryHelper!$C$2:$C$5000,$K17))</f>
        <v/>
      </c>
      <c r="N17" s="9" t="str">
        <f>IF($J17="","",SUMIFS(SummaryHelper!$F$2:$F$5000,SummaryHelper!$A$2:$A$5000,$I17,SummaryHelper!$B$2:$B$5000,$J17,SummaryHelper!$C$2:$C$5000,$K17))</f>
        <v/>
      </c>
      <c r="O17" s="9" t="str">
        <f>IF($J17="","",SUMIFS(SummaryHelper!$G$2:$G$5000,SummaryHelper!$A$2:$A$5000,$I17,SummaryHelper!$B$2:$B$5000,$J17,SummaryHelper!$C$2:$C$5000,$K17))</f>
        <v/>
      </c>
      <c r="Q17" s="9" t="str">
        <f t="shared" si="6"/>
        <v/>
      </c>
      <c r="R17" s="9" t="str">
        <f t="shared" si="7"/>
        <v/>
      </c>
      <c r="W17" s="9" t="str">
        <f>IF($U17="","",IFERROR(SUMIFS(SummaryHelper!$H$2:$H$5000,SummaryHelper!$A$2:$A$5000,$T17,SummaryHelper!$B$2:$B$5000,$U17,SummaryHelper!$C$2:$C$5000,$V17)/SUMIFS(SummaryHelper!$G$2:$G$5000,SummaryHelper!$A$2:$A$5000,$T17,SummaryHelper!$B$2:$B$5000,$U17,SummaryHelper!$C$2:$C$5000,$V17),""))</f>
        <v/>
      </c>
      <c r="X17" s="9" t="str">
        <f>IF($U17="","",SUMIFS(SummaryHelper!$E$2:$E$5000,SummaryHelper!$A$2:$A$5000,$T17,SummaryHelper!$B$2:$B$5000,$U17,SummaryHelper!$C$2:$C$5000,$V17))</f>
        <v/>
      </c>
      <c r="Y17" s="9" t="str">
        <f>IF($U17="","",SUMIFS(SummaryHelper!$F$2:$F$5000,SummaryHelper!$A$2:$A$5000,$T17,SummaryHelper!$B$2:$B$5000,$U17,SummaryHelper!$C$2:$C$5000,$V17))</f>
        <v/>
      </c>
      <c r="Z17" s="9" t="s">
        <v>489</v>
      </c>
      <c r="AB17" s="9" t="str">
        <f t="shared" si="8"/>
        <v/>
      </c>
      <c r="AC17" s="9" t="str">
        <f t="shared" si="9"/>
        <v/>
      </c>
      <c r="AH17" t="str">
        <f>IF($AF17="","",IFERROR(SUMIFS(SummaryHelper!$H$2:$H$5000,SummaryHelper!$A$2:$A$5000,$AE17,SummaryHelper!$B$2:$B$5000,$AF17,SummaryHelper!$C$2:$C$5000,$AG17)/SUMIFS(SummaryHelper!$G$2:$G$5000,SummaryHelper!$A$2:$A$5000,$AE17,SummaryHelper!$B$2:$B$5000,$AF17,SummaryHelper!$C$2:$C$5000,$AG17),""))</f>
        <v/>
      </c>
      <c r="AI17" t="str">
        <f>IF($AF17="","",SUMIFS(SummaryHelper!$E$2:$E$5000,SummaryHelper!$A$2:$A$5000,$AE17,SummaryHelper!$B$2:$B$5000,$AF17,SummaryHelper!$C$2:$C$5000,$AG17))</f>
        <v/>
      </c>
      <c r="AJ17" t="str">
        <f>IF($AF17="","",SUMIFS(SummaryHelper!$F$2:$F$5000,SummaryHelper!$A$2:$A$5000,$AE17,SummaryHelper!$B$2:$B$5000,$AF17,SummaryHelper!$C$2:$C$5000,$AG17))</f>
        <v/>
      </c>
      <c r="AK17" t="str">
        <f>IF($AF17="","",SUMIFS(SummaryHelper!$G$2:$G$5000,SummaryHelper!$A$2:$A$5000,$AE17,SummaryHelper!$B$2:$B$5000,$AF17,SummaryHelper!$C$2:$C$5000,$AG17))</f>
        <v/>
      </c>
      <c r="AM17" t="str">
        <f t="shared" si="10"/>
        <v/>
      </c>
      <c r="AN17" t="str">
        <f t="shared" si="11"/>
        <v/>
      </c>
    </row>
    <row r="18" spans="1:40" x14ac:dyDescent="0.25">
      <c r="A18" s="12"/>
      <c r="B18" s="12" t="str">
        <f t="shared" si="0"/>
        <v/>
      </c>
      <c r="C18" s="9" t="str">
        <f t="shared" ca="1" si="1"/>
        <v/>
      </c>
      <c r="D18" s="9" t="str">
        <f t="shared" ca="1" si="2"/>
        <v/>
      </c>
      <c r="E18" s="9" t="str">
        <f t="shared" ca="1" si="3"/>
        <v/>
      </c>
      <c r="F18" s="9" t="str">
        <f t="shared" si="4"/>
        <v/>
      </c>
      <c r="G18" s="9" t="str">
        <f t="shared" si="5"/>
        <v/>
      </c>
      <c r="L18" s="9" t="str">
        <f>IF($J18="","",IFERROR(SUMIFS(SummaryHelper!$H$2:$H$5000,SummaryHelper!$A$2:$A$5000,$I18,SummaryHelper!$B$2:$B$5000,$J18,SummaryHelper!$C$2:$C$5000,$K18)/SUMIFS(SummaryHelper!$G$2:$G$5000,SummaryHelper!$A$2:$A$5000,$I18,SummaryHelper!$B$2:$B$5000,$J18,SummaryHelper!$C$2:$C$5000,$K18),""))</f>
        <v/>
      </c>
      <c r="M18" s="9" t="str">
        <f>IF($J18="","",SUMIFS(SummaryHelper!$E$2:$E$5000,SummaryHelper!$A$2:$A$5000,$I18,SummaryHelper!$B$2:$B$5000,$J18,SummaryHelper!$C$2:$C$5000,$K18))</f>
        <v/>
      </c>
      <c r="N18" s="9" t="str">
        <f>IF($J18="","",SUMIFS(SummaryHelper!$F$2:$F$5000,SummaryHelper!$A$2:$A$5000,$I18,SummaryHelper!$B$2:$B$5000,$J18,SummaryHelper!$C$2:$C$5000,$K18))</f>
        <v/>
      </c>
      <c r="O18" s="9" t="str">
        <f>IF($J18="","",SUMIFS(SummaryHelper!$G$2:$G$5000,SummaryHelper!$A$2:$A$5000,$I18,SummaryHelper!$B$2:$B$5000,$J18,SummaryHelper!$C$2:$C$5000,$K18))</f>
        <v/>
      </c>
      <c r="Q18" s="9" t="str">
        <f t="shared" si="6"/>
        <v/>
      </c>
      <c r="R18" s="9" t="str">
        <f t="shared" si="7"/>
        <v/>
      </c>
      <c r="W18" s="9" t="str">
        <f>IF($U18="","",IFERROR(SUMIFS(SummaryHelper!$H$2:$H$5000,SummaryHelper!$A$2:$A$5000,$T18,SummaryHelper!$B$2:$B$5000,$U18,SummaryHelper!$C$2:$C$5000,$V18)/SUMIFS(SummaryHelper!$G$2:$G$5000,SummaryHelper!$A$2:$A$5000,$T18,SummaryHelper!$B$2:$B$5000,$U18,SummaryHelper!$C$2:$C$5000,$V18),""))</f>
        <v/>
      </c>
      <c r="X18" s="9" t="str">
        <f>IF($U18="","",SUMIFS(SummaryHelper!$E$2:$E$5000,SummaryHelper!$A$2:$A$5000,$T18,SummaryHelper!$B$2:$B$5000,$U18,SummaryHelper!$C$2:$C$5000,$V18))</f>
        <v/>
      </c>
      <c r="Y18" s="9" t="str">
        <f>IF($U18="","",SUMIFS(SummaryHelper!$F$2:$F$5000,SummaryHelper!$A$2:$A$5000,$T18,SummaryHelper!$B$2:$B$5000,$U18,SummaryHelper!$C$2:$C$5000,$V18))</f>
        <v/>
      </c>
      <c r="Z18" s="9" t="s">
        <v>489</v>
      </c>
      <c r="AB18" s="9" t="str">
        <f t="shared" si="8"/>
        <v/>
      </c>
      <c r="AC18" s="9" t="str">
        <f t="shared" si="9"/>
        <v/>
      </c>
      <c r="AH18" t="str">
        <f>IF($AF18="","",IFERROR(SUMIFS(SummaryHelper!$H$2:$H$5000,SummaryHelper!$A$2:$A$5000,$AE18,SummaryHelper!$B$2:$B$5000,$AF18,SummaryHelper!$C$2:$C$5000,$AG18)/SUMIFS(SummaryHelper!$G$2:$G$5000,SummaryHelper!$A$2:$A$5000,$AE18,SummaryHelper!$B$2:$B$5000,$AF18,SummaryHelper!$C$2:$C$5000,$AG18),""))</f>
        <v/>
      </c>
      <c r="AI18" t="str">
        <f>IF($AF18="","",SUMIFS(SummaryHelper!$E$2:$E$5000,SummaryHelper!$A$2:$A$5000,$AE18,SummaryHelper!$B$2:$B$5000,$AF18,SummaryHelper!$C$2:$C$5000,$AG18))</f>
        <v/>
      </c>
      <c r="AJ18" t="str">
        <f>IF($AF18="","",SUMIFS(SummaryHelper!$F$2:$F$5000,SummaryHelper!$A$2:$A$5000,$AE18,SummaryHelper!$B$2:$B$5000,$AF18,SummaryHelper!$C$2:$C$5000,$AG18))</f>
        <v/>
      </c>
      <c r="AK18" t="str">
        <f>IF($AF18="","",SUMIFS(SummaryHelper!$G$2:$G$5000,SummaryHelper!$A$2:$A$5000,$AE18,SummaryHelper!$B$2:$B$5000,$AF18,SummaryHelper!$C$2:$C$5000,$AG18))</f>
        <v/>
      </c>
      <c r="AM18" t="str">
        <f t="shared" si="10"/>
        <v/>
      </c>
      <c r="AN18" t="str">
        <f t="shared" si="11"/>
        <v/>
      </c>
    </row>
    <row r="19" spans="1:40" x14ac:dyDescent="0.25">
      <c r="A19" s="12"/>
      <c r="B19" s="12" t="str">
        <f t="shared" si="0"/>
        <v/>
      </c>
      <c r="C19" s="9" t="str">
        <f t="shared" ca="1" si="1"/>
        <v/>
      </c>
      <c r="D19" s="9" t="str">
        <f t="shared" ca="1" si="2"/>
        <v/>
      </c>
      <c r="E19" s="9" t="str">
        <f t="shared" ca="1" si="3"/>
        <v/>
      </c>
      <c r="F19" s="9" t="str">
        <f t="shared" si="4"/>
        <v/>
      </c>
      <c r="G19" s="9" t="str">
        <f t="shared" si="5"/>
        <v/>
      </c>
      <c r="L19" s="9" t="str">
        <f>IF($J19="","",IFERROR(SUMIFS(SummaryHelper!$H$2:$H$5000,SummaryHelper!$A$2:$A$5000,$I19,SummaryHelper!$B$2:$B$5000,$J19,SummaryHelper!$C$2:$C$5000,$K19)/SUMIFS(SummaryHelper!$G$2:$G$5000,SummaryHelper!$A$2:$A$5000,$I19,SummaryHelper!$B$2:$B$5000,$J19,SummaryHelper!$C$2:$C$5000,$K19),""))</f>
        <v/>
      </c>
      <c r="M19" s="9" t="str">
        <f>IF($J19="","",SUMIFS(SummaryHelper!$E$2:$E$5000,SummaryHelper!$A$2:$A$5000,$I19,SummaryHelper!$B$2:$B$5000,$J19,SummaryHelper!$C$2:$C$5000,$K19))</f>
        <v/>
      </c>
      <c r="N19" s="9" t="str">
        <f>IF($J19="","",SUMIFS(SummaryHelper!$F$2:$F$5000,SummaryHelper!$A$2:$A$5000,$I19,SummaryHelper!$B$2:$B$5000,$J19,SummaryHelper!$C$2:$C$5000,$K19))</f>
        <v/>
      </c>
      <c r="O19" s="9" t="str">
        <f>IF($J19="","",SUMIFS(SummaryHelper!$G$2:$G$5000,SummaryHelper!$A$2:$A$5000,$I19,SummaryHelper!$B$2:$B$5000,$J19,SummaryHelper!$C$2:$C$5000,$K19))</f>
        <v/>
      </c>
      <c r="Q19" s="9" t="str">
        <f t="shared" si="6"/>
        <v/>
      </c>
      <c r="R19" s="9" t="str">
        <f t="shared" si="7"/>
        <v/>
      </c>
      <c r="W19" s="9" t="str">
        <f>IF($U19="","",IFERROR(SUMIFS(SummaryHelper!$H$2:$H$5000,SummaryHelper!$A$2:$A$5000,$T19,SummaryHelper!$B$2:$B$5000,$U19,SummaryHelper!$C$2:$C$5000,$V19)/SUMIFS(SummaryHelper!$G$2:$G$5000,SummaryHelper!$A$2:$A$5000,$T19,SummaryHelper!$B$2:$B$5000,$U19,SummaryHelper!$C$2:$C$5000,$V19),""))</f>
        <v/>
      </c>
      <c r="X19" s="9" t="str">
        <f>IF($U19="","",SUMIFS(SummaryHelper!$E$2:$E$5000,SummaryHelper!$A$2:$A$5000,$T19,SummaryHelper!$B$2:$B$5000,$U19,SummaryHelper!$C$2:$C$5000,$V19))</f>
        <v/>
      </c>
      <c r="Y19" s="9" t="str">
        <f>IF($U19="","",SUMIFS(SummaryHelper!$F$2:$F$5000,SummaryHelper!$A$2:$A$5000,$T19,SummaryHelper!$B$2:$B$5000,$U19,SummaryHelper!$C$2:$C$5000,$V19))</f>
        <v/>
      </c>
      <c r="Z19" s="9" t="s">
        <v>489</v>
      </c>
      <c r="AB19" s="9" t="str">
        <f t="shared" si="8"/>
        <v/>
      </c>
      <c r="AC19" s="9" t="str">
        <f t="shared" si="9"/>
        <v/>
      </c>
      <c r="AH19" t="str">
        <f>IF($AF19="","",IFERROR(SUMIFS(SummaryHelper!$H$2:$H$5000,SummaryHelper!$A$2:$A$5000,$AE19,SummaryHelper!$B$2:$B$5000,$AF19,SummaryHelper!$C$2:$C$5000,$AG19)/SUMIFS(SummaryHelper!$G$2:$G$5000,SummaryHelper!$A$2:$A$5000,$AE19,SummaryHelper!$B$2:$B$5000,$AF19,SummaryHelper!$C$2:$C$5000,$AG19),""))</f>
        <v/>
      </c>
      <c r="AI19" t="str">
        <f>IF($AF19="","",SUMIFS(SummaryHelper!$E$2:$E$5000,SummaryHelper!$A$2:$A$5000,$AE19,SummaryHelper!$B$2:$B$5000,$AF19,SummaryHelper!$C$2:$C$5000,$AG19))</f>
        <v/>
      </c>
      <c r="AJ19" t="str">
        <f>IF($AF19="","",SUMIFS(SummaryHelper!$F$2:$F$5000,SummaryHelper!$A$2:$A$5000,$AE19,SummaryHelper!$B$2:$B$5000,$AF19,SummaryHelper!$C$2:$C$5000,$AG19))</f>
        <v/>
      </c>
      <c r="AK19" t="str">
        <f>IF($AF19="","",SUMIFS(SummaryHelper!$G$2:$G$5000,SummaryHelper!$A$2:$A$5000,$AE19,SummaryHelper!$B$2:$B$5000,$AF19,SummaryHelper!$C$2:$C$5000,$AG19))</f>
        <v/>
      </c>
      <c r="AM19" t="str">
        <f t="shared" si="10"/>
        <v/>
      </c>
      <c r="AN19" t="str">
        <f t="shared" si="11"/>
        <v/>
      </c>
    </row>
    <row r="20" spans="1:40" x14ac:dyDescent="0.25">
      <c r="A20" s="12"/>
      <c r="B20" s="12" t="str">
        <f t="shared" si="0"/>
        <v/>
      </c>
      <c r="C20" s="9" t="str">
        <f t="shared" ca="1" si="1"/>
        <v/>
      </c>
      <c r="D20" s="9" t="str">
        <f t="shared" ca="1" si="2"/>
        <v/>
      </c>
      <c r="E20" s="9" t="str">
        <f t="shared" ca="1" si="3"/>
        <v/>
      </c>
      <c r="F20" s="9" t="str">
        <f t="shared" si="4"/>
        <v/>
      </c>
      <c r="G20" s="9" t="str">
        <f t="shared" si="5"/>
        <v/>
      </c>
      <c r="L20" s="9" t="str">
        <f>IF($J20="","",IFERROR(SUMIFS(SummaryHelper!$H$2:$H$5000,SummaryHelper!$A$2:$A$5000,$I20,SummaryHelper!$B$2:$B$5000,$J20,SummaryHelper!$C$2:$C$5000,$K20)/SUMIFS(SummaryHelper!$G$2:$G$5000,SummaryHelper!$A$2:$A$5000,$I20,SummaryHelper!$B$2:$B$5000,$J20,SummaryHelper!$C$2:$C$5000,$K20),""))</f>
        <v/>
      </c>
      <c r="M20" s="9" t="str">
        <f>IF($J20="","",SUMIFS(SummaryHelper!$E$2:$E$5000,SummaryHelper!$A$2:$A$5000,$I20,SummaryHelper!$B$2:$B$5000,$J20,SummaryHelper!$C$2:$C$5000,$K20))</f>
        <v/>
      </c>
      <c r="N20" s="9" t="str">
        <f>IF($J20="","",SUMIFS(SummaryHelper!$F$2:$F$5000,SummaryHelper!$A$2:$A$5000,$I20,SummaryHelper!$B$2:$B$5000,$J20,SummaryHelper!$C$2:$C$5000,$K20))</f>
        <v/>
      </c>
      <c r="O20" s="9" t="str">
        <f>IF($J20="","",SUMIFS(SummaryHelper!$G$2:$G$5000,SummaryHelper!$A$2:$A$5000,$I20,SummaryHelper!$B$2:$B$5000,$J20,SummaryHelper!$C$2:$C$5000,$K20))</f>
        <v/>
      </c>
      <c r="Q20" s="9" t="str">
        <f t="shared" si="6"/>
        <v/>
      </c>
      <c r="R20" s="9" t="str">
        <f t="shared" si="7"/>
        <v/>
      </c>
      <c r="W20" s="9" t="str">
        <f>IF($U20="","",IFERROR(SUMIFS(SummaryHelper!$H$2:$H$5000,SummaryHelper!$A$2:$A$5000,$T20,SummaryHelper!$B$2:$B$5000,$U20,SummaryHelper!$C$2:$C$5000,$V20)/SUMIFS(SummaryHelper!$G$2:$G$5000,SummaryHelper!$A$2:$A$5000,$T20,SummaryHelper!$B$2:$B$5000,$U20,SummaryHelper!$C$2:$C$5000,$V20),""))</f>
        <v/>
      </c>
      <c r="X20" s="9" t="str">
        <f>IF($U20="","",SUMIFS(SummaryHelper!$E$2:$E$5000,SummaryHelper!$A$2:$A$5000,$T20,SummaryHelper!$B$2:$B$5000,$U20,SummaryHelper!$C$2:$C$5000,$V20))</f>
        <v/>
      </c>
      <c r="Y20" s="9" t="str">
        <f>IF($U20="","",SUMIFS(SummaryHelper!$F$2:$F$5000,SummaryHelper!$A$2:$A$5000,$T20,SummaryHelper!$B$2:$B$5000,$U20,SummaryHelper!$C$2:$C$5000,$V20))</f>
        <v/>
      </c>
      <c r="Z20" s="9" t="s">
        <v>489</v>
      </c>
      <c r="AB20" s="9" t="str">
        <f t="shared" si="8"/>
        <v/>
      </c>
      <c r="AC20" s="9" t="str">
        <f t="shared" si="9"/>
        <v/>
      </c>
      <c r="AH20" t="str">
        <f>IF($AF20="","",IFERROR(SUMIFS(SummaryHelper!$H$2:$H$5000,SummaryHelper!$A$2:$A$5000,$AE20,SummaryHelper!$B$2:$B$5000,$AF20,SummaryHelper!$C$2:$C$5000,$AG20)/SUMIFS(SummaryHelper!$G$2:$G$5000,SummaryHelper!$A$2:$A$5000,$AE20,SummaryHelper!$B$2:$B$5000,$AF20,SummaryHelper!$C$2:$C$5000,$AG20),""))</f>
        <v/>
      </c>
      <c r="AI20" t="str">
        <f>IF($AF20="","",SUMIFS(SummaryHelper!$E$2:$E$5000,SummaryHelper!$A$2:$A$5000,$AE20,SummaryHelper!$B$2:$B$5000,$AF20,SummaryHelper!$C$2:$C$5000,$AG20))</f>
        <v/>
      </c>
      <c r="AJ20" t="str">
        <f>IF($AF20="","",SUMIFS(SummaryHelper!$F$2:$F$5000,SummaryHelper!$A$2:$A$5000,$AE20,SummaryHelper!$B$2:$B$5000,$AF20,SummaryHelper!$C$2:$C$5000,$AG20))</f>
        <v/>
      </c>
      <c r="AK20" t="str">
        <f>IF($AF20="","",SUMIFS(SummaryHelper!$G$2:$G$5000,SummaryHelper!$A$2:$A$5000,$AE20,SummaryHelper!$B$2:$B$5000,$AF20,SummaryHelper!$C$2:$C$5000,$AG20))</f>
        <v/>
      </c>
      <c r="AM20" t="str">
        <f t="shared" si="10"/>
        <v/>
      </c>
      <c r="AN20" t="str">
        <f t="shared" si="11"/>
        <v/>
      </c>
    </row>
    <row r="21" spans="1:40" x14ac:dyDescent="0.25">
      <c r="A21" s="12"/>
      <c r="B21" s="12" t="str">
        <f t="shared" si="0"/>
        <v/>
      </c>
      <c r="C21" s="9" t="str">
        <f t="shared" ca="1" si="1"/>
        <v/>
      </c>
      <c r="D21" s="9" t="str">
        <f t="shared" ca="1" si="2"/>
        <v/>
      </c>
      <c r="E21" s="9" t="str">
        <f t="shared" ca="1" si="3"/>
        <v/>
      </c>
      <c r="F21" s="9" t="str">
        <f t="shared" si="4"/>
        <v/>
      </c>
      <c r="G21" s="9" t="str">
        <f t="shared" si="5"/>
        <v/>
      </c>
      <c r="L21" s="9" t="str">
        <f>IF($J21="","",IFERROR(SUMIFS(SummaryHelper!$H$2:$H$5000,SummaryHelper!$A$2:$A$5000,$I21,SummaryHelper!$B$2:$B$5000,$J21,SummaryHelper!$C$2:$C$5000,$K21)/SUMIFS(SummaryHelper!$G$2:$G$5000,SummaryHelper!$A$2:$A$5000,$I21,SummaryHelper!$B$2:$B$5000,$J21,SummaryHelper!$C$2:$C$5000,$K21),""))</f>
        <v/>
      </c>
      <c r="M21" s="9" t="str">
        <f>IF($J21="","",SUMIFS(SummaryHelper!$E$2:$E$5000,SummaryHelper!$A$2:$A$5000,$I21,SummaryHelper!$B$2:$B$5000,$J21,SummaryHelper!$C$2:$C$5000,$K21))</f>
        <v/>
      </c>
      <c r="N21" s="9" t="str">
        <f>IF($J21="","",SUMIFS(SummaryHelper!$F$2:$F$5000,SummaryHelper!$A$2:$A$5000,$I21,SummaryHelper!$B$2:$B$5000,$J21,SummaryHelper!$C$2:$C$5000,$K21))</f>
        <v/>
      </c>
      <c r="O21" s="9" t="str">
        <f>IF($J21="","",SUMIFS(SummaryHelper!$G$2:$G$5000,SummaryHelper!$A$2:$A$5000,$I21,SummaryHelper!$B$2:$B$5000,$J21,SummaryHelper!$C$2:$C$5000,$K21))</f>
        <v/>
      </c>
      <c r="Q21" s="9" t="str">
        <f t="shared" si="6"/>
        <v/>
      </c>
      <c r="R21" s="9" t="str">
        <f t="shared" si="7"/>
        <v/>
      </c>
      <c r="W21" s="9" t="str">
        <f>IF($U21="","",IFERROR(SUMIFS(SummaryHelper!$H$2:$H$5000,SummaryHelper!$A$2:$A$5000,$T21,SummaryHelper!$B$2:$B$5000,$U21,SummaryHelper!$C$2:$C$5000,$V21)/SUMIFS(SummaryHelper!$G$2:$G$5000,SummaryHelper!$A$2:$A$5000,$T21,SummaryHelper!$B$2:$B$5000,$U21,SummaryHelper!$C$2:$C$5000,$V21),""))</f>
        <v/>
      </c>
      <c r="X21" s="9" t="str">
        <f>IF($U21="","",SUMIFS(SummaryHelper!$E$2:$E$5000,SummaryHelper!$A$2:$A$5000,$T21,SummaryHelper!$B$2:$B$5000,$U21,SummaryHelper!$C$2:$C$5000,$V21))</f>
        <v/>
      </c>
      <c r="Y21" s="9" t="str">
        <f>IF($U21="","",SUMIFS(SummaryHelper!$F$2:$F$5000,SummaryHelper!$A$2:$A$5000,$T21,SummaryHelper!$B$2:$B$5000,$U21,SummaryHelper!$C$2:$C$5000,$V21))</f>
        <v/>
      </c>
      <c r="Z21" s="9" t="s">
        <v>489</v>
      </c>
      <c r="AB21" s="9" t="str">
        <f t="shared" si="8"/>
        <v/>
      </c>
      <c r="AC21" s="9" t="str">
        <f t="shared" si="9"/>
        <v/>
      </c>
      <c r="AH21" t="str">
        <f>IF($AF21="","",IFERROR(SUMIFS(SummaryHelper!$H$2:$H$5000,SummaryHelper!$A$2:$A$5000,$AE21,SummaryHelper!$B$2:$B$5000,$AF21,SummaryHelper!$C$2:$C$5000,$AG21)/SUMIFS(SummaryHelper!$G$2:$G$5000,SummaryHelper!$A$2:$A$5000,$AE21,SummaryHelper!$B$2:$B$5000,$AF21,SummaryHelper!$C$2:$C$5000,$AG21),""))</f>
        <v/>
      </c>
      <c r="AI21" t="str">
        <f>IF($AF21="","",SUMIFS(SummaryHelper!$E$2:$E$5000,SummaryHelper!$A$2:$A$5000,$AE21,SummaryHelper!$B$2:$B$5000,$AF21,SummaryHelper!$C$2:$C$5000,$AG21))</f>
        <v/>
      </c>
      <c r="AJ21" t="str">
        <f>IF($AF21="","",SUMIFS(SummaryHelper!$F$2:$F$5000,SummaryHelper!$A$2:$A$5000,$AE21,SummaryHelper!$B$2:$B$5000,$AF21,SummaryHelper!$C$2:$C$5000,$AG21))</f>
        <v/>
      </c>
      <c r="AK21" t="str">
        <f>IF($AF21="","",SUMIFS(SummaryHelper!$G$2:$G$5000,SummaryHelper!$A$2:$A$5000,$AE21,SummaryHelper!$B$2:$B$5000,$AF21,SummaryHelper!$C$2:$C$5000,$AG21))</f>
        <v/>
      </c>
      <c r="AM21" t="str">
        <f t="shared" si="10"/>
        <v/>
      </c>
      <c r="AN21" t="str">
        <f t="shared" si="11"/>
        <v/>
      </c>
    </row>
    <row r="22" spans="1:40" x14ac:dyDescent="0.25">
      <c r="A22" s="12"/>
      <c r="B22" s="12" t="str">
        <f t="shared" si="0"/>
        <v/>
      </c>
      <c r="C22" s="9" t="str">
        <f t="shared" ca="1" si="1"/>
        <v/>
      </c>
      <c r="D22" s="9" t="str">
        <f t="shared" ca="1" si="2"/>
        <v/>
      </c>
      <c r="E22" s="9" t="str">
        <f t="shared" ca="1" si="3"/>
        <v/>
      </c>
      <c r="F22" s="9" t="str">
        <f t="shared" si="4"/>
        <v/>
      </c>
      <c r="G22" s="9" t="str">
        <f t="shared" si="5"/>
        <v/>
      </c>
      <c r="L22" s="9" t="str">
        <f>IF($J22="","",IFERROR(SUMIFS(SummaryHelper!$H$2:$H$5000,SummaryHelper!$A$2:$A$5000,$I22,SummaryHelper!$B$2:$B$5000,$J22,SummaryHelper!$C$2:$C$5000,$K22)/SUMIFS(SummaryHelper!$G$2:$G$5000,SummaryHelper!$A$2:$A$5000,$I22,SummaryHelper!$B$2:$B$5000,$J22,SummaryHelper!$C$2:$C$5000,$K22),""))</f>
        <v/>
      </c>
      <c r="M22" s="9" t="str">
        <f>IF($J22="","",SUMIFS(SummaryHelper!$E$2:$E$5000,SummaryHelper!$A$2:$A$5000,$I22,SummaryHelper!$B$2:$B$5000,$J22,SummaryHelper!$C$2:$C$5000,$K22))</f>
        <v/>
      </c>
      <c r="N22" s="9" t="str">
        <f>IF($J22="","",SUMIFS(SummaryHelper!$F$2:$F$5000,SummaryHelper!$A$2:$A$5000,$I22,SummaryHelper!$B$2:$B$5000,$J22,SummaryHelper!$C$2:$C$5000,$K22))</f>
        <v/>
      </c>
      <c r="O22" s="9" t="str">
        <f>IF($J22="","",SUMIFS(SummaryHelper!$G$2:$G$5000,SummaryHelper!$A$2:$A$5000,$I22,SummaryHelper!$B$2:$B$5000,$J22,SummaryHelper!$C$2:$C$5000,$K22))</f>
        <v/>
      </c>
      <c r="Q22" s="9" t="str">
        <f t="shared" si="6"/>
        <v/>
      </c>
      <c r="R22" s="9" t="str">
        <f t="shared" si="7"/>
        <v/>
      </c>
      <c r="W22" s="9" t="str">
        <f>IF($U22="","",IFERROR(SUMIFS(SummaryHelper!$H$2:$H$5000,SummaryHelper!$A$2:$A$5000,$T22,SummaryHelper!$B$2:$B$5000,$U22,SummaryHelper!$C$2:$C$5000,$V22)/SUMIFS(SummaryHelper!$G$2:$G$5000,SummaryHelper!$A$2:$A$5000,$T22,SummaryHelper!$B$2:$B$5000,$U22,SummaryHelper!$C$2:$C$5000,$V22),""))</f>
        <v/>
      </c>
      <c r="X22" s="9" t="str">
        <f>IF($U22="","",SUMIFS(SummaryHelper!$E$2:$E$5000,SummaryHelper!$A$2:$A$5000,$T22,SummaryHelper!$B$2:$B$5000,$U22,SummaryHelper!$C$2:$C$5000,$V22))</f>
        <v/>
      </c>
      <c r="Y22" s="9" t="str">
        <f>IF($U22="","",SUMIFS(SummaryHelper!$F$2:$F$5000,SummaryHelper!$A$2:$A$5000,$T22,SummaryHelper!$B$2:$B$5000,$U22,SummaryHelper!$C$2:$C$5000,$V22))</f>
        <v/>
      </c>
      <c r="Z22" s="9" t="s">
        <v>489</v>
      </c>
      <c r="AB22" s="9" t="str">
        <f t="shared" si="8"/>
        <v/>
      </c>
      <c r="AC22" s="9" t="str">
        <f t="shared" si="9"/>
        <v/>
      </c>
      <c r="AH22" t="str">
        <f>IF($AF22="","",IFERROR(SUMIFS(SummaryHelper!$H$2:$H$5000,SummaryHelper!$A$2:$A$5000,$AE22,SummaryHelper!$B$2:$B$5000,$AF22,SummaryHelper!$C$2:$C$5000,$AG22)/SUMIFS(SummaryHelper!$G$2:$G$5000,SummaryHelper!$A$2:$A$5000,$AE22,SummaryHelper!$B$2:$B$5000,$AF22,SummaryHelper!$C$2:$C$5000,$AG22),""))</f>
        <v/>
      </c>
      <c r="AI22" t="str">
        <f>IF($AF22="","",SUMIFS(SummaryHelper!$E$2:$E$5000,SummaryHelper!$A$2:$A$5000,$AE22,SummaryHelper!$B$2:$B$5000,$AF22,SummaryHelper!$C$2:$C$5000,$AG22))</f>
        <v/>
      </c>
      <c r="AJ22" t="str">
        <f>IF($AF22="","",SUMIFS(SummaryHelper!$F$2:$F$5000,SummaryHelper!$A$2:$A$5000,$AE22,SummaryHelper!$B$2:$B$5000,$AF22,SummaryHelper!$C$2:$C$5000,$AG22))</f>
        <v/>
      </c>
      <c r="AK22" t="str">
        <f>IF($AF22="","",SUMIFS(SummaryHelper!$G$2:$G$5000,SummaryHelper!$A$2:$A$5000,$AE22,SummaryHelper!$B$2:$B$5000,$AF22,SummaryHelper!$C$2:$C$5000,$AG22))</f>
        <v/>
      </c>
      <c r="AM22" t="str">
        <f t="shared" si="10"/>
        <v/>
      </c>
      <c r="AN22" t="str">
        <f t="shared" si="11"/>
        <v/>
      </c>
    </row>
    <row r="23" spans="1:40" x14ac:dyDescent="0.25">
      <c r="A23" s="12"/>
      <c r="B23" s="12" t="str">
        <f t="shared" si="0"/>
        <v/>
      </c>
      <c r="C23" s="9" t="str">
        <f t="shared" ca="1" si="1"/>
        <v/>
      </c>
      <c r="D23" s="9" t="str">
        <f t="shared" ca="1" si="2"/>
        <v/>
      </c>
      <c r="E23" s="9" t="str">
        <f t="shared" ca="1" si="3"/>
        <v/>
      </c>
      <c r="F23" s="9" t="str">
        <f t="shared" si="4"/>
        <v/>
      </c>
      <c r="G23" s="9" t="str">
        <f t="shared" si="5"/>
        <v/>
      </c>
      <c r="L23" s="9" t="str">
        <f>IF($J23="","",IFERROR(SUMIFS(SummaryHelper!$H$2:$H$5000,SummaryHelper!$A$2:$A$5000,$I23,SummaryHelper!$B$2:$B$5000,$J23,SummaryHelper!$C$2:$C$5000,$K23)/SUMIFS(SummaryHelper!$G$2:$G$5000,SummaryHelper!$A$2:$A$5000,$I23,SummaryHelper!$B$2:$B$5000,$J23,SummaryHelper!$C$2:$C$5000,$K23),""))</f>
        <v/>
      </c>
      <c r="M23" s="9" t="str">
        <f>IF($J23="","",SUMIFS(SummaryHelper!$E$2:$E$5000,SummaryHelper!$A$2:$A$5000,$I23,SummaryHelper!$B$2:$B$5000,$J23,SummaryHelper!$C$2:$C$5000,$K23))</f>
        <v/>
      </c>
      <c r="N23" s="9" t="str">
        <f>IF($J23="","",SUMIFS(SummaryHelper!$F$2:$F$5000,SummaryHelper!$A$2:$A$5000,$I23,SummaryHelper!$B$2:$B$5000,$J23,SummaryHelper!$C$2:$C$5000,$K23))</f>
        <v/>
      </c>
      <c r="O23" s="9" t="str">
        <f>IF($J23="","",SUMIFS(SummaryHelper!$G$2:$G$5000,SummaryHelper!$A$2:$A$5000,$I23,SummaryHelper!$B$2:$B$5000,$J23,SummaryHelper!$C$2:$C$5000,$K23))</f>
        <v/>
      </c>
      <c r="Q23" s="9" t="str">
        <f t="shared" si="6"/>
        <v/>
      </c>
      <c r="R23" s="9" t="str">
        <f t="shared" si="7"/>
        <v/>
      </c>
      <c r="W23" s="9" t="str">
        <f>IF($U23="","",IFERROR(SUMIFS(SummaryHelper!$H$2:$H$5000,SummaryHelper!$A$2:$A$5000,$T23,SummaryHelper!$B$2:$B$5000,$U23,SummaryHelper!$C$2:$C$5000,$V23)/SUMIFS(SummaryHelper!$G$2:$G$5000,SummaryHelper!$A$2:$A$5000,$T23,SummaryHelper!$B$2:$B$5000,$U23,SummaryHelper!$C$2:$C$5000,$V23),""))</f>
        <v/>
      </c>
      <c r="X23" s="9" t="str">
        <f>IF($U23="","",SUMIFS(SummaryHelper!$E$2:$E$5000,SummaryHelper!$A$2:$A$5000,$T23,SummaryHelper!$B$2:$B$5000,$U23,SummaryHelper!$C$2:$C$5000,$V23))</f>
        <v/>
      </c>
      <c r="Y23" s="9" t="str">
        <f>IF($U23="","",SUMIFS(SummaryHelper!$F$2:$F$5000,SummaryHelper!$A$2:$A$5000,$T23,SummaryHelper!$B$2:$B$5000,$U23,SummaryHelper!$C$2:$C$5000,$V23))</f>
        <v/>
      </c>
      <c r="Z23" s="9" t="s">
        <v>489</v>
      </c>
      <c r="AB23" s="9" t="str">
        <f t="shared" si="8"/>
        <v/>
      </c>
      <c r="AC23" s="9" t="str">
        <f t="shared" si="9"/>
        <v/>
      </c>
      <c r="AH23" t="str">
        <f>IF($AF23="","",IFERROR(SUMIFS(SummaryHelper!$H$2:$H$5000,SummaryHelper!$A$2:$A$5000,$AE23,SummaryHelper!$B$2:$B$5000,$AF23,SummaryHelper!$C$2:$C$5000,$AG23)/SUMIFS(SummaryHelper!$G$2:$G$5000,SummaryHelper!$A$2:$A$5000,$AE23,SummaryHelper!$B$2:$B$5000,$AF23,SummaryHelper!$C$2:$C$5000,$AG23),""))</f>
        <v/>
      </c>
      <c r="AI23" t="str">
        <f>IF($AF23="","",SUMIFS(SummaryHelper!$E$2:$E$5000,SummaryHelper!$A$2:$A$5000,$AE23,SummaryHelper!$B$2:$B$5000,$AF23,SummaryHelper!$C$2:$C$5000,$AG23))</f>
        <v/>
      </c>
      <c r="AJ23" t="str">
        <f>IF($AF23="","",SUMIFS(SummaryHelper!$F$2:$F$5000,SummaryHelper!$A$2:$A$5000,$AE23,SummaryHelper!$B$2:$B$5000,$AF23,SummaryHelper!$C$2:$C$5000,$AG23))</f>
        <v/>
      </c>
      <c r="AK23" t="str">
        <f>IF($AF23="","",SUMIFS(SummaryHelper!$G$2:$G$5000,SummaryHelper!$A$2:$A$5000,$AE23,SummaryHelper!$B$2:$B$5000,$AF23,SummaryHelper!$C$2:$C$5000,$AG23))</f>
        <v/>
      </c>
      <c r="AM23" t="str">
        <f t="shared" si="10"/>
        <v/>
      </c>
      <c r="AN23" t="str">
        <f t="shared" si="11"/>
        <v/>
      </c>
    </row>
    <row r="24" spans="1:40" x14ac:dyDescent="0.25">
      <c r="A24" s="12"/>
      <c r="B24" s="12" t="str">
        <f t="shared" si="0"/>
        <v/>
      </c>
      <c r="C24" s="9" t="str">
        <f t="shared" ca="1" si="1"/>
        <v/>
      </c>
      <c r="D24" s="9" t="str">
        <f t="shared" ca="1" si="2"/>
        <v/>
      </c>
      <c r="E24" s="9" t="str">
        <f t="shared" ca="1" si="3"/>
        <v/>
      </c>
      <c r="F24" s="9" t="str">
        <f t="shared" si="4"/>
        <v/>
      </c>
      <c r="G24" s="9" t="str">
        <f t="shared" si="5"/>
        <v/>
      </c>
      <c r="L24" s="9" t="str">
        <f>IF($J24="","",IFERROR(SUMIFS(SummaryHelper!$H$2:$H$5000,SummaryHelper!$A$2:$A$5000,$I24,SummaryHelper!$B$2:$B$5000,$J24,SummaryHelper!$C$2:$C$5000,$K24)/SUMIFS(SummaryHelper!$G$2:$G$5000,SummaryHelper!$A$2:$A$5000,$I24,SummaryHelper!$B$2:$B$5000,$J24,SummaryHelper!$C$2:$C$5000,$K24),""))</f>
        <v/>
      </c>
      <c r="M24" s="9" t="str">
        <f>IF($J24="","",SUMIFS(SummaryHelper!$E$2:$E$5000,SummaryHelper!$A$2:$A$5000,$I24,SummaryHelper!$B$2:$B$5000,$J24,SummaryHelper!$C$2:$C$5000,$K24))</f>
        <v/>
      </c>
      <c r="N24" s="9" t="str">
        <f>IF($J24="","",SUMIFS(SummaryHelper!$F$2:$F$5000,SummaryHelper!$A$2:$A$5000,$I24,SummaryHelper!$B$2:$B$5000,$J24,SummaryHelper!$C$2:$C$5000,$K24))</f>
        <v/>
      </c>
      <c r="O24" s="9" t="str">
        <f>IF($J24="","",SUMIFS(SummaryHelper!$G$2:$G$5000,SummaryHelper!$A$2:$A$5000,$I24,SummaryHelper!$B$2:$B$5000,$J24,SummaryHelper!$C$2:$C$5000,$K24))</f>
        <v/>
      </c>
      <c r="Q24" s="9" t="str">
        <f t="shared" si="6"/>
        <v/>
      </c>
      <c r="R24" s="9" t="str">
        <f t="shared" si="7"/>
        <v/>
      </c>
      <c r="W24" s="9" t="str">
        <f>IF($U24="","",IFERROR(SUMIFS(SummaryHelper!$H$2:$H$5000,SummaryHelper!$A$2:$A$5000,$T24,SummaryHelper!$B$2:$B$5000,$U24,SummaryHelper!$C$2:$C$5000,$V24)/SUMIFS(SummaryHelper!$G$2:$G$5000,SummaryHelper!$A$2:$A$5000,$T24,SummaryHelper!$B$2:$B$5000,$U24,SummaryHelper!$C$2:$C$5000,$V24),""))</f>
        <v/>
      </c>
      <c r="X24" s="9" t="str">
        <f>IF($U24="","",SUMIFS(SummaryHelper!$E$2:$E$5000,SummaryHelper!$A$2:$A$5000,$T24,SummaryHelper!$B$2:$B$5000,$U24,SummaryHelper!$C$2:$C$5000,$V24))</f>
        <v/>
      </c>
      <c r="Y24" s="9" t="str">
        <f>IF($U24="","",SUMIFS(SummaryHelper!$F$2:$F$5000,SummaryHelper!$A$2:$A$5000,$T24,SummaryHelper!$B$2:$B$5000,$U24,SummaryHelper!$C$2:$C$5000,$V24))</f>
        <v/>
      </c>
      <c r="Z24" s="9" t="s">
        <v>489</v>
      </c>
      <c r="AB24" s="9" t="str">
        <f t="shared" si="8"/>
        <v/>
      </c>
      <c r="AC24" s="9" t="str">
        <f t="shared" si="9"/>
        <v/>
      </c>
      <c r="AH24" t="str">
        <f>IF($AF24="","",IFERROR(SUMIFS(SummaryHelper!$H$2:$H$5000,SummaryHelper!$A$2:$A$5000,$AE24,SummaryHelper!$B$2:$B$5000,$AF24,SummaryHelper!$C$2:$C$5000,$AG24)/SUMIFS(SummaryHelper!$G$2:$G$5000,SummaryHelper!$A$2:$A$5000,$AE24,SummaryHelper!$B$2:$B$5000,$AF24,SummaryHelper!$C$2:$C$5000,$AG24),""))</f>
        <v/>
      </c>
      <c r="AI24" t="str">
        <f>IF($AF24="","",SUMIFS(SummaryHelper!$E$2:$E$5000,SummaryHelper!$A$2:$A$5000,$AE24,SummaryHelper!$B$2:$B$5000,$AF24,SummaryHelper!$C$2:$C$5000,$AG24))</f>
        <v/>
      </c>
      <c r="AJ24" t="str">
        <f>IF($AF24="","",SUMIFS(SummaryHelper!$F$2:$F$5000,SummaryHelper!$A$2:$A$5000,$AE24,SummaryHelper!$B$2:$B$5000,$AF24,SummaryHelper!$C$2:$C$5000,$AG24))</f>
        <v/>
      </c>
      <c r="AK24" t="str">
        <f>IF($AF24="","",SUMIFS(SummaryHelper!$G$2:$G$5000,SummaryHelper!$A$2:$A$5000,$AE24,SummaryHelper!$B$2:$B$5000,$AF24,SummaryHelper!$C$2:$C$5000,$AG24))</f>
        <v/>
      </c>
      <c r="AM24" t="str">
        <f t="shared" si="10"/>
        <v/>
      </c>
      <c r="AN24" t="str">
        <f t="shared" si="11"/>
        <v/>
      </c>
    </row>
    <row r="25" spans="1:40" x14ac:dyDescent="0.25">
      <c r="A25" s="12"/>
      <c r="B25" s="12" t="str">
        <f t="shared" si="0"/>
        <v/>
      </c>
      <c r="C25" s="9" t="str">
        <f t="shared" ca="1" si="1"/>
        <v/>
      </c>
      <c r="D25" s="9" t="str">
        <f t="shared" ca="1" si="2"/>
        <v/>
      </c>
      <c r="E25" s="9" t="str">
        <f t="shared" ca="1" si="3"/>
        <v/>
      </c>
      <c r="F25" s="9" t="str">
        <f t="shared" si="4"/>
        <v/>
      </c>
      <c r="G25" s="9" t="str">
        <f t="shared" si="5"/>
        <v/>
      </c>
      <c r="L25" s="9" t="str">
        <f>IF($J25="","",IFERROR(SUMIFS(SummaryHelper!$H$2:$H$5000,SummaryHelper!$A$2:$A$5000,$I25,SummaryHelper!$B$2:$B$5000,$J25,SummaryHelper!$C$2:$C$5000,$K25)/SUMIFS(SummaryHelper!$G$2:$G$5000,SummaryHelper!$A$2:$A$5000,$I25,SummaryHelper!$B$2:$B$5000,$J25,SummaryHelper!$C$2:$C$5000,$K25),""))</f>
        <v/>
      </c>
      <c r="M25" s="9" t="str">
        <f>IF($J25="","",SUMIFS(SummaryHelper!$E$2:$E$5000,SummaryHelper!$A$2:$A$5000,$I25,SummaryHelper!$B$2:$B$5000,$J25,SummaryHelper!$C$2:$C$5000,$K25))</f>
        <v/>
      </c>
      <c r="N25" s="9" t="str">
        <f>IF($J25="","",SUMIFS(SummaryHelper!$F$2:$F$5000,SummaryHelper!$A$2:$A$5000,$I25,SummaryHelper!$B$2:$B$5000,$J25,SummaryHelper!$C$2:$C$5000,$K25))</f>
        <v/>
      </c>
      <c r="O25" s="9" t="str">
        <f>IF($J25="","",SUMIFS(SummaryHelper!$G$2:$G$5000,SummaryHelper!$A$2:$A$5000,$I25,SummaryHelper!$B$2:$B$5000,$J25,SummaryHelper!$C$2:$C$5000,$K25))</f>
        <v/>
      </c>
      <c r="Q25" s="9" t="str">
        <f t="shared" si="6"/>
        <v/>
      </c>
      <c r="R25" s="9" t="str">
        <f t="shared" si="7"/>
        <v/>
      </c>
      <c r="W25" s="9" t="str">
        <f>IF($U25="","",IFERROR(SUMIFS(SummaryHelper!$H$2:$H$5000,SummaryHelper!$A$2:$A$5000,$T25,SummaryHelper!$B$2:$B$5000,$U25,SummaryHelper!$C$2:$C$5000,$V25)/SUMIFS(SummaryHelper!$G$2:$G$5000,SummaryHelper!$A$2:$A$5000,$T25,SummaryHelper!$B$2:$B$5000,$U25,SummaryHelper!$C$2:$C$5000,$V25),""))</f>
        <v/>
      </c>
      <c r="X25" s="9" t="str">
        <f>IF($U25="","",SUMIFS(SummaryHelper!$E$2:$E$5000,SummaryHelper!$A$2:$A$5000,$T25,SummaryHelper!$B$2:$B$5000,$U25,SummaryHelper!$C$2:$C$5000,$V25))</f>
        <v/>
      </c>
      <c r="Y25" s="9" t="str">
        <f>IF($U25="","",SUMIFS(SummaryHelper!$F$2:$F$5000,SummaryHelper!$A$2:$A$5000,$T25,SummaryHelper!$B$2:$B$5000,$U25,SummaryHelper!$C$2:$C$5000,$V25))</f>
        <v/>
      </c>
      <c r="Z25" s="9" t="s">
        <v>489</v>
      </c>
      <c r="AB25" s="9" t="str">
        <f t="shared" si="8"/>
        <v/>
      </c>
      <c r="AC25" s="9" t="str">
        <f t="shared" si="9"/>
        <v/>
      </c>
      <c r="AH25" t="str">
        <f>IF($AF25="","",IFERROR(SUMIFS(SummaryHelper!$H$2:$H$5000,SummaryHelper!$A$2:$A$5000,$AE25,SummaryHelper!$B$2:$B$5000,$AF25,SummaryHelper!$C$2:$C$5000,$AG25)/SUMIFS(SummaryHelper!$G$2:$G$5000,SummaryHelper!$A$2:$A$5000,$AE25,SummaryHelper!$B$2:$B$5000,$AF25,SummaryHelper!$C$2:$C$5000,$AG25),""))</f>
        <v/>
      </c>
      <c r="AI25" t="str">
        <f>IF($AF25="","",SUMIFS(SummaryHelper!$E$2:$E$5000,SummaryHelper!$A$2:$A$5000,$AE25,SummaryHelper!$B$2:$B$5000,$AF25,SummaryHelper!$C$2:$C$5000,$AG25))</f>
        <v/>
      </c>
      <c r="AJ25" t="str">
        <f>IF($AF25="","",SUMIFS(SummaryHelper!$F$2:$F$5000,SummaryHelper!$A$2:$A$5000,$AE25,SummaryHelper!$B$2:$B$5000,$AF25,SummaryHelper!$C$2:$C$5000,$AG25))</f>
        <v/>
      </c>
      <c r="AK25" t="str">
        <f>IF($AF25="","",SUMIFS(SummaryHelper!$G$2:$G$5000,SummaryHelper!$A$2:$A$5000,$AE25,SummaryHelper!$B$2:$B$5000,$AF25,SummaryHelper!$C$2:$C$5000,$AG25))</f>
        <v/>
      </c>
      <c r="AM25" t="str">
        <f t="shared" si="10"/>
        <v/>
      </c>
      <c r="AN25" t="str">
        <f t="shared" si="11"/>
        <v/>
      </c>
    </row>
    <row r="26" spans="1:40" x14ac:dyDescent="0.25">
      <c r="A26" s="12"/>
      <c r="B26" s="12" t="str">
        <f t="shared" si="0"/>
        <v/>
      </c>
      <c r="C26" s="9" t="str">
        <f t="shared" ca="1" si="1"/>
        <v/>
      </c>
      <c r="D26" s="9" t="str">
        <f t="shared" ca="1" si="2"/>
        <v/>
      </c>
      <c r="E26" s="9" t="str">
        <f t="shared" ca="1" si="3"/>
        <v/>
      </c>
      <c r="F26" s="9" t="str">
        <f t="shared" si="4"/>
        <v/>
      </c>
      <c r="G26" s="9" t="str">
        <f t="shared" si="5"/>
        <v/>
      </c>
      <c r="L26" s="9" t="str">
        <f>IF($J26="","",IFERROR(SUMIFS(SummaryHelper!$H$2:$H$5000,SummaryHelper!$A$2:$A$5000,$I26,SummaryHelper!$B$2:$B$5000,$J26,SummaryHelper!$C$2:$C$5000,$K26)/SUMIFS(SummaryHelper!$G$2:$G$5000,SummaryHelper!$A$2:$A$5000,$I26,SummaryHelper!$B$2:$B$5000,$J26,SummaryHelper!$C$2:$C$5000,$K26),""))</f>
        <v/>
      </c>
      <c r="M26" s="9" t="str">
        <f>IF($J26="","",SUMIFS(SummaryHelper!$E$2:$E$5000,SummaryHelper!$A$2:$A$5000,$I26,SummaryHelper!$B$2:$B$5000,$J26,SummaryHelper!$C$2:$C$5000,$K26))</f>
        <v/>
      </c>
      <c r="N26" s="9" t="str">
        <f>IF($J26="","",SUMIFS(SummaryHelper!$F$2:$F$5000,SummaryHelper!$A$2:$A$5000,$I26,SummaryHelper!$B$2:$B$5000,$J26,SummaryHelper!$C$2:$C$5000,$K26))</f>
        <v/>
      </c>
      <c r="O26" s="9" t="str">
        <f>IF($J26="","",SUMIFS(SummaryHelper!$G$2:$G$5000,SummaryHelper!$A$2:$A$5000,$I26,SummaryHelper!$B$2:$B$5000,$J26,SummaryHelper!$C$2:$C$5000,$K26))</f>
        <v/>
      </c>
      <c r="Q26" s="9" t="str">
        <f t="shared" si="6"/>
        <v/>
      </c>
      <c r="R26" s="9" t="str">
        <f t="shared" si="7"/>
        <v/>
      </c>
      <c r="W26" s="9" t="str">
        <f>IF($U26="","",IFERROR(SUMIFS(SummaryHelper!$H$2:$H$5000,SummaryHelper!$A$2:$A$5000,$T26,SummaryHelper!$B$2:$B$5000,$U26,SummaryHelper!$C$2:$C$5000,$V26)/SUMIFS(SummaryHelper!$G$2:$G$5000,SummaryHelper!$A$2:$A$5000,$T26,SummaryHelper!$B$2:$B$5000,$U26,SummaryHelper!$C$2:$C$5000,$V26),""))</f>
        <v/>
      </c>
      <c r="X26" s="9" t="str">
        <f>IF($U26="","",SUMIFS(SummaryHelper!$E$2:$E$5000,SummaryHelper!$A$2:$A$5000,$T26,SummaryHelper!$B$2:$B$5000,$U26,SummaryHelper!$C$2:$C$5000,$V26))</f>
        <v/>
      </c>
      <c r="Y26" s="9" t="str">
        <f>IF($U26="","",SUMIFS(SummaryHelper!$F$2:$F$5000,SummaryHelper!$A$2:$A$5000,$T26,SummaryHelper!$B$2:$B$5000,$U26,SummaryHelper!$C$2:$C$5000,$V26))</f>
        <v/>
      </c>
      <c r="Z26" s="9" t="s">
        <v>489</v>
      </c>
      <c r="AB26" s="9" t="str">
        <f t="shared" si="8"/>
        <v/>
      </c>
      <c r="AC26" s="9" t="str">
        <f t="shared" si="9"/>
        <v/>
      </c>
      <c r="AH26" t="str">
        <f>IF($AF26="","",IFERROR(SUMIFS(SummaryHelper!$H$2:$H$5000,SummaryHelper!$A$2:$A$5000,$AE26,SummaryHelper!$B$2:$B$5000,$AF26,SummaryHelper!$C$2:$C$5000,$AG26)/SUMIFS(SummaryHelper!$G$2:$G$5000,SummaryHelper!$A$2:$A$5000,$AE26,SummaryHelper!$B$2:$B$5000,$AF26,SummaryHelper!$C$2:$C$5000,$AG26),""))</f>
        <v/>
      </c>
      <c r="AI26" t="str">
        <f>IF($AF26="","",SUMIFS(SummaryHelper!$E$2:$E$5000,SummaryHelper!$A$2:$A$5000,$AE26,SummaryHelper!$B$2:$B$5000,$AF26,SummaryHelper!$C$2:$C$5000,$AG26))</f>
        <v/>
      </c>
      <c r="AJ26" t="str">
        <f>IF($AF26="","",SUMIFS(SummaryHelper!$F$2:$F$5000,SummaryHelper!$A$2:$A$5000,$AE26,SummaryHelper!$B$2:$B$5000,$AF26,SummaryHelper!$C$2:$C$5000,$AG26))</f>
        <v/>
      </c>
      <c r="AK26" t="str">
        <f>IF($AF26="","",SUMIFS(SummaryHelper!$G$2:$G$5000,SummaryHelper!$A$2:$A$5000,$AE26,SummaryHelper!$B$2:$B$5000,$AF26,SummaryHelper!$C$2:$C$5000,$AG26))</f>
        <v/>
      </c>
      <c r="AM26" t="str">
        <f t="shared" si="10"/>
        <v/>
      </c>
      <c r="AN26" t="str">
        <f t="shared" si="11"/>
        <v/>
      </c>
    </row>
    <row r="27" spans="1:40" x14ac:dyDescent="0.25">
      <c r="A27" s="12"/>
      <c r="B27" s="12" t="str">
        <f t="shared" si="0"/>
        <v/>
      </c>
      <c r="C27" s="9" t="str">
        <f t="shared" ca="1" si="1"/>
        <v/>
      </c>
      <c r="D27" s="9" t="str">
        <f t="shared" ca="1" si="2"/>
        <v/>
      </c>
      <c r="E27" s="9" t="str">
        <f t="shared" ca="1" si="3"/>
        <v/>
      </c>
      <c r="F27" s="9" t="str">
        <f t="shared" si="4"/>
        <v/>
      </c>
      <c r="G27" s="9" t="str">
        <f t="shared" si="5"/>
        <v/>
      </c>
      <c r="L27" s="9" t="str">
        <f>IF($J27="","",IFERROR(SUMIFS(SummaryHelper!$H$2:$H$5000,SummaryHelper!$A$2:$A$5000,$I27,SummaryHelper!$B$2:$B$5000,$J27,SummaryHelper!$C$2:$C$5000,$K27)/SUMIFS(SummaryHelper!$G$2:$G$5000,SummaryHelper!$A$2:$A$5000,$I27,SummaryHelper!$B$2:$B$5000,$J27,SummaryHelper!$C$2:$C$5000,$K27),""))</f>
        <v/>
      </c>
      <c r="M27" s="9" t="str">
        <f>IF($J27="","",SUMIFS(SummaryHelper!$E$2:$E$5000,SummaryHelper!$A$2:$A$5000,$I27,SummaryHelper!$B$2:$B$5000,$J27,SummaryHelper!$C$2:$C$5000,$K27))</f>
        <v/>
      </c>
      <c r="N27" s="9" t="str">
        <f>IF($J27="","",SUMIFS(SummaryHelper!$F$2:$F$5000,SummaryHelper!$A$2:$A$5000,$I27,SummaryHelper!$B$2:$B$5000,$J27,SummaryHelper!$C$2:$C$5000,$K27))</f>
        <v/>
      </c>
      <c r="O27" s="9" t="str">
        <f>IF($J27="","",SUMIFS(SummaryHelper!$G$2:$G$5000,SummaryHelper!$A$2:$A$5000,$I27,SummaryHelper!$B$2:$B$5000,$J27,SummaryHelper!$C$2:$C$5000,$K27))</f>
        <v/>
      </c>
      <c r="Q27" s="9" t="str">
        <f t="shared" si="6"/>
        <v/>
      </c>
      <c r="R27" s="9" t="str">
        <f t="shared" si="7"/>
        <v/>
      </c>
      <c r="W27" s="9" t="str">
        <f>IF($U27="","",IFERROR(SUMIFS(SummaryHelper!$H$2:$H$5000,SummaryHelper!$A$2:$A$5000,$T27,SummaryHelper!$B$2:$B$5000,$U27,SummaryHelper!$C$2:$C$5000,$V27)/SUMIFS(SummaryHelper!$G$2:$G$5000,SummaryHelper!$A$2:$A$5000,$T27,SummaryHelper!$B$2:$B$5000,$U27,SummaryHelper!$C$2:$C$5000,$V27),""))</f>
        <v/>
      </c>
      <c r="X27" s="9" t="str">
        <f>IF($U27="","",SUMIFS(SummaryHelper!$E$2:$E$5000,SummaryHelper!$A$2:$A$5000,$T27,SummaryHelper!$B$2:$B$5000,$U27,SummaryHelper!$C$2:$C$5000,$V27))</f>
        <v/>
      </c>
      <c r="Y27" s="9" t="str">
        <f>IF($U27="","",SUMIFS(SummaryHelper!$F$2:$F$5000,SummaryHelper!$A$2:$A$5000,$T27,SummaryHelper!$B$2:$B$5000,$U27,SummaryHelper!$C$2:$C$5000,$V27))</f>
        <v/>
      </c>
      <c r="Z27" s="9" t="s">
        <v>489</v>
      </c>
      <c r="AB27" s="9" t="str">
        <f t="shared" si="8"/>
        <v/>
      </c>
      <c r="AC27" s="9" t="str">
        <f t="shared" si="9"/>
        <v/>
      </c>
      <c r="AH27" t="str">
        <f>IF($AF27="","",IFERROR(SUMIFS(SummaryHelper!$H$2:$H$5000,SummaryHelper!$A$2:$A$5000,$AE27,SummaryHelper!$B$2:$B$5000,$AF27,SummaryHelper!$C$2:$C$5000,$AG27)/SUMIFS(SummaryHelper!$G$2:$G$5000,SummaryHelper!$A$2:$A$5000,$AE27,SummaryHelper!$B$2:$B$5000,$AF27,SummaryHelper!$C$2:$C$5000,$AG27),""))</f>
        <v/>
      </c>
      <c r="AI27" t="str">
        <f>IF($AF27="","",SUMIFS(SummaryHelper!$E$2:$E$5000,SummaryHelper!$A$2:$A$5000,$AE27,SummaryHelper!$B$2:$B$5000,$AF27,SummaryHelper!$C$2:$C$5000,$AG27))</f>
        <v/>
      </c>
      <c r="AJ27" t="str">
        <f>IF($AF27="","",SUMIFS(SummaryHelper!$F$2:$F$5000,SummaryHelper!$A$2:$A$5000,$AE27,SummaryHelper!$B$2:$B$5000,$AF27,SummaryHelper!$C$2:$C$5000,$AG27))</f>
        <v/>
      </c>
      <c r="AK27" t="str">
        <f>IF($AF27="","",SUMIFS(SummaryHelper!$G$2:$G$5000,SummaryHelper!$A$2:$A$5000,$AE27,SummaryHelper!$B$2:$B$5000,$AF27,SummaryHelper!$C$2:$C$5000,$AG27))</f>
        <v/>
      </c>
      <c r="AM27" t="str">
        <f t="shared" si="10"/>
        <v/>
      </c>
      <c r="AN27" t="str">
        <f t="shared" si="11"/>
        <v/>
      </c>
    </row>
    <row r="28" spans="1:40" x14ac:dyDescent="0.25">
      <c r="A28" s="12"/>
      <c r="B28" s="12" t="str">
        <f t="shared" si="0"/>
        <v/>
      </c>
      <c r="C28" s="9" t="str">
        <f t="shared" ca="1" si="1"/>
        <v/>
      </c>
      <c r="D28" s="9" t="str">
        <f t="shared" ca="1" si="2"/>
        <v/>
      </c>
      <c r="E28" s="9" t="str">
        <f t="shared" ca="1" si="3"/>
        <v/>
      </c>
      <c r="F28" s="9" t="str">
        <f t="shared" si="4"/>
        <v/>
      </c>
      <c r="G28" s="9" t="str">
        <f t="shared" si="5"/>
        <v/>
      </c>
      <c r="L28" s="9" t="str">
        <f>IF($J28="","",IFERROR(SUMIFS(SummaryHelper!$H$2:$H$5000,SummaryHelper!$A$2:$A$5000,$I28,SummaryHelper!$B$2:$B$5000,$J28,SummaryHelper!$C$2:$C$5000,$K28)/SUMIFS(SummaryHelper!$G$2:$G$5000,SummaryHelper!$A$2:$A$5000,$I28,SummaryHelper!$B$2:$B$5000,$J28,SummaryHelper!$C$2:$C$5000,$K28),""))</f>
        <v/>
      </c>
      <c r="M28" s="9" t="str">
        <f>IF($J28="","",SUMIFS(SummaryHelper!$E$2:$E$5000,SummaryHelper!$A$2:$A$5000,$I28,SummaryHelper!$B$2:$B$5000,$J28,SummaryHelper!$C$2:$C$5000,$K28))</f>
        <v/>
      </c>
      <c r="N28" s="9" t="str">
        <f>IF($J28="","",SUMIFS(SummaryHelper!$F$2:$F$5000,SummaryHelper!$A$2:$A$5000,$I28,SummaryHelper!$B$2:$B$5000,$J28,SummaryHelper!$C$2:$C$5000,$K28))</f>
        <v/>
      </c>
      <c r="O28" s="9" t="str">
        <f>IF($J28="","",SUMIFS(SummaryHelper!$G$2:$G$5000,SummaryHelper!$A$2:$A$5000,$I28,SummaryHelper!$B$2:$B$5000,$J28,SummaryHelper!$C$2:$C$5000,$K28))</f>
        <v/>
      </c>
      <c r="Q28" s="9" t="str">
        <f t="shared" si="6"/>
        <v/>
      </c>
      <c r="R28" s="9" t="str">
        <f t="shared" si="7"/>
        <v/>
      </c>
      <c r="W28" s="9" t="str">
        <f>IF($U28="","",IFERROR(SUMIFS(SummaryHelper!$H$2:$H$5000,SummaryHelper!$A$2:$A$5000,$T28,SummaryHelper!$B$2:$B$5000,$U28,SummaryHelper!$C$2:$C$5000,$V28)/SUMIFS(SummaryHelper!$G$2:$G$5000,SummaryHelper!$A$2:$A$5000,$T28,SummaryHelper!$B$2:$B$5000,$U28,SummaryHelper!$C$2:$C$5000,$V28),""))</f>
        <v/>
      </c>
      <c r="X28" s="9" t="str">
        <f>IF($U28="","",SUMIFS(SummaryHelper!$E$2:$E$5000,SummaryHelper!$A$2:$A$5000,$T28,SummaryHelper!$B$2:$B$5000,$U28,SummaryHelper!$C$2:$C$5000,$V28))</f>
        <v/>
      </c>
      <c r="Y28" s="9" t="str">
        <f>IF($U28="","",SUMIFS(SummaryHelper!$F$2:$F$5000,SummaryHelper!$A$2:$A$5000,$T28,SummaryHelper!$B$2:$B$5000,$U28,SummaryHelper!$C$2:$C$5000,$V28))</f>
        <v/>
      </c>
      <c r="Z28" s="9" t="s">
        <v>489</v>
      </c>
      <c r="AB28" s="9" t="str">
        <f t="shared" si="8"/>
        <v/>
      </c>
      <c r="AC28" s="9" t="str">
        <f t="shared" si="9"/>
        <v/>
      </c>
      <c r="AH28" t="str">
        <f>IF($AF28="","",IFERROR(SUMIFS(SummaryHelper!$H$2:$H$5000,SummaryHelper!$A$2:$A$5000,$AE28,SummaryHelper!$B$2:$B$5000,$AF28,SummaryHelper!$C$2:$C$5000,$AG28)/SUMIFS(SummaryHelper!$G$2:$G$5000,SummaryHelper!$A$2:$A$5000,$AE28,SummaryHelper!$B$2:$B$5000,$AF28,SummaryHelper!$C$2:$C$5000,$AG28),""))</f>
        <v/>
      </c>
      <c r="AI28" t="str">
        <f>IF($AF28="","",SUMIFS(SummaryHelper!$E$2:$E$5000,SummaryHelper!$A$2:$A$5000,$AE28,SummaryHelper!$B$2:$B$5000,$AF28,SummaryHelper!$C$2:$C$5000,$AG28))</f>
        <v/>
      </c>
      <c r="AJ28" t="str">
        <f>IF($AF28="","",SUMIFS(SummaryHelper!$F$2:$F$5000,SummaryHelper!$A$2:$A$5000,$AE28,SummaryHelper!$B$2:$B$5000,$AF28,SummaryHelper!$C$2:$C$5000,$AG28))</f>
        <v/>
      </c>
      <c r="AK28" t="str">
        <f>IF($AF28="","",SUMIFS(SummaryHelper!$G$2:$G$5000,SummaryHelper!$A$2:$A$5000,$AE28,SummaryHelper!$B$2:$B$5000,$AF28,SummaryHelper!$C$2:$C$5000,$AG28))</f>
        <v/>
      </c>
      <c r="AM28" t="str">
        <f t="shared" si="10"/>
        <v/>
      </c>
      <c r="AN28" t="str">
        <f t="shared" si="11"/>
        <v/>
      </c>
    </row>
    <row r="29" spans="1:40" x14ac:dyDescent="0.25">
      <c r="A29" s="12"/>
      <c r="B29" s="12" t="str">
        <f t="shared" si="0"/>
        <v/>
      </c>
      <c r="C29" s="9" t="str">
        <f t="shared" ca="1" si="1"/>
        <v/>
      </c>
      <c r="D29" s="9" t="str">
        <f t="shared" ca="1" si="2"/>
        <v/>
      </c>
      <c r="E29" s="9" t="str">
        <f t="shared" ca="1" si="3"/>
        <v/>
      </c>
      <c r="F29" s="9" t="str">
        <f t="shared" si="4"/>
        <v/>
      </c>
      <c r="G29" s="9" t="str">
        <f t="shared" si="5"/>
        <v/>
      </c>
      <c r="L29" s="9" t="str">
        <f>IF($J29="","",IFERROR(SUMIFS(SummaryHelper!$H$2:$H$5000,SummaryHelper!$A$2:$A$5000,$I29,SummaryHelper!$B$2:$B$5000,$J29,SummaryHelper!$C$2:$C$5000,$K29)/SUMIFS(SummaryHelper!$G$2:$G$5000,SummaryHelper!$A$2:$A$5000,$I29,SummaryHelper!$B$2:$B$5000,$J29,SummaryHelper!$C$2:$C$5000,$K29),""))</f>
        <v/>
      </c>
      <c r="M29" s="9" t="str">
        <f>IF($J29="","",SUMIFS(SummaryHelper!$E$2:$E$5000,SummaryHelper!$A$2:$A$5000,$I29,SummaryHelper!$B$2:$B$5000,$J29,SummaryHelper!$C$2:$C$5000,$K29))</f>
        <v/>
      </c>
      <c r="N29" s="9" t="str">
        <f>IF($J29="","",SUMIFS(SummaryHelper!$F$2:$F$5000,SummaryHelper!$A$2:$A$5000,$I29,SummaryHelper!$B$2:$B$5000,$J29,SummaryHelper!$C$2:$C$5000,$K29))</f>
        <v/>
      </c>
      <c r="O29" s="9" t="str">
        <f>IF($J29="","",SUMIFS(SummaryHelper!$G$2:$G$5000,SummaryHelper!$A$2:$A$5000,$I29,SummaryHelper!$B$2:$B$5000,$J29,SummaryHelper!$C$2:$C$5000,$K29))</f>
        <v/>
      </c>
      <c r="Q29" s="9" t="str">
        <f t="shared" si="6"/>
        <v/>
      </c>
      <c r="R29" s="9" t="str">
        <f t="shared" si="7"/>
        <v/>
      </c>
      <c r="W29" s="9" t="str">
        <f>IF($U29="","",IFERROR(SUMIFS(SummaryHelper!$H$2:$H$5000,SummaryHelper!$A$2:$A$5000,$T29,SummaryHelper!$B$2:$B$5000,$U29,SummaryHelper!$C$2:$C$5000,$V29)/SUMIFS(SummaryHelper!$G$2:$G$5000,SummaryHelper!$A$2:$A$5000,$T29,SummaryHelper!$B$2:$B$5000,$U29,SummaryHelper!$C$2:$C$5000,$V29),""))</f>
        <v/>
      </c>
      <c r="X29" s="9" t="str">
        <f>IF($U29="","",SUMIFS(SummaryHelper!$E$2:$E$5000,SummaryHelper!$A$2:$A$5000,$T29,SummaryHelper!$B$2:$B$5000,$U29,SummaryHelper!$C$2:$C$5000,$V29))</f>
        <v/>
      </c>
      <c r="Y29" s="9" t="str">
        <f>IF($U29="","",SUMIFS(SummaryHelper!$F$2:$F$5000,SummaryHelper!$A$2:$A$5000,$T29,SummaryHelper!$B$2:$B$5000,$U29,SummaryHelper!$C$2:$C$5000,$V29))</f>
        <v/>
      </c>
      <c r="Z29" s="9" t="s">
        <v>489</v>
      </c>
      <c r="AB29" s="9" t="str">
        <f t="shared" si="8"/>
        <v/>
      </c>
      <c r="AC29" s="9" t="str">
        <f t="shared" si="9"/>
        <v/>
      </c>
      <c r="AH29" t="str">
        <f>IF($AF29="","",IFERROR(SUMIFS(SummaryHelper!$H$2:$H$5000,SummaryHelper!$A$2:$A$5000,$AE29,SummaryHelper!$B$2:$B$5000,$AF29,SummaryHelper!$C$2:$C$5000,$AG29)/SUMIFS(SummaryHelper!$G$2:$G$5000,SummaryHelper!$A$2:$A$5000,$AE29,SummaryHelper!$B$2:$B$5000,$AF29,SummaryHelper!$C$2:$C$5000,$AG29),""))</f>
        <v/>
      </c>
      <c r="AI29" t="str">
        <f>IF($AF29="","",SUMIFS(SummaryHelper!$E$2:$E$5000,SummaryHelper!$A$2:$A$5000,$AE29,SummaryHelper!$B$2:$B$5000,$AF29,SummaryHelper!$C$2:$C$5000,$AG29))</f>
        <v/>
      </c>
      <c r="AJ29" t="str">
        <f>IF($AF29="","",SUMIFS(SummaryHelper!$F$2:$F$5000,SummaryHelper!$A$2:$A$5000,$AE29,SummaryHelper!$B$2:$B$5000,$AF29,SummaryHelper!$C$2:$C$5000,$AG29))</f>
        <v/>
      </c>
      <c r="AK29" t="str">
        <f>IF($AF29="","",SUMIFS(SummaryHelper!$G$2:$G$5000,SummaryHelper!$A$2:$A$5000,$AE29,SummaryHelper!$B$2:$B$5000,$AF29,SummaryHelper!$C$2:$C$5000,$AG29))</f>
        <v/>
      </c>
      <c r="AM29" t="str">
        <f t="shared" si="10"/>
        <v/>
      </c>
      <c r="AN29" t="str">
        <f t="shared" si="11"/>
        <v/>
      </c>
    </row>
    <row r="30" spans="1:40" x14ac:dyDescent="0.25">
      <c r="A30" s="12"/>
      <c r="B30" s="12" t="str">
        <f t="shared" si="0"/>
        <v/>
      </c>
      <c r="C30" s="9" t="str">
        <f t="shared" ca="1" si="1"/>
        <v/>
      </c>
      <c r="D30" s="9" t="str">
        <f t="shared" ca="1" si="2"/>
        <v/>
      </c>
      <c r="E30" s="9" t="str">
        <f t="shared" ca="1" si="3"/>
        <v/>
      </c>
      <c r="F30" s="9" t="str">
        <f t="shared" si="4"/>
        <v/>
      </c>
      <c r="G30" s="9" t="str">
        <f t="shared" si="5"/>
        <v/>
      </c>
      <c r="L30" s="9" t="str">
        <f>IF($J30="","",IFERROR(SUMIFS(SummaryHelper!$H$2:$H$5000,SummaryHelper!$A$2:$A$5000,$I30,SummaryHelper!$B$2:$B$5000,$J30,SummaryHelper!$C$2:$C$5000,$K30)/SUMIFS(SummaryHelper!$G$2:$G$5000,SummaryHelper!$A$2:$A$5000,$I30,SummaryHelper!$B$2:$B$5000,$J30,SummaryHelper!$C$2:$C$5000,$K30),""))</f>
        <v/>
      </c>
      <c r="M30" s="9" t="str">
        <f>IF($J30="","",SUMIFS(SummaryHelper!$E$2:$E$5000,SummaryHelper!$A$2:$A$5000,$I30,SummaryHelper!$B$2:$B$5000,$J30,SummaryHelper!$C$2:$C$5000,$K30))</f>
        <v/>
      </c>
      <c r="N30" s="9" t="str">
        <f>IF($J30="","",SUMIFS(SummaryHelper!$F$2:$F$5000,SummaryHelper!$A$2:$A$5000,$I30,SummaryHelper!$B$2:$B$5000,$J30,SummaryHelper!$C$2:$C$5000,$K30))</f>
        <v/>
      </c>
      <c r="O30" s="9" t="str">
        <f>IF($J30="","",SUMIFS(SummaryHelper!$G$2:$G$5000,SummaryHelper!$A$2:$A$5000,$I30,SummaryHelper!$B$2:$B$5000,$J30,SummaryHelper!$C$2:$C$5000,$K30))</f>
        <v/>
      </c>
      <c r="Q30" s="9" t="str">
        <f t="shared" si="6"/>
        <v/>
      </c>
      <c r="R30" s="9" t="str">
        <f t="shared" si="7"/>
        <v/>
      </c>
      <c r="W30" s="9" t="str">
        <f>IF($U30="","",IFERROR(SUMIFS(SummaryHelper!$H$2:$H$5000,SummaryHelper!$A$2:$A$5000,$T30,SummaryHelper!$B$2:$B$5000,$U30,SummaryHelper!$C$2:$C$5000,$V30)/SUMIFS(SummaryHelper!$G$2:$G$5000,SummaryHelper!$A$2:$A$5000,$T30,SummaryHelper!$B$2:$B$5000,$U30,SummaryHelper!$C$2:$C$5000,$V30),""))</f>
        <v/>
      </c>
      <c r="X30" s="9" t="str">
        <f>IF($U30="","",SUMIFS(SummaryHelper!$E$2:$E$5000,SummaryHelper!$A$2:$A$5000,$T30,SummaryHelper!$B$2:$B$5000,$U30,SummaryHelper!$C$2:$C$5000,$V30))</f>
        <v/>
      </c>
      <c r="Y30" s="9" t="str">
        <f>IF($U30="","",SUMIFS(SummaryHelper!$F$2:$F$5000,SummaryHelper!$A$2:$A$5000,$T30,SummaryHelper!$B$2:$B$5000,$U30,SummaryHelper!$C$2:$C$5000,$V30))</f>
        <v/>
      </c>
      <c r="Z30" s="9" t="s">
        <v>489</v>
      </c>
      <c r="AB30" s="9" t="str">
        <f t="shared" si="8"/>
        <v/>
      </c>
      <c r="AC30" s="9" t="str">
        <f t="shared" si="9"/>
        <v/>
      </c>
      <c r="AH30" t="str">
        <f>IF($AF30="","",IFERROR(SUMIFS(SummaryHelper!$H$2:$H$5000,SummaryHelper!$A$2:$A$5000,$AE30,SummaryHelper!$B$2:$B$5000,$AF30,SummaryHelper!$C$2:$C$5000,$AG30)/SUMIFS(SummaryHelper!$G$2:$G$5000,SummaryHelper!$A$2:$A$5000,$AE30,SummaryHelper!$B$2:$B$5000,$AF30,SummaryHelper!$C$2:$C$5000,$AG30),""))</f>
        <v/>
      </c>
      <c r="AI30" t="str">
        <f>IF($AF30="","",SUMIFS(SummaryHelper!$E$2:$E$5000,SummaryHelper!$A$2:$A$5000,$AE30,SummaryHelper!$B$2:$B$5000,$AF30,SummaryHelper!$C$2:$C$5000,$AG30))</f>
        <v/>
      </c>
      <c r="AJ30" t="str">
        <f>IF($AF30="","",SUMIFS(SummaryHelper!$F$2:$F$5000,SummaryHelper!$A$2:$A$5000,$AE30,SummaryHelper!$B$2:$B$5000,$AF30,SummaryHelper!$C$2:$C$5000,$AG30))</f>
        <v/>
      </c>
      <c r="AK30" t="str">
        <f>IF($AF30="","",SUMIFS(SummaryHelper!$G$2:$G$5000,SummaryHelper!$A$2:$A$5000,$AE30,SummaryHelper!$B$2:$B$5000,$AF30,SummaryHelper!$C$2:$C$5000,$AG30))</f>
        <v/>
      </c>
      <c r="AM30" t="str">
        <f t="shared" si="10"/>
        <v/>
      </c>
      <c r="AN30" t="str">
        <f t="shared" si="11"/>
        <v/>
      </c>
    </row>
    <row r="31" spans="1:40" x14ac:dyDescent="0.25">
      <c r="A31" s="12"/>
      <c r="B31" s="12" t="str">
        <f t="shared" si="0"/>
        <v/>
      </c>
      <c r="C31" s="9" t="str">
        <f t="shared" ca="1" si="1"/>
        <v/>
      </c>
      <c r="D31" s="9" t="str">
        <f t="shared" ca="1" si="2"/>
        <v/>
      </c>
      <c r="E31" s="9" t="str">
        <f t="shared" ca="1" si="3"/>
        <v/>
      </c>
      <c r="F31" s="9" t="str">
        <f t="shared" si="4"/>
        <v/>
      </c>
      <c r="G31" s="9" t="str">
        <f t="shared" si="5"/>
        <v/>
      </c>
      <c r="L31" s="9" t="str">
        <f>IF($J31="","",IFERROR(SUMIFS(SummaryHelper!$H$2:$H$5000,SummaryHelper!$A$2:$A$5000,$I31,SummaryHelper!$B$2:$B$5000,$J31,SummaryHelper!$C$2:$C$5000,$K31)/SUMIFS(SummaryHelper!$G$2:$G$5000,SummaryHelper!$A$2:$A$5000,$I31,SummaryHelper!$B$2:$B$5000,$J31,SummaryHelper!$C$2:$C$5000,$K31),""))</f>
        <v/>
      </c>
      <c r="M31" s="9" t="str">
        <f>IF($J31="","",SUMIFS(SummaryHelper!$E$2:$E$5000,SummaryHelper!$A$2:$A$5000,$I31,SummaryHelper!$B$2:$B$5000,$J31,SummaryHelper!$C$2:$C$5000,$K31))</f>
        <v/>
      </c>
      <c r="N31" s="9" t="str">
        <f>IF($J31="","",SUMIFS(SummaryHelper!$F$2:$F$5000,SummaryHelper!$A$2:$A$5000,$I31,SummaryHelper!$B$2:$B$5000,$J31,SummaryHelper!$C$2:$C$5000,$K31))</f>
        <v/>
      </c>
      <c r="O31" s="9" t="str">
        <f>IF($J31="","",SUMIFS(SummaryHelper!$G$2:$G$5000,SummaryHelper!$A$2:$A$5000,$I31,SummaryHelper!$B$2:$B$5000,$J31,SummaryHelper!$C$2:$C$5000,$K31))</f>
        <v/>
      </c>
      <c r="Q31" s="9" t="str">
        <f t="shared" si="6"/>
        <v/>
      </c>
      <c r="R31" s="9" t="str">
        <f t="shared" si="7"/>
        <v/>
      </c>
      <c r="W31" s="9" t="str">
        <f>IF($U31="","",IFERROR(SUMIFS(SummaryHelper!$H$2:$H$5000,SummaryHelper!$A$2:$A$5000,$T31,SummaryHelper!$B$2:$B$5000,$U31,SummaryHelper!$C$2:$C$5000,$V31)/SUMIFS(SummaryHelper!$G$2:$G$5000,SummaryHelper!$A$2:$A$5000,$T31,SummaryHelper!$B$2:$B$5000,$U31,SummaryHelper!$C$2:$C$5000,$V31),""))</f>
        <v/>
      </c>
      <c r="X31" s="9" t="str">
        <f>IF($U31="","",SUMIFS(SummaryHelper!$E$2:$E$5000,SummaryHelper!$A$2:$A$5000,$T31,SummaryHelper!$B$2:$B$5000,$U31,SummaryHelper!$C$2:$C$5000,$V31))</f>
        <v/>
      </c>
      <c r="Y31" s="9" t="str">
        <f>IF($U31="","",SUMIFS(SummaryHelper!$F$2:$F$5000,SummaryHelper!$A$2:$A$5000,$T31,SummaryHelper!$B$2:$B$5000,$U31,SummaryHelper!$C$2:$C$5000,$V31))</f>
        <v/>
      </c>
      <c r="Z31" s="9" t="s">
        <v>489</v>
      </c>
      <c r="AB31" s="9" t="str">
        <f t="shared" si="8"/>
        <v/>
      </c>
      <c r="AC31" s="9" t="str">
        <f t="shared" si="9"/>
        <v/>
      </c>
      <c r="AH31" t="str">
        <f>IF($AF31="","",IFERROR(SUMIFS(SummaryHelper!$H$2:$H$5000,SummaryHelper!$A$2:$A$5000,$AE31,SummaryHelper!$B$2:$B$5000,$AF31,SummaryHelper!$C$2:$C$5000,$AG31)/SUMIFS(SummaryHelper!$G$2:$G$5000,SummaryHelper!$A$2:$A$5000,$AE31,SummaryHelper!$B$2:$B$5000,$AF31,SummaryHelper!$C$2:$C$5000,$AG31),""))</f>
        <v/>
      </c>
      <c r="AI31" t="str">
        <f>IF($AF31="","",SUMIFS(SummaryHelper!$E$2:$E$5000,SummaryHelper!$A$2:$A$5000,$AE31,SummaryHelper!$B$2:$B$5000,$AF31,SummaryHelper!$C$2:$C$5000,$AG31))</f>
        <v/>
      </c>
      <c r="AJ31" t="str">
        <f>IF($AF31="","",SUMIFS(SummaryHelper!$F$2:$F$5000,SummaryHelper!$A$2:$A$5000,$AE31,SummaryHelper!$B$2:$B$5000,$AF31,SummaryHelper!$C$2:$C$5000,$AG31))</f>
        <v/>
      </c>
      <c r="AK31" t="str">
        <f>IF($AF31="","",SUMIFS(SummaryHelper!$G$2:$G$5000,SummaryHelper!$A$2:$A$5000,$AE31,SummaryHelper!$B$2:$B$5000,$AF31,SummaryHelper!$C$2:$C$5000,$AG31))</f>
        <v/>
      </c>
      <c r="AM31" t="str">
        <f t="shared" si="10"/>
        <v/>
      </c>
      <c r="AN31" t="str">
        <f t="shared" si="11"/>
        <v/>
      </c>
    </row>
    <row r="32" spans="1:40" x14ac:dyDescent="0.25">
      <c r="A32" s="12"/>
      <c r="B32" s="12" t="str">
        <f t="shared" si="0"/>
        <v/>
      </c>
      <c r="C32" s="9" t="str">
        <f t="shared" ca="1" si="1"/>
        <v/>
      </c>
      <c r="D32" s="9" t="str">
        <f t="shared" ca="1" si="2"/>
        <v/>
      </c>
      <c r="E32" s="9" t="str">
        <f t="shared" ca="1" si="3"/>
        <v/>
      </c>
      <c r="F32" s="9" t="str">
        <f t="shared" si="4"/>
        <v/>
      </c>
      <c r="G32" s="9" t="str">
        <f t="shared" si="5"/>
        <v/>
      </c>
      <c r="L32" s="9" t="str">
        <f>IF($J32="","",IFERROR(SUMIFS(SummaryHelper!$H$2:$H$5000,SummaryHelper!$A$2:$A$5000,$I32,SummaryHelper!$B$2:$B$5000,$J32,SummaryHelper!$C$2:$C$5000,$K32)/SUMIFS(SummaryHelper!$G$2:$G$5000,SummaryHelper!$A$2:$A$5000,$I32,SummaryHelper!$B$2:$B$5000,$J32,SummaryHelper!$C$2:$C$5000,$K32),""))</f>
        <v/>
      </c>
      <c r="M32" s="9" t="str">
        <f>IF($J32="","",SUMIFS(SummaryHelper!$E$2:$E$5000,SummaryHelper!$A$2:$A$5000,$I32,SummaryHelper!$B$2:$B$5000,$J32,SummaryHelper!$C$2:$C$5000,$K32))</f>
        <v/>
      </c>
      <c r="N32" s="9" t="str">
        <f>IF($J32="","",SUMIFS(SummaryHelper!$F$2:$F$5000,SummaryHelper!$A$2:$A$5000,$I32,SummaryHelper!$B$2:$B$5000,$J32,SummaryHelper!$C$2:$C$5000,$K32))</f>
        <v/>
      </c>
      <c r="O32" s="9" t="str">
        <f>IF($J32="","",SUMIFS(SummaryHelper!$G$2:$G$5000,SummaryHelper!$A$2:$A$5000,$I32,SummaryHelper!$B$2:$B$5000,$J32,SummaryHelper!$C$2:$C$5000,$K32))</f>
        <v/>
      </c>
      <c r="Q32" s="9" t="str">
        <f t="shared" si="6"/>
        <v/>
      </c>
      <c r="R32" s="9" t="str">
        <f t="shared" si="7"/>
        <v/>
      </c>
      <c r="W32" s="9" t="str">
        <f>IF($U32="","",IFERROR(SUMIFS(SummaryHelper!$H$2:$H$5000,SummaryHelper!$A$2:$A$5000,$T32,SummaryHelper!$B$2:$B$5000,$U32,SummaryHelper!$C$2:$C$5000,$V32)/SUMIFS(SummaryHelper!$G$2:$G$5000,SummaryHelper!$A$2:$A$5000,$T32,SummaryHelper!$B$2:$B$5000,$U32,SummaryHelper!$C$2:$C$5000,$V32),""))</f>
        <v/>
      </c>
      <c r="X32" s="9" t="str">
        <f>IF($U32="","",SUMIFS(SummaryHelper!$E$2:$E$5000,SummaryHelper!$A$2:$A$5000,$T32,SummaryHelper!$B$2:$B$5000,$U32,SummaryHelper!$C$2:$C$5000,$V32))</f>
        <v/>
      </c>
      <c r="Y32" s="9" t="str">
        <f>IF($U32="","",SUMIFS(SummaryHelper!$F$2:$F$5000,SummaryHelper!$A$2:$A$5000,$T32,SummaryHelper!$B$2:$B$5000,$U32,SummaryHelper!$C$2:$C$5000,$V32))</f>
        <v/>
      </c>
      <c r="Z32" s="9" t="s">
        <v>489</v>
      </c>
      <c r="AB32" s="9" t="str">
        <f t="shared" si="8"/>
        <v/>
      </c>
      <c r="AC32" s="9" t="str">
        <f t="shared" si="9"/>
        <v/>
      </c>
      <c r="AH32" t="str">
        <f>IF($AF32="","",IFERROR(SUMIFS(SummaryHelper!$H$2:$H$5000,SummaryHelper!$A$2:$A$5000,$AE32,SummaryHelper!$B$2:$B$5000,$AF32,SummaryHelper!$C$2:$C$5000,$AG32)/SUMIFS(SummaryHelper!$G$2:$G$5000,SummaryHelper!$A$2:$A$5000,$AE32,SummaryHelper!$B$2:$B$5000,$AF32,SummaryHelper!$C$2:$C$5000,$AG32),""))</f>
        <v/>
      </c>
      <c r="AI32" t="str">
        <f>IF($AF32="","",SUMIFS(SummaryHelper!$E$2:$E$5000,SummaryHelper!$A$2:$A$5000,$AE32,SummaryHelper!$B$2:$B$5000,$AF32,SummaryHelper!$C$2:$C$5000,$AG32))</f>
        <v/>
      </c>
      <c r="AJ32" t="str">
        <f>IF($AF32="","",SUMIFS(SummaryHelper!$F$2:$F$5000,SummaryHelper!$A$2:$A$5000,$AE32,SummaryHelper!$B$2:$B$5000,$AF32,SummaryHelper!$C$2:$C$5000,$AG32))</f>
        <v/>
      </c>
      <c r="AK32" t="str">
        <f>IF($AF32="","",SUMIFS(SummaryHelper!$G$2:$G$5000,SummaryHelper!$A$2:$A$5000,$AE32,SummaryHelper!$B$2:$B$5000,$AF32,SummaryHelper!$C$2:$C$5000,$AG32))</f>
        <v/>
      </c>
      <c r="AM32" t="str">
        <f t="shared" si="10"/>
        <v/>
      </c>
      <c r="AN32" t="str">
        <f t="shared" si="11"/>
        <v/>
      </c>
    </row>
    <row r="33" spans="1:40" x14ac:dyDescent="0.25">
      <c r="A33" s="12"/>
      <c r="B33" s="12" t="str">
        <f t="shared" si="0"/>
        <v/>
      </c>
      <c r="C33" s="9" t="str">
        <f t="shared" ca="1" si="1"/>
        <v/>
      </c>
      <c r="D33" s="9" t="str">
        <f t="shared" ca="1" si="2"/>
        <v/>
      </c>
      <c r="E33" s="9" t="str">
        <f t="shared" ca="1" si="3"/>
        <v/>
      </c>
      <c r="F33" s="9" t="str">
        <f t="shared" si="4"/>
        <v/>
      </c>
      <c r="G33" s="9" t="str">
        <f t="shared" si="5"/>
        <v/>
      </c>
      <c r="L33" s="9" t="str">
        <f>IF($J33="","",IFERROR(SUMIFS(SummaryHelper!$H$2:$H$5000,SummaryHelper!$A$2:$A$5000,$I33,SummaryHelper!$B$2:$B$5000,$J33,SummaryHelper!$C$2:$C$5000,$K33)/SUMIFS(SummaryHelper!$G$2:$G$5000,SummaryHelper!$A$2:$A$5000,$I33,SummaryHelper!$B$2:$B$5000,$J33,SummaryHelper!$C$2:$C$5000,$K33),""))</f>
        <v/>
      </c>
      <c r="M33" s="9" t="str">
        <f>IF($J33="","",SUMIFS(SummaryHelper!$E$2:$E$5000,SummaryHelper!$A$2:$A$5000,$I33,SummaryHelper!$B$2:$B$5000,$J33,SummaryHelper!$C$2:$C$5000,$K33))</f>
        <v/>
      </c>
      <c r="N33" s="9" t="str">
        <f>IF($J33="","",SUMIFS(SummaryHelper!$F$2:$F$5000,SummaryHelper!$A$2:$A$5000,$I33,SummaryHelper!$B$2:$B$5000,$J33,SummaryHelper!$C$2:$C$5000,$K33))</f>
        <v/>
      </c>
      <c r="O33" s="9" t="str">
        <f>IF($J33="","",SUMIFS(SummaryHelper!$G$2:$G$5000,SummaryHelper!$A$2:$A$5000,$I33,SummaryHelper!$B$2:$B$5000,$J33,SummaryHelper!$C$2:$C$5000,$K33))</f>
        <v/>
      </c>
      <c r="Q33" s="9" t="str">
        <f t="shared" si="6"/>
        <v/>
      </c>
      <c r="R33" s="9" t="str">
        <f t="shared" si="7"/>
        <v/>
      </c>
      <c r="W33" s="9" t="str">
        <f>IF($U33="","",IFERROR(SUMIFS(SummaryHelper!$H$2:$H$5000,SummaryHelper!$A$2:$A$5000,$T33,SummaryHelper!$B$2:$B$5000,$U33,SummaryHelper!$C$2:$C$5000,$V33)/SUMIFS(SummaryHelper!$G$2:$G$5000,SummaryHelper!$A$2:$A$5000,$T33,SummaryHelper!$B$2:$B$5000,$U33,SummaryHelper!$C$2:$C$5000,$V33),""))</f>
        <v/>
      </c>
      <c r="X33" s="9" t="str">
        <f>IF($U33="","",SUMIFS(SummaryHelper!$E$2:$E$5000,SummaryHelper!$A$2:$A$5000,$T33,SummaryHelper!$B$2:$B$5000,$U33,SummaryHelper!$C$2:$C$5000,$V33))</f>
        <v/>
      </c>
      <c r="Y33" s="9" t="str">
        <f>IF($U33="","",SUMIFS(SummaryHelper!$F$2:$F$5000,SummaryHelper!$A$2:$A$5000,$T33,SummaryHelper!$B$2:$B$5000,$U33,SummaryHelper!$C$2:$C$5000,$V33))</f>
        <v/>
      </c>
      <c r="Z33" s="9" t="s">
        <v>489</v>
      </c>
      <c r="AB33" s="9" t="str">
        <f t="shared" si="8"/>
        <v/>
      </c>
      <c r="AC33" s="9" t="str">
        <f t="shared" si="9"/>
        <v/>
      </c>
      <c r="AH33" t="str">
        <f>IF($AF33="","",IFERROR(SUMIFS(SummaryHelper!$H$2:$H$5000,SummaryHelper!$A$2:$A$5000,$AE33,SummaryHelper!$B$2:$B$5000,$AF33,SummaryHelper!$C$2:$C$5000,$AG33)/SUMIFS(SummaryHelper!$G$2:$G$5000,SummaryHelper!$A$2:$A$5000,$AE33,SummaryHelper!$B$2:$B$5000,$AF33,SummaryHelper!$C$2:$C$5000,$AG33),""))</f>
        <v/>
      </c>
      <c r="AI33" t="str">
        <f>IF($AF33="","",SUMIFS(SummaryHelper!$E$2:$E$5000,SummaryHelper!$A$2:$A$5000,$AE33,SummaryHelper!$B$2:$B$5000,$AF33,SummaryHelper!$C$2:$C$5000,$AG33))</f>
        <v/>
      </c>
      <c r="AJ33" t="str">
        <f>IF($AF33="","",SUMIFS(SummaryHelper!$F$2:$F$5000,SummaryHelper!$A$2:$A$5000,$AE33,SummaryHelper!$B$2:$B$5000,$AF33,SummaryHelper!$C$2:$C$5000,$AG33))</f>
        <v/>
      </c>
      <c r="AK33" t="str">
        <f>IF($AF33="","",SUMIFS(SummaryHelper!$G$2:$G$5000,SummaryHelper!$A$2:$A$5000,$AE33,SummaryHelper!$B$2:$B$5000,$AF33,SummaryHelper!$C$2:$C$5000,$AG33))</f>
        <v/>
      </c>
      <c r="AM33" t="str">
        <f t="shared" si="10"/>
        <v/>
      </c>
      <c r="AN33" t="str">
        <f t="shared" si="11"/>
        <v/>
      </c>
    </row>
    <row r="34" spans="1:40" x14ac:dyDescent="0.25">
      <c r="A34" s="12"/>
      <c r="B34" s="12" t="str">
        <f t="shared" si="0"/>
        <v/>
      </c>
      <c r="C34" s="9" t="str">
        <f t="shared" ca="1" si="1"/>
        <v/>
      </c>
      <c r="D34" s="9" t="str">
        <f t="shared" ca="1" si="2"/>
        <v/>
      </c>
      <c r="E34" s="9" t="str">
        <f t="shared" ca="1" si="3"/>
        <v/>
      </c>
      <c r="F34" s="9" t="str">
        <f t="shared" si="4"/>
        <v/>
      </c>
      <c r="G34" s="9" t="str">
        <f t="shared" si="5"/>
        <v/>
      </c>
      <c r="L34" s="9" t="str">
        <f>IF($J34="","",IFERROR(SUMIFS(SummaryHelper!$H$2:$H$5000,SummaryHelper!$A$2:$A$5000,$I34,SummaryHelper!$B$2:$B$5000,$J34,SummaryHelper!$C$2:$C$5000,$K34)/SUMIFS(SummaryHelper!$G$2:$G$5000,SummaryHelper!$A$2:$A$5000,$I34,SummaryHelper!$B$2:$B$5000,$J34,SummaryHelper!$C$2:$C$5000,$K34),""))</f>
        <v/>
      </c>
      <c r="M34" s="9" t="str">
        <f>IF($J34="","",SUMIFS(SummaryHelper!$E$2:$E$5000,SummaryHelper!$A$2:$A$5000,$I34,SummaryHelper!$B$2:$B$5000,$J34,SummaryHelper!$C$2:$C$5000,$K34))</f>
        <v/>
      </c>
      <c r="N34" s="9" t="str">
        <f>IF($J34="","",SUMIFS(SummaryHelper!$F$2:$F$5000,SummaryHelper!$A$2:$A$5000,$I34,SummaryHelper!$B$2:$B$5000,$J34,SummaryHelper!$C$2:$C$5000,$K34))</f>
        <v/>
      </c>
      <c r="O34" s="9" t="str">
        <f>IF($J34="","",SUMIFS(SummaryHelper!$G$2:$G$5000,SummaryHelper!$A$2:$A$5000,$I34,SummaryHelper!$B$2:$B$5000,$J34,SummaryHelper!$C$2:$C$5000,$K34))</f>
        <v/>
      </c>
      <c r="Q34" s="9" t="str">
        <f t="shared" si="6"/>
        <v/>
      </c>
      <c r="R34" s="9" t="str">
        <f t="shared" si="7"/>
        <v/>
      </c>
      <c r="W34" s="9" t="str">
        <f>IF($U34="","",IFERROR(SUMIFS(SummaryHelper!$H$2:$H$5000,SummaryHelper!$A$2:$A$5000,$T34,SummaryHelper!$B$2:$B$5000,$U34,SummaryHelper!$C$2:$C$5000,$V34)/SUMIFS(SummaryHelper!$G$2:$G$5000,SummaryHelper!$A$2:$A$5000,$T34,SummaryHelper!$B$2:$B$5000,$U34,SummaryHelper!$C$2:$C$5000,$V34),""))</f>
        <v/>
      </c>
      <c r="X34" s="9" t="str">
        <f>IF($U34="","",SUMIFS(SummaryHelper!$E$2:$E$5000,SummaryHelper!$A$2:$A$5000,$T34,SummaryHelper!$B$2:$B$5000,$U34,SummaryHelper!$C$2:$C$5000,$V34))</f>
        <v/>
      </c>
      <c r="Y34" s="9" t="str">
        <f>IF($U34="","",SUMIFS(SummaryHelper!$F$2:$F$5000,SummaryHelper!$A$2:$A$5000,$T34,SummaryHelper!$B$2:$B$5000,$U34,SummaryHelper!$C$2:$C$5000,$V34))</f>
        <v/>
      </c>
      <c r="Z34" s="9" t="s">
        <v>489</v>
      </c>
      <c r="AB34" s="9" t="str">
        <f t="shared" si="8"/>
        <v/>
      </c>
      <c r="AC34" s="9" t="str">
        <f t="shared" si="9"/>
        <v/>
      </c>
      <c r="AH34" t="str">
        <f>IF($AF34="","",IFERROR(SUMIFS(SummaryHelper!$H$2:$H$5000,SummaryHelper!$A$2:$A$5000,$AE34,SummaryHelper!$B$2:$B$5000,$AF34,SummaryHelper!$C$2:$C$5000,$AG34)/SUMIFS(SummaryHelper!$G$2:$G$5000,SummaryHelper!$A$2:$A$5000,$AE34,SummaryHelper!$B$2:$B$5000,$AF34,SummaryHelper!$C$2:$C$5000,$AG34),""))</f>
        <v/>
      </c>
      <c r="AI34" t="str">
        <f>IF($AF34="","",SUMIFS(SummaryHelper!$E$2:$E$5000,SummaryHelper!$A$2:$A$5000,$AE34,SummaryHelper!$B$2:$B$5000,$AF34,SummaryHelper!$C$2:$C$5000,$AG34))</f>
        <v/>
      </c>
      <c r="AJ34" t="str">
        <f>IF($AF34="","",SUMIFS(SummaryHelper!$F$2:$F$5000,SummaryHelper!$A$2:$A$5000,$AE34,SummaryHelper!$B$2:$B$5000,$AF34,SummaryHelper!$C$2:$C$5000,$AG34))</f>
        <v/>
      </c>
      <c r="AK34" t="str">
        <f>IF($AF34="","",SUMIFS(SummaryHelper!$G$2:$G$5000,SummaryHelper!$A$2:$A$5000,$AE34,SummaryHelper!$B$2:$B$5000,$AF34,SummaryHelper!$C$2:$C$5000,$AG34))</f>
        <v/>
      </c>
      <c r="AM34" t="str">
        <f t="shared" si="10"/>
        <v/>
      </c>
      <c r="AN34" t="str">
        <f t="shared" si="11"/>
        <v/>
      </c>
    </row>
    <row r="35" spans="1:40" x14ac:dyDescent="0.25">
      <c r="A35" s="12"/>
      <c r="B35" s="12" t="str">
        <f t="shared" si="0"/>
        <v/>
      </c>
      <c r="C35" s="9" t="str">
        <f t="shared" ca="1" si="1"/>
        <v/>
      </c>
      <c r="D35" s="9" t="str">
        <f t="shared" ca="1" si="2"/>
        <v/>
      </c>
      <c r="E35" s="9" t="str">
        <f t="shared" ca="1" si="3"/>
        <v/>
      </c>
      <c r="F35" s="9" t="str">
        <f t="shared" si="4"/>
        <v/>
      </c>
      <c r="G35" s="9" t="str">
        <f t="shared" si="5"/>
        <v/>
      </c>
      <c r="L35" s="9" t="str">
        <f>IF($J35="","",IFERROR(SUMIFS(SummaryHelper!$H$2:$H$5000,SummaryHelper!$A$2:$A$5000,$I35,SummaryHelper!$B$2:$B$5000,$J35,SummaryHelper!$C$2:$C$5000,$K35)/SUMIFS(SummaryHelper!$G$2:$G$5000,SummaryHelper!$A$2:$A$5000,$I35,SummaryHelper!$B$2:$B$5000,$J35,SummaryHelper!$C$2:$C$5000,$K35),""))</f>
        <v/>
      </c>
      <c r="M35" s="9" t="str">
        <f>IF($J35="","",SUMIFS(SummaryHelper!$E$2:$E$5000,SummaryHelper!$A$2:$A$5000,$I35,SummaryHelper!$B$2:$B$5000,$J35,SummaryHelper!$C$2:$C$5000,$K35))</f>
        <v/>
      </c>
      <c r="N35" s="9" t="str">
        <f>IF($J35="","",SUMIFS(SummaryHelper!$F$2:$F$5000,SummaryHelper!$A$2:$A$5000,$I35,SummaryHelper!$B$2:$B$5000,$J35,SummaryHelper!$C$2:$C$5000,$K35))</f>
        <v/>
      </c>
      <c r="O35" s="9" t="str">
        <f>IF($J35="","",SUMIFS(SummaryHelper!$G$2:$G$5000,SummaryHelper!$A$2:$A$5000,$I35,SummaryHelper!$B$2:$B$5000,$J35,SummaryHelper!$C$2:$C$5000,$K35))</f>
        <v/>
      </c>
      <c r="Q35" s="9" t="str">
        <f t="shared" si="6"/>
        <v/>
      </c>
      <c r="R35" s="9" t="str">
        <f t="shared" si="7"/>
        <v/>
      </c>
      <c r="W35" s="9" t="str">
        <f>IF($U35="","",IFERROR(SUMIFS(SummaryHelper!$H$2:$H$5000,SummaryHelper!$A$2:$A$5000,$T35,SummaryHelper!$B$2:$B$5000,$U35,SummaryHelper!$C$2:$C$5000,$V35)/SUMIFS(SummaryHelper!$G$2:$G$5000,SummaryHelper!$A$2:$A$5000,$T35,SummaryHelper!$B$2:$B$5000,$U35,SummaryHelper!$C$2:$C$5000,$V35),""))</f>
        <v/>
      </c>
      <c r="X35" s="9" t="str">
        <f>IF($U35="","",SUMIFS(SummaryHelper!$E$2:$E$5000,SummaryHelper!$A$2:$A$5000,$T35,SummaryHelper!$B$2:$B$5000,$U35,SummaryHelper!$C$2:$C$5000,$V35))</f>
        <v/>
      </c>
      <c r="Y35" s="9" t="str">
        <f>IF($U35="","",SUMIFS(SummaryHelper!$F$2:$F$5000,SummaryHelper!$A$2:$A$5000,$T35,SummaryHelper!$B$2:$B$5000,$U35,SummaryHelper!$C$2:$C$5000,$V35))</f>
        <v/>
      </c>
      <c r="Z35" s="9" t="s">
        <v>489</v>
      </c>
      <c r="AB35" s="9" t="str">
        <f t="shared" si="8"/>
        <v/>
      </c>
      <c r="AC35" s="9" t="str">
        <f t="shared" si="9"/>
        <v/>
      </c>
      <c r="AH35" t="str">
        <f>IF($AF35="","",IFERROR(SUMIFS(SummaryHelper!$H$2:$H$5000,SummaryHelper!$A$2:$A$5000,$AE35,SummaryHelper!$B$2:$B$5000,$AF35,SummaryHelper!$C$2:$C$5000,$AG35)/SUMIFS(SummaryHelper!$G$2:$G$5000,SummaryHelper!$A$2:$A$5000,$AE35,SummaryHelper!$B$2:$B$5000,$AF35,SummaryHelper!$C$2:$C$5000,$AG35),""))</f>
        <v/>
      </c>
      <c r="AI35" t="str">
        <f>IF($AF35="","",SUMIFS(SummaryHelper!$E$2:$E$5000,SummaryHelper!$A$2:$A$5000,$AE35,SummaryHelper!$B$2:$B$5000,$AF35,SummaryHelper!$C$2:$C$5000,$AG35))</f>
        <v/>
      </c>
      <c r="AJ35" t="str">
        <f>IF($AF35="","",SUMIFS(SummaryHelper!$F$2:$F$5000,SummaryHelper!$A$2:$A$5000,$AE35,SummaryHelper!$B$2:$B$5000,$AF35,SummaryHelper!$C$2:$C$5000,$AG35))</f>
        <v/>
      </c>
      <c r="AK35" t="str">
        <f>IF($AF35="","",SUMIFS(SummaryHelper!$G$2:$G$5000,SummaryHelper!$A$2:$A$5000,$AE35,SummaryHelper!$B$2:$B$5000,$AF35,SummaryHelper!$C$2:$C$5000,$AG35))</f>
        <v/>
      </c>
      <c r="AM35" t="str">
        <f t="shared" si="10"/>
        <v/>
      </c>
      <c r="AN35" t="str">
        <f t="shared" si="11"/>
        <v/>
      </c>
    </row>
    <row r="36" spans="1:40" x14ac:dyDescent="0.25">
      <c r="A36" s="12"/>
      <c r="B36" s="12" t="str">
        <f t="shared" si="0"/>
        <v/>
      </c>
      <c r="C36" s="9" t="str">
        <f t="shared" ca="1" si="1"/>
        <v/>
      </c>
      <c r="D36" s="9" t="str">
        <f t="shared" ca="1" si="2"/>
        <v/>
      </c>
      <c r="E36" s="9" t="str">
        <f t="shared" ca="1" si="3"/>
        <v/>
      </c>
      <c r="F36" s="9" t="str">
        <f t="shared" si="4"/>
        <v/>
      </c>
      <c r="G36" s="9" t="str">
        <f t="shared" si="5"/>
        <v/>
      </c>
      <c r="L36" s="9" t="str">
        <f>IF($J36="","",IFERROR(SUMIFS(SummaryHelper!$H$2:$H$5000,SummaryHelper!$A$2:$A$5000,$I36,SummaryHelper!$B$2:$B$5000,$J36,SummaryHelper!$C$2:$C$5000,$K36)/SUMIFS(SummaryHelper!$G$2:$G$5000,SummaryHelper!$A$2:$A$5000,$I36,SummaryHelper!$B$2:$B$5000,$J36,SummaryHelper!$C$2:$C$5000,$K36),""))</f>
        <v/>
      </c>
      <c r="M36" s="9" t="str">
        <f>IF($J36="","",SUMIFS(SummaryHelper!$E$2:$E$5000,SummaryHelper!$A$2:$A$5000,$I36,SummaryHelper!$B$2:$B$5000,$J36,SummaryHelper!$C$2:$C$5000,$K36))</f>
        <v/>
      </c>
      <c r="N36" s="9" t="str">
        <f>IF($J36="","",SUMIFS(SummaryHelper!$F$2:$F$5000,SummaryHelper!$A$2:$A$5000,$I36,SummaryHelper!$B$2:$B$5000,$J36,SummaryHelper!$C$2:$C$5000,$K36))</f>
        <v/>
      </c>
      <c r="O36" s="9" t="str">
        <f>IF($J36="","",SUMIFS(SummaryHelper!$G$2:$G$5000,SummaryHelper!$A$2:$A$5000,$I36,SummaryHelper!$B$2:$B$5000,$J36,SummaryHelper!$C$2:$C$5000,$K36))</f>
        <v/>
      </c>
      <c r="Q36" s="9" t="str">
        <f t="shared" si="6"/>
        <v/>
      </c>
      <c r="R36" s="9" t="str">
        <f t="shared" si="7"/>
        <v/>
      </c>
      <c r="W36" s="9" t="str">
        <f>IF($U36="","",IFERROR(SUMIFS(SummaryHelper!$H$2:$H$5000,SummaryHelper!$A$2:$A$5000,$T36,SummaryHelper!$B$2:$B$5000,$U36,SummaryHelper!$C$2:$C$5000,$V36)/SUMIFS(SummaryHelper!$G$2:$G$5000,SummaryHelper!$A$2:$A$5000,$T36,SummaryHelper!$B$2:$B$5000,$U36,SummaryHelper!$C$2:$C$5000,$V36),""))</f>
        <v/>
      </c>
      <c r="X36" s="9" t="str">
        <f>IF($U36="","",SUMIFS(SummaryHelper!$E$2:$E$5000,SummaryHelper!$A$2:$A$5000,$T36,SummaryHelper!$B$2:$B$5000,$U36,SummaryHelper!$C$2:$C$5000,$V36))</f>
        <v/>
      </c>
      <c r="Y36" s="9" t="str">
        <f>IF($U36="","",SUMIFS(SummaryHelper!$F$2:$F$5000,SummaryHelper!$A$2:$A$5000,$T36,SummaryHelper!$B$2:$B$5000,$U36,SummaryHelper!$C$2:$C$5000,$V36))</f>
        <v/>
      </c>
      <c r="Z36" s="9" t="s">
        <v>489</v>
      </c>
      <c r="AB36" s="9" t="str">
        <f t="shared" si="8"/>
        <v/>
      </c>
      <c r="AC36" s="9" t="str">
        <f t="shared" si="9"/>
        <v/>
      </c>
      <c r="AH36" t="str">
        <f>IF($AF36="","",IFERROR(SUMIFS(SummaryHelper!$H$2:$H$5000,SummaryHelper!$A$2:$A$5000,$AE36,SummaryHelper!$B$2:$B$5000,$AF36,SummaryHelper!$C$2:$C$5000,$AG36)/SUMIFS(SummaryHelper!$G$2:$G$5000,SummaryHelper!$A$2:$A$5000,$AE36,SummaryHelper!$B$2:$B$5000,$AF36,SummaryHelper!$C$2:$C$5000,$AG36),""))</f>
        <v/>
      </c>
      <c r="AI36" t="str">
        <f>IF($AF36="","",SUMIFS(SummaryHelper!$E$2:$E$5000,SummaryHelper!$A$2:$A$5000,$AE36,SummaryHelper!$B$2:$B$5000,$AF36,SummaryHelper!$C$2:$C$5000,$AG36))</f>
        <v/>
      </c>
      <c r="AJ36" t="str">
        <f>IF($AF36="","",SUMIFS(SummaryHelper!$F$2:$F$5000,SummaryHelper!$A$2:$A$5000,$AE36,SummaryHelper!$B$2:$B$5000,$AF36,SummaryHelper!$C$2:$C$5000,$AG36))</f>
        <v/>
      </c>
      <c r="AK36" t="str">
        <f>IF($AF36="","",SUMIFS(SummaryHelper!$G$2:$G$5000,SummaryHelper!$A$2:$A$5000,$AE36,SummaryHelper!$B$2:$B$5000,$AF36,SummaryHelper!$C$2:$C$5000,$AG36))</f>
        <v/>
      </c>
      <c r="AM36" t="str">
        <f t="shared" si="10"/>
        <v/>
      </c>
      <c r="AN36" t="str">
        <f t="shared" si="11"/>
        <v/>
      </c>
    </row>
    <row r="37" spans="1:40" x14ac:dyDescent="0.25">
      <c r="A37" s="12"/>
      <c r="B37" s="12" t="str">
        <f t="shared" si="0"/>
        <v/>
      </c>
      <c r="C37" s="9" t="str">
        <f t="shared" ca="1" si="1"/>
        <v/>
      </c>
      <c r="D37" s="9" t="str">
        <f t="shared" ca="1" si="2"/>
        <v/>
      </c>
      <c r="E37" s="9" t="str">
        <f t="shared" ca="1" si="3"/>
        <v/>
      </c>
      <c r="F37" s="9" t="str">
        <f t="shared" si="4"/>
        <v/>
      </c>
      <c r="G37" s="9" t="str">
        <f t="shared" si="5"/>
        <v/>
      </c>
      <c r="L37" s="9" t="str">
        <f>IF($J37="","",IFERROR(SUMIFS(SummaryHelper!$H$2:$H$5000,SummaryHelper!$A$2:$A$5000,$I37,SummaryHelper!$B$2:$B$5000,$J37,SummaryHelper!$C$2:$C$5000,$K37)/SUMIFS(SummaryHelper!$G$2:$G$5000,SummaryHelper!$A$2:$A$5000,$I37,SummaryHelper!$B$2:$B$5000,$J37,SummaryHelper!$C$2:$C$5000,$K37),""))</f>
        <v/>
      </c>
      <c r="M37" s="9" t="str">
        <f>IF($J37="","",SUMIFS(SummaryHelper!$E$2:$E$5000,SummaryHelper!$A$2:$A$5000,$I37,SummaryHelper!$B$2:$B$5000,$J37,SummaryHelper!$C$2:$C$5000,$K37))</f>
        <v/>
      </c>
      <c r="N37" s="9" t="str">
        <f>IF($J37="","",SUMIFS(SummaryHelper!$F$2:$F$5000,SummaryHelper!$A$2:$A$5000,$I37,SummaryHelper!$B$2:$B$5000,$J37,SummaryHelper!$C$2:$C$5000,$K37))</f>
        <v/>
      </c>
      <c r="O37" s="9" t="str">
        <f>IF($J37="","",SUMIFS(SummaryHelper!$G$2:$G$5000,SummaryHelper!$A$2:$A$5000,$I37,SummaryHelper!$B$2:$B$5000,$J37,SummaryHelper!$C$2:$C$5000,$K37))</f>
        <v/>
      </c>
      <c r="Q37" s="9" t="str">
        <f t="shared" si="6"/>
        <v/>
      </c>
      <c r="R37" s="9" t="str">
        <f t="shared" si="7"/>
        <v/>
      </c>
      <c r="W37" s="9" t="str">
        <f>IF($U37="","",IFERROR(SUMIFS(SummaryHelper!$H$2:$H$5000,SummaryHelper!$A$2:$A$5000,$T37,SummaryHelper!$B$2:$B$5000,$U37,SummaryHelper!$C$2:$C$5000,$V37)/SUMIFS(SummaryHelper!$G$2:$G$5000,SummaryHelper!$A$2:$A$5000,$T37,SummaryHelper!$B$2:$B$5000,$U37,SummaryHelper!$C$2:$C$5000,$V37),""))</f>
        <v/>
      </c>
      <c r="X37" s="9" t="str">
        <f>IF($U37="","",SUMIFS(SummaryHelper!$E$2:$E$5000,SummaryHelper!$A$2:$A$5000,$T37,SummaryHelper!$B$2:$B$5000,$U37,SummaryHelper!$C$2:$C$5000,$V37))</f>
        <v/>
      </c>
      <c r="Y37" s="9" t="str">
        <f>IF($U37="","",SUMIFS(SummaryHelper!$F$2:$F$5000,SummaryHelper!$A$2:$A$5000,$T37,SummaryHelper!$B$2:$B$5000,$U37,SummaryHelper!$C$2:$C$5000,$V37))</f>
        <v/>
      </c>
      <c r="Z37" s="9" t="s">
        <v>489</v>
      </c>
      <c r="AB37" s="9" t="str">
        <f t="shared" si="8"/>
        <v/>
      </c>
      <c r="AC37" s="9" t="str">
        <f t="shared" si="9"/>
        <v/>
      </c>
      <c r="AH37" t="str">
        <f>IF($AF37="","",IFERROR(SUMIFS(SummaryHelper!$H$2:$H$5000,SummaryHelper!$A$2:$A$5000,$AE37,SummaryHelper!$B$2:$B$5000,$AF37,SummaryHelper!$C$2:$C$5000,$AG37)/SUMIFS(SummaryHelper!$G$2:$G$5000,SummaryHelper!$A$2:$A$5000,$AE37,SummaryHelper!$B$2:$B$5000,$AF37,SummaryHelper!$C$2:$C$5000,$AG37),""))</f>
        <v/>
      </c>
      <c r="AI37" t="str">
        <f>IF($AF37="","",SUMIFS(SummaryHelper!$E$2:$E$5000,SummaryHelper!$A$2:$A$5000,$AE37,SummaryHelper!$B$2:$B$5000,$AF37,SummaryHelper!$C$2:$C$5000,$AG37))</f>
        <v/>
      </c>
      <c r="AJ37" t="str">
        <f>IF($AF37="","",SUMIFS(SummaryHelper!$F$2:$F$5000,SummaryHelper!$A$2:$A$5000,$AE37,SummaryHelper!$B$2:$B$5000,$AF37,SummaryHelper!$C$2:$C$5000,$AG37))</f>
        <v/>
      </c>
      <c r="AK37" t="str">
        <f>IF($AF37="","",SUMIFS(SummaryHelper!$G$2:$G$5000,SummaryHelper!$A$2:$A$5000,$AE37,SummaryHelper!$B$2:$B$5000,$AF37,SummaryHelper!$C$2:$C$5000,$AG37))</f>
        <v/>
      </c>
      <c r="AM37" t="str">
        <f t="shared" si="10"/>
        <v/>
      </c>
      <c r="AN37" t="str">
        <f t="shared" si="11"/>
        <v/>
      </c>
    </row>
    <row r="38" spans="1:40" x14ac:dyDescent="0.25">
      <c r="A38" s="12"/>
      <c r="B38" s="12" t="str">
        <f t="shared" si="0"/>
        <v/>
      </c>
      <c r="C38" s="9" t="str">
        <f t="shared" ca="1" si="1"/>
        <v/>
      </c>
      <c r="D38" s="9" t="str">
        <f t="shared" ca="1" si="2"/>
        <v/>
      </c>
      <c r="E38" s="9" t="str">
        <f t="shared" ca="1" si="3"/>
        <v/>
      </c>
      <c r="F38" s="9" t="str">
        <f t="shared" si="4"/>
        <v/>
      </c>
      <c r="G38" s="9" t="str">
        <f t="shared" si="5"/>
        <v/>
      </c>
      <c r="L38" s="9" t="str">
        <f>IF($J38="","",IFERROR(SUMIFS(SummaryHelper!$H$2:$H$5000,SummaryHelper!$A$2:$A$5000,$I38,SummaryHelper!$B$2:$B$5000,$J38,SummaryHelper!$C$2:$C$5000,$K38)/SUMIFS(SummaryHelper!$G$2:$G$5000,SummaryHelper!$A$2:$A$5000,$I38,SummaryHelper!$B$2:$B$5000,$J38,SummaryHelper!$C$2:$C$5000,$K38),""))</f>
        <v/>
      </c>
      <c r="M38" s="9" t="str">
        <f>IF($J38="","",SUMIFS(SummaryHelper!$E$2:$E$5000,SummaryHelper!$A$2:$A$5000,$I38,SummaryHelper!$B$2:$B$5000,$J38,SummaryHelper!$C$2:$C$5000,$K38))</f>
        <v/>
      </c>
      <c r="N38" s="9" t="str">
        <f>IF($J38="","",SUMIFS(SummaryHelper!$F$2:$F$5000,SummaryHelper!$A$2:$A$5000,$I38,SummaryHelper!$B$2:$B$5000,$J38,SummaryHelper!$C$2:$C$5000,$K38))</f>
        <v/>
      </c>
      <c r="O38" s="9" t="str">
        <f>IF($J38="","",SUMIFS(SummaryHelper!$G$2:$G$5000,SummaryHelper!$A$2:$A$5000,$I38,SummaryHelper!$B$2:$B$5000,$J38,SummaryHelper!$C$2:$C$5000,$K38))</f>
        <v/>
      </c>
      <c r="Q38" s="9" t="str">
        <f t="shared" si="6"/>
        <v/>
      </c>
      <c r="R38" s="9" t="str">
        <f t="shared" si="7"/>
        <v/>
      </c>
      <c r="W38" s="9" t="str">
        <f>IF($U38="","",IFERROR(SUMIFS(SummaryHelper!$H$2:$H$5000,SummaryHelper!$A$2:$A$5000,$T38,SummaryHelper!$B$2:$B$5000,$U38,SummaryHelper!$C$2:$C$5000,$V38)/SUMIFS(SummaryHelper!$G$2:$G$5000,SummaryHelper!$A$2:$A$5000,$T38,SummaryHelper!$B$2:$B$5000,$U38,SummaryHelper!$C$2:$C$5000,$V38),""))</f>
        <v/>
      </c>
      <c r="X38" s="9" t="str">
        <f>IF($U38="","",SUMIFS(SummaryHelper!$E$2:$E$5000,SummaryHelper!$A$2:$A$5000,$T38,SummaryHelper!$B$2:$B$5000,$U38,SummaryHelper!$C$2:$C$5000,$V38))</f>
        <v/>
      </c>
      <c r="Y38" s="9" t="str">
        <f>IF($U38="","",SUMIFS(SummaryHelper!$F$2:$F$5000,SummaryHelper!$A$2:$A$5000,$T38,SummaryHelper!$B$2:$B$5000,$U38,SummaryHelper!$C$2:$C$5000,$V38))</f>
        <v/>
      </c>
      <c r="Z38" s="9" t="s">
        <v>489</v>
      </c>
      <c r="AB38" s="9" t="str">
        <f t="shared" si="8"/>
        <v/>
      </c>
      <c r="AC38" s="9" t="str">
        <f t="shared" si="9"/>
        <v/>
      </c>
      <c r="AH38" t="str">
        <f>IF($AF38="","",IFERROR(SUMIFS(SummaryHelper!$H$2:$H$5000,SummaryHelper!$A$2:$A$5000,$AE38,SummaryHelper!$B$2:$B$5000,$AF38,SummaryHelper!$C$2:$C$5000,$AG38)/SUMIFS(SummaryHelper!$G$2:$G$5000,SummaryHelper!$A$2:$A$5000,$AE38,SummaryHelper!$B$2:$B$5000,$AF38,SummaryHelper!$C$2:$C$5000,$AG38),""))</f>
        <v/>
      </c>
      <c r="AI38" t="str">
        <f>IF($AF38="","",SUMIFS(SummaryHelper!$E$2:$E$5000,SummaryHelper!$A$2:$A$5000,$AE38,SummaryHelper!$B$2:$B$5000,$AF38,SummaryHelper!$C$2:$C$5000,$AG38))</f>
        <v/>
      </c>
      <c r="AJ38" t="str">
        <f>IF($AF38="","",SUMIFS(SummaryHelper!$F$2:$F$5000,SummaryHelper!$A$2:$A$5000,$AE38,SummaryHelper!$B$2:$B$5000,$AF38,SummaryHelper!$C$2:$C$5000,$AG38))</f>
        <v/>
      </c>
      <c r="AK38" t="str">
        <f>IF($AF38="","",SUMIFS(SummaryHelper!$G$2:$G$5000,SummaryHelper!$A$2:$A$5000,$AE38,SummaryHelper!$B$2:$B$5000,$AF38,SummaryHelper!$C$2:$C$5000,$AG38))</f>
        <v/>
      </c>
      <c r="AM38" t="str">
        <f t="shared" si="10"/>
        <v/>
      </c>
      <c r="AN38" t="str">
        <f t="shared" si="11"/>
        <v/>
      </c>
    </row>
    <row r="39" spans="1:40" x14ac:dyDescent="0.25">
      <c r="A39" s="12"/>
      <c r="B39" s="12" t="str">
        <f t="shared" si="0"/>
        <v/>
      </c>
      <c r="C39" s="9" t="str">
        <f t="shared" ca="1" si="1"/>
        <v/>
      </c>
      <c r="D39" s="9" t="str">
        <f t="shared" ca="1" si="2"/>
        <v/>
      </c>
      <c r="E39" s="9" t="str">
        <f t="shared" ca="1" si="3"/>
        <v/>
      </c>
      <c r="F39" s="9" t="str">
        <f t="shared" si="4"/>
        <v/>
      </c>
      <c r="G39" s="9" t="str">
        <f t="shared" si="5"/>
        <v/>
      </c>
      <c r="L39" s="9" t="str">
        <f>IF($J39="","",IFERROR(SUMIFS(SummaryHelper!$H$2:$H$5000,SummaryHelper!$A$2:$A$5000,$I39,SummaryHelper!$B$2:$B$5000,$J39,SummaryHelper!$C$2:$C$5000,$K39)/SUMIFS(SummaryHelper!$G$2:$G$5000,SummaryHelper!$A$2:$A$5000,$I39,SummaryHelper!$B$2:$B$5000,$J39,SummaryHelper!$C$2:$C$5000,$K39),""))</f>
        <v/>
      </c>
      <c r="M39" s="9" t="str">
        <f>IF($J39="","",SUMIFS(SummaryHelper!$E$2:$E$5000,SummaryHelper!$A$2:$A$5000,$I39,SummaryHelper!$B$2:$B$5000,$J39,SummaryHelper!$C$2:$C$5000,$K39))</f>
        <v/>
      </c>
      <c r="N39" s="9" t="str">
        <f>IF($J39="","",SUMIFS(SummaryHelper!$F$2:$F$5000,SummaryHelper!$A$2:$A$5000,$I39,SummaryHelper!$B$2:$B$5000,$J39,SummaryHelper!$C$2:$C$5000,$K39))</f>
        <v/>
      </c>
      <c r="O39" s="9" t="str">
        <f>IF($J39="","",SUMIFS(SummaryHelper!$G$2:$G$5000,SummaryHelper!$A$2:$A$5000,$I39,SummaryHelper!$B$2:$B$5000,$J39,SummaryHelper!$C$2:$C$5000,$K39))</f>
        <v/>
      </c>
      <c r="Q39" s="9" t="str">
        <f t="shared" si="6"/>
        <v/>
      </c>
      <c r="R39" s="9" t="str">
        <f t="shared" si="7"/>
        <v/>
      </c>
      <c r="W39" s="9" t="str">
        <f>IF($U39="","",IFERROR(SUMIFS(SummaryHelper!$H$2:$H$5000,SummaryHelper!$A$2:$A$5000,$T39,SummaryHelper!$B$2:$B$5000,$U39,SummaryHelper!$C$2:$C$5000,$V39)/SUMIFS(SummaryHelper!$G$2:$G$5000,SummaryHelper!$A$2:$A$5000,$T39,SummaryHelper!$B$2:$B$5000,$U39,SummaryHelper!$C$2:$C$5000,$V39),""))</f>
        <v/>
      </c>
      <c r="X39" s="9" t="str">
        <f>IF($U39="","",SUMIFS(SummaryHelper!$E$2:$E$5000,SummaryHelper!$A$2:$A$5000,$T39,SummaryHelper!$B$2:$B$5000,$U39,SummaryHelper!$C$2:$C$5000,$V39))</f>
        <v/>
      </c>
      <c r="Y39" s="9" t="str">
        <f>IF($U39="","",SUMIFS(SummaryHelper!$F$2:$F$5000,SummaryHelper!$A$2:$A$5000,$T39,SummaryHelper!$B$2:$B$5000,$U39,SummaryHelper!$C$2:$C$5000,$V39))</f>
        <v/>
      </c>
      <c r="Z39" s="9" t="s">
        <v>489</v>
      </c>
      <c r="AB39" s="9" t="str">
        <f t="shared" si="8"/>
        <v/>
      </c>
      <c r="AC39" s="9" t="str">
        <f t="shared" si="9"/>
        <v/>
      </c>
      <c r="AH39" t="str">
        <f>IF($AF39="","",IFERROR(SUMIFS(SummaryHelper!$H$2:$H$5000,SummaryHelper!$A$2:$A$5000,$AE39,SummaryHelper!$B$2:$B$5000,$AF39,SummaryHelper!$C$2:$C$5000,$AG39)/SUMIFS(SummaryHelper!$G$2:$G$5000,SummaryHelper!$A$2:$A$5000,$AE39,SummaryHelper!$B$2:$B$5000,$AF39,SummaryHelper!$C$2:$C$5000,$AG39),""))</f>
        <v/>
      </c>
      <c r="AI39" t="str">
        <f>IF($AF39="","",SUMIFS(SummaryHelper!$E$2:$E$5000,SummaryHelper!$A$2:$A$5000,$AE39,SummaryHelper!$B$2:$B$5000,$AF39,SummaryHelper!$C$2:$C$5000,$AG39))</f>
        <v/>
      </c>
      <c r="AJ39" t="str">
        <f>IF($AF39="","",SUMIFS(SummaryHelper!$F$2:$F$5000,SummaryHelper!$A$2:$A$5000,$AE39,SummaryHelper!$B$2:$B$5000,$AF39,SummaryHelper!$C$2:$C$5000,$AG39))</f>
        <v/>
      </c>
      <c r="AK39" t="str">
        <f>IF($AF39="","",SUMIFS(SummaryHelper!$G$2:$G$5000,SummaryHelper!$A$2:$A$5000,$AE39,SummaryHelper!$B$2:$B$5000,$AF39,SummaryHelper!$C$2:$C$5000,$AG39))</f>
        <v/>
      </c>
      <c r="AM39" t="str">
        <f t="shared" si="10"/>
        <v/>
      </c>
      <c r="AN39" t="str">
        <f t="shared" si="11"/>
        <v/>
      </c>
    </row>
    <row r="40" spans="1:40" x14ac:dyDescent="0.25">
      <c r="A40" s="12"/>
      <c r="B40" s="12" t="str">
        <f t="shared" si="0"/>
        <v/>
      </c>
      <c r="C40" s="9" t="str">
        <f t="shared" ca="1" si="1"/>
        <v/>
      </c>
      <c r="D40" s="9" t="str">
        <f t="shared" ca="1" si="2"/>
        <v/>
      </c>
      <c r="E40" s="9" t="str">
        <f t="shared" ca="1" si="3"/>
        <v/>
      </c>
      <c r="F40" s="9" t="str">
        <f t="shared" si="4"/>
        <v/>
      </c>
      <c r="G40" s="9" t="str">
        <f t="shared" si="5"/>
        <v/>
      </c>
      <c r="L40" s="9" t="str">
        <f>IF($J40="","",IFERROR(SUMIFS(SummaryHelper!$H$2:$H$5000,SummaryHelper!$A$2:$A$5000,$I40,SummaryHelper!$B$2:$B$5000,$J40,SummaryHelper!$C$2:$C$5000,$K40)/SUMIFS(SummaryHelper!$G$2:$G$5000,SummaryHelper!$A$2:$A$5000,$I40,SummaryHelper!$B$2:$B$5000,$J40,SummaryHelper!$C$2:$C$5000,$K40),""))</f>
        <v/>
      </c>
      <c r="M40" s="9" t="str">
        <f>IF($J40="","",SUMIFS(SummaryHelper!$E$2:$E$5000,SummaryHelper!$A$2:$A$5000,$I40,SummaryHelper!$B$2:$B$5000,$J40,SummaryHelper!$C$2:$C$5000,$K40))</f>
        <v/>
      </c>
      <c r="N40" s="9" t="str">
        <f>IF($J40="","",SUMIFS(SummaryHelper!$F$2:$F$5000,SummaryHelper!$A$2:$A$5000,$I40,SummaryHelper!$B$2:$B$5000,$J40,SummaryHelper!$C$2:$C$5000,$K40))</f>
        <v/>
      </c>
      <c r="O40" s="9" t="str">
        <f>IF($J40="","",SUMIFS(SummaryHelper!$G$2:$G$5000,SummaryHelper!$A$2:$A$5000,$I40,SummaryHelper!$B$2:$B$5000,$J40,SummaryHelper!$C$2:$C$5000,$K40))</f>
        <v/>
      </c>
      <c r="Q40" s="9" t="str">
        <f t="shared" si="6"/>
        <v/>
      </c>
      <c r="R40" s="9" t="str">
        <f t="shared" si="7"/>
        <v/>
      </c>
      <c r="W40" s="9" t="str">
        <f>IF($U40="","",IFERROR(SUMIFS(SummaryHelper!$H$2:$H$5000,SummaryHelper!$A$2:$A$5000,$T40,SummaryHelper!$B$2:$B$5000,$U40,SummaryHelper!$C$2:$C$5000,$V40)/SUMIFS(SummaryHelper!$G$2:$G$5000,SummaryHelper!$A$2:$A$5000,$T40,SummaryHelper!$B$2:$B$5000,$U40,SummaryHelper!$C$2:$C$5000,$V40),""))</f>
        <v/>
      </c>
      <c r="X40" s="9" t="str">
        <f>IF($U40="","",SUMIFS(SummaryHelper!$E$2:$E$5000,SummaryHelper!$A$2:$A$5000,$T40,SummaryHelper!$B$2:$B$5000,$U40,SummaryHelper!$C$2:$C$5000,$V40))</f>
        <v/>
      </c>
      <c r="Y40" s="9" t="str">
        <f>IF($U40="","",SUMIFS(SummaryHelper!$F$2:$F$5000,SummaryHelper!$A$2:$A$5000,$T40,SummaryHelper!$B$2:$B$5000,$U40,SummaryHelper!$C$2:$C$5000,$V40))</f>
        <v/>
      </c>
      <c r="Z40" s="9" t="s">
        <v>489</v>
      </c>
      <c r="AB40" s="9" t="str">
        <f t="shared" si="8"/>
        <v/>
      </c>
      <c r="AC40" s="9" t="str">
        <f t="shared" si="9"/>
        <v/>
      </c>
      <c r="AH40" t="str">
        <f>IF($AF40="","",IFERROR(SUMIFS(SummaryHelper!$H$2:$H$5000,SummaryHelper!$A$2:$A$5000,$AE40,SummaryHelper!$B$2:$B$5000,$AF40,SummaryHelper!$C$2:$C$5000,$AG40)/SUMIFS(SummaryHelper!$G$2:$G$5000,SummaryHelper!$A$2:$A$5000,$AE40,SummaryHelper!$B$2:$B$5000,$AF40,SummaryHelper!$C$2:$C$5000,$AG40),""))</f>
        <v/>
      </c>
      <c r="AI40" t="str">
        <f>IF($AF40="","",SUMIFS(SummaryHelper!$E$2:$E$5000,SummaryHelper!$A$2:$A$5000,$AE40,SummaryHelper!$B$2:$B$5000,$AF40,SummaryHelper!$C$2:$C$5000,$AG40))</f>
        <v/>
      </c>
      <c r="AJ40" t="str">
        <f>IF($AF40="","",SUMIFS(SummaryHelper!$F$2:$F$5000,SummaryHelper!$A$2:$A$5000,$AE40,SummaryHelper!$B$2:$B$5000,$AF40,SummaryHelper!$C$2:$C$5000,$AG40))</f>
        <v/>
      </c>
      <c r="AK40" t="str">
        <f>IF($AF40="","",SUMIFS(SummaryHelper!$G$2:$G$5000,SummaryHelper!$A$2:$A$5000,$AE40,SummaryHelper!$B$2:$B$5000,$AF40,SummaryHelper!$C$2:$C$5000,$AG40))</f>
        <v/>
      </c>
      <c r="AM40" t="str">
        <f t="shared" si="10"/>
        <v/>
      </c>
      <c r="AN40" t="str">
        <f t="shared" si="11"/>
        <v/>
      </c>
    </row>
    <row r="41" spans="1:40" x14ac:dyDescent="0.25">
      <c r="A41" s="12"/>
      <c r="B41" s="12" t="str">
        <f t="shared" si="0"/>
        <v/>
      </c>
      <c r="C41" s="9" t="str">
        <f t="shared" ca="1" si="1"/>
        <v/>
      </c>
      <c r="D41" s="9" t="str">
        <f t="shared" ca="1" si="2"/>
        <v/>
      </c>
      <c r="E41" s="9" t="str">
        <f t="shared" ca="1" si="3"/>
        <v/>
      </c>
      <c r="F41" s="9" t="str">
        <f t="shared" si="4"/>
        <v/>
      </c>
      <c r="G41" s="9" t="str">
        <f t="shared" si="5"/>
        <v/>
      </c>
      <c r="L41" s="9" t="str">
        <f>IF($J41="","",IFERROR(SUMIFS(SummaryHelper!$H$2:$H$5000,SummaryHelper!$A$2:$A$5000,$I41,SummaryHelper!$B$2:$B$5000,$J41,SummaryHelper!$C$2:$C$5000,$K41)/SUMIFS(SummaryHelper!$G$2:$G$5000,SummaryHelper!$A$2:$A$5000,$I41,SummaryHelper!$B$2:$B$5000,$J41,SummaryHelper!$C$2:$C$5000,$K41),""))</f>
        <v/>
      </c>
      <c r="M41" s="9" t="str">
        <f>IF($J41="","",SUMIFS(SummaryHelper!$E$2:$E$5000,SummaryHelper!$A$2:$A$5000,$I41,SummaryHelper!$B$2:$B$5000,$J41,SummaryHelper!$C$2:$C$5000,$K41))</f>
        <v/>
      </c>
      <c r="N41" s="9" t="str">
        <f>IF($J41="","",SUMIFS(SummaryHelper!$F$2:$F$5000,SummaryHelper!$A$2:$A$5000,$I41,SummaryHelper!$B$2:$B$5000,$J41,SummaryHelper!$C$2:$C$5000,$K41))</f>
        <v/>
      </c>
      <c r="O41" s="9" t="str">
        <f>IF($J41="","",SUMIFS(SummaryHelper!$G$2:$G$5000,SummaryHelper!$A$2:$A$5000,$I41,SummaryHelper!$B$2:$B$5000,$J41,SummaryHelper!$C$2:$C$5000,$K41))</f>
        <v/>
      </c>
      <c r="Q41" s="9" t="str">
        <f t="shared" si="6"/>
        <v/>
      </c>
      <c r="R41" s="9" t="str">
        <f t="shared" si="7"/>
        <v/>
      </c>
      <c r="W41" s="9" t="str">
        <f>IF($U41="","",IFERROR(SUMIFS(SummaryHelper!$H$2:$H$5000,SummaryHelper!$A$2:$A$5000,$T41,SummaryHelper!$B$2:$B$5000,$U41,SummaryHelper!$C$2:$C$5000,$V41)/SUMIFS(SummaryHelper!$G$2:$G$5000,SummaryHelper!$A$2:$A$5000,$T41,SummaryHelper!$B$2:$B$5000,$U41,SummaryHelper!$C$2:$C$5000,$V41),""))</f>
        <v/>
      </c>
      <c r="X41" s="9" t="str">
        <f>IF($U41="","",SUMIFS(SummaryHelper!$E$2:$E$5000,SummaryHelper!$A$2:$A$5000,$T41,SummaryHelper!$B$2:$B$5000,$U41,SummaryHelper!$C$2:$C$5000,$V41))</f>
        <v/>
      </c>
      <c r="Y41" s="9" t="str">
        <f>IF($U41="","",SUMIFS(SummaryHelper!$F$2:$F$5000,SummaryHelper!$A$2:$A$5000,$T41,SummaryHelper!$B$2:$B$5000,$U41,SummaryHelper!$C$2:$C$5000,$V41))</f>
        <v/>
      </c>
      <c r="Z41" s="9" t="s">
        <v>489</v>
      </c>
      <c r="AB41" s="9" t="str">
        <f t="shared" si="8"/>
        <v/>
      </c>
      <c r="AC41" s="9" t="str">
        <f t="shared" si="9"/>
        <v/>
      </c>
      <c r="AH41" t="str">
        <f>IF($AF41="","",IFERROR(SUMIFS(SummaryHelper!$H$2:$H$5000,SummaryHelper!$A$2:$A$5000,$AE41,SummaryHelper!$B$2:$B$5000,$AF41,SummaryHelper!$C$2:$C$5000,$AG41)/SUMIFS(SummaryHelper!$G$2:$G$5000,SummaryHelper!$A$2:$A$5000,$AE41,SummaryHelper!$B$2:$B$5000,$AF41,SummaryHelper!$C$2:$C$5000,$AG41),""))</f>
        <v/>
      </c>
      <c r="AI41" t="str">
        <f>IF($AF41="","",SUMIFS(SummaryHelper!$E$2:$E$5000,SummaryHelper!$A$2:$A$5000,$AE41,SummaryHelper!$B$2:$B$5000,$AF41,SummaryHelper!$C$2:$C$5000,$AG41))</f>
        <v/>
      </c>
      <c r="AJ41" t="str">
        <f>IF($AF41="","",SUMIFS(SummaryHelper!$F$2:$F$5000,SummaryHelper!$A$2:$A$5000,$AE41,SummaryHelper!$B$2:$B$5000,$AF41,SummaryHelper!$C$2:$C$5000,$AG41))</f>
        <v/>
      </c>
      <c r="AK41" t="str">
        <f>IF($AF41="","",SUMIFS(SummaryHelper!$G$2:$G$5000,SummaryHelper!$A$2:$A$5000,$AE41,SummaryHelper!$B$2:$B$5000,$AF41,SummaryHelper!$C$2:$C$5000,$AG41))</f>
        <v/>
      </c>
      <c r="AM41" t="str">
        <f t="shared" si="10"/>
        <v/>
      </c>
      <c r="AN41" t="str">
        <f t="shared" si="11"/>
        <v/>
      </c>
    </row>
    <row r="42" spans="1:40" x14ac:dyDescent="0.25">
      <c r="A42" s="12"/>
      <c r="B42" s="12" t="str">
        <f t="shared" si="0"/>
        <v/>
      </c>
      <c r="C42" s="9" t="str">
        <f t="shared" ca="1" si="1"/>
        <v/>
      </c>
      <c r="D42" s="9" t="str">
        <f t="shared" ca="1" si="2"/>
        <v/>
      </c>
      <c r="E42" s="9" t="str">
        <f t="shared" ca="1" si="3"/>
        <v/>
      </c>
      <c r="F42" s="9" t="str">
        <f t="shared" si="4"/>
        <v/>
      </c>
      <c r="G42" s="9" t="str">
        <f t="shared" si="5"/>
        <v/>
      </c>
      <c r="L42" s="9" t="str">
        <f>IF($J42="","",IFERROR(SUMIFS(SummaryHelper!$H$2:$H$5000,SummaryHelper!$A$2:$A$5000,$I42,SummaryHelper!$B$2:$B$5000,$J42,SummaryHelper!$C$2:$C$5000,$K42)/SUMIFS(SummaryHelper!$G$2:$G$5000,SummaryHelper!$A$2:$A$5000,$I42,SummaryHelper!$B$2:$B$5000,$J42,SummaryHelper!$C$2:$C$5000,$K42),""))</f>
        <v/>
      </c>
      <c r="M42" s="9" t="str">
        <f>IF($J42="","",SUMIFS(SummaryHelper!$E$2:$E$5000,SummaryHelper!$A$2:$A$5000,$I42,SummaryHelper!$B$2:$B$5000,$J42,SummaryHelper!$C$2:$C$5000,$K42))</f>
        <v/>
      </c>
      <c r="N42" s="9" t="str">
        <f>IF($J42="","",SUMIFS(SummaryHelper!$F$2:$F$5000,SummaryHelper!$A$2:$A$5000,$I42,SummaryHelper!$B$2:$B$5000,$J42,SummaryHelper!$C$2:$C$5000,$K42))</f>
        <v/>
      </c>
      <c r="O42" s="9" t="str">
        <f>IF($J42="","",SUMIFS(SummaryHelper!$G$2:$G$5000,SummaryHelper!$A$2:$A$5000,$I42,SummaryHelper!$B$2:$B$5000,$J42,SummaryHelper!$C$2:$C$5000,$K42))</f>
        <v/>
      </c>
      <c r="Q42" s="9" t="str">
        <f t="shared" si="6"/>
        <v/>
      </c>
      <c r="R42" s="9" t="str">
        <f t="shared" si="7"/>
        <v/>
      </c>
      <c r="W42" s="9" t="str">
        <f>IF($U42="","",IFERROR(SUMIFS(SummaryHelper!$H$2:$H$5000,SummaryHelper!$A$2:$A$5000,$T42,SummaryHelper!$B$2:$B$5000,$U42,SummaryHelper!$C$2:$C$5000,$V42)/SUMIFS(SummaryHelper!$G$2:$G$5000,SummaryHelper!$A$2:$A$5000,$T42,SummaryHelper!$B$2:$B$5000,$U42,SummaryHelper!$C$2:$C$5000,$V42),""))</f>
        <v/>
      </c>
      <c r="X42" s="9" t="str">
        <f>IF($U42="","",SUMIFS(SummaryHelper!$E$2:$E$5000,SummaryHelper!$A$2:$A$5000,$T42,SummaryHelper!$B$2:$B$5000,$U42,SummaryHelper!$C$2:$C$5000,$V42))</f>
        <v/>
      </c>
      <c r="Y42" s="9" t="str">
        <f>IF($U42="","",SUMIFS(SummaryHelper!$F$2:$F$5000,SummaryHelper!$A$2:$A$5000,$T42,SummaryHelper!$B$2:$B$5000,$U42,SummaryHelper!$C$2:$C$5000,$V42))</f>
        <v/>
      </c>
      <c r="Z42" s="9" t="s">
        <v>489</v>
      </c>
      <c r="AB42" s="9" t="str">
        <f t="shared" si="8"/>
        <v/>
      </c>
      <c r="AC42" s="9" t="str">
        <f t="shared" si="9"/>
        <v/>
      </c>
      <c r="AH42" t="str">
        <f>IF($AF42="","",IFERROR(SUMIFS(SummaryHelper!$H$2:$H$5000,SummaryHelper!$A$2:$A$5000,$AE42,SummaryHelper!$B$2:$B$5000,$AF42,SummaryHelper!$C$2:$C$5000,$AG42)/SUMIFS(SummaryHelper!$G$2:$G$5000,SummaryHelper!$A$2:$A$5000,$AE42,SummaryHelper!$B$2:$B$5000,$AF42,SummaryHelper!$C$2:$C$5000,$AG42),""))</f>
        <v/>
      </c>
      <c r="AI42" t="str">
        <f>IF($AF42="","",SUMIFS(SummaryHelper!$E$2:$E$5000,SummaryHelper!$A$2:$A$5000,$AE42,SummaryHelper!$B$2:$B$5000,$AF42,SummaryHelper!$C$2:$C$5000,$AG42))</f>
        <v/>
      </c>
      <c r="AJ42" t="str">
        <f>IF($AF42="","",SUMIFS(SummaryHelper!$F$2:$F$5000,SummaryHelper!$A$2:$A$5000,$AE42,SummaryHelper!$B$2:$B$5000,$AF42,SummaryHelper!$C$2:$C$5000,$AG42))</f>
        <v/>
      </c>
      <c r="AK42" t="str">
        <f>IF($AF42="","",SUMIFS(SummaryHelper!$G$2:$G$5000,SummaryHelper!$A$2:$A$5000,$AE42,SummaryHelper!$B$2:$B$5000,$AF42,SummaryHelper!$C$2:$C$5000,$AG42))</f>
        <v/>
      </c>
      <c r="AM42" t="str">
        <f t="shared" si="10"/>
        <v/>
      </c>
      <c r="AN42" t="str">
        <f t="shared" si="11"/>
        <v/>
      </c>
    </row>
    <row r="43" spans="1:40" x14ac:dyDescent="0.25">
      <c r="A43" s="12"/>
      <c r="B43" s="12" t="str">
        <f t="shared" si="0"/>
        <v/>
      </c>
      <c r="C43" s="9" t="str">
        <f t="shared" ca="1" si="1"/>
        <v/>
      </c>
      <c r="D43" s="9" t="str">
        <f t="shared" ca="1" si="2"/>
        <v/>
      </c>
      <c r="E43" s="9" t="str">
        <f t="shared" ca="1" si="3"/>
        <v/>
      </c>
      <c r="F43" s="9" t="str">
        <f t="shared" si="4"/>
        <v/>
      </c>
      <c r="G43" s="9" t="str">
        <f t="shared" si="5"/>
        <v/>
      </c>
      <c r="L43" s="9" t="str">
        <f>IF($J43="","",IFERROR(SUMIFS(SummaryHelper!$H$2:$H$5000,SummaryHelper!$A$2:$A$5000,$I43,SummaryHelper!$B$2:$B$5000,$J43,SummaryHelper!$C$2:$C$5000,$K43)/SUMIFS(SummaryHelper!$G$2:$G$5000,SummaryHelper!$A$2:$A$5000,$I43,SummaryHelper!$B$2:$B$5000,$J43,SummaryHelper!$C$2:$C$5000,$K43),""))</f>
        <v/>
      </c>
      <c r="M43" s="9" t="str">
        <f>IF($J43="","",SUMIFS(SummaryHelper!$E$2:$E$5000,SummaryHelper!$A$2:$A$5000,$I43,SummaryHelper!$B$2:$B$5000,$J43,SummaryHelper!$C$2:$C$5000,$K43))</f>
        <v/>
      </c>
      <c r="N43" s="9" t="str">
        <f>IF($J43="","",SUMIFS(SummaryHelper!$F$2:$F$5000,SummaryHelper!$A$2:$A$5000,$I43,SummaryHelper!$B$2:$B$5000,$J43,SummaryHelper!$C$2:$C$5000,$K43))</f>
        <v/>
      </c>
      <c r="O43" s="9" t="str">
        <f>IF($J43="","",SUMIFS(SummaryHelper!$G$2:$G$5000,SummaryHelper!$A$2:$A$5000,$I43,SummaryHelper!$B$2:$B$5000,$J43,SummaryHelper!$C$2:$C$5000,$K43))</f>
        <v/>
      </c>
      <c r="Q43" s="9" t="str">
        <f t="shared" si="6"/>
        <v/>
      </c>
      <c r="R43" s="9" t="str">
        <f t="shared" si="7"/>
        <v/>
      </c>
      <c r="W43" s="9" t="str">
        <f>IF($U43="","",IFERROR(SUMIFS(SummaryHelper!$H$2:$H$5000,SummaryHelper!$A$2:$A$5000,$T43,SummaryHelper!$B$2:$B$5000,$U43,SummaryHelper!$C$2:$C$5000,$V43)/SUMIFS(SummaryHelper!$G$2:$G$5000,SummaryHelper!$A$2:$A$5000,$T43,SummaryHelper!$B$2:$B$5000,$U43,SummaryHelper!$C$2:$C$5000,$V43),""))</f>
        <v/>
      </c>
      <c r="X43" s="9" t="str">
        <f>IF($U43="","",SUMIFS(SummaryHelper!$E$2:$E$5000,SummaryHelper!$A$2:$A$5000,$T43,SummaryHelper!$B$2:$B$5000,$U43,SummaryHelper!$C$2:$C$5000,$V43))</f>
        <v/>
      </c>
      <c r="Y43" s="9" t="str">
        <f>IF($U43="","",SUMIFS(SummaryHelper!$F$2:$F$5000,SummaryHelper!$A$2:$A$5000,$T43,SummaryHelper!$B$2:$B$5000,$U43,SummaryHelper!$C$2:$C$5000,$V43))</f>
        <v/>
      </c>
      <c r="Z43" s="9" t="s">
        <v>489</v>
      </c>
      <c r="AB43" s="9" t="str">
        <f t="shared" si="8"/>
        <v/>
      </c>
      <c r="AC43" s="9" t="str">
        <f t="shared" si="9"/>
        <v/>
      </c>
      <c r="AH43" t="str">
        <f>IF($AF43="","",IFERROR(SUMIFS(SummaryHelper!$H$2:$H$5000,SummaryHelper!$A$2:$A$5000,$AE43,SummaryHelper!$B$2:$B$5000,$AF43,SummaryHelper!$C$2:$C$5000,$AG43)/SUMIFS(SummaryHelper!$G$2:$G$5000,SummaryHelper!$A$2:$A$5000,$AE43,SummaryHelper!$B$2:$B$5000,$AF43,SummaryHelper!$C$2:$C$5000,$AG43),""))</f>
        <v/>
      </c>
      <c r="AI43" t="str">
        <f>IF($AF43="","",SUMIFS(SummaryHelper!$E$2:$E$5000,SummaryHelper!$A$2:$A$5000,$AE43,SummaryHelper!$B$2:$B$5000,$AF43,SummaryHelper!$C$2:$C$5000,$AG43))</f>
        <v/>
      </c>
      <c r="AJ43" t="str">
        <f>IF($AF43="","",SUMIFS(SummaryHelper!$F$2:$F$5000,SummaryHelper!$A$2:$A$5000,$AE43,SummaryHelper!$B$2:$B$5000,$AF43,SummaryHelper!$C$2:$C$5000,$AG43))</f>
        <v/>
      </c>
      <c r="AK43" t="str">
        <f>IF($AF43="","",SUMIFS(SummaryHelper!$G$2:$G$5000,SummaryHelper!$A$2:$A$5000,$AE43,SummaryHelper!$B$2:$B$5000,$AF43,SummaryHelper!$C$2:$C$5000,$AG43))</f>
        <v/>
      </c>
      <c r="AM43" t="str">
        <f t="shared" si="10"/>
        <v/>
      </c>
      <c r="AN43" t="str">
        <f t="shared" si="11"/>
        <v/>
      </c>
    </row>
    <row r="44" spans="1:40" x14ac:dyDescent="0.25">
      <c r="A44" s="12"/>
      <c r="B44" s="12" t="str">
        <f t="shared" si="0"/>
        <v/>
      </c>
      <c r="C44" s="9" t="str">
        <f t="shared" ca="1" si="1"/>
        <v/>
      </c>
      <c r="D44" s="9" t="str">
        <f t="shared" ca="1" si="2"/>
        <v/>
      </c>
      <c r="E44" s="9" t="str">
        <f t="shared" ca="1" si="3"/>
        <v/>
      </c>
      <c r="F44" s="9" t="str">
        <f t="shared" si="4"/>
        <v/>
      </c>
      <c r="G44" s="9" t="str">
        <f t="shared" si="5"/>
        <v/>
      </c>
      <c r="L44" s="9" t="str">
        <f>IF($J44="","",IFERROR(SUMIFS(SummaryHelper!$H$2:$H$5000,SummaryHelper!$A$2:$A$5000,$I44,SummaryHelper!$B$2:$B$5000,$J44,SummaryHelper!$C$2:$C$5000,$K44)/SUMIFS(SummaryHelper!$G$2:$G$5000,SummaryHelper!$A$2:$A$5000,$I44,SummaryHelper!$B$2:$B$5000,$J44,SummaryHelper!$C$2:$C$5000,$K44),""))</f>
        <v/>
      </c>
      <c r="M44" s="9" t="str">
        <f>IF($J44="","",SUMIFS(SummaryHelper!$E$2:$E$5000,SummaryHelper!$A$2:$A$5000,$I44,SummaryHelper!$B$2:$B$5000,$J44,SummaryHelper!$C$2:$C$5000,$K44))</f>
        <v/>
      </c>
      <c r="N44" s="9" t="str">
        <f>IF($J44="","",SUMIFS(SummaryHelper!$F$2:$F$5000,SummaryHelper!$A$2:$A$5000,$I44,SummaryHelper!$B$2:$B$5000,$J44,SummaryHelper!$C$2:$C$5000,$K44))</f>
        <v/>
      </c>
      <c r="O44" s="9" t="str">
        <f>IF($J44="","",SUMIFS(SummaryHelper!$G$2:$G$5000,SummaryHelper!$A$2:$A$5000,$I44,SummaryHelper!$B$2:$B$5000,$J44,SummaryHelper!$C$2:$C$5000,$K44))</f>
        <v/>
      </c>
      <c r="Q44" s="9" t="str">
        <f t="shared" si="6"/>
        <v/>
      </c>
      <c r="R44" s="9" t="str">
        <f t="shared" si="7"/>
        <v/>
      </c>
      <c r="W44" s="9" t="str">
        <f>IF($U44="","",IFERROR(SUMIFS(SummaryHelper!$H$2:$H$5000,SummaryHelper!$A$2:$A$5000,$T44,SummaryHelper!$B$2:$B$5000,$U44,SummaryHelper!$C$2:$C$5000,$V44)/SUMIFS(SummaryHelper!$G$2:$G$5000,SummaryHelper!$A$2:$A$5000,$T44,SummaryHelper!$B$2:$B$5000,$U44,SummaryHelper!$C$2:$C$5000,$V44),""))</f>
        <v/>
      </c>
      <c r="X44" s="9" t="str">
        <f>IF($U44="","",SUMIFS(SummaryHelper!$E$2:$E$5000,SummaryHelper!$A$2:$A$5000,$T44,SummaryHelper!$B$2:$B$5000,$U44,SummaryHelper!$C$2:$C$5000,$V44))</f>
        <v/>
      </c>
      <c r="Y44" s="9" t="str">
        <f>IF($U44="","",SUMIFS(SummaryHelper!$F$2:$F$5000,SummaryHelper!$A$2:$A$5000,$T44,SummaryHelper!$B$2:$B$5000,$U44,SummaryHelper!$C$2:$C$5000,$V44))</f>
        <v/>
      </c>
      <c r="Z44" s="9" t="s">
        <v>489</v>
      </c>
      <c r="AB44" s="9" t="str">
        <f t="shared" si="8"/>
        <v/>
      </c>
      <c r="AC44" s="9" t="str">
        <f t="shared" si="9"/>
        <v/>
      </c>
      <c r="AH44" t="str">
        <f>IF($AF44="","",IFERROR(SUMIFS(SummaryHelper!$H$2:$H$5000,SummaryHelper!$A$2:$A$5000,$AE44,SummaryHelper!$B$2:$B$5000,$AF44,SummaryHelper!$C$2:$C$5000,$AG44)/SUMIFS(SummaryHelper!$G$2:$G$5000,SummaryHelper!$A$2:$A$5000,$AE44,SummaryHelper!$B$2:$B$5000,$AF44,SummaryHelper!$C$2:$C$5000,$AG44),""))</f>
        <v/>
      </c>
      <c r="AI44" t="str">
        <f>IF($AF44="","",SUMIFS(SummaryHelper!$E$2:$E$5000,SummaryHelper!$A$2:$A$5000,$AE44,SummaryHelper!$B$2:$B$5000,$AF44,SummaryHelper!$C$2:$C$5000,$AG44))</f>
        <v/>
      </c>
      <c r="AJ44" t="str">
        <f>IF($AF44="","",SUMIFS(SummaryHelper!$F$2:$F$5000,SummaryHelper!$A$2:$A$5000,$AE44,SummaryHelper!$B$2:$B$5000,$AF44,SummaryHelper!$C$2:$C$5000,$AG44))</f>
        <v/>
      </c>
      <c r="AK44" t="str">
        <f>IF($AF44="","",SUMIFS(SummaryHelper!$G$2:$G$5000,SummaryHelper!$A$2:$A$5000,$AE44,SummaryHelper!$B$2:$B$5000,$AF44,SummaryHelper!$C$2:$C$5000,$AG44))</f>
        <v/>
      </c>
      <c r="AM44" t="str">
        <f t="shared" si="10"/>
        <v/>
      </c>
      <c r="AN44" t="str">
        <f t="shared" si="11"/>
        <v/>
      </c>
    </row>
    <row r="45" spans="1:40" x14ac:dyDescent="0.25">
      <c r="A45" s="12"/>
      <c r="B45" s="12" t="str">
        <f t="shared" si="0"/>
        <v/>
      </c>
      <c r="C45" s="9" t="str">
        <f t="shared" ca="1" si="1"/>
        <v/>
      </c>
      <c r="D45" s="9" t="str">
        <f t="shared" ca="1" si="2"/>
        <v/>
      </c>
      <c r="E45" s="9" t="str">
        <f t="shared" ca="1" si="3"/>
        <v/>
      </c>
      <c r="F45" s="9" t="str">
        <f t="shared" si="4"/>
        <v/>
      </c>
      <c r="G45" s="9" t="str">
        <f t="shared" si="5"/>
        <v/>
      </c>
      <c r="L45" s="9" t="str">
        <f>IF($J45="","",IFERROR(SUMIFS(SummaryHelper!$H$2:$H$5000,SummaryHelper!$A$2:$A$5000,$I45,SummaryHelper!$B$2:$B$5000,$J45,SummaryHelper!$C$2:$C$5000,$K45)/SUMIFS(SummaryHelper!$G$2:$G$5000,SummaryHelper!$A$2:$A$5000,$I45,SummaryHelper!$B$2:$B$5000,$J45,SummaryHelper!$C$2:$C$5000,$K45),""))</f>
        <v/>
      </c>
      <c r="M45" s="9" t="str">
        <f>IF($J45="","",SUMIFS(SummaryHelper!$E$2:$E$5000,SummaryHelper!$A$2:$A$5000,$I45,SummaryHelper!$B$2:$B$5000,$J45,SummaryHelper!$C$2:$C$5000,$K45))</f>
        <v/>
      </c>
      <c r="N45" s="9" t="str">
        <f>IF($J45="","",SUMIFS(SummaryHelper!$F$2:$F$5000,SummaryHelper!$A$2:$A$5000,$I45,SummaryHelper!$B$2:$B$5000,$J45,SummaryHelper!$C$2:$C$5000,$K45))</f>
        <v/>
      </c>
      <c r="O45" s="9" t="str">
        <f>IF($J45="","",SUMIFS(SummaryHelper!$G$2:$G$5000,SummaryHelper!$A$2:$A$5000,$I45,SummaryHelper!$B$2:$B$5000,$J45,SummaryHelper!$C$2:$C$5000,$K45))</f>
        <v/>
      </c>
      <c r="Q45" s="9" t="str">
        <f t="shared" si="6"/>
        <v/>
      </c>
      <c r="R45" s="9" t="str">
        <f t="shared" si="7"/>
        <v/>
      </c>
      <c r="W45" s="9" t="str">
        <f>IF($U45="","",IFERROR(SUMIFS(SummaryHelper!$H$2:$H$5000,SummaryHelper!$A$2:$A$5000,$T45,SummaryHelper!$B$2:$B$5000,$U45,SummaryHelper!$C$2:$C$5000,$V45)/SUMIFS(SummaryHelper!$G$2:$G$5000,SummaryHelper!$A$2:$A$5000,$T45,SummaryHelper!$B$2:$B$5000,$U45,SummaryHelper!$C$2:$C$5000,$V45),""))</f>
        <v/>
      </c>
      <c r="X45" s="9" t="str">
        <f>IF($U45="","",SUMIFS(SummaryHelper!$E$2:$E$5000,SummaryHelper!$A$2:$A$5000,$T45,SummaryHelper!$B$2:$B$5000,$U45,SummaryHelper!$C$2:$C$5000,$V45))</f>
        <v/>
      </c>
      <c r="Y45" s="9" t="str">
        <f>IF($U45="","",SUMIFS(SummaryHelper!$F$2:$F$5000,SummaryHelper!$A$2:$A$5000,$T45,SummaryHelper!$B$2:$B$5000,$U45,SummaryHelper!$C$2:$C$5000,$V45))</f>
        <v/>
      </c>
      <c r="Z45" s="9" t="s">
        <v>489</v>
      </c>
      <c r="AB45" s="9" t="str">
        <f t="shared" si="8"/>
        <v/>
      </c>
      <c r="AC45" s="9" t="str">
        <f t="shared" si="9"/>
        <v/>
      </c>
      <c r="AH45" t="str">
        <f>IF($AF45="","",IFERROR(SUMIFS(SummaryHelper!$H$2:$H$5000,SummaryHelper!$A$2:$A$5000,$AE45,SummaryHelper!$B$2:$B$5000,$AF45,SummaryHelper!$C$2:$C$5000,$AG45)/SUMIFS(SummaryHelper!$G$2:$G$5000,SummaryHelper!$A$2:$A$5000,$AE45,SummaryHelper!$B$2:$B$5000,$AF45,SummaryHelper!$C$2:$C$5000,$AG45),""))</f>
        <v/>
      </c>
      <c r="AI45" t="str">
        <f>IF($AF45="","",SUMIFS(SummaryHelper!$E$2:$E$5000,SummaryHelper!$A$2:$A$5000,$AE45,SummaryHelper!$B$2:$B$5000,$AF45,SummaryHelper!$C$2:$C$5000,$AG45))</f>
        <v/>
      </c>
      <c r="AJ45" t="str">
        <f>IF($AF45="","",SUMIFS(SummaryHelper!$F$2:$F$5000,SummaryHelper!$A$2:$A$5000,$AE45,SummaryHelper!$B$2:$B$5000,$AF45,SummaryHelper!$C$2:$C$5000,$AG45))</f>
        <v/>
      </c>
      <c r="AK45" t="str">
        <f>IF($AF45="","",SUMIFS(SummaryHelper!$G$2:$G$5000,SummaryHelper!$A$2:$A$5000,$AE45,SummaryHelper!$B$2:$B$5000,$AF45,SummaryHelper!$C$2:$C$5000,$AG45))</f>
        <v/>
      </c>
      <c r="AM45" t="str">
        <f t="shared" si="10"/>
        <v/>
      </c>
      <c r="AN45" t="str">
        <f t="shared" si="11"/>
        <v/>
      </c>
    </row>
    <row r="46" spans="1:40" x14ac:dyDescent="0.25">
      <c r="A46" s="12"/>
      <c r="B46" s="12" t="str">
        <f t="shared" si="0"/>
        <v/>
      </c>
      <c r="C46" s="9" t="str">
        <f t="shared" ca="1" si="1"/>
        <v/>
      </c>
      <c r="D46" s="9" t="str">
        <f t="shared" ca="1" si="2"/>
        <v/>
      </c>
      <c r="E46" s="9" t="str">
        <f t="shared" ca="1" si="3"/>
        <v/>
      </c>
      <c r="F46" s="9" t="str">
        <f t="shared" si="4"/>
        <v/>
      </c>
      <c r="G46" s="9" t="str">
        <f t="shared" si="5"/>
        <v/>
      </c>
      <c r="L46" s="9" t="str">
        <f>IF($J46="","",IFERROR(SUMIFS(SummaryHelper!$H$2:$H$5000,SummaryHelper!$A$2:$A$5000,$I46,SummaryHelper!$B$2:$B$5000,$J46,SummaryHelper!$C$2:$C$5000,$K46)/SUMIFS(SummaryHelper!$G$2:$G$5000,SummaryHelper!$A$2:$A$5000,$I46,SummaryHelper!$B$2:$B$5000,$J46,SummaryHelper!$C$2:$C$5000,$K46),""))</f>
        <v/>
      </c>
      <c r="M46" s="9" t="str">
        <f>IF($J46="","",SUMIFS(SummaryHelper!$E$2:$E$5000,SummaryHelper!$A$2:$A$5000,$I46,SummaryHelper!$B$2:$B$5000,$J46,SummaryHelper!$C$2:$C$5000,$K46))</f>
        <v/>
      </c>
      <c r="N46" s="9" t="str">
        <f>IF($J46="","",SUMIFS(SummaryHelper!$F$2:$F$5000,SummaryHelper!$A$2:$A$5000,$I46,SummaryHelper!$B$2:$B$5000,$J46,SummaryHelper!$C$2:$C$5000,$K46))</f>
        <v/>
      </c>
      <c r="O46" s="9" t="str">
        <f>IF($J46="","",SUMIFS(SummaryHelper!$G$2:$G$5000,SummaryHelper!$A$2:$A$5000,$I46,SummaryHelper!$B$2:$B$5000,$J46,SummaryHelper!$C$2:$C$5000,$K46))</f>
        <v/>
      </c>
      <c r="Q46" s="9" t="str">
        <f t="shared" si="6"/>
        <v/>
      </c>
      <c r="R46" s="9" t="str">
        <f t="shared" si="7"/>
        <v/>
      </c>
      <c r="W46" s="9" t="str">
        <f>IF($U46="","",IFERROR(SUMIFS(SummaryHelper!$H$2:$H$5000,SummaryHelper!$A$2:$A$5000,$T46,SummaryHelper!$B$2:$B$5000,$U46,SummaryHelper!$C$2:$C$5000,$V46)/SUMIFS(SummaryHelper!$G$2:$G$5000,SummaryHelper!$A$2:$A$5000,$T46,SummaryHelper!$B$2:$B$5000,$U46,SummaryHelper!$C$2:$C$5000,$V46),""))</f>
        <v/>
      </c>
      <c r="X46" s="9" t="str">
        <f>IF($U46="","",SUMIFS(SummaryHelper!$E$2:$E$5000,SummaryHelper!$A$2:$A$5000,$T46,SummaryHelper!$B$2:$B$5000,$U46,SummaryHelper!$C$2:$C$5000,$V46))</f>
        <v/>
      </c>
      <c r="Y46" s="9" t="str">
        <f>IF($U46="","",SUMIFS(SummaryHelper!$F$2:$F$5000,SummaryHelper!$A$2:$A$5000,$T46,SummaryHelper!$B$2:$B$5000,$U46,SummaryHelper!$C$2:$C$5000,$V46))</f>
        <v/>
      </c>
      <c r="Z46" s="9" t="s">
        <v>489</v>
      </c>
      <c r="AB46" s="9" t="str">
        <f t="shared" si="8"/>
        <v/>
      </c>
      <c r="AC46" s="9" t="str">
        <f t="shared" si="9"/>
        <v/>
      </c>
      <c r="AH46" t="str">
        <f>IF($AF46="","",IFERROR(SUMIFS(SummaryHelper!$H$2:$H$5000,SummaryHelper!$A$2:$A$5000,$AE46,SummaryHelper!$B$2:$B$5000,$AF46,SummaryHelper!$C$2:$C$5000,$AG46)/SUMIFS(SummaryHelper!$G$2:$G$5000,SummaryHelper!$A$2:$A$5000,$AE46,SummaryHelper!$B$2:$B$5000,$AF46,SummaryHelper!$C$2:$C$5000,$AG46),""))</f>
        <v/>
      </c>
      <c r="AI46" t="str">
        <f>IF($AF46="","",SUMIFS(SummaryHelper!$E$2:$E$5000,SummaryHelper!$A$2:$A$5000,$AE46,SummaryHelper!$B$2:$B$5000,$AF46,SummaryHelper!$C$2:$C$5000,$AG46))</f>
        <v/>
      </c>
      <c r="AJ46" t="str">
        <f>IF($AF46="","",SUMIFS(SummaryHelper!$F$2:$F$5000,SummaryHelper!$A$2:$A$5000,$AE46,SummaryHelper!$B$2:$B$5000,$AF46,SummaryHelper!$C$2:$C$5000,$AG46))</f>
        <v/>
      </c>
      <c r="AK46" t="str">
        <f>IF($AF46="","",SUMIFS(SummaryHelper!$G$2:$G$5000,SummaryHelper!$A$2:$A$5000,$AE46,SummaryHelper!$B$2:$B$5000,$AF46,SummaryHelper!$C$2:$C$5000,$AG46))</f>
        <v/>
      </c>
      <c r="AM46" t="str">
        <f t="shared" si="10"/>
        <v/>
      </c>
      <c r="AN46" t="str">
        <f t="shared" si="11"/>
        <v/>
      </c>
    </row>
    <row r="47" spans="1:40" x14ac:dyDescent="0.25">
      <c r="A47" s="12"/>
      <c r="B47" s="12" t="str">
        <f t="shared" si="0"/>
        <v/>
      </c>
      <c r="C47" s="9" t="str">
        <f t="shared" ca="1" si="1"/>
        <v/>
      </c>
      <c r="D47" s="9" t="str">
        <f t="shared" ca="1" si="2"/>
        <v/>
      </c>
      <c r="E47" s="9" t="str">
        <f t="shared" ca="1" si="3"/>
        <v/>
      </c>
      <c r="F47" s="9" t="str">
        <f t="shared" si="4"/>
        <v/>
      </c>
      <c r="G47" s="9" t="str">
        <f t="shared" si="5"/>
        <v/>
      </c>
      <c r="L47" s="9" t="str">
        <f>IF($J47="","",IFERROR(SUMIFS(SummaryHelper!$H$2:$H$5000,SummaryHelper!$A$2:$A$5000,$I47,SummaryHelper!$B$2:$B$5000,$J47,SummaryHelper!$C$2:$C$5000,$K47)/SUMIFS(SummaryHelper!$G$2:$G$5000,SummaryHelper!$A$2:$A$5000,$I47,SummaryHelper!$B$2:$B$5000,$J47,SummaryHelper!$C$2:$C$5000,$K47),""))</f>
        <v/>
      </c>
      <c r="M47" s="9" t="str">
        <f>IF($J47="","",SUMIFS(SummaryHelper!$E$2:$E$5000,SummaryHelper!$A$2:$A$5000,$I47,SummaryHelper!$B$2:$B$5000,$J47,SummaryHelper!$C$2:$C$5000,$K47))</f>
        <v/>
      </c>
      <c r="N47" s="9" t="str">
        <f>IF($J47="","",SUMIFS(SummaryHelper!$F$2:$F$5000,SummaryHelper!$A$2:$A$5000,$I47,SummaryHelper!$B$2:$B$5000,$J47,SummaryHelper!$C$2:$C$5000,$K47))</f>
        <v/>
      </c>
      <c r="O47" s="9" t="str">
        <f>IF($J47="","",SUMIFS(SummaryHelper!$G$2:$G$5000,SummaryHelper!$A$2:$A$5000,$I47,SummaryHelper!$B$2:$B$5000,$J47,SummaryHelper!$C$2:$C$5000,$K47))</f>
        <v/>
      </c>
      <c r="Q47" s="9" t="str">
        <f t="shared" si="6"/>
        <v/>
      </c>
      <c r="R47" s="9" t="str">
        <f t="shared" si="7"/>
        <v/>
      </c>
      <c r="W47" s="9" t="str">
        <f>IF($U47="","",IFERROR(SUMIFS(SummaryHelper!$H$2:$H$5000,SummaryHelper!$A$2:$A$5000,$T47,SummaryHelper!$B$2:$B$5000,$U47,SummaryHelper!$C$2:$C$5000,$V47)/SUMIFS(SummaryHelper!$G$2:$G$5000,SummaryHelper!$A$2:$A$5000,$T47,SummaryHelper!$B$2:$B$5000,$U47,SummaryHelper!$C$2:$C$5000,$V47),""))</f>
        <v/>
      </c>
      <c r="X47" s="9" t="str">
        <f>IF($U47="","",SUMIFS(SummaryHelper!$E$2:$E$5000,SummaryHelper!$A$2:$A$5000,$T47,SummaryHelper!$B$2:$B$5000,$U47,SummaryHelper!$C$2:$C$5000,$V47))</f>
        <v/>
      </c>
      <c r="Y47" s="9" t="str">
        <f>IF($U47="","",SUMIFS(SummaryHelper!$F$2:$F$5000,SummaryHelper!$A$2:$A$5000,$T47,SummaryHelper!$B$2:$B$5000,$U47,SummaryHelper!$C$2:$C$5000,$V47))</f>
        <v/>
      </c>
      <c r="Z47" s="9" t="s">
        <v>489</v>
      </c>
      <c r="AB47" s="9" t="str">
        <f t="shared" si="8"/>
        <v/>
      </c>
      <c r="AC47" s="9" t="str">
        <f t="shared" si="9"/>
        <v/>
      </c>
      <c r="AH47" t="str">
        <f>IF($AF47="","",IFERROR(SUMIFS(SummaryHelper!$H$2:$H$5000,SummaryHelper!$A$2:$A$5000,$AE47,SummaryHelper!$B$2:$B$5000,$AF47,SummaryHelper!$C$2:$C$5000,$AG47)/SUMIFS(SummaryHelper!$G$2:$G$5000,SummaryHelper!$A$2:$A$5000,$AE47,SummaryHelper!$B$2:$B$5000,$AF47,SummaryHelper!$C$2:$C$5000,$AG47),""))</f>
        <v/>
      </c>
      <c r="AI47" t="str">
        <f>IF($AF47="","",SUMIFS(SummaryHelper!$E$2:$E$5000,SummaryHelper!$A$2:$A$5000,$AE47,SummaryHelper!$B$2:$B$5000,$AF47,SummaryHelper!$C$2:$C$5000,$AG47))</f>
        <v/>
      </c>
      <c r="AJ47" t="str">
        <f>IF($AF47="","",SUMIFS(SummaryHelper!$F$2:$F$5000,SummaryHelper!$A$2:$A$5000,$AE47,SummaryHelper!$B$2:$B$5000,$AF47,SummaryHelper!$C$2:$C$5000,$AG47))</f>
        <v/>
      </c>
      <c r="AK47" t="str">
        <f>IF($AF47="","",SUMIFS(SummaryHelper!$G$2:$G$5000,SummaryHelper!$A$2:$A$5000,$AE47,SummaryHelper!$B$2:$B$5000,$AF47,SummaryHelper!$C$2:$C$5000,$AG47))</f>
        <v/>
      </c>
      <c r="AM47" t="str">
        <f t="shared" si="10"/>
        <v/>
      </c>
      <c r="AN47" t="str">
        <f t="shared" si="11"/>
        <v/>
      </c>
    </row>
    <row r="48" spans="1:40" x14ac:dyDescent="0.25">
      <c r="A48" s="12"/>
      <c r="B48" s="12" t="str">
        <f t="shared" si="0"/>
        <v/>
      </c>
      <c r="C48" s="9" t="str">
        <f t="shared" ca="1" si="1"/>
        <v/>
      </c>
      <c r="D48" s="9" t="str">
        <f t="shared" ca="1" si="2"/>
        <v/>
      </c>
      <c r="E48" s="9" t="str">
        <f t="shared" ca="1" si="3"/>
        <v/>
      </c>
      <c r="F48" s="9" t="str">
        <f t="shared" si="4"/>
        <v/>
      </c>
      <c r="G48" s="9" t="str">
        <f t="shared" si="5"/>
        <v/>
      </c>
      <c r="L48" s="9" t="str">
        <f>IF($J48="","",IFERROR(SUMIFS(SummaryHelper!$H$2:$H$5000,SummaryHelper!$A$2:$A$5000,$I48,SummaryHelper!$B$2:$B$5000,$J48,SummaryHelper!$C$2:$C$5000,$K48)/SUMIFS(SummaryHelper!$G$2:$G$5000,SummaryHelper!$A$2:$A$5000,$I48,SummaryHelper!$B$2:$B$5000,$J48,SummaryHelper!$C$2:$C$5000,$K48),""))</f>
        <v/>
      </c>
      <c r="M48" s="9" t="str">
        <f>IF($J48="","",SUMIFS(SummaryHelper!$E$2:$E$5000,SummaryHelper!$A$2:$A$5000,$I48,SummaryHelper!$B$2:$B$5000,$J48,SummaryHelper!$C$2:$C$5000,$K48))</f>
        <v/>
      </c>
      <c r="N48" s="9" t="str">
        <f>IF($J48="","",SUMIFS(SummaryHelper!$F$2:$F$5000,SummaryHelper!$A$2:$A$5000,$I48,SummaryHelper!$B$2:$B$5000,$J48,SummaryHelper!$C$2:$C$5000,$K48))</f>
        <v/>
      </c>
      <c r="O48" s="9" t="str">
        <f>IF($J48="","",SUMIFS(SummaryHelper!$G$2:$G$5000,SummaryHelper!$A$2:$A$5000,$I48,SummaryHelper!$B$2:$B$5000,$J48,SummaryHelper!$C$2:$C$5000,$K48))</f>
        <v/>
      </c>
      <c r="Q48" s="9" t="str">
        <f t="shared" si="6"/>
        <v/>
      </c>
      <c r="R48" s="9" t="str">
        <f t="shared" si="7"/>
        <v/>
      </c>
      <c r="W48" s="9" t="str">
        <f>IF($U48="","",IFERROR(SUMIFS(SummaryHelper!$H$2:$H$5000,SummaryHelper!$A$2:$A$5000,$T48,SummaryHelper!$B$2:$B$5000,$U48,SummaryHelper!$C$2:$C$5000,$V48)/SUMIFS(SummaryHelper!$G$2:$G$5000,SummaryHelper!$A$2:$A$5000,$T48,SummaryHelper!$B$2:$B$5000,$U48,SummaryHelper!$C$2:$C$5000,$V48),""))</f>
        <v/>
      </c>
      <c r="X48" s="9" t="str">
        <f>IF($U48="","",SUMIFS(SummaryHelper!$E$2:$E$5000,SummaryHelper!$A$2:$A$5000,$T48,SummaryHelper!$B$2:$B$5000,$U48,SummaryHelper!$C$2:$C$5000,$V48))</f>
        <v/>
      </c>
      <c r="Y48" s="9" t="str">
        <f>IF($U48="","",SUMIFS(SummaryHelper!$F$2:$F$5000,SummaryHelper!$A$2:$A$5000,$T48,SummaryHelper!$B$2:$B$5000,$U48,SummaryHelper!$C$2:$C$5000,$V48))</f>
        <v/>
      </c>
      <c r="Z48" s="9" t="s">
        <v>489</v>
      </c>
      <c r="AB48" s="9" t="str">
        <f t="shared" si="8"/>
        <v/>
      </c>
      <c r="AC48" s="9" t="str">
        <f t="shared" si="9"/>
        <v/>
      </c>
      <c r="AH48" t="str">
        <f>IF($AF48="","",IFERROR(SUMIFS(SummaryHelper!$H$2:$H$5000,SummaryHelper!$A$2:$A$5000,$AE48,SummaryHelper!$B$2:$B$5000,$AF48,SummaryHelper!$C$2:$C$5000,$AG48)/SUMIFS(SummaryHelper!$G$2:$G$5000,SummaryHelper!$A$2:$A$5000,$AE48,SummaryHelper!$B$2:$B$5000,$AF48,SummaryHelper!$C$2:$C$5000,$AG48),""))</f>
        <v/>
      </c>
      <c r="AI48" t="str">
        <f>IF($AF48="","",SUMIFS(SummaryHelper!$E$2:$E$5000,SummaryHelper!$A$2:$A$5000,$AE48,SummaryHelper!$B$2:$B$5000,$AF48,SummaryHelper!$C$2:$C$5000,$AG48))</f>
        <v/>
      </c>
      <c r="AJ48" t="str">
        <f>IF($AF48="","",SUMIFS(SummaryHelper!$F$2:$F$5000,SummaryHelper!$A$2:$A$5000,$AE48,SummaryHelper!$B$2:$B$5000,$AF48,SummaryHelper!$C$2:$C$5000,$AG48))</f>
        <v/>
      </c>
      <c r="AK48" t="str">
        <f>IF($AF48="","",SUMIFS(SummaryHelper!$G$2:$G$5000,SummaryHelper!$A$2:$A$5000,$AE48,SummaryHelper!$B$2:$B$5000,$AF48,SummaryHelper!$C$2:$C$5000,$AG48))</f>
        <v/>
      </c>
      <c r="AM48" t="str">
        <f t="shared" si="10"/>
        <v/>
      </c>
      <c r="AN48" t="str">
        <f t="shared" si="11"/>
        <v/>
      </c>
    </row>
    <row r="49" spans="1:40" x14ac:dyDescent="0.25">
      <c r="A49" s="12"/>
      <c r="B49" s="12" t="str">
        <f t="shared" si="0"/>
        <v/>
      </c>
      <c r="C49" s="9" t="str">
        <f t="shared" ca="1" si="1"/>
        <v/>
      </c>
      <c r="D49" s="9" t="str">
        <f t="shared" ca="1" si="2"/>
        <v/>
      </c>
      <c r="E49" s="9" t="str">
        <f t="shared" ca="1" si="3"/>
        <v/>
      </c>
      <c r="F49" s="9" t="str">
        <f t="shared" si="4"/>
        <v/>
      </c>
      <c r="G49" s="9" t="str">
        <f t="shared" si="5"/>
        <v/>
      </c>
      <c r="L49" s="9" t="str">
        <f>IF($J49="","",IFERROR(SUMIFS(SummaryHelper!$H$2:$H$5000,SummaryHelper!$A$2:$A$5000,$I49,SummaryHelper!$B$2:$B$5000,$J49,SummaryHelper!$C$2:$C$5000,$K49)/SUMIFS(SummaryHelper!$G$2:$G$5000,SummaryHelper!$A$2:$A$5000,$I49,SummaryHelper!$B$2:$B$5000,$J49,SummaryHelper!$C$2:$C$5000,$K49),""))</f>
        <v/>
      </c>
      <c r="M49" s="9" t="str">
        <f>IF($J49="","",SUMIFS(SummaryHelper!$E$2:$E$5000,SummaryHelper!$A$2:$A$5000,$I49,SummaryHelper!$B$2:$B$5000,$J49,SummaryHelper!$C$2:$C$5000,$K49))</f>
        <v/>
      </c>
      <c r="N49" s="9" t="str">
        <f>IF($J49="","",SUMIFS(SummaryHelper!$F$2:$F$5000,SummaryHelper!$A$2:$A$5000,$I49,SummaryHelper!$B$2:$B$5000,$J49,SummaryHelper!$C$2:$C$5000,$K49))</f>
        <v/>
      </c>
      <c r="O49" s="9" t="str">
        <f>IF($J49="","",SUMIFS(SummaryHelper!$G$2:$G$5000,SummaryHelper!$A$2:$A$5000,$I49,SummaryHelper!$B$2:$B$5000,$J49,SummaryHelper!$C$2:$C$5000,$K49))</f>
        <v/>
      </c>
      <c r="Q49" s="9" t="str">
        <f t="shared" si="6"/>
        <v/>
      </c>
      <c r="R49" s="9" t="str">
        <f t="shared" si="7"/>
        <v/>
      </c>
      <c r="W49" s="9" t="str">
        <f>IF($U49="","",IFERROR(SUMIFS(SummaryHelper!$H$2:$H$5000,SummaryHelper!$A$2:$A$5000,$T49,SummaryHelper!$B$2:$B$5000,$U49,SummaryHelper!$C$2:$C$5000,$V49)/SUMIFS(SummaryHelper!$G$2:$G$5000,SummaryHelper!$A$2:$A$5000,$T49,SummaryHelper!$B$2:$B$5000,$U49,SummaryHelper!$C$2:$C$5000,$V49),""))</f>
        <v/>
      </c>
      <c r="X49" s="9" t="str">
        <f>IF($U49="","",SUMIFS(SummaryHelper!$E$2:$E$5000,SummaryHelper!$A$2:$A$5000,$T49,SummaryHelper!$B$2:$B$5000,$U49,SummaryHelper!$C$2:$C$5000,$V49))</f>
        <v/>
      </c>
      <c r="Y49" s="9" t="str">
        <f>IF($U49="","",SUMIFS(SummaryHelper!$F$2:$F$5000,SummaryHelper!$A$2:$A$5000,$T49,SummaryHelper!$B$2:$B$5000,$U49,SummaryHelper!$C$2:$C$5000,$V49))</f>
        <v/>
      </c>
      <c r="Z49" s="9" t="s">
        <v>489</v>
      </c>
      <c r="AB49" s="9" t="str">
        <f t="shared" si="8"/>
        <v/>
      </c>
      <c r="AC49" s="9" t="str">
        <f t="shared" si="9"/>
        <v/>
      </c>
      <c r="AH49" t="str">
        <f>IF($AF49="","",IFERROR(SUMIFS(SummaryHelper!$H$2:$H$5000,SummaryHelper!$A$2:$A$5000,$AE49,SummaryHelper!$B$2:$B$5000,$AF49,SummaryHelper!$C$2:$C$5000,$AG49)/SUMIFS(SummaryHelper!$G$2:$G$5000,SummaryHelper!$A$2:$A$5000,$AE49,SummaryHelper!$B$2:$B$5000,$AF49,SummaryHelper!$C$2:$C$5000,$AG49),""))</f>
        <v/>
      </c>
      <c r="AI49" t="str">
        <f>IF($AF49="","",SUMIFS(SummaryHelper!$E$2:$E$5000,SummaryHelper!$A$2:$A$5000,$AE49,SummaryHelper!$B$2:$B$5000,$AF49,SummaryHelper!$C$2:$C$5000,$AG49))</f>
        <v/>
      </c>
      <c r="AJ49" t="str">
        <f>IF($AF49="","",SUMIFS(SummaryHelper!$F$2:$F$5000,SummaryHelper!$A$2:$A$5000,$AE49,SummaryHelper!$B$2:$B$5000,$AF49,SummaryHelper!$C$2:$C$5000,$AG49))</f>
        <v/>
      </c>
      <c r="AK49" t="str">
        <f>IF($AF49="","",SUMIFS(SummaryHelper!$G$2:$G$5000,SummaryHelper!$A$2:$A$5000,$AE49,SummaryHelper!$B$2:$B$5000,$AF49,SummaryHelper!$C$2:$C$5000,$AG49))</f>
        <v/>
      </c>
      <c r="AM49" t="str">
        <f t="shared" si="10"/>
        <v/>
      </c>
      <c r="AN49" t="str">
        <f t="shared" si="11"/>
        <v/>
      </c>
    </row>
    <row r="50" spans="1:40" x14ac:dyDescent="0.25">
      <c r="A50" s="12"/>
      <c r="B50" s="12" t="str">
        <f t="shared" si="0"/>
        <v/>
      </c>
      <c r="C50" s="9" t="str">
        <f t="shared" ca="1" si="1"/>
        <v/>
      </c>
      <c r="D50" s="9" t="str">
        <f t="shared" ca="1" si="2"/>
        <v/>
      </c>
      <c r="E50" s="9" t="str">
        <f t="shared" ca="1" si="3"/>
        <v/>
      </c>
      <c r="F50" s="9" t="str">
        <f t="shared" si="4"/>
        <v/>
      </c>
      <c r="G50" s="9" t="str">
        <f t="shared" si="5"/>
        <v/>
      </c>
      <c r="L50" s="9" t="str">
        <f>IF($J50="","",IFERROR(SUMIFS(SummaryHelper!$H$2:$H$5000,SummaryHelper!$A$2:$A$5000,$I50,SummaryHelper!$B$2:$B$5000,$J50,SummaryHelper!$C$2:$C$5000,$K50)/SUMIFS(SummaryHelper!$G$2:$G$5000,SummaryHelper!$A$2:$A$5000,$I50,SummaryHelper!$B$2:$B$5000,$J50,SummaryHelper!$C$2:$C$5000,$K50),""))</f>
        <v/>
      </c>
      <c r="M50" s="9" t="str">
        <f>IF($J50="","",SUMIFS(SummaryHelper!$E$2:$E$5000,SummaryHelper!$A$2:$A$5000,$I50,SummaryHelper!$B$2:$B$5000,$J50,SummaryHelper!$C$2:$C$5000,$K50))</f>
        <v/>
      </c>
      <c r="N50" s="9" t="str">
        <f>IF($J50="","",SUMIFS(SummaryHelper!$F$2:$F$5000,SummaryHelper!$A$2:$A$5000,$I50,SummaryHelper!$B$2:$B$5000,$J50,SummaryHelper!$C$2:$C$5000,$K50))</f>
        <v/>
      </c>
      <c r="O50" s="9" t="str">
        <f>IF($J50="","",SUMIFS(SummaryHelper!$G$2:$G$5000,SummaryHelper!$A$2:$A$5000,$I50,SummaryHelper!$B$2:$B$5000,$J50,SummaryHelper!$C$2:$C$5000,$K50))</f>
        <v/>
      </c>
      <c r="Q50" s="9" t="str">
        <f t="shared" si="6"/>
        <v/>
      </c>
      <c r="R50" s="9" t="str">
        <f t="shared" si="7"/>
        <v/>
      </c>
      <c r="W50" s="9" t="str">
        <f>IF($U50="","",IFERROR(SUMIFS(SummaryHelper!$H$2:$H$5000,SummaryHelper!$A$2:$A$5000,$T50,SummaryHelper!$B$2:$B$5000,$U50,SummaryHelper!$C$2:$C$5000,$V50)/SUMIFS(SummaryHelper!$G$2:$G$5000,SummaryHelper!$A$2:$A$5000,$T50,SummaryHelper!$B$2:$B$5000,$U50,SummaryHelper!$C$2:$C$5000,$V50),""))</f>
        <v/>
      </c>
      <c r="X50" s="9" t="str">
        <f>IF($U50="","",SUMIFS(SummaryHelper!$E$2:$E$5000,SummaryHelper!$A$2:$A$5000,$T50,SummaryHelper!$B$2:$B$5000,$U50,SummaryHelper!$C$2:$C$5000,$V50))</f>
        <v/>
      </c>
      <c r="Y50" s="9" t="str">
        <f>IF($U50="","",SUMIFS(SummaryHelper!$F$2:$F$5000,SummaryHelper!$A$2:$A$5000,$T50,SummaryHelper!$B$2:$B$5000,$U50,SummaryHelper!$C$2:$C$5000,$V50))</f>
        <v/>
      </c>
      <c r="Z50" s="9" t="s">
        <v>489</v>
      </c>
      <c r="AB50" s="9" t="str">
        <f t="shared" si="8"/>
        <v/>
      </c>
      <c r="AC50" s="9" t="str">
        <f t="shared" si="9"/>
        <v/>
      </c>
      <c r="AH50" t="str">
        <f>IF($AF50="","",IFERROR(SUMIFS(SummaryHelper!$H$2:$H$5000,SummaryHelper!$A$2:$A$5000,$AE50,SummaryHelper!$B$2:$B$5000,$AF50,SummaryHelper!$C$2:$C$5000,$AG50)/SUMIFS(SummaryHelper!$G$2:$G$5000,SummaryHelper!$A$2:$A$5000,$AE50,SummaryHelper!$B$2:$B$5000,$AF50,SummaryHelper!$C$2:$C$5000,$AG50),""))</f>
        <v/>
      </c>
      <c r="AI50" t="str">
        <f>IF($AF50="","",SUMIFS(SummaryHelper!$E$2:$E$5000,SummaryHelper!$A$2:$A$5000,$AE50,SummaryHelper!$B$2:$B$5000,$AF50,SummaryHelper!$C$2:$C$5000,$AG50))</f>
        <v/>
      </c>
      <c r="AJ50" t="str">
        <f>IF($AF50="","",SUMIFS(SummaryHelper!$F$2:$F$5000,SummaryHelper!$A$2:$A$5000,$AE50,SummaryHelper!$B$2:$B$5000,$AF50,SummaryHelper!$C$2:$C$5000,$AG50))</f>
        <v/>
      </c>
      <c r="AK50" t="str">
        <f>IF($AF50="","",SUMIFS(SummaryHelper!$G$2:$G$5000,SummaryHelper!$A$2:$A$5000,$AE50,SummaryHelper!$B$2:$B$5000,$AF50,SummaryHelper!$C$2:$C$5000,$AG50))</f>
        <v/>
      </c>
      <c r="AM50" t="str">
        <f t="shared" si="10"/>
        <v/>
      </c>
      <c r="AN50" t="str">
        <f t="shared" si="11"/>
        <v/>
      </c>
    </row>
    <row r="51" spans="1:40" x14ac:dyDescent="0.25">
      <c r="A51" s="12"/>
      <c r="B51" s="12" t="str">
        <f t="shared" si="0"/>
        <v/>
      </c>
      <c r="C51" s="9" t="str">
        <f t="shared" ca="1" si="1"/>
        <v/>
      </c>
      <c r="D51" s="9" t="str">
        <f t="shared" ca="1" si="2"/>
        <v/>
      </c>
      <c r="E51" s="9" t="str">
        <f t="shared" ca="1" si="3"/>
        <v/>
      </c>
      <c r="F51" s="9" t="str">
        <f t="shared" si="4"/>
        <v/>
      </c>
      <c r="G51" s="9" t="str">
        <f t="shared" si="5"/>
        <v/>
      </c>
      <c r="L51" s="9" t="str">
        <f>IF($J51="","",IFERROR(SUMIFS(SummaryHelper!$H$2:$H$5000,SummaryHelper!$A$2:$A$5000,$I51,SummaryHelper!$B$2:$B$5000,$J51,SummaryHelper!$C$2:$C$5000,$K51)/SUMIFS(SummaryHelper!$G$2:$G$5000,SummaryHelper!$A$2:$A$5000,$I51,SummaryHelper!$B$2:$B$5000,$J51,SummaryHelper!$C$2:$C$5000,$K51),""))</f>
        <v/>
      </c>
      <c r="M51" s="9" t="str">
        <f>IF($J51="","",SUMIFS(SummaryHelper!$E$2:$E$5000,SummaryHelper!$A$2:$A$5000,$I51,SummaryHelper!$B$2:$B$5000,$J51,SummaryHelper!$C$2:$C$5000,$K51))</f>
        <v/>
      </c>
      <c r="N51" s="9" t="str">
        <f>IF($J51="","",SUMIFS(SummaryHelper!$F$2:$F$5000,SummaryHelper!$A$2:$A$5000,$I51,SummaryHelper!$B$2:$B$5000,$J51,SummaryHelper!$C$2:$C$5000,$K51))</f>
        <v/>
      </c>
      <c r="O51" s="9" t="str">
        <f>IF($J51="","",SUMIFS(SummaryHelper!$G$2:$G$5000,SummaryHelper!$A$2:$A$5000,$I51,SummaryHelper!$B$2:$B$5000,$J51,SummaryHelper!$C$2:$C$5000,$K51))</f>
        <v/>
      </c>
      <c r="Q51" s="9" t="str">
        <f t="shared" si="6"/>
        <v/>
      </c>
      <c r="R51" s="9" t="str">
        <f t="shared" si="7"/>
        <v/>
      </c>
      <c r="W51" s="9" t="str">
        <f>IF($U51="","",IFERROR(SUMIFS(SummaryHelper!$H$2:$H$5000,SummaryHelper!$A$2:$A$5000,$T51,SummaryHelper!$B$2:$B$5000,$U51,SummaryHelper!$C$2:$C$5000,$V51)/SUMIFS(SummaryHelper!$G$2:$G$5000,SummaryHelper!$A$2:$A$5000,$T51,SummaryHelper!$B$2:$B$5000,$U51,SummaryHelper!$C$2:$C$5000,$V51),""))</f>
        <v/>
      </c>
      <c r="X51" s="9" t="str">
        <f>IF($U51="","",SUMIFS(SummaryHelper!$E$2:$E$5000,SummaryHelper!$A$2:$A$5000,$T51,SummaryHelper!$B$2:$B$5000,$U51,SummaryHelper!$C$2:$C$5000,$V51))</f>
        <v/>
      </c>
      <c r="Y51" s="9" t="str">
        <f>IF($U51="","",SUMIFS(SummaryHelper!$F$2:$F$5000,SummaryHelper!$A$2:$A$5000,$T51,SummaryHelper!$B$2:$B$5000,$U51,SummaryHelper!$C$2:$C$5000,$V51))</f>
        <v/>
      </c>
      <c r="Z51" s="9" t="s">
        <v>489</v>
      </c>
      <c r="AB51" s="9" t="str">
        <f t="shared" si="8"/>
        <v/>
      </c>
      <c r="AC51" s="9" t="str">
        <f t="shared" si="9"/>
        <v/>
      </c>
      <c r="AH51" t="str">
        <f>IF($AF51="","",IFERROR(SUMIFS(SummaryHelper!$H$2:$H$5000,SummaryHelper!$A$2:$A$5000,$AE51,SummaryHelper!$B$2:$B$5000,$AF51,SummaryHelper!$C$2:$C$5000,$AG51)/SUMIFS(SummaryHelper!$G$2:$G$5000,SummaryHelper!$A$2:$A$5000,$AE51,SummaryHelper!$B$2:$B$5000,$AF51,SummaryHelper!$C$2:$C$5000,$AG51),""))</f>
        <v/>
      </c>
      <c r="AI51" t="str">
        <f>IF($AF51="","",SUMIFS(SummaryHelper!$E$2:$E$5000,SummaryHelper!$A$2:$A$5000,$AE51,SummaryHelper!$B$2:$B$5000,$AF51,SummaryHelper!$C$2:$C$5000,$AG51))</f>
        <v/>
      </c>
      <c r="AJ51" t="str">
        <f>IF($AF51="","",SUMIFS(SummaryHelper!$F$2:$F$5000,SummaryHelper!$A$2:$A$5000,$AE51,SummaryHelper!$B$2:$B$5000,$AF51,SummaryHelper!$C$2:$C$5000,$AG51))</f>
        <v/>
      </c>
      <c r="AK51" t="str">
        <f>IF($AF51="","",SUMIFS(SummaryHelper!$G$2:$G$5000,SummaryHelper!$A$2:$A$5000,$AE51,SummaryHelper!$B$2:$B$5000,$AF51,SummaryHelper!$C$2:$C$5000,$AG51))</f>
        <v/>
      </c>
      <c r="AM51" t="str">
        <f t="shared" si="10"/>
        <v/>
      </c>
      <c r="AN51" t="str">
        <f t="shared" si="11"/>
        <v/>
      </c>
    </row>
    <row r="52" spans="1:40" x14ac:dyDescent="0.25">
      <c r="A52" s="12"/>
      <c r="B52" s="12" t="str">
        <f t="shared" si="0"/>
        <v/>
      </c>
      <c r="C52" s="9" t="str">
        <f t="shared" ca="1" si="1"/>
        <v/>
      </c>
      <c r="D52" s="9" t="str">
        <f t="shared" ca="1" si="2"/>
        <v/>
      </c>
      <c r="E52" s="9" t="str">
        <f t="shared" ca="1" si="3"/>
        <v/>
      </c>
      <c r="F52" s="9" t="str">
        <f t="shared" si="4"/>
        <v/>
      </c>
      <c r="G52" s="9" t="str">
        <f t="shared" si="5"/>
        <v/>
      </c>
      <c r="L52" s="9" t="str">
        <f>IF($J52="","",IFERROR(SUMIFS(SummaryHelper!$H$2:$H$5000,SummaryHelper!$A$2:$A$5000,$I52,SummaryHelper!$B$2:$B$5000,$J52,SummaryHelper!$C$2:$C$5000,$K52)/SUMIFS(SummaryHelper!$G$2:$G$5000,SummaryHelper!$A$2:$A$5000,$I52,SummaryHelper!$B$2:$B$5000,$J52,SummaryHelper!$C$2:$C$5000,$K52),""))</f>
        <v/>
      </c>
      <c r="M52" s="9" t="str">
        <f>IF($J52="","",SUMIFS(SummaryHelper!$E$2:$E$5000,SummaryHelper!$A$2:$A$5000,$I52,SummaryHelper!$B$2:$B$5000,$J52,SummaryHelper!$C$2:$C$5000,$K52))</f>
        <v/>
      </c>
      <c r="N52" s="9" t="str">
        <f>IF($J52="","",SUMIFS(SummaryHelper!$F$2:$F$5000,SummaryHelper!$A$2:$A$5000,$I52,SummaryHelper!$B$2:$B$5000,$J52,SummaryHelper!$C$2:$C$5000,$K52))</f>
        <v/>
      </c>
      <c r="O52" s="9" t="str">
        <f>IF($J52="","",SUMIFS(SummaryHelper!$G$2:$G$5000,SummaryHelper!$A$2:$A$5000,$I52,SummaryHelper!$B$2:$B$5000,$J52,SummaryHelper!$C$2:$C$5000,$K52))</f>
        <v/>
      </c>
      <c r="Q52" s="9" t="str">
        <f t="shared" si="6"/>
        <v/>
      </c>
      <c r="R52" s="9" t="str">
        <f t="shared" si="7"/>
        <v/>
      </c>
      <c r="W52" s="9" t="str">
        <f>IF($U52="","",IFERROR(SUMIFS(SummaryHelper!$H$2:$H$5000,SummaryHelper!$A$2:$A$5000,$T52,SummaryHelper!$B$2:$B$5000,$U52,SummaryHelper!$C$2:$C$5000,$V52)/SUMIFS(SummaryHelper!$G$2:$G$5000,SummaryHelper!$A$2:$A$5000,$T52,SummaryHelper!$B$2:$B$5000,$U52,SummaryHelper!$C$2:$C$5000,$V52),""))</f>
        <v/>
      </c>
      <c r="X52" s="9" t="str">
        <f>IF($U52="","",SUMIFS(SummaryHelper!$E$2:$E$5000,SummaryHelper!$A$2:$A$5000,$T52,SummaryHelper!$B$2:$B$5000,$U52,SummaryHelper!$C$2:$C$5000,$V52))</f>
        <v/>
      </c>
      <c r="Y52" s="9" t="str">
        <f>IF($U52="","",SUMIFS(SummaryHelper!$F$2:$F$5000,SummaryHelper!$A$2:$A$5000,$T52,SummaryHelper!$B$2:$B$5000,$U52,SummaryHelper!$C$2:$C$5000,$V52))</f>
        <v/>
      </c>
      <c r="Z52" s="9" t="s">
        <v>489</v>
      </c>
      <c r="AB52" s="9" t="str">
        <f t="shared" si="8"/>
        <v/>
      </c>
      <c r="AC52" s="9" t="str">
        <f t="shared" si="9"/>
        <v/>
      </c>
      <c r="AH52" t="str">
        <f>IF($AF52="","",IFERROR(SUMIFS(SummaryHelper!$H$2:$H$5000,SummaryHelper!$A$2:$A$5000,$AE52,SummaryHelper!$B$2:$B$5000,$AF52,SummaryHelper!$C$2:$C$5000,$AG52)/SUMIFS(SummaryHelper!$G$2:$G$5000,SummaryHelper!$A$2:$A$5000,$AE52,SummaryHelper!$B$2:$B$5000,$AF52,SummaryHelper!$C$2:$C$5000,$AG52),""))</f>
        <v/>
      </c>
      <c r="AI52" t="str">
        <f>IF($AF52="","",SUMIFS(SummaryHelper!$E$2:$E$5000,SummaryHelper!$A$2:$A$5000,$AE52,SummaryHelper!$B$2:$B$5000,$AF52,SummaryHelper!$C$2:$C$5000,$AG52))</f>
        <v/>
      </c>
      <c r="AJ52" t="str">
        <f>IF($AF52="","",SUMIFS(SummaryHelper!$F$2:$F$5000,SummaryHelper!$A$2:$A$5000,$AE52,SummaryHelper!$B$2:$B$5000,$AF52,SummaryHelper!$C$2:$C$5000,$AG52))</f>
        <v/>
      </c>
      <c r="AK52" t="str">
        <f>IF($AF52="","",SUMIFS(SummaryHelper!$G$2:$G$5000,SummaryHelper!$A$2:$A$5000,$AE52,SummaryHelper!$B$2:$B$5000,$AF52,SummaryHelper!$C$2:$C$5000,$AG52))</f>
        <v/>
      </c>
      <c r="AM52" t="str">
        <f t="shared" si="10"/>
        <v/>
      </c>
      <c r="AN52" t="str">
        <f t="shared" si="11"/>
        <v/>
      </c>
    </row>
    <row r="53" spans="1:40" x14ac:dyDescent="0.25">
      <c r="A53" s="12"/>
      <c r="B53" s="12" t="str">
        <f t="shared" si="0"/>
        <v/>
      </c>
      <c r="C53" s="9" t="str">
        <f t="shared" ca="1" si="1"/>
        <v/>
      </c>
      <c r="D53" s="9" t="str">
        <f t="shared" ca="1" si="2"/>
        <v/>
      </c>
      <c r="E53" s="9" t="str">
        <f t="shared" ca="1" si="3"/>
        <v/>
      </c>
      <c r="F53" s="9" t="str">
        <f t="shared" si="4"/>
        <v/>
      </c>
      <c r="G53" s="9" t="str">
        <f t="shared" si="5"/>
        <v/>
      </c>
      <c r="L53" s="9" t="str">
        <f>IF($J53="","",IFERROR(SUMIFS(SummaryHelper!$H$2:$H$5000,SummaryHelper!$A$2:$A$5000,$I53,SummaryHelper!$B$2:$B$5000,$J53,SummaryHelper!$C$2:$C$5000,$K53)/SUMIFS(SummaryHelper!$G$2:$G$5000,SummaryHelper!$A$2:$A$5000,$I53,SummaryHelper!$B$2:$B$5000,$J53,SummaryHelper!$C$2:$C$5000,$K53),""))</f>
        <v/>
      </c>
      <c r="M53" s="9" t="str">
        <f>IF($J53="","",SUMIFS(SummaryHelper!$E$2:$E$5000,SummaryHelper!$A$2:$A$5000,$I53,SummaryHelper!$B$2:$B$5000,$J53,SummaryHelper!$C$2:$C$5000,$K53))</f>
        <v/>
      </c>
      <c r="N53" s="9" t="str">
        <f>IF($J53="","",SUMIFS(SummaryHelper!$F$2:$F$5000,SummaryHelper!$A$2:$A$5000,$I53,SummaryHelper!$B$2:$B$5000,$J53,SummaryHelper!$C$2:$C$5000,$K53))</f>
        <v/>
      </c>
      <c r="O53" s="9" t="str">
        <f>IF($J53="","",SUMIFS(SummaryHelper!$G$2:$G$5000,SummaryHelper!$A$2:$A$5000,$I53,SummaryHelper!$B$2:$B$5000,$J53,SummaryHelper!$C$2:$C$5000,$K53))</f>
        <v/>
      </c>
      <c r="Q53" s="9" t="str">
        <f t="shared" si="6"/>
        <v/>
      </c>
      <c r="R53" s="9" t="str">
        <f t="shared" si="7"/>
        <v/>
      </c>
      <c r="W53" s="9" t="str">
        <f>IF($U53="","",IFERROR(SUMIFS(SummaryHelper!$H$2:$H$5000,SummaryHelper!$A$2:$A$5000,$T53,SummaryHelper!$B$2:$B$5000,$U53,SummaryHelper!$C$2:$C$5000,$V53)/SUMIFS(SummaryHelper!$G$2:$G$5000,SummaryHelper!$A$2:$A$5000,$T53,SummaryHelper!$B$2:$B$5000,$U53,SummaryHelper!$C$2:$C$5000,$V53),""))</f>
        <v/>
      </c>
      <c r="X53" s="9" t="str">
        <f>IF($U53="","",SUMIFS(SummaryHelper!$E$2:$E$5000,SummaryHelper!$A$2:$A$5000,$T53,SummaryHelper!$B$2:$B$5000,$U53,SummaryHelper!$C$2:$C$5000,$V53))</f>
        <v/>
      </c>
      <c r="Y53" s="9" t="str">
        <f>IF($U53="","",SUMIFS(SummaryHelper!$F$2:$F$5000,SummaryHelper!$A$2:$A$5000,$T53,SummaryHelper!$B$2:$B$5000,$U53,SummaryHelper!$C$2:$C$5000,$V53))</f>
        <v/>
      </c>
      <c r="Z53" s="9" t="s">
        <v>489</v>
      </c>
      <c r="AB53" s="9" t="str">
        <f t="shared" si="8"/>
        <v/>
      </c>
      <c r="AC53" s="9" t="str">
        <f t="shared" si="9"/>
        <v/>
      </c>
      <c r="AH53" t="str">
        <f>IF($AF53="","",IFERROR(SUMIFS(SummaryHelper!$H$2:$H$5000,SummaryHelper!$A$2:$A$5000,$AE53,SummaryHelper!$B$2:$B$5000,$AF53,SummaryHelper!$C$2:$C$5000,$AG53)/SUMIFS(SummaryHelper!$G$2:$G$5000,SummaryHelper!$A$2:$A$5000,$AE53,SummaryHelper!$B$2:$B$5000,$AF53,SummaryHelper!$C$2:$C$5000,$AG53),""))</f>
        <v/>
      </c>
      <c r="AI53" t="str">
        <f>IF($AF53="","",SUMIFS(SummaryHelper!$E$2:$E$5000,SummaryHelper!$A$2:$A$5000,$AE53,SummaryHelper!$B$2:$B$5000,$AF53,SummaryHelper!$C$2:$C$5000,$AG53))</f>
        <v/>
      </c>
      <c r="AJ53" t="str">
        <f>IF($AF53="","",SUMIFS(SummaryHelper!$F$2:$F$5000,SummaryHelper!$A$2:$A$5000,$AE53,SummaryHelper!$B$2:$B$5000,$AF53,SummaryHelper!$C$2:$C$5000,$AG53))</f>
        <v/>
      </c>
      <c r="AK53" t="str">
        <f>IF($AF53="","",SUMIFS(SummaryHelper!$G$2:$G$5000,SummaryHelper!$A$2:$A$5000,$AE53,SummaryHelper!$B$2:$B$5000,$AF53,SummaryHelper!$C$2:$C$5000,$AG53))</f>
        <v/>
      </c>
      <c r="AM53" t="str">
        <f t="shared" si="10"/>
        <v/>
      </c>
      <c r="AN53" t="str">
        <f t="shared" si="11"/>
        <v/>
      </c>
    </row>
    <row r="54" spans="1:40" x14ac:dyDescent="0.25">
      <c r="A54" s="12"/>
      <c r="B54" s="12" t="str">
        <f t="shared" si="0"/>
        <v/>
      </c>
      <c r="C54" s="9" t="str">
        <f t="shared" ca="1" si="1"/>
        <v/>
      </c>
      <c r="D54" s="9" t="str">
        <f t="shared" ca="1" si="2"/>
        <v/>
      </c>
      <c r="E54" s="9" t="str">
        <f t="shared" ca="1" si="3"/>
        <v/>
      </c>
      <c r="F54" s="9" t="str">
        <f t="shared" si="4"/>
        <v/>
      </c>
      <c r="G54" s="9" t="str">
        <f t="shared" si="5"/>
        <v/>
      </c>
      <c r="L54" s="9" t="str">
        <f>IF($J54="","",IFERROR(SUMIFS(SummaryHelper!$H$2:$H$5000,SummaryHelper!$A$2:$A$5000,$I54,SummaryHelper!$B$2:$B$5000,$J54,SummaryHelper!$C$2:$C$5000,$K54)/SUMIFS(SummaryHelper!$G$2:$G$5000,SummaryHelper!$A$2:$A$5000,$I54,SummaryHelper!$B$2:$B$5000,$J54,SummaryHelper!$C$2:$C$5000,$K54),""))</f>
        <v/>
      </c>
      <c r="M54" s="9" t="str">
        <f>IF($J54="","",SUMIFS(SummaryHelper!$E$2:$E$5000,SummaryHelper!$A$2:$A$5000,$I54,SummaryHelper!$B$2:$B$5000,$J54,SummaryHelper!$C$2:$C$5000,$K54))</f>
        <v/>
      </c>
      <c r="N54" s="9" t="str">
        <f>IF($J54="","",SUMIFS(SummaryHelper!$F$2:$F$5000,SummaryHelper!$A$2:$A$5000,$I54,SummaryHelper!$B$2:$B$5000,$J54,SummaryHelper!$C$2:$C$5000,$K54))</f>
        <v/>
      </c>
      <c r="O54" s="9" t="str">
        <f>IF($J54="","",SUMIFS(SummaryHelper!$G$2:$G$5000,SummaryHelper!$A$2:$A$5000,$I54,SummaryHelper!$B$2:$B$5000,$J54,SummaryHelper!$C$2:$C$5000,$K54))</f>
        <v/>
      </c>
      <c r="Q54" s="9" t="str">
        <f t="shared" si="6"/>
        <v/>
      </c>
      <c r="R54" s="9" t="str">
        <f t="shared" si="7"/>
        <v/>
      </c>
      <c r="W54" s="9" t="str">
        <f>IF($U54="","",IFERROR(SUMIFS(SummaryHelper!$H$2:$H$5000,SummaryHelper!$A$2:$A$5000,$T54,SummaryHelper!$B$2:$B$5000,$U54,SummaryHelper!$C$2:$C$5000,$V54)/SUMIFS(SummaryHelper!$G$2:$G$5000,SummaryHelper!$A$2:$A$5000,$T54,SummaryHelper!$B$2:$B$5000,$U54,SummaryHelper!$C$2:$C$5000,$V54),""))</f>
        <v/>
      </c>
      <c r="X54" s="9" t="str">
        <f>IF($U54="","",SUMIFS(SummaryHelper!$E$2:$E$5000,SummaryHelper!$A$2:$A$5000,$T54,SummaryHelper!$B$2:$B$5000,$U54,SummaryHelper!$C$2:$C$5000,$V54))</f>
        <v/>
      </c>
      <c r="Y54" s="9" t="str">
        <f>IF($U54="","",SUMIFS(SummaryHelper!$F$2:$F$5000,SummaryHelper!$A$2:$A$5000,$T54,SummaryHelper!$B$2:$B$5000,$U54,SummaryHelper!$C$2:$C$5000,$V54))</f>
        <v/>
      </c>
      <c r="Z54" s="9" t="s">
        <v>489</v>
      </c>
      <c r="AB54" s="9" t="str">
        <f t="shared" si="8"/>
        <v/>
      </c>
      <c r="AC54" s="9" t="str">
        <f t="shared" si="9"/>
        <v/>
      </c>
      <c r="AH54" t="str">
        <f>IF($AF54="","",IFERROR(SUMIFS(SummaryHelper!$H$2:$H$5000,SummaryHelper!$A$2:$A$5000,$AE54,SummaryHelper!$B$2:$B$5000,$AF54,SummaryHelper!$C$2:$C$5000,$AG54)/SUMIFS(SummaryHelper!$G$2:$G$5000,SummaryHelper!$A$2:$A$5000,$AE54,SummaryHelper!$B$2:$B$5000,$AF54,SummaryHelper!$C$2:$C$5000,$AG54),""))</f>
        <v/>
      </c>
      <c r="AI54" t="str">
        <f>IF($AF54="","",SUMIFS(SummaryHelper!$E$2:$E$5000,SummaryHelper!$A$2:$A$5000,$AE54,SummaryHelper!$B$2:$B$5000,$AF54,SummaryHelper!$C$2:$C$5000,$AG54))</f>
        <v/>
      </c>
      <c r="AJ54" t="str">
        <f>IF($AF54="","",SUMIFS(SummaryHelper!$F$2:$F$5000,SummaryHelper!$A$2:$A$5000,$AE54,SummaryHelper!$B$2:$B$5000,$AF54,SummaryHelper!$C$2:$C$5000,$AG54))</f>
        <v/>
      </c>
      <c r="AK54" t="str">
        <f>IF($AF54="","",SUMIFS(SummaryHelper!$G$2:$G$5000,SummaryHelper!$A$2:$A$5000,$AE54,SummaryHelper!$B$2:$B$5000,$AF54,SummaryHelper!$C$2:$C$5000,$AG54))</f>
        <v/>
      </c>
      <c r="AM54" t="str">
        <f t="shared" si="10"/>
        <v/>
      </c>
      <c r="AN54" t="str">
        <f t="shared" si="11"/>
        <v/>
      </c>
    </row>
    <row r="55" spans="1:40" x14ac:dyDescent="0.25">
      <c r="A55" s="12"/>
      <c r="B55" s="12" t="str">
        <f t="shared" si="0"/>
        <v/>
      </c>
      <c r="C55" s="9" t="str">
        <f t="shared" ca="1" si="1"/>
        <v/>
      </c>
      <c r="D55" s="9" t="str">
        <f t="shared" ca="1" si="2"/>
        <v/>
      </c>
      <c r="E55" s="9" t="str">
        <f t="shared" ca="1" si="3"/>
        <v/>
      </c>
      <c r="F55" s="9" t="str">
        <f t="shared" si="4"/>
        <v/>
      </c>
      <c r="G55" s="9" t="str">
        <f t="shared" si="5"/>
        <v/>
      </c>
      <c r="L55" s="9" t="str">
        <f>IF($J55="","",IFERROR(SUMIFS(SummaryHelper!$H$2:$H$5000,SummaryHelper!$A$2:$A$5000,$I55,SummaryHelper!$B$2:$B$5000,$J55,SummaryHelper!$C$2:$C$5000,$K55)/SUMIFS(SummaryHelper!$G$2:$G$5000,SummaryHelper!$A$2:$A$5000,$I55,SummaryHelper!$B$2:$B$5000,$J55,SummaryHelper!$C$2:$C$5000,$K55),""))</f>
        <v/>
      </c>
      <c r="M55" s="9" t="str">
        <f>IF($J55="","",SUMIFS(SummaryHelper!$E$2:$E$5000,SummaryHelper!$A$2:$A$5000,$I55,SummaryHelper!$B$2:$B$5000,$J55,SummaryHelper!$C$2:$C$5000,$K55))</f>
        <v/>
      </c>
      <c r="N55" s="9" t="str">
        <f>IF($J55="","",SUMIFS(SummaryHelper!$F$2:$F$5000,SummaryHelper!$A$2:$A$5000,$I55,SummaryHelper!$B$2:$B$5000,$J55,SummaryHelper!$C$2:$C$5000,$K55))</f>
        <v/>
      </c>
      <c r="O55" s="9" t="str">
        <f>IF($J55="","",SUMIFS(SummaryHelper!$G$2:$G$5000,SummaryHelper!$A$2:$A$5000,$I55,SummaryHelper!$B$2:$B$5000,$J55,SummaryHelper!$C$2:$C$5000,$K55))</f>
        <v/>
      </c>
      <c r="Q55" s="9" t="str">
        <f t="shared" si="6"/>
        <v/>
      </c>
      <c r="R55" s="9" t="str">
        <f t="shared" si="7"/>
        <v/>
      </c>
      <c r="W55" s="9" t="str">
        <f>IF($U55="","",IFERROR(SUMIFS(SummaryHelper!$H$2:$H$5000,SummaryHelper!$A$2:$A$5000,$T55,SummaryHelper!$B$2:$B$5000,$U55,SummaryHelper!$C$2:$C$5000,$V55)/SUMIFS(SummaryHelper!$G$2:$G$5000,SummaryHelper!$A$2:$A$5000,$T55,SummaryHelper!$B$2:$B$5000,$U55,SummaryHelper!$C$2:$C$5000,$V55),""))</f>
        <v/>
      </c>
      <c r="X55" s="9" t="str">
        <f>IF($U55="","",SUMIFS(SummaryHelper!$E$2:$E$5000,SummaryHelper!$A$2:$A$5000,$T55,SummaryHelper!$B$2:$B$5000,$U55,SummaryHelper!$C$2:$C$5000,$V55))</f>
        <v/>
      </c>
      <c r="Y55" s="9" t="str">
        <f>IF($U55="","",SUMIFS(SummaryHelper!$F$2:$F$5000,SummaryHelper!$A$2:$A$5000,$T55,SummaryHelper!$B$2:$B$5000,$U55,SummaryHelper!$C$2:$C$5000,$V55))</f>
        <v/>
      </c>
      <c r="Z55" s="9" t="s">
        <v>489</v>
      </c>
      <c r="AB55" s="9" t="str">
        <f t="shared" si="8"/>
        <v/>
      </c>
      <c r="AC55" s="9" t="str">
        <f t="shared" si="9"/>
        <v/>
      </c>
      <c r="AH55" t="str">
        <f>IF($AF55="","",IFERROR(SUMIFS(SummaryHelper!$H$2:$H$5000,SummaryHelper!$A$2:$A$5000,$AE55,SummaryHelper!$B$2:$B$5000,$AF55,SummaryHelper!$C$2:$C$5000,$AG55)/SUMIFS(SummaryHelper!$G$2:$G$5000,SummaryHelper!$A$2:$A$5000,$AE55,SummaryHelper!$B$2:$B$5000,$AF55,SummaryHelper!$C$2:$C$5000,$AG55),""))</f>
        <v/>
      </c>
      <c r="AI55" t="str">
        <f>IF($AF55="","",SUMIFS(SummaryHelper!$E$2:$E$5000,SummaryHelper!$A$2:$A$5000,$AE55,SummaryHelper!$B$2:$B$5000,$AF55,SummaryHelper!$C$2:$C$5000,$AG55))</f>
        <v/>
      </c>
      <c r="AJ55" t="str">
        <f>IF($AF55="","",SUMIFS(SummaryHelper!$F$2:$F$5000,SummaryHelper!$A$2:$A$5000,$AE55,SummaryHelper!$B$2:$B$5000,$AF55,SummaryHelper!$C$2:$C$5000,$AG55))</f>
        <v/>
      </c>
      <c r="AK55" t="str">
        <f>IF($AF55="","",SUMIFS(SummaryHelper!$G$2:$G$5000,SummaryHelper!$A$2:$A$5000,$AE55,SummaryHelper!$B$2:$B$5000,$AF55,SummaryHelper!$C$2:$C$5000,$AG55))</f>
        <v/>
      </c>
      <c r="AM55" t="str">
        <f t="shared" si="10"/>
        <v/>
      </c>
      <c r="AN55" t="str">
        <f t="shared" si="11"/>
        <v/>
      </c>
    </row>
    <row r="56" spans="1:40" x14ac:dyDescent="0.25">
      <c r="A56" s="12"/>
      <c r="B56" s="12" t="str">
        <f t="shared" si="0"/>
        <v/>
      </c>
      <c r="C56" s="9" t="str">
        <f t="shared" ca="1" si="1"/>
        <v/>
      </c>
      <c r="D56" s="9" t="str">
        <f t="shared" ca="1" si="2"/>
        <v/>
      </c>
      <c r="E56" s="9" t="str">
        <f t="shared" ca="1" si="3"/>
        <v/>
      </c>
      <c r="F56" s="9" t="str">
        <f t="shared" si="4"/>
        <v/>
      </c>
      <c r="G56" s="9" t="str">
        <f t="shared" si="5"/>
        <v/>
      </c>
      <c r="L56" s="9" t="str">
        <f>IF($J56="","",IFERROR(SUMIFS(SummaryHelper!$H$2:$H$5000,SummaryHelper!$A$2:$A$5000,$I56,SummaryHelper!$B$2:$B$5000,$J56,SummaryHelper!$C$2:$C$5000,$K56)/SUMIFS(SummaryHelper!$G$2:$G$5000,SummaryHelper!$A$2:$A$5000,$I56,SummaryHelper!$B$2:$B$5000,$J56,SummaryHelper!$C$2:$C$5000,$K56),""))</f>
        <v/>
      </c>
      <c r="M56" s="9" t="str">
        <f>IF($J56="","",SUMIFS(SummaryHelper!$E$2:$E$5000,SummaryHelper!$A$2:$A$5000,$I56,SummaryHelper!$B$2:$B$5000,$J56,SummaryHelper!$C$2:$C$5000,$K56))</f>
        <v/>
      </c>
      <c r="N56" s="9" t="str">
        <f>IF($J56="","",SUMIFS(SummaryHelper!$F$2:$F$5000,SummaryHelper!$A$2:$A$5000,$I56,SummaryHelper!$B$2:$B$5000,$J56,SummaryHelper!$C$2:$C$5000,$K56))</f>
        <v/>
      </c>
      <c r="O56" s="9" t="str">
        <f>IF($J56="","",SUMIFS(SummaryHelper!$G$2:$G$5000,SummaryHelper!$A$2:$A$5000,$I56,SummaryHelper!$B$2:$B$5000,$J56,SummaryHelper!$C$2:$C$5000,$K56))</f>
        <v/>
      </c>
      <c r="Q56" s="9" t="str">
        <f t="shared" si="6"/>
        <v/>
      </c>
      <c r="R56" s="9" t="str">
        <f t="shared" si="7"/>
        <v/>
      </c>
      <c r="W56" s="9" t="str">
        <f>IF($U56="","",IFERROR(SUMIFS(SummaryHelper!$H$2:$H$5000,SummaryHelper!$A$2:$A$5000,$T56,SummaryHelper!$B$2:$B$5000,$U56,SummaryHelper!$C$2:$C$5000,$V56)/SUMIFS(SummaryHelper!$G$2:$G$5000,SummaryHelper!$A$2:$A$5000,$T56,SummaryHelper!$B$2:$B$5000,$U56,SummaryHelper!$C$2:$C$5000,$V56),""))</f>
        <v/>
      </c>
      <c r="X56" s="9" t="str">
        <f>IF($U56="","",SUMIFS(SummaryHelper!$E$2:$E$5000,SummaryHelper!$A$2:$A$5000,$T56,SummaryHelper!$B$2:$B$5000,$U56,SummaryHelper!$C$2:$C$5000,$V56))</f>
        <v/>
      </c>
      <c r="Y56" s="9" t="str">
        <f>IF($U56="","",SUMIFS(SummaryHelper!$F$2:$F$5000,SummaryHelper!$A$2:$A$5000,$T56,SummaryHelper!$B$2:$B$5000,$U56,SummaryHelper!$C$2:$C$5000,$V56))</f>
        <v/>
      </c>
      <c r="Z56" s="9" t="s">
        <v>489</v>
      </c>
      <c r="AB56" s="9" t="str">
        <f t="shared" si="8"/>
        <v/>
      </c>
      <c r="AC56" s="9" t="str">
        <f t="shared" si="9"/>
        <v/>
      </c>
      <c r="AH56" t="str">
        <f>IF($AF56="","",IFERROR(SUMIFS(SummaryHelper!$H$2:$H$5000,SummaryHelper!$A$2:$A$5000,$AE56,SummaryHelper!$B$2:$B$5000,$AF56,SummaryHelper!$C$2:$C$5000,$AG56)/SUMIFS(SummaryHelper!$G$2:$G$5000,SummaryHelper!$A$2:$A$5000,$AE56,SummaryHelper!$B$2:$B$5000,$AF56,SummaryHelper!$C$2:$C$5000,$AG56),""))</f>
        <v/>
      </c>
      <c r="AI56" t="str">
        <f>IF($AF56="","",SUMIFS(SummaryHelper!$E$2:$E$5000,SummaryHelper!$A$2:$A$5000,$AE56,SummaryHelper!$B$2:$B$5000,$AF56,SummaryHelper!$C$2:$C$5000,$AG56))</f>
        <v/>
      </c>
      <c r="AJ56" t="str">
        <f>IF($AF56="","",SUMIFS(SummaryHelper!$F$2:$F$5000,SummaryHelper!$A$2:$A$5000,$AE56,SummaryHelper!$B$2:$B$5000,$AF56,SummaryHelper!$C$2:$C$5000,$AG56))</f>
        <v/>
      </c>
      <c r="AK56" t="str">
        <f>IF($AF56="","",SUMIFS(SummaryHelper!$G$2:$G$5000,SummaryHelper!$A$2:$A$5000,$AE56,SummaryHelper!$B$2:$B$5000,$AF56,SummaryHelper!$C$2:$C$5000,$AG56))</f>
        <v/>
      </c>
      <c r="AM56" t="str">
        <f t="shared" si="10"/>
        <v/>
      </c>
      <c r="AN56" t="str">
        <f t="shared" si="11"/>
        <v/>
      </c>
    </row>
    <row r="57" spans="1:40" x14ac:dyDescent="0.25">
      <c r="A57" s="12"/>
      <c r="B57" s="12" t="str">
        <f t="shared" si="0"/>
        <v/>
      </c>
      <c r="C57" s="9" t="str">
        <f t="shared" ca="1" si="1"/>
        <v/>
      </c>
      <c r="D57" s="9" t="str">
        <f t="shared" ca="1" si="2"/>
        <v/>
      </c>
      <c r="E57" s="9" t="str">
        <f t="shared" ca="1" si="3"/>
        <v/>
      </c>
      <c r="F57" s="9" t="str">
        <f t="shared" si="4"/>
        <v/>
      </c>
      <c r="G57" s="9" t="str">
        <f t="shared" si="5"/>
        <v/>
      </c>
      <c r="L57" s="9" t="str">
        <f>IF($J57="","",IFERROR(SUMIFS(SummaryHelper!$H$2:$H$5000,SummaryHelper!$A$2:$A$5000,$I57,SummaryHelper!$B$2:$B$5000,$J57,SummaryHelper!$C$2:$C$5000,$K57)/SUMIFS(SummaryHelper!$G$2:$G$5000,SummaryHelper!$A$2:$A$5000,$I57,SummaryHelper!$B$2:$B$5000,$J57,SummaryHelper!$C$2:$C$5000,$K57),""))</f>
        <v/>
      </c>
      <c r="M57" s="9" t="str">
        <f>IF($J57="","",SUMIFS(SummaryHelper!$E$2:$E$5000,SummaryHelper!$A$2:$A$5000,$I57,SummaryHelper!$B$2:$B$5000,$J57,SummaryHelper!$C$2:$C$5000,$K57))</f>
        <v/>
      </c>
      <c r="N57" s="9" t="str">
        <f>IF($J57="","",SUMIFS(SummaryHelper!$F$2:$F$5000,SummaryHelper!$A$2:$A$5000,$I57,SummaryHelper!$B$2:$B$5000,$J57,SummaryHelper!$C$2:$C$5000,$K57))</f>
        <v/>
      </c>
      <c r="O57" s="9" t="str">
        <f>IF($J57="","",SUMIFS(SummaryHelper!$G$2:$G$5000,SummaryHelper!$A$2:$A$5000,$I57,SummaryHelper!$B$2:$B$5000,$J57,SummaryHelper!$C$2:$C$5000,$K57))</f>
        <v/>
      </c>
      <c r="Q57" s="9" t="str">
        <f t="shared" si="6"/>
        <v/>
      </c>
      <c r="R57" s="9" t="str">
        <f t="shared" si="7"/>
        <v/>
      </c>
      <c r="W57" s="9" t="str">
        <f>IF($U57="","",IFERROR(SUMIFS(SummaryHelper!$H$2:$H$5000,SummaryHelper!$A$2:$A$5000,$T57,SummaryHelper!$B$2:$B$5000,$U57,SummaryHelper!$C$2:$C$5000,$V57)/SUMIFS(SummaryHelper!$G$2:$G$5000,SummaryHelper!$A$2:$A$5000,$T57,SummaryHelper!$B$2:$B$5000,$U57,SummaryHelper!$C$2:$C$5000,$V57),""))</f>
        <v/>
      </c>
      <c r="X57" s="9" t="str">
        <f>IF($U57="","",SUMIFS(SummaryHelper!$E$2:$E$5000,SummaryHelper!$A$2:$A$5000,$T57,SummaryHelper!$B$2:$B$5000,$U57,SummaryHelper!$C$2:$C$5000,$V57))</f>
        <v/>
      </c>
      <c r="Y57" s="9" t="str">
        <f>IF($U57="","",SUMIFS(SummaryHelper!$F$2:$F$5000,SummaryHelper!$A$2:$A$5000,$T57,SummaryHelper!$B$2:$B$5000,$U57,SummaryHelper!$C$2:$C$5000,$V57))</f>
        <v/>
      </c>
      <c r="Z57" s="9" t="s">
        <v>489</v>
      </c>
      <c r="AB57" s="9" t="str">
        <f t="shared" si="8"/>
        <v/>
      </c>
      <c r="AC57" s="9" t="str">
        <f t="shared" si="9"/>
        <v/>
      </c>
      <c r="AH57" t="str">
        <f>IF($AF57="","",IFERROR(SUMIFS(SummaryHelper!$H$2:$H$5000,SummaryHelper!$A$2:$A$5000,$AE57,SummaryHelper!$B$2:$B$5000,$AF57,SummaryHelper!$C$2:$C$5000,$AG57)/SUMIFS(SummaryHelper!$G$2:$G$5000,SummaryHelper!$A$2:$A$5000,$AE57,SummaryHelper!$B$2:$B$5000,$AF57,SummaryHelper!$C$2:$C$5000,$AG57),""))</f>
        <v/>
      </c>
      <c r="AI57" t="str">
        <f>IF($AF57="","",SUMIFS(SummaryHelper!$E$2:$E$5000,SummaryHelper!$A$2:$A$5000,$AE57,SummaryHelper!$B$2:$B$5000,$AF57,SummaryHelper!$C$2:$C$5000,$AG57))</f>
        <v/>
      </c>
      <c r="AJ57" t="str">
        <f>IF($AF57="","",SUMIFS(SummaryHelper!$F$2:$F$5000,SummaryHelper!$A$2:$A$5000,$AE57,SummaryHelper!$B$2:$B$5000,$AF57,SummaryHelper!$C$2:$C$5000,$AG57))</f>
        <v/>
      </c>
      <c r="AK57" t="str">
        <f>IF($AF57="","",SUMIFS(SummaryHelper!$G$2:$G$5000,SummaryHelper!$A$2:$A$5000,$AE57,SummaryHelper!$B$2:$B$5000,$AF57,SummaryHelper!$C$2:$C$5000,$AG57))</f>
        <v/>
      </c>
      <c r="AM57" t="str">
        <f t="shared" si="10"/>
        <v/>
      </c>
      <c r="AN57" t="str">
        <f t="shared" si="11"/>
        <v/>
      </c>
    </row>
    <row r="58" spans="1:40" x14ac:dyDescent="0.25">
      <c r="A58" s="12"/>
      <c r="B58" s="12" t="str">
        <f t="shared" si="0"/>
        <v/>
      </c>
      <c r="C58" s="9" t="str">
        <f t="shared" ca="1" si="1"/>
        <v/>
      </c>
      <c r="D58" s="9" t="str">
        <f t="shared" ca="1" si="2"/>
        <v/>
      </c>
      <c r="E58" s="9" t="str">
        <f t="shared" ca="1" si="3"/>
        <v/>
      </c>
      <c r="F58" s="9" t="str">
        <f t="shared" si="4"/>
        <v/>
      </c>
      <c r="G58" s="9" t="str">
        <f t="shared" si="5"/>
        <v/>
      </c>
      <c r="L58" s="9" t="str">
        <f>IF($J58="","",IFERROR(SUMIFS(SummaryHelper!$H$2:$H$5000,SummaryHelper!$A$2:$A$5000,$I58,SummaryHelper!$B$2:$B$5000,$J58,SummaryHelper!$C$2:$C$5000,$K58)/SUMIFS(SummaryHelper!$G$2:$G$5000,SummaryHelper!$A$2:$A$5000,$I58,SummaryHelper!$B$2:$B$5000,$J58,SummaryHelper!$C$2:$C$5000,$K58),""))</f>
        <v/>
      </c>
      <c r="M58" s="9" t="str">
        <f>IF($J58="","",SUMIFS(SummaryHelper!$E$2:$E$5000,SummaryHelper!$A$2:$A$5000,$I58,SummaryHelper!$B$2:$B$5000,$J58,SummaryHelper!$C$2:$C$5000,$K58))</f>
        <v/>
      </c>
      <c r="N58" s="9" t="str">
        <f>IF($J58="","",SUMIFS(SummaryHelper!$F$2:$F$5000,SummaryHelper!$A$2:$A$5000,$I58,SummaryHelper!$B$2:$B$5000,$J58,SummaryHelper!$C$2:$C$5000,$K58))</f>
        <v/>
      </c>
      <c r="O58" s="9" t="str">
        <f>IF($J58="","",SUMIFS(SummaryHelper!$G$2:$G$5000,SummaryHelper!$A$2:$A$5000,$I58,SummaryHelper!$B$2:$B$5000,$J58,SummaryHelper!$C$2:$C$5000,$K58))</f>
        <v/>
      </c>
      <c r="Q58" s="9" t="str">
        <f t="shared" si="6"/>
        <v/>
      </c>
      <c r="R58" s="9" t="str">
        <f t="shared" si="7"/>
        <v/>
      </c>
      <c r="W58" s="9" t="str">
        <f>IF($U58="","",IFERROR(SUMIFS(SummaryHelper!$H$2:$H$5000,SummaryHelper!$A$2:$A$5000,$T58,SummaryHelper!$B$2:$B$5000,$U58,SummaryHelper!$C$2:$C$5000,$V58)/SUMIFS(SummaryHelper!$G$2:$G$5000,SummaryHelper!$A$2:$A$5000,$T58,SummaryHelper!$B$2:$B$5000,$U58,SummaryHelper!$C$2:$C$5000,$V58),""))</f>
        <v/>
      </c>
      <c r="X58" s="9" t="str">
        <f>IF($U58="","",SUMIFS(SummaryHelper!$E$2:$E$5000,SummaryHelper!$A$2:$A$5000,$T58,SummaryHelper!$B$2:$B$5000,$U58,SummaryHelper!$C$2:$C$5000,$V58))</f>
        <v/>
      </c>
      <c r="Y58" s="9" t="str">
        <f>IF($U58="","",SUMIFS(SummaryHelper!$F$2:$F$5000,SummaryHelper!$A$2:$A$5000,$T58,SummaryHelper!$B$2:$B$5000,$U58,SummaryHelper!$C$2:$C$5000,$V58))</f>
        <v/>
      </c>
      <c r="Z58" s="9" t="s">
        <v>489</v>
      </c>
      <c r="AB58" s="9" t="str">
        <f t="shared" si="8"/>
        <v/>
      </c>
      <c r="AC58" s="9" t="str">
        <f t="shared" si="9"/>
        <v/>
      </c>
      <c r="AH58" t="str">
        <f>IF($AF58="","",IFERROR(SUMIFS(SummaryHelper!$H$2:$H$5000,SummaryHelper!$A$2:$A$5000,$AE58,SummaryHelper!$B$2:$B$5000,$AF58,SummaryHelper!$C$2:$C$5000,$AG58)/SUMIFS(SummaryHelper!$G$2:$G$5000,SummaryHelper!$A$2:$A$5000,$AE58,SummaryHelper!$B$2:$B$5000,$AF58,SummaryHelper!$C$2:$C$5000,$AG58),""))</f>
        <v/>
      </c>
      <c r="AI58" t="str">
        <f>IF($AF58="","",SUMIFS(SummaryHelper!$E$2:$E$5000,SummaryHelper!$A$2:$A$5000,$AE58,SummaryHelper!$B$2:$B$5000,$AF58,SummaryHelper!$C$2:$C$5000,$AG58))</f>
        <v/>
      </c>
      <c r="AJ58" t="str">
        <f>IF($AF58="","",SUMIFS(SummaryHelper!$F$2:$F$5000,SummaryHelper!$A$2:$A$5000,$AE58,SummaryHelper!$B$2:$B$5000,$AF58,SummaryHelper!$C$2:$C$5000,$AG58))</f>
        <v/>
      </c>
      <c r="AK58" t="str">
        <f>IF($AF58="","",SUMIFS(SummaryHelper!$G$2:$G$5000,SummaryHelper!$A$2:$A$5000,$AE58,SummaryHelper!$B$2:$B$5000,$AF58,SummaryHelper!$C$2:$C$5000,$AG58))</f>
        <v/>
      </c>
      <c r="AM58" t="str">
        <f t="shared" si="10"/>
        <v/>
      </c>
      <c r="AN58" t="str">
        <f t="shared" si="11"/>
        <v/>
      </c>
    </row>
    <row r="59" spans="1:40" x14ac:dyDescent="0.25">
      <c r="A59" s="12"/>
      <c r="B59" s="12" t="str">
        <f t="shared" si="0"/>
        <v/>
      </c>
      <c r="C59" s="9" t="str">
        <f t="shared" ca="1" si="1"/>
        <v/>
      </c>
      <c r="D59" s="9" t="str">
        <f t="shared" ca="1" si="2"/>
        <v/>
      </c>
      <c r="E59" s="9" t="str">
        <f t="shared" ca="1" si="3"/>
        <v/>
      </c>
      <c r="F59" s="9" t="str">
        <f t="shared" si="4"/>
        <v/>
      </c>
      <c r="G59" s="9" t="str">
        <f t="shared" si="5"/>
        <v/>
      </c>
      <c r="L59" s="9" t="str">
        <f>IF($J59="","",IFERROR(SUMIFS(SummaryHelper!$H$2:$H$5000,SummaryHelper!$A$2:$A$5000,$I59,SummaryHelper!$B$2:$B$5000,$J59,SummaryHelper!$C$2:$C$5000,$K59)/SUMIFS(SummaryHelper!$G$2:$G$5000,SummaryHelper!$A$2:$A$5000,$I59,SummaryHelper!$B$2:$B$5000,$J59,SummaryHelper!$C$2:$C$5000,$K59),""))</f>
        <v/>
      </c>
      <c r="M59" s="9" t="str">
        <f>IF($J59="","",SUMIFS(SummaryHelper!$E$2:$E$5000,SummaryHelper!$A$2:$A$5000,$I59,SummaryHelper!$B$2:$B$5000,$J59,SummaryHelper!$C$2:$C$5000,$K59))</f>
        <v/>
      </c>
      <c r="N59" s="9" t="str">
        <f>IF($J59="","",SUMIFS(SummaryHelper!$F$2:$F$5000,SummaryHelper!$A$2:$A$5000,$I59,SummaryHelper!$B$2:$B$5000,$J59,SummaryHelper!$C$2:$C$5000,$K59))</f>
        <v/>
      </c>
      <c r="O59" s="9" t="str">
        <f>IF($J59="","",SUMIFS(SummaryHelper!$G$2:$G$5000,SummaryHelper!$A$2:$A$5000,$I59,SummaryHelper!$B$2:$B$5000,$J59,SummaryHelper!$C$2:$C$5000,$K59))</f>
        <v/>
      </c>
      <c r="Q59" s="9" t="str">
        <f t="shared" si="6"/>
        <v/>
      </c>
      <c r="R59" s="9" t="str">
        <f t="shared" si="7"/>
        <v/>
      </c>
      <c r="W59" s="9" t="str">
        <f>IF($U59="","",IFERROR(SUMIFS(SummaryHelper!$H$2:$H$5000,SummaryHelper!$A$2:$A$5000,$T59,SummaryHelper!$B$2:$B$5000,$U59,SummaryHelper!$C$2:$C$5000,$V59)/SUMIFS(SummaryHelper!$G$2:$G$5000,SummaryHelper!$A$2:$A$5000,$T59,SummaryHelper!$B$2:$B$5000,$U59,SummaryHelper!$C$2:$C$5000,$V59),""))</f>
        <v/>
      </c>
      <c r="X59" s="9" t="str">
        <f>IF($U59="","",SUMIFS(SummaryHelper!$E$2:$E$5000,SummaryHelper!$A$2:$A$5000,$T59,SummaryHelper!$B$2:$B$5000,$U59,SummaryHelper!$C$2:$C$5000,$V59))</f>
        <v/>
      </c>
      <c r="Y59" s="9" t="str">
        <f>IF($U59="","",SUMIFS(SummaryHelper!$F$2:$F$5000,SummaryHelper!$A$2:$A$5000,$T59,SummaryHelper!$B$2:$B$5000,$U59,SummaryHelper!$C$2:$C$5000,$V59))</f>
        <v/>
      </c>
      <c r="Z59" s="9" t="s">
        <v>489</v>
      </c>
      <c r="AB59" s="9" t="str">
        <f t="shared" si="8"/>
        <v/>
      </c>
      <c r="AC59" s="9" t="str">
        <f t="shared" si="9"/>
        <v/>
      </c>
      <c r="AH59" t="str">
        <f>IF($AF59="","",IFERROR(SUMIFS(SummaryHelper!$H$2:$H$5000,SummaryHelper!$A$2:$A$5000,$AE59,SummaryHelper!$B$2:$B$5000,$AF59,SummaryHelper!$C$2:$C$5000,$AG59)/SUMIFS(SummaryHelper!$G$2:$G$5000,SummaryHelper!$A$2:$A$5000,$AE59,SummaryHelper!$B$2:$B$5000,$AF59,SummaryHelper!$C$2:$C$5000,$AG59),""))</f>
        <v/>
      </c>
      <c r="AI59" t="str">
        <f>IF($AF59="","",SUMIFS(SummaryHelper!$E$2:$E$5000,SummaryHelper!$A$2:$A$5000,$AE59,SummaryHelper!$B$2:$B$5000,$AF59,SummaryHelper!$C$2:$C$5000,$AG59))</f>
        <v/>
      </c>
      <c r="AJ59" t="str">
        <f>IF($AF59="","",SUMIFS(SummaryHelper!$F$2:$F$5000,SummaryHelper!$A$2:$A$5000,$AE59,SummaryHelper!$B$2:$B$5000,$AF59,SummaryHelper!$C$2:$C$5000,$AG59))</f>
        <v/>
      </c>
      <c r="AK59" t="str">
        <f>IF($AF59="","",SUMIFS(SummaryHelper!$G$2:$G$5000,SummaryHelper!$A$2:$A$5000,$AE59,SummaryHelper!$B$2:$B$5000,$AF59,SummaryHelper!$C$2:$C$5000,$AG59))</f>
        <v/>
      </c>
      <c r="AM59" t="str">
        <f t="shared" si="10"/>
        <v/>
      </c>
      <c r="AN59" t="str">
        <f t="shared" si="11"/>
        <v/>
      </c>
    </row>
    <row r="60" spans="1:40" x14ac:dyDescent="0.25">
      <c r="A60" s="12"/>
      <c r="B60" s="12" t="str">
        <f t="shared" si="0"/>
        <v/>
      </c>
      <c r="C60" s="9" t="str">
        <f t="shared" ca="1" si="1"/>
        <v/>
      </c>
      <c r="D60" s="9" t="str">
        <f t="shared" ca="1" si="2"/>
        <v/>
      </c>
      <c r="E60" s="9" t="str">
        <f t="shared" ca="1" si="3"/>
        <v/>
      </c>
      <c r="F60" s="9" t="str">
        <f t="shared" si="4"/>
        <v/>
      </c>
      <c r="G60" s="9" t="str">
        <f t="shared" si="5"/>
        <v/>
      </c>
      <c r="L60" s="9" t="str">
        <f>IF($J60="","",IFERROR(SUMIFS(SummaryHelper!$H$2:$H$5000,SummaryHelper!$A$2:$A$5000,$I60,SummaryHelper!$B$2:$B$5000,$J60,SummaryHelper!$C$2:$C$5000,$K60)/SUMIFS(SummaryHelper!$G$2:$G$5000,SummaryHelper!$A$2:$A$5000,$I60,SummaryHelper!$B$2:$B$5000,$J60,SummaryHelper!$C$2:$C$5000,$K60),""))</f>
        <v/>
      </c>
      <c r="M60" s="9" t="str">
        <f>IF($J60="","",SUMIFS(SummaryHelper!$E$2:$E$5000,SummaryHelper!$A$2:$A$5000,$I60,SummaryHelper!$B$2:$B$5000,$J60,SummaryHelper!$C$2:$C$5000,$K60))</f>
        <v/>
      </c>
      <c r="N60" s="9" t="str">
        <f>IF($J60="","",SUMIFS(SummaryHelper!$F$2:$F$5000,SummaryHelper!$A$2:$A$5000,$I60,SummaryHelper!$B$2:$B$5000,$J60,SummaryHelper!$C$2:$C$5000,$K60))</f>
        <v/>
      </c>
      <c r="O60" s="9" t="str">
        <f>IF($J60="","",SUMIFS(SummaryHelper!$G$2:$G$5000,SummaryHelper!$A$2:$A$5000,$I60,SummaryHelper!$B$2:$B$5000,$J60,SummaryHelper!$C$2:$C$5000,$K60))</f>
        <v/>
      </c>
      <c r="Q60" s="9" t="str">
        <f t="shared" si="6"/>
        <v/>
      </c>
      <c r="R60" s="9" t="str">
        <f t="shared" si="7"/>
        <v/>
      </c>
      <c r="W60" s="9" t="str">
        <f>IF($U60="","",IFERROR(SUMIFS(SummaryHelper!$H$2:$H$5000,SummaryHelper!$A$2:$A$5000,$T60,SummaryHelper!$B$2:$B$5000,$U60,SummaryHelper!$C$2:$C$5000,$V60)/SUMIFS(SummaryHelper!$G$2:$G$5000,SummaryHelper!$A$2:$A$5000,$T60,SummaryHelper!$B$2:$B$5000,$U60,SummaryHelper!$C$2:$C$5000,$V60),""))</f>
        <v/>
      </c>
      <c r="X60" s="9" t="str">
        <f>IF($U60="","",SUMIFS(SummaryHelper!$E$2:$E$5000,SummaryHelper!$A$2:$A$5000,$T60,SummaryHelper!$B$2:$B$5000,$U60,SummaryHelper!$C$2:$C$5000,$V60))</f>
        <v/>
      </c>
      <c r="Y60" s="9" t="str">
        <f>IF($U60="","",SUMIFS(SummaryHelper!$F$2:$F$5000,SummaryHelper!$A$2:$A$5000,$T60,SummaryHelper!$B$2:$B$5000,$U60,SummaryHelper!$C$2:$C$5000,$V60))</f>
        <v/>
      </c>
      <c r="Z60" s="9" t="s">
        <v>489</v>
      </c>
      <c r="AB60" s="9" t="str">
        <f t="shared" si="8"/>
        <v/>
      </c>
      <c r="AC60" s="9" t="str">
        <f t="shared" si="9"/>
        <v/>
      </c>
      <c r="AH60" t="str">
        <f>IF($AF60="","",IFERROR(SUMIFS(SummaryHelper!$H$2:$H$5000,SummaryHelper!$A$2:$A$5000,$AE60,SummaryHelper!$B$2:$B$5000,$AF60,SummaryHelper!$C$2:$C$5000,$AG60)/SUMIFS(SummaryHelper!$G$2:$G$5000,SummaryHelper!$A$2:$A$5000,$AE60,SummaryHelper!$B$2:$B$5000,$AF60,SummaryHelper!$C$2:$C$5000,$AG60),""))</f>
        <v/>
      </c>
      <c r="AI60" t="str">
        <f>IF($AF60="","",SUMIFS(SummaryHelper!$E$2:$E$5000,SummaryHelper!$A$2:$A$5000,$AE60,SummaryHelper!$B$2:$B$5000,$AF60,SummaryHelper!$C$2:$C$5000,$AG60))</f>
        <v/>
      </c>
      <c r="AJ60" t="str">
        <f>IF($AF60="","",SUMIFS(SummaryHelper!$F$2:$F$5000,SummaryHelper!$A$2:$A$5000,$AE60,SummaryHelper!$B$2:$B$5000,$AF60,SummaryHelper!$C$2:$C$5000,$AG60))</f>
        <v/>
      </c>
      <c r="AK60" t="str">
        <f>IF($AF60="","",SUMIFS(SummaryHelper!$G$2:$G$5000,SummaryHelper!$A$2:$A$5000,$AE60,SummaryHelper!$B$2:$B$5000,$AF60,SummaryHelper!$C$2:$C$5000,$AG60))</f>
        <v/>
      </c>
      <c r="AM60" t="str">
        <f t="shared" si="10"/>
        <v/>
      </c>
      <c r="AN60" t="str">
        <f t="shared" si="11"/>
        <v/>
      </c>
    </row>
    <row r="61" spans="1:40" x14ac:dyDescent="0.25">
      <c r="A61" s="12"/>
      <c r="B61" s="12" t="str">
        <f t="shared" si="0"/>
        <v/>
      </c>
      <c r="C61" s="9" t="str">
        <f t="shared" ca="1" si="1"/>
        <v/>
      </c>
      <c r="D61" s="9" t="str">
        <f t="shared" ca="1" si="2"/>
        <v/>
      </c>
      <c r="E61" s="9" t="str">
        <f t="shared" ca="1" si="3"/>
        <v/>
      </c>
      <c r="F61" s="9" t="str">
        <f t="shared" si="4"/>
        <v/>
      </c>
      <c r="G61" s="9" t="str">
        <f t="shared" si="5"/>
        <v/>
      </c>
      <c r="L61" s="9" t="str">
        <f>IF($J61="","",IFERROR(SUMIFS(SummaryHelper!$H$2:$H$5000,SummaryHelper!$A$2:$A$5000,$I61,SummaryHelper!$B$2:$B$5000,$J61,SummaryHelper!$C$2:$C$5000,$K61)/SUMIFS(SummaryHelper!$G$2:$G$5000,SummaryHelper!$A$2:$A$5000,$I61,SummaryHelper!$B$2:$B$5000,$J61,SummaryHelper!$C$2:$C$5000,$K61),""))</f>
        <v/>
      </c>
      <c r="M61" s="9" t="str">
        <f>IF($J61="","",SUMIFS(SummaryHelper!$E$2:$E$5000,SummaryHelper!$A$2:$A$5000,$I61,SummaryHelper!$B$2:$B$5000,$J61,SummaryHelper!$C$2:$C$5000,$K61))</f>
        <v/>
      </c>
      <c r="N61" s="9" t="str">
        <f>IF($J61="","",SUMIFS(SummaryHelper!$F$2:$F$5000,SummaryHelper!$A$2:$A$5000,$I61,SummaryHelper!$B$2:$B$5000,$J61,SummaryHelper!$C$2:$C$5000,$K61))</f>
        <v/>
      </c>
      <c r="O61" s="9" t="str">
        <f>IF($J61="","",SUMIFS(SummaryHelper!$G$2:$G$5000,SummaryHelper!$A$2:$A$5000,$I61,SummaryHelper!$B$2:$B$5000,$J61,SummaryHelper!$C$2:$C$5000,$K61))</f>
        <v/>
      </c>
      <c r="Q61" s="9" t="str">
        <f t="shared" si="6"/>
        <v/>
      </c>
      <c r="R61" s="9" t="str">
        <f t="shared" si="7"/>
        <v/>
      </c>
      <c r="W61" s="9" t="str">
        <f>IF($U61="","",IFERROR(SUMIFS(SummaryHelper!$H$2:$H$5000,SummaryHelper!$A$2:$A$5000,$T61,SummaryHelper!$B$2:$B$5000,$U61,SummaryHelper!$C$2:$C$5000,$V61)/SUMIFS(SummaryHelper!$G$2:$G$5000,SummaryHelper!$A$2:$A$5000,$T61,SummaryHelper!$B$2:$B$5000,$U61,SummaryHelper!$C$2:$C$5000,$V61),""))</f>
        <v/>
      </c>
      <c r="X61" s="9" t="str">
        <f>IF($U61="","",SUMIFS(SummaryHelper!$E$2:$E$5000,SummaryHelper!$A$2:$A$5000,$T61,SummaryHelper!$B$2:$B$5000,$U61,SummaryHelper!$C$2:$C$5000,$V61))</f>
        <v/>
      </c>
      <c r="Y61" s="9" t="str">
        <f>IF($U61="","",SUMIFS(SummaryHelper!$F$2:$F$5000,SummaryHelper!$A$2:$A$5000,$T61,SummaryHelper!$B$2:$B$5000,$U61,SummaryHelper!$C$2:$C$5000,$V61))</f>
        <v/>
      </c>
      <c r="Z61" s="9" t="s">
        <v>489</v>
      </c>
      <c r="AB61" s="9" t="str">
        <f t="shared" si="8"/>
        <v/>
      </c>
      <c r="AC61" s="9" t="str">
        <f t="shared" si="9"/>
        <v/>
      </c>
      <c r="AH61" t="str">
        <f>IF($AF61="","",IFERROR(SUMIFS(SummaryHelper!$H$2:$H$5000,SummaryHelper!$A$2:$A$5000,$AE61,SummaryHelper!$B$2:$B$5000,$AF61,SummaryHelper!$C$2:$C$5000,$AG61)/SUMIFS(SummaryHelper!$G$2:$G$5000,SummaryHelper!$A$2:$A$5000,$AE61,SummaryHelper!$B$2:$B$5000,$AF61,SummaryHelper!$C$2:$C$5000,$AG61),""))</f>
        <v/>
      </c>
      <c r="AI61" t="str">
        <f>IF($AF61="","",SUMIFS(SummaryHelper!$E$2:$E$5000,SummaryHelper!$A$2:$A$5000,$AE61,SummaryHelper!$B$2:$B$5000,$AF61,SummaryHelper!$C$2:$C$5000,$AG61))</f>
        <v/>
      </c>
      <c r="AJ61" t="str">
        <f>IF($AF61="","",SUMIFS(SummaryHelper!$F$2:$F$5000,SummaryHelper!$A$2:$A$5000,$AE61,SummaryHelper!$B$2:$B$5000,$AF61,SummaryHelper!$C$2:$C$5000,$AG61))</f>
        <v/>
      </c>
      <c r="AK61" t="str">
        <f>IF($AF61="","",SUMIFS(SummaryHelper!$G$2:$G$5000,SummaryHelper!$A$2:$A$5000,$AE61,SummaryHelper!$B$2:$B$5000,$AF61,SummaryHelper!$C$2:$C$5000,$AG61))</f>
        <v/>
      </c>
      <c r="AM61" t="str">
        <f t="shared" si="10"/>
        <v/>
      </c>
      <c r="AN61" t="str">
        <f t="shared" si="11"/>
        <v/>
      </c>
    </row>
    <row r="62" spans="1:40" x14ac:dyDescent="0.25">
      <c r="A62" s="12"/>
      <c r="B62" s="12" t="str">
        <f t="shared" si="0"/>
        <v/>
      </c>
      <c r="C62" s="9" t="str">
        <f t="shared" ca="1" si="1"/>
        <v/>
      </c>
      <c r="D62" s="9" t="str">
        <f t="shared" ca="1" si="2"/>
        <v/>
      </c>
      <c r="E62" s="9" t="str">
        <f t="shared" ca="1" si="3"/>
        <v/>
      </c>
      <c r="F62" s="9" t="str">
        <f t="shared" si="4"/>
        <v/>
      </c>
      <c r="G62" s="9" t="str">
        <f t="shared" si="5"/>
        <v/>
      </c>
      <c r="L62" s="9" t="str">
        <f>IF($J62="","",IFERROR(SUMIFS(SummaryHelper!$H$2:$H$5000,SummaryHelper!$A$2:$A$5000,$I62,SummaryHelper!$B$2:$B$5000,$J62,SummaryHelper!$C$2:$C$5000,$K62)/SUMIFS(SummaryHelper!$G$2:$G$5000,SummaryHelper!$A$2:$A$5000,$I62,SummaryHelper!$B$2:$B$5000,$J62,SummaryHelper!$C$2:$C$5000,$K62),""))</f>
        <v/>
      </c>
      <c r="M62" s="9" t="str">
        <f>IF($J62="","",SUMIFS(SummaryHelper!$E$2:$E$5000,SummaryHelper!$A$2:$A$5000,$I62,SummaryHelper!$B$2:$B$5000,$J62,SummaryHelper!$C$2:$C$5000,$K62))</f>
        <v/>
      </c>
      <c r="N62" s="9" t="str">
        <f>IF($J62="","",SUMIFS(SummaryHelper!$F$2:$F$5000,SummaryHelper!$A$2:$A$5000,$I62,SummaryHelper!$B$2:$B$5000,$J62,SummaryHelper!$C$2:$C$5000,$K62))</f>
        <v/>
      </c>
      <c r="O62" s="9" t="str">
        <f>IF($J62="","",SUMIFS(SummaryHelper!$G$2:$G$5000,SummaryHelper!$A$2:$A$5000,$I62,SummaryHelper!$B$2:$B$5000,$J62,SummaryHelper!$C$2:$C$5000,$K62))</f>
        <v/>
      </c>
      <c r="Q62" s="9" t="str">
        <f t="shared" si="6"/>
        <v/>
      </c>
      <c r="R62" s="9" t="str">
        <f t="shared" si="7"/>
        <v/>
      </c>
      <c r="W62" s="9" t="str">
        <f>IF($U62="","",IFERROR(SUMIFS(SummaryHelper!$H$2:$H$5000,SummaryHelper!$A$2:$A$5000,$T62,SummaryHelper!$B$2:$B$5000,$U62,SummaryHelper!$C$2:$C$5000,$V62)/SUMIFS(SummaryHelper!$G$2:$G$5000,SummaryHelper!$A$2:$A$5000,$T62,SummaryHelper!$B$2:$B$5000,$U62,SummaryHelper!$C$2:$C$5000,$V62),""))</f>
        <v/>
      </c>
      <c r="X62" s="9" t="str">
        <f>IF($U62="","",SUMIFS(SummaryHelper!$E$2:$E$5000,SummaryHelper!$A$2:$A$5000,$T62,SummaryHelper!$B$2:$B$5000,$U62,SummaryHelper!$C$2:$C$5000,$V62))</f>
        <v/>
      </c>
      <c r="Y62" s="9" t="str">
        <f>IF($U62="","",SUMIFS(SummaryHelper!$F$2:$F$5000,SummaryHelper!$A$2:$A$5000,$T62,SummaryHelper!$B$2:$B$5000,$U62,SummaryHelper!$C$2:$C$5000,$V62))</f>
        <v/>
      </c>
      <c r="Z62" s="9" t="s">
        <v>489</v>
      </c>
      <c r="AB62" s="9" t="str">
        <f t="shared" si="8"/>
        <v/>
      </c>
      <c r="AC62" s="9" t="str">
        <f t="shared" si="9"/>
        <v/>
      </c>
      <c r="AH62" t="str">
        <f>IF($AF62="","",IFERROR(SUMIFS(SummaryHelper!$H$2:$H$5000,SummaryHelper!$A$2:$A$5000,$AE62,SummaryHelper!$B$2:$B$5000,$AF62,SummaryHelper!$C$2:$C$5000,$AG62)/SUMIFS(SummaryHelper!$G$2:$G$5000,SummaryHelper!$A$2:$A$5000,$AE62,SummaryHelper!$B$2:$B$5000,$AF62,SummaryHelper!$C$2:$C$5000,$AG62),""))</f>
        <v/>
      </c>
      <c r="AI62" t="str">
        <f>IF($AF62="","",SUMIFS(SummaryHelper!$E$2:$E$5000,SummaryHelper!$A$2:$A$5000,$AE62,SummaryHelper!$B$2:$B$5000,$AF62,SummaryHelper!$C$2:$C$5000,$AG62))</f>
        <v/>
      </c>
      <c r="AJ62" t="str">
        <f>IF($AF62="","",SUMIFS(SummaryHelper!$F$2:$F$5000,SummaryHelper!$A$2:$A$5000,$AE62,SummaryHelper!$B$2:$B$5000,$AF62,SummaryHelper!$C$2:$C$5000,$AG62))</f>
        <v/>
      </c>
      <c r="AK62" t="str">
        <f>IF($AF62="","",SUMIFS(SummaryHelper!$G$2:$G$5000,SummaryHelper!$A$2:$A$5000,$AE62,SummaryHelper!$B$2:$B$5000,$AF62,SummaryHelper!$C$2:$C$5000,$AG62))</f>
        <v/>
      </c>
      <c r="AM62" t="str">
        <f t="shared" si="10"/>
        <v/>
      </c>
      <c r="AN62" t="str">
        <f t="shared" si="11"/>
        <v/>
      </c>
    </row>
    <row r="63" spans="1:40" x14ac:dyDescent="0.25">
      <c r="A63" s="12"/>
      <c r="B63" s="12" t="str">
        <f t="shared" si="0"/>
        <v/>
      </c>
      <c r="C63" s="9" t="str">
        <f t="shared" ca="1" si="1"/>
        <v/>
      </c>
      <c r="D63" s="9" t="str">
        <f t="shared" ca="1" si="2"/>
        <v/>
      </c>
      <c r="E63" s="9" t="str">
        <f t="shared" ca="1" si="3"/>
        <v/>
      </c>
      <c r="F63" s="9" t="str">
        <f t="shared" si="4"/>
        <v/>
      </c>
      <c r="G63" s="9" t="str">
        <f t="shared" si="5"/>
        <v/>
      </c>
      <c r="L63" s="9" t="str">
        <f>IF($J63="","",IFERROR(SUMIFS(SummaryHelper!$H$2:$H$5000,SummaryHelper!$A$2:$A$5000,$I63,SummaryHelper!$B$2:$B$5000,$J63,SummaryHelper!$C$2:$C$5000,$K63)/SUMIFS(SummaryHelper!$G$2:$G$5000,SummaryHelper!$A$2:$A$5000,$I63,SummaryHelper!$B$2:$B$5000,$J63,SummaryHelper!$C$2:$C$5000,$K63),""))</f>
        <v/>
      </c>
      <c r="M63" s="9" t="str">
        <f>IF($J63="","",SUMIFS(SummaryHelper!$E$2:$E$5000,SummaryHelper!$A$2:$A$5000,$I63,SummaryHelper!$B$2:$B$5000,$J63,SummaryHelper!$C$2:$C$5000,$K63))</f>
        <v/>
      </c>
      <c r="N63" s="9" t="str">
        <f>IF($J63="","",SUMIFS(SummaryHelper!$F$2:$F$5000,SummaryHelper!$A$2:$A$5000,$I63,SummaryHelper!$B$2:$B$5000,$J63,SummaryHelper!$C$2:$C$5000,$K63))</f>
        <v/>
      </c>
      <c r="O63" s="9" t="str">
        <f>IF($J63="","",SUMIFS(SummaryHelper!$G$2:$G$5000,SummaryHelper!$A$2:$A$5000,$I63,SummaryHelper!$B$2:$B$5000,$J63,SummaryHelper!$C$2:$C$5000,$K63))</f>
        <v/>
      </c>
      <c r="Q63" s="9" t="str">
        <f t="shared" si="6"/>
        <v/>
      </c>
      <c r="R63" s="9" t="str">
        <f t="shared" si="7"/>
        <v/>
      </c>
      <c r="W63" s="9" t="str">
        <f>IF($U63="","",IFERROR(SUMIFS(SummaryHelper!$H$2:$H$5000,SummaryHelper!$A$2:$A$5000,$T63,SummaryHelper!$B$2:$B$5000,$U63,SummaryHelper!$C$2:$C$5000,$V63)/SUMIFS(SummaryHelper!$G$2:$G$5000,SummaryHelper!$A$2:$A$5000,$T63,SummaryHelper!$B$2:$B$5000,$U63,SummaryHelper!$C$2:$C$5000,$V63),""))</f>
        <v/>
      </c>
      <c r="X63" s="9" t="str">
        <f>IF($U63="","",SUMIFS(SummaryHelper!$E$2:$E$5000,SummaryHelper!$A$2:$A$5000,$T63,SummaryHelper!$B$2:$B$5000,$U63,SummaryHelper!$C$2:$C$5000,$V63))</f>
        <v/>
      </c>
      <c r="Y63" s="9" t="str">
        <f>IF($U63="","",SUMIFS(SummaryHelper!$F$2:$F$5000,SummaryHelper!$A$2:$A$5000,$T63,SummaryHelper!$B$2:$B$5000,$U63,SummaryHelper!$C$2:$C$5000,$V63))</f>
        <v/>
      </c>
      <c r="Z63" s="9" t="s">
        <v>489</v>
      </c>
      <c r="AB63" s="9" t="str">
        <f t="shared" si="8"/>
        <v/>
      </c>
      <c r="AC63" s="9" t="str">
        <f t="shared" si="9"/>
        <v/>
      </c>
      <c r="AH63" t="str">
        <f>IF($AF63="","",IFERROR(SUMIFS(SummaryHelper!$H$2:$H$5000,SummaryHelper!$A$2:$A$5000,$AE63,SummaryHelper!$B$2:$B$5000,$AF63,SummaryHelper!$C$2:$C$5000,$AG63)/SUMIFS(SummaryHelper!$G$2:$G$5000,SummaryHelper!$A$2:$A$5000,$AE63,SummaryHelper!$B$2:$B$5000,$AF63,SummaryHelper!$C$2:$C$5000,$AG63),""))</f>
        <v/>
      </c>
      <c r="AI63" t="str">
        <f>IF($AF63="","",SUMIFS(SummaryHelper!$E$2:$E$5000,SummaryHelper!$A$2:$A$5000,$AE63,SummaryHelper!$B$2:$B$5000,$AF63,SummaryHelper!$C$2:$C$5000,$AG63))</f>
        <v/>
      </c>
      <c r="AJ63" t="str">
        <f>IF($AF63="","",SUMIFS(SummaryHelper!$F$2:$F$5000,SummaryHelper!$A$2:$A$5000,$AE63,SummaryHelper!$B$2:$B$5000,$AF63,SummaryHelper!$C$2:$C$5000,$AG63))</f>
        <v/>
      </c>
      <c r="AK63" t="str">
        <f>IF($AF63="","",SUMIFS(SummaryHelper!$G$2:$G$5000,SummaryHelper!$A$2:$A$5000,$AE63,SummaryHelper!$B$2:$B$5000,$AF63,SummaryHelper!$C$2:$C$5000,$AG63))</f>
        <v/>
      </c>
      <c r="AM63" t="str">
        <f t="shared" si="10"/>
        <v/>
      </c>
      <c r="AN63" t="str">
        <f t="shared" si="11"/>
        <v/>
      </c>
    </row>
    <row r="64" spans="1:40" x14ac:dyDescent="0.25">
      <c r="A64" s="12"/>
      <c r="B64" s="12" t="str">
        <f t="shared" si="0"/>
        <v/>
      </c>
      <c r="C64" s="9" t="str">
        <f t="shared" ca="1" si="1"/>
        <v/>
      </c>
      <c r="D64" s="9" t="str">
        <f t="shared" ca="1" si="2"/>
        <v/>
      </c>
      <c r="E64" s="9" t="str">
        <f t="shared" ca="1" si="3"/>
        <v/>
      </c>
      <c r="F64" s="9" t="str">
        <f t="shared" si="4"/>
        <v/>
      </c>
      <c r="G64" s="9" t="str">
        <f t="shared" si="5"/>
        <v/>
      </c>
      <c r="L64" s="9" t="str">
        <f>IF($J64="","",IFERROR(SUMIFS(SummaryHelper!$H$2:$H$5000,SummaryHelper!$A$2:$A$5000,$I64,SummaryHelper!$B$2:$B$5000,$J64,SummaryHelper!$C$2:$C$5000,$K64)/SUMIFS(SummaryHelper!$G$2:$G$5000,SummaryHelper!$A$2:$A$5000,$I64,SummaryHelper!$B$2:$B$5000,$J64,SummaryHelper!$C$2:$C$5000,$K64),""))</f>
        <v/>
      </c>
      <c r="M64" s="9" t="str">
        <f>IF($J64="","",SUMIFS(SummaryHelper!$E$2:$E$5000,SummaryHelper!$A$2:$A$5000,$I64,SummaryHelper!$B$2:$B$5000,$J64,SummaryHelper!$C$2:$C$5000,$K64))</f>
        <v/>
      </c>
      <c r="N64" s="9" t="str">
        <f>IF($J64="","",SUMIFS(SummaryHelper!$F$2:$F$5000,SummaryHelper!$A$2:$A$5000,$I64,SummaryHelper!$B$2:$B$5000,$J64,SummaryHelper!$C$2:$C$5000,$K64))</f>
        <v/>
      </c>
      <c r="O64" s="9" t="str">
        <f>IF($J64="","",SUMIFS(SummaryHelper!$G$2:$G$5000,SummaryHelper!$A$2:$A$5000,$I64,SummaryHelper!$B$2:$B$5000,$J64,SummaryHelper!$C$2:$C$5000,$K64))</f>
        <v/>
      </c>
      <c r="Q64" s="9" t="str">
        <f t="shared" si="6"/>
        <v/>
      </c>
      <c r="R64" s="9" t="str">
        <f t="shared" si="7"/>
        <v/>
      </c>
      <c r="W64" s="9" t="str">
        <f>IF($U64="","",IFERROR(SUMIFS(SummaryHelper!$H$2:$H$5000,SummaryHelper!$A$2:$A$5000,$T64,SummaryHelper!$B$2:$B$5000,$U64,SummaryHelper!$C$2:$C$5000,$V64)/SUMIFS(SummaryHelper!$G$2:$G$5000,SummaryHelper!$A$2:$A$5000,$T64,SummaryHelper!$B$2:$B$5000,$U64,SummaryHelper!$C$2:$C$5000,$V64),""))</f>
        <v/>
      </c>
      <c r="X64" s="9" t="str">
        <f>IF($U64="","",SUMIFS(SummaryHelper!$E$2:$E$5000,SummaryHelper!$A$2:$A$5000,$T64,SummaryHelper!$B$2:$B$5000,$U64,SummaryHelper!$C$2:$C$5000,$V64))</f>
        <v/>
      </c>
      <c r="Y64" s="9" t="str">
        <f>IF($U64="","",SUMIFS(SummaryHelper!$F$2:$F$5000,SummaryHelper!$A$2:$A$5000,$T64,SummaryHelper!$B$2:$B$5000,$U64,SummaryHelper!$C$2:$C$5000,$V64))</f>
        <v/>
      </c>
      <c r="Z64" s="9" t="s">
        <v>489</v>
      </c>
      <c r="AB64" s="9" t="str">
        <f t="shared" si="8"/>
        <v/>
      </c>
      <c r="AC64" s="9" t="str">
        <f t="shared" si="9"/>
        <v/>
      </c>
      <c r="AH64" t="str">
        <f>IF($AF64="","",IFERROR(SUMIFS(SummaryHelper!$H$2:$H$5000,SummaryHelper!$A$2:$A$5000,$AE64,SummaryHelper!$B$2:$B$5000,$AF64,SummaryHelper!$C$2:$C$5000,$AG64)/SUMIFS(SummaryHelper!$G$2:$G$5000,SummaryHelper!$A$2:$A$5000,$AE64,SummaryHelper!$B$2:$B$5000,$AF64,SummaryHelper!$C$2:$C$5000,$AG64),""))</f>
        <v/>
      </c>
      <c r="AI64" t="str">
        <f>IF($AF64="","",SUMIFS(SummaryHelper!$E$2:$E$5000,SummaryHelper!$A$2:$A$5000,$AE64,SummaryHelper!$B$2:$B$5000,$AF64,SummaryHelper!$C$2:$C$5000,$AG64))</f>
        <v/>
      </c>
      <c r="AJ64" t="str">
        <f>IF($AF64="","",SUMIFS(SummaryHelper!$F$2:$F$5000,SummaryHelper!$A$2:$A$5000,$AE64,SummaryHelper!$B$2:$B$5000,$AF64,SummaryHelper!$C$2:$C$5000,$AG64))</f>
        <v/>
      </c>
      <c r="AK64" t="str">
        <f>IF($AF64="","",SUMIFS(SummaryHelper!$G$2:$G$5000,SummaryHelper!$A$2:$A$5000,$AE64,SummaryHelper!$B$2:$B$5000,$AF64,SummaryHelper!$C$2:$C$5000,$AG64))</f>
        <v/>
      </c>
      <c r="AM64" t="str">
        <f t="shared" si="10"/>
        <v/>
      </c>
      <c r="AN64" t="str">
        <f t="shared" si="11"/>
        <v/>
      </c>
    </row>
    <row r="65" spans="1:40" x14ac:dyDescent="0.25">
      <c r="A65" s="12"/>
      <c r="B65" s="12" t="str">
        <f t="shared" si="0"/>
        <v/>
      </c>
      <c r="C65" s="9" t="str">
        <f t="shared" ca="1" si="1"/>
        <v/>
      </c>
      <c r="D65" s="9" t="str">
        <f t="shared" ca="1" si="2"/>
        <v/>
      </c>
      <c r="E65" s="9" t="str">
        <f t="shared" ca="1" si="3"/>
        <v/>
      </c>
      <c r="F65" s="9" t="str">
        <f t="shared" si="4"/>
        <v/>
      </c>
      <c r="G65" s="9" t="str">
        <f t="shared" si="5"/>
        <v/>
      </c>
      <c r="L65" s="9" t="str">
        <f>IF($J65="","",IFERROR(SUMIFS(SummaryHelper!$H$2:$H$5000,SummaryHelper!$A$2:$A$5000,$I65,SummaryHelper!$B$2:$B$5000,$J65,SummaryHelper!$C$2:$C$5000,$K65)/SUMIFS(SummaryHelper!$G$2:$G$5000,SummaryHelper!$A$2:$A$5000,$I65,SummaryHelper!$B$2:$B$5000,$J65,SummaryHelper!$C$2:$C$5000,$K65),""))</f>
        <v/>
      </c>
      <c r="M65" s="9" t="str">
        <f>IF($J65="","",SUMIFS(SummaryHelper!$E$2:$E$5000,SummaryHelper!$A$2:$A$5000,$I65,SummaryHelper!$B$2:$B$5000,$J65,SummaryHelper!$C$2:$C$5000,$K65))</f>
        <v/>
      </c>
      <c r="N65" s="9" t="str">
        <f>IF($J65="","",SUMIFS(SummaryHelper!$F$2:$F$5000,SummaryHelper!$A$2:$A$5000,$I65,SummaryHelper!$B$2:$B$5000,$J65,SummaryHelper!$C$2:$C$5000,$K65))</f>
        <v/>
      </c>
      <c r="O65" s="9" t="str">
        <f>IF($J65="","",SUMIFS(SummaryHelper!$G$2:$G$5000,SummaryHelper!$A$2:$A$5000,$I65,SummaryHelper!$B$2:$B$5000,$J65,SummaryHelper!$C$2:$C$5000,$K65))</f>
        <v/>
      </c>
      <c r="Q65" s="9" t="str">
        <f t="shared" si="6"/>
        <v/>
      </c>
      <c r="R65" s="9" t="str">
        <f t="shared" si="7"/>
        <v/>
      </c>
      <c r="W65" s="9" t="str">
        <f>IF($U65="","",IFERROR(SUMIFS(SummaryHelper!$H$2:$H$5000,SummaryHelper!$A$2:$A$5000,$T65,SummaryHelper!$B$2:$B$5000,$U65,SummaryHelper!$C$2:$C$5000,$V65)/SUMIFS(SummaryHelper!$G$2:$G$5000,SummaryHelper!$A$2:$A$5000,$T65,SummaryHelper!$B$2:$B$5000,$U65,SummaryHelper!$C$2:$C$5000,$V65),""))</f>
        <v/>
      </c>
      <c r="X65" s="9" t="str">
        <f>IF($U65="","",SUMIFS(SummaryHelper!$E$2:$E$5000,SummaryHelper!$A$2:$A$5000,$T65,SummaryHelper!$B$2:$B$5000,$U65,SummaryHelper!$C$2:$C$5000,$V65))</f>
        <v/>
      </c>
      <c r="Y65" s="9" t="str">
        <f>IF($U65="","",SUMIFS(SummaryHelper!$F$2:$F$5000,SummaryHelper!$A$2:$A$5000,$T65,SummaryHelper!$B$2:$B$5000,$U65,SummaryHelper!$C$2:$C$5000,$V65))</f>
        <v/>
      </c>
      <c r="Z65" s="9" t="s">
        <v>489</v>
      </c>
      <c r="AB65" s="9" t="str">
        <f t="shared" si="8"/>
        <v/>
      </c>
      <c r="AC65" s="9" t="str">
        <f t="shared" si="9"/>
        <v/>
      </c>
      <c r="AH65" t="str">
        <f>IF($AF65="","",IFERROR(SUMIFS(SummaryHelper!$H$2:$H$5000,SummaryHelper!$A$2:$A$5000,$AE65,SummaryHelper!$B$2:$B$5000,$AF65,SummaryHelper!$C$2:$C$5000,$AG65)/SUMIFS(SummaryHelper!$G$2:$G$5000,SummaryHelper!$A$2:$A$5000,$AE65,SummaryHelper!$B$2:$B$5000,$AF65,SummaryHelper!$C$2:$C$5000,$AG65),""))</f>
        <v/>
      </c>
      <c r="AI65" t="str">
        <f>IF($AF65="","",SUMIFS(SummaryHelper!$E$2:$E$5000,SummaryHelper!$A$2:$A$5000,$AE65,SummaryHelper!$B$2:$B$5000,$AF65,SummaryHelper!$C$2:$C$5000,$AG65))</f>
        <v/>
      </c>
      <c r="AJ65" t="str">
        <f>IF($AF65="","",SUMIFS(SummaryHelper!$F$2:$F$5000,SummaryHelper!$A$2:$A$5000,$AE65,SummaryHelper!$B$2:$B$5000,$AF65,SummaryHelper!$C$2:$C$5000,$AG65))</f>
        <v/>
      </c>
      <c r="AK65" t="str">
        <f>IF($AF65="","",SUMIFS(SummaryHelper!$G$2:$G$5000,SummaryHelper!$A$2:$A$5000,$AE65,SummaryHelper!$B$2:$B$5000,$AF65,SummaryHelper!$C$2:$C$5000,$AG65))</f>
        <v/>
      </c>
      <c r="AM65" t="str">
        <f t="shared" si="10"/>
        <v/>
      </c>
      <c r="AN65" t="str">
        <f t="shared" si="11"/>
        <v/>
      </c>
    </row>
    <row r="66" spans="1:40" x14ac:dyDescent="0.25">
      <c r="A66" s="12"/>
      <c r="B66" s="12" t="str">
        <f t="shared" si="0"/>
        <v/>
      </c>
      <c r="C66" s="9" t="str">
        <f t="shared" ca="1" si="1"/>
        <v/>
      </c>
      <c r="D66" s="9" t="str">
        <f t="shared" ca="1" si="2"/>
        <v/>
      </c>
      <c r="E66" s="9" t="str">
        <f t="shared" ca="1" si="3"/>
        <v/>
      </c>
      <c r="F66" s="9" t="str">
        <f t="shared" si="4"/>
        <v/>
      </c>
      <c r="G66" s="9" t="str">
        <f t="shared" si="5"/>
        <v/>
      </c>
      <c r="L66" s="9" t="str">
        <f>IF($J66="","",IFERROR(SUMIFS(SummaryHelper!$H$2:$H$5000,SummaryHelper!$A$2:$A$5000,$I66,SummaryHelper!$B$2:$B$5000,$J66,SummaryHelper!$C$2:$C$5000,$K66)/SUMIFS(SummaryHelper!$G$2:$G$5000,SummaryHelper!$A$2:$A$5000,$I66,SummaryHelper!$B$2:$B$5000,$J66,SummaryHelper!$C$2:$C$5000,$K66),""))</f>
        <v/>
      </c>
      <c r="M66" s="9" t="str">
        <f>IF($J66="","",SUMIFS(SummaryHelper!$E$2:$E$5000,SummaryHelper!$A$2:$A$5000,$I66,SummaryHelper!$B$2:$B$5000,$J66,SummaryHelper!$C$2:$C$5000,$K66))</f>
        <v/>
      </c>
      <c r="N66" s="9" t="str">
        <f>IF($J66="","",SUMIFS(SummaryHelper!$F$2:$F$5000,SummaryHelper!$A$2:$A$5000,$I66,SummaryHelper!$B$2:$B$5000,$J66,SummaryHelper!$C$2:$C$5000,$K66))</f>
        <v/>
      </c>
      <c r="O66" s="9" t="str">
        <f>IF($J66="","",SUMIFS(SummaryHelper!$G$2:$G$5000,SummaryHelper!$A$2:$A$5000,$I66,SummaryHelper!$B$2:$B$5000,$J66,SummaryHelper!$C$2:$C$5000,$K66))</f>
        <v/>
      </c>
      <c r="Q66" s="9" t="str">
        <f t="shared" si="6"/>
        <v/>
      </c>
      <c r="R66" s="9" t="str">
        <f t="shared" si="7"/>
        <v/>
      </c>
      <c r="W66" s="9" t="str">
        <f>IF($U66="","",IFERROR(SUMIFS(SummaryHelper!$H$2:$H$5000,SummaryHelper!$A$2:$A$5000,$T66,SummaryHelper!$B$2:$B$5000,$U66,SummaryHelper!$C$2:$C$5000,$V66)/SUMIFS(SummaryHelper!$G$2:$G$5000,SummaryHelper!$A$2:$A$5000,$T66,SummaryHelper!$B$2:$B$5000,$U66,SummaryHelper!$C$2:$C$5000,$V66),""))</f>
        <v/>
      </c>
      <c r="X66" s="9" t="str">
        <f>IF($U66="","",SUMIFS(SummaryHelper!$E$2:$E$5000,SummaryHelper!$A$2:$A$5000,$T66,SummaryHelper!$B$2:$B$5000,$U66,SummaryHelper!$C$2:$C$5000,$V66))</f>
        <v/>
      </c>
      <c r="Y66" s="9" t="str">
        <f>IF($U66="","",SUMIFS(SummaryHelper!$F$2:$F$5000,SummaryHelper!$A$2:$A$5000,$T66,SummaryHelper!$B$2:$B$5000,$U66,SummaryHelper!$C$2:$C$5000,$V66))</f>
        <v/>
      </c>
      <c r="Z66" s="9" t="s">
        <v>489</v>
      </c>
      <c r="AB66" s="9" t="str">
        <f t="shared" si="8"/>
        <v/>
      </c>
      <c r="AC66" s="9" t="str">
        <f t="shared" si="9"/>
        <v/>
      </c>
      <c r="AH66" t="str">
        <f>IF($AF66="","",IFERROR(SUMIFS(SummaryHelper!$H$2:$H$5000,SummaryHelper!$A$2:$A$5000,$AE66,SummaryHelper!$B$2:$B$5000,$AF66,SummaryHelper!$C$2:$C$5000,$AG66)/SUMIFS(SummaryHelper!$G$2:$G$5000,SummaryHelper!$A$2:$A$5000,$AE66,SummaryHelper!$B$2:$B$5000,$AF66,SummaryHelper!$C$2:$C$5000,$AG66),""))</f>
        <v/>
      </c>
      <c r="AI66" t="str">
        <f>IF($AF66="","",SUMIFS(SummaryHelper!$E$2:$E$5000,SummaryHelper!$A$2:$A$5000,$AE66,SummaryHelper!$B$2:$B$5000,$AF66,SummaryHelper!$C$2:$C$5000,$AG66))</f>
        <v/>
      </c>
      <c r="AJ66" t="str">
        <f>IF($AF66="","",SUMIFS(SummaryHelper!$F$2:$F$5000,SummaryHelper!$A$2:$A$5000,$AE66,SummaryHelper!$B$2:$B$5000,$AF66,SummaryHelper!$C$2:$C$5000,$AG66))</f>
        <v/>
      </c>
      <c r="AK66" t="str">
        <f>IF($AF66="","",SUMIFS(SummaryHelper!$G$2:$G$5000,SummaryHelper!$A$2:$A$5000,$AE66,SummaryHelper!$B$2:$B$5000,$AF66,SummaryHelper!$C$2:$C$5000,$AG66))</f>
        <v/>
      </c>
      <c r="AM66" t="str">
        <f t="shared" si="10"/>
        <v/>
      </c>
      <c r="AN66" t="str">
        <f t="shared" si="11"/>
        <v/>
      </c>
    </row>
    <row r="67" spans="1:40" x14ac:dyDescent="0.25">
      <c r="A67" s="12"/>
      <c r="B67" s="12" t="str">
        <f t="shared" si="0"/>
        <v/>
      </c>
      <c r="C67" s="9" t="str">
        <f t="shared" ca="1" si="1"/>
        <v/>
      </c>
      <c r="D67" s="9" t="str">
        <f t="shared" ca="1" si="2"/>
        <v/>
      </c>
      <c r="E67" s="9" t="str">
        <f t="shared" ca="1" si="3"/>
        <v/>
      </c>
      <c r="F67" s="9" t="str">
        <f t="shared" si="4"/>
        <v/>
      </c>
      <c r="G67" s="9" t="str">
        <f t="shared" si="5"/>
        <v/>
      </c>
      <c r="L67" s="9" t="str">
        <f>IF($J67="","",IFERROR(SUMIFS(SummaryHelper!$H$2:$H$5000,SummaryHelper!$A$2:$A$5000,$I67,SummaryHelper!$B$2:$B$5000,$J67,SummaryHelper!$C$2:$C$5000,$K67)/SUMIFS(SummaryHelper!$G$2:$G$5000,SummaryHelper!$A$2:$A$5000,$I67,SummaryHelper!$B$2:$B$5000,$J67,SummaryHelper!$C$2:$C$5000,$K67),""))</f>
        <v/>
      </c>
      <c r="M67" s="9" t="str">
        <f>IF($J67="","",SUMIFS(SummaryHelper!$E$2:$E$5000,SummaryHelper!$A$2:$A$5000,$I67,SummaryHelper!$B$2:$B$5000,$J67,SummaryHelper!$C$2:$C$5000,$K67))</f>
        <v/>
      </c>
      <c r="N67" s="9" t="str">
        <f>IF($J67="","",SUMIFS(SummaryHelper!$F$2:$F$5000,SummaryHelper!$A$2:$A$5000,$I67,SummaryHelper!$B$2:$B$5000,$J67,SummaryHelper!$C$2:$C$5000,$K67))</f>
        <v/>
      </c>
      <c r="O67" s="9" t="str">
        <f>IF($J67="","",SUMIFS(SummaryHelper!$G$2:$G$5000,SummaryHelper!$A$2:$A$5000,$I67,SummaryHelper!$B$2:$B$5000,$J67,SummaryHelper!$C$2:$C$5000,$K67))</f>
        <v/>
      </c>
      <c r="Q67" s="9" t="str">
        <f t="shared" si="6"/>
        <v/>
      </c>
      <c r="R67" s="9" t="str">
        <f t="shared" si="7"/>
        <v/>
      </c>
      <c r="W67" s="9" t="str">
        <f>IF($U67="","",IFERROR(SUMIFS(SummaryHelper!$H$2:$H$5000,SummaryHelper!$A$2:$A$5000,$T67,SummaryHelper!$B$2:$B$5000,$U67,SummaryHelper!$C$2:$C$5000,$V67)/SUMIFS(SummaryHelper!$G$2:$G$5000,SummaryHelper!$A$2:$A$5000,$T67,SummaryHelper!$B$2:$B$5000,$U67,SummaryHelper!$C$2:$C$5000,$V67),""))</f>
        <v/>
      </c>
      <c r="X67" s="9" t="str">
        <f>IF($U67="","",SUMIFS(SummaryHelper!$E$2:$E$5000,SummaryHelper!$A$2:$A$5000,$T67,SummaryHelper!$B$2:$B$5000,$U67,SummaryHelper!$C$2:$C$5000,$V67))</f>
        <v/>
      </c>
      <c r="Y67" s="9" t="str">
        <f>IF($U67="","",SUMIFS(SummaryHelper!$F$2:$F$5000,SummaryHelper!$A$2:$A$5000,$T67,SummaryHelper!$B$2:$B$5000,$U67,SummaryHelper!$C$2:$C$5000,$V67))</f>
        <v/>
      </c>
      <c r="Z67" s="9" t="s">
        <v>489</v>
      </c>
      <c r="AB67" s="9" t="str">
        <f t="shared" si="8"/>
        <v/>
      </c>
      <c r="AC67" s="9" t="str">
        <f t="shared" si="9"/>
        <v/>
      </c>
      <c r="AH67" t="str">
        <f>IF($AF67="","",IFERROR(SUMIFS(SummaryHelper!$H$2:$H$5000,SummaryHelper!$A$2:$A$5000,$AE67,SummaryHelper!$B$2:$B$5000,$AF67,SummaryHelper!$C$2:$C$5000,$AG67)/SUMIFS(SummaryHelper!$G$2:$G$5000,SummaryHelper!$A$2:$A$5000,$AE67,SummaryHelper!$B$2:$B$5000,$AF67,SummaryHelper!$C$2:$C$5000,$AG67),""))</f>
        <v/>
      </c>
      <c r="AI67" t="str">
        <f>IF($AF67="","",SUMIFS(SummaryHelper!$E$2:$E$5000,SummaryHelper!$A$2:$A$5000,$AE67,SummaryHelper!$B$2:$B$5000,$AF67,SummaryHelper!$C$2:$C$5000,$AG67))</f>
        <v/>
      </c>
      <c r="AJ67" t="str">
        <f>IF($AF67="","",SUMIFS(SummaryHelper!$F$2:$F$5000,SummaryHelper!$A$2:$A$5000,$AE67,SummaryHelper!$B$2:$B$5000,$AF67,SummaryHelper!$C$2:$C$5000,$AG67))</f>
        <v/>
      </c>
      <c r="AK67" t="str">
        <f>IF($AF67="","",SUMIFS(SummaryHelper!$G$2:$G$5000,SummaryHelper!$A$2:$A$5000,$AE67,SummaryHelper!$B$2:$B$5000,$AF67,SummaryHelper!$C$2:$C$5000,$AG67))</f>
        <v/>
      </c>
      <c r="AM67" t="str">
        <f t="shared" si="10"/>
        <v/>
      </c>
      <c r="AN67" t="str">
        <f t="shared" si="11"/>
        <v/>
      </c>
    </row>
    <row r="68" spans="1:40" x14ac:dyDescent="0.25">
      <c r="A68" s="12"/>
      <c r="B68" s="12" t="str">
        <f t="shared" ref="B68:B100" si="12">IF($A68&lt;&gt;1,"","S"&amp;TEXT(ROW()-2,"00"))</f>
        <v/>
      </c>
      <c r="C68" s="9" t="str">
        <f t="shared" ref="C68:C100" ca="1" si="13">IF($A68&lt;&gt;1,"",IF($B68="","",IFERROR(SUMIFS(INDIRECT("'"&amp;$B68&amp;"'!N3:N300"),INDIRECT("'"&amp;$B68&amp;"'!F3:F300"),"&lt;&gt;",INDIRECT("'"&amp;$B68&amp;"'!H3:H300"),"&lt;&gt;"),0)))</f>
        <v/>
      </c>
      <c r="D68" s="9" t="str">
        <f t="shared" ref="D68:D100" ca="1" si="14">IF($A68&lt;&gt;1,"",IF($B68="","",IFERROR(SUMIFS(INDIRECT("'"&amp;$B68&amp;"'!Y3:Y300"),INDIRECT("'"&amp;$B68&amp;"'!Q3:Q300"),"&lt;&gt;",INDIRECT("'"&amp;$B68&amp;"'!S3:S300"),"&lt;&gt;"),0)))</f>
        <v/>
      </c>
      <c r="E68" s="9" t="str">
        <f t="shared" ref="E68:E100" ca="1" si="15">IF($A68&lt;&gt;1,"",IF($B68="","",IFERROR(SUMIFS(INDIRECT("'"&amp;$B68&amp;"'!AJ3:AJ300"),INDIRECT("'"&amp;$B68&amp;"'!AB3:AB300"),"&lt;&gt;",INDIRECT("'"&amp;$B68&amp;"'!AD3:AD300"),"&lt;&gt;"),0)))</f>
        <v/>
      </c>
      <c r="F68" s="9" t="str">
        <f t="shared" ref="F68:F100" si="16">IF($A68&lt;&gt;1,"",$C68+$D68+$E68)</f>
        <v/>
      </c>
      <c r="G68" s="9" t="str">
        <f t="shared" ref="G68:G100" si="17">IF($A68=1,$F68,"")</f>
        <v/>
      </c>
      <c r="L68" s="9" t="str">
        <f>IF($J68="","",IFERROR(SUMIFS(SummaryHelper!$H$2:$H$5000,SummaryHelper!$A$2:$A$5000,$I68,SummaryHelper!$B$2:$B$5000,$J68,SummaryHelper!$C$2:$C$5000,$K68)/SUMIFS(SummaryHelper!$G$2:$G$5000,SummaryHelper!$A$2:$A$5000,$I68,SummaryHelper!$B$2:$B$5000,$J68,SummaryHelper!$C$2:$C$5000,$K68),""))</f>
        <v/>
      </c>
      <c r="M68" s="9" t="str">
        <f>IF($J68="","",SUMIFS(SummaryHelper!$E$2:$E$5000,SummaryHelper!$A$2:$A$5000,$I68,SummaryHelper!$B$2:$B$5000,$J68,SummaryHelper!$C$2:$C$5000,$K68))</f>
        <v/>
      </c>
      <c r="N68" s="9" t="str">
        <f>IF($J68="","",SUMIFS(SummaryHelper!$F$2:$F$5000,SummaryHelper!$A$2:$A$5000,$I68,SummaryHelper!$B$2:$B$5000,$J68,SummaryHelper!$C$2:$C$5000,$K68))</f>
        <v/>
      </c>
      <c r="O68" s="9" t="str">
        <f>IF($J68="","",SUMIFS(SummaryHelper!$G$2:$G$5000,SummaryHelper!$A$2:$A$5000,$I68,SummaryHelper!$B$2:$B$5000,$J68,SummaryHelper!$C$2:$C$5000,$K68))</f>
        <v/>
      </c>
      <c r="Q68" s="9" t="str">
        <f t="shared" ref="Q68:Q131" si="18">IF($J68="","",IF($P68="",ROUNDUP($O68,0),$P68))</f>
        <v/>
      </c>
      <c r="R68" s="9" t="str">
        <f t="shared" ref="R68:R131" si="19">IF($J68="","",$Q68*$L68)</f>
        <v/>
      </c>
      <c r="W68" s="9" t="str">
        <f>IF($U68="","",IFERROR(SUMIFS(SummaryHelper!$H$2:$H$5000,SummaryHelper!$A$2:$A$5000,$T68,SummaryHelper!$B$2:$B$5000,$U68,SummaryHelper!$C$2:$C$5000,$V68)/SUMIFS(SummaryHelper!$G$2:$G$5000,SummaryHelper!$A$2:$A$5000,$T68,SummaryHelper!$B$2:$B$5000,$U68,SummaryHelper!$C$2:$C$5000,$V68),""))</f>
        <v/>
      </c>
      <c r="X68" s="9" t="str">
        <f>IF($U68="","",SUMIFS(SummaryHelper!$E$2:$E$5000,SummaryHelper!$A$2:$A$5000,$T68,SummaryHelper!$B$2:$B$5000,$U68,SummaryHelper!$C$2:$C$5000,$V68))</f>
        <v/>
      </c>
      <c r="Y68" s="9" t="str">
        <f>IF($U68="","",SUMIFS(SummaryHelper!$F$2:$F$5000,SummaryHelper!$A$2:$A$5000,$T68,SummaryHelper!$B$2:$B$5000,$U68,SummaryHelper!$C$2:$C$5000,$V68))</f>
        <v/>
      </c>
      <c r="Z68" s="9" t="s">
        <v>489</v>
      </c>
      <c r="AB68" s="9" t="str">
        <f t="shared" ref="AB68:AB131" si="20">IF($U68="","",IF($AA68="",$Z68,$AA68))</f>
        <v/>
      </c>
      <c r="AC68" s="9" t="str">
        <f t="shared" ref="AC68:AC131" si="21">IF($U68="","",$AB68*$W68)</f>
        <v/>
      </c>
      <c r="AH68" t="str">
        <f>IF($AF68="","",IFERROR(SUMIFS(SummaryHelper!$H$2:$H$5000,SummaryHelper!$A$2:$A$5000,$AE68,SummaryHelper!$B$2:$B$5000,$AF68,SummaryHelper!$C$2:$C$5000,$AG68)/SUMIFS(SummaryHelper!$G$2:$G$5000,SummaryHelper!$A$2:$A$5000,$AE68,SummaryHelper!$B$2:$B$5000,$AF68,SummaryHelper!$C$2:$C$5000,$AG68),""))</f>
        <v/>
      </c>
      <c r="AI68" t="str">
        <f>IF($AF68="","",SUMIFS(SummaryHelper!$E$2:$E$5000,SummaryHelper!$A$2:$A$5000,$AE68,SummaryHelper!$B$2:$B$5000,$AF68,SummaryHelper!$C$2:$C$5000,$AG68))</f>
        <v/>
      </c>
      <c r="AJ68" t="str">
        <f>IF($AF68="","",SUMIFS(SummaryHelper!$F$2:$F$5000,SummaryHelper!$A$2:$A$5000,$AE68,SummaryHelper!$B$2:$B$5000,$AF68,SummaryHelper!$C$2:$C$5000,$AG68))</f>
        <v/>
      </c>
      <c r="AK68" t="str">
        <f>IF($AF68="","",SUMIFS(SummaryHelper!$G$2:$G$5000,SummaryHelper!$A$2:$A$5000,$AE68,SummaryHelper!$B$2:$B$5000,$AF68,SummaryHelper!$C$2:$C$5000,$AG68))</f>
        <v/>
      </c>
      <c r="AM68" t="str">
        <f t="shared" ref="AM68:AM131" si="22">IF($AF68="","",IF($AL68="",$AK68,$AL68))</f>
        <v/>
      </c>
      <c r="AN68" t="str">
        <f t="shared" ref="AN68:AN131" si="23">IF($AF68="","",$AM68*$AH68)</f>
        <v/>
      </c>
    </row>
    <row r="69" spans="1:40" x14ac:dyDescent="0.25">
      <c r="A69" s="12"/>
      <c r="B69" s="12" t="str">
        <f t="shared" si="12"/>
        <v/>
      </c>
      <c r="C69" s="9" t="str">
        <f t="shared" ca="1" si="13"/>
        <v/>
      </c>
      <c r="D69" s="9" t="str">
        <f t="shared" ca="1" si="14"/>
        <v/>
      </c>
      <c r="E69" s="9" t="str">
        <f t="shared" ca="1" si="15"/>
        <v/>
      </c>
      <c r="F69" s="9" t="str">
        <f t="shared" si="16"/>
        <v/>
      </c>
      <c r="G69" s="9" t="str">
        <f t="shared" si="17"/>
        <v/>
      </c>
      <c r="L69" s="9" t="str">
        <f>IF($J69="","",IFERROR(SUMIFS(SummaryHelper!$H$2:$H$5000,SummaryHelper!$A$2:$A$5000,$I69,SummaryHelper!$B$2:$B$5000,$J69,SummaryHelper!$C$2:$C$5000,$K69)/SUMIFS(SummaryHelper!$G$2:$G$5000,SummaryHelper!$A$2:$A$5000,$I69,SummaryHelper!$B$2:$B$5000,$J69,SummaryHelper!$C$2:$C$5000,$K69),""))</f>
        <v/>
      </c>
      <c r="M69" s="9" t="str">
        <f>IF($J69="","",SUMIFS(SummaryHelper!$E$2:$E$5000,SummaryHelper!$A$2:$A$5000,$I69,SummaryHelper!$B$2:$B$5000,$J69,SummaryHelper!$C$2:$C$5000,$K69))</f>
        <v/>
      </c>
      <c r="N69" s="9" t="str">
        <f>IF($J69="","",SUMIFS(SummaryHelper!$F$2:$F$5000,SummaryHelper!$A$2:$A$5000,$I69,SummaryHelper!$B$2:$B$5000,$J69,SummaryHelper!$C$2:$C$5000,$K69))</f>
        <v/>
      </c>
      <c r="O69" s="9" t="str">
        <f>IF($J69="","",SUMIFS(SummaryHelper!$G$2:$G$5000,SummaryHelper!$A$2:$A$5000,$I69,SummaryHelper!$B$2:$B$5000,$J69,SummaryHelper!$C$2:$C$5000,$K69))</f>
        <v/>
      </c>
      <c r="Q69" s="9" t="str">
        <f t="shared" si="18"/>
        <v/>
      </c>
      <c r="R69" s="9" t="str">
        <f t="shared" si="19"/>
        <v/>
      </c>
      <c r="W69" s="9" t="str">
        <f>IF($U69="","",IFERROR(SUMIFS(SummaryHelper!$H$2:$H$5000,SummaryHelper!$A$2:$A$5000,$T69,SummaryHelper!$B$2:$B$5000,$U69,SummaryHelper!$C$2:$C$5000,$V69)/SUMIFS(SummaryHelper!$G$2:$G$5000,SummaryHelper!$A$2:$A$5000,$T69,SummaryHelper!$B$2:$B$5000,$U69,SummaryHelper!$C$2:$C$5000,$V69),""))</f>
        <v/>
      </c>
      <c r="X69" s="9" t="str">
        <f>IF($U69="","",SUMIFS(SummaryHelper!$E$2:$E$5000,SummaryHelper!$A$2:$A$5000,$T69,SummaryHelper!$B$2:$B$5000,$U69,SummaryHelper!$C$2:$C$5000,$V69))</f>
        <v/>
      </c>
      <c r="Y69" s="9" t="str">
        <f>IF($U69="","",SUMIFS(SummaryHelper!$F$2:$F$5000,SummaryHelper!$A$2:$A$5000,$T69,SummaryHelper!$B$2:$B$5000,$U69,SummaryHelper!$C$2:$C$5000,$V69))</f>
        <v/>
      </c>
      <c r="Z69" s="9" t="s">
        <v>489</v>
      </c>
      <c r="AB69" s="9" t="str">
        <f t="shared" si="20"/>
        <v/>
      </c>
      <c r="AC69" s="9" t="str">
        <f t="shared" si="21"/>
        <v/>
      </c>
      <c r="AH69" t="str">
        <f>IF($AF69="","",IFERROR(SUMIFS(SummaryHelper!$H$2:$H$5000,SummaryHelper!$A$2:$A$5000,$AE69,SummaryHelper!$B$2:$B$5000,$AF69,SummaryHelper!$C$2:$C$5000,$AG69)/SUMIFS(SummaryHelper!$G$2:$G$5000,SummaryHelper!$A$2:$A$5000,$AE69,SummaryHelper!$B$2:$B$5000,$AF69,SummaryHelper!$C$2:$C$5000,$AG69),""))</f>
        <v/>
      </c>
      <c r="AI69" t="str">
        <f>IF($AF69="","",SUMIFS(SummaryHelper!$E$2:$E$5000,SummaryHelper!$A$2:$A$5000,$AE69,SummaryHelper!$B$2:$B$5000,$AF69,SummaryHelper!$C$2:$C$5000,$AG69))</f>
        <v/>
      </c>
      <c r="AJ69" t="str">
        <f>IF($AF69="","",SUMIFS(SummaryHelper!$F$2:$F$5000,SummaryHelper!$A$2:$A$5000,$AE69,SummaryHelper!$B$2:$B$5000,$AF69,SummaryHelper!$C$2:$C$5000,$AG69))</f>
        <v/>
      </c>
      <c r="AK69" t="str">
        <f>IF($AF69="","",SUMIFS(SummaryHelper!$G$2:$G$5000,SummaryHelper!$A$2:$A$5000,$AE69,SummaryHelper!$B$2:$B$5000,$AF69,SummaryHelper!$C$2:$C$5000,$AG69))</f>
        <v/>
      </c>
      <c r="AM69" t="str">
        <f t="shared" si="22"/>
        <v/>
      </c>
      <c r="AN69" t="str">
        <f t="shared" si="23"/>
        <v/>
      </c>
    </row>
    <row r="70" spans="1:40" x14ac:dyDescent="0.25">
      <c r="A70" s="12"/>
      <c r="B70" s="12" t="str">
        <f t="shared" si="12"/>
        <v/>
      </c>
      <c r="C70" s="9" t="str">
        <f t="shared" ca="1" si="13"/>
        <v/>
      </c>
      <c r="D70" s="9" t="str">
        <f t="shared" ca="1" si="14"/>
        <v/>
      </c>
      <c r="E70" s="9" t="str">
        <f t="shared" ca="1" si="15"/>
        <v/>
      </c>
      <c r="F70" s="9" t="str">
        <f t="shared" si="16"/>
        <v/>
      </c>
      <c r="G70" s="9" t="str">
        <f t="shared" si="17"/>
        <v/>
      </c>
      <c r="L70" s="9" t="str">
        <f>IF($J70="","",IFERROR(SUMIFS(SummaryHelper!$H$2:$H$5000,SummaryHelper!$A$2:$A$5000,$I70,SummaryHelper!$B$2:$B$5000,$J70,SummaryHelper!$C$2:$C$5000,$K70)/SUMIFS(SummaryHelper!$G$2:$G$5000,SummaryHelper!$A$2:$A$5000,$I70,SummaryHelper!$B$2:$B$5000,$J70,SummaryHelper!$C$2:$C$5000,$K70),""))</f>
        <v/>
      </c>
      <c r="M70" s="9" t="str">
        <f>IF($J70="","",SUMIFS(SummaryHelper!$E$2:$E$5000,SummaryHelper!$A$2:$A$5000,$I70,SummaryHelper!$B$2:$B$5000,$J70,SummaryHelper!$C$2:$C$5000,$K70))</f>
        <v/>
      </c>
      <c r="N70" s="9" t="str">
        <f>IF($J70="","",SUMIFS(SummaryHelper!$F$2:$F$5000,SummaryHelper!$A$2:$A$5000,$I70,SummaryHelper!$B$2:$B$5000,$J70,SummaryHelper!$C$2:$C$5000,$K70))</f>
        <v/>
      </c>
      <c r="O70" s="9" t="str">
        <f>IF($J70="","",SUMIFS(SummaryHelper!$G$2:$G$5000,SummaryHelper!$A$2:$A$5000,$I70,SummaryHelper!$B$2:$B$5000,$J70,SummaryHelper!$C$2:$C$5000,$K70))</f>
        <v/>
      </c>
      <c r="Q70" s="9" t="str">
        <f t="shared" si="18"/>
        <v/>
      </c>
      <c r="R70" s="9" t="str">
        <f t="shared" si="19"/>
        <v/>
      </c>
      <c r="W70" s="9" t="str">
        <f>IF($U70="","",IFERROR(SUMIFS(SummaryHelper!$H$2:$H$5000,SummaryHelper!$A$2:$A$5000,$T70,SummaryHelper!$B$2:$B$5000,$U70,SummaryHelper!$C$2:$C$5000,$V70)/SUMIFS(SummaryHelper!$G$2:$G$5000,SummaryHelper!$A$2:$A$5000,$T70,SummaryHelper!$B$2:$B$5000,$U70,SummaryHelper!$C$2:$C$5000,$V70),""))</f>
        <v/>
      </c>
      <c r="X70" s="9" t="str">
        <f>IF($U70="","",SUMIFS(SummaryHelper!$E$2:$E$5000,SummaryHelper!$A$2:$A$5000,$T70,SummaryHelper!$B$2:$B$5000,$U70,SummaryHelper!$C$2:$C$5000,$V70))</f>
        <v/>
      </c>
      <c r="Y70" s="9" t="str">
        <f>IF($U70="","",SUMIFS(SummaryHelper!$F$2:$F$5000,SummaryHelper!$A$2:$A$5000,$T70,SummaryHelper!$B$2:$B$5000,$U70,SummaryHelper!$C$2:$C$5000,$V70))</f>
        <v/>
      </c>
      <c r="Z70" s="9" t="s">
        <v>489</v>
      </c>
      <c r="AB70" s="9" t="str">
        <f t="shared" si="20"/>
        <v/>
      </c>
      <c r="AC70" s="9" t="str">
        <f t="shared" si="21"/>
        <v/>
      </c>
      <c r="AH70" t="str">
        <f>IF($AF70="","",IFERROR(SUMIFS(SummaryHelper!$H$2:$H$5000,SummaryHelper!$A$2:$A$5000,$AE70,SummaryHelper!$B$2:$B$5000,$AF70,SummaryHelper!$C$2:$C$5000,$AG70)/SUMIFS(SummaryHelper!$G$2:$G$5000,SummaryHelper!$A$2:$A$5000,$AE70,SummaryHelper!$B$2:$B$5000,$AF70,SummaryHelper!$C$2:$C$5000,$AG70),""))</f>
        <v/>
      </c>
      <c r="AI70" t="str">
        <f>IF($AF70="","",SUMIFS(SummaryHelper!$E$2:$E$5000,SummaryHelper!$A$2:$A$5000,$AE70,SummaryHelper!$B$2:$B$5000,$AF70,SummaryHelper!$C$2:$C$5000,$AG70))</f>
        <v/>
      </c>
      <c r="AJ70" t="str">
        <f>IF($AF70="","",SUMIFS(SummaryHelper!$F$2:$F$5000,SummaryHelper!$A$2:$A$5000,$AE70,SummaryHelper!$B$2:$B$5000,$AF70,SummaryHelper!$C$2:$C$5000,$AG70))</f>
        <v/>
      </c>
      <c r="AK70" t="str">
        <f>IF($AF70="","",SUMIFS(SummaryHelper!$G$2:$G$5000,SummaryHelper!$A$2:$A$5000,$AE70,SummaryHelper!$B$2:$B$5000,$AF70,SummaryHelper!$C$2:$C$5000,$AG70))</f>
        <v/>
      </c>
      <c r="AM70" t="str">
        <f t="shared" si="22"/>
        <v/>
      </c>
      <c r="AN70" t="str">
        <f t="shared" si="23"/>
        <v/>
      </c>
    </row>
    <row r="71" spans="1:40" x14ac:dyDescent="0.25">
      <c r="A71" s="12"/>
      <c r="B71" s="12" t="str">
        <f t="shared" si="12"/>
        <v/>
      </c>
      <c r="C71" s="9" t="str">
        <f t="shared" ca="1" si="13"/>
        <v/>
      </c>
      <c r="D71" s="9" t="str">
        <f t="shared" ca="1" si="14"/>
        <v/>
      </c>
      <c r="E71" s="9" t="str">
        <f t="shared" ca="1" si="15"/>
        <v/>
      </c>
      <c r="F71" s="9" t="str">
        <f t="shared" si="16"/>
        <v/>
      </c>
      <c r="G71" s="9" t="str">
        <f t="shared" si="17"/>
        <v/>
      </c>
      <c r="L71" s="9" t="str">
        <f>IF($J71="","",IFERROR(SUMIFS(SummaryHelper!$H$2:$H$5000,SummaryHelper!$A$2:$A$5000,$I71,SummaryHelper!$B$2:$B$5000,$J71,SummaryHelper!$C$2:$C$5000,$K71)/SUMIFS(SummaryHelper!$G$2:$G$5000,SummaryHelper!$A$2:$A$5000,$I71,SummaryHelper!$B$2:$B$5000,$J71,SummaryHelper!$C$2:$C$5000,$K71),""))</f>
        <v/>
      </c>
      <c r="M71" s="9" t="str">
        <f>IF($J71="","",SUMIFS(SummaryHelper!$E$2:$E$5000,SummaryHelper!$A$2:$A$5000,$I71,SummaryHelper!$B$2:$B$5000,$J71,SummaryHelper!$C$2:$C$5000,$K71))</f>
        <v/>
      </c>
      <c r="N71" s="9" t="str">
        <f>IF($J71="","",SUMIFS(SummaryHelper!$F$2:$F$5000,SummaryHelper!$A$2:$A$5000,$I71,SummaryHelper!$B$2:$B$5000,$J71,SummaryHelper!$C$2:$C$5000,$K71))</f>
        <v/>
      </c>
      <c r="O71" s="9" t="str">
        <f>IF($J71="","",SUMIFS(SummaryHelper!$G$2:$G$5000,SummaryHelper!$A$2:$A$5000,$I71,SummaryHelper!$B$2:$B$5000,$J71,SummaryHelper!$C$2:$C$5000,$K71))</f>
        <v/>
      </c>
      <c r="Q71" s="9" t="str">
        <f t="shared" si="18"/>
        <v/>
      </c>
      <c r="R71" s="9" t="str">
        <f t="shared" si="19"/>
        <v/>
      </c>
      <c r="W71" s="9" t="str">
        <f>IF($U71="","",IFERROR(SUMIFS(SummaryHelper!$H$2:$H$5000,SummaryHelper!$A$2:$A$5000,$T71,SummaryHelper!$B$2:$B$5000,$U71,SummaryHelper!$C$2:$C$5000,$V71)/SUMIFS(SummaryHelper!$G$2:$G$5000,SummaryHelper!$A$2:$A$5000,$T71,SummaryHelper!$B$2:$B$5000,$U71,SummaryHelper!$C$2:$C$5000,$V71),""))</f>
        <v/>
      </c>
      <c r="X71" s="9" t="str">
        <f>IF($U71="","",SUMIFS(SummaryHelper!$E$2:$E$5000,SummaryHelper!$A$2:$A$5000,$T71,SummaryHelper!$B$2:$B$5000,$U71,SummaryHelper!$C$2:$C$5000,$V71))</f>
        <v/>
      </c>
      <c r="Y71" s="9" t="str">
        <f>IF($U71="","",SUMIFS(SummaryHelper!$F$2:$F$5000,SummaryHelper!$A$2:$A$5000,$T71,SummaryHelper!$B$2:$B$5000,$U71,SummaryHelper!$C$2:$C$5000,$V71))</f>
        <v/>
      </c>
      <c r="Z71" s="9" t="s">
        <v>489</v>
      </c>
      <c r="AB71" s="9" t="str">
        <f t="shared" si="20"/>
        <v/>
      </c>
      <c r="AC71" s="9" t="str">
        <f t="shared" si="21"/>
        <v/>
      </c>
      <c r="AH71" t="str">
        <f>IF($AF71="","",IFERROR(SUMIFS(SummaryHelper!$H$2:$H$5000,SummaryHelper!$A$2:$A$5000,$AE71,SummaryHelper!$B$2:$B$5000,$AF71,SummaryHelper!$C$2:$C$5000,$AG71)/SUMIFS(SummaryHelper!$G$2:$G$5000,SummaryHelper!$A$2:$A$5000,$AE71,SummaryHelper!$B$2:$B$5000,$AF71,SummaryHelper!$C$2:$C$5000,$AG71),""))</f>
        <v/>
      </c>
      <c r="AI71" t="str">
        <f>IF($AF71="","",SUMIFS(SummaryHelper!$E$2:$E$5000,SummaryHelper!$A$2:$A$5000,$AE71,SummaryHelper!$B$2:$B$5000,$AF71,SummaryHelper!$C$2:$C$5000,$AG71))</f>
        <v/>
      </c>
      <c r="AJ71" t="str">
        <f>IF($AF71="","",SUMIFS(SummaryHelper!$F$2:$F$5000,SummaryHelper!$A$2:$A$5000,$AE71,SummaryHelper!$B$2:$B$5000,$AF71,SummaryHelper!$C$2:$C$5000,$AG71))</f>
        <v/>
      </c>
      <c r="AK71" t="str">
        <f>IF($AF71="","",SUMIFS(SummaryHelper!$G$2:$G$5000,SummaryHelper!$A$2:$A$5000,$AE71,SummaryHelper!$B$2:$B$5000,$AF71,SummaryHelper!$C$2:$C$5000,$AG71))</f>
        <v/>
      </c>
      <c r="AM71" t="str">
        <f t="shared" si="22"/>
        <v/>
      </c>
      <c r="AN71" t="str">
        <f t="shared" si="23"/>
        <v/>
      </c>
    </row>
    <row r="72" spans="1:40" x14ac:dyDescent="0.25">
      <c r="A72" s="12"/>
      <c r="B72" s="12" t="str">
        <f t="shared" si="12"/>
        <v/>
      </c>
      <c r="C72" s="9" t="str">
        <f t="shared" ca="1" si="13"/>
        <v/>
      </c>
      <c r="D72" s="9" t="str">
        <f t="shared" ca="1" si="14"/>
        <v/>
      </c>
      <c r="E72" s="9" t="str">
        <f t="shared" ca="1" si="15"/>
        <v/>
      </c>
      <c r="F72" s="9" t="str">
        <f t="shared" si="16"/>
        <v/>
      </c>
      <c r="G72" s="9" t="str">
        <f t="shared" si="17"/>
        <v/>
      </c>
      <c r="L72" s="9" t="str">
        <f>IF($J72="","",IFERROR(SUMIFS(SummaryHelper!$H$2:$H$5000,SummaryHelper!$A$2:$A$5000,$I72,SummaryHelper!$B$2:$B$5000,$J72,SummaryHelper!$C$2:$C$5000,$K72)/SUMIFS(SummaryHelper!$G$2:$G$5000,SummaryHelper!$A$2:$A$5000,$I72,SummaryHelper!$B$2:$B$5000,$J72,SummaryHelper!$C$2:$C$5000,$K72),""))</f>
        <v/>
      </c>
      <c r="M72" s="9" t="str">
        <f>IF($J72="","",SUMIFS(SummaryHelper!$E$2:$E$5000,SummaryHelper!$A$2:$A$5000,$I72,SummaryHelper!$B$2:$B$5000,$J72,SummaryHelper!$C$2:$C$5000,$K72))</f>
        <v/>
      </c>
      <c r="N72" s="9" t="str">
        <f>IF($J72="","",SUMIFS(SummaryHelper!$F$2:$F$5000,SummaryHelper!$A$2:$A$5000,$I72,SummaryHelper!$B$2:$B$5000,$J72,SummaryHelper!$C$2:$C$5000,$K72))</f>
        <v/>
      </c>
      <c r="O72" s="9" t="str">
        <f>IF($J72="","",SUMIFS(SummaryHelper!$G$2:$G$5000,SummaryHelper!$A$2:$A$5000,$I72,SummaryHelper!$B$2:$B$5000,$J72,SummaryHelper!$C$2:$C$5000,$K72))</f>
        <v/>
      </c>
      <c r="Q72" s="9" t="str">
        <f t="shared" si="18"/>
        <v/>
      </c>
      <c r="R72" s="9" t="str">
        <f t="shared" si="19"/>
        <v/>
      </c>
      <c r="W72" s="9" t="str">
        <f>IF($U72="","",IFERROR(SUMIFS(SummaryHelper!$H$2:$H$5000,SummaryHelper!$A$2:$A$5000,$T72,SummaryHelper!$B$2:$B$5000,$U72,SummaryHelper!$C$2:$C$5000,$V72)/SUMIFS(SummaryHelper!$G$2:$G$5000,SummaryHelper!$A$2:$A$5000,$T72,SummaryHelper!$B$2:$B$5000,$U72,SummaryHelper!$C$2:$C$5000,$V72),""))</f>
        <v/>
      </c>
      <c r="X72" s="9" t="str">
        <f>IF($U72="","",SUMIFS(SummaryHelper!$E$2:$E$5000,SummaryHelper!$A$2:$A$5000,$T72,SummaryHelper!$B$2:$B$5000,$U72,SummaryHelper!$C$2:$C$5000,$V72))</f>
        <v/>
      </c>
      <c r="Y72" s="9" t="str">
        <f>IF($U72="","",SUMIFS(SummaryHelper!$F$2:$F$5000,SummaryHelper!$A$2:$A$5000,$T72,SummaryHelper!$B$2:$B$5000,$U72,SummaryHelper!$C$2:$C$5000,$V72))</f>
        <v/>
      </c>
      <c r="Z72" s="9" t="s">
        <v>489</v>
      </c>
      <c r="AB72" s="9" t="str">
        <f t="shared" si="20"/>
        <v/>
      </c>
      <c r="AC72" s="9" t="str">
        <f t="shared" si="21"/>
        <v/>
      </c>
      <c r="AH72" t="str">
        <f>IF($AF72="","",IFERROR(SUMIFS(SummaryHelper!$H$2:$H$5000,SummaryHelper!$A$2:$A$5000,$AE72,SummaryHelper!$B$2:$B$5000,$AF72,SummaryHelper!$C$2:$C$5000,$AG72)/SUMIFS(SummaryHelper!$G$2:$G$5000,SummaryHelper!$A$2:$A$5000,$AE72,SummaryHelper!$B$2:$B$5000,$AF72,SummaryHelper!$C$2:$C$5000,$AG72),""))</f>
        <v/>
      </c>
      <c r="AI72" t="str">
        <f>IF($AF72="","",SUMIFS(SummaryHelper!$E$2:$E$5000,SummaryHelper!$A$2:$A$5000,$AE72,SummaryHelper!$B$2:$B$5000,$AF72,SummaryHelper!$C$2:$C$5000,$AG72))</f>
        <v/>
      </c>
      <c r="AJ72" t="str">
        <f>IF($AF72="","",SUMIFS(SummaryHelper!$F$2:$F$5000,SummaryHelper!$A$2:$A$5000,$AE72,SummaryHelper!$B$2:$B$5000,$AF72,SummaryHelper!$C$2:$C$5000,$AG72))</f>
        <v/>
      </c>
      <c r="AK72" t="str">
        <f>IF($AF72="","",SUMIFS(SummaryHelper!$G$2:$G$5000,SummaryHelper!$A$2:$A$5000,$AE72,SummaryHelper!$B$2:$B$5000,$AF72,SummaryHelper!$C$2:$C$5000,$AG72))</f>
        <v/>
      </c>
      <c r="AM72" t="str">
        <f t="shared" si="22"/>
        <v/>
      </c>
      <c r="AN72" t="str">
        <f t="shared" si="23"/>
        <v/>
      </c>
    </row>
    <row r="73" spans="1:40" x14ac:dyDescent="0.25">
      <c r="A73" s="12"/>
      <c r="B73" s="12" t="str">
        <f t="shared" si="12"/>
        <v/>
      </c>
      <c r="C73" s="9" t="str">
        <f t="shared" ca="1" si="13"/>
        <v/>
      </c>
      <c r="D73" s="9" t="str">
        <f t="shared" ca="1" si="14"/>
        <v/>
      </c>
      <c r="E73" s="9" t="str">
        <f t="shared" ca="1" si="15"/>
        <v/>
      </c>
      <c r="F73" s="9" t="str">
        <f t="shared" si="16"/>
        <v/>
      </c>
      <c r="G73" s="9" t="str">
        <f t="shared" si="17"/>
        <v/>
      </c>
      <c r="L73" s="9" t="str">
        <f>IF($J73="","",IFERROR(SUMIFS(SummaryHelper!$H$2:$H$5000,SummaryHelper!$A$2:$A$5000,$I73,SummaryHelper!$B$2:$B$5000,$J73,SummaryHelper!$C$2:$C$5000,$K73)/SUMIFS(SummaryHelper!$G$2:$G$5000,SummaryHelper!$A$2:$A$5000,$I73,SummaryHelper!$B$2:$B$5000,$J73,SummaryHelper!$C$2:$C$5000,$K73),""))</f>
        <v/>
      </c>
      <c r="M73" s="9" t="str">
        <f>IF($J73="","",SUMIFS(SummaryHelper!$E$2:$E$5000,SummaryHelper!$A$2:$A$5000,$I73,SummaryHelper!$B$2:$B$5000,$J73,SummaryHelper!$C$2:$C$5000,$K73))</f>
        <v/>
      </c>
      <c r="N73" s="9" t="str">
        <f>IF($J73="","",SUMIFS(SummaryHelper!$F$2:$F$5000,SummaryHelper!$A$2:$A$5000,$I73,SummaryHelper!$B$2:$B$5000,$J73,SummaryHelper!$C$2:$C$5000,$K73))</f>
        <v/>
      </c>
      <c r="O73" s="9" t="str">
        <f>IF($J73="","",SUMIFS(SummaryHelper!$G$2:$G$5000,SummaryHelper!$A$2:$A$5000,$I73,SummaryHelper!$B$2:$B$5000,$J73,SummaryHelper!$C$2:$C$5000,$K73))</f>
        <v/>
      </c>
      <c r="Q73" s="9" t="str">
        <f t="shared" si="18"/>
        <v/>
      </c>
      <c r="R73" s="9" t="str">
        <f t="shared" si="19"/>
        <v/>
      </c>
      <c r="W73" s="9" t="str">
        <f>IF($U73="","",IFERROR(SUMIFS(SummaryHelper!$H$2:$H$5000,SummaryHelper!$A$2:$A$5000,$T73,SummaryHelper!$B$2:$B$5000,$U73,SummaryHelper!$C$2:$C$5000,$V73)/SUMIFS(SummaryHelper!$G$2:$G$5000,SummaryHelper!$A$2:$A$5000,$T73,SummaryHelper!$B$2:$B$5000,$U73,SummaryHelper!$C$2:$C$5000,$V73),""))</f>
        <v/>
      </c>
      <c r="X73" s="9" t="str">
        <f>IF($U73="","",SUMIFS(SummaryHelper!$E$2:$E$5000,SummaryHelper!$A$2:$A$5000,$T73,SummaryHelper!$B$2:$B$5000,$U73,SummaryHelper!$C$2:$C$5000,$V73))</f>
        <v/>
      </c>
      <c r="Y73" s="9" t="str">
        <f>IF($U73="","",SUMIFS(SummaryHelper!$F$2:$F$5000,SummaryHelper!$A$2:$A$5000,$T73,SummaryHelper!$B$2:$B$5000,$U73,SummaryHelper!$C$2:$C$5000,$V73))</f>
        <v/>
      </c>
      <c r="Z73" s="9" t="s">
        <v>489</v>
      </c>
      <c r="AB73" s="9" t="str">
        <f t="shared" si="20"/>
        <v/>
      </c>
      <c r="AC73" s="9" t="str">
        <f t="shared" si="21"/>
        <v/>
      </c>
      <c r="AH73" t="str">
        <f>IF($AF73="","",IFERROR(SUMIFS(SummaryHelper!$H$2:$H$5000,SummaryHelper!$A$2:$A$5000,$AE73,SummaryHelper!$B$2:$B$5000,$AF73,SummaryHelper!$C$2:$C$5000,$AG73)/SUMIFS(SummaryHelper!$G$2:$G$5000,SummaryHelper!$A$2:$A$5000,$AE73,SummaryHelper!$B$2:$B$5000,$AF73,SummaryHelper!$C$2:$C$5000,$AG73),""))</f>
        <v/>
      </c>
      <c r="AI73" t="str">
        <f>IF($AF73="","",SUMIFS(SummaryHelper!$E$2:$E$5000,SummaryHelper!$A$2:$A$5000,$AE73,SummaryHelper!$B$2:$B$5000,$AF73,SummaryHelper!$C$2:$C$5000,$AG73))</f>
        <v/>
      </c>
      <c r="AJ73" t="str">
        <f>IF($AF73="","",SUMIFS(SummaryHelper!$F$2:$F$5000,SummaryHelper!$A$2:$A$5000,$AE73,SummaryHelper!$B$2:$B$5000,$AF73,SummaryHelper!$C$2:$C$5000,$AG73))</f>
        <v/>
      </c>
      <c r="AK73" t="str">
        <f>IF($AF73="","",SUMIFS(SummaryHelper!$G$2:$G$5000,SummaryHelper!$A$2:$A$5000,$AE73,SummaryHelper!$B$2:$B$5000,$AF73,SummaryHelper!$C$2:$C$5000,$AG73))</f>
        <v/>
      </c>
      <c r="AM73" t="str">
        <f t="shared" si="22"/>
        <v/>
      </c>
      <c r="AN73" t="str">
        <f t="shared" si="23"/>
        <v/>
      </c>
    </row>
    <row r="74" spans="1:40" x14ac:dyDescent="0.25">
      <c r="A74" s="12"/>
      <c r="B74" s="12" t="str">
        <f t="shared" si="12"/>
        <v/>
      </c>
      <c r="C74" s="9" t="str">
        <f t="shared" ca="1" si="13"/>
        <v/>
      </c>
      <c r="D74" s="9" t="str">
        <f t="shared" ca="1" si="14"/>
        <v/>
      </c>
      <c r="E74" s="9" t="str">
        <f t="shared" ca="1" si="15"/>
        <v/>
      </c>
      <c r="F74" s="9" t="str">
        <f t="shared" si="16"/>
        <v/>
      </c>
      <c r="G74" s="9" t="str">
        <f t="shared" si="17"/>
        <v/>
      </c>
      <c r="L74" s="9" t="str">
        <f>IF($J74="","",IFERROR(SUMIFS(SummaryHelper!$H$2:$H$5000,SummaryHelper!$A$2:$A$5000,$I74,SummaryHelper!$B$2:$B$5000,$J74,SummaryHelper!$C$2:$C$5000,$K74)/SUMIFS(SummaryHelper!$G$2:$G$5000,SummaryHelper!$A$2:$A$5000,$I74,SummaryHelper!$B$2:$B$5000,$J74,SummaryHelper!$C$2:$C$5000,$K74),""))</f>
        <v/>
      </c>
      <c r="M74" s="9" t="str">
        <f>IF($J74="","",SUMIFS(SummaryHelper!$E$2:$E$5000,SummaryHelper!$A$2:$A$5000,$I74,SummaryHelper!$B$2:$B$5000,$J74,SummaryHelper!$C$2:$C$5000,$K74))</f>
        <v/>
      </c>
      <c r="N74" s="9" t="str">
        <f>IF($J74="","",SUMIFS(SummaryHelper!$F$2:$F$5000,SummaryHelper!$A$2:$A$5000,$I74,SummaryHelper!$B$2:$B$5000,$J74,SummaryHelper!$C$2:$C$5000,$K74))</f>
        <v/>
      </c>
      <c r="O74" s="9" t="str">
        <f>IF($J74="","",SUMIFS(SummaryHelper!$G$2:$G$5000,SummaryHelper!$A$2:$A$5000,$I74,SummaryHelper!$B$2:$B$5000,$J74,SummaryHelper!$C$2:$C$5000,$K74))</f>
        <v/>
      </c>
      <c r="Q74" s="9" t="str">
        <f t="shared" si="18"/>
        <v/>
      </c>
      <c r="R74" s="9" t="str">
        <f t="shared" si="19"/>
        <v/>
      </c>
      <c r="W74" s="9" t="str">
        <f>IF($U74="","",IFERROR(SUMIFS(SummaryHelper!$H$2:$H$5000,SummaryHelper!$A$2:$A$5000,$T74,SummaryHelper!$B$2:$B$5000,$U74,SummaryHelper!$C$2:$C$5000,$V74)/SUMIFS(SummaryHelper!$G$2:$G$5000,SummaryHelper!$A$2:$A$5000,$T74,SummaryHelper!$B$2:$B$5000,$U74,SummaryHelper!$C$2:$C$5000,$V74),""))</f>
        <v/>
      </c>
      <c r="X74" s="9" t="str">
        <f>IF($U74="","",SUMIFS(SummaryHelper!$E$2:$E$5000,SummaryHelper!$A$2:$A$5000,$T74,SummaryHelper!$B$2:$B$5000,$U74,SummaryHelper!$C$2:$C$5000,$V74))</f>
        <v/>
      </c>
      <c r="Y74" s="9" t="str">
        <f>IF($U74="","",SUMIFS(SummaryHelper!$F$2:$F$5000,SummaryHelper!$A$2:$A$5000,$T74,SummaryHelper!$B$2:$B$5000,$U74,SummaryHelper!$C$2:$C$5000,$V74))</f>
        <v/>
      </c>
      <c r="Z74" s="9" t="s">
        <v>489</v>
      </c>
      <c r="AB74" s="9" t="str">
        <f t="shared" si="20"/>
        <v/>
      </c>
      <c r="AC74" s="9" t="str">
        <f t="shared" si="21"/>
        <v/>
      </c>
      <c r="AH74" t="str">
        <f>IF($AF74="","",IFERROR(SUMIFS(SummaryHelper!$H$2:$H$5000,SummaryHelper!$A$2:$A$5000,$AE74,SummaryHelper!$B$2:$B$5000,$AF74,SummaryHelper!$C$2:$C$5000,$AG74)/SUMIFS(SummaryHelper!$G$2:$G$5000,SummaryHelper!$A$2:$A$5000,$AE74,SummaryHelper!$B$2:$B$5000,$AF74,SummaryHelper!$C$2:$C$5000,$AG74),""))</f>
        <v/>
      </c>
      <c r="AI74" t="str">
        <f>IF($AF74="","",SUMIFS(SummaryHelper!$E$2:$E$5000,SummaryHelper!$A$2:$A$5000,$AE74,SummaryHelper!$B$2:$B$5000,$AF74,SummaryHelper!$C$2:$C$5000,$AG74))</f>
        <v/>
      </c>
      <c r="AJ74" t="str">
        <f>IF($AF74="","",SUMIFS(SummaryHelper!$F$2:$F$5000,SummaryHelper!$A$2:$A$5000,$AE74,SummaryHelper!$B$2:$B$5000,$AF74,SummaryHelper!$C$2:$C$5000,$AG74))</f>
        <v/>
      </c>
      <c r="AK74" t="str">
        <f>IF($AF74="","",SUMIFS(SummaryHelper!$G$2:$G$5000,SummaryHelper!$A$2:$A$5000,$AE74,SummaryHelper!$B$2:$B$5000,$AF74,SummaryHelper!$C$2:$C$5000,$AG74))</f>
        <v/>
      </c>
      <c r="AM74" t="str">
        <f t="shared" si="22"/>
        <v/>
      </c>
      <c r="AN74" t="str">
        <f t="shared" si="23"/>
        <v/>
      </c>
    </row>
    <row r="75" spans="1:40" x14ac:dyDescent="0.25">
      <c r="A75" s="12"/>
      <c r="B75" s="12" t="str">
        <f t="shared" si="12"/>
        <v/>
      </c>
      <c r="C75" s="9" t="str">
        <f t="shared" ca="1" si="13"/>
        <v/>
      </c>
      <c r="D75" s="9" t="str">
        <f t="shared" ca="1" si="14"/>
        <v/>
      </c>
      <c r="E75" s="9" t="str">
        <f t="shared" ca="1" si="15"/>
        <v/>
      </c>
      <c r="F75" s="9" t="str">
        <f t="shared" si="16"/>
        <v/>
      </c>
      <c r="G75" s="9" t="str">
        <f t="shared" si="17"/>
        <v/>
      </c>
      <c r="L75" s="9" t="str">
        <f>IF($J75="","",IFERROR(SUMIFS(SummaryHelper!$H$2:$H$5000,SummaryHelper!$A$2:$A$5000,$I75,SummaryHelper!$B$2:$B$5000,$J75,SummaryHelper!$C$2:$C$5000,$K75)/SUMIFS(SummaryHelper!$G$2:$G$5000,SummaryHelper!$A$2:$A$5000,$I75,SummaryHelper!$B$2:$B$5000,$J75,SummaryHelper!$C$2:$C$5000,$K75),""))</f>
        <v/>
      </c>
      <c r="M75" s="9" t="str">
        <f>IF($J75="","",SUMIFS(SummaryHelper!$E$2:$E$5000,SummaryHelper!$A$2:$A$5000,$I75,SummaryHelper!$B$2:$B$5000,$J75,SummaryHelper!$C$2:$C$5000,$K75))</f>
        <v/>
      </c>
      <c r="N75" s="9" t="str">
        <f>IF($J75="","",SUMIFS(SummaryHelper!$F$2:$F$5000,SummaryHelper!$A$2:$A$5000,$I75,SummaryHelper!$B$2:$B$5000,$J75,SummaryHelper!$C$2:$C$5000,$K75))</f>
        <v/>
      </c>
      <c r="O75" s="9" t="str">
        <f>IF($J75="","",SUMIFS(SummaryHelper!$G$2:$G$5000,SummaryHelper!$A$2:$A$5000,$I75,SummaryHelper!$B$2:$B$5000,$J75,SummaryHelper!$C$2:$C$5000,$K75))</f>
        <v/>
      </c>
      <c r="Q75" s="9" t="str">
        <f t="shared" si="18"/>
        <v/>
      </c>
      <c r="R75" s="9" t="str">
        <f t="shared" si="19"/>
        <v/>
      </c>
      <c r="W75" s="9" t="str">
        <f>IF($U75="","",IFERROR(SUMIFS(SummaryHelper!$H$2:$H$5000,SummaryHelper!$A$2:$A$5000,$T75,SummaryHelper!$B$2:$B$5000,$U75,SummaryHelper!$C$2:$C$5000,$V75)/SUMIFS(SummaryHelper!$G$2:$G$5000,SummaryHelper!$A$2:$A$5000,$T75,SummaryHelper!$B$2:$B$5000,$U75,SummaryHelper!$C$2:$C$5000,$V75),""))</f>
        <v/>
      </c>
      <c r="X75" s="9" t="str">
        <f>IF($U75="","",SUMIFS(SummaryHelper!$E$2:$E$5000,SummaryHelper!$A$2:$A$5000,$T75,SummaryHelper!$B$2:$B$5000,$U75,SummaryHelper!$C$2:$C$5000,$V75))</f>
        <v/>
      </c>
      <c r="Y75" s="9" t="str">
        <f>IF($U75="","",SUMIFS(SummaryHelper!$F$2:$F$5000,SummaryHelper!$A$2:$A$5000,$T75,SummaryHelper!$B$2:$B$5000,$U75,SummaryHelper!$C$2:$C$5000,$V75))</f>
        <v/>
      </c>
      <c r="Z75" s="9" t="s">
        <v>489</v>
      </c>
      <c r="AB75" s="9" t="str">
        <f t="shared" si="20"/>
        <v/>
      </c>
      <c r="AC75" s="9" t="str">
        <f t="shared" si="21"/>
        <v/>
      </c>
      <c r="AH75" t="str">
        <f>IF($AF75="","",IFERROR(SUMIFS(SummaryHelper!$H$2:$H$5000,SummaryHelper!$A$2:$A$5000,$AE75,SummaryHelper!$B$2:$B$5000,$AF75,SummaryHelper!$C$2:$C$5000,$AG75)/SUMIFS(SummaryHelper!$G$2:$G$5000,SummaryHelper!$A$2:$A$5000,$AE75,SummaryHelper!$B$2:$B$5000,$AF75,SummaryHelper!$C$2:$C$5000,$AG75),""))</f>
        <v/>
      </c>
      <c r="AI75" t="str">
        <f>IF($AF75="","",SUMIFS(SummaryHelper!$E$2:$E$5000,SummaryHelper!$A$2:$A$5000,$AE75,SummaryHelper!$B$2:$B$5000,$AF75,SummaryHelper!$C$2:$C$5000,$AG75))</f>
        <v/>
      </c>
      <c r="AJ75" t="str">
        <f>IF($AF75="","",SUMIFS(SummaryHelper!$F$2:$F$5000,SummaryHelper!$A$2:$A$5000,$AE75,SummaryHelper!$B$2:$B$5000,$AF75,SummaryHelper!$C$2:$C$5000,$AG75))</f>
        <v/>
      </c>
      <c r="AK75" t="str">
        <f>IF($AF75="","",SUMIFS(SummaryHelper!$G$2:$G$5000,SummaryHelper!$A$2:$A$5000,$AE75,SummaryHelper!$B$2:$B$5000,$AF75,SummaryHelper!$C$2:$C$5000,$AG75))</f>
        <v/>
      </c>
      <c r="AM75" t="str">
        <f t="shared" si="22"/>
        <v/>
      </c>
      <c r="AN75" t="str">
        <f t="shared" si="23"/>
        <v/>
      </c>
    </row>
    <row r="76" spans="1:40" x14ac:dyDescent="0.25">
      <c r="A76" s="12"/>
      <c r="B76" s="12" t="str">
        <f t="shared" si="12"/>
        <v/>
      </c>
      <c r="C76" s="9" t="str">
        <f t="shared" ca="1" si="13"/>
        <v/>
      </c>
      <c r="D76" s="9" t="str">
        <f t="shared" ca="1" si="14"/>
        <v/>
      </c>
      <c r="E76" s="9" t="str">
        <f t="shared" ca="1" si="15"/>
        <v/>
      </c>
      <c r="F76" s="9" t="str">
        <f t="shared" si="16"/>
        <v/>
      </c>
      <c r="G76" s="9" t="str">
        <f t="shared" si="17"/>
        <v/>
      </c>
      <c r="L76" s="9" t="str">
        <f>IF($J76="","",IFERROR(SUMIFS(SummaryHelper!$H$2:$H$5000,SummaryHelper!$A$2:$A$5000,$I76,SummaryHelper!$B$2:$B$5000,$J76,SummaryHelper!$C$2:$C$5000,$K76)/SUMIFS(SummaryHelper!$G$2:$G$5000,SummaryHelper!$A$2:$A$5000,$I76,SummaryHelper!$B$2:$B$5000,$J76,SummaryHelper!$C$2:$C$5000,$K76),""))</f>
        <v/>
      </c>
      <c r="M76" s="9" t="str">
        <f>IF($J76="","",SUMIFS(SummaryHelper!$E$2:$E$5000,SummaryHelper!$A$2:$A$5000,$I76,SummaryHelper!$B$2:$B$5000,$J76,SummaryHelper!$C$2:$C$5000,$K76))</f>
        <v/>
      </c>
      <c r="N76" s="9" t="str">
        <f>IF($J76="","",SUMIFS(SummaryHelper!$F$2:$F$5000,SummaryHelper!$A$2:$A$5000,$I76,SummaryHelper!$B$2:$B$5000,$J76,SummaryHelper!$C$2:$C$5000,$K76))</f>
        <v/>
      </c>
      <c r="O76" s="9" t="str">
        <f>IF($J76="","",SUMIFS(SummaryHelper!$G$2:$G$5000,SummaryHelper!$A$2:$A$5000,$I76,SummaryHelper!$B$2:$B$5000,$J76,SummaryHelper!$C$2:$C$5000,$K76))</f>
        <v/>
      </c>
      <c r="Q76" s="9" t="str">
        <f t="shared" si="18"/>
        <v/>
      </c>
      <c r="R76" s="9" t="str">
        <f t="shared" si="19"/>
        <v/>
      </c>
      <c r="W76" s="9" t="str">
        <f>IF($U76="","",IFERROR(SUMIFS(SummaryHelper!$H$2:$H$5000,SummaryHelper!$A$2:$A$5000,$T76,SummaryHelper!$B$2:$B$5000,$U76,SummaryHelper!$C$2:$C$5000,$V76)/SUMIFS(SummaryHelper!$G$2:$G$5000,SummaryHelper!$A$2:$A$5000,$T76,SummaryHelper!$B$2:$B$5000,$U76,SummaryHelper!$C$2:$C$5000,$V76),""))</f>
        <v/>
      </c>
      <c r="X76" s="9" t="str">
        <f>IF($U76="","",SUMIFS(SummaryHelper!$E$2:$E$5000,SummaryHelper!$A$2:$A$5000,$T76,SummaryHelper!$B$2:$B$5000,$U76,SummaryHelper!$C$2:$C$5000,$V76))</f>
        <v/>
      </c>
      <c r="Y76" s="9" t="str">
        <f>IF($U76="","",SUMIFS(SummaryHelper!$F$2:$F$5000,SummaryHelper!$A$2:$A$5000,$T76,SummaryHelper!$B$2:$B$5000,$U76,SummaryHelper!$C$2:$C$5000,$V76))</f>
        <v/>
      </c>
      <c r="Z76" s="9" t="s">
        <v>489</v>
      </c>
      <c r="AB76" s="9" t="str">
        <f t="shared" si="20"/>
        <v/>
      </c>
      <c r="AC76" s="9" t="str">
        <f t="shared" si="21"/>
        <v/>
      </c>
      <c r="AH76" t="str">
        <f>IF($AF76="","",IFERROR(SUMIFS(SummaryHelper!$H$2:$H$5000,SummaryHelper!$A$2:$A$5000,$AE76,SummaryHelper!$B$2:$B$5000,$AF76,SummaryHelper!$C$2:$C$5000,$AG76)/SUMIFS(SummaryHelper!$G$2:$G$5000,SummaryHelper!$A$2:$A$5000,$AE76,SummaryHelper!$B$2:$B$5000,$AF76,SummaryHelper!$C$2:$C$5000,$AG76),""))</f>
        <v/>
      </c>
      <c r="AI76" t="str">
        <f>IF($AF76="","",SUMIFS(SummaryHelper!$E$2:$E$5000,SummaryHelper!$A$2:$A$5000,$AE76,SummaryHelper!$B$2:$B$5000,$AF76,SummaryHelper!$C$2:$C$5000,$AG76))</f>
        <v/>
      </c>
      <c r="AJ76" t="str">
        <f>IF($AF76="","",SUMIFS(SummaryHelper!$F$2:$F$5000,SummaryHelper!$A$2:$A$5000,$AE76,SummaryHelper!$B$2:$B$5000,$AF76,SummaryHelper!$C$2:$C$5000,$AG76))</f>
        <v/>
      </c>
      <c r="AK76" t="str">
        <f>IF($AF76="","",SUMIFS(SummaryHelper!$G$2:$G$5000,SummaryHelper!$A$2:$A$5000,$AE76,SummaryHelper!$B$2:$B$5000,$AF76,SummaryHelper!$C$2:$C$5000,$AG76))</f>
        <v/>
      </c>
      <c r="AM76" t="str">
        <f t="shared" si="22"/>
        <v/>
      </c>
      <c r="AN76" t="str">
        <f t="shared" si="23"/>
        <v/>
      </c>
    </row>
    <row r="77" spans="1:40" x14ac:dyDescent="0.25">
      <c r="A77" s="12"/>
      <c r="B77" s="12" t="str">
        <f t="shared" si="12"/>
        <v/>
      </c>
      <c r="C77" s="9" t="str">
        <f t="shared" ca="1" si="13"/>
        <v/>
      </c>
      <c r="D77" s="9" t="str">
        <f t="shared" ca="1" si="14"/>
        <v/>
      </c>
      <c r="E77" s="9" t="str">
        <f t="shared" ca="1" si="15"/>
        <v/>
      </c>
      <c r="F77" s="9" t="str">
        <f t="shared" si="16"/>
        <v/>
      </c>
      <c r="G77" s="9" t="str">
        <f t="shared" si="17"/>
        <v/>
      </c>
      <c r="L77" s="9" t="str">
        <f>IF($J77="","",IFERROR(SUMIFS(SummaryHelper!$H$2:$H$5000,SummaryHelper!$A$2:$A$5000,$I77,SummaryHelper!$B$2:$B$5000,$J77,SummaryHelper!$C$2:$C$5000,$K77)/SUMIFS(SummaryHelper!$G$2:$G$5000,SummaryHelper!$A$2:$A$5000,$I77,SummaryHelper!$B$2:$B$5000,$J77,SummaryHelper!$C$2:$C$5000,$K77),""))</f>
        <v/>
      </c>
      <c r="M77" s="9" t="str">
        <f>IF($J77="","",SUMIFS(SummaryHelper!$E$2:$E$5000,SummaryHelper!$A$2:$A$5000,$I77,SummaryHelper!$B$2:$B$5000,$J77,SummaryHelper!$C$2:$C$5000,$K77))</f>
        <v/>
      </c>
      <c r="N77" s="9" t="str">
        <f>IF($J77="","",SUMIFS(SummaryHelper!$F$2:$F$5000,SummaryHelper!$A$2:$A$5000,$I77,SummaryHelper!$B$2:$B$5000,$J77,SummaryHelper!$C$2:$C$5000,$K77))</f>
        <v/>
      </c>
      <c r="O77" s="9" t="str">
        <f>IF($J77="","",SUMIFS(SummaryHelper!$G$2:$G$5000,SummaryHelper!$A$2:$A$5000,$I77,SummaryHelper!$B$2:$B$5000,$J77,SummaryHelper!$C$2:$C$5000,$K77))</f>
        <v/>
      </c>
      <c r="Q77" s="9" t="str">
        <f t="shared" si="18"/>
        <v/>
      </c>
      <c r="R77" s="9" t="str">
        <f t="shared" si="19"/>
        <v/>
      </c>
      <c r="W77" s="9" t="str">
        <f>IF($U77="","",IFERROR(SUMIFS(SummaryHelper!$H$2:$H$5000,SummaryHelper!$A$2:$A$5000,$T77,SummaryHelper!$B$2:$B$5000,$U77,SummaryHelper!$C$2:$C$5000,$V77)/SUMIFS(SummaryHelper!$G$2:$G$5000,SummaryHelper!$A$2:$A$5000,$T77,SummaryHelper!$B$2:$B$5000,$U77,SummaryHelper!$C$2:$C$5000,$V77),""))</f>
        <v/>
      </c>
      <c r="X77" s="9" t="str">
        <f>IF($U77="","",SUMIFS(SummaryHelper!$E$2:$E$5000,SummaryHelper!$A$2:$A$5000,$T77,SummaryHelper!$B$2:$B$5000,$U77,SummaryHelper!$C$2:$C$5000,$V77))</f>
        <v/>
      </c>
      <c r="Y77" s="9" t="str">
        <f>IF($U77="","",SUMIFS(SummaryHelper!$F$2:$F$5000,SummaryHelper!$A$2:$A$5000,$T77,SummaryHelper!$B$2:$B$5000,$U77,SummaryHelper!$C$2:$C$5000,$V77))</f>
        <v/>
      </c>
      <c r="Z77" s="9" t="s">
        <v>489</v>
      </c>
      <c r="AB77" s="9" t="str">
        <f t="shared" si="20"/>
        <v/>
      </c>
      <c r="AC77" s="9" t="str">
        <f t="shared" si="21"/>
        <v/>
      </c>
      <c r="AH77" t="str">
        <f>IF($AF77="","",IFERROR(SUMIFS(SummaryHelper!$H$2:$H$5000,SummaryHelper!$A$2:$A$5000,$AE77,SummaryHelper!$B$2:$B$5000,$AF77,SummaryHelper!$C$2:$C$5000,$AG77)/SUMIFS(SummaryHelper!$G$2:$G$5000,SummaryHelper!$A$2:$A$5000,$AE77,SummaryHelper!$B$2:$B$5000,$AF77,SummaryHelper!$C$2:$C$5000,$AG77),""))</f>
        <v/>
      </c>
      <c r="AI77" t="str">
        <f>IF($AF77="","",SUMIFS(SummaryHelper!$E$2:$E$5000,SummaryHelper!$A$2:$A$5000,$AE77,SummaryHelper!$B$2:$B$5000,$AF77,SummaryHelper!$C$2:$C$5000,$AG77))</f>
        <v/>
      </c>
      <c r="AJ77" t="str">
        <f>IF($AF77="","",SUMIFS(SummaryHelper!$F$2:$F$5000,SummaryHelper!$A$2:$A$5000,$AE77,SummaryHelper!$B$2:$B$5000,$AF77,SummaryHelper!$C$2:$C$5000,$AG77))</f>
        <v/>
      </c>
      <c r="AK77" t="str">
        <f>IF($AF77="","",SUMIFS(SummaryHelper!$G$2:$G$5000,SummaryHelper!$A$2:$A$5000,$AE77,SummaryHelper!$B$2:$B$5000,$AF77,SummaryHelper!$C$2:$C$5000,$AG77))</f>
        <v/>
      </c>
      <c r="AM77" t="str">
        <f t="shared" si="22"/>
        <v/>
      </c>
      <c r="AN77" t="str">
        <f t="shared" si="23"/>
        <v/>
      </c>
    </row>
    <row r="78" spans="1:40" x14ac:dyDescent="0.25">
      <c r="A78" s="12"/>
      <c r="B78" s="12" t="str">
        <f t="shared" si="12"/>
        <v/>
      </c>
      <c r="C78" s="9" t="str">
        <f t="shared" ca="1" si="13"/>
        <v/>
      </c>
      <c r="D78" s="9" t="str">
        <f t="shared" ca="1" si="14"/>
        <v/>
      </c>
      <c r="E78" s="9" t="str">
        <f t="shared" ca="1" si="15"/>
        <v/>
      </c>
      <c r="F78" s="9" t="str">
        <f t="shared" si="16"/>
        <v/>
      </c>
      <c r="G78" s="9" t="str">
        <f t="shared" si="17"/>
        <v/>
      </c>
      <c r="L78" s="9" t="str">
        <f>IF($J78="","",IFERROR(SUMIFS(SummaryHelper!$H$2:$H$5000,SummaryHelper!$A$2:$A$5000,$I78,SummaryHelper!$B$2:$B$5000,$J78,SummaryHelper!$C$2:$C$5000,$K78)/SUMIFS(SummaryHelper!$G$2:$G$5000,SummaryHelper!$A$2:$A$5000,$I78,SummaryHelper!$B$2:$B$5000,$J78,SummaryHelper!$C$2:$C$5000,$K78),""))</f>
        <v/>
      </c>
      <c r="M78" s="9" t="str">
        <f>IF($J78="","",SUMIFS(SummaryHelper!$E$2:$E$5000,SummaryHelper!$A$2:$A$5000,$I78,SummaryHelper!$B$2:$B$5000,$J78,SummaryHelper!$C$2:$C$5000,$K78))</f>
        <v/>
      </c>
      <c r="N78" s="9" t="str">
        <f>IF($J78="","",SUMIFS(SummaryHelper!$F$2:$F$5000,SummaryHelper!$A$2:$A$5000,$I78,SummaryHelper!$B$2:$B$5000,$J78,SummaryHelper!$C$2:$C$5000,$K78))</f>
        <v/>
      </c>
      <c r="O78" s="9" t="str">
        <f>IF($J78="","",SUMIFS(SummaryHelper!$G$2:$G$5000,SummaryHelper!$A$2:$A$5000,$I78,SummaryHelper!$B$2:$B$5000,$J78,SummaryHelper!$C$2:$C$5000,$K78))</f>
        <v/>
      </c>
      <c r="Q78" s="9" t="str">
        <f t="shared" si="18"/>
        <v/>
      </c>
      <c r="R78" s="9" t="str">
        <f t="shared" si="19"/>
        <v/>
      </c>
      <c r="W78" s="9" t="str">
        <f>IF($U78="","",IFERROR(SUMIFS(SummaryHelper!$H$2:$H$5000,SummaryHelper!$A$2:$A$5000,$T78,SummaryHelper!$B$2:$B$5000,$U78,SummaryHelper!$C$2:$C$5000,$V78)/SUMIFS(SummaryHelper!$G$2:$G$5000,SummaryHelper!$A$2:$A$5000,$T78,SummaryHelper!$B$2:$B$5000,$U78,SummaryHelper!$C$2:$C$5000,$V78),""))</f>
        <v/>
      </c>
      <c r="X78" s="9" t="str">
        <f>IF($U78="","",SUMIFS(SummaryHelper!$E$2:$E$5000,SummaryHelper!$A$2:$A$5000,$T78,SummaryHelper!$B$2:$B$5000,$U78,SummaryHelper!$C$2:$C$5000,$V78))</f>
        <v/>
      </c>
      <c r="Y78" s="9" t="str">
        <f>IF($U78="","",SUMIFS(SummaryHelper!$F$2:$F$5000,SummaryHelper!$A$2:$A$5000,$T78,SummaryHelper!$B$2:$B$5000,$U78,SummaryHelper!$C$2:$C$5000,$V78))</f>
        <v/>
      </c>
      <c r="Z78" s="9" t="s">
        <v>489</v>
      </c>
      <c r="AB78" s="9" t="str">
        <f t="shared" si="20"/>
        <v/>
      </c>
      <c r="AC78" s="9" t="str">
        <f t="shared" si="21"/>
        <v/>
      </c>
      <c r="AH78" t="str">
        <f>IF($AF78="","",IFERROR(SUMIFS(SummaryHelper!$H$2:$H$5000,SummaryHelper!$A$2:$A$5000,$AE78,SummaryHelper!$B$2:$B$5000,$AF78,SummaryHelper!$C$2:$C$5000,$AG78)/SUMIFS(SummaryHelper!$G$2:$G$5000,SummaryHelper!$A$2:$A$5000,$AE78,SummaryHelper!$B$2:$B$5000,$AF78,SummaryHelper!$C$2:$C$5000,$AG78),""))</f>
        <v/>
      </c>
      <c r="AI78" t="str">
        <f>IF($AF78="","",SUMIFS(SummaryHelper!$E$2:$E$5000,SummaryHelper!$A$2:$A$5000,$AE78,SummaryHelper!$B$2:$B$5000,$AF78,SummaryHelper!$C$2:$C$5000,$AG78))</f>
        <v/>
      </c>
      <c r="AJ78" t="str">
        <f>IF($AF78="","",SUMIFS(SummaryHelper!$F$2:$F$5000,SummaryHelper!$A$2:$A$5000,$AE78,SummaryHelper!$B$2:$B$5000,$AF78,SummaryHelper!$C$2:$C$5000,$AG78))</f>
        <v/>
      </c>
      <c r="AK78" t="str">
        <f>IF($AF78="","",SUMIFS(SummaryHelper!$G$2:$G$5000,SummaryHelper!$A$2:$A$5000,$AE78,SummaryHelper!$B$2:$B$5000,$AF78,SummaryHelper!$C$2:$C$5000,$AG78))</f>
        <v/>
      </c>
      <c r="AM78" t="str">
        <f t="shared" si="22"/>
        <v/>
      </c>
      <c r="AN78" t="str">
        <f t="shared" si="23"/>
        <v/>
      </c>
    </row>
    <row r="79" spans="1:40" x14ac:dyDescent="0.25">
      <c r="A79" s="12"/>
      <c r="B79" s="12" t="str">
        <f t="shared" si="12"/>
        <v/>
      </c>
      <c r="C79" s="9" t="str">
        <f t="shared" ca="1" si="13"/>
        <v/>
      </c>
      <c r="D79" s="9" t="str">
        <f t="shared" ca="1" si="14"/>
        <v/>
      </c>
      <c r="E79" s="9" t="str">
        <f t="shared" ca="1" si="15"/>
        <v/>
      </c>
      <c r="F79" s="9" t="str">
        <f t="shared" si="16"/>
        <v/>
      </c>
      <c r="G79" s="9" t="str">
        <f t="shared" si="17"/>
        <v/>
      </c>
      <c r="L79" s="9" t="str">
        <f>IF($J79="","",IFERROR(SUMIFS(SummaryHelper!$H$2:$H$5000,SummaryHelper!$A$2:$A$5000,$I79,SummaryHelper!$B$2:$B$5000,$J79,SummaryHelper!$C$2:$C$5000,$K79)/SUMIFS(SummaryHelper!$G$2:$G$5000,SummaryHelper!$A$2:$A$5000,$I79,SummaryHelper!$B$2:$B$5000,$J79,SummaryHelper!$C$2:$C$5000,$K79),""))</f>
        <v/>
      </c>
      <c r="M79" s="9" t="str">
        <f>IF($J79="","",SUMIFS(SummaryHelper!$E$2:$E$5000,SummaryHelper!$A$2:$A$5000,$I79,SummaryHelper!$B$2:$B$5000,$J79,SummaryHelper!$C$2:$C$5000,$K79))</f>
        <v/>
      </c>
      <c r="N79" s="9" t="str">
        <f>IF($J79="","",SUMIFS(SummaryHelper!$F$2:$F$5000,SummaryHelper!$A$2:$A$5000,$I79,SummaryHelper!$B$2:$B$5000,$J79,SummaryHelper!$C$2:$C$5000,$K79))</f>
        <v/>
      </c>
      <c r="O79" s="9" t="str">
        <f>IF($J79="","",SUMIFS(SummaryHelper!$G$2:$G$5000,SummaryHelper!$A$2:$A$5000,$I79,SummaryHelper!$B$2:$B$5000,$J79,SummaryHelper!$C$2:$C$5000,$K79))</f>
        <v/>
      </c>
      <c r="Q79" s="9" t="str">
        <f t="shared" si="18"/>
        <v/>
      </c>
      <c r="R79" s="9" t="str">
        <f t="shared" si="19"/>
        <v/>
      </c>
      <c r="W79" s="9" t="str">
        <f>IF($U79="","",IFERROR(SUMIFS(SummaryHelper!$H$2:$H$5000,SummaryHelper!$A$2:$A$5000,$T79,SummaryHelper!$B$2:$B$5000,$U79,SummaryHelper!$C$2:$C$5000,$V79)/SUMIFS(SummaryHelper!$G$2:$G$5000,SummaryHelper!$A$2:$A$5000,$T79,SummaryHelper!$B$2:$B$5000,$U79,SummaryHelper!$C$2:$C$5000,$V79),""))</f>
        <v/>
      </c>
      <c r="X79" s="9" t="str">
        <f>IF($U79="","",SUMIFS(SummaryHelper!$E$2:$E$5000,SummaryHelper!$A$2:$A$5000,$T79,SummaryHelper!$B$2:$B$5000,$U79,SummaryHelper!$C$2:$C$5000,$V79))</f>
        <v/>
      </c>
      <c r="Y79" s="9" t="str">
        <f>IF($U79="","",SUMIFS(SummaryHelper!$F$2:$F$5000,SummaryHelper!$A$2:$A$5000,$T79,SummaryHelper!$B$2:$B$5000,$U79,SummaryHelper!$C$2:$C$5000,$V79))</f>
        <v/>
      </c>
      <c r="Z79" s="9" t="s">
        <v>489</v>
      </c>
      <c r="AB79" s="9" t="str">
        <f t="shared" si="20"/>
        <v/>
      </c>
      <c r="AC79" s="9" t="str">
        <f t="shared" si="21"/>
        <v/>
      </c>
      <c r="AH79" t="str">
        <f>IF($AF79="","",IFERROR(SUMIFS(SummaryHelper!$H$2:$H$5000,SummaryHelper!$A$2:$A$5000,$AE79,SummaryHelper!$B$2:$B$5000,$AF79,SummaryHelper!$C$2:$C$5000,$AG79)/SUMIFS(SummaryHelper!$G$2:$G$5000,SummaryHelper!$A$2:$A$5000,$AE79,SummaryHelper!$B$2:$B$5000,$AF79,SummaryHelper!$C$2:$C$5000,$AG79),""))</f>
        <v/>
      </c>
      <c r="AI79" t="str">
        <f>IF($AF79="","",SUMIFS(SummaryHelper!$E$2:$E$5000,SummaryHelper!$A$2:$A$5000,$AE79,SummaryHelper!$B$2:$B$5000,$AF79,SummaryHelper!$C$2:$C$5000,$AG79))</f>
        <v/>
      </c>
      <c r="AJ79" t="str">
        <f>IF($AF79="","",SUMIFS(SummaryHelper!$F$2:$F$5000,SummaryHelper!$A$2:$A$5000,$AE79,SummaryHelper!$B$2:$B$5000,$AF79,SummaryHelper!$C$2:$C$5000,$AG79))</f>
        <v/>
      </c>
      <c r="AK79" t="str">
        <f>IF($AF79="","",SUMIFS(SummaryHelper!$G$2:$G$5000,SummaryHelper!$A$2:$A$5000,$AE79,SummaryHelper!$B$2:$B$5000,$AF79,SummaryHelper!$C$2:$C$5000,$AG79))</f>
        <v/>
      </c>
      <c r="AM79" t="str">
        <f t="shared" si="22"/>
        <v/>
      </c>
      <c r="AN79" t="str">
        <f t="shared" si="23"/>
        <v/>
      </c>
    </row>
    <row r="80" spans="1:40" x14ac:dyDescent="0.25">
      <c r="A80" s="12"/>
      <c r="B80" s="12" t="str">
        <f t="shared" si="12"/>
        <v/>
      </c>
      <c r="C80" s="9" t="str">
        <f t="shared" ca="1" si="13"/>
        <v/>
      </c>
      <c r="D80" s="9" t="str">
        <f t="shared" ca="1" si="14"/>
        <v/>
      </c>
      <c r="E80" s="9" t="str">
        <f t="shared" ca="1" si="15"/>
        <v/>
      </c>
      <c r="F80" s="9" t="str">
        <f t="shared" si="16"/>
        <v/>
      </c>
      <c r="G80" s="9" t="str">
        <f t="shared" si="17"/>
        <v/>
      </c>
      <c r="L80" s="9" t="str">
        <f>IF($J80="","",IFERROR(SUMIFS(SummaryHelper!$H$2:$H$5000,SummaryHelper!$A$2:$A$5000,$I80,SummaryHelper!$B$2:$B$5000,$J80,SummaryHelper!$C$2:$C$5000,$K80)/SUMIFS(SummaryHelper!$G$2:$G$5000,SummaryHelper!$A$2:$A$5000,$I80,SummaryHelper!$B$2:$B$5000,$J80,SummaryHelper!$C$2:$C$5000,$K80),""))</f>
        <v/>
      </c>
      <c r="M80" s="9" t="str">
        <f>IF($J80="","",SUMIFS(SummaryHelper!$E$2:$E$5000,SummaryHelper!$A$2:$A$5000,$I80,SummaryHelper!$B$2:$B$5000,$J80,SummaryHelper!$C$2:$C$5000,$K80))</f>
        <v/>
      </c>
      <c r="N80" s="9" t="str">
        <f>IF($J80="","",SUMIFS(SummaryHelper!$F$2:$F$5000,SummaryHelper!$A$2:$A$5000,$I80,SummaryHelper!$B$2:$B$5000,$J80,SummaryHelper!$C$2:$C$5000,$K80))</f>
        <v/>
      </c>
      <c r="O80" s="9" t="str">
        <f>IF($J80="","",SUMIFS(SummaryHelper!$G$2:$G$5000,SummaryHelper!$A$2:$A$5000,$I80,SummaryHelper!$B$2:$B$5000,$J80,SummaryHelper!$C$2:$C$5000,$K80))</f>
        <v/>
      </c>
      <c r="Q80" s="9" t="str">
        <f t="shared" si="18"/>
        <v/>
      </c>
      <c r="R80" s="9" t="str">
        <f t="shared" si="19"/>
        <v/>
      </c>
      <c r="W80" s="9" t="str">
        <f>IF($U80="","",IFERROR(SUMIFS(SummaryHelper!$H$2:$H$5000,SummaryHelper!$A$2:$A$5000,$T80,SummaryHelper!$B$2:$B$5000,$U80,SummaryHelper!$C$2:$C$5000,$V80)/SUMIFS(SummaryHelper!$G$2:$G$5000,SummaryHelper!$A$2:$A$5000,$T80,SummaryHelper!$B$2:$B$5000,$U80,SummaryHelper!$C$2:$C$5000,$V80),""))</f>
        <v/>
      </c>
      <c r="X80" s="9" t="str">
        <f>IF($U80="","",SUMIFS(SummaryHelper!$E$2:$E$5000,SummaryHelper!$A$2:$A$5000,$T80,SummaryHelper!$B$2:$B$5000,$U80,SummaryHelper!$C$2:$C$5000,$V80))</f>
        <v/>
      </c>
      <c r="Y80" s="9" t="str">
        <f>IF($U80="","",SUMIFS(SummaryHelper!$F$2:$F$5000,SummaryHelper!$A$2:$A$5000,$T80,SummaryHelper!$B$2:$B$5000,$U80,SummaryHelper!$C$2:$C$5000,$V80))</f>
        <v/>
      </c>
      <c r="Z80" s="9" t="s">
        <v>489</v>
      </c>
      <c r="AB80" s="9" t="str">
        <f t="shared" si="20"/>
        <v/>
      </c>
      <c r="AC80" s="9" t="str">
        <f t="shared" si="21"/>
        <v/>
      </c>
      <c r="AH80" t="str">
        <f>IF($AF80="","",IFERROR(SUMIFS(SummaryHelper!$H$2:$H$5000,SummaryHelper!$A$2:$A$5000,$AE80,SummaryHelper!$B$2:$B$5000,$AF80,SummaryHelper!$C$2:$C$5000,$AG80)/SUMIFS(SummaryHelper!$G$2:$G$5000,SummaryHelper!$A$2:$A$5000,$AE80,SummaryHelper!$B$2:$B$5000,$AF80,SummaryHelper!$C$2:$C$5000,$AG80),""))</f>
        <v/>
      </c>
      <c r="AI80" t="str">
        <f>IF($AF80="","",SUMIFS(SummaryHelper!$E$2:$E$5000,SummaryHelper!$A$2:$A$5000,$AE80,SummaryHelper!$B$2:$B$5000,$AF80,SummaryHelper!$C$2:$C$5000,$AG80))</f>
        <v/>
      </c>
      <c r="AJ80" t="str">
        <f>IF($AF80="","",SUMIFS(SummaryHelper!$F$2:$F$5000,SummaryHelper!$A$2:$A$5000,$AE80,SummaryHelper!$B$2:$B$5000,$AF80,SummaryHelper!$C$2:$C$5000,$AG80))</f>
        <v/>
      </c>
      <c r="AK80" t="str">
        <f>IF($AF80="","",SUMIFS(SummaryHelper!$G$2:$G$5000,SummaryHelper!$A$2:$A$5000,$AE80,SummaryHelper!$B$2:$B$5000,$AF80,SummaryHelper!$C$2:$C$5000,$AG80))</f>
        <v/>
      </c>
      <c r="AM80" t="str">
        <f t="shared" si="22"/>
        <v/>
      </c>
      <c r="AN80" t="str">
        <f t="shared" si="23"/>
        <v/>
      </c>
    </row>
    <row r="81" spans="1:40" x14ac:dyDescent="0.25">
      <c r="A81" s="12"/>
      <c r="B81" s="12" t="str">
        <f t="shared" si="12"/>
        <v/>
      </c>
      <c r="C81" s="9" t="str">
        <f t="shared" ca="1" si="13"/>
        <v/>
      </c>
      <c r="D81" s="9" t="str">
        <f t="shared" ca="1" si="14"/>
        <v/>
      </c>
      <c r="E81" s="9" t="str">
        <f t="shared" ca="1" si="15"/>
        <v/>
      </c>
      <c r="F81" s="9" t="str">
        <f t="shared" si="16"/>
        <v/>
      </c>
      <c r="G81" s="9" t="str">
        <f t="shared" si="17"/>
        <v/>
      </c>
      <c r="L81" s="9" t="str">
        <f>IF($J81="","",IFERROR(SUMIFS(SummaryHelper!$H$2:$H$5000,SummaryHelper!$A$2:$A$5000,$I81,SummaryHelper!$B$2:$B$5000,$J81,SummaryHelper!$C$2:$C$5000,$K81)/SUMIFS(SummaryHelper!$G$2:$G$5000,SummaryHelper!$A$2:$A$5000,$I81,SummaryHelper!$B$2:$B$5000,$J81,SummaryHelper!$C$2:$C$5000,$K81),""))</f>
        <v/>
      </c>
      <c r="M81" s="9" t="str">
        <f>IF($J81="","",SUMIFS(SummaryHelper!$E$2:$E$5000,SummaryHelper!$A$2:$A$5000,$I81,SummaryHelper!$B$2:$B$5000,$J81,SummaryHelper!$C$2:$C$5000,$K81))</f>
        <v/>
      </c>
      <c r="N81" s="9" t="str">
        <f>IF($J81="","",SUMIFS(SummaryHelper!$F$2:$F$5000,SummaryHelper!$A$2:$A$5000,$I81,SummaryHelper!$B$2:$B$5000,$J81,SummaryHelper!$C$2:$C$5000,$K81))</f>
        <v/>
      </c>
      <c r="O81" s="9" t="str">
        <f>IF($J81="","",SUMIFS(SummaryHelper!$G$2:$G$5000,SummaryHelper!$A$2:$A$5000,$I81,SummaryHelper!$B$2:$B$5000,$J81,SummaryHelper!$C$2:$C$5000,$K81))</f>
        <v/>
      </c>
      <c r="Q81" s="9" t="str">
        <f t="shared" si="18"/>
        <v/>
      </c>
      <c r="R81" s="9" t="str">
        <f t="shared" si="19"/>
        <v/>
      </c>
      <c r="W81" s="9" t="str">
        <f>IF($U81="","",IFERROR(SUMIFS(SummaryHelper!$H$2:$H$5000,SummaryHelper!$A$2:$A$5000,$T81,SummaryHelper!$B$2:$B$5000,$U81,SummaryHelper!$C$2:$C$5000,$V81)/SUMIFS(SummaryHelper!$G$2:$G$5000,SummaryHelper!$A$2:$A$5000,$T81,SummaryHelper!$B$2:$B$5000,$U81,SummaryHelper!$C$2:$C$5000,$V81),""))</f>
        <v/>
      </c>
      <c r="X81" s="9" t="str">
        <f>IF($U81="","",SUMIFS(SummaryHelper!$E$2:$E$5000,SummaryHelper!$A$2:$A$5000,$T81,SummaryHelper!$B$2:$B$5000,$U81,SummaryHelper!$C$2:$C$5000,$V81))</f>
        <v/>
      </c>
      <c r="Y81" s="9" t="str">
        <f>IF($U81="","",SUMIFS(SummaryHelper!$F$2:$F$5000,SummaryHelper!$A$2:$A$5000,$T81,SummaryHelper!$B$2:$B$5000,$U81,SummaryHelper!$C$2:$C$5000,$V81))</f>
        <v/>
      </c>
      <c r="Z81" s="9" t="s">
        <v>489</v>
      </c>
      <c r="AB81" s="9" t="str">
        <f t="shared" si="20"/>
        <v/>
      </c>
      <c r="AC81" s="9" t="str">
        <f t="shared" si="21"/>
        <v/>
      </c>
      <c r="AH81" t="str">
        <f>IF($AF81="","",IFERROR(SUMIFS(SummaryHelper!$H$2:$H$5000,SummaryHelper!$A$2:$A$5000,$AE81,SummaryHelper!$B$2:$B$5000,$AF81,SummaryHelper!$C$2:$C$5000,$AG81)/SUMIFS(SummaryHelper!$G$2:$G$5000,SummaryHelper!$A$2:$A$5000,$AE81,SummaryHelper!$B$2:$B$5000,$AF81,SummaryHelper!$C$2:$C$5000,$AG81),""))</f>
        <v/>
      </c>
      <c r="AI81" t="str">
        <f>IF($AF81="","",SUMIFS(SummaryHelper!$E$2:$E$5000,SummaryHelper!$A$2:$A$5000,$AE81,SummaryHelper!$B$2:$B$5000,$AF81,SummaryHelper!$C$2:$C$5000,$AG81))</f>
        <v/>
      </c>
      <c r="AJ81" t="str">
        <f>IF($AF81="","",SUMIFS(SummaryHelper!$F$2:$F$5000,SummaryHelper!$A$2:$A$5000,$AE81,SummaryHelper!$B$2:$B$5000,$AF81,SummaryHelper!$C$2:$C$5000,$AG81))</f>
        <v/>
      </c>
      <c r="AK81" t="str">
        <f>IF($AF81="","",SUMIFS(SummaryHelper!$G$2:$G$5000,SummaryHelper!$A$2:$A$5000,$AE81,SummaryHelper!$B$2:$B$5000,$AF81,SummaryHelper!$C$2:$C$5000,$AG81))</f>
        <v/>
      </c>
      <c r="AM81" t="str">
        <f t="shared" si="22"/>
        <v/>
      </c>
      <c r="AN81" t="str">
        <f t="shared" si="23"/>
        <v/>
      </c>
    </row>
    <row r="82" spans="1:40" x14ac:dyDescent="0.25">
      <c r="A82" s="12"/>
      <c r="B82" s="12" t="str">
        <f t="shared" si="12"/>
        <v/>
      </c>
      <c r="C82" s="9" t="str">
        <f t="shared" ca="1" si="13"/>
        <v/>
      </c>
      <c r="D82" s="9" t="str">
        <f t="shared" ca="1" si="14"/>
        <v/>
      </c>
      <c r="E82" s="9" t="str">
        <f t="shared" ca="1" si="15"/>
        <v/>
      </c>
      <c r="F82" s="9" t="str">
        <f t="shared" si="16"/>
        <v/>
      </c>
      <c r="G82" s="9" t="str">
        <f t="shared" si="17"/>
        <v/>
      </c>
      <c r="L82" s="9" t="str">
        <f>IF($J82="","",IFERROR(SUMIFS(SummaryHelper!$H$2:$H$5000,SummaryHelper!$A$2:$A$5000,$I82,SummaryHelper!$B$2:$B$5000,$J82,SummaryHelper!$C$2:$C$5000,$K82)/SUMIFS(SummaryHelper!$G$2:$G$5000,SummaryHelper!$A$2:$A$5000,$I82,SummaryHelper!$B$2:$B$5000,$J82,SummaryHelper!$C$2:$C$5000,$K82),""))</f>
        <v/>
      </c>
      <c r="M82" s="9" t="str">
        <f>IF($J82="","",SUMIFS(SummaryHelper!$E$2:$E$5000,SummaryHelper!$A$2:$A$5000,$I82,SummaryHelper!$B$2:$B$5000,$J82,SummaryHelper!$C$2:$C$5000,$K82))</f>
        <v/>
      </c>
      <c r="N82" s="9" t="str">
        <f>IF($J82="","",SUMIFS(SummaryHelper!$F$2:$F$5000,SummaryHelper!$A$2:$A$5000,$I82,SummaryHelper!$B$2:$B$5000,$J82,SummaryHelper!$C$2:$C$5000,$K82))</f>
        <v/>
      </c>
      <c r="O82" s="9" t="str">
        <f>IF($J82="","",SUMIFS(SummaryHelper!$G$2:$G$5000,SummaryHelper!$A$2:$A$5000,$I82,SummaryHelper!$B$2:$B$5000,$J82,SummaryHelper!$C$2:$C$5000,$K82))</f>
        <v/>
      </c>
      <c r="Q82" s="9" t="str">
        <f t="shared" si="18"/>
        <v/>
      </c>
      <c r="R82" s="9" t="str">
        <f t="shared" si="19"/>
        <v/>
      </c>
      <c r="W82" s="9" t="str">
        <f>IF($U82="","",IFERROR(SUMIFS(SummaryHelper!$H$2:$H$5000,SummaryHelper!$A$2:$A$5000,$T82,SummaryHelper!$B$2:$B$5000,$U82,SummaryHelper!$C$2:$C$5000,$V82)/SUMIFS(SummaryHelper!$G$2:$G$5000,SummaryHelper!$A$2:$A$5000,$T82,SummaryHelper!$B$2:$B$5000,$U82,SummaryHelper!$C$2:$C$5000,$V82),""))</f>
        <v/>
      </c>
      <c r="X82" s="9" t="str">
        <f>IF($U82="","",SUMIFS(SummaryHelper!$E$2:$E$5000,SummaryHelper!$A$2:$A$5000,$T82,SummaryHelper!$B$2:$B$5000,$U82,SummaryHelper!$C$2:$C$5000,$V82))</f>
        <v/>
      </c>
      <c r="Y82" s="9" t="str">
        <f>IF($U82="","",SUMIFS(SummaryHelper!$F$2:$F$5000,SummaryHelper!$A$2:$A$5000,$T82,SummaryHelper!$B$2:$B$5000,$U82,SummaryHelper!$C$2:$C$5000,$V82))</f>
        <v/>
      </c>
      <c r="Z82" s="9" t="s">
        <v>489</v>
      </c>
      <c r="AB82" s="9" t="str">
        <f t="shared" si="20"/>
        <v/>
      </c>
      <c r="AC82" s="9" t="str">
        <f t="shared" si="21"/>
        <v/>
      </c>
      <c r="AH82" t="str">
        <f>IF($AF82="","",IFERROR(SUMIFS(SummaryHelper!$H$2:$H$5000,SummaryHelper!$A$2:$A$5000,$AE82,SummaryHelper!$B$2:$B$5000,$AF82,SummaryHelper!$C$2:$C$5000,$AG82)/SUMIFS(SummaryHelper!$G$2:$G$5000,SummaryHelper!$A$2:$A$5000,$AE82,SummaryHelper!$B$2:$B$5000,$AF82,SummaryHelper!$C$2:$C$5000,$AG82),""))</f>
        <v/>
      </c>
      <c r="AI82" t="str">
        <f>IF($AF82="","",SUMIFS(SummaryHelper!$E$2:$E$5000,SummaryHelper!$A$2:$A$5000,$AE82,SummaryHelper!$B$2:$B$5000,$AF82,SummaryHelper!$C$2:$C$5000,$AG82))</f>
        <v/>
      </c>
      <c r="AJ82" t="str">
        <f>IF($AF82="","",SUMIFS(SummaryHelper!$F$2:$F$5000,SummaryHelper!$A$2:$A$5000,$AE82,SummaryHelper!$B$2:$B$5000,$AF82,SummaryHelper!$C$2:$C$5000,$AG82))</f>
        <v/>
      </c>
      <c r="AK82" t="str">
        <f>IF($AF82="","",SUMIFS(SummaryHelper!$G$2:$G$5000,SummaryHelper!$A$2:$A$5000,$AE82,SummaryHelper!$B$2:$B$5000,$AF82,SummaryHelper!$C$2:$C$5000,$AG82))</f>
        <v/>
      </c>
      <c r="AM82" t="str">
        <f t="shared" si="22"/>
        <v/>
      </c>
      <c r="AN82" t="str">
        <f t="shared" si="23"/>
        <v/>
      </c>
    </row>
    <row r="83" spans="1:40" x14ac:dyDescent="0.25">
      <c r="A83" s="12"/>
      <c r="B83" s="12" t="str">
        <f t="shared" si="12"/>
        <v/>
      </c>
      <c r="C83" s="9" t="str">
        <f t="shared" ca="1" si="13"/>
        <v/>
      </c>
      <c r="D83" s="9" t="str">
        <f t="shared" ca="1" si="14"/>
        <v/>
      </c>
      <c r="E83" s="9" t="str">
        <f t="shared" ca="1" si="15"/>
        <v/>
      </c>
      <c r="F83" s="9" t="str">
        <f t="shared" si="16"/>
        <v/>
      </c>
      <c r="G83" s="9" t="str">
        <f t="shared" si="17"/>
        <v/>
      </c>
      <c r="L83" s="9" t="str">
        <f>IF($J83="","",IFERROR(SUMIFS(SummaryHelper!$H$2:$H$5000,SummaryHelper!$A$2:$A$5000,$I83,SummaryHelper!$B$2:$B$5000,$J83,SummaryHelper!$C$2:$C$5000,$K83)/SUMIFS(SummaryHelper!$G$2:$G$5000,SummaryHelper!$A$2:$A$5000,$I83,SummaryHelper!$B$2:$B$5000,$J83,SummaryHelper!$C$2:$C$5000,$K83),""))</f>
        <v/>
      </c>
      <c r="M83" s="9" t="str">
        <f>IF($J83="","",SUMIFS(SummaryHelper!$E$2:$E$5000,SummaryHelper!$A$2:$A$5000,$I83,SummaryHelper!$B$2:$B$5000,$J83,SummaryHelper!$C$2:$C$5000,$K83))</f>
        <v/>
      </c>
      <c r="N83" s="9" t="str">
        <f>IF($J83="","",SUMIFS(SummaryHelper!$F$2:$F$5000,SummaryHelper!$A$2:$A$5000,$I83,SummaryHelper!$B$2:$B$5000,$J83,SummaryHelper!$C$2:$C$5000,$K83))</f>
        <v/>
      </c>
      <c r="O83" s="9" t="str">
        <f>IF($J83="","",SUMIFS(SummaryHelper!$G$2:$G$5000,SummaryHelper!$A$2:$A$5000,$I83,SummaryHelper!$B$2:$B$5000,$J83,SummaryHelper!$C$2:$C$5000,$K83))</f>
        <v/>
      </c>
      <c r="Q83" s="9" t="str">
        <f t="shared" si="18"/>
        <v/>
      </c>
      <c r="R83" s="9" t="str">
        <f t="shared" si="19"/>
        <v/>
      </c>
      <c r="W83" s="9" t="str">
        <f>IF($U83="","",IFERROR(SUMIFS(SummaryHelper!$H$2:$H$5000,SummaryHelper!$A$2:$A$5000,$T83,SummaryHelper!$B$2:$B$5000,$U83,SummaryHelper!$C$2:$C$5000,$V83)/SUMIFS(SummaryHelper!$G$2:$G$5000,SummaryHelper!$A$2:$A$5000,$T83,SummaryHelper!$B$2:$B$5000,$U83,SummaryHelper!$C$2:$C$5000,$V83),""))</f>
        <v/>
      </c>
      <c r="X83" s="9" t="str">
        <f>IF($U83="","",SUMIFS(SummaryHelper!$E$2:$E$5000,SummaryHelper!$A$2:$A$5000,$T83,SummaryHelper!$B$2:$B$5000,$U83,SummaryHelper!$C$2:$C$5000,$V83))</f>
        <v/>
      </c>
      <c r="Y83" s="9" t="str">
        <f>IF($U83="","",SUMIFS(SummaryHelper!$F$2:$F$5000,SummaryHelper!$A$2:$A$5000,$T83,SummaryHelper!$B$2:$B$5000,$U83,SummaryHelper!$C$2:$C$5000,$V83))</f>
        <v/>
      </c>
      <c r="Z83" s="9" t="s">
        <v>489</v>
      </c>
      <c r="AB83" s="9" t="str">
        <f t="shared" si="20"/>
        <v/>
      </c>
      <c r="AC83" s="9" t="str">
        <f t="shared" si="21"/>
        <v/>
      </c>
      <c r="AH83" t="str">
        <f>IF($AF83="","",IFERROR(SUMIFS(SummaryHelper!$H$2:$H$5000,SummaryHelper!$A$2:$A$5000,$AE83,SummaryHelper!$B$2:$B$5000,$AF83,SummaryHelper!$C$2:$C$5000,$AG83)/SUMIFS(SummaryHelper!$G$2:$G$5000,SummaryHelper!$A$2:$A$5000,$AE83,SummaryHelper!$B$2:$B$5000,$AF83,SummaryHelper!$C$2:$C$5000,$AG83),""))</f>
        <v/>
      </c>
      <c r="AI83" t="str">
        <f>IF($AF83="","",SUMIFS(SummaryHelper!$E$2:$E$5000,SummaryHelper!$A$2:$A$5000,$AE83,SummaryHelper!$B$2:$B$5000,$AF83,SummaryHelper!$C$2:$C$5000,$AG83))</f>
        <v/>
      </c>
      <c r="AJ83" t="str">
        <f>IF($AF83="","",SUMIFS(SummaryHelper!$F$2:$F$5000,SummaryHelper!$A$2:$A$5000,$AE83,SummaryHelper!$B$2:$B$5000,$AF83,SummaryHelper!$C$2:$C$5000,$AG83))</f>
        <v/>
      </c>
      <c r="AK83" t="str">
        <f>IF($AF83="","",SUMIFS(SummaryHelper!$G$2:$G$5000,SummaryHelper!$A$2:$A$5000,$AE83,SummaryHelper!$B$2:$B$5000,$AF83,SummaryHelper!$C$2:$C$5000,$AG83))</f>
        <v/>
      </c>
      <c r="AM83" t="str">
        <f t="shared" si="22"/>
        <v/>
      </c>
      <c r="AN83" t="str">
        <f t="shared" si="23"/>
        <v/>
      </c>
    </row>
    <row r="84" spans="1:40" x14ac:dyDescent="0.25">
      <c r="A84" s="12"/>
      <c r="B84" s="12" t="str">
        <f t="shared" si="12"/>
        <v/>
      </c>
      <c r="C84" s="9" t="str">
        <f t="shared" ca="1" si="13"/>
        <v/>
      </c>
      <c r="D84" s="9" t="str">
        <f t="shared" ca="1" si="14"/>
        <v/>
      </c>
      <c r="E84" s="9" t="str">
        <f t="shared" ca="1" si="15"/>
        <v/>
      </c>
      <c r="F84" s="9" t="str">
        <f t="shared" si="16"/>
        <v/>
      </c>
      <c r="G84" s="9" t="str">
        <f t="shared" si="17"/>
        <v/>
      </c>
      <c r="L84" s="9" t="str">
        <f>IF($J84="","",IFERROR(SUMIFS(SummaryHelper!$H$2:$H$5000,SummaryHelper!$A$2:$A$5000,$I84,SummaryHelper!$B$2:$B$5000,$J84,SummaryHelper!$C$2:$C$5000,$K84)/SUMIFS(SummaryHelper!$G$2:$G$5000,SummaryHelper!$A$2:$A$5000,$I84,SummaryHelper!$B$2:$B$5000,$J84,SummaryHelper!$C$2:$C$5000,$K84),""))</f>
        <v/>
      </c>
      <c r="M84" s="9" t="str">
        <f>IF($J84="","",SUMIFS(SummaryHelper!$E$2:$E$5000,SummaryHelper!$A$2:$A$5000,$I84,SummaryHelper!$B$2:$B$5000,$J84,SummaryHelper!$C$2:$C$5000,$K84))</f>
        <v/>
      </c>
      <c r="N84" s="9" t="str">
        <f>IF($J84="","",SUMIFS(SummaryHelper!$F$2:$F$5000,SummaryHelper!$A$2:$A$5000,$I84,SummaryHelper!$B$2:$B$5000,$J84,SummaryHelper!$C$2:$C$5000,$K84))</f>
        <v/>
      </c>
      <c r="O84" s="9" t="str">
        <f>IF($J84="","",SUMIFS(SummaryHelper!$G$2:$G$5000,SummaryHelper!$A$2:$A$5000,$I84,SummaryHelper!$B$2:$B$5000,$J84,SummaryHelper!$C$2:$C$5000,$K84))</f>
        <v/>
      </c>
      <c r="Q84" s="9" t="str">
        <f t="shared" si="18"/>
        <v/>
      </c>
      <c r="R84" s="9" t="str">
        <f t="shared" si="19"/>
        <v/>
      </c>
      <c r="W84" s="9" t="str">
        <f>IF($U84="","",IFERROR(SUMIFS(SummaryHelper!$H$2:$H$5000,SummaryHelper!$A$2:$A$5000,$T84,SummaryHelper!$B$2:$B$5000,$U84,SummaryHelper!$C$2:$C$5000,$V84)/SUMIFS(SummaryHelper!$G$2:$G$5000,SummaryHelper!$A$2:$A$5000,$T84,SummaryHelper!$B$2:$B$5000,$U84,SummaryHelper!$C$2:$C$5000,$V84),""))</f>
        <v/>
      </c>
      <c r="X84" s="9" t="str">
        <f>IF($U84="","",SUMIFS(SummaryHelper!$E$2:$E$5000,SummaryHelper!$A$2:$A$5000,$T84,SummaryHelper!$B$2:$B$5000,$U84,SummaryHelper!$C$2:$C$5000,$V84))</f>
        <v/>
      </c>
      <c r="Y84" s="9" t="str">
        <f>IF($U84="","",SUMIFS(SummaryHelper!$F$2:$F$5000,SummaryHelper!$A$2:$A$5000,$T84,SummaryHelper!$B$2:$B$5000,$U84,SummaryHelper!$C$2:$C$5000,$V84))</f>
        <v/>
      </c>
      <c r="Z84" s="9" t="s">
        <v>489</v>
      </c>
      <c r="AB84" s="9" t="str">
        <f t="shared" si="20"/>
        <v/>
      </c>
      <c r="AC84" s="9" t="str">
        <f t="shared" si="21"/>
        <v/>
      </c>
      <c r="AH84" t="str">
        <f>IF($AF84="","",IFERROR(SUMIFS(SummaryHelper!$H$2:$H$5000,SummaryHelper!$A$2:$A$5000,$AE84,SummaryHelper!$B$2:$B$5000,$AF84,SummaryHelper!$C$2:$C$5000,$AG84)/SUMIFS(SummaryHelper!$G$2:$G$5000,SummaryHelper!$A$2:$A$5000,$AE84,SummaryHelper!$B$2:$B$5000,$AF84,SummaryHelper!$C$2:$C$5000,$AG84),""))</f>
        <v/>
      </c>
      <c r="AI84" t="str">
        <f>IF($AF84="","",SUMIFS(SummaryHelper!$E$2:$E$5000,SummaryHelper!$A$2:$A$5000,$AE84,SummaryHelper!$B$2:$B$5000,$AF84,SummaryHelper!$C$2:$C$5000,$AG84))</f>
        <v/>
      </c>
      <c r="AJ84" t="str">
        <f>IF($AF84="","",SUMIFS(SummaryHelper!$F$2:$F$5000,SummaryHelper!$A$2:$A$5000,$AE84,SummaryHelper!$B$2:$B$5000,$AF84,SummaryHelper!$C$2:$C$5000,$AG84))</f>
        <v/>
      </c>
      <c r="AK84" t="str">
        <f>IF($AF84="","",SUMIFS(SummaryHelper!$G$2:$G$5000,SummaryHelper!$A$2:$A$5000,$AE84,SummaryHelper!$B$2:$B$5000,$AF84,SummaryHelper!$C$2:$C$5000,$AG84))</f>
        <v/>
      </c>
      <c r="AM84" t="str">
        <f t="shared" si="22"/>
        <v/>
      </c>
      <c r="AN84" t="str">
        <f t="shared" si="23"/>
        <v/>
      </c>
    </row>
    <row r="85" spans="1:40" x14ac:dyDescent="0.25">
      <c r="A85" s="12"/>
      <c r="B85" s="12" t="str">
        <f t="shared" si="12"/>
        <v/>
      </c>
      <c r="C85" s="9" t="str">
        <f t="shared" ca="1" si="13"/>
        <v/>
      </c>
      <c r="D85" s="9" t="str">
        <f t="shared" ca="1" si="14"/>
        <v/>
      </c>
      <c r="E85" s="9" t="str">
        <f t="shared" ca="1" si="15"/>
        <v/>
      </c>
      <c r="F85" s="9" t="str">
        <f t="shared" si="16"/>
        <v/>
      </c>
      <c r="G85" s="9" t="str">
        <f t="shared" si="17"/>
        <v/>
      </c>
      <c r="L85" s="9" t="str">
        <f>IF($J85="","",IFERROR(SUMIFS(SummaryHelper!$H$2:$H$5000,SummaryHelper!$A$2:$A$5000,$I85,SummaryHelper!$B$2:$B$5000,$J85,SummaryHelper!$C$2:$C$5000,$K85)/SUMIFS(SummaryHelper!$G$2:$G$5000,SummaryHelper!$A$2:$A$5000,$I85,SummaryHelper!$B$2:$B$5000,$J85,SummaryHelper!$C$2:$C$5000,$K85),""))</f>
        <v/>
      </c>
      <c r="M85" s="9" t="str">
        <f>IF($J85="","",SUMIFS(SummaryHelper!$E$2:$E$5000,SummaryHelper!$A$2:$A$5000,$I85,SummaryHelper!$B$2:$B$5000,$J85,SummaryHelper!$C$2:$C$5000,$K85))</f>
        <v/>
      </c>
      <c r="N85" s="9" t="str">
        <f>IF($J85="","",SUMIFS(SummaryHelper!$F$2:$F$5000,SummaryHelper!$A$2:$A$5000,$I85,SummaryHelper!$B$2:$B$5000,$J85,SummaryHelper!$C$2:$C$5000,$K85))</f>
        <v/>
      </c>
      <c r="O85" s="9" t="str">
        <f>IF($J85="","",SUMIFS(SummaryHelper!$G$2:$G$5000,SummaryHelper!$A$2:$A$5000,$I85,SummaryHelper!$B$2:$B$5000,$J85,SummaryHelper!$C$2:$C$5000,$K85))</f>
        <v/>
      </c>
      <c r="Q85" s="9" t="str">
        <f t="shared" si="18"/>
        <v/>
      </c>
      <c r="R85" s="9" t="str">
        <f t="shared" si="19"/>
        <v/>
      </c>
      <c r="W85" s="9" t="str">
        <f>IF($U85="","",IFERROR(SUMIFS(SummaryHelper!$H$2:$H$5000,SummaryHelper!$A$2:$A$5000,$T85,SummaryHelper!$B$2:$B$5000,$U85,SummaryHelper!$C$2:$C$5000,$V85)/SUMIFS(SummaryHelper!$G$2:$G$5000,SummaryHelper!$A$2:$A$5000,$T85,SummaryHelper!$B$2:$B$5000,$U85,SummaryHelper!$C$2:$C$5000,$V85),""))</f>
        <v/>
      </c>
      <c r="X85" s="9" t="str">
        <f>IF($U85="","",SUMIFS(SummaryHelper!$E$2:$E$5000,SummaryHelper!$A$2:$A$5000,$T85,SummaryHelper!$B$2:$B$5000,$U85,SummaryHelper!$C$2:$C$5000,$V85))</f>
        <v/>
      </c>
      <c r="Y85" s="9" t="str">
        <f>IF($U85="","",SUMIFS(SummaryHelper!$F$2:$F$5000,SummaryHelper!$A$2:$A$5000,$T85,SummaryHelper!$B$2:$B$5000,$U85,SummaryHelper!$C$2:$C$5000,$V85))</f>
        <v/>
      </c>
      <c r="Z85" s="9" t="s">
        <v>489</v>
      </c>
      <c r="AB85" s="9" t="str">
        <f t="shared" si="20"/>
        <v/>
      </c>
      <c r="AC85" s="9" t="str">
        <f t="shared" si="21"/>
        <v/>
      </c>
      <c r="AH85" t="str">
        <f>IF($AF85="","",IFERROR(SUMIFS(SummaryHelper!$H$2:$H$5000,SummaryHelper!$A$2:$A$5000,$AE85,SummaryHelper!$B$2:$B$5000,$AF85,SummaryHelper!$C$2:$C$5000,$AG85)/SUMIFS(SummaryHelper!$G$2:$G$5000,SummaryHelper!$A$2:$A$5000,$AE85,SummaryHelper!$B$2:$B$5000,$AF85,SummaryHelper!$C$2:$C$5000,$AG85),""))</f>
        <v/>
      </c>
      <c r="AI85" t="str">
        <f>IF($AF85="","",SUMIFS(SummaryHelper!$E$2:$E$5000,SummaryHelper!$A$2:$A$5000,$AE85,SummaryHelper!$B$2:$B$5000,$AF85,SummaryHelper!$C$2:$C$5000,$AG85))</f>
        <v/>
      </c>
      <c r="AJ85" t="str">
        <f>IF($AF85="","",SUMIFS(SummaryHelper!$F$2:$F$5000,SummaryHelper!$A$2:$A$5000,$AE85,SummaryHelper!$B$2:$B$5000,$AF85,SummaryHelper!$C$2:$C$5000,$AG85))</f>
        <v/>
      </c>
      <c r="AK85" t="str">
        <f>IF($AF85="","",SUMIFS(SummaryHelper!$G$2:$G$5000,SummaryHelper!$A$2:$A$5000,$AE85,SummaryHelper!$B$2:$B$5000,$AF85,SummaryHelper!$C$2:$C$5000,$AG85))</f>
        <v/>
      </c>
      <c r="AM85" t="str">
        <f t="shared" si="22"/>
        <v/>
      </c>
      <c r="AN85" t="str">
        <f t="shared" si="23"/>
        <v/>
      </c>
    </row>
    <row r="86" spans="1:40" x14ac:dyDescent="0.25">
      <c r="A86" s="12"/>
      <c r="B86" s="12" t="str">
        <f t="shared" si="12"/>
        <v/>
      </c>
      <c r="C86" s="9" t="str">
        <f t="shared" ca="1" si="13"/>
        <v/>
      </c>
      <c r="D86" s="9" t="str">
        <f t="shared" ca="1" si="14"/>
        <v/>
      </c>
      <c r="E86" s="9" t="str">
        <f t="shared" ca="1" si="15"/>
        <v/>
      </c>
      <c r="F86" s="9" t="str">
        <f t="shared" si="16"/>
        <v/>
      </c>
      <c r="G86" s="9" t="str">
        <f t="shared" si="17"/>
        <v/>
      </c>
      <c r="L86" s="9" t="str">
        <f>IF($J86="","",IFERROR(SUMIFS(SummaryHelper!$H$2:$H$5000,SummaryHelper!$A$2:$A$5000,$I86,SummaryHelper!$B$2:$B$5000,$J86,SummaryHelper!$C$2:$C$5000,$K86)/SUMIFS(SummaryHelper!$G$2:$G$5000,SummaryHelper!$A$2:$A$5000,$I86,SummaryHelper!$B$2:$B$5000,$J86,SummaryHelper!$C$2:$C$5000,$K86),""))</f>
        <v/>
      </c>
      <c r="M86" s="9" t="str">
        <f>IF($J86="","",SUMIFS(SummaryHelper!$E$2:$E$5000,SummaryHelper!$A$2:$A$5000,$I86,SummaryHelper!$B$2:$B$5000,$J86,SummaryHelper!$C$2:$C$5000,$K86))</f>
        <v/>
      </c>
      <c r="N86" s="9" t="str">
        <f>IF($J86="","",SUMIFS(SummaryHelper!$F$2:$F$5000,SummaryHelper!$A$2:$A$5000,$I86,SummaryHelper!$B$2:$B$5000,$J86,SummaryHelper!$C$2:$C$5000,$K86))</f>
        <v/>
      </c>
      <c r="O86" s="9" t="str">
        <f>IF($J86="","",SUMIFS(SummaryHelper!$G$2:$G$5000,SummaryHelper!$A$2:$A$5000,$I86,SummaryHelper!$B$2:$B$5000,$J86,SummaryHelper!$C$2:$C$5000,$K86))</f>
        <v/>
      </c>
      <c r="Q86" s="9" t="str">
        <f t="shared" si="18"/>
        <v/>
      </c>
      <c r="R86" s="9" t="str">
        <f t="shared" si="19"/>
        <v/>
      </c>
      <c r="W86" s="9" t="str">
        <f>IF($U86="","",IFERROR(SUMIFS(SummaryHelper!$H$2:$H$5000,SummaryHelper!$A$2:$A$5000,$T86,SummaryHelper!$B$2:$B$5000,$U86,SummaryHelper!$C$2:$C$5000,$V86)/SUMIFS(SummaryHelper!$G$2:$G$5000,SummaryHelper!$A$2:$A$5000,$T86,SummaryHelper!$B$2:$B$5000,$U86,SummaryHelper!$C$2:$C$5000,$V86),""))</f>
        <v/>
      </c>
      <c r="X86" s="9" t="str">
        <f>IF($U86="","",SUMIFS(SummaryHelper!$E$2:$E$5000,SummaryHelper!$A$2:$A$5000,$T86,SummaryHelper!$B$2:$B$5000,$U86,SummaryHelper!$C$2:$C$5000,$V86))</f>
        <v/>
      </c>
      <c r="Y86" s="9" t="str">
        <f>IF($U86="","",SUMIFS(SummaryHelper!$F$2:$F$5000,SummaryHelper!$A$2:$A$5000,$T86,SummaryHelper!$B$2:$B$5000,$U86,SummaryHelper!$C$2:$C$5000,$V86))</f>
        <v/>
      </c>
      <c r="Z86" s="9" t="s">
        <v>489</v>
      </c>
      <c r="AB86" s="9" t="str">
        <f t="shared" si="20"/>
        <v/>
      </c>
      <c r="AC86" s="9" t="str">
        <f t="shared" si="21"/>
        <v/>
      </c>
      <c r="AH86" t="str">
        <f>IF($AF86="","",IFERROR(SUMIFS(SummaryHelper!$H$2:$H$5000,SummaryHelper!$A$2:$A$5000,$AE86,SummaryHelper!$B$2:$B$5000,$AF86,SummaryHelper!$C$2:$C$5000,$AG86)/SUMIFS(SummaryHelper!$G$2:$G$5000,SummaryHelper!$A$2:$A$5000,$AE86,SummaryHelper!$B$2:$B$5000,$AF86,SummaryHelper!$C$2:$C$5000,$AG86),""))</f>
        <v/>
      </c>
      <c r="AI86" t="str">
        <f>IF($AF86="","",SUMIFS(SummaryHelper!$E$2:$E$5000,SummaryHelper!$A$2:$A$5000,$AE86,SummaryHelper!$B$2:$B$5000,$AF86,SummaryHelper!$C$2:$C$5000,$AG86))</f>
        <v/>
      </c>
      <c r="AJ86" t="str">
        <f>IF($AF86="","",SUMIFS(SummaryHelper!$F$2:$F$5000,SummaryHelper!$A$2:$A$5000,$AE86,SummaryHelper!$B$2:$B$5000,$AF86,SummaryHelper!$C$2:$C$5000,$AG86))</f>
        <v/>
      </c>
      <c r="AK86" t="str">
        <f>IF($AF86="","",SUMIFS(SummaryHelper!$G$2:$G$5000,SummaryHelper!$A$2:$A$5000,$AE86,SummaryHelper!$B$2:$B$5000,$AF86,SummaryHelper!$C$2:$C$5000,$AG86))</f>
        <v/>
      </c>
      <c r="AM86" t="str">
        <f t="shared" si="22"/>
        <v/>
      </c>
      <c r="AN86" t="str">
        <f t="shared" si="23"/>
        <v/>
      </c>
    </row>
    <row r="87" spans="1:40" x14ac:dyDescent="0.25">
      <c r="A87" s="12"/>
      <c r="B87" s="12" t="str">
        <f t="shared" si="12"/>
        <v/>
      </c>
      <c r="C87" s="9" t="str">
        <f t="shared" ca="1" si="13"/>
        <v/>
      </c>
      <c r="D87" s="9" t="str">
        <f t="shared" ca="1" si="14"/>
        <v/>
      </c>
      <c r="E87" s="9" t="str">
        <f t="shared" ca="1" si="15"/>
        <v/>
      </c>
      <c r="F87" s="9" t="str">
        <f t="shared" si="16"/>
        <v/>
      </c>
      <c r="G87" s="9" t="str">
        <f t="shared" si="17"/>
        <v/>
      </c>
      <c r="L87" s="9" t="str">
        <f>IF($J87="","",IFERROR(SUMIFS(SummaryHelper!$H$2:$H$5000,SummaryHelper!$A$2:$A$5000,$I87,SummaryHelper!$B$2:$B$5000,$J87,SummaryHelper!$C$2:$C$5000,$K87)/SUMIFS(SummaryHelper!$G$2:$G$5000,SummaryHelper!$A$2:$A$5000,$I87,SummaryHelper!$B$2:$B$5000,$J87,SummaryHelper!$C$2:$C$5000,$K87),""))</f>
        <v/>
      </c>
      <c r="M87" s="9" t="str">
        <f>IF($J87="","",SUMIFS(SummaryHelper!$E$2:$E$5000,SummaryHelper!$A$2:$A$5000,$I87,SummaryHelper!$B$2:$B$5000,$J87,SummaryHelper!$C$2:$C$5000,$K87))</f>
        <v/>
      </c>
      <c r="N87" s="9" t="str">
        <f>IF($J87="","",SUMIFS(SummaryHelper!$F$2:$F$5000,SummaryHelper!$A$2:$A$5000,$I87,SummaryHelper!$B$2:$B$5000,$J87,SummaryHelper!$C$2:$C$5000,$K87))</f>
        <v/>
      </c>
      <c r="O87" s="9" t="str">
        <f>IF($J87="","",SUMIFS(SummaryHelper!$G$2:$G$5000,SummaryHelper!$A$2:$A$5000,$I87,SummaryHelper!$B$2:$B$5000,$J87,SummaryHelper!$C$2:$C$5000,$K87))</f>
        <v/>
      </c>
      <c r="Q87" s="9" t="str">
        <f t="shared" si="18"/>
        <v/>
      </c>
      <c r="R87" s="9" t="str">
        <f t="shared" si="19"/>
        <v/>
      </c>
      <c r="W87" s="9" t="str">
        <f>IF($U87="","",IFERROR(SUMIFS(SummaryHelper!$H$2:$H$5000,SummaryHelper!$A$2:$A$5000,$T87,SummaryHelper!$B$2:$B$5000,$U87,SummaryHelper!$C$2:$C$5000,$V87)/SUMIFS(SummaryHelper!$G$2:$G$5000,SummaryHelper!$A$2:$A$5000,$T87,SummaryHelper!$B$2:$B$5000,$U87,SummaryHelper!$C$2:$C$5000,$V87),""))</f>
        <v/>
      </c>
      <c r="X87" s="9" t="str">
        <f>IF($U87="","",SUMIFS(SummaryHelper!$E$2:$E$5000,SummaryHelper!$A$2:$A$5000,$T87,SummaryHelper!$B$2:$B$5000,$U87,SummaryHelper!$C$2:$C$5000,$V87))</f>
        <v/>
      </c>
      <c r="Y87" s="9" t="str">
        <f>IF($U87="","",SUMIFS(SummaryHelper!$F$2:$F$5000,SummaryHelper!$A$2:$A$5000,$T87,SummaryHelper!$B$2:$B$5000,$U87,SummaryHelper!$C$2:$C$5000,$V87))</f>
        <v/>
      </c>
      <c r="Z87" s="9" t="s">
        <v>489</v>
      </c>
      <c r="AB87" s="9" t="str">
        <f t="shared" si="20"/>
        <v/>
      </c>
      <c r="AC87" s="9" t="str">
        <f t="shared" si="21"/>
        <v/>
      </c>
      <c r="AH87" t="str">
        <f>IF($AF87="","",IFERROR(SUMIFS(SummaryHelper!$H$2:$H$5000,SummaryHelper!$A$2:$A$5000,$AE87,SummaryHelper!$B$2:$B$5000,$AF87,SummaryHelper!$C$2:$C$5000,$AG87)/SUMIFS(SummaryHelper!$G$2:$G$5000,SummaryHelper!$A$2:$A$5000,$AE87,SummaryHelper!$B$2:$B$5000,$AF87,SummaryHelper!$C$2:$C$5000,$AG87),""))</f>
        <v/>
      </c>
      <c r="AI87" t="str">
        <f>IF($AF87="","",SUMIFS(SummaryHelper!$E$2:$E$5000,SummaryHelper!$A$2:$A$5000,$AE87,SummaryHelper!$B$2:$B$5000,$AF87,SummaryHelper!$C$2:$C$5000,$AG87))</f>
        <v/>
      </c>
      <c r="AJ87" t="str">
        <f>IF($AF87="","",SUMIFS(SummaryHelper!$F$2:$F$5000,SummaryHelper!$A$2:$A$5000,$AE87,SummaryHelper!$B$2:$B$5000,$AF87,SummaryHelper!$C$2:$C$5000,$AG87))</f>
        <v/>
      </c>
      <c r="AK87" t="str">
        <f>IF($AF87="","",SUMIFS(SummaryHelper!$G$2:$G$5000,SummaryHelper!$A$2:$A$5000,$AE87,SummaryHelper!$B$2:$B$5000,$AF87,SummaryHelper!$C$2:$C$5000,$AG87))</f>
        <v/>
      </c>
      <c r="AM87" t="str">
        <f t="shared" si="22"/>
        <v/>
      </c>
      <c r="AN87" t="str">
        <f t="shared" si="23"/>
        <v/>
      </c>
    </row>
    <row r="88" spans="1:40" x14ac:dyDescent="0.25">
      <c r="A88" s="12"/>
      <c r="B88" s="12" t="str">
        <f t="shared" si="12"/>
        <v/>
      </c>
      <c r="C88" s="9" t="str">
        <f t="shared" ca="1" si="13"/>
        <v/>
      </c>
      <c r="D88" s="9" t="str">
        <f t="shared" ca="1" si="14"/>
        <v/>
      </c>
      <c r="E88" s="9" t="str">
        <f t="shared" ca="1" si="15"/>
        <v/>
      </c>
      <c r="F88" s="9" t="str">
        <f t="shared" si="16"/>
        <v/>
      </c>
      <c r="G88" s="9" t="str">
        <f t="shared" si="17"/>
        <v/>
      </c>
      <c r="L88" s="9" t="str">
        <f>IF($J88="","",IFERROR(SUMIFS(SummaryHelper!$H$2:$H$5000,SummaryHelper!$A$2:$A$5000,$I88,SummaryHelper!$B$2:$B$5000,$J88,SummaryHelper!$C$2:$C$5000,$K88)/SUMIFS(SummaryHelper!$G$2:$G$5000,SummaryHelper!$A$2:$A$5000,$I88,SummaryHelper!$B$2:$B$5000,$J88,SummaryHelper!$C$2:$C$5000,$K88),""))</f>
        <v/>
      </c>
      <c r="M88" s="9" t="str">
        <f>IF($J88="","",SUMIFS(SummaryHelper!$E$2:$E$5000,SummaryHelper!$A$2:$A$5000,$I88,SummaryHelper!$B$2:$B$5000,$J88,SummaryHelper!$C$2:$C$5000,$K88))</f>
        <v/>
      </c>
      <c r="N88" s="9" t="str">
        <f>IF($J88="","",SUMIFS(SummaryHelper!$F$2:$F$5000,SummaryHelper!$A$2:$A$5000,$I88,SummaryHelper!$B$2:$B$5000,$J88,SummaryHelper!$C$2:$C$5000,$K88))</f>
        <v/>
      </c>
      <c r="O88" s="9" t="str">
        <f>IF($J88="","",SUMIFS(SummaryHelper!$G$2:$G$5000,SummaryHelper!$A$2:$A$5000,$I88,SummaryHelper!$B$2:$B$5000,$J88,SummaryHelper!$C$2:$C$5000,$K88))</f>
        <v/>
      </c>
      <c r="Q88" s="9" t="str">
        <f t="shared" si="18"/>
        <v/>
      </c>
      <c r="R88" s="9" t="str">
        <f t="shared" si="19"/>
        <v/>
      </c>
      <c r="W88" s="9" t="str">
        <f>IF($U88="","",IFERROR(SUMIFS(SummaryHelper!$H$2:$H$5000,SummaryHelper!$A$2:$A$5000,$T88,SummaryHelper!$B$2:$B$5000,$U88,SummaryHelper!$C$2:$C$5000,$V88)/SUMIFS(SummaryHelper!$G$2:$G$5000,SummaryHelper!$A$2:$A$5000,$T88,SummaryHelper!$B$2:$B$5000,$U88,SummaryHelper!$C$2:$C$5000,$V88),""))</f>
        <v/>
      </c>
      <c r="X88" s="9" t="str">
        <f>IF($U88="","",SUMIFS(SummaryHelper!$E$2:$E$5000,SummaryHelper!$A$2:$A$5000,$T88,SummaryHelper!$B$2:$B$5000,$U88,SummaryHelper!$C$2:$C$5000,$V88))</f>
        <v/>
      </c>
      <c r="Y88" s="9" t="str">
        <f>IF($U88="","",SUMIFS(SummaryHelper!$F$2:$F$5000,SummaryHelper!$A$2:$A$5000,$T88,SummaryHelper!$B$2:$B$5000,$U88,SummaryHelper!$C$2:$C$5000,$V88))</f>
        <v/>
      </c>
      <c r="Z88" s="9" t="s">
        <v>489</v>
      </c>
      <c r="AB88" s="9" t="str">
        <f t="shared" si="20"/>
        <v/>
      </c>
      <c r="AC88" s="9" t="str">
        <f t="shared" si="21"/>
        <v/>
      </c>
      <c r="AH88" t="str">
        <f>IF($AF88="","",IFERROR(SUMIFS(SummaryHelper!$H$2:$H$5000,SummaryHelper!$A$2:$A$5000,$AE88,SummaryHelper!$B$2:$B$5000,$AF88,SummaryHelper!$C$2:$C$5000,$AG88)/SUMIFS(SummaryHelper!$G$2:$G$5000,SummaryHelper!$A$2:$A$5000,$AE88,SummaryHelper!$B$2:$B$5000,$AF88,SummaryHelper!$C$2:$C$5000,$AG88),""))</f>
        <v/>
      </c>
      <c r="AI88" t="str">
        <f>IF($AF88="","",SUMIFS(SummaryHelper!$E$2:$E$5000,SummaryHelper!$A$2:$A$5000,$AE88,SummaryHelper!$B$2:$B$5000,$AF88,SummaryHelper!$C$2:$C$5000,$AG88))</f>
        <v/>
      </c>
      <c r="AJ88" t="str">
        <f>IF($AF88="","",SUMIFS(SummaryHelper!$F$2:$F$5000,SummaryHelper!$A$2:$A$5000,$AE88,SummaryHelper!$B$2:$B$5000,$AF88,SummaryHelper!$C$2:$C$5000,$AG88))</f>
        <v/>
      </c>
      <c r="AK88" t="str">
        <f>IF($AF88="","",SUMIFS(SummaryHelper!$G$2:$G$5000,SummaryHelper!$A$2:$A$5000,$AE88,SummaryHelper!$B$2:$B$5000,$AF88,SummaryHelper!$C$2:$C$5000,$AG88))</f>
        <v/>
      </c>
      <c r="AM88" t="str">
        <f t="shared" si="22"/>
        <v/>
      </c>
      <c r="AN88" t="str">
        <f t="shared" si="23"/>
        <v/>
      </c>
    </row>
    <row r="89" spans="1:40" x14ac:dyDescent="0.25">
      <c r="A89" s="12"/>
      <c r="B89" s="12" t="str">
        <f t="shared" si="12"/>
        <v/>
      </c>
      <c r="C89" s="9" t="str">
        <f t="shared" ca="1" si="13"/>
        <v/>
      </c>
      <c r="D89" s="9" t="str">
        <f t="shared" ca="1" si="14"/>
        <v/>
      </c>
      <c r="E89" s="9" t="str">
        <f t="shared" ca="1" si="15"/>
        <v/>
      </c>
      <c r="F89" s="9" t="str">
        <f t="shared" si="16"/>
        <v/>
      </c>
      <c r="G89" s="9" t="str">
        <f t="shared" si="17"/>
        <v/>
      </c>
      <c r="L89" s="9" t="str">
        <f>IF($J89="","",IFERROR(SUMIFS(SummaryHelper!$H$2:$H$5000,SummaryHelper!$A$2:$A$5000,$I89,SummaryHelper!$B$2:$B$5000,$J89,SummaryHelper!$C$2:$C$5000,$K89)/SUMIFS(SummaryHelper!$G$2:$G$5000,SummaryHelper!$A$2:$A$5000,$I89,SummaryHelper!$B$2:$B$5000,$J89,SummaryHelper!$C$2:$C$5000,$K89),""))</f>
        <v/>
      </c>
      <c r="M89" s="9" t="str">
        <f>IF($J89="","",SUMIFS(SummaryHelper!$E$2:$E$5000,SummaryHelper!$A$2:$A$5000,$I89,SummaryHelper!$B$2:$B$5000,$J89,SummaryHelper!$C$2:$C$5000,$K89))</f>
        <v/>
      </c>
      <c r="N89" s="9" t="str">
        <f>IF($J89="","",SUMIFS(SummaryHelper!$F$2:$F$5000,SummaryHelper!$A$2:$A$5000,$I89,SummaryHelper!$B$2:$B$5000,$J89,SummaryHelper!$C$2:$C$5000,$K89))</f>
        <v/>
      </c>
      <c r="O89" s="9" t="str">
        <f>IF($J89="","",SUMIFS(SummaryHelper!$G$2:$G$5000,SummaryHelper!$A$2:$A$5000,$I89,SummaryHelper!$B$2:$B$5000,$J89,SummaryHelper!$C$2:$C$5000,$K89))</f>
        <v/>
      </c>
      <c r="Q89" s="9" t="str">
        <f t="shared" si="18"/>
        <v/>
      </c>
      <c r="R89" s="9" t="str">
        <f t="shared" si="19"/>
        <v/>
      </c>
      <c r="W89" s="9" t="str">
        <f>IF($U89="","",IFERROR(SUMIFS(SummaryHelper!$H$2:$H$5000,SummaryHelper!$A$2:$A$5000,$T89,SummaryHelper!$B$2:$B$5000,$U89,SummaryHelper!$C$2:$C$5000,$V89)/SUMIFS(SummaryHelper!$G$2:$G$5000,SummaryHelper!$A$2:$A$5000,$T89,SummaryHelper!$B$2:$B$5000,$U89,SummaryHelper!$C$2:$C$5000,$V89),""))</f>
        <v/>
      </c>
      <c r="X89" s="9" t="str">
        <f>IF($U89="","",SUMIFS(SummaryHelper!$E$2:$E$5000,SummaryHelper!$A$2:$A$5000,$T89,SummaryHelper!$B$2:$B$5000,$U89,SummaryHelper!$C$2:$C$5000,$V89))</f>
        <v/>
      </c>
      <c r="Y89" s="9" t="str">
        <f>IF($U89="","",SUMIFS(SummaryHelper!$F$2:$F$5000,SummaryHelper!$A$2:$A$5000,$T89,SummaryHelper!$B$2:$B$5000,$U89,SummaryHelper!$C$2:$C$5000,$V89))</f>
        <v/>
      </c>
      <c r="Z89" s="9" t="s">
        <v>489</v>
      </c>
      <c r="AB89" s="9" t="str">
        <f t="shared" si="20"/>
        <v/>
      </c>
      <c r="AC89" s="9" t="str">
        <f t="shared" si="21"/>
        <v/>
      </c>
      <c r="AH89" t="str">
        <f>IF($AF89="","",IFERROR(SUMIFS(SummaryHelper!$H$2:$H$5000,SummaryHelper!$A$2:$A$5000,$AE89,SummaryHelper!$B$2:$B$5000,$AF89,SummaryHelper!$C$2:$C$5000,$AG89)/SUMIFS(SummaryHelper!$G$2:$G$5000,SummaryHelper!$A$2:$A$5000,$AE89,SummaryHelper!$B$2:$B$5000,$AF89,SummaryHelper!$C$2:$C$5000,$AG89),""))</f>
        <v/>
      </c>
      <c r="AI89" t="str">
        <f>IF($AF89="","",SUMIFS(SummaryHelper!$E$2:$E$5000,SummaryHelper!$A$2:$A$5000,$AE89,SummaryHelper!$B$2:$B$5000,$AF89,SummaryHelper!$C$2:$C$5000,$AG89))</f>
        <v/>
      </c>
      <c r="AJ89" t="str">
        <f>IF($AF89="","",SUMIFS(SummaryHelper!$F$2:$F$5000,SummaryHelper!$A$2:$A$5000,$AE89,SummaryHelper!$B$2:$B$5000,$AF89,SummaryHelper!$C$2:$C$5000,$AG89))</f>
        <v/>
      </c>
      <c r="AK89" t="str">
        <f>IF($AF89="","",SUMIFS(SummaryHelper!$G$2:$G$5000,SummaryHelper!$A$2:$A$5000,$AE89,SummaryHelper!$B$2:$B$5000,$AF89,SummaryHelper!$C$2:$C$5000,$AG89))</f>
        <v/>
      </c>
      <c r="AM89" t="str">
        <f t="shared" si="22"/>
        <v/>
      </c>
      <c r="AN89" t="str">
        <f t="shared" si="23"/>
        <v/>
      </c>
    </row>
    <row r="90" spans="1:40" x14ac:dyDescent="0.25">
      <c r="A90" s="12"/>
      <c r="B90" s="12" t="str">
        <f t="shared" si="12"/>
        <v/>
      </c>
      <c r="C90" s="9" t="str">
        <f t="shared" ca="1" si="13"/>
        <v/>
      </c>
      <c r="D90" s="9" t="str">
        <f t="shared" ca="1" si="14"/>
        <v/>
      </c>
      <c r="E90" s="9" t="str">
        <f t="shared" ca="1" si="15"/>
        <v/>
      </c>
      <c r="F90" s="9" t="str">
        <f t="shared" si="16"/>
        <v/>
      </c>
      <c r="G90" s="9" t="str">
        <f t="shared" si="17"/>
        <v/>
      </c>
      <c r="L90" s="9" t="str">
        <f>IF($J90="","",IFERROR(SUMIFS(SummaryHelper!$H$2:$H$5000,SummaryHelper!$A$2:$A$5000,$I90,SummaryHelper!$B$2:$B$5000,$J90,SummaryHelper!$C$2:$C$5000,$K90)/SUMIFS(SummaryHelper!$G$2:$G$5000,SummaryHelper!$A$2:$A$5000,$I90,SummaryHelper!$B$2:$B$5000,$J90,SummaryHelper!$C$2:$C$5000,$K90),""))</f>
        <v/>
      </c>
      <c r="M90" s="9" t="str">
        <f>IF($J90="","",SUMIFS(SummaryHelper!$E$2:$E$5000,SummaryHelper!$A$2:$A$5000,$I90,SummaryHelper!$B$2:$B$5000,$J90,SummaryHelper!$C$2:$C$5000,$K90))</f>
        <v/>
      </c>
      <c r="N90" s="9" t="str">
        <f>IF($J90="","",SUMIFS(SummaryHelper!$F$2:$F$5000,SummaryHelper!$A$2:$A$5000,$I90,SummaryHelper!$B$2:$B$5000,$J90,SummaryHelper!$C$2:$C$5000,$K90))</f>
        <v/>
      </c>
      <c r="O90" s="9" t="str">
        <f>IF($J90="","",SUMIFS(SummaryHelper!$G$2:$G$5000,SummaryHelper!$A$2:$A$5000,$I90,SummaryHelper!$B$2:$B$5000,$J90,SummaryHelper!$C$2:$C$5000,$K90))</f>
        <v/>
      </c>
      <c r="Q90" s="9" t="str">
        <f t="shared" si="18"/>
        <v/>
      </c>
      <c r="R90" s="9" t="str">
        <f t="shared" si="19"/>
        <v/>
      </c>
      <c r="W90" s="9" t="str">
        <f>IF($U90="","",IFERROR(SUMIFS(SummaryHelper!$H$2:$H$5000,SummaryHelper!$A$2:$A$5000,$T90,SummaryHelper!$B$2:$B$5000,$U90,SummaryHelper!$C$2:$C$5000,$V90)/SUMIFS(SummaryHelper!$G$2:$G$5000,SummaryHelper!$A$2:$A$5000,$T90,SummaryHelper!$B$2:$B$5000,$U90,SummaryHelper!$C$2:$C$5000,$V90),""))</f>
        <v/>
      </c>
      <c r="X90" s="9" t="str">
        <f>IF($U90="","",SUMIFS(SummaryHelper!$E$2:$E$5000,SummaryHelper!$A$2:$A$5000,$T90,SummaryHelper!$B$2:$B$5000,$U90,SummaryHelper!$C$2:$C$5000,$V90))</f>
        <v/>
      </c>
      <c r="Y90" s="9" t="str">
        <f>IF($U90="","",SUMIFS(SummaryHelper!$F$2:$F$5000,SummaryHelper!$A$2:$A$5000,$T90,SummaryHelper!$B$2:$B$5000,$U90,SummaryHelper!$C$2:$C$5000,$V90))</f>
        <v/>
      </c>
      <c r="Z90" s="9" t="s">
        <v>489</v>
      </c>
      <c r="AB90" s="9" t="str">
        <f t="shared" si="20"/>
        <v/>
      </c>
      <c r="AC90" s="9" t="str">
        <f t="shared" si="21"/>
        <v/>
      </c>
      <c r="AH90" t="str">
        <f>IF($AF90="","",IFERROR(SUMIFS(SummaryHelper!$H$2:$H$5000,SummaryHelper!$A$2:$A$5000,$AE90,SummaryHelper!$B$2:$B$5000,$AF90,SummaryHelper!$C$2:$C$5000,$AG90)/SUMIFS(SummaryHelper!$G$2:$G$5000,SummaryHelper!$A$2:$A$5000,$AE90,SummaryHelper!$B$2:$B$5000,$AF90,SummaryHelper!$C$2:$C$5000,$AG90),""))</f>
        <v/>
      </c>
      <c r="AI90" t="str">
        <f>IF($AF90="","",SUMIFS(SummaryHelper!$E$2:$E$5000,SummaryHelper!$A$2:$A$5000,$AE90,SummaryHelper!$B$2:$B$5000,$AF90,SummaryHelper!$C$2:$C$5000,$AG90))</f>
        <v/>
      </c>
      <c r="AJ90" t="str">
        <f>IF($AF90="","",SUMIFS(SummaryHelper!$F$2:$F$5000,SummaryHelper!$A$2:$A$5000,$AE90,SummaryHelper!$B$2:$B$5000,$AF90,SummaryHelper!$C$2:$C$5000,$AG90))</f>
        <v/>
      </c>
      <c r="AK90" t="str">
        <f>IF($AF90="","",SUMIFS(SummaryHelper!$G$2:$G$5000,SummaryHelper!$A$2:$A$5000,$AE90,SummaryHelper!$B$2:$B$5000,$AF90,SummaryHelper!$C$2:$C$5000,$AG90))</f>
        <v/>
      </c>
      <c r="AM90" t="str">
        <f t="shared" si="22"/>
        <v/>
      </c>
      <c r="AN90" t="str">
        <f t="shared" si="23"/>
        <v/>
      </c>
    </row>
    <row r="91" spans="1:40" x14ac:dyDescent="0.25">
      <c r="A91" s="12"/>
      <c r="B91" s="12" t="str">
        <f t="shared" si="12"/>
        <v/>
      </c>
      <c r="C91" s="9" t="str">
        <f t="shared" ca="1" si="13"/>
        <v/>
      </c>
      <c r="D91" s="9" t="str">
        <f t="shared" ca="1" si="14"/>
        <v/>
      </c>
      <c r="E91" s="9" t="str">
        <f t="shared" ca="1" si="15"/>
        <v/>
      </c>
      <c r="F91" s="9" t="str">
        <f t="shared" si="16"/>
        <v/>
      </c>
      <c r="G91" s="9" t="str">
        <f t="shared" si="17"/>
        <v/>
      </c>
      <c r="L91" s="9" t="str">
        <f>IF($J91="","",IFERROR(SUMIFS(SummaryHelper!$H$2:$H$5000,SummaryHelper!$A$2:$A$5000,$I91,SummaryHelper!$B$2:$B$5000,$J91,SummaryHelper!$C$2:$C$5000,$K91)/SUMIFS(SummaryHelper!$G$2:$G$5000,SummaryHelper!$A$2:$A$5000,$I91,SummaryHelper!$B$2:$B$5000,$J91,SummaryHelper!$C$2:$C$5000,$K91),""))</f>
        <v/>
      </c>
      <c r="M91" s="9" t="str">
        <f>IF($J91="","",SUMIFS(SummaryHelper!$E$2:$E$5000,SummaryHelper!$A$2:$A$5000,$I91,SummaryHelper!$B$2:$B$5000,$J91,SummaryHelper!$C$2:$C$5000,$K91))</f>
        <v/>
      </c>
      <c r="N91" s="9" t="str">
        <f>IF($J91="","",SUMIFS(SummaryHelper!$F$2:$F$5000,SummaryHelper!$A$2:$A$5000,$I91,SummaryHelper!$B$2:$B$5000,$J91,SummaryHelper!$C$2:$C$5000,$K91))</f>
        <v/>
      </c>
      <c r="O91" s="9" t="str">
        <f>IF($J91="","",SUMIFS(SummaryHelper!$G$2:$G$5000,SummaryHelper!$A$2:$A$5000,$I91,SummaryHelper!$B$2:$B$5000,$J91,SummaryHelper!$C$2:$C$5000,$K91))</f>
        <v/>
      </c>
      <c r="Q91" s="9" t="str">
        <f t="shared" si="18"/>
        <v/>
      </c>
      <c r="R91" s="9" t="str">
        <f t="shared" si="19"/>
        <v/>
      </c>
      <c r="W91" s="9" t="str">
        <f>IF($U91="","",IFERROR(SUMIFS(SummaryHelper!$H$2:$H$5000,SummaryHelper!$A$2:$A$5000,$T91,SummaryHelper!$B$2:$B$5000,$U91,SummaryHelper!$C$2:$C$5000,$V91)/SUMIFS(SummaryHelper!$G$2:$G$5000,SummaryHelper!$A$2:$A$5000,$T91,SummaryHelper!$B$2:$B$5000,$U91,SummaryHelper!$C$2:$C$5000,$V91),""))</f>
        <v/>
      </c>
      <c r="X91" s="9" t="str">
        <f>IF($U91="","",SUMIFS(SummaryHelper!$E$2:$E$5000,SummaryHelper!$A$2:$A$5000,$T91,SummaryHelper!$B$2:$B$5000,$U91,SummaryHelper!$C$2:$C$5000,$V91))</f>
        <v/>
      </c>
      <c r="Y91" s="9" t="str">
        <f>IF($U91="","",SUMIFS(SummaryHelper!$F$2:$F$5000,SummaryHelper!$A$2:$A$5000,$T91,SummaryHelper!$B$2:$B$5000,$U91,SummaryHelper!$C$2:$C$5000,$V91))</f>
        <v/>
      </c>
      <c r="Z91" s="9" t="s">
        <v>489</v>
      </c>
      <c r="AB91" s="9" t="str">
        <f t="shared" si="20"/>
        <v/>
      </c>
      <c r="AC91" s="9" t="str">
        <f t="shared" si="21"/>
        <v/>
      </c>
      <c r="AH91" t="str">
        <f>IF($AF91="","",IFERROR(SUMIFS(SummaryHelper!$H$2:$H$5000,SummaryHelper!$A$2:$A$5000,$AE91,SummaryHelper!$B$2:$B$5000,$AF91,SummaryHelper!$C$2:$C$5000,$AG91)/SUMIFS(SummaryHelper!$G$2:$G$5000,SummaryHelper!$A$2:$A$5000,$AE91,SummaryHelper!$B$2:$B$5000,$AF91,SummaryHelper!$C$2:$C$5000,$AG91),""))</f>
        <v/>
      </c>
      <c r="AI91" t="str">
        <f>IF($AF91="","",SUMIFS(SummaryHelper!$E$2:$E$5000,SummaryHelper!$A$2:$A$5000,$AE91,SummaryHelper!$B$2:$B$5000,$AF91,SummaryHelper!$C$2:$C$5000,$AG91))</f>
        <v/>
      </c>
      <c r="AJ91" t="str">
        <f>IF($AF91="","",SUMIFS(SummaryHelper!$F$2:$F$5000,SummaryHelper!$A$2:$A$5000,$AE91,SummaryHelper!$B$2:$B$5000,$AF91,SummaryHelper!$C$2:$C$5000,$AG91))</f>
        <v/>
      </c>
      <c r="AK91" t="str">
        <f>IF($AF91="","",SUMIFS(SummaryHelper!$G$2:$G$5000,SummaryHelper!$A$2:$A$5000,$AE91,SummaryHelper!$B$2:$B$5000,$AF91,SummaryHelper!$C$2:$C$5000,$AG91))</f>
        <v/>
      </c>
      <c r="AM91" t="str">
        <f t="shared" si="22"/>
        <v/>
      </c>
      <c r="AN91" t="str">
        <f t="shared" si="23"/>
        <v/>
      </c>
    </row>
    <row r="92" spans="1:40" x14ac:dyDescent="0.25">
      <c r="A92" s="12"/>
      <c r="B92" s="12" t="str">
        <f t="shared" si="12"/>
        <v/>
      </c>
      <c r="C92" s="9" t="str">
        <f t="shared" ca="1" si="13"/>
        <v/>
      </c>
      <c r="D92" s="9" t="str">
        <f t="shared" ca="1" si="14"/>
        <v/>
      </c>
      <c r="E92" s="9" t="str">
        <f t="shared" ca="1" si="15"/>
        <v/>
      </c>
      <c r="F92" s="9" t="str">
        <f t="shared" si="16"/>
        <v/>
      </c>
      <c r="G92" s="9" t="str">
        <f t="shared" si="17"/>
        <v/>
      </c>
      <c r="L92" s="9" t="str">
        <f>IF($J92="","",IFERROR(SUMIFS(SummaryHelper!$H$2:$H$5000,SummaryHelper!$A$2:$A$5000,$I92,SummaryHelper!$B$2:$B$5000,$J92,SummaryHelper!$C$2:$C$5000,$K92)/SUMIFS(SummaryHelper!$G$2:$G$5000,SummaryHelper!$A$2:$A$5000,$I92,SummaryHelper!$B$2:$B$5000,$J92,SummaryHelper!$C$2:$C$5000,$K92),""))</f>
        <v/>
      </c>
      <c r="M92" s="9" t="str">
        <f>IF($J92="","",SUMIFS(SummaryHelper!$E$2:$E$5000,SummaryHelper!$A$2:$A$5000,$I92,SummaryHelper!$B$2:$B$5000,$J92,SummaryHelper!$C$2:$C$5000,$K92))</f>
        <v/>
      </c>
      <c r="N92" s="9" t="str">
        <f>IF($J92="","",SUMIFS(SummaryHelper!$F$2:$F$5000,SummaryHelper!$A$2:$A$5000,$I92,SummaryHelper!$B$2:$B$5000,$J92,SummaryHelper!$C$2:$C$5000,$K92))</f>
        <v/>
      </c>
      <c r="O92" s="9" t="str">
        <f>IF($J92="","",SUMIFS(SummaryHelper!$G$2:$G$5000,SummaryHelper!$A$2:$A$5000,$I92,SummaryHelper!$B$2:$B$5000,$J92,SummaryHelper!$C$2:$C$5000,$K92))</f>
        <v/>
      </c>
      <c r="Q92" s="9" t="str">
        <f t="shared" si="18"/>
        <v/>
      </c>
      <c r="R92" s="9" t="str">
        <f t="shared" si="19"/>
        <v/>
      </c>
      <c r="W92" s="9" t="str">
        <f>IF($U92="","",IFERROR(SUMIFS(SummaryHelper!$H$2:$H$5000,SummaryHelper!$A$2:$A$5000,$T92,SummaryHelper!$B$2:$B$5000,$U92,SummaryHelper!$C$2:$C$5000,$V92)/SUMIFS(SummaryHelper!$G$2:$G$5000,SummaryHelper!$A$2:$A$5000,$T92,SummaryHelper!$B$2:$B$5000,$U92,SummaryHelper!$C$2:$C$5000,$V92),""))</f>
        <v/>
      </c>
      <c r="X92" s="9" t="str">
        <f>IF($U92="","",SUMIFS(SummaryHelper!$E$2:$E$5000,SummaryHelper!$A$2:$A$5000,$T92,SummaryHelper!$B$2:$B$5000,$U92,SummaryHelper!$C$2:$C$5000,$V92))</f>
        <v/>
      </c>
      <c r="Y92" s="9" t="str">
        <f>IF($U92="","",SUMIFS(SummaryHelper!$F$2:$F$5000,SummaryHelper!$A$2:$A$5000,$T92,SummaryHelper!$B$2:$B$5000,$U92,SummaryHelper!$C$2:$C$5000,$V92))</f>
        <v/>
      </c>
      <c r="Z92" s="9" t="s">
        <v>489</v>
      </c>
      <c r="AB92" s="9" t="str">
        <f t="shared" si="20"/>
        <v/>
      </c>
      <c r="AC92" s="9" t="str">
        <f t="shared" si="21"/>
        <v/>
      </c>
      <c r="AH92" t="str">
        <f>IF($AF92="","",IFERROR(SUMIFS(SummaryHelper!$H$2:$H$5000,SummaryHelper!$A$2:$A$5000,$AE92,SummaryHelper!$B$2:$B$5000,$AF92,SummaryHelper!$C$2:$C$5000,$AG92)/SUMIFS(SummaryHelper!$G$2:$G$5000,SummaryHelper!$A$2:$A$5000,$AE92,SummaryHelper!$B$2:$B$5000,$AF92,SummaryHelper!$C$2:$C$5000,$AG92),""))</f>
        <v/>
      </c>
      <c r="AI92" t="str">
        <f>IF($AF92="","",SUMIFS(SummaryHelper!$E$2:$E$5000,SummaryHelper!$A$2:$A$5000,$AE92,SummaryHelper!$B$2:$B$5000,$AF92,SummaryHelper!$C$2:$C$5000,$AG92))</f>
        <v/>
      </c>
      <c r="AJ92" t="str">
        <f>IF($AF92="","",SUMIFS(SummaryHelper!$F$2:$F$5000,SummaryHelper!$A$2:$A$5000,$AE92,SummaryHelper!$B$2:$B$5000,$AF92,SummaryHelper!$C$2:$C$5000,$AG92))</f>
        <v/>
      </c>
      <c r="AK92" t="str">
        <f>IF($AF92="","",SUMIFS(SummaryHelper!$G$2:$G$5000,SummaryHelper!$A$2:$A$5000,$AE92,SummaryHelper!$B$2:$B$5000,$AF92,SummaryHelper!$C$2:$C$5000,$AG92))</f>
        <v/>
      </c>
      <c r="AM92" t="str">
        <f t="shared" si="22"/>
        <v/>
      </c>
      <c r="AN92" t="str">
        <f t="shared" si="23"/>
        <v/>
      </c>
    </row>
    <row r="93" spans="1:40" x14ac:dyDescent="0.25">
      <c r="A93" s="12"/>
      <c r="B93" s="12" t="str">
        <f t="shared" si="12"/>
        <v/>
      </c>
      <c r="C93" s="9" t="str">
        <f t="shared" ca="1" si="13"/>
        <v/>
      </c>
      <c r="D93" s="9" t="str">
        <f t="shared" ca="1" si="14"/>
        <v/>
      </c>
      <c r="E93" s="9" t="str">
        <f t="shared" ca="1" si="15"/>
        <v/>
      </c>
      <c r="F93" s="9" t="str">
        <f t="shared" si="16"/>
        <v/>
      </c>
      <c r="G93" s="9" t="str">
        <f t="shared" si="17"/>
        <v/>
      </c>
      <c r="L93" s="9" t="str">
        <f>IF($J93="","",IFERROR(SUMIFS(SummaryHelper!$H$2:$H$5000,SummaryHelper!$A$2:$A$5000,$I93,SummaryHelper!$B$2:$B$5000,$J93,SummaryHelper!$C$2:$C$5000,$K93)/SUMIFS(SummaryHelper!$G$2:$G$5000,SummaryHelper!$A$2:$A$5000,$I93,SummaryHelper!$B$2:$B$5000,$J93,SummaryHelper!$C$2:$C$5000,$K93),""))</f>
        <v/>
      </c>
      <c r="M93" s="9" t="str">
        <f>IF($J93="","",SUMIFS(SummaryHelper!$E$2:$E$5000,SummaryHelper!$A$2:$A$5000,$I93,SummaryHelper!$B$2:$B$5000,$J93,SummaryHelper!$C$2:$C$5000,$K93))</f>
        <v/>
      </c>
      <c r="N93" s="9" t="str">
        <f>IF($J93="","",SUMIFS(SummaryHelper!$F$2:$F$5000,SummaryHelper!$A$2:$A$5000,$I93,SummaryHelper!$B$2:$B$5000,$J93,SummaryHelper!$C$2:$C$5000,$K93))</f>
        <v/>
      </c>
      <c r="O93" s="9" t="str">
        <f>IF($J93="","",SUMIFS(SummaryHelper!$G$2:$G$5000,SummaryHelper!$A$2:$A$5000,$I93,SummaryHelper!$B$2:$B$5000,$J93,SummaryHelper!$C$2:$C$5000,$K93))</f>
        <v/>
      </c>
      <c r="Q93" s="9" t="str">
        <f t="shared" si="18"/>
        <v/>
      </c>
      <c r="R93" s="9" t="str">
        <f t="shared" si="19"/>
        <v/>
      </c>
      <c r="W93" s="9" t="str">
        <f>IF($U93="","",IFERROR(SUMIFS(SummaryHelper!$H$2:$H$5000,SummaryHelper!$A$2:$A$5000,$T93,SummaryHelper!$B$2:$B$5000,$U93,SummaryHelper!$C$2:$C$5000,$V93)/SUMIFS(SummaryHelper!$G$2:$G$5000,SummaryHelper!$A$2:$A$5000,$T93,SummaryHelper!$B$2:$B$5000,$U93,SummaryHelper!$C$2:$C$5000,$V93),""))</f>
        <v/>
      </c>
      <c r="X93" s="9" t="str">
        <f>IF($U93="","",SUMIFS(SummaryHelper!$E$2:$E$5000,SummaryHelper!$A$2:$A$5000,$T93,SummaryHelper!$B$2:$B$5000,$U93,SummaryHelper!$C$2:$C$5000,$V93))</f>
        <v/>
      </c>
      <c r="Y93" s="9" t="str">
        <f>IF($U93="","",SUMIFS(SummaryHelper!$F$2:$F$5000,SummaryHelper!$A$2:$A$5000,$T93,SummaryHelper!$B$2:$B$5000,$U93,SummaryHelper!$C$2:$C$5000,$V93))</f>
        <v/>
      </c>
      <c r="Z93" s="9" t="s">
        <v>489</v>
      </c>
      <c r="AB93" s="9" t="str">
        <f t="shared" si="20"/>
        <v/>
      </c>
      <c r="AC93" s="9" t="str">
        <f t="shared" si="21"/>
        <v/>
      </c>
      <c r="AH93" t="str">
        <f>IF($AF93="","",IFERROR(SUMIFS(SummaryHelper!$H$2:$H$5000,SummaryHelper!$A$2:$A$5000,$AE93,SummaryHelper!$B$2:$B$5000,$AF93,SummaryHelper!$C$2:$C$5000,$AG93)/SUMIFS(SummaryHelper!$G$2:$G$5000,SummaryHelper!$A$2:$A$5000,$AE93,SummaryHelper!$B$2:$B$5000,$AF93,SummaryHelper!$C$2:$C$5000,$AG93),""))</f>
        <v/>
      </c>
      <c r="AI93" t="str">
        <f>IF($AF93="","",SUMIFS(SummaryHelper!$E$2:$E$5000,SummaryHelper!$A$2:$A$5000,$AE93,SummaryHelper!$B$2:$B$5000,$AF93,SummaryHelper!$C$2:$C$5000,$AG93))</f>
        <v/>
      </c>
      <c r="AJ93" t="str">
        <f>IF($AF93="","",SUMIFS(SummaryHelper!$F$2:$F$5000,SummaryHelper!$A$2:$A$5000,$AE93,SummaryHelper!$B$2:$B$5000,$AF93,SummaryHelper!$C$2:$C$5000,$AG93))</f>
        <v/>
      </c>
      <c r="AK93" t="str">
        <f>IF($AF93="","",SUMIFS(SummaryHelper!$G$2:$G$5000,SummaryHelper!$A$2:$A$5000,$AE93,SummaryHelper!$B$2:$B$5000,$AF93,SummaryHelper!$C$2:$C$5000,$AG93))</f>
        <v/>
      </c>
      <c r="AM93" t="str">
        <f t="shared" si="22"/>
        <v/>
      </c>
      <c r="AN93" t="str">
        <f t="shared" si="23"/>
        <v/>
      </c>
    </row>
    <row r="94" spans="1:40" x14ac:dyDescent="0.25">
      <c r="A94" s="12"/>
      <c r="B94" s="12" t="str">
        <f t="shared" si="12"/>
        <v/>
      </c>
      <c r="C94" s="9" t="str">
        <f t="shared" ca="1" si="13"/>
        <v/>
      </c>
      <c r="D94" s="9" t="str">
        <f t="shared" ca="1" si="14"/>
        <v/>
      </c>
      <c r="E94" s="9" t="str">
        <f t="shared" ca="1" si="15"/>
        <v/>
      </c>
      <c r="F94" s="9" t="str">
        <f t="shared" si="16"/>
        <v/>
      </c>
      <c r="G94" s="9" t="str">
        <f t="shared" si="17"/>
        <v/>
      </c>
      <c r="L94" s="9" t="str">
        <f>IF($J94="","",IFERROR(SUMIFS(SummaryHelper!$H$2:$H$5000,SummaryHelper!$A$2:$A$5000,$I94,SummaryHelper!$B$2:$B$5000,$J94,SummaryHelper!$C$2:$C$5000,$K94)/SUMIFS(SummaryHelper!$G$2:$G$5000,SummaryHelper!$A$2:$A$5000,$I94,SummaryHelper!$B$2:$B$5000,$J94,SummaryHelper!$C$2:$C$5000,$K94),""))</f>
        <v/>
      </c>
      <c r="M94" s="9" t="str">
        <f>IF($J94="","",SUMIFS(SummaryHelper!$E$2:$E$5000,SummaryHelper!$A$2:$A$5000,$I94,SummaryHelper!$B$2:$B$5000,$J94,SummaryHelper!$C$2:$C$5000,$K94))</f>
        <v/>
      </c>
      <c r="N94" s="9" t="str">
        <f>IF($J94="","",SUMIFS(SummaryHelper!$F$2:$F$5000,SummaryHelper!$A$2:$A$5000,$I94,SummaryHelper!$B$2:$B$5000,$J94,SummaryHelper!$C$2:$C$5000,$K94))</f>
        <v/>
      </c>
      <c r="O94" s="9" t="str">
        <f>IF($J94="","",SUMIFS(SummaryHelper!$G$2:$G$5000,SummaryHelper!$A$2:$A$5000,$I94,SummaryHelper!$B$2:$B$5000,$J94,SummaryHelper!$C$2:$C$5000,$K94))</f>
        <v/>
      </c>
      <c r="Q94" s="9" t="str">
        <f t="shared" si="18"/>
        <v/>
      </c>
      <c r="R94" s="9" t="str">
        <f t="shared" si="19"/>
        <v/>
      </c>
      <c r="W94" s="9" t="str">
        <f>IF($U94="","",IFERROR(SUMIFS(SummaryHelper!$H$2:$H$5000,SummaryHelper!$A$2:$A$5000,$T94,SummaryHelper!$B$2:$B$5000,$U94,SummaryHelper!$C$2:$C$5000,$V94)/SUMIFS(SummaryHelper!$G$2:$G$5000,SummaryHelper!$A$2:$A$5000,$T94,SummaryHelper!$B$2:$B$5000,$U94,SummaryHelper!$C$2:$C$5000,$V94),""))</f>
        <v/>
      </c>
      <c r="X94" s="9" t="str">
        <f>IF($U94="","",SUMIFS(SummaryHelper!$E$2:$E$5000,SummaryHelper!$A$2:$A$5000,$T94,SummaryHelper!$B$2:$B$5000,$U94,SummaryHelper!$C$2:$C$5000,$V94))</f>
        <v/>
      </c>
      <c r="Y94" s="9" t="str">
        <f>IF($U94="","",SUMIFS(SummaryHelper!$F$2:$F$5000,SummaryHelper!$A$2:$A$5000,$T94,SummaryHelper!$B$2:$B$5000,$U94,SummaryHelper!$C$2:$C$5000,$V94))</f>
        <v/>
      </c>
      <c r="Z94" s="9" t="s">
        <v>489</v>
      </c>
      <c r="AB94" s="9" t="str">
        <f t="shared" si="20"/>
        <v/>
      </c>
      <c r="AC94" s="9" t="str">
        <f t="shared" si="21"/>
        <v/>
      </c>
      <c r="AH94" t="str">
        <f>IF($AF94="","",IFERROR(SUMIFS(SummaryHelper!$H$2:$H$5000,SummaryHelper!$A$2:$A$5000,$AE94,SummaryHelper!$B$2:$B$5000,$AF94,SummaryHelper!$C$2:$C$5000,$AG94)/SUMIFS(SummaryHelper!$G$2:$G$5000,SummaryHelper!$A$2:$A$5000,$AE94,SummaryHelper!$B$2:$B$5000,$AF94,SummaryHelper!$C$2:$C$5000,$AG94),""))</f>
        <v/>
      </c>
      <c r="AI94" t="str">
        <f>IF($AF94="","",SUMIFS(SummaryHelper!$E$2:$E$5000,SummaryHelper!$A$2:$A$5000,$AE94,SummaryHelper!$B$2:$B$5000,$AF94,SummaryHelper!$C$2:$C$5000,$AG94))</f>
        <v/>
      </c>
      <c r="AJ94" t="str">
        <f>IF($AF94="","",SUMIFS(SummaryHelper!$F$2:$F$5000,SummaryHelper!$A$2:$A$5000,$AE94,SummaryHelper!$B$2:$B$5000,$AF94,SummaryHelper!$C$2:$C$5000,$AG94))</f>
        <v/>
      </c>
      <c r="AK94" t="str">
        <f>IF($AF94="","",SUMIFS(SummaryHelper!$G$2:$G$5000,SummaryHelper!$A$2:$A$5000,$AE94,SummaryHelper!$B$2:$B$5000,$AF94,SummaryHelper!$C$2:$C$5000,$AG94))</f>
        <v/>
      </c>
      <c r="AM94" t="str">
        <f t="shared" si="22"/>
        <v/>
      </c>
      <c r="AN94" t="str">
        <f t="shared" si="23"/>
        <v/>
      </c>
    </row>
    <row r="95" spans="1:40" x14ac:dyDescent="0.25">
      <c r="A95" s="12"/>
      <c r="B95" s="12" t="str">
        <f t="shared" si="12"/>
        <v/>
      </c>
      <c r="C95" s="9" t="str">
        <f t="shared" ca="1" si="13"/>
        <v/>
      </c>
      <c r="D95" s="9" t="str">
        <f t="shared" ca="1" si="14"/>
        <v/>
      </c>
      <c r="E95" s="9" t="str">
        <f t="shared" ca="1" si="15"/>
        <v/>
      </c>
      <c r="F95" s="9" t="str">
        <f t="shared" si="16"/>
        <v/>
      </c>
      <c r="G95" s="9" t="str">
        <f t="shared" si="17"/>
        <v/>
      </c>
      <c r="L95" s="9" t="str">
        <f>IF($J95="","",IFERROR(SUMIFS(SummaryHelper!$H$2:$H$5000,SummaryHelper!$A$2:$A$5000,$I95,SummaryHelper!$B$2:$B$5000,$J95,SummaryHelper!$C$2:$C$5000,$K95)/SUMIFS(SummaryHelper!$G$2:$G$5000,SummaryHelper!$A$2:$A$5000,$I95,SummaryHelper!$B$2:$B$5000,$J95,SummaryHelper!$C$2:$C$5000,$K95),""))</f>
        <v/>
      </c>
      <c r="M95" s="9" t="str">
        <f>IF($J95="","",SUMIFS(SummaryHelper!$E$2:$E$5000,SummaryHelper!$A$2:$A$5000,$I95,SummaryHelper!$B$2:$B$5000,$J95,SummaryHelper!$C$2:$C$5000,$K95))</f>
        <v/>
      </c>
      <c r="N95" s="9" t="str">
        <f>IF($J95="","",SUMIFS(SummaryHelper!$F$2:$F$5000,SummaryHelper!$A$2:$A$5000,$I95,SummaryHelper!$B$2:$B$5000,$J95,SummaryHelper!$C$2:$C$5000,$K95))</f>
        <v/>
      </c>
      <c r="O95" s="9" t="str">
        <f>IF($J95="","",SUMIFS(SummaryHelper!$G$2:$G$5000,SummaryHelper!$A$2:$A$5000,$I95,SummaryHelper!$B$2:$B$5000,$J95,SummaryHelper!$C$2:$C$5000,$K95))</f>
        <v/>
      </c>
      <c r="Q95" s="9" t="str">
        <f t="shared" si="18"/>
        <v/>
      </c>
      <c r="R95" s="9" t="str">
        <f t="shared" si="19"/>
        <v/>
      </c>
      <c r="W95" s="9" t="str">
        <f>IF($U95="","",IFERROR(SUMIFS(SummaryHelper!$H$2:$H$5000,SummaryHelper!$A$2:$A$5000,$T95,SummaryHelper!$B$2:$B$5000,$U95,SummaryHelper!$C$2:$C$5000,$V95)/SUMIFS(SummaryHelper!$G$2:$G$5000,SummaryHelper!$A$2:$A$5000,$T95,SummaryHelper!$B$2:$B$5000,$U95,SummaryHelper!$C$2:$C$5000,$V95),""))</f>
        <v/>
      </c>
      <c r="X95" s="9" t="str">
        <f>IF($U95="","",SUMIFS(SummaryHelper!$E$2:$E$5000,SummaryHelper!$A$2:$A$5000,$T95,SummaryHelper!$B$2:$B$5000,$U95,SummaryHelper!$C$2:$C$5000,$V95))</f>
        <v/>
      </c>
      <c r="Y95" s="9" t="str">
        <f>IF($U95="","",SUMIFS(SummaryHelper!$F$2:$F$5000,SummaryHelper!$A$2:$A$5000,$T95,SummaryHelper!$B$2:$B$5000,$U95,SummaryHelper!$C$2:$C$5000,$V95))</f>
        <v/>
      </c>
      <c r="Z95" s="9" t="s">
        <v>489</v>
      </c>
      <c r="AB95" s="9" t="str">
        <f t="shared" si="20"/>
        <v/>
      </c>
      <c r="AC95" s="9" t="str">
        <f t="shared" si="21"/>
        <v/>
      </c>
      <c r="AH95" t="str">
        <f>IF($AF95="","",IFERROR(SUMIFS(SummaryHelper!$H$2:$H$5000,SummaryHelper!$A$2:$A$5000,$AE95,SummaryHelper!$B$2:$B$5000,$AF95,SummaryHelper!$C$2:$C$5000,$AG95)/SUMIFS(SummaryHelper!$G$2:$G$5000,SummaryHelper!$A$2:$A$5000,$AE95,SummaryHelper!$B$2:$B$5000,$AF95,SummaryHelper!$C$2:$C$5000,$AG95),""))</f>
        <v/>
      </c>
      <c r="AI95" t="str">
        <f>IF($AF95="","",SUMIFS(SummaryHelper!$E$2:$E$5000,SummaryHelper!$A$2:$A$5000,$AE95,SummaryHelper!$B$2:$B$5000,$AF95,SummaryHelper!$C$2:$C$5000,$AG95))</f>
        <v/>
      </c>
      <c r="AJ95" t="str">
        <f>IF($AF95="","",SUMIFS(SummaryHelper!$F$2:$F$5000,SummaryHelper!$A$2:$A$5000,$AE95,SummaryHelper!$B$2:$B$5000,$AF95,SummaryHelper!$C$2:$C$5000,$AG95))</f>
        <v/>
      </c>
      <c r="AK95" t="str">
        <f>IF($AF95="","",SUMIFS(SummaryHelper!$G$2:$G$5000,SummaryHelper!$A$2:$A$5000,$AE95,SummaryHelper!$B$2:$B$5000,$AF95,SummaryHelper!$C$2:$C$5000,$AG95))</f>
        <v/>
      </c>
      <c r="AM95" t="str">
        <f t="shared" si="22"/>
        <v/>
      </c>
      <c r="AN95" t="str">
        <f t="shared" si="23"/>
        <v/>
      </c>
    </row>
    <row r="96" spans="1:40" x14ac:dyDescent="0.25">
      <c r="A96" s="12"/>
      <c r="B96" s="12" t="str">
        <f t="shared" si="12"/>
        <v/>
      </c>
      <c r="C96" s="9" t="str">
        <f t="shared" ca="1" si="13"/>
        <v/>
      </c>
      <c r="D96" s="9" t="str">
        <f t="shared" ca="1" si="14"/>
        <v/>
      </c>
      <c r="E96" s="9" t="str">
        <f t="shared" ca="1" si="15"/>
        <v/>
      </c>
      <c r="F96" s="9" t="str">
        <f t="shared" si="16"/>
        <v/>
      </c>
      <c r="G96" s="9" t="str">
        <f t="shared" si="17"/>
        <v/>
      </c>
      <c r="L96" s="9" t="str">
        <f>IF($J96="","",IFERROR(SUMIFS(SummaryHelper!$H$2:$H$5000,SummaryHelper!$A$2:$A$5000,$I96,SummaryHelper!$B$2:$B$5000,$J96,SummaryHelper!$C$2:$C$5000,$K96)/SUMIFS(SummaryHelper!$G$2:$G$5000,SummaryHelper!$A$2:$A$5000,$I96,SummaryHelper!$B$2:$B$5000,$J96,SummaryHelper!$C$2:$C$5000,$K96),""))</f>
        <v/>
      </c>
      <c r="M96" s="9" t="str">
        <f>IF($J96="","",SUMIFS(SummaryHelper!$E$2:$E$5000,SummaryHelper!$A$2:$A$5000,$I96,SummaryHelper!$B$2:$B$5000,$J96,SummaryHelper!$C$2:$C$5000,$K96))</f>
        <v/>
      </c>
      <c r="N96" s="9" t="str">
        <f>IF($J96="","",SUMIFS(SummaryHelper!$F$2:$F$5000,SummaryHelper!$A$2:$A$5000,$I96,SummaryHelper!$B$2:$B$5000,$J96,SummaryHelper!$C$2:$C$5000,$K96))</f>
        <v/>
      </c>
      <c r="O96" s="9" t="str">
        <f>IF($J96="","",SUMIFS(SummaryHelper!$G$2:$G$5000,SummaryHelper!$A$2:$A$5000,$I96,SummaryHelper!$B$2:$B$5000,$J96,SummaryHelper!$C$2:$C$5000,$K96))</f>
        <v/>
      </c>
      <c r="Q96" s="9" t="str">
        <f t="shared" si="18"/>
        <v/>
      </c>
      <c r="R96" s="9" t="str">
        <f t="shared" si="19"/>
        <v/>
      </c>
      <c r="W96" s="9" t="str">
        <f>IF($U96="","",IFERROR(SUMIFS(SummaryHelper!$H$2:$H$5000,SummaryHelper!$A$2:$A$5000,$T96,SummaryHelper!$B$2:$B$5000,$U96,SummaryHelper!$C$2:$C$5000,$V96)/SUMIFS(SummaryHelper!$G$2:$G$5000,SummaryHelper!$A$2:$A$5000,$T96,SummaryHelper!$B$2:$B$5000,$U96,SummaryHelper!$C$2:$C$5000,$V96),""))</f>
        <v/>
      </c>
      <c r="X96" s="9" t="str">
        <f>IF($U96="","",SUMIFS(SummaryHelper!$E$2:$E$5000,SummaryHelper!$A$2:$A$5000,$T96,SummaryHelper!$B$2:$B$5000,$U96,SummaryHelper!$C$2:$C$5000,$V96))</f>
        <v/>
      </c>
      <c r="Y96" s="9" t="str">
        <f>IF($U96="","",SUMIFS(SummaryHelper!$F$2:$F$5000,SummaryHelper!$A$2:$A$5000,$T96,SummaryHelper!$B$2:$B$5000,$U96,SummaryHelper!$C$2:$C$5000,$V96))</f>
        <v/>
      </c>
      <c r="Z96" s="9" t="s">
        <v>489</v>
      </c>
      <c r="AB96" s="9" t="str">
        <f t="shared" si="20"/>
        <v/>
      </c>
      <c r="AC96" s="9" t="str">
        <f t="shared" si="21"/>
        <v/>
      </c>
      <c r="AH96" t="str">
        <f>IF($AF96="","",IFERROR(SUMIFS(SummaryHelper!$H$2:$H$5000,SummaryHelper!$A$2:$A$5000,$AE96,SummaryHelper!$B$2:$B$5000,$AF96,SummaryHelper!$C$2:$C$5000,$AG96)/SUMIFS(SummaryHelper!$G$2:$G$5000,SummaryHelper!$A$2:$A$5000,$AE96,SummaryHelper!$B$2:$B$5000,$AF96,SummaryHelper!$C$2:$C$5000,$AG96),""))</f>
        <v/>
      </c>
      <c r="AI96" t="str">
        <f>IF($AF96="","",SUMIFS(SummaryHelper!$E$2:$E$5000,SummaryHelper!$A$2:$A$5000,$AE96,SummaryHelper!$B$2:$B$5000,$AF96,SummaryHelper!$C$2:$C$5000,$AG96))</f>
        <v/>
      </c>
      <c r="AJ96" t="str">
        <f>IF($AF96="","",SUMIFS(SummaryHelper!$F$2:$F$5000,SummaryHelper!$A$2:$A$5000,$AE96,SummaryHelper!$B$2:$B$5000,$AF96,SummaryHelper!$C$2:$C$5000,$AG96))</f>
        <v/>
      </c>
      <c r="AK96" t="str">
        <f>IF($AF96="","",SUMIFS(SummaryHelper!$G$2:$G$5000,SummaryHelper!$A$2:$A$5000,$AE96,SummaryHelper!$B$2:$B$5000,$AF96,SummaryHelper!$C$2:$C$5000,$AG96))</f>
        <v/>
      </c>
      <c r="AM96" t="str">
        <f t="shared" si="22"/>
        <v/>
      </c>
      <c r="AN96" t="str">
        <f t="shared" si="23"/>
        <v/>
      </c>
    </row>
    <row r="97" spans="1:40" x14ac:dyDescent="0.25">
      <c r="A97" s="12"/>
      <c r="B97" s="12" t="str">
        <f t="shared" si="12"/>
        <v/>
      </c>
      <c r="C97" s="9" t="str">
        <f t="shared" ca="1" si="13"/>
        <v/>
      </c>
      <c r="D97" s="9" t="str">
        <f t="shared" ca="1" si="14"/>
        <v/>
      </c>
      <c r="E97" s="9" t="str">
        <f t="shared" ca="1" si="15"/>
        <v/>
      </c>
      <c r="F97" s="9" t="str">
        <f t="shared" si="16"/>
        <v/>
      </c>
      <c r="G97" s="9" t="str">
        <f t="shared" si="17"/>
        <v/>
      </c>
      <c r="L97" s="9" t="str">
        <f>IF($J97="","",IFERROR(SUMIFS(SummaryHelper!$H$2:$H$5000,SummaryHelper!$A$2:$A$5000,$I97,SummaryHelper!$B$2:$B$5000,$J97,SummaryHelper!$C$2:$C$5000,$K97)/SUMIFS(SummaryHelper!$G$2:$G$5000,SummaryHelper!$A$2:$A$5000,$I97,SummaryHelper!$B$2:$B$5000,$J97,SummaryHelper!$C$2:$C$5000,$K97),""))</f>
        <v/>
      </c>
      <c r="M97" s="9" t="str">
        <f>IF($J97="","",SUMIFS(SummaryHelper!$E$2:$E$5000,SummaryHelper!$A$2:$A$5000,$I97,SummaryHelper!$B$2:$B$5000,$J97,SummaryHelper!$C$2:$C$5000,$K97))</f>
        <v/>
      </c>
      <c r="N97" s="9" t="str">
        <f>IF($J97="","",SUMIFS(SummaryHelper!$F$2:$F$5000,SummaryHelper!$A$2:$A$5000,$I97,SummaryHelper!$B$2:$B$5000,$J97,SummaryHelper!$C$2:$C$5000,$K97))</f>
        <v/>
      </c>
      <c r="O97" s="9" t="str">
        <f>IF($J97="","",SUMIFS(SummaryHelper!$G$2:$G$5000,SummaryHelper!$A$2:$A$5000,$I97,SummaryHelper!$B$2:$B$5000,$J97,SummaryHelper!$C$2:$C$5000,$K97))</f>
        <v/>
      </c>
      <c r="Q97" s="9" t="str">
        <f t="shared" si="18"/>
        <v/>
      </c>
      <c r="R97" s="9" t="str">
        <f t="shared" si="19"/>
        <v/>
      </c>
      <c r="W97" s="9" t="str">
        <f>IF($U97="","",IFERROR(SUMIFS(SummaryHelper!$H$2:$H$5000,SummaryHelper!$A$2:$A$5000,$T97,SummaryHelper!$B$2:$B$5000,$U97,SummaryHelper!$C$2:$C$5000,$V97)/SUMIFS(SummaryHelper!$G$2:$G$5000,SummaryHelper!$A$2:$A$5000,$T97,SummaryHelper!$B$2:$B$5000,$U97,SummaryHelper!$C$2:$C$5000,$V97),""))</f>
        <v/>
      </c>
      <c r="X97" s="9" t="str">
        <f>IF($U97="","",SUMIFS(SummaryHelper!$E$2:$E$5000,SummaryHelper!$A$2:$A$5000,$T97,SummaryHelper!$B$2:$B$5000,$U97,SummaryHelper!$C$2:$C$5000,$V97))</f>
        <v/>
      </c>
      <c r="Y97" s="9" t="str">
        <f>IF($U97="","",SUMIFS(SummaryHelper!$F$2:$F$5000,SummaryHelper!$A$2:$A$5000,$T97,SummaryHelper!$B$2:$B$5000,$U97,SummaryHelper!$C$2:$C$5000,$V97))</f>
        <v/>
      </c>
      <c r="Z97" s="9" t="s">
        <v>489</v>
      </c>
      <c r="AB97" s="9" t="str">
        <f t="shared" si="20"/>
        <v/>
      </c>
      <c r="AC97" s="9" t="str">
        <f t="shared" si="21"/>
        <v/>
      </c>
      <c r="AH97" t="str">
        <f>IF($AF97="","",IFERROR(SUMIFS(SummaryHelper!$H$2:$H$5000,SummaryHelper!$A$2:$A$5000,$AE97,SummaryHelper!$B$2:$B$5000,$AF97,SummaryHelper!$C$2:$C$5000,$AG97)/SUMIFS(SummaryHelper!$G$2:$G$5000,SummaryHelper!$A$2:$A$5000,$AE97,SummaryHelper!$B$2:$B$5000,$AF97,SummaryHelper!$C$2:$C$5000,$AG97),""))</f>
        <v/>
      </c>
      <c r="AI97" t="str">
        <f>IF($AF97="","",SUMIFS(SummaryHelper!$E$2:$E$5000,SummaryHelper!$A$2:$A$5000,$AE97,SummaryHelper!$B$2:$B$5000,$AF97,SummaryHelper!$C$2:$C$5000,$AG97))</f>
        <v/>
      </c>
      <c r="AJ97" t="str">
        <f>IF($AF97="","",SUMIFS(SummaryHelper!$F$2:$F$5000,SummaryHelper!$A$2:$A$5000,$AE97,SummaryHelper!$B$2:$B$5000,$AF97,SummaryHelper!$C$2:$C$5000,$AG97))</f>
        <v/>
      </c>
      <c r="AK97" t="str">
        <f>IF($AF97="","",SUMIFS(SummaryHelper!$G$2:$G$5000,SummaryHelper!$A$2:$A$5000,$AE97,SummaryHelper!$B$2:$B$5000,$AF97,SummaryHelper!$C$2:$C$5000,$AG97))</f>
        <v/>
      </c>
      <c r="AM97" t="str">
        <f t="shared" si="22"/>
        <v/>
      </c>
      <c r="AN97" t="str">
        <f t="shared" si="23"/>
        <v/>
      </c>
    </row>
    <row r="98" spans="1:40" x14ac:dyDescent="0.25">
      <c r="A98" s="12"/>
      <c r="B98" s="12" t="str">
        <f t="shared" si="12"/>
        <v/>
      </c>
      <c r="C98" s="9" t="str">
        <f t="shared" ca="1" si="13"/>
        <v/>
      </c>
      <c r="D98" s="9" t="str">
        <f t="shared" ca="1" si="14"/>
        <v/>
      </c>
      <c r="E98" s="9" t="str">
        <f t="shared" ca="1" si="15"/>
        <v/>
      </c>
      <c r="F98" s="9" t="str">
        <f t="shared" si="16"/>
        <v/>
      </c>
      <c r="G98" s="9" t="str">
        <f t="shared" si="17"/>
        <v/>
      </c>
      <c r="L98" s="9" t="str">
        <f>IF($J98="","",IFERROR(SUMIFS(SummaryHelper!$H$2:$H$5000,SummaryHelper!$A$2:$A$5000,$I98,SummaryHelper!$B$2:$B$5000,$J98,SummaryHelper!$C$2:$C$5000,$K98)/SUMIFS(SummaryHelper!$G$2:$G$5000,SummaryHelper!$A$2:$A$5000,$I98,SummaryHelper!$B$2:$B$5000,$J98,SummaryHelper!$C$2:$C$5000,$K98),""))</f>
        <v/>
      </c>
      <c r="M98" s="9" t="str">
        <f>IF($J98="","",SUMIFS(SummaryHelper!$E$2:$E$5000,SummaryHelper!$A$2:$A$5000,$I98,SummaryHelper!$B$2:$B$5000,$J98,SummaryHelper!$C$2:$C$5000,$K98))</f>
        <v/>
      </c>
      <c r="N98" s="9" t="str">
        <f>IF($J98="","",SUMIFS(SummaryHelper!$F$2:$F$5000,SummaryHelper!$A$2:$A$5000,$I98,SummaryHelper!$B$2:$B$5000,$J98,SummaryHelper!$C$2:$C$5000,$K98))</f>
        <v/>
      </c>
      <c r="O98" s="9" t="str">
        <f>IF($J98="","",SUMIFS(SummaryHelper!$G$2:$G$5000,SummaryHelper!$A$2:$A$5000,$I98,SummaryHelper!$B$2:$B$5000,$J98,SummaryHelper!$C$2:$C$5000,$K98))</f>
        <v/>
      </c>
      <c r="Q98" s="9" t="str">
        <f t="shared" si="18"/>
        <v/>
      </c>
      <c r="R98" s="9" t="str">
        <f t="shared" si="19"/>
        <v/>
      </c>
      <c r="W98" s="9" t="str">
        <f>IF($U98="","",IFERROR(SUMIFS(SummaryHelper!$H$2:$H$5000,SummaryHelper!$A$2:$A$5000,$T98,SummaryHelper!$B$2:$B$5000,$U98,SummaryHelper!$C$2:$C$5000,$V98)/SUMIFS(SummaryHelper!$G$2:$G$5000,SummaryHelper!$A$2:$A$5000,$T98,SummaryHelper!$B$2:$B$5000,$U98,SummaryHelper!$C$2:$C$5000,$V98),""))</f>
        <v/>
      </c>
      <c r="X98" s="9" t="str">
        <f>IF($U98="","",SUMIFS(SummaryHelper!$E$2:$E$5000,SummaryHelper!$A$2:$A$5000,$T98,SummaryHelper!$B$2:$B$5000,$U98,SummaryHelper!$C$2:$C$5000,$V98))</f>
        <v/>
      </c>
      <c r="Y98" s="9" t="str">
        <f>IF($U98="","",SUMIFS(SummaryHelper!$F$2:$F$5000,SummaryHelper!$A$2:$A$5000,$T98,SummaryHelper!$B$2:$B$5000,$U98,SummaryHelper!$C$2:$C$5000,$V98))</f>
        <v/>
      </c>
      <c r="Z98" s="9" t="s">
        <v>489</v>
      </c>
      <c r="AB98" s="9" t="str">
        <f t="shared" si="20"/>
        <v/>
      </c>
      <c r="AC98" s="9" t="str">
        <f t="shared" si="21"/>
        <v/>
      </c>
      <c r="AH98" t="str">
        <f>IF($AF98="","",IFERROR(SUMIFS(SummaryHelper!$H$2:$H$5000,SummaryHelper!$A$2:$A$5000,$AE98,SummaryHelper!$B$2:$B$5000,$AF98,SummaryHelper!$C$2:$C$5000,$AG98)/SUMIFS(SummaryHelper!$G$2:$G$5000,SummaryHelper!$A$2:$A$5000,$AE98,SummaryHelper!$B$2:$B$5000,$AF98,SummaryHelper!$C$2:$C$5000,$AG98),""))</f>
        <v/>
      </c>
      <c r="AI98" t="str">
        <f>IF($AF98="","",SUMIFS(SummaryHelper!$E$2:$E$5000,SummaryHelper!$A$2:$A$5000,$AE98,SummaryHelper!$B$2:$B$5000,$AF98,SummaryHelper!$C$2:$C$5000,$AG98))</f>
        <v/>
      </c>
      <c r="AJ98" t="str">
        <f>IF($AF98="","",SUMIFS(SummaryHelper!$F$2:$F$5000,SummaryHelper!$A$2:$A$5000,$AE98,SummaryHelper!$B$2:$B$5000,$AF98,SummaryHelper!$C$2:$C$5000,$AG98))</f>
        <v/>
      </c>
      <c r="AK98" t="str">
        <f>IF($AF98="","",SUMIFS(SummaryHelper!$G$2:$G$5000,SummaryHelper!$A$2:$A$5000,$AE98,SummaryHelper!$B$2:$B$5000,$AF98,SummaryHelper!$C$2:$C$5000,$AG98))</f>
        <v/>
      </c>
      <c r="AM98" t="str">
        <f t="shared" si="22"/>
        <v/>
      </c>
      <c r="AN98" t="str">
        <f t="shared" si="23"/>
        <v/>
      </c>
    </row>
    <row r="99" spans="1:40" x14ac:dyDescent="0.25">
      <c r="A99" s="12"/>
      <c r="B99" s="12" t="str">
        <f t="shared" si="12"/>
        <v/>
      </c>
      <c r="C99" s="9" t="str">
        <f t="shared" ca="1" si="13"/>
        <v/>
      </c>
      <c r="D99" s="9" t="str">
        <f t="shared" ca="1" si="14"/>
        <v/>
      </c>
      <c r="E99" s="9" t="str">
        <f t="shared" ca="1" si="15"/>
        <v/>
      </c>
      <c r="F99" s="9" t="str">
        <f t="shared" si="16"/>
        <v/>
      </c>
      <c r="G99" s="9" t="str">
        <f t="shared" si="17"/>
        <v/>
      </c>
      <c r="L99" s="9" t="str">
        <f>IF($J99="","",IFERROR(SUMIFS(SummaryHelper!$H$2:$H$5000,SummaryHelper!$A$2:$A$5000,$I99,SummaryHelper!$B$2:$B$5000,$J99,SummaryHelper!$C$2:$C$5000,$K99)/SUMIFS(SummaryHelper!$G$2:$G$5000,SummaryHelper!$A$2:$A$5000,$I99,SummaryHelper!$B$2:$B$5000,$J99,SummaryHelper!$C$2:$C$5000,$K99),""))</f>
        <v/>
      </c>
      <c r="M99" s="9" t="str">
        <f>IF($J99="","",SUMIFS(SummaryHelper!$E$2:$E$5000,SummaryHelper!$A$2:$A$5000,$I99,SummaryHelper!$B$2:$B$5000,$J99,SummaryHelper!$C$2:$C$5000,$K99))</f>
        <v/>
      </c>
      <c r="N99" s="9" t="str">
        <f>IF($J99="","",SUMIFS(SummaryHelper!$F$2:$F$5000,SummaryHelper!$A$2:$A$5000,$I99,SummaryHelper!$B$2:$B$5000,$J99,SummaryHelper!$C$2:$C$5000,$K99))</f>
        <v/>
      </c>
      <c r="O99" s="9" t="str">
        <f>IF($J99="","",SUMIFS(SummaryHelper!$G$2:$G$5000,SummaryHelper!$A$2:$A$5000,$I99,SummaryHelper!$B$2:$B$5000,$J99,SummaryHelper!$C$2:$C$5000,$K99))</f>
        <v/>
      </c>
      <c r="Q99" s="9" t="str">
        <f t="shared" si="18"/>
        <v/>
      </c>
      <c r="R99" s="9" t="str">
        <f t="shared" si="19"/>
        <v/>
      </c>
      <c r="W99" s="9" t="str">
        <f>IF($U99="","",IFERROR(SUMIFS(SummaryHelper!$H$2:$H$5000,SummaryHelper!$A$2:$A$5000,$T99,SummaryHelper!$B$2:$B$5000,$U99,SummaryHelper!$C$2:$C$5000,$V99)/SUMIFS(SummaryHelper!$G$2:$G$5000,SummaryHelper!$A$2:$A$5000,$T99,SummaryHelper!$B$2:$B$5000,$U99,SummaryHelper!$C$2:$C$5000,$V99),""))</f>
        <v/>
      </c>
      <c r="X99" s="9" t="str">
        <f>IF($U99="","",SUMIFS(SummaryHelper!$E$2:$E$5000,SummaryHelper!$A$2:$A$5000,$T99,SummaryHelper!$B$2:$B$5000,$U99,SummaryHelper!$C$2:$C$5000,$V99))</f>
        <v/>
      </c>
      <c r="Y99" s="9" t="str">
        <f>IF($U99="","",SUMIFS(SummaryHelper!$F$2:$F$5000,SummaryHelper!$A$2:$A$5000,$T99,SummaryHelper!$B$2:$B$5000,$U99,SummaryHelper!$C$2:$C$5000,$V99))</f>
        <v/>
      </c>
      <c r="Z99" s="9" t="s">
        <v>489</v>
      </c>
      <c r="AB99" s="9" t="str">
        <f t="shared" si="20"/>
        <v/>
      </c>
      <c r="AC99" s="9" t="str">
        <f t="shared" si="21"/>
        <v/>
      </c>
      <c r="AH99" t="str">
        <f>IF($AF99="","",IFERROR(SUMIFS(SummaryHelper!$H$2:$H$5000,SummaryHelper!$A$2:$A$5000,$AE99,SummaryHelper!$B$2:$B$5000,$AF99,SummaryHelper!$C$2:$C$5000,$AG99)/SUMIFS(SummaryHelper!$G$2:$G$5000,SummaryHelper!$A$2:$A$5000,$AE99,SummaryHelper!$B$2:$B$5000,$AF99,SummaryHelper!$C$2:$C$5000,$AG99),""))</f>
        <v/>
      </c>
      <c r="AI99" t="str">
        <f>IF($AF99="","",SUMIFS(SummaryHelper!$E$2:$E$5000,SummaryHelper!$A$2:$A$5000,$AE99,SummaryHelper!$B$2:$B$5000,$AF99,SummaryHelper!$C$2:$C$5000,$AG99))</f>
        <v/>
      </c>
      <c r="AJ99" t="str">
        <f>IF($AF99="","",SUMIFS(SummaryHelper!$F$2:$F$5000,SummaryHelper!$A$2:$A$5000,$AE99,SummaryHelper!$B$2:$B$5000,$AF99,SummaryHelper!$C$2:$C$5000,$AG99))</f>
        <v/>
      </c>
      <c r="AK99" t="str">
        <f>IF($AF99="","",SUMIFS(SummaryHelper!$G$2:$G$5000,SummaryHelper!$A$2:$A$5000,$AE99,SummaryHelper!$B$2:$B$5000,$AF99,SummaryHelper!$C$2:$C$5000,$AG99))</f>
        <v/>
      </c>
      <c r="AM99" t="str">
        <f t="shared" si="22"/>
        <v/>
      </c>
      <c r="AN99" t="str">
        <f t="shared" si="23"/>
        <v/>
      </c>
    </row>
    <row r="100" spans="1:40" x14ac:dyDescent="0.25">
      <c r="A100" s="12"/>
      <c r="B100" s="12" t="str">
        <f t="shared" si="12"/>
        <v/>
      </c>
      <c r="C100" s="9" t="str">
        <f t="shared" ca="1" si="13"/>
        <v/>
      </c>
      <c r="D100" s="9" t="str">
        <f t="shared" ca="1" si="14"/>
        <v/>
      </c>
      <c r="E100" s="9" t="str">
        <f t="shared" ca="1" si="15"/>
        <v/>
      </c>
      <c r="F100" s="9" t="str">
        <f t="shared" si="16"/>
        <v/>
      </c>
      <c r="G100" s="9" t="str">
        <f t="shared" si="17"/>
        <v/>
      </c>
      <c r="L100" s="9" t="str">
        <f>IF($J100="","",IFERROR(SUMIFS(SummaryHelper!$H$2:$H$5000,SummaryHelper!$A$2:$A$5000,$I100,SummaryHelper!$B$2:$B$5000,$J100,SummaryHelper!$C$2:$C$5000,$K100)/SUMIFS(SummaryHelper!$G$2:$G$5000,SummaryHelper!$A$2:$A$5000,$I100,SummaryHelper!$B$2:$B$5000,$J100,SummaryHelper!$C$2:$C$5000,$K100),""))</f>
        <v/>
      </c>
      <c r="M100" s="9" t="str">
        <f>IF($J100="","",SUMIFS(SummaryHelper!$E$2:$E$5000,SummaryHelper!$A$2:$A$5000,$I100,SummaryHelper!$B$2:$B$5000,$J100,SummaryHelper!$C$2:$C$5000,$K100))</f>
        <v/>
      </c>
      <c r="N100" s="9" t="str">
        <f>IF($J100="","",SUMIFS(SummaryHelper!$F$2:$F$5000,SummaryHelper!$A$2:$A$5000,$I100,SummaryHelper!$B$2:$B$5000,$J100,SummaryHelper!$C$2:$C$5000,$K100))</f>
        <v/>
      </c>
      <c r="O100" s="9" t="str">
        <f>IF($J100="","",SUMIFS(SummaryHelper!$G$2:$G$5000,SummaryHelper!$A$2:$A$5000,$I100,SummaryHelper!$B$2:$B$5000,$J100,SummaryHelper!$C$2:$C$5000,$K100))</f>
        <v/>
      </c>
      <c r="Q100" s="9" t="str">
        <f t="shared" si="18"/>
        <v/>
      </c>
      <c r="R100" s="9" t="str">
        <f t="shared" si="19"/>
        <v/>
      </c>
      <c r="W100" s="9" t="str">
        <f>IF($U100="","",IFERROR(SUMIFS(SummaryHelper!$H$2:$H$5000,SummaryHelper!$A$2:$A$5000,$T100,SummaryHelper!$B$2:$B$5000,$U100,SummaryHelper!$C$2:$C$5000,$V100)/SUMIFS(SummaryHelper!$G$2:$G$5000,SummaryHelper!$A$2:$A$5000,$T100,SummaryHelper!$B$2:$B$5000,$U100,SummaryHelper!$C$2:$C$5000,$V100),""))</f>
        <v/>
      </c>
      <c r="X100" s="9" t="str">
        <f>IF($U100="","",SUMIFS(SummaryHelper!$E$2:$E$5000,SummaryHelper!$A$2:$A$5000,$T100,SummaryHelper!$B$2:$B$5000,$U100,SummaryHelper!$C$2:$C$5000,$V100))</f>
        <v/>
      </c>
      <c r="Y100" s="9" t="str">
        <f>IF($U100="","",SUMIFS(SummaryHelper!$F$2:$F$5000,SummaryHelper!$A$2:$A$5000,$T100,SummaryHelper!$B$2:$B$5000,$U100,SummaryHelper!$C$2:$C$5000,$V100))</f>
        <v/>
      </c>
      <c r="Z100" s="9" t="s">
        <v>489</v>
      </c>
      <c r="AB100" s="9" t="str">
        <f t="shared" si="20"/>
        <v/>
      </c>
      <c r="AC100" s="9" t="str">
        <f t="shared" si="21"/>
        <v/>
      </c>
      <c r="AH100" t="str">
        <f>IF($AF100="","",IFERROR(SUMIFS(SummaryHelper!$H$2:$H$5000,SummaryHelper!$A$2:$A$5000,$AE100,SummaryHelper!$B$2:$B$5000,$AF100,SummaryHelper!$C$2:$C$5000,$AG100)/SUMIFS(SummaryHelper!$G$2:$G$5000,SummaryHelper!$A$2:$A$5000,$AE100,SummaryHelper!$B$2:$B$5000,$AF100,SummaryHelper!$C$2:$C$5000,$AG100),""))</f>
        <v/>
      </c>
      <c r="AI100" t="str">
        <f>IF($AF100="","",SUMIFS(SummaryHelper!$E$2:$E$5000,SummaryHelper!$A$2:$A$5000,$AE100,SummaryHelper!$B$2:$B$5000,$AF100,SummaryHelper!$C$2:$C$5000,$AG100))</f>
        <v/>
      </c>
      <c r="AJ100" t="str">
        <f>IF($AF100="","",SUMIFS(SummaryHelper!$F$2:$F$5000,SummaryHelper!$A$2:$A$5000,$AE100,SummaryHelper!$B$2:$B$5000,$AF100,SummaryHelper!$C$2:$C$5000,$AG100))</f>
        <v/>
      </c>
      <c r="AK100" t="str">
        <f>IF($AF100="","",SUMIFS(SummaryHelper!$G$2:$G$5000,SummaryHelper!$A$2:$A$5000,$AE100,SummaryHelper!$B$2:$B$5000,$AF100,SummaryHelper!$C$2:$C$5000,$AG100))</f>
        <v/>
      </c>
      <c r="AM100" t="str">
        <f t="shared" si="22"/>
        <v/>
      </c>
      <c r="AN100" t="str">
        <f t="shared" si="23"/>
        <v/>
      </c>
    </row>
    <row r="101" spans="1:40" x14ac:dyDescent="0.25">
      <c r="A101" s="37"/>
      <c r="B101" s="38"/>
      <c r="C101" s="39"/>
      <c r="D101" s="39"/>
      <c r="E101" s="39"/>
      <c r="F101" s="39"/>
      <c r="G101" s="39"/>
      <c r="L101" s="9" t="str">
        <f>IF($J101="","",IFERROR(SUMIFS(SummaryHelper!$H$2:$H$5000,SummaryHelper!$A$2:$A$5000,$I101,SummaryHelper!$B$2:$B$5000,$J101,SummaryHelper!$C$2:$C$5000,$K101)/SUMIFS(SummaryHelper!$G$2:$G$5000,SummaryHelper!$A$2:$A$5000,$I101,SummaryHelper!$B$2:$B$5000,$J101,SummaryHelper!$C$2:$C$5000,$K101),""))</f>
        <v/>
      </c>
      <c r="M101" s="9" t="str">
        <f>IF($J101="","",SUMIFS(SummaryHelper!$E$2:$E$5000,SummaryHelper!$A$2:$A$5000,$I101,SummaryHelper!$B$2:$B$5000,$J101,SummaryHelper!$C$2:$C$5000,$K101))</f>
        <v/>
      </c>
      <c r="N101" s="9" t="str">
        <f>IF($J101="","",SUMIFS(SummaryHelper!$F$2:$F$5000,SummaryHelper!$A$2:$A$5000,$I101,SummaryHelper!$B$2:$B$5000,$J101,SummaryHelper!$C$2:$C$5000,$K101))</f>
        <v/>
      </c>
      <c r="O101" s="9" t="str">
        <f>IF($J101="","",SUMIFS(SummaryHelper!$G$2:$G$5000,SummaryHelper!$A$2:$A$5000,$I101,SummaryHelper!$B$2:$B$5000,$J101,SummaryHelper!$C$2:$C$5000,$K101))</f>
        <v/>
      </c>
      <c r="Q101" s="9" t="str">
        <f t="shared" si="18"/>
        <v/>
      </c>
      <c r="R101" s="9" t="str">
        <f t="shared" si="19"/>
        <v/>
      </c>
      <c r="W101" s="9" t="str">
        <f>IF($U101="","",IFERROR(SUMIFS(SummaryHelper!$H$2:$H$5000,SummaryHelper!$A$2:$A$5000,$T101,SummaryHelper!$B$2:$B$5000,$U101,SummaryHelper!$C$2:$C$5000,$V101)/SUMIFS(SummaryHelper!$G$2:$G$5000,SummaryHelper!$A$2:$A$5000,$T101,SummaryHelper!$B$2:$B$5000,$U101,SummaryHelper!$C$2:$C$5000,$V101),""))</f>
        <v/>
      </c>
      <c r="X101" s="9" t="str">
        <f>IF($U101="","",SUMIFS(SummaryHelper!$E$2:$E$5000,SummaryHelper!$A$2:$A$5000,$T101,SummaryHelper!$B$2:$B$5000,$U101,SummaryHelper!$C$2:$C$5000,$V101))</f>
        <v/>
      </c>
      <c r="Y101" s="9" t="str">
        <f>IF($U101="","",SUMIFS(SummaryHelper!$F$2:$F$5000,SummaryHelper!$A$2:$A$5000,$T101,SummaryHelper!$B$2:$B$5000,$U101,SummaryHelper!$C$2:$C$5000,$V101))</f>
        <v/>
      </c>
      <c r="Z101" s="9" t="s">
        <v>489</v>
      </c>
      <c r="AB101" s="9" t="str">
        <f t="shared" si="20"/>
        <v/>
      </c>
      <c r="AC101" s="9" t="str">
        <f t="shared" si="21"/>
        <v/>
      </c>
      <c r="AH101" t="str">
        <f>IF($AF101="","",IFERROR(SUMIFS(SummaryHelper!$H$2:$H$5000,SummaryHelper!$A$2:$A$5000,$AE101,SummaryHelper!$B$2:$B$5000,$AF101,SummaryHelper!$C$2:$C$5000,$AG101)/SUMIFS(SummaryHelper!$G$2:$G$5000,SummaryHelper!$A$2:$A$5000,$AE101,SummaryHelper!$B$2:$B$5000,$AF101,SummaryHelper!$C$2:$C$5000,$AG101),""))</f>
        <v/>
      </c>
      <c r="AI101" t="str">
        <f>IF($AF101="","",SUMIFS(SummaryHelper!$E$2:$E$5000,SummaryHelper!$A$2:$A$5000,$AE101,SummaryHelper!$B$2:$B$5000,$AF101,SummaryHelper!$C$2:$C$5000,$AG101))</f>
        <v/>
      </c>
      <c r="AJ101" t="str">
        <f>IF($AF101="","",SUMIFS(SummaryHelper!$F$2:$F$5000,SummaryHelper!$A$2:$A$5000,$AE101,SummaryHelper!$B$2:$B$5000,$AF101,SummaryHelper!$C$2:$C$5000,$AG101))</f>
        <v/>
      </c>
      <c r="AK101" t="str">
        <f>IF($AF101="","",SUMIFS(SummaryHelper!$G$2:$G$5000,SummaryHelper!$A$2:$A$5000,$AE101,SummaryHelper!$B$2:$B$5000,$AF101,SummaryHelper!$C$2:$C$5000,$AG101))</f>
        <v/>
      </c>
      <c r="AM101" t="str">
        <f t="shared" si="22"/>
        <v/>
      </c>
      <c r="AN101" t="str">
        <f t="shared" si="23"/>
        <v/>
      </c>
    </row>
    <row r="102" spans="1:40" x14ac:dyDescent="0.25">
      <c r="A102" s="12"/>
      <c r="C102" s="9"/>
      <c r="D102" s="9"/>
      <c r="E102" s="9"/>
      <c r="F102" s="9"/>
      <c r="G102" s="9"/>
      <c r="L102" s="9" t="str">
        <f>IF($J102="","",IFERROR(SUMIFS(SummaryHelper!$H$2:$H$5000,SummaryHelper!$A$2:$A$5000,$I102,SummaryHelper!$B$2:$B$5000,$J102,SummaryHelper!$C$2:$C$5000,$K102)/SUMIFS(SummaryHelper!$G$2:$G$5000,SummaryHelper!$A$2:$A$5000,$I102,SummaryHelper!$B$2:$B$5000,$J102,SummaryHelper!$C$2:$C$5000,$K102),""))</f>
        <v/>
      </c>
      <c r="M102" s="9" t="str">
        <f>IF($J102="","",SUMIFS(SummaryHelper!$E$2:$E$5000,SummaryHelper!$A$2:$A$5000,$I102,SummaryHelper!$B$2:$B$5000,$J102,SummaryHelper!$C$2:$C$5000,$K102))</f>
        <v/>
      </c>
      <c r="N102" s="9" t="str">
        <f>IF($J102="","",SUMIFS(SummaryHelper!$F$2:$F$5000,SummaryHelper!$A$2:$A$5000,$I102,SummaryHelper!$B$2:$B$5000,$J102,SummaryHelper!$C$2:$C$5000,$K102))</f>
        <v/>
      </c>
      <c r="O102" s="9" t="str">
        <f>IF($J102="","",SUMIFS(SummaryHelper!$G$2:$G$5000,SummaryHelper!$A$2:$A$5000,$I102,SummaryHelper!$B$2:$B$5000,$J102,SummaryHelper!$C$2:$C$5000,$K102))</f>
        <v/>
      </c>
      <c r="Q102" s="9" t="str">
        <f t="shared" si="18"/>
        <v/>
      </c>
      <c r="R102" s="9" t="str">
        <f t="shared" si="19"/>
        <v/>
      </c>
      <c r="W102" s="9" t="str">
        <f>IF($U102="","",IFERROR(SUMIFS(SummaryHelper!$H$2:$H$5000,SummaryHelper!$A$2:$A$5000,$T102,SummaryHelper!$B$2:$B$5000,$U102,SummaryHelper!$C$2:$C$5000,$V102)/SUMIFS(SummaryHelper!$G$2:$G$5000,SummaryHelper!$A$2:$A$5000,$T102,SummaryHelper!$B$2:$B$5000,$U102,SummaryHelper!$C$2:$C$5000,$V102),""))</f>
        <v/>
      </c>
      <c r="X102" s="9" t="str">
        <f>IF($U102="","",SUMIFS(SummaryHelper!$E$2:$E$5000,SummaryHelper!$A$2:$A$5000,$T102,SummaryHelper!$B$2:$B$5000,$U102,SummaryHelper!$C$2:$C$5000,$V102))</f>
        <v/>
      </c>
      <c r="Y102" s="9" t="str">
        <f>IF($U102="","",SUMIFS(SummaryHelper!$F$2:$F$5000,SummaryHelper!$A$2:$A$5000,$T102,SummaryHelper!$B$2:$B$5000,$U102,SummaryHelper!$C$2:$C$5000,$V102))</f>
        <v/>
      </c>
      <c r="Z102" s="9" t="s">
        <v>489</v>
      </c>
      <c r="AB102" s="9" t="str">
        <f t="shared" si="20"/>
        <v/>
      </c>
      <c r="AC102" s="9" t="str">
        <f t="shared" si="21"/>
        <v/>
      </c>
      <c r="AH102" t="str">
        <f>IF($AF102="","",IFERROR(SUMIFS(SummaryHelper!$H$2:$H$5000,SummaryHelper!$A$2:$A$5000,$AE102,SummaryHelper!$B$2:$B$5000,$AF102,SummaryHelper!$C$2:$C$5000,$AG102)/SUMIFS(SummaryHelper!$G$2:$G$5000,SummaryHelper!$A$2:$A$5000,$AE102,SummaryHelper!$B$2:$B$5000,$AF102,SummaryHelper!$C$2:$C$5000,$AG102),""))</f>
        <v/>
      </c>
      <c r="AI102" t="str">
        <f>IF($AF102="","",SUMIFS(SummaryHelper!$E$2:$E$5000,SummaryHelper!$A$2:$A$5000,$AE102,SummaryHelper!$B$2:$B$5000,$AF102,SummaryHelper!$C$2:$C$5000,$AG102))</f>
        <v/>
      </c>
      <c r="AJ102" t="str">
        <f>IF($AF102="","",SUMIFS(SummaryHelper!$F$2:$F$5000,SummaryHelper!$A$2:$A$5000,$AE102,SummaryHelper!$B$2:$B$5000,$AF102,SummaryHelper!$C$2:$C$5000,$AG102))</f>
        <v/>
      </c>
      <c r="AK102" t="str">
        <f>IF($AF102="","",SUMIFS(SummaryHelper!$G$2:$G$5000,SummaryHelper!$A$2:$A$5000,$AE102,SummaryHelper!$B$2:$B$5000,$AF102,SummaryHelper!$C$2:$C$5000,$AG102))</f>
        <v/>
      </c>
      <c r="AM102" t="str">
        <f t="shared" si="22"/>
        <v/>
      </c>
      <c r="AN102" t="str">
        <f t="shared" si="23"/>
        <v/>
      </c>
    </row>
    <row r="103" spans="1:40" x14ac:dyDescent="0.25">
      <c r="A103" s="12"/>
      <c r="C103" s="9"/>
      <c r="D103" s="9"/>
      <c r="E103" s="9"/>
      <c r="F103" s="9"/>
      <c r="G103" s="9"/>
      <c r="L103" s="9" t="str">
        <f>IF($J103="","",IFERROR(SUMIFS(SummaryHelper!$H$2:$H$5000,SummaryHelper!$A$2:$A$5000,$I103,SummaryHelper!$B$2:$B$5000,$J103,SummaryHelper!$C$2:$C$5000,$K103)/SUMIFS(SummaryHelper!$G$2:$G$5000,SummaryHelper!$A$2:$A$5000,$I103,SummaryHelper!$B$2:$B$5000,$J103,SummaryHelper!$C$2:$C$5000,$K103),""))</f>
        <v/>
      </c>
      <c r="M103" s="9" t="str">
        <f>IF($J103="","",SUMIFS(SummaryHelper!$E$2:$E$5000,SummaryHelper!$A$2:$A$5000,$I103,SummaryHelper!$B$2:$B$5000,$J103,SummaryHelper!$C$2:$C$5000,$K103))</f>
        <v/>
      </c>
      <c r="N103" s="9" t="str">
        <f>IF($J103="","",SUMIFS(SummaryHelper!$F$2:$F$5000,SummaryHelper!$A$2:$A$5000,$I103,SummaryHelper!$B$2:$B$5000,$J103,SummaryHelper!$C$2:$C$5000,$K103))</f>
        <v/>
      </c>
      <c r="O103" s="9" t="str">
        <f>IF($J103="","",SUMIFS(SummaryHelper!$G$2:$G$5000,SummaryHelper!$A$2:$A$5000,$I103,SummaryHelper!$B$2:$B$5000,$J103,SummaryHelper!$C$2:$C$5000,$K103))</f>
        <v/>
      </c>
      <c r="Q103" s="9" t="str">
        <f t="shared" si="18"/>
        <v/>
      </c>
      <c r="R103" s="9" t="str">
        <f t="shared" si="19"/>
        <v/>
      </c>
      <c r="W103" s="9" t="str">
        <f>IF($U103="","",IFERROR(SUMIFS(SummaryHelper!$H$2:$H$5000,SummaryHelper!$A$2:$A$5000,$T103,SummaryHelper!$B$2:$B$5000,$U103,SummaryHelper!$C$2:$C$5000,$V103)/SUMIFS(SummaryHelper!$G$2:$G$5000,SummaryHelper!$A$2:$A$5000,$T103,SummaryHelper!$B$2:$B$5000,$U103,SummaryHelper!$C$2:$C$5000,$V103),""))</f>
        <v/>
      </c>
      <c r="X103" s="9" t="str">
        <f>IF($U103="","",SUMIFS(SummaryHelper!$E$2:$E$5000,SummaryHelper!$A$2:$A$5000,$T103,SummaryHelper!$B$2:$B$5000,$U103,SummaryHelper!$C$2:$C$5000,$V103))</f>
        <v/>
      </c>
      <c r="Y103" s="9" t="str">
        <f>IF($U103="","",SUMIFS(SummaryHelper!$F$2:$F$5000,SummaryHelper!$A$2:$A$5000,$T103,SummaryHelper!$B$2:$B$5000,$U103,SummaryHelper!$C$2:$C$5000,$V103))</f>
        <v/>
      </c>
      <c r="Z103" s="9" t="s">
        <v>489</v>
      </c>
      <c r="AB103" s="9" t="str">
        <f t="shared" si="20"/>
        <v/>
      </c>
      <c r="AC103" s="9" t="str">
        <f t="shared" si="21"/>
        <v/>
      </c>
      <c r="AH103" t="str">
        <f>IF($AF103="","",IFERROR(SUMIFS(SummaryHelper!$H$2:$H$5000,SummaryHelper!$A$2:$A$5000,$AE103,SummaryHelper!$B$2:$B$5000,$AF103,SummaryHelper!$C$2:$C$5000,$AG103)/SUMIFS(SummaryHelper!$G$2:$G$5000,SummaryHelper!$A$2:$A$5000,$AE103,SummaryHelper!$B$2:$B$5000,$AF103,SummaryHelper!$C$2:$C$5000,$AG103),""))</f>
        <v/>
      </c>
      <c r="AI103" t="str">
        <f>IF($AF103="","",SUMIFS(SummaryHelper!$E$2:$E$5000,SummaryHelper!$A$2:$A$5000,$AE103,SummaryHelper!$B$2:$B$5000,$AF103,SummaryHelper!$C$2:$C$5000,$AG103))</f>
        <v/>
      </c>
      <c r="AJ103" t="str">
        <f>IF($AF103="","",SUMIFS(SummaryHelper!$F$2:$F$5000,SummaryHelper!$A$2:$A$5000,$AE103,SummaryHelper!$B$2:$B$5000,$AF103,SummaryHelper!$C$2:$C$5000,$AG103))</f>
        <v/>
      </c>
      <c r="AK103" t="str">
        <f>IF($AF103="","",SUMIFS(SummaryHelper!$G$2:$G$5000,SummaryHelper!$A$2:$A$5000,$AE103,SummaryHelper!$B$2:$B$5000,$AF103,SummaryHelper!$C$2:$C$5000,$AG103))</f>
        <v/>
      </c>
      <c r="AM103" t="str">
        <f t="shared" si="22"/>
        <v/>
      </c>
      <c r="AN103" t="str">
        <f t="shared" si="23"/>
        <v/>
      </c>
    </row>
    <row r="104" spans="1:40" x14ac:dyDescent="0.25">
      <c r="A104" s="12"/>
      <c r="C104" s="9"/>
      <c r="D104" s="9"/>
      <c r="E104" s="9"/>
      <c r="F104" s="9"/>
      <c r="G104" s="9"/>
      <c r="L104" s="9" t="str">
        <f>IF($J104="","",IFERROR(SUMIFS(SummaryHelper!$H$2:$H$5000,SummaryHelper!$A$2:$A$5000,$I104,SummaryHelper!$B$2:$B$5000,$J104,SummaryHelper!$C$2:$C$5000,$K104)/SUMIFS(SummaryHelper!$G$2:$G$5000,SummaryHelper!$A$2:$A$5000,$I104,SummaryHelper!$B$2:$B$5000,$J104,SummaryHelper!$C$2:$C$5000,$K104),""))</f>
        <v/>
      </c>
      <c r="M104" s="9" t="str">
        <f>IF($J104="","",SUMIFS(SummaryHelper!$E$2:$E$5000,SummaryHelper!$A$2:$A$5000,$I104,SummaryHelper!$B$2:$B$5000,$J104,SummaryHelper!$C$2:$C$5000,$K104))</f>
        <v/>
      </c>
      <c r="N104" s="9" t="str">
        <f>IF($J104="","",SUMIFS(SummaryHelper!$F$2:$F$5000,SummaryHelper!$A$2:$A$5000,$I104,SummaryHelper!$B$2:$B$5000,$J104,SummaryHelper!$C$2:$C$5000,$K104))</f>
        <v/>
      </c>
      <c r="O104" s="9" t="str">
        <f>IF($J104="","",SUMIFS(SummaryHelper!$G$2:$G$5000,SummaryHelper!$A$2:$A$5000,$I104,SummaryHelper!$B$2:$B$5000,$J104,SummaryHelper!$C$2:$C$5000,$K104))</f>
        <v/>
      </c>
      <c r="Q104" s="9" t="str">
        <f t="shared" si="18"/>
        <v/>
      </c>
      <c r="R104" s="9" t="str">
        <f t="shared" si="19"/>
        <v/>
      </c>
      <c r="W104" s="9" t="str">
        <f>IF($U104="","",IFERROR(SUMIFS(SummaryHelper!$H$2:$H$5000,SummaryHelper!$A$2:$A$5000,$T104,SummaryHelper!$B$2:$B$5000,$U104,SummaryHelper!$C$2:$C$5000,$V104)/SUMIFS(SummaryHelper!$G$2:$G$5000,SummaryHelper!$A$2:$A$5000,$T104,SummaryHelper!$B$2:$B$5000,$U104,SummaryHelper!$C$2:$C$5000,$V104),""))</f>
        <v/>
      </c>
      <c r="X104" s="9" t="str">
        <f>IF($U104="","",SUMIFS(SummaryHelper!$E$2:$E$5000,SummaryHelper!$A$2:$A$5000,$T104,SummaryHelper!$B$2:$B$5000,$U104,SummaryHelper!$C$2:$C$5000,$V104))</f>
        <v/>
      </c>
      <c r="Y104" s="9" t="str">
        <f>IF($U104="","",SUMIFS(SummaryHelper!$F$2:$F$5000,SummaryHelper!$A$2:$A$5000,$T104,SummaryHelper!$B$2:$B$5000,$U104,SummaryHelper!$C$2:$C$5000,$V104))</f>
        <v/>
      </c>
      <c r="Z104" s="9" t="s">
        <v>489</v>
      </c>
      <c r="AB104" s="9" t="str">
        <f t="shared" si="20"/>
        <v/>
      </c>
      <c r="AC104" s="9" t="str">
        <f t="shared" si="21"/>
        <v/>
      </c>
      <c r="AH104" t="str">
        <f>IF($AF104="","",IFERROR(SUMIFS(SummaryHelper!$H$2:$H$5000,SummaryHelper!$A$2:$A$5000,$AE104,SummaryHelper!$B$2:$B$5000,$AF104,SummaryHelper!$C$2:$C$5000,$AG104)/SUMIFS(SummaryHelper!$G$2:$G$5000,SummaryHelper!$A$2:$A$5000,$AE104,SummaryHelper!$B$2:$B$5000,$AF104,SummaryHelper!$C$2:$C$5000,$AG104),""))</f>
        <v/>
      </c>
      <c r="AI104" t="str">
        <f>IF($AF104="","",SUMIFS(SummaryHelper!$E$2:$E$5000,SummaryHelper!$A$2:$A$5000,$AE104,SummaryHelper!$B$2:$B$5000,$AF104,SummaryHelper!$C$2:$C$5000,$AG104))</f>
        <v/>
      </c>
      <c r="AJ104" t="str">
        <f>IF($AF104="","",SUMIFS(SummaryHelper!$F$2:$F$5000,SummaryHelper!$A$2:$A$5000,$AE104,SummaryHelper!$B$2:$B$5000,$AF104,SummaryHelper!$C$2:$C$5000,$AG104))</f>
        <v/>
      </c>
      <c r="AK104" t="str">
        <f>IF($AF104="","",SUMIFS(SummaryHelper!$G$2:$G$5000,SummaryHelper!$A$2:$A$5000,$AE104,SummaryHelper!$B$2:$B$5000,$AF104,SummaryHelper!$C$2:$C$5000,$AG104))</f>
        <v/>
      </c>
      <c r="AM104" t="str">
        <f t="shared" si="22"/>
        <v/>
      </c>
      <c r="AN104" t="str">
        <f t="shared" si="23"/>
        <v/>
      </c>
    </row>
    <row r="105" spans="1:40" x14ac:dyDescent="0.25">
      <c r="A105" s="12"/>
      <c r="C105" s="9"/>
      <c r="D105" s="9"/>
      <c r="E105" s="9"/>
      <c r="F105" s="9"/>
      <c r="G105" s="9"/>
      <c r="L105" s="9" t="str">
        <f>IF($J105="","",IFERROR(SUMIFS(SummaryHelper!$H$2:$H$5000,SummaryHelper!$A$2:$A$5000,$I105,SummaryHelper!$B$2:$B$5000,$J105,SummaryHelper!$C$2:$C$5000,$K105)/SUMIFS(SummaryHelper!$G$2:$G$5000,SummaryHelper!$A$2:$A$5000,$I105,SummaryHelper!$B$2:$B$5000,$J105,SummaryHelper!$C$2:$C$5000,$K105),""))</f>
        <v/>
      </c>
      <c r="M105" s="9" t="str">
        <f>IF($J105="","",SUMIFS(SummaryHelper!$E$2:$E$5000,SummaryHelper!$A$2:$A$5000,$I105,SummaryHelper!$B$2:$B$5000,$J105,SummaryHelper!$C$2:$C$5000,$K105))</f>
        <v/>
      </c>
      <c r="N105" s="9" t="str">
        <f>IF($J105="","",SUMIFS(SummaryHelper!$F$2:$F$5000,SummaryHelper!$A$2:$A$5000,$I105,SummaryHelper!$B$2:$B$5000,$J105,SummaryHelper!$C$2:$C$5000,$K105))</f>
        <v/>
      </c>
      <c r="O105" s="9" t="str">
        <f>IF($J105="","",SUMIFS(SummaryHelper!$G$2:$G$5000,SummaryHelper!$A$2:$A$5000,$I105,SummaryHelper!$B$2:$B$5000,$J105,SummaryHelper!$C$2:$C$5000,$K105))</f>
        <v/>
      </c>
      <c r="Q105" s="9" t="str">
        <f t="shared" si="18"/>
        <v/>
      </c>
      <c r="R105" s="9" t="str">
        <f t="shared" si="19"/>
        <v/>
      </c>
      <c r="W105" s="9" t="str">
        <f>IF($U105="","",IFERROR(SUMIFS(SummaryHelper!$H$2:$H$5000,SummaryHelper!$A$2:$A$5000,$T105,SummaryHelper!$B$2:$B$5000,$U105,SummaryHelper!$C$2:$C$5000,$V105)/SUMIFS(SummaryHelper!$G$2:$G$5000,SummaryHelper!$A$2:$A$5000,$T105,SummaryHelper!$B$2:$B$5000,$U105,SummaryHelper!$C$2:$C$5000,$V105),""))</f>
        <v/>
      </c>
      <c r="X105" s="9" t="str">
        <f>IF($U105="","",SUMIFS(SummaryHelper!$E$2:$E$5000,SummaryHelper!$A$2:$A$5000,$T105,SummaryHelper!$B$2:$B$5000,$U105,SummaryHelper!$C$2:$C$5000,$V105))</f>
        <v/>
      </c>
      <c r="Y105" s="9" t="str">
        <f>IF($U105="","",SUMIFS(SummaryHelper!$F$2:$F$5000,SummaryHelper!$A$2:$A$5000,$T105,SummaryHelper!$B$2:$B$5000,$U105,SummaryHelper!$C$2:$C$5000,$V105))</f>
        <v/>
      </c>
      <c r="Z105" s="9" t="s">
        <v>489</v>
      </c>
      <c r="AB105" s="9" t="str">
        <f t="shared" si="20"/>
        <v/>
      </c>
      <c r="AC105" s="9" t="str">
        <f t="shared" si="21"/>
        <v/>
      </c>
      <c r="AH105" t="str">
        <f>IF($AF105="","",IFERROR(SUMIFS(SummaryHelper!$H$2:$H$5000,SummaryHelper!$A$2:$A$5000,$AE105,SummaryHelper!$B$2:$B$5000,$AF105,SummaryHelper!$C$2:$C$5000,$AG105)/SUMIFS(SummaryHelper!$G$2:$G$5000,SummaryHelper!$A$2:$A$5000,$AE105,SummaryHelper!$B$2:$B$5000,$AF105,SummaryHelper!$C$2:$C$5000,$AG105),""))</f>
        <v/>
      </c>
      <c r="AI105" t="str">
        <f>IF($AF105="","",SUMIFS(SummaryHelper!$E$2:$E$5000,SummaryHelper!$A$2:$A$5000,$AE105,SummaryHelper!$B$2:$B$5000,$AF105,SummaryHelper!$C$2:$C$5000,$AG105))</f>
        <v/>
      </c>
      <c r="AJ105" t="str">
        <f>IF($AF105="","",SUMIFS(SummaryHelper!$F$2:$F$5000,SummaryHelper!$A$2:$A$5000,$AE105,SummaryHelper!$B$2:$B$5000,$AF105,SummaryHelper!$C$2:$C$5000,$AG105))</f>
        <v/>
      </c>
      <c r="AK105" t="str">
        <f>IF($AF105="","",SUMIFS(SummaryHelper!$G$2:$G$5000,SummaryHelper!$A$2:$A$5000,$AE105,SummaryHelper!$B$2:$B$5000,$AF105,SummaryHelper!$C$2:$C$5000,$AG105))</f>
        <v/>
      </c>
      <c r="AM105" t="str">
        <f t="shared" si="22"/>
        <v/>
      </c>
      <c r="AN105" t="str">
        <f t="shared" si="23"/>
        <v/>
      </c>
    </row>
    <row r="106" spans="1:40" x14ac:dyDescent="0.25">
      <c r="A106" s="12"/>
      <c r="C106" s="9"/>
      <c r="D106" s="9"/>
      <c r="E106" s="9"/>
      <c r="F106" s="9"/>
      <c r="G106" s="9"/>
      <c r="L106" s="9" t="str">
        <f>IF($J106="","",IFERROR(SUMIFS(SummaryHelper!$H$2:$H$5000,SummaryHelper!$A$2:$A$5000,$I106,SummaryHelper!$B$2:$B$5000,$J106,SummaryHelper!$C$2:$C$5000,$K106)/SUMIFS(SummaryHelper!$G$2:$G$5000,SummaryHelper!$A$2:$A$5000,$I106,SummaryHelper!$B$2:$B$5000,$J106,SummaryHelper!$C$2:$C$5000,$K106),""))</f>
        <v/>
      </c>
      <c r="M106" s="9" t="str">
        <f>IF($J106="","",SUMIFS(SummaryHelper!$E$2:$E$5000,SummaryHelper!$A$2:$A$5000,$I106,SummaryHelper!$B$2:$B$5000,$J106,SummaryHelper!$C$2:$C$5000,$K106))</f>
        <v/>
      </c>
      <c r="N106" s="9" t="str">
        <f>IF($J106="","",SUMIFS(SummaryHelper!$F$2:$F$5000,SummaryHelper!$A$2:$A$5000,$I106,SummaryHelper!$B$2:$B$5000,$J106,SummaryHelper!$C$2:$C$5000,$K106))</f>
        <v/>
      </c>
      <c r="O106" s="9" t="str">
        <f>IF($J106="","",SUMIFS(SummaryHelper!$G$2:$G$5000,SummaryHelper!$A$2:$A$5000,$I106,SummaryHelper!$B$2:$B$5000,$J106,SummaryHelper!$C$2:$C$5000,$K106))</f>
        <v/>
      </c>
      <c r="Q106" s="9" t="str">
        <f t="shared" si="18"/>
        <v/>
      </c>
      <c r="R106" s="9" t="str">
        <f t="shared" si="19"/>
        <v/>
      </c>
      <c r="W106" s="9" t="str">
        <f>IF($U106="","",IFERROR(SUMIFS(SummaryHelper!$H$2:$H$5000,SummaryHelper!$A$2:$A$5000,$T106,SummaryHelper!$B$2:$B$5000,$U106,SummaryHelper!$C$2:$C$5000,$V106)/SUMIFS(SummaryHelper!$G$2:$G$5000,SummaryHelper!$A$2:$A$5000,$T106,SummaryHelper!$B$2:$B$5000,$U106,SummaryHelper!$C$2:$C$5000,$V106),""))</f>
        <v/>
      </c>
      <c r="X106" s="9" t="str">
        <f>IF($U106="","",SUMIFS(SummaryHelper!$E$2:$E$5000,SummaryHelper!$A$2:$A$5000,$T106,SummaryHelper!$B$2:$B$5000,$U106,SummaryHelper!$C$2:$C$5000,$V106))</f>
        <v/>
      </c>
      <c r="Y106" s="9" t="str">
        <f>IF($U106="","",SUMIFS(SummaryHelper!$F$2:$F$5000,SummaryHelper!$A$2:$A$5000,$T106,SummaryHelper!$B$2:$B$5000,$U106,SummaryHelper!$C$2:$C$5000,$V106))</f>
        <v/>
      </c>
      <c r="Z106" s="9" t="s">
        <v>489</v>
      </c>
      <c r="AB106" s="9" t="str">
        <f t="shared" si="20"/>
        <v/>
      </c>
      <c r="AC106" s="9" t="str">
        <f t="shared" si="21"/>
        <v/>
      </c>
      <c r="AH106" t="str">
        <f>IF($AF106="","",IFERROR(SUMIFS(SummaryHelper!$H$2:$H$5000,SummaryHelper!$A$2:$A$5000,$AE106,SummaryHelper!$B$2:$B$5000,$AF106,SummaryHelper!$C$2:$C$5000,$AG106)/SUMIFS(SummaryHelper!$G$2:$G$5000,SummaryHelper!$A$2:$A$5000,$AE106,SummaryHelper!$B$2:$B$5000,$AF106,SummaryHelper!$C$2:$C$5000,$AG106),""))</f>
        <v/>
      </c>
      <c r="AI106" t="str">
        <f>IF($AF106="","",SUMIFS(SummaryHelper!$E$2:$E$5000,SummaryHelper!$A$2:$A$5000,$AE106,SummaryHelper!$B$2:$B$5000,$AF106,SummaryHelper!$C$2:$C$5000,$AG106))</f>
        <v/>
      </c>
      <c r="AJ106" t="str">
        <f>IF($AF106="","",SUMIFS(SummaryHelper!$F$2:$F$5000,SummaryHelper!$A$2:$A$5000,$AE106,SummaryHelper!$B$2:$B$5000,$AF106,SummaryHelper!$C$2:$C$5000,$AG106))</f>
        <v/>
      </c>
      <c r="AK106" t="str">
        <f>IF($AF106="","",SUMIFS(SummaryHelper!$G$2:$G$5000,SummaryHelper!$A$2:$A$5000,$AE106,SummaryHelper!$B$2:$B$5000,$AF106,SummaryHelper!$C$2:$C$5000,$AG106))</f>
        <v/>
      </c>
      <c r="AM106" t="str">
        <f t="shared" si="22"/>
        <v/>
      </c>
      <c r="AN106" t="str">
        <f t="shared" si="23"/>
        <v/>
      </c>
    </row>
    <row r="107" spans="1:40" x14ac:dyDescent="0.25">
      <c r="A107" s="12"/>
      <c r="C107" s="9"/>
      <c r="D107" s="9"/>
      <c r="E107" s="9"/>
      <c r="F107" s="9"/>
      <c r="G107" s="9"/>
      <c r="L107" s="9" t="str">
        <f>IF($J107="","",IFERROR(SUMIFS(SummaryHelper!$H$2:$H$5000,SummaryHelper!$A$2:$A$5000,$I107,SummaryHelper!$B$2:$B$5000,$J107,SummaryHelper!$C$2:$C$5000,$K107)/SUMIFS(SummaryHelper!$G$2:$G$5000,SummaryHelper!$A$2:$A$5000,$I107,SummaryHelper!$B$2:$B$5000,$J107,SummaryHelper!$C$2:$C$5000,$K107),""))</f>
        <v/>
      </c>
      <c r="M107" s="9" t="str">
        <f>IF($J107="","",SUMIFS(SummaryHelper!$E$2:$E$5000,SummaryHelper!$A$2:$A$5000,$I107,SummaryHelper!$B$2:$B$5000,$J107,SummaryHelper!$C$2:$C$5000,$K107))</f>
        <v/>
      </c>
      <c r="N107" s="9" t="str">
        <f>IF($J107="","",SUMIFS(SummaryHelper!$F$2:$F$5000,SummaryHelper!$A$2:$A$5000,$I107,SummaryHelper!$B$2:$B$5000,$J107,SummaryHelper!$C$2:$C$5000,$K107))</f>
        <v/>
      </c>
      <c r="O107" s="9" t="str">
        <f>IF($J107="","",SUMIFS(SummaryHelper!$G$2:$G$5000,SummaryHelper!$A$2:$A$5000,$I107,SummaryHelper!$B$2:$B$5000,$J107,SummaryHelper!$C$2:$C$5000,$K107))</f>
        <v/>
      </c>
      <c r="Q107" s="9" t="str">
        <f t="shared" si="18"/>
        <v/>
      </c>
      <c r="R107" s="9" t="str">
        <f t="shared" si="19"/>
        <v/>
      </c>
      <c r="W107" s="9" t="str">
        <f>IF($U107="","",IFERROR(SUMIFS(SummaryHelper!$H$2:$H$5000,SummaryHelper!$A$2:$A$5000,$T107,SummaryHelper!$B$2:$B$5000,$U107,SummaryHelper!$C$2:$C$5000,$V107)/SUMIFS(SummaryHelper!$G$2:$G$5000,SummaryHelper!$A$2:$A$5000,$T107,SummaryHelper!$B$2:$B$5000,$U107,SummaryHelper!$C$2:$C$5000,$V107),""))</f>
        <v/>
      </c>
      <c r="X107" s="9" t="str">
        <f>IF($U107="","",SUMIFS(SummaryHelper!$E$2:$E$5000,SummaryHelper!$A$2:$A$5000,$T107,SummaryHelper!$B$2:$B$5000,$U107,SummaryHelper!$C$2:$C$5000,$V107))</f>
        <v/>
      </c>
      <c r="Y107" s="9" t="str">
        <f>IF($U107="","",SUMIFS(SummaryHelper!$F$2:$F$5000,SummaryHelper!$A$2:$A$5000,$T107,SummaryHelper!$B$2:$B$5000,$U107,SummaryHelper!$C$2:$C$5000,$V107))</f>
        <v/>
      </c>
      <c r="Z107" s="9" t="s">
        <v>489</v>
      </c>
      <c r="AB107" s="9" t="str">
        <f t="shared" si="20"/>
        <v/>
      </c>
      <c r="AC107" s="9" t="str">
        <f t="shared" si="21"/>
        <v/>
      </c>
      <c r="AH107" t="str">
        <f>IF($AF107="","",IFERROR(SUMIFS(SummaryHelper!$H$2:$H$5000,SummaryHelper!$A$2:$A$5000,$AE107,SummaryHelper!$B$2:$B$5000,$AF107,SummaryHelper!$C$2:$C$5000,$AG107)/SUMIFS(SummaryHelper!$G$2:$G$5000,SummaryHelper!$A$2:$A$5000,$AE107,SummaryHelper!$B$2:$B$5000,$AF107,SummaryHelper!$C$2:$C$5000,$AG107),""))</f>
        <v/>
      </c>
      <c r="AI107" t="str">
        <f>IF($AF107="","",SUMIFS(SummaryHelper!$E$2:$E$5000,SummaryHelper!$A$2:$A$5000,$AE107,SummaryHelper!$B$2:$B$5000,$AF107,SummaryHelper!$C$2:$C$5000,$AG107))</f>
        <v/>
      </c>
      <c r="AJ107" t="str">
        <f>IF($AF107="","",SUMIFS(SummaryHelper!$F$2:$F$5000,SummaryHelper!$A$2:$A$5000,$AE107,SummaryHelper!$B$2:$B$5000,$AF107,SummaryHelper!$C$2:$C$5000,$AG107))</f>
        <v/>
      </c>
      <c r="AK107" t="str">
        <f>IF($AF107="","",SUMIFS(SummaryHelper!$G$2:$G$5000,SummaryHelper!$A$2:$A$5000,$AE107,SummaryHelper!$B$2:$B$5000,$AF107,SummaryHelper!$C$2:$C$5000,$AG107))</f>
        <v/>
      </c>
      <c r="AM107" t="str">
        <f t="shared" si="22"/>
        <v/>
      </c>
      <c r="AN107" t="str">
        <f t="shared" si="23"/>
        <v/>
      </c>
    </row>
    <row r="108" spans="1:40" x14ac:dyDescent="0.25">
      <c r="A108" s="12"/>
      <c r="C108" s="9"/>
      <c r="D108" s="9"/>
      <c r="E108" s="9"/>
      <c r="F108" s="9"/>
      <c r="G108" s="9"/>
      <c r="L108" s="9" t="str">
        <f>IF($J108="","",IFERROR(SUMIFS(SummaryHelper!$H$2:$H$5000,SummaryHelper!$A$2:$A$5000,$I108,SummaryHelper!$B$2:$B$5000,$J108,SummaryHelper!$C$2:$C$5000,$K108)/SUMIFS(SummaryHelper!$G$2:$G$5000,SummaryHelper!$A$2:$A$5000,$I108,SummaryHelper!$B$2:$B$5000,$J108,SummaryHelper!$C$2:$C$5000,$K108),""))</f>
        <v/>
      </c>
      <c r="M108" s="9" t="str">
        <f>IF($J108="","",SUMIFS(SummaryHelper!$E$2:$E$5000,SummaryHelper!$A$2:$A$5000,$I108,SummaryHelper!$B$2:$B$5000,$J108,SummaryHelper!$C$2:$C$5000,$K108))</f>
        <v/>
      </c>
      <c r="N108" s="9" t="str">
        <f>IF($J108="","",SUMIFS(SummaryHelper!$F$2:$F$5000,SummaryHelper!$A$2:$A$5000,$I108,SummaryHelper!$B$2:$B$5000,$J108,SummaryHelper!$C$2:$C$5000,$K108))</f>
        <v/>
      </c>
      <c r="O108" s="9" t="str">
        <f>IF($J108="","",SUMIFS(SummaryHelper!$G$2:$G$5000,SummaryHelper!$A$2:$A$5000,$I108,SummaryHelper!$B$2:$B$5000,$J108,SummaryHelper!$C$2:$C$5000,$K108))</f>
        <v/>
      </c>
      <c r="Q108" s="9" t="str">
        <f t="shared" si="18"/>
        <v/>
      </c>
      <c r="R108" s="9" t="str">
        <f t="shared" si="19"/>
        <v/>
      </c>
      <c r="W108" s="9" t="str">
        <f>IF($U108="","",IFERROR(SUMIFS(SummaryHelper!$H$2:$H$5000,SummaryHelper!$A$2:$A$5000,$T108,SummaryHelper!$B$2:$B$5000,$U108,SummaryHelper!$C$2:$C$5000,$V108)/SUMIFS(SummaryHelper!$G$2:$G$5000,SummaryHelper!$A$2:$A$5000,$T108,SummaryHelper!$B$2:$B$5000,$U108,SummaryHelper!$C$2:$C$5000,$V108),""))</f>
        <v/>
      </c>
      <c r="X108" s="9" t="str">
        <f>IF($U108="","",SUMIFS(SummaryHelper!$E$2:$E$5000,SummaryHelper!$A$2:$A$5000,$T108,SummaryHelper!$B$2:$B$5000,$U108,SummaryHelper!$C$2:$C$5000,$V108))</f>
        <v/>
      </c>
      <c r="Y108" s="9" t="str">
        <f>IF($U108="","",SUMIFS(SummaryHelper!$F$2:$F$5000,SummaryHelper!$A$2:$A$5000,$T108,SummaryHelper!$B$2:$B$5000,$U108,SummaryHelper!$C$2:$C$5000,$V108))</f>
        <v/>
      </c>
      <c r="Z108" s="9" t="s">
        <v>489</v>
      </c>
      <c r="AB108" s="9" t="str">
        <f t="shared" si="20"/>
        <v/>
      </c>
      <c r="AC108" s="9" t="str">
        <f t="shared" si="21"/>
        <v/>
      </c>
      <c r="AH108" t="str">
        <f>IF($AF108="","",IFERROR(SUMIFS(SummaryHelper!$H$2:$H$5000,SummaryHelper!$A$2:$A$5000,$AE108,SummaryHelper!$B$2:$B$5000,$AF108,SummaryHelper!$C$2:$C$5000,$AG108)/SUMIFS(SummaryHelper!$G$2:$G$5000,SummaryHelper!$A$2:$A$5000,$AE108,SummaryHelper!$B$2:$B$5000,$AF108,SummaryHelper!$C$2:$C$5000,$AG108),""))</f>
        <v/>
      </c>
      <c r="AI108" t="str">
        <f>IF($AF108="","",SUMIFS(SummaryHelper!$E$2:$E$5000,SummaryHelper!$A$2:$A$5000,$AE108,SummaryHelper!$B$2:$B$5000,$AF108,SummaryHelper!$C$2:$C$5000,$AG108))</f>
        <v/>
      </c>
      <c r="AJ108" t="str">
        <f>IF($AF108="","",SUMIFS(SummaryHelper!$F$2:$F$5000,SummaryHelper!$A$2:$A$5000,$AE108,SummaryHelper!$B$2:$B$5000,$AF108,SummaryHelper!$C$2:$C$5000,$AG108))</f>
        <v/>
      </c>
      <c r="AK108" t="str">
        <f>IF($AF108="","",SUMIFS(SummaryHelper!$G$2:$G$5000,SummaryHelper!$A$2:$A$5000,$AE108,SummaryHelper!$B$2:$B$5000,$AF108,SummaryHelper!$C$2:$C$5000,$AG108))</f>
        <v/>
      </c>
      <c r="AM108" t="str">
        <f t="shared" si="22"/>
        <v/>
      </c>
      <c r="AN108" t="str">
        <f t="shared" si="23"/>
        <v/>
      </c>
    </row>
    <row r="109" spans="1:40" x14ac:dyDescent="0.25">
      <c r="A109" s="12"/>
      <c r="C109" s="9"/>
      <c r="D109" s="9"/>
      <c r="E109" s="9"/>
      <c r="F109" s="9"/>
      <c r="G109" s="9"/>
      <c r="L109" s="9" t="str">
        <f>IF($J109="","",IFERROR(SUMIFS(SummaryHelper!$H$2:$H$5000,SummaryHelper!$A$2:$A$5000,$I109,SummaryHelper!$B$2:$B$5000,$J109,SummaryHelper!$C$2:$C$5000,$K109)/SUMIFS(SummaryHelper!$G$2:$G$5000,SummaryHelper!$A$2:$A$5000,$I109,SummaryHelper!$B$2:$B$5000,$J109,SummaryHelper!$C$2:$C$5000,$K109),""))</f>
        <v/>
      </c>
      <c r="M109" s="9" t="str">
        <f>IF($J109="","",SUMIFS(SummaryHelper!$E$2:$E$5000,SummaryHelper!$A$2:$A$5000,$I109,SummaryHelper!$B$2:$B$5000,$J109,SummaryHelper!$C$2:$C$5000,$K109))</f>
        <v/>
      </c>
      <c r="N109" s="9" t="str">
        <f>IF($J109="","",SUMIFS(SummaryHelper!$F$2:$F$5000,SummaryHelper!$A$2:$A$5000,$I109,SummaryHelper!$B$2:$B$5000,$J109,SummaryHelper!$C$2:$C$5000,$K109))</f>
        <v/>
      </c>
      <c r="O109" s="9" t="str">
        <f>IF($J109="","",SUMIFS(SummaryHelper!$G$2:$G$5000,SummaryHelper!$A$2:$A$5000,$I109,SummaryHelper!$B$2:$B$5000,$J109,SummaryHelper!$C$2:$C$5000,$K109))</f>
        <v/>
      </c>
      <c r="Q109" s="9" t="str">
        <f t="shared" si="18"/>
        <v/>
      </c>
      <c r="R109" s="9" t="str">
        <f t="shared" si="19"/>
        <v/>
      </c>
      <c r="W109" s="9" t="str">
        <f>IF($U109="","",IFERROR(SUMIFS(SummaryHelper!$H$2:$H$5000,SummaryHelper!$A$2:$A$5000,$T109,SummaryHelper!$B$2:$B$5000,$U109,SummaryHelper!$C$2:$C$5000,$V109)/SUMIFS(SummaryHelper!$G$2:$G$5000,SummaryHelper!$A$2:$A$5000,$T109,SummaryHelper!$B$2:$B$5000,$U109,SummaryHelper!$C$2:$C$5000,$V109),""))</f>
        <v/>
      </c>
      <c r="X109" s="9" t="str">
        <f>IF($U109="","",SUMIFS(SummaryHelper!$E$2:$E$5000,SummaryHelper!$A$2:$A$5000,$T109,SummaryHelper!$B$2:$B$5000,$U109,SummaryHelper!$C$2:$C$5000,$V109))</f>
        <v/>
      </c>
      <c r="Y109" s="9" t="str">
        <f>IF($U109="","",SUMIFS(SummaryHelper!$F$2:$F$5000,SummaryHelper!$A$2:$A$5000,$T109,SummaryHelper!$B$2:$B$5000,$U109,SummaryHelper!$C$2:$C$5000,$V109))</f>
        <v/>
      </c>
      <c r="Z109" s="9" t="s">
        <v>489</v>
      </c>
      <c r="AB109" s="9" t="str">
        <f t="shared" si="20"/>
        <v/>
      </c>
      <c r="AC109" s="9" t="str">
        <f t="shared" si="21"/>
        <v/>
      </c>
      <c r="AH109" t="str">
        <f>IF($AF109="","",IFERROR(SUMIFS(SummaryHelper!$H$2:$H$5000,SummaryHelper!$A$2:$A$5000,$AE109,SummaryHelper!$B$2:$B$5000,$AF109,SummaryHelper!$C$2:$C$5000,$AG109)/SUMIFS(SummaryHelper!$G$2:$G$5000,SummaryHelper!$A$2:$A$5000,$AE109,SummaryHelper!$B$2:$B$5000,$AF109,SummaryHelper!$C$2:$C$5000,$AG109),""))</f>
        <v/>
      </c>
      <c r="AI109" t="str">
        <f>IF($AF109="","",SUMIFS(SummaryHelper!$E$2:$E$5000,SummaryHelper!$A$2:$A$5000,$AE109,SummaryHelper!$B$2:$B$5000,$AF109,SummaryHelper!$C$2:$C$5000,$AG109))</f>
        <v/>
      </c>
      <c r="AJ109" t="str">
        <f>IF($AF109="","",SUMIFS(SummaryHelper!$F$2:$F$5000,SummaryHelper!$A$2:$A$5000,$AE109,SummaryHelper!$B$2:$B$5000,$AF109,SummaryHelper!$C$2:$C$5000,$AG109))</f>
        <v/>
      </c>
      <c r="AK109" t="str">
        <f>IF($AF109="","",SUMIFS(SummaryHelper!$G$2:$G$5000,SummaryHelper!$A$2:$A$5000,$AE109,SummaryHelper!$B$2:$B$5000,$AF109,SummaryHelper!$C$2:$C$5000,$AG109))</f>
        <v/>
      </c>
      <c r="AM109" t="str">
        <f t="shared" si="22"/>
        <v/>
      </c>
      <c r="AN109" t="str">
        <f t="shared" si="23"/>
        <v/>
      </c>
    </row>
    <row r="110" spans="1:40" x14ac:dyDescent="0.25">
      <c r="A110" s="12"/>
      <c r="C110" s="9"/>
      <c r="D110" s="9"/>
      <c r="E110" s="9"/>
      <c r="F110" s="9"/>
      <c r="G110" s="9"/>
      <c r="L110" s="9" t="str">
        <f>IF($J110="","",IFERROR(SUMIFS(SummaryHelper!$H$2:$H$5000,SummaryHelper!$A$2:$A$5000,$I110,SummaryHelper!$B$2:$B$5000,$J110,SummaryHelper!$C$2:$C$5000,$K110)/SUMIFS(SummaryHelper!$G$2:$G$5000,SummaryHelper!$A$2:$A$5000,$I110,SummaryHelper!$B$2:$B$5000,$J110,SummaryHelper!$C$2:$C$5000,$K110),""))</f>
        <v/>
      </c>
      <c r="M110" s="9" t="str">
        <f>IF($J110="","",SUMIFS(SummaryHelper!$E$2:$E$5000,SummaryHelper!$A$2:$A$5000,$I110,SummaryHelper!$B$2:$B$5000,$J110,SummaryHelper!$C$2:$C$5000,$K110))</f>
        <v/>
      </c>
      <c r="N110" s="9" t="str">
        <f>IF($J110="","",SUMIFS(SummaryHelper!$F$2:$F$5000,SummaryHelper!$A$2:$A$5000,$I110,SummaryHelper!$B$2:$B$5000,$J110,SummaryHelper!$C$2:$C$5000,$K110))</f>
        <v/>
      </c>
      <c r="O110" s="9" t="str">
        <f>IF($J110="","",SUMIFS(SummaryHelper!$G$2:$G$5000,SummaryHelper!$A$2:$A$5000,$I110,SummaryHelper!$B$2:$B$5000,$J110,SummaryHelper!$C$2:$C$5000,$K110))</f>
        <v/>
      </c>
      <c r="Q110" s="9" t="str">
        <f t="shared" si="18"/>
        <v/>
      </c>
      <c r="R110" s="9" t="str">
        <f t="shared" si="19"/>
        <v/>
      </c>
      <c r="W110" s="9" t="str">
        <f>IF($U110="","",IFERROR(SUMIFS(SummaryHelper!$H$2:$H$5000,SummaryHelper!$A$2:$A$5000,$T110,SummaryHelper!$B$2:$B$5000,$U110,SummaryHelper!$C$2:$C$5000,$V110)/SUMIFS(SummaryHelper!$G$2:$G$5000,SummaryHelper!$A$2:$A$5000,$T110,SummaryHelper!$B$2:$B$5000,$U110,SummaryHelper!$C$2:$C$5000,$V110),""))</f>
        <v/>
      </c>
      <c r="X110" s="9" t="str">
        <f>IF($U110="","",SUMIFS(SummaryHelper!$E$2:$E$5000,SummaryHelper!$A$2:$A$5000,$T110,SummaryHelper!$B$2:$B$5000,$U110,SummaryHelper!$C$2:$C$5000,$V110))</f>
        <v/>
      </c>
      <c r="Y110" s="9" t="str">
        <f>IF($U110="","",SUMIFS(SummaryHelper!$F$2:$F$5000,SummaryHelper!$A$2:$A$5000,$T110,SummaryHelper!$B$2:$B$5000,$U110,SummaryHelper!$C$2:$C$5000,$V110))</f>
        <v/>
      </c>
      <c r="Z110" s="9" t="s">
        <v>489</v>
      </c>
      <c r="AB110" s="9" t="str">
        <f t="shared" si="20"/>
        <v/>
      </c>
      <c r="AC110" s="9" t="str">
        <f t="shared" si="21"/>
        <v/>
      </c>
      <c r="AH110" t="str">
        <f>IF($AF110="","",IFERROR(SUMIFS(SummaryHelper!$H$2:$H$5000,SummaryHelper!$A$2:$A$5000,$AE110,SummaryHelper!$B$2:$B$5000,$AF110,SummaryHelper!$C$2:$C$5000,$AG110)/SUMIFS(SummaryHelper!$G$2:$G$5000,SummaryHelper!$A$2:$A$5000,$AE110,SummaryHelper!$B$2:$B$5000,$AF110,SummaryHelper!$C$2:$C$5000,$AG110),""))</f>
        <v/>
      </c>
      <c r="AI110" t="str">
        <f>IF($AF110="","",SUMIFS(SummaryHelper!$E$2:$E$5000,SummaryHelper!$A$2:$A$5000,$AE110,SummaryHelper!$B$2:$B$5000,$AF110,SummaryHelper!$C$2:$C$5000,$AG110))</f>
        <v/>
      </c>
      <c r="AJ110" t="str">
        <f>IF($AF110="","",SUMIFS(SummaryHelper!$F$2:$F$5000,SummaryHelper!$A$2:$A$5000,$AE110,SummaryHelper!$B$2:$B$5000,$AF110,SummaryHelper!$C$2:$C$5000,$AG110))</f>
        <v/>
      </c>
      <c r="AK110" t="str">
        <f>IF($AF110="","",SUMIFS(SummaryHelper!$G$2:$G$5000,SummaryHelper!$A$2:$A$5000,$AE110,SummaryHelper!$B$2:$B$5000,$AF110,SummaryHelper!$C$2:$C$5000,$AG110))</f>
        <v/>
      </c>
      <c r="AM110" t="str">
        <f t="shared" si="22"/>
        <v/>
      </c>
      <c r="AN110" t="str">
        <f t="shared" si="23"/>
        <v/>
      </c>
    </row>
    <row r="111" spans="1:40" x14ac:dyDescent="0.25">
      <c r="A111" s="12"/>
      <c r="C111" s="9"/>
      <c r="D111" s="9"/>
      <c r="E111" s="9"/>
      <c r="F111" s="9"/>
      <c r="G111" s="9"/>
      <c r="L111" s="9" t="str">
        <f>IF($J111="","",IFERROR(SUMIFS(SummaryHelper!$H$2:$H$5000,SummaryHelper!$A$2:$A$5000,$I111,SummaryHelper!$B$2:$B$5000,$J111,SummaryHelper!$C$2:$C$5000,$K111)/SUMIFS(SummaryHelper!$G$2:$G$5000,SummaryHelper!$A$2:$A$5000,$I111,SummaryHelper!$B$2:$B$5000,$J111,SummaryHelper!$C$2:$C$5000,$K111),""))</f>
        <v/>
      </c>
      <c r="M111" s="9" t="str">
        <f>IF($J111="","",SUMIFS(SummaryHelper!$E$2:$E$5000,SummaryHelper!$A$2:$A$5000,$I111,SummaryHelper!$B$2:$B$5000,$J111,SummaryHelper!$C$2:$C$5000,$K111))</f>
        <v/>
      </c>
      <c r="N111" s="9" t="str">
        <f>IF($J111="","",SUMIFS(SummaryHelper!$F$2:$F$5000,SummaryHelper!$A$2:$A$5000,$I111,SummaryHelper!$B$2:$B$5000,$J111,SummaryHelper!$C$2:$C$5000,$K111))</f>
        <v/>
      </c>
      <c r="O111" s="9" t="str">
        <f>IF($J111="","",SUMIFS(SummaryHelper!$G$2:$G$5000,SummaryHelper!$A$2:$A$5000,$I111,SummaryHelper!$B$2:$B$5000,$J111,SummaryHelper!$C$2:$C$5000,$K111))</f>
        <v/>
      </c>
      <c r="Q111" s="9" t="str">
        <f t="shared" si="18"/>
        <v/>
      </c>
      <c r="R111" s="9" t="str">
        <f t="shared" si="19"/>
        <v/>
      </c>
      <c r="W111" s="9" t="str">
        <f>IF($U111="","",IFERROR(SUMIFS(SummaryHelper!$H$2:$H$5000,SummaryHelper!$A$2:$A$5000,$T111,SummaryHelper!$B$2:$B$5000,$U111,SummaryHelper!$C$2:$C$5000,$V111)/SUMIFS(SummaryHelper!$G$2:$G$5000,SummaryHelper!$A$2:$A$5000,$T111,SummaryHelper!$B$2:$B$5000,$U111,SummaryHelper!$C$2:$C$5000,$V111),""))</f>
        <v/>
      </c>
      <c r="X111" s="9" t="str">
        <f>IF($U111="","",SUMIFS(SummaryHelper!$E$2:$E$5000,SummaryHelper!$A$2:$A$5000,$T111,SummaryHelper!$B$2:$B$5000,$U111,SummaryHelper!$C$2:$C$5000,$V111))</f>
        <v/>
      </c>
      <c r="Y111" s="9" t="str">
        <f>IF($U111="","",SUMIFS(SummaryHelper!$F$2:$F$5000,SummaryHelper!$A$2:$A$5000,$T111,SummaryHelper!$B$2:$B$5000,$U111,SummaryHelper!$C$2:$C$5000,$V111))</f>
        <v/>
      </c>
      <c r="Z111" s="9" t="s">
        <v>489</v>
      </c>
      <c r="AB111" s="9" t="str">
        <f t="shared" si="20"/>
        <v/>
      </c>
      <c r="AC111" s="9" t="str">
        <f t="shared" si="21"/>
        <v/>
      </c>
      <c r="AH111" t="str">
        <f>IF($AF111="","",IFERROR(SUMIFS(SummaryHelper!$H$2:$H$5000,SummaryHelper!$A$2:$A$5000,$AE111,SummaryHelper!$B$2:$B$5000,$AF111,SummaryHelper!$C$2:$C$5000,$AG111)/SUMIFS(SummaryHelper!$G$2:$G$5000,SummaryHelper!$A$2:$A$5000,$AE111,SummaryHelper!$B$2:$B$5000,$AF111,SummaryHelper!$C$2:$C$5000,$AG111),""))</f>
        <v/>
      </c>
      <c r="AI111" t="str">
        <f>IF($AF111="","",SUMIFS(SummaryHelper!$E$2:$E$5000,SummaryHelper!$A$2:$A$5000,$AE111,SummaryHelper!$B$2:$B$5000,$AF111,SummaryHelper!$C$2:$C$5000,$AG111))</f>
        <v/>
      </c>
      <c r="AJ111" t="str">
        <f>IF($AF111="","",SUMIFS(SummaryHelper!$F$2:$F$5000,SummaryHelper!$A$2:$A$5000,$AE111,SummaryHelper!$B$2:$B$5000,$AF111,SummaryHelper!$C$2:$C$5000,$AG111))</f>
        <v/>
      </c>
      <c r="AK111" t="str">
        <f>IF($AF111="","",SUMIFS(SummaryHelper!$G$2:$G$5000,SummaryHelper!$A$2:$A$5000,$AE111,SummaryHelper!$B$2:$B$5000,$AF111,SummaryHelper!$C$2:$C$5000,$AG111))</f>
        <v/>
      </c>
      <c r="AM111" t="str">
        <f t="shared" si="22"/>
        <v/>
      </c>
      <c r="AN111" t="str">
        <f t="shared" si="23"/>
        <v/>
      </c>
    </row>
    <row r="112" spans="1:40" x14ac:dyDescent="0.25">
      <c r="A112" s="12"/>
      <c r="C112" s="9"/>
      <c r="D112" s="9"/>
      <c r="E112" s="9"/>
      <c r="F112" s="9"/>
      <c r="G112" s="9"/>
      <c r="L112" s="9" t="str">
        <f>IF($J112="","",IFERROR(SUMIFS(SummaryHelper!$H$2:$H$5000,SummaryHelper!$A$2:$A$5000,$I112,SummaryHelper!$B$2:$B$5000,$J112,SummaryHelper!$C$2:$C$5000,$K112)/SUMIFS(SummaryHelper!$G$2:$G$5000,SummaryHelper!$A$2:$A$5000,$I112,SummaryHelper!$B$2:$B$5000,$J112,SummaryHelper!$C$2:$C$5000,$K112),""))</f>
        <v/>
      </c>
      <c r="M112" s="9" t="str">
        <f>IF($J112="","",SUMIFS(SummaryHelper!$E$2:$E$5000,SummaryHelper!$A$2:$A$5000,$I112,SummaryHelper!$B$2:$B$5000,$J112,SummaryHelper!$C$2:$C$5000,$K112))</f>
        <v/>
      </c>
      <c r="N112" s="9" t="str">
        <f>IF($J112="","",SUMIFS(SummaryHelper!$F$2:$F$5000,SummaryHelper!$A$2:$A$5000,$I112,SummaryHelper!$B$2:$B$5000,$J112,SummaryHelper!$C$2:$C$5000,$K112))</f>
        <v/>
      </c>
      <c r="O112" s="9" t="str">
        <f>IF($J112="","",SUMIFS(SummaryHelper!$G$2:$G$5000,SummaryHelper!$A$2:$A$5000,$I112,SummaryHelper!$B$2:$B$5000,$J112,SummaryHelper!$C$2:$C$5000,$K112))</f>
        <v/>
      </c>
      <c r="Q112" s="9" t="str">
        <f t="shared" si="18"/>
        <v/>
      </c>
      <c r="R112" s="9" t="str">
        <f t="shared" si="19"/>
        <v/>
      </c>
      <c r="W112" s="9" t="str">
        <f>IF($U112="","",IFERROR(SUMIFS(SummaryHelper!$H$2:$H$5000,SummaryHelper!$A$2:$A$5000,$T112,SummaryHelper!$B$2:$B$5000,$U112,SummaryHelper!$C$2:$C$5000,$V112)/SUMIFS(SummaryHelper!$G$2:$G$5000,SummaryHelper!$A$2:$A$5000,$T112,SummaryHelper!$B$2:$B$5000,$U112,SummaryHelper!$C$2:$C$5000,$V112),""))</f>
        <v/>
      </c>
      <c r="X112" s="9" t="str">
        <f>IF($U112="","",SUMIFS(SummaryHelper!$E$2:$E$5000,SummaryHelper!$A$2:$A$5000,$T112,SummaryHelper!$B$2:$B$5000,$U112,SummaryHelper!$C$2:$C$5000,$V112))</f>
        <v/>
      </c>
      <c r="Y112" s="9" t="str">
        <f>IF($U112="","",SUMIFS(SummaryHelper!$F$2:$F$5000,SummaryHelper!$A$2:$A$5000,$T112,SummaryHelper!$B$2:$B$5000,$U112,SummaryHelper!$C$2:$C$5000,$V112))</f>
        <v/>
      </c>
      <c r="Z112" s="9" t="s">
        <v>489</v>
      </c>
      <c r="AB112" s="9" t="str">
        <f t="shared" si="20"/>
        <v/>
      </c>
      <c r="AC112" s="9" t="str">
        <f t="shared" si="21"/>
        <v/>
      </c>
      <c r="AH112" t="str">
        <f>IF($AF112="","",IFERROR(SUMIFS(SummaryHelper!$H$2:$H$5000,SummaryHelper!$A$2:$A$5000,$AE112,SummaryHelper!$B$2:$B$5000,$AF112,SummaryHelper!$C$2:$C$5000,$AG112)/SUMIFS(SummaryHelper!$G$2:$G$5000,SummaryHelper!$A$2:$A$5000,$AE112,SummaryHelper!$B$2:$B$5000,$AF112,SummaryHelper!$C$2:$C$5000,$AG112),""))</f>
        <v/>
      </c>
      <c r="AI112" t="str">
        <f>IF($AF112="","",SUMIFS(SummaryHelper!$E$2:$E$5000,SummaryHelper!$A$2:$A$5000,$AE112,SummaryHelper!$B$2:$B$5000,$AF112,SummaryHelper!$C$2:$C$5000,$AG112))</f>
        <v/>
      </c>
      <c r="AJ112" t="str">
        <f>IF($AF112="","",SUMIFS(SummaryHelper!$F$2:$F$5000,SummaryHelper!$A$2:$A$5000,$AE112,SummaryHelper!$B$2:$B$5000,$AF112,SummaryHelper!$C$2:$C$5000,$AG112))</f>
        <v/>
      </c>
      <c r="AK112" t="str">
        <f>IF($AF112="","",SUMIFS(SummaryHelper!$G$2:$G$5000,SummaryHelper!$A$2:$A$5000,$AE112,SummaryHelper!$B$2:$B$5000,$AF112,SummaryHelper!$C$2:$C$5000,$AG112))</f>
        <v/>
      </c>
      <c r="AM112" t="str">
        <f t="shared" si="22"/>
        <v/>
      </c>
      <c r="AN112" t="str">
        <f t="shared" si="23"/>
        <v/>
      </c>
    </row>
    <row r="113" spans="1:40" x14ac:dyDescent="0.25">
      <c r="A113" s="12"/>
      <c r="C113" s="9"/>
      <c r="D113" s="9"/>
      <c r="E113" s="9"/>
      <c r="F113" s="9"/>
      <c r="G113" s="9"/>
      <c r="L113" s="9" t="str">
        <f>IF($J113="","",IFERROR(SUMIFS(SummaryHelper!$H$2:$H$5000,SummaryHelper!$A$2:$A$5000,$I113,SummaryHelper!$B$2:$B$5000,$J113,SummaryHelper!$C$2:$C$5000,$K113)/SUMIFS(SummaryHelper!$G$2:$G$5000,SummaryHelper!$A$2:$A$5000,$I113,SummaryHelper!$B$2:$B$5000,$J113,SummaryHelper!$C$2:$C$5000,$K113),""))</f>
        <v/>
      </c>
      <c r="M113" s="9" t="str">
        <f>IF($J113="","",SUMIFS(SummaryHelper!$E$2:$E$5000,SummaryHelper!$A$2:$A$5000,$I113,SummaryHelper!$B$2:$B$5000,$J113,SummaryHelper!$C$2:$C$5000,$K113))</f>
        <v/>
      </c>
      <c r="N113" s="9" t="str">
        <f>IF($J113="","",SUMIFS(SummaryHelper!$F$2:$F$5000,SummaryHelper!$A$2:$A$5000,$I113,SummaryHelper!$B$2:$B$5000,$J113,SummaryHelper!$C$2:$C$5000,$K113))</f>
        <v/>
      </c>
      <c r="O113" s="9" t="str">
        <f>IF($J113="","",SUMIFS(SummaryHelper!$G$2:$G$5000,SummaryHelper!$A$2:$A$5000,$I113,SummaryHelper!$B$2:$B$5000,$J113,SummaryHelper!$C$2:$C$5000,$K113))</f>
        <v/>
      </c>
      <c r="Q113" s="9" t="str">
        <f t="shared" si="18"/>
        <v/>
      </c>
      <c r="R113" s="9" t="str">
        <f t="shared" si="19"/>
        <v/>
      </c>
      <c r="W113" s="9" t="str">
        <f>IF($U113="","",IFERROR(SUMIFS(SummaryHelper!$H$2:$H$5000,SummaryHelper!$A$2:$A$5000,$T113,SummaryHelper!$B$2:$B$5000,$U113,SummaryHelper!$C$2:$C$5000,$V113)/SUMIFS(SummaryHelper!$G$2:$G$5000,SummaryHelper!$A$2:$A$5000,$T113,SummaryHelper!$B$2:$B$5000,$U113,SummaryHelper!$C$2:$C$5000,$V113),""))</f>
        <v/>
      </c>
      <c r="X113" s="9" t="str">
        <f>IF($U113="","",SUMIFS(SummaryHelper!$E$2:$E$5000,SummaryHelper!$A$2:$A$5000,$T113,SummaryHelper!$B$2:$B$5000,$U113,SummaryHelper!$C$2:$C$5000,$V113))</f>
        <v/>
      </c>
      <c r="Y113" s="9" t="str">
        <f>IF($U113="","",SUMIFS(SummaryHelper!$F$2:$F$5000,SummaryHelper!$A$2:$A$5000,$T113,SummaryHelper!$B$2:$B$5000,$U113,SummaryHelper!$C$2:$C$5000,$V113))</f>
        <v/>
      </c>
      <c r="Z113" s="9" t="s">
        <v>489</v>
      </c>
      <c r="AB113" s="9" t="str">
        <f t="shared" si="20"/>
        <v/>
      </c>
      <c r="AC113" s="9" t="str">
        <f t="shared" si="21"/>
        <v/>
      </c>
      <c r="AH113" t="str">
        <f>IF($AF113="","",IFERROR(SUMIFS(SummaryHelper!$H$2:$H$5000,SummaryHelper!$A$2:$A$5000,$AE113,SummaryHelper!$B$2:$B$5000,$AF113,SummaryHelper!$C$2:$C$5000,$AG113)/SUMIFS(SummaryHelper!$G$2:$G$5000,SummaryHelper!$A$2:$A$5000,$AE113,SummaryHelper!$B$2:$B$5000,$AF113,SummaryHelper!$C$2:$C$5000,$AG113),""))</f>
        <v/>
      </c>
      <c r="AI113" t="str">
        <f>IF($AF113="","",SUMIFS(SummaryHelper!$E$2:$E$5000,SummaryHelper!$A$2:$A$5000,$AE113,SummaryHelper!$B$2:$B$5000,$AF113,SummaryHelper!$C$2:$C$5000,$AG113))</f>
        <v/>
      </c>
      <c r="AJ113" t="str">
        <f>IF($AF113="","",SUMIFS(SummaryHelper!$F$2:$F$5000,SummaryHelper!$A$2:$A$5000,$AE113,SummaryHelper!$B$2:$B$5000,$AF113,SummaryHelper!$C$2:$C$5000,$AG113))</f>
        <v/>
      </c>
      <c r="AK113" t="str">
        <f>IF($AF113="","",SUMIFS(SummaryHelper!$G$2:$G$5000,SummaryHelper!$A$2:$A$5000,$AE113,SummaryHelper!$B$2:$B$5000,$AF113,SummaryHelper!$C$2:$C$5000,$AG113))</f>
        <v/>
      </c>
      <c r="AM113" t="str">
        <f t="shared" si="22"/>
        <v/>
      </c>
      <c r="AN113" t="str">
        <f t="shared" si="23"/>
        <v/>
      </c>
    </row>
    <row r="114" spans="1:40" x14ac:dyDescent="0.25">
      <c r="A114" s="12"/>
      <c r="C114" s="9"/>
      <c r="D114" s="9"/>
      <c r="E114" s="9"/>
      <c r="F114" s="9"/>
      <c r="G114" s="9"/>
      <c r="L114" s="9" t="str">
        <f>IF($J114="","",IFERROR(SUMIFS(SummaryHelper!$H$2:$H$5000,SummaryHelper!$A$2:$A$5000,$I114,SummaryHelper!$B$2:$B$5000,$J114,SummaryHelper!$C$2:$C$5000,$K114)/SUMIFS(SummaryHelper!$G$2:$G$5000,SummaryHelper!$A$2:$A$5000,$I114,SummaryHelper!$B$2:$B$5000,$J114,SummaryHelper!$C$2:$C$5000,$K114),""))</f>
        <v/>
      </c>
      <c r="M114" s="9" t="str">
        <f>IF($J114="","",SUMIFS(SummaryHelper!$E$2:$E$5000,SummaryHelper!$A$2:$A$5000,$I114,SummaryHelper!$B$2:$B$5000,$J114,SummaryHelper!$C$2:$C$5000,$K114))</f>
        <v/>
      </c>
      <c r="N114" s="9" t="str">
        <f>IF($J114="","",SUMIFS(SummaryHelper!$F$2:$F$5000,SummaryHelper!$A$2:$A$5000,$I114,SummaryHelper!$B$2:$B$5000,$J114,SummaryHelper!$C$2:$C$5000,$K114))</f>
        <v/>
      </c>
      <c r="O114" s="9" t="str">
        <f>IF($J114="","",SUMIFS(SummaryHelper!$G$2:$G$5000,SummaryHelper!$A$2:$A$5000,$I114,SummaryHelper!$B$2:$B$5000,$J114,SummaryHelper!$C$2:$C$5000,$K114))</f>
        <v/>
      </c>
      <c r="Q114" s="9" t="str">
        <f t="shared" si="18"/>
        <v/>
      </c>
      <c r="R114" s="9" t="str">
        <f t="shared" si="19"/>
        <v/>
      </c>
      <c r="W114" s="9" t="str">
        <f>IF($U114="","",IFERROR(SUMIFS(SummaryHelper!$H$2:$H$5000,SummaryHelper!$A$2:$A$5000,$T114,SummaryHelper!$B$2:$B$5000,$U114,SummaryHelper!$C$2:$C$5000,$V114)/SUMIFS(SummaryHelper!$G$2:$G$5000,SummaryHelper!$A$2:$A$5000,$T114,SummaryHelper!$B$2:$B$5000,$U114,SummaryHelper!$C$2:$C$5000,$V114),""))</f>
        <v/>
      </c>
      <c r="X114" s="9" t="str">
        <f>IF($U114="","",SUMIFS(SummaryHelper!$E$2:$E$5000,SummaryHelper!$A$2:$A$5000,$T114,SummaryHelper!$B$2:$B$5000,$U114,SummaryHelper!$C$2:$C$5000,$V114))</f>
        <v/>
      </c>
      <c r="Y114" s="9" t="str">
        <f>IF($U114="","",SUMIFS(SummaryHelper!$F$2:$F$5000,SummaryHelper!$A$2:$A$5000,$T114,SummaryHelper!$B$2:$B$5000,$U114,SummaryHelper!$C$2:$C$5000,$V114))</f>
        <v/>
      </c>
      <c r="Z114" s="9" t="s">
        <v>489</v>
      </c>
      <c r="AB114" s="9" t="str">
        <f t="shared" si="20"/>
        <v/>
      </c>
      <c r="AC114" s="9" t="str">
        <f t="shared" si="21"/>
        <v/>
      </c>
      <c r="AH114" t="str">
        <f>IF($AF114="","",IFERROR(SUMIFS(SummaryHelper!$H$2:$H$5000,SummaryHelper!$A$2:$A$5000,$AE114,SummaryHelper!$B$2:$B$5000,$AF114,SummaryHelper!$C$2:$C$5000,$AG114)/SUMIFS(SummaryHelper!$G$2:$G$5000,SummaryHelper!$A$2:$A$5000,$AE114,SummaryHelper!$B$2:$B$5000,$AF114,SummaryHelper!$C$2:$C$5000,$AG114),""))</f>
        <v/>
      </c>
      <c r="AI114" t="str">
        <f>IF($AF114="","",SUMIFS(SummaryHelper!$E$2:$E$5000,SummaryHelper!$A$2:$A$5000,$AE114,SummaryHelper!$B$2:$B$5000,$AF114,SummaryHelper!$C$2:$C$5000,$AG114))</f>
        <v/>
      </c>
      <c r="AJ114" t="str">
        <f>IF($AF114="","",SUMIFS(SummaryHelper!$F$2:$F$5000,SummaryHelper!$A$2:$A$5000,$AE114,SummaryHelper!$B$2:$B$5000,$AF114,SummaryHelper!$C$2:$C$5000,$AG114))</f>
        <v/>
      </c>
      <c r="AK114" t="str">
        <f>IF($AF114="","",SUMIFS(SummaryHelper!$G$2:$G$5000,SummaryHelper!$A$2:$A$5000,$AE114,SummaryHelper!$B$2:$B$5000,$AF114,SummaryHelper!$C$2:$C$5000,$AG114))</f>
        <v/>
      </c>
      <c r="AM114" t="str">
        <f t="shared" si="22"/>
        <v/>
      </c>
      <c r="AN114" t="str">
        <f t="shared" si="23"/>
        <v/>
      </c>
    </row>
    <row r="115" spans="1:40" x14ac:dyDescent="0.25">
      <c r="A115" s="12"/>
      <c r="C115" s="9"/>
      <c r="D115" s="9"/>
      <c r="E115" s="9"/>
      <c r="F115" s="9"/>
      <c r="G115" s="9"/>
      <c r="L115" s="9" t="str">
        <f>IF($J115="","",IFERROR(SUMIFS(SummaryHelper!$H$2:$H$5000,SummaryHelper!$A$2:$A$5000,$I115,SummaryHelper!$B$2:$B$5000,$J115,SummaryHelper!$C$2:$C$5000,$K115)/SUMIFS(SummaryHelper!$G$2:$G$5000,SummaryHelper!$A$2:$A$5000,$I115,SummaryHelper!$B$2:$B$5000,$J115,SummaryHelper!$C$2:$C$5000,$K115),""))</f>
        <v/>
      </c>
      <c r="M115" s="9" t="str">
        <f>IF($J115="","",SUMIFS(SummaryHelper!$E$2:$E$5000,SummaryHelper!$A$2:$A$5000,$I115,SummaryHelper!$B$2:$B$5000,$J115,SummaryHelper!$C$2:$C$5000,$K115))</f>
        <v/>
      </c>
      <c r="N115" s="9" t="str">
        <f>IF($J115="","",SUMIFS(SummaryHelper!$F$2:$F$5000,SummaryHelper!$A$2:$A$5000,$I115,SummaryHelper!$B$2:$B$5000,$J115,SummaryHelper!$C$2:$C$5000,$K115))</f>
        <v/>
      </c>
      <c r="O115" s="9" t="str">
        <f>IF($J115="","",SUMIFS(SummaryHelper!$G$2:$G$5000,SummaryHelper!$A$2:$A$5000,$I115,SummaryHelper!$B$2:$B$5000,$J115,SummaryHelper!$C$2:$C$5000,$K115))</f>
        <v/>
      </c>
      <c r="Q115" s="9" t="str">
        <f t="shared" si="18"/>
        <v/>
      </c>
      <c r="R115" s="9" t="str">
        <f t="shared" si="19"/>
        <v/>
      </c>
      <c r="W115" s="9" t="str">
        <f>IF($U115="","",IFERROR(SUMIFS(SummaryHelper!$H$2:$H$5000,SummaryHelper!$A$2:$A$5000,$T115,SummaryHelper!$B$2:$B$5000,$U115,SummaryHelper!$C$2:$C$5000,$V115)/SUMIFS(SummaryHelper!$G$2:$G$5000,SummaryHelper!$A$2:$A$5000,$T115,SummaryHelper!$B$2:$B$5000,$U115,SummaryHelper!$C$2:$C$5000,$V115),""))</f>
        <v/>
      </c>
      <c r="X115" s="9" t="str">
        <f>IF($U115="","",SUMIFS(SummaryHelper!$E$2:$E$5000,SummaryHelper!$A$2:$A$5000,$T115,SummaryHelper!$B$2:$B$5000,$U115,SummaryHelper!$C$2:$C$5000,$V115))</f>
        <v/>
      </c>
      <c r="Y115" s="9" t="str">
        <f>IF($U115="","",SUMIFS(SummaryHelper!$F$2:$F$5000,SummaryHelper!$A$2:$A$5000,$T115,SummaryHelper!$B$2:$B$5000,$U115,SummaryHelper!$C$2:$C$5000,$V115))</f>
        <v/>
      </c>
      <c r="Z115" s="9" t="s">
        <v>489</v>
      </c>
      <c r="AB115" s="9" t="str">
        <f t="shared" si="20"/>
        <v/>
      </c>
      <c r="AC115" s="9" t="str">
        <f t="shared" si="21"/>
        <v/>
      </c>
      <c r="AH115" t="str">
        <f>IF($AF115="","",IFERROR(SUMIFS(SummaryHelper!$H$2:$H$5000,SummaryHelper!$A$2:$A$5000,$AE115,SummaryHelper!$B$2:$B$5000,$AF115,SummaryHelper!$C$2:$C$5000,$AG115)/SUMIFS(SummaryHelper!$G$2:$G$5000,SummaryHelper!$A$2:$A$5000,$AE115,SummaryHelper!$B$2:$B$5000,$AF115,SummaryHelper!$C$2:$C$5000,$AG115),""))</f>
        <v/>
      </c>
      <c r="AI115" t="str">
        <f>IF($AF115="","",SUMIFS(SummaryHelper!$E$2:$E$5000,SummaryHelper!$A$2:$A$5000,$AE115,SummaryHelper!$B$2:$B$5000,$AF115,SummaryHelper!$C$2:$C$5000,$AG115))</f>
        <v/>
      </c>
      <c r="AJ115" t="str">
        <f>IF($AF115="","",SUMIFS(SummaryHelper!$F$2:$F$5000,SummaryHelper!$A$2:$A$5000,$AE115,SummaryHelper!$B$2:$B$5000,$AF115,SummaryHelper!$C$2:$C$5000,$AG115))</f>
        <v/>
      </c>
      <c r="AK115" t="str">
        <f>IF($AF115="","",SUMIFS(SummaryHelper!$G$2:$G$5000,SummaryHelper!$A$2:$A$5000,$AE115,SummaryHelper!$B$2:$B$5000,$AF115,SummaryHelper!$C$2:$C$5000,$AG115))</f>
        <v/>
      </c>
      <c r="AM115" t="str">
        <f t="shared" si="22"/>
        <v/>
      </c>
      <c r="AN115" t="str">
        <f t="shared" si="23"/>
        <v/>
      </c>
    </row>
    <row r="116" spans="1:40" x14ac:dyDescent="0.25">
      <c r="A116" s="12"/>
      <c r="C116" s="9"/>
      <c r="D116" s="9"/>
      <c r="E116" s="9"/>
      <c r="F116" s="9"/>
      <c r="G116" s="9"/>
      <c r="L116" s="9" t="str">
        <f>IF($J116="","",IFERROR(SUMIFS(SummaryHelper!$H$2:$H$5000,SummaryHelper!$A$2:$A$5000,$I116,SummaryHelper!$B$2:$B$5000,$J116,SummaryHelper!$C$2:$C$5000,$K116)/SUMIFS(SummaryHelper!$G$2:$G$5000,SummaryHelper!$A$2:$A$5000,$I116,SummaryHelper!$B$2:$B$5000,$J116,SummaryHelper!$C$2:$C$5000,$K116),""))</f>
        <v/>
      </c>
      <c r="M116" s="9" t="str">
        <f>IF($J116="","",SUMIFS(SummaryHelper!$E$2:$E$5000,SummaryHelper!$A$2:$A$5000,$I116,SummaryHelper!$B$2:$B$5000,$J116,SummaryHelper!$C$2:$C$5000,$K116))</f>
        <v/>
      </c>
      <c r="N116" s="9" t="str">
        <f>IF($J116="","",SUMIFS(SummaryHelper!$F$2:$F$5000,SummaryHelper!$A$2:$A$5000,$I116,SummaryHelper!$B$2:$B$5000,$J116,SummaryHelper!$C$2:$C$5000,$K116))</f>
        <v/>
      </c>
      <c r="O116" s="9" t="str">
        <f>IF($J116="","",SUMIFS(SummaryHelper!$G$2:$G$5000,SummaryHelper!$A$2:$A$5000,$I116,SummaryHelper!$B$2:$B$5000,$J116,SummaryHelper!$C$2:$C$5000,$K116))</f>
        <v/>
      </c>
      <c r="Q116" s="9" t="str">
        <f t="shared" si="18"/>
        <v/>
      </c>
      <c r="R116" s="9" t="str">
        <f t="shared" si="19"/>
        <v/>
      </c>
      <c r="W116" s="9" t="str">
        <f>IF($U116="","",IFERROR(SUMIFS(SummaryHelper!$H$2:$H$5000,SummaryHelper!$A$2:$A$5000,$T116,SummaryHelper!$B$2:$B$5000,$U116,SummaryHelper!$C$2:$C$5000,$V116)/SUMIFS(SummaryHelper!$G$2:$G$5000,SummaryHelper!$A$2:$A$5000,$T116,SummaryHelper!$B$2:$B$5000,$U116,SummaryHelper!$C$2:$C$5000,$V116),""))</f>
        <v/>
      </c>
      <c r="X116" s="9" t="str">
        <f>IF($U116="","",SUMIFS(SummaryHelper!$E$2:$E$5000,SummaryHelper!$A$2:$A$5000,$T116,SummaryHelper!$B$2:$B$5000,$U116,SummaryHelper!$C$2:$C$5000,$V116))</f>
        <v/>
      </c>
      <c r="Y116" s="9" t="str">
        <f>IF($U116="","",SUMIFS(SummaryHelper!$F$2:$F$5000,SummaryHelper!$A$2:$A$5000,$T116,SummaryHelper!$B$2:$B$5000,$U116,SummaryHelper!$C$2:$C$5000,$V116))</f>
        <v/>
      </c>
      <c r="Z116" s="9" t="s">
        <v>489</v>
      </c>
      <c r="AB116" s="9" t="str">
        <f t="shared" si="20"/>
        <v/>
      </c>
      <c r="AC116" s="9" t="str">
        <f t="shared" si="21"/>
        <v/>
      </c>
      <c r="AH116" t="str">
        <f>IF($AF116="","",IFERROR(SUMIFS(SummaryHelper!$H$2:$H$5000,SummaryHelper!$A$2:$A$5000,$AE116,SummaryHelper!$B$2:$B$5000,$AF116,SummaryHelper!$C$2:$C$5000,$AG116)/SUMIFS(SummaryHelper!$G$2:$G$5000,SummaryHelper!$A$2:$A$5000,$AE116,SummaryHelper!$B$2:$B$5000,$AF116,SummaryHelper!$C$2:$C$5000,$AG116),""))</f>
        <v/>
      </c>
      <c r="AI116" t="str">
        <f>IF($AF116="","",SUMIFS(SummaryHelper!$E$2:$E$5000,SummaryHelper!$A$2:$A$5000,$AE116,SummaryHelper!$B$2:$B$5000,$AF116,SummaryHelper!$C$2:$C$5000,$AG116))</f>
        <v/>
      </c>
      <c r="AJ116" t="str">
        <f>IF($AF116="","",SUMIFS(SummaryHelper!$F$2:$F$5000,SummaryHelper!$A$2:$A$5000,$AE116,SummaryHelper!$B$2:$B$5000,$AF116,SummaryHelper!$C$2:$C$5000,$AG116))</f>
        <v/>
      </c>
      <c r="AK116" t="str">
        <f>IF($AF116="","",SUMIFS(SummaryHelper!$G$2:$G$5000,SummaryHelper!$A$2:$A$5000,$AE116,SummaryHelper!$B$2:$B$5000,$AF116,SummaryHelper!$C$2:$C$5000,$AG116))</f>
        <v/>
      </c>
      <c r="AM116" t="str">
        <f t="shared" si="22"/>
        <v/>
      </c>
      <c r="AN116" t="str">
        <f t="shared" si="23"/>
        <v/>
      </c>
    </row>
    <row r="117" spans="1:40" x14ac:dyDescent="0.25">
      <c r="A117" s="12"/>
      <c r="C117" s="9"/>
      <c r="D117" s="9"/>
      <c r="E117" s="9"/>
      <c r="F117" s="9"/>
      <c r="G117" s="9"/>
      <c r="L117" s="9" t="str">
        <f>IF($J117="","",IFERROR(SUMIFS(SummaryHelper!$H$2:$H$5000,SummaryHelper!$A$2:$A$5000,$I117,SummaryHelper!$B$2:$B$5000,$J117,SummaryHelper!$C$2:$C$5000,$K117)/SUMIFS(SummaryHelper!$G$2:$G$5000,SummaryHelper!$A$2:$A$5000,$I117,SummaryHelper!$B$2:$B$5000,$J117,SummaryHelper!$C$2:$C$5000,$K117),""))</f>
        <v/>
      </c>
      <c r="M117" s="9" t="str">
        <f>IF($J117="","",SUMIFS(SummaryHelper!$E$2:$E$5000,SummaryHelper!$A$2:$A$5000,$I117,SummaryHelper!$B$2:$B$5000,$J117,SummaryHelper!$C$2:$C$5000,$K117))</f>
        <v/>
      </c>
      <c r="N117" s="9" t="str">
        <f>IF($J117="","",SUMIFS(SummaryHelper!$F$2:$F$5000,SummaryHelper!$A$2:$A$5000,$I117,SummaryHelper!$B$2:$B$5000,$J117,SummaryHelper!$C$2:$C$5000,$K117))</f>
        <v/>
      </c>
      <c r="O117" s="9" t="str">
        <f>IF($J117="","",SUMIFS(SummaryHelper!$G$2:$G$5000,SummaryHelper!$A$2:$A$5000,$I117,SummaryHelper!$B$2:$B$5000,$J117,SummaryHelper!$C$2:$C$5000,$K117))</f>
        <v/>
      </c>
      <c r="Q117" s="9" t="str">
        <f t="shared" si="18"/>
        <v/>
      </c>
      <c r="R117" s="9" t="str">
        <f t="shared" si="19"/>
        <v/>
      </c>
      <c r="W117" s="9" t="str">
        <f>IF($U117="","",IFERROR(SUMIFS(SummaryHelper!$H$2:$H$5000,SummaryHelper!$A$2:$A$5000,$T117,SummaryHelper!$B$2:$B$5000,$U117,SummaryHelper!$C$2:$C$5000,$V117)/SUMIFS(SummaryHelper!$G$2:$G$5000,SummaryHelper!$A$2:$A$5000,$T117,SummaryHelper!$B$2:$B$5000,$U117,SummaryHelper!$C$2:$C$5000,$V117),""))</f>
        <v/>
      </c>
      <c r="X117" s="9" t="str">
        <f>IF($U117="","",SUMIFS(SummaryHelper!$E$2:$E$5000,SummaryHelper!$A$2:$A$5000,$T117,SummaryHelper!$B$2:$B$5000,$U117,SummaryHelper!$C$2:$C$5000,$V117))</f>
        <v/>
      </c>
      <c r="Y117" s="9" t="str">
        <f>IF($U117="","",SUMIFS(SummaryHelper!$F$2:$F$5000,SummaryHelper!$A$2:$A$5000,$T117,SummaryHelper!$B$2:$B$5000,$U117,SummaryHelper!$C$2:$C$5000,$V117))</f>
        <v/>
      </c>
      <c r="Z117" s="9" t="s">
        <v>489</v>
      </c>
      <c r="AB117" s="9" t="str">
        <f t="shared" si="20"/>
        <v/>
      </c>
      <c r="AC117" s="9" t="str">
        <f t="shared" si="21"/>
        <v/>
      </c>
      <c r="AH117" t="str">
        <f>IF($AF117="","",IFERROR(SUMIFS(SummaryHelper!$H$2:$H$5000,SummaryHelper!$A$2:$A$5000,$AE117,SummaryHelper!$B$2:$B$5000,$AF117,SummaryHelper!$C$2:$C$5000,$AG117)/SUMIFS(SummaryHelper!$G$2:$G$5000,SummaryHelper!$A$2:$A$5000,$AE117,SummaryHelper!$B$2:$B$5000,$AF117,SummaryHelper!$C$2:$C$5000,$AG117),""))</f>
        <v/>
      </c>
      <c r="AI117" t="str">
        <f>IF($AF117="","",SUMIFS(SummaryHelper!$E$2:$E$5000,SummaryHelper!$A$2:$A$5000,$AE117,SummaryHelper!$B$2:$B$5000,$AF117,SummaryHelper!$C$2:$C$5000,$AG117))</f>
        <v/>
      </c>
      <c r="AJ117" t="str">
        <f>IF($AF117="","",SUMIFS(SummaryHelper!$F$2:$F$5000,SummaryHelper!$A$2:$A$5000,$AE117,SummaryHelper!$B$2:$B$5000,$AF117,SummaryHelper!$C$2:$C$5000,$AG117))</f>
        <v/>
      </c>
      <c r="AK117" t="str">
        <f>IF($AF117="","",SUMIFS(SummaryHelper!$G$2:$G$5000,SummaryHelper!$A$2:$A$5000,$AE117,SummaryHelper!$B$2:$B$5000,$AF117,SummaryHelper!$C$2:$C$5000,$AG117))</f>
        <v/>
      </c>
      <c r="AM117" t="str">
        <f t="shared" si="22"/>
        <v/>
      </c>
      <c r="AN117" t="str">
        <f t="shared" si="23"/>
        <v/>
      </c>
    </row>
    <row r="118" spans="1:40" x14ac:dyDescent="0.25">
      <c r="A118" s="12"/>
      <c r="C118" s="9"/>
      <c r="D118" s="9"/>
      <c r="E118" s="9"/>
      <c r="F118" s="9"/>
      <c r="G118" s="9"/>
      <c r="L118" s="9" t="str">
        <f>IF($J118="","",IFERROR(SUMIFS(SummaryHelper!$H$2:$H$5000,SummaryHelper!$A$2:$A$5000,$I118,SummaryHelper!$B$2:$B$5000,$J118,SummaryHelper!$C$2:$C$5000,$K118)/SUMIFS(SummaryHelper!$G$2:$G$5000,SummaryHelper!$A$2:$A$5000,$I118,SummaryHelper!$B$2:$B$5000,$J118,SummaryHelper!$C$2:$C$5000,$K118),""))</f>
        <v/>
      </c>
      <c r="M118" s="9" t="str">
        <f>IF($J118="","",SUMIFS(SummaryHelper!$E$2:$E$5000,SummaryHelper!$A$2:$A$5000,$I118,SummaryHelper!$B$2:$B$5000,$J118,SummaryHelper!$C$2:$C$5000,$K118))</f>
        <v/>
      </c>
      <c r="N118" s="9" t="str">
        <f>IF($J118="","",SUMIFS(SummaryHelper!$F$2:$F$5000,SummaryHelper!$A$2:$A$5000,$I118,SummaryHelper!$B$2:$B$5000,$J118,SummaryHelper!$C$2:$C$5000,$K118))</f>
        <v/>
      </c>
      <c r="O118" s="9" t="str">
        <f>IF($J118="","",SUMIFS(SummaryHelper!$G$2:$G$5000,SummaryHelper!$A$2:$A$5000,$I118,SummaryHelper!$B$2:$B$5000,$J118,SummaryHelper!$C$2:$C$5000,$K118))</f>
        <v/>
      </c>
      <c r="Q118" s="9" t="str">
        <f t="shared" si="18"/>
        <v/>
      </c>
      <c r="R118" s="9" t="str">
        <f t="shared" si="19"/>
        <v/>
      </c>
      <c r="W118" s="9" t="str">
        <f>IF($U118="","",IFERROR(SUMIFS(SummaryHelper!$H$2:$H$5000,SummaryHelper!$A$2:$A$5000,$T118,SummaryHelper!$B$2:$B$5000,$U118,SummaryHelper!$C$2:$C$5000,$V118)/SUMIFS(SummaryHelper!$G$2:$G$5000,SummaryHelper!$A$2:$A$5000,$T118,SummaryHelper!$B$2:$B$5000,$U118,SummaryHelper!$C$2:$C$5000,$V118),""))</f>
        <v/>
      </c>
      <c r="X118" s="9" t="str">
        <f>IF($U118="","",SUMIFS(SummaryHelper!$E$2:$E$5000,SummaryHelper!$A$2:$A$5000,$T118,SummaryHelper!$B$2:$B$5000,$U118,SummaryHelper!$C$2:$C$5000,$V118))</f>
        <v/>
      </c>
      <c r="Y118" s="9" t="str">
        <f>IF($U118="","",SUMIFS(SummaryHelper!$F$2:$F$5000,SummaryHelper!$A$2:$A$5000,$T118,SummaryHelper!$B$2:$B$5000,$U118,SummaryHelper!$C$2:$C$5000,$V118))</f>
        <v/>
      </c>
      <c r="Z118" s="9" t="s">
        <v>489</v>
      </c>
      <c r="AB118" s="9" t="str">
        <f t="shared" si="20"/>
        <v/>
      </c>
      <c r="AC118" s="9" t="str">
        <f t="shared" si="21"/>
        <v/>
      </c>
      <c r="AH118" t="str">
        <f>IF($AF118="","",IFERROR(SUMIFS(SummaryHelper!$H$2:$H$5000,SummaryHelper!$A$2:$A$5000,$AE118,SummaryHelper!$B$2:$B$5000,$AF118,SummaryHelper!$C$2:$C$5000,$AG118)/SUMIFS(SummaryHelper!$G$2:$G$5000,SummaryHelper!$A$2:$A$5000,$AE118,SummaryHelper!$B$2:$B$5000,$AF118,SummaryHelper!$C$2:$C$5000,$AG118),""))</f>
        <v/>
      </c>
      <c r="AI118" t="str">
        <f>IF($AF118="","",SUMIFS(SummaryHelper!$E$2:$E$5000,SummaryHelper!$A$2:$A$5000,$AE118,SummaryHelper!$B$2:$B$5000,$AF118,SummaryHelper!$C$2:$C$5000,$AG118))</f>
        <v/>
      </c>
      <c r="AJ118" t="str">
        <f>IF($AF118="","",SUMIFS(SummaryHelper!$F$2:$F$5000,SummaryHelper!$A$2:$A$5000,$AE118,SummaryHelper!$B$2:$B$5000,$AF118,SummaryHelper!$C$2:$C$5000,$AG118))</f>
        <v/>
      </c>
      <c r="AK118" t="str">
        <f>IF($AF118="","",SUMIFS(SummaryHelper!$G$2:$G$5000,SummaryHelper!$A$2:$A$5000,$AE118,SummaryHelper!$B$2:$B$5000,$AF118,SummaryHelper!$C$2:$C$5000,$AG118))</f>
        <v/>
      </c>
      <c r="AM118" t="str">
        <f t="shared" si="22"/>
        <v/>
      </c>
      <c r="AN118" t="str">
        <f t="shared" si="23"/>
        <v/>
      </c>
    </row>
    <row r="119" spans="1:40" x14ac:dyDescent="0.25">
      <c r="A119" s="12"/>
      <c r="C119" s="9"/>
      <c r="D119" s="9"/>
      <c r="E119" s="9"/>
      <c r="F119" s="9"/>
      <c r="G119" s="9"/>
      <c r="L119" s="9" t="str">
        <f>IF($J119="","",IFERROR(SUMIFS(SummaryHelper!$H$2:$H$5000,SummaryHelper!$A$2:$A$5000,$I119,SummaryHelper!$B$2:$B$5000,$J119,SummaryHelper!$C$2:$C$5000,$K119)/SUMIFS(SummaryHelper!$G$2:$G$5000,SummaryHelper!$A$2:$A$5000,$I119,SummaryHelper!$B$2:$B$5000,$J119,SummaryHelper!$C$2:$C$5000,$K119),""))</f>
        <v/>
      </c>
      <c r="M119" s="9" t="str">
        <f>IF($J119="","",SUMIFS(SummaryHelper!$E$2:$E$5000,SummaryHelper!$A$2:$A$5000,$I119,SummaryHelper!$B$2:$B$5000,$J119,SummaryHelper!$C$2:$C$5000,$K119))</f>
        <v/>
      </c>
      <c r="N119" s="9" t="str">
        <f>IF($J119="","",SUMIFS(SummaryHelper!$F$2:$F$5000,SummaryHelper!$A$2:$A$5000,$I119,SummaryHelper!$B$2:$B$5000,$J119,SummaryHelper!$C$2:$C$5000,$K119))</f>
        <v/>
      </c>
      <c r="O119" s="9" t="str">
        <f>IF($J119="","",SUMIFS(SummaryHelper!$G$2:$G$5000,SummaryHelper!$A$2:$A$5000,$I119,SummaryHelper!$B$2:$B$5000,$J119,SummaryHelper!$C$2:$C$5000,$K119))</f>
        <v/>
      </c>
      <c r="Q119" s="9" t="str">
        <f t="shared" si="18"/>
        <v/>
      </c>
      <c r="R119" s="9" t="str">
        <f t="shared" si="19"/>
        <v/>
      </c>
      <c r="W119" s="9" t="str">
        <f>IF($U119="","",IFERROR(SUMIFS(SummaryHelper!$H$2:$H$5000,SummaryHelper!$A$2:$A$5000,$T119,SummaryHelper!$B$2:$B$5000,$U119,SummaryHelper!$C$2:$C$5000,$V119)/SUMIFS(SummaryHelper!$G$2:$G$5000,SummaryHelper!$A$2:$A$5000,$T119,SummaryHelper!$B$2:$B$5000,$U119,SummaryHelper!$C$2:$C$5000,$V119),""))</f>
        <v/>
      </c>
      <c r="X119" s="9" t="str">
        <f>IF($U119="","",SUMIFS(SummaryHelper!$E$2:$E$5000,SummaryHelper!$A$2:$A$5000,$T119,SummaryHelper!$B$2:$B$5000,$U119,SummaryHelper!$C$2:$C$5000,$V119))</f>
        <v/>
      </c>
      <c r="Y119" s="9" t="str">
        <f>IF($U119="","",SUMIFS(SummaryHelper!$F$2:$F$5000,SummaryHelper!$A$2:$A$5000,$T119,SummaryHelper!$B$2:$B$5000,$U119,SummaryHelper!$C$2:$C$5000,$V119))</f>
        <v/>
      </c>
      <c r="Z119" s="9" t="s">
        <v>489</v>
      </c>
      <c r="AB119" s="9" t="str">
        <f t="shared" si="20"/>
        <v/>
      </c>
      <c r="AC119" s="9" t="str">
        <f t="shared" si="21"/>
        <v/>
      </c>
      <c r="AH119" t="str">
        <f>IF($AF119="","",IFERROR(SUMIFS(SummaryHelper!$H$2:$H$5000,SummaryHelper!$A$2:$A$5000,$AE119,SummaryHelper!$B$2:$B$5000,$AF119,SummaryHelper!$C$2:$C$5000,$AG119)/SUMIFS(SummaryHelper!$G$2:$G$5000,SummaryHelper!$A$2:$A$5000,$AE119,SummaryHelper!$B$2:$B$5000,$AF119,SummaryHelper!$C$2:$C$5000,$AG119),""))</f>
        <v/>
      </c>
      <c r="AI119" t="str">
        <f>IF($AF119="","",SUMIFS(SummaryHelper!$E$2:$E$5000,SummaryHelper!$A$2:$A$5000,$AE119,SummaryHelper!$B$2:$B$5000,$AF119,SummaryHelper!$C$2:$C$5000,$AG119))</f>
        <v/>
      </c>
      <c r="AJ119" t="str">
        <f>IF($AF119="","",SUMIFS(SummaryHelper!$F$2:$F$5000,SummaryHelper!$A$2:$A$5000,$AE119,SummaryHelper!$B$2:$B$5000,$AF119,SummaryHelper!$C$2:$C$5000,$AG119))</f>
        <v/>
      </c>
      <c r="AK119" t="str">
        <f>IF($AF119="","",SUMIFS(SummaryHelper!$G$2:$G$5000,SummaryHelper!$A$2:$A$5000,$AE119,SummaryHelper!$B$2:$B$5000,$AF119,SummaryHelper!$C$2:$C$5000,$AG119))</f>
        <v/>
      </c>
      <c r="AM119" t="str">
        <f t="shared" si="22"/>
        <v/>
      </c>
      <c r="AN119" t="str">
        <f t="shared" si="23"/>
        <v/>
      </c>
    </row>
    <row r="120" spans="1:40" x14ac:dyDescent="0.25">
      <c r="A120" s="12"/>
      <c r="C120" s="9"/>
      <c r="D120" s="9"/>
      <c r="E120" s="9"/>
      <c r="F120" s="9"/>
      <c r="G120" s="9"/>
      <c r="L120" s="9" t="str">
        <f>IF($J120="","",IFERROR(SUMIFS(SummaryHelper!$H$2:$H$5000,SummaryHelper!$A$2:$A$5000,$I120,SummaryHelper!$B$2:$B$5000,$J120,SummaryHelper!$C$2:$C$5000,$K120)/SUMIFS(SummaryHelper!$G$2:$G$5000,SummaryHelper!$A$2:$A$5000,$I120,SummaryHelper!$B$2:$B$5000,$J120,SummaryHelper!$C$2:$C$5000,$K120),""))</f>
        <v/>
      </c>
      <c r="M120" s="9" t="str">
        <f>IF($J120="","",SUMIFS(SummaryHelper!$E$2:$E$5000,SummaryHelper!$A$2:$A$5000,$I120,SummaryHelper!$B$2:$B$5000,$J120,SummaryHelper!$C$2:$C$5000,$K120))</f>
        <v/>
      </c>
      <c r="N120" s="9" t="str">
        <f>IF($J120="","",SUMIFS(SummaryHelper!$F$2:$F$5000,SummaryHelper!$A$2:$A$5000,$I120,SummaryHelper!$B$2:$B$5000,$J120,SummaryHelper!$C$2:$C$5000,$K120))</f>
        <v/>
      </c>
      <c r="O120" s="9" t="str">
        <f>IF($J120="","",SUMIFS(SummaryHelper!$G$2:$G$5000,SummaryHelper!$A$2:$A$5000,$I120,SummaryHelper!$B$2:$B$5000,$J120,SummaryHelper!$C$2:$C$5000,$K120))</f>
        <v/>
      </c>
      <c r="Q120" s="9" t="str">
        <f t="shared" si="18"/>
        <v/>
      </c>
      <c r="R120" s="9" t="str">
        <f t="shared" si="19"/>
        <v/>
      </c>
      <c r="W120" s="9" t="str">
        <f>IF($U120="","",IFERROR(SUMIFS(SummaryHelper!$H$2:$H$5000,SummaryHelper!$A$2:$A$5000,$T120,SummaryHelper!$B$2:$B$5000,$U120,SummaryHelper!$C$2:$C$5000,$V120)/SUMIFS(SummaryHelper!$G$2:$G$5000,SummaryHelper!$A$2:$A$5000,$T120,SummaryHelper!$B$2:$B$5000,$U120,SummaryHelper!$C$2:$C$5000,$V120),""))</f>
        <v/>
      </c>
      <c r="X120" s="9" t="str">
        <f>IF($U120="","",SUMIFS(SummaryHelper!$E$2:$E$5000,SummaryHelper!$A$2:$A$5000,$T120,SummaryHelper!$B$2:$B$5000,$U120,SummaryHelper!$C$2:$C$5000,$V120))</f>
        <v/>
      </c>
      <c r="Y120" s="9" t="str">
        <f>IF($U120="","",SUMIFS(SummaryHelper!$F$2:$F$5000,SummaryHelper!$A$2:$A$5000,$T120,SummaryHelper!$B$2:$B$5000,$U120,SummaryHelper!$C$2:$C$5000,$V120))</f>
        <v/>
      </c>
      <c r="Z120" s="9" t="s">
        <v>489</v>
      </c>
      <c r="AB120" s="9" t="str">
        <f t="shared" si="20"/>
        <v/>
      </c>
      <c r="AC120" s="9" t="str">
        <f t="shared" si="21"/>
        <v/>
      </c>
      <c r="AH120" t="str">
        <f>IF($AF120="","",IFERROR(SUMIFS(SummaryHelper!$H$2:$H$5000,SummaryHelper!$A$2:$A$5000,$AE120,SummaryHelper!$B$2:$B$5000,$AF120,SummaryHelper!$C$2:$C$5000,$AG120)/SUMIFS(SummaryHelper!$G$2:$G$5000,SummaryHelper!$A$2:$A$5000,$AE120,SummaryHelper!$B$2:$B$5000,$AF120,SummaryHelper!$C$2:$C$5000,$AG120),""))</f>
        <v/>
      </c>
      <c r="AI120" t="str">
        <f>IF($AF120="","",SUMIFS(SummaryHelper!$E$2:$E$5000,SummaryHelper!$A$2:$A$5000,$AE120,SummaryHelper!$B$2:$B$5000,$AF120,SummaryHelper!$C$2:$C$5000,$AG120))</f>
        <v/>
      </c>
      <c r="AJ120" t="str">
        <f>IF($AF120="","",SUMIFS(SummaryHelper!$F$2:$F$5000,SummaryHelper!$A$2:$A$5000,$AE120,SummaryHelper!$B$2:$B$5000,$AF120,SummaryHelper!$C$2:$C$5000,$AG120))</f>
        <v/>
      </c>
      <c r="AK120" t="str">
        <f>IF($AF120="","",SUMIFS(SummaryHelper!$G$2:$G$5000,SummaryHelper!$A$2:$A$5000,$AE120,SummaryHelper!$B$2:$B$5000,$AF120,SummaryHelper!$C$2:$C$5000,$AG120))</f>
        <v/>
      </c>
      <c r="AM120" t="str">
        <f t="shared" si="22"/>
        <v/>
      </c>
      <c r="AN120" t="str">
        <f t="shared" si="23"/>
        <v/>
      </c>
    </row>
    <row r="121" spans="1:40" x14ac:dyDescent="0.25">
      <c r="A121" s="12"/>
      <c r="C121" s="9"/>
      <c r="D121" s="9"/>
      <c r="E121" s="9"/>
      <c r="F121" s="9"/>
      <c r="G121" s="9"/>
      <c r="L121" s="9" t="str">
        <f>IF($J121="","",IFERROR(SUMIFS(SummaryHelper!$H$2:$H$5000,SummaryHelper!$A$2:$A$5000,$I121,SummaryHelper!$B$2:$B$5000,$J121,SummaryHelper!$C$2:$C$5000,$K121)/SUMIFS(SummaryHelper!$G$2:$G$5000,SummaryHelper!$A$2:$A$5000,$I121,SummaryHelper!$B$2:$B$5000,$J121,SummaryHelper!$C$2:$C$5000,$K121),""))</f>
        <v/>
      </c>
      <c r="M121" s="9" t="str">
        <f>IF($J121="","",SUMIFS(SummaryHelper!$E$2:$E$5000,SummaryHelper!$A$2:$A$5000,$I121,SummaryHelper!$B$2:$B$5000,$J121,SummaryHelper!$C$2:$C$5000,$K121))</f>
        <v/>
      </c>
      <c r="N121" s="9" t="str">
        <f>IF($J121="","",SUMIFS(SummaryHelper!$F$2:$F$5000,SummaryHelper!$A$2:$A$5000,$I121,SummaryHelper!$B$2:$B$5000,$J121,SummaryHelper!$C$2:$C$5000,$K121))</f>
        <v/>
      </c>
      <c r="O121" s="9" t="str">
        <f>IF($J121="","",SUMIFS(SummaryHelper!$G$2:$G$5000,SummaryHelper!$A$2:$A$5000,$I121,SummaryHelper!$B$2:$B$5000,$J121,SummaryHelper!$C$2:$C$5000,$K121))</f>
        <v/>
      </c>
      <c r="Q121" s="9" t="str">
        <f t="shared" si="18"/>
        <v/>
      </c>
      <c r="R121" s="9" t="str">
        <f t="shared" si="19"/>
        <v/>
      </c>
      <c r="W121" s="9" t="str">
        <f>IF($U121="","",IFERROR(SUMIFS(SummaryHelper!$H$2:$H$5000,SummaryHelper!$A$2:$A$5000,$T121,SummaryHelper!$B$2:$B$5000,$U121,SummaryHelper!$C$2:$C$5000,$V121)/SUMIFS(SummaryHelper!$G$2:$G$5000,SummaryHelper!$A$2:$A$5000,$T121,SummaryHelper!$B$2:$B$5000,$U121,SummaryHelper!$C$2:$C$5000,$V121),""))</f>
        <v/>
      </c>
      <c r="X121" s="9" t="str">
        <f>IF($U121="","",SUMIFS(SummaryHelper!$E$2:$E$5000,SummaryHelper!$A$2:$A$5000,$T121,SummaryHelper!$B$2:$B$5000,$U121,SummaryHelper!$C$2:$C$5000,$V121))</f>
        <v/>
      </c>
      <c r="Y121" s="9" t="str">
        <f>IF($U121="","",SUMIFS(SummaryHelper!$F$2:$F$5000,SummaryHelper!$A$2:$A$5000,$T121,SummaryHelper!$B$2:$B$5000,$U121,SummaryHelper!$C$2:$C$5000,$V121))</f>
        <v/>
      </c>
      <c r="Z121" s="9" t="s">
        <v>489</v>
      </c>
      <c r="AB121" s="9" t="str">
        <f t="shared" si="20"/>
        <v/>
      </c>
      <c r="AC121" s="9" t="str">
        <f t="shared" si="21"/>
        <v/>
      </c>
      <c r="AH121" t="str">
        <f>IF($AF121="","",IFERROR(SUMIFS(SummaryHelper!$H$2:$H$5000,SummaryHelper!$A$2:$A$5000,$AE121,SummaryHelper!$B$2:$B$5000,$AF121,SummaryHelper!$C$2:$C$5000,$AG121)/SUMIFS(SummaryHelper!$G$2:$G$5000,SummaryHelper!$A$2:$A$5000,$AE121,SummaryHelper!$B$2:$B$5000,$AF121,SummaryHelper!$C$2:$C$5000,$AG121),""))</f>
        <v/>
      </c>
      <c r="AI121" t="str">
        <f>IF($AF121="","",SUMIFS(SummaryHelper!$E$2:$E$5000,SummaryHelper!$A$2:$A$5000,$AE121,SummaryHelper!$B$2:$B$5000,$AF121,SummaryHelper!$C$2:$C$5000,$AG121))</f>
        <v/>
      </c>
      <c r="AJ121" t="str">
        <f>IF($AF121="","",SUMIFS(SummaryHelper!$F$2:$F$5000,SummaryHelper!$A$2:$A$5000,$AE121,SummaryHelper!$B$2:$B$5000,$AF121,SummaryHelper!$C$2:$C$5000,$AG121))</f>
        <v/>
      </c>
      <c r="AK121" t="str">
        <f>IF($AF121="","",SUMIFS(SummaryHelper!$G$2:$G$5000,SummaryHelper!$A$2:$A$5000,$AE121,SummaryHelper!$B$2:$B$5000,$AF121,SummaryHelper!$C$2:$C$5000,$AG121))</f>
        <v/>
      </c>
      <c r="AM121" t="str">
        <f t="shared" si="22"/>
        <v/>
      </c>
      <c r="AN121" t="str">
        <f t="shared" si="23"/>
        <v/>
      </c>
    </row>
    <row r="122" spans="1:40" x14ac:dyDescent="0.25">
      <c r="A122" s="12"/>
      <c r="C122" s="9"/>
      <c r="D122" s="9"/>
      <c r="E122" s="9"/>
      <c r="F122" s="9"/>
      <c r="G122" s="9"/>
      <c r="L122" s="9" t="str">
        <f>IF($J122="","",IFERROR(SUMIFS(SummaryHelper!$H$2:$H$5000,SummaryHelper!$A$2:$A$5000,$I122,SummaryHelper!$B$2:$B$5000,$J122,SummaryHelper!$C$2:$C$5000,$K122)/SUMIFS(SummaryHelper!$G$2:$G$5000,SummaryHelper!$A$2:$A$5000,$I122,SummaryHelper!$B$2:$B$5000,$J122,SummaryHelper!$C$2:$C$5000,$K122),""))</f>
        <v/>
      </c>
      <c r="M122" s="9" t="str">
        <f>IF($J122="","",SUMIFS(SummaryHelper!$E$2:$E$5000,SummaryHelper!$A$2:$A$5000,$I122,SummaryHelper!$B$2:$B$5000,$J122,SummaryHelper!$C$2:$C$5000,$K122))</f>
        <v/>
      </c>
      <c r="N122" s="9" t="str">
        <f>IF($J122="","",SUMIFS(SummaryHelper!$F$2:$F$5000,SummaryHelper!$A$2:$A$5000,$I122,SummaryHelper!$B$2:$B$5000,$J122,SummaryHelper!$C$2:$C$5000,$K122))</f>
        <v/>
      </c>
      <c r="O122" s="9" t="str">
        <f>IF($J122="","",SUMIFS(SummaryHelper!$G$2:$G$5000,SummaryHelper!$A$2:$A$5000,$I122,SummaryHelper!$B$2:$B$5000,$J122,SummaryHelper!$C$2:$C$5000,$K122))</f>
        <v/>
      </c>
      <c r="Q122" s="9" t="str">
        <f t="shared" si="18"/>
        <v/>
      </c>
      <c r="R122" s="9" t="str">
        <f t="shared" si="19"/>
        <v/>
      </c>
      <c r="W122" s="9" t="str">
        <f>IF($U122="","",IFERROR(SUMIFS(SummaryHelper!$H$2:$H$5000,SummaryHelper!$A$2:$A$5000,$T122,SummaryHelper!$B$2:$B$5000,$U122,SummaryHelper!$C$2:$C$5000,$V122)/SUMIFS(SummaryHelper!$G$2:$G$5000,SummaryHelper!$A$2:$A$5000,$T122,SummaryHelper!$B$2:$B$5000,$U122,SummaryHelper!$C$2:$C$5000,$V122),""))</f>
        <v/>
      </c>
      <c r="X122" s="9" t="str">
        <f>IF($U122="","",SUMIFS(SummaryHelper!$E$2:$E$5000,SummaryHelper!$A$2:$A$5000,$T122,SummaryHelper!$B$2:$B$5000,$U122,SummaryHelper!$C$2:$C$5000,$V122))</f>
        <v/>
      </c>
      <c r="Y122" s="9" t="str">
        <f>IF($U122="","",SUMIFS(SummaryHelper!$F$2:$F$5000,SummaryHelper!$A$2:$A$5000,$T122,SummaryHelper!$B$2:$B$5000,$U122,SummaryHelper!$C$2:$C$5000,$V122))</f>
        <v/>
      </c>
      <c r="Z122" s="9" t="s">
        <v>489</v>
      </c>
      <c r="AB122" s="9" t="str">
        <f t="shared" si="20"/>
        <v/>
      </c>
      <c r="AC122" s="9" t="str">
        <f t="shared" si="21"/>
        <v/>
      </c>
      <c r="AH122" t="str">
        <f>IF($AF122="","",IFERROR(SUMIFS(SummaryHelper!$H$2:$H$5000,SummaryHelper!$A$2:$A$5000,$AE122,SummaryHelper!$B$2:$B$5000,$AF122,SummaryHelper!$C$2:$C$5000,$AG122)/SUMIFS(SummaryHelper!$G$2:$G$5000,SummaryHelper!$A$2:$A$5000,$AE122,SummaryHelper!$B$2:$B$5000,$AF122,SummaryHelper!$C$2:$C$5000,$AG122),""))</f>
        <v/>
      </c>
      <c r="AI122" t="str">
        <f>IF($AF122="","",SUMIFS(SummaryHelper!$E$2:$E$5000,SummaryHelper!$A$2:$A$5000,$AE122,SummaryHelper!$B$2:$B$5000,$AF122,SummaryHelper!$C$2:$C$5000,$AG122))</f>
        <v/>
      </c>
      <c r="AJ122" t="str">
        <f>IF($AF122="","",SUMIFS(SummaryHelper!$F$2:$F$5000,SummaryHelper!$A$2:$A$5000,$AE122,SummaryHelper!$B$2:$B$5000,$AF122,SummaryHelper!$C$2:$C$5000,$AG122))</f>
        <v/>
      </c>
      <c r="AK122" t="str">
        <f>IF($AF122="","",SUMIFS(SummaryHelper!$G$2:$G$5000,SummaryHelper!$A$2:$A$5000,$AE122,SummaryHelper!$B$2:$B$5000,$AF122,SummaryHelper!$C$2:$C$5000,$AG122))</f>
        <v/>
      </c>
      <c r="AM122" t="str">
        <f t="shared" si="22"/>
        <v/>
      </c>
      <c r="AN122" t="str">
        <f t="shared" si="23"/>
        <v/>
      </c>
    </row>
    <row r="123" spans="1:40" x14ac:dyDescent="0.25">
      <c r="A123" s="12"/>
      <c r="C123" s="9"/>
      <c r="D123" s="9"/>
      <c r="E123" s="9"/>
      <c r="F123" s="9"/>
      <c r="G123" s="9"/>
      <c r="L123" s="9" t="str">
        <f>IF($J123="","",IFERROR(SUMIFS(SummaryHelper!$H$2:$H$5000,SummaryHelper!$A$2:$A$5000,$I123,SummaryHelper!$B$2:$B$5000,$J123,SummaryHelper!$C$2:$C$5000,$K123)/SUMIFS(SummaryHelper!$G$2:$G$5000,SummaryHelper!$A$2:$A$5000,$I123,SummaryHelper!$B$2:$B$5000,$J123,SummaryHelper!$C$2:$C$5000,$K123),""))</f>
        <v/>
      </c>
      <c r="M123" s="9" t="str">
        <f>IF($J123="","",SUMIFS(SummaryHelper!$E$2:$E$5000,SummaryHelper!$A$2:$A$5000,$I123,SummaryHelper!$B$2:$B$5000,$J123,SummaryHelper!$C$2:$C$5000,$K123))</f>
        <v/>
      </c>
      <c r="N123" s="9" t="str">
        <f>IF($J123="","",SUMIFS(SummaryHelper!$F$2:$F$5000,SummaryHelper!$A$2:$A$5000,$I123,SummaryHelper!$B$2:$B$5000,$J123,SummaryHelper!$C$2:$C$5000,$K123))</f>
        <v/>
      </c>
      <c r="O123" s="9" t="str">
        <f>IF($J123="","",SUMIFS(SummaryHelper!$G$2:$G$5000,SummaryHelper!$A$2:$A$5000,$I123,SummaryHelper!$B$2:$B$5000,$J123,SummaryHelper!$C$2:$C$5000,$K123))</f>
        <v/>
      </c>
      <c r="Q123" s="9" t="str">
        <f t="shared" si="18"/>
        <v/>
      </c>
      <c r="R123" s="9" t="str">
        <f t="shared" si="19"/>
        <v/>
      </c>
      <c r="W123" s="9" t="str">
        <f>IF($U123="","",IFERROR(SUMIFS(SummaryHelper!$H$2:$H$5000,SummaryHelper!$A$2:$A$5000,$T123,SummaryHelper!$B$2:$B$5000,$U123,SummaryHelper!$C$2:$C$5000,$V123)/SUMIFS(SummaryHelper!$G$2:$G$5000,SummaryHelper!$A$2:$A$5000,$T123,SummaryHelper!$B$2:$B$5000,$U123,SummaryHelper!$C$2:$C$5000,$V123),""))</f>
        <v/>
      </c>
      <c r="X123" s="9" t="str">
        <f>IF($U123="","",SUMIFS(SummaryHelper!$E$2:$E$5000,SummaryHelper!$A$2:$A$5000,$T123,SummaryHelper!$B$2:$B$5000,$U123,SummaryHelper!$C$2:$C$5000,$V123))</f>
        <v/>
      </c>
      <c r="Y123" s="9" t="str">
        <f>IF($U123="","",SUMIFS(SummaryHelper!$F$2:$F$5000,SummaryHelper!$A$2:$A$5000,$T123,SummaryHelper!$B$2:$B$5000,$U123,SummaryHelper!$C$2:$C$5000,$V123))</f>
        <v/>
      </c>
      <c r="Z123" s="9" t="s">
        <v>489</v>
      </c>
      <c r="AB123" s="9" t="str">
        <f t="shared" si="20"/>
        <v/>
      </c>
      <c r="AC123" s="9" t="str">
        <f t="shared" si="21"/>
        <v/>
      </c>
      <c r="AH123" t="str">
        <f>IF($AF123="","",IFERROR(SUMIFS(SummaryHelper!$H$2:$H$5000,SummaryHelper!$A$2:$A$5000,$AE123,SummaryHelper!$B$2:$B$5000,$AF123,SummaryHelper!$C$2:$C$5000,$AG123)/SUMIFS(SummaryHelper!$G$2:$G$5000,SummaryHelper!$A$2:$A$5000,$AE123,SummaryHelper!$B$2:$B$5000,$AF123,SummaryHelper!$C$2:$C$5000,$AG123),""))</f>
        <v/>
      </c>
      <c r="AI123" t="str">
        <f>IF($AF123="","",SUMIFS(SummaryHelper!$E$2:$E$5000,SummaryHelper!$A$2:$A$5000,$AE123,SummaryHelper!$B$2:$B$5000,$AF123,SummaryHelper!$C$2:$C$5000,$AG123))</f>
        <v/>
      </c>
      <c r="AJ123" t="str">
        <f>IF($AF123="","",SUMIFS(SummaryHelper!$F$2:$F$5000,SummaryHelper!$A$2:$A$5000,$AE123,SummaryHelper!$B$2:$B$5000,$AF123,SummaryHelper!$C$2:$C$5000,$AG123))</f>
        <v/>
      </c>
      <c r="AK123" t="str">
        <f>IF($AF123="","",SUMIFS(SummaryHelper!$G$2:$G$5000,SummaryHelper!$A$2:$A$5000,$AE123,SummaryHelper!$B$2:$B$5000,$AF123,SummaryHelper!$C$2:$C$5000,$AG123))</f>
        <v/>
      </c>
      <c r="AM123" t="str">
        <f t="shared" si="22"/>
        <v/>
      </c>
      <c r="AN123" t="str">
        <f t="shared" si="23"/>
        <v/>
      </c>
    </row>
    <row r="124" spans="1:40" x14ac:dyDescent="0.25">
      <c r="A124" s="12"/>
      <c r="C124" s="9"/>
      <c r="D124" s="9"/>
      <c r="E124" s="9"/>
      <c r="F124" s="9"/>
      <c r="G124" s="9"/>
      <c r="L124" s="9" t="str">
        <f>IF($J124="","",IFERROR(SUMIFS(SummaryHelper!$H$2:$H$5000,SummaryHelper!$A$2:$A$5000,$I124,SummaryHelper!$B$2:$B$5000,$J124,SummaryHelper!$C$2:$C$5000,$K124)/SUMIFS(SummaryHelper!$G$2:$G$5000,SummaryHelper!$A$2:$A$5000,$I124,SummaryHelper!$B$2:$B$5000,$J124,SummaryHelper!$C$2:$C$5000,$K124),""))</f>
        <v/>
      </c>
      <c r="M124" s="9" t="str">
        <f>IF($J124="","",SUMIFS(SummaryHelper!$E$2:$E$5000,SummaryHelper!$A$2:$A$5000,$I124,SummaryHelper!$B$2:$B$5000,$J124,SummaryHelper!$C$2:$C$5000,$K124))</f>
        <v/>
      </c>
      <c r="N124" s="9" t="str">
        <f>IF($J124="","",SUMIFS(SummaryHelper!$F$2:$F$5000,SummaryHelper!$A$2:$A$5000,$I124,SummaryHelper!$B$2:$B$5000,$J124,SummaryHelper!$C$2:$C$5000,$K124))</f>
        <v/>
      </c>
      <c r="O124" s="9" t="str">
        <f>IF($J124="","",SUMIFS(SummaryHelper!$G$2:$G$5000,SummaryHelper!$A$2:$A$5000,$I124,SummaryHelper!$B$2:$B$5000,$J124,SummaryHelper!$C$2:$C$5000,$K124))</f>
        <v/>
      </c>
      <c r="Q124" s="9" t="str">
        <f t="shared" si="18"/>
        <v/>
      </c>
      <c r="R124" s="9" t="str">
        <f t="shared" si="19"/>
        <v/>
      </c>
      <c r="W124" s="9" t="str">
        <f>IF($U124="","",IFERROR(SUMIFS(SummaryHelper!$H$2:$H$5000,SummaryHelper!$A$2:$A$5000,$T124,SummaryHelper!$B$2:$B$5000,$U124,SummaryHelper!$C$2:$C$5000,$V124)/SUMIFS(SummaryHelper!$G$2:$G$5000,SummaryHelper!$A$2:$A$5000,$T124,SummaryHelper!$B$2:$B$5000,$U124,SummaryHelper!$C$2:$C$5000,$V124),""))</f>
        <v/>
      </c>
      <c r="X124" s="9" t="str">
        <f>IF($U124="","",SUMIFS(SummaryHelper!$E$2:$E$5000,SummaryHelper!$A$2:$A$5000,$T124,SummaryHelper!$B$2:$B$5000,$U124,SummaryHelper!$C$2:$C$5000,$V124))</f>
        <v/>
      </c>
      <c r="Y124" s="9" t="str">
        <f>IF($U124="","",SUMIFS(SummaryHelper!$F$2:$F$5000,SummaryHelper!$A$2:$A$5000,$T124,SummaryHelper!$B$2:$B$5000,$U124,SummaryHelper!$C$2:$C$5000,$V124))</f>
        <v/>
      </c>
      <c r="Z124" s="9" t="s">
        <v>489</v>
      </c>
      <c r="AB124" s="9" t="str">
        <f t="shared" si="20"/>
        <v/>
      </c>
      <c r="AC124" s="9" t="str">
        <f t="shared" si="21"/>
        <v/>
      </c>
      <c r="AH124" t="str">
        <f>IF($AF124="","",IFERROR(SUMIFS(SummaryHelper!$H$2:$H$5000,SummaryHelper!$A$2:$A$5000,$AE124,SummaryHelper!$B$2:$B$5000,$AF124,SummaryHelper!$C$2:$C$5000,$AG124)/SUMIFS(SummaryHelper!$G$2:$G$5000,SummaryHelper!$A$2:$A$5000,$AE124,SummaryHelper!$B$2:$B$5000,$AF124,SummaryHelper!$C$2:$C$5000,$AG124),""))</f>
        <v/>
      </c>
      <c r="AI124" t="str">
        <f>IF($AF124="","",SUMIFS(SummaryHelper!$E$2:$E$5000,SummaryHelper!$A$2:$A$5000,$AE124,SummaryHelper!$B$2:$B$5000,$AF124,SummaryHelper!$C$2:$C$5000,$AG124))</f>
        <v/>
      </c>
      <c r="AJ124" t="str">
        <f>IF($AF124="","",SUMIFS(SummaryHelper!$F$2:$F$5000,SummaryHelper!$A$2:$A$5000,$AE124,SummaryHelper!$B$2:$B$5000,$AF124,SummaryHelper!$C$2:$C$5000,$AG124))</f>
        <v/>
      </c>
      <c r="AK124" t="str">
        <f>IF($AF124="","",SUMIFS(SummaryHelper!$G$2:$G$5000,SummaryHelper!$A$2:$A$5000,$AE124,SummaryHelper!$B$2:$B$5000,$AF124,SummaryHelper!$C$2:$C$5000,$AG124))</f>
        <v/>
      </c>
      <c r="AM124" t="str">
        <f t="shared" si="22"/>
        <v/>
      </c>
      <c r="AN124" t="str">
        <f t="shared" si="23"/>
        <v/>
      </c>
    </row>
    <row r="125" spans="1:40" x14ac:dyDescent="0.25">
      <c r="A125" s="12"/>
      <c r="C125" s="9"/>
      <c r="D125" s="9"/>
      <c r="E125" s="9"/>
      <c r="F125" s="9"/>
      <c r="G125" s="9"/>
      <c r="L125" s="9" t="str">
        <f>IF($J125="","",IFERROR(SUMIFS(SummaryHelper!$H$2:$H$5000,SummaryHelper!$A$2:$A$5000,$I125,SummaryHelper!$B$2:$B$5000,$J125,SummaryHelper!$C$2:$C$5000,$K125)/SUMIFS(SummaryHelper!$G$2:$G$5000,SummaryHelper!$A$2:$A$5000,$I125,SummaryHelper!$B$2:$B$5000,$J125,SummaryHelper!$C$2:$C$5000,$K125),""))</f>
        <v/>
      </c>
      <c r="M125" s="9" t="str">
        <f>IF($J125="","",SUMIFS(SummaryHelper!$E$2:$E$5000,SummaryHelper!$A$2:$A$5000,$I125,SummaryHelper!$B$2:$B$5000,$J125,SummaryHelper!$C$2:$C$5000,$K125))</f>
        <v/>
      </c>
      <c r="N125" s="9" t="str">
        <f>IF($J125="","",SUMIFS(SummaryHelper!$F$2:$F$5000,SummaryHelper!$A$2:$A$5000,$I125,SummaryHelper!$B$2:$B$5000,$J125,SummaryHelper!$C$2:$C$5000,$K125))</f>
        <v/>
      </c>
      <c r="O125" s="9" t="str">
        <f>IF($J125="","",SUMIFS(SummaryHelper!$G$2:$G$5000,SummaryHelper!$A$2:$A$5000,$I125,SummaryHelper!$B$2:$B$5000,$J125,SummaryHelper!$C$2:$C$5000,$K125))</f>
        <v/>
      </c>
      <c r="Q125" s="9" t="str">
        <f t="shared" si="18"/>
        <v/>
      </c>
      <c r="R125" s="9" t="str">
        <f t="shared" si="19"/>
        <v/>
      </c>
      <c r="W125" s="9" t="str">
        <f>IF($U125="","",IFERROR(SUMIFS(SummaryHelper!$H$2:$H$5000,SummaryHelper!$A$2:$A$5000,$T125,SummaryHelper!$B$2:$B$5000,$U125,SummaryHelper!$C$2:$C$5000,$V125)/SUMIFS(SummaryHelper!$G$2:$G$5000,SummaryHelper!$A$2:$A$5000,$T125,SummaryHelper!$B$2:$B$5000,$U125,SummaryHelper!$C$2:$C$5000,$V125),""))</f>
        <v/>
      </c>
      <c r="X125" s="9" t="str">
        <f>IF($U125="","",SUMIFS(SummaryHelper!$E$2:$E$5000,SummaryHelper!$A$2:$A$5000,$T125,SummaryHelper!$B$2:$B$5000,$U125,SummaryHelper!$C$2:$C$5000,$V125))</f>
        <v/>
      </c>
      <c r="Y125" s="9" t="str">
        <f>IF($U125="","",SUMIFS(SummaryHelper!$F$2:$F$5000,SummaryHelper!$A$2:$A$5000,$T125,SummaryHelper!$B$2:$B$5000,$U125,SummaryHelper!$C$2:$C$5000,$V125))</f>
        <v/>
      </c>
      <c r="Z125" s="9" t="s">
        <v>489</v>
      </c>
      <c r="AB125" s="9" t="str">
        <f t="shared" si="20"/>
        <v/>
      </c>
      <c r="AC125" s="9" t="str">
        <f t="shared" si="21"/>
        <v/>
      </c>
      <c r="AH125" t="str">
        <f>IF($AF125="","",IFERROR(SUMIFS(SummaryHelper!$H$2:$H$5000,SummaryHelper!$A$2:$A$5000,$AE125,SummaryHelper!$B$2:$B$5000,$AF125,SummaryHelper!$C$2:$C$5000,$AG125)/SUMIFS(SummaryHelper!$G$2:$G$5000,SummaryHelper!$A$2:$A$5000,$AE125,SummaryHelper!$B$2:$B$5000,$AF125,SummaryHelper!$C$2:$C$5000,$AG125),""))</f>
        <v/>
      </c>
      <c r="AI125" t="str">
        <f>IF($AF125="","",SUMIFS(SummaryHelper!$E$2:$E$5000,SummaryHelper!$A$2:$A$5000,$AE125,SummaryHelper!$B$2:$B$5000,$AF125,SummaryHelper!$C$2:$C$5000,$AG125))</f>
        <v/>
      </c>
      <c r="AJ125" t="str">
        <f>IF($AF125="","",SUMIFS(SummaryHelper!$F$2:$F$5000,SummaryHelper!$A$2:$A$5000,$AE125,SummaryHelper!$B$2:$B$5000,$AF125,SummaryHelper!$C$2:$C$5000,$AG125))</f>
        <v/>
      </c>
      <c r="AK125" t="str">
        <f>IF($AF125="","",SUMIFS(SummaryHelper!$G$2:$G$5000,SummaryHelper!$A$2:$A$5000,$AE125,SummaryHelper!$B$2:$B$5000,$AF125,SummaryHelper!$C$2:$C$5000,$AG125))</f>
        <v/>
      </c>
      <c r="AM125" t="str">
        <f t="shared" si="22"/>
        <v/>
      </c>
      <c r="AN125" t="str">
        <f t="shared" si="23"/>
        <v/>
      </c>
    </row>
    <row r="126" spans="1:40" x14ac:dyDescent="0.25">
      <c r="A126" s="12"/>
      <c r="C126" s="9"/>
      <c r="D126" s="9"/>
      <c r="E126" s="9"/>
      <c r="F126" s="9"/>
      <c r="G126" s="9"/>
      <c r="L126" s="9" t="str">
        <f>IF($J126="","",IFERROR(SUMIFS(SummaryHelper!$H$2:$H$5000,SummaryHelper!$A$2:$A$5000,$I126,SummaryHelper!$B$2:$B$5000,$J126,SummaryHelper!$C$2:$C$5000,$K126)/SUMIFS(SummaryHelper!$G$2:$G$5000,SummaryHelper!$A$2:$A$5000,$I126,SummaryHelper!$B$2:$B$5000,$J126,SummaryHelper!$C$2:$C$5000,$K126),""))</f>
        <v/>
      </c>
      <c r="M126" s="9" t="str">
        <f>IF($J126="","",SUMIFS(SummaryHelper!$E$2:$E$5000,SummaryHelper!$A$2:$A$5000,$I126,SummaryHelper!$B$2:$B$5000,$J126,SummaryHelper!$C$2:$C$5000,$K126))</f>
        <v/>
      </c>
      <c r="N126" s="9" t="str">
        <f>IF($J126="","",SUMIFS(SummaryHelper!$F$2:$F$5000,SummaryHelper!$A$2:$A$5000,$I126,SummaryHelper!$B$2:$B$5000,$J126,SummaryHelper!$C$2:$C$5000,$K126))</f>
        <v/>
      </c>
      <c r="O126" s="9" t="str">
        <f>IF($J126="","",SUMIFS(SummaryHelper!$G$2:$G$5000,SummaryHelper!$A$2:$A$5000,$I126,SummaryHelper!$B$2:$B$5000,$J126,SummaryHelper!$C$2:$C$5000,$K126))</f>
        <v/>
      </c>
      <c r="Q126" s="9" t="str">
        <f t="shared" si="18"/>
        <v/>
      </c>
      <c r="R126" s="9" t="str">
        <f t="shared" si="19"/>
        <v/>
      </c>
      <c r="W126" s="9" t="str">
        <f>IF($U126="","",IFERROR(SUMIFS(SummaryHelper!$H$2:$H$5000,SummaryHelper!$A$2:$A$5000,$T126,SummaryHelper!$B$2:$B$5000,$U126,SummaryHelper!$C$2:$C$5000,$V126)/SUMIFS(SummaryHelper!$G$2:$G$5000,SummaryHelper!$A$2:$A$5000,$T126,SummaryHelper!$B$2:$B$5000,$U126,SummaryHelper!$C$2:$C$5000,$V126),""))</f>
        <v/>
      </c>
      <c r="X126" s="9" t="str">
        <f>IF($U126="","",SUMIFS(SummaryHelper!$E$2:$E$5000,SummaryHelper!$A$2:$A$5000,$T126,SummaryHelper!$B$2:$B$5000,$U126,SummaryHelper!$C$2:$C$5000,$V126))</f>
        <v/>
      </c>
      <c r="Y126" s="9" t="str">
        <f>IF($U126="","",SUMIFS(SummaryHelper!$F$2:$F$5000,SummaryHelper!$A$2:$A$5000,$T126,SummaryHelper!$B$2:$B$5000,$U126,SummaryHelper!$C$2:$C$5000,$V126))</f>
        <v/>
      </c>
      <c r="Z126" s="9" t="s">
        <v>489</v>
      </c>
      <c r="AB126" s="9" t="str">
        <f t="shared" si="20"/>
        <v/>
      </c>
      <c r="AC126" s="9" t="str">
        <f t="shared" si="21"/>
        <v/>
      </c>
      <c r="AH126" t="str">
        <f>IF($AF126="","",IFERROR(SUMIFS(SummaryHelper!$H$2:$H$5000,SummaryHelper!$A$2:$A$5000,$AE126,SummaryHelper!$B$2:$B$5000,$AF126,SummaryHelper!$C$2:$C$5000,$AG126)/SUMIFS(SummaryHelper!$G$2:$G$5000,SummaryHelper!$A$2:$A$5000,$AE126,SummaryHelper!$B$2:$B$5000,$AF126,SummaryHelper!$C$2:$C$5000,$AG126),""))</f>
        <v/>
      </c>
      <c r="AI126" t="str">
        <f>IF($AF126="","",SUMIFS(SummaryHelper!$E$2:$E$5000,SummaryHelper!$A$2:$A$5000,$AE126,SummaryHelper!$B$2:$B$5000,$AF126,SummaryHelper!$C$2:$C$5000,$AG126))</f>
        <v/>
      </c>
      <c r="AJ126" t="str">
        <f>IF($AF126="","",SUMIFS(SummaryHelper!$F$2:$F$5000,SummaryHelper!$A$2:$A$5000,$AE126,SummaryHelper!$B$2:$B$5000,$AF126,SummaryHelper!$C$2:$C$5000,$AG126))</f>
        <v/>
      </c>
      <c r="AK126" t="str">
        <f>IF($AF126="","",SUMIFS(SummaryHelper!$G$2:$G$5000,SummaryHelper!$A$2:$A$5000,$AE126,SummaryHelper!$B$2:$B$5000,$AF126,SummaryHelper!$C$2:$C$5000,$AG126))</f>
        <v/>
      </c>
      <c r="AM126" t="str">
        <f t="shared" si="22"/>
        <v/>
      </c>
      <c r="AN126" t="str">
        <f t="shared" si="23"/>
        <v/>
      </c>
    </row>
    <row r="127" spans="1:40" x14ac:dyDescent="0.25">
      <c r="A127" s="12"/>
      <c r="C127" s="9"/>
      <c r="D127" s="9"/>
      <c r="E127" s="9"/>
      <c r="F127" s="9"/>
      <c r="G127" s="9"/>
      <c r="L127" s="9" t="str">
        <f>IF($J127="","",IFERROR(SUMIFS(SummaryHelper!$H$2:$H$5000,SummaryHelper!$A$2:$A$5000,$I127,SummaryHelper!$B$2:$B$5000,$J127,SummaryHelper!$C$2:$C$5000,$K127)/SUMIFS(SummaryHelper!$G$2:$G$5000,SummaryHelper!$A$2:$A$5000,$I127,SummaryHelper!$B$2:$B$5000,$J127,SummaryHelper!$C$2:$C$5000,$K127),""))</f>
        <v/>
      </c>
      <c r="M127" s="9" t="str">
        <f>IF($J127="","",SUMIFS(SummaryHelper!$E$2:$E$5000,SummaryHelper!$A$2:$A$5000,$I127,SummaryHelper!$B$2:$B$5000,$J127,SummaryHelper!$C$2:$C$5000,$K127))</f>
        <v/>
      </c>
      <c r="N127" s="9" t="str">
        <f>IF($J127="","",SUMIFS(SummaryHelper!$F$2:$F$5000,SummaryHelper!$A$2:$A$5000,$I127,SummaryHelper!$B$2:$B$5000,$J127,SummaryHelper!$C$2:$C$5000,$K127))</f>
        <v/>
      </c>
      <c r="O127" s="9" t="str">
        <f>IF($J127="","",SUMIFS(SummaryHelper!$G$2:$G$5000,SummaryHelper!$A$2:$A$5000,$I127,SummaryHelper!$B$2:$B$5000,$J127,SummaryHelper!$C$2:$C$5000,$K127))</f>
        <v/>
      </c>
      <c r="Q127" s="9" t="str">
        <f t="shared" si="18"/>
        <v/>
      </c>
      <c r="R127" s="9" t="str">
        <f t="shared" si="19"/>
        <v/>
      </c>
      <c r="W127" s="9" t="str">
        <f>IF($U127="","",IFERROR(SUMIFS(SummaryHelper!$H$2:$H$5000,SummaryHelper!$A$2:$A$5000,$T127,SummaryHelper!$B$2:$B$5000,$U127,SummaryHelper!$C$2:$C$5000,$V127)/SUMIFS(SummaryHelper!$G$2:$G$5000,SummaryHelper!$A$2:$A$5000,$T127,SummaryHelper!$B$2:$B$5000,$U127,SummaryHelper!$C$2:$C$5000,$V127),""))</f>
        <v/>
      </c>
      <c r="X127" s="9" t="str">
        <f>IF($U127="","",SUMIFS(SummaryHelper!$E$2:$E$5000,SummaryHelper!$A$2:$A$5000,$T127,SummaryHelper!$B$2:$B$5000,$U127,SummaryHelper!$C$2:$C$5000,$V127))</f>
        <v/>
      </c>
      <c r="Y127" s="9" t="str">
        <f>IF($U127="","",SUMIFS(SummaryHelper!$F$2:$F$5000,SummaryHelper!$A$2:$A$5000,$T127,SummaryHelper!$B$2:$B$5000,$U127,SummaryHelper!$C$2:$C$5000,$V127))</f>
        <v/>
      </c>
      <c r="Z127" s="9" t="s">
        <v>489</v>
      </c>
      <c r="AB127" s="9" t="str">
        <f t="shared" si="20"/>
        <v/>
      </c>
      <c r="AC127" s="9" t="str">
        <f t="shared" si="21"/>
        <v/>
      </c>
      <c r="AH127" t="str">
        <f>IF($AF127="","",IFERROR(SUMIFS(SummaryHelper!$H$2:$H$5000,SummaryHelper!$A$2:$A$5000,$AE127,SummaryHelper!$B$2:$B$5000,$AF127,SummaryHelper!$C$2:$C$5000,$AG127)/SUMIFS(SummaryHelper!$G$2:$G$5000,SummaryHelper!$A$2:$A$5000,$AE127,SummaryHelper!$B$2:$B$5000,$AF127,SummaryHelper!$C$2:$C$5000,$AG127),""))</f>
        <v/>
      </c>
      <c r="AI127" t="str">
        <f>IF($AF127="","",SUMIFS(SummaryHelper!$E$2:$E$5000,SummaryHelper!$A$2:$A$5000,$AE127,SummaryHelper!$B$2:$B$5000,$AF127,SummaryHelper!$C$2:$C$5000,$AG127))</f>
        <v/>
      </c>
      <c r="AJ127" t="str">
        <f>IF($AF127="","",SUMIFS(SummaryHelper!$F$2:$F$5000,SummaryHelper!$A$2:$A$5000,$AE127,SummaryHelper!$B$2:$B$5000,$AF127,SummaryHelper!$C$2:$C$5000,$AG127))</f>
        <v/>
      </c>
      <c r="AK127" t="str">
        <f>IF($AF127="","",SUMIFS(SummaryHelper!$G$2:$G$5000,SummaryHelper!$A$2:$A$5000,$AE127,SummaryHelper!$B$2:$B$5000,$AF127,SummaryHelper!$C$2:$C$5000,$AG127))</f>
        <v/>
      </c>
      <c r="AM127" t="str">
        <f t="shared" si="22"/>
        <v/>
      </c>
      <c r="AN127" t="str">
        <f t="shared" si="23"/>
        <v/>
      </c>
    </row>
    <row r="128" spans="1:40" x14ac:dyDescent="0.25">
      <c r="A128" s="12"/>
      <c r="C128" s="9"/>
      <c r="D128" s="9"/>
      <c r="E128" s="9"/>
      <c r="F128" s="9"/>
      <c r="G128" s="9"/>
      <c r="L128" s="9" t="str">
        <f>IF($J128="","",IFERROR(SUMIFS(SummaryHelper!$H$2:$H$5000,SummaryHelper!$A$2:$A$5000,$I128,SummaryHelper!$B$2:$B$5000,$J128,SummaryHelper!$C$2:$C$5000,$K128)/SUMIFS(SummaryHelper!$G$2:$G$5000,SummaryHelper!$A$2:$A$5000,$I128,SummaryHelper!$B$2:$B$5000,$J128,SummaryHelper!$C$2:$C$5000,$K128),""))</f>
        <v/>
      </c>
      <c r="M128" s="9" t="str">
        <f>IF($J128="","",SUMIFS(SummaryHelper!$E$2:$E$5000,SummaryHelper!$A$2:$A$5000,$I128,SummaryHelper!$B$2:$B$5000,$J128,SummaryHelper!$C$2:$C$5000,$K128))</f>
        <v/>
      </c>
      <c r="N128" s="9" t="str">
        <f>IF($J128="","",SUMIFS(SummaryHelper!$F$2:$F$5000,SummaryHelper!$A$2:$A$5000,$I128,SummaryHelper!$B$2:$B$5000,$J128,SummaryHelper!$C$2:$C$5000,$K128))</f>
        <v/>
      </c>
      <c r="O128" s="9" t="str">
        <f>IF($J128="","",SUMIFS(SummaryHelper!$G$2:$G$5000,SummaryHelper!$A$2:$A$5000,$I128,SummaryHelper!$B$2:$B$5000,$J128,SummaryHelper!$C$2:$C$5000,$K128))</f>
        <v/>
      </c>
      <c r="Q128" s="9" t="str">
        <f t="shared" si="18"/>
        <v/>
      </c>
      <c r="R128" s="9" t="str">
        <f t="shared" si="19"/>
        <v/>
      </c>
      <c r="W128" s="9" t="str">
        <f>IF($U128="","",IFERROR(SUMIFS(SummaryHelper!$H$2:$H$5000,SummaryHelper!$A$2:$A$5000,$T128,SummaryHelper!$B$2:$B$5000,$U128,SummaryHelper!$C$2:$C$5000,$V128)/SUMIFS(SummaryHelper!$G$2:$G$5000,SummaryHelper!$A$2:$A$5000,$T128,SummaryHelper!$B$2:$B$5000,$U128,SummaryHelper!$C$2:$C$5000,$V128),""))</f>
        <v/>
      </c>
      <c r="X128" s="9" t="str">
        <f>IF($U128="","",SUMIFS(SummaryHelper!$E$2:$E$5000,SummaryHelper!$A$2:$A$5000,$T128,SummaryHelper!$B$2:$B$5000,$U128,SummaryHelper!$C$2:$C$5000,$V128))</f>
        <v/>
      </c>
      <c r="Y128" s="9" t="str">
        <f>IF($U128="","",SUMIFS(SummaryHelper!$F$2:$F$5000,SummaryHelper!$A$2:$A$5000,$T128,SummaryHelper!$B$2:$B$5000,$U128,SummaryHelper!$C$2:$C$5000,$V128))</f>
        <v/>
      </c>
      <c r="Z128" s="9" t="s">
        <v>489</v>
      </c>
      <c r="AB128" s="9" t="str">
        <f t="shared" si="20"/>
        <v/>
      </c>
      <c r="AC128" s="9" t="str">
        <f t="shared" si="21"/>
        <v/>
      </c>
      <c r="AH128" t="str">
        <f>IF($AF128="","",IFERROR(SUMIFS(SummaryHelper!$H$2:$H$5000,SummaryHelper!$A$2:$A$5000,$AE128,SummaryHelper!$B$2:$B$5000,$AF128,SummaryHelper!$C$2:$C$5000,$AG128)/SUMIFS(SummaryHelper!$G$2:$G$5000,SummaryHelper!$A$2:$A$5000,$AE128,SummaryHelper!$B$2:$B$5000,$AF128,SummaryHelper!$C$2:$C$5000,$AG128),""))</f>
        <v/>
      </c>
      <c r="AI128" t="str">
        <f>IF($AF128="","",SUMIFS(SummaryHelper!$E$2:$E$5000,SummaryHelper!$A$2:$A$5000,$AE128,SummaryHelper!$B$2:$B$5000,$AF128,SummaryHelper!$C$2:$C$5000,$AG128))</f>
        <v/>
      </c>
      <c r="AJ128" t="str">
        <f>IF($AF128="","",SUMIFS(SummaryHelper!$F$2:$F$5000,SummaryHelper!$A$2:$A$5000,$AE128,SummaryHelper!$B$2:$B$5000,$AF128,SummaryHelper!$C$2:$C$5000,$AG128))</f>
        <v/>
      </c>
      <c r="AK128" t="str">
        <f>IF($AF128="","",SUMIFS(SummaryHelper!$G$2:$G$5000,SummaryHelper!$A$2:$A$5000,$AE128,SummaryHelper!$B$2:$B$5000,$AF128,SummaryHelper!$C$2:$C$5000,$AG128))</f>
        <v/>
      </c>
      <c r="AM128" t="str">
        <f t="shared" si="22"/>
        <v/>
      </c>
      <c r="AN128" t="str">
        <f t="shared" si="23"/>
        <v/>
      </c>
    </row>
    <row r="129" spans="1:40" x14ac:dyDescent="0.25">
      <c r="A129" s="12"/>
      <c r="C129" s="9"/>
      <c r="D129" s="9"/>
      <c r="E129" s="9"/>
      <c r="F129" s="9"/>
      <c r="G129" s="9"/>
      <c r="L129" s="9" t="str">
        <f>IF($J129="","",IFERROR(SUMIFS(SummaryHelper!$H$2:$H$5000,SummaryHelper!$A$2:$A$5000,$I129,SummaryHelper!$B$2:$B$5000,$J129,SummaryHelper!$C$2:$C$5000,$K129)/SUMIFS(SummaryHelper!$G$2:$G$5000,SummaryHelper!$A$2:$A$5000,$I129,SummaryHelper!$B$2:$B$5000,$J129,SummaryHelper!$C$2:$C$5000,$K129),""))</f>
        <v/>
      </c>
      <c r="M129" s="9" t="str">
        <f>IF($J129="","",SUMIFS(SummaryHelper!$E$2:$E$5000,SummaryHelper!$A$2:$A$5000,$I129,SummaryHelper!$B$2:$B$5000,$J129,SummaryHelper!$C$2:$C$5000,$K129))</f>
        <v/>
      </c>
      <c r="N129" s="9" t="str">
        <f>IF($J129="","",SUMIFS(SummaryHelper!$F$2:$F$5000,SummaryHelper!$A$2:$A$5000,$I129,SummaryHelper!$B$2:$B$5000,$J129,SummaryHelper!$C$2:$C$5000,$K129))</f>
        <v/>
      </c>
      <c r="O129" s="9" t="str">
        <f>IF($J129="","",SUMIFS(SummaryHelper!$G$2:$G$5000,SummaryHelper!$A$2:$A$5000,$I129,SummaryHelper!$B$2:$B$5000,$J129,SummaryHelper!$C$2:$C$5000,$K129))</f>
        <v/>
      </c>
      <c r="Q129" s="9" t="str">
        <f t="shared" si="18"/>
        <v/>
      </c>
      <c r="R129" s="9" t="str">
        <f t="shared" si="19"/>
        <v/>
      </c>
      <c r="W129" s="9" t="str">
        <f>IF($U129="","",IFERROR(SUMIFS(SummaryHelper!$H$2:$H$5000,SummaryHelper!$A$2:$A$5000,$T129,SummaryHelper!$B$2:$B$5000,$U129,SummaryHelper!$C$2:$C$5000,$V129)/SUMIFS(SummaryHelper!$G$2:$G$5000,SummaryHelper!$A$2:$A$5000,$T129,SummaryHelper!$B$2:$B$5000,$U129,SummaryHelper!$C$2:$C$5000,$V129),""))</f>
        <v/>
      </c>
      <c r="X129" s="9" t="str">
        <f>IF($U129="","",SUMIFS(SummaryHelper!$E$2:$E$5000,SummaryHelper!$A$2:$A$5000,$T129,SummaryHelper!$B$2:$B$5000,$U129,SummaryHelper!$C$2:$C$5000,$V129))</f>
        <v/>
      </c>
      <c r="Y129" s="9" t="str">
        <f>IF($U129="","",SUMIFS(SummaryHelper!$F$2:$F$5000,SummaryHelper!$A$2:$A$5000,$T129,SummaryHelper!$B$2:$B$5000,$U129,SummaryHelper!$C$2:$C$5000,$V129))</f>
        <v/>
      </c>
      <c r="Z129" s="9" t="s">
        <v>489</v>
      </c>
      <c r="AB129" s="9" t="str">
        <f t="shared" si="20"/>
        <v/>
      </c>
      <c r="AC129" s="9" t="str">
        <f t="shared" si="21"/>
        <v/>
      </c>
      <c r="AH129" t="str">
        <f>IF($AF129="","",IFERROR(SUMIFS(SummaryHelper!$H$2:$H$5000,SummaryHelper!$A$2:$A$5000,$AE129,SummaryHelper!$B$2:$B$5000,$AF129,SummaryHelper!$C$2:$C$5000,$AG129)/SUMIFS(SummaryHelper!$G$2:$G$5000,SummaryHelper!$A$2:$A$5000,$AE129,SummaryHelper!$B$2:$B$5000,$AF129,SummaryHelper!$C$2:$C$5000,$AG129),""))</f>
        <v/>
      </c>
      <c r="AI129" t="str">
        <f>IF($AF129="","",SUMIFS(SummaryHelper!$E$2:$E$5000,SummaryHelper!$A$2:$A$5000,$AE129,SummaryHelper!$B$2:$B$5000,$AF129,SummaryHelper!$C$2:$C$5000,$AG129))</f>
        <v/>
      </c>
      <c r="AJ129" t="str">
        <f>IF($AF129="","",SUMIFS(SummaryHelper!$F$2:$F$5000,SummaryHelper!$A$2:$A$5000,$AE129,SummaryHelper!$B$2:$B$5000,$AF129,SummaryHelper!$C$2:$C$5000,$AG129))</f>
        <v/>
      </c>
      <c r="AK129" t="str">
        <f>IF($AF129="","",SUMIFS(SummaryHelper!$G$2:$G$5000,SummaryHelper!$A$2:$A$5000,$AE129,SummaryHelper!$B$2:$B$5000,$AF129,SummaryHelper!$C$2:$C$5000,$AG129))</f>
        <v/>
      </c>
      <c r="AM129" t="str">
        <f t="shared" si="22"/>
        <v/>
      </c>
      <c r="AN129" t="str">
        <f t="shared" si="23"/>
        <v/>
      </c>
    </row>
    <row r="130" spans="1:40" x14ac:dyDescent="0.25">
      <c r="A130" s="12"/>
      <c r="C130" s="9"/>
      <c r="D130" s="9"/>
      <c r="E130" s="9"/>
      <c r="F130" s="9"/>
      <c r="G130" s="9"/>
      <c r="L130" s="9" t="str">
        <f>IF($J130="","",IFERROR(SUMIFS(SummaryHelper!$H$2:$H$5000,SummaryHelper!$A$2:$A$5000,$I130,SummaryHelper!$B$2:$B$5000,$J130,SummaryHelper!$C$2:$C$5000,$K130)/SUMIFS(SummaryHelper!$G$2:$G$5000,SummaryHelper!$A$2:$A$5000,$I130,SummaryHelper!$B$2:$B$5000,$J130,SummaryHelper!$C$2:$C$5000,$K130),""))</f>
        <v/>
      </c>
      <c r="M130" s="9" t="str">
        <f>IF($J130="","",SUMIFS(SummaryHelper!$E$2:$E$5000,SummaryHelper!$A$2:$A$5000,$I130,SummaryHelper!$B$2:$B$5000,$J130,SummaryHelper!$C$2:$C$5000,$K130))</f>
        <v/>
      </c>
      <c r="N130" s="9" t="str">
        <f>IF($J130="","",SUMIFS(SummaryHelper!$F$2:$F$5000,SummaryHelper!$A$2:$A$5000,$I130,SummaryHelper!$B$2:$B$5000,$J130,SummaryHelper!$C$2:$C$5000,$K130))</f>
        <v/>
      </c>
      <c r="O130" s="9" t="str">
        <f>IF($J130="","",SUMIFS(SummaryHelper!$G$2:$G$5000,SummaryHelper!$A$2:$A$5000,$I130,SummaryHelper!$B$2:$B$5000,$J130,SummaryHelper!$C$2:$C$5000,$K130))</f>
        <v/>
      </c>
      <c r="Q130" s="9" t="str">
        <f t="shared" si="18"/>
        <v/>
      </c>
      <c r="R130" s="9" t="str">
        <f t="shared" si="19"/>
        <v/>
      </c>
      <c r="W130" s="9" t="str">
        <f>IF($U130="","",IFERROR(SUMIFS(SummaryHelper!$H$2:$H$5000,SummaryHelper!$A$2:$A$5000,$T130,SummaryHelper!$B$2:$B$5000,$U130,SummaryHelper!$C$2:$C$5000,$V130)/SUMIFS(SummaryHelper!$G$2:$G$5000,SummaryHelper!$A$2:$A$5000,$T130,SummaryHelper!$B$2:$B$5000,$U130,SummaryHelper!$C$2:$C$5000,$V130),""))</f>
        <v/>
      </c>
      <c r="X130" s="9" t="str">
        <f>IF($U130="","",SUMIFS(SummaryHelper!$E$2:$E$5000,SummaryHelper!$A$2:$A$5000,$T130,SummaryHelper!$B$2:$B$5000,$U130,SummaryHelper!$C$2:$C$5000,$V130))</f>
        <v/>
      </c>
      <c r="Y130" s="9" t="str">
        <f>IF($U130="","",SUMIFS(SummaryHelper!$F$2:$F$5000,SummaryHelper!$A$2:$A$5000,$T130,SummaryHelper!$B$2:$B$5000,$U130,SummaryHelper!$C$2:$C$5000,$V130))</f>
        <v/>
      </c>
      <c r="Z130" s="9" t="s">
        <v>489</v>
      </c>
      <c r="AB130" s="9" t="str">
        <f t="shared" si="20"/>
        <v/>
      </c>
      <c r="AC130" s="9" t="str">
        <f t="shared" si="21"/>
        <v/>
      </c>
      <c r="AH130" t="str">
        <f>IF($AF130="","",IFERROR(SUMIFS(SummaryHelper!$H$2:$H$5000,SummaryHelper!$A$2:$A$5000,$AE130,SummaryHelper!$B$2:$B$5000,$AF130,SummaryHelper!$C$2:$C$5000,$AG130)/SUMIFS(SummaryHelper!$G$2:$G$5000,SummaryHelper!$A$2:$A$5000,$AE130,SummaryHelper!$B$2:$B$5000,$AF130,SummaryHelper!$C$2:$C$5000,$AG130),""))</f>
        <v/>
      </c>
      <c r="AI130" t="str">
        <f>IF($AF130="","",SUMIFS(SummaryHelper!$E$2:$E$5000,SummaryHelper!$A$2:$A$5000,$AE130,SummaryHelper!$B$2:$B$5000,$AF130,SummaryHelper!$C$2:$C$5000,$AG130))</f>
        <v/>
      </c>
      <c r="AJ130" t="str">
        <f>IF($AF130="","",SUMIFS(SummaryHelper!$F$2:$F$5000,SummaryHelper!$A$2:$A$5000,$AE130,SummaryHelper!$B$2:$B$5000,$AF130,SummaryHelper!$C$2:$C$5000,$AG130))</f>
        <v/>
      </c>
      <c r="AK130" t="str">
        <f>IF($AF130="","",SUMIFS(SummaryHelper!$G$2:$G$5000,SummaryHelper!$A$2:$A$5000,$AE130,SummaryHelper!$B$2:$B$5000,$AF130,SummaryHelper!$C$2:$C$5000,$AG130))</f>
        <v/>
      </c>
      <c r="AM130" t="str">
        <f t="shared" si="22"/>
        <v/>
      </c>
      <c r="AN130" t="str">
        <f t="shared" si="23"/>
        <v/>
      </c>
    </row>
    <row r="131" spans="1:40" x14ac:dyDescent="0.25">
      <c r="A131" s="12"/>
      <c r="C131" s="9"/>
      <c r="D131" s="9"/>
      <c r="E131" s="9"/>
      <c r="F131" s="9"/>
      <c r="G131" s="9"/>
      <c r="L131" s="9" t="str">
        <f>IF($J131="","",IFERROR(SUMIFS(SummaryHelper!$H$2:$H$5000,SummaryHelper!$A$2:$A$5000,$I131,SummaryHelper!$B$2:$B$5000,$J131,SummaryHelper!$C$2:$C$5000,$K131)/SUMIFS(SummaryHelper!$G$2:$G$5000,SummaryHelper!$A$2:$A$5000,$I131,SummaryHelper!$B$2:$B$5000,$J131,SummaryHelper!$C$2:$C$5000,$K131),""))</f>
        <v/>
      </c>
      <c r="M131" s="9" t="str">
        <f>IF($J131="","",SUMIFS(SummaryHelper!$E$2:$E$5000,SummaryHelper!$A$2:$A$5000,$I131,SummaryHelper!$B$2:$B$5000,$J131,SummaryHelper!$C$2:$C$5000,$K131))</f>
        <v/>
      </c>
      <c r="N131" s="9" t="str">
        <f>IF($J131="","",SUMIFS(SummaryHelper!$F$2:$F$5000,SummaryHelper!$A$2:$A$5000,$I131,SummaryHelper!$B$2:$B$5000,$J131,SummaryHelper!$C$2:$C$5000,$K131))</f>
        <v/>
      </c>
      <c r="O131" s="9" t="str">
        <f>IF($J131="","",SUMIFS(SummaryHelper!$G$2:$G$5000,SummaryHelper!$A$2:$A$5000,$I131,SummaryHelper!$B$2:$B$5000,$J131,SummaryHelper!$C$2:$C$5000,$K131))</f>
        <v/>
      </c>
      <c r="Q131" s="9" t="str">
        <f t="shared" si="18"/>
        <v/>
      </c>
      <c r="R131" s="9" t="str">
        <f t="shared" si="19"/>
        <v/>
      </c>
      <c r="W131" s="9" t="str">
        <f>IF($U131="","",IFERROR(SUMIFS(SummaryHelper!$H$2:$H$5000,SummaryHelper!$A$2:$A$5000,$T131,SummaryHelper!$B$2:$B$5000,$U131,SummaryHelper!$C$2:$C$5000,$V131)/SUMIFS(SummaryHelper!$G$2:$G$5000,SummaryHelper!$A$2:$A$5000,$T131,SummaryHelper!$B$2:$B$5000,$U131,SummaryHelper!$C$2:$C$5000,$V131),""))</f>
        <v/>
      </c>
      <c r="X131" s="9" t="str">
        <f>IF($U131="","",SUMIFS(SummaryHelper!$E$2:$E$5000,SummaryHelper!$A$2:$A$5000,$T131,SummaryHelper!$B$2:$B$5000,$U131,SummaryHelper!$C$2:$C$5000,$V131))</f>
        <v/>
      </c>
      <c r="Y131" s="9" t="str">
        <f>IF($U131="","",SUMIFS(SummaryHelper!$F$2:$F$5000,SummaryHelper!$A$2:$A$5000,$T131,SummaryHelper!$B$2:$B$5000,$U131,SummaryHelper!$C$2:$C$5000,$V131))</f>
        <v/>
      </c>
      <c r="Z131" s="9" t="s">
        <v>489</v>
      </c>
      <c r="AB131" s="9" t="str">
        <f t="shared" si="20"/>
        <v/>
      </c>
      <c r="AC131" s="9" t="str">
        <f t="shared" si="21"/>
        <v/>
      </c>
      <c r="AH131" t="str">
        <f>IF($AF131="","",IFERROR(SUMIFS(SummaryHelper!$H$2:$H$5000,SummaryHelper!$A$2:$A$5000,$AE131,SummaryHelper!$B$2:$B$5000,$AF131,SummaryHelper!$C$2:$C$5000,$AG131)/SUMIFS(SummaryHelper!$G$2:$G$5000,SummaryHelper!$A$2:$A$5000,$AE131,SummaryHelper!$B$2:$B$5000,$AF131,SummaryHelper!$C$2:$C$5000,$AG131),""))</f>
        <v/>
      </c>
      <c r="AI131" t="str">
        <f>IF($AF131="","",SUMIFS(SummaryHelper!$E$2:$E$5000,SummaryHelper!$A$2:$A$5000,$AE131,SummaryHelper!$B$2:$B$5000,$AF131,SummaryHelper!$C$2:$C$5000,$AG131))</f>
        <v/>
      </c>
      <c r="AJ131" t="str">
        <f>IF($AF131="","",SUMIFS(SummaryHelper!$F$2:$F$5000,SummaryHelper!$A$2:$A$5000,$AE131,SummaryHelper!$B$2:$B$5000,$AF131,SummaryHelper!$C$2:$C$5000,$AG131))</f>
        <v/>
      </c>
      <c r="AK131" t="str">
        <f>IF($AF131="","",SUMIFS(SummaryHelper!$G$2:$G$5000,SummaryHelper!$A$2:$A$5000,$AE131,SummaryHelper!$B$2:$B$5000,$AF131,SummaryHelper!$C$2:$C$5000,$AG131))</f>
        <v/>
      </c>
      <c r="AM131" t="str">
        <f t="shared" si="22"/>
        <v/>
      </c>
      <c r="AN131" t="str">
        <f t="shared" si="23"/>
        <v/>
      </c>
    </row>
    <row r="132" spans="1:40" x14ac:dyDescent="0.25">
      <c r="A132" s="12"/>
      <c r="C132" s="9"/>
      <c r="D132" s="9"/>
      <c r="E132" s="9"/>
      <c r="F132" s="9"/>
      <c r="G132" s="9"/>
      <c r="L132" s="9" t="str">
        <f>IF($J132="","",IFERROR(SUMIFS(SummaryHelper!$H$2:$H$5000,SummaryHelper!$A$2:$A$5000,$I132,SummaryHelper!$B$2:$B$5000,$J132,SummaryHelper!$C$2:$C$5000,$K132)/SUMIFS(SummaryHelper!$G$2:$G$5000,SummaryHelper!$A$2:$A$5000,$I132,SummaryHelper!$B$2:$B$5000,$J132,SummaryHelper!$C$2:$C$5000,$K132),""))</f>
        <v/>
      </c>
      <c r="M132" s="9" t="str">
        <f>IF($J132="","",SUMIFS(SummaryHelper!$E$2:$E$5000,SummaryHelper!$A$2:$A$5000,$I132,SummaryHelper!$B$2:$B$5000,$J132,SummaryHelper!$C$2:$C$5000,$K132))</f>
        <v/>
      </c>
      <c r="N132" s="9" t="str">
        <f>IF($J132="","",SUMIFS(SummaryHelper!$F$2:$F$5000,SummaryHelper!$A$2:$A$5000,$I132,SummaryHelper!$B$2:$B$5000,$J132,SummaryHelper!$C$2:$C$5000,$K132))</f>
        <v/>
      </c>
      <c r="O132" s="9" t="str">
        <f>IF($J132="","",SUMIFS(SummaryHelper!$G$2:$G$5000,SummaryHelper!$A$2:$A$5000,$I132,SummaryHelper!$B$2:$B$5000,$J132,SummaryHelper!$C$2:$C$5000,$K132))</f>
        <v/>
      </c>
      <c r="Q132" s="9" t="str">
        <f t="shared" ref="Q132:Q195" si="24">IF($J132="","",IF($P132="",ROUNDUP($O132,0),$P132))</f>
        <v/>
      </c>
      <c r="R132" s="9" t="str">
        <f t="shared" ref="R132:R195" si="25">IF($J132="","",$Q132*$L132)</f>
        <v/>
      </c>
      <c r="W132" s="9" t="str">
        <f>IF($U132="","",IFERROR(SUMIFS(SummaryHelper!$H$2:$H$5000,SummaryHelper!$A$2:$A$5000,$T132,SummaryHelper!$B$2:$B$5000,$U132,SummaryHelper!$C$2:$C$5000,$V132)/SUMIFS(SummaryHelper!$G$2:$G$5000,SummaryHelper!$A$2:$A$5000,$T132,SummaryHelper!$B$2:$B$5000,$U132,SummaryHelper!$C$2:$C$5000,$V132),""))</f>
        <v/>
      </c>
      <c r="X132" s="9" t="str">
        <f>IF($U132="","",SUMIFS(SummaryHelper!$E$2:$E$5000,SummaryHelper!$A$2:$A$5000,$T132,SummaryHelper!$B$2:$B$5000,$U132,SummaryHelper!$C$2:$C$5000,$V132))</f>
        <v/>
      </c>
      <c r="Y132" s="9" t="str">
        <f>IF($U132="","",SUMIFS(SummaryHelper!$F$2:$F$5000,SummaryHelper!$A$2:$A$5000,$T132,SummaryHelper!$B$2:$B$5000,$U132,SummaryHelper!$C$2:$C$5000,$V132))</f>
        <v/>
      </c>
      <c r="Z132" s="9" t="s">
        <v>489</v>
      </c>
      <c r="AB132" s="9" t="str">
        <f t="shared" ref="AB132:AB195" si="26">IF($U132="","",IF($AA132="",$Z132,$AA132))</f>
        <v/>
      </c>
      <c r="AC132" s="9" t="str">
        <f t="shared" ref="AC132:AC195" si="27">IF($U132="","",$AB132*$W132)</f>
        <v/>
      </c>
      <c r="AH132" t="str">
        <f>IF($AF132="","",IFERROR(SUMIFS(SummaryHelper!$H$2:$H$5000,SummaryHelper!$A$2:$A$5000,$AE132,SummaryHelper!$B$2:$B$5000,$AF132,SummaryHelper!$C$2:$C$5000,$AG132)/SUMIFS(SummaryHelper!$G$2:$G$5000,SummaryHelper!$A$2:$A$5000,$AE132,SummaryHelper!$B$2:$B$5000,$AF132,SummaryHelper!$C$2:$C$5000,$AG132),""))</f>
        <v/>
      </c>
      <c r="AI132" t="str">
        <f>IF($AF132="","",SUMIFS(SummaryHelper!$E$2:$E$5000,SummaryHelper!$A$2:$A$5000,$AE132,SummaryHelper!$B$2:$B$5000,$AF132,SummaryHelper!$C$2:$C$5000,$AG132))</f>
        <v/>
      </c>
      <c r="AJ132" t="str">
        <f>IF($AF132="","",SUMIFS(SummaryHelper!$F$2:$F$5000,SummaryHelper!$A$2:$A$5000,$AE132,SummaryHelper!$B$2:$B$5000,$AF132,SummaryHelper!$C$2:$C$5000,$AG132))</f>
        <v/>
      </c>
      <c r="AK132" t="str">
        <f>IF($AF132="","",SUMIFS(SummaryHelper!$G$2:$G$5000,SummaryHelper!$A$2:$A$5000,$AE132,SummaryHelper!$B$2:$B$5000,$AF132,SummaryHelper!$C$2:$C$5000,$AG132))</f>
        <v/>
      </c>
      <c r="AM132" t="str">
        <f t="shared" ref="AM132:AM195" si="28">IF($AF132="","",IF($AL132="",$AK132,$AL132))</f>
        <v/>
      </c>
      <c r="AN132" t="str">
        <f t="shared" ref="AN132:AN195" si="29">IF($AF132="","",$AM132*$AH132)</f>
        <v/>
      </c>
    </row>
    <row r="133" spans="1:40" x14ac:dyDescent="0.25">
      <c r="A133" s="12"/>
      <c r="C133" s="9"/>
      <c r="D133" s="9"/>
      <c r="E133" s="9"/>
      <c r="F133" s="9"/>
      <c r="G133" s="9"/>
      <c r="L133" s="9" t="str">
        <f>IF($J133="","",IFERROR(SUMIFS(SummaryHelper!$H$2:$H$5000,SummaryHelper!$A$2:$A$5000,$I133,SummaryHelper!$B$2:$B$5000,$J133,SummaryHelper!$C$2:$C$5000,$K133)/SUMIFS(SummaryHelper!$G$2:$G$5000,SummaryHelper!$A$2:$A$5000,$I133,SummaryHelper!$B$2:$B$5000,$J133,SummaryHelper!$C$2:$C$5000,$K133),""))</f>
        <v/>
      </c>
      <c r="M133" s="9" t="str">
        <f>IF($J133="","",SUMIFS(SummaryHelper!$E$2:$E$5000,SummaryHelper!$A$2:$A$5000,$I133,SummaryHelper!$B$2:$B$5000,$J133,SummaryHelper!$C$2:$C$5000,$K133))</f>
        <v/>
      </c>
      <c r="N133" s="9" t="str">
        <f>IF($J133="","",SUMIFS(SummaryHelper!$F$2:$F$5000,SummaryHelper!$A$2:$A$5000,$I133,SummaryHelper!$B$2:$B$5000,$J133,SummaryHelper!$C$2:$C$5000,$K133))</f>
        <v/>
      </c>
      <c r="O133" s="9" t="str">
        <f>IF($J133="","",SUMIFS(SummaryHelper!$G$2:$G$5000,SummaryHelper!$A$2:$A$5000,$I133,SummaryHelper!$B$2:$B$5000,$J133,SummaryHelper!$C$2:$C$5000,$K133))</f>
        <v/>
      </c>
      <c r="Q133" s="9" t="str">
        <f t="shared" si="24"/>
        <v/>
      </c>
      <c r="R133" s="9" t="str">
        <f t="shared" si="25"/>
        <v/>
      </c>
      <c r="W133" s="9" t="str">
        <f>IF($U133="","",IFERROR(SUMIFS(SummaryHelper!$H$2:$H$5000,SummaryHelper!$A$2:$A$5000,$T133,SummaryHelper!$B$2:$B$5000,$U133,SummaryHelper!$C$2:$C$5000,$V133)/SUMIFS(SummaryHelper!$G$2:$G$5000,SummaryHelper!$A$2:$A$5000,$T133,SummaryHelper!$B$2:$B$5000,$U133,SummaryHelper!$C$2:$C$5000,$V133),""))</f>
        <v/>
      </c>
      <c r="X133" s="9" t="str">
        <f>IF($U133="","",SUMIFS(SummaryHelper!$E$2:$E$5000,SummaryHelper!$A$2:$A$5000,$T133,SummaryHelper!$B$2:$B$5000,$U133,SummaryHelper!$C$2:$C$5000,$V133))</f>
        <v/>
      </c>
      <c r="Y133" s="9" t="str">
        <f>IF($U133="","",SUMIFS(SummaryHelper!$F$2:$F$5000,SummaryHelper!$A$2:$A$5000,$T133,SummaryHelper!$B$2:$B$5000,$U133,SummaryHelper!$C$2:$C$5000,$V133))</f>
        <v/>
      </c>
      <c r="Z133" s="9" t="s">
        <v>489</v>
      </c>
      <c r="AB133" s="9" t="str">
        <f t="shared" si="26"/>
        <v/>
      </c>
      <c r="AC133" s="9" t="str">
        <f t="shared" si="27"/>
        <v/>
      </c>
      <c r="AH133" t="str">
        <f>IF($AF133="","",IFERROR(SUMIFS(SummaryHelper!$H$2:$H$5000,SummaryHelper!$A$2:$A$5000,$AE133,SummaryHelper!$B$2:$B$5000,$AF133,SummaryHelper!$C$2:$C$5000,$AG133)/SUMIFS(SummaryHelper!$G$2:$G$5000,SummaryHelper!$A$2:$A$5000,$AE133,SummaryHelper!$B$2:$B$5000,$AF133,SummaryHelper!$C$2:$C$5000,$AG133),""))</f>
        <v/>
      </c>
      <c r="AI133" t="str">
        <f>IF($AF133="","",SUMIFS(SummaryHelper!$E$2:$E$5000,SummaryHelper!$A$2:$A$5000,$AE133,SummaryHelper!$B$2:$B$5000,$AF133,SummaryHelper!$C$2:$C$5000,$AG133))</f>
        <v/>
      </c>
      <c r="AJ133" t="str">
        <f>IF($AF133="","",SUMIFS(SummaryHelper!$F$2:$F$5000,SummaryHelper!$A$2:$A$5000,$AE133,SummaryHelper!$B$2:$B$5000,$AF133,SummaryHelper!$C$2:$C$5000,$AG133))</f>
        <v/>
      </c>
      <c r="AK133" t="str">
        <f>IF($AF133="","",SUMIFS(SummaryHelper!$G$2:$G$5000,SummaryHelper!$A$2:$A$5000,$AE133,SummaryHelper!$B$2:$B$5000,$AF133,SummaryHelper!$C$2:$C$5000,$AG133))</f>
        <v/>
      </c>
      <c r="AM133" t="str">
        <f t="shared" si="28"/>
        <v/>
      </c>
      <c r="AN133" t="str">
        <f t="shared" si="29"/>
        <v/>
      </c>
    </row>
    <row r="134" spans="1:40" x14ac:dyDescent="0.25">
      <c r="A134" s="12"/>
      <c r="C134" s="9"/>
      <c r="D134" s="9"/>
      <c r="E134" s="9"/>
      <c r="F134" s="9"/>
      <c r="G134" s="9"/>
      <c r="L134" s="9" t="str">
        <f>IF($J134="","",IFERROR(SUMIFS(SummaryHelper!$H$2:$H$5000,SummaryHelper!$A$2:$A$5000,$I134,SummaryHelper!$B$2:$B$5000,$J134,SummaryHelper!$C$2:$C$5000,$K134)/SUMIFS(SummaryHelper!$G$2:$G$5000,SummaryHelper!$A$2:$A$5000,$I134,SummaryHelper!$B$2:$B$5000,$J134,SummaryHelper!$C$2:$C$5000,$K134),""))</f>
        <v/>
      </c>
      <c r="M134" s="9" t="str">
        <f>IF($J134="","",SUMIFS(SummaryHelper!$E$2:$E$5000,SummaryHelper!$A$2:$A$5000,$I134,SummaryHelper!$B$2:$B$5000,$J134,SummaryHelper!$C$2:$C$5000,$K134))</f>
        <v/>
      </c>
      <c r="N134" s="9" t="str">
        <f>IF($J134="","",SUMIFS(SummaryHelper!$F$2:$F$5000,SummaryHelper!$A$2:$A$5000,$I134,SummaryHelper!$B$2:$B$5000,$J134,SummaryHelper!$C$2:$C$5000,$K134))</f>
        <v/>
      </c>
      <c r="O134" s="9" t="str">
        <f>IF($J134="","",SUMIFS(SummaryHelper!$G$2:$G$5000,SummaryHelper!$A$2:$A$5000,$I134,SummaryHelper!$B$2:$B$5000,$J134,SummaryHelper!$C$2:$C$5000,$K134))</f>
        <v/>
      </c>
      <c r="Q134" s="9" t="str">
        <f t="shared" si="24"/>
        <v/>
      </c>
      <c r="R134" s="9" t="str">
        <f t="shared" si="25"/>
        <v/>
      </c>
      <c r="W134" s="9" t="str">
        <f>IF($U134="","",IFERROR(SUMIFS(SummaryHelper!$H$2:$H$5000,SummaryHelper!$A$2:$A$5000,$T134,SummaryHelper!$B$2:$B$5000,$U134,SummaryHelper!$C$2:$C$5000,$V134)/SUMIFS(SummaryHelper!$G$2:$G$5000,SummaryHelper!$A$2:$A$5000,$T134,SummaryHelper!$B$2:$B$5000,$U134,SummaryHelper!$C$2:$C$5000,$V134),""))</f>
        <v/>
      </c>
      <c r="X134" s="9" t="str">
        <f>IF($U134="","",SUMIFS(SummaryHelper!$E$2:$E$5000,SummaryHelper!$A$2:$A$5000,$T134,SummaryHelper!$B$2:$B$5000,$U134,SummaryHelper!$C$2:$C$5000,$V134))</f>
        <v/>
      </c>
      <c r="Y134" s="9" t="str">
        <f>IF($U134="","",SUMIFS(SummaryHelper!$F$2:$F$5000,SummaryHelper!$A$2:$A$5000,$T134,SummaryHelper!$B$2:$B$5000,$U134,SummaryHelper!$C$2:$C$5000,$V134))</f>
        <v/>
      </c>
      <c r="Z134" s="9" t="s">
        <v>489</v>
      </c>
      <c r="AB134" s="9" t="str">
        <f t="shared" si="26"/>
        <v/>
      </c>
      <c r="AC134" s="9" t="str">
        <f t="shared" si="27"/>
        <v/>
      </c>
      <c r="AH134" t="str">
        <f>IF($AF134="","",IFERROR(SUMIFS(SummaryHelper!$H$2:$H$5000,SummaryHelper!$A$2:$A$5000,$AE134,SummaryHelper!$B$2:$B$5000,$AF134,SummaryHelper!$C$2:$C$5000,$AG134)/SUMIFS(SummaryHelper!$G$2:$G$5000,SummaryHelper!$A$2:$A$5000,$AE134,SummaryHelper!$B$2:$B$5000,$AF134,SummaryHelper!$C$2:$C$5000,$AG134),""))</f>
        <v/>
      </c>
      <c r="AI134" t="str">
        <f>IF($AF134="","",SUMIFS(SummaryHelper!$E$2:$E$5000,SummaryHelper!$A$2:$A$5000,$AE134,SummaryHelper!$B$2:$B$5000,$AF134,SummaryHelper!$C$2:$C$5000,$AG134))</f>
        <v/>
      </c>
      <c r="AJ134" t="str">
        <f>IF($AF134="","",SUMIFS(SummaryHelper!$F$2:$F$5000,SummaryHelper!$A$2:$A$5000,$AE134,SummaryHelper!$B$2:$B$5000,$AF134,SummaryHelper!$C$2:$C$5000,$AG134))</f>
        <v/>
      </c>
      <c r="AK134" t="str">
        <f>IF($AF134="","",SUMIFS(SummaryHelper!$G$2:$G$5000,SummaryHelper!$A$2:$A$5000,$AE134,SummaryHelper!$B$2:$B$5000,$AF134,SummaryHelper!$C$2:$C$5000,$AG134))</f>
        <v/>
      </c>
      <c r="AM134" t="str">
        <f t="shared" si="28"/>
        <v/>
      </c>
      <c r="AN134" t="str">
        <f t="shared" si="29"/>
        <v/>
      </c>
    </row>
    <row r="135" spans="1:40" x14ac:dyDescent="0.25">
      <c r="A135" s="12"/>
      <c r="C135" s="9"/>
      <c r="D135" s="9"/>
      <c r="E135" s="9"/>
      <c r="F135" s="9"/>
      <c r="G135" s="9"/>
      <c r="L135" s="9" t="str">
        <f>IF($J135="","",IFERROR(SUMIFS(SummaryHelper!$H$2:$H$5000,SummaryHelper!$A$2:$A$5000,$I135,SummaryHelper!$B$2:$B$5000,$J135,SummaryHelper!$C$2:$C$5000,$K135)/SUMIFS(SummaryHelper!$G$2:$G$5000,SummaryHelper!$A$2:$A$5000,$I135,SummaryHelper!$B$2:$B$5000,$J135,SummaryHelper!$C$2:$C$5000,$K135),""))</f>
        <v/>
      </c>
      <c r="M135" s="9" t="str">
        <f>IF($J135="","",SUMIFS(SummaryHelper!$E$2:$E$5000,SummaryHelper!$A$2:$A$5000,$I135,SummaryHelper!$B$2:$B$5000,$J135,SummaryHelper!$C$2:$C$5000,$K135))</f>
        <v/>
      </c>
      <c r="N135" s="9" t="str">
        <f>IF($J135="","",SUMIFS(SummaryHelper!$F$2:$F$5000,SummaryHelper!$A$2:$A$5000,$I135,SummaryHelper!$B$2:$B$5000,$J135,SummaryHelper!$C$2:$C$5000,$K135))</f>
        <v/>
      </c>
      <c r="O135" s="9" t="str">
        <f>IF($J135="","",SUMIFS(SummaryHelper!$G$2:$G$5000,SummaryHelper!$A$2:$A$5000,$I135,SummaryHelper!$B$2:$B$5000,$J135,SummaryHelper!$C$2:$C$5000,$K135))</f>
        <v/>
      </c>
      <c r="Q135" s="9" t="str">
        <f t="shared" si="24"/>
        <v/>
      </c>
      <c r="R135" s="9" t="str">
        <f t="shared" si="25"/>
        <v/>
      </c>
      <c r="W135" s="9" t="str">
        <f>IF($U135="","",IFERROR(SUMIFS(SummaryHelper!$H$2:$H$5000,SummaryHelper!$A$2:$A$5000,$T135,SummaryHelper!$B$2:$B$5000,$U135,SummaryHelper!$C$2:$C$5000,$V135)/SUMIFS(SummaryHelper!$G$2:$G$5000,SummaryHelper!$A$2:$A$5000,$T135,SummaryHelper!$B$2:$B$5000,$U135,SummaryHelper!$C$2:$C$5000,$V135),""))</f>
        <v/>
      </c>
      <c r="X135" s="9" t="str">
        <f>IF($U135="","",SUMIFS(SummaryHelper!$E$2:$E$5000,SummaryHelper!$A$2:$A$5000,$T135,SummaryHelper!$B$2:$B$5000,$U135,SummaryHelper!$C$2:$C$5000,$V135))</f>
        <v/>
      </c>
      <c r="Y135" s="9" t="str">
        <f>IF($U135="","",SUMIFS(SummaryHelper!$F$2:$F$5000,SummaryHelper!$A$2:$A$5000,$T135,SummaryHelper!$B$2:$B$5000,$U135,SummaryHelper!$C$2:$C$5000,$V135))</f>
        <v/>
      </c>
      <c r="Z135" s="9" t="s">
        <v>489</v>
      </c>
      <c r="AB135" s="9" t="str">
        <f t="shared" si="26"/>
        <v/>
      </c>
      <c r="AC135" s="9" t="str">
        <f t="shared" si="27"/>
        <v/>
      </c>
      <c r="AH135" t="str">
        <f>IF($AF135="","",IFERROR(SUMIFS(SummaryHelper!$H$2:$H$5000,SummaryHelper!$A$2:$A$5000,$AE135,SummaryHelper!$B$2:$B$5000,$AF135,SummaryHelper!$C$2:$C$5000,$AG135)/SUMIFS(SummaryHelper!$G$2:$G$5000,SummaryHelper!$A$2:$A$5000,$AE135,SummaryHelper!$B$2:$B$5000,$AF135,SummaryHelper!$C$2:$C$5000,$AG135),""))</f>
        <v/>
      </c>
      <c r="AI135" t="str">
        <f>IF($AF135="","",SUMIFS(SummaryHelper!$E$2:$E$5000,SummaryHelper!$A$2:$A$5000,$AE135,SummaryHelper!$B$2:$B$5000,$AF135,SummaryHelper!$C$2:$C$5000,$AG135))</f>
        <v/>
      </c>
      <c r="AJ135" t="str">
        <f>IF($AF135="","",SUMIFS(SummaryHelper!$F$2:$F$5000,SummaryHelper!$A$2:$A$5000,$AE135,SummaryHelper!$B$2:$B$5000,$AF135,SummaryHelper!$C$2:$C$5000,$AG135))</f>
        <v/>
      </c>
      <c r="AK135" t="str">
        <f>IF($AF135="","",SUMIFS(SummaryHelper!$G$2:$G$5000,SummaryHelper!$A$2:$A$5000,$AE135,SummaryHelper!$B$2:$B$5000,$AF135,SummaryHelper!$C$2:$C$5000,$AG135))</f>
        <v/>
      </c>
      <c r="AM135" t="str">
        <f t="shared" si="28"/>
        <v/>
      </c>
      <c r="AN135" t="str">
        <f t="shared" si="29"/>
        <v/>
      </c>
    </row>
    <row r="136" spans="1:40" x14ac:dyDescent="0.25">
      <c r="A136" s="12"/>
      <c r="C136" s="9"/>
      <c r="D136" s="9"/>
      <c r="E136" s="9"/>
      <c r="F136" s="9"/>
      <c r="G136" s="9"/>
      <c r="L136" s="9" t="str">
        <f>IF($J136="","",IFERROR(SUMIFS(SummaryHelper!$H$2:$H$5000,SummaryHelper!$A$2:$A$5000,$I136,SummaryHelper!$B$2:$B$5000,$J136,SummaryHelper!$C$2:$C$5000,$K136)/SUMIFS(SummaryHelper!$G$2:$G$5000,SummaryHelper!$A$2:$A$5000,$I136,SummaryHelper!$B$2:$B$5000,$J136,SummaryHelper!$C$2:$C$5000,$K136),""))</f>
        <v/>
      </c>
      <c r="M136" s="9" t="str">
        <f>IF($J136="","",SUMIFS(SummaryHelper!$E$2:$E$5000,SummaryHelper!$A$2:$A$5000,$I136,SummaryHelper!$B$2:$B$5000,$J136,SummaryHelper!$C$2:$C$5000,$K136))</f>
        <v/>
      </c>
      <c r="N136" s="9" t="str">
        <f>IF($J136="","",SUMIFS(SummaryHelper!$F$2:$F$5000,SummaryHelper!$A$2:$A$5000,$I136,SummaryHelper!$B$2:$B$5000,$J136,SummaryHelper!$C$2:$C$5000,$K136))</f>
        <v/>
      </c>
      <c r="O136" s="9" t="str">
        <f>IF($J136="","",SUMIFS(SummaryHelper!$G$2:$G$5000,SummaryHelper!$A$2:$A$5000,$I136,SummaryHelper!$B$2:$B$5000,$J136,SummaryHelper!$C$2:$C$5000,$K136))</f>
        <v/>
      </c>
      <c r="Q136" s="9" t="str">
        <f t="shared" si="24"/>
        <v/>
      </c>
      <c r="R136" s="9" t="str">
        <f t="shared" si="25"/>
        <v/>
      </c>
      <c r="W136" s="9" t="str">
        <f>IF($U136="","",IFERROR(SUMIFS(SummaryHelper!$H$2:$H$5000,SummaryHelper!$A$2:$A$5000,$T136,SummaryHelper!$B$2:$B$5000,$U136,SummaryHelper!$C$2:$C$5000,$V136)/SUMIFS(SummaryHelper!$G$2:$G$5000,SummaryHelper!$A$2:$A$5000,$T136,SummaryHelper!$B$2:$B$5000,$U136,SummaryHelper!$C$2:$C$5000,$V136),""))</f>
        <v/>
      </c>
      <c r="X136" s="9" t="str">
        <f>IF($U136="","",SUMIFS(SummaryHelper!$E$2:$E$5000,SummaryHelper!$A$2:$A$5000,$T136,SummaryHelper!$B$2:$B$5000,$U136,SummaryHelper!$C$2:$C$5000,$V136))</f>
        <v/>
      </c>
      <c r="Y136" s="9" t="str">
        <f>IF($U136="","",SUMIFS(SummaryHelper!$F$2:$F$5000,SummaryHelper!$A$2:$A$5000,$T136,SummaryHelper!$B$2:$B$5000,$U136,SummaryHelper!$C$2:$C$5000,$V136))</f>
        <v/>
      </c>
      <c r="Z136" s="9" t="s">
        <v>489</v>
      </c>
      <c r="AB136" s="9" t="str">
        <f t="shared" si="26"/>
        <v/>
      </c>
      <c r="AC136" s="9" t="str">
        <f t="shared" si="27"/>
        <v/>
      </c>
      <c r="AH136" t="str">
        <f>IF($AF136="","",IFERROR(SUMIFS(SummaryHelper!$H$2:$H$5000,SummaryHelper!$A$2:$A$5000,$AE136,SummaryHelper!$B$2:$B$5000,$AF136,SummaryHelper!$C$2:$C$5000,$AG136)/SUMIFS(SummaryHelper!$G$2:$G$5000,SummaryHelper!$A$2:$A$5000,$AE136,SummaryHelper!$B$2:$B$5000,$AF136,SummaryHelper!$C$2:$C$5000,$AG136),""))</f>
        <v/>
      </c>
      <c r="AI136" t="str">
        <f>IF($AF136="","",SUMIFS(SummaryHelper!$E$2:$E$5000,SummaryHelper!$A$2:$A$5000,$AE136,SummaryHelper!$B$2:$B$5000,$AF136,SummaryHelper!$C$2:$C$5000,$AG136))</f>
        <v/>
      </c>
      <c r="AJ136" t="str">
        <f>IF($AF136="","",SUMIFS(SummaryHelper!$F$2:$F$5000,SummaryHelper!$A$2:$A$5000,$AE136,SummaryHelper!$B$2:$B$5000,$AF136,SummaryHelper!$C$2:$C$5000,$AG136))</f>
        <v/>
      </c>
      <c r="AK136" t="str">
        <f>IF($AF136="","",SUMIFS(SummaryHelper!$G$2:$G$5000,SummaryHelper!$A$2:$A$5000,$AE136,SummaryHelper!$B$2:$B$5000,$AF136,SummaryHelper!$C$2:$C$5000,$AG136))</f>
        <v/>
      </c>
      <c r="AM136" t="str">
        <f t="shared" si="28"/>
        <v/>
      </c>
      <c r="AN136" t="str">
        <f t="shared" si="29"/>
        <v/>
      </c>
    </row>
    <row r="137" spans="1:40" x14ac:dyDescent="0.25">
      <c r="A137" s="12"/>
      <c r="C137" s="9"/>
      <c r="D137" s="9"/>
      <c r="E137" s="9"/>
      <c r="F137" s="9"/>
      <c r="G137" s="9"/>
      <c r="L137" s="9" t="str">
        <f>IF($J137="","",IFERROR(SUMIFS(SummaryHelper!$H$2:$H$5000,SummaryHelper!$A$2:$A$5000,$I137,SummaryHelper!$B$2:$B$5000,$J137,SummaryHelper!$C$2:$C$5000,$K137)/SUMIFS(SummaryHelper!$G$2:$G$5000,SummaryHelper!$A$2:$A$5000,$I137,SummaryHelper!$B$2:$B$5000,$J137,SummaryHelper!$C$2:$C$5000,$K137),""))</f>
        <v/>
      </c>
      <c r="M137" s="9" t="str">
        <f>IF($J137="","",SUMIFS(SummaryHelper!$E$2:$E$5000,SummaryHelper!$A$2:$A$5000,$I137,SummaryHelper!$B$2:$B$5000,$J137,SummaryHelper!$C$2:$C$5000,$K137))</f>
        <v/>
      </c>
      <c r="N137" s="9" t="str">
        <f>IF($J137="","",SUMIFS(SummaryHelper!$F$2:$F$5000,SummaryHelper!$A$2:$A$5000,$I137,SummaryHelper!$B$2:$B$5000,$J137,SummaryHelper!$C$2:$C$5000,$K137))</f>
        <v/>
      </c>
      <c r="O137" s="9" t="str">
        <f>IF($J137="","",SUMIFS(SummaryHelper!$G$2:$G$5000,SummaryHelper!$A$2:$A$5000,$I137,SummaryHelper!$B$2:$B$5000,$J137,SummaryHelper!$C$2:$C$5000,$K137))</f>
        <v/>
      </c>
      <c r="Q137" s="9" t="str">
        <f t="shared" si="24"/>
        <v/>
      </c>
      <c r="R137" s="9" t="str">
        <f t="shared" si="25"/>
        <v/>
      </c>
      <c r="W137" s="9" t="str">
        <f>IF($U137="","",IFERROR(SUMIFS(SummaryHelper!$H$2:$H$5000,SummaryHelper!$A$2:$A$5000,$T137,SummaryHelper!$B$2:$B$5000,$U137,SummaryHelper!$C$2:$C$5000,$V137)/SUMIFS(SummaryHelper!$G$2:$G$5000,SummaryHelper!$A$2:$A$5000,$T137,SummaryHelper!$B$2:$B$5000,$U137,SummaryHelper!$C$2:$C$5000,$V137),""))</f>
        <v/>
      </c>
      <c r="X137" s="9" t="str">
        <f>IF($U137="","",SUMIFS(SummaryHelper!$E$2:$E$5000,SummaryHelper!$A$2:$A$5000,$T137,SummaryHelper!$B$2:$B$5000,$U137,SummaryHelper!$C$2:$C$5000,$V137))</f>
        <v/>
      </c>
      <c r="Y137" s="9" t="str">
        <f>IF($U137="","",SUMIFS(SummaryHelper!$F$2:$F$5000,SummaryHelper!$A$2:$A$5000,$T137,SummaryHelper!$B$2:$B$5000,$U137,SummaryHelper!$C$2:$C$5000,$V137))</f>
        <v/>
      </c>
      <c r="Z137" s="9" t="s">
        <v>489</v>
      </c>
      <c r="AB137" s="9" t="str">
        <f t="shared" si="26"/>
        <v/>
      </c>
      <c r="AC137" s="9" t="str">
        <f t="shared" si="27"/>
        <v/>
      </c>
      <c r="AH137" t="str">
        <f>IF($AF137="","",IFERROR(SUMIFS(SummaryHelper!$H$2:$H$5000,SummaryHelper!$A$2:$A$5000,$AE137,SummaryHelper!$B$2:$B$5000,$AF137,SummaryHelper!$C$2:$C$5000,$AG137)/SUMIFS(SummaryHelper!$G$2:$G$5000,SummaryHelper!$A$2:$A$5000,$AE137,SummaryHelper!$B$2:$B$5000,$AF137,SummaryHelper!$C$2:$C$5000,$AG137),""))</f>
        <v/>
      </c>
      <c r="AI137" t="str">
        <f>IF($AF137="","",SUMIFS(SummaryHelper!$E$2:$E$5000,SummaryHelper!$A$2:$A$5000,$AE137,SummaryHelper!$B$2:$B$5000,$AF137,SummaryHelper!$C$2:$C$5000,$AG137))</f>
        <v/>
      </c>
      <c r="AJ137" t="str">
        <f>IF($AF137="","",SUMIFS(SummaryHelper!$F$2:$F$5000,SummaryHelper!$A$2:$A$5000,$AE137,SummaryHelper!$B$2:$B$5000,$AF137,SummaryHelper!$C$2:$C$5000,$AG137))</f>
        <v/>
      </c>
      <c r="AK137" t="str">
        <f>IF($AF137="","",SUMIFS(SummaryHelper!$G$2:$G$5000,SummaryHelper!$A$2:$A$5000,$AE137,SummaryHelper!$B$2:$B$5000,$AF137,SummaryHelper!$C$2:$C$5000,$AG137))</f>
        <v/>
      </c>
      <c r="AM137" t="str">
        <f t="shared" si="28"/>
        <v/>
      </c>
      <c r="AN137" t="str">
        <f t="shared" si="29"/>
        <v/>
      </c>
    </row>
    <row r="138" spans="1:40" x14ac:dyDescent="0.25">
      <c r="A138" s="12"/>
      <c r="C138" s="9"/>
      <c r="D138" s="9"/>
      <c r="E138" s="9"/>
      <c r="F138" s="9"/>
      <c r="G138" s="9"/>
      <c r="L138" s="9" t="str">
        <f>IF($J138="","",IFERROR(SUMIFS(SummaryHelper!$H$2:$H$5000,SummaryHelper!$A$2:$A$5000,$I138,SummaryHelper!$B$2:$B$5000,$J138,SummaryHelper!$C$2:$C$5000,$K138)/SUMIFS(SummaryHelper!$G$2:$G$5000,SummaryHelper!$A$2:$A$5000,$I138,SummaryHelper!$B$2:$B$5000,$J138,SummaryHelper!$C$2:$C$5000,$K138),""))</f>
        <v/>
      </c>
      <c r="M138" s="9" t="str">
        <f>IF($J138="","",SUMIFS(SummaryHelper!$E$2:$E$5000,SummaryHelper!$A$2:$A$5000,$I138,SummaryHelper!$B$2:$B$5000,$J138,SummaryHelper!$C$2:$C$5000,$K138))</f>
        <v/>
      </c>
      <c r="N138" s="9" t="str">
        <f>IF($J138="","",SUMIFS(SummaryHelper!$F$2:$F$5000,SummaryHelper!$A$2:$A$5000,$I138,SummaryHelper!$B$2:$B$5000,$J138,SummaryHelper!$C$2:$C$5000,$K138))</f>
        <v/>
      </c>
      <c r="O138" s="9" t="str">
        <f>IF($J138="","",SUMIFS(SummaryHelper!$G$2:$G$5000,SummaryHelper!$A$2:$A$5000,$I138,SummaryHelper!$B$2:$B$5000,$J138,SummaryHelper!$C$2:$C$5000,$K138))</f>
        <v/>
      </c>
      <c r="Q138" s="9" t="str">
        <f t="shared" si="24"/>
        <v/>
      </c>
      <c r="R138" s="9" t="str">
        <f t="shared" si="25"/>
        <v/>
      </c>
      <c r="W138" s="9" t="str">
        <f>IF($U138="","",IFERROR(SUMIFS(SummaryHelper!$H$2:$H$5000,SummaryHelper!$A$2:$A$5000,$T138,SummaryHelper!$B$2:$B$5000,$U138,SummaryHelper!$C$2:$C$5000,$V138)/SUMIFS(SummaryHelper!$G$2:$G$5000,SummaryHelper!$A$2:$A$5000,$T138,SummaryHelper!$B$2:$B$5000,$U138,SummaryHelper!$C$2:$C$5000,$V138),""))</f>
        <v/>
      </c>
      <c r="X138" s="9" t="str">
        <f>IF($U138="","",SUMIFS(SummaryHelper!$E$2:$E$5000,SummaryHelper!$A$2:$A$5000,$T138,SummaryHelper!$B$2:$B$5000,$U138,SummaryHelper!$C$2:$C$5000,$V138))</f>
        <v/>
      </c>
      <c r="Y138" s="9" t="str">
        <f>IF($U138="","",SUMIFS(SummaryHelper!$F$2:$F$5000,SummaryHelper!$A$2:$A$5000,$T138,SummaryHelper!$B$2:$B$5000,$U138,SummaryHelper!$C$2:$C$5000,$V138))</f>
        <v/>
      </c>
      <c r="Z138" s="9" t="s">
        <v>489</v>
      </c>
      <c r="AB138" s="9" t="str">
        <f t="shared" si="26"/>
        <v/>
      </c>
      <c r="AC138" s="9" t="str">
        <f t="shared" si="27"/>
        <v/>
      </c>
      <c r="AH138" t="str">
        <f>IF($AF138="","",IFERROR(SUMIFS(SummaryHelper!$H$2:$H$5000,SummaryHelper!$A$2:$A$5000,$AE138,SummaryHelper!$B$2:$B$5000,$AF138,SummaryHelper!$C$2:$C$5000,$AG138)/SUMIFS(SummaryHelper!$G$2:$G$5000,SummaryHelper!$A$2:$A$5000,$AE138,SummaryHelper!$B$2:$B$5000,$AF138,SummaryHelper!$C$2:$C$5000,$AG138),""))</f>
        <v/>
      </c>
      <c r="AI138" t="str">
        <f>IF($AF138="","",SUMIFS(SummaryHelper!$E$2:$E$5000,SummaryHelper!$A$2:$A$5000,$AE138,SummaryHelper!$B$2:$B$5000,$AF138,SummaryHelper!$C$2:$C$5000,$AG138))</f>
        <v/>
      </c>
      <c r="AJ138" t="str">
        <f>IF($AF138="","",SUMIFS(SummaryHelper!$F$2:$F$5000,SummaryHelper!$A$2:$A$5000,$AE138,SummaryHelper!$B$2:$B$5000,$AF138,SummaryHelper!$C$2:$C$5000,$AG138))</f>
        <v/>
      </c>
      <c r="AK138" t="str">
        <f>IF($AF138="","",SUMIFS(SummaryHelper!$G$2:$G$5000,SummaryHelper!$A$2:$A$5000,$AE138,SummaryHelper!$B$2:$B$5000,$AF138,SummaryHelper!$C$2:$C$5000,$AG138))</f>
        <v/>
      </c>
      <c r="AM138" t="str">
        <f t="shared" si="28"/>
        <v/>
      </c>
      <c r="AN138" t="str">
        <f t="shared" si="29"/>
        <v/>
      </c>
    </row>
    <row r="139" spans="1:40" x14ac:dyDescent="0.25">
      <c r="A139" s="12"/>
      <c r="C139" s="9"/>
      <c r="D139" s="9"/>
      <c r="E139" s="9"/>
      <c r="F139" s="9"/>
      <c r="G139" s="9"/>
      <c r="L139" s="9" t="str">
        <f>IF($J139="","",IFERROR(SUMIFS(SummaryHelper!$H$2:$H$5000,SummaryHelper!$A$2:$A$5000,$I139,SummaryHelper!$B$2:$B$5000,$J139,SummaryHelper!$C$2:$C$5000,$K139)/SUMIFS(SummaryHelper!$G$2:$G$5000,SummaryHelper!$A$2:$A$5000,$I139,SummaryHelper!$B$2:$B$5000,$J139,SummaryHelper!$C$2:$C$5000,$K139),""))</f>
        <v/>
      </c>
      <c r="M139" s="9" t="str">
        <f>IF($J139="","",SUMIFS(SummaryHelper!$E$2:$E$5000,SummaryHelper!$A$2:$A$5000,$I139,SummaryHelper!$B$2:$B$5000,$J139,SummaryHelper!$C$2:$C$5000,$K139))</f>
        <v/>
      </c>
      <c r="N139" s="9" t="str">
        <f>IF($J139="","",SUMIFS(SummaryHelper!$F$2:$F$5000,SummaryHelper!$A$2:$A$5000,$I139,SummaryHelper!$B$2:$B$5000,$J139,SummaryHelper!$C$2:$C$5000,$K139))</f>
        <v/>
      </c>
      <c r="O139" s="9" t="str">
        <f>IF($J139="","",SUMIFS(SummaryHelper!$G$2:$G$5000,SummaryHelper!$A$2:$A$5000,$I139,SummaryHelper!$B$2:$B$5000,$J139,SummaryHelper!$C$2:$C$5000,$K139))</f>
        <v/>
      </c>
      <c r="Q139" s="9" t="str">
        <f t="shared" si="24"/>
        <v/>
      </c>
      <c r="R139" s="9" t="str">
        <f t="shared" si="25"/>
        <v/>
      </c>
      <c r="W139" s="9" t="str">
        <f>IF($U139="","",IFERROR(SUMIFS(SummaryHelper!$H$2:$H$5000,SummaryHelper!$A$2:$A$5000,$T139,SummaryHelper!$B$2:$B$5000,$U139,SummaryHelper!$C$2:$C$5000,$V139)/SUMIFS(SummaryHelper!$G$2:$G$5000,SummaryHelper!$A$2:$A$5000,$T139,SummaryHelper!$B$2:$B$5000,$U139,SummaryHelper!$C$2:$C$5000,$V139),""))</f>
        <v/>
      </c>
      <c r="X139" s="9" t="str">
        <f>IF($U139="","",SUMIFS(SummaryHelper!$E$2:$E$5000,SummaryHelper!$A$2:$A$5000,$T139,SummaryHelper!$B$2:$B$5000,$U139,SummaryHelper!$C$2:$C$5000,$V139))</f>
        <v/>
      </c>
      <c r="Y139" s="9" t="str">
        <f>IF($U139="","",SUMIFS(SummaryHelper!$F$2:$F$5000,SummaryHelper!$A$2:$A$5000,$T139,SummaryHelper!$B$2:$B$5000,$U139,SummaryHelper!$C$2:$C$5000,$V139))</f>
        <v/>
      </c>
      <c r="Z139" s="9" t="s">
        <v>489</v>
      </c>
      <c r="AB139" s="9" t="str">
        <f t="shared" si="26"/>
        <v/>
      </c>
      <c r="AC139" s="9" t="str">
        <f t="shared" si="27"/>
        <v/>
      </c>
      <c r="AH139" t="str">
        <f>IF($AF139="","",IFERROR(SUMIFS(SummaryHelper!$H$2:$H$5000,SummaryHelper!$A$2:$A$5000,$AE139,SummaryHelper!$B$2:$B$5000,$AF139,SummaryHelper!$C$2:$C$5000,$AG139)/SUMIFS(SummaryHelper!$G$2:$G$5000,SummaryHelper!$A$2:$A$5000,$AE139,SummaryHelper!$B$2:$B$5000,$AF139,SummaryHelper!$C$2:$C$5000,$AG139),""))</f>
        <v/>
      </c>
      <c r="AI139" t="str">
        <f>IF($AF139="","",SUMIFS(SummaryHelper!$E$2:$E$5000,SummaryHelper!$A$2:$A$5000,$AE139,SummaryHelper!$B$2:$B$5000,$AF139,SummaryHelper!$C$2:$C$5000,$AG139))</f>
        <v/>
      </c>
      <c r="AJ139" t="str">
        <f>IF($AF139="","",SUMIFS(SummaryHelper!$F$2:$F$5000,SummaryHelper!$A$2:$A$5000,$AE139,SummaryHelper!$B$2:$B$5000,$AF139,SummaryHelper!$C$2:$C$5000,$AG139))</f>
        <v/>
      </c>
      <c r="AK139" t="str">
        <f>IF($AF139="","",SUMIFS(SummaryHelper!$G$2:$G$5000,SummaryHelper!$A$2:$A$5000,$AE139,SummaryHelper!$B$2:$B$5000,$AF139,SummaryHelper!$C$2:$C$5000,$AG139))</f>
        <v/>
      </c>
      <c r="AM139" t="str">
        <f t="shared" si="28"/>
        <v/>
      </c>
      <c r="AN139" t="str">
        <f t="shared" si="29"/>
        <v/>
      </c>
    </row>
    <row r="140" spans="1:40" x14ac:dyDescent="0.25">
      <c r="A140" s="12"/>
      <c r="C140" s="9"/>
      <c r="D140" s="9"/>
      <c r="E140" s="9"/>
      <c r="F140" s="9"/>
      <c r="G140" s="9"/>
      <c r="L140" s="9" t="str">
        <f>IF($J140="","",IFERROR(SUMIFS(SummaryHelper!$H$2:$H$5000,SummaryHelper!$A$2:$A$5000,$I140,SummaryHelper!$B$2:$B$5000,$J140,SummaryHelper!$C$2:$C$5000,$K140)/SUMIFS(SummaryHelper!$G$2:$G$5000,SummaryHelper!$A$2:$A$5000,$I140,SummaryHelper!$B$2:$B$5000,$J140,SummaryHelper!$C$2:$C$5000,$K140),""))</f>
        <v/>
      </c>
      <c r="M140" s="9" t="str">
        <f>IF($J140="","",SUMIFS(SummaryHelper!$E$2:$E$5000,SummaryHelper!$A$2:$A$5000,$I140,SummaryHelper!$B$2:$B$5000,$J140,SummaryHelper!$C$2:$C$5000,$K140))</f>
        <v/>
      </c>
      <c r="N140" s="9" t="str">
        <f>IF($J140="","",SUMIFS(SummaryHelper!$F$2:$F$5000,SummaryHelper!$A$2:$A$5000,$I140,SummaryHelper!$B$2:$B$5000,$J140,SummaryHelper!$C$2:$C$5000,$K140))</f>
        <v/>
      </c>
      <c r="O140" s="9" t="str">
        <f>IF($J140="","",SUMIFS(SummaryHelper!$G$2:$G$5000,SummaryHelper!$A$2:$A$5000,$I140,SummaryHelper!$B$2:$B$5000,$J140,SummaryHelper!$C$2:$C$5000,$K140))</f>
        <v/>
      </c>
      <c r="Q140" s="9" t="str">
        <f t="shared" si="24"/>
        <v/>
      </c>
      <c r="R140" s="9" t="str">
        <f t="shared" si="25"/>
        <v/>
      </c>
      <c r="W140" s="9" t="str">
        <f>IF($U140="","",IFERROR(SUMIFS(SummaryHelper!$H$2:$H$5000,SummaryHelper!$A$2:$A$5000,$T140,SummaryHelper!$B$2:$B$5000,$U140,SummaryHelper!$C$2:$C$5000,$V140)/SUMIFS(SummaryHelper!$G$2:$G$5000,SummaryHelper!$A$2:$A$5000,$T140,SummaryHelper!$B$2:$B$5000,$U140,SummaryHelper!$C$2:$C$5000,$V140),""))</f>
        <v/>
      </c>
      <c r="X140" s="9" t="str">
        <f>IF($U140="","",SUMIFS(SummaryHelper!$E$2:$E$5000,SummaryHelper!$A$2:$A$5000,$T140,SummaryHelper!$B$2:$B$5000,$U140,SummaryHelper!$C$2:$C$5000,$V140))</f>
        <v/>
      </c>
      <c r="Y140" s="9" t="str">
        <f>IF($U140="","",SUMIFS(SummaryHelper!$F$2:$F$5000,SummaryHelper!$A$2:$A$5000,$T140,SummaryHelper!$B$2:$B$5000,$U140,SummaryHelper!$C$2:$C$5000,$V140))</f>
        <v/>
      </c>
      <c r="Z140" s="9" t="s">
        <v>489</v>
      </c>
      <c r="AB140" s="9" t="str">
        <f t="shared" si="26"/>
        <v/>
      </c>
      <c r="AC140" s="9" t="str">
        <f t="shared" si="27"/>
        <v/>
      </c>
      <c r="AH140" t="str">
        <f>IF($AF140="","",IFERROR(SUMIFS(SummaryHelper!$H$2:$H$5000,SummaryHelper!$A$2:$A$5000,$AE140,SummaryHelper!$B$2:$B$5000,$AF140,SummaryHelper!$C$2:$C$5000,$AG140)/SUMIFS(SummaryHelper!$G$2:$G$5000,SummaryHelper!$A$2:$A$5000,$AE140,SummaryHelper!$B$2:$B$5000,$AF140,SummaryHelper!$C$2:$C$5000,$AG140),""))</f>
        <v/>
      </c>
      <c r="AI140" t="str">
        <f>IF($AF140="","",SUMIFS(SummaryHelper!$E$2:$E$5000,SummaryHelper!$A$2:$A$5000,$AE140,SummaryHelper!$B$2:$B$5000,$AF140,SummaryHelper!$C$2:$C$5000,$AG140))</f>
        <v/>
      </c>
      <c r="AJ140" t="str">
        <f>IF($AF140="","",SUMIFS(SummaryHelper!$F$2:$F$5000,SummaryHelper!$A$2:$A$5000,$AE140,SummaryHelper!$B$2:$B$5000,$AF140,SummaryHelper!$C$2:$C$5000,$AG140))</f>
        <v/>
      </c>
      <c r="AK140" t="str">
        <f>IF($AF140="","",SUMIFS(SummaryHelper!$G$2:$G$5000,SummaryHelper!$A$2:$A$5000,$AE140,SummaryHelper!$B$2:$B$5000,$AF140,SummaryHelper!$C$2:$C$5000,$AG140))</f>
        <v/>
      </c>
      <c r="AM140" t="str">
        <f t="shared" si="28"/>
        <v/>
      </c>
      <c r="AN140" t="str">
        <f t="shared" si="29"/>
        <v/>
      </c>
    </row>
    <row r="141" spans="1:40" x14ac:dyDescent="0.25">
      <c r="A141" s="12"/>
      <c r="C141" s="9"/>
      <c r="D141" s="9"/>
      <c r="E141" s="9"/>
      <c r="F141" s="9"/>
      <c r="G141" s="9"/>
      <c r="L141" s="9" t="str">
        <f>IF($J141="","",IFERROR(SUMIFS(SummaryHelper!$H$2:$H$5000,SummaryHelper!$A$2:$A$5000,$I141,SummaryHelper!$B$2:$B$5000,$J141,SummaryHelper!$C$2:$C$5000,$K141)/SUMIFS(SummaryHelper!$G$2:$G$5000,SummaryHelper!$A$2:$A$5000,$I141,SummaryHelper!$B$2:$B$5000,$J141,SummaryHelper!$C$2:$C$5000,$K141),""))</f>
        <v/>
      </c>
      <c r="M141" s="9" t="str">
        <f>IF($J141="","",SUMIFS(SummaryHelper!$E$2:$E$5000,SummaryHelper!$A$2:$A$5000,$I141,SummaryHelper!$B$2:$B$5000,$J141,SummaryHelper!$C$2:$C$5000,$K141))</f>
        <v/>
      </c>
      <c r="N141" s="9" t="str">
        <f>IF($J141="","",SUMIFS(SummaryHelper!$F$2:$F$5000,SummaryHelper!$A$2:$A$5000,$I141,SummaryHelper!$B$2:$B$5000,$J141,SummaryHelper!$C$2:$C$5000,$K141))</f>
        <v/>
      </c>
      <c r="O141" s="9" t="str">
        <f>IF($J141="","",SUMIFS(SummaryHelper!$G$2:$G$5000,SummaryHelper!$A$2:$A$5000,$I141,SummaryHelper!$B$2:$B$5000,$J141,SummaryHelper!$C$2:$C$5000,$K141))</f>
        <v/>
      </c>
      <c r="Q141" s="9" t="str">
        <f t="shared" si="24"/>
        <v/>
      </c>
      <c r="R141" s="9" t="str">
        <f t="shared" si="25"/>
        <v/>
      </c>
      <c r="W141" s="9" t="str">
        <f>IF($U141="","",IFERROR(SUMIFS(SummaryHelper!$H$2:$H$5000,SummaryHelper!$A$2:$A$5000,$T141,SummaryHelper!$B$2:$B$5000,$U141,SummaryHelper!$C$2:$C$5000,$V141)/SUMIFS(SummaryHelper!$G$2:$G$5000,SummaryHelper!$A$2:$A$5000,$T141,SummaryHelper!$B$2:$B$5000,$U141,SummaryHelper!$C$2:$C$5000,$V141),""))</f>
        <v/>
      </c>
      <c r="X141" s="9" t="str">
        <f>IF($U141="","",SUMIFS(SummaryHelper!$E$2:$E$5000,SummaryHelper!$A$2:$A$5000,$T141,SummaryHelper!$B$2:$B$5000,$U141,SummaryHelper!$C$2:$C$5000,$V141))</f>
        <v/>
      </c>
      <c r="Y141" s="9" t="str">
        <f>IF($U141="","",SUMIFS(SummaryHelper!$F$2:$F$5000,SummaryHelper!$A$2:$A$5000,$T141,SummaryHelper!$B$2:$B$5000,$U141,SummaryHelper!$C$2:$C$5000,$V141))</f>
        <v/>
      </c>
      <c r="Z141" s="9" t="s">
        <v>489</v>
      </c>
      <c r="AB141" s="9" t="str">
        <f t="shared" si="26"/>
        <v/>
      </c>
      <c r="AC141" s="9" t="str">
        <f t="shared" si="27"/>
        <v/>
      </c>
      <c r="AH141" t="str">
        <f>IF($AF141="","",IFERROR(SUMIFS(SummaryHelper!$H$2:$H$5000,SummaryHelper!$A$2:$A$5000,$AE141,SummaryHelper!$B$2:$B$5000,$AF141,SummaryHelper!$C$2:$C$5000,$AG141)/SUMIFS(SummaryHelper!$G$2:$G$5000,SummaryHelper!$A$2:$A$5000,$AE141,SummaryHelper!$B$2:$B$5000,$AF141,SummaryHelper!$C$2:$C$5000,$AG141),""))</f>
        <v/>
      </c>
      <c r="AI141" t="str">
        <f>IF($AF141="","",SUMIFS(SummaryHelper!$E$2:$E$5000,SummaryHelper!$A$2:$A$5000,$AE141,SummaryHelper!$B$2:$B$5000,$AF141,SummaryHelper!$C$2:$C$5000,$AG141))</f>
        <v/>
      </c>
      <c r="AJ141" t="str">
        <f>IF($AF141="","",SUMIFS(SummaryHelper!$F$2:$F$5000,SummaryHelper!$A$2:$A$5000,$AE141,SummaryHelper!$B$2:$B$5000,$AF141,SummaryHelper!$C$2:$C$5000,$AG141))</f>
        <v/>
      </c>
      <c r="AK141" t="str">
        <f>IF($AF141="","",SUMIFS(SummaryHelper!$G$2:$G$5000,SummaryHelper!$A$2:$A$5000,$AE141,SummaryHelper!$B$2:$B$5000,$AF141,SummaryHelper!$C$2:$C$5000,$AG141))</f>
        <v/>
      </c>
      <c r="AM141" t="str">
        <f t="shared" si="28"/>
        <v/>
      </c>
      <c r="AN141" t="str">
        <f t="shared" si="29"/>
        <v/>
      </c>
    </row>
    <row r="142" spans="1:40" x14ac:dyDescent="0.25">
      <c r="A142" s="12"/>
      <c r="C142" s="9"/>
      <c r="D142" s="9"/>
      <c r="E142" s="9"/>
      <c r="F142" s="9"/>
      <c r="G142" s="9"/>
      <c r="L142" s="9" t="str">
        <f>IF($J142="","",IFERROR(SUMIFS(SummaryHelper!$H$2:$H$5000,SummaryHelper!$A$2:$A$5000,$I142,SummaryHelper!$B$2:$B$5000,$J142,SummaryHelper!$C$2:$C$5000,$K142)/SUMIFS(SummaryHelper!$G$2:$G$5000,SummaryHelper!$A$2:$A$5000,$I142,SummaryHelper!$B$2:$B$5000,$J142,SummaryHelper!$C$2:$C$5000,$K142),""))</f>
        <v/>
      </c>
      <c r="M142" s="9" t="str">
        <f>IF($J142="","",SUMIFS(SummaryHelper!$E$2:$E$5000,SummaryHelper!$A$2:$A$5000,$I142,SummaryHelper!$B$2:$B$5000,$J142,SummaryHelper!$C$2:$C$5000,$K142))</f>
        <v/>
      </c>
      <c r="N142" s="9" t="str">
        <f>IF($J142="","",SUMIFS(SummaryHelper!$F$2:$F$5000,SummaryHelper!$A$2:$A$5000,$I142,SummaryHelper!$B$2:$B$5000,$J142,SummaryHelper!$C$2:$C$5000,$K142))</f>
        <v/>
      </c>
      <c r="O142" s="9" t="str">
        <f>IF($J142="","",SUMIFS(SummaryHelper!$G$2:$G$5000,SummaryHelper!$A$2:$A$5000,$I142,SummaryHelper!$B$2:$B$5000,$J142,SummaryHelper!$C$2:$C$5000,$K142))</f>
        <v/>
      </c>
      <c r="Q142" s="9" t="str">
        <f t="shared" si="24"/>
        <v/>
      </c>
      <c r="R142" s="9" t="str">
        <f t="shared" si="25"/>
        <v/>
      </c>
      <c r="W142" s="9" t="str">
        <f>IF($U142="","",IFERROR(SUMIFS(SummaryHelper!$H$2:$H$5000,SummaryHelper!$A$2:$A$5000,$T142,SummaryHelper!$B$2:$B$5000,$U142,SummaryHelper!$C$2:$C$5000,$V142)/SUMIFS(SummaryHelper!$G$2:$G$5000,SummaryHelper!$A$2:$A$5000,$T142,SummaryHelper!$B$2:$B$5000,$U142,SummaryHelper!$C$2:$C$5000,$V142),""))</f>
        <v/>
      </c>
      <c r="X142" s="9" t="str">
        <f>IF($U142="","",SUMIFS(SummaryHelper!$E$2:$E$5000,SummaryHelper!$A$2:$A$5000,$T142,SummaryHelper!$B$2:$B$5000,$U142,SummaryHelper!$C$2:$C$5000,$V142))</f>
        <v/>
      </c>
      <c r="Y142" s="9" t="str">
        <f>IF($U142="","",SUMIFS(SummaryHelper!$F$2:$F$5000,SummaryHelper!$A$2:$A$5000,$T142,SummaryHelper!$B$2:$B$5000,$U142,SummaryHelper!$C$2:$C$5000,$V142))</f>
        <v/>
      </c>
      <c r="Z142" s="9" t="s">
        <v>489</v>
      </c>
      <c r="AB142" s="9" t="str">
        <f t="shared" si="26"/>
        <v/>
      </c>
      <c r="AC142" s="9" t="str">
        <f t="shared" si="27"/>
        <v/>
      </c>
      <c r="AH142" t="str">
        <f>IF($AF142="","",IFERROR(SUMIFS(SummaryHelper!$H$2:$H$5000,SummaryHelper!$A$2:$A$5000,$AE142,SummaryHelper!$B$2:$B$5000,$AF142,SummaryHelper!$C$2:$C$5000,$AG142)/SUMIFS(SummaryHelper!$G$2:$G$5000,SummaryHelper!$A$2:$A$5000,$AE142,SummaryHelper!$B$2:$B$5000,$AF142,SummaryHelper!$C$2:$C$5000,$AG142),""))</f>
        <v/>
      </c>
      <c r="AI142" t="str">
        <f>IF($AF142="","",SUMIFS(SummaryHelper!$E$2:$E$5000,SummaryHelper!$A$2:$A$5000,$AE142,SummaryHelper!$B$2:$B$5000,$AF142,SummaryHelper!$C$2:$C$5000,$AG142))</f>
        <v/>
      </c>
      <c r="AJ142" t="str">
        <f>IF($AF142="","",SUMIFS(SummaryHelper!$F$2:$F$5000,SummaryHelper!$A$2:$A$5000,$AE142,SummaryHelper!$B$2:$B$5000,$AF142,SummaryHelper!$C$2:$C$5000,$AG142))</f>
        <v/>
      </c>
      <c r="AK142" t="str">
        <f>IF($AF142="","",SUMIFS(SummaryHelper!$G$2:$G$5000,SummaryHelper!$A$2:$A$5000,$AE142,SummaryHelper!$B$2:$B$5000,$AF142,SummaryHelper!$C$2:$C$5000,$AG142))</f>
        <v/>
      </c>
      <c r="AM142" t="str">
        <f t="shared" si="28"/>
        <v/>
      </c>
      <c r="AN142" t="str">
        <f t="shared" si="29"/>
        <v/>
      </c>
    </row>
    <row r="143" spans="1:40" x14ac:dyDescent="0.25">
      <c r="A143" s="12"/>
      <c r="C143" s="9"/>
      <c r="D143" s="9"/>
      <c r="E143" s="9"/>
      <c r="F143" s="9"/>
      <c r="G143" s="9"/>
      <c r="L143" s="9" t="str">
        <f>IF($J143="","",IFERROR(SUMIFS(SummaryHelper!$H$2:$H$5000,SummaryHelper!$A$2:$A$5000,$I143,SummaryHelper!$B$2:$B$5000,$J143,SummaryHelper!$C$2:$C$5000,$K143)/SUMIFS(SummaryHelper!$G$2:$G$5000,SummaryHelper!$A$2:$A$5000,$I143,SummaryHelper!$B$2:$B$5000,$J143,SummaryHelper!$C$2:$C$5000,$K143),""))</f>
        <v/>
      </c>
      <c r="M143" s="9" t="str">
        <f>IF($J143="","",SUMIFS(SummaryHelper!$E$2:$E$5000,SummaryHelper!$A$2:$A$5000,$I143,SummaryHelper!$B$2:$B$5000,$J143,SummaryHelper!$C$2:$C$5000,$K143))</f>
        <v/>
      </c>
      <c r="N143" s="9" t="str">
        <f>IF($J143="","",SUMIFS(SummaryHelper!$F$2:$F$5000,SummaryHelper!$A$2:$A$5000,$I143,SummaryHelper!$B$2:$B$5000,$J143,SummaryHelper!$C$2:$C$5000,$K143))</f>
        <v/>
      </c>
      <c r="O143" s="9" t="str">
        <f>IF($J143="","",SUMIFS(SummaryHelper!$G$2:$G$5000,SummaryHelper!$A$2:$A$5000,$I143,SummaryHelper!$B$2:$B$5000,$J143,SummaryHelper!$C$2:$C$5000,$K143))</f>
        <v/>
      </c>
      <c r="Q143" s="9" t="str">
        <f t="shared" si="24"/>
        <v/>
      </c>
      <c r="R143" s="9" t="str">
        <f t="shared" si="25"/>
        <v/>
      </c>
      <c r="W143" s="9" t="str">
        <f>IF($U143="","",IFERROR(SUMIFS(SummaryHelper!$H$2:$H$5000,SummaryHelper!$A$2:$A$5000,$T143,SummaryHelper!$B$2:$B$5000,$U143,SummaryHelper!$C$2:$C$5000,$V143)/SUMIFS(SummaryHelper!$G$2:$G$5000,SummaryHelper!$A$2:$A$5000,$T143,SummaryHelper!$B$2:$B$5000,$U143,SummaryHelper!$C$2:$C$5000,$V143),""))</f>
        <v/>
      </c>
      <c r="X143" s="9" t="str">
        <f>IF($U143="","",SUMIFS(SummaryHelper!$E$2:$E$5000,SummaryHelper!$A$2:$A$5000,$T143,SummaryHelper!$B$2:$B$5000,$U143,SummaryHelper!$C$2:$C$5000,$V143))</f>
        <v/>
      </c>
      <c r="Y143" s="9" t="str">
        <f>IF($U143="","",SUMIFS(SummaryHelper!$F$2:$F$5000,SummaryHelper!$A$2:$A$5000,$T143,SummaryHelper!$B$2:$B$5000,$U143,SummaryHelper!$C$2:$C$5000,$V143))</f>
        <v/>
      </c>
      <c r="Z143" s="9" t="s">
        <v>489</v>
      </c>
      <c r="AB143" s="9" t="str">
        <f t="shared" si="26"/>
        <v/>
      </c>
      <c r="AC143" s="9" t="str">
        <f t="shared" si="27"/>
        <v/>
      </c>
      <c r="AH143" t="str">
        <f>IF($AF143="","",IFERROR(SUMIFS(SummaryHelper!$H$2:$H$5000,SummaryHelper!$A$2:$A$5000,$AE143,SummaryHelper!$B$2:$B$5000,$AF143,SummaryHelper!$C$2:$C$5000,$AG143)/SUMIFS(SummaryHelper!$G$2:$G$5000,SummaryHelper!$A$2:$A$5000,$AE143,SummaryHelper!$B$2:$B$5000,$AF143,SummaryHelper!$C$2:$C$5000,$AG143),""))</f>
        <v/>
      </c>
      <c r="AI143" t="str">
        <f>IF($AF143="","",SUMIFS(SummaryHelper!$E$2:$E$5000,SummaryHelper!$A$2:$A$5000,$AE143,SummaryHelper!$B$2:$B$5000,$AF143,SummaryHelper!$C$2:$C$5000,$AG143))</f>
        <v/>
      </c>
      <c r="AJ143" t="str">
        <f>IF($AF143="","",SUMIFS(SummaryHelper!$F$2:$F$5000,SummaryHelper!$A$2:$A$5000,$AE143,SummaryHelper!$B$2:$B$5000,$AF143,SummaryHelper!$C$2:$C$5000,$AG143))</f>
        <v/>
      </c>
      <c r="AK143" t="str">
        <f>IF($AF143="","",SUMIFS(SummaryHelper!$G$2:$G$5000,SummaryHelper!$A$2:$A$5000,$AE143,SummaryHelper!$B$2:$B$5000,$AF143,SummaryHelper!$C$2:$C$5000,$AG143))</f>
        <v/>
      </c>
      <c r="AM143" t="str">
        <f t="shared" si="28"/>
        <v/>
      </c>
      <c r="AN143" t="str">
        <f t="shared" si="29"/>
        <v/>
      </c>
    </row>
    <row r="144" spans="1:40" x14ac:dyDescent="0.25">
      <c r="A144" s="12"/>
      <c r="C144" s="9"/>
      <c r="D144" s="9"/>
      <c r="E144" s="9"/>
      <c r="F144" s="9"/>
      <c r="G144" s="9"/>
      <c r="L144" s="9" t="str">
        <f>IF($J144="","",IFERROR(SUMIFS(SummaryHelper!$H$2:$H$5000,SummaryHelper!$A$2:$A$5000,$I144,SummaryHelper!$B$2:$B$5000,$J144,SummaryHelper!$C$2:$C$5000,$K144)/SUMIFS(SummaryHelper!$G$2:$G$5000,SummaryHelper!$A$2:$A$5000,$I144,SummaryHelper!$B$2:$B$5000,$J144,SummaryHelper!$C$2:$C$5000,$K144),""))</f>
        <v/>
      </c>
      <c r="M144" s="9" t="str">
        <f>IF($J144="","",SUMIFS(SummaryHelper!$E$2:$E$5000,SummaryHelper!$A$2:$A$5000,$I144,SummaryHelper!$B$2:$B$5000,$J144,SummaryHelper!$C$2:$C$5000,$K144))</f>
        <v/>
      </c>
      <c r="N144" s="9" t="str">
        <f>IF($J144="","",SUMIFS(SummaryHelper!$F$2:$F$5000,SummaryHelper!$A$2:$A$5000,$I144,SummaryHelper!$B$2:$B$5000,$J144,SummaryHelper!$C$2:$C$5000,$K144))</f>
        <v/>
      </c>
      <c r="O144" s="9" t="str">
        <f>IF($J144="","",SUMIFS(SummaryHelper!$G$2:$G$5000,SummaryHelper!$A$2:$A$5000,$I144,SummaryHelper!$B$2:$B$5000,$J144,SummaryHelper!$C$2:$C$5000,$K144))</f>
        <v/>
      </c>
      <c r="Q144" s="9" t="str">
        <f t="shared" si="24"/>
        <v/>
      </c>
      <c r="R144" s="9" t="str">
        <f t="shared" si="25"/>
        <v/>
      </c>
      <c r="W144" s="9" t="str">
        <f>IF($U144="","",IFERROR(SUMIFS(SummaryHelper!$H$2:$H$5000,SummaryHelper!$A$2:$A$5000,$T144,SummaryHelper!$B$2:$B$5000,$U144,SummaryHelper!$C$2:$C$5000,$V144)/SUMIFS(SummaryHelper!$G$2:$G$5000,SummaryHelper!$A$2:$A$5000,$T144,SummaryHelper!$B$2:$B$5000,$U144,SummaryHelper!$C$2:$C$5000,$V144),""))</f>
        <v/>
      </c>
      <c r="X144" s="9" t="str">
        <f>IF($U144="","",SUMIFS(SummaryHelper!$E$2:$E$5000,SummaryHelper!$A$2:$A$5000,$T144,SummaryHelper!$B$2:$B$5000,$U144,SummaryHelper!$C$2:$C$5000,$V144))</f>
        <v/>
      </c>
      <c r="Y144" s="9" t="str">
        <f>IF($U144="","",SUMIFS(SummaryHelper!$F$2:$F$5000,SummaryHelper!$A$2:$A$5000,$T144,SummaryHelper!$B$2:$B$5000,$U144,SummaryHelper!$C$2:$C$5000,$V144))</f>
        <v/>
      </c>
      <c r="Z144" s="9" t="s">
        <v>489</v>
      </c>
      <c r="AB144" s="9" t="str">
        <f t="shared" si="26"/>
        <v/>
      </c>
      <c r="AC144" s="9" t="str">
        <f t="shared" si="27"/>
        <v/>
      </c>
      <c r="AH144" t="str">
        <f>IF($AF144="","",IFERROR(SUMIFS(SummaryHelper!$H$2:$H$5000,SummaryHelper!$A$2:$A$5000,$AE144,SummaryHelper!$B$2:$B$5000,$AF144,SummaryHelper!$C$2:$C$5000,$AG144)/SUMIFS(SummaryHelper!$G$2:$G$5000,SummaryHelper!$A$2:$A$5000,$AE144,SummaryHelper!$B$2:$B$5000,$AF144,SummaryHelper!$C$2:$C$5000,$AG144),""))</f>
        <v/>
      </c>
      <c r="AI144" t="str">
        <f>IF($AF144="","",SUMIFS(SummaryHelper!$E$2:$E$5000,SummaryHelper!$A$2:$A$5000,$AE144,SummaryHelper!$B$2:$B$5000,$AF144,SummaryHelper!$C$2:$C$5000,$AG144))</f>
        <v/>
      </c>
      <c r="AJ144" t="str">
        <f>IF($AF144="","",SUMIFS(SummaryHelper!$F$2:$F$5000,SummaryHelper!$A$2:$A$5000,$AE144,SummaryHelper!$B$2:$B$5000,$AF144,SummaryHelper!$C$2:$C$5000,$AG144))</f>
        <v/>
      </c>
      <c r="AK144" t="str">
        <f>IF($AF144="","",SUMIFS(SummaryHelper!$G$2:$G$5000,SummaryHelper!$A$2:$A$5000,$AE144,SummaryHelper!$B$2:$B$5000,$AF144,SummaryHelper!$C$2:$C$5000,$AG144))</f>
        <v/>
      </c>
      <c r="AM144" t="str">
        <f t="shared" si="28"/>
        <v/>
      </c>
      <c r="AN144" t="str">
        <f t="shared" si="29"/>
        <v/>
      </c>
    </row>
    <row r="145" spans="1:40" x14ac:dyDescent="0.25">
      <c r="A145" s="12"/>
      <c r="C145" s="9"/>
      <c r="D145" s="9"/>
      <c r="E145" s="9"/>
      <c r="F145" s="9"/>
      <c r="G145" s="9"/>
      <c r="L145" s="9" t="str">
        <f>IF($J145="","",IFERROR(SUMIFS(SummaryHelper!$H$2:$H$5000,SummaryHelper!$A$2:$A$5000,$I145,SummaryHelper!$B$2:$B$5000,$J145,SummaryHelper!$C$2:$C$5000,$K145)/SUMIFS(SummaryHelper!$G$2:$G$5000,SummaryHelper!$A$2:$A$5000,$I145,SummaryHelper!$B$2:$B$5000,$J145,SummaryHelper!$C$2:$C$5000,$K145),""))</f>
        <v/>
      </c>
      <c r="M145" s="9" t="str">
        <f>IF($J145="","",SUMIFS(SummaryHelper!$E$2:$E$5000,SummaryHelper!$A$2:$A$5000,$I145,SummaryHelper!$B$2:$B$5000,$J145,SummaryHelper!$C$2:$C$5000,$K145))</f>
        <v/>
      </c>
      <c r="N145" s="9" t="str">
        <f>IF($J145="","",SUMIFS(SummaryHelper!$F$2:$F$5000,SummaryHelper!$A$2:$A$5000,$I145,SummaryHelper!$B$2:$B$5000,$J145,SummaryHelper!$C$2:$C$5000,$K145))</f>
        <v/>
      </c>
      <c r="O145" s="9" t="str">
        <f>IF($J145="","",SUMIFS(SummaryHelper!$G$2:$G$5000,SummaryHelper!$A$2:$A$5000,$I145,SummaryHelper!$B$2:$B$5000,$J145,SummaryHelper!$C$2:$C$5000,$K145))</f>
        <v/>
      </c>
      <c r="Q145" s="9" t="str">
        <f t="shared" si="24"/>
        <v/>
      </c>
      <c r="R145" s="9" t="str">
        <f t="shared" si="25"/>
        <v/>
      </c>
      <c r="W145" s="9" t="str">
        <f>IF($U145="","",IFERROR(SUMIFS(SummaryHelper!$H$2:$H$5000,SummaryHelper!$A$2:$A$5000,$T145,SummaryHelper!$B$2:$B$5000,$U145,SummaryHelper!$C$2:$C$5000,$V145)/SUMIFS(SummaryHelper!$G$2:$G$5000,SummaryHelper!$A$2:$A$5000,$T145,SummaryHelper!$B$2:$B$5000,$U145,SummaryHelper!$C$2:$C$5000,$V145),""))</f>
        <v/>
      </c>
      <c r="X145" s="9" t="str">
        <f>IF($U145="","",SUMIFS(SummaryHelper!$E$2:$E$5000,SummaryHelper!$A$2:$A$5000,$T145,SummaryHelper!$B$2:$B$5000,$U145,SummaryHelper!$C$2:$C$5000,$V145))</f>
        <v/>
      </c>
      <c r="Y145" s="9" t="str">
        <f>IF($U145="","",SUMIFS(SummaryHelper!$F$2:$F$5000,SummaryHelper!$A$2:$A$5000,$T145,SummaryHelper!$B$2:$B$5000,$U145,SummaryHelper!$C$2:$C$5000,$V145))</f>
        <v/>
      </c>
      <c r="Z145" s="9" t="s">
        <v>489</v>
      </c>
      <c r="AB145" s="9" t="str">
        <f t="shared" si="26"/>
        <v/>
      </c>
      <c r="AC145" s="9" t="str">
        <f t="shared" si="27"/>
        <v/>
      </c>
      <c r="AH145" t="str">
        <f>IF($AF145="","",IFERROR(SUMIFS(SummaryHelper!$H$2:$H$5000,SummaryHelper!$A$2:$A$5000,$AE145,SummaryHelper!$B$2:$B$5000,$AF145,SummaryHelper!$C$2:$C$5000,$AG145)/SUMIFS(SummaryHelper!$G$2:$G$5000,SummaryHelper!$A$2:$A$5000,$AE145,SummaryHelper!$B$2:$B$5000,$AF145,SummaryHelper!$C$2:$C$5000,$AG145),""))</f>
        <v/>
      </c>
      <c r="AI145" t="str">
        <f>IF($AF145="","",SUMIFS(SummaryHelper!$E$2:$E$5000,SummaryHelper!$A$2:$A$5000,$AE145,SummaryHelper!$B$2:$B$5000,$AF145,SummaryHelper!$C$2:$C$5000,$AG145))</f>
        <v/>
      </c>
      <c r="AJ145" t="str">
        <f>IF($AF145="","",SUMIFS(SummaryHelper!$F$2:$F$5000,SummaryHelper!$A$2:$A$5000,$AE145,SummaryHelper!$B$2:$B$5000,$AF145,SummaryHelper!$C$2:$C$5000,$AG145))</f>
        <v/>
      </c>
      <c r="AK145" t="str">
        <f>IF($AF145="","",SUMIFS(SummaryHelper!$G$2:$G$5000,SummaryHelper!$A$2:$A$5000,$AE145,SummaryHelper!$B$2:$B$5000,$AF145,SummaryHelper!$C$2:$C$5000,$AG145))</f>
        <v/>
      </c>
      <c r="AM145" t="str">
        <f t="shared" si="28"/>
        <v/>
      </c>
      <c r="AN145" t="str">
        <f t="shared" si="29"/>
        <v/>
      </c>
    </row>
    <row r="146" spans="1:40" x14ac:dyDescent="0.25">
      <c r="A146" s="12"/>
      <c r="C146" s="9"/>
      <c r="D146" s="9"/>
      <c r="E146" s="9"/>
      <c r="F146" s="9"/>
      <c r="G146" s="9"/>
      <c r="L146" s="9" t="str">
        <f>IF($J146="","",IFERROR(SUMIFS(SummaryHelper!$H$2:$H$5000,SummaryHelper!$A$2:$A$5000,$I146,SummaryHelper!$B$2:$B$5000,$J146,SummaryHelper!$C$2:$C$5000,$K146)/SUMIFS(SummaryHelper!$G$2:$G$5000,SummaryHelper!$A$2:$A$5000,$I146,SummaryHelper!$B$2:$B$5000,$J146,SummaryHelper!$C$2:$C$5000,$K146),""))</f>
        <v/>
      </c>
      <c r="M146" s="9" t="str">
        <f>IF($J146="","",SUMIFS(SummaryHelper!$E$2:$E$5000,SummaryHelper!$A$2:$A$5000,$I146,SummaryHelper!$B$2:$B$5000,$J146,SummaryHelper!$C$2:$C$5000,$K146))</f>
        <v/>
      </c>
      <c r="N146" s="9" t="str">
        <f>IF($J146="","",SUMIFS(SummaryHelper!$F$2:$F$5000,SummaryHelper!$A$2:$A$5000,$I146,SummaryHelper!$B$2:$B$5000,$J146,SummaryHelper!$C$2:$C$5000,$K146))</f>
        <v/>
      </c>
      <c r="O146" s="9" t="str">
        <f>IF($J146="","",SUMIFS(SummaryHelper!$G$2:$G$5000,SummaryHelper!$A$2:$A$5000,$I146,SummaryHelper!$B$2:$B$5000,$J146,SummaryHelper!$C$2:$C$5000,$K146))</f>
        <v/>
      </c>
      <c r="Q146" s="9" t="str">
        <f t="shared" si="24"/>
        <v/>
      </c>
      <c r="R146" s="9" t="str">
        <f t="shared" si="25"/>
        <v/>
      </c>
      <c r="W146" s="9" t="str">
        <f>IF($U146="","",IFERROR(SUMIFS(SummaryHelper!$H$2:$H$5000,SummaryHelper!$A$2:$A$5000,$T146,SummaryHelper!$B$2:$B$5000,$U146,SummaryHelper!$C$2:$C$5000,$V146)/SUMIFS(SummaryHelper!$G$2:$G$5000,SummaryHelper!$A$2:$A$5000,$T146,SummaryHelper!$B$2:$B$5000,$U146,SummaryHelper!$C$2:$C$5000,$V146),""))</f>
        <v/>
      </c>
      <c r="X146" s="9" t="str">
        <f>IF($U146="","",SUMIFS(SummaryHelper!$E$2:$E$5000,SummaryHelper!$A$2:$A$5000,$T146,SummaryHelper!$B$2:$B$5000,$U146,SummaryHelper!$C$2:$C$5000,$V146))</f>
        <v/>
      </c>
      <c r="Y146" s="9" t="str">
        <f>IF($U146="","",SUMIFS(SummaryHelper!$F$2:$F$5000,SummaryHelper!$A$2:$A$5000,$T146,SummaryHelper!$B$2:$B$5000,$U146,SummaryHelper!$C$2:$C$5000,$V146))</f>
        <v/>
      </c>
      <c r="Z146" s="9" t="s">
        <v>489</v>
      </c>
      <c r="AB146" s="9" t="str">
        <f t="shared" si="26"/>
        <v/>
      </c>
      <c r="AC146" s="9" t="str">
        <f t="shared" si="27"/>
        <v/>
      </c>
      <c r="AH146" t="str">
        <f>IF($AF146="","",IFERROR(SUMIFS(SummaryHelper!$H$2:$H$5000,SummaryHelper!$A$2:$A$5000,$AE146,SummaryHelper!$B$2:$B$5000,$AF146,SummaryHelper!$C$2:$C$5000,$AG146)/SUMIFS(SummaryHelper!$G$2:$G$5000,SummaryHelper!$A$2:$A$5000,$AE146,SummaryHelper!$B$2:$B$5000,$AF146,SummaryHelper!$C$2:$C$5000,$AG146),""))</f>
        <v/>
      </c>
      <c r="AI146" t="str">
        <f>IF($AF146="","",SUMIFS(SummaryHelper!$E$2:$E$5000,SummaryHelper!$A$2:$A$5000,$AE146,SummaryHelper!$B$2:$B$5000,$AF146,SummaryHelper!$C$2:$C$5000,$AG146))</f>
        <v/>
      </c>
      <c r="AJ146" t="str">
        <f>IF($AF146="","",SUMIFS(SummaryHelper!$F$2:$F$5000,SummaryHelper!$A$2:$A$5000,$AE146,SummaryHelper!$B$2:$B$5000,$AF146,SummaryHelper!$C$2:$C$5000,$AG146))</f>
        <v/>
      </c>
      <c r="AK146" t="str">
        <f>IF($AF146="","",SUMIFS(SummaryHelper!$G$2:$G$5000,SummaryHelper!$A$2:$A$5000,$AE146,SummaryHelper!$B$2:$B$5000,$AF146,SummaryHelper!$C$2:$C$5000,$AG146))</f>
        <v/>
      </c>
      <c r="AM146" t="str">
        <f t="shared" si="28"/>
        <v/>
      </c>
      <c r="AN146" t="str">
        <f t="shared" si="29"/>
        <v/>
      </c>
    </row>
    <row r="147" spans="1:40" x14ac:dyDescent="0.25">
      <c r="A147" s="12"/>
      <c r="C147" s="9"/>
      <c r="D147" s="9"/>
      <c r="E147" s="9"/>
      <c r="F147" s="9"/>
      <c r="G147" s="9"/>
      <c r="L147" s="9" t="str">
        <f>IF($J147="","",IFERROR(SUMIFS(SummaryHelper!$H$2:$H$5000,SummaryHelper!$A$2:$A$5000,$I147,SummaryHelper!$B$2:$B$5000,$J147,SummaryHelper!$C$2:$C$5000,$K147)/SUMIFS(SummaryHelper!$G$2:$G$5000,SummaryHelper!$A$2:$A$5000,$I147,SummaryHelper!$B$2:$B$5000,$J147,SummaryHelper!$C$2:$C$5000,$K147),""))</f>
        <v/>
      </c>
      <c r="M147" s="9" t="str">
        <f>IF($J147="","",SUMIFS(SummaryHelper!$E$2:$E$5000,SummaryHelper!$A$2:$A$5000,$I147,SummaryHelper!$B$2:$B$5000,$J147,SummaryHelper!$C$2:$C$5000,$K147))</f>
        <v/>
      </c>
      <c r="N147" s="9" t="str">
        <f>IF($J147="","",SUMIFS(SummaryHelper!$F$2:$F$5000,SummaryHelper!$A$2:$A$5000,$I147,SummaryHelper!$B$2:$B$5000,$J147,SummaryHelper!$C$2:$C$5000,$K147))</f>
        <v/>
      </c>
      <c r="O147" s="9" t="str">
        <f>IF($J147="","",SUMIFS(SummaryHelper!$G$2:$G$5000,SummaryHelper!$A$2:$A$5000,$I147,SummaryHelper!$B$2:$B$5000,$J147,SummaryHelper!$C$2:$C$5000,$K147))</f>
        <v/>
      </c>
      <c r="Q147" s="9" t="str">
        <f t="shared" si="24"/>
        <v/>
      </c>
      <c r="R147" s="9" t="str">
        <f t="shared" si="25"/>
        <v/>
      </c>
      <c r="W147" s="9" t="str">
        <f>IF($U147="","",IFERROR(SUMIFS(SummaryHelper!$H$2:$H$5000,SummaryHelper!$A$2:$A$5000,$T147,SummaryHelper!$B$2:$B$5000,$U147,SummaryHelper!$C$2:$C$5000,$V147)/SUMIFS(SummaryHelper!$G$2:$G$5000,SummaryHelper!$A$2:$A$5000,$T147,SummaryHelper!$B$2:$B$5000,$U147,SummaryHelper!$C$2:$C$5000,$V147),""))</f>
        <v/>
      </c>
      <c r="X147" s="9" t="str">
        <f>IF($U147="","",SUMIFS(SummaryHelper!$E$2:$E$5000,SummaryHelper!$A$2:$A$5000,$T147,SummaryHelper!$B$2:$B$5000,$U147,SummaryHelper!$C$2:$C$5000,$V147))</f>
        <v/>
      </c>
      <c r="Y147" s="9" t="str">
        <f>IF($U147="","",SUMIFS(SummaryHelper!$F$2:$F$5000,SummaryHelper!$A$2:$A$5000,$T147,SummaryHelper!$B$2:$B$5000,$U147,SummaryHelper!$C$2:$C$5000,$V147))</f>
        <v/>
      </c>
      <c r="Z147" s="9" t="s">
        <v>489</v>
      </c>
      <c r="AB147" s="9" t="str">
        <f t="shared" si="26"/>
        <v/>
      </c>
      <c r="AC147" s="9" t="str">
        <f t="shared" si="27"/>
        <v/>
      </c>
      <c r="AH147" t="str">
        <f>IF($AF147="","",IFERROR(SUMIFS(SummaryHelper!$H$2:$H$5000,SummaryHelper!$A$2:$A$5000,$AE147,SummaryHelper!$B$2:$B$5000,$AF147,SummaryHelper!$C$2:$C$5000,$AG147)/SUMIFS(SummaryHelper!$G$2:$G$5000,SummaryHelper!$A$2:$A$5000,$AE147,SummaryHelper!$B$2:$B$5000,$AF147,SummaryHelper!$C$2:$C$5000,$AG147),""))</f>
        <v/>
      </c>
      <c r="AI147" t="str">
        <f>IF($AF147="","",SUMIFS(SummaryHelper!$E$2:$E$5000,SummaryHelper!$A$2:$A$5000,$AE147,SummaryHelper!$B$2:$B$5000,$AF147,SummaryHelper!$C$2:$C$5000,$AG147))</f>
        <v/>
      </c>
      <c r="AJ147" t="str">
        <f>IF($AF147="","",SUMIFS(SummaryHelper!$F$2:$F$5000,SummaryHelper!$A$2:$A$5000,$AE147,SummaryHelper!$B$2:$B$5000,$AF147,SummaryHelper!$C$2:$C$5000,$AG147))</f>
        <v/>
      </c>
      <c r="AK147" t="str">
        <f>IF($AF147="","",SUMIFS(SummaryHelper!$G$2:$G$5000,SummaryHelper!$A$2:$A$5000,$AE147,SummaryHelper!$B$2:$B$5000,$AF147,SummaryHelper!$C$2:$C$5000,$AG147))</f>
        <v/>
      </c>
      <c r="AM147" t="str">
        <f t="shared" si="28"/>
        <v/>
      </c>
      <c r="AN147" t="str">
        <f t="shared" si="29"/>
        <v/>
      </c>
    </row>
    <row r="148" spans="1:40" x14ac:dyDescent="0.25">
      <c r="A148" s="12"/>
      <c r="C148" s="9"/>
      <c r="D148" s="9"/>
      <c r="E148" s="9"/>
      <c r="F148" s="9"/>
      <c r="G148" s="9"/>
      <c r="L148" s="9" t="str">
        <f>IF($J148="","",IFERROR(SUMIFS(SummaryHelper!$H$2:$H$5000,SummaryHelper!$A$2:$A$5000,$I148,SummaryHelper!$B$2:$B$5000,$J148,SummaryHelper!$C$2:$C$5000,$K148)/SUMIFS(SummaryHelper!$G$2:$G$5000,SummaryHelper!$A$2:$A$5000,$I148,SummaryHelper!$B$2:$B$5000,$J148,SummaryHelper!$C$2:$C$5000,$K148),""))</f>
        <v/>
      </c>
      <c r="M148" s="9" t="str">
        <f>IF($J148="","",SUMIFS(SummaryHelper!$E$2:$E$5000,SummaryHelper!$A$2:$A$5000,$I148,SummaryHelper!$B$2:$B$5000,$J148,SummaryHelper!$C$2:$C$5000,$K148))</f>
        <v/>
      </c>
      <c r="N148" s="9" t="str">
        <f>IF($J148="","",SUMIFS(SummaryHelper!$F$2:$F$5000,SummaryHelper!$A$2:$A$5000,$I148,SummaryHelper!$B$2:$B$5000,$J148,SummaryHelper!$C$2:$C$5000,$K148))</f>
        <v/>
      </c>
      <c r="O148" s="9" t="str">
        <f>IF($J148="","",SUMIFS(SummaryHelper!$G$2:$G$5000,SummaryHelper!$A$2:$A$5000,$I148,SummaryHelper!$B$2:$B$5000,$J148,SummaryHelper!$C$2:$C$5000,$K148))</f>
        <v/>
      </c>
      <c r="Q148" s="9" t="str">
        <f t="shared" si="24"/>
        <v/>
      </c>
      <c r="R148" s="9" t="str">
        <f t="shared" si="25"/>
        <v/>
      </c>
      <c r="W148" s="9" t="str">
        <f>IF($U148="","",IFERROR(SUMIFS(SummaryHelper!$H$2:$H$5000,SummaryHelper!$A$2:$A$5000,$T148,SummaryHelper!$B$2:$B$5000,$U148,SummaryHelper!$C$2:$C$5000,$V148)/SUMIFS(SummaryHelper!$G$2:$G$5000,SummaryHelper!$A$2:$A$5000,$T148,SummaryHelper!$B$2:$B$5000,$U148,SummaryHelper!$C$2:$C$5000,$V148),""))</f>
        <v/>
      </c>
      <c r="X148" s="9" t="str">
        <f>IF($U148="","",SUMIFS(SummaryHelper!$E$2:$E$5000,SummaryHelper!$A$2:$A$5000,$T148,SummaryHelper!$B$2:$B$5000,$U148,SummaryHelper!$C$2:$C$5000,$V148))</f>
        <v/>
      </c>
      <c r="Y148" s="9" t="str">
        <f>IF($U148="","",SUMIFS(SummaryHelper!$F$2:$F$5000,SummaryHelper!$A$2:$A$5000,$T148,SummaryHelper!$B$2:$B$5000,$U148,SummaryHelper!$C$2:$C$5000,$V148))</f>
        <v/>
      </c>
      <c r="Z148" s="9" t="s">
        <v>489</v>
      </c>
      <c r="AB148" s="9" t="str">
        <f t="shared" si="26"/>
        <v/>
      </c>
      <c r="AC148" s="9" t="str">
        <f t="shared" si="27"/>
        <v/>
      </c>
      <c r="AH148" t="str">
        <f>IF($AF148="","",IFERROR(SUMIFS(SummaryHelper!$H$2:$H$5000,SummaryHelper!$A$2:$A$5000,$AE148,SummaryHelper!$B$2:$B$5000,$AF148,SummaryHelper!$C$2:$C$5000,$AG148)/SUMIFS(SummaryHelper!$G$2:$G$5000,SummaryHelper!$A$2:$A$5000,$AE148,SummaryHelper!$B$2:$B$5000,$AF148,SummaryHelper!$C$2:$C$5000,$AG148),""))</f>
        <v/>
      </c>
      <c r="AI148" t="str">
        <f>IF($AF148="","",SUMIFS(SummaryHelper!$E$2:$E$5000,SummaryHelper!$A$2:$A$5000,$AE148,SummaryHelper!$B$2:$B$5000,$AF148,SummaryHelper!$C$2:$C$5000,$AG148))</f>
        <v/>
      </c>
      <c r="AJ148" t="str">
        <f>IF($AF148="","",SUMIFS(SummaryHelper!$F$2:$F$5000,SummaryHelper!$A$2:$A$5000,$AE148,SummaryHelper!$B$2:$B$5000,$AF148,SummaryHelper!$C$2:$C$5000,$AG148))</f>
        <v/>
      </c>
      <c r="AK148" t="str">
        <f>IF($AF148="","",SUMIFS(SummaryHelper!$G$2:$G$5000,SummaryHelper!$A$2:$A$5000,$AE148,SummaryHelper!$B$2:$B$5000,$AF148,SummaryHelper!$C$2:$C$5000,$AG148))</f>
        <v/>
      </c>
      <c r="AM148" t="str">
        <f t="shared" si="28"/>
        <v/>
      </c>
      <c r="AN148" t="str">
        <f t="shared" si="29"/>
        <v/>
      </c>
    </row>
    <row r="149" spans="1:40" x14ac:dyDescent="0.25">
      <c r="A149" s="12"/>
      <c r="C149" s="9"/>
      <c r="D149" s="9"/>
      <c r="E149" s="9"/>
      <c r="F149" s="9"/>
      <c r="G149" s="9"/>
      <c r="L149" s="9" t="str">
        <f>IF($J149="","",IFERROR(SUMIFS(SummaryHelper!$H$2:$H$5000,SummaryHelper!$A$2:$A$5000,$I149,SummaryHelper!$B$2:$B$5000,$J149,SummaryHelper!$C$2:$C$5000,$K149)/SUMIFS(SummaryHelper!$G$2:$G$5000,SummaryHelper!$A$2:$A$5000,$I149,SummaryHelper!$B$2:$B$5000,$J149,SummaryHelper!$C$2:$C$5000,$K149),""))</f>
        <v/>
      </c>
      <c r="M149" s="9" t="str">
        <f>IF($J149="","",SUMIFS(SummaryHelper!$E$2:$E$5000,SummaryHelper!$A$2:$A$5000,$I149,SummaryHelper!$B$2:$B$5000,$J149,SummaryHelper!$C$2:$C$5000,$K149))</f>
        <v/>
      </c>
      <c r="N149" s="9" t="str">
        <f>IF($J149="","",SUMIFS(SummaryHelper!$F$2:$F$5000,SummaryHelper!$A$2:$A$5000,$I149,SummaryHelper!$B$2:$B$5000,$J149,SummaryHelper!$C$2:$C$5000,$K149))</f>
        <v/>
      </c>
      <c r="O149" s="9" t="str">
        <f>IF($J149="","",SUMIFS(SummaryHelper!$G$2:$G$5000,SummaryHelper!$A$2:$A$5000,$I149,SummaryHelper!$B$2:$B$5000,$J149,SummaryHelper!$C$2:$C$5000,$K149))</f>
        <v/>
      </c>
      <c r="Q149" s="9" t="str">
        <f t="shared" si="24"/>
        <v/>
      </c>
      <c r="R149" s="9" t="str">
        <f t="shared" si="25"/>
        <v/>
      </c>
      <c r="W149" s="9" t="str">
        <f>IF($U149="","",IFERROR(SUMIFS(SummaryHelper!$H$2:$H$5000,SummaryHelper!$A$2:$A$5000,$T149,SummaryHelper!$B$2:$B$5000,$U149,SummaryHelper!$C$2:$C$5000,$V149)/SUMIFS(SummaryHelper!$G$2:$G$5000,SummaryHelper!$A$2:$A$5000,$T149,SummaryHelper!$B$2:$B$5000,$U149,SummaryHelper!$C$2:$C$5000,$V149),""))</f>
        <v/>
      </c>
      <c r="X149" s="9" t="str">
        <f>IF($U149="","",SUMIFS(SummaryHelper!$E$2:$E$5000,SummaryHelper!$A$2:$A$5000,$T149,SummaryHelper!$B$2:$B$5000,$U149,SummaryHelper!$C$2:$C$5000,$V149))</f>
        <v/>
      </c>
      <c r="Y149" s="9" t="str">
        <f>IF($U149="","",SUMIFS(SummaryHelper!$F$2:$F$5000,SummaryHelper!$A$2:$A$5000,$T149,SummaryHelper!$B$2:$B$5000,$U149,SummaryHelper!$C$2:$C$5000,$V149))</f>
        <v/>
      </c>
      <c r="Z149" s="9" t="s">
        <v>489</v>
      </c>
      <c r="AB149" s="9" t="str">
        <f t="shared" si="26"/>
        <v/>
      </c>
      <c r="AC149" s="9" t="str">
        <f t="shared" si="27"/>
        <v/>
      </c>
      <c r="AH149" t="str">
        <f>IF($AF149="","",IFERROR(SUMIFS(SummaryHelper!$H$2:$H$5000,SummaryHelper!$A$2:$A$5000,$AE149,SummaryHelper!$B$2:$B$5000,$AF149,SummaryHelper!$C$2:$C$5000,$AG149)/SUMIFS(SummaryHelper!$G$2:$G$5000,SummaryHelper!$A$2:$A$5000,$AE149,SummaryHelper!$B$2:$B$5000,$AF149,SummaryHelper!$C$2:$C$5000,$AG149),""))</f>
        <v/>
      </c>
      <c r="AI149" t="str">
        <f>IF($AF149="","",SUMIFS(SummaryHelper!$E$2:$E$5000,SummaryHelper!$A$2:$A$5000,$AE149,SummaryHelper!$B$2:$B$5000,$AF149,SummaryHelper!$C$2:$C$5000,$AG149))</f>
        <v/>
      </c>
      <c r="AJ149" t="str">
        <f>IF($AF149="","",SUMIFS(SummaryHelper!$F$2:$F$5000,SummaryHelper!$A$2:$A$5000,$AE149,SummaryHelper!$B$2:$B$5000,$AF149,SummaryHelper!$C$2:$C$5000,$AG149))</f>
        <v/>
      </c>
      <c r="AK149" t="str">
        <f>IF($AF149="","",SUMIFS(SummaryHelper!$G$2:$G$5000,SummaryHelper!$A$2:$A$5000,$AE149,SummaryHelper!$B$2:$B$5000,$AF149,SummaryHelper!$C$2:$C$5000,$AG149))</f>
        <v/>
      </c>
      <c r="AM149" t="str">
        <f t="shared" si="28"/>
        <v/>
      </c>
      <c r="AN149" t="str">
        <f t="shared" si="29"/>
        <v/>
      </c>
    </row>
    <row r="150" spans="1:40" x14ac:dyDescent="0.25">
      <c r="A150" s="12"/>
      <c r="C150" s="9"/>
      <c r="D150" s="9"/>
      <c r="E150" s="9"/>
      <c r="F150" s="9"/>
      <c r="G150" s="9"/>
      <c r="L150" s="9" t="str">
        <f>IF($J150="","",IFERROR(SUMIFS(SummaryHelper!$H$2:$H$5000,SummaryHelper!$A$2:$A$5000,$I150,SummaryHelper!$B$2:$B$5000,$J150,SummaryHelper!$C$2:$C$5000,$K150)/SUMIFS(SummaryHelper!$G$2:$G$5000,SummaryHelper!$A$2:$A$5000,$I150,SummaryHelper!$B$2:$B$5000,$J150,SummaryHelper!$C$2:$C$5000,$K150),""))</f>
        <v/>
      </c>
      <c r="M150" s="9" t="str">
        <f>IF($J150="","",SUMIFS(SummaryHelper!$E$2:$E$5000,SummaryHelper!$A$2:$A$5000,$I150,SummaryHelper!$B$2:$B$5000,$J150,SummaryHelper!$C$2:$C$5000,$K150))</f>
        <v/>
      </c>
      <c r="N150" s="9" t="str">
        <f>IF($J150="","",SUMIFS(SummaryHelper!$F$2:$F$5000,SummaryHelper!$A$2:$A$5000,$I150,SummaryHelper!$B$2:$B$5000,$J150,SummaryHelper!$C$2:$C$5000,$K150))</f>
        <v/>
      </c>
      <c r="O150" s="9" t="str">
        <f>IF($J150="","",SUMIFS(SummaryHelper!$G$2:$G$5000,SummaryHelper!$A$2:$A$5000,$I150,SummaryHelper!$B$2:$B$5000,$J150,SummaryHelper!$C$2:$C$5000,$K150))</f>
        <v/>
      </c>
      <c r="Q150" s="9" t="str">
        <f t="shared" si="24"/>
        <v/>
      </c>
      <c r="R150" s="9" t="str">
        <f t="shared" si="25"/>
        <v/>
      </c>
      <c r="W150" s="9" t="str">
        <f>IF($U150="","",IFERROR(SUMIFS(SummaryHelper!$H$2:$H$5000,SummaryHelper!$A$2:$A$5000,$T150,SummaryHelper!$B$2:$B$5000,$U150,SummaryHelper!$C$2:$C$5000,$V150)/SUMIFS(SummaryHelper!$G$2:$G$5000,SummaryHelper!$A$2:$A$5000,$T150,SummaryHelper!$B$2:$B$5000,$U150,SummaryHelper!$C$2:$C$5000,$V150),""))</f>
        <v/>
      </c>
      <c r="X150" s="9" t="str">
        <f>IF($U150="","",SUMIFS(SummaryHelper!$E$2:$E$5000,SummaryHelper!$A$2:$A$5000,$T150,SummaryHelper!$B$2:$B$5000,$U150,SummaryHelper!$C$2:$C$5000,$V150))</f>
        <v/>
      </c>
      <c r="Y150" s="9" t="str">
        <f>IF($U150="","",SUMIFS(SummaryHelper!$F$2:$F$5000,SummaryHelper!$A$2:$A$5000,$T150,SummaryHelper!$B$2:$B$5000,$U150,SummaryHelper!$C$2:$C$5000,$V150))</f>
        <v/>
      </c>
      <c r="Z150" s="9" t="s">
        <v>489</v>
      </c>
      <c r="AB150" s="9" t="str">
        <f t="shared" si="26"/>
        <v/>
      </c>
      <c r="AC150" s="9" t="str">
        <f t="shared" si="27"/>
        <v/>
      </c>
      <c r="AH150" t="str">
        <f>IF($AF150="","",IFERROR(SUMIFS(SummaryHelper!$H$2:$H$5000,SummaryHelper!$A$2:$A$5000,$AE150,SummaryHelper!$B$2:$B$5000,$AF150,SummaryHelper!$C$2:$C$5000,$AG150)/SUMIFS(SummaryHelper!$G$2:$G$5000,SummaryHelper!$A$2:$A$5000,$AE150,SummaryHelper!$B$2:$B$5000,$AF150,SummaryHelper!$C$2:$C$5000,$AG150),""))</f>
        <v/>
      </c>
      <c r="AI150" t="str">
        <f>IF($AF150="","",SUMIFS(SummaryHelper!$E$2:$E$5000,SummaryHelper!$A$2:$A$5000,$AE150,SummaryHelper!$B$2:$B$5000,$AF150,SummaryHelper!$C$2:$C$5000,$AG150))</f>
        <v/>
      </c>
      <c r="AJ150" t="str">
        <f>IF($AF150="","",SUMIFS(SummaryHelper!$F$2:$F$5000,SummaryHelper!$A$2:$A$5000,$AE150,SummaryHelper!$B$2:$B$5000,$AF150,SummaryHelper!$C$2:$C$5000,$AG150))</f>
        <v/>
      </c>
      <c r="AK150" t="str">
        <f>IF($AF150="","",SUMIFS(SummaryHelper!$G$2:$G$5000,SummaryHelper!$A$2:$A$5000,$AE150,SummaryHelper!$B$2:$B$5000,$AF150,SummaryHelper!$C$2:$C$5000,$AG150))</f>
        <v/>
      </c>
      <c r="AM150" t="str">
        <f t="shared" si="28"/>
        <v/>
      </c>
      <c r="AN150" t="str">
        <f t="shared" si="29"/>
        <v/>
      </c>
    </row>
    <row r="151" spans="1:40" x14ac:dyDescent="0.25">
      <c r="A151" s="12"/>
      <c r="C151" s="9"/>
      <c r="D151" s="9"/>
      <c r="E151" s="9"/>
      <c r="F151" s="9"/>
      <c r="G151" s="9"/>
      <c r="L151" s="9" t="str">
        <f>IF($J151="","",IFERROR(SUMIFS(SummaryHelper!$H$2:$H$5000,SummaryHelper!$A$2:$A$5000,$I151,SummaryHelper!$B$2:$B$5000,$J151,SummaryHelper!$C$2:$C$5000,$K151)/SUMIFS(SummaryHelper!$G$2:$G$5000,SummaryHelper!$A$2:$A$5000,$I151,SummaryHelper!$B$2:$B$5000,$J151,SummaryHelper!$C$2:$C$5000,$K151),""))</f>
        <v/>
      </c>
      <c r="M151" s="9" t="str">
        <f>IF($J151="","",SUMIFS(SummaryHelper!$E$2:$E$5000,SummaryHelper!$A$2:$A$5000,$I151,SummaryHelper!$B$2:$B$5000,$J151,SummaryHelper!$C$2:$C$5000,$K151))</f>
        <v/>
      </c>
      <c r="N151" s="9" t="str">
        <f>IF($J151="","",SUMIFS(SummaryHelper!$F$2:$F$5000,SummaryHelper!$A$2:$A$5000,$I151,SummaryHelper!$B$2:$B$5000,$J151,SummaryHelper!$C$2:$C$5000,$K151))</f>
        <v/>
      </c>
      <c r="O151" s="9" t="str">
        <f>IF($J151="","",SUMIFS(SummaryHelper!$G$2:$G$5000,SummaryHelper!$A$2:$A$5000,$I151,SummaryHelper!$B$2:$B$5000,$J151,SummaryHelper!$C$2:$C$5000,$K151))</f>
        <v/>
      </c>
      <c r="Q151" s="9" t="str">
        <f t="shared" si="24"/>
        <v/>
      </c>
      <c r="R151" s="9" t="str">
        <f t="shared" si="25"/>
        <v/>
      </c>
      <c r="W151" s="9" t="str">
        <f>IF($U151="","",IFERROR(SUMIFS(SummaryHelper!$H$2:$H$5000,SummaryHelper!$A$2:$A$5000,$T151,SummaryHelper!$B$2:$B$5000,$U151,SummaryHelper!$C$2:$C$5000,$V151)/SUMIFS(SummaryHelper!$G$2:$G$5000,SummaryHelper!$A$2:$A$5000,$T151,SummaryHelper!$B$2:$B$5000,$U151,SummaryHelper!$C$2:$C$5000,$V151),""))</f>
        <v/>
      </c>
      <c r="X151" s="9" t="str">
        <f>IF($U151="","",SUMIFS(SummaryHelper!$E$2:$E$5000,SummaryHelper!$A$2:$A$5000,$T151,SummaryHelper!$B$2:$B$5000,$U151,SummaryHelper!$C$2:$C$5000,$V151))</f>
        <v/>
      </c>
      <c r="Y151" s="9" t="str">
        <f>IF($U151="","",SUMIFS(SummaryHelper!$F$2:$F$5000,SummaryHelper!$A$2:$A$5000,$T151,SummaryHelper!$B$2:$B$5000,$U151,SummaryHelper!$C$2:$C$5000,$V151))</f>
        <v/>
      </c>
      <c r="Z151" s="9" t="s">
        <v>489</v>
      </c>
      <c r="AB151" s="9" t="str">
        <f t="shared" si="26"/>
        <v/>
      </c>
      <c r="AC151" s="9" t="str">
        <f t="shared" si="27"/>
        <v/>
      </c>
      <c r="AH151" t="str">
        <f>IF($AF151="","",IFERROR(SUMIFS(SummaryHelper!$H$2:$H$5000,SummaryHelper!$A$2:$A$5000,$AE151,SummaryHelper!$B$2:$B$5000,$AF151,SummaryHelper!$C$2:$C$5000,$AG151)/SUMIFS(SummaryHelper!$G$2:$G$5000,SummaryHelper!$A$2:$A$5000,$AE151,SummaryHelper!$B$2:$B$5000,$AF151,SummaryHelper!$C$2:$C$5000,$AG151),""))</f>
        <v/>
      </c>
      <c r="AI151" t="str">
        <f>IF($AF151="","",SUMIFS(SummaryHelper!$E$2:$E$5000,SummaryHelper!$A$2:$A$5000,$AE151,SummaryHelper!$B$2:$B$5000,$AF151,SummaryHelper!$C$2:$C$5000,$AG151))</f>
        <v/>
      </c>
      <c r="AJ151" t="str">
        <f>IF($AF151="","",SUMIFS(SummaryHelper!$F$2:$F$5000,SummaryHelper!$A$2:$A$5000,$AE151,SummaryHelper!$B$2:$B$5000,$AF151,SummaryHelper!$C$2:$C$5000,$AG151))</f>
        <v/>
      </c>
      <c r="AK151" t="str">
        <f>IF($AF151="","",SUMIFS(SummaryHelper!$G$2:$G$5000,SummaryHelper!$A$2:$A$5000,$AE151,SummaryHelper!$B$2:$B$5000,$AF151,SummaryHelper!$C$2:$C$5000,$AG151))</f>
        <v/>
      </c>
      <c r="AM151" t="str">
        <f t="shared" si="28"/>
        <v/>
      </c>
      <c r="AN151" t="str">
        <f t="shared" si="29"/>
        <v/>
      </c>
    </row>
    <row r="152" spans="1:40" x14ac:dyDescent="0.25">
      <c r="A152" s="12"/>
      <c r="C152" s="9"/>
      <c r="D152" s="9"/>
      <c r="E152" s="9"/>
      <c r="F152" s="9"/>
      <c r="G152" s="9"/>
      <c r="L152" s="9" t="str">
        <f>IF($J152="","",IFERROR(SUMIFS(SummaryHelper!$H$2:$H$5000,SummaryHelper!$A$2:$A$5000,$I152,SummaryHelper!$B$2:$B$5000,$J152,SummaryHelper!$C$2:$C$5000,$K152)/SUMIFS(SummaryHelper!$G$2:$G$5000,SummaryHelper!$A$2:$A$5000,$I152,SummaryHelper!$B$2:$B$5000,$J152,SummaryHelper!$C$2:$C$5000,$K152),""))</f>
        <v/>
      </c>
      <c r="M152" s="9" t="str">
        <f>IF($J152="","",SUMIFS(SummaryHelper!$E$2:$E$5000,SummaryHelper!$A$2:$A$5000,$I152,SummaryHelper!$B$2:$B$5000,$J152,SummaryHelper!$C$2:$C$5000,$K152))</f>
        <v/>
      </c>
      <c r="N152" s="9" t="str">
        <f>IF($J152="","",SUMIFS(SummaryHelper!$F$2:$F$5000,SummaryHelper!$A$2:$A$5000,$I152,SummaryHelper!$B$2:$B$5000,$J152,SummaryHelper!$C$2:$C$5000,$K152))</f>
        <v/>
      </c>
      <c r="O152" s="9" t="str">
        <f>IF($J152="","",SUMIFS(SummaryHelper!$G$2:$G$5000,SummaryHelper!$A$2:$A$5000,$I152,SummaryHelper!$B$2:$B$5000,$J152,SummaryHelper!$C$2:$C$5000,$K152))</f>
        <v/>
      </c>
      <c r="Q152" s="9" t="str">
        <f t="shared" si="24"/>
        <v/>
      </c>
      <c r="R152" s="9" t="str">
        <f t="shared" si="25"/>
        <v/>
      </c>
      <c r="W152" s="9" t="str">
        <f>IF($U152="","",IFERROR(SUMIFS(SummaryHelper!$H$2:$H$5000,SummaryHelper!$A$2:$A$5000,$T152,SummaryHelper!$B$2:$B$5000,$U152,SummaryHelper!$C$2:$C$5000,$V152)/SUMIFS(SummaryHelper!$G$2:$G$5000,SummaryHelper!$A$2:$A$5000,$T152,SummaryHelper!$B$2:$B$5000,$U152,SummaryHelper!$C$2:$C$5000,$V152),""))</f>
        <v/>
      </c>
      <c r="X152" s="9" t="str">
        <f>IF($U152="","",SUMIFS(SummaryHelper!$E$2:$E$5000,SummaryHelper!$A$2:$A$5000,$T152,SummaryHelper!$B$2:$B$5000,$U152,SummaryHelper!$C$2:$C$5000,$V152))</f>
        <v/>
      </c>
      <c r="Y152" s="9" t="str">
        <f>IF($U152="","",SUMIFS(SummaryHelper!$F$2:$F$5000,SummaryHelper!$A$2:$A$5000,$T152,SummaryHelper!$B$2:$B$5000,$U152,SummaryHelper!$C$2:$C$5000,$V152))</f>
        <v/>
      </c>
      <c r="Z152" s="9" t="s">
        <v>489</v>
      </c>
      <c r="AB152" s="9" t="str">
        <f t="shared" si="26"/>
        <v/>
      </c>
      <c r="AC152" s="9" t="str">
        <f t="shared" si="27"/>
        <v/>
      </c>
      <c r="AH152" t="str">
        <f>IF($AF152="","",IFERROR(SUMIFS(SummaryHelper!$H$2:$H$5000,SummaryHelper!$A$2:$A$5000,$AE152,SummaryHelper!$B$2:$B$5000,$AF152,SummaryHelper!$C$2:$C$5000,$AG152)/SUMIFS(SummaryHelper!$G$2:$G$5000,SummaryHelper!$A$2:$A$5000,$AE152,SummaryHelper!$B$2:$B$5000,$AF152,SummaryHelper!$C$2:$C$5000,$AG152),""))</f>
        <v/>
      </c>
      <c r="AI152" t="str">
        <f>IF($AF152="","",SUMIFS(SummaryHelper!$E$2:$E$5000,SummaryHelper!$A$2:$A$5000,$AE152,SummaryHelper!$B$2:$B$5000,$AF152,SummaryHelper!$C$2:$C$5000,$AG152))</f>
        <v/>
      </c>
      <c r="AJ152" t="str">
        <f>IF($AF152="","",SUMIFS(SummaryHelper!$F$2:$F$5000,SummaryHelper!$A$2:$A$5000,$AE152,SummaryHelper!$B$2:$B$5000,$AF152,SummaryHelper!$C$2:$C$5000,$AG152))</f>
        <v/>
      </c>
      <c r="AK152" t="str">
        <f>IF($AF152="","",SUMIFS(SummaryHelper!$G$2:$G$5000,SummaryHelper!$A$2:$A$5000,$AE152,SummaryHelper!$B$2:$B$5000,$AF152,SummaryHelper!$C$2:$C$5000,$AG152))</f>
        <v/>
      </c>
      <c r="AM152" t="str">
        <f t="shared" si="28"/>
        <v/>
      </c>
      <c r="AN152" t="str">
        <f t="shared" si="29"/>
        <v/>
      </c>
    </row>
    <row r="153" spans="1:40" x14ac:dyDescent="0.25">
      <c r="A153" s="12"/>
      <c r="C153" s="9"/>
      <c r="D153" s="9"/>
      <c r="E153" s="9"/>
      <c r="F153" s="9"/>
      <c r="G153" s="9"/>
      <c r="L153" s="9" t="str">
        <f>IF($J153="","",IFERROR(SUMIFS(SummaryHelper!$H$2:$H$5000,SummaryHelper!$A$2:$A$5000,$I153,SummaryHelper!$B$2:$B$5000,$J153,SummaryHelper!$C$2:$C$5000,$K153)/SUMIFS(SummaryHelper!$G$2:$G$5000,SummaryHelper!$A$2:$A$5000,$I153,SummaryHelper!$B$2:$B$5000,$J153,SummaryHelper!$C$2:$C$5000,$K153),""))</f>
        <v/>
      </c>
      <c r="M153" s="9" t="str">
        <f>IF($J153="","",SUMIFS(SummaryHelper!$E$2:$E$5000,SummaryHelper!$A$2:$A$5000,$I153,SummaryHelper!$B$2:$B$5000,$J153,SummaryHelper!$C$2:$C$5000,$K153))</f>
        <v/>
      </c>
      <c r="N153" s="9" t="str">
        <f>IF($J153="","",SUMIFS(SummaryHelper!$F$2:$F$5000,SummaryHelper!$A$2:$A$5000,$I153,SummaryHelper!$B$2:$B$5000,$J153,SummaryHelper!$C$2:$C$5000,$K153))</f>
        <v/>
      </c>
      <c r="O153" s="9" t="str">
        <f>IF($J153="","",SUMIFS(SummaryHelper!$G$2:$G$5000,SummaryHelper!$A$2:$A$5000,$I153,SummaryHelper!$B$2:$B$5000,$J153,SummaryHelper!$C$2:$C$5000,$K153))</f>
        <v/>
      </c>
      <c r="Q153" s="9" t="str">
        <f t="shared" si="24"/>
        <v/>
      </c>
      <c r="R153" s="9" t="str">
        <f t="shared" si="25"/>
        <v/>
      </c>
      <c r="W153" s="9" t="str">
        <f>IF($U153="","",IFERROR(SUMIFS(SummaryHelper!$H$2:$H$5000,SummaryHelper!$A$2:$A$5000,$T153,SummaryHelper!$B$2:$B$5000,$U153,SummaryHelper!$C$2:$C$5000,$V153)/SUMIFS(SummaryHelper!$G$2:$G$5000,SummaryHelper!$A$2:$A$5000,$T153,SummaryHelper!$B$2:$B$5000,$U153,SummaryHelper!$C$2:$C$5000,$V153),""))</f>
        <v/>
      </c>
      <c r="X153" s="9" t="str">
        <f>IF($U153="","",SUMIFS(SummaryHelper!$E$2:$E$5000,SummaryHelper!$A$2:$A$5000,$T153,SummaryHelper!$B$2:$B$5000,$U153,SummaryHelper!$C$2:$C$5000,$V153))</f>
        <v/>
      </c>
      <c r="Y153" s="9" t="str">
        <f>IF($U153="","",SUMIFS(SummaryHelper!$F$2:$F$5000,SummaryHelper!$A$2:$A$5000,$T153,SummaryHelper!$B$2:$B$5000,$U153,SummaryHelper!$C$2:$C$5000,$V153))</f>
        <v/>
      </c>
      <c r="Z153" s="9" t="s">
        <v>489</v>
      </c>
      <c r="AB153" s="9" t="str">
        <f t="shared" si="26"/>
        <v/>
      </c>
      <c r="AC153" s="9" t="str">
        <f t="shared" si="27"/>
        <v/>
      </c>
      <c r="AH153" t="str">
        <f>IF($AF153="","",IFERROR(SUMIFS(SummaryHelper!$H$2:$H$5000,SummaryHelper!$A$2:$A$5000,$AE153,SummaryHelper!$B$2:$B$5000,$AF153,SummaryHelper!$C$2:$C$5000,$AG153)/SUMIFS(SummaryHelper!$G$2:$G$5000,SummaryHelper!$A$2:$A$5000,$AE153,SummaryHelper!$B$2:$B$5000,$AF153,SummaryHelper!$C$2:$C$5000,$AG153),""))</f>
        <v/>
      </c>
      <c r="AI153" t="str">
        <f>IF($AF153="","",SUMIFS(SummaryHelper!$E$2:$E$5000,SummaryHelper!$A$2:$A$5000,$AE153,SummaryHelper!$B$2:$B$5000,$AF153,SummaryHelper!$C$2:$C$5000,$AG153))</f>
        <v/>
      </c>
      <c r="AJ153" t="str">
        <f>IF($AF153="","",SUMIFS(SummaryHelper!$F$2:$F$5000,SummaryHelper!$A$2:$A$5000,$AE153,SummaryHelper!$B$2:$B$5000,$AF153,SummaryHelper!$C$2:$C$5000,$AG153))</f>
        <v/>
      </c>
      <c r="AK153" t="str">
        <f>IF($AF153="","",SUMIFS(SummaryHelper!$G$2:$G$5000,SummaryHelper!$A$2:$A$5000,$AE153,SummaryHelper!$B$2:$B$5000,$AF153,SummaryHelper!$C$2:$C$5000,$AG153))</f>
        <v/>
      </c>
      <c r="AM153" t="str">
        <f t="shared" si="28"/>
        <v/>
      </c>
      <c r="AN153" t="str">
        <f t="shared" si="29"/>
        <v/>
      </c>
    </row>
    <row r="154" spans="1:40" x14ac:dyDescent="0.25">
      <c r="A154" s="12"/>
      <c r="C154" s="9"/>
      <c r="D154" s="9"/>
      <c r="E154" s="9"/>
      <c r="F154" s="9"/>
      <c r="G154" s="9"/>
      <c r="L154" s="9" t="str">
        <f>IF($J154="","",IFERROR(SUMIFS(SummaryHelper!$H$2:$H$5000,SummaryHelper!$A$2:$A$5000,$I154,SummaryHelper!$B$2:$B$5000,$J154,SummaryHelper!$C$2:$C$5000,$K154)/SUMIFS(SummaryHelper!$G$2:$G$5000,SummaryHelper!$A$2:$A$5000,$I154,SummaryHelper!$B$2:$B$5000,$J154,SummaryHelper!$C$2:$C$5000,$K154),""))</f>
        <v/>
      </c>
      <c r="M154" s="9" t="str">
        <f>IF($J154="","",SUMIFS(SummaryHelper!$E$2:$E$5000,SummaryHelper!$A$2:$A$5000,$I154,SummaryHelper!$B$2:$B$5000,$J154,SummaryHelper!$C$2:$C$5000,$K154))</f>
        <v/>
      </c>
      <c r="N154" s="9" t="str">
        <f>IF($J154="","",SUMIFS(SummaryHelper!$F$2:$F$5000,SummaryHelper!$A$2:$A$5000,$I154,SummaryHelper!$B$2:$B$5000,$J154,SummaryHelper!$C$2:$C$5000,$K154))</f>
        <v/>
      </c>
      <c r="O154" s="9" t="str">
        <f>IF($J154="","",SUMIFS(SummaryHelper!$G$2:$G$5000,SummaryHelper!$A$2:$A$5000,$I154,SummaryHelper!$B$2:$B$5000,$J154,SummaryHelper!$C$2:$C$5000,$K154))</f>
        <v/>
      </c>
      <c r="Q154" s="9" t="str">
        <f t="shared" si="24"/>
        <v/>
      </c>
      <c r="R154" s="9" t="str">
        <f t="shared" si="25"/>
        <v/>
      </c>
      <c r="W154" s="9" t="str">
        <f>IF($U154="","",IFERROR(SUMIFS(SummaryHelper!$H$2:$H$5000,SummaryHelper!$A$2:$A$5000,$T154,SummaryHelper!$B$2:$B$5000,$U154,SummaryHelper!$C$2:$C$5000,$V154)/SUMIFS(SummaryHelper!$G$2:$G$5000,SummaryHelper!$A$2:$A$5000,$T154,SummaryHelper!$B$2:$B$5000,$U154,SummaryHelper!$C$2:$C$5000,$V154),""))</f>
        <v/>
      </c>
      <c r="X154" s="9" t="str">
        <f>IF($U154="","",SUMIFS(SummaryHelper!$E$2:$E$5000,SummaryHelper!$A$2:$A$5000,$T154,SummaryHelper!$B$2:$B$5000,$U154,SummaryHelper!$C$2:$C$5000,$V154))</f>
        <v/>
      </c>
      <c r="Y154" s="9" t="str">
        <f>IF($U154="","",SUMIFS(SummaryHelper!$F$2:$F$5000,SummaryHelper!$A$2:$A$5000,$T154,SummaryHelper!$B$2:$B$5000,$U154,SummaryHelper!$C$2:$C$5000,$V154))</f>
        <v/>
      </c>
      <c r="Z154" s="9" t="s">
        <v>489</v>
      </c>
      <c r="AB154" s="9" t="str">
        <f t="shared" si="26"/>
        <v/>
      </c>
      <c r="AC154" s="9" t="str">
        <f t="shared" si="27"/>
        <v/>
      </c>
      <c r="AH154" t="str">
        <f>IF($AF154="","",IFERROR(SUMIFS(SummaryHelper!$H$2:$H$5000,SummaryHelper!$A$2:$A$5000,$AE154,SummaryHelper!$B$2:$B$5000,$AF154,SummaryHelper!$C$2:$C$5000,$AG154)/SUMIFS(SummaryHelper!$G$2:$G$5000,SummaryHelper!$A$2:$A$5000,$AE154,SummaryHelper!$B$2:$B$5000,$AF154,SummaryHelper!$C$2:$C$5000,$AG154),""))</f>
        <v/>
      </c>
      <c r="AI154" t="str">
        <f>IF($AF154="","",SUMIFS(SummaryHelper!$E$2:$E$5000,SummaryHelper!$A$2:$A$5000,$AE154,SummaryHelper!$B$2:$B$5000,$AF154,SummaryHelper!$C$2:$C$5000,$AG154))</f>
        <v/>
      </c>
      <c r="AJ154" t="str">
        <f>IF($AF154="","",SUMIFS(SummaryHelper!$F$2:$F$5000,SummaryHelper!$A$2:$A$5000,$AE154,SummaryHelper!$B$2:$B$5000,$AF154,SummaryHelper!$C$2:$C$5000,$AG154))</f>
        <v/>
      </c>
      <c r="AK154" t="str">
        <f>IF($AF154="","",SUMIFS(SummaryHelper!$G$2:$G$5000,SummaryHelper!$A$2:$A$5000,$AE154,SummaryHelper!$B$2:$B$5000,$AF154,SummaryHelper!$C$2:$C$5000,$AG154))</f>
        <v/>
      </c>
      <c r="AM154" t="str">
        <f t="shared" si="28"/>
        <v/>
      </c>
      <c r="AN154" t="str">
        <f t="shared" si="29"/>
        <v/>
      </c>
    </row>
    <row r="155" spans="1:40" x14ac:dyDescent="0.25">
      <c r="A155" s="12"/>
      <c r="C155" s="9"/>
      <c r="D155" s="9"/>
      <c r="E155" s="9"/>
      <c r="F155" s="9"/>
      <c r="G155" s="9"/>
      <c r="L155" s="9" t="str">
        <f>IF($J155="","",IFERROR(SUMIFS(SummaryHelper!$H$2:$H$5000,SummaryHelper!$A$2:$A$5000,$I155,SummaryHelper!$B$2:$B$5000,$J155,SummaryHelper!$C$2:$C$5000,$K155)/SUMIFS(SummaryHelper!$G$2:$G$5000,SummaryHelper!$A$2:$A$5000,$I155,SummaryHelper!$B$2:$B$5000,$J155,SummaryHelper!$C$2:$C$5000,$K155),""))</f>
        <v/>
      </c>
      <c r="M155" s="9" t="str">
        <f>IF($J155="","",SUMIFS(SummaryHelper!$E$2:$E$5000,SummaryHelper!$A$2:$A$5000,$I155,SummaryHelper!$B$2:$B$5000,$J155,SummaryHelper!$C$2:$C$5000,$K155))</f>
        <v/>
      </c>
      <c r="N155" s="9" t="str">
        <f>IF($J155="","",SUMIFS(SummaryHelper!$F$2:$F$5000,SummaryHelper!$A$2:$A$5000,$I155,SummaryHelper!$B$2:$B$5000,$J155,SummaryHelper!$C$2:$C$5000,$K155))</f>
        <v/>
      </c>
      <c r="O155" s="9" t="str">
        <f>IF($J155="","",SUMIFS(SummaryHelper!$G$2:$G$5000,SummaryHelper!$A$2:$A$5000,$I155,SummaryHelper!$B$2:$B$5000,$J155,SummaryHelper!$C$2:$C$5000,$K155))</f>
        <v/>
      </c>
      <c r="Q155" s="9" t="str">
        <f t="shared" si="24"/>
        <v/>
      </c>
      <c r="R155" s="9" t="str">
        <f t="shared" si="25"/>
        <v/>
      </c>
      <c r="W155" s="9" t="str">
        <f>IF($U155="","",IFERROR(SUMIFS(SummaryHelper!$H$2:$H$5000,SummaryHelper!$A$2:$A$5000,$T155,SummaryHelper!$B$2:$B$5000,$U155,SummaryHelper!$C$2:$C$5000,$V155)/SUMIFS(SummaryHelper!$G$2:$G$5000,SummaryHelper!$A$2:$A$5000,$T155,SummaryHelper!$B$2:$B$5000,$U155,SummaryHelper!$C$2:$C$5000,$V155),""))</f>
        <v/>
      </c>
      <c r="X155" s="9" t="str">
        <f>IF($U155="","",SUMIFS(SummaryHelper!$E$2:$E$5000,SummaryHelper!$A$2:$A$5000,$T155,SummaryHelper!$B$2:$B$5000,$U155,SummaryHelper!$C$2:$C$5000,$V155))</f>
        <v/>
      </c>
      <c r="Y155" s="9" t="str">
        <f>IF($U155="","",SUMIFS(SummaryHelper!$F$2:$F$5000,SummaryHelper!$A$2:$A$5000,$T155,SummaryHelper!$B$2:$B$5000,$U155,SummaryHelper!$C$2:$C$5000,$V155))</f>
        <v/>
      </c>
      <c r="Z155" s="9" t="s">
        <v>489</v>
      </c>
      <c r="AB155" s="9" t="str">
        <f t="shared" si="26"/>
        <v/>
      </c>
      <c r="AC155" s="9" t="str">
        <f t="shared" si="27"/>
        <v/>
      </c>
      <c r="AH155" t="str">
        <f>IF($AF155="","",IFERROR(SUMIFS(SummaryHelper!$H$2:$H$5000,SummaryHelper!$A$2:$A$5000,$AE155,SummaryHelper!$B$2:$B$5000,$AF155,SummaryHelper!$C$2:$C$5000,$AG155)/SUMIFS(SummaryHelper!$G$2:$G$5000,SummaryHelper!$A$2:$A$5000,$AE155,SummaryHelper!$B$2:$B$5000,$AF155,SummaryHelper!$C$2:$C$5000,$AG155),""))</f>
        <v/>
      </c>
      <c r="AI155" t="str">
        <f>IF($AF155="","",SUMIFS(SummaryHelper!$E$2:$E$5000,SummaryHelper!$A$2:$A$5000,$AE155,SummaryHelper!$B$2:$B$5000,$AF155,SummaryHelper!$C$2:$C$5000,$AG155))</f>
        <v/>
      </c>
      <c r="AJ155" t="str">
        <f>IF($AF155="","",SUMIFS(SummaryHelper!$F$2:$F$5000,SummaryHelper!$A$2:$A$5000,$AE155,SummaryHelper!$B$2:$B$5000,$AF155,SummaryHelper!$C$2:$C$5000,$AG155))</f>
        <v/>
      </c>
      <c r="AK155" t="str">
        <f>IF($AF155="","",SUMIFS(SummaryHelper!$G$2:$G$5000,SummaryHelper!$A$2:$A$5000,$AE155,SummaryHelper!$B$2:$B$5000,$AF155,SummaryHelper!$C$2:$C$5000,$AG155))</f>
        <v/>
      </c>
      <c r="AM155" t="str">
        <f t="shared" si="28"/>
        <v/>
      </c>
      <c r="AN155" t="str">
        <f t="shared" si="29"/>
        <v/>
      </c>
    </row>
    <row r="156" spans="1:40" x14ac:dyDescent="0.25">
      <c r="A156" s="12"/>
      <c r="C156" s="9"/>
      <c r="D156" s="9"/>
      <c r="E156" s="9"/>
      <c r="F156" s="9"/>
      <c r="G156" s="9"/>
      <c r="L156" s="9" t="str">
        <f>IF($J156="","",IFERROR(SUMIFS(SummaryHelper!$H$2:$H$5000,SummaryHelper!$A$2:$A$5000,$I156,SummaryHelper!$B$2:$B$5000,$J156,SummaryHelper!$C$2:$C$5000,$K156)/SUMIFS(SummaryHelper!$G$2:$G$5000,SummaryHelper!$A$2:$A$5000,$I156,SummaryHelper!$B$2:$B$5000,$J156,SummaryHelper!$C$2:$C$5000,$K156),""))</f>
        <v/>
      </c>
      <c r="M156" s="9" t="str">
        <f>IF($J156="","",SUMIFS(SummaryHelper!$E$2:$E$5000,SummaryHelper!$A$2:$A$5000,$I156,SummaryHelper!$B$2:$B$5000,$J156,SummaryHelper!$C$2:$C$5000,$K156))</f>
        <v/>
      </c>
      <c r="N156" s="9" t="str">
        <f>IF($J156="","",SUMIFS(SummaryHelper!$F$2:$F$5000,SummaryHelper!$A$2:$A$5000,$I156,SummaryHelper!$B$2:$B$5000,$J156,SummaryHelper!$C$2:$C$5000,$K156))</f>
        <v/>
      </c>
      <c r="O156" s="9" t="str">
        <f>IF($J156="","",SUMIFS(SummaryHelper!$G$2:$G$5000,SummaryHelper!$A$2:$A$5000,$I156,SummaryHelper!$B$2:$B$5000,$J156,SummaryHelper!$C$2:$C$5000,$K156))</f>
        <v/>
      </c>
      <c r="Q156" s="9" t="str">
        <f t="shared" si="24"/>
        <v/>
      </c>
      <c r="R156" s="9" t="str">
        <f t="shared" si="25"/>
        <v/>
      </c>
      <c r="W156" s="9" t="str">
        <f>IF($U156="","",IFERROR(SUMIFS(SummaryHelper!$H$2:$H$5000,SummaryHelper!$A$2:$A$5000,$T156,SummaryHelper!$B$2:$B$5000,$U156,SummaryHelper!$C$2:$C$5000,$V156)/SUMIFS(SummaryHelper!$G$2:$G$5000,SummaryHelper!$A$2:$A$5000,$T156,SummaryHelper!$B$2:$B$5000,$U156,SummaryHelper!$C$2:$C$5000,$V156),""))</f>
        <v/>
      </c>
      <c r="X156" s="9" t="str">
        <f>IF($U156="","",SUMIFS(SummaryHelper!$E$2:$E$5000,SummaryHelper!$A$2:$A$5000,$T156,SummaryHelper!$B$2:$B$5000,$U156,SummaryHelper!$C$2:$C$5000,$V156))</f>
        <v/>
      </c>
      <c r="Y156" s="9" t="str">
        <f>IF($U156="","",SUMIFS(SummaryHelper!$F$2:$F$5000,SummaryHelper!$A$2:$A$5000,$T156,SummaryHelper!$B$2:$B$5000,$U156,SummaryHelper!$C$2:$C$5000,$V156))</f>
        <v/>
      </c>
      <c r="Z156" s="9" t="s">
        <v>489</v>
      </c>
      <c r="AB156" s="9" t="str">
        <f t="shared" si="26"/>
        <v/>
      </c>
      <c r="AC156" s="9" t="str">
        <f t="shared" si="27"/>
        <v/>
      </c>
      <c r="AH156" t="str">
        <f>IF($AF156="","",IFERROR(SUMIFS(SummaryHelper!$H$2:$H$5000,SummaryHelper!$A$2:$A$5000,$AE156,SummaryHelper!$B$2:$B$5000,$AF156,SummaryHelper!$C$2:$C$5000,$AG156)/SUMIFS(SummaryHelper!$G$2:$G$5000,SummaryHelper!$A$2:$A$5000,$AE156,SummaryHelper!$B$2:$B$5000,$AF156,SummaryHelper!$C$2:$C$5000,$AG156),""))</f>
        <v/>
      </c>
      <c r="AI156" t="str">
        <f>IF($AF156="","",SUMIFS(SummaryHelper!$E$2:$E$5000,SummaryHelper!$A$2:$A$5000,$AE156,SummaryHelper!$B$2:$B$5000,$AF156,SummaryHelper!$C$2:$C$5000,$AG156))</f>
        <v/>
      </c>
      <c r="AJ156" t="str">
        <f>IF($AF156="","",SUMIFS(SummaryHelper!$F$2:$F$5000,SummaryHelper!$A$2:$A$5000,$AE156,SummaryHelper!$B$2:$B$5000,$AF156,SummaryHelper!$C$2:$C$5000,$AG156))</f>
        <v/>
      </c>
      <c r="AK156" t="str">
        <f>IF($AF156="","",SUMIFS(SummaryHelper!$G$2:$G$5000,SummaryHelper!$A$2:$A$5000,$AE156,SummaryHelper!$B$2:$B$5000,$AF156,SummaryHelper!$C$2:$C$5000,$AG156))</f>
        <v/>
      </c>
      <c r="AM156" t="str">
        <f t="shared" si="28"/>
        <v/>
      </c>
      <c r="AN156" t="str">
        <f t="shared" si="29"/>
        <v/>
      </c>
    </row>
    <row r="157" spans="1:40" x14ac:dyDescent="0.25">
      <c r="A157" s="12"/>
      <c r="C157" s="9"/>
      <c r="D157" s="9"/>
      <c r="E157" s="9"/>
      <c r="F157" s="9"/>
      <c r="G157" s="9"/>
      <c r="L157" s="9" t="str">
        <f>IF($J157="","",IFERROR(SUMIFS(SummaryHelper!$H$2:$H$5000,SummaryHelper!$A$2:$A$5000,$I157,SummaryHelper!$B$2:$B$5000,$J157,SummaryHelper!$C$2:$C$5000,$K157)/SUMIFS(SummaryHelper!$G$2:$G$5000,SummaryHelper!$A$2:$A$5000,$I157,SummaryHelper!$B$2:$B$5000,$J157,SummaryHelper!$C$2:$C$5000,$K157),""))</f>
        <v/>
      </c>
      <c r="M157" s="9" t="str">
        <f>IF($J157="","",SUMIFS(SummaryHelper!$E$2:$E$5000,SummaryHelper!$A$2:$A$5000,$I157,SummaryHelper!$B$2:$B$5000,$J157,SummaryHelper!$C$2:$C$5000,$K157))</f>
        <v/>
      </c>
      <c r="N157" s="9" t="str">
        <f>IF($J157="","",SUMIFS(SummaryHelper!$F$2:$F$5000,SummaryHelper!$A$2:$A$5000,$I157,SummaryHelper!$B$2:$B$5000,$J157,SummaryHelper!$C$2:$C$5000,$K157))</f>
        <v/>
      </c>
      <c r="O157" s="9" t="str">
        <f>IF($J157="","",SUMIFS(SummaryHelper!$G$2:$G$5000,SummaryHelper!$A$2:$A$5000,$I157,SummaryHelper!$B$2:$B$5000,$J157,SummaryHelper!$C$2:$C$5000,$K157))</f>
        <v/>
      </c>
      <c r="Q157" s="9" t="str">
        <f t="shared" si="24"/>
        <v/>
      </c>
      <c r="R157" s="9" t="str">
        <f t="shared" si="25"/>
        <v/>
      </c>
      <c r="W157" s="9" t="str">
        <f>IF($U157="","",IFERROR(SUMIFS(SummaryHelper!$H$2:$H$5000,SummaryHelper!$A$2:$A$5000,$T157,SummaryHelper!$B$2:$B$5000,$U157,SummaryHelper!$C$2:$C$5000,$V157)/SUMIFS(SummaryHelper!$G$2:$G$5000,SummaryHelper!$A$2:$A$5000,$T157,SummaryHelper!$B$2:$B$5000,$U157,SummaryHelper!$C$2:$C$5000,$V157),""))</f>
        <v/>
      </c>
      <c r="X157" s="9" t="str">
        <f>IF($U157="","",SUMIFS(SummaryHelper!$E$2:$E$5000,SummaryHelper!$A$2:$A$5000,$T157,SummaryHelper!$B$2:$B$5000,$U157,SummaryHelper!$C$2:$C$5000,$V157))</f>
        <v/>
      </c>
      <c r="Y157" s="9" t="str">
        <f>IF($U157="","",SUMIFS(SummaryHelper!$F$2:$F$5000,SummaryHelper!$A$2:$A$5000,$T157,SummaryHelper!$B$2:$B$5000,$U157,SummaryHelper!$C$2:$C$5000,$V157))</f>
        <v/>
      </c>
      <c r="Z157" s="9" t="s">
        <v>489</v>
      </c>
      <c r="AB157" s="9" t="str">
        <f t="shared" si="26"/>
        <v/>
      </c>
      <c r="AC157" s="9" t="str">
        <f t="shared" si="27"/>
        <v/>
      </c>
      <c r="AH157" t="str">
        <f>IF($AF157="","",IFERROR(SUMIFS(SummaryHelper!$H$2:$H$5000,SummaryHelper!$A$2:$A$5000,$AE157,SummaryHelper!$B$2:$B$5000,$AF157,SummaryHelper!$C$2:$C$5000,$AG157)/SUMIFS(SummaryHelper!$G$2:$G$5000,SummaryHelper!$A$2:$A$5000,$AE157,SummaryHelper!$B$2:$B$5000,$AF157,SummaryHelper!$C$2:$C$5000,$AG157),""))</f>
        <v/>
      </c>
      <c r="AI157" t="str">
        <f>IF($AF157="","",SUMIFS(SummaryHelper!$E$2:$E$5000,SummaryHelper!$A$2:$A$5000,$AE157,SummaryHelper!$B$2:$B$5000,$AF157,SummaryHelper!$C$2:$C$5000,$AG157))</f>
        <v/>
      </c>
      <c r="AJ157" t="str">
        <f>IF($AF157="","",SUMIFS(SummaryHelper!$F$2:$F$5000,SummaryHelper!$A$2:$A$5000,$AE157,SummaryHelper!$B$2:$B$5000,$AF157,SummaryHelper!$C$2:$C$5000,$AG157))</f>
        <v/>
      </c>
      <c r="AK157" t="str">
        <f>IF($AF157="","",SUMIFS(SummaryHelper!$G$2:$G$5000,SummaryHelper!$A$2:$A$5000,$AE157,SummaryHelper!$B$2:$B$5000,$AF157,SummaryHelper!$C$2:$C$5000,$AG157))</f>
        <v/>
      </c>
      <c r="AM157" t="str">
        <f t="shared" si="28"/>
        <v/>
      </c>
      <c r="AN157" t="str">
        <f t="shared" si="29"/>
        <v/>
      </c>
    </row>
    <row r="158" spans="1:40" x14ac:dyDescent="0.25">
      <c r="A158" s="12"/>
      <c r="C158" s="9"/>
      <c r="D158" s="9"/>
      <c r="E158" s="9"/>
      <c r="F158" s="9"/>
      <c r="G158" s="9"/>
      <c r="L158" s="9" t="str">
        <f>IF($J158="","",IFERROR(SUMIFS(SummaryHelper!$H$2:$H$5000,SummaryHelper!$A$2:$A$5000,$I158,SummaryHelper!$B$2:$B$5000,$J158,SummaryHelper!$C$2:$C$5000,$K158)/SUMIFS(SummaryHelper!$G$2:$G$5000,SummaryHelper!$A$2:$A$5000,$I158,SummaryHelper!$B$2:$B$5000,$J158,SummaryHelper!$C$2:$C$5000,$K158),""))</f>
        <v/>
      </c>
      <c r="M158" s="9" t="str">
        <f>IF($J158="","",SUMIFS(SummaryHelper!$E$2:$E$5000,SummaryHelper!$A$2:$A$5000,$I158,SummaryHelper!$B$2:$B$5000,$J158,SummaryHelper!$C$2:$C$5000,$K158))</f>
        <v/>
      </c>
      <c r="N158" s="9" t="str">
        <f>IF($J158="","",SUMIFS(SummaryHelper!$F$2:$F$5000,SummaryHelper!$A$2:$A$5000,$I158,SummaryHelper!$B$2:$B$5000,$J158,SummaryHelper!$C$2:$C$5000,$K158))</f>
        <v/>
      </c>
      <c r="O158" s="9" t="str">
        <f>IF($J158="","",SUMIFS(SummaryHelper!$G$2:$G$5000,SummaryHelper!$A$2:$A$5000,$I158,SummaryHelper!$B$2:$B$5000,$J158,SummaryHelper!$C$2:$C$5000,$K158))</f>
        <v/>
      </c>
      <c r="Q158" s="9" t="str">
        <f t="shared" si="24"/>
        <v/>
      </c>
      <c r="R158" s="9" t="str">
        <f t="shared" si="25"/>
        <v/>
      </c>
      <c r="W158" s="9" t="str">
        <f>IF($U158="","",IFERROR(SUMIFS(SummaryHelper!$H$2:$H$5000,SummaryHelper!$A$2:$A$5000,$T158,SummaryHelper!$B$2:$B$5000,$U158,SummaryHelper!$C$2:$C$5000,$V158)/SUMIFS(SummaryHelper!$G$2:$G$5000,SummaryHelper!$A$2:$A$5000,$T158,SummaryHelper!$B$2:$B$5000,$U158,SummaryHelper!$C$2:$C$5000,$V158),""))</f>
        <v/>
      </c>
      <c r="X158" s="9" t="str">
        <f>IF($U158="","",SUMIFS(SummaryHelper!$E$2:$E$5000,SummaryHelper!$A$2:$A$5000,$T158,SummaryHelper!$B$2:$B$5000,$U158,SummaryHelper!$C$2:$C$5000,$V158))</f>
        <v/>
      </c>
      <c r="Y158" s="9" t="str">
        <f>IF($U158="","",SUMIFS(SummaryHelper!$F$2:$F$5000,SummaryHelper!$A$2:$A$5000,$T158,SummaryHelper!$B$2:$B$5000,$U158,SummaryHelper!$C$2:$C$5000,$V158))</f>
        <v/>
      </c>
      <c r="Z158" s="9" t="s">
        <v>489</v>
      </c>
      <c r="AB158" s="9" t="str">
        <f t="shared" si="26"/>
        <v/>
      </c>
      <c r="AC158" s="9" t="str">
        <f t="shared" si="27"/>
        <v/>
      </c>
      <c r="AH158" t="str">
        <f>IF($AF158="","",IFERROR(SUMIFS(SummaryHelper!$H$2:$H$5000,SummaryHelper!$A$2:$A$5000,$AE158,SummaryHelper!$B$2:$B$5000,$AF158,SummaryHelper!$C$2:$C$5000,$AG158)/SUMIFS(SummaryHelper!$G$2:$G$5000,SummaryHelper!$A$2:$A$5000,$AE158,SummaryHelper!$B$2:$B$5000,$AF158,SummaryHelper!$C$2:$C$5000,$AG158),""))</f>
        <v/>
      </c>
      <c r="AI158" t="str">
        <f>IF($AF158="","",SUMIFS(SummaryHelper!$E$2:$E$5000,SummaryHelper!$A$2:$A$5000,$AE158,SummaryHelper!$B$2:$B$5000,$AF158,SummaryHelper!$C$2:$C$5000,$AG158))</f>
        <v/>
      </c>
      <c r="AJ158" t="str">
        <f>IF($AF158="","",SUMIFS(SummaryHelper!$F$2:$F$5000,SummaryHelper!$A$2:$A$5000,$AE158,SummaryHelper!$B$2:$B$5000,$AF158,SummaryHelper!$C$2:$C$5000,$AG158))</f>
        <v/>
      </c>
      <c r="AK158" t="str">
        <f>IF($AF158="","",SUMIFS(SummaryHelper!$G$2:$G$5000,SummaryHelper!$A$2:$A$5000,$AE158,SummaryHelper!$B$2:$B$5000,$AF158,SummaryHelper!$C$2:$C$5000,$AG158))</f>
        <v/>
      </c>
      <c r="AM158" t="str">
        <f t="shared" si="28"/>
        <v/>
      </c>
      <c r="AN158" t="str">
        <f t="shared" si="29"/>
        <v/>
      </c>
    </row>
    <row r="159" spans="1:40" x14ac:dyDescent="0.25">
      <c r="A159" s="12"/>
      <c r="C159" s="9"/>
      <c r="D159" s="9"/>
      <c r="E159" s="9"/>
      <c r="F159" s="9"/>
      <c r="G159" s="9"/>
      <c r="L159" s="9" t="str">
        <f>IF($J159="","",IFERROR(SUMIFS(SummaryHelper!$H$2:$H$5000,SummaryHelper!$A$2:$A$5000,$I159,SummaryHelper!$B$2:$B$5000,$J159,SummaryHelper!$C$2:$C$5000,$K159)/SUMIFS(SummaryHelper!$G$2:$G$5000,SummaryHelper!$A$2:$A$5000,$I159,SummaryHelper!$B$2:$B$5000,$J159,SummaryHelper!$C$2:$C$5000,$K159),""))</f>
        <v/>
      </c>
      <c r="M159" s="9" t="str">
        <f>IF($J159="","",SUMIFS(SummaryHelper!$E$2:$E$5000,SummaryHelper!$A$2:$A$5000,$I159,SummaryHelper!$B$2:$B$5000,$J159,SummaryHelper!$C$2:$C$5000,$K159))</f>
        <v/>
      </c>
      <c r="N159" s="9" t="str">
        <f>IF($J159="","",SUMIFS(SummaryHelper!$F$2:$F$5000,SummaryHelper!$A$2:$A$5000,$I159,SummaryHelper!$B$2:$B$5000,$J159,SummaryHelper!$C$2:$C$5000,$K159))</f>
        <v/>
      </c>
      <c r="O159" s="9" t="str">
        <f>IF($J159="","",SUMIFS(SummaryHelper!$G$2:$G$5000,SummaryHelper!$A$2:$A$5000,$I159,SummaryHelper!$B$2:$B$5000,$J159,SummaryHelper!$C$2:$C$5000,$K159))</f>
        <v/>
      </c>
      <c r="Q159" s="9" t="str">
        <f t="shared" si="24"/>
        <v/>
      </c>
      <c r="R159" s="9" t="str">
        <f t="shared" si="25"/>
        <v/>
      </c>
      <c r="W159" s="9" t="str">
        <f>IF($U159="","",IFERROR(SUMIFS(SummaryHelper!$H$2:$H$5000,SummaryHelper!$A$2:$A$5000,$T159,SummaryHelper!$B$2:$B$5000,$U159,SummaryHelper!$C$2:$C$5000,$V159)/SUMIFS(SummaryHelper!$G$2:$G$5000,SummaryHelper!$A$2:$A$5000,$T159,SummaryHelper!$B$2:$B$5000,$U159,SummaryHelper!$C$2:$C$5000,$V159),""))</f>
        <v/>
      </c>
      <c r="X159" s="9" t="str">
        <f>IF($U159="","",SUMIFS(SummaryHelper!$E$2:$E$5000,SummaryHelper!$A$2:$A$5000,$T159,SummaryHelper!$B$2:$B$5000,$U159,SummaryHelper!$C$2:$C$5000,$V159))</f>
        <v/>
      </c>
      <c r="Y159" s="9" t="str">
        <f>IF($U159="","",SUMIFS(SummaryHelper!$F$2:$F$5000,SummaryHelper!$A$2:$A$5000,$T159,SummaryHelper!$B$2:$B$5000,$U159,SummaryHelper!$C$2:$C$5000,$V159))</f>
        <v/>
      </c>
      <c r="Z159" s="9" t="s">
        <v>489</v>
      </c>
      <c r="AB159" s="9" t="str">
        <f t="shared" si="26"/>
        <v/>
      </c>
      <c r="AC159" s="9" t="str">
        <f t="shared" si="27"/>
        <v/>
      </c>
      <c r="AH159" t="str">
        <f>IF($AF159="","",IFERROR(SUMIFS(SummaryHelper!$H$2:$H$5000,SummaryHelper!$A$2:$A$5000,$AE159,SummaryHelper!$B$2:$B$5000,$AF159,SummaryHelper!$C$2:$C$5000,$AG159)/SUMIFS(SummaryHelper!$G$2:$G$5000,SummaryHelper!$A$2:$A$5000,$AE159,SummaryHelper!$B$2:$B$5000,$AF159,SummaryHelper!$C$2:$C$5000,$AG159),""))</f>
        <v/>
      </c>
      <c r="AI159" t="str">
        <f>IF($AF159="","",SUMIFS(SummaryHelper!$E$2:$E$5000,SummaryHelper!$A$2:$A$5000,$AE159,SummaryHelper!$B$2:$B$5000,$AF159,SummaryHelper!$C$2:$C$5000,$AG159))</f>
        <v/>
      </c>
      <c r="AJ159" t="str">
        <f>IF($AF159="","",SUMIFS(SummaryHelper!$F$2:$F$5000,SummaryHelper!$A$2:$A$5000,$AE159,SummaryHelper!$B$2:$B$5000,$AF159,SummaryHelper!$C$2:$C$5000,$AG159))</f>
        <v/>
      </c>
      <c r="AK159" t="str">
        <f>IF($AF159="","",SUMIFS(SummaryHelper!$G$2:$G$5000,SummaryHelper!$A$2:$A$5000,$AE159,SummaryHelper!$B$2:$B$5000,$AF159,SummaryHelper!$C$2:$C$5000,$AG159))</f>
        <v/>
      </c>
      <c r="AM159" t="str">
        <f t="shared" si="28"/>
        <v/>
      </c>
      <c r="AN159" t="str">
        <f t="shared" si="29"/>
        <v/>
      </c>
    </row>
    <row r="160" spans="1:40" x14ac:dyDescent="0.25">
      <c r="A160" s="12"/>
      <c r="C160" s="9"/>
      <c r="D160" s="9"/>
      <c r="E160" s="9"/>
      <c r="F160" s="9"/>
      <c r="G160" s="9"/>
      <c r="L160" s="9" t="str">
        <f>IF($J160="","",IFERROR(SUMIFS(SummaryHelper!$H$2:$H$5000,SummaryHelper!$A$2:$A$5000,$I160,SummaryHelper!$B$2:$B$5000,$J160,SummaryHelper!$C$2:$C$5000,$K160)/SUMIFS(SummaryHelper!$G$2:$G$5000,SummaryHelper!$A$2:$A$5000,$I160,SummaryHelper!$B$2:$B$5000,$J160,SummaryHelper!$C$2:$C$5000,$K160),""))</f>
        <v/>
      </c>
      <c r="M160" s="9" t="str">
        <f>IF($J160="","",SUMIFS(SummaryHelper!$E$2:$E$5000,SummaryHelper!$A$2:$A$5000,$I160,SummaryHelper!$B$2:$B$5000,$J160,SummaryHelper!$C$2:$C$5000,$K160))</f>
        <v/>
      </c>
      <c r="N160" s="9" t="str">
        <f>IF($J160="","",SUMIFS(SummaryHelper!$F$2:$F$5000,SummaryHelper!$A$2:$A$5000,$I160,SummaryHelper!$B$2:$B$5000,$J160,SummaryHelper!$C$2:$C$5000,$K160))</f>
        <v/>
      </c>
      <c r="O160" s="9" t="str">
        <f>IF($J160="","",SUMIFS(SummaryHelper!$G$2:$G$5000,SummaryHelper!$A$2:$A$5000,$I160,SummaryHelper!$B$2:$B$5000,$J160,SummaryHelper!$C$2:$C$5000,$K160))</f>
        <v/>
      </c>
      <c r="Q160" s="9" t="str">
        <f t="shared" si="24"/>
        <v/>
      </c>
      <c r="R160" s="9" t="str">
        <f t="shared" si="25"/>
        <v/>
      </c>
      <c r="W160" s="9" t="str">
        <f>IF($U160="","",IFERROR(SUMIFS(SummaryHelper!$H$2:$H$5000,SummaryHelper!$A$2:$A$5000,$T160,SummaryHelper!$B$2:$B$5000,$U160,SummaryHelper!$C$2:$C$5000,$V160)/SUMIFS(SummaryHelper!$G$2:$G$5000,SummaryHelper!$A$2:$A$5000,$T160,SummaryHelper!$B$2:$B$5000,$U160,SummaryHelper!$C$2:$C$5000,$V160),""))</f>
        <v/>
      </c>
      <c r="X160" s="9" t="str">
        <f>IF($U160="","",SUMIFS(SummaryHelper!$E$2:$E$5000,SummaryHelper!$A$2:$A$5000,$T160,SummaryHelper!$B$2:$B$5000,$U160,SummaryHelper!$C$2:$C$5000,$V160))</f>
        <v/>
      </c>
      <c r="Y160" s="9" t="str">
        <f>IF($U160="","",SUMIFS(SummaryHelper!$F$2:$F$5000,SummaryHelper!$A$2:$A$5000,$T160,SummaryHelper!$B$2:$B$5000,$U160,SummaryHelper!$C$2:$C$5000,$V160))</f>
        <v/>
      </c>
      <c r="Z160" s="9" t="s">
        <v>489</v>
      </c>
      <c r="AB160" s="9" t="str">
        <f t="shared" si="26"/>
        <v/>
      </c>
      <c r="AC160" s="9" t="str">
        <f t="shared" si="27"/>
        <v/>
      </c>
      <c r="AH160" t="str">
        <f>IF($AF160="","",IFERROR(SUMIFS(SummaryHelper!$H$2:$H$5000,SummaryHelper!$A$2:$A$5000,$AE160,SummaryHelper!$B$2:$B$5000,$AF160,SummaryHelper!$C$2:$C$5000,$AG160)/SUMIFS(SummaryHelper!$G$2:$G$5000,SummaryHelper!$A$2:$A$5000,$AE160,SummaryHelper!$B$2:$B$5000,$AF160,SummaryHelper!$C$2:$C$5000,$AG160),""))</f>
        <v/>
      </c>
      <c r="AI160" t="str">
        <f>IF($AF160="","",SUMIFS(SummaryHelper!$E$2:$E$5000,SummaryHelper!$A$2:$A$5000,$AE160,SummaryHelper!$B$2:$B$5000,$AF160,SummaryHelper!$C$2:$C$5000,$AG160))</f>
        <v/>
      </c>
      <c r="AJ160" t="str">
        <f>IF($AF160="","",SUMIFS(SummaryHelper!$F$2:$F$5000,SummaryHelper!$A$2:$A$5000,$AE160,SummaryHelper!$B$2:$B$5000,$AF160,SummaryHelper!$C$2:$C$5000,$AG160))</f>
        <v/>
      </c>
      <c r="AK160" t="str">
        <f>IF($AF160="","",SUMIFS(SummaryHelper!$G$2:$G$5000,SummaryHelper!$A$2:$A$5000,$AE160,SummaryHelper!$B$2:$B$5000,$AF160,SummaryHelper!$C$2:$C$5000,$AG160))</f>
        <v/>
      </c>
      <c r="AM160" t="str">
        <f t="shared" si="28"/>
        <v/>
      </c>
      <c r="AN160" t="str">
        <f t="shared" si="29"/>
        <v/>
      </c>
    </row>
    <row r="161" spans="1:40" x14ac:dyDescent="0.25">
      <c r="A161" s="12"/>
      <c r="C161" s="9"/>
      <c r="D161" s="9"/>
      <c r="E161" s="9"/>
      <c r="F161" s="9"/>
      <c r="G161" s="9"/>
      <c r="L161" s="9" t="str">
        <f>IF($J161="","",IFERROR(SUMIFS(SummaryHelper!$H$2:$H$5000,SummaryHelper!$A$2:$A$5000,$I161,SummaryHelper!$B$2:$B$5000,$J161,SummaryHelper!$C$2:$C$5000,$K161)/SUMIFS(SummaryHelper!$G$2:$G$5000,SummaryHelper!$A$2:$A$5000,$I161,SummaryHelper!$B$2:$B$5000,$J161,SummaryHelper!$C$2:$C$5000,$K161),""))</f>
        <v/>
      </c>
      <c r="M161" s="9" t="str">
        <f>IF($J161="","",SUMIFS(SummaryHelper!$E$2:$E$5000,SummaryHelper!$A$2:$A$5000,$I161,SummaryHelper!$B$2:$B$5000,$J161,SummaryHelper!$C$2:$C$5000,$K161))</f>
        <v/>
      </c>
      <c r="N161" s="9" t="str">
        <f>IF($J161="","",SUMIFS(SummaryHelper!$F$2:$F$5000,SummaryHelper!$A$2:$A$5000,$I161,SummaryHelper!$B$2:$B$5000,$J161,SummaryHelper!$C$2:$C$5000,$K161))</f>
        <v/>
      </c>
      <c r="O161" s="9" t="str">
        <f>IF($J161="","",SUMIFS(SummaryHelper!$G$2:$G$5000,SummaryHelper!$A$2:$A$5000,$I161,SummaryHelper!$B$2:$B$5000,$J161,SummaryHelper!$C$2:$C$5000,$K161))</f>
        <v/>
      </c>
      <c r="Q161" s="9" t="str">
        <f t="shared" si="24"/>
        <v/>
      </c>
      <c r="R161" s="9" t="str">
        <f t="shared" si="25"/>
        <v/>
      </c>
      <c r="W161" s="9" t="str">
        <f>IF($U161="","",IFERROR(SUMIFS(SummaryHelper!$H$2:$H$5000,SummaryHelper!$A$2:$A$5000,$T161,SummaryHelper!$B$2:$B$5000,$U161,SummaryHelper!$C$2:$C$5000,$V161)/SUMIFS(SummaryHelper!$G$2:$G$5000,SummaryHelper!$A$2:$A$5000,$T161,SummaryHelper!$B$2:$B$5000,$U161,SummaryHelper!$C$2:$C$5000,$V161),""))</f>
        <v/>
      </c>
      <c r="X161" s="9" t="str">
        <f>IF($U161="","",SUMIFS(SummaryHelper!$E$2:$E$5000,SummaryHelper!$A$2:$A$5000,$T161,SummaryHelper!$B$2:$B$5000,$U161,SummaryHelper!$C$2:$C$5000,$V161))</f>
        <v/>
      </c>
      <c r="Y161" s="9" t="str">
        <f>IF($U161="","",SUMIFS(SummaryHelper!$F$2:$F$5000,SummaryHelper!$A$2:$A$5000,$T161,SummaryHelper!$B$2:$B$5000,$U161,SummaryHelper!$C$2:$C$5000,$V161))</f>
        <v/>
      </c>
      <c r="Z161" s="9" t="s">
        <v>489</v>
      </c>
      <c r="AB161" s="9" t="str">
        <f t="shared" si="26"/>
        <v/>
      </c>
      <c r="AC161" s="9" t="str">
        <f t="shared" si="27"/>
        <v/>
      </c>
      <c r="AH161" t="str">
        <f>IF($AF161="","",IFERROR(SUMIFS(SummaryHelper!$H$2:$H$5000,SummaryHelper!$A$2:$A$5000,$AE161,SummaryHelper!$B$2:$B$5000,$AF161,SummaryHelper!$C$2:$C$5000,$AG161)/SUMIFS(SummaryHelper!$G$2:$G$5000,SummaryHelper!$A$2:$A$5000,$AE161,SummaryHelper!$B$2:$B$5000,$AF161,SummaryHelper!$C$2:$C$5000,$AG161),""))</f>
        <v/>
      </c>
      <c r="AI161" t="str">
        <f>IF($AF161="","",SUMIFS(SummaryHelper!$E$2:$E$5000,SummaryHelper!$A$2:$A$5000,$AE161,SummaryHelper!$B$2:$B$5000,$AF161,SummaryHelper!$C$2:$C$5000,$AG161))</f>
        <v/>
      </c>
      <c r="AJ161" t="str">
        <f>IF($AF161="","",SUMIFS(SummaryHelper!$F$2:$F$5000,SummaryHelper!$A$2:$A$5000,$AE161,SummaryHelper!$B$2:$B$5000,$AF161,SummaryHelper!$C$2:$C$5000,$AG161))</f>
        <v/>
      </c>
      <c r="AK161" t="str">
        <f>IF($AF161="","",SUMIFS(SummaryHelper!$G$2:$G$5000,SummaryHelper!$A$2:$A$5000,$AE161,SummaryHelper!$B$2:$B$5000,$AF161,SummaryHelper!$C$2:$C$5000,$AG161))</f>
        <v/>
      </c>
      <c r="AM161" t="str">
        <f t="shared" si="28"/>
        <v/>
      </c>
      <c r="AN161" t="str">
        <f t="shared" si="29"/>
        <v/>
      </c>
    </row>
    <row r="162" spans="1:40" x14ac:dyDescent="0.25">
      <c r="A162" s="12"/>
      <c r="C162" s="9"/>
      <c r="D162" s="9"/>
      <c r="E162" s="9"/>
      <c r="F162" s="9"/>
      <c r="G162" s="9"/>
      <c r="L162" s="9" t="str">
        <f>IF($J162="","",IFERROR(SUMIFS(SummaryHelper!$H$2:$H$5000,SummaryHelper!$A$2:$A$5000,$I162,SummaryHelper!$B$2:$B$5000,$J162,SummaryHelper!$C$2:$C$5000,$K162)/SUMIFS(SummaryHelper!$G$2:$G$5000,SummaryHelper!$A$2:$A$5000,$I162,SummaryHelper!$B$2:$B$5000,$J162,SummaryHelper!$C$2:$C$5000,$K162),""))</f>
        <v/>
      </c>
      <c r="M162" s="9" t="str">
        <f>IF($J162="","",SUMIFS(SummaryHelper!$E$2:$E$5000,SummaryHelper!$A$2:$A$5000,$I162,SummaryHelper!$B$2:$B$5000,$J162,SummaryHelper!$C$2:$C$5000,$K162))</f>
        <v/>
      </c>
      <c r="N162" s="9" t="str">
        <f>IF($J162="","",SUMIFS(SummaryHelper!$F$2:$F$5000,SummaryHelper!$A$2:$A$5000,$I162,SummaryHelper!$B$2:$B$5000,$J162,SummaryHelper!$C$2:$C$5000,$K162))</f>
        <v/>
      </c>
      <c r="O162" s="9" t="str">
        <f>IF($J162="","",SUMIFS(SummaryHelper!$G$2:$G$5000,SummaryHelper!$A$2:$A$5000,$I162,SummaryHelper!$B$2:$B$5000,$J162,SummaryHelper!$C$2:$C$5000,$K162))</f>
        <v/>
      </c>
      <c r="Q162" s="9" t="str">
        <f t="shared" si="24"/>
        <v/>
      </c>
      <c r="R162" s="9" t="str">
        <f t="shared" si="25"/>
        <v/>
      </c>
      <c r="W162" s="9" t="str">
        <f>IF($U162="","",IFERROR(SUMIFS(SummaryHelper!$H$2:$H$5000,SummaryHelper!$A$2:$A$5000,$T162,SummaryHelper!$B$2:$B$5000,$U162,SummaryHelper!$C$2:$C$5000,$V162)/SUMIFS(SummaryHelper!$G$2:$G$5000,SummaryHelper!$A$2:$A$5000,$T162,SummaryHelper!$B$2:$B$5000,$U162,SummaryHelper!$C$2:$C$5000,$V162),""))</f>
        <v/>
      </c>
      <c r="X162" s="9" t="str">
        <f>IF($U162="","",SUMIFS(SummaryHelper!$E$2:$E$5000,SummaryHelper!$A$2:$A$5000,$T162,SummaryHelper!$B$2:$B$5000,$U162,SummaryHelper!$C$2:$C$5000,$V162))</f>
        <v/>
      </c>
      <c r="Y162" s="9" t="str">
        <f>IF($U162="","",SUMIFS(SummaryHelper!$F$2:$F$5000,SummaryHelper!$A$2:$A$5000,$T162,SummaryHelper!$B$2:$B$5000,$U162,SummaryHelper!$C$2:$C$5000,$V162))</f>
        <v/>
      </c>
      <c r="Z162" s="9" t="s">
        <v>489</v>
      </c>
      <c r="AB162" s="9" t="str">
        <f t="shared" si="26"/>
        <v/>
      </c>
      <c r="AC162" s="9" t="str">
        <f t="shared" si="27"/>
        <v/>
      </c>
      <c r="AH162" t="str">
        <f>IF($AF162="","",IFERROR(SUMIFS(SummaryHelper!$H$2:$H$5000,SummaryHelper!$A$2:$A$5000,$AE162,SummaryHelper!$B$2:$B$5000,$AF162,SummaryHelper!$C$2:$C$5000,$AG162)/SUMIFS(SummaryHelper!$G$2:$G$5000,SummaryHelper!$A$2:$A$5000,$AE162,SummaryHelper!$B$2:$B$5000,$AF162,SummaryHelper!$C$2:$C$5000,$AG162),""))</f>
        <v/>
      </c>
      <c r="AI162" t="str">
        <f>IF($AF162="","",SUMIFS(SummaryHelper!$E$2:$E$5000,SummaryHelper!$A$2:$A$5000,$AE162,SummaryHelper!$B$2:$B$5000,$AF162,SummaryHelper!$C$2:$C$5000,$AG162))</f>
        <v/>
      </c>
      <c r="AJ162" t="str">
        <f>IF($AF162="","",SUMIFS(SummaryHelper!$F$2:$F$5000,SummaryHelper!$A$2:$A$5000,$AE162,SummaryHelper!$B$2:$B$5000,$AF162,SummaryHelper!$C$2:$C$5000,$AG162))</f>
        <v/>
      </c>
      <c r="AK162" t="str">
        <f>IF($AF162="","",SUMIFS(SummaryHelper!$G$2:$G$5000,SummaryHelper!$A$2:$A$5000,$AE162,SummaryHelper!$B$2:$B$5000,$AF162,SummaryHelper!$C$2:$C$5000,$AG162))</f>
        <v/>
      </c>
      <c r="AM162" t="str">
        <f t="shared" si="28"/>
        <v/>
      </c>
      <c r="AN162" t="str">
        <f t="shared" si="29"/>
        <v/>
      </c>
    </row>
    <row r="163" spans="1:40" x14ac:dyDescent="0.25">
      <c r="A163" s="12"/>
      <c r="C163" s="9"/>
      <c r="D163" s="9"/>
      <c r="E163" s="9"/>
      <c r="F163" s="9"/>
      <c r="G163" s="9"/>
      <c r="L163" s="9" t="str">
        <f>IF($J163="","",IFERROR(SUMIFS(SummaryHelper!$H$2:$H$5000,SummaryHelper!$A$2:$A$5000,$I163,SummaryHelper!$B$2:$B$5000,$J163,SummaryHelper!$C$2:$C$5000,$K163)/SUMIFS(SummaryHelper!$G$2:$G$5000,SummaryHelper!$A$2:$A$5000,$I163,SummaryHelper!$B$2:$B$5000,$J163,SummaryHelper!$C$2:$C$5000,$K163),""))</f>
        <v/>
      </c>
      <c r="M163" s="9" t="str">
        <f>IF($J163="","",SUMIFS(SummaryHelper!$E$2:$E$5000,SummaryHelper!$A$2:$A$5000,$I163,SummaryHelper!$B$2:$B$5000,$J163,SummaryHelper!$C$2:$C$5000,$K163))</f>
        <v/>
      </c>
      <c r="N163" s="9" t="str">
        <f>IF($J163="","",SUMIFS(SummaryHelper!$F$2:$F$5000,SummaryHelper!$A$2:$A$5000,$I163,SummaryHelper!$B$2:$B$5000,$J163,SummaryHelper!$C$2:$C$5000,$K163))</f>
        <v/>
      </c>
      <c r="O163" s="9" t="str">
        <f>IF($J163="","",SUMIFS(SummaryHelper!$G$2:$G$5000,SummaryHelper!$A$2:$A$5000,$I163,SummaryHelper!$B$2:$B$5000,$J163,SummaryHelper!$C$2:$C$5000,$K163))</f>
        <v/>
      </c>
      <c r="Q163" s="9" t="str">
        <f t="shared" si="24"/>
        <v/>
      </c>
      <c r="R163" s="9" t="str">
        <f t="shared" si="25"/>
        <v/>
      </c>
      <c r="W163" s="9" t="str">
        <f>IF($U163="","",IFERROR(SUMIFS(SummaryHelper!$H$2:$H$5000,SummaryHelper!$A$2:$A$5000,$T163,SummaryHelper!$B$2:$B$5000,$U163,SummaryHelper!$C$2:$C$5000,$V163)/SUMIFS(SummaryHelper!$G$2:$G$5000,SummaryHelper!$A$2:$A$5000,$T163,SummaryHelper!$B$2:$B$5000,$U163,SummaryHelper!$C$2:$C$5000,$V163),""))</f>
        <v/>
      </c>
      <c r="X163" s="9" t="str">
        <f>IF($U163="","",SUMIFS(SummaryHelper!$E$2:$E$5000,SummaryHelper!$A$2:$A$5000,$T163,SummaryHelper!$B$2:$B$5000,$U163,SummaryHelper!$C$2:$C$5000,$V163))</f>
        <v/>
      </c>
      <c r="Y163" s="9" t="str">
        <f>IF($U163="","",SUMIFS(SummaryHelper!$F$2:$F$5000,SummaryHelper!$A$2:$A$5000,$T163,SummaryHelper!$B$2:$B$5000,$U163,SummaryHelper!$C$2:$C$5000,$V163))</f>
        <v/>
      </c>
      <c r="Z163" s="9" t="s">
        <v>489</v>
      </c>
      <c r="AB163" s="9" t="str">
        <f t="shared" si="26"/>
        <v/>
      </c>
      <c r="AC163" s="9" t="str">
        <f t="shared" si="27"/>
        <v/>
      </c>
      <c r="AH163" t="str">
        <f>IF($AF163="","",IFERROR(SUMIFS(SummaryHelper!$H$2:$H$5000,SummaryHelper!$A$2:$A$5000,$AE163,SummaryHelper!$B$2:$B$5000,$AF163,SummaryHelper!$C$2:$C$5000,$AG163)/SUMIFS(SummaryHelper!$G$2:$G$5000,SummaryHelper!$A$2:$A$5000,$AE163,SummaryHelper!$B$2:$B$5000,$AF163,SummaryHelper!$C$2:$C$5000,$AG163),""))</f>
        <v/>
      </c>
      <c r="AI163" t="str">
        <f>IF($AF163="","",SUMIFS(SummaryHelper!$E$2:$E$5000,SummaryHelper!$A$2:$A$5000,$AE163,SummaryHelper!$B$2:$B$5000,$AF163,SummaryHelper!$C$2:$C$5000,$AG163))</f>
        <v/>
      </c>
      <c r="AJ163" t="str">
        <f>IF($AF163="","",SUMIFS(SummaryHelper!$F$2:$F$5000,SummaryHelper!$A$2:$A$5000,$AE163,SummaryHelper!$B$2:$B$5000,$AF163,SummaryHelper!$C$2:$C$5000,$AG163))</f>
        <v/>
      </c>
      <c r="AK163" t="str">
        <f>IF($AF163="","",SUMIFS(SummaryHelper!$G$2:$G$5000,SummaryHelper!$A$2:$A$5000,$AE163,SummaryHelper!$B$2:$B$5000,$AF163,SummaryHelper!$C$2:$C$5000,$AG163))</f>
        <v/>
      </c>
      <c r="AM163" t="str">
        <f t="shared" si="28"/>
        <v/>
      </c>
      <c r="AN163" t="str">
        <f t="shared" si="29"/>
        <v/>
      </c>
    </row>
    <row r="164" spans="1:40" x14ac:dyDescent="0.25">
      <c r="A164" s="12"/>
      <c r="C164" s="9"/>
      <c r="D164" s="9"/>
      <c r="E164" s="9"/>
      <c r="F164" s="9"/>
      <c r="G164" s="9"/>
      <c r="L164" s="9" t="str">
        <f>IF($J164="","",IFERROR(SUMIFS(SummaryHelper!$H$2:$H$5000,SummaryHelper!$A$2:$A$5000,$I164,SummaryHelper!$B$2:$B$5000,$J164,SummaryHelper!$C$2:$C$5000,$K164)/SUMIFS(SummaryHelper!$G$2:$G$5000,SummaryHelper!$A$2:$A$5000,$I164,SummaryHelper!$B$2:$B$5000,$J164,SummaryHelper!$C$2:$C$5000,$K164),""))</f>
        <v/>
      </c>
      <c r="M164" s="9" t="str">
        <f>IF($J164="","",SUMIFS(SummaryHelper!$E$2:$E$5000,SummaryHelper!$A$2:$A$5000,$I164,SummaryHelper!$B$2:$B$5000,$J164,SummaryHelper!$C$2:$C$5000,$K164))</f>
        <v/>
      </c>
      <c r="N164" s="9" t="str">
        <f>IF($J164="","",SUMIFS(SummaryHelper!$F$2:$F$5000,SummaryHelper!$A$2:$A$5000,$I164,SummaryHelper!$B$2:$B$5000,$J164,SummaryHelper!$C$2:$C$5000,$K164))</f>
        <v/>
      </c>
      <c r="O164" s="9" t="str">
        <f>IF($J164="","",SUMIFS(SummaryHelper!$G$2:$G$5000,SummaryHelper!$A$2:$A$5000,$I164,SummaryHelper!$B$2:$B$5000,$J164,SummaryHelper!$C$2:$C$5000,$K164))</f>
        <v/>
      </c>
      <c r="Q164" s="9" t="str">
        <f t="shared" si="24"/>
        <v/>
      </c>
      <c r="R164" s="9" t="str">
        <f t="shared" si="25"/>
        <v/>
      </c>
      <c r="W164" s="9" t="str">
        <f>IF($U164="","",IFERROR(SUMIFS(SummaryHelper!$H$2:$H$5000,SummaryHelper!$A$2:$A$5000,$T164,SummaryHelper!$B$2:$B$5000,$U164,SummaryHelper!$C$2:$C$5000,$V164)/SUMIFS(SummaryHelper!$G$2:$G$5000,SummaryHelper!$A$2:$A$5000,$T164,SummaryHelper!$B$2:$B$5000,$U164,SummaryHelper!$C$2:$C$5000,$V164),""))</f>
        <v/>
      </c>
      <c r="X164" s="9" t="str">
        <f>IF($U164="","",SUMIFS(SummaryHelper!$E$2:$E$5000,SummaryHelper!$A$2:$A$5000,$T164,SummaryHelper!$B$2:$B$5000,$U164,SummaryHelper!$C$2:$C$5000,$V164))</f>
        <v/>
      </c>
      <c r="Y164" s="9" t="str">
        <f>IF($U164="","",SUMIFS(SummaryHelper!$F$2:$F$5000,SummaryHelper!$A$2:$A$5000,$T164,SummaryHelper!$B$2:$B$5000,$U164,SummaryHelper!$C$2:$C$5000,$V164))</f>
        <v/>
      </c>
      <c r="Z164" s="9" t="s">
        <v>489</v>
      </c>
      <c r="AB164" s="9" t="str">
        <f t="shared" si="26"/>
        <v/>
      </c>
      <c r="AC164" s="9" t="str">
        <f t="shared" si="27"/>
        <v/>
      </c>
      <c r="AH164" t="str">
        <f>IF($AF164="","",IFERROR(SUMIFS(SummaryHelper!$H$2:$H$5000,SummaryHelper!$A$2:$A$5000,$AE164,SummaryHelper!$B$2:$B$5000,$AF164,SummaryHelper!$C$2:$C$5000,$AG164)/SUMIFS(SummaryHelper!$G$2:$G$5000,SummaryHelper!$A$2:$A$5000,$AE164,SummaryHelper!$B$2:$B$5000,$AF164,SummaryHelper!$C$2:$C$5000,$AG164),""))</f>
        <v/>
      </c>
      <c r="AI164" t="str">
        <f>IF($AF164="","",SUMIFS(SummaryHelper!$E$2:$E$5000,SummaryHelper!$A$2:$A$5000,$AE164,SummaryHelper!$B$2:$B$5000,$AF164,SummaryHelper!$C$2:$C$5000,$AG164))</f>
        <v/>
      </c>
      <c r="AJ164" t="str">
        <f>IF($AF164="","",SUMIFS(SummaryHelper!$F$2:$F$5000,SummaryHelper!$A$2:$A$5000,$AE164,SummaryHelper!$B$2:$B$5000,$AF164,SummaryHelper!$C$2:$C$5000,$AG164))</f>
        <v/>
      </c>
      <c r="AK164" t="str">
        <f>IF($AF164="","",SUMIFS(SummaryHelper!$G$2:$G$5000,SummaryHelper!$A$2:$A$5000,$AE164,SummaryHelper!$B$2:$B$5000,$AF164,SummaryHelper!$C$2:$C$5000,$AG164))</f>
        <v/>
      </c>
      <c r="AM164" t="str">
        <f t="shared" si="28"/>
        <v/>
      </c>
      <c r="AN164" t="str">
        <f t="shared" si="29"/>
        <v/>
      </c>
    </row>
    <row r="165" spans="1:40" x14ac:dyDescent="0.25">
      <c r="A165" s="12"/>
      <c r="C165" s="9"/>
      <c r="D165" s="9"/>
      <c r="E165" s="9"/>
      <c r="F165" s="9"/>
      <c r="G165" s="9"/>
      <c r="L165" s="9" t="str">
        <f>IF($J165="","",IFERROR(SUMIFS(SummaryHelper!$H$2:$H$5000,SummaryHelper!$A$2:$A$5000,$I165,SummaryHelper!$B$2:$B$5000,$J165,SummaryHelper!$C$2:$C$5000,$K165)/SUMIFS(SummaryHelper!$G$2:$G$5000,SummaryHelper!$A$2:$A$5000,$I165,SummaryHelper!$B$2:$B$5000,$J165,SummaryHelper!$C$2:$C$5000,$K165),""))</f>
        <v/>
      </c>
      <c r="M165" s="9" t="str">
        <f>IF($J165="","",SUMIFS(SummaryHelper!$E$2:$E$5000,SummaryHelper!$A$2:$A$5000,$I165,SummaryHelper!$B$2:$B$5000,$J165,SummaryHelper!$C$2:$C$5000,$K165))</f>
        <v/>
      </c>
      <c r="N165" s="9" t="str">
        <f>IF($J165="","",SUMIFS(SummaryHelper!$F$2:$F$5000,SummaryHelper!$A$2:$A$5000,$I165,SummaryHelper!$B$2:$B$5000,$J165,SummaryHelper!$C$2:$C$5000,$K165))</f>
        <v/>
      </c>
      <c r="O165" s="9" t="str">
        <f>IF($J165="","",SUMIFS(SummaryHelper!$G$2:$G$5000,SummaryHelper!$A$2:$A$5000,$I165,SummaryHelper!$B$2:$B$5000,$J165,SummaryHelper!$C$2:$C$5000,$K165))</f>
        <v/>
      </c>
      <c r="Q165" s="9" t="str">
        <f t="shared" si="24"/>
        <v/>
      </c>
      <c r="R165" s="9" t="str">
        <f t="shared" si="25"/>
        <v/>
      </c>
      <c r="W165" s="9" t="str">
        <f>IF($U165="","",IFERROR(SUMIFS(SummaryHelper!$H$2:$H$5000,SummaryHelper!$A$2:$A$5000,$T165,SummaryHelper!$B$2:$B$5000,$U165,SummaryHelper!$C$2:$C$5000,$V165)/SUMIFS(SummaryHelper!$G$2:$G$5000,SummaryHelper!$A$2:$A$5000,$T165,SummaryHelper!$B$2:$B$5000,$U165,SummaryHelper!$C$2:$C$5000,$V165),""))</f>
        <v/>
      </c>
      <c r="X165" s="9" t="str">
        <f>IF($U165="","",SUMIFS(SummaryHelper!$E$2:$E$5000,SummaryHelper!$A$2:$A$5000,$T165,SummaryHelper!$B$2:$B$5000,$U165,SummaryHelper!$C$2:$C$5000,$V165))</f>
        <v/>
      </c>
      <c r="Y165" s="9" t="str">
        <f>IF($U165="","",SUMIFS(SummaryHelper!$F$2:$F$5000,SummaryHelper!$A$2:$A$5000,$T165,SummaryHelper!$B$2:$B$5000,$U165,SummaryHelper!$C$2:$C$5000,$V165))</f>
        <v/>
      </c>
      <c r="Z165" s="9" t="s">
        <v>489</v>
      </c>
      <c r="AB165" s="9" t="str">
        <f t="shared" si="26"/>
        <v/>
      </c>
      <c r="AC165" s="9" t="str">
        <f t="shared" si="27"/>
        <v/>
      </c>
      <c r="AH165" t="str">
        <f>IF($AF165="","",IFERROR(SUMIFS(SummaryHelper!$H$2:$H$5000,SummaryHelper!$A$2:$A$5000,$AE165,SummaryHelper!$B$2:$B$5000,$AF165,SummaryHelper!$C$2:$C$5000,$AG165)/SUMIFS(SummaryHelper!$G$2:$G$5000,SummaryHelper!$A$2:$A$5000,$AE165,SummaryHelper!$B$2:$B$5000,$AF165,SummaryHelper!$C$2:$C$5000,$AG165),""))</f>
        <v/>
      </c>
      <c r="AI165" t="str">
        <f>IF($AF165="","",SUMIFS(SummaryHelper!$E$2:$E$5000,SummaryHelper!$A$2:$A$5000,$AE165,SummaryHelper!$B$2:$B$5000,$AF165,SummaryHelper!$C$2:$C$5000,$AG165))</f>
        <v/>
      </c>
      <c r="AJ165" t="str">
        <f>IF($AF165="","",SUMIFS(SummaryHelper!$F$2:$F$5000,SummaryHelper!$A$2:$A$5000,$AE165,SummaryHelper!$B$2:$B$5000,$AF165,SummaryHelper!$C$2:$C$5000,$AG165))</f>
        <v/>
      </c>
      <c r="AK165" t="str">
        <f>IF($AF165="","",SUMIFS(SummaryHelper!$G$2:$G$5000,SummaryHelper!$A$2:$A$5000,$AE165,SummaryHelper!$B$2:$B$5000,$AF165,SummaryHelper!$C$2:$C$5000,$AG165))</f>
        <v/>
      </c>
      <c r="AM165" t="str">
        <f t="shared" si="28"/>
        <v/>
      </c>
      <c r="AN165" t="str">
        <f t="shared" si="29"/>
        <v/>
      </c>
    </row>
    <row r="166" spans="1:40" x14ac:dyDescent="0.25">
      <c r="A166" s="12"/>
      <c r="C166" s="9"/>
      <c r="D166" s="9"/>
      <c r="E166" s="9"/>
      <c r="F166" s="9"/>
      <c r="G166" s="9"/>
      <c r="L166" s="9" t="str">
        <f>IF($J166="","",IFERROR(SUMIFS(SummaryHelper!$H$2:$H$5000,SummaryHelper!$A$2:$A$5000,$I166,SummaryHelper!$B$2:$B$5000,$J166,SummaryHelper!$C$2:$C$5000,$K166)/SUMIFS(SummaryHelper!$G$2:$G$5000,SummaryHelper!$A$2:$A$5000,$I166,SummaryHelper!$B$2:$B$5000,$J166,SummaryHelper!$C$2:$C$5000,$K166),""))</f>
        <v/>
      </c>
      <c r="M166" s="9" t="str">
        <f>IF($J166="","",SUMIFS(SummaryHelper!$E$2:$E$5000,SummaryHelper!$A$2:$A$5000,$I166,SummaryHelper!$B$2:$B$5000,$J166,SummaryHelper!$C$2:$C$5000,$K166))</f>
        <v/>
      </c>
      <c r="N166" s="9" t="str">
        <f>IF($J166="","",SUMIFS(SummaryHelper!$F$2:$F$5000,SummaryHelper!$A$2:$A$5000,$I166,SummaryHelper!$B$2:$B$5000,$J166,SummaryHelper!$C$2:$C$5000,$K166))</f>
        <v/>
      </c>
      <c r="O166" s="9" t="str">
        <f>IF($J166="","",SUMIFS(SummaryHelper!$G$2:$G$5000,SummaryHelper!$A$2:$A$5000,$I166,SummaryHelper!$B$2:$B$5000,$J166,SummaryHelper!$C$2:$C$5000,$K166))</f>
        <v/>
      </c>
      <c r="Q166" s="9" t="str">
        <f t="shared" si="24"/>
        <v/>
      </c>
      <c r="R166" s="9" t="str">
        <f t="shared" si="25"/>
        <v/>
      </c>
      <c r="W166" s="9" t="str">
        <f>IF($U166="","",IFERROR(SUMIFS(SummaryHelper!$H$2:$H$5000,SummaryHelper!$A$2:$A$5000,$T166,SummaryHelper!$B$2:$B$5000,$U166,SummaryHelper!$C$2:$C$5000,$V166)/SUMIFS(SummaryHelper!$G$2:$G$5000,SummaryHelper!$A$2:$A$5000,$T166,SummaryHelper!$B$2:$B$5000,$U166,SummaryHelper!$C$2:$C$5000,$V166),""))</f>
        <v/>
      </c>
      <c r="X166" s="9" t="str">
        <f>IF($U166="","",SUMIFS(SummaryHelper!$E$2:$E$5000,SummaryHelper!$A$2:$A$5000,$T166,SummaryHelper!$B$2:$B$5000,$U166,SummaryHelper!$C$2:$C$5000,$V166))</f>
        <v/>
      </c>
      <c r="Y166" s="9" t="str">
        <f>IF($U166="","",SUMIFS(SummaryHelper!$F$2:$F$5000,SummaryHelper!$A$2:$A$5000,$T166,SummaryHelper!$B$2:$B$5000,$U166,SummaryHelper!$C$2:$C$5000,$V166))</f>
        <v/>
      </c>
      <c r="Z166" s="9" t="s">
        <v>489</v>
      </c>
      <c r="AB166" s="9" t="str">
        <f t="shared" si="26"/>
        <v/>
      </c>
      <c r="AC166" s="9" t="str">
        <f t="shared" si="27"/>
        <v/>
      </c>
      <c r="AH166" t="str">
        <f>IF($AF166="","",IFERROR(SUMIFS(SummaryHelper!$H$2:$H$5000,SummaryHelper!$A$2:$A$5000,$AE166,SummaryHelper!$B$2:$B$5000,$AF166,SummaryHelper!$C$2:$C$5000,$AG166)/SUMIFS(SummaryHelper!$G$2:$G$5000,SummaryHelper!$A$2:$A$5000,$AE166,SummaryHelper!$B$2:$B$5000,$AF166,SummaryHelper!$C$2:$C$5000,$AG166),""))</f>
        <v/>
      </c>
      <c r="AI166" t="str">
        <f>IF($AF166="","",SUMIFS(SummaryHelper!$E$2:$E$5000,SummaryHelper!$A$2:$A$5000,$AE166,SummaryHelper!$B$2:$B$5000,$AF166,SummaryHelper!$C$2:$C$5000,$AG166))</f>
        <v/>
      </c>
      <c r="AJ166" t="str">
        <f>IF($AF166="","",SUMIFS(SummaryHelper!$F$2:$F$5000,SummaryHelper!$A$2:$A$5000,$AE166,SummaryHelper!$B$2:$B$5000,$AF166,SummaryHelper!$C$2:$C$5000,$AG166))</f>
        <v/>
      </c>
      <c r="AK166" t="str">
        <f>IF($AF166="","",SUMIFS(SummaryHelper!$G$2:$G$5000,SummaryHelper!$A$2:$A$5000,$AE166,SummaryHelper!$B$2:$B$5000,$AF166,SummaryHelper!$C$2:$C$5000,$AG166))</f>
        <v/>
      </c>
      <c r="AM166" t="str">
        <f t="shared" si="28"/>
        <v/>
      </c>
      <c r="AN166" t="str">
        <f t="shared" si="29"/>
        <v/>
      </c>
    </row>
    <row r="167" spans="1:40" x14ac:dyDescent="0.25">
      <c r="A167" s="12"/>
      <c r="C167" s="9"/>
      <c r="D167" s="9"/>
      <c r="E167" s="9"/>
      <c r="F167" s="9"/>
      <c r="G167" s="9"/>
      <c r="L167" s="9" t="str">
        <f>IF($J167="","",IFERROR(SUMIFS(SummaryHelper!$H$2:$H$5000,SummaryHelper!$A$2:$A$5000,$I167,SummaryHelper!$B$2:$B$5000,$J167,SummaryHelper!$C$2:$C$5000,$K167)/SUMIFS(SummaryHelper!$G$2:$G$5000,SummaryHelper!$A$2:$A$5000,$I167,SummaryHelper!$B$2:$B$5000,$J167,SummaryHelper!$C$2:$C$5000,$K167),""))</f>
        <v/>
      </c>
      <c r="M167" s="9" t="str">
        <f>IF($J167="","",SUMIFS(SummaryHelper!$E$2:$E$5000,SummaryHelper!$A$2:$A$5000,$I167,SummaryHelper!$B$2:$B$5000,$J167,SummaryHelper!$C$2:$C$5000,$K167))</f>
        <v/>
      </c>
      <c r="N167" s="9" t="str">
        <f>IF($J167="","",SUMIFS(SummaryHelper!$F$2:$F$5000,SummaryHelper!$A$2:$A$5000,$I167,SummaryHelper!$B$2:$B$5000,$J167,SummaryHelper!$C$2:$C$5000,$K167))</f>
        <v/>
      </c>
      <c r="O167" s="9" t="str">
        <f>IF($J167="","",SUMIFS(SummaryHelper!$G$2:$G$5000,SummaryHelper!$A$2:$A$5000,$I167,SummaryHelper!$B$2:$B$5000,$J167,SummaryHelper!$C$2:$C$5000,$K167))</f>
        <v/>
      </c>
      <c r="Q167" s="9" t="str">
        <f t="shared" si="24"/>
        <v/>
      </c>
      <c r="R167" s="9" t="str">
        <f t="shared" si="25"/>
        <v/>
      </c>
      <c r="W167" s="9" t="str">
        <f>IF($U167="","",IFERROR(SUMIFS(SummaryHelper!$H$2:$H$5000,SummaryHelper!$A$2:$A$5000,$T167,SummaryHelper!$B$2:$B$5000,$U167,SummaryHelper!$C$2:$C$5000,$V167)/SUMIFS(SummaryHelper!$G$2:$G$5000,SummaryHelper!$A$2:$A$5000,$T167,SummaryHelper!$B$2:$B$5000,$U167,SummaryHelper!$C$2:$C$5000,$V167),""))</f>
        <v/>
      </c>
      <c r="X167" s="9" t="str">
        <f>IF($U167="","",SUMIFS(SummaryHelper!$E$2:$E$5000,SummaryHelper!$A$2:$A$5000,$T167,SummaryHelper!$B$2:$B$5000,$U167,SummaryHelper!$C$2:$C$5000,$V167))</f>
        <v/>
      </c>
      <c r="Y167" s="9" t="str">
        <f>IF($U167="","",SUMIFS(SummaryHelper!$F$2:$F$5000,SummaryHelper!$A$2:$A$5000,$T167,SummaryHelper!$B$2:$B$5000,$U167,SummaryHelper!$C$2:$C$5000,$V167))</f>
        <v/>
      </c>
      <c r="Z167" s="9" t="s">
        <v>489</v>
      </c>
      <c r="AB167" s="9" t="str">
        <f t="shared" si="26"/>
        <v/>
      </c>
      <c r="AC167" s="9" t="str">
        <f t="shared" si="27"/>
        <v/>
      </c>
      <c r="AH167" t="str">
        <f>IF($AF167="","",IFERROR(SUMIFS(SummaryHelper!$H$2:$H$5000,SummaryHelper!$A$2:$A$5000,$AE167,SummaryHelper!$B$2:$B$5000,$AF167,SummaryHelper!$C$2:$C$5000,$AG167)/SUMIFS(SummaryHelper!$G$2:$G$5000,SummaryHelper!$A$2:$A$5000,$AE167,SummaryHelper!$B$2:$B$5000,$AF167,SummaryHelper!$C$2:$C$5000,$AG167),""))</f>
        <v/>
      </c>
      <c r="AI167" t="str">
        <f>IF($AF167="","",SUMIFS(SummaryHelper!$E$2:$E$5000,SummaryHelper!$A$2:$A$5000,$AE167,SummaryHelper!$B$2:$B$5000,$AF167,SummaryHelper!$C$2:$C$5000,$AG167))</f>
        <v/>
      </c>
      <c r="AJ167" t="str">
        <f>IF($AF167="","",SUMIFS(SummaryHelper!$F$2:$F$5000,SummaryHelper!$A$2:$A$5000,$AE167,SummaryHelper!$B$2:$B$5000,$AF167,SummaryHelper!$C$2:$C$5000,$AG167))</f>
        <v/>
      </c>
      <c r="AK167" t="str">
        <f>IF($AF167="","",SUMIFS(SummaryHelper!$G$2:$G$5000,SummaryHelper!$A$2:$A$5000,$AE167,SummaryHelper!$B$2:$B$5000,$AF167,SummaryHelper!$C$2:$C$5000,$AG167))</f>
        <v/>
      </c>
      <c r="AM167" t="str">
        <f t="shared" si="28"/>
        <v/>
      </c>
      <c r="AN167" t="str">
        <f t="shared" si="29"/>
        <v/>
      </c>
    </row>
    <row r="168" spans="1:40" x14ac:dyDescent="0.25">
      <c r="A168" s="12"/>
      <c r="C168" s="9"/>
      <c r="D168" s="9"/>
      <c r="E168" s="9"/>
      <c r="F168" s="9"/>
      <c r="G168" s="9"/>
      <c r="L168" s="9" t="str">
        <f>IF($J168="","",IFERROR(SUMIFS(SummaryHelper!$H$2:$H$5000,SummaryHelper!$A$2:$A$5000,$I168,SummaryHelper!$B$2:$B$5000,$J168,SummaryHelper!$C$2:$C$5000,$K168)/SUMIFS(SummaryHelper!$G$2:$G$5000,SummaryHelper!$A$2:$A$5000,$I168,SummaryHelper!$B$2:$B$5000,$J168,SummaryHelper!$C$2:$C$5000,$K168),""))</f>
        <v/>
      </c>
      <c r="M168" s="9" t="str">
        <f>IF($J168="","",SUMIFS(SummaryHelper!$E$2:$E$5000,SummaryHelper!$A$2:$A$5000,$I168,SummaryHelper!$B$2:$B$5000,$J168,SummaryHelper!$C$2:$C$5000,$K168))</f>
        <v/>
      </c>
      <c r="N168" s="9" t="str">
        <f>IF($J168="","",SUMIFS(SummaryHelper!$F$2:$F$5000,SummaryHelper!$A$2:$A$5000,$I168,SummaryHelper!$B$2:$B$5000,$J168,SummaryHelper!$C$2:$C$5000,$K168))</f>
        <v/>
      </c>
      <c r="O168" s="9" t="str">
        <f>IF($J168="","",SUMIFS(SummaryHelper!$G$2:$G$5000,SummaryHelper!$A$2:$A$5000,$I168,SummaryHelper!$B$2:$B$5000,$J168,SummaryHelper!$C$2:$C$5000,$K168))</f>
        <v/>
      </c>
      <c r="Q168" s="9" t="str">
        <f t="shared" si="24"/>
        <v/>
      </c>
      <c r="R168" s="9" t="str">
        <f t="shared" si="25"/>
        <v/>
      </c>
      <c r="W168" s="9" t="str">
        <f>IF($U168="","",IFERROR(SUMIFS(SummaryHelper!$H$2:$H$5000,SummaryHelper!$A$2:$A$5000,$T168,SummaryHelper!$B$2:$B$5000,$U168,SummaryHelper!$C$2:$C$5000,$V168)/SUMIFS(SummaryHelper!$G$2:$G$5000,SummaryHelper!$A$2:$A$5000,$T168,SummaryHelper!$B$2:$B$5000,$U168,SummaryHelper!$C$2:$C$5000,$V168),""))</f>
        <v/>
      </c>
      <c r="X168" s="9" t="str">
        <f>IF($U168="","",SUMIFS(SummaryHelper!$E$2:$E$5000,SummaryHelper!$A$2:$A$5000,$T168,SummaryHelper!$B$2:$B$5000,$U168,SummaryHelper!$C$2:$C$5000,$V168))</f>
        <v/>
      </c>
      <c r="Y168" s="9" t="str">
        <f>IF($U168="","",SUMIFS(SummaryHelper!$F$2:$F$5000,SummaryHelper!$A$2:$A$5000,$T168,SummaryHelper!$B$2:$B$5000,$U168,SummaryHelper!$C$2:$C$5000,$V168))</f>
        <v/>
      </c>
      <c r="Z168" s="9" t="s">
        <v>489</v>
      </c>
      <c r="AB168" s="9" t="str">
        <f t="shared" si="26"/>
        <v/>
      </c>
      <c r="AC168" s="9" t="str">
        <f t="shared" si="27"/>
        <v/>
      </c>
      <c r="AH168" t="str">
        <f>IF($AF168="","",IFERROR(SUMIFS(SummaryHelper!$H$2:$H$5000,SummaryHelper!$A$2:$A$5000,$AE168,SummaryHelper!$B$2:$B$5000,$AF168,SummaryHelper!$C$2:$C$5000,$AG168)/SUMIFS(SummaryHelper!$G$2:$G$5000,SummaryHelper!$A$2:$A$5000,$AE168,SummaryHelper!$B$2:$B$5000,$AF168,SummaryHelper!$C$2:$C$5000,$AG168),""))</f>
        <v/>
      </c>
      <c r="AI168" t="str">
        <f>IF($AF168="","",SUMIFS(SummaryHelper!$E$2:$E$5000,SummaryHelper!$A$2:$A$5000,$AE168,SummaryHelper!$B$2:$B$5000,$AF168,SummaryHelper!$C$2:$C$5000,$AG168))</f>
        <v/>
      </c>
      <c r="AJ168" t="str">
        <f>IF($AF168="","",SUMIFS(SummaryHelper!$F$2:$F$5000,SummaryHelper!$A$2:$A$5000,$AE168,SummaryHelper!$B$2:$B$5000,$AF168,SummaryHelper!$C$2:$C$5000,$AG168))</f>
        <v/>
      </c>
      <c r="AK168" t="str">
        <f>IF($AF168="","",SUMIFS(SummaryHelper!$G$2:$G$5000,SummaryHelper!$A$2:$A$5000,$AE168,SummaryHelper!$B$2:$B$5000,$AF168,SummaryHelper!$C$2:$C$5000,$AG168))</f>
        <v/>
      </c>
      <c r="AM168" t="str">
        <f t="shared" si="28"/>
        <v/>
      </c>
      <c r="AN168" t="str">
        <f t="shared" si="29"/>
        <v/>
      </c>
    </row>
    <row r="169" spans="1:40" x14ac:dyDescent="0.25">
      <c r="A169" s="12"/>
      <c r="C169" s="9"/>
      <c r="D169" s="9"/>
      <c r="E169" s="9"/>
      <c r="F169" s="9"/>
      <c r="G169" s="9"/>
      <c r="L169" s="9" t="str">
        <f>IF($J169="","",IFERROR(SUMIFS(SummaryHelper!$H$2:$H$5000,SummaryHelper!$A$2:$A$5000,$I169,SummaryHelper!$B$2:$B$5000,$J169,SummaryHelper!$C$2:$C$5000,$K169)/SUMIFS(SummaryHelper!$G$2:$G$5000,SummaryHelper!$A$2:$A$5000,$I169,SummaryHelper!$B$2:$B$5000,$J169,SummaryHelper!$C$2:$C$5000,$K169),""))</f>
        <v/>
      </c>
      <c r="M169" s="9" t="str">
        <f>IF($J169="","",SUMIFS(SummaryHelper!$E$2:$E$5000,SummaryHelper!$A$2:$A$5000,$I169,SummaryHelper!$B$2:$B$5000,$J169,SummaryHelper!$C$2:$C$5000,$K169))</f>
        <v/>
      </c>
      <c r="N169" s="9" t="str">
        <f>IF($J169="","",SUMIFS(SummaryHelper!$F$2:$F$5000,SummaryHelper!$A$2:$A$5000,$I169,SummaryHelper!$B$2:$B$5000,$J169,SummaryHelper!$C$2:$C$5000,$K169))</f>
        <v/>
      </c>
      <c r="O169" s="9" t="str">
        <f>IF($J169="","",SUMIFS(SummaryHelper!$G$2:$G$5000,SummaryHelper!$A$2:$A$5000,$I169,SummaryHelper!$B$2:$B$5000,$J169,SummaryHelper!$C$2:$C$5000,$K169))</f>
        <v/>
      </c>
      <c r="Q169" s="9" t="str">
        <f t="shared" si="24"/>
        <v/>
      </c>
      <c r="R169" s="9" t="str">
        <f t="shared" si="25"/>
        <v/>
      </c>
      <c r="W169" s="9" t="str">
        <f>IF($U169="","",IFERROR(SUMIFS(SummaryHelper!$H$2:$H$5000,SummaryHelper!$A$2:$A$5000,$T169,SummaryHelper!$B$2:$B$5000,$U169,SummaryHelper!$C$2:$C$5000,$V169)/SUMIFS(SummaryHelper!$G$2:$G$5000,SummaryHelper!$A$2:$A$5000,$T169,SummaryHelper!$B$2:$B$5000,$U169,SummaryHelper!$C$2:$C$5000,$V169),""))</f>
        <v/>
      </c>
      <c r="X169" s="9" t="str">
        <f>IF($U169="","",SUMIFS(SummaryHelper!$E$2:$E$5000,SummaryHelper!$A$2:$A$5000,$T169,SummaryHelper!$B$2:$B$5000,$U169,SummaryHelper!$C$2:$C$5000,$V169))</f>
        <v/>
      </c>
      <c r="Y169" s="9" t="str">
        <f>IF($U169="","",SUMIFS(SummaryHelper!$F$2:$F$5000,SummaryHelper!$A$2:$A$5000,$T169,SummaryHelper!$B$2:$B$5000,$U169,SummaryHelper!$C$2:$C$5000,$V169))</f>
        <v/>
      </c>
      <c r="Z169" s="9" t="s">
        <v>489</v>
      </c>
      <c r="AB169" s="9" t="str">
        <f t="shared" si="26"/>
        <v/>
      </c>
      <c r="AC169" s="9" t="str">
        <f t="shared" si="27"/>
        <v/>
      </c>
      <c r="AH169" t="str">
        <f>IF($AF169="","",IFERROR(SUMIFS(SummaryHelper!$H$2:$H$5000,SummaryHelper!$A$2:$A$5000,$AE169,SummaryHelper!$B$2:$B$5000,$AF169,SummaryHelper!$C$2:$C$5000,$AG169)/SUMIFS(SummaryHelper!$G$2:$G$5000,SummaryHelper!$A$2:$A$5000,$AE169,SummaryHelper!$B$2:$B$5000,$AF169,SummaryHelper!$C$2:$C$5000,$AG169),""))</f>
        <v/>
      </c>
      <c r="AI169" t="str">
        <f>IF($AF169="","",SUMIFS(SummaryHelper!$E$2:$E$5000,SummaryHelper!$A$2:$A$5000,$AE169,SummaryHelper!$B$2:$B$5000,$AF169,SummaryHelper!$C$2:$C$5000,$AG169))</f>
        <v/>
      </c>
      <c r="AJ169" t="str">
        <f>IF($AF169="","",SUMIFS(SummaryHelper!$F$2:$F$5000,SummaryHelper!$A$2:$A$5000,$AE169,SummaryHelper!$B$2:$B$5000,$AF169,SummaryHelper!$C$2:$C$5000,$AG169))</f>
        <v/>
      </c>
      <c r="AK169" t="str">
        <f>IF($AF169="","",SUMIFS(SummaryHelper!$G$2:$G$5000,SummaryHelper!$A$2:$A$5000,$AE169,SummaryHelper!$B$2:$B$5000,$AF169,SummaryHelper!$C$2:$C$5000,$AG169))</f>
        <v/>
      </c>
      <c r="AM169" t="str">
        <f t="shared" si="28"/>
        <v/>
      </c>
      <c r="AN169" t="str">
        <f t="shared" si="29"/>
        <v/>
      </c>
    </row>
    <row r="170" spans="1:40" x14ac:dyDescent="0.25">
      <c r="A170" s="12"/>
      <c r="C170" s="9"/>
      <c r="D170" s="9"/>
      <c r="E170" s="9"/>
      <c r="F170" s="9"/>
      <c r="G170" s="9"/>
      <c r="L170" s="9" t="str">
        <f>IF($J170="","",IFERROR(SUMIFS(SummaryHelper!$H$2:$H$5000,SummaryHelper!$A$2:$A$5000,$I170,SummaryHelper!$B$2:$B$5000,$J170,SummaryHelper!$C$2:$C$5000,$K170)/SUMIFS(SummaryHelper!$G$2:$G$5000,SummaryHelper!$A$2:$A$5000,$I170,SummaryHelper!$B$2:$B$5000,$J170,SummaryHelper!$C$2:$C$5000,$K170),""))</f>
        <v/>
      </c>
      <c r="M170" s="9" t="str">
        <f>IF($J170="","",SUMIFS(SummaryHelper!$E$2:$E$5000,SummaryHelper!$A$2:$A$5000,$I170,SummaryHelper!$B$2:$B$5000,$J170,SummaryHelper!$C$2:$C$5000,$K170))</f>
        <v/>
      </c>
      <c r="N170" s="9" t="str">
        <f>IF($J170="","",SUMIFS(SummaryHelper!$F$2:$F$5000,SummaryHelper!$A$2:$A$5000,$I170,SummaryHelper!$B$2:$B$5000,$J170,SummaryHelper!$C$2:$C$5000,$K170))</f>
        <v/>
      </c>
      <c r="O170" s="9" t="str">
        <f>IF($J170="","",SUMIFS(SummaryHelper!$G$2:$G$5000,SummaryHelper!$A$2:$A$5000,$I170,SummaryHelper!$B$2:$B$5000,$J170,SummaryHelper!$C$2:$C$5000,$K170))</f>
        <v/>
      </c>
      <c r="Q170" s="9" t="str">
        <f t="shared" si="24"/>
        <v/>
      </c>
      <c r="R170" s="9" t="str">
        <f t="shared" si="25"/>
        <v/>
      </c>
      <c r="W170" s="9" t="str">
        <f>IF($U170="","",IFERROR(SUMIFS(SummaryHelper!$H$2:$H$5000,SummaryHelper!$A$2:$A$5000,$T170,SummaryHelper!$B$2:$B$5000,$U170,SummaryHelper!$C$2:$C$5000,$V170)/SUMIFS(SummaryHelper!$G$2:$G$5000,SummaryHelper!$A$2:$A$5000,$T170,SummaryHelper!$B$2:$B$5000,$U170,SummaryHelper!$C$2:$C$5000,$V170),""))</f>
        <v/>
      </c>
      <c r="X170" s="9" t="str">
        <f>IF($U170="","",SUMIFS(SummaryHelper!$E$2:$E$5000,SummaryHelper!$A$2:$A$5000,$T170,SummaryHelper!$B$2:$B$5000,$U170,SummaryHelper!$C$2:$C$5000,$V170))</f>
        <v/>
      </c>
      <c r="Y170" s="9" t="str">
        <f>IF($U170="","",SUMIFS(SummaryHelper!$F$2:$F$5000,SummaryHelper!$A$2:$A$5000,$T170,SummaryHelper!$B$2:$B$5000,$U170,SummaryHelper!$C$2:$C$5000,$V170))</f>
        <v/>
      </c>
      <c r="Z170" s="9" t="s">
        <v>489</v>
      </c>
      <c r="AB170" s="9" t="str">
        <f t="shared" si="26"/>
        <v/>
      </c>
      <c r="AC170" s="9" t="str">
        <f t="shared" si="27"/>
        <v/>
      </c>
      <c r="AH170" t="str">
        <f>IF($AF170="","",IFERROR(SUMIFS(SummaryHelper!$H$2:$H$5000,SummaryHelper!$A$2:$A$5000,$AE170,SummaryHelper!$B$2:$B$5000,$AF170,SummaryHelper!$C$2:$C$5000,$AG170)/SUMIFS(SummaryHelper!$G$2:$G$5000,SummaryHelper!$A$2:$A$5000,$AE170,SummaryHelper!$B$2:$B$5000,$AF170,SummaryHelper!$C$2:$C$5000,$AG170),""))</f>
        <v/>
      </c>
      <c r="AI170" t="str">
        <f>IF($AF170="","",SUMIFS(SummaryHelper!$E$2:$E$5000,SummaryHelper!$A$2:$A$5000,$AE170,SummaryHelper!$B$2:$B$5000,$AF170,SummaryHelper!$C$2:$C$5000,$AG170))</f>
        <v/>
      </c>
      <c r="AJ170" t="str">
        <f>IF($AF170="","",SUMIFS(SummaryHelper!$F$2:$F$5000,SummaryHelper!$A$2:$A$5000,$AE170,SummaryHelper!$B$2:$B$5000,$AF170,SummaryHelper!$C$2:$C$5000,$AG170))</f>
        <v/>
      </c>
      <c r="AK170" t="str">
        <f>IF($AF170="","",SUMIFS(SummaryHelper!$G$2:$G$5000,SummaryHelper!$A$2:$A$5000,$AE170,SummaryHelper!$B$2:$B$5000,$AF170,SummaryHelper!$C$2:$C$5000,$AG170))</f>
        <v/>
      </c>
      <c r="AM170" t="str">
        <f t="shared" si="28"/>
        <v/>
      </c>
      <c r="AN170" t="str">
        <f t="shared" si="29"/>
        <v/>
      </c>
    </row>
    <row r="171" spans="1:40" x14ac:dyDescent="0.25">
      <c r="A171" s="12"/>
      <c r="C171" s="9"/>
      <c r="D171" s="9"/>
      <c r="E171" s="9"/>
      <c r="F171" s="9"/>
      <c r="G171" s="9"/>
      <c r="L171" s="9" t="str">
        <f>IF($J171="","",IFERROR(SUMIFS(SummaryHelper!$H$2:$H$5000,SummaryHelper!$A$2:$A$5000,$I171,SummaryHelper!$B$2:$B$5000,$J171,SummaryHelper!$C$2:$C$5000,$K171)/SUMIFS(SummaryHelper!$G$2:$G$5000,SummaryHelper!$A$2:$A$5000,$I171,SummaryHelper!$B$2:$B$5000,$J171,SummaryHelper!$C$2:$C$5000,$K171),""))</f>
        <v/>
      </c>
      <c r="M171" s="9" t="str">
        <f>IF($J171="","",SUMIFS(SummaryHelper!$E$2:$E$5000,SummaryHelper!$A$2:$A$5000,$I171,SummaryHelper!$B$2:$B$5000,$J171,SummaryHelper!$C$2:$C$5000,$K171))</f>
        <v/>
      </c>
      <c r="N171" s="9" t="str">
        <f>IF($J171="","",SUMIFS(SummaryHelper!$F$2:$F$5000,SummaryHelper!$A$2:$A$5000,$I171,SummaryHelper!$B$2:$B$5000,$J171,SummaryHelper!$C$2:$C$5000,$K171))</f>
        <v/>
      </c>
      <c r="O171" s="9" t="str">
        <f>IF($J171="","",SUMIFS(SummaryHelper!$G$2:$G$5000,SummaryHelper!$A$2:$A$5000,$I171,SummaryHelper!$B$2:$B$5000,$J171,SummaryHelper!$C$2:$C$5000,$K171))</f>
        <v/>
      </c>
      <c r="Q171" s="9" t="str">
        <f t="shared" si="24"/>
        <v/>
      </c>
      <c r="R171" s="9" t="str">
        <f t="shared" si="25"/>
        <v/>
      </c>
      <c r="W171" s="9" t="str">
        <f>IF($U171="","",IFERROR(SUMIFS(SummaryHelper!$H$2:$H$5000,SummaryHelper!$A$2:$A$5000,$T171,SummaryHelper!$B$2:$B$5000,$U171,SummaryHelper!$C$2:$C$5000,$V171)/SUMIFS(SummaryHelper!$G$2:$G$5000,SummaryHelper!$A$2:$A$5000,$T171,SummaryHelper!$B$2:$B$5000,$U171,SummaryHelper!$C$2:$C$5000,$V171),""))</f>
        <v/>
      </c>
      <c r="X171" s="9" t="str">
        <f>IF($U171="","",SUMIFS(SummaryHelper!$E$2:$E$5000,SummaryHelper!$A$2:$A$5000,$T171,SummaryHelper!$B$2:$B$5000,$U171,SummaryHelper!$C$2:$C$5000,$V171))</f>
        <v/>
      </c>
      <c r="Y171" s="9" t="str">
        <f>IF($U171="","",SUMIFS(SummaryHelper!$F$2:$F$5000,SummaryHelper!$A$2:$A$5000,$T171,SummaryHelper!$B$2:$B$5000,$U171,SummaryHelper!$C$2:$C$5000,$V171))</f>
        <v/>
      </c>
      <c r="Z171" s="9" t="s">
        <v>489</v>
      </c>
      <c r="AB171" s="9" t="str">
        <f t="shared" si="26"/>
        <v/>
      </c>
      <c r="AC171" s="9" t="str">
        <f t="shared" si="27"/>
        <v/>
      </c>
      <c r="AH171" t="str">
        <f>IF($AF171="","",IFERROR(SUMIFS(SummaryHelper!$H$2:$H$5000,SummaryHelper!$A$2:$A$5000,$AE171,SummaryHelper!$B$2:$B$5000,$AF171,SummaryHelper!$C$2:$C$5000,$AG171)/SUMIFS(SummaryHelper!$G$2:$G$5000,SummaryHelper!$A$2:$A$5000,$AE171,SummaryHelper!$B$2:$B$5000,$AF171,SummaryHelper!$C$2:$C$5000,$AG171),""))</f>
        <v/>
      </c>
      <c r="AI171" t="str">
        <f>IF($AF171="","",SUMIFS(SummaryHelper!$E$2:$E$5000,SummaryHelper!$A$2:$A$5000,$AE171,SummaryHelper!$B$2:$B$5000,$AF171,SummaryHelper!$C$2:$C$5000,$AG171))</f>
        <v/>
      </c>
      <c r="AJ171" t="str">
        <f>IF($AF171="","",SUMIFS(SummaryHelper!$F$2:$F$5000,SummaryHelper!$A$2:$A$5000,$AE171,SummaryHelper!$B$2:$B$5000,$AF171,SummaryHelper!$C$2:$C$5000,$AG171))</f>
        <v/>
      </c>
      <c r="AK171" t="str">
        <f>IF($AF171="","",SUMIFS(SummaryHelper!$G$2:$G$5000,SummaryHelper!$A$2:$A$5000,$AE171,SummaryHelper!$B$2:$B$5000,$AF171,SummaryHelper!$C$2:$C$5000,$AG171))</f>
        <v/>
      </c>
      <c r="AM171" t="str">
        <f t="shared" si="28"/>
        <v/>
      </c>
      <c r="AN171" t="str">
        <f t="shared" si="29"/>
        <v/>
      </c>
    </row>
    <row r="172" spans="1:40" x14ac:dyDescent="0.25">
      <c r="A172" s="12"/>
      <c r="C172" s="9"/>
      <c r="D172" s="9"/>
      <c r="E172" s="9"/>
      <c r="F172" s="9"/>
      <c r="G172" s="9"/>
      <c r="L172" s="9" t="str">
        <f>IF($J172="","",IFERROR(SUMIFS(SummaryHelper!$H$2:$H$5000,SummaryHelper!$A$2:$A$5000,$I172,SummaryHelper!$B$2:$B$5000,$J172,SummaryHelper!$C$2:$C$5000,$K172)/SUMIFS(SummaryHelper!$G$2:$G$5000,SummaryHelper!$A$2:$A$5000,$I172,SummaryHelper!$B$2:$B$5000,$J172,SummaryHelper!$C$2:$C$5000,$K172),""))</f>
        <v/>
      </c>
      <c r="M172" s="9" t="str">
        <f>IF($J172="","",SUMIFS(SummaryHelper!$E$2:$E$5000,SummaryHelper!$A$2:$A$5000,$I172,SummaryHelper!$B$2:$B$5000,$J172,SummaryHelper!$C$2:$C$5000,$K172))</f>
        <v/>
      </c>
      <c r="N172" s="9" t="str">
        <f>IF($J172="","",SUMIFS(SummaryHelper!$F$2:$F$5000,SummaryHelper!$A$2:$A$5000,$I172,SummaryHelper!$B$2:$B$5000,$J172,SummaryHelper!$C$2:$C$5000,$K172))</f>
        <v/>
      </c>
      <c r="O172" s="9" t="str">
        <f>IF($J172="","",SUMIFS(SummaryHelper!$G$2:$G$5000,SummaryHelper!$A$2:$A$5000,$I172,SummaryHelper!$B$2:$B$5000,$J172,SummaryHelper!$C$2:$C$5000,$K172))</f>
        <v/>
      </c>
      <c r="Q172" s="9" t="str">
        <f t="shared" si="24"/>
        <v/>
      </c>
      <c r="R172" s="9" t="str">
        <f t="shared" si="25"/>
        <v/>
      </c>
      <c r="W172" s="9" t="str">
        <f>IF($U172="","",IFERROR(SUMIFS(SummaryHelper!$H$2:$H$5000,SummaryHelper!$A$2:$A$5000,$T172,SummaryHelper!$B$2:$B$5000,$U172,SummaryHelper!$C$2:$C$5000,$V172)/SUMIFS(SummaryHelper!$G$2:$G$5000,SummaryHelper!$A$2:$A$5000,$T172,SummaryHelper!$B$2:$B$5000,$U172,SummaryHelper!$C$2:$C$5000,$V172),""))</f>
        <v/>
      </c>
      <c r="X172" s="9" t="str">
        <f>IF($U172="","",SUMIFS(SummaryHelper!$E$2:$E$5000,SummaryHelper!$A$2:$A$5000,$T172,SummaryHelper!$B$2:$B$5000,$U172,SummaryHelper!$C$2:$C$5000,$V172))</f>
        <v/>
      </c>
      <c r="Y172" s="9" t="str">
        <f>IF($U172="","",SUMIFS(SummaryHelper!$F$2:$F$5000,SummaryHelper!$A$2:$A$5000,$T172,SummaryHelper!$B$2:$B$5000,$U172,SummaryHelper!$C$2:$C$5000,$V172))</f>
        <v/>
      </c>
      <c r="Z172" s="9" t="s">
        <v>489</v>
      </c>
      <c r="AB172" s="9" t="str">
        <f t="shared" si="26"/>
        <v/>
      </c>
      <c r="AC172" s="9" t="str">
        <f t="shared" si="27"/>
        <v/>
      </c>
      <c r="AH172" t="str">
        <f>IF($AF172="","",IFERROR(SUMIFS(SummaryHelper!$H$2:$H$5000,SummaryHelper!$A$2:$A$5000,$AE172,SummaryHelper!$B$2:$B$5000,$AF172,SummaryHelper!$C$2:$C$5000,$AG172)/SUMIFS(SummaryHelper!$G$2:$G$5000,SummaryHelper!$A$2:$A$5000,$AE172,SummaryHelper!$B$2:$B$5000,$AF172,SummaryHelper!$C$2:$C$5000,$AG172),""))</f>
        <v/>
      </c>
      <c r="AI172" t="str">
        <f>IF($AF172="","",SUMIFS(SummaryHelper!$E$2:$E$5000,SummaryHelper!$A$2:$A$5000,$AE172,SummaryHelper!$B$2:$B$5000,$AF172,SummaryHelper!$C$2:$C$5000,$AG172))</f>
        <v/>
      </c>
      <c r="AJ172" t="str">
        <f>IF($AF172="","",SUMIFS(SummaryHelper!$F$2:$F$5000,SummaryHelper!$A$2:$A$5000,$AE172,SummaryHelper!$B$2:$B$5000,$AF172,SummaryHelper!$C$2:$C$5000,$AG172))</f>
        <v/>
      </c>
      <c r="AK172" t="str">
        <f>IF($AF172="","",SUMIFS(SummaryHelper!$G$2:$G$5000,SummaryHelper!$A$2:$A$5000,$AE172,SummaryHelper!$B$2:$B$5000,$AF172,SummaryHelper!$C$2:$C$5000,$AG172))</f>
        <v/>
      </c>
      <c r="AM172" t="str">
        <f t="shared" si="28"/>
        <v/>
      </c>
      <c r="AN172" t="str">
        <f t="shared" si="29"/>
        <v/>
      </c>
    </row>
    <row r="173" spans="1:40" x14ac:dyDescent="0.25">
      <c r="A173" s="12"/>
      <c r="C173" s="9"/>
      <c r="D173" s="9"/>
      <c r="E173" s="9"/>
      <c r="F173" s="9"/>
      <c r="G173" s="9"/>
      <c r="L173" s="9" t="str">
        <f>IF($J173="","",IFERROR(SUMIFS(SummaryHelper!$H$2:$H$5000,SummaryHelper!$A$2:$A$5000,$I173,SummaryHelper!$B$2:$B$5000,$J173,SummaryHelper!$C$2:$C$5000,$K173)/SUMIFS(SummaryHelper!$G$2:$G$5000,SummaryHelper!$A$2:$A$5000,$I173,SummaryHelper!$B$2:$B$5000,$J173,SummaryHelper!$C$2:$C$5000,$K173),""))</f>
        <v/>
      </c>
      <c r="M173" s="9" t="str">
        <f>IF($J173="","",SUMIFS(SummaryHelper!$E$2:$E$5000,SummaryHelper!$A$2:$A$5000,$I173,SummaryHelper!$B$2:$B$5000,$J173,SummaryHelper!$C$2:$C$5000,$K173))</f>
        <v/>
      </c>
      <c r="N173" s="9" t="str">
        <f>IF($J173="","",SUMIFS(SummaryHelper!$F$2:$F$5000,SummaryHelper!$A$2:$A$5000,$I173,SummaryHelper!$B$2:$B$5000,$J173,SummaryHelper!$C$2:$C$5000,$K173))</f>
        <v/>
      </c>
      <c r="O173" s="9" t="str">
        <f>IF($J173="","",SUMIFS(SummaryHelper!$G$2:$G$5000,SummaryHelper!$A$2:$A$5000,$I173,SummaryHelper!$B$2:$B$5000,$J173,SummaryHelper!$C$2:$C$5000,$K173))</f>
        <v/>
      </c>
      <c r="Q173" s="9" t="str">
        <f t="shared" si="24"/>
        <v/>
      </c>
      <c r="R173" s="9" t="str">
        <f t="shared" si="25"/>
        <v/>
      </c>
      <c r="W173" s="9" t="str">
        <f>IF($U173="","",IFERROR(SUMIFS(SummaryHelper!$H$2:$H$5000,SummaryHelper!$A$2:$A$5000,$T173,SummaryHelper!$B$2:$B$5000,$U173,SummaryHelper!$C$2:$C$5000,$V173)/SUMIFS(SummaryHelper!$G$2:$G$5000,SummaryHelper!$A$2:$A$5000,$T173,SummaryHelper!$B$2:$B$5000,$U173,SummaryHelper!$C$2:$C$5000,$V173),""))</f>
        <v/>
      </c>
      <c r="X173" s="9" t="str">
        <f>IF($U173="","",SUMIFS(SummaryHelper!$E$2:$E$5000,SummaryHelper!$A$2:$A$5000,$T173,SummaryHelper!$B$2:$B$5000,$U173,SummaryHelper!$C$2:$C$5000,$V173))</f>
        <v/>
      </c>
      <c r="Y173" s="9" t="str">
        <f>IF($U173="","",SUMIFS(SummaryHelper!$F$2:$F$5000,SummaryHelper!$A$2:$A$5000,$T173,SummaryHelper!$B$2:$B$5000,$U173,SummaryHelper!$C$2:$C$5000,$V173))</f>
        <v/>
      </c>
      <c r="Z173" s="9" t="s">
        <v>489</v>
      </c>
      <c r="AB173" s="9" t="str">
        <f t="shared" si="26"/>
        <v/>
      </c>
      <c r="AC173" s="9" t="str">
        <f t="shared" si="27"/>
        <v/>
      </c>
      <c r="AH173" t="str">
        <f>IF($AF173="","",IFERROR(SUMIFS(SummaryHelper!$H$2:$H$5000,SummaryHelper!$A$2:$A$5000,$AE173,SummaryHelper!$B$2:$B$5000,$AF173,SummaryHelper!$C$2:$C$5000,$AG173)/SUMIFS(SummaryHelper!$G$2:$G$5000,SummaryHelper!$A$2:$A$5000,$AE173,SummaryHelper!$B$2:$B$5000,$AF173,SummaryHelper!$C$2:$C$5000,$AG173),""))</f>
        <v/>
      </c>
      <c r="AI173" t="str">
        <f>IF($AF173="","",SUMIFS(SummaryHelper!$E$2:$E$5000,SummaryHelper!$A$2:$A$5000,$AE173,SummaryHelper!$B$2:$B$5000,$AF173,SummaryHelper!$C$2:$C$5000,$AG173))</f>
        <v/>
      </c>
      <c r="AJ173" t="str">
        <f>IF($AF173="","",SUMIFS(SummaryHelper!$F$2:$F$5000,SummaryHelper!$A$2:$A$5000,$AE173,SummaryHelper!$B$2:$B$5000,$AF173,SummaryHelper!$C$2:$C$5000,$AG173))</f>
        <v/>
      </c>
      <c r="AK173" t="str">
        <f>IF($AF173="","",SUMIFS(SummaryHelper!$G$2:$G$5000,SummaryHelper!$A$2:$A$5000,$AE173,SummaryHelper!$B$2:$B$5000,$AF173,SummaryHelper!$C$2:$C$5000,$AG173))</f>
        <v/>
      </c>
      <c r="AM173" t="str">
        <f t="shared" si="28"/>
        <v/>
      </c>
      <c r="AN173" t="str">
        <f t="shared" si="29"/>
        <v/>
      </c>
    </row>
    <row r="174" spans="1:40" x14ac:dyDescent="0.25">
      <c r="A174" s="12"/>
      <c r="C174" s="9"/>
      <c r="D174" s="9"/>
      <c r="E174" s="9"/>
      <c r="F174" s="9"/>
      <c r="G174" s="9"/>
      <c r="L174" s="9" t="str">
        <f>IF($J174="","",IFERROR(SUMIFS(SummaryHelper!$H$2:$H$5000,SummaryHelper!$A$2:$A$5000,$I174,SummaryHelper!$B$2:$B$5000,$J174,SummaryHelper!$C$2:$C$5000,$K174)/SUMIFS(SummaryHelper!$G$2:$G$5000,SummaryHelper!$A$2:$A$5000,$I174,SummaryHelper!$B$2:$B$5000,$J174,SummaryHelper!$C$2:$C$5000,$K174),""))</f>
        <v/>
      </c>
      <c r="M174" s="9" t="str">
        <f>IF($J174="","",SUMIFS(SummaryHelper!$E$2:$E$5000,SummaryHelper!$A$2:$A$5000,$I174,SummaryHelper!$B$2:$B$5000,$J174,SummaryHelper!$C$2:$C$5000,$K174))</f>
        <v/>
      </c>
      <c r="N174" s="9" t="str">
        <f>IF($J174="","",SUMIFS(SummaryHelper!$F$2:$F$5000,SummaryHelper!$A$2:$A$5000,$I174,SummaryHelper!$B$2:$B$5000,$J174,SummaryHelper!$C$2:$C$5000,$K174))</f>
        <v/>
      </c>
      <c r="O174" s="9" t="str">
        <f>IF($J174="","",SUMIFS(SummaryHelper!$G$2:$G$5000,SummaryHelper!$A$2:$A$5000,$I174,SummaryHelper!$B$2:$B$5000,$J174,SummaryHelper!$C$2:$C$5000,$K174))</f>
        <v/>
      </c>
      <c r="Q174" s="9" t="str">
        <f t="shared" si="24"/>
        <v/>
      </c>
      <c r="R174" s="9" t="str">
        <f t="shared" si="25"/>
        <v/>
      </c>
      <c r="W174" s="9" t="str">
        <f>IF($U174="","",IFERROR(SUMIFS(SummaryHelper!$H$2:$H$5000,SummaryHelper!$A$2:$A$5000,$T174,SummaryHelper!$B$2:$B$5000,$U174,SummaryHelper!$C$2:$C$5000,$V174)/SUMIFS(SummaryHelper!$G$2:$G$5000,SummaryHelper!$A$2:$A$5000,$T174,SummaryHelper!$B$2:$B$5000,$U174,SummaryHelper!$C$2:$C$5000,$V174),""))</f>
        <v/>
      </c>
      <c r="X174" s="9" t="str">
        <f>IF($U174="","",SUMIFS(SummaryHelper!$E$2:$E$5000,SummaryHelper!$A$2:$A$5000,$T174,SummaryHelper!$B$2:$B$5000,$U174,SummaryHelper!$C$2:$C$5000,$V174))</f>
        <v/>
      </c>
      <c r="Y174" s="9" t="str">
        <f>IF($U174="","",SUMIFS(SummaryHelper!$F$2:$F$5000,SummaryHelper!$A$2:$A$5000,$T174,SummaryHelper!$B$2:$B$5000,$U174,SummaryHelper!$C$2:$C$5000,$V174))</f>
        <v/>
      </c>
      <c r="Z174" s="9" t="s">
        <v>489</v>
      </c>
      <c r="AB174" s="9" t="str">
        <f t="shared" si="26"/>
        <v/>
      </c>
      <c r="AC174" s="9" t="str">
        <f t="shared" si="27"/>
        <v/>
      </c>
      <c r="AH174" t="str">
        <f>IF($AF174="","",IFERROR(SUMIFS(SummaryHelper!$H$2:$H$5000,SummaryHelper!$A$2:$A$5000,$AE174,SummaryHelper!$B$2:$B$5000,$AF174,SummaryHelper!$C$2:$C$5000,$AG174)/SUMIFS(SummaryHelper!$G$2:$G$5000,SummaryHelper!$A$2:$A$5000,$AE174,SummaryHelper!$B$2:$B$5000,$AF174,SummaryHelper!$C$2:$C$5000,$AG174),""))</f>
        <v/>
      </c>
      <c r="AI174" t="str">
        <f>IF($AF174="","",SUMIFS(SummaryHelper!$E$2:$E$5000,SummaryHelper!$A$2:$A$5000,$AE174,SummaryHelper!$B$2:$B$5000,$AF174,SummaryHelper!$C$2:$C$5000,$AG174))</f>
        <v/>
      </c>
      <c r="AJ174" t="str">
        <f>IF($AF174="","",SUMIFS(SummaryHelper!$F$2:$F$5000,SummaryHelper!$A$2:$A$5000,$AE174,SummaryHelper!$B$2:$B$5000,$AF174,SummaryHelper!$C$2:$C$5000,$AG174))</f>
        <v/>
      </c>
      <c r="AK174" t="str">
        <f>IF($AF174="","",SUMIFS(SummaryHelper!$G$2:$G$5000,SummaryHelper!$A$2:$A$5000,$AE174,SummaryHelper!$B$2:$B$5000,$AF174,SummaryHelper!$C$2:$C$5000,$AG174))</f>
        <v/>
      </c>
      <c r="AM174" t="str">
        <f t="shared" si="28"/>
        <v/>
      </c>
      <c r="AN174" t="str">
        <f t="shared" si="29"/>
        <v/>
      </c>
    </row>
    <row r="175" spans="1:40" x14ac:dyDescent="0.25">
      <c r="A175" s="12"/>
      <c r="C175" s="9"/>
      <c r="D175" s="9"/>
      <c r="E175" s="9"/>
      <c r="F175" s="9"/>
      <c r="G175" s="9"/>
      <c r="L175" s="9" t="str">
        <f>IF($J175="","",IFERROR(SUMIFS(SummaryHelper!$H$2:$H$5000,SummaryHelper!$A$2:$A$5000,$I175,SummaryHelper!$B$2:$B$5000,$J175,SummaryHelper!$C$2:$C$5000,$K175)/SUMIFS(SummaryHelper!$G$2:$G$5000,SummaryHelper!$A$2:$A$5000,$I175,SummaryHelper!$B$2:$B$5000,$J175,SummaryHelper!$C$2:$C$5000,$K175),""))</f>
        <v/>
      </c>
      <c r="M175" s="9" t="str">
        <f>IF($J175="","",SUMIFS(SummaryHelper!$E$2:$E$5000,SummaryHelper!$A$2:$A$5000,$I175,SummaryHelper!$B$2:$B$5000,$J175,SummaryHelper!$C$2:$C$5000,$K175))</f>
        <v/>
      </c>
      <c r="N175" s="9" t="str">
        <f>IF($J175="","",SUMIFS(SummaryHelper!$F$2:$F$5000,SummaryHelper!$A$2:$A$5000,$I175,SummaryHelper!$B$2:$B$5000,$J175,SummaryHelper!$C$2:$C$5000,$K175))</f>
        <v/>
      </c>
      <c r="O175" s="9" t="str">
        <f>IF($J175="","",SUMIFS(SummaryHelper!$G$2:$G$5000,SummaryHelper!$A$2:$A$5000,$I175,SummaryHelper!$B$2:$B$5000,$J175,SummaryHelper!$C$2:$C$5000,$K175))</f>
        <v/>
      </c>
      <c r="Q175" s="9" t="str">
        <f t="shared" si="24"/>
        <v/>
      </c>
      <c r="R175" s="9" t="str">
        <f t="shared" si="25"/>
        <v/>
      </c>
      <c r="W175" s="9" t="str">
        <f>IF($U175="","",IFERROR(SUMIFS(SummaryHelper!$H$2:$H$5000,SummaryHelper!$A$2:$A$5000,$T175,SummaryHelper!$B$2:$B$5000,$U175,SummaryHelper!$C$2:$C$5000,$V175)/SUMIFS(SummaryHelper!$G$2:$G$5000,SummaryHelper!$A$2:$A$5000,$T175,SummaryHelper!$B$2:$B$5000,$U175,SummaryHelper!$C$2:$C$5000,$V175),""))</f>
        <v/>
      </c>
      <c r="X175" s="9" t="str">
        <f>IF($U175="","",SUMIFS(SummaryHelper!$E$2:$E$5000,SummaryHelper!$A$2:$A$5000,$T175,SummaryHelper!$B$2:$B$5000,$U175,SummaryHelper!$C$2:$C$5000,$V175))</f>
        <v/>
      </c>
      <c r="Y175" s="9" t="str">
        <f>IF($U175="","",SUMIFS(SummaryHelper!$F$2:$F$5000,SummaryHelper!$A$2:$A$5000,$T175,SummaryHelper!$B$2:$B$5000,$U175,SummaryHelper!$C$2:$C$5000,$V175))</f>
        <v/>
      </c>
      <c r="Z175" s="9" t="s">
        <v>489</v>
      </c>
      <c r="AB175" s="9" t="str">
        <f t="shared" si="26"/>
        <v/>
      </c>
      <c r="AC175" s="9" t="str">
        <f t="shared" si="27"/>
        <v/>
      </c>
      <c r="AH175" t="str">
        <f>IF($AF175="","",IFERROR(SUMIFS(SummaryHelper!$H$2:$H$5000,SummaryHelper!$A$2:$A$5000,$AE175,SummaryHelper!$B$2:$B$5000,$AF175,SummaryHelper!$C$2:$C$5000,$AG175)/SUMIFS(SummaryHelper!$G$2:$G$5000,SummaryHelper!$A$2:$A$5000,$AE175,SummaryHelper!$B$2:$B$5000,$AF175,SummaryHelper!$C$2:$C$5000,$AG175),""))</f>
        <v/>
      </c>
      <c r="AI175" t="str">
        <f>IF($AF175="","",SUMIFS(SummaryHelper!$E$2:$E$5000,SummaryHelper!$A$2:$A$5000,$AE175,SummaryHelper!$B$2:$B$5000,$AF175,SummaryHelper!$C$2:$C$5000,$AG175))</f>
        <v/>
      </c>
      <c r="AJ175" t="str">
        <f>IF($AF175="","",SUMIFS(SummaryHelper!$F$2:$F$5000,SummaryHelper!$A$2:$A$5000,$AE175,SummaryHelper!$B$2:$B$5000,$AF175,SummaryHelper!$C$2:$C$5000,$AG175))</f>
        <v/>
      </c>
      <c r="AK175" t="str">
        <f>IF($AF175="","",SUMIFS(SummaryHelper!$G$2:$G$5000,SummaryHelper!$A$2:$A$5000,$AE175,SummaryHelper!$B$2:$B$5000,$AF175,SummaryHelper!$C$2:$C$5000,$AG175))</f>
        <v/>
      </c>
      <c r="AM175" t="str">
        <f t="shared" si="28"/>
        <v/>
      </c>
      <c r="AN175" t="str">
        <f t="shared" si="29"/>
        <v/>
      </c>
    </row>
    <row r="176" spans="1:40" x14ac:dyDescent="0.25">
      <c r="A176" s="12"/>
      <c r="C176" s="9"/>
      <c r="D176" s="9"/>
      <c r="E176" s="9"/>
      <c r="F176" s="9"/>
      <c r="G176" s="9"/>
      <c r="L176" s="9" t="str">
        <f>IF($J176="","",IFERROR(SUMIFS(SummaryHelper!$H$2:$H$5000,SummaryHelper!$A$2:$A$5000,$I176,SummaryHelper!$B$2:$B$5000,$J176,SummaryHelper!$C$2:$C$5000,$K176)/SUMIFS(SummaryHelper!$G$2:$G$5000,SummaryHelper!$A$2:$A$5000,$I176,SummaryHelper!$B$2:$B$5000,$J176,SummaryHelper!$C$2:$C$5000,$K176),""))</f>
        <v/>
      </c>
      <c r="M176" s="9" t="str">
        <f>IF($J176="","",SUMIFS(SummaryHelper!$E$2:$E$5000,SummaryHelper!$A$2:$A$5000,$I176,SummaryHelper!$B$2:$B$5000,$J176,SummaryHelper!$C$2:$C$5000,$K176))</f>
        <v/>
      </c>
      <c r="N176" s="9" t="str">
        <f>IF($J176="","",SUMIFS(SummaryHelper!$F$2:$F$5000,SummaryHelper!$A$2:$A$5000,$I176,SummaryHelper!$B$2:$B$5000,$J176,SummaryHelper!$C$2:$C$5000,$K176))</f>
        <v/>
      </c>
      <c r="O176" s="9" t="str">
        <f>IF($J176="","",SUMIFS(SummaryHelper!$G$2:$G$5000,SummaryHelper!$A$2:$A$5000,$I176,SummaryHelper!$B$2:$B$5000,$J176,SummaryHelper!$C$2:$C$5000,$K176))</f>
        <v/>
      </c>
      <c r="Q176" s="9" t="str">
        <f t="shared" si="24"/>
        <v/>
      </c>
      <c r="R176" s="9" t="str">
        <f t="shared" si="25"/>
        <v/>
      </c>
      <c r="W176" s="9" t="str">
        <f>IF($U176="","",IFERROR(SUMIFS(SummaryHelper!$H$2:$H$5000,SummaryHelper!$A$2:$A$5000,$T176,SummaryHelper!$B$2:$B$5000,$U176,SummaryHelper!$C$2:$C$5000,$V176)/SUMIFS(SummaryHelper!$G$2:$G$5000,SummaryHelper!$A$2:$A$5000,$T176,SummaryHelper!$B$2:$B$5000,$U176,SummaryHelper!$C$2:$C$5000,$V176),""))</f>
        <v/>
      </c>
      <c r="X176" s="9" t="str">
        <f>IF($U176="","",SUMIFS(SummaryHelper!$E$2:$E$5000,SummaryHelper!$A$2:$A$5000,$T176,SummaryHelper!$B$2:$B$5000,$U176,SummaryHelper!$C$2:$C$5000,$V176))</f>
        <v/>
      </c>
      <c r="Y176" s="9" t="str">
        <f>IF($U176="","",SUMIFS(SummaryHelper!$F$2:$F$5000,SummaryHelper!$A$2:$A$5000,$T176,SummaryHelper!$B$2:$B$5000,$U176,SummaryHelper!$C$2:$C$5000,$V176))</f>
        <v/>
      </c>
      <c r="Z176" s="9" t="s">
        <v>489</v>
      </c>
      <c r="AB176" s="9" t="str">
        <f t="shared" si="26"/>
        <v/>
      </c>
      <c r="AC176" s="9" t="str">
        <f t="shared" si="27"/>
        <v/>
      </c>
      <c r="AH176" t="str">
        <f>IF($AF176="","",IFERROR(SUMIFS(SummaryHelper!$H$2:$H$5000,SummaryHelper!$A$2:$A$5000,$AE176,SummaryHelper!$B$2:$B$5000,$AF176,SummaryHelper!$C$2:$C$5000,$AG176)/SUMIFS(SummaryHelper!$G$2:$G$5000,SummaryHelper!$A$2:$A$5000,$AE176,SummaryHelper!$B$2:$B$5000,$AF176,SummaryHelper!$C$2:$C$5000,$AG176),""))</f>
        <v/>
      </c>
      <c r="AI176" t="str">
        <f>IF($AF176="","",SUMIFS(SummaryHelper!$E$2:$E$5000,SummaryHelper!$A$2:$A$5000,$AE176,SummaryHelper!$B$2:$B$5000,$AF176,SummaryHelper!$C$2:$C$5000,$AG176))</f>
        <v/>
      </c>
      <c r="AJ176" t="str">
        <f>IF($AF176="","",SUMIFS(SummaryHelper!$F$2:$F$5000,SummaryHelper!$A$2:$A$5000,$AE176,SummaryHelper!$B$2:$B$5000,$AF176,SummaryHelper!$C$2:$C$5000,$AG176))</f>
        <v/>
      </c>
      <c r="AK176" t="str">
        <f>IF($AF176="","",SUMIFS(SummaryHelper!$G$2:$G$5000,SummaryHelper!$A$2:$A$5000,$AE176,SummaryHelper!$B$2:$B$5000,$AF176,SummaryHelper!$C$2:$C$5000,$AG176))</f>
        <v/>
      </c>
      <c r="AM176" t="str">
        <f t="shared" si="28"/>
        <v/>
      </c>
      <c r="AN176" t="str">
        <f t="shared" si="29"/>
        <v/>
      </c>
    </row>
    <row r="177" spans="1:40" x14ac:dyDescent="0.25">
      <c r="A177" s="12"/>
      <c r="C177" s="9"/>
      <c r="D177" s="9"/>
      <c r="E177" s="9"/>
      <c r="F177" s="9"/>
      <c r="G177" s="9"/>
      <c r="L177" s="9" t="str">
        <f>IF($J177="","",IFERROR(SUMIFS(SummaryHelper!$H$2:$H$5000,SummaryHelper!$A$2:$A$5000,$I177,SummaryHelper!$B$2:$B$5000,$J177,SummaryHelper!$C$2:$C$5000,$K177)/SUMIFS(SummaryHelper!$G$2:$G$5000,SummaryHelper!$A$2:$A$5000,$I177,SummaryHelper!$B$2:$B$5000,$J177,SummaryHelper!$C$2:$C$5000,$K177),""))</f>
        <v/>
      </c>
      <c r="M177" s="9" t="str">
        <f>IF($J177="","",SUMIFS(SummaryHelper!$E$2:$E$5000,SummaryHelper!$A$2:$A$5000,$I177,SummaryHelper!$B$2:$B$5000,$J177,SummaryHelper!$C$2:$C$5000,$K177))</f>
        <v/>
      </c>
      <c r="N177" s="9" t="str">
        <f>IF($J177="","",SUMIFS(SummaryHelper!$F$2:$F$5000,SummaryHelper!$A$2:$A$5000,$I177,SummaryHelper!$B$2:$B$5000,$J177,SummaryHelper!$C$2:$C$5000,$K177))</f>
        <v/>
      </c>
      <c r="O177" s="9" t="str">
        <f>IF($J177="","",SUMIFS(SummaryHelper!$G$2:$G$5000,SummaryHelper!$A$2:$A$5000,$I177,SummaryHelper!$B$2:$B$5000,$J177,SummaryHelper!$C$2:$C$5000,$K177))</f>
        <v/>
      </c>
      <c r="Q177" s="9" t="str">
        <f t="shared" si="24"/>
        <v/>
      </c>
      <c r="R177" s="9" t="str">
        <f t="shared" si="25"/>
        <v/>
      </c>
      <c r="W177" s="9" t="str">
        <f>IF($U177="","",IFERROR(SUMIFS(SummaryHelper!$H$2:$H$5000,SummaryHelper!$A$2:$A$5000,$T177,SummaryHelper!$B$2:$B$5000,$U177,SummaryHelper!$C$2:$C$5000,$V177)/SUMIFS(SummaryHelper!$G$2:$G$5000,SummaryHelper!$A$2:$A$5000,$T177,SummaryHelper!$B$2:$B$5000,$U177,SummaryHelper!$C$2:$C$5000,$V177),""))</f>
        <v/>
      </c>
      <c r="X177" s="9" t="str">
        <f>IF($U177="","",SUMIFS(SummaryHelper!$E$2:$E$5000,SummaryHelper!$A$2:$A$5000,$T177,SummaryHelper!$B$2:$B$5000,$U177,SummaryHelper!$C$2:$C$5000,$V177))</f>
        <v/>
      </c>
      <c r="Y177" s="9" t="str">
        <f>IF($U177="","",SUMIFS(SummaryHelper!$F$2:$F$5000,SummaryHelper!$A$2:$A$5000,$T177,SummaryHelper!$B$2:$B$5000,$U177,SummaryHelper!$C$2:$C$5000,$V177))</f>
        <v/>
      </c>
      <c r="Z177" s="9" t="s">
        <v>489</v>
      </c>
      <c r="AB177" s="9" t="str">
        <f t="shared" si="26"/>
        <v/>
      </c>
      <c r="AC177" s="9" t="str">
        <f t="shared" si="27"/>
        <v/>
      </c>
      <c r="AH177" t="str">
        <f>IF($AF177="","",IFERROR(SUMIFS(SummaryHelper!$H$2:$H$5000,SummaryHelper!$A$2:$A$5000,$AE177,SummaryHelper!$B$2:$B$5000,$AF177,SummaryHelper!$C$2:$C$5000,$AG177)/SUMIFS(SummaryHelper!$G$2:$G$5000,SummaryHelper!$A$2:$A$5000,$AE177,SummaryHelper!$B$2:$B$5000,$AF177,SummaryHelper!$C$2:$C$5000,$AG177),""))</f>
        <v/>
      </c>
      <c r="AI177" t="str">
        <f>IF($AF177="","",SUMIFS(SummaryHelper!$E$2:$E$5000,SummaryHelper!$A$2:$A$5000,$AE177,SummaryHelper!$B$2:$B$5000,$AF177,SummaryHelper!$C$2:$C$5000,$AG177))</f>
        <v/>
      </c>
      <c r="AJ177" t="str">
        <f>IF($AF177="","",SUMIFS(SummaryHelper!$F$2:$F$5000,SummaryHelper!$A$2:$A$5000,$AE177,SummaryHelper!$B$2:$B$5000,$AF177,SummaryHelper!$C$2:$C$5000,$AG177))</f>
        <v/>
      </c>
      <c r="AK177" t="str">
        <f>IF($AF177="","",SUMIFS(SummaryHelper!$G$2:$G$5000,SummaryHelper!$A$2:$A$5000,$AE177,SummaryHelper!$B$2:$B$5000,$AF177,SummaryHelper!$C$2:$C$5000,$AG177))</f>
        <v/>
      </c>
      <c r="AM177" t="str">
        <f t="shared" si="28"/>
        <v/>
      </c>
      <c r="AN177" t="str">
        <f t="shared" si="29"/>
        <v/>
      </c>
    </row>
    <row r="178" spans="1:40" x14ac:dyDescent="0.25">
      <c r="A178" s="12"/>
      <c r="C178" s="9"/>
      <c r="D178" s="9"/>
      <c r="E178" s="9"/>
      <c r="F178" s="9"/>
      <c r="G178" s="9"/>
      <c r="L178" s="9" t="str">
        <f>IF($J178="","",IFERROR(SUMIFS(SummaryHelper!$H$2:$H$5000,SummaryHelper!$A$2:$A$5000,$I178,SummaryHelper!$B$2:$B$5000,$J178,SummaryHelper!$C$2:$C$5000,$K178)/SUMIFS(SummaryHelper!$G$2:$G$5000,SummaryHelper!$A$2:$A$5000,$I178,SummaryHelper!$B$2:$B$5000,$J178,SummaryHelper!$C$2:$C$5000,$K178),""))</f>
        <v/>
      </c>
      <c r="M178" s="9" t="str">
        <f>IF($J178="","",SUMIFS(SummaryHelper!$E$2:$E$5000,SummaryHelper!$A$2:$A$5000,$I178,SummaryHelper!$B$2:$B$5000,$J178,SummaryHelper!$C$2:$C$5000,$K178))</f>
        <v/>
      </c>
      <c r="N178" s="9" t="str">
        <f>IF($J178="","",SUMIFS(SummaryHelper!$F$2:$F$5000,SummaryHelper!$A$2:$A$5000,$I178,SummaryHelper!$B$2:$B$5000,$J178,SummaryHelper!$C$2:$C$5000,$K178))</f>
        <v/>
      </c>
      <c r="O178" s="9" t="str">
        <f>IF($J178="","",SUMIFS(SummaryHelper!$G$2:$G$5000,SummaryHelper!$A$2:$A$5000,$I178,SummaryHelper!$B$2:$B$5000,$J178,SummaryHelper!$C$2:$C$5000,$K178))</f>
        <v/>
      </c>
      <c r="Q178" s="9" t="str">
        <f t="shared" si="24"/>
        <v/>
      </c>
      <c r="R178" s="9" t="str">
        <f t="shared" si="25"/>
        <v/>
      </c>
      <c r="W178" s="9" t="str">
        <f>IF($U178="","",IFERROR(SUMIFS(SummaryHelper!$H$2:$H$5000,SummaryHelper!$A$2:$A$5000,$T178,SummaryHelper!$B$2:$B$5000,$U178,SummaryHelper!$C$2:$C$5000,$V178)/SUMIFS(SummaryHelper!$G$2:$G$5000,SummaryHelper!$A$2:$A$5000,$T178,SummaryHelper!$B$2:$B$5000,$U178,SummaryHelper!$C$2:$C$5000,$V178),""))</f>
        <v/>
      </c>
      <c r="X178" s="9" t="str">
        <f>IF($U178="","",SUMIFS(SummaryHelper!$E$2:$E$5000,SummaryHelper!$A$2:$A$5000,$T178,SummaryHelper!$B$2:$B$5000,$U178,SummaryHelper!$C$2:$C$5000,$V178))</f>
        <v/>
      </c>
      <c r="Y178" s="9" t="str">
        <f>IF($U178="","",SUMIFS(SummaryHelper!$F$2:$F$5000,SummaryHelper!$A$2:$A$5000,$T178,SummaryHelper!$B$2:$B$5000,$U178,SummaryHelper!$C$2:$C$5000,$V178))</f>
        <v/>
      </c>
      <c r="Z178" s="9" t="s">
        <v>489</v>
      </c>
      <c r="AB178" s="9" t="str">
        <f t="shared" si="26"/>
        <v/>
      </c>
      <c r="AC178" s="9" t="str">
        <f t="shared" si="27"/>
        <v/>
      </c>
      <c r="AH178" t="str">
        <f>IF($AF178="","",IFERROR(SUMIFS(SummaryHelper!$H$2:$H$5000,SummaryHelper!$A$2:$A$5000,$AE178,SummaryHelper!$B$2:$B$5000,$AF178,SummaryHelper!$C$2:$C$5000,$AG178)/SUMIFS(SummaryHelper!$G$2:$G$5000,SummaryHelper!$A$2:$A$5000,$AE178,SummaryHelper!$B$2:$B$5000,$AF178,SummaryHelper!$C$2:$C$5000,$AG178),""))</f>
        <v/>
      </c>
      <c r="AI178" t="str">
        <f>IF($AF178="","",SUMIFS(SummaryHelper!$E$2:$E$5000,SummaryHelper!$A$2:$A$5000,$AE178,SummaryHelper!$B$2:$B$5000,$AF178,SummaryHelper!$C$2:$C$5000,$AG178))</f>
        <v/>
      </c>
      <c r="AJ178" t="str">
        <f>IF($AF178="","",SUMIFS(SummaryHelper!$F$2:$F$5000,SummaryHelper!$A$2:$A$5000,$AE178,SummaryHelper!$B$2:$B$5000,$AF178,SummaryHelper!$C$2:$C$5000,$AG178))</f>
        <v/>
      </c>
      <c r="AK178" t="str">
        <f>IF($AF178="","",SUMIFS(SummaryHelper!$G$2:$G$5000,SummaryHelper!$A$2:$A$5000,$AE178,SummaryHelper!$B$2:$B$5000,$AF178,SummaryHelper!$C$2:$C$5000,$AG178))</f>
        <v/>
      </c>
      <c r="AM178" t="str">
        <f t="shared" si="28"/>
        <v/>
      </c>
      <c r="AN178" t="str">
        <f t="shared" si="29"/>
        <v/>
      </c>
    </row>
    <row r="179" spans="1:40" x14ac:dyDescent="0.25">
      <c r="A179" s="12"/>
      <c r="C179" s="9"/>
      <c r="D179" s="9"/>
      <c r="E179" s="9"/>
      <c r="F179" s="9"/>
      <c r="G179" s="9"/>
      <c r="L179" s="9" t="str">
        <f>IF($J179="","",IFERROR(SUMIFS(SummaryHelper!$H$2:$H$5000,SummaryHelper!$A$2:$A$5000,$I179,SummaryHelper!$B$2:$B$5000,$J179,SummaryHelper!$C$2:$C$5000,$K179)/SUMIFS(SummaryHelper!$G$2:$G$5000,SummaryHelper!$A$2:$A$5000,$I179,SummaryHelper!$B$2:$B$5000,$J179,SummaryHelper!$C$2:$C$5000,$K179),""))</f>
        <v/>
      </c>
      <c r="M179" s="9" t="str">
        <f>IF($J179="","",SUMIFS(SummaryHelper!$E$2:$E$5000,SummaryHelper!$A$2:$A$5000,$I179,SummaryHelper!$B$2:$B$5000,$J179,SummaryHelper!$C$2:$C$5000,$K179))</f>
        <v/>
      </c>
      <c r="N179" s="9" t="str">
        <f>IF($J179="","",SUMIFS(SummaryHelper!$F$2:$F$5000,SummaryHelper!$A$2:$A$5000,$I179,SummaryHelper!$B$2:$B$5000,$J179,SummaryHelper!$C$2:$C$5000,$K179))</f>
        <v/>
      </c>
      <c r="O179" s="9" t="str">
        <f>IF($J179="","",SUMIFS(SummaryHelper!$G$2:$G$5000,SummaryHelper!$A$2:$A$5000,$I179,SummaryHelper!$B$2:$B$5000,$J179,SummaryHelper!$C$2:$C$5000,$K179))</f>
        <v/>
      </c>
      <c r="Q179" s="9" t="str">
        <f t="shared" si="24"/>
        <v/>
      </c>
      <c r="R179" s="9" t="str">
        <f t="shared" si="25"/>
        <v/>
      </c>
      <c r="W179" s="9" t="str">
        <f>IF($U179="","",IFERROR(SUMIFS(SummaryHelper!$H$2:$H$5000,SummaryHelper!$A$2:$A$5000,$T179,SummaryHelper!$B$2:$B$5000,$U179,SummaryHelper!$C$2:$C$5000,$V179)/SUMIFS(SummaryHelper!$G$2:$G$5000,SummaryHelper!$A$2:$A$5000,$T179,SummaryHelper!$B$2:$B$5000,$U179,SummaryHelper!$C$2:$C$5000,$V179),""))</f>
        <v/>
      </c>
      <c r="X179" s="9" t="str">
        <f>IF($U179="","",SUMIFS(SummaryHelper!$E$2:$E$5000,SummaryHelper!$A$2:$A$5000,$T179,SummaryHelper!$B$2:$B$5000,$U179,SummaryHelper!$C$2:$C$5000,$V179))</f>
        <v/>
      </c>
      <c r="Y179" s="9" t="str">
        <f>IF($U179="","",SUMIFS(SummaryHelper!$F$2:$F$5000,SummaryHelper!$A$2:$A$5000,$T179,SummaryHelper!$B$2:$B$5000,$U179,SummaryHelper!$C$2:$C$5000,$V179))</f>
        <v/>
      </c>
      <c r="Z179" s="9" t="s">
        <v>489</v>
      </c>
      <c r="AB179" s="9" t="str">
        <f t="shared" si="26"/>
        <v/>
      </c>
      <c r="AC179" s="9" t="str">
        <f t="shared" si="27"/>
        <v/>
      </c>
      <c r="AH179" t="str">
        <f>IF($AF179="","",IFERROR(SUMIFS(SummaryHelper!$H$2:$H$5000,SummaryHelper!$A$2:$A$5000,$AE179,SummaryHelper!$B$2:$B$5000,$AF179,SummaryHelper!$C$2:$C$5000,$AG179)/SUMIFS(SummaryHelper!$G$2:$G$5000,SummaryHelper!$A$2:$A$5000,$AE179,SummaryHelper!$B$2:$B$5000,$AF179,SummaryHelper!$C$2:$C$5000,$AG179),""))</f>
        <v/>
      </c>
      <c r="AI179" t="str">
        <f>IF($AF179="","",SUMIFS(SummaryHelper!$E$2:$E$5000,SummaryHelper!$A$2:$A$5000,$AE179,SummaryHelper!$B$2:$B$5000,$AF179,SummaryHelper!$C$2:$C$5000,$AG179))</f>
        <v/>
      </c>
      <c r="AJ179" t="str">
        <f>IF($AF179="","",SUMIFS(SummaryHelper!$F$2:$F$5000,SummaryHelper!$A$2:$A$5000,$AE179,SummaryHelper!$B$2:$B$5000,$AF179,SummaryHelper!$C$2:$C$5000,$AG179))</f>
        <v/>
      </c>
      <c r="AK179" t="str">
        <f>IF($AF179="","",SUMIFS(SummaryHelper!$G$2:$G$5000,SummaryHelper!$A$2:$A$5000,$AE179,SummaryHelper!$B$2:$B$5000,$AF179,SummaryHelper!$C$2:$C$5000,$AG179))</f>
        <v/>
      </c>
      <c r="AM179" t="str">
        <f t="shared" si="28"/>
        <v/>
      </c>
      <c r="AN179" t="str">
        <f t="shared" si="29"/>
        <v/>
      </c>
    </row>
    <row r="180" spans="1:40" x14ac:dyDescent="0.25">
      <c r="A180" s="12"/>
      <c r="C180" s="9"/>
      <c r="D180" s="9"/>
      <c r="E180" s="9"/>
      <c r="F180" s="9"/>
      <c r="G180" s="9"/>
      <c r="L180" s="9" t="str">
        <f>IF($J180="","",IFERROR(SUMIFS(SummaryHelper!$H$2:$H$5000,SummaryHelper!$A$2:$A$5000,$I180,SummaryHelper!$B$2:$B$5000,$J180,SummaryHelper!$C$2:$C$5000,$K180)/SUMIFS(SummaryHelper!$G$2:$G$5000,SummaryHelper!$A$2:$A$5000,$I180,SummaryHelper!$B$2:$B$5000,$J180,SummaryHelper!$C$2:$C$5000,$K180),""))</f>
        <v/>
      </c>
      <c r="M180" s="9" t="str">
        <f>IF($J180="","",SUMIFS(SummaryHelper!$E$2:$E$5000,SummaryHelper!$A$2:$A$5000,$I180,SummaryHelper!$B$2:$B$5000,$J180,SummaryHelper!$C$2:$C$5000,$K180))</f>
        <v/>
      </c>
      <c r="N180" s="9" t="str">
        <f>IF($J180="","",SUMIFS(SummaryHelper!$F$2:$F$5000,SummaryHelper!$A$2:$A$5000,$I180,SummaryHelper!$B$2:$B$5000,$J180,SummaryHelper!$C$2:$C$5000,$K180))</f>
        <v/>
      </c>
      <c r="O180" s="9" t="str">
        <f>IF($J180="","",SUMIFS(SummaryHelper!$G$2:$G$5000,SummaryHelper!$A$2:$A$5000,$I180,SummaryHelper!$B$2:$B$5000,$J180,SummaryHelper!$C$2:$C$5000,$K180))</f>
        <v/>
      </c>
      <c r="Q180" s="9" t="str">
        <f t="shared" si="24"/>
        <v/>
      </c>
      <c r="R180" s="9" t="str">
        <f t="shared" si="25"/>
        <v/>
      </c>
      <c r="W180" s="9" t="str">
        <f>IF($U180="","",IFERROR(SUMIFS(SummaryHelper!$H$2:$H$5000,SummaryHelper!$A$2:$A$5000,$T180,SummaryHelper!$B$2:$B$5000,$U180,SummaryHelper!$C$2:$C$5000,$V180)/SUMIFS(SummaryHelper!$G$2:$G$5000,SummaryHelper!$A$2:$A$5000,$T180,SummaryHelper!$B$2:$B$5000,$U180,SummaryHelper!$C$2:$C$5000,$V180),""))</f>
        <v/>
      </c>
      <c r="X180" s="9" t="str">
        <f>IF($U180="","",SUMIFS(SummaryHelper!$E$2:$E$5000,SummaryHelper!$A$2:$A$5000,$T180,SummaryHelper!$B$2:$B$5000,$U180,SummaryHelper!$C$2:$C$5000,$V180))</f>
        <v/>
      </c>
      <c r="Y180" s="9" t="str">
        <f>IF($U180="","",SUMIFS(SummaryHelper!$F$2:$F$5000,SummaryHelper!$A$2:$A$5000,$T180,SummaryHelper!$B$2:$B$5000,$U180,SummaryHelper!$C$2:$C$5000,$V180))</f>
        <v/>
      </c>
      <c r="Z180" s="9" t="s">
        <v>489</v>
      </c>
      <c r="AB180" s="9" t="str">
        <f t="shared" si="26"/>
        <v/>
      </c>
      <c r="AC180" s="9" t="str">
        <f t="shared" si="27"/>
        <v/>
      </c>
      <c r="AH180" t="str">
        <f>IF($AF180="","",IFERROR(SUMIFS(SummaryHelper!$H$2:$H$5000,SummaryHelper!$A$2:$A$5000,$AE180,SummaryHelper!$B$2:$B$5000,$AF180,SummaryHelper!$C$2:$C$5000,$AG180)/SUMIFS(SummaryHelper!$G$2:$G$5000,SummaryHelper!$A$2:$A$5000,$AE180,SummaryHelper!$B$2:$B$5000,$AF180,SummaryHelper!$C$2:$C$5000,$AG180),""))</f>
        <v/>
      </c>
      <c r="AI180" t="str">
        <f>IF($AF180="","",SUMIFS(SummaryHelper!$E$2:$E$5000,SummaryHelper!$A$2:$A$5000,$AE180,SummaryHelper!$B$2:$B$5000,$AF180,SummaryHelper!$C$2:$C$5000,$AG180))</f>
        <v/>
      </c>
      <c r="AJ180" t="str">
        <f>IF($AF180="","",SUMIFS(SummaryHelper!$F$2:$F$5000,SummaryHelper!$A$2:$A$5000,$AE180,SummaryHelper!$B$2:$B$5000,$AF180,SummaryHelper!$C$2:$C$5000,$AG180))</f>
        <v/>
      </c>
      <c r="AK180" t="str">
        <f>IF($AF180="","",SUMIFS(SummaryHelper!$G$2:$G$5000,SummaryHelper!$A$2:$A$5000,$AE180,SummaryHelper!$B$2:$B$5000,$AF180,SummaryHelper!$C$2:$C$5000,$AG180))</f>
        <v/>
      </c>
      <c r="AM180" t="str">
        <f t="shared" si="28"/>
        <v/>
      </c>
      <c r="AN180" t="str">
        <f t="shared" si="29"/>
        <v/>
      </c>
    </row>
    <row r="181" spans="1:40" x14ac:dyDescent="0.25">
      <c r="A181" s="12"/>
      <c r="C181" s="9"/>
      <c r="D181" s="9"/>
      <c r="E181" s="9"/>
      <c r="F181" s="9"/>
      <c r="G181" s="9"/>
      <c r="L181" s="9" t="str">
        <f>IF($J181="","",IFERROR(SUMIFS(SummaryHelper!$H$2:$H$5000,SummaryHelper!$A$2:$A$5000,$I181,SummaryHelper!$B$2:$B$5000,$J181,SummaryHelper!$C$2:$C$5000,$K181)/SUMIFS(SummaryHelper!$G$2:$G$5000,SummaryHelper!$A$2:$A$5000,$I181,SummaryHelper!$B$2:$B$5000,$J181,SummaryHelper!$C$2:$C$5000,$K181),""))</f>
        <v/>
      </c>
      <c r="M181" s="9" t="str">
        <f>IF($J181="","",SUMIFS(SummaryHelper!$E$2:$E$5000,SummaryHelper!$A$2:$A$5000,$I181,SummaryHelper!$B$2:$B$5000,$J181,SummaryHelper!$C$2:$C$5000,$K181))</f>
        <v/>
      </c>
      <c r="N181" s="9" t="str">
        <f>IF($J181="","",SUMIFS(SummaryHelper!$F$2:$F$5000,SummaryHelper!$A$2:$A$5000,$I181,SummaryHelper!$B$2:$B$5000,$J181,SummaryHelper!$C$2:$C$5000,$K181))</f>
        <v/>
      </c>
      <c r="O181" s="9" t="str">
        <f>IF($J181="","",SUMIFS(SummaryHelper!$G$2:$G$5000,SummaryHelper!$A$2:$A$5000,$I181,SummaryHelper!$B$2:$B$5000,$J181,SummaryHelper!$C$2:$C$5000,$K181))</f>
        <v/>
      </c>
      <c r="Q181" s="9" t="str">
        <f t="shared" si="24"/>
        <v/>
      </c>
      <c r="R181" s="9" t="str">
        <f t="shared" si="25"/>
        <v/>
      </c>
      <c r="W181" s="9" t="str">
        <f>IF($U181="","",IFERROR(SUMIFS(SummaryHelper!$H$2:$H$5000,SummaryHelper!$A$2:$A$5000,$T181,SummaryHelper!$B$2:$B$5000,$U181,SummaryHelper!$C$2:$C$5000,$V181)/SUMIFS(SummaryHelper!$G$2:$G$5000,SummaryHelper!$A$2:$A$5000,$T181,SummaryHelper!$B$2:$B$5000,$U181,SummaryHelper!$C$2:$C$5000,$V181),""))</f>
        <v/>
      </c>
      <c r="X181" s="9" t="str">
        <f>IF($U181="","",SUMIFS(SummaryHelper!$E$2:$E$5000,SummaryHelper!$A$2:$A$5000,$T181,SummaryHelper!$B$2:$B$5000,$U181,SummaryHelper!$C$2:$C$5000,$V181))</f>
        <v/>
      </c>
      <c r="Y181" s="9" t="str">
        <f>IF($U181="","",SUMIFS(SummaryHelper!$F$2:$F$5000,SummaryHelper!$A$2:$A$5000,$T181,SummaryHelper!$B$2:$B$5000,$U181,SummaryHelper!$C$2:$C$5000,$V181))</f>
        <v/>
      </c>
      <c r="Z181" s="9" t="s">
        <v>489</v>
      </c>
      <c r="AB181" s="9" t="str">
        <f t="shared" si="26"/>
        <v/>
      </c>
      <c r="AC181" s="9" t="str">
        <f t="shared" si="27"/>
        <v/>
      </c>
      <c r="AH181" t="str">
        <f>IF($AF181="","",IFERROR(SUMIFS(SummaryHelper!$H$2:$H$5000,SummaryHelper!$A$2:$A$5000,$AE181,SummaryHelper!$B$2:$B$5000,$AF181,SummaryHelper!$C$2:$C$5000,$AG181)/SUMIFS(SummaryHelper!$G$2:$G$5000,SummaryHelper!$A$2:$A$5000,$AE181,SummaryHelper!$B$2:$B$5000,$AF181,SummaryHelper!$C$2:$C$5000,$AG181),""))</f>
        <v/>
      </c>
      <c r="AI181" t="str">
        <f>IF($AF181="","",SUMIFS(SummaryHelper!$E$2:$E$5000,SummaryHelper!$A$2:$A$5000,$AE181,SummaryHelper!$B$2:$B$5000,$AF181,SummaryHelper!$C$2:$C$5000,$AG181))</f>
        <v/>
      </c>
      <c r="AJ181" t="str">
        <f>IF($AF181="","",SUMIFS(SummaryHelper!$F$2:$F$5000,SummaryHelper!$A$2:$A$5000,$AE181,SummaryHelper!$B$2:$B$5000,$AF181,SummaryHelper!$C$2:$C$5000,$AG181))</f>
        <v/>
      </c>
      <c r="AK181" t="str">
        <f>IF($AF181="","",SUMIFS(SummaryHelper!$G$2:$G$5000,SummaryHelper!$A$2:$A$5000,$AE181,SummaryHelper!$B$2:$B$5000,$AF181,SummaryHelper!$C$2:$C$5000,$AG181))</f>
        <v/>
      </c>
      <c r="AM181" t="str">
        <f t="shared" si="28"/>
        <v/>
      </c>
      <c r="AN181" t="str">
        <f t="shared" si="29"/>
        <v/>
      </c>
    </row>
    <row r="182" spans="1:40" x14ac:dyDescent="0.25">
      <c r="A182" s="12"/>
      <c r="C182" s="9"/>
      <c r="D182" s="9"/>
      <c r="E182" s="9"/>
      <c r="F182" s="9"/>
      <c r="G182" s="9"/>
      <c r="L182" s="9" t="str">
        <f>IF($J182="","",IFERROR(SUMIFS(SummaryHelper!$H$2:$H$5000,SummaryHelper!$A$2:$A$5000,$I182,SummaryHelper!$B$2:$B$5000,$J182,SummaryHelper!$C$2:$C$5000,$K182)/SUMIFS(SummaryHelper!$G$2:$G$5000,SummaryHelper!$A$2:$A$5000,$I182,SummaryHelper!$B$2:$B$5000,$J182,SummaryHelper!$C$2:$C$5000,$K182),""))</f>
        <v/>
      </c>
      <c r="M182" s="9" t="str">
        <f>IF($J182="","",SUMIFS(SummaryHelper!$E$2:$E$5000,SummaryHelper!$A$2:$A$5000,$I182,SummaryHelper!$B$2:$B$5000,$J182,SummaryHelper!$C$2:$C$5000,$K182))</f>
        <v/>
      </c>
      <c r="N182" s="9" t="str">
        <f>IF($J182="","",SUMIFS(SummaryHelper!$F$2:$F$5000,SummaryHelper!$A$2:$A$5000,$I182,SummaryHelper!$B$2:$B$5000,$J182,SummaryHelper!$C$2:$C$5000,$K182))</f>
        <v/>
      </c>
      <c r="O182" s="9" t="str">
        <f>IF($J182="","",SUMIFS(SummaryHelper!$G$2:$G$5000,SummaryHelper!$A$2:$A$5000,$I182,SummaryHelper!$B$2:$B$5000,$J182,SummaryHelper!$C$2:$C$5000,$K182))</f>
        <v/>
      </c>
      <c r="Q182" s="9" t="str">
        <f t="shared" si="24"/>
        <v/>
      </c>
      <c r="R182" s="9" t="str">
        <f t="shared" si="25"/>
        <v/>
      </c>
      <c r="W182" s="9" t="str">
        <f>IF($U182="","",IFERROR(SUMIFS(SummaryHelper!$H$2:$H$5000,SummaryHelper!$A$2:$A$5000,$T182,SummaryHelper!$B$2:$B$5000,$U182,SummaryHelper!$C$2:$C$5000,$V182)/SUMIFS(SummaryHelper!$G$2:$G$5000,SummaryHelper!$A$2:$A$5000,$T182,SummaryHelper!$B$2:$B$5000,$U182,SummaryHelper!$C$2:$C$5000,$V182),""))</f>
        <v/>
      </c>
      <c r="X182" s="9" t="str">
        <f>IF($U182="","",SUMIFS(SummaryHelper!$E$2:$E$5000,SummaryHelper!$A$2:$A$5000,$T182,SummaryHelper!$B$2:$B$5000,$U182,SummaryHelper!$C$2:$C$5000,$V182))</f>
        <v/>
      </c>
      <c r="Y182" s="9" t="str">
        <f>IF($U182="","",SUMIFS(SummaryHelper!$F$2:$F$5000,SummaryHelper!$A$2:$A$5000,$T182,SummaryHelper!$B$2:$B$5000,$U182,SummaryHelper!$C$2:$C$5000,$V182))</f>
        <v/>
      </c>
      <c r="Z182" s="9" t="s">
        <v>489</v>
      </c>
      <c r="AB182" s="9" t="str">
        <f t="shared" si="26"/>
        <v/>
      </c>
      <c r="AC182" s="9" t="str">
        <f t="shared" si="27"/>
        <v/>
      </c>
      <c r="AH182" t="str">
        <f>IF($AF182="","",IFERROR(SUMIFS(SummaryHelper!$H$2:$H$5000,SummaryHelper!$A$2:$A$5000,$AE182,SummaryHelper!$B$2:$B$5000,$AF182,SummaryHelper!$C$2:$C$5000,$AG182)/SUMIFS(SummaryHelper!$G$2:$G$5000,SummaryHelper!$A$2:$A$5000,$AE182,SummaryHelper!$B$2:$B$5000,$AF182,SummaryHelper!$C$2:$C$5000,$AG182),""))</f>
        <v/>
      </c>
      <c r="AI182" t="str">
        <f>IF($AF182="","",SUMIFS(SummaryHelper!$E$2:$E$5000,SummaryHelper!$A$2:$A$5000,$AE182,SummaryHelper!$B$2:$B$5000,$AF182,SummaryHelper!$C$2:$C$5000,$AG182))</f>
        <v/>
      </c>
      <c r="AJ182" t="str">
        <f>IF($AF182="","",SUMIFS(SummaryHelper!$F$2:$F$5000,SummaryHelper!$A$2:$A$5000,$AE182,SummaryHelper!$B$2:$B$5000,$AF182,SummaryHelper!$C$2:$C$5000,$AG182))</f>
        <v/>
      </c>
      <c r="AK182" t="str">
        <f>IF($AF182="","",SUMIFS(SummaryHelper!$G$2:$G$5000,SummaryHelper!$A$2:$A$5000,$AE182,SummaryHelper!$B$2:$B$5000,$AF182,SummaryHelper!$C$2:$C$5000,$AG182))</f>
        <v/>
      </c>
      <c r="AM182" t="str">
        <f t="shared" si="28"/>
        <v/>
      </c>
      <c r="AN182" t="str">
        <f t="shared" si="29"/>
        <v/>
      </c>
    </row>
    <row r="183" spans="1:40" x14ac:dyDescent="0.25">
      <c r="A183" s="12"/>
      <c r="C183" s="9"/>
      <c r="D183" s="9"/>
      <c r="E183" s="9"/>
      <c r="F183" s="9"/>
      <c r="G183" s="9"/>
      <c r="L183" s="9" t="str">
        <f>IF($J183="","",IFERROR(SUMIFS(SummaryHelper!$H$2:$H$5000,SummaryHelper!$A$2:$A$5000,$I183,SummaryHelper!$B$2:$B$5000,$J183,SummaryHelper!$C$2:$C$5000,$K183)/SUMIFS(SummaryHelper!$G$2:$G$5000,SummaryHelper!$A$2:$A$5000,$I183,SummaryHelper!$B$2:$B$5000,$J183,SummaryHelper!$C$2:$C$5000,$K183),""))</f>
        <v/>
      </c>
      <c r="M183" s="9" t="str">
        <f>IF($J183="","",SUMIFS(SummaryHelper!$E$2:$E$5000,SummaryHelper!$A$2:$A$5000,$I183,SummaryHelper!$B$2:$B$5000,$J183,SummaryHelper!$C$2:$C$5000,$K183))</f>
        <v/>
      </c>
      <c r="N183" s="9" t="str">
        <f>IF($J183="","",SUMIFS(SummaryHelper!$F$2:$F$5000,SummaryHelper!$A$2:$A$5000,$I183,SummaryHelper!$B$2:$B$5000,$J183,SummaryHelper!$C$2:$C$5000,$K183))</f>
        <v/>
      </c>
      <c r="O183" s="9" t="str">
        <f>IF($J183="","",SUMIFS(SummaryHelper!$G$2:$G$5000,SummaryHelper!$A$2:$A$5000,$I183,SummaryHelper!$B$2:$B$5000,$J183,SummaryHelper!$C$2:$C$5000,$K183))</f>
        <v/>
      </c>
      <c r="Q183" s="9" t="str">
        <f t="shared" si="24"/>
        <v/>
      </c>
      <c r="R183" s="9" t="str">
        <f t="shared" si="25"/>
        <v/>
      </c>
      <c r="W183" s="9" t="str">
        <f>IF($U183="","",IFERROR(SUMIFS(SummaryHelper!$H$2:$H$5000,SummaryHelper!$A$2:$A$5000,$T183,SummaryHelper!$B$2:$B$5000,$U183,SummaryHelper!$C$2:$C$5000,$V183)/SUMIFS(SummaryHelper!$G$2:$G$5000,SummaryHelper!$A$2:$A$5000,$T183,SummaryHelper!$B$2:$B$5000,$U183,SummaryHelper!$C$2:$C$5000,$V183),""))</f>
        <v/>
      </c>
      <c r="X183" s="9" t="str">
        <f>IF($U183="","",SUMIFS(SummaryHelper!$E$2:$E$5000,SummaryHelper!$A$2:$A$5000,$T183,SummaryHelper!$B$2:$B$5000,$U183,SummaryHelper!$C$2:$C$5000,$V183))</f>
        <v/>
      </c>
      <c r="Y183" s="9" t="str">
        <f>IF($U183="","",SUMIFS(SummaryHelper!$F$2:$F$5000,SummaryHelper!$A$2:$A$5000,$T183,SummaryHelper!$B$2:$B$5000,$U183,SummaryHelper!$C$2:$C$5000,$V183))</f>
        <v/>
      </c>
      <c r="Z183" s="9" t="s">
        <v>489</v>
      </c>
      <c r="AB183" s="9" t="str">
        <f t="shared" si="26"/>
        <v/>
      </c>
      <c r="AC183" s="9" t="str">
        <f t="shared" si="27"/>
        <v/>
      </c>
      <c r="AH183" t="str">
        <f>IF($AF183="","",IFERROR(SUMIFS(SummaryHelper!$H$2:$H$5000,SummaryHelper!$A$2:$A$5000,$AE183,SummaryHelper!$B$2:$B$5000,$AF183,SummaryHelper!$C$2:$C$5000,$AG183)/SUMIFS(SummaryHelper!$G$2:$G$5000,SummaryHelper!$A$2:$A$5000,$AE183,SummaryHelper!$B$2:$B$5000,$AF183,SummaryHelper!$C$2:$C$5000,$AG183),""))</f>
        <v/>
      </c>
      <c r="AI183" t="str">
        <f>IF($AF183="","",SUMIFS(SummaryHelper!$E$2:$E$5000,SummaryHelper!$A$2:$A$5000,$AE183,SummaryHelper!$B$2:$B$5000,$AF183,SummaryHelper!$C$2:$C$5000,$AG183))</f>
        <v/>
      </c>
      <c r="AJ183" t="str">
        <f>IF($AF183="","",SUMIFS(SummaryHelper!$F$2:$F$5000,SummaryHelper!$A$2:$A$5000,$AE183,SummaryHelper!$B$2:$B$5000,$AF183,SummaryHelper!$C$2:$C$5000,$AG183))</f>
        <v/>
      </c>
      <c r="AK183" t="str">
        <f>IF($AF183="","",SUMIFS(SummaryHelper!$G$2:$G$5000,SummaryHelper!$A$2:$A$5000,$AE183,SummaryHelper!$B$2:$B$5000,$AF183,SummaryHelper!$C$2:$C$5000,$AG183))</f>
        <v/>
      </c>
      <c r="AM183" t="str">
        <f t="shared" si="28"/>
        <v/>
      </c>
      <c r="AN183" t="str">
        <f t="shared" si="29"/>
        <v/>
      </c>
    </row>
    <row r="184" spans="1:40" x14ac:dyDescent="0.25">
      <c r="A184" s="12"/>
      <c r="C184" s="9"/>
      <c r="D184" s="9"/>
      <c r="E184" s="9"/>
      <c r="F184" s="9"/>
      <c r="G184" s="9"/>
      <c r="L184" s="9" t="str">
        <f>IF($J184="","",IFERROR(SUMIFS(SummaryHelper!$H$2:$H$5000,SummaryHelper!$A$2:$A$5000,$I184,SummaryHelper!$B$2:$B$5000,$J184,SummaryHelper!$C$2:$C$5000,$K184)/SUMIFS(SummaryHelper!$G$2:$G$5000,SummaryHelper!$A$2:$A$5000,$I184,SummaryHelper!$B$2:$B$5000,$J184,SummaryHelper!$C$2:$C$5000,$K184),""))</f>
        <v/>
      </c>
      <c r="M184" s="9" t="str">
        <f>IF($J184="","",SUMIFS(SummaryHelper!$E$2:$E$5000,SummaryHelper!$A$2:$A$5000,$I184,SummaryHelper!$B$2:$B$5000,$J184,SummaryHelper!$C$2:$C$5000,$K184))</f>
        <v/>
      </c>
      <c r="N184" s="9" t="str">
        <f>IF($J184="","",SUMIFS(SummaryHelper!$F$2:$F$5000,SummaryHelper!$A$2:$A$5000,$I184,SummaryHelper!$B$2:$B$5000,$J184,SummaryHelper!$C$2:$C$5000,$K184))</f>
        <v/>
      </c>
      <c r="O184" s="9" t="str">
        <f>IF($J184="","",SUMIFS(SummaryHelper!$G$2:$G$5000,SummaryHelper!$A$2:$A$5000,$I184,SummaryHelper!$B$2:$B$5000,$J184,SummaryHelper!$C$2:$C$5000,$K184))</f>
        <v/>
      </c>
      <c r="Q184" s="9" t="str">
        <f t="shared" si="24"/>
        <v/>
      </c>
      <c r="R184" s="9" t="str">
        <f t="shared" si="25"/>
        <v/>
      </c>
      <c r="W184" s="9" t="str">
        <f>IF($U184="","",IFERROR(SUMIFS(SummaryHelper!$H$2:$H$5000,SummaryHelper!$A$2:$A$5000,$T184,SummaryHelper!$B$2:$B$5000,$U184,SummaryHelper!$C$2:$C$5000,$V184)/SUMIFS(SummaryHelper!$G$2:$G$5000,SummaryHelper!$A$2:$A$5000,$T184,SummaryHelper!$B$2:$B$5000,$U184,SummaryHelper!$C$2:$C$5000,$V184),""))</f>
        <v/>
      </c>
      <c r="X184" s="9" t="str">
        <f>IF($U184="","",SUMIFS(SummaryHelper!$E$2:$E$5000,SummaryHelper!$A$2:$A$5000,$T184,SummaryHelper!$B$2:$B$5000,$U184,SummaryHelper!$C$2:$C$5000,$V184))</f>
        <v/>
      </c>
      <c r="Y184" s="9" t="str">
        <f>IF($U184="","",SUMIFS(SummaryHelper!$F$2:$F$5000,SummaryHelper!$A$2:$A$5000,$T184,SummaryHelper!$B$2:$B$5000,$U184,SummaryHelper!$C$2:$C$5000,$V184))</f>
        <v/>
      </c>
      <c r="Z184" s="9" t="s">
        <v>489</v>
      </c>
      <c r="AB184" s="9" t="str">
        <f t="shared" si="26"/>
        <v/>
      </c>
      <c r="AC184" s="9" t="str">
        <f t="shared" si="27"/>
        <v/>
      </c>
      <c r="AH184" t="str">
        <f>IF($AF184="","",IFERROR(SUMIFS(SummaryHelper!$H$2:$H$5000,SummaryHelper!$A$2:$A$5000,$AE184,SummaryHelper!$B$2:$B$5000,$AF184,SummaryHelper!$C$2:$C$5000,$AG184)/SUMIFS(SummaryHelper!$G$2:$G$5000,SummaryHelper!$A$2:$A$5000,$AE184,SummaryHelper!$B$2:$B$5000,$AF184,SummaryHelper!$C$2:$C$5000,$AG184),""))</f>
        <v/>
      </c>
      <c r="AI184" t="str">
        <f>IF($AF184="","",SUMIFS(SummaryHelper!$E$2:$E$5000,SummaryHelper!$A$2:$A$5000,$AE184,SummaryHelper!$B$2:$B$5000,$AF184,SummaryHelper!$C$2:$C$5000,$AG184))</f>
        <v/>
      </c>
      <c r="AJ184" t="str">
        <f>IF($AF184="","",SUMIFS(SummaryHelper!$F$2:$F$5000,SummaryHelper!$A$2:$A$5000,$AE184,SummaryHelper!$B$2:$B$5000,$AF184,SummaryHelper!$C$2:$C$5000,$AG184))</f>
        <v/>
      </c>
      <c r="AK184" t="str">
        <f>IF($AF184="","",SUMIFS(SummaryHelper!$G$2:$G$5000,SummaryHelper!$A$2:$A$5000,$AE184,SummaryHelper!$B$2:$B$5000,$AF184,SummaryHelper!$C$2:$C$5000,$AG184))</f>
        <v/>
      </c>
      <c r="AM184" t="str">
        <f t="shared" si="28"/>
        <v/>
      </c>
      <c r="AN184" t="str">
        <f t="shared" si="29"/>
        <v/>
      </c>
    </row>
    <row r="185" spans="1:40" x14ac:dyDescent="0.25">
      <c r="A185" s="12"/>
      <c r="C185" s="9"/>
      <c r="D185" s="9"/>
      <c r="E185" s="9"/>
      <c r="F185" s="9"/>
      <c r="G185" s="9"/>
      <c r="L185" s="9" t="str">
        <f>IF($J185="","",IFERROR(SUMIFS(SummaryHelper!$H$2:$H$5000,SummaryHelper!$A$2:$A$5000,$I185,SummaryHelper!$B$2:$B$5000,$J185,SummaryHelper!$C$2:$C$5000,$K185)/SUMIFS(SummaryHelper!$G$2:$G$5000,SummaryHelper!$A$2:$A$5000,$I185,SummaryHelper!$B$2:$B$5000,$J185,SummaryHelper!$C$2:$C$5000,$K185),""))</f>
        <v/>
      </c>
      <c r="M185" s="9" t="str">
        <f>IF($J185="","",SUMIFS(SummaryHelper!$E$2:$E$5000,SummaryHelper!$A$2:$A$5000,$I185,SummaryHelper!$B$2:$B$5000,$J185,SummaryHelper!$C$2:$C$5000,$K185))</f>
        <v/>
      </c>
      <c r="N185" s="9" t="str">
        <f>IF($J185="","",SUMIFS(SummaryHelper!$F$2:$F$5000,SummaryHelper!$A$2:$A$5000,$I185,SummaryHelper!$B$2:$B$5000,$J185,SummaryHelper!$C$2:$C$5000,$K185))</f>
        <v/>
      </c>
      <c r="O185" s="9" t="str">
        <f>IF($J185="","",SUMIFS(SummaryHelper!$G$2:$G$5000,SummaryHelper!$A$2:$A$5000,$I185,SummaryHelper!$B$2:$B$5000,$J185,SummaryHelper!$C$2:$C$5000,$K185))</f>
        <v/>
      </c>
      <c r="Q185" s="9" t="str">
        <f t="shared" si="24"/>
        <v/>
      </c>
      <c r="R185" s="9" t="str">
        <f t="shared" si="25"/>
        <v/>
      </c>
      <c r="W185" s="9" t="str">
        <f>IF($U185="","",IFERROR(SUMIFS(SummaryHelper!$H$2:$H$5000,SummaryHelper!$A$2:$A$5000,$T185,SummaryHelper!$B$2:$B$5000,$U185,SummaryHelper!$C$2:$C$5000,$V185)/SUMIFS(SummaryHelper!$G$2:$G$5000,SummaryHelper!$A$2:$A$5000,$T185,SummaryHelper!$B$2:$B$5000,$U185,SummaryHelper!$C$2:$C$5000,$V185),""))</f>
        <v/>
      </c>
      <c r="X185" s="9" t="str">
        <f>IF($U185="","",SUMIFS(SummaryHelper!$E$2:$E$5000,SummaryHelper!$A$2:$A$5000,$T185,SummaryHelper!$B$2:$B$5000,$U185,SummaryHelper!$C$2:$C$5000,$V185))</f>
        <v/>
      </c>
      <c r="Y185" s="9" t="str">
        <f>IF($U185="","",SUMIFS(SummaryHelper!$F$2:$F$5000,SummaryHelper!$A$2:$A$5000,$T185,SummaryHelper!$B$2:$B$5000,$U185,SummaryHelper!$C$2:$C$5000,$V185))</f>
        <v/>
      </c>
      <c r="Z185" s="9" t="s">
        <v>489</v>
      </c>
      <c r="AB185" s="9" t="str">
        <f t="shared" si="26"/>
        <v/>
      </c>
      <c r="AC185" s="9" t="str">
        <f t="shared" si="27"/>
        <v/>
      </c>
      <c r="AH185" t="str">
        <f>IF($AF185="","",IFERROR(SUMIFS(SummaryHelper!$H$2:$H$5000,SummaryHelper!$A$2:$A$5000,$AE185,SummaryHelper!$B$2:$B$5000,$AF185,SummaryHelper!$C$2:$C$5000,$AG185)/SUMIFS(SummaryHelper!$G$2:$G$5000,SummaryHelper!$A$2:$A$5000,$AE185,SummaryHelper!$B$2:$B$5000,$AF185,SummaryHelper!$C$2:$C$5000,$AG185),""))</f>
        <v/>
      </c>
      <c r="AI185" t="str">
        <f>IF($AF185="","",SUMIFS(SummaryHelper!$E$2:$E$5000,SummaryHelper!$A$2:$A$5000,$AE185,SummaryHelper!$B$2:$B$5000,$AF185,SummaryHelper!$C$2:$C$5000,$AG185))</f>
        <v/>
      </c>
      <c r="AJ185" t="str">
        <f>IF($AF185="","",SUMIFS(SummaryHelper!$F$2:$F$5000,SummaryHelper!$A$2:$A$5000,$AE185,SummaryHelper!$B$2:$B$5000,$AF185,SummaryHelper!$C$2:$C$5000,$AG185))</f>
        <v/>
      </c>
      <c r="AK185" t="str">
        <f>IF($AF185="","",SUMIFS(SummaryHelper!$G$2:$G$5000,SummaryHelper!$A$2:$A$5000,$AE185,SummaryHelper!$B$2:$B$5000,$AF185,SummaryHelper!$C$2:$C$5000,$AG185))</f>
        <v/>
      </c>
      <c r="AM185" t="str">
        <f t="shared" si="28"/>
        <v/>
      </c>
      <c r="AN185" t="str">
        <f t="shared" si="29"/>
        <v/>
      </c>
    </row>
    <row r="186" spans="1:40" x14ac:dyDescent="0.25">
      <c r="A186" s="12"/>
      <c r="C186" s="9"/>
      <c r="D186" s="9"/>
      <c r="E186" s="9"/>
      <c r="F186" s="9"/>
      <c r="G186" s="9"/>
      <c r="L186" s="9" t="str">
        <f>IF($J186="","",IFERROR(SUMIFS(SummaryHelper!$H$2:$H$5000,SummaryHelper!$A$2:$A$5000,$I186,SummaryHelper!$B$2:$B$5000,$J186,SummaryHelper!$C$2:$C$5000,$K186)/SUMIFS(SummaryHelper!$G$2:$G$5000,SummaryHelper!$A$2:$A$5000,$I186,SummaryHelper!$B$2:$B$5000,$J186,SummaryHelper!$C$2:$C$5000,$K186),""))</f>
        <v/>
      </c>
      <c r="M186" s="9" t="str">
        <f>IF($J186="","",SUMIFS(SummaryHelper!$E$2:$E$5000,SummaryHelper!$A$2:$A$5000,$I186,SummaryHelper!$B$2:$B$5000,$J186,SummaryHelper!$C$2:$C$5000,$K186))</f>
        <v/>
      </c>
      <c r="N186" s="9" t="str">
        <f>IF($J186="","",SUMIFS(SummaryHelper!$F$2:$F$5000,SummaryHelper!$A$2:$A$5000,$I186,SummaryHelper!$B$2:$B$5000,$J186,SummaryHelper!$C$2:$C$5000,$K186))</f>
        <v/>
      </c>
      <c r="O186" s="9" t="str">
        <f>IF($J186="","",SUMIFS(SummaryHelper!$G$2:$G$5000,SummaryHelper!$A$2:$A$5000,$I186,SummaryHelper!$B$2:$B$5000,$J186,SummaryHelper!$C$2:$C$5000,$K186))</f>
        <v/>
      </c>
      <c r="Q186" s="9" t="str">
        <f t="shared" si="24"/>
        <v/>
      </c>
      <c r="R186" s="9" t="str">
        <f t="shared" si="25"/>
        <v/>
      </c>
      <c r="W186" s="9" t="str">
        <f>IF($U186="","",IFERROR(SUMIFS(SummaryHelper!$H$2:$H$5000,SummaryHelper!$A$2:$A$5000,$T186,SummaryHelper!$B$2:$B$5000,$U186,SummaryHelper!$C$2:$C$5000,$V186)/SUMIFS(SummaryHelper!$G$2:$G$5000,SummaryHelper!$A$2:$A$5000,$T186,SummaryHelper!$B$2:$B$5000,$U186,SummaryHelper!$C$2:$C$5000,$V186),""))</f>
        <v/>
      </c>
      <c r="X186" s="9" t="str">
        <f>IF($U186="","",SUMIFS(SummaryHelper!$E$2:$E$5000,SummaryHelper!$A$2:$A$5000,$T186,SummaryHelper!$B$2:$B$5000,$U186,SummaryHelper!$C$2:$C$5000,$V186))</f>
        <v/>
      </c>
      <c r="Y186" s="9" t="str">
        <f>IF($U186="","",SUMIFS(SummaryHelper!$F$2:$F$5000,SummaryHelper!$A$2:$A$5000,$T186,SummaryHelper!$B$2:$B$5000,$U186,SummaryHelper!$C$2:$C$5000,$V186))</f>
        <v/>
      </c>
      <c r="Z186" s="9" t="s">
        <v>489</v>
      </c>
      <c r="AB186" s="9" t="str">
        <f t="shared" si="26"/>
        <v/>
      </c>
      <c r="AC186" s="9" t="str">
        <f t="shared" si="27"/>
        <v/>
      </c>
      <c r="AH186" t="str">
        <f>IF($AF186="","",IFERROR(SUMIFS(SummaryHelper!$H$2:$H$5000,SummaryHelper!$A$2:$A$5000,$AE186,SummaryHelper!$B$2:$B$5000,$AF186,SummaryHelper!$C$2:$C$5000,$AG186)/SUMIFS(SummaryHelper!$G$2:$G$5000,SummaryHelper!$A$2:$A$5000,$AE186,SummaryHelper!$B$2:$B$5000,$AF186,SummaryHelper!$C$2:$C$5000,$AG186),""))</f>
        <v/>
      </c>
      <c r="AI186" t="str">
        <f>IF($AF186="","",SUMIFS(SummaryHelper!$E$2:$E$5000,SummaryHelper!$A$2:$A$5000,$AE186,SummaryHelper!$B$2:$B$5000,$AF186,SummaryHelper!$C$2:$C$5000,$AG186))</f>
        <v/>
      </c>
      <c r="AJ186" t="str">
        <f>IF($AF186="","",SUMIFS(SummaryHelper!$F$2:$F$5000,SummaryHelper!$A$2:$A$5000,$AE186,SummaryHelper!$B$2:$B$5000,$AF186,SummaryHelper!$C$2:$C$5000,$AG186))</f>
        <v/>
      </c>
      <c r="AK186" t="str">
        <f>IF($AF186="","",SUMIFS(SummaryHelper!$G$2:$G$5000,SummaryHelper!$A$2:$A$5000,$AE186,SummaryHelper!$B$2:$B$5000,$AF186,SummaryHelper!$C$2:$C$5000,$AG186))</f>
        <v/>
      </c>
      <c r="AM186" t="str">
        <f t="shared" si="28"/>
        <v/>
      </c>
      <c r="AN186" t="str">
        <f t="shared" si="29"/>
        <v/>
      </c>
    </row>
    <row r="187" spans="1:40" x14ac:dyDescent="0.25">
      <c r="A187" s="12"/>
      <c r="C187" s="9"/>
      <c r="D187" s="9"/>
      <c r="E187" s="9"/>
      <c r="F187" s="9"/>
      <c r="G187" s="9"/>
      <c r="L187" s="9" t="str">
        <f>IF($J187="","",IFERROR(SUMIFS(SummaryHelper!$H$2:$H$5000,SummaryHelper!$A$2:$A$5000,$I187,SummaryHelper!$B$2:$B$5000,$J187,SummaryHelper!$C$2:$C$5000,$K187)/SUMIFS(SummaryHelper!$G$2:$G$5000,SummaryHelper!$A$2:$A$5000,$I187,SummaryHelper!$B$2:$B$5000,$J187,SummaryHelper!$C$2:$C$5000,$K187),""))</f>
        <v/>
      </c>
      <c r="M187" s="9" t="str">
        <f>IF($J187="","",SUMIFS(SummaryHelper!$E$2:$E$5000,SummaryHelper!$A$2:$A$5000,$I187,SummaryHelper!$B$2:$B$5000,$J187,SummaryHelper!$C$2:$C$5000,$K187))</f>
        <v/>
      </c>
      <c r="N187" s="9" t="str">
        <f>IF($J187="","",SUMIFS(SummaryHelper!$F$2:$F$5000,SummaryHelper!$A$2:$A$5000,$I187,SummaryHelper!$B$2:$B$5000,$J187,SummaryHelper!$C$2:$C$5000,$K187))</f>
        <v/>
      </c>
      <c r="O187" s="9" t="str">
        <f>IF($J187="","",SUMIFS(SummaryHelper!$G$2:$G$5000,SummaryHelper!$A$2:$A$5000,$I187,SummaryHelper!$B$2:$B$5000,$J187,SummaryHelper!$C$2:$C$5000,$K187))</f>
        <v/>
      </c>
      <c r="Q187" s="9" t="str">
        <f t="shared" si="24"/>
        <v/>
      </c>
      <c r="R187" s="9" t="str">
        <f t="shared" si="25"/>
        <v/>
      </c>
      <c r="W187" s="9" t="str">
        <f>IF($U187="","",IFERROR(SUMIFS(SummaryHelper!$H$2:$H$5000,SummaryHelper!$A$2:$A$5000,$T187,SummaryHelper!$B$2:$B$5000,$U187,SummaryHelper!$C$2:$C$5000,$V187)/SUMIFS(SummaryHelper!$G$2:$G$5000,SummaryHelper!$A$2:$A$5000,$T187,SummaryHelper!$B$2:$B$5000,$U187,SummaryHelper!$C$2:$C$5000,$V187),""))</f>
        <v/>
      </c>
      <c r="X187" s="9" t="str">
        <f>IF($U187="","",SUMIFS(SummaryHelper!$E$2:$E$5000,SummaryHelper!$A$2:$A$5000,$T187,SummaryHelper!$B$2:$B$5000,$U187,SummaryHelper!$C$2:$C$5000,$V187))</f>
        <v/>
      </c>
      <c r="Y187" s="9" t="str">
        <f>IF($U187="","",SUMIFS(SummaryHelper!$F$2:$F$5000,SummaryHelper!$A$2:$A$5000,$T187,SummaryHelper!$B$2:$B$5000,$U187,SummaryHelper!$C$2:$C$5000,$V187))</f>
        <v/>
      </c>
      <c r="Z187" s="9" t="s">
        <v>489</v>
      </c>
      <c r="AB187" s="9" t="str">
        <f t="shared" si="26"/>
        <v/>
      </c>
      <c r="AC187" s="9" t="str">
        <f t="shared" si="27"/>
        <v/>
      </c>
      <c r="AH187" t="str">
        <f>IF($AF187="","",IFERROR(SUMIFS(SummaryHelper!$H$2:$H$5000,SummaryHelper!$A$2:$A$5000,$AE187,SummaryHelper!$B$2:$B$5000,$AF187,SummaryHelper!$C$2:$C$5000,$AG187)/SUMIFS(SummaryHelper!$G$2:$G$5000,SummaryHelper!$A$2:$A$5000,$AE187,SummaryHelper!$B$2:$B$5000,$AF187,SummaryHelper!$C$2:$C$5000,$AG187),""))</f>
        <v/>
      </c>
      <c r="AI187" t="str">
        <f>IF($AF187="","",SUMIFS(SummaryHelper!$E$2:$E$5000,SummaryHelper!$A$2:$A$5000,$AE187,SummaryHelper!$B$2:$B$5000,$AF187,SummaryHelper!$C$2:$C$5000,$AG187))</f>
        <v/>
      </c>
      <c r="AJ187" t="str">
        <f>IF($AF187="","",SUMIFS(SummaryHelper!$F$2:$F$5000,SummaryHelper!$A$2:$A$5000,$AE187,SummaryHelper!$B$2:$B$5000,$AF187,SummaryHelper!$C$2:$C$5000,$AG187))</f>
        <v/>
      </c>
      <c r="AK187" t="str">
        <f>IF($AF187="","",SUMIFS(SummaryHelper!$G$2:$G$5000,SummaryHelper!$A$2:$A$5000,$AE187,SummaryHelper!$B$2:$B$5000,$AF187,SummaryHelper!$C$2:$C$5000,$AG187))</f>
        <v/>
      </c>
      <c r="AM187" t="str">
        <f t="shared" si="28"/>
        <v/>
      </c>
      <c r="AN187" t="str">
        <f t="shared" si="29"/>
        <v/>
      </c>
    </row>
    <row r="188" spans="1:40" x14ac:dyDescent="0.25">
      <c r="A188" s="12"/>
      <c r="C188" s="9"/>
      <c r="D188" s="9"/>
      <c r="E188" s="9"/>
      <c r="F188" s="9"/>
      <c r="G188" s="9"/>
      <c r="L188" s="9" t="str">
        <f>IF($J188="","",IFERROR(SUMIFS(SummaryHelper!$H$2:$H$5000,SummaryHelper!$A$2:$A$5000,$I188,SummaryHelper!$B$2:$B$5000,$J188,SummaryHelper!$C$2:$C$5000,$K188)/SUMIFS(SummaryHelper!$G$2:$G$5000,SummaryHelper!$A$2:$A$5000,$I188,SummaryHelper!$B$2:$B$5000,$J188,SummaryHelper!$C$2:$C$5000,$K188),""))</f>
        <v/>
      </c>
      <c r="M188" s="9" t="str">
        <f>IF($J188="","",SUMIFS(SummaryHelper!$E$2:$E$5000,SummaryHelper!$A$2:$A$5000,$I188,SummaryHelper!$B$2:$B$5000,$J188,SummaryHelper!$C$2:$C$5000,$K188))</f>
        <v/>
      </c>
      <c r="N188" s="9" t="str">
        <f>IF($J188="","",SUMIFS(SummaryHelper!$F$2:$F$5000,SummaryHelper!$A$2:$A$5000,$I188,SummaryHelper!$B$2:$B$5000,$J188,SummaryHelper!$C$2:$C$5000,$K188))</f>
        <v/>
      </c>
      <c r="O188" s="9" t="str">
        <f>IF($J188="","",SUMIFS(SummaryHelper!$G$2:$G$5000,SummaryHelper!$A$2:$A$5000,$I188,SummaryHelper!$B$2:$B$5000,$J188,SummaryHelper!$C$2:$C$5000,$K188))</f>
        <v/>
      </c>
      <c r="Q188" s="9" t="str">
        <f t="shared" si="24"/>
        <v/>
      </c>
      <c r="R188" s="9" t="str">
        <f t="shared" si="25"/>
        <v/>
      </c>
      <c r="W188" s="9" t="str">
        <f>IF($U188="","",IFERROR(SUMIFS(SummaryHelper!$H$2:$H$5000,SummaryHelper!$A$2:$A$5000,$T188,SummaryHelper!$B$2:$B$5000,$U188,SummaryHelper!$C$2:$C$5000,$V188)/SUMIFS(SummaryHelper!$G$2:$G$5000,SummaryHelper!$A$2:$A$5000,$T188,SummaryHelper!$B$2:$B$5000,$U188,SummaryHelper!$C$2:$C$5000,$V188),""))</f>
        <v/>
      </c>
      <c r="X188" s="9" t="str">
        <f>IF($U188="","",SUMIFS(SummaryHelper!$E$2:$E$5000,SummaryHelper!$A$2:$A$5000,$T188,SummaryHelper!$B$2:$B$5000,$U188,SummaryHelper!$C$2:$C$5000,$V188))</f>
        <v/>
      </c>
      <c r="Y188" s="9" t="str">
        <f>IF($U188="","",SUMIFS(SummaryHelper!$F$2:$F$5000,SummaryHelper!$A$2:$A$5000,$T188,SummaryHelper!$B$2:$B$5000,$U188,SummaryHelper!$C$2:$C$5000,$V188))</f>
        <v/>
      </c>
      <c r="Z188" s="9" t="s">
        <v>489</v>
      </c>
      <c r="AB188" s="9" t="str">
        <f t="shared" si="26"/>
        <v/>
      </c>
      <c r="AC188" s="9" t="str">
        <f t="shared" si="27"/>
        <v/>
      </c>
      <c r="AH188" t="str">
        <f>IF($AF188="","",IFERROR(SUMIFS(SummaryHelper!$H$2:$H$5000,SummaryHelper!$A$2:$A$5000,$AE188,SummaryHelper!$B$2:$B$5000,$AF188,SummaryHelper!$C$2:$C$5000,$AG188)/SUMIFS(SummaryHelper!$G$2:$G$5000,SummaryHelper!$A$2:$A$5000,$AE188,SummaryHelper!$B$2:$B$5000,$AF188,SummaryHelper!$C$2:$C$5000,$AG188),""))</f>
        <v/>
      </c>
      <c r="AI188" t="str">
        <f>IF($AF188="","",SUMIFS(SummaryHelper!$E$2:$E$5000,SummaryHelper!$A$2:$A$5000,$AE188,SummaryHelper!$B$2:$B$5000,$AF188,SummaryHelper!$C$2:$C$5000,$AG188))</f>
        <v/>
      </c>
      <c r="AJ188" t="str">
        <f>IF($AF188="","",SUMIFS(SummaryHelper!$F$2:$F$5000,SummaryHelper!$A$2:$A$5000,$AE188,SummaryHelper!$B$2:$B$5000,$AF188,SummaryHelper!$C$2:$C$5000,$AG188))</f>
        <v/>
      </c>
      <c r="AK188" t="str">
        <f>IF($AF188="","",SUMIFS(SummaryHelper!$G$2:$G$5000,SummaryHelper!$A$2:$A$5000,$AE188,SummaryHelper!$B$2:$B$5000,$AF188,SummaryHelper!$C$2:$C$5000,$AG188))</f>
        <v/>
      </c>
      <c r="AM188" t="str">
        <f t="shared" si="28"/>
        <v/>
      </c>
      <c r="AN188" t="str">
        <f t="shared" si="29"/>
        <v/>
      </c>
    </row>
    <row r="189" spans="1:40" x14ac:dyDescent="0.25">
      <c r="A189" s="12"/>
      <c r="C189" s="9"/>
      <c r="D189" s="9"/>
      <c r="E189" s="9"/>
      <c r="F189" s="9"/>
      <c r="G189" s="9"/>
      <c r="L189" s="9" t="str">
        <f>IF($J189="","",IFERROR(SUMIFS(SummaryHelper!$H$2:$H$5000,SummaryHelper!$A$2:$A$5000,$I189,SummaryHelper!$B$2:$B$5000,$J189,SummaryHelper!$C$2:$C$5000,$K189)/SUMIFS(SummaryHelper!$G$2:$G$5000,SummaryHelper!$A$2:$A$5000,$I189,SummaryHelper!$B$2:$B$5000,$J189,SummaryHelper!$C$2:$C$5000,$K189),""))</f>
        <v/>
      </c>
      <c r="M189" s="9" t="str">
        <f>IF($J189="","",SUMIFS(SummaryHelper!$E$2:$E$5000,SummaryHelper!$A$2:$A$5000,$I189,SummaryHelper!$B$2:$B$5000,$J189,SummaryHelper!$C$2:$C$5000,$K189))</f>
        <v/>
      </c>
      <c r="N189" s="9" t="str">
        <f>IF($J189="","",SUMIFS(SummaryHelper!$F$2:$F$5000,SummaryHelper!$A$2:$A$5000,$I189,SummaryHelper!$B$2:$B$5000,$J189,SummaryHelper!$C$2:$C$5000,$K189))</f>
        <v/>
      </c>
      <c r="O189" s="9" t="str">
        <f>IF($J189="","",SUMIFS(SummaryHelper!$G$2:$G$5000,SummaryHelper!$A$2:$A$5000,$I189,SummaryHelper!$B$2:$B$5000,$J189,SummaryHelper!$C$2:$C$5000,$K189))</f>
        <v/>
      </c>
      <c r="Q189" s="9" t="str">
        <f t="shared" si="24"/>
        <v/>
      </c>
      <c r="R189" s="9" t="str">
        <f t="shared" si="25"/>
        <v/>
      </c>
      <c r="W189" s="9" t="str">
        <f>IF($U189="","",IFERROR(SUMIFS(SummaryHelper!$H$2:$H$5000,SummaryHelper!$A$2:$A$5000,$T189,SummaryHelper!$B$2:$B$5000,$U189,SummaryHelper!$C$2:$C$5000,$V189)/SUMIFS(SummaryHelper!$G$2:$G$5000,SummaryHelper!$A$2:$A$5000,$T189,SummaryHelper!$B$2:$B$5000,$U189,SummaryHelper!$C$2:$C$5000,$V189),""))</f>
        <v/>
      </c>
      <c r="X189" s="9" t="str">
        <f>IF($U189="","",SUMIFS(SummaryHelper!$E$2:$E$5000,SummaryHelper!$A$2:$A$5000,$T189,SummaryHelper!$B$2:$B$5000,$U189,SummaryHelper!$C$2:$C$5000,$V189))</f>
        <v/>
      </c>
      <c r="Y189" s="9" t="str">
        <f>IF($U189="","",SUMIFS(SummaryHelper!$F$2:$F$5000,SummaryHelper!$A$2:$A$5000,$T189,SummaryHelper!$B$2:$B$5000,$U189,SummaryHelper!$C$2:$C$5000,$V189))</f>
        <v/>
      </c>
      <c r="Z189" s="9" t="s">
        <v>489</v>
      </c>
      <c r="AB189" s="9" t="str">
        <f t="shared" si="26"/>
        <v/>
      </c>
      <c r="AC189" s="9" t="str">
        <f t="shared" si="27"/>
        <v/>
      </c>
      <c r="AH189" t="str">
        <f>IF($AF189="","",IFERROR(SUMIFS(SummaryHelper!$H$2:$H$5000,SummaryHelper!$A$2:$A$5000,$AE189,SummaryHelper!$B$2:$B$5000,$AF189,SummaryHelper!$C$2:$C$5000,$AG189)/SUMIFS(SummaryHelper!$G$2:$G$5000,SummaryHelper!$A$2:$A$5000,$AE189,SummaryHelper!$B$2:$B$5000,$AF189,SummaryHelper!$C$2:$C$5000,$AG189),""))</f>
        <v/>
      </c>
      <c r="AI189" t="str">
        <f>IF($AF189="","",SUMIFS(SummaryHelper!$E$2:$E$5000,SummaryHelper!$A$2:$A$5000,$AE189,SummaryHelper!$B$2:$B$5000,$AF189,SummaryHelper!$C$2:$C$5000,$AG189))</f>
        <v/>
      </c>
      <c r="AJ189" t="str">
        <f>IF($AF189="","",SUMIFS(SummaryHelper!$F$2:$F$5000,SummaryHelper!$A$2:$A$5000,$AE189,SummaryHelper!$B$2:$B$5000,$AF189,SummaryHelper!$C$2:$C$5000,$AG189))</f>
        <v/>
      </c>
      <c r="AK189" t="str">
        <f>IF($AF189="","",SUMIFS(SummaryHelper!$G$2:$G$5000,SummaryHelper!$A$2:$A$5000,$AE189,SummaryHelper!$B$2:$B$5000,$AF189,SummaryHelper!$C$2:$C$5000,$AG189))</f>
        <v/>
      </c>
      <c r="AM189" t="str">
        <f t="shared" si="28"/>
        <v/>
      </c>
      <c r="AN189" t="str">
        <f t="shared" si="29"/>
        <v/>
      </c>
    </row>
    <row r="190" spans="1:40" x14ac:dyDescent="0.25">
      <c r="A190" s="12"/>
      <c r="C190" s="9"/>
      <c r="D190" s="9"/>
      <c r="E190" s="9"/>
      <c r="F190" s="9"/>
      <c r="G190" s="9"/>
      <c r="L190" s="9" t="str">
        <f>IF($J190="","",IFERROR(SUMIFS(SummaryHelper!$H$2:$H$5000,SummaryHelper!$A$2:$A$5000,$I190,SummaryHelper!$B$2:$B$5000,$J190,SummaryHelper!$C$2:$C$5000,$K190)/SUMIFS(SummaryHelper!$G$2:$G$5000,SummaryHelper!$A$2:$A$5000,$I190,SummaryHelper!$B$2:$B$5000,$J190,SummaryHelper!$C$2:$C$5000,$K190),""))</f>
        <v/>
      </c>
      <c r="M190" s="9" t="str">
        <f>IF($J190="","",SUMIFS(SummaryHelper!$E$2:$E$5000,SummaryHelper!$A$2:$A$5000,$I190,SummaryHelper!$B$2:$B$5000,$J190,SummaryHelper!$C$2:$C$5000,$K190))</f>
        <v/>
      </c>
      <c r="N190" s="9" t="str">
        <f>IF($J190="","",SUMIFS(SummaryHelper!$F$2:$F$5000,SummaryHelper!$A$2:$A$5000,$I190,SummaryHelper!$B$2:$B$5000,$J190,SummaryHelper!$C$2:$C$5000,$K190))</f>
        <v/>
      </c>
      <c r="O190" s="9" t="str">
        <f>IF($J190="","",SUMIFS(SummaryHelper!$G$2:$G$5000,SummaryHelper!$A$2:$A$5000,$I190,SummaryHelper!$B$2:$B$5000,$J190,SummaryHelper!$C$2:$C$5000,$K190))</f>
        <v/>
      </c>
      <c r="Q190" s="9" t="str">
        <f t="shared" si="24"/>
        <v/>
      </c>
      <c r="R190" s="9" t="str">
        <f t="shared" si="25"/>
        <v/>
      </c>
      <c r="W190" s="9" t="str">
        <f>IF($U190="","",IFERROR(SUMIFS(SummaryHelper!$H$2:$H$5000,SummaryHelper!$A$2:$A$5000,$T190,SummaryHelper!$B$2:$B$5000,$U190,SummaryHelper!$C$2:$C$5000,$V190)/SUMIFS(SummaryHelper!$G$2:$G$5000,SummaryHelper!$A$2:$A$5000,$T190,SummaryHelper!$B$2:$B$5000,$U190,SummaryHelper!$C$2:$C$5000,$V190),""))</f>
        <v/>
      </c>
      <c r="X190" s="9" t="str">
        <f>IF($U190="","",SUMIFS(SummaryHelper!$E$2:$E$5000,SummaryHelper!$A$2:$A$5000,$T190,SummaryHelper!$B$2:$B$5000,$U190,SummaryHelper!$C$2:$C$5000,$V190))</f>
        <v/>
      </c>
      <c r="Y190" s="9" t="str">
        <f>IF($U190="","",SUMIFS(SummaryHelper!$F$2:$F$5000,SummaryHelper!$A$2:$A$5000,$T190,SummaryHelper!$B$2:$B$5000,$U190,SummaryHelper!$C$2:$C$5000,$V190))</f>
        <v/>
      </c>
      <c r="Z190" s="9" t="s">
        <v>489</v>
      </c>
      <c r="AB190" s="9" t="str">
        <f t="shared" si="26"/>
        <v/>
      </c>
      <c r="AC190" s="9" t="str">
        <f t="shared" si="27"/>
        <v/>
      </c>
      <c r="AH190" t="str">
        <f>IF($AF190="","",IFERROR(SUMIFS(SummaryHelper!$H$2:$H$5000,SummaryHelper!$A$2:$A$5000,$AE190,SummaryHelper!$B$2:$B$5000,$AF190,SummaryHelper!$C$2:$C$5000,$AG190)/SUMIFS(SummaryHelper!$G$2:$G$5000,SummaryHelper!$A$2:$A$5000,$AE190,SummaryHelper!$B$2:$B$5000,$AF190,SummaryHelper!$C$2:$C$5000,$AG190),""))</f>
        <v/>
      </c>
      <c r="AI190" t="str">
        <f>IF($AF190="","",SUMIFS(SummaryHelper!$E$2:$E$5000,SummaryHelper!$A$2:$A$5000,$AE190,SummaryHelper!$B$2:$B$5000,$AF190,SummaryHelper!$C$2:$C$5000,$AG190))</f>
        <v/>
      </c>
      <c r="AJ190" t="str">
        <f>IF($AF190="","",SUMIFS(SummaryHelper!$F$2:$F$5000,SummaryHelper!$A$2:$A$5000,$AE190,SummaryHelper!$B$2:$B$5000,$AF190,SummaryHelper!$C$2:$C$5000,$AG190))</f>
        <v/>
      </c>
      <c r="AK190" t="str">
        <f>IF($AF190="","",SUMIFS(SummaryHelper!$G$2:$G$5000,SummaryHelper!$A$2:$A$5000,$AE190,SummaryHelper!$B$2:$B$5000,$AF190,SummaryHelper!$C$2:$C$5000,$AG190))</f>
        <v/>
      </c>
      <c r="AM190" t="str">
        <f t="shared" si="28"/>
        <v/>
      </c>
      <c r="AN190" t="str">
        <f t="shared" si="29"/>
        <v/>
      </c>
    </row>
    <row r="191" spans="1:40" x14ac:dyDescent="0.25">
      <c r="A191" s="12"/>
      <c r="C191" s="9"/>
      <c r="D191" s="9"/>
      <c r="E191" s="9"/>
      <c r="F191" s="9"/>
      <c r="G191" s="9"/>
      <c r="L191" s="9" t="str">
        <f>IF($J191="","",IFERROR(SUMIFS(SummaryHelper!$H$2:$H$5000,SummaryHelper!$A$2:$A$5000,$I191,SummaryHelper!$B$2:$B$5000,$J191,SummaryHelper!$C$2:$C$5000,$K191)/SUMIFS(SummaryHelper!$G$2:$G$5000,SummaryHelper!$A$2:$A$5000,$I191,SummaryHelper!$B$2:$B$5000,$J191,SummaryHelper!$C$2:$C$5000,$K191),""))</f>
        <v/>
      </c>
      <c r="M191" s="9" t="str">
        <f>IF($J191="","",SUMIFS(SummaryHelper!$E$2:$E$5000,SummaryHelper!$A$2:$A$5000,$I191,SummaryHelper!$B$2:$B$5000,$J191,SummaryHelper!$C$2:$C$5000,$K191))</f>
        <v/>
      </c>
      <c r="N191" s="9" t="str">
        <f>IF($J191="","",SUMIFS(SummaryHelper!$F$2:$F$5000,SummaryHelper!$A$2:$A$5000,$I191,SummaryHelper!$B$2:$B$5000,$J191,SummaryHelper!$C$2:$C$5000,$K191))</f>
        <v/>
      </c>
      <c r="O191" s="9" t="str">
        <f>IF($J191="","",SUMIFS(SummaryHelper!$G$2:$G$5000,SummaryHelper!$A$2:$A$5000,$I191,SummaryHelper!$B$2:$B$5000,$J191,SummaryHelper!$C$2:$C$5000,$K191))</f>
        <v/>
      </c>
      <c r="Q191" s="9" t="str">
        <f t="shared" si="24"/>
        <v/>
      </c>
      <c r="R191" s="9" t="str">
        <f t="shared" si="25"/>
        <v/>
      </c>
      <c r="W191" s="9" t="str">
        <f>IF($U191="","",IFERROR(SUMIFS(SummaryHelper!$H$2:$H$5000,SummaryHelper!$A$2:$A$5000,$T191,SummaryHelper!$B$2:$B$5000,$U191,SummaryHelper!$C$2:$C$5000,$V191)/SUMIFS(SummaryHelper!$G$2:$G$5000,SummaryHelper!$A$2:$A$5000,$T191,SummaryHelper!$B$2:$B$5000,$U191,SummaryHelper!$C$2:$C$5000,$V191),""))</f>
        <v/>
      </c>
      <c r="X191" s="9" t="str">
        <f>IF($U191="","",SUMIFS(SummaryHelper!$E$2:$E$5000,SummaryHelper!$A$2:$A$5000,$T191,SummaryHelper!$B$2:$B$5000,$U191,SummaryHelper!$C$2:$C$5000,$V191))</f>
        <v/>
      </c>
      <c r="Y191" s="9" t="str">
        <f>IF($U191="","",SUMIFS(SummaryHelper!$F$2:$F$5000,SummaryHelper!$A$2:$A$5000,$T191,SummaryHelper!$B$2:$B$5000,$U191,SummaryHelper!$C$2:$C$5000,$V191))</f>
        <v/>
      </c>
      <c r="Z191" s="9" t="s">
        <v>489</v>
      </c>
      <c r="AB191" s="9" t="str">
        <f t="shared" si="26"/>
        <v/>
      </c>
      <c r="AC191" s="9" t="str">
        <f t="shared" si="27"/>
        <v/>
      </c>
      <c r="AH191" t="str">
        <f>IF($AF191="","",IFERROR(SUMIFS(SummaryHelper!$H$2:$H$5000,SummaryHelper!$A$2:$A$5000,$AE191,SummaryHelper!$B$2:$B$5000,$AF191,SummaryHelper!$C$2:$C$5000,$AG191)/SUMIFS(SummaryHelper!$G$2:$G$5000,SummaryHelper!$A$2:$A$5000,$AE191,SummaryHelper!$B$2:$B$5000,$AF191,SummaryHelper!$C$2:$C$5000,$AG191),""))</f>
        <v/>
      </c>
      <c r="AI191" t="str">
        <f>IF($AF191="","",SUMIFS(SummaryHelper!$E$2:$E$5000,SummaryHelper!$A$2:$A$5000,$AE191,SummaryHelper!$B$2:$B$5000,$AF191,SummaryHelper!$C$2:$C$5000,$AG191))</f>
        <v/>
      </c>
      <c r="AJ191" t="str">
        <f>IF($AF191="","",SUMIFS(SummaryHelper!$F$2:$F$5000,SummaryHelper!$A$2:$A$5000,$AE191,SummaryHelper!$B$2:$B$5000,$AF191,SummaryHelper!$C$2:$C$5000,$AG191))</f>
        <v/>
      </c>
      <c r="AK191" t="str">
        <f>IF($AF191="","",SUMIFS(SummaryHelper!$G$2:$G$5000,SummaryHelper!$A$2:$A$5000,$AE191,SummaryHelper!$B$2:$B$5000,$AF191,SummaryHelper!$C$2:$C$5000,$AG191))</f>
        <v/>
      </c>
      <c r="AM191" t="str">
        <f t="shared" si="28"/>
        <v/>
      </c>
      <c r="AN191" t="str">
        <f t="shared" si="29"/>
        <v/>
      </c>
    </row>
    <row r="192" spans="1:40" x14ac:dyDescent="0.25">
      <c r="A192" s="12"/>
      <c r="C192" s="9"/>
      <c r="D192" s="9"/>
      <c r="E192" s="9"/>
      <c r="F192" s="9"/>
      <c r="G192" s="9"/>
      <c r="L192" s="9" t="str">
        <f>IF($J192="","",IFERROR(SUMIFS(SummaryHelper!$H$2:$H$5000,SummaryHelper!$A$2:$A$5000,$I192,SummaryHelper!$B$2:$B$5000,$J192,SummaryHelper!$C$2:$C$5000,$K192)/SUMIFS(SummaryHelper!$G$2:$G$5000,SummaryHelper!$A$2:$A$5000,$I192,SummaryHelper!$B$2:$B$5000,$J192,SummaryHelper!$C$2:$C$5000,$K192),""))</f>
        <v/>
      </c>
      <c r="M192" s="9" t="str">
        <f>IF($J192="","",SUMIFS(SummaryHelper!$E$2:$E$5000,SummaryHelper!$A$2:$A$5000,$I192,SummaryHelper!$B$2:$B$5000,$J192,SummaryHelper!$C$2:$C$5000,$K192))</f>
        <v/>
      </c>
      <c r="N192" s="9" t="str">
        <f>IF($J192="","",SUMIFS(SummaryHelper!$F$2:$F$5000,SummaryHelper!$A$2:$A$5000,$I192,SummaryHelper!$B$2:$B$5000,$J192,SummaryHelper!$C$2:$C$5000,$K192))</f>
        <v/>
      </c>
      <c r="O192" s="9" t="str">
        <f>IF($J192="","",SUMIFS(SummaryHelper!$G$2:$G$5000,SummaryHelper!$A$2:$A$5000,$I192,SummaryHelper!$B$2:$B$5000,$J192,SummaryHelper!$C$2:$C$5000,$K192))</f>
        <v/>
      </c>
      <c r="Q192" s="9" t="str">
        <f t="shared" si="24"/>
        <v/>
      </c>
      <c r="R192" s="9" t="str">
        <f t="shared" si="25"/>
        <v/>
      </c>
      <c r="W192" s="9" t="str">
        <f>IF($U192="","",IFERROR(SUMIFS(SummaryHelper!$H$2:$H$5000,SummaryHelper!$A$2:$A$5000,$T192,SummaryHelper!$B$2:$B$5000,$U192,SummaryHelper!$C$2:$C$5000,$V192)/SUMIFS(SummaryHelper!$G$2:$G$5000,SummaryHelper!$A$2:$A$5000,$T192,SummaryHelper!$B$2:$B$5000,$U192,SummaryHelper!$C$2:$C$5000,$V192),""))</f>
        <v/>
      </c>
      <c r="X192" s="9" t="str">
        <f>IF($U192="","",SUMIFS(SummaryHelper!$E$2:$E$5000,SummaryHelper!$A$2:$A$5000,$T192,SummaryHelper!$B$2:$B$5000,$U192,SummaryHelper!$C$2:$C$5000,$V192))</f>
        <v/>
      </c>
      <c r="Y192" s="9" t="str">
        <f>IF($U192="","",SUMIFS(SummaryHelper!$F$2:$F$5000,SummaryHelper!$A$2:$A$5000,$T192,SummaryHelper!$B$2:$B$5000,$U192,SummaryHelper!$C$2:$C$5000,$V192))</f>
        <v/>
      </c>
      <c r="Z192" s="9" t="s">
        <v>489</v>
      </c>
      <c r="AB192" s="9" t="str">
        <f t="shared" si="26"/>
        <v/>
      </c>
      <c r="AC192" s="9" t="str">
        <f t="shared" si="27"/>
        <v/>
      </c>
      <c r="AH192" t="str">
        <f>IF($AF192="","",IFERROR(SUMIFS(SummaryHelper!$H$2:$H$5000,SummaryHelper!$A$2:$A$5000,$AE192,SummaryHelper!$B$2:$B$5000,$AF192,SummaryHelper!$C$2:$C$5000,$AG192)/SUMIFS(SummaryHelper!$G$2:$G$5000,SummaryHelper!$A$2:$A$5000,$AE192,SummaryHelper!$B$2:$B$5000,$AF192,SummaryHelper!$C$2:$C$5000,$AG192),""))</f>
        <v/>
      </c>
      <c r="AI192" t="str">
        <f>IF($AF192="","",SUMIFS(SummaryHelper!$E$2:$E$5000,SummaryHelper!$A$2:$A$5000,$AE192,SummaryHelper!$B$2:$B$5000,$AF192,SummaryHelper!$C$2:$C$5000,$AG192))</f>
        <v/>
      </c>
      <c r="AJ192" t="str">
        <f>IF($AF192="","",SUMIFS(SummaryHelper!$F$2:$F$5000,SummaryHelper!$A$2:$A$5000,$AE192,SummaryHelper!$B$2:$B$5000,$AF192,SummaryHelper!$C$2:$C$5000,$AG192))</f>
        <v/>
      </c>
      <c r="AK192" t="str">
        <f>IF($AF192="","",SUMIFS(SummaryHelper!$G$2:$G$5000,SummaryHelper!$A$2:$A$5000,$AE192,SummaryHelper!$B$2:$B$5000,$AF192,SummaryHelper!$C$2:$C$5000,$AG192))</f>
        <v/>
      </c>
      <c r="AM192" t="str">
        <f t="shared" si="28"/>
        <v/>
      </c>
      <c r="AN192" t="str">
        <f t="shared" si="29"/>
        <v/>
      </c>
    </row>
    <row r="193" spans="1:40" x14ac:dyDescent="0.25">
      <c r="A193" s="12"/>
      <c r="C193" s="9"/>
      <c r="D193" s="9"/>
      <c r="E193" s="9"/>
      <c r="F193" s="9"/>
      <c r="G193" s="9"/>
      <c r="L193" s="9" t="str">
        <f>IF($J193="","",IFERROR(SUMIFS(SummaryHelper!$H$2:$H$5000,SummaryHelper!$A$2:$A$5000,$I193,SummaryHelper!$B$2:$B$5000,$J193,SummaryHelper!$C$2:$C$5000,$K193)/SUMIFS(SummaryHelper!$G$2:$G$5000,SummaryHelper!$A$2:$A$5000,$I193,SummaryHelper!$B$2:$B$5000,$J193,SummaryHelper!$C$2:$C$5000,$K193),""))</f>
        <v/>
      </c>
      <c r="M193" s="9" t="str">
        <f>IF($J193="","",SUMIFS(SummaryHelper!$E$2:$E$5000,SummaryHelper!$A$2:$A$5000,$I193,SummaryHelper!$B$2:$B$5000,$J193,SummaryHelper!$C$2:$C$5000,$K193))</f>
        <v/>
      </c>
      <c r="N193" s="9" t="str">
        <f>IF($J193="","",SUMIFS(SummaryHelper!$F$2:$F$5000,SummaryHelper!$A$2:$A$5000,$I193,SummaryHelper!$B$2:$B$5000,$J193,SummaryHelper!$C$2:$C$5000,$K193))</f>
        <v/>
      </c>
      <c r="O193" s="9" t="str">
        <f>IF($J193="","",SUMIFS(SummaryHelper!$G$2:$G$5000,SummaryHelper!$A$2:$A$5000,$I193,SummaryHelper!$B$2:$B$5000,$J193,SummaryHelper!$C$2:$C$5000,$K193))</f>
        <v/>
      </c>
      <c r="Q193" s="9" t="str">
        <f t="shared" si="24"/>
        <v/>
      </c>
      <c r="R193" s="9" t="str">
        <f t="shared" si="25"/>
        <v/>
      </c>
      <c r="W193" s="9" t="str">
        <f>IF($U193="","",IFERROR(SUMIFS(SummaryHelper!$H$2:$H$5000,SummaryHelper!$A$2:$A$5000,$T193,SummaryHelper!$B$2:$B$5000,$U193,SummaryHelper!$C$2:$C$5000,$V193)/SUMIFS(SummaryHelper!$G$2:$G$5000,SummaryHelper!$A$2:$A$5000,$T193,SummaryHelper!$B$2:$B$5000,$U193,SummaryHelper!$C$2:$C$5000,$V193),""))</f>
        <v/>
      </c>
      <c r="X193" s="9" t="str">
        <f>IF($U193="","",SUMIFS(SummaryHelper!$E$2:$E$5000,SummaryHelper!$A$2:$A$5000,$T193,SummaryHelper!$B$2:$B$5000,$U193,SummaryHelper!$C$2:$C$5000,$V193))</f>
        <v/>
      </c>
      <c r="Y193" s="9" t="str">
        <f>IF($U193="","",SUMIFS(SummaryHelper!$F$2:$F$5000,SummaryHelper!$A$2:$A$5000,$T193,SummaryHelper!$B$2:$B$5000,$U193,SummaryHelper!$C$2:$C$5000,$V193))</f>
        <v/>
      </c>
      <c r="Z193" s="9" t="s">
        <v>489</v>
      </c>
      <c r="AB193" s="9" t="str">
        <f t="shared" si="26"/>
        <v/>
      </c>
      <c r="AC193" s="9" t="str">
        <f t="shared" si="27"/>
        <v/>
      </c>
      <c r="AH193" t="str">
        <f>IF($AF193="","",IFERROR(SUMIFS(SummaryHelper!$H$2:$H$5000,SummaryHelper!$A$2:$A$5000,$AE193,SummaryHelper!$B$2:$B$5000,$AF193,SummaryHelper!$C$2:$C$5000,$AG193)/SUMIFS(SummaryHelper!$G$2:$G$5000,SummaryHelper!$A$2:$A$5000,$AE193,SummaryHelper!$B$2:$B$5000,$AF193,SummaryHelper!$C$2:$C$5000,$AG193),""))</f>
        <v/>
      </c>
      <c r="AI193" t="str">
        <f>IF($AF193="","",SUMIFS(SummaryHelper!$E$2:$E$5000,SummaryHelper!$A$2:$A$5000,$AE193,SummaryHelper!$B$2:$B$5000,$AF193,SummaryHelper!$C$2:$C$5000,$AG193))</f>
        <v/>
      </c>
      <c r="AJ193" t="str">
        <f>IF($AF193="","",SUMIFS(SummaryHelper!$F$2:$F$5000,SummaryHelper!$A$2:$A$5000,$AE193,SummaryHelper!$B$2:$B$5000,$AF193,SummaryHelper!$C$2:$C$5000,$AG193))</f>
        <v/>
      </c>
      <c r="AK193" t="str">
        <f>IF($AF193="","",SUMIFS(SummaryHelper!$G$2:$G$5000,SummaryHelper!$A$2:$A$5000,$AE193,SummaryHelper!$B$2:$B$5000,$AF193,SummaryHelper!$C$2:$C$5000,$AG193))</f>
        <v/>
      </c>
      <c r="AM193" t="str">
        <f t="shared" si="28"/>
        <v/>
      </c>
      <c r="AN193" t="str">
        <f t="shared" si="29"/>
        <v/>
      </c>
    </row>
    <row r="194" spans="1:40" x14ac:dyDescent="0.25">
      <c r="A194" s="12"/>
      <c r="C194" s="9"/>
      <c r="D194" s="9"/>
      <c r="E194" s="9"/>
      <c r="F194" s="9"/>
      <c r="G194" s="9"/>
      <c r="L194" s="9" t="str">
        <f>IF($J194="","",IFERROR(SUMIFS(SummaryHelper!$H$2:$H$5000,SummaryHelper!$A$2:$A$5000,$I194,SummaryHelper!$B$2:$B$5000,$J194,SummaryHelper!$C$2:$C$5000,$K194)/SUMIFS(SummaryHelper!$G$2:$G$5000,SummaryHelper!$A$2:$A$5000,$I194,SummaryHelper!$B$2:$B$5000,$J194,SummaryHelper!$C$2:$C$5000,$K194),""))</f>
        <v/>
      </c>
      <c r="M194" s="9" t="str">
        <f>IF($J194="","",SUMIFS(SummaryHelper!$E$2:$E$5000,SummaryHelper!$A$2:$A$5000,$I194,SummaryHelper!$B$2:$B$5000,$J194,SummaryHelper!$C$2:$C$5000,$K194))</f>
        <v/>
      </c>
      <c r="N194" s="9" t="str">
        <f>IF($J194="","",SUMIFS(SummaryHelper!$F$2:$F$5000,SummaryHelper!$A$2:$A$5000,$I194,SummaryHelper!$B$2:$B$5000,$J194,SummaryHelper!$C$2:$C$5000,$K194))</f>
        <v/>
      </c>
      <c r="O194" s="9" t="str">
        <f>IF($J194="","",SUMIFS(SummaryHelper!$G$2:$G$5000,SummaryHelper!$A$2:$A$5000,$I194,SummaryHelper!$B$2:$B$5000,$J194,SummaryHelper!$C$2:$C$5000,$K194))</f>
        <v/>
      </c>
      <c r="Q194" s="9" t="str">
        <f t="shared" si="24"/>
        <v/>
      </c>
      <c r="R194" s="9" t="str">
        <f t="shared" si="25"/>
        <v/>
      </c>
      <c r="W194" s="9" t="str">
        <f>IF($U194="","",IFERROR(SUMIFS(SummaryHelper!$H$2:$H$5000,SummaryHelper!$A$2:$A$5000,$T194,SummaryHelper!$B$2:$B$5000,$U194,SummaryHelper!$C$2:$C$5000,$V194)/SUMIFS(SummaryHelper!$G$2:$G$5000,SummaryHelper!$A$2:$A$5000,$T194,SummaryHelper!$B$2:$B$5000,$U194,SummaryHelper!$C$2:$C$5000,$V194),""))</f>
        <v/>
      </c>
      <c r="X194" s="9" t="str">
        <f>IF($U194="","",SUMIFS(SummaryHelper!$E$2:$E$5000,SummaryHelper!$A$2:$A$5000,$T194,SummaryHelper!$B$2:$B$5000,$U194,SummaryHelper!$C$2:$C$5000,$V194))</f>
        <v/>
      </c>
      <c r="Y194" s="9" t="str">
        <f>IF($U194="","",SUMIFS(SummaryHelper!$F$2:$F$5000,SummaryHelper!$A$2:$A$5000,$T194,SummaryHelper!$B$2:$B$5000,$U194,SummaryHelper!$C$2:$C$5000,$V194))</f>
        <v/>
      </c>
      <c r="Z194" s="9" t="s">
        <v>489</v>
      </c>
      <c r="AB194" s="9" t="str">
        <f t="shared" si="26"/>
        <v/>
      </c>
      <c r="AC194" s="9" t="str">
        <f t="shared" si="27"/>
        <v/>
      </c>
      <c r="AH194" t="str">
        <f>IF($AF194="","",IFERROR(SUMIFS(SummaryHelper!$H$2:$H$5000,SummaryHelper!$A$2:$A$5000,$AE194,SummaryHelper!$B$2:$B$5000,$AF194,SummaryHelper!$C$2:$C$5000,$AG194)/SUMIFS(SummaryHelper!$G$2:$G$5000,SummaryHelper!$A$2:$A$5000,$AE194,SummaryHelper!$B$2:$B$5000,$AF194,SummaryHelper!$C$2:$C$5000,$AG194),""))</f>
        <v/>
      </c>
      <c r="AI194" t="str">
        <f>IF($AF194="","",SUMIFS(SummaryHelper!$E$2:$E$5000,SummaryHelper!$A$2:$A$5000,$AE194,SummaryHelper!$B$2:$B$5000,$AF194,SummaryHelper!$C$2:$C$5000,$AG194))</f>
        <v/>
      </c>
      <c r="AJ194" t="str">
        <f>IF($AF194="","",SUMIFS(SummaryHelper!$F$2:$F$5000,SummaryHelper!$A$2:$A$5000,$AE194,SummaryHelper!$B$2:$B$5000,$AF194,SummaryHelper!$C$2:$C$5000,$AG194))</f>
        <v/>
      </c>
      <c r="AK194" t="str">
        <f>IF($AF194="","",SUMIFS(SummaryHelper!$G$2:$G$5000,SummaryHelper!$A$2:$A$5000,$AE194,SummaryHelper!$B$2:$B$5000,$AF194,SummaryHelper!$C$2:$C$5000,$AG194))</f>
        <v/>
      </c>
      <c r="AM194" t="str">
        <f t="shared" si="28"/>
        <v/>
      </c>
      <c r="AN194" t="str">
        <f t="shared" si="29"/>
        <v/>
      </c>
    </row>
    <row r="195" spans="1:40" x14ac:dyDescent="0.25">
      <c r="A195" s="12"/>
      <c r="C195" s="9"/>
      <c r="D195" s="9"/>
      <c r="E195" s="9"/>
      <c r="F195" s="9"/>
      <c r="G195" s="9"/>
      <c r="L195" s="9" t="str">
        <f>IF($J195="","",IFERROR(SUMIFS(SummaryHelper!$H$2:$H$5000,SummaryHelper!$A$2:$A$5000,$I195,SummaryHelper!$B$2:$B$5000,$J195,SummaryHelper!$C$2:$C$5000,$K195)/SUMIFS(SummaryHelper!$G$2:$G$5000,SummaryHelper!$A$2:$A$5000,$I195,SummaryHelper!$B$2:$B$5000,$J195,SummaryHelper!$C$2:$C$5000,$K195),""))</f>
        <v/>
      </c>
      <c r="M195" s="9" t="str">
        <f>IF($J195="","",SUMIFS(SummaryHelper!$E$2:$E$5000,SummaryHelper!$A$2:$A$5000,$I195,SummaryHelper!$B$2:$B$5000,$J195,SummaryHelper!$C$2:$C$5000,$K195))</f>
        <v/>
      </c>
      <c r="N195" s="9" t="str">
        <f>IF($J195="","",SUMIFS(SummaryHelper!$F$2:$F$5000,SummaryHelper!$A$2:$A$5000,$I195,SummaryHelper!$B$2:$B$5000,$J195,SummaryHelper!$C$2:$C$5000,$K195))</f>
        <v/>
      </c>
      <c r="O195" s="9" t="str">
        <f>IF($J195="","",SUMIFS(SummaryHelper!$G$2:$G$5000,SummaryHelper!$A$2:$A$5000,$I195,SummaryHelper!$B$2:$B$5000,$J195,SummaryHelper!$C$2:$C$5000,$K195))</f>
        <v/>
      </c>
      <c r="Q195" s="9" t="str">
        <f t="shared" si="24"/>
        <v/>
      </c>
      <c r="R195" s="9" t="str">
        <f t="shared" si="25"/>
        <v/>
      </c>
      <c r="W195" s="9" t="str">
        <f>IF($U195="","",IFERROR(SUMIFS(SummaryHelper!$H$2:$H$5000,SummaryHelper!$A$2:$A$5000,$T195,SummaryHelper!$B$2:$B$5000,$U195,SummaryHelper!$C$2:$C$5000,$V195)/SUMIFS(SummaryHelper!$G$2:$G$5000,SummaryHelper!$A$2:$A$5000,$T195,SummaryHelper!$B$2:$B$5000,$U195,SummaryHelper!$C$2:$C$5000,$V195),""))</f>
        <v/>
      </c>
      <c r="X195" s="9" t="str">
        <f>IF($U195="","",SUMIFS(SummaryHelper!$E$2:$E$5000,SummaryHelper!$A$2:$A$5000,$T195,SummaryHelper!$B$2:$B$5000,$U195,SummaryHelper!$C$2:$C$5000,$V195))</f>
        <v/>
      </c>
      <c r="Y195" s="9" t="str">
        <f>IF($U195="","",SUMIFS(SummaryHelper!$F$2:$F$5000,SummaryHelper!$A$2:$A$5000,$T195,SummaryHelper!$B$2:$B$5000,$U195,SummaryHelper!$C$2:$C$5000,$V195))</f>
        <v/>
      </c>
      <c r="Z195" s="9" t="s">
        <v>489</v>
      </c>
      <c r="AB195" s="9" t="str">
        <f t="shared" si="26"/>
        <v/>
      </c>
      <c r="AC195" s="9" t="str">
        <f t="shared" si="27"/>
        <v/>
      </c>
      <c r="AH195" t="str">
        <f>IF($AF195="","",IFERROR(SUMIFS(SummaryHelper!$H$2:$H$5000,SummaryHelper!$A$2:$A$5000,$AE195,SummaryHelper!$B$2:$B$5000,$AF195,SummaryHelper!$C$2:$C$5000,$AG195)/SUMIFS(SummaryHelper!$G$2:$G$5000,SummaryHelper!$A$2:$A$5000,$AE195,SummaryHelper!$B$2:$B$5000,$AF195,SummaryHelper!$C$2:$C$5000,$AG195),""))</f>
        <v/>
      </c>
      <c r="AI195" t="str">
        <f>IF($AF195="","",SUMIFS(SummaryHelper!$E$2:$E$5000,SummaryHelper!$A$2:$A$5000,$AE195,SummaryHelper!$B$2:$B$5000,$AF195,SummaryHelper!$C$2:$C$5000,$AG195))</f>
        <v/>
      </c>
      <c r="AJ195" t="str">
        <f>IF($AF195="","",SUMIFS(SummaryHelper!$F$2:$F$5000,SummaryHelper!$A$2:$A$5000,$AE195,SummaryHelper!$B$2:$B$5000,$AF195,SummaryHelper!$C$2:$C$5000,$AG195))</f>
        <v/>
      </c>
      <c r="AK195" t="str">
        <f>IF($AF195="","",SUMIFS(SummaryHelper!$G$2:$G$5000,SummaryHelper!$A$2:$A$5000,$AE195,SummaryHelper!$B$2:$B$5000,$AF195,SummaryHelper!$C$2:$C$5000,$AG195))</f>
        <v/>
      </c>
      <c r="AM195" t="str">
        <f t="shared" si="28"/>
        <v/>
      </c>
      <c r="AN195" t="str">
        <f t="shared" si="29"/>
        <v/>
      </c>
    </row>
    <row r="196" spans="1:40" x14ac:dyDescent="0.25">
      <c r="A196" s="12"/>
      <c r="C196" s="9"/>
      <c r="D196" s="9"/>
      <c r="E196" s="9"/>
      <c r="F196" s="9"/>
      <c r="G196" s="9"/>
      <c r="L196" s="9" t="str">
        <f>IF($J196="","",IFERROR(SUMIFS(SummaryHelper!$H$2:$H$5000,SummaryHelper!$A$2:$A$5000,$I196,SummaryHelper!$B$2:$B$5000,$J196,SummaryHelper!$C$2:$C$5000,$K196)/SUMIFS(SummaryHelper!$G$2:$G$5000,SummaryHelper!$A$2:$A$5000,$I196,SummaryHelper!$B$2:$B$5000,$J196,SummaryHelper!$C$2:$C$5000,$K196),""))</f>
        <v/>
      </c>
      <c r="M196" s="9" t="str">
        <f>IF($J196="","",SUMIFS(SummaryHelper!$E$2:$E$5000,SummaryHelper!$A$2:$A$5000,$I196,SummaryHelper!$B$2:$B$5000,$J196,SummaryHelper!$C$2:$C$5000,$K196))</f>
        <v/>
      </c>
      <c r="N196" s="9" t="str">
        <f>IF($J196="","",SUMIFS(SummaryHelper!$F$2:$F$5000,SummaryHelper!$A$2:$A$5000,$I196,SummaryHelper!$B$2:$B$5000,$J196,SummaryHelper!$C$2:$C$5000,$K196))</f>
        <v/>
      </c>
      <c r="O196" s="9" t="str">
        <f>IF($J196="","",SUMIFS(SummaryHelper!$G$2:$G$5000,SummaryHelper!$A$2:$A$5000,$I196,SummaryHelper!$B$2:$B$5000,$J196,SummaryHelper!$C$2:$C$5000,$K196))</f>
        <v/>
      </c>
      <c r="Q196" s="9" t="str">
        <f t="shared" ref="Q196:Q259" si="30">IF($J196="","",IF($P196="",ROUNDUP($O196,0),$P196))</f>
        <v/>
      </c>
      <c r="R196" s="9" t="str">
        <f t="shared" ref="R196:R259" si="31">IF($J196="","",$Q196*$L196)</f>
        <v/>
      </c>
      <c r="W196" s="9" t="str">
        <f>IF($U196="","",IFERROR(SUMIFS(SummaryHelper!$H$2:$H$5000,SummaryHelper!$A$2:$A$5000,$T196,SummaryHelper!$B$2:$B$5000,$U196,SummaryHelper!$C$2:$C$5000,$V196)/SUMIFS(SummaryHelper!$G$2:$G$5000,SummaryHelper!$A$2:$A$5000,$T196,SummaryHelper!$B$2:$B$5000,$U196,SummaryHelper!$C$2:$C$5000,$V196),""))</f>
        <v/>
      </c>
      <c r="X196" s="9" t="str">
        <f>IF($U196="","",SUMIFS(SummaryHelper!$E$2:$E$5000,SummaryHelper!$A$2:$A$5000,$T196,SummaryHelper!$B$2:$B$5000,$U196,SummaryHelper!$C$2:$C$5000,$V196))</f>
        <v/>
      </c>
      <c r="Y196" s="9" t="str">
        <f>IF($U196="","",SUMIFS(SummaryHelper!$F$2:$F$5000,SummaryHelper!$A$2:$A$5000,$T196,SummaryHelper!$B$2:$B$5000,$U196,SummaryHelper!$C$2:$C$5000,$V196))</f>
        <v/>
      </c>
      <c r="Z196" s="9" t="s">
        <v>489</v>
      </c>
      <c r="AB196" s="9" t="str">
        <f t="shared" ref="AB196:AB259" si="32">IF($U196="","",IF($AA196="",$Z196,$AA196))</f>
        <v/>
      </c>
      <c r="AC196" s="9" t="str">
        <f t="shared" ref="AC196:AC259" si="33">IF($U196="","",$AB196*$W196)</f>
        <v/>
      </c>
      <c r="AH196" t="str">
        <f>IF($AF196="","",IFERROR(SUMIFS(SummaryHelper!$H$2:$H$5000,SummaryHelper!$A$2:$A$5000,$AE196,SummaryHelper!$B$2:$B$5000,$AF196,SummaryHelper!$C$2:$C$5000,$AG196)/SUMIFS(SummaryHelper!$G$2:$G$5000,SummaryHelper!$A$2:$A$5000,$AE196,SummaryHelper!$B$2:$B$5000,$AF196,SummaryHelper!$C$2:$C$5000,$AG196),""))</f>
        <v/>
      </c>
      <c r="AI196" t="str">
        <f>IF($AF196="","",SUMIFS(SummaryHelper!$E$2:$E$5000,SummaryHelper!$A$2:$A$5000,$AE196,SummaryHelper!$B$2:$B$5000,$AF196,SummaryHelper!$C$2:$C$5000,$AG196))</f>
        <v/>
      </c>
      <c r="AJ196" t="str">
        <f>IF($AF196="","",SUMIFS(SummaryHelper!$F$2:$F$5000,SummaryHelper!$A$2:$A$5000,$AE196,SummaryHelper!$B$2:$B$5000,$AF196,SummaryHelper!$C$2:$C$5000,$AG196))</f>
        <v/>
      </c>
      <c r="AK196" t="str">
        <f>IF($AF196="","",SUMIFS(SummaryHelper!$G$2:$G$5000,SummaryHelper!$A$2:$A$5000,$AE196,SummaryHelper!$B$2:$B$5000,$AF196,SummaryHelper!$C$2:$C$5000,$AG196))</f>
        <v/>
      </c>
      <c r="AM196" t="str">
        <f t="shared" ref="AM196:AM259" si="34">IF($AF196="","",IF($AL196="",$AK196,$AL196))</f>
        <v/>
      </c>
      <c r="AN196" t="str">
        <f t="shared" ref="AN196:AN259" si="35">IF($AF196="","",$AM196*$AH196)</f>
        <v/>
      </c>
    </row>
    <row r="197" spans="1:40" x14ac:dyDescent="0.25">
      <c r="A197" s="12"/>
      <c r="C197" s="9"/>
      <c r="D197" s="9"/>
      <c r="E197" s="9"/>
      <c r="F197" s="9"/>
      <c r="G197" s="9"/>
      <c r="L197" s="9" t="str">
        <f>IF($J197="","",IFERROR(SUMIFS(SummaryHelper!$H$2:$H$5000,SummaryHelper!$A$2:$A$5000,$I197,SummaryHelper!$B$2:$B$5000,$J197,SummaryHelper!$C$2:$C$5000,$K197)/SUMIFS(SummaryHelper!$G$2:$G$5000,SummaryHelper!$A$2:$A$5000,$I197,SummaryHelper!$B$2:$B$5000,$J197,SummaryHelper!$C$2:$C$5000,$K197),""))</f>
        <v/>
      </c>
      <c r="M197" s="9" t="str">
        <f>IF($J197="","",SUMIFS(SummaryHelper!$E$2:$E$5000,SummaryHelper!$A$2:$A$5000,$I197,SummaryHelper!$B$2:$B$5000,$J197,SummaryHelper!$C$2:$C$5000,$K197))</f>
        <v/>
      </c>
      <c r="N197" s="9" t="str">
        <f>IF($J197="","",SUMIFS(SummaryHelper!$F$2:$F$5000,SummaryHelper!$A$2:$A$5000,$I197,SummaryHelper!$B$2:$B$5000,$J197,SummaryHelper!$C$2:$C$5000,$K197))</f>
        <v/>
      </c>
      <c r="O197" s="9" t="str">
        <f>IF($J197="","",SUMIFS(SummaryHelper!$G$2:$G$5000,SummaryHelper!$A$2:$A$5000,$I197,SummaryHelper!$B$2:$B$5000,$J197,SummaryHelper!$C$2:$C$5000,$K197))</f>
        <v/>
      </c>
      <c r="Q197" s="9" t="str">
        <f t="shared" si="30"/>
        <v/>
      </c>
      <c r="R197" s="9" t="str">
        <f t="shared" si="31"/>
        <v/>
      </c>
      <c r="W197" s="9" t="str">
        <f>IF($U197="","",IFERROR(SUMIFS(SummaryHelper!$H$2:$H$5000,SummaryHelper!$A$2:$A$5000,$T197,SummaryHelper!$B$2:$B$5000,$U197,SummaryHelper!$C$2:$C$5000,$V197)/SUMIFS(SummaryHelper!$G$2:$G$5000,SummaryHelper!$A$2:$A$5000,$T197,SummaryHelper!$B$2:$B$5000,$U197,SummaryHelper!$C$2:$C$5000,$V197),""))</f>
        <v/>
      </c>
      <c r="X197" s="9" t="str">
        <f>IF($U197="","",SUMIFS(SummaryHelper!$E$2:$E$5000,SummaryHelper!$A$2:$A$5000,$T197,SummaryHelper!$B$2:$B$5000,$U197,SummaryHelper!$C$2:$C$5000,$V197))</f>
        <v/>
      </c>
      <c r="Y197" s="9" t="str">
        <f>IF($U197="","",SUMIFS(SummaryHelper!$F$2:$F$5000,SummaryHelper!$A$2:$A$5000,$T197,SummaryHelper!$B$2:$B$5000,$U197,SummaryHelper!$C$2:$C$5000,$V197))</f>
        <v/>
      </c>
      <c r="Z197" s="9" t="s">
        <v>489</v>
      </c>
      <c r="AB197" s="9" t="str">
        <f t="shared" si="32"/>
        <v/>
      </c>
      <c r="AC197" s="9" t="str">
        <f t="shared" si="33"/>
        <v/>
      </c>
      <c r="AH197" t="str">
        <f>IF($AF197="","",IFERROR(SUMIFS(SummaryHelper!$H$2:$H$5000,SummaryHelper!$A$2:$A$5000,$AE197,SummaryHelper!$B$2:$B$5000,$AF197,SummaryHelper!$C$2:$C$5000,$AG197)/SUMIFS(SummaryHelper!$G$2:$G$5000,SummaryHelper!$A$2:$A$5000,$AE197,SummaryHelper!$B$2:$B$5000,$AF197,SummaryHelper!$C$2:$C$5000,$AG197),""))</f>
        <v/>
      </c>
      <c r="AI197" t="str">
        <f>IF($AF197="","",SUMIFS(SummaryHelper!$E$2:$E$5000,SummaryHelper!$A$2:$A$5000,$AE197,SummaryHelper!$B$2:$B$5000,$AF197,SummaryHelper!$C$2:$C$5000,$AG197))</f>
        <v/>
      </c>
      <c r="AJ197" t="str">
        <f>IF($AF197="","",SUMIFS(SummaryHelper!$F$2:$F$5000,SummaryHelper!$A$2:$A$5000,$AE197,SummaryHelper!$B$2:$B$5000,$AF197,SummaryHelper!$C$2:$C$5000,$AG197))</f>
        <v/>
      </c>
      <c r="AK197" t="str">
        <f>IF($AF197="","",SUMIFS(SummaryHelper!$G$2:$G$5000,SummaryHelper!$A$2:$A$5000,$AE197,SummaryHelper!$B$2:$B$5000,$AF197,SummaryHelper!$C$2:$C$5000,$AG197))</f>
        <v/>
      </c>
      <c r="AM197" t="str">
        <f t="shared" si="34"/>
        <v/>
      </c>
      <c r="AN197" t="str">
        <f t="shared" si="35"/>
        <v/>
      </c>
    </row>
    <row r="198" spans="1:40" x14ac:dyDescent="0.25">
      <c r="A198" s="12"/>
      <c r="C198" s="9"/>
      <c r="D198" s="9"/>
      <c r="E198" s="9"/>
      <c r="F198" s="9"/>
      <c r="G198" s="9"/>
      <c r="L198" s="9" t="str">
        <f>IF($J198="","",IFERROR(SUMIFS(SummaryHelper!$H$2:$H$5000,SummaryHelper!$A$2:$A$5000,$I198,SummaryHelper!$B$2:$B$5000,$J198,SummaryHelper!$C$2:$C$5000,$K198)/SUMIFS(SummaryHelper!$G$2:$G$5000,SummaryHelper!$A$2:$A$5000,$I198,SummaryHelper!$B$2:$B$5000,$J198,SummaryHelper!$C$2:$C$5000,$K198),""))</f>
        <v/>
      </c>
      <c r="M198" s="9" t="str">
        <f>IF($J198="","",SUMIFS(SummaryHelper!$E$2:$E$5000,SummaryHelper!$A$2:$A$5000,$I198,SummaryHelper!$B$2:$B$5000,$J198,SummaryHelper!$C$2:$C$5000,$K198))</f>
        <v/>
      </c>
      <c r="N198" s="9" t="str">
        <f>IF($J198="","",SUMIFS(SummaryHelper!$F$2:$F$5000,SummaryHelper!$A$2:$A$5000,$I198,SummaryHelper!$B$2:$B$5000,$J198,SummaryHelper!$C$2:$C$5000,$K198))</f>
        <v/>
      </c>
      <c r="O198" s="9" t="str">
        <f>IF($J198="","",SUMIFS(SummaryHelper!$G$2:$G$5000,SummaryHelper!$A$2:$A$5000,$I198,SummaryHelper!$B$2:$B$5000,$J198,SummaryHelper!$C$2:$C$5000,$K198))</f>
        <v/>
      </c>
      <c r="Q198" s="9" t="str">
        <f t="shared" si="30"/>
        <v/>
      </c>
      <c r="R198" s="9" t="str">
        <f t="shared" si="31"/>
        <v/>
      </c>
      <c r="W198" s="9" t="str">
        <f>IF($U198="","",IFERROR(SUMIFS(SummaryHelper!$H$2:$H$5000,SummaryHelper!$A$2:$A$5000,$T198,SummaryHelper!$B$2:$B$5000,$U198,SummaryHelper!$C$2:$C$5000,$V198)/SUMIFS(SummaryHelper!$G$2:$G$5000,SummaryHelper!$A$2:$A$5000,$T198,SummaryHelper!$B$2:$B$5000,$U198,SummaryHelper!$C$2:$C$5000,$V198),""))</f>
        <v/>
      </c>
      <c r="X198" s="9" t="str">
        <f>IF($U198="","",SUMIFS(SummaryHelper!$E$2:$E$5000,SummaryHelper!$A$2:$A$5000,$T198,SummaryHelper!$B$2:$B$5000,$U198,SummaryHelper!$C$2:$C$5000,$V198))</f>
        <v/>
      </c>
      <c r="Y198" s="9" t="str">
        <f>IF($U198="","",SUMIFS(SummaryHelper!$F$2:$F$5000,SummaryHelper!$A$2:$A$5000,$T198,SummaryHelper!$B$2:$B$5000,$U198,SummaryHelper!$C$2:$C$5000,$V198))</f>
        <v/>
      </c>
      <c r="Z198" s="9" t="s">
        <v>489</v>
      </c>
      <c r="AB198" s="9" t="str">
        <f t="shared" si="32"/>
        <v/>
      </c>
      <c r="AC198" s="9" t="str">
        <f t="shared" si="33"/>
        <v/>
      </c>
      <c r="AH198" t="str">
        <f>IF($AF198="","",IFERROR(SUMIFS(SummaryHelper!$H$2:$H$5000,SummaryHelper!$A$2:$A$5000,$AE198,SummaryHelper!$B$2:$B$5000,$AF198,SummaryHelper!$C$2:$C$5000,$AG198)/SUMIFS(SummaryHelper!$G$2:$G$5000,SummaryHelper!$A$2:$A$5000,$AE198,SummaryHelper!$B$2:$B$5000,$AF198,SummaryHelper!$C$2:$C$5000,$AG198),""))</f>
        <v/>
      </c>
      <c r="AI198" t="str">
        <f>IF($AF198="","",SUMIFS(SummaryHelper!$E$2:$E$5000,SummaryHelper!$A$2:$A$5000,$AE198,SummaryHelper!$B$2:$B$5000,$AF198,SummaryHelper!$C$2:$C$5000,$AG198))</f>
        <v/>
      </c>
      <c r="AJ198" t="str">
        <f>IF($AF198="","",SUMIFS(SummaryHelper!$F$2:$F$5000,SummaryHelper!$A$2:$A$5000,$AE198,SummaryHelper!$B$2:$B$5000,$AF198,SummaryHelper!$C$2:$C$5000,$AG198))</f>
        <v/>
      </c>
      <c r="AK198" t="str">
        <f>IF($AF198="","",SUMIFS(SummaryHelper!$G$2:$G$5000,SummaryHelper!$A$2:$A$5000,$AE198,SummaryHelper!$B$2:$B$5000,$AF198,SummaryHelper!$C$2:$C$5000,$AG198))</f>
        <v/>
      </c>
      <c r="AM198" t="str">
        <f t="shared" si="34"/>
        <v/>
      </c>
      <c r="AN198" t="str">
        <f t="shared" si="35"/>
        <v/>
      </c>
    </row>
    <row r="199" spans="1:40" x14ac:dyDescent="0.25">
      <c r="A199" s="12"/>
      <c r="C199" s="9"/>
      <c r="D199" s="9"/>
      <c r="E199" s="9"/>
      <c r="F199" s="9"/>
      <c r="G199" s="9"/>
      <c r="L199" s="9" t="str">
        <f>IF($J199="","",IFERROR(SUMIFS(SummaryHelper!$H$2:$H$5000,SummaryHelper!$A$2:$A$5000,$I199,SummaryHelper!$B$2:$B$5000,$J199,SummaryHelper!$C$2:$C$5000,$K199)/SUMIFS(SummaryHelper!$G$2:$G$5000,SummaryHelper!$A$2:$A$5000,$I199,SummaryHelper!$B$2:$B$5000,$J199,SummaryHelper!$C$2:$C$5000,$K199),""))</f>
        <v/>
      </c>
      <c r="M199" s="9" t="str">
        <f>IF($J199="","",SUMIFS(SummaryHelper!$E$2:$E$5000,SummaryHelper!$A$2:$A$5000,$I199,SummaryHelper!$B$2:$B$5000,$J199,SummaryHelper!$C$2:$C$5000,$K199))</f>
        <v/>
      </c>
      <c r="N199" s="9" t="str">
        <f>IF($J199="","",SUMIFS(SummaryHelper!$F$2:$F$5000,SummaryHelper!$A$2:$A$5000,$I199,SummaryHelper!$B$2:$B$5000,$J199,SummaryHelper!$C$2:$C$5000,$K199))</f>
        <v/>
      </c>
      <c r="O199" s="9" t="str">
        <f>IF($J199="","",SUMIFS(SummaryHelper!$G$2:$G$5000,SummaryHelper!$A$2:$A$5000,$I199,SummaryHelper!$B$2:$B$5000,$J199,SummaryHelper!$C$2:$C$5000,$K199))</f>
        <v/>
      </c>
      <c r="Q199" s="9" t="str">
        <f t="shared" si="30"/>
        <v/>
      </c>
      <c r="R199" s="9" t="str">
        <f t="shared" si="31"/>
        <v/>
      </c>
      <c r="W199" s="9" t="str">
        <f>IF($U199="","",IFERROR(SUMIFS(SummaryHelper!$H$2:$H$5000,SummaryHelper!$A$2:$A$5000,$T199,SummaryHelper!$B$2:$B$5000,$U199,SummaryHelper!$C$2:$C$5000,$V199)/SUMIFS(SummaryHelper!$G$2:$G$5000,SummaryHelper!$A$2:$A$5000,$T199,SummaryHelper!$B$2:$B$5000,$U199,SummaryHelper!$C$2:$C$5000,$V199),""))</f>
        <v/>
      </c>
      <c r="X199" s="9" t="str">
        <f>IF($U199="","",SUMIFS(SummaryHelper!$E$2:$E$5000,SummaryHelper!$A$2:$A$5000,$T199,SummaryHelper!$B$2:$B$5000,$U199,SummaryHelper!$C$2:$C$5000,$V199))</f>
        <v/>
      </c>
      <c r="Y199" s="9" t="str">
        <f>IF($U199="","",SUMIFS(SummaryHelper!$F$2:$F$5000,SummaryHelper!$A$2:$A$5000,$T199,SummaryHelper!$B$2:$B$5000,$U199,SummaryHelper!$C$2:$C$5000,$V199))</f>
        <v/>
      </c>
      <c r="Z199" s="9" t="s">
        <v>489</v>
      </c>
      <c r="AB199" s="9" t="str">
        <f t="shared" si="32"/>
        <v/>
      </c>
      <c r="AC199" s="9" t="str">
        <f t="shared" si="33"/>
        <v/>
      </c>
      <c r="AH199" t="str">
        <f>IF($AF199="","",IFERROR(SUMIFS(SummaryHelper!$H$2:$H$5000,SummaryHelper!$A$2:$A$5000,$AE199,SummaryHelper!$B$2:$B$5000,$AF199,SummaryHelper!$C$2:$C$5000,$AG199)/SUMIFS(SummaryHelper!$G$2:$G$5000,SummaryHelper!$A$2:$A$5000,$AE199,SummaryHelper!$B$2:$B$5000,$AF199,SummaryHelper!$C$2:$C$5000,$AG199),""))</f>
        <v/>
      </c>
      <c r="AI199" t="str">
        <f>IF($AF199="","",SUMIFS(SummaryHelper!$E$2:$E$5000,SummaryHelper!$A$2:$A$5000,$AE199,SummaryHelper!$B$2:$B$5000,$AF199,SummaryHelper!$C$2:$C$5000,$AG199))</f>
        <v/>
      </c>
      <c r="AJ199" t="str">
        <f>IF($AF199="","",SUMIFS(SummaryHelper!$F$2:$F$5000,SummaryHelper!$A$2:$A$5000,$AE199,SummaryHelper!$B$2:$B$5000,$AF199,SummaryHelper!$C$2:$C$5000,$AG199))</f>
        <v/>
      </c>
      <c r="AK199" t="str">
        <f>IF($AF199="","",SUMIFS(SummaryHelper!$G$2:$G$5000,SummaryHelper!$A$2:$A$5000,$AE199,SummaryHelper!$B$2:$B$5000,$AF199,SummaryHelper!$C$2:$C$5000,$AG199))</f>
        <v/>
      </c>
      <c r="AM199" t="str">
        <f t="shared" si="34"/>
        <v/>
      </c>
      <c r="AN199" t="str">
        <f t="shared" si="35"/>
        <v/>
      </c>
    </row>
    <row r="200" spans="1:40" x14ac:dyDescent="0.25">
      <c r="A200" s="12"/>
      <c r="C200" s="9"/>
      <c r="D200" s="9"/>
      <c r="E200" s="9"/>
      <c r="F200" s="9"/>
      <c r="G200" s="9"/>
      <c r="L200" s="9" t="str">
        <f>IF($J200="","",IFERROR(SUMIFS(SummaryHelper!$H$2:$H$5000,SummaryHelper!$A$2:$A$5000,$I200,SummaryHelper!$B$2:$B$5000,$J200,SummaryHelper!$C$2:$C$5000,$K200)/SUMIFS(SummaryHelper!$G$2:$G$5000,SummaryHelper!$A$2:$A$5000,$I200,SummaryHelper!$B$2:$B$5000,$J200,SummaryHelper!$C$2:$C$5000,$K200),""))</f>
        <v/>
      </c>
      <c r="M200" s="9" t="str">
        <f>IF($J200="","",SUMIFS(SummaryHelper!$E$2:$E$5000,SummaryHelper!$A$2:$A$5000,$I200,SummaryHelper!$B$2:$B$5000,$J200,SummaryHelper!$C$2:$C$5000,$K200))</f>
        <v/>
      </c>
      <c r="N200" s="9" t="str">
        <f>IF($J200="","",SUMIFS(SummaryHelper!$F$2:$F$5000,SummaryHelper!$A$2:$A$5000,$I200,SummaryHelper!$B$2:$B$5000,$J200,SummaryHelper!$C$2:$C$5000,$K200))</f>
        <v/>
      </c>
      <c r="O200" s="9" t="str">
        <f>IF($J200="","",SUMIFS(SummaryHelper!$G$2:$G$5000,SummaryHelper!$A$2:$A$5000,$I200,SummaryHelper!$B$2:$B$5000,$J200,SummaryHelper!$C$2:$C$5000,$K200))</f>
        <v/>
      </c>
      <c r="Q200" s="9" t="str">
        <f t="shared" si="30"/>
        <v/>
      </c>
      <c r="R200" s="9" t="str">
        <f t="shared" si="31"/>
        <v/>
      </c>
      <c r="W200" s="9" t="str">
        <f>IF($U200="","",IFERROR(SUMIFS(SummaryHelper!$H$2:$H$5000,SummaryHelper!$A$2:$A$5000,$T200,SummaryHelper!$B$2:$B$5000,$U200,SummaryHelper!$C$2:$C$5000,$V200)/SUMIFS(SummaryHelper!$G$2:$G$5000,SummaryHelper!$A$2:$A$5000,$T200,SummaryHelper!$B$2:$B$5000,$U200,SummaryHelper!$C$2:$C$5000,$V200),""))</f>
        <v/>
      </c>
      <c r="X200" s="9" t="str">
        <f>IF($U200="","",SUMIFS(SummaryHelper!$E$2:$E$5000,SummaryHelper!$A$2:$A$5000,$T200,SummaryHelper!$B$2:$B$5000,$U200,SummaryHelper!$C$2:$C$5000,$V200))</f>
        <v/>
      </c>
      <c r="Y200" s="9" t="str">
        <f>IF($U200="","",SUMIFS(SummaryHelper!$F$2:$F$5000,SummaryHelper!$A$2:$A$5000,$T200,SummaryHelper!$B$2:$B$5000,$U200,SummaryHelper!$C$2:$C$5000,$V200))</f>
        <v/>
      </c>
      <c r="Z200" s="9" t="s">
        <v>489</v>
      </c>
      <c r="AB200" s="9" t="str">
        <f t="shared" si="32"/>
        <v/>
      </c>
      <c r="AC200" s="9" t="str">
        <f t="shared" si="33"/>
        <v/>
      </c>
      <c r="AH200" t="str">
        <f>IF($AF200="","",IFERROR(SUMIFS(SummaryHelper!$H$2:$H$5000,SummaryHelper!$A$2:$A$5000,$AE200,SummaryHelper!$B$2:$B$5000,$AF200,SummaryHelper!$C$2:$C$5000,$AG200)/SUMIFS(SummaryHelper!$G$2:$G$5000,SummaryHelper!$A$2:$A$5000,$AE200,SummaryHelper!$B$2:$B$5000,$AF200,SummaryHelper!$C$2:$C$5000,$AG200),""))</f>
        <v/>
      </c>
      <c r="AI200" t="str">
        <f>IF($AF200="","",SUMIFS(SummaryHelper!$E$2:$E$5000,SummaryHelper!$A$2:$A$5000,$AE200,SummaryHelper!$B$2:$B$5000,$AF200,SummaryHelper!$C$2:$C$5000,$AG200))</f>
        <v/>
      </c>
      <c r="AJ200" t="str">
        <f>IF($AF200="","",SUMIFS(SummaryHelper!$F$2:$F$5000,SummaryHelper!$A$2:$A$5000,$AE200,SummaryHelper!$B$2:$B$5000,$AF200,SummaryHelper!$C$2:$C$5000,$AG200))</f>
        <v/>
      </c>
      <c r="AK200" t="str">
        <f>IF($AF200="","",SUMIFS(SummaryHelper!$G$2:$G$5000,SummaryHelper!$A$2:$A$5000,$AE200,SummaryHelper!$B$2:$B$5000,$AF200,SummaryHelper!$C$2:$C$5000,$AG200))</f>
        <v/>
      </c>
      <c r="AM200" t="str">
        <f t="shared" si="34"/>
        <v/>
      </c>
      <c r="AN200" t="str">
        <f t="shared" si="35"/>
        <v/>
      </c>
    </row>
    <row r="201" spans="1:40" x14ac:dyDescent="0.25">
      <c r="A201" s="12"/>
      <c r="C201" s="9"/>
      <c r="D201" s="9"/>
      <c r="E201" s="9"/>
      <c r="F201" s="9"/>
      <c r="G201" s="9"/>
      <c r="L201" s="9" t="str">
        <f>IF($J201="","",IFERROR(SUMIFS(SummaryHelper!$H$2:$H$5000,SummaryHelper!$A$2:$A$5000,$I201,SummaryHelper!$B$2:$B$5000,$J201,SummaryHelper!$C$2:$C$5000,$K201)/SUMIFS(SummaryHelper!$G$2:$G$5000,SummaryHelper!$A$2:$A$5000,$I201,SummaryHelper!$B$2:$B$5000,$J201,SummaryHelper!$C$2:$C$5000,$K201),""))</f>
        <v/>
      </c>
      <c r="M201" s="9" t="str">
        <f>IF($J201="","",SUMIFS(SummaryHelper!$E$2:$E$5000,SummaryHelper!$A$2:$A$5000,$I201,SummaryHelper!$B$2:$B$5000,$J201,SummaryHelper!$C$2:$C$5000,$K201))</f>
        <v/>
      </c>
      <c r="N201" s="9" t="str">
        <f>IF($J201="","",SUMIFS(SummaryHelper!$F$2:$F$5000,SummaryHelper!$A$2:$A$5000,$I201,SummaryHelper!$B$2:$B$5000,$J201,SummaryHelper!$C$2:$C$5000,$K201))</f>
        <v/>
      </c>
      <c r="O201" s="9" t="str">
        <f>IF($J201="","",SUMIFS(SummaryHelper!$G$2:$G$5000,SummaryHelper!$A$2:$A$5000,$I201,SummaryHelper!$B$2:$B$5000,$J201,SummaryHelper!$C$2:$C$5000,$K201))</f>
        <v/>
      </c>
      <c r="Q201" s="9" t="str">
        <f t="shared" si="30"/>
        <v/>
      </c>
      <c r="R201" s="9" t="str">
        <f t="shared" si="31"/>
        <v/>
      </c>
      <c r="W201" s="9" t="str">
        <f>IF($U201="","",IFERROR(SUMIFS(SummaryHelper!$H$2:$H$5000,SummaryHelper!$A$2:$A$5000,$T201,SummaryHelper!$B$2:$B$5000,$U201,SummaryHelper!$C$2:$C$5000,$V201)/SUMIFS(SummaryHelper!$G$2:$G$5000,SummaryHelper!$A$2:$A$5000,$T201,SummaryHelper!$B$2:$B$5000,$U201,SummaryHelper!$C$2:$C$5000,$V201),""))</f>
        <v/>
      </c>
      <c r="X201" s="9" t="str">
        <f>IF($U201="","",SUMIFS(SummaryHelper!$E$2:$E$5000,SummaryHelper!$A$2:$A$5000,$T201,SummaryHelper!$B$2:$B$5000,$U201,SummaryHelper!$C$2:$C$5000,$V201))</f>
        <v/>
      </c>
      <c r="Y201" s="9" t="str">
        <f>IF($U201="","",SUMIFS(SummaryHelper!$F$2:$F$5000,SummaryHelper!$A$2:$A$5000,$T201,SummaryHelper!$B$2:$B$5000,$U201,SummaryHelper!$C$2:$C$5000,$V201))</f>
        <v/>
      </c>
      <c r="Z201" s="9" t="s">
        <v>489</v>
      </c>
      <c r="AB201" s="9" t="str">
        <f t="shared" si="32"/>
        <v/>
      </c>
      <c r="AC201" s="9" t="str">
        <f t="shared" si="33"/>
        <v/>
      </c>
      <c r="AH201" t="str">
        <f>IF($AF201="","",IFERROR(SUMIFS(SummaryHelper!$H$2:$H$5000,SummaryHelper!$A$2:$A$5000,$AE201,SummaryHelper!$B$2:$B$5000,$AF201,SummaryHelper!$C$2:$C$5000,$AG201)/SUMIFS(SummaryHelper!$G$2:$G$5000,SummaryHelper!$A$2:$A$5000,$AE201,SummaryHelper!$B$2:$B$5000,$AF201,SummaryHelper!$C$2:$C$5000,$AG201),""))</f>
        <v/>
      </c>
      <c r="AI201" t="str">
        <f>IF($AF201="","",SUMIFS(SummaryHelper!$E$2:$E$5000,SummaryHelper!$A$2:$A$5000,$AE201,SummaryHelper!$B$2:$B$5000,$AF201,SummaryHelper!$C$2:$C$5000,$AG201))</f>
        <v/>
      </c>
      <c r="AJ201" t="str">
        <f>IF($AF201="","",SUMIFS(SummaryHelper!$F$2:$F$5000,SummaryHelper!$A$2:$A$5000,$AE201,SummaryHelper!$B$2:$B$5000,$AF201,SummaryHelper!$C$2:$C$5000,$AG201))</f>
        <v/>
      </c>
      <c r="AK201" t="str">
        <f>IF($AF201="","",SUMIFS(SummaryHelper!$G$2:$G$5000,SummaryHelper!$A$2:$A$5000,$AE201,SummaryHelper!$B$2:$B$5000,$AF201,SummaryHelper!$C$2:$C$5000,$AG201))</f>
        <v/>
      </c>
      <c r="AM201" t="str">
        <f t="shared" si="34"/>
        <v/>
      </c>
      <c r="AN201" t="str">
        <f t="shared" si="35"/>
        <v/>
      </c>
    </row>
    <row r="202" spans="1:40" x14ac:dyDescent="0.25">
      <c r="A202" s="12"/>
      <c r="C202" s="9"/>
      <c r="D202" s="9"/>
      <c r="E202" s="9"/>
      <c r="F202" s="9"/>
      <c r="G202" s="9"/>
      <c r="L202" s="9" t="str">
        <f>IF($J202="","",IFERROR(SUMIFS(SummaryHelper!$H$2:$H$5000,SummaryHelper!$A$2:$A$5000,$I202,SummaryHelper!$B$2:$B$5000,$J202,SummaryHelper!$C$2:$C$5000,$K202)/SUMIFS(SummaryHelper!$G$2:$G$5000,SummaryHelper!$A$2:$A$5000,$I202,SummaryHelper!$B$2:$B$5000,$J202,SummaryHelper!$C$2:$C$5000,$K202),""))</f>
        <v/>
      </c>
      <c r="M202" s="9" t="str">
        <f>IF($J202="","",SUMIFS(SummaryHelper!$E$2:$E$5000,SummaryHelper!$A$2:$A$5000,$I202,SummaryHelper!$B$2:$B$5000,$J202,SummaryHelper!$C$2:$C$5000,$K202))</f>
        <v/>
      </c>
      <c r="N202" s="9" t="str">
        <f>IF($J202="","",SUMIFS(SummaryHelper!$F$2:$F$5000,SummaryHelper!$A$2:$A$5000,$I202,SummaryHelper!$B$2:$B$5000,$J202,SummaryHelper!$C$2:$C$5000,$K202))</f>
        <v/>
      </c>
      <c r="O202" s="9" t="str">
        <f>IF($J202="","",SUMIFS(SummaryHelper!$G$2:$G$5000,SummaryHelper!$A$2:$A$5000,$I202,SummaryHelper!$B$2:$B$5000,$J202,SummaryHelper!$C$2:$C$5000,$K202))</f>
        <v/>
      </c>
      <c r="Q202" s="9" t="str">
        <f t="shared" si="30"/>
        <v/>
      </c>
      <c r="R202" s="9" t="str">
        <f t="shared" si="31"/>
        <v/>
      </c>
      <c r="W202" s="9" t="str">
        <f>IF($U202="","",IFERROR(SUMIFS(SummaryHelper!$H$2:$H$5000,SummaryHelper!$A$2:$A$5000,$T202,SummaryHelper!$B$2:$B$5000,$U202,SummaryHelper!$C$2:$C$5000,$V202)/SUMIFS(SummaryHelper!$G$2:$G$5000,SummaryHelper!$A$2:$A$5000,$T202,SummaryHelper!$B$2:$B$5000,$U202,SummaryHelper!$C$2:$C$5000,$V202),""))</f>
        <v/>
      </c>
      <c r="X202" s="9" t="str">
        <f>IF($U202="","",SUMIFS(SummaryHelper!$E$2:$E$5000,SummaryHelper!$A$2:$A$5000,$T202,SummaryHelper!$B$2:$B$5000,$U202,SummaryHelper!$C$2:$C$5000,$V202))</f>
        <v/>
      </c>
      <c r="Y202" s="9" t="str">
        <f>IF($U202="","",SUMIFS(SummaryHelper!$F$2:$F$5000,SummaryHelper!$A$2:$A$5000,$T202,SummaryHelper!$B$2:$B$5000,$U202,SummaryHelper!$C$2:$C$5000,$V202))</f>
        <v/>
      </c>
      <c r="Z202" s="9" t="s">
        <v>489</v>
      </c>
      <c r="AB202" s="9" t="str">
        <f t="shared" si="32"/>
        <v/>
      </c>
      <c r="AC202" s="9" t="str">
        <f t="shared" si="33"/>
        <v/>
      </c>
      <c r="AH202" t="str">
        <f>IF($AF202="","",IFERROR(SUMIFS(SummaryHelper!$H$2:$H$5000,SummaryHelper!$A$2:$A$5000,$AE202,SummaryHelper!$B$2:$B$5000,$AF202,SummaryHelper!$C$2:$C$5000,$AG202)/SUMIFS(SummaryHelper!$G$2:$G$5000,SummaryHelper!$A$2:$A$5000,$AE202,SummaryHelper!$B$2:$B$5000,$AF202,SummaryHelper!$C$2:$C$5000,$AG202),""))</f>
        <v/>
      </c>
      <c r="AI202" t="str">
        <f>IF($AF202="","",SUMIFS(SummaryHelper!$E$2:$E$5000,SummaryHelper!$A$2:$A$5000,$AE202,SummaryHelper!$B$2:$B$5000,$AF202,SummaryHelper!$C$2:$C$5000,$AG202))</f>
        <v/>
      </c>
      <c r="AJ202" t="str">
        <f>IF($AF202="","",SUMIFS(SummaryHelper!$F$2:$F$5000,SummaryHelper!$A$2:$A$5000,$AE202,SummaryHelper!$B$2:$B$5000,$AF202,SummaryHelper!$C$2:$C$5000,$AG202))</f>
        <v/>
      </c>
      <c r="AK202" t="str">
        <f>IF($AF202="","",SUMIFS(SummaryHelper!$G$2:$G$5000,SummaryHelper!$A$2:$A$5000,$AE202,SummaryHelper!$B$2:$B$5000,$AF202,SummaryHelper!$C$2:$C$5000,$AG202))</f>
        <v/>
      </c>
      <c r="AM202" t="str">
        <f t="shared" si="34"/>
        <v/>
      </c>
      <c r="AN202" t="str">
        <f t="shared" si="35"/>
        <v/>
      </c>
    </row>
    <row r="203" spans="1:40" x14ac:dyDescent="0.25">
      <c r="A203" s="12"/>
      <c r="C203" s="9"/>
      <c r="D203" s="9"/>
      <c r="E203" s="9"/>
      <c r="F203" s="9"/>
      <c r="G203" s="9"/>
      <c r="L203" s="9" t="str">
        <f>IF($J203="","",IFERROR(SUMIFS(SummaryHelper!$H$2:$H$5000,SummaryHelper!$A$2:$A$5000,$I203,SummaryHelper!$B$2:$B$5000,$J203,SummaryHelper!$C$2:$C$5000,$K203)/SUMIFS(SummaryHelper!$G$2:$G$5000,SummaryHelper!$A$2:$A$5000,$I203,SummaryHelper!$B$2:$B$5000,$J203,SummaryHelper!$C$2:$C$5000,$K203),""))</f>
        <v/>
      </c>
      <c r="M203" s="9" t="str">
        <f>IF($J203="","",SUMIFS(SummaryHelper!$E$2:$E$5000,SummaryHelper!$A$2:$A$5000,$I203,SummaryHelper!$B$2:$B$5000,$J203,SummaryHelper!$C$2:$C$5000,$K203))</f>
        <v/>
      </c>
      <c r="N203" s="9" t="str">
        <f>IF($J203="","",SUMIFS(SummaryHelper!$F$2:$F$5000,SummaryHelper!$A$2:$A$5000,$I203,SummaryHelper!$B$2:$B$5000,$J203,SummaryHelper!$C$2:$C$5000,$K203))</f>
        <v/>
      </c>
      <c r="O203" s="9" t="str">
        <f>IF($J203="","",SUMIFS(SummaryHelper!$G$2:$G$5000,SummaryHelper!$A$2:$A$5000,$I203,SummaryHelper!$B$2:$B$5000,$J203,SummaryHelper!$C$2:$C$5000,$K203))</f>
        <v/>
      </c>
      <c r="Q203" s="9" t="str">
        <f t="shared" si="30"/>
        <v/>
      </c>
      <c r="R203" s="9" t="str">
        <f t="shared" si="31"/>
        <v/>
      </c>
      <c r="W203" s="9" t="str">
        <f>IF($U203="","",IFERROR(SUMIFS(SummaryHelper!$H$2:$H$5000,SummaryHelper!$A$2:$A$5000,$T203,SummaryHelper!$B$2:$B$5000,$U203,SummaryHelper!$C$2:$C$5000,$V203)/SUMIFS(SummaryHelper!$G$2:$G$5000,SummaryHelper!$A$2:$A$5000,$T203,SummaryHelper!$B$2:$B$5000,$U203,SummaryHelper!$C$2:$C$5000,$V203),""))</f>
        <v/>
      </c>
      <c r="X203" s="9" t="str">
        <f>IF($U203="","",SUMIFS(SummaryHelper!$E$2:$E$5000,SummaryHelper!$A$2:$A$5000,$T203,SummaryHelper!$B$2:$B$5000,$U203,SummaryHelper!$C$2:$C$5000,$V203))</f>
        <v/>
      </c>
      <c r="Y203" s="9" t="str">
        <f>IF($U203="","",SUMIFS(SummaryHelper!$F$2:$F$5000,SummaryHelper!$A$2:$A$5000,$T203,SummaryHelper!$B$2:$B$5000,$U203,SummaryHelper!$C$2:$C$5000,$V203))</f>
        <v/>
      </c>
      <c r="Z203" s="9" t="s">
        <v>489</v>
      </c>
      <c r="AB203" s="9" t="str">
        <f t="shared" si="32"/>
        <v/>
      </c>
      <c r="AC203" s="9" t="str">
        <f t="shared" si="33"/>
        <v/>
      </c>
      <c r="AH203" t="str">
        <f>IF($AF203="","",IFERROR(SUMIFS(SummaryHelper!$H$2:$H$5000,SummaryHelper!$A$2:$A$5000,$AE203,SummaryHelper!$B$2:$B$5000,$AF203,SummaryHelper!$C$2:$C$5000,$AG203)/SUMIFS(SummaryHelper!$G$2:$G$5000,SummaryHelper!$A$2:$A$5000,$AE203,SummaryHelper!$B$2:$B$5000,$AF203,SummaryHelper!$C$2:$C$5000,$AG203),""))</f>
        <v/>
      </c>
      <c r="AI203" t="str">
        <f>IF($AF203="","",SUMIFS(SummaryHelper!$E$2:$E$5000,SummaryHelper!$A$2:$A$5000,$AE203,SummaryHelper!$B$2:$B$5000,$AF203,SummaryHelper!$C$2:$C$5000,$AG203))</f>
        <v/>
      </c>
      <c r="AJ203" t="str">
        <f>IF($AF203="","",SUMIFS(SummaryHelper!$F$2:$F$5000,SummaryHelper!$A$2:$A$5000,$AE203,SummaryHelper!$B$2:$B$5000,$AF203,SummaryHelper!$C$2:$C$5000,$AG203))</f>
        <v/>
      </c>
      <c r="AK203" t="str">
        <f>IF($AF203="","",SUMIFS(SummaryHelper!$G$2:$G$5000,SummaryHelper!$A$2:$A$5000,$AE203,SummaryHelper!$B$2:$B$5000,$AF203,SummaryHelper!$C$2:$C$5000,$AG203))</f>
        <v/>
      </c>
      <c r="AM203" t="str">
        <f t="shared" si="34"/>
        <v/>
      </c>
      <c r="AN203" t="str">
        <f t="shared" si="35"/>
        <v/>
      </c>
    </row>
    <row r="204" spans="1:40" x14ac:dyDescent="0.25">
      <c r="A204" s="12"/>
      <c r="C204" s="9"/>
      <c r="D204" s="9"/>
      <c r="E204" s="9"/>
      <c r="F204" s="9"/>
      <c r="G204" s="9"/>
      <c r="L204" s="9" t="str">
        <f>IF($J204="","",IFERROR(SUMIFS(SummaryHelper!$H$2:$H$5000,SummaryHelper!$A$2:$A$5000,$I204,SummaryHelper!$B$2:$B$5000,$J204,SummaryHelper!$C$2:$C$5000,$K204)/SUMIFS(SummaryHelper!$G$2:$G$5000,SummaryHelper!$A$2:$A$5000,$I204,SummaryHelper!$B$2:$B$5000,$J204,SummaryHelper!$C$2:$C$5000,$K204),""))</f>
        <v/>
      </c>
      <c r="M204" s="9" t="str">
        <f>IF($J204="","",SUMIFS(SummaryHelper!$E$2:$E$5000,SummaryHelper!$A$2:$A$5000,$I204,SummaryHelper!$B$2:$B$5000,$J204,SummaryHelper!$C$2:$C$5000,$K204))</f>
        <v/>
      </c>
      <c r="N204" s="9" t="str">
        <f>IF($J204="","",SUMIFS(SummaryHelper!$F$2:$F$5000,SummaryHelper!$A$2:$A$5000,$I204,SummaryHelper!$B$2:$B$5000,$J204,SummaryHelper!$C$2:$C$5000,$K204))</f>
        <v/>
      </c>
      <c r="O204" s="9" t="str">
        <f>IF($J204="","",SUMIFS(SummaryHelper!$G$2:$G$5000,SummaryHelper!$A$2:$A$5000,$I204,SummaryHelper!$B$2:$B$5000,$J204,SummaryHelper!$C$2:$C$5000,$K204))</f>
        <v/>
      </c>
      <c r="Q204" s="9" t="str">
        <f t="shared" si="30"/>
        <v/>
      </c>
      <c r="R204" s="9" t="str">
        <f t="shared" si="31"/>
        <v/>
      </c>
      <c r="W204" s="9" t="str">
        <f>IF($U204="","",IFERROR(SUMIFS(SummaryHelper!$H$2:$H$5000,SummaryHelper!$A$2:$A$5000,$T204,SummaryHelper!$B$2:$B$5000,$U204,SummaryHelper!$C$2:$C$5000,$V204)/SUMIFS(SummaryHelper!$G$2:$G$5000,SummaryHelper!$A$2:$A$5000,$T204,SummaryHelper!$B$2:$B$5000,$U204,SummaryHelper!$C$2:$C$5000,$V204),""))</f>
        <v/>
      </c>
      <c r="X204" s="9" t="str">
        <f>IF($U204="","",SUMIFS(SummaryHelper!$E$2:$E$5000,SummaryHelper!$A$2:$A$5000,$T204,SummaryHelper!$B$2:$B$5000,$U204,SummaryHelper!$C$2:$C$5000,$V204))</f>
        <v/>
      </c>
      <c r="Y204" s="9" t="str">
        <f>IF($U204="","",SUMIFS(SummaryHelper!$F$2:$F$5000,SummaryHelper!$A$2:$A$5000,$T204,SummaryHelper!$B$2:$B$5000,$U204,SummaryHelper!$C$2:$C$5000,$V204))</f>
        <v/>
      </c>
      <c r="Z204" s="9" t="s">
        <v>489</v>
      </c>
      <c r="AB204" s="9" t="str">
        <f t="shared" si="32"/>
        <v/>
      </c>
      <c r="AC204" s="9" t="str">
        <f t="shared" si="33"/>
        <v/>
      </c>
      <c r="AH204" t="str">
        <f>IF($AF204="","",IFERROR(SUMIFS(SummaryHelper!$H$2:$H$5000,SummaryHelper!$A$2:$A$5000,$AE204,SummaryHelper!$B$2:$B$5000,$AF204,SummaryHelper!$C$2:$C$5000,$AG204)/SUMIFS(SummaryHelper!$G$2:$G$5000,SummaryHelper!$A$2:$A$5000,$AE204,SummaryHelper!$B$2:$B$5000,$AF204,SummaryHelper!$C$2:$C$5000,$AG204),""))</f>
        <v/>
      </c>
      <c r="AI204" t="str">
        <f>IF($AF204="","",SUMIFS(SummaryHelper!$E$2:$E$5000,SummaryHelper!$A$2:$A$5000,$AE204,SummaryHelper!$B$2:$B$5000,$AF204,SummaryHelper!$C$2:$C$5000,$AG204))</f>
        <v/>
      </c>
      <c r="AJ204" t="str">
        <f>IF($AF204="","",SUMIFS(SummaryHelper!$F$2:$F$5000,SummaryHelper!$A$2:$A$5000,$AE204,SummaryHelper!$B$2:$B$5000,$AF204,SummaryHelper!$C$2:$C$5000,$AG204))</f>
        <v/>
      </c>
      <c r="AK204" t="str">
        <f>IF($AF204="","",SUMIFS(SummaryHelper!$G$2:$G$5000,SummaryHelper!$A$2:$A$5000,$AE204,SummaryHelper!$B$2:$B$5000,$AF204,SummaryHelper!$C$2:$C$5000,$AG204))</f>
        <v/>
      </c>
      <c r="AM204" t="str">
        <f t="shared" si="34"/>
        <v/>
      </c>
      <c r="AN204" t="str">
        <f t="shared" si="35"/>
        <v/>
      </c>
    </row>
    <row r="205" spans="1:40" x14ac:dyDescent="0.25">
      <c r="A205" s="12"/>
      <c r="C205" s="9"/>
      <c r="D205" s="9"/>
      <c r="E205" s="9"/>
      <c r="F205" s="9"/>
      <c r="G205" s="9"/>
      <c r="L205" s="9" t="str">
        <f>IF($J205="","",IFERROR(SUMIFS(SummaryHelper!$H$2:$H$5000,SummaryHelper!$A$2:$A$5000,$I205,SummaryHelper!$B$2:$B$5000,$J205,SummaryHelper!$C$2:$C$5000,$K205)/SUMIFS(SummaryHelper!$G$2:$G$5000,SummaryHelper!$A$2:$A$5000,$I205,SummaryHelper!$B$2:$B$5000,$J205,SummaryHelper!$C$2:$C$5000,$K205),""))</f>
        <v/>
      </c>
      <c r="M205" s="9" t="str">
        <f>IF($J205="","",SUMIFS(SummaryHelper!$E$2:$E$5000,SummaryHelper!$A$2:$A$5000,$I205,SummaryHelper!$B$2:$B$5000,$J205,SummaryHelper!$C$2:$C$5000,$K205))</f>
        <v/>
      </c>
      <c r="N205" s="9" t="str">
        <f>IF($J205="","",SUMIFS(SummaryHelper!$F$2:$F$5000,SummaryHelper!$A$2:$A$5000,$I205,SummaryHelper!$B$2:$B$5000,$J205,SummaryHelper!$C$2:$C$5000,$K205))</f>
        <v/>
      </c>
      <c r="O205" s="9" t="str">
        <f>IF($J205="","",SUMIFS(SummaryHelper!$G$2:$G$5000,SummaryHelper!$A$2:$A$5000,$I205,SummaryHelper!$B$2:$B$5000,$J205,SummaryHelper!$C$2:$C$5000,$K205))</f>
        <v/>
      </c>
      <c r="Q205" s="9" t="str">
        <f t="shared" si="30"/>
        <v/>
      </c>
      <c r="R205" s="9" t="str">
        <f t="shared" si="31"/>
        <v/>
      </c>
      <c r="W205" s="9" t="str">
        <f>IF($U205="","",IFERROR(SUMIFS(SummaryHelper!$H$2:$H$5000,SummaryHelper!$A$2:$A$5000,$T205,SummaryHelper!$B$2:$B$5000,$U205,SummaryHelper!$C$2:$C$5000,$V205)/SUMIFS(SummaryHelper!$G$2:$G$5000,SummaryHelper!$A$2:$A$5000,$T205,SummaryHelper!$B$2:$B$5000,$U205,SummaryHelper!$C$2:$C$5000,$V205),""))</f>
        <v/>
      </c>
      <c r="X205" s="9" t="str">
        <f>IF($U205="","",SUMIFS(SummaryHelper!$E$2:$E$5000,SummaryHelper!$A$2:$A$5000,$T205,SummaryHelper!$B$2:$B$5000,$U205,SummaryHelper!$C$2:$C$5000,$V205))</f>
        <v/>
      </c>
      <c r="Y205" s="9" t="str">
        <f>IF($U205="","",SUMIFS(SummaryHelper!$F$2:$F$5000,SummaryHelper!$A$2:$A$5000,$T205,SummaryHelper!$B$2:$B$5000,$U205,SummaryHelper!$C$2:$C$5000,$V205))</f>
        <v/>
      </c>
      <c r="Z205" s="9" t="s">
        <v>489</v>
      </c>
      <c r="AB205" s="9" t="str">
        <f t="shared" si="32"/>
        <v/>
      </c>
      <c r="AC205" s="9" t="str">
        <f t="shared" si="33"/>
        <v/>
      </c>
      <c r="AH205" t="str">
        <f>IF($AF205="","",IFERROR(SUMIFS(SummaryHelper!$H$2:$H$5000,SummaryHelper!$A$2:$A$5000,$AE205,SummaryHelper!$B$2:$B$5000,$AF205,SummaryHelper!$C$2:$C$5000,$AG205)/SUMIFS(SummaryHelper!$G$2:$G$5000,SummaryHelper!$A$2:$A$5000,$AE205,SummaryHelper!$B$2:$B$5000,$AF205,SummaryHelper!$C$2:$C$5000,$AG205),""))</f>
        <v/>
      </c>
      <c r="AI205" t="str">
        <f>IF($AF205="","",SUMIFS(SummaryHelper!$E$2:$E$5000,SummaryHelper!$A$2:$A$5000,$AE205,SummaryHelper!$B$2:$B$5000,$AF205,SummaryHelper!$C$2:$C$5000,$AG205))</f>
        <v/>
      </c>
      <c r="AJ205" t="str">
        <f>IF($AF205="","",SUMIFS(SummaryHelper!$F$2:$F$5000,SummaryHelper!$A$2:$A$5000,$AE205,SummaryHelper!$B$2:$B$5000,$AF205,SummaryHelper!$C$2:$C$5000,$AG205))</f>
        <v/>
      </c>
      <c r="AK205" t="str">
        <f>IF($AF205="","",SUMIFS(SummaryHelper!$G$2:$G$5000,SummaryHelper!$A$2:$A$5000,$AE205,SummaryHelper!$B$2:$B$5000,$AF205,SummaryHelper!$C$2:$C$5000,$AG205))</f>
        <v/>
      </c>
      <c r="AM205" t="str">
        <f t="shared" si="34"/>
        <v/>
      </c>
      <c r="AN205" t="str">
        <f t="shared" si="35"/>
        <v/>
      </c>
    </row>
    <row r="206" spans="1:40" x14ac:dyDescent="0.25">
      <c r="A206" s="12"/>
      <c r="C206" s="9"/>
      <c r="D206" s="9"/>
      <c r="E206" s="9"/>
      <c r="F206" s="9"/>
      <c r="G206" s="9"/>
      <c r="L206" s="9" t="str">
        <f>IF($J206="","",IFERROR(SUMIFS(SummaryHelper!$H$2:$H$5000,SummaryHelper!$A$2:$A$5000,$I206,SummaryHelper!$B$2:$B$5000,$J206,SummaryHelper!$C$2:$C$5000,$K206)/SUMIFS(SummaryHelper!$G$2:$G$5000,SummaryHelper!$A$2:$A$5000,$I206,SummaryHelper!$B$2:$B$5000,$J206,SummaryHelper!$C$2:$C$5000,$K206),""))</f>
        <v/>
      </c>
      <c r="M206" s="9" t="str">
        <f>IF($J206="","",SUMIFS(SummaryHelper!$E$2:$E$5000,SummaryHelper!$A$2:$A$5000,$I206,SummaryHelper!$B$2:$B$5000,$J206,SummaryHelper!$C$2:$C$5000,$K206))</f>
        <v/>
      </c>
      <c r="N206" s="9" t="str">
        <f>IF($J206="","",SUMIFS(SummaryHelper!$F$2:$F$5000,SummaryHelper!$A$2:$A$5000,$I206,SummaryHelper!$B$2:$B$5000,$J206,SummaryHelper!$C$2:$C$5000,$K206))</f>
        <v/>
      </c>
      <c r="O206" s="9" t="str">
        <f>IF($J206="","",SUMIFS(SummaryHelper!$G$2:$G$5000,SummaryHelper!$A$2:$A$5000,$I206,SummaryHelper!$B$2:$B$5000,$J206,SummaryHelper!$C$2:$C$5000,$K206))</f>
        <v/>
      </c>
      <c r="Q206" s="9" t="str">
        <f t="shared" si="30"/>
        <v/>
      </c>
      <c r="R206" s="9" t="str">
        <f t="shared" si="31"/>
        <v/>
      </c>
      <c r="W206" s="9" t="str">
        <f>IF($U206="","",IFERROR(SUMIFS(SummaryHelper!$H$2:$H$5000,SummaryHelper!$A$2:$A$5000,$T206,SummaryHelper!$B$2:$B$5000,$U206,SummaryHelper!$C$2:$C$5000,$V206)/SUMIFS(SummaryHelper!$G$2:$G$5000,SummaryHelper!$A$2:$A$5000,$T206,SummaryHelper!$B$2:$B$5000,$U206,SummaryHelper!$C$2:$C$5000,$V206),""))</f>
        <v/>
      </c>
      <c r="X206" s="9" t="str">
        <f>IF($U206="","",SUMIFS(SummaryHelper!$E$2:$E$5000,SummaryHelper!$A$2:$A$5000,$T206,SummaryHelper!$B$2:$B$5000,$U206,SummaryHelper!$C$2:$C$5000,$V206))</f>
        <v/>
      </c>
      <c r="Y206" s="9" t="str">
        <f>IF($U206="","",SUMIFS(SummaryHelper!$F$2:$F$5000,SummaryHelper!$A$2:$A$5000,$T206,SummaryHelper!$B$2:$B$5000,$U206,SummaryHelper!$C$2:$C$5000,$V206))</f>
        <v/>
      </c>
      <c r="Z206" s="9" t="s">
        <v>489</v>
      </c>
      <c r="AB206" s="9" t="str">
        <f t="shared" si="32"/>
        <v/>
      </c>
      <c r="AC206" s="9" t="str">
        <f t="shared" si="33"/>
        <v/>
      </c>
      <c r="AH206" t="str">
        <f>IF($AF206="","",IFERROR(SUMIFS(SummaryHelper!$H$2:$H$5000,SummaryHelper!$A$2:$A$5000,$AE206,SummaryHelper!$B$2:$B$5000,$AF206,SummaryHelper!$C$2:$C$5000,$AG206)/SUMIFS(SummaryHelper!$G$2:$G$5000,SummaryHelper!$A$2:$A$5000,$AE206,SummaryHelper!$B$2:$B$5000,$AF206,SummaryHelper!$C$2:$C$5000,$AG206),""))</f>
        <v/>
      </c>
      <c r="AI206" t="str">
        <f>IF($AF206="","",SUMIFS(SummaryHelper!$E$2:$E$5000,SummaryHelper!$A$2:$A$5000,$AE206,SummaryHelper!$B$2:$B$5000,$AF206,SummaryHelper!$C$2:$C$5000,$AG206))</f>
        <v/>
      </c>
      <c r="AJ206" t="str">
        <f>IF($AF206="","",SUMIFS(SummaryHelper!$F$2:$F$5000,SummaryHelper!$A$2:$A$5000,$AE206,SummaryHelper!$B$2:$B$5000,$AF206,SummaryHelper!$C$2:$C$5000,$AG206))</f>
        <v/>
      </c>
      <c r="AK206" t="str">
        <f>IF($AF206="","",SUMIFS(SummaryHelper!$G$2:$G$5000,SummaryHelper!$A$2:$A$5000,$AE206,SummaryHelper!$B$2:$B$5000,$AF206,SummaryHelper!$C$2:$C$5000,$AG206))</f>
        <v/>
      </c>
      <c r="AM206" t="str">
        <f t="shared" si="34"/>
        <v/>
      </c>
      <c r="AN206" t="str">
        <f t="shared" si="35"/>
        <v/>
      </c>
    </row>
    <row r="207" spans="1:40" x14ac:dyDescent="0.25">
      <c r="A207" s="12"/>
      <c r="C207" s="9"/>
      <c r="D207" s="9"/>
      <c r="E207" s="9"/>
      <c r="F207" s="9"/>
      <c r="G207" s="9"/>
      <c r="L207" s="9" t="str">
        <f>IF($J207="","",IFERROR(SUMIFS(SummaryHelper!$H$2:$H$5000,SummaryHelper!$A$2:$A$5000,$I207,SummaryHelper!$B$2:$B$5000,$J207,SummaryHelper!$C$2:$C$5000,$K207)/SUMIFS(SummaryHelper!$G$2:$G$5000,SummaryHelper!$A$2:$A$5000,$I207,SummaryHelper!$B$2:$B$5000,$J207,SummaryHelper!$C$2:$C$5000,$K207),""))</f>
        <v/>
      </c>
      <c r="M207" s="9" t="str">
        <f>IF($J207="","",SUMIFS(SummaryHelper!$E$2:$E$5000,SummaryHelper!$A$2:$A$5000,$I207,SummaryHelper!$B$2:$B$5000,$J207,SummaryHelper!$C$2:$C$5000,$K207))</f>
        <v/>
      </c>
      <c r="N207" s="9" t="str">
        <f>IF($J207="","",SUMIFS(SummaryHelper!$F$2:$F$5000,SummaryHelper!$A$2:$A$5000,$I207,SummaryHelper!$B$2:$B$5000,$J207,SummaryHelper!$C$2:$C$5000,$K207))</f>
        <v/>
      </c>
      <c r="O207" s="9" t="str">
        <f>IF($J207="","",SUMIFS(SummaryHelper!$G$2:$G$5000,SummaryHelper!$A$2:$A$5000,$I207,SummaryHelper!$B$2:$B$5000,$J207,SummaryHelper!$C$2:$C$5000,$K207))</f>
        <v/>
      </c>
      <c r="Q207" s="9" t="str">
        <f t="shared" si="30"/>
        <v/>
      </c>
      <c r="R207" s="9" t="str">
        <f t="shared" si="31"/>
        <v/>
      </c>
      <c r="W207" s="9" t="str">
        <f>IF($U207="","",IFERROR(SUMIFS(SummaryHelper!$H$2:$H$5000,SummaryHelper!$A$2:$A$5000,$T207,SummaryHelper!$B$2:$B$5000,$U207,SummaryHelper!$C$2:$C$5000,$V207)/SUMIFS(SummaryHelper!$G$2:$G$5000,SummaryHelper!$A$2:$A$5000,$T207,SummaryHelper!$B$2:$B$5000,$U207,SummaryHelper!$C$2:$C$5000,$V207),""))</f>
        <v/>
      </c>
      <c r="X207" s="9" t="str">
        <f>IF($U207="","",SUMIFS(SummaryHelper!$E$2:$E$5000,SummaryHelper!$A$2:$A$5000,$T207,SummaryHelper!$B$2:$B$5000,$U207,SummaryHelper!$C$2:$C$5000,$V207))</f>
        <v/>
      </c>
      <c r="Y207" s="9" t="str">
        <f>IF($U207="","",SUMIFS(SummaryHelper!$F$2:$F$5000,SummaryHelper!$A$2:$A$5000,$T207,SummaryHelper!$B$2:$B$5000,$U207,SummaryHelper!$C$2:$C$5000,$V207))</f>
        <v/>
      </c>
      <c r="Z207" s="9" t="s">
        <v>489</v>
      </c>
      <c r="AB207" s="9" t="str">
        <f t="shared" si="32"/>
        <v/>
      </c>
      <c r="AC207" s="9" t="str">
        <f t="shared" si="33"/>
        <v/>
      </c>
      <c r="AH207" t="str">
        <f>IF($AF207="","",IFERROR(SUMIFS(SummaryHelper!$H$2:$H$5000,SummaryHelper!$A$2:$A$5000,$AE207,SummaryHelper!$B$2:$B$5000,$AF207,SummaryHelper!$C$2:$C$5000,$AG207)/SUMIFS(SummaryHelper!$G$2:$G$5000,SummaryHelper!$A$2:$A$5000,$AE207,SummaryHelper!$B$2:$B$5000,$AF207,SummaryHelper!$C$2:$C$5000,$AG207),""))</f>
        <v/>
      </c>
      <c r="AI207" t="str">
        <f>IF($AF207="","",SUMIFS(SummaryHelper!$E$2:$E$5000,SummaryHelper!$A$2:$A$5000,$AE207,SummaryHelper!$B$2:$B$5000,$AF207,SummaryHelper!$C$2:$C$5000,$AG207))</f>
        <v/>
      </c>
      <c r="AJ207" t="str">
        <f>IF($AF207="","",SUMIFS(SummaryHelper!$F$2:$F$5000,SummaryHelper!$A$2:$A$5000,$AE207,SummaryHelper!$B$2:$B$5000,$AF207,SummaryHelper!$C$2:$C$5000,$AG207))</f>
        <v/>
      </c>
      <c r="AK207" t="str">
        <f>IF($AF207="","",SUMIFS(SummaryHelper!$G$2:$G$5000,SummaryHelper!$A$2:$A$5000,$AE207,SummaryHelper!$B$2:$B$5000,$AF207,SummaryHelper!$C$2:$C$5000,$AG207))</f>
        <v/>
      </c>
      <c r="AM207" t="str">
        <f t="shared" si="34"/>
        <v/>
      </c>
      <c r="AN207" t="str">
        <f t="shared" si="35"/>
        <v/>
      </c>
    </row>
    <row r="208" spans="1:40" x14ac:dyDescent="0.25">
      <c r="A208" s="12"/>
      <c r="C208" s="9"/>
      <c r="D208" s="9"/>
      <c r="E208" s="9"/>
      <c r="F208" s="9"/>
      <c r="G208" s="9"/>
      <c r="L208" s="9" t="str">
        <f>IF($J208="","",IFERROR(SUMIFS(SummaryHelper!$H$2:$H$5000,SummaryHelper!$A$2:$A$5000,$I208,SummaryHelper!$B$2:$B$5000,$J208,SummaryHelper!$C$2:$C$5000,$K208)/SUMIFS(SummaryHelper!$G$2:$G$5000,SummaryHelper!$A$2:$A$5000,$I208,SummaryHelper!$B$2:$B$5000,$J208,SummaryHelper!$C$2:$C$5000,$K208),""))</f>
        <v/>
      </c>
      <c r="M208" s="9" t="str">
        <f>IF($J208="","",SUMIFS(SummaryHelper!$E$2:$E$5000,SummaryHelper!$A$2:$A$5000,$I208,SummaryHelper!$B$2:$B$5000,$J208,SummaryHelper!$C$2:$C$5000,$K208))</f>
        <v/>
      </c>
      <c r="N208" s="9" t="str">
        <f>IF($J208="","",SUMIFS(SummaryHelper!$F$2:$F$5000,SummaryHelper!$A$2:$A$5000,$I208,SummaryHelper!$B$2:$B$5000,$J208,SummaryHelper!$C$2:$C$5000,$K208))</f>
        <v/>
      </c>
      <c r="O208" s="9" t="str">
        <f>IF($J208="","",SUMIFS(SummaryHelper!$G$2:$G$5000,SummaryHelper!$A$2:$A$5000,$I208,SummaryHelper!$B$2:$B$5000,$J208,SummaryHelper!$C$2:$C$5000,$K208))</f>
        <v/>
      </c>
      <c r="Q208" s="9" t="str">
        <f t="shared" si="30"/>
        <v/>
      </c>
      <c r="R208" s="9" t="str">
        <f t="shared" si="31"/>
        <v/>
      </c>
      <c r="W208" s="9" t="str">
        <f>IF($U208="","",IFERROR(SUMIFS(SummaryHelper!$H$2:$H$5000,SummaryHelper!$A$2:$A$5000,$T208,SummaryHelper!$B$2:$B$5000,$U208,SummaryHelper!$C$2:$C$5000,$V208)/SUMIFS(SummaryHelper!$G$2:$G$5000,SummaryHelper!$A$2:$A$5000,$T208,SummaryHelper!$B$2:$B$5000,$U208,SummaryHelper!$C$2:$C$5000,$V208),""))</f>
        <v/>
      </c>
      <c r="X208" s="9" t="str">
        <f>IF($U208="","",SUMIFS(SummaryHelper!$E$2:$E$5000,SummaryHelper!$A$2:$A$5000,$T208,SummaryHelper!$B$2:$B$5000,$U208,SummaryHelper!$C$2:$C$5000,$V208))</f>
        <v/>
      </c>
      <c r="Y208" s="9" t="str">
        <f>IF($U208="","",SUMIFS(SummaryHelper!$F$2:$F$5000,SummaryHelper!$A$2:$A$5000,$T208,SummaryHelper!$B$2:$B$5000,$U208,SummaryHelper!$C$2:$C$5000,$V208))</f>
        <v/>
      </c>
      <c r="Z208" s="9" t="s">
        <v>489</v>
      </c>
      <c r="AB208" s="9" t="str">
        <f t="shared" si="32"/>
        <v/>
      </c>
      <c r="AC208" s="9" t="str">
        <f t="shared" si="33"/>
        <v/>
      </c>
      <c r="AH208" t="str">
        <f>IF($AF208="","",IFERROR(SUMIFS(SummaryHelper!$H$2:$H$5000,SummaryHelper!$A$2:$A$5000,$AE208,SummaryHelper!$B$2:$B$5000,$AF208,SummaryHelper!$C$2:$C$5000,$AG208)/SUMIFS(SummaryHelper!$G$2:$G$5000,SummaryHelper!$A$2:$A$5000,$AE208,SummaryHelper!$B$2:$B$5000,$AF208,SummaryHelper!$C$2:$C$5000,$AG208),""))</f>
        <v/>
      </c>
      <c r="AI208" t="str">
        <f>IF($AF208="","",SUMIFS(SummaryHelper!$E$2:$E$5000,SummaryHelper!$A$2:$A$5000,$AE208,SummaryHelper!$B$2:$B$5000,$AF208,SummaryHelper!$C$2:$C$5000,$AG208))</f>
        <v/>
      </c>
      <c r="AJ208" t="str">
        <f>IF($AF208="","",SUMIFS(SummaryHelper!$F$2:$F$5000,SummaryHelper!$A$2:$A$5000,$AE208,SummaryHelper!$B$2:$B$5000,$AF208,SummaryHelper!$C$2:$C$5000,$AG208))</f>
        <v/>
      </c>
      <c r="AK208" t="str">
        <f>IF($AF208="","",SUMIFS(SummaryHelper!$G$2:$G$5000,SummaryHelper!$A$2:$A$5000,$AE208,SummaryHelper!$B$2:$B$5000,$AF208,SummaryHelper!$C$2:$C$5000,$AG208))</f>
        <v/>
      </c>
      <c r="AM208" t="str">
        <f t="shared" si="34"/>
        <v/>
      </c>
      <c r="AN208" t="str">
        <f t="shared" si="35"/>
        <v/>
      </c>
    </row>
    <row r="209" spans="1:40" x14ac:dyDescent="0.25">
      <c r="A209" s="12"/>
      <c r="C209" s="9"/>
      <c r="D209" s="9"/>
      <c r="E209" s="9"/>
      <c r="F209" s="9"/>
      <c r="G209" s="9"/>
      <c r="L209" s="9" t="str">
        <f>IF($J209="","",IFERROR(SUMIFS(SummaryHelper!$H$2:$H$5000,SummaryHelper!$A$2:$A$5000,$I209,SummaryHelper!$B$2:$B$5000,$J209,SummaryHelper!$C$2:$C$5000,$K209)/SUMIFS(SummaryHelper!$G$2:$G$5000,SummaryHelper!$A$2:$A$5000,$I209,SummaryHelper!$B$2:$B$5000,$J209,SummaryHelper!$C$2:$C$5000,$K209),""))</f>
        <v/>
      </c>
      <c r="M209" s="9" t="str">
        <f>IF($J209="","",SUMIFS(SummaryHelper!$E$2:$E$5000,SummaryHelper!$A$2:$A$5000,$I209,SummaryHelper!$B$2:$B$5000,$J209,SummaryHelper!$C$2:$C$5000,$K209))</f>
        <v/>
      </c>
      <c r="N209" s="9" t="str">
        <f>IF($J209="","",SUMIFS(SummaryHelper!$F$2:$F$5000,SummaryHelper!$A$2:$A$5000,$I209,SummaryHelper!$B$2:$B$5000,$J209,SummaryHelper!$C$2:$C$5000,$K209))</f>
        <v/>
      </c>
      <c r="O209" s="9" t="str">
        <f>IF($J209="","",SUMIFS(SummaryHelper!$G$2:$G$5000,SummaryHelper!$A$2:$A$5000,$I209,SummaryHelper!$B$2:$B$5000,$J209,SummaryHelper!$C$2:$C$5000,$K209))</f>
        <v/>
      </c>
      <c r="Q209" s="9" t="str">
        <f t="shared" si="30"/>
        <v/>
      </c>
      <c r="R209" s="9" t="str">
        <f t="shared" si="31"/>
        <v/>
      </c>
      <c r="W209" s="9" t="str">
        <f>IF($U209="","",IFERROR(SUMIFS(SummaryHelper!$H$2:$H$5000,SummaryHelper!$A$2:$A$5000,$T209,SummaryHelper!$B$2:$B$5000,$U209,SummaryHelper!$C$2:$C$5000,$V209)/SUMIFS(SummaryHelper!$G$2:$G$5000,SummaryHelper!$A$2:$A$5000,$T209,SummaryHelper!$B$2:$B$5000,$U209,SummaryHelper!$C$2:$C$5000,$V209),""))</f>
        <v/>
      </c>
      <c r="X209" s="9" t="str">
        <f>IF($U209="","",SUMIFS(SummaryHelper!$E$2:$E$5000,SummaryHelper!$A$2:$A$5000,$T209,SummaryHelper!$B$2:$B$5000,$U209,SummaryHelper!$C$2:$C$5000,$V209))</f>
        <v/>
      </c>
      <c r="Y209" s="9" t="str">
        <f>IF($U209="","",SUMIFS(SummaryHelper!$F$2:$F$5000,SummaryHelper!$A$2:$A$5000,$T209,SummaryHelper!$B$2:$B$5000,$U209,SummaryHelper!$C$2:$C$5000,$V209))</f>
        <v/>
      </c>
      <c r="Z209" s="9" t="s">
        <v>489</v>
      </c>
      <c r="AB209" s="9" t="str">
        <f t="shared" si="32"/>
        <v/>
      </c>
      <c r="AC209" s="9" t="str">
        <f t="shared" si="33"/>
        <v/>
      </c>
      <c r="AH209" t="str">
        <f>IF($AF209="","",IFERROR(SUMIFS(SummaryHelper!$H$2:$H$5000,SummaryHelper!$A$2:$A$5000,$AE209,SummaryHelper!$B$2:$B$5000,$AF209,SummaryHelper!$C$2:$C$5000,$AG209)/SUMIFS(SummaryHelper!$G$2:$G$5000,SummaryHelper!$A$2:$A$5000,$AE209,SummaryHelper!$B$2:$B$5000,$AF209,SummaryHelper!$C$2:$C$5000,$AG209),""))</f>
        <v/>
      </c>
      <c r="AI209" t="str">
        <f>IF($AF209="","",SUMIFS(SummaryHelper!$E$2:$E$5000,SummaryHelper!$A$2:$A$5000,$AE209,SummaryHelper!$B$2:$B$5000,$AF209,SummaryHelper!$C$2:$C$5000,$AG209))</f>
        <v/>
      </c>
      <c r="AJ209" t="str">
        <f>IF($AF209="","",SUMIFS(SummaryHelper!$F$2:$F$5000,SummaryHelper!$A$2:$A$5000,$AE209,SummaryHelper!$B$2:$B$5000,$AF209,SummaryHelper!$C$2:$C$5000,$AG209))</f>
        <v/>
      </c>
      <c r="AK209" t="str">
        <f>IF($AF209="","",SUMIFS(SummaryHelper!$G$2:$G$5000,SummaryHelper!$A$2:$A$5000,$AE209,SummaryHelper!$B$2:$B$5000,$AF209,SummaryHelper!$C$2:$C$5000,$AG209))</f>
        <v/>
      </c>
      <c r="AM209" t="str">
        <f t="shared" si="34"/>
        <v/>
      </c>
      <c r="AN209" t="str">
        <f t="shared" si="35"/>
        <v/>
      </c>
    </row>
    <row r="210" spans="1:40" x14ac:dyDescent="0.25">
      <c r="A210" s="12"/>
      <c r="C210" s="9"/>
      <c r="D210" s="9"/>
      <c r="E210" s="9"/>
      <c r="F210" s="9"/>
      <c r="G210" s="9"/>
      <c r="L210" s="9" t="str">
        <f>IF($J210="","",IFERROR(SUMIFS(SummaryHelper!$H$2:$H$5000,SummaryHelper!$A$2:$A$5000,$I210,SummaryHelper!$B$2:$B$5000,$J210,SummaryHelper!$C$2:$C$5000,$K210)/SUMIFS(SummaryHelper!$G$2:$G$5000,SummaryHelper!$A$2:$A$5000,$I210,SummaryHelper!$B$2:$B$5000,$J210,SummaryHelper!$C$2:$C$5000,$K210),""))</f>
        <v/>
      </c>
      <c r="M210" s="9" t="str">
        <f>IF($J210="","",SUMIFS(SummaryHelper!$E$2:$E$5000,SummaryHelper!$A$2:$A$5000,$I210,SummaryHelper!$B$2:$B$5000,$J210,SummaryHelper!$C$2:$C$5000,$K210))</f>
        <v/>
      </c>
      <c r="N210" s="9" t="str">
        <f>IF($J210="","",SUMIFS(SummaryHelper!$F$2:$F$5000,SummaryHelper!$A$2:$A$5000,$I210,SummaryHelper!$B$2:$B$5000,$J210,SummaryHelper!$C$2:$C$5000,$K210))</f>
        <v/>
      </c>
      <c r="O210" s="9" t="str">
        <f>IF($J210="","",SUMIFS(SummaryHelper!$G$2:$G$5000,SummaryHelper!$A$2:$A$5000,$I210,SummaryHelper!$B$2:$B$5000,$J210,SummaryHelper!$C$2:$C$5000,$K210))</f>
        <v/>
      </c>
      <c r="Q210" s="9" t="str">
        <f t="shared" si="30"/>
        <v/>
      </c>
      <c r="R210" s="9" t="str">
        <f t="shared" si="31"/>
        <v/>
      </c>
      <c r="W210" s="9" t="str">
        <f>IF($U210="","",IFERROR(SUMIFS(SummaryHelper!$H$2:$H$5000,SummaryHelper!$A$2:$A$5000,$T210,SummaryHelper!$B$2:$B$5000,$U210,SummaryHelper!$C$2:$C$5000,$V210)/SUMIFS(SummaryHelper!$G$2:$G$5000,SummaryHelper!$A$2:$A$5000,$T210,SummaryHelper!$B$2:$B$5000,$U210,SummaryHelper!$C$2:$C$5000,$V210),""))</f>
        <v/>
      </c>
      <c r="X210" s="9" t="str">
        <f>IF($U210="","",SUMIFS(SummaryHelper!$E$2:$E$5000,SummaryHelper!$A$2:$A$5000,$T210,SummaryHelper!$B$2:$B$5000,$U210,SummaryHelper!$C$2:$C$5000,$V210))</f>
        <v/>
      </c>
      <c r="Y210" s="9" t="str">
        <f>IF($U210="","",SUMIFS(SummaryHelper!$F$2:$F$5000,SummaryHelper!$A$2:$A$5000,$T210,SummaryHelper!$B$2:$B$5000,$U210,SummaryHelper!$C$2:$C$5000,$V210))</f>
        <v/>
      </c>
      <c r="Z210" s="9" t="s">
        <v>489</v>
      </c>
      <c r="AB210" s="9" t="str">
        <f t="shared" si="32"/>
        <v/>
      </c>
      <c r="AC210" s="9" t="str">
        <f t="shared" si="33"/>
        <v/>
      </c>
      <c r="AH210" t="str">
        <f>IF($AF210="","",IFERROR(SUMIFS(SummaryHelper!$H$2:$H$5000,SummaryHelper!$A$2:$A$5000,$AE210,SummaryHelper!$B$2:$B$5000,$AF210,SummaryHelper!$C$2:$C$5000,$AG210)/SUMIFS(SummaryHelper!$G$2:$G$5000,SummaryHelper!$A$2:$A$5000,$AE210,SummaryHelper!$B$2:$B$5000,$AF210,SummaryHelper!$C$2:$C$5000,$AG210),""))</f>
        <v/>
      </c>
      <c r="AI210" t="str">
        <f>IF($AF210="","",SUMIFS(SummaryHelper!$E$2:$E$5000,SummaryHelper!$A$2:$A$5000,$AE210,SummaryHelper!$B$2:$B$5000,$AF210,SummaryHelper!$C$2:$C$5000,$AG210))</f>
        <v/>
      </c>
      <c r="AJ210" t="str">
        <f>IF($AF210="","",SUMIFS(SummaryHelper!$F$2:$F$5000,SummaryHelper!$A$2:$A$5000,$AE210,SummaryHelper!$B$2:$B$5000,$AF210,SummaryHelper!$C$2:$C$5000,$AG210))</f>
        <v/>
      </c>
      <c r="AK210" t="str">
        <f>IF($AF210="","",SUMIFS(SummaryHelper!$G$2:$G$5000,SummaryHelper!$A$2:$A$5000,$AE210,SummaryHelper!$B$2:$B$5000,$AF210,SummaryHelper!$C$2:$C$5000,$AG210))</f>
        <v/>
      </c>
      <c r="AM210" t="str">
        <f t="shared" si="34"/>
        <v/>
      </c>
      <c r="AN210" t="str">
        <f t="shared" si="35"/>
        <v/>
      </c>
    </row>
    <row r="211" spans="1:40" x14ac:dyDescent="0.25">
      <c r="A211" s="12"/>
      <c r="C211" s="9"/>
      <c r="D211" s="9"/>
      <c r="E211" s="9"/>
      <c r="F211" s="9"/>
      <c r="G211" s="9"/>
      <c r="L211" s="9" t="str">
        <f>IF($J211="","",IFERROR(SUMIFS(SummaryHelper!$H$2:$H$5000,SummaryHelper!$A$2:$A$5000,$I211,SummaryHelper!$B$2:$B$5000,$J211,SummaryHelper!$C$2:$C$5000,$K211)/SUMIFS(SummaryHelper!$G$2:$G$5000,SummaryHelper!$A$2:$A$5000,$I211,SummaryHelper!$B$2:$B$5000,$J211,SummaryHelper!$C$2:$C$5000,$K211),""))</f>
        <v/>
      </c>
      <c r="M211" s="9" t="str">
        <f>IF($J211="","",SUMIFS(SummaryHelper!$E$2:$E$5000,SummaryHelper!$A$2:$A$5000,$I211,SummaryHelper!$B$2:$B$5000,$J211,SummaryHelper!$C$2:$C$5000,$K211))</f>
        <v/>
      </c>
      <c r="N211" s="9" t="str">
        <f>IF($J211="","",SUMIFS(SummaryHelper!$F$2:$F$5000,SummaryHelper!$A$2:$A$5000,$I211,SummaryHelper!$B$2:$B$5000,$J211,SummaryHelper!$C$2:$C$5000,$K211))</f>
        <v/>
      </c>
      <c r="O211" s="9" t="str">
        <f>IF($J211="","",SUMIFS(SummaryHelper!$G$2:$G$5000,SummaryHelper!$A$2:$A$5000,$I211,SummaryHelper!$B$2:$B$5000,$J211,SummaryHelper!$C$2:$C$5000,$K211))</f>
        <v/>
      </c>
      <c r="Q211" s="9" t="str">
        <f t="shared" si="30"/>
        <v/>
      </c>
      <c r="R211" s="9" t="str">
        <f t="shared" si="31"/>
        <v/>
      </c>
      <c r="W211" s="9" t="str">
        <f>IF($U211="","",IFERROR(SUMIFS(SummaryHelper!$H$2:$H$5000,SummaryHelper!$A$2:$A$5000,$T211,SummaryHelper!$B$2:$B$5000,$U211,SummaryHelper!$C$2:$C$5000,$V211)/SUMIFS(SummaryHelper!$G$2:$G$5000,SummaryHelper!$A$2:$A$5000,$T211,SummaryHelper!$B$2:$B$5000,$U211,SummaryHelper!$C$2:$C$5000,$V211),""))</f>
        <v/>
      </c>
      <c r="X211" s="9" t="str">
        <f>IF($U211="","",SUMIFS(SummaryHelper!$E$2:$E$5000,SummaryHelper!$A$2:$A$5000,$T211,SummaryHelper!$B$2:$B$5000,$U211,SummaryHelper!$C$2:$C$5000,$V211))</f>
        <v/>
      </c>
      <c r="Y211" s="9" t="str">
        <f>IF($U211="","",SUMIFS(SummaryHelper!$F$2:$F$5000,SummaryHelper!$A$2:$A$5000,$T211,SummaryHelper!$B$2:$B$5000,$U211,SummaryHelper!$C$2:$C$5000,$V211))</f>
        <v/>
      </c>
      <c r="Z211" s="9" t="s">
        <v>489</v>
      </c>
      <c r="AB211" s="9" t="str">
        <f t="shared" si="32"/>
        <v/>
      </c>
      <c r="AC211" s="9" t="str">
        <f t="shared" si="33"/>
        <v/>
      </c>
      <c r="AH211" t="str">
        <f>IF($AF211="","",IFERROR(SUMIFS(SummaryHelper!$H$2:$H$5000,SummaryHelper!$A$2:$A$5000,$AE211,SummaryHelper!$B$2:$B$5000,$AF211,SummaryHelper!$C$2:$C$5000,$AG211)/SUMIFS(SummaryHelper!$G$2:$G$5000,SummaryHelper!$A$2:$A$5000,$AE211,SummaryHelper!$B$2:$B$5000,$AF211,SummaryHelper!$C$2:$C$5000,$AG211),""))</f>
        <v/>
      </c>
      <c r="AI211" t="str">
        <f>IF($AF211="","",SUMIFS(SummaryHelper!$E$2:$E$5000,SummaryHelper!$A$2:$A$5000,$AE211,SummaryHelper!$B$2:$B$5000,$AF211,SummaryHelper!$C$2:$C$5000,$AG211))</f>
        <v/>
      </c>
      <c r="AJ211" t="str">
        <f>IF($AF211="","",SUMIFS(SummaryHelper!$F$2:$F$5000,SummaryHelper!$A$2:$A$5000,$AE211,SummaryHelper!$B$2:$B$5000,$AF211,SummaryHelper!$C$2:$C$5000,$AG211))</f>
        <v/>
      </c>
      <c r="AK211" t="str">
        <f>IF($AF211="","",SUMIFS(SummaryHelper!$G$2:$G$5000,SummaryHelper!$A$2:$A$5000,$AE211,SummaryHelper!$B$2:$B$5000,$AF211,SummaryHelper!$C$2:$C$5000,$AG211))</f>
        <v/>
      </c>
      <c r="AM211" t="str">
        <f t="shared" si="34"/>
        <v/>
      </c>
      <c r="AN211" t="str">
        <f t="shared" si="35"/>
        <v/>
      </c>
    </row>
    <row r="212" spans="1:40" x14ac:dyDescent="0.25">
      <c r="A212" s="12"/>
      <c r="C212" s="9"/>
      <c r="D212" s="9"/>
      <c r="E212" s="9"/>
      <c r="F212" s="9"/>
      <c r="G212" s="9"/>
      <c r="L212" s="9" t="str">
        <f>IF($J212="","",IFERROR(SUMIFS(SummaryHelper!$H$2:$H$5000,SummaryHelper!$A$2:$A$5000,$I212,SummaryHelper!$B$2:$B$5000,$J212,SummaryHelper!$C$2:$C$5000,$K212)/SUMIFS(SummaryHelper!$G$2:$G$5000,SummaryHelper!$A$2:$A$5000,$I212,SummaryHelper!$B$2:$B$5000,$J212,SummaryHelper!$C$2:$C$5000,$K212),""))</f>
        <v/>
      </c>
      <c r="M212" s="9" t="str">
        <f>IF($J212="","",SUMIFS(SummaryHelper!$E$2:$E$5000,SummaryHelper!$A$2:$A$5000,$I212,SummaryHelper!$B$2:$B$5000,$J212,SummaryHelper!$C$2:$C$5000,$K212))</f>
        <v/>
      </c>
      <c r="N212" s="9" t="str">
        <f>IF($J212="","",SUMIFS(SummaryHelper!$F$2:$F$5000,SummaryHelper!$A$2:$A$5000,$I212,SummaryHelper!$B$2:$B$5000,$J212,SummaryHelper!$C$2:$C$5000,$K212))</f>
        <v/>
      </c>
      <c r="O212" s="9" t="str">
        <f>IF($J212="","",SUMIFS(SummaryHelper!$G$2:$G$5000,SummaryHelper!$A$2:$A$5000,$I212,SummaryHelper!$B$2:$B$5000,$J212,SummaryHelper!$C$2:$C$5000,$K212))</f>
        <v/>
      </c>
      <c r="Q212" s="9" t="str">
        <f t="shared" si="30"/>
        <v/>
      </c>
      <c r="R212" s="9" t="str">
        <f t="shared" si="31"/>
        <v/>
      </c>
      <c r="W212" s="9" t="str">
        <f>IF($U212="","",IFERROR(SUMIFS(SummaryHelper!$H$2:$H$5000,SummaryHelper!$A$2:$A$5000,$T212,SummaryHelper!$B$2:$B$5000,$U212,SummaryHelper!$C$2:$C$5000,$V212)/SUMIFS(SummaryHelper!$G$2:$G$5000,SummaryHelper!$A$2:$A$5000,$T212,SummaryHelper!$B$2:$B$5000,$U212,SummaryHelper!$C$2:$C$5000,$V212),""))</f>
        <v/>
      </c>
      <c r="X212" s="9" t="str">
        <f>IF($U212="","",SUMIFS(SummaryHelper!$E$2:$E$5000,SummaryHelper!$A$2:$A$5000,$T212,SummaryHelper!$B$2:$B$5000,$U212,SummaryHelper!$C$2:$C$5000,$V212))</f>
        <v/>
      </c>
      <c r="Y212" s="9" t="str">
        <f>IF($U212="","",SUMIFS(SummaryHelper!$F$2:$F$5000,SummaryHelper!$A$2:$A$5000,$T212,SummaryHelper!$B$2:$B$5000,$U212,SummaryHelper!$C$2:$C$5000,$V212))</f>
        <v/>
      </c>
      <c r="Z212" s="9" t="s">
        <v>489</v>
      </c>
      <c r="AB212" s="9" t="str">
        <f t="shared" si="32"/>
        <v/>
      </c>
      <c r="AC212" s="9" t="str">
        <f t="shared" si="33"/>
        <v/>
      </c>
      <c r="AH212" t="str">
        <f>IF($AF212="","",IFERROR(SUMIFS(SummaryHelper!$H$2:$H$5000,SummaryHelper!$A$2:$A$5000,$AE212,SummaryHelper!$B$2:$B$5000,$AF212,SummaryHelper!$C$2:$C$5000,$AG212)/SUMIFS(SummaryHelper!$G$2:$G$5000,SummaryHelper!$A$2:$A$5000,$AE212,SummaryHelper!$B$2:$B$5000,$AF212,SummaryHelper!$C$2:$C$5000,$AG212),""))</f>
        <v/>
      </c>
      <c r="AI212" t="str">
        <f>IF($AF212="","",SUMIFS(SummaryHelper!$E$2:$E$5000,SummaryHelper!$A$2:$A$5000,$AE212,SummaryHelper!$B$2:$B$5000,$AF212,SummaryHelper!$C$2:$C$5000,$AG212))</f>
        <v/>
      </c>
      <c r="AJ212" t="str">
        <f>IF($AF212="","",SUMIFS(SummaryHelper!$F$2:$F$5000,SummaryHelper!$A$2:$A$5000,$AE212,SummaryHelper!$B$2:$B$5000,$AF212,SummaryHelper!$C$2:$C$5000,$AG212))</f>
        <v/>
      </c>
      <c r="AK212" t="str">
        <f>IF($AF212="","",SUMIFS(SummaryHelper!$G$2:$G$5000,SummaryHelper!$A$2:$A$5000,$AE212,SummaryHelper!$B$2:$B$5000,$AF212,SummaryHelper!$C$2:$C$5000,$AG212))</f>
        <v/>
      </c>
      <c r="AM212" t="str">
        <f t="shared" si="34"/>
        <v/>
      </c>
      <c r="AN212" t="str">
        <f t="shared" si="35"/>
        <v/>
      </c>
    </row>
    <row r="213" spans="1:40" x14ac:dyDescent="0.25">
      <c r="A213" s="12"/>
      <c r="C213" s="9"/>
      <c r="D213" s="9"/>
      <c r="E213" s="9"/>
      <c r="F213" s="9"/>
      <c r="G213" s="9"/>
      <c r="L213" s="9" t="str">
        <f>IF($J213="","",IFERROR(SUMIFS(SummaryHelper!$H$2:$H$5000,SummaryHelper!$A$2:$A$5000,$I213,SummaryHelper!$B$2:$B$5000,$J213,SummaryHelper!$C$2:$C$5000,$K213)/SUMIFS(SummaryHelper!$G$2:$G$5000,SummaryHelper!$A$2:$A$5000,$I213,SummaryHelper!$B$2:$B$5000,$J213,SummaryHelper!$C$2:$C$5000,$K213),""))</f>
        <v/>
      </c>
      <c r="M213" s="9" t="str">
        <f>IF($J213="","",SUMIFS(SummaryHelper!$E$2:$E$5000,SummaryHelper!$A$2:$A$5000,$I213,SummaryHelper!$B$2:$B$5000,$J213,SummaryHelper!$C$2:$C$5000,$K213))</f>
        <v/>
      </c>
      <c r="N213" s="9" t="str">
        <f>IF($J213="","",SUMIFS(SummaryHelper!$F$2:$F$5000,SummaryHelper!$A$2:$A$5000,$I213,SummaryHelper!$B$2:$B$5000,$J213,SummaryHelper!$C$2:$C$5000,$K213))</f>
        <v/>
      </c>
      <c r="O213" s="9" t="str">
        <f>IF($J213="","",SUMIFS(SummaryHelper!$G$2:$G$5000,SummaryHelper!$A$2:$A$5000,$I213,SummaryHelper!$B$2:$B$5000,$J213,SummaryHelper!$C$2:$C$5000,$K213))</f>
        <v/>
      </c>
      <c r="Q213" s="9" t="str">
        <f t="shared" si="30"/>
        <v/>
      </c>
      <c r="R213" s="9" t="str">
        <f t="shared" si="31"/>
        <v/>
      </c>
      <c r="W213" s="9" t="str">
        <f>IF($U213="","",IFERROR(SUMIFS(SummaryHelper!$H$2:$H$5000,SummaryHelper!$A$2:$A$5000,$T213,SummaryHelper!$B$2:$B$5000,$U213,SummaryHelper!$C$2:$C$5000,$V213)/SUMIFS(SummaryHelper!$G$2:$G$5000,SummaryHelper!$A$2:$A$5000,$T213,SummaryHelper!$B$2:$B$5000,$U213,SummaryHelper!$C$2:$C$5000,$V213),""))</f>
        <v/>
      </c>
      <c r="X213" s="9" t="str">
        <f>IF($U213="","",SUMIFS(SummaryHelper!$E$2:$E$5000,SummaryHelper!$A$2:$A$5000,$T213,SummaryHelper!$B$2:$B$5000,$U213,SummaryHelper!$C$2:$C$5000,$V213))</f>
        <v/>
      </c>
      <c r="Y213" s="9" t="str">
        <f>IF($U213="","",SUMIFS(SummaryHelper!$F$2:$F$5000,SummaryHelper!$A$2:$A$5000,$T213,SummaryHelper!$B$2:$B$5000,$U213,SummaryHelper!$C$2:$C$5000,$V213))</f>
        <v/>
      </c>
      <c r="Z213" s="9" t="s">
        <v>489</v>
      </c>
      <c r="AB213" s="9" t="str">
        <f t="shared" si="32"/>
        <v/>
      </c>
      <c r="AC213" s="9" t="str">
        <f t="shared" si="33"/>
        <v/>
      </c>
      <c r="AH213" t="str">
        <f>IF($AF213="","",IFERROR(SUMIFS(SummaryHelper!$H$2:$H$5000,SummaryHelper!$A$2:$A$5000,$AE213,SummaryHelper!$B$2:$B$5000,$AF213,SummaryHelper!$C$2:$C$5000,$AG213)/SUMIFS(SummaryHelper!$G$2:$G$5000,SummaryHelper!$A$2:$A$5000,$AE213,SummaryHelper!$B$2:$B$5000,$AF213,SummaryHelper!$C$2:$C$5000,$AG213),""))</f>
        <v/>
      </c>
      <c r="AI213" t="str">
        <f>IF($AF213="","",SUMIFS(SummaryHelper!$E$2:$E$5000,SummaryHelper!$A$2:$A$5000,$AE213,SummaryHelper!$B$2:$B$5000,$AF213,SummaryHelper!$C$2:$C$5000,$AG213))</f>
        <v/>
      </c>
      <c r="AJ213" t="str">
        <f>IF($AF213="","",SUMIFS(SummaryHelper!$F$2:$F$5000,SummaryHelper!$A$2:$A$5000,$AE213,SummaryHelper!$B$2:$B$5000,$AF213,SummaryHelper!$C$2:$C$5000,$AG213))</f>
        <v/>
      </c>
      <c r="AK213" t="str">
        <f>IF($AF213="","",SUMIFS(SummaryHelper!$G$2:$G$5000,SummaryHelper!$A$2:$A$5000,$AE213,SummaryHelper!$B$2:$B$5000,$AF213,SummaryHelper!$C$2:$C$5000,$AG213))</f>
        <v/>
      </c>
      <c r="AM213" t="str">
        <f t="shared" si="34"/>
        <v/>
      </c>
      <c r="AN213" t="str">
        <f t="shared" si="35"/>
        <v/>
      </c>
    </row>
    <row r="214" spans="1:40" x14ac:dyDescent="0.25">
      <c r="A214" s="12"/>
      <c r="C214" s="9"/>
      <c r="D214" s="9"/>
      <c r="E214" s="9"/>
      <c r="F214" s="9"/>
      <c r="G214" s="9"/>
      <c r="L214" s="9" t="str">
        <f>IF($J214="","",IFERROR(SUMIFS(SummaryHelper!$H$2:$H$5000,SummaryHelper!$A$2:$A$5000,$I214,SummaryHelper!$B$2:$B$5000,$J214,SummaryHelper!$C$2:$C$5000,$K214)/SUMIFS(SummaryHelper!$G$2:$G$5000,SummaryHelper!$A$2:$A$5000,$I214,SummaryHelper!$B$2:$B$5000,$J214,SummaryHelper!$C$2:$C$5000,$K214),""))</f>
        <v/>
      </c>
      <c r="M214" s="9" t="str">
        <f>IF($J214="","",SUMIFS(SummaryHelper!$E$2:$E$5000,SummaryHelper!$A$2:$A$5000,$I214,SummaryHelper!$B$2:$B$5000,$J214,SummaryHelper!$C$2:$C$5000,$K214))</f>
        <v/>
      </c>
      <c r="N214" s="9" t="str">
        <f>IF($J214="","",SUMIFS(SummaryHelper!$F$2:$F$5000,SummaryHelper!$A$2:$A$5000,$I214,SummaryHelper!$B$2:$B$5000,$J214,SummaryHelper!$C$2:$C$5000,$K214))</f>
        <v/>
      </c>
      <c r="O214" s="9" t="str">
        <f>IF($J214="","",SUMIFS(SummaryHelper!$G$2:$G$5000,SummaryHelper!$A$2:$A$5000,$I214,SummaryHelper!$B$2:$B$5000,$J214,SummaryHelper!$C$2:$C$5000,$K214))</f>
        <v/>
      </c>
      <c r="Q214" s="9" t="str">
        <f t="shared" si="30"/>
        <v/>
      </c>
      <c r="R214" s="9" t="str">
        <f t="shared" si="31"/>
        <v/>
      </c>
      <c r="W214" s="9" t="str">
        <f>IF($U214="","",IFERROR(SUMIFS(SummaryHelper!$H$2:$H$5000,SummaryHelper!$A$2:$A$5000,$T214,SummaryHelper!$B$2:$B$5000,$U214,SummaryHelper!$C$2:$C$5000,$V214)/SUMIFS(SummaryHelper!$G$2:$G$5000,SummaryHelper!$A$2:$A$5000,$T214,SummaryHelper!$B$2:$B$5000,$U214,SummaryHelper!$C$2:$C$5000,$V214),""))</f>
        <v/>
      </c>
      <c r="X214" s="9" t="str">
        <f>IF($U214="","",SUMIFS(SummaryHelper!$E$2:$E$5000,SummaryHelper!$A$2:$A$5000,$T214,SummaryHelper!$B$2:$B$5000,$U214,SummaryHelper!$C$2:$C$5000,$V214))</f>
        <v/>
      </c>
      <c r="Y214" s="9" t="str">
        <f>IF($U214="","",SUMIFS(SummaryHelper!$F$2:$F$5000,SummaryHelper!$A$2:$A$5000,$T214,SummaryHelper!$B$2:$B$5000,$U214,SummaryHelper!$C$2:$C$5000,$V214))</f>
        <v/>
      </c>
      <c r="Z214" s="9" t="s">
        <v>489</v>
      </c>
      <c r="AB214" s="9" t="str">
        <f t="shared" si="32"/>
        <v/>
      </c>
      <c r="AC214" s="9" t="str">
        <f t="shared" si="33"/>
        <v/>
      </c>
      <c r="AH214" t="str">
        <f>IF($AF214="","",IFERROR(SUMIFS(SummaryHelper!$H$2:$H$5000,SummaryHelper!$A$2:$A$5000,$AE214,SummaryHelper!$B$2:$B$5000,$AF214,SummaryHelper!$C$2:$C$5000,$AG214)/SUMIFS(SummaryHelper!$G$2:$G$5000,SummaryHelper!$A$2:$A$5000,$AE214,SummaryHelper!$B$2:$B$5000,$AF214,SummaryHelper!$C$2:$C$5000,$AG214),""))</f>
        <v/>
      </c>
      <c r="AI214" t="str">
        <f>IF($AF214="","",SUMIFS(SummaryHelper!$E$2:$E$5000,SummaryHelper!$A$2:$A$5000,$AE214,SummaryHelper!$B$2:$B$5000,$AF214,SummaryHelper!$C$2:$C$5000,$AG214))</f>
        <v/>
      </c>
      <c r="AJ214" t="str">
        <f>IF($AF214="","",SUMIFS(SummaryHelper!$F$2:$F$5000,SummaryHelper!$A$2:$A$5000,$AE214,SummaryHelper!$B$2:$B$5000,$AF214,SummaryHelper!$C$2:$C$5000,$AG214))</f>
        <v/>
      </c>
      <c r="AK214" t="str">
        <f>IF($AF214="","",SUMIFS(SummaryHelper!$G$2:$G$5000,SummaryHelper!$A$2:$A$5000,$AE214,SummaryHelper!$B$2:$B$5000,$AF214,SummaryHelper!$C$2:$C$5000,$AG214))</f>
        <v/>
      </c>
      <c r="AM214" t="str">
        <f t="shared" si="34"/>
        <v/>
      </c>
      <c r="AN214" t="str">
        <f t="shared" si="35"/>
        <v/>
      </c>
    </row>
    <row r="215" spans="1:40" x14ac:dyDescent="0.25">
      <c r="A215" s="12"/>
      <c r="C215" s="9"/>
      <c r="D215" s="9"/>
      <c r="E215" s="9"/>
      <c r="F215" s="9"/>
      <c r="G215" s="9"/>
      <c r="L215" s="9" t="str">
        <f>IF($J215="","",IFERROR(SUMIFS(SummaryHelper!$H$2:$H$5000,SummaryHelper!$A$2:$A$5000,$I215,SummaryHelper!$B$2:$B$5000,$J215,SummaryHelper!$C$2:$C$5000,$K215)/SUMIFS(SummaryHelper!$G$2:$G$5000,SummaryHelper!$A$2:$A$5000,$I215,SummaryHelper!$B$2:$B$5000,$J215,SummaryHelper!$C$2:$C$5000,$K215),""))</f>
        <v/>
      </c>
      <c r="M215" s="9" t="str">
        <f>IF($J215="","",SUMIFS(SummaryHelper!$E$2:$E$5000,SummaryHelper!$A$2:$A$5000,$I215,SummaryHelper!$B$2:$B$5000,$J215,SummaryHelper!$C$2:$C$5000,$K215))</f>
        <v/>
      </c>
      <c r="N215" s="9" t="str">
        <f>IF($J215="","",SUMIFS(SummaryHelper!$F$2:$F$5000,SummaryHelper!$A$2:$A$5000,$I215,SummaryHelper!$B$2:$B$5000,$J215,SummaryHelper!$C$2:$C$5000,$K215))</f>
        <v/>
      </c>
      <c r="O215" s="9" t="str">
        <f>IF($J215="","",SUMIFS(SummaryHelper!$G$2:$G$5000,SummaryHelper!$A$2:$A$5000,$I215,SummaryHelper!$B$2:$B$5000,$J215,SummaryHelper!$C$2:$C$5000,$K215))</f>
        <v/>
      </c>
      <c r="Q215" s="9" t="str">
        <f t="shared" si="30"/>
        <v/>
      </c>
      <c r="R215" s="9" t="str">
        <f t="shared" si="31"/>
        <v/>
      </c>
      <c r="W215" s="9" t="str">
        <f>IF($U215="","",IFERROR(SUMIFS(SummaryHelper!$H$2:$H$5000,SummaryHelper!$A$2:$A$5000,$T215,SummaryHelper!$B$2:$B$5000,$U215,SummaryHelper!$C$2:$C$5000,$V215)/SUMIFS(SummaryHelper!$G$2:$G$5000,SummaryHelper!$A$2:$A$5000,$T215,SummaryHelper!$B$2:$B$5000,$U215,SummaryHelper!$C$2:$C$5000,$V215),""))</f>
        <v/>
      </c>
      <c r="X215" s="9" t="str">
        <f>IF($U215="","",SUMIFS(SummaryHelper!$E$2:$E$5000,SummaryHelper!$A$2:$A$5000,$T215,SummaryHelper!$B$2:$B$5000,$U215,SummaryHelper!$C$2:$C$5000,$V215))</f>
        <v/>
      </c>
      <c r="Y215" s="9" t="str">
        <f>IF($U215="","",SUMIFS(SummaryHelper!$F$2:$F$5000,SummaryHelper!$A$2:$A$5000,$T215,SummaryHelper!$B$2:$B$5000,$U215,SummaryHelper!$C$2:$C$5000,$V215))</f>
        <v/>
      </c>
      <c r="Z215" s="9" t="s">
        <v>489</v>
      </c>
      <c r="AB215" s="9" t="str">
        <f t="shared" si="32"/>
        <v/>
      </c>
      <c r="AC215" s="9" t="str">
        <f t="shared" si="33"/>
        <v/>
      </c>
      <c r="AH215" t="str">
        <f>IF($AF215="","",IFERROR(SUMIFS(SummaryHelper!$H$2:$H$5000,SummaryHelper!$A$2:$A$5000,$AE215,SummaryHelper!$B$2:$B$5000,$AF215,SummaryHelper!$C$2:$C$5000,$AG215)/SUMIFS(SummaryHelper!$G$2:$G$5000,SummaryHelper!$A$2:$A$5000,$AE215,SummaryHelper!$B$2:$B$5000,$AF215,SummaryHelper!$C$2:$C$5000,$AG215),""))</f>
        <v/>
      </c>
      <c r="AI215" t="str">
        <f>IF($AF215="","",SUMIFS(SummaryHelper!$E$2:$E$5000,SummaryHelper!$A$2:$A$5000,$AE215,SummaryHelper!$B$2:$B$5000,$AF215,SummaryHelper!$C$2:$C$5000,$AG215))</f>
        <v/>
      </c>
      <c r="AJ215" t="str">
        <f>IF($AF215="","",SUMIFS(SummaryHelper!$F$2:$F$5000,SummaryHelper!$A$2:$A$5000,$AE215,SummaryHelper!$B$2:$B$5000,$AF215,SummaryHelper!$C$2:$C$5000,$AG215))</f>
        <v/>
      </c>
      <c r="AK215" t="str">
        <f>IF($AF215="","",SUMIFS(SummaryHelper!$G$2:$G$5000,SummaryHelper!$A$2:$A$5000,$AE215,SummaryHelper!$B$2:$B$5000,$AF215,SummaryHelper!$C$2:$C$5000,$AG215))</f>
        <v/>
      </c>
      <c r="AM215" t="str">
        <f t="shared" si="34"/>
        <v/>
      </c>
      <c r="AN215" t="str">
        <f t="shared" si="35"/>
        <v/>
      </c>
    </row>
    <row r="216" spans="1:40" x14ac:dyDescent="0.25">
      <c r="A216" s="12"/>
      <c r="C216" s="9"/>
      <c r="D216" s="9"/>
      <c r="E216" s="9"/>
      <c r="F216" s="9"/>
      <c r="G216" s="9"/>
      <c r="L216" s="9" t="str">
        <f>IF($J216="","",IFERROR(SUMIFS(SummaryHelper!$H$2:$H$5000,SummaryHelper!$A$2:$A$5000,$I216,SummaryHelper!$B$2:$B$5000,$J216,SummaryHelper!$C$2:$C$5000,$K216)/SUMIFS(SummaryHelper!$G$2:$G$5000,SummaryHelper!$A$2:$A$5000,$I216,SummaryHelper!$B$2:$B$5000,$J216,SummaryHelper!$C$2:$C$5000,$K216),""))</f>
        <v/>
      </c>
      <c r="M216" s="9" t="str">
        <f>IF($J216="","",SUMIFS(SummaryHelper!$E$2:$E$5000,SummaryHelper!$A$2:$A$5000,$I216,SummaryHelper!$B$2:$B$5000,$J216,SummaryHelper!$C$2:$C$5000,$K216))</f>
        <v/>
      </c>
      <c r="N216" s="9" t="str">
        <f>IF($J216="","",SUMIFS(SummaryHelper!$F$2:$F$5000,SummaryHelper!$A$2:$A$5000,$I216,SummaryHelper!$B$2:$B$5000,$J216,SummaryHelper!$C$2:$C$5000,$K216))</f>
        <v/>
      </c>
      <c r="O216" s="9" t="str">
        <f>IF($J216="","",SUMIFS(SummaryHelper!$G$2:$G$5000,SummaryHelper!$A$2:$A$5000,$I216,SummaryHelper!$B$2:$B$5000,$J216,SummaryHelper!$C$2:$C$5000,$K216))</f>
        <v/>
      </c>
      <c r="Q216" s="9" t="str">
        <f t="shared" si="30"/>
        <v/>
      </c>
      <c r="R216" s="9" t="str">
        <f t="shared" si="31"/>
        <v/>
      </c>
      <c r="W216" s="9" t="str">
        <f>IF($U216="","",IFERROR(SUMIFS(SummaryHelper!$H$2:$H$5000,SummaryHelper!$A$2:$A$5000,$T216,SummaryHelper!$B$2:$B$5000,$U216,SummaryHelper!$C$2:$C$5000,$V216)/SUMIFS(SummaryHelper!$G$2:$G$5000,SummaryHelper!$A$2:$A$5000,$T216,SummaryHelper!$B$2:$B$5000,$U216,SummaryHelper!$C$2:$C$5000,$V216),""))</f>
        <v/>
      </c>
      <c r="X216" s="9" t="str">
        <f>IF($U216="","",SUMIFS(SummaryHelper!$E$2:$E$5000,SummaryHelper!$A$2:$A$5000,$T216,SummaryHelper!$B$2:$B$5000,$U216,SummaryHelper!$C$2:$C$5000,$V216))</f>
        <v/>
      </c>
      <c r="Y216" s="9" t="str">
        <f>IF($U216="","",SUMIFS(SummaryHelper!$F$2:$F$5000,SummaryHelper!$A$2:$A$5000,$T216,SummaryHelper!$B$2:$B$5000,$U216,SummaryHelper!$C$2:$C$5000,$V216))</f>
        <v/>
      </c>
      <c r="Z216" s="9" t="s">
        <v>489</v>
      </c>
      <c r="AB216" s="9" t="str">
        <f t="shared" si="32"/>
        <v/>
      </c>
      <c r="AC216" s="9" t="str">
        <f t="shared" si="33"/>
        <v/>
      </c>
      <c r="AH216" t="str">
        <f>IF($AF216="","",IFERROR(SUMIFS(SummaryHelper!$H$2:$H$5000,SummaryHelper!$A$2:$A$5000,$AE216,SummaryHelper!$B$2:$B$5000,$AF216,SummaryHelper!$C$2:$C$5000,$AG216)/SUMIFS(SummaryHelper!$G$2:$G$5000,SummaryHelper!$A$2:$A$5000,$AE216,SummaryHelper!$B$2:$B$5000,$AF216,SummaryHelper!$C$2:$C$5000,$AG216),""))</f>
        <v/>
      </c>
      <c r="AI216" t="str">
        <f>IF($AF216="","",SUMIFS(SummaryHelper!$E$2:$E$5000,SummaryHelper!$A$2:$A$5000,$AE216,SummaryHelper!$B$2:$B$5000,$AF216,SummaryHelper!$C$2:$C$5000,$AG216))</f>
        <v/>
      </c>
      <c r="AJ216" t="str">
        <f>IF($AF216="","",SUMIFS(SummaryHelper!$F$2:$F$5000,SummaryHelper!$A$2:$A$5000,$AE216,SummaryHelper!$B$2:$B$5000,$AF216,SummaryHelper!$C$2:$C$5000,$AG216))</f>
        <v/>
      </c>
      <c r="AK216" t="str">
        <f>IF($AF216="","",SUMIFS(SummaryHelper!$G$2:$G$5000,SummaryHelper!$A$2:$A$5000,$AE216,SummaryHelper!$B$2:$B$5000,$AF216,SummaryHelper!$C$2:$C$5000,$AG216))</f>
        <v/>
      </c>
      <c r="AM216" t="str">
        <f t="shared" si="34"/>
        <v/>
      </c>
      <c r="AN216" t="str">
        <f t="shared" si="35"/>
        <v/>
      </c>
    </row>
    <row r="217" spans="1:40" x14ac:dyDescent="0.25">
      <c r="A217" s="12"/>
      <c r="C217" s="9"/>
      <c r="D217" s="9"/>
      <c r="E217" s="9"/>
      <c r="F217" s="9"/>
      <c r="G217" s="9"/>
      <c r="L217" s="9" t="str">
        <f>IF($J217="","",IFERROR(SUMIFS(SummaryHelper!$H$2:$H$5000,SummaryHelper!$A$2:$A$5000,$I217,SummaryHelper!$B$2:$B$5000,$J217,SummaryHelper!$C$2:$C$5000,$K217)/SUMIFS(SummaryHelper!$G$2:$G$5000,SummaryHelper!$A$2:$A$5000,$I217,SummaryHelper!$B$2:$B$5000,$J217,SummaryHelper!$C$2:$C$5000,$K217),""))</f>
        <v/>
      </c>
      <c r="M217" s="9" t="str">
        <f>IF($J217="","",SUMIFS(SummaryHelper!$E$2:$E$5000,SummaryHelper!$A$2:$A$5000,$I217,SummaryHelper!$B$2:$B$5000,$J217,SummaryHelper!$C$2:$C$5000,$K217))</f>
        <v/>
      </c>
      <c r="N217" s="9" t="str">
        <f>IF($J217="","",SUMIFS(SummaryHelper!$F$2:$F$5000,SummaryHelper!$A$2:$A$5000,$I217,SummaryHelper!$B$2:$B$5000,$J217,SummaryHelper!$C$2:$C$5000,$K217))</f>
        <v/>
      </c>
      <c r="O217" s="9" t="str">
        <f>IF($J217="","",SUMIFS(SummaryHelper!$G$2:$G$5000,SummaryHelper!$A$2:$A$5000,$I217,SummaryHelper!$B$2:$B$5000,$J217,SummaryHelper!$C$2:$C$5000,$K217))</f>
        <v/>
      </c>
      <c r="Q217" s="9" t="str">
        <f t="shared" si="30"/>
        <v/>
      </c>
      <c r="R217" s="9" t="str">
        <f t="shared" si="31"/>
        <v/>
      </c>
      <c r="W217" s="9" t="str">
        <f>IF($U217="","",IFERROR(SUMIFS(SummaryHelper!$H$2:$H$5000,SummaryHelper!$A$2:$A$5000,$T217,SummaryHelper!$B$2:$B$5000,$U217,SummaryHelper!$C$2:$C$5000,$V217)/SUMIFS(SummaryHelper!$G$2:$G$5000,SummaryHelper!$A$2:$A$5000,$T217,SummaryHelper!$B$2:$B$5000,$U217,SummaryHelper!$C$2:$C$5000,$V217),""))</f>
        <v/>
      </c>
      <c r="X217" s="9" t="str">
        <f>IF($U217="","",SUMIFS(SummaryHelper!$E$2:$E$5000,SummaryHelper!$A$2:$A$5000,$T217,SummaryHelper!$B$2:$B$5000,$U217,SummaryHelper!$C$2:$C$5000,$V217))</f>
        <v/>
      </c>
      <c r="Y217" s="9" t="str">
        <f>IF($U217="","",SUMIFS(SummaryHelper!$F$2:$F$5000,SummaryHelper!$A$2:$A$5000,$T217,SummaryHelper!$B$2:$B$5000,$U217,SummaryHelper!$C$2:$C$5000,$V217))</f>
        <v/>
      </c>
      <c r="Z217" s="9" t="s">
        <v>489</v>
      </c>
      <c r="AB217" s="9" t="str">
        <f t="shared" si="32"/>
        <v/>
      </c>
      <c r="AC217" s="9" t="str">
        <f t="shared" si="33"/>
        <v/>
      </c>
      <c r="AH217" t="str">
        <f>IF($AF217="","",IFERROR(SUMIFS(SummaryHelper!$H$2:$H$5000,SummaryHelper!$A$2:$A$5000,$AE217,SummaryHelper!$B$2:$B$5000,$AF217,SummaryHelper!$C$2:$C$5000,$AG217)/SUMIFS(SummaryHelper!$G$2:$G$5000,SummaryHelper!$A$2:$A$5000,$AE217,SummaryHelper!$B$2:$B$5000,$AF217,SummaryHelper!$C$2:$C$5000,$AG217),""))</f>
        <v/>
      </c>
      <c r="AI217" t="str">
        <f>IF($AF217="","",SUMIFS(SummaryHelper!$E$2:$E$5000,SummaryHelper!$A$2:$A$5000,$AE217,SummaryHelper!$B$2:$B$5000,$AF217,SummaryHelper!$C$2:$C$5000,$AG217))</f>
        <v/>
      </c>
      <c r="AJ217" t="str">
        <f>IF($AF217="","",SUMIFS(SummaryHelper!$F$2:$F$5000,SummaryHelper!$A$2:$A$5000,$AE217,SummaryHelper!$B$2:$B$5000,$AF217,SummaryHelper!$C$2:$C$5000,$AG217))</f>
        <v/>
      </c>
      <c r="AK217" t="str">
        <f>IF($AF217="","",SUMIFS(SummaryHelper!$G$2:$G$5000,SummaryHelper!$A$2:$A$5000,$AE217,SummaryHelper!$B$2:$B$5000,$AF217,SummaryHelper!$C$2:$C$5000,$AG217))</f>
        <v/>
      </c>
      <c r="AM217" t="str">
        <f t="shared" si="34"/>
        <v/>
      </c>
      <c r="AN217" t="str">
        <f t="shared" si="35"/>
        <v/>
      </c>
    </row>
    <row r="218" spans="1:40" x14ac:dyDescent="0.25">
      <c r="A218" s="12"/>
      <c r="C218" s="9"/>
      <c r="D218" s="9"/>
      <c r="E218" s="9"/>
      <c r="F218" s="9"/>
      <c r="G218" s="9"/>
      <c r="L218" s="9" t="str">
        <f>IF($J218="","",IFERROR(SUMIFS(SummaryHelper!$H$2:$H$5000,SummaryHelper!$A$2:$A$5000,$I218,SummaryHelper!$B$2:$B$5000,$J218,SummaryHelper!$C$2:$C$5000,$K218)/SUMIFS(SummaryHelper!$G$2:$G$5000,SummaryHelper!$A$2:$A$5000,$I218,SummaryHelper!$B$2:$B$5000,$J218,SummaryHelper!$C$2:$C$5000,$K218),""))</f>
        <v/>
      </c>
      <c r="M218" s="9" t="str">
        <f>IF($J218="","",SUMIFS(SummaryHelper!$E$2:$E$5000,SummaryHelper!$A$2:$A$5000,$I218,SummaryHelper!$B$2:$B$5000,$J218,SummaryHelper!$C$2:$C$5000,$K218))</f>
        <v/>
      </c>
      <c r="N218" s="9" t="str">
        <f>IF($J218="","",SUMIFS(SummaryHelper!$F$2:$F$5000,SummaryHelper!$A$2:$A$5000,$I218,SummaryHelper!$B$2:$B$5000,$J218,SummaryHelper!$C$2:$C$5000,$K218))</f>
        <v/>
      </c>
      <c r="O218" s="9" t="str">
        <f>IF($J218="","",SUMIFS(SummaryHelper!$G$2:$G$5000,SummaryHelper!$A$2:$A$5000,$I218,SummaryHelper!$B$2:$B$5000,$J218,SummaryHelper!$C$2:$C$5000,$K218))</f>
        <v/>
      </c>
      <c r="Q218" s="9" t="str">
        <f t="shared" si="30"/>
        <v/>
      </c>
      <c r="R218" s="9" t="str">
        <f t="shared" si="31"/>
        <v/>
      </c>
      <c r="W218" s="9" t="str">
        <f>IF($U218="","",IFERROR(SUMIFS(SummaryHelper!$H$2:$H$5000,SummaryHelper!$A$2:$A$5000,$T218,SummaryHelper!$B$2:$B$5000,$U218,SummaryHelper!$C$2:$C$5000,$V218)/SUMIFS(SummaryHelper!$G$2:$G$5000,SummaryHelper!$A$2:$A$5000,$T218,SummaryHelper!$B$2:$B$5000,$U218,SummaryHelper!$C$2:$C$5000,$V218),""))</f>
        <v/>
      </c>
      <c r="X218" s="9" t="str">
        <f>IF($U218="","",SUMIFS(SummaryHelper!$E$2:$E$5000,SummaryHelper!$A$2:$A$5000,$T218,SummaryHelper!$B$2:$B$5000,$U218,SummaryHelper!$C$2:$C$5000,$V218))</f>
        <v/>
      </c>
      <c r="Y218" s="9" t="str">
        <f>IF($U218="","",SUMIFS(SummaryHelper!$F$2:$F$5000,SummaryHelper!$A$2:$A$5000,$T218,SummaryHelper!$B$2:$B$5000,$U218,SummaryHelper!$C$2:$C$5000,$V218))</f>
        <v/>
      </c>
      <c r="Z218" s="9" t="s">
        <v>489</v>
      </c>
      <c r="AB218" s="9" t="str">
        <f t="shared" si="32"/>
        <v/>
      </c>
      <c r="AC218" s="9" t="str">
        <f t="shared" si="33"/>
        <v/>
      </c>
      <c r="AH218" t="str">
        <f>IF($AF218="","",IFERROR(SUMIFS(SummaryHelper!$H$2:$H$5000,SummaryHelper!$A$2:$A$5000,$AE218,SummaryHelper!$B$2:$B$5000,$AF218,SummaryHelper!$C$2:$C$5000,$AG218)/SUMIFS(SummaryHelper!$G$2:$G$5000,SummaryHelper!$A$2:$A$5000,$AE218,SummaryHelper!$B$2:$B$5000,$AF218,SummaryHelper!$C$2:$C$5000,$AG218),""))</f>
        <v/>
      </c>
      <c r="AI218" t="str">
        <f>IF($AF218="","",SUMIFS(SummaryHelper!$E$2:$E$5000,SummaryHelper!$A$2:$A$5000,$AE218,SummaryHelper!$B$2:$B$5000,$AF218,SummaryHelper!$C$2:$C$5000,$AG218))</f>
        <v/>
      </c>
      <c r="AJ218" t="str">
        <f>IF($AF218="","",SUMIFS(SummaryHelper!$F$2:$F$5000,SummaryHelper!$A$2:$A$5000,$AE218,SummaryHelper!$B$2:$B$5000,$AF218,SummaryHelper!$C$2:$C$5000,$AG218))</f>
        <v/>
      </c>
      <c r="AK218" t="str">
        <f>IF($AF218="","",SUMIFS(SummaryHelper!$G$2:$G$5000,SummaryHelper!$A$2:$A$5000,$AE218,SummaryHelper!$B$2:$B$5000,$AF218,SummaryHelper!$C$2:$C$5000,$AG218))</f>
        <v/>
      </c>
      <c r="AM218" t="str">
        <f t="shared" si="34"/>
        <v/>
      </c>
      <c r="AN218" t="str">
        <f t="shared" si="35"/>
        <v/>
      </c>
    </row>
    <row r="219" spans="1:40" x14ac:dyDescent="0.25">
      <c r="A219" s="12"/>
      <c r="C219" s="9"/>
      <c r="D219" s="9"/>
      <c r="E219" s="9"/>
      <c r="F219" s="9"/>
      <c r="G219" s="9"/>
      <c r="L219" s="9" t="str">
        <f>IF($J219="","",IFERROR(SUMIFS(SummaryHelper!$H$2:$H$5000,SummaryHelper!$A$2:$A$5000,$I219,SummaryHelper!$B$2:$B$5000,$J219,SummaryHelper!$C$2:$C$5000,$K219)/SUMIFS(SummaryHelper!$G$2:$G$5000,SummaryHelper!$A$2:$A$5000,$I219,SummaryHelper!$B$2:$B$5000,$J219,SummaryHelper!$C$2:$C$5000,$K219),""))</f>
        <v/>
      </c>
      <c r="M219" s="9" t="str">
        <f>IF($J219="","",SUMIFS(SummaryHelper!$E$2:$E$5000,SummaryHelper!$A$2:$A$5000,$I219,SummaryHelper!$B$2:$B$5000,$J219,SummaryHelper!$C$2:$C$5000,$K219))</f>
        <v/>
      </c>
      <c r="N219" s="9" t="str">
        <f>IF($J219="","",SUMIFS(SummaryHelper!$F$2:$F$5000,SummaryHelper!$A$2:$A$5000,$I219,SummaryHelper!$B$2:$B$5000,$J219,SummaryHelper!$C$2:$C$5000,$K219))</f>
        <v/>
      </c>
      <c r="O219" s="9" t="str">
        <f>IF($J219="","",SUMIFS(SummaryHelper!$G$2:$G$5000,SummaryHelper!$A$2:$A$5000,$I219,SummaryHelper!$B$2:$B$5000,$J219,SummaryHelper!$C$2:$C$5000,$K219))</f>
        <v/>
      </c>
      <c r="Q219" s="9" t="str">
        <f t="shared" si="30"/>
        <v/>
      </c>
      <c r="R219" s="9" t="str">
        <f t="shared" si="31"/>
        <v/>
      </c>
      <c r="W219" s="9" t="str">
        <f>IF($U219="","",IFERROR(SUMIFS(SummaryHelper!$H$2:$H$5000,SummaryHelper!$A$2:$A$5000,$T219,SummaryHelper!$B$2:$B$5000,$U219,SummaryHelper!$C$2:$C$5000,$V219)/SUMIFS(SummaryHelper!$G$2:$G$5000,SummaryHelper!$A$2:$A$5000,$T219,SummaryHelper!$B$2:$B$5000,$U219,SummaryHelper!$C$2:$C$5000,$V219),""))</f>
        <v/>
      </c>
      <c r="X219" s="9" t="str">
        <f>IF($U219="","",SUMIFS(SummaryHelper!$E$2:$E$5000,SummaryHelper!$A$2:$A$5000,$T219,SummaryHelper!$B$2:$B$5000,$U219,SummaryHelper!$C$2:$C$5000,$V219))</f>
        <v/>
      </c>
      <c r="Y219" s="9" t="str">
        <f>IF($U219="","",SUMIFS(SummaryHelper!$F$2:$F$5000,SummaryHelper!$A$2:$A$5000,$T219,SummaryHelper!$B$2:$B$5000,$U219,SummaryHelper!$C$2:$C$5000,$V219))</f>
        <v/>
      </c>
      <c r="Z219" s="9" t="s">
        <v>489</v>
      </c>
      <c r="AB219" s="9" t="str">
        <f t="shared" si="32"/>
        <v/>
      </c>
      <c r="AC219" s="9" t="str">
        <f t="shared" si="33"/>
        <v/>
      </c>
      <c r="AH219" t="str">
        <f>IF($AF219="","",IFERROR(SUMIFS(SummaryHelper!$H$2:$H$5000,SummaryHelper!$A$2:$A$5000,$AE219,SummaryHelper!$B$2:$B$5000,$AF219,SummaryHelper!$C$2:$C$5000,$AG219)/SUMIFS(SummaryHelper!$G$2:$G$5000,SummaryHelper!$A$2:$A$5000,$AE219,SummaryHelper!$B$2:$B$5000,$AF219,SummaryHelper!$C$2:$C$5000,$AG219),""))</f>
        <v/>
      </c>
      <c r="AI219" t="str">
        <f>IF($AF219="","",SUMIFS(SummaryHelper!$E$2:$E$5000,SummaryHelper!$A$2:$A$5000,$AE219,SummaryHelper!$B$2:$B$5000,$AF219,SummaryHelper!$C$2:$C$5000,$AG219))</f>
        <v/>
      </c>
      <c r="AJ219" t="str">
        <f>IF($AF219="","",SUMIFS(SummaryHelper!$F$2:$F$5000,SummaryHelper!$A$2:$A$5000,$AE219,SummaryHelper!$B$2:$B$5000,$AF219,SummaryHelper!$C$2:$C$5000,$AG219))</f>
        <v/>
      </c>
      <c r="AK219" t="str">
        <f>IF($AF219="","",SUMIFS(SummaryHelper!$G$2:$G$5000,SummaryHelper!$A$2:$A$5000,$AE219,SummaryHelper!$B$2:$B$5000,$AF219,SummaryHelper!$C$2:$C$5000,$AG219))</f>
        <v/>
      </c>
      <c r="AM219" t="str">
        <f t="shared" si="34"/>
        <v/>
      </c>
      <c r="AN219" t="str">
        <f t="shared" si="35"/>
        <v/>
      </c>
    </row>
    <row r="220" spans="1:40" x14ac:dyDescent="0.25">
      <c r="A220" s="12"/>
      <c r="C220" s="9"/>
      <c r="D220" s="9"/>
      <c r="E220" s="9"/>
      <c r="F220" s="9"/>
      <c r="G220" s="9"/>
      <c r="L220" s="9" t="str">
        <f>IF($J220="","",IFERROR(SUMIFS(SummaryHelper!$H$2:$H$5000,SummaryHelper!$A$2:$A$5000,$I220,SummaryHelper!$B$2:$B$5000,$J220,SummaryHelper!$C$2:$C$5000,$K220)/SUMIFS(SummaryHelper!$G$2:$G$5000,SummaryHelper!$A$2:$A$5000,$I220,SummaryHelper!$B$2:$B$5000,$J220,SummaryHelper!$C$2:$C$5000,$K220),""))</f>
        <v/>
      </c>
      <c r="M220" s="9" t="str">
        <f>IF($J220="","",SUMIFS(SummaryHelper!$E$2:$E$5000,SummaryHelper!$A$2:$A$5000,$I220,SummaryHelper!$B$2:$B$5000,$J220,SummaryHelper!$C$2:$C$5000,$K220))</f>
        <v/>
      </c>
      <c r="N220" s="9" t="str">
        <f>IF($J220="","",SUMIFS(SummaryHelper!$F$2:$F$5000,SummaryHelper!$A$2:$A$5000,$I220,SummaryHelper!$B$2:$B$5000,$J220,SummaryHelper!$C$2:$C$5000,$K220))</f>
        <v/>
      </c>
      <c r="O220" s="9" t="str">
        <f>IF($J220="","",SUMIFS(SummaryHelper!$G$2:$G$5000,SummaryHelper!$A$2:$A$5000,$I220,SummaryHelper!$B$2:$B$5000,$J220,SummaryHelper!$C$2:$C$5000,$K220))</f>
        <v/>
      </c>
      <c r="Q220" s="9" t="str">
        <f t="shared" si="30"/>
        <v/>
      </c>
      <c r="R220" s="9" t="str">
        <f t="shared" si="31"/>
        <v/>
      </c>
      <c r="W220" s="9" t="str">
        <f>IF($U220="","",IFERROR(SUMIFS(SummaryHelper!$H$2:$H$5000,SummaryHelper!$A$2:$A$5000,$T220,SummaryHelper!$B$2:$B$5000,$U220,SummaryHelper!$C$2:$C$5000,$V220)/SUMIFS(SummaryHelper!$G$2:$G$5000,SummaryHelper!$A$2:$A$5000,$T220,SummaryHelper!$B$2:$B$5000,$U220,SummaryHelper!$C$2:$C$5000,$V220),""))</f>
        <v/>
      </c>
      <c r="X220" s="9" t="str">
        <f>IF($U220="","",SUMIFS(SummaryHelper!$E$2:$E$5000,SummaryHelper!$A$2:$A$5000,$T220,SummaryHelper!$B$2:$B$5000,$U220,SummaryHelper!$C$2:$C$5000,$V220))</f>
        <v/>
      </c>
      <c r="Y220" s="9" t="str">
        <f>IF($U220="","",SUMIFS(SummaryHelper!$F$2:$F$5000,SummaryHelper!$A$2:$A$5000,$T220,SummaryHelper!$B$2:$B$5000,$U220,SummaryHelper!$C$2:$C$5000,$V220))</f>
        <v/>
      </c>
      <c r="Z220" s="9" t="s">
        <v>489</v>
      </c>
      <c r="AB220" s="9" t="str">
        <f t="shared" si="32"/>
        <v/>
      </c>
      <c r="AC220" s="9" t="str">
        <f t="shared" si="33"/>
        <v/>
      </c>
      <c r="AH220" t="str">
        <f>IF($AF220="","",IFERROR(SUMIFS(SummaryHelper!$H$2:$H$5000,SummaryHelper!$A$2:$A$5000,$AE220,SummaryHelper!$B$2:$B$5000,$AF220,SummaryHelper!$C$2:$C$5000,$AG220)/SUMIFS(SummaryHelper!$G$2:$G$5000,SummaryHelper!$A$2:$A$5000,$AE220,SummaryHelper!$B$2:$B$5000,$AF220,SummaryHelper!$C$2:$C$5000,$AG220),""))</f>
        <v/>
      </c>
      <c r="AI220" t="str">
        <f>IF($AF220="","",SUMIFS(SummaryHelper!$E$2:$E$5000,SummaryHelper!$A$2:$A$5000,$AE220,SummaryHelper!$B$2:$B$5000,$AF220,SummaryHelper!$C$2:$C$5000,$AG220))</f>
        <v/>
      </c>
      <c r="AJ220" t="str">
        <f>IF($AF220="","",SUMIFS(SummaryHelper!$F$2:$F$5000,SummaryHelper!$A$2:$A$5000,$AE220,SummaryHelper!$B$2:$B$5000,$AF220,SummaryHelper!$C$2:$C$5000,$AG220))</f>
        <v/>
      </c>
      <c r="AK220" t="str">
        <f>IF($AF220="","",SUMIFS(SummaryHelper!$G$2:$G$5000,SummaryHelper!$A$2:$A$5000,$AE220,SummaryHelper!$B$2:$B$5000,$AF220,SummaryHelper!$C$2:$C$5000,$AG220))</f>
        <v/>
      </c>
      <c r="AM220" t="str">
        <f t="shared" si="34"/>
        <v/>
      </c>
      <c r="AN220" t="str">
        <f t="shared" si="35"/>
        <v/>
      </c>
    </row>
    <row r="221" spans="1:40" x14ac:dyDescent="0.25">
      <c r="A221" s="12"/>
      <c r="C221" s="9"/>
      <c r="D221" s="9"/>
      <c r="E221" s="9"/>
      <c r="F221" s="9"/>
      <c r="G221" s="9"/>
      <c r="L221" s="9" t="str">
        <f>IF($J221="","",IFERROR(SUMIFS(SummaryHelper!$H$2:$H$5000,SummaryHelper!$A$2:$A$5000,$I221,SummaryHelper!$B$2:$B$5000,$J221,SummaryHelper!$C$2:$C$5000,$K221)/SUMIFS(SummaryHelper!$G$2:$G$5000,SummaryHelper!$A$2:$A$5000,$I221,SummaryHelper!$B$2:$B$5000,$J221,SummaryHelper!$C$2:$C$5000,$K221),""))</f>
        <v/>
      </c>
      <c r="M221" s="9" t="str">
        <f>IF($J221="","",SUMIFS(SummaryHelper!$E$2:$E$5000,SummaryHelper!$A$2:$A$5000,$I221,SummaryHelper!$B$2:$B$5000,$J221,SummaryHelper!$C$2:$C$5000,$K221))</f>
        <v/>
      </c>
      <c r="N221" s="9" t="str">
        <f>IF($J221="","",SUMIFS(SummaryHelper!$F$2:$F$5000,SummaryHelper!$A$2:$A$5000,$I221,SummaryHelper!$B$2:$B$5000,$J221,SummaryHelper!$C$2:$C$5000,$K221))</f>
        <v/>
      </c>
      <c r="O221" s="9" t="str">
        <f>IF($J221="","",SUMIFS(SummaryHelper!$G$2:$G$5000,SummaryHelper!$A$2:$A$5000,$I221,SummaryHelper!$B$2:$B$5000,$J221,SummaryHelper!$C$2:$C$5000,$K221))</f>
        <v/>
      </c>
      <c r="Q221" s="9" t="str">
        <f t="shared" si="30"/>
        <v/>
      </c>
      <c r="R221" s="9" t="str">
        <f t="shared" si="31"/>
        <v/>
      </c>
      <c r="W221" s="9" t="str">
        <f>IF($U221="","",IFERROR(SUMIFS(SummaryHelper!$H$2:$H$5000,SummaryHelper!$A$2:$A$5000,$T221,SummaryHelper!$B$2:$B$5000,$U221,SummaryHelper!$C$2:$C$5000,$V221)/SUMIFS(SummaryHelper!$G$2:$G$5000,SummaryHelper!$A$2:$A$5000,$T221,SummaryHelper!$B$2:$B$5000,$U221,SummaryHelper!$C$2:$C$5000,$V221),""))</f>
        <v/>
      </c>
      <c r="X221" s="9" t="str">
        <f>IF($U221="","",SUMIFS(SummaryHelper!$E$2:$E$5000,SummaryHelper!$A$2:$A$5000,$T221,SummaryHelper!$B$2:$B$5000,$U221,SummaryHelper!$C$2:$C$5000,$V221))</f>
        <v/>
      </c>
      <c r="Y221" s="9" t="str">
        <f>IF($U221="","",SUMIFS(SummaryHelper!$F$2:$F$5000,SummaryHelper!$A$2:$A$5000,$T221,SummaryHelper!$B$2:$B$5000,$U221,SummaryHelper!$C$2:$C$5000,$V221))</f>
        <v/>
      </c>
      <c r="Z221" s="9" t="s">
        <v>489</v>
      </c>
      <c r="AB221" s="9" t="str">
        <f t="shared" si="32"/>
        <v/>
      </c>
      <c r="AC221" s="9" t="str">
        <f t="shared" si="33"/>
        <v/>
      </c>
      <c r="AH221" t="str">
        <f>IF($AF221="","",IFERROR(SUMIFS(SummaryHelper!$H$2:$H$5000,SummaryHelper!$A$2:$A$5000,$AE221,SummaryHelper!$B$2:$B$5000,$AF221,SummaryHelper!$C$2:$C$5000,$AG221)/SUMIFS(SummaryHelper!$G$2:$G$5000,SummaryHelper!$A$2:$A$5000,$AE221,SummaryHelper!$B$2:$B$5000,$AF221,SummaryHelper!$C$2:$C$5000,$AG221),""))</f>
        <v/>
      </c>
      <c r="AI221" t="str">
        <f>IF($AF221="","",SUMIFS(SummaryHelper!$E$2:$E$5000,SummaryHelper!$A$2:$A$5000,$AE221,SummaryHelper!$B$2:$B$5000,$AF221,SummaryHelper!$C$2:$C$5000,$AG221))</f>
        <v/>
      </c>
      <c r="AJ221" t="str">
        <f>IF($AF221="","",SUMIFS(SummaryHelper!$F$2:$F$5000,SummaryHelper!$A$2:$A$5000,$AE221,SummaryHelper!$B$2:$B$5000,$AF221,SummaryHelper!$C$2:$C$5000,$AG221))</f>
        <v/>
      </c>
      <c r="AK221" t="str">
        <f>IF($AF221="","",SUMIFS(SummaryHelper!$G$2:$G$5000,SummaryHelper!$A$2:$A$5000,$AE221,SummaryHelper!$B$2:$B$5000,$AF221,SummaryHelper!$C$2:$C$5000,$AG221))</f>
        <v/>
      </c>
      <c r="AM221" t="str">
        <f t="shared" si="34"/>
        <v/>
      </c>
      <c r="AN221" t="str">
        <f t="shared" si="35"/>
        <v/>
      </c>
    </row>
    <row r="222" spans="1:40" x14ac:dyDescent="0.25">
      <c r="A222" s="12"/>
      <c r="C222" s="9"/>
      <c r="D222" s="9"/>
      <c r="E222" s="9"/>
      <c r="F222" s="9"/>
      <c r="G222" s="9"/>
      <c r="L222" s="9" t="str">
        <f>IF($J222="","",IFERROR(SUMIFS(SummaryHelper!$H$2:$H$5000,SummaryHelper!$A$2:$A$5000,$I222,SummaryHelper!$B$2:$B$5000,$J222,SummaryHelper!$C$2:$C$5000,$K222)/SUMIFS(SummaryHelper!$G$2:$G$5000,SummaryHelper!$A$2:$A$5000,$I222,SummaryHelper!$B$2:$B$5000,$J222,SummaryHelper!$C$2:$C$5000,$K222),""))</f>
        <v/>
      </c>
      <c r="M222" s="9" t="str">
        <f>IF($J222="","",SUMIFS(SummaryHelper!$E$2:$E$5000,SummaryHelper!$A$2:$A$5000,$I222,SummaryHelper!$B$2:$B$5000,$J222,SummaryHelper!$C$2:$C$5000,$K222))</f>
        <v/>
      </c>
      <c r="N222" s="9" t="str">
        <f>IF($J222="","",SUMIFS(SummaryHelper!$F$2:$F$5000,SummaryHelper!$A$2:$A$5000,$I222,SummaryHelper!$B$2:$B$5000,$J222,SummaryHelper!$C$2:$C$5000,$K222))</f>
        <v/>
      </c>
      <c r="O222" s="9" t="str">
        <f>IF($J222="","",SUMIFS(SummaryHelper!$G$2:$G$5000,SummaryHelper!$A$2:$A$5000,$I222,SummaryHelper!$B$2:$B$5000,$J222,SummaryHelper!$C$2:$C$5000,$K222))</f>
        <v/>
      </c>
      <c r="Q222" s="9" t="str">
        <f t="shared" si="30"/>
        <v/>
      </c>
      <c r="R222" s="9" t="str">
        <f t="shared" si="31"/>
        <v/>
      </c>
      <c r="W222" s="9" t="str">
        <f>IF($U222="","",IFERROR(SUMIFS(SummaryHelper!$H$2:$H$5000,SummaryHelper!$A$2:$A$5000,$T222,SummaryHelper!$B$2:$B$5000,$U222,SummaryHelper!$C$2:$C$5000,$V222)/SUMIFS(SummaryHelper!$G$2:$G$5000,SummaryHelper!$A$2:$A$5000,$T222,SummaryHelper!$B$2:$B$5000,$U222,SummaryHelper!$C$2:$C$5000,$V222),""))</f>
        <v/>
      </c>
      <c r="X222" s="9" t="str">
        <f>IF($U222="","",SUMIFS(SummaryHelper!$E$2:$E$5000,SummaryHelper!$A$2:$A$5000,$T222,SummaryHelper!$B$2:$B$5000,$U222,SummaryHelper!$C$2:$C$5000,$V222))</f>
        <v/>
      </c>
      <c r="Y222" s="9" t="str">
        <f>IF($U222="","",SUMIFS(SummaryHelper!$F$2:$F$5000,SummaryHelper!$A$2:$A$5000,$T222,SummaryHelper!$B$2:$B$5000,$U222,SummaryHelper!$C$2:$C$5000,$V222))</f>
        <v/>
      </c>
      <c r="Z222" s="9" t="s">
        <v>489</v>
      </c>
      <c r="AB222" s="9" t="str">
        <f t="shared" si="32"/>
        <v/>
      </c>
      <c r="AC222" s="9" t="str">
        <f t="shared" si="33"/>
        <v/>
      </c>
      <c r="AH222" t="str">
        <f>IF($AF222="","",IFERROR(SUMIFS(SummaryHelper!$H$2:$H$5000,SummaryHelper!$A$2:$A$5000,$AE222,SummaryHelper!$B$2:$B$5000,$AF222,SummaryHelper!$C$2:$C$5000,$AG222)/SUMIFS(SummaryHelper!$G$2:$G$5000,SummaryHelper!$A$2:$A$5000,$AE222,SummaryHelper!$B$2:$B$5000,$AF222,SummaryHelper!$C$2:$C$5000,$AG222),""))</f>
        <v/>
      </c>
      <c r="AI222" t="str">
        <f>IF($AF222="","",SUMIFS(SummaryHelper!$E$2:$E$5000,SummaryHelper!$A$2:$A$5000,$AE222,SummaryHelper!$B$2:$B$5000,$AF222,SummaryHelper!$C$2:$C$5000,$AG222))</f>
        <v/>
      </c>
      <c r="AJ222" t="str">
        <f>IF($AF222="","",SUMIFS(SummaryHelper!$F$2:$F$5000,SummaryHelper!$A$2:$A$5000,$AE222,SummaryHelper!$B$2:$B$5000,$AF222,SummaryHelper!$C$2:$C$5000,$AG222))</f>
        <v/>
      </c>
      <c r="AK222" t="str">
        <f>IF($AF222="","",SUMIFS(SummaryHelper!$G$2:$G$5000,SummaryHelper!$A$2:$A$5000,$AE222,SummaryHelper!$B$2:$B$5000,$AF222,SummaryHelper!$C$2:$C$5000,$AG222))</f>
        <v/>
      </c>
      <c r="AM222" t="str">
        <f t="shared" si="34"/>
        <v/>
      </c>
      <c r="AN222" t="str">
        <f t="shared" si="35"/>
        <v/>
      </c>
    </row>
    <row r="223" spans="1:40" x14ac:dyDescent="0.25">
      <c r="A223" s="12"/>
      <c r="C223" s="9"/>
      <c r="D223" s="9"/>
      <c r="E223" s="9"/>
      <c r="F223" s="9"/>
      <c r="G223" s="9"/>
      <c r="L223" s="9" t="str">
        <f>IF($J223="","",IFERROR(SUMIFS(SummaryHelper!$H$2:$H$5000,SummaryHelper!$A$2:$A$5000,$I223,SummaryHelper!$B$2:$B$5000,$J223,SummaryHelper!$C$2:$C$5000,$K223)/SUMIFS(SummaryHelper!$G$2:$G$5000,SummaryHelper!$A$2:$A$5000,$I223,SummaryHelper!$B$2:$B$5000,$J223,SummaryHelper!$C$2:$C$5000,$K223),""))</f>
        <v/>
      </c>
      <c r="M223" s="9" t="str">
        <f>IF($J223="","",SUMIFS(SummaryHelper!$E$2:$E$5000,SummaryHelper!$A$2:$A$5000,$I223,SummaryHelper!$B$2:$B$5000,$J223,SummaryHelper!$C$2:$C$5000,$K223))</f>
        <v/>
      </c>
      <c r="N223" s="9" t="str">
        <f>IF($J223="","",SUMIFS(SummaryHelper!$F$2:$F$5000,SummaryHelper!$A$2:$A$5000,$I223,SummaryHelper!$B$2:$B$5000,$J223,SummaryHelper!$C$2:$C$5000,$K223))</f>
        <v/>
      </c>
      <c r="O223" s="9" t="str">
        <f>IF($J223="","",SUMIFS(SummaryHelper!$G$2:$G$5000,SummaryHelper!$A$2:$A$5000,$I223,SummaryHelper!$B$2:$B$5000,$J223,SummaryHelper!$C$2:$C$5000,$K223))</f>
        <v/>
      </c>
      <c r="Q223" s="9" t="str">
        <f t="shared" si="30"/>
        <v/>
      </c>
      <c r="R223" s="9" t="str">
        <f t="shared" si="31"/>
        <v/>
      </c>
      <c r="W223" s="9" t="str">
        <f>IF($U223="","",IFERROR(SUMIFS(SummaryHelper!$H$2:$H$5000,SummaryHelper!$A$2:$A$5000,$T223,SummaryHelper!$B$2:$B$5000,$U223,SummaryHelper!$C$2:$C$5000,$V223)/SUMIFS(SummaryHelper!$G$2:$G$5000,SummaryHelper!$A$2:$A$5000,$T223,SummaryHelper!$B$2:$B$5000,$U223,SummaryHelper!$C$2:$C$5000,$V223),""))</f>
        <v/>
      </c>
      <c r="X223" s="9" t="str">
        <f>IF($U223="","",SUMIFS(SummaryHelper!$E$2:$E$5000,SummaryHelper!$A$2:$A$5000,$T223,SummaryHelper!$B$2:$B$5000,$U223,SummaryHelper!$C$2:$C$5000,$V223))</f>
        <v/>
      </c>
      <c r="Y223" s="9" t="str">
        <f>IF($U223="","",SUMIFS(SummaryHelper!$F$2:$F$5000,SummaryHelper!$A$2:$A$5000,$T223,SummaryHelper!$B$2:$B$5000,$U223,SummaryHelper!$C$2:$C$5000,$V223))</f>
        <v/>
      </c>
      <c r="Z223" s="9" t="s">
        <v>489</v>
      </c>
      <c r="AB223" s="9" t="str">
        <f t="shared" si="32"/>
        <v/>
      </c>
      <c r="AC223" s="9" t="str">
        <f t="shared" si="33"/>
        <v/>
      </c>
      <c r="AH223" t="str">
        <f>IF($AF223="","",IFERROR(SUMIFS(SummaryHelper!$H$2:$H$5000,SummaryHelper!$A$2:$A$5000,$AE223,SummaryHelper!$B$2:$B$5000,$AF223,SummaryHelper!$C$2:$C$5000,$AG223)/SUMIFS(SummaryHelper!$G$2:$G$5000,SummaryHelper!$A$2:$A$5000,$AE223,SummaryHelper!$B$2:$B$5000,$AF223,SummaryHelper!$C$2:$C$5000,$AG223),""))</f>
        <v/>
      </c>
      <c r="AI223" t="str">
        <f>IF($AF223="","",SUMIFS(SummaryHelper!$E$2:$E$5000,SummaryHelper!$A$2:$A$5000,$AE223,SummaryHelper!$B$2:$B$5000,$AF223,SummaryHelper!$C$2:$C$5000,$AG223))</f>
        <v/>
      </c>
      <c r="AJ223" t="str">
        <f>IF($AF223="","",SUMIFS(SummaryHelper!$F$2:$F$5000,SummaryHelper!$A$2:$A$5000,$AE223,SummaryHelper!$B$2:$B$5000,$AF223,SummaryHelper!$C$2:$C$5000,$AG223))</f>
        <v/>
      </c>
      <c r="AK223" t="str">
        <f>IF($AF223="","",SUMIFS(SummaryHelper!$G$2:$G$5000,SummaryHelper!$A$2:$A$5000,$AE223,SummaryHelper!$B$2:$B$5000,$AF223,SummaryHelper!$C$2:$C$5000,$AG223))</f>
        <v/>
      </c>
      <c r="AM223" t="str">
        <f t="shared" si="34"/>
        <v/>
      </c>
      <c r="AN223" t="str">
        <f t="shared" si="35"/>
        <v/>
      </c>
    </row>
    <row r="224" spans="1:40" x14ac:dyDescent="0.25">
      <c r="A224" s="12"/>
      <c r="C224" s="9"/>
      <c r="D224" s="9"/>
      <c r="E224" s="9"/>
      <c r="F224" s="9"/>
      <c r="G224" s="9"/>
      <c r="L224" s="9" t="str">
        <f>IF($J224="","",IFERROR(SUMIFS(SummaryHelper!$H$2:$H$5000,SummaryHelper!$A$2:$A$5000,$I224,SummaryHelper!$B$2:$B$5000,$J224,SummaryHelper!$C$2:$C$5000,$K224)/SUMIFS(SummaryHelper!$G$2:$G$5000,SummaryHelper!$A$2:$A$5000,$I224,SummaryHelper!$B$2:$B$5000,$J224,SummaryHelper!$C$2:$C$5000,$K224),""))</f>
        <v/>
      </c>
      <c r="M224" s="9" t="str">
        <f>IF($J224="","",SUMIFS(SummaryHelper!$E$2:$E$5000,SummaryHelper!$A$2:$A$5000,$I224,SummaryHelper!$B$2:$B$5000,$J224,SummaryHelper!$C$2:$C$5000,$K224))</f>
        <v/>
      </c>
      <c r="N224" s="9" t="str">
        <f>IF($J224="","",SUMIFS(SummaryHelper!$F$2:$F$5000,SummaryHelper!$A$2:$A$5000,$I224,SummaryHelper!$B$2:$B$5000,$J224,SummaryHelper!$C$2:$C$5000,$K224))</f>
        <v/>
      </c>
      <c r="O224" s="9" t="str">
        <f>IF($J224="","",SUMIFS(SummaryHelper!$G$2:$G$5000,SummaryHelper!$A$2:$A$5000,$I224,SummaryHelper!$B$2:$B$5000,$J224,SummaryHelper!$C$2:$C$5000,$K224))</f>
        <v/>
      </c>
      <c r="Q224" s="9" t="str">
        <f t="shared" si="30"/>
        <v/>
      </c>
      <c r="R224" s="9" t="str">
        <f t="shared" si="31"/>
        <v/>
      </c>
      <c r="W224" s="9" t="str">
        <f>IF($U224="","",IFERROR(SUMIFS(SummaryHelper!$H$2:$H$5000,SummaryHelper!$A$2:$A$5000,$T224,SummaryHelper!$B$2:$B$5000,$U224,SummaryHelper!$C$2:$C$5000,$V224)/SUMIFS(SummaryHelper!$G$2:$G$5000,SummaryHelper!$A$2:$A$5000,$T224,SummaryHelper!$B$2:$B$5000,$U224,SummaryHelper!$C$2:$C$5000,$V224),""))</f>
        <v/>
      </c>
      <c r="X224" s="9" t="str">
        <f>IF($U224="","",SUMIFS(SummaryHelper!$E$2:$E$5000,SummaryHelper!$A$2:$A$5000,$T224,SummaryHelper!$B$2:$B$5000,$U224,SummaryHelper!$C$2:$C$5000,$V224))</f>
        <v/>
      </c>
      <c r="Y224" s="9" t="str">
        <f>IF($U224="","",SUMIFS(SummaryHelper!$F$2:$F$5000,SummaryHelper!$A$2:$A$5000,$T224,SummaryHelper!$B$2:$B$5000,$U224,SummaryHelper!$C$2:$C$5000,$V224))</f>
        <v/>
      </c>
      <c r="Z224" s="9" t="s">
        <v>489</v>
      </c>
      <c r="AB224" s="9" t="str">
        <f t="shared" si="32"/>
        <v/>
      </c>
      <c r="AC224" s="9" t="str">
        <f t="shared" si="33"/>
        <v/>
      </c>
      <c r="AH224" t="str">
        <f>IF($AF224="","",IFERROR(SUMIFS(SummaryHelper!$H$2:$H$5000,SummaryHelper!$A$2:$A$5000,$AE224,SummaryHelper!$B$2:$B$5000,$AF224,SummaryHelper!$C$2:$C$5000,$AG224)/SUMIFS(SummaryHelper!$G$2:$G$5000,SummaryHelper!$A$2:$A$5000,$AE224,SummaryHelper!$B$2:$B$5000,$AF224,SummaryHelper!$C$2:$C$5000,$AG224),""))</f>
        <v/>
      </c>
      <c r="AI224" t="str">
        <f>IF($AF224="","",SUMIFS(SummaryHelper!$E$2:$E$5000,SummaryHelper!$A$2:$A$5000,$AE224,SummaryHelper!$B$2:$B$5000,$AF224,SummaryHelper!$C$2:$C$5000,$AG224))</f>
        <v/>
      </c>
      <c r="AJ224" t="str">
        <f>IF($AF224="","",SUMIFS(SummaryHelper!$F$2:$F$5000,SummaryHelper!$A$2:$A$5000,$AE224,SummaryHelper!$B$2:$B$5000,$AF224,SummaryHelper!$C$2:$C$5000,$AG224))</f>
        <v/>
      </c>
      <c r="AK224" t="str">
        <f>IF($AF224="","",SUMIFS(SummaryHelper!$G$2:$G$5000,SummaryHelper!$A$2:$A$5000,$AE224,SummaryHelper!$B$2:$B$5000,$AF224,SummaryHelper!$C$2:$C$5000,$AG224))</f>
        <v/>
      </c>
      <c r="AM224" t="str">
        <f t="shared" si="34"/>
        <v/>
      </c>
      <c r="AN224" t="str">
        <f t="shared" si="35"/>
        <v/>
      </c>
    </row>
    <row r="225" spans="1:40" x14ac:dyDescent="0.25">
      <c r="A225" s="12"/>
      <c r="C225" s="9"/>
      <c r="D225" s="9"/>
      <c r="E225" s="9"/>
      <c r="F225" s="9"/>
      <c r="G225" s="9"/>
      <c r="L225" s="9" t="str">
        <f>IF($J225="","",IFERROR(SUMIFS(SummaryHelper!$H$2:$H$5000,SummaryHelper!$A$2:$A$5000,$I225,SummaryHelper!$B$2:$B$5000,$J225,SummaryHelper!$C$2:$C$5000,$K225)/SUMIFS(SummaryHelper!$G$2:$G$5000,SummaryHelper!$A$2:$A$5000,$I225,SummaryHelper!$B$2:$B$5000,$J225,SummaryHelper!$C$2:$C$5000,$K225),""))</f>
        <v/>
      </c>
      <c r="M225" s="9" t="str">
        <f>IF($J225="","",SUMIFS(SummaryHelper!$E$2:$E$5000,SummaryHelper!$A$2:$A$5000,$I225,SummaryHelper!$B$2:$B$5000,$J225,SummaryHelper!$C$2:$C$5000,$K225))</f>
        <v/>
      </c>
      <c r="N225" s="9" t="str">
        <f>IF($J225="","",SUMIFS(SummaryHelper!$F$2:$F$5000,SummaryHelper!$A$2:$A$5000,$I225,SummaryHelper!$B$2:$B$5000,$J225,SummaryHelper!$C$2:$C$5000,$K225))</f>
        <v/>
      </c>
      <c r="O225" s="9" t="str">
        <f>IF($J225="","",SUMIFS(SummaryHelper!$G$2:$G$5000,SummaryHelper!$A$2:$A$5000,$I225,SummaryHelper!$B$2:$B$5000,$J225,SummaryHelper!$C$2:$C$5000,$K225))</f>
        <v/>
      </c>
      <c r="Q225" s="9" t="str">
        <f t="shared" si="30"/>
        <v/>
      </c>
      <c r="R225" s="9" t="str">
        <f t="shared" si="31"/>
        <v/>
      </c>
      <c r="W225" s="9" t="str">
        <f>IF($U225="","",IFERROR(SUMIFS(SummaryHelper!$H$2:$H$5000,SummaryHelper!$A$2:$A$5000,$T225,SummaryHelper!$B$2:$B$5000,$U225,SummaryHelper!$C$2:$C$5000,$V225)/SUMIFS(SummaryHelper!$G$2:$G$5000,SummaryHelper!$A$2:$A$5000,$T225,SummaryHelper!$B$2:$B$5000,$U225,SummaryHelper!$C$2:$C$5000,$V225),""))</f>
        <v/>
      </c>
      <c r="X225" s="9" t="str">
        <f>IF($U225="","",SUMIFS(SummaryHelper!$E$2:$E$5000,SummaryHelper!$A$2:$A$5000,$T225,SummaryHelper!$B$2:$B$5000,$U225,SummaryHelper!$C$2:$C$5000,$V225))</f>
        <v/>
      </c>
      <c r="Y225" s="9" t="str">
        <f>IF($U225="","",SUMIFS(SummaryHelper!$F$2:$F$5000,SummaryHelper!$A$2:$A$5000,$T225,SummaryHelper!$B$2:$B$5000,$U225,SummaryHelper!$C$2:$C$5000,$V225))</f>
        <v/>
      </c>
      <c r="Z225" s="9" t="s">
        <v>489</v>
      </c>
      <c r="AB225" s="9" t="str">
        <f t="shared" si="32"/>
        <v/>
      </c>
      <c r="AC225" s="9" t="str">
        <f t="shared" si="33"/>
        <v/>
      </c>
      <c r="AH225" t="str">
        <f>IF($AF225="","",IFERROR(SUMIFS(SummaryHelper!$H$2:$H$5000,SummaryHelper!$A$2:$A$5000,$AE225,SummaryHelper!$B$2:$B$5000,$AF225,SummaryHelper!$C$2:$C$5000,$AG225)/SUMIFS(SummaryHelper!$G$2:$G$5000,SummaryHelper!$A$2:$A$5000,$AE225,SummaryHelper!$B$2:$B$5000,$AF225,SummaryHelper!$C$2:$C$5000,$AG225),""))</f>
        <v/>
      </c>
      <c r="AI225" t="str">
        <f>IF($AF225="","",SUMIFS(SummaryHelper!$E$2:$E$5000,SummaryHelper!$A$2:$A$5000,$AE225,SummaryHelper!$B$2:$B$5000,$AF225,SummaryHelper!$C$2:$C$5000,$AG225))</f>
        <v/>
      </c>
      <c r="AJ225" t="str">
        <f>IF($AF225="","",SUMIFS(SummaryHelper!$F$2:$F$5000,SummaryHelper!$A$2:$A$5000,$AE225,SummaryHelper!$B$2:$B$5000,$AF225,SummaryHelper!$C$2:$C$5000,$AG225))</f>
        <v/>
      </c>
      <c r="AK225" t="str">
        <f>IF($AF225="","",SUMIFS(SummaryHelper!$G$2:$G$5000,SummaryHelper!$A$2:$A$5000,$AE225,SummaryHelper!$B$2:$B$5000,$AF225,SummaryHelper!$C$2:$C$5000,$AG225))</f>
        <v/>
      </c>
      <c r="AM225" t="str">
        <f t="shared" si="34"/>
        <v/>
      </c>
      <c r="AN225" t="str">
        <f t="shared" si="35"/>
        <v/>
      </c>
    </row>
    <row r="226" spans="1:40" x14ac:dyDescent="0.25">
      <c r="A226" s="12"/>
      <c r="C226" s="9"/>
      <c r="D226" s="9"/>
      <c r="E226" s="9"/>
      <c r="F226" s="9"/>
      <c r="G226" s="9"/>
      <c r="L226" s="9" t="str">
        <f>IF($J226="","",IFERROR(SUMIFS(SummaryHelper!$H$2:$H$5000,SummaryHelper!$A$2:$A$5000,$I226,SummaryHelper!$B$2:$B$5000,$J226,SummaryHelper!$C$2:$C$5000,$K226)/SUMIFS(SummaryHelper!$G$2:$G$5000,SummaryHelper!$A$2:$A$5000,$I226,SummaryHelper!$B$2:$B$5000,$J226,SummaryHelper!$C$2:$C$5000,$K226),""))</f>
        <v/>
      </c>
      <c r="M226" s="9" t="str">
        <f>IF($J226="","",SUMIFS(SummaryHelper!$E$2:$E$5000,SummaryHelper!$A$2:$A$5000,$I226,SummaryHelper!$B$2:$B$5000,$J226,SummaryHelper!$C$2:$C$5000,$K226))</f>
        <v/>
      </c>
      <c r="N226" s="9" t="str">
        <f>IF($J226="","",SUMIFS(SummaryHelper!$F$2:$F$5000,SummaryHelper!$A$2:$A$5000,$I226,SummaryHelper!$B$2:$B$5000,$J226,SummaryHelper!$C$2:$C$5000,$K226))</f>
        <v/>
      </c>
      <c r="O226" s="9" t="str">
        <f>IF($J226="","",SUMIFS(SummaryHelper!$G$2:$G$5000,SummaryHelper!$A$2:$A$5000,$I226,SummaryHelper!$B$2:$B$5000,$J226,SummaryHelper!$C$2:$C$5000,$K226))</f>
        <v/>
      </c>
      <c r="Q226" s="9" t="str">
        <f t="shared" si="30"/>
        <v/>
      </c>
      <c r="R226" s="9" t="str">
        <f t="shared" si="31"/>
        <v/>
      </c>
      <c r="W226" s="9" t="str">
        <f>IF($U226="","",IFERROR(SUMIFS(SummaryHelper!$H$2:$H$5000,SummaryHelper!$A$2:$A$5000,$T226,SummaryHelper!$B$2:$B$5000,$U226,SummaryHelper!$C$2:$C$5000,$V226)/SUMIFS(SummaryHelper!$G$2:$G$5000,SummaryHelper!$A$2:$A$5000,$T226,SummaryHelper!$B$2:$B$5000,$U226,SummaryHelper!$C$2:$C$5000,$V226),""))</f>
        <v/>
      </c>
      <c r="X226" s="9" t="str">
        <f>IF($U226="","",SUMIFS(SummaryHelper!$E$2:$E$5000,SummaryHelper!$A$2:$A$5000,$T226,SummaryHelper!$B$2:$B$5000,$U226,SummaryHelper!$C$2:$C$5000,$V226))</f>
        <v/>
      </c>
      <c r="Y226" s="9" t="str">
        <f>IF($U226="","",SUMIFS(SummaryHelper!$F$2:$F$5000,SummaryHelper!$A$2:$A$5000,$T226,SummaryHelper!$B$2:$B$5000,$U226,SummaryHelper!$C$2:$C$5000,$V226))</f>
        <v/>
      </c>
      <c r="Z226" s="9" t="s">
        <v>489</v>
      </c>
      <c r="AB226" s="9" t="str">
        <f t="shared" si="32"/>
        <v/>
      </c>
      <c r="AC226" s="9" t="str">
        <f t="shared" si="33"/>
        <v/>
      </c>
      <c r="AH226" t="str">
        <f>IF($AF226="","",IFERROR(SUMIFS(SummaryHelper!$H$2:$H$5000,SummaryHelper!$A$2:$A$5000,$AE226,SummaryHelper!$B$2:$B$5000,$AF226,SummaryHelper!$C$2:$C$5000,$AG226)/SUMIFS(SummaryHelper!$G$2:$G$5000,SummaryHelper!$A$2:$A$5000,$AE226,SummaryHelper!$B$2:$B$5000,$AF226,SummaryHelper!$C$2:$C$5000,$AG226),""))</f>
        <v/>
      </c>
      <c r="AI226" t="str">
        <f>IF($AF226="","",SUMIFS(SummaryHelper!$E$2:$E$5000,SummaryHelper!$A$2:$A$5000,$AE226,SummaryHelper!$B$2:$B$5000,$AF226,SummaryHelper!$C$2:$C$5000,$AG226))</f>
        <v/>
      </c>
      <c r="AJ226" t="str">
        <f>IF($AF226="","",SUMIFS(SummaryHelper!$F$2:$F$5000,SummaryHelper!$A$2:$A$5000,$AE226,SummaryHelper!$B$2:$B$5000,$AF226,SummaryHelper!$C$2:$C$5000,$AG226))</f>
        <v/>
      </c>
      <c r="AK226" t="str">
        <f>IF($AF226="","",SUMIFS(SummaryHelper!$G$2:$G$5000,SummaryHelper!$A$2:$A$5000,$AE226,SummaryHelper!$B$2:$B$5000,$AF226,SummaryHelper!$C$2:$C$5000,$AG226))</f>
        <v/>
      </c>
      <c r="AM226" t="str">
        <f t="shared" si="34"/>
        <v/>
      </c>
      <c r="AN226" t="str">
        <f t="shared" si="35"/>
        <v/>
      </c>
    </row>
    <row r="227" spans="1:40" x14ac:dyDescent="0.25">
      <c r="A227" s="12"/>
      <c r="C227" s="9"/>
      <c r="D227" s="9"/>
      <c r="E227" s="9"/>
      <c r="F227" s="9"/>
      <c r="G227" s="9"/>
      <c r="L227" s="9" t="str">
        <f>IF($J227="","",IFERROR(SUMIFS(SummaryHelper!$H$2:$H$5000,SummaryHelper!$A$2:$A$5000,$I227,SummaryHelper!$B$2:$B$5000,$J227,SummaryHelper!$C$2:$C$5000,$K227)/SUMIFS(SummaryHelper!$G$2:$G$5000,SummaryHelper!$A$2:$A$5000,$I227,SummaryHelper!$B$2:$B$5000,$J227,SummaryHelper!$C$2:$C$5000,$K227),""))</f>
        <v/>
      </c>
      <c r="M227" s="9" t="str">
        <f>IF($J227="","",SUMIFS(SummaryHelper!$E$2:$E$5000,SummaryHelper!$A$2:$A$5000,$I227,SummaryHelper!$B$2:$B$5000,$J227,SummaryHelper!$C$2:$C$5000,$K227))</f>
        <v/>
      </c>
      <c r="N227" s="9" t="str">
        <f>IF($J227="","",SUMIFS(SummaryHelper!$F$2:$F$5000,SummaryHelper!$A$2:$A$5000,$I227,SummaryHelper!$B$2:$B$5000,$J227,SummaryHelper!$C$2:$C$5000,$K227))</f>
        <v/>
      </c>
      <c r="O227" s="9" t="str">
        <f>IF($J227="","",SUMIFS(SummaryHelper!$G$2:$G$5000,SummaryHelper!$A$2:$A$5000,$I227,SummaryHelper!$B$2:$B$5000,$J227,SummaryHelper!$C$2:$C$5000,$K227))</f>
        <v/>
      </c>
      <c r="Q227" s="9" t="str">
        <f t="shared" si="30"/>
        <v/>
      </c>
      <c r="R227" s="9" t="str">
        <f t="shared" si="31"/>
        <v/>
      </c>
      <c r="W227" s="9" t="str">
        <f>IF($U227="","",IFERROR(SUMIFS(SummaryHelper!$H$2:$H$5000,SummaryHelper!$A$2:$A$5000,$T227,SummaryHelper!$B$2:$B$5000,$U227,SummaryHelper!$C$2:$C$5000,$V227)/SUMIFS(SummaryHelper!$G$2:$G$5000,SummaryHelper!$A$2:$A$5000,$T227,SummaryHelper!$B$2:$B$5000,$U227,SummaryHelper!$C$2:$C$5000,$V227),""))</f>
        <v/>
      </c>
      <c r="X227" s="9" t="str">
        <f>IF($U227="","",SUMIFS(SummaryHelper!$E$2:$E$5000,SummaryHelper!$A$2:$A$5000,$T227,SummaryHelper!$B$2:$B$5000,$U227,SummaryHelper!$C$2:$C$5000,$V227))</f>
        <v/>
      </c>
      <c r="Y227" s="9" t="str">
        <f>IF($U227="","",SUMIFS(SummaryHelper!$F$2:$F$5000,SummaryHelper!$A$2:$A$5000,$T227,SummaryHelper!$B$2:$B$5000,$U227,SummaryHelper!$C$2:$C$5000,$V227))</f>
        <v/>
      </c>
      <c r="Z227" s="9" t="s">
        <v>489</v>
      </c>
      <c r="AB227" s="9" t="str">
        <f t="shared" si="32"/>
        <v/>
      </c>
      <c r="AC227" s="9" t="str">
        <f t="shared" si="33"/>
        <v/>
      </c>
      <c r="AH227" t="str">
        <f>IF($AF227="","",IFERROR(SUMIFS(SummaryHelper!$H$2:$H$5000,SummaryHelper!$A$2:$A$5000,$AE227,SummaryHelper!$B$2:$B$5000,$AF227,SummaryHelper!$C$2:$C$5000,$AG227)/SUMIFS(SummaryHelper!$G$2:$G$5000,SummaryHelper!$A$2:$A$5000,$AE227,SummaryHelper!$B$2:$B$5000,$AF227,SummaryHelper!$C$2:$C$5000,$AG227),""))</f>
        <v/>
      </c>
      <c r="AI227" t="str">
        <f>IF($AF227="","",SUMIFS(SummaryHelper!$E$2:$E$5000,SummaryHelper!$A$2:$A$5000,$AE227,SummaryHelper!$B$2:$B$5000,$AF227,SummaryHelper!$C$2:$C$5000,$AG227))</f>
        <v/>
      </c>
      <c r="AJ227" t="str">
        <f>IF($AF227="","",SUMIFS(SummaryHelper!$F$2:$F$5000,SummaryHelper!$A$2:$A$5000,$AE227,SummaryHelper!$B$2:$B$5000,$AF227,SummaryHelper!$C$2:$C$5000,$AG227))</f>
        <v/>
      </c>
      <c r="AK227" t="str">
        <f>IF($AF227="","",SUMIFS(SummaryHelper!$G$2:$G$5000,SummaryHelper!$A$2:$A$5000,$AE227,SummaryHelper!$B$2:$B$5000,$AF227,SummaryHelper!$C$2:$C$5000,$AG227))</f>
        <v/>
      </c>
      <c r="AM227" t="str">
        <f t="shared" si="34"/>
        <v/>
      </c>
      <c r="AN227" t="str">
        <f t="shared" si="35"/>
        <v/>
      </c>
    </row>
    <row r="228" spans="1:40" x14ac:dyDescent="0.25">
      <c r="A228" s="12"/>
      <c r="C228" s="9"/>
      <c r="D228" s="9"/>
      <c r="E228" s="9"/>
      <c r="F228" s="9"/>
      <c r="G228" s="9"/>
      <c r="L228" s="9" t="str">
        <f>IF($J228="","",IFERROR(SUMIFS(SummaryHelper!$H$2:$H$5000,SummaryHelper!$A$2:$A$5000,$I228,SummaryHelper!$B$2:$B$5000,$J228,SummaryHelper!$C$2:$C$5000,$K228)/SUMIFS(SummaryHelper!$G$2:$G$5000,SummaryHelper!$A$2:$A$5000,$I228,SummaryHelper!$B$2:$B$5000,$J228,SummaryHelper!$C$2:$C$5000,$K228),""))</f>
        <v/>
      </c>
      <c r="M228" s="9" t="str">
        <f>IF($J228="","",SUMIFS(SummaryHelper!$E$2:$E$5000,SummaryHelper!$A$2:$A$5000,$I228,SummaryHelper!$B$2:$B$5000,$J228,SummaryHelper!$C$2:$C$5000,$K228))</f>
        <v/>
      </c>
      <c r="N228" s="9" t="str">
        <f>IF($J228="","",SUMIFS(SummaryHelper!$F$2:$F$5000,SummaryHelper!$A$2:$A$5000,$I228,SummaryHelper!$B$2:$B$5000,$J228,SummaryHelper!$C$2:$C$5000,$K228))</f>
        <v/>
      </c>
      <c r="O228" s="9" t="str">
        <f>IF($J228="","",SUMIFS(SummaryHelper!$G$2:$G$5000,SummaryHelper!$A$2:$A$5000,$I228,SummaryHelper!$B$2:$B$5000,$J228,SummaryHelper!$C$2:$C$5000,$K228))</f>
        <v/>
      </c>
      <c r="Q228" s="9" t="str">
        <f t="shared" si="30"/>
        <v/>
      </c>
      <c r="R228" s="9" t="str">
        <f t="shared" si="31"/>
        <v/>
      </c>
      <c r="W228" s="9" t="str">
        <f>IF($U228="","",IFERROR(SUMIFS(SummaryHelper!$H$2:$H$5000,SummaryHelper!$A$2:$A$5000,$T228,SummaryHelper!$B$2:$B$5000,$U228,SummaryHelper!$C$2:$C$5000,$V228)/SUMIFS(SummaryHelper!$G$2:$G$5000,SummaryHelper!$A$2:$A$5000,$T228,SummaryHelper!$B$2:$B$5000,$U228,SummaryHelper!$C$2:$C$5000,$V228),""))</f>
        <v/>
      </c>
      <c r="X228" s="9" t="str">
        <f>IF($U228="","",SUMIFS(SummaryHelper!$E$2:$E$5000,SummaryHelper!$A$2:$A$5000,$T228,SummaryHelper!$B$2:$B$5000,$U228,SummaryHelper!$C$2:$C$5000,$V228))</f>
        <v/>
      </c>
      <c r="Y228" s="9" t="str">
        <f>IF($U228="","",SUMIFS(SummaryHelper!$F$2:$F$5000,SummaryHelper!$A$2:$A$5000,$T228,SummaryHelper!$B$2:$B$5000,$U228,SummaryHelper!$C$2:$C$5000,$V228))</f>
        <v/>
      </c>
      <c r="Z228" s="9" t="s">
        <v>489</v>
      </c>
      <c r="AB228" s="9" t="str">
        <f t="shared" si="32"/>
        <v/>
      </c>
      <c r="AC228" s="9" t="str">
        <f t="shared" si="33"/>
        <v/>
      </c>
      <c r="AH228" t="str">
        <f>IF($AF228="","",IFERROR(SUMIFS(SummaryHelper!$H$2:$H$5000,SummaryHelper!$A$2:$A$5000,$AE228,SummaryHelper!$B$2:$B$5000,$AF228,SummaryHelper!$C$2:$C$5000,$AG228)/SUMIFS(SummaryHelper!$G$2:$G$5000,SummaryHelper!$A$2:$A$5000,$AE228,SummaryHelper!$B$2:$B$5000,$AF228,SummaryHelper!$C$2:$C$5000,$AG228),""))</f>
        <v/>
      </c>
      <c r="AI228" t="str">
        <f>IF($AF228="","",SUMIFS(SummaryHelper!$E$2:$E$5000,SummaryHelper!$A$2:$A$5000,$AE228,SummaryHelper!$B$2:$B$5000,$AF228,SummaryHelper!$C$2:$C$5000,$AG228))</f>
        <v/>
      </c>
      <c r="AJ228" t="str">
        <f>IF($AF228="","",SUMIFS(SummaryHelper!$F$2:$F$5000,SummaryHelper!$A$2:$A$5000,$AE228,SummaryHelper!$B$2:$B$5000,$AF228,SummaryHelper!$C$2:$C$5000,$AG228))</f>
        <v/>
      </c>
      <c r="AK228" t="str">
        <f>IF($AF228="","",SUMIFS(SummaryHelper!$G$2:$G$5000,SummaryHelper!$A$2:$A$5000,$AE228,SummaryHelper!$B$2:$B$5000,$AF228,SummaryHelper!$C$2:$C$5000,$AG228))</f>
        <v/>
      </c>
      <c r="AM228" t="str">
        <f t="shared" si="34"/>
        <v/>
      </c>
      <c r="AN228" t="str">
        <f t="shared" si="35"/>
        <v/>
      </c>
    </row>
    <row r="229" spans="1:40" x14ac:dyDescent="0.25">
      <c r="A229" s="12"/>
      <c r="C229" s="9"/>
      <c r="D229" s="9"/>
      <c r="E229" s="9"/>
      <c r="F229" s="9"/>
      <c r="G229" s="9"/>
      <c r="L229" s="9" t="str">
        <f>IF($J229="","",IFERROR(SUMIFS(SummaryHelper!$H$2:$H$5000,SummaryHelper!$A$2:$A$5000,$I229,SummaryHelper!$B$2:$B$5000,$J229,SummaryHelper!$C$2:$C$5000,$K229)/SUMIFS(SummaryHelper!$G$2:$G$5000,SummaryHelper!$A$2:$A$5000,$I229,SummaryHelper!$B$2:$B$5000,$J229,SummaryHelper!$C$2:$C$5000,$K229),""))</f>
        <v/>
      </c>
      <c r="M229" s="9" t="str">
        <f>IF($J229="","",SUMIFS(SummaryHelper!$E$2:$E$5000,SummaryHelper!$A$2:$A$5000,$I229,SummaryHelper!$B$2:$B$5000,$J229,SummaryHelper!$C$2:$C$5000,$K229))</f>
        <v/>
      </c>
      <c r="N229" s="9" t="str">
        <f>IF($J229="","",SUMIFS(SummaryHelper!$F$2:$F$5000,SummaryHelper!$A$2:$A$5000,$I229,SummaryHelper!$B$2:$B$5000,$J229,SummaryHelper!$C$2:$C$5000,$K229))</f>
        <v/>
      </c>
      <c r="O229" s="9" t="str">
        <f>IF($J229="","",SUMIFS(SummaryHelper!$G$2:$G$5000,SummaryHelper!$A$2:$A$5000,$I229,SummaryHelper!$B$2:$B$5000,$J229,SummaryHelper!$C$2:$C$5000,$K229))</f>
        <v/>
      </c>
      <c r="Q229" s="9" t="str">
        <f t="shared" si="30"/>
        <v/>
      </c>
      <c r="R229" s="9" t="str">
        <f t="shared" si="31"/>
        <v/>
      </c>
      <c r="W229" s="9" t="str">
        <f>IF($U229="","",IFERROR(SUMIFS(SummaryHelper!$H$2:$H$5000,SummaryHelper!$A$2:$A$5000,$T229,SummaryHelper!$B$2:$B$5000,$U229,SummaryHelper!$C$2:$C$5000,$V229)/SUMIFS(SummaryHelper!$G$2:$G$5000,SummaryHelper!$A$2:$A$5000,$T229,SummaryHelper!$B$2:$B$5000,$U229,SummaryHelper!$C$2:$C$5000,$V229),""))</f>
        <v/>
      </c>
      <c r="X229" s="9" t="str">
        <f>IF($U229="","",SUMIFS(SummaryHelper!$E$2:$E$5000,SummaryHelper!$A$2:$A$5000,$T229,SummaryHelper!$B$2:$B$5000,$U229,SummaryHelper!$C$2:$C$5000,$V229))</f>
        <v/>
      </c>
      <c r="Y229" s="9" t="str">
        <f>IF($U229="","",SUMIFS(SummaryHelper!$F$2:$F$5000,SummaryHelper!$A$2:$A$5000,$T229,SummaryHelper!$B$2:$B$5000,$U229,SummaryHelper!$C$2:$C$5000,$V229))</f>
        <v/>
      </c>
      <c r="Z229" s="9" t="s">
        <v>489</v>
      </c>
      <c r="AB229" s="9" t="str">
        <f t="shared" si="32"/>
        <v/>
      </c>
      <c r="AC229" s="9" t="str">
        <f t="shared" si="33"/>
        <v/>
      </c>
      <c r="AH229" t="str">
        <f>IF($AF229="","",IFERROR(SUMIFS(SummaryHelper!$H$2:$H$5000,SummaryHelper!$A$2:$A$5000,$AE229,SummaryHelper!$B$2:$B$5000,$AF229,SummaryHelper!$C$2:$C$5000,$AG229)/SUMIFS(SummaryHelper!$G$2:$G$5000,SummaryHelper!$A$2:$A$5000,$AE229,SummaryHelper!$B$2:$B$5000,$AF229,SummaryHelper!$C$2:$C$5000,$AG229),""))</f>
        <v/>
      </c>
      <c r="AI229" t="str">
        <f>IF($AF229="","",SUMIFS(SummaryHelper!$E$2:$E$5000,SummaryHelper!$A$2:$A$5000,$AE229,SummaryHelper!$B$2:$B$5000,$AF229,SummaryHelper!$C$2:$C$5000,$AG229))</f>
        <v/>
      </c>
      <c r="AJ229" t="str">
        <f>IF($AF229="","",SUMIFS(SummaryHelper!$F$2:$F$5000,SummaryHelper!$A$2:$A$5000,$AE229,SummaryHelper!$B$2:$B$5000,$AF229,SummaryHelper!$C$2:$C$5000,$AG229))</f>
        <v/>
      </c>
      <c r="AK229" t="str">
        <f>IF($AF229="","",SUMIFS(SummaryHelper!$G$2:$G$5000,SummaryHelper!$A$2:$A$5000,$AE229,SummaryHelper!$B$2:$B$5000,$AF229,SummaryHelper!$C$2:$C$5000,$AG229))</f>
        <v/>
      </c>
      <c r="AM229" t="str">
        <f t="shared" si="34"/>
        <v/>
      </c>
      <c r="AN229" t="str">
        <f t="shared" si="35"/>
        <v/>
      </c>
    </row>
    <row r="230" spans="1:40" x14ac:dyDescent="0.25">
      <c r="A230" s="12"/>
      <c r="C230" s="9"/>
      <c r="D230" s="9"/>
      <c r="E230" s="9"/>
      <c r="F230" s="9"/>
      <c r="G230" s="9"/>
      <c r="L230" s="9" t="str">
        <f>IF($J230="","",IFERROR(SUMIFS(SummaryHelper!$H$2:$H$5000,SummaryHelper!$A$2:$A$5000,$I230,SummaryHelper!$B$2:$B$5000,$J230,SummaryHelper!$C$2:$C$5000,$K230)/SUMIFS(SummaryHelper!$G$2:$G$5000,SummaryHelper!$A$2:$A$5000,$I230,SummaryHelper!$B$2:$B$5000,$J230,SummaryHelper!$C$2:$C$5000,$K230),""))</f>
        <v/>
      </c>
      <c r="M230" s="9" t="str">
        <f>IF($J230="","",SUMIFS(SummaryHelper!$E$2:$E$5000,SummaryHelper!$A$2:$A$5000,$I230,SummaryHelper!$B$2:$B$5000,$J230,SummaryHelper!$C$2:$C$5000,$K230))</f>
        <v/>
      </c>
      <c r="N230" s="9" t="str">
        <f>IF($J230="","",SUMIFS(SummaryHelper!$F$2:$F$5000,SummaryHelper!$A$2:$A$5000,$I230,SummaryHelper!$B$2:$B$5000,$J230,SummaryHelper!$C$2:$C$5000,$K230))</f>
        <v/>
      </c>
      <c r="O230" s="9" t="str">
        <f>IF($J230="","",SUMIFS(SummaryHelper!$G$2:$G$5000,SummaryHelper!$A$2:$A$5000,$I230,SummaryHelper!$B$2:$B$5000,$J230,SummaryHelper!$C$2:$C$5000,$K230))</f>
        <v/>
      </c>
      <c r="Q230" s="9" t="str">
        <f t="shared" si="30"/>
        <v/>
      </c>
      <c r="R230" s="9" t="str">
        <f t="shared" si="31"/>
        <v/>
      </c>
      <c r="W230" s="9" t="str">
        <f>IF($U230="","",IFERROR(SUMIFS(SummaryHelper!$H$2:$H$5000,SummaryHelper!$A$2:$A$5000,$T230,SummaryHelper!$B$2:$B$5000,$U230,SummaryHelper!$C$2:$C$5000,$V230)/SUMIFS(SummaryHelper!$G$2:$G$5000,SummaryHelper!$A$2:$A$5000,$T230,SummaryHelper!$B$2:$B$5000,$U230,SummaryHelper!$C$2:$C$5000,$V230),""))</f>
        <v/>
      </c>
      <c r="X230" s="9" t="str">
        <f>IF($U230="","",SUMIFS(SummaryHelper!$E$2:$E$5000,SummaryHelper!$A$2:$A$5000,$T230,SummaryHelper!$B$2:$B$5000,$U230,SummaryHelper!$C$2:$C$5000,$V230))</f>
        <v/>
      </c>
      <c r="Y230" s="9" t="str">
        <f>IF($U230="","",SUMIFS(SummaryHelper!$F$2:$F$5000,SummaryHelper!$A$2:$A$5000,$T230,SummaryHelper!$B$2:$B$5000,$U230,SummaryHelper!$C$2:$C$5000,$V230))</f>
        <v/>
      </c>
      <c r="Z230" s="9" t="s">
        <v>489</v>
      </c>
      <c r="AB230" s="9" t="str">
        <f t="shared" si="32"/>
        <v/>
      </c>
      <c r="AC230" s="9" t="str">
        <f t="shared" si="33"/>
        <v/>
      </c>
      <c r="AH230" t="str">
        <f>IF($AF230="","",IFERROR(SUMIFS(SummaryHelper!$H$2:$H$5000,SummaryHelper!$A$2:$A$5000,$AE230,SummaryHelper!$B$2:$B$5000,$AF230,SummaryHelper!$C$2:$C$5000,$AG230)/SUMIFS(SummaryHelper!$G$2:$G$5000,SummaryHelper!$A$2:$A$5000,$AE230,SummaryHelper!$B$2:$B$5000,$AF230,SummaryHelper!$C$2:$C$5000,$AG230),""))</f>
        <v/>
      </c>
      <c r="AI230" t="str">
        <f>IF($AF230="","",SUMIFS(SummaryHelper!$E$2:$E$5000,SummaryHelper!$A$2:$A$5000,$AE230,SummaryHelper!$B$2:$B$5000,$AF230,SummaryHelper!$C$2:$C$5000,$AG230))</f>
        <v/>
      </c>
      <c r="AJ230" t="str">
        <f>IF($AF230="","",SUMIFS(SummaryHelper!$F$2:$F$5000,SummaryHelper!$A$2:$A$5000,$AE230,SummaryHelper!$B$2:$B$5000,$AF230,SummaryHelper!$C$2:$C$5000,$AG230))</f>
        <v/>
      </c>
      <c r="AK230" t="str">
        <f>IF($AF230="","",SUMIFS(SummaryHelper!$G$2:$G$5000,SummaryHelper!$A$2:$A$5000,$AE230,SummaryHelper!$B$2:$B$5000,$AF230,SummaryHelper!$C$2:$C$5000,$AG230))</f>
        <v/>
      </c>
      <c r="AM230" t="str">
        <f t="shared" si="34"/>
        <v/>
      </c>
      <c r="AN230" t="str">
        <f t="shared" si="35"/>
        <v/>
      </c>
    </row>
    <row r="231" spans="1:40" x14ac:dyDescent="0.25">
      <c r="A231" s="12"/>
      <c r="C231" s="9"/>
      <c r="D231" s="9"/>
      <c r="E231" s="9"/>
      <c r="F231" s="9"/>
      <c r="G231" s="9"/>
      <c r="L231" s="9" t="str">
        <f>IF($J231="","",IFERROR(SUMIFS(SummaryHelper!$H$2:$H$5000,SummaryHelper!$A$2:$A$5000,$I231,SummaryHelper!$B$2:$B$5000,$J231,SummaryHelper!$C$2:$C$5000,$K231)/SUMIFS(SummaryHelper!$G$2:$G$5000,SummaryHelper!$A$2:$A$5000,$I231,SummaryHelper!$B$2:$B$5000,$J231,SummaryHelper!$C$2:$C$5000,$K231),""))</f>
        <v/>
      </c>
      <c r="M231" s="9" t="str">
        <f>IF($J231="","",SUMIFS(SummaryHelper!$E$2:$E$5000,SummaryHelper!$A$2:$A$5000,$I231,SummaryHelper!$B$2:$B$5000,$J231,SummaryHelper!$C$2:$C$5000,$K231))</f>
        <v/>
      </c>
      <c r="N231" s="9" t="str">
        <f>IF($J231="","",SUMIFS(SummaryHelper!$F$2:$F$5000,SummaryHelper!$A$2:$A$5000,$I231,SummaryHelper!$B$2:$B$5000,$J231,SummaryHelper!$C$2:$C$5000,$K231))</f>
        <v/>
      </c>
      <c r="O231" s="9" t="str">
        <f>IF($J231="","",SUMIFS(SummaryHelper!$G$2:$G$5000,SummaryHelper!$A$2:$A$5000,$I231,SummaryHelper!$B$2:$B$5000,$J231,SummaryHelper!$C$2:$C$5000,$K231))</f>
        <v/>
      </c>
      <c r="Q231" s="9" t="str">
        <f t="shared" si="30"/>
        <v/>
      </c>
      <c r="R231" s="9" t="str">
        <f t="shared" si="31"/>
        <v/>
      </c>
      <c r="W231" s="9" t="str">
        <f>IF($U231="","",IFERROR(SUMIFS(SummaryHelper!$H$2:$H$5000,SummaryHelper!$A$2:$A$5000,$T231,SummaryHelper!$B$2:$B$5000,$U231,SummaryHelper!$C$2:$C$5000,$V231)/SUMIFS(SummaryHelper!$G$2:$G$5000,SummaryHelper!$A$2:$A$5000,$T231,SummaryHelper!$B$2:$B$5000,$U231,SummaryHelper!$C$2:$C$5000,$V231),""))</f>
        <v/>
      </c>
      <c r="X231" s="9" t="str">
        <f>IF($U231="","",SUMIFS(SummaryHelper!$E$2:$E$5000,SummaryHelper!$A$2:$A$5000,$T231,SummaryHelper!$B$2:$B$5000,$U231,SummaryHelper!$C$2:$C$5000,$V231))</f>
        <v/>
      </c>
      <c r="Y231" s="9" t="str">
        <f>IF($U231="","",SUMIFS(SummaryHelper!$F$2:$F$5000,SummaryHelper!$A$2:$A$5000,$T231,SummaryHelper!$B$2:$B$5000,$U231,SummaryHelper!$C$2:$C$5000,$V231))</f>
        <v/>
      </c>
      <c r="Z231" s="9" t="s">
        <v>489</v>
      </c>
      <c r="AB231" s="9" t="str">
        <f t="shared" si="32"/>
        <v/>
      </c>
      <c r="AC231" s="9" t="str">
        <f t="shared" si="33"/>
        <v/>
      </c>
      <c r="AH231" t="str">
        <f>IF($AF231="","",IFERROR(SUMIFS(SummaryHelper!$H$2:$H$5000,SummaryHelper!$A$2:$A$5000,$AE231,SummaryHelper!$B$2:$B$5000,$AF231,SummaryHelper!$C$2:$C$5000,$AG231)/SUMIFS(SummaryHelper!$G$2:$G$5000,SummaryHelper!$A$2:$A$5000,$AE231,SummaryHelper!$B$2:$B$5000,$AF231,SummaryHelper!$C$2:$C$5000,$AG231),""))</f>
        <v/>
      </c>
      <c r="AI231" t="str">
        <f>IF($AF231="","",SUMIFS(SummaryHelper!$E$2:$E$5000,SummaryHelper!$A$2:$A$5000,$AE231,SummaryHelper!$B$2:$B$5000,$AF231,SummaryHelper!$C$2:$C$5000,$AG231))</f>
        <v/>
      </c>
      <c r="AJ231" t="str">
        <f>IF($AF231="","",SUMIFS(SummaryHelper!$F$2:$F$5000,SummaryHelper!$A$2:$A$5000,$AE231,SummaryHelper!$B$2:$B$5000,$AF231,SummaryHelper!$C$2:$C$5000,$AG231))</f>
        <v/>
      </c>
      <c r="AK231" t="str">
        <f>IF($AF231="","",SUMIFS(SummaryHelper!$G$2:$G$5000,SummaryHelper!$A$2:$A$5000,$AE231,SummaryHelper!$B$2:$B$5000,$AF231,SummaryHelper!$C$2:$C$5000,$AG231))</f>
        <v/>
      </c>
      <c r="AM231" t="str">
        <f t="shared" si="34"/>
        <v/>
      </c>
      <c r="AN231" t="str">
        <f t="shared" si="35"/>
        <v/>
      </c>
    </row>
    <row r="232" spans="1:40" x14ac:dyDescent="0.25">
      <c r="A232" s="12"/>
      <c r="C232" s="9"/>
      <c r="D232" s="9"/>
      <c r="E232" s="9"/>
      <c r="F232" s="9"/>
      <c r="G232" s="9"/>
      <c r="L232" s="9" t="str">
        <f>IF($J232="","",IFERROR(SUMIFS(SummaryHelper!$H$2:$H$5000,SummaryHelper!$A$2:$A$5000,$I232,SummaryHelper!$B$2:$B$5000,$J232,SummaryHelper!$C$2:$C$5000,$K232)/SUMIFS(SummaryHelper!$G$2:$G$5000,SummaryHelper!$A$2:$A$5000,$I232,SummaryHelper!$B$2:$B$5000,$J232,SummaryHelper!$C$2:$C$5000,$K232),""))</f>
        <v/>
      </c>
      <c r="M232" s="9" t="str">
        <f>IF($J232="","",SUMIFS(SummaryHelper!$E$2:$E$5000,SummaryHelper!$A$2:$A$5000,$I232,SummaryHelper!$B$2:$B$5000,$J232,SummaryHelper!$C$2:$C$5000,$K232))</f>
        <v/>
      </c>
      <c r="N232" s="9" t="str">
        <f>IF($J232="","",SUMIFS(SummaryHelper!$F$2:$F$5000,SummaryHelper!$A$2:$A$5000,$I232,SummaryHelper!$B$2:$B$5000,$J232,SummaryHelper!$C$2:$C$5000,$K232))</f>
        <v/>
      </c>
      <c r="O232" s="9" t="str">
        <f>IF($J232="","",SUMIFS(SummaryHelper!$G$2:$G$5000,SummaryHelper!$A$2:$A$5000,$I232,SummaryHelper!$B$2:$B$5000,$J232,SummaryHelper!$C$2:$C$5000,$K232))</f>
        <v/>
      </c>
      <c r="Q232" s="9" t="str">
        <f t="shared" si="30"/>
        <v/>
      </c>
      <c r="R232" s="9" t="str">
        <f t="shared" si="31"/>
        <v/>
      </c>
      <c r="W232" s="9" t="str">
        <f>IF($U232="","",IFERROR(SUMIFS(SummaryHelper!$H$2:$H$5000,SummaryHelper!$A$2:$A$5000,$T232,SummaryHelper!$B$2:$B$5000,$U232,SummaryHelper!$C$2:$C$5000,$V232)/SUMIFS(SummaryHelper!$G$2:$G$5000,SummaryHelper!$A$2:$A$5000,$T232,SummaryHelper!$B$2:$B$5000,$U232,SummaryHelper!$C$2:$C$5000,$V232),""))</f>
        <v/>
      </c>
      <c r="X232" s="9" t="str">
        <f>IF($U232="","",SUMIFS(SummaryHelper!$E$2:$E$5000,SummaryHelper!$A$2:$A$5000,$T232,SummaryHelper!$B$2:$B$5000,$U232,SummaryHelper!$C$2:$C$5000,$V232))</f>
        <v/>
      </c>
      <c r="Y232" s="9" t="str">
        <f>IF($U232="","",SUMIFS(SummaryHelper!$F$2:$F$5000,SummaryHelper!$A$2:$A$5000,$T232,SummaryHelper!$B$2:$B$5000,$U232,SummaryHelper!$C$2:$C$5000,$V232))</f>
        <v/>
      </c>
      <c r="Z232" s="9" t="s">
        <v>489</v>
      </c>
      <c r="AB232" s="9" t="str">
        <f t="shared" si="32"/>
        <v/>
      </c>
      <c r="AC232" s="9" t="str">
        <f t="shared" si="33"/>
        <v/>
      </c>
      <c r="AH232" t="str">
        <f>IF($AF232="","",IFERROR(SUMIFS(SummaryHelper!$H$2:$H$5000,SummaryHelper!$A$2:$A$5000,$AE232,SummaryHelper!$B$2:$B$5000,$AF232,SummaryHelper!$C$2:$C$5000,$AG232)/SUMIFS(SummaryHelper!$G$2:$G$5000,SummaryHelper!$A$2:$A$5000,$AE232,SummaryHelper!$B$2:$B$5000,$AF232,SummaryHelper!$C$2:$C$5000,$AG232),""))</f>
        <v/>
      </c>
      <c r="AI232" t="str">
        <f>IF($AF232="","",SUMIFS(SummaryHelper!$E$2:$E$5000,SummaryHelper!$A$2:$A$5000,$AE232,SummaryHelper!$B$2:$B$5000,$AF232,SummaryHelper!$C$2:$C$5000,$AG232))</f>
        <v/>
      </c>
      <c r="AJ232" t="str">
        <f>IF($AF232="","",SUMIFS(SummaryHelper!$F$2:$F$5000,SummaryHelper!$A$2:$A$5000,$AE232,SummaryHelper!$B$2:$B$5000,$AF232,SummaryHelper!$C$2:$C$5000,$AG232))</f>
        <v/>
      </c>
      <c r="AK232" t="str">
        <f>IF($AF232="","",SUMIFS(SummaryHelper!$G$2:$G$5000,SummaryHelper!$A$2:$A$5000,$AE232,SummaryHelper!$B$2:$B$5000,$AF232,SummaryHelper!$C$2:$C$5000,$AG232))</f>
        <v/>
      </c>
      <c r="AM232" t="str">
        <f t="shared" si="34"/>
        <v/>
      </c>
      <c r="AN232" t="str">
        <f t="shared" si="35"/>
        <v/>
      </c>
    </row>
    <row r="233" spans="1:40" x14ac:dyDescent="0.25">
      <c r="A233" s="12"/>
      <c r="C233" s="9"/>
      <c r="D233" s="9"/>
      <c r="E233" s="9"/>
      <c r="F233" s="9"/>
      <c r="G233" s="9"/>
      <c r="L233" s="9" t="str">
        <f>IF($J233="","",IFERROR(SUMIFS(SummaryHelper!$H$2:$H$5000,SummaryHelper!$A$2:$A$5000,$I233,SummaryHelper!$B$2:$B$5000,$J233,SummaryHelper!$C$2:$C$5000,$K233)/SUMIFS(SummaryHelper!$G$2:$G$5000,SummaryHelper!$A$2:$A$5000,$I233,SummaryHelper!$B$2:$B$5000,$J233,SummaryHelper!$C$2:$C$5000,$K233),""))</f>
        <v/>
      </c>
      <c r="M233" s="9" t="str">
        <f>IF($J233="","",SUMIFS(SummaryHelper!$E$2:$E$5000,SummaryHelper!$A$2:$A$5000,$I233,SummaryHelper!$B$2:$B$5000,$J233,SummaryHelper!$C$2:$C$5000,$K233))</f>
        <v/>
      </c>
      <c r="N233" s="9" t="str">
        <f>IF($J233="","",SUMIFS(SummaryHelper!$F$2:$F$5000,SummaryHelper!$A$2:$A$5000,$I233,SummaryHelper!$B$2:$B$5000,$J233,SummaryHelper!$C$2:$C$5000,$K233))</f>
        <v/>
      </c>
      <c r="O233" s="9" t="str">
        <f>IF($J233="","",SUMIFS(SummaryHelper!$G$2:$G$5000,SummaryHelper!$A$2:$A$5000,$I233,SummaryHelper!$B$2:$B$5000,$J233,SummaryHelper!$C$2:$C$5000,$K233))</f>
        <v/>
      </c>
      <c r="Q233" s="9" t="str">
        <f t="shared" si="30"/>
        <v/>
      </c>
      <c r="R233" s="9" t="str">
        <f t="shared" si="31"/>
        <v/>
      </c>
      <c r="W233" s="9" t="str">
        <f>IF($U233="","",IFERROR(SUMIFS(SummaryHelper!$H$2:$H$5000,SummaryHelper!$A$2:$A$5000,$T233,SummaryHelper!$B$2:$B$5000,$U233,SummaryHelper!$C$2:$C$5000,$V233)/SUMIFS(SummaryHelper!$G$2:$G$5000,SummaryHelper!$A$2:$A$5000,$T233,SummaryHelper!$B$2:$B$5000,$U233,SummaryHelper!$C$2:$C$5000,$V233),""))</f>
        <v/>
      </c>
      <c r="X233" s="9" t="str">
        <f>IF($U233="","",SUMIFS(SummaryHelper!$E$2:$E$5000,SummaryHelper!$A$2:$A$5000,$T233,SummaryHelper!$B$2:$B$5000,$U233,SummaryHelper!$C$2:$C$5000,$V233))</f>
        <v/>
      </c>
      <c r="Y233" s="9" t="str">
        <f>IF($U233="","",SUMIFS(SummaryHelper!$F$2:$F$5000,SummaryHelper!$A$2:$A$5000,$T233,SummaryHelper!$B$2:$B$5000,$U233,SummaryHelper!$C$2:$C$5000,$V233))</f>
        <v/>
      </c>
      <c r="Z233" s="9" t="s">
        <v>489</v>
      </c>
      <c r="AB233" s="9" t="str">
        <f t="shared" si="32"/>
        <v/>
      </c>
      <c r="AC233" s="9" t="str">
        <f t="shared" si="33"/>
        <v/>
      </c>
      <c r="AH233" t="str">
        <f>IF($AF233="","",IFERROR(SUMIFS(SummaryHelper!$H$2:$H$5000,SummaryHelper!$A$2:$A$5000,$AE233,SummaryHelper!$B$2:$B$5000,$AF233,SummaryHelper!$C$2:$C$5000,$AG233)/SUMIFS(SummaryHelper!$G$2:$G$5000,SummaryHelper!$A$2:$A$5000,$AE233,SummaryHelper!$B$2:$B$5000,$AF233,SummaryHelper!$C$2:$C$5000,$AG233),""))</f>
        <v/>
      </c>
      <c r="AI233" t="str">
        <f>IF($AF233="","",SUMIFS(SummaryHelper!$E$2:$E$5000,SummaryHelper!$A$2:$A$5000,$AE233,SummaryHelper!$B$2:$B$5000,$AF233,SummaryHelper!$C$2:$C$5000,$AG233))</f>
        <v/>
      </c>
      <c r="AJ233" t="str">
        <f>IF($AF233="","",SUMIFS(SummaryHelper!$F$2:$F$5000,SummaryHelper!$A$2:$A$5000,$AE233,SummaryHelper!$B$2:$B$5000,$AF233,SummaryHelper!$C$2:$C$5000,$AG233))</f>
        <v/>
      </c>
      <c r="AK233" t="str">
        <f>IF($AF233="","",SUMIFS(SummaryHelper!$G$2:$G$5000,SummaryHelper!$A$2:$A$5000,$AE233,SummaryHelper!$B$2:$B$5000,$AF233,SummaryHelper!$C$2:$C$5000,$AG233))</f>
        <v/>
      </c>
      <c r="AM233" t="str">
        <f t="shared" si="34"/>
        <v/>
      </c>
      <c r="AN233" t="str">
        <f t="shared" si="35"/>
        <v/>
      </c>
    </row>
    <row r="234" spans="1:40" x14ac:dyDescent="0.25">
      <c r="A234" s="12"/>
      <c r="C234" s="9"/>
      <c r="D234" s="9"/>
      <c r="E234" s="9"/>
      <c r="F234" s="9"/>
      <c r="G234" s="9"/>
      <c r="L234" s="9" t="str">
        <f>IF($J234="","",IFERROR(SUMIFS(SummaryHelper!$H$2:$H$5000,SummaryHelper!$A$2:$A$5000,$I234,SummaryHelper!$B$2:$B$5000,$J234,SummaryHelper!$C$2:$C$5000,$K234)/SUMIFS(SummaryHelper!$G$2:$G$5000,SummaryHelper!$A$2:$A$5000,$I234,SummaryHelper!$B$2:$B$5000,$J234,SummaryHelper!$C$2:$C$5000,$K234),""))</f>
        <v/>
      </c>
      <c r="M234" s="9" t="str">
        <f>IF($J234="","",SUMIFS(SummaryHelper!$E$2:$E$5000,SummaryHelper!$A$2:$A$5000,$I234,SummaryHelper!$B$2:$B$5000,$J234,SummaryHelper!$C$2:$C$5000,$K234))</f>
        <v/>
      </c>
      <c r="N234" s="9" t="str">
        <f>IF($J234="","",SUMIFS(SummaryHelper!$F$2:$F$5000,SummaryHelper!$A$2:$A$5000,$I234,SummaryHelper!$B$2:$B$5000,$J234,SummaryHelper!$C$2:$C$5000,$K234))</f>
        <v/>
      </c>
      <c r="O234" s="9" t="str">
        <f>IF($J234="","",SUMIFS(SummaryHelper!$G$2:$G$5000,SummaryHelper!$A$2:$A$5000,$I234,SummaryHelper!$B$2:$B$5000,$J234,SummaryHelper!$C$2:$C$5000,$K234))</f>
        <v/>
      </c>
      <c r="Q234" s="9" t="str">
        <f t="shared" si="30"/>
        <v/>
      </c>
      <c r="R234" s="9" t="str">
        <f t="shared" si="31"/>
        <v/>
      </c>
      <c r="W234" s="9" t="str">
        <f>IF($U234="","",IFERROR(SUMIFS(SummaryHelper!$H$2:$H$5000,SummaryHelper!$A$2:$A$5000,$T234,SummaryHelper!$B$2:$B$5000,$U234,SummaryHelper!$C$2:$C$5000,$V234)/SUMIFS(SummaryHelper!$G$2:$G$5000,SummaryHelper!$A$2:$A$5000,$T234,SummaryHelper!$B$2:$B$5000,$U234,SummaryHelper!$C$2:$C$5000,$V234),""))</f>
        <v/>
      </c>
      <c r="X234" s="9" t="str">
        <f>IF($U234="","",SUMIFS(SummaryHelper!$E$2:$E$5000,SummaryHelper!$A$2:$A$5000,$T234,SummaryHelper!$B$2:$B$5000,$U234,SummaryHelper!$C$2:$C$5000,$V234))</f>
        <v/>
      </c>
      <c r="Y234" s="9" t="str">
        <f>IF($U234="","",SUMIFS(SummaryHelper!$F$2:$F$5000,SummaryHelper!$A$2:$A$5000,$T234,SummaryHelper!$B$2:$B$5000,$U234,SummaryHelper!$C$2:$C$5000,$V234))</f>
        <v/>
      </c>
      <c r="Z234" s="9" t="s">
        <v>489</v>
      </c>
      <c r="AB234" s="9" t="str">
        <f t="shared" si="32"/>
        <v/>
      </c>
      <c r="AC234" s="9" t="str">
        <f t="shared" si="33"/>
        <v/>
      </c>
      <c r="AH234" t="str">
        <f>IF($AF234="","",IFERROR(SUMIFS(SummaryHelper!$H$2:$H$5000,SummaryHelper!$A$2:$A$5000,$AE234,SummaryHelper!$B$2:$B$5000,$AF234,SummaryHelper!$C$2:$C$5000,$AG234)/SUMIFS(SummaryHelper!$G$2:$G$5000,SummaryHelper!$A$2:$A$5000,$AE234,SummaryHelper!$B$2:$B$5000,$AF234,SummaryHelper!$C$2:$C$5000,$AG234),""))</f>
        <v/>
      </c>
      <c r="AI234" t="str">
        <f>IF($AF234="","",SUMIFS(SummaryHelper!$E$2:$E$5000,SummaryHelper!$A$2:$A$5000,$AE234,SummaryHelper!$B$2:$B$5000,$AF234,SummaryHelper!$C$2:$C$5000,$AG234))</f>
        <v/>
      </c>
      <c r="AJ234" t="str">
        <f>IF($AF234="","",SUMIFS(SummaryHelper!$F$2:$F$5000,SummaryHelper!$A$2:$A$5000,$AE234,SummaryHelper!$B$2:$B$5000,$AF234,SummaryHelper!$C$2:$C$5000,$AG234))</f>
        <v/>
      </c>
      <c r="AK234" t="str">
        <f>IF($AF234="","",SUMIFS(SummaryHelper!$G$2:$G$5000,SummaryHelper!$A$2:$A$5000,$AE234,SummaryHelper!$B$2:$B$5000,$AF234,SummaryHelper!$C$2:$C$5000,$AG234))</f>
        <v/>
      </c>
      <c r="AM234" t="str">
        <f t="shared" si="34"/>
        <v/>
      </c>
      <c r="AN234" t="str">
        <f t="shared" si="35"/>
        <v/>
      </c>
    </row>
    <row r="235" spans="1:40" x14ac:dyDescent="0.25">
      <c r="A235" s="12"/>
      <c r="C235" s="9"/>
      <c r="D235" s="9"/>
      <c r="E235" s="9"/>
      <c r="F235" s="9"/>
      <c r="G235" s="9"/>
      <c r="L235" s="9" t="str">
        <f>IF($J235="","",IFERROR(SUMIFS(SummaryHelper!$H$2:$H$5000,SummaryHelper!$A$2:$A$5000,$I235,SummaryHelper!$B$2:$B$5000,$J235,SummaryHelper!$C$2:$C$5000,$K235)/SUMIFS(SummaryHelper!$G$2:$G$5000,SummaryHelper!$A$2:$A$5000,$I235,SummaryHelper!$B$2:$B$5000,$J235,SummaryHelper!$C$2:$C$5000,$K235),""))</f>
        <v/>
      </c>
      <c r="M235" s="9" t="str">
        <f>IF($J235="","",SUMIFS(SummaryHelper!$E$2:$E$5000,SummaryHelper!$A$2:$A$5000,$I235,SummaryHelper!$B$2:$B$5000,$J235,SummaryHelper!$C$2:$C$5000,$K235))</f>
        <v/>
      </c>
      <c r="N235" s="9" t="str">
        <f>IF($J235="","",SUMIFS(SummaryHelper!$F$2:$F$5000,SummaryHelper!$A$2:$A$5000,$I235,SummaryHelper!$B$2:$B$5000,$J235,SummaryHelper!$C$2:$C$5000,$K235))</f>
        <v/>
      </c>
      <c r="O235" s="9" t="str">
        <f>IF($J235="","",SUMIFS(SummaryHelper!$G$2:$G$5000,SummaryHelper!$A$2:$A$5000,$I235,SummaryHelper!$B$2:$B$5000,$J235,SummaryHelper!$C$2:$C$5000,$K235))</f>
        <v/>
      </c>
      <c r="Q235" s="9" t="str">
        <f t="shared" si="30"/>
        <v/>
      </c>
      <c r="R235" s="9" t="str">
        <f t="shared" si="31"/>
        <v/>
      </c>
      <c r="W235" s="9" t="str">
        <f>IF($U235="","",IFERROR(SUMIFS(SummaryHelper!$H$2:$H$5000,SummaryHelper!$A$2:$A$5000,$T235,SummaryHelper!$B$2:$B$5000,$U235,SummaryHelper!$C$2:$C$5000,$V235)/SUMIFS(SummaryHelper!$G$2:$G$5000,SummaryHelper!$A$2:$A$5000,$T235,SummaryHelper!$B$2:$B$5000,$U235,SummaryHelper!$C$2:$C$5000,$V235),""))</f>
        <v/>
      </c>
      <c r="X235" s="9" t="str">
        <f>IF($U235="","",SUMIFS(SummaryHelper!$E$2:$E$5000,SummaryHelper!$A$2:$A$5000,$T235,SummaryHelper!$B$2:$B$5000,$U235,SummaryHelper!$C$2:$C$5000,$V235))</f>
        <v/>
      </c>
      <c r="Y235" s="9" t="str">
        <f>IF($U235="","",SUMIFS(SummaryHelper!$F$2:$F$5000,SummaryHelper!$A$2:$A$5000,$T235,SummaryHelper!$B$2:$B$5000,$U235,SummaryHelper!$C$2:$C$5000,$V235))</f>
        <v/>
      </c>
      <c r="Z235" s="9" t="s">
        <v>489</v>
      </c>
      <c r="AB235" s="9" t="str">
        <f t="shared" si="32"/>
        <v/>
      </c>
      <c r="AC235" s="9" t="str">
        <f t="shared" si="33"/>
        <v/>
      </c>
      <c r="AH235" t="str">
        <f>IF($AF235="","",IFERROR(SUMIFS(SummaryHelper!$H$2:$H$5000,SummaryHelper!$A$2:$A$5000,$AE235,SummaryHelper!$B$2:$B$5000,$AF235,SummaryHelper!$C$2:$C$5000,$AG235)/SUMIFS(SummaryHelper!$G$2:$G$5000,SummaryHelper!$A$2:$A$5000,$AE235,SummaryHelper!$B$2:$B$5000,$AF235,SummaryHelper!$C$2:$C$5000,$AG235),""))</f>
        <v/>
      </c>
      <c r="AI235" t="str">
        <f>IF($AF235="","",SUMIFS(SummaryHelper!$E$2:$E$5000,SummaryHelper!$A$2:$A$5000,$AE235,SummaryHelper!$B$2:$B$5000,$AF235,SummaryHelper!$C$2:$C$5000,$AG235))</f>
        <v/>
      </c>
      <c r="AJ235" t="str">
        <f>IF($AF235="","",SUMIFS(SummaryHelper!$F$2:$F$5000,SummaryHelper!$A$2:$A$5000,$AE235,SummaryHelper!$B$2:$B$5000,$AF235,SummaryHelper!$C$2:$C$5000,$AG235))</f>
        <v/>
      </c>
      <c r="AK235" t="str">
        <f>IF($AF235="","",SUMIFS(SummaryHelper!$G$2:$G$5000,SummaryHelper!$A$2:$A$5000,$AE235,SummaryHelper!$B$2:$B$5000,$AF235,SummaryHelper!$C$2:$C$5000,$AG235))</f>
        <v/>
      </c>
      <c r="AM235" t="str">
        <f t="shared" si="34"/>
        <v/>
      </c>
      <c r="AN235" t="str">
        <f t="shared" si="35"/>
        <v/>
      </c>
    </row>
    <row r="236" spans="1:40" x14ac:dyDescent="0.25">
      <c r="A236" s="12"/>
      <c r="C236" s="9"/>
      <c r="D236" s="9"/>
      <c r="E236" s="9"/>
      <c r="F236" s="9"/>
      <c r="G236" s="9"/>
      <c r="L236" s="9" t="str">
        <f>IF($J236="","",IFERROR(SUMIFS(SummaryHelper!$H$2:$H$5000,SummaryHelper!$A$2:$A$5000,$I236,SummaryHelper!$B$2:$B$5000,$J236,SummaryHelper!$C$2:$C$5000,$K236)/SUMIFS(SummaryHelper!$G$2:$G$5000,SummaryHelper!$A$2:$A$5000,$I236,SummaryHelper!$B$2:$B$5000,$J236,SummaryHelper!$C$2:$C$5000,$K236),""))</f>
        <v/>
      </c>
      <c r="M236" s="9" t="str">
        <f>IF($J236="","",SUMIFS(SummaryHelper!$E$2:$E$5000,SummaryHelper!$A$2:$A$5000,$I236,SummaryHelper!$B$2:$B$5000,$J236,SummaryHelper!$C$2:$C$5000,$K236))</f>
        <v/>
      </c>
      <c r="N236" s="9" t="str">
        <f>IF($J236="","",SUMIFS(SummaryHelper!$F$2:$F$5000,SummaryHelper!$A$2:$A$5000,$I236,SummaryHelper!$B$2:$B$5000,$J236,SummaryHelper!$C$2:$C$5000,$K236))</f>
        <v/>
      </c>
      <c r="O236" s="9" t="str">
        <f>IF($J236="","",SUMIFS(SummaryHelper!$G$2:$G$5000,SummaryHelper!$A$2:$A$5000,$I236,SummaryHelper!$B$2:$B$5000,$J236,SummaryHelper!$C$2:$C$5000,$K236))</f>
        <v/>
      </c>
      <c r="Q236" s="9" t="str">
        <f t="shared" si="30"/>
        <v/>
      </c>
      <c r="R236" s="9" t="str">
        <f t="shared" si="31"/>
        <v/>
      </c>
      <c r="W236" s="9" t="str">
        <f>IF($U236="","",IFERROR(SUMIFS(SummaryHelper!$H$2:$H$5000,SummaryHelper!$A$2:$A$5000,$T236,SummaryHelper!$B$2:$B$5000,$U236,SummaryHelper!$C$2:$C$5000,$V236)/SUMIFS(SummaryHelper!$G$2:$G$5000,SummaryHelper!$A$2:$A$5000,$T236,SummaryHelper!$B$2:$B$5000,$U236,SummaryHelper!$C$2:$C$5000,$V236),""))</f>
        <v/>
      </c>
      <c r="X236" s="9" t="str">
        <f>IF($U236="","",SUMIFS(SummaryHelper!$E$2:$E$5000,SummaryHelper!$A$2:$A$5000,$T236,SummaryHelper!$B$2:$B$5000,$U236,SummaryHelper!$C$2:$C$5000,$V236))</f>
        <v/>
      </c>
      <c r="Y236" s="9" t="str">
        <f>IF($U236="","",SUMIFS(SummaryHelper!$F$2:$F$5000,SummaryHelper!$A$2:$A$5000,$T236,SummaryHelper!$B$2:$B$5000,$U236,SummaryHelper!$C$2:$C$5000,$V236))</f>
        <v/>
      </c>
      <c r="Z236" s="9" t="s">
        <v>489</v>
      </c>
      <c r="AB236" s="9" t="str">
        <f t="shared" si="32"/>
        <v/>
      </c>
      <c r="AC236" s="9" t="str">
        <f t="shared" si="33"/>
        <v/>
      </c>
      <c r="AH236" t="str">
        <f>IF($AF236="","",IFERROR(SUMIFS(SummaryHelper!$H$2:$H$5000,SummaryHelper!$A$2:$A$5000,$AE236,SummaryHelper!$B$2:$B$5000,$AF236,SummaryHelper!$C$2:$C$5000,$AG236)/SUMIFS(SummaryHelper!$G$2:$G$5000,SummaryHelper!$A$2:$A$5000,$AE236,SummaryHelper!$B$2:$B$5000,$AF236,SummaryHelper!$C$2:$C$5000,$AG236),""))</f>
        <v/>
      </c>
      <c r="AI236" t="str">
        <f>IF($AF236="","",SUMIFS(SummaryHelper!$E$2:$E$5000,SummaryHelper!$A$2:$A$5000,$AE236,SummaryHelper!$B$2:$B$5000,$AF236,SummaryHelper!$C$2:$C$5000,$AG236))</f>
        <v/>
      </c>
      <c r="AJ236" t="str">
        <f>IF($AF236="","",SUMIFS(SummaryHelper!$F$2:$F$5000,SummaryHelper!$A$2:$A$5000,$AE236,SummaryHelper!$B$2:$B$5000,$AF236,SummaryHelper!$C$2:$C$5000,$AG236))</f>
        <v/>
      </c>
      <c r="AK236" t="str">
        <f>IF($AF236="","",SUMIFS(SummaryHelper!$G$2:$G$5000,SummaryHelper!$A$2:$A$5000,$AE236,SummaryHelper!$B$2:$B$5000,$AF236,SummaryHelper!$C$2:$C$5000,$AG236))</f>
        <v/>
      </c>
      <c r="AM236" t="str">
        <f t="shared" si="34"/>
        <v/>
      </c>
      <c r="AN236" t="str">
        <f t="shared" si="35"/>
        <v/>
      </c>
    </row>
    <row r="237" spans="1:40" x14ac:dyDescent="0.25">
      <c r="A237" s="12"/>
      <c r="C237" s="9"/>
      <c r="D237" s="9"/>
      <c r="E237" s="9"/>
      <c r="F237" s="9"/>
      <c r="G237" s="9"/>
      <c r="L237" s="9" t="str">
        <f>IF($J237="","",IFERROR(SUMIFS(SummaryHelper!$H$2:$H$5000,SummaryHelper!$A$2:$A$5000,$I237,SummaryHelper!$B$2:$B$5000,$J237,SummaryHelper!$C$2:$C$5000,$K237)/SUMIFS(SummaryHelper!$G$2:$G$5000,SummaryHelper!$A$2:$A$5000,$I237,SummaryHelper!$B$2:$B$5000,$J237,SummaryHelper!$C$2:$C$5000,$K237),""))</f>
        <v/>
      </c>
      <c r="M237" s="9" t="str">
        <f>IF($J237="","",SUMIFS(SummaryHelper!$E$2:$E$5000,SummaryHelper!$A$2:$A$5000,$I237,SummaryHelper!$B$2:$B$5000,$J237,SummaryHelper!$C$2:$C$5000,$K237))</f>
        <v/>
      </c>
      <c r="N237" s="9" t="str">
        <f>IF($J237="","",SUMIFS(SummaryHelper!$F$2:$F$5000,SummaryHelper!$A$2:$A$5000,$I237,SummaryHelper!$B$2:$B$5000,$J237,SummaryHelper!$C$2:$C$5000,$K237))</f>
        <v/>
      </c>
      <c r="O237" s="9" t="str">
        <f>IF($J237="","",SUMIFS(SummaryHelper!$G$2:$G$5000,SummaryHelper!$A$2:$A$5000,$I237,SummaryHelper!$B$2:$B$5000,$J237,SummaryHelper!$C$2:$C$5000,$K237))</f>
        <v/>
      </c>
      <c r="Q237" s="9" t="str">
        <f t="shared" si="30"/>
        <v/>
      </c>
      <c r="R237" s="9" t="str">
        <f t="shared" si="31"/>
        <v/>
      </c>
      <c r="W237" s="9" t="str">
        <f>IF($U237="","",IFERROR(SUMIFS(SummaryHelper!$H$2:$H$5000,SummaryHelper!$A$2:$A$5000,$T237,SummaryHelper!$B$2:$B$5000,$U237,SummaryHelper!$C$2:$C$5000,$V237)/SUMIFS(SummaryHelper!$G$2:$G$5000,SummaryHelper!$A$2:$A$5000,$T237,SummaryHelper!$B$2:$B$5000,$U237,SummaryHelper!$C$2:$C$5000,$V237),""))</f>
        <v/>
      </c>
      <c r="X237" s="9" t="str">
        <f>IF($U237="","",SUMIFS(SummaryHelper!$E$2:$E$5000,SummaryHelper!$A$2:$A$5000,$T237,SummaryHelper!$B$2:$B$5000,$U237,SummaryHelper!$C$2:$C$5000,$V237))</f>
        <v/>
      </c>
      <c r="Y237" s="9" t="str">
        <f>IF($U237="","",SUMIFS(SummaryHelper!$F$2:$F$5000,SummaryHelper!$A$2:$A$5000,$T237,SummaryHelper!$B$2:$B$5000,$U237,SummaryHelper!$C$2:$C$5000,$V237))</f>
        <v/>
      </c>
      <c r="Z237" s="9" t="s">
        <v>489</v>
      </c>
      <c r="AB237" s="9" t="str">
        <f t="shared" si="32"/>
        <v/>
      </c>
      <c r="AC237" s="9" t="str">
        <f t="shared" si="33"/>
        <v/>
      </c>
      <c r="AH237" t="str">
        <f>IF($AF237="","",IFERROR(SUMIFS(SummaryHelper!$H$2:$H$5000,SummaryHelper!$A$2:$A$5000,$AE237,SummaryHelper!$B$2:$B$5000,$AF237,SummaryHelper!$C$2:$C$5000,$AG237)/SUMIFS(SummaryHelper!$G$2:$G$5000,SummaryHelper!$A$2:$A$5000,$AE237,SummaryHelper!$B$2:$B$5000,$AF237,SummaryHelper!$C$2:$C$5000,$AG237),""))</f>
        <v/>
      </c>
      <c r="AI237" t="str">
        <f>IF($AF237="","",SUMIFS(SummaryHelper!$E$2:$E$5000,SummaryHelper!$A$2:$A$5000,$AE237,SummaryHelper!$B$2:$B$5000,$AF237,SummaryHelper!$C$2:$C$5000,$AG237))</f>
        <v/>
      </c>
      <c r="AJ237" t="str">
        <f>IF($AF237="","",SUMIFS(SummaryHelper!$F$2:$F$5000,SummaryHelper!$A$2:$A$5000,$AE237,SummaryHelper!$B$2:$B$5000,$AF237,SummaryHelper!$C$2:$C$5000,$AG237))</f>
        <v/>
      </c>
      <c r="AK237" t="str">
        <f>IF($AF237="","",SUMIFS(SummaryHelper!$G$2:$G$5000,SummaryHelper!$A$2:$A$5000,$AE237,SummaryHelper!$B$2:$B$5000,$AF237,SummaryHelper!$C$2:$C$5000,$AG237))</f>
        <v/>
      </c>
      <c r="AM237" t="str">
        <f t="shared" si="34"/>
        <v/>
      </c>
      <c r="AN237" t="str">
        <f t="shared" si="35"/>
        <v/>
      </c>
    </row>
    <row r="238" spans="1:40" x14ac:dyDescent="0.25">
      <c r="A238" s="12"/>
      <c r="C238" s="9"/>
      <c r="D238" s="9"/>
      <c r="E238" s="9"/>
      <c r="F238" s="9"/>
      <c r="G238" s="9"/>
      <c r="L238" s="9" t="str">
        <f>IF($J238="","",IFERROR(SUMIFS(SummaryHelper!$H$2:$H$5000,SummaryHelper!$A$2:$A$5000,$I238,SummaryHelper!$B$2:$B$5000,$J238,SummaryHelper!$C$2:$C$5000,$K238)/SUMIFS(SummaryHelper!$G$2:$G$5000,SummaryHelper!$A$2:$A$5000,$I238,SummaryHelper!$B$2:$B$5000,$J238,SummaryHelper!$C$2:$C$5000,$K238),""))</f>
        <v/>
      </c>
      <c r="M238" s="9" t="str">
        <f>IF($J238="","",SUMIFS(SummaryHelper!$E$2:$E$5000,SummaryHelper!$A$2:$A$5000,$I238,SummaryHelper!$B$2:$B$5000,$J238,SummaryHelper!$C$2:$C$5000,$K238))</f>
        <v/>
      </c>
      <c r="N238" s="9" t="str">
        <f>IF($J238="","",SUMIFS(SummaryHelper!$F$2:$F$5000,SummaryHelper!$A$2:$A$5000,$I238,SummaryHelper!$B$2:$B$5000,$J238,SummaryHelper!$C$2:$C$5000,$K238))</f>
        <v/>
      </c>
      <c r="O238" s="9" t="str">
        <f>IF($J238="","",SUMIFS(SummaryHelper!$G$2:$G$5000,SummaryHelper!$A$2:$A$5000,$I238,SummaryHelper!$B$2:$B$5000,$J238,SummaryHelper!$C$2:$C$5000,$K238))</f>
        <v/>
      </c>
      <c r="Q238" s="9" t="str">
        <f t="shared" si="30"/>
        <v/>
      </c>
      <c r="R238" s="9" t="str">
        <f t="shared" si="31"/>
        <v/>
      </c>
      <c r="W238" s="9" t="str">
        <f>IF($U238="","",IFERROR(SUMIFS(SummaryHelper!$H$2:$H$5000,SummaryHelper!$A$2:$A$5000,$T238,SummaryHelper!$B$2:$B$5000,$U238,SummaryHelper!$C$2:$C$5000,$V238)/SUMIFS(SummaryHelper!$G$2:$G$5000,SummaryHelper!$A$2:$A$5000,$T238,SummaryHelper!$B$2:$B$5000,$U238,SummaryHelper!$C$2:$C$5000,$V238),""))</f>
        <v/>
      </c>
      <c r="X238" s="9" t="str">
        <f>IF($U238="","",SUMIFS(SummaryHelper!$E$2:$E$5000,SummaryHelper!$A$2:$A$5000,$T238,SummaryHelper!$B$2:$B$5000,$U238,SummaryHelper!$C$2:$C$5000,$V238))</f>
        <v/>
      </c>
      <c r="Y238" s="9" t="str">
        <f>IF($U238="","",SUMIFS(SummaryHelper!$F$2:$F$5000,SummaryHelper!$A$2:$A$5000,$T238,SummaryHelper!$B$2:$B$5000,$U238,SummaryHelper!$C$2:$C$5000,$V238))</f>
        <v/>
      </c>
      <c r="Z238" s="9" t="s">
        <v>489</v>
      </c>
      <c r="AB238" s="9" t="str">
        <f t="shared" si="32"/>
        <v/>
      </c>
      <c r="AC238" s="9" t="str">
        <f t="shared" si="33"/>
        <v/>
      </c>
      <c r="AH238" t="str">
        <f>IF($AF238="","",IFERROR(SUMIFS(SummaryHelper!$H$2:$H$5000,SummaryHelper!$A$2:$A$5000,$AE238,SummaryHelper!$B$2:$B$5000,$AF238,SummaryHelper!$C$2:$C$5000,$AG238)/SUMIFS(SummaryHelper!$G$2:$G$5000,SummaryHelper!$A$2:$A$5000,$AE238,SummaryHelper!$B$2:$B$5000,$AF238,SummaryHelper!$C$2:$C$5000,$AG238),""))</f>
        <v/>
      </c>
      <c r="AI238" t="str">
        <f>IF($AF238="","",SUMIFS(SummaryHelper!$E$2:$E$5000,SummaryHelper!$A$2:$A$5000,$AE238,SummaryHelper!$B$2:$B$5000,$AF238,SummaryHelper!$C$2:$C$5000,$AG238))</f>
        <v/>
      </c>
      <c r="AJ238" t="str">
        <f>IF($AF238="","",SUMIFS(SummaryHelper!$F$2:$F$5000,SummaryHelper!$A$2:$A$5000,$AE238,SummaryHelper!$B$2:$B$5000,$AF238,SummaryHelper!$C$2:$C$5000,$AG238))</f>
        <v/>
      </c>
      <c r="AK238" t="str">
        <f>IF($AF238="","",SUMIFS(SummaryHelper!$G$2:$G$5000,SummaryHelper!$A$2:$A$5000,$AE238,SummaryHelper!$B$2:$B$5000,$AF238,SummaryHelper!$C$2:$C$5000,$AG238))</f>
        <v/>
      </c>
      <c r="AM238" t="str">
        <f t="shared" si="34"/>
        <v/>
      </c>
      <c r="AN238" t="str">
        <f t="shared" si="35"/>
        <v/>
      </c>
    </row>
    <row r="239" spans="1:40" x14ac:dyDescent="0.25">
      <c r="A239" s="12"/>
      <c r="C239" s="9"/>
      <c r="D239" s="9"/>
      <c r="E239" s="9"/>
      <c r="F239" s="9"/>
      <c r="G239" s="9"/>
      <c r="L239" s="9" t="str">
        <f>IF($J239="","",IFERROR(SUMIFS(SummaryHelper!$H$2:$H$5000,SummaryHelper!$A$2:$A$5000,$I239,SummaryHelper!$B$2:$B$5000,$J239,SummaryHelper!$C$2:$C$5000,$K239)/SUMIFS(SummaryHelper!$G$2:$G$5000,SummaryHelper!$A$2:$A$5000,$I239,SummaryHelper!$B$2:$B$5000,$J239,SummaryHelper!$C$2:$C$5000,$K239),""))</f>
        <v/>
      </c>
      <c r="M239" s="9" t="str">
        <f>IF($J239="","",SUMIFS(SummaryHelper!$E$2:$E$5000,SummaryHelper!$A$2:$A$5000,$I239,SummaryHelper!$B$2:$B$5000,$J239,SummaryHelper!$C$2:$C$5000,$K239))</f>
        <v/>
      </c>
      <c r="N239" s="9" t="str">
        <f>IF($J239="","",SUMIFS(SummaryHelper!$F$2:$F$5000,SummaryHelper!$A$2:$A$5000,$I239,SummaryHelper!$B$2:$B$5000,$J239,SummaryHelper!$C$2:$C$5000,$K239))</f>
        <v/>
      </c>
      <c r="O239" s="9" t="str">
        <f>IF($J239="","",SUMIFS(SummaryHelper!$G$2:$G$5000,SummaryHelper!$A$2:$A$5000,$I239,SummaryHelper!$B$2:$B$5000,$J239,SummaryHelper!$C$2:$C$5000,$K239))</f>
        <v/>
      </c>
      <c r="Q239" s="9" t="str">
        <f t="shared" si="30"/>
        <v/>
      </c>
      <c r="R239" s="9" t="str">
        <f t="shared" si="31"/>
        <v/>
      </c>
      <c r="W239" s="9" t="str">
        <f>IF($U239="","",IFERROR(SUMIFS(SummaryHelper!$H$2:$H$5000,SummaryHelper!$A$2:$A$5000,$T239,SummaryHelper!$B$2:$B$5000,$U239,SummaryHelper!$C$2:$C$5000,$V239)/SUMIFS(SummaryHelper!$G$2:$G$5000,SummaryHelper!$A$2:$A$5000,$T239,SummaryHelper!$B$2:$B$5000,$U239,SummaryHelper!$C$2:$C$5000,$V239),""))</f>
        <v/>
      </c>
      <c r="X239" s="9" t="str">
        <f>IF($U239="","",SUMIFS(SummaryHelper!$E$2:$E$5000,SummaryHelper!$A$2:$A$5000,$T239,SummaryHelper!$B$2:$B$5000,$U239,SummaryHelper!$C$2:$C$5000,$V239))</f>
        <v/>
      </c>
      <c r="Y239" s="9" t="str">
        <f>IF($U239="","",SUMIFS(SummaryHelper!$F$2:$F$5000,SummaryHelper!$A$2:$A$5000,$T239,SummaryHelper!$B$2:$B$5000,$U239,SummaryHelper!$C$2:$C$5000,$V239))</f>
        <v/>
      </c>
      <c r="Z239" s="9" t="s">
        <v>489</v>
      </c>
      <c r="AB239" s="9" t="str">
        <f t="shared" si="32"/>
        <v/>
      </c>
      <c r="AC239" s="9" t="str">
        <f t="shared" si="33"/>
        <v/>
      </c>
      <c r="AH239" t="str">
        <f>IF($AF239="","",IFERROR(SUMIFS(SummaryHelper!$H$2:$H$5000,SummaryHelper!$A$2:$A$5000,$AE239,SummaryHelper!$B$2:$B$5000,$AF239,SummaryHelper!$C$2:$C$5000,$AG239)/SUMIFS(SummaryHelper!$G$2:$G$5000,SummaryHelper!$A$2:$A$5000,$AE239,SummaryHelper!$B$2:$B$5000,$AF239,SummaryHelper!$C$2:$C$5000,$AG239),""))</f>
        <v/>
      </c>
      <c r="AI239" t="str">
        <f>IF($AF239="","",SUMIFS(SummaryHelper!$E$2:$E$5000,SummaryHelper!$A$2:$A$5000,$AE239,SummaryHelper!$B$2:$B$5000,$AF239,SummaryHelper!$C$2:$C$5000,$AG239))</f>
        <v/>
      </c>
      <c r="AJ239" t="str">
        <f>IF($AF239="","",SUMIFS(SummaryHelper!$F$2:$F$5000,SummaryHelper!$A$2:$A$5000,$AE239,SummaryHelper!$B$2:$B$5000,$AF239,SummaryHelper!$C$2:$C$5000,$AG239))</f>
        <v/>
      </c>
      <c r="AK239" t="str">
        <f>IF($AF239="","",SUMIFS(SummaryHelper!$G$2:$G$5000,SummaryHelper!$A$2:$A$5000,$AE239,SummaryHelper!$B$2:$B$5000,$AF239,SummaryHelper!$C$2:$C$5000,$AG239))</f>
        <v/>
      </c>
      <c r="AM239" t="str">
        <f t="shared" si="34"/>
        <v/>
      </c>
      <c r="AN239" t="str">
        <f t="shared" si="35"/>
        <v/>
      </c>
    </row>
    <row r="240" spans="1:40" x14ac:dyDescent="0.25">
      <c r="A240" s="12"/>
      <c r="C240" s="9"/>
      <c r="D240" s="9"/>
      <c r="E240" s="9"/>
      <c r="F240" s="9"/>
      <c r="G240" s="9"/>
      <c r="L240" s="9" t="str">
        <f>IF($J240="","",IFERROR(SUMIFS(SummaryHelper!$H$2:$H$5000,SummaryHelper!$A$2:$A$5000,$I240,SummaryHelper!$B$2:$B$5000,$J240,SummaryHelper!$C$2:$C$5000,$K240)/SUMIFS(SummaryHelper!$G$2:$G$5000,SummaryHelper!$A$2:$A$5000,$I240,SummaryHelper!$B$2:$B$5000,$J240,SummaryHelper!$C$2:$C$5000,$K240),""))</f>
        <v/>
      </c>
      <c r="M240" s="9" t="str">
        <f>IF($J240="","",SUMIFS(SummaryHelper!$E$2:$E$5000,SummaryHelper!$A$2:$A$5000,$I240,SummaryHelper!$B$2:$B$5000,$J240,SummaryHelper!$C$2:$C$5000,$K240))</f>
        <v/>
      </c>
      <c r="N240" s="9" t="str">
        <f>IF($J240="","",SUMIFS(SummaryHelper!$F$2:$F$5000,SummaryHelper!$A$2:$A$5000,$I240,SummaryHelper!$B$2:$B$5000,$J240,SummaryHelper!$C$2:$C$5000,$K240))</f>
        <v/>
      </c>
      <c r="O240" s="9" t="str">
        <f>IF($J240="","",SUMIFS(SummaryHelper!$G$2:$G$5000,SummaryHelper!$A$2:$A$5000,$I240,SummaryHelper!$B$2:$B$5000,$J240,SummaryHelper!$C$2:$C$5000,$K240))</f>
        <v/>
      </c>
      <c r="Q240" s="9" t="str">
        <f t="shared" si="30"/>
        <v/>
      </c>
      <c r="R240" s="9" t="str">
        <f t="shared" si="31"/>
        <v/>
      </c>
      <c r="W240" s="9" t="str">
        <f>IF($U240="","",IFERROR(SUMIFS(SummaryHelper!$H$2:$H$5000,SummaryHelper!$A$2:$A$5000,$T240,SummaryHelper!$B$2:$B$5000,$U240,SummaryHelper!$C$2:$C$5000,$V240)/SUMIFS(SummaryHelper!$G$2:$G$5000,SummaryHelper!$A$2:$A$5000,$T240,SummaryHelper!$B$2:$B$5000,$U240,SummaryHelper!$C$2:$C$5000,$V240),""))</f>
        <v/>
      </c>
      <c r="X240" s="9" t="str">
        <f>IF($U240="","",SUMIFS(SummaryHelper!$E$2:$E$5000,SummaryHelper!$A$2:$A$5000,$T240,SummaryHelper!$B$2:$B$5000,$U240,SummaryHelper!$C$2:$C$5000,$V240))</f>
        <v/>
      </c>
      <c r="Y240" s="9" t="str">
        <f>IF($U240="","",SUMIFS(SummaryHelper!$F$2:$F$5000,SummaryHelper!$A$2:$A$5000,$T240,SummaryHelper!$B$2:$B$5000,$U240,SummaryHelper!$C$2:$C$5000,$V240))</f>
        <v/>
      </c>
      <c r="Z240" s="9" t="s">
        <v>489</v>
      </c>
      <c r="AB240" s="9" t="str">
        <f t="shared" si="32"/>
        <v/>
      </c>
      <c r="AC240" s="9" t="str">
        <f t="shared" si="33"/>
        <v/>
      </c>
      <c r="AH240" t="str">
        <f>IF($AF240="","",IFERROR(SUMIFS(SummaryHelper!$H$2:$H$5000,SummaryHelper!$A$2:$A$5000,$AE240,SummaryHelper!$B$2:$B$5000,$AF240,SummaryHelper!$C$2:$C$5000,$AG240)/SUMIFS(SummaryHelper!$G$2:$G$5000,SummaryHelper!$A$2:$A$5000,$AE240,SummaryHelper!$B$2:$B$5000,$AF240,SummaryHelper!$C$2:$C$5000,$AG240),""))</f>
        <v/>
      </c>
      <c r="AI240" t="str">
        <f>IF($AF240="","",SUMIFS(SummaryHelper!$E$2:$E$5000,SummaryHelper!$A$2:$A$5000,$AE240,SummaryHelper!$B$2:$B$5000,$AF240,SummaryHelper!$C$2:$C$5000,$AG240))</f>
        <v/>
      </c>
      <c r="AJ240" t="str">
        <f>IF($AF240="","",SUMIFS(SummaryHelper!$F$2:$F$5000,SummaryHelper!$A$2:$A$5000,$AE240,SummaryHelper!$B$2:$B$5000,$AF240,SummaryHelper!$C$2:$C$5000,$AG240))</f>
        <v/>
      </c>
      <c r="AK240" t="str">
        <f>IF($AF240="","",SUMIFS(SummaryHelper!$G$2:$G$5000,SummaryHelper!$A$2:$A$5000,$AE240,SummaryHelper!$B$2:$B$5000,$AF240,SummaryHelper!$C$2:$C$5000,$AG240))</f>
        <v/>
      </c>
      <c r="AM240" t="str">
        <f t="shared" si="34"/>
        <v/>
      </c>
      <c r="AN240" t="str">
        <f t="shared" si="35"/>
        <v/>
      </c>
    </row>
    <row r="241" spans="1:40" x14ac:dyDescent="0.25">
      <c r="A241" s="12"/>
      <c r="C241" s="9"/>
      <c r="D241" s="9"/>
      <c r="E241" s="9"/>
      <c r="F241" s="9"/>
      <c r="G241" s="9"/>
      <c r="L241" s="9" t="str">
        <f>IF($J241="","",IFERROR(SUMIFS(SummaryHelper!$H$2:$H$5000,SummaryHelper!$A$2:$A$5000,$I241,SummaryHelper!$B$2:$B$5000,$J241,SummaryHelper!$C$2:$C$5000,$K241)/SUMIFS(SummaryHelper!$G$2:$G$5000,SummaryHelper!$A$2:$A$5000,$I241,SummaryHelper!$B$2:$B$5000,$J241,SummaryHelper!$C$2:$C$5000,$K241),""))</f>
        <v/>
      </c>
      <c r="M241" s="9" t="str">
        <f>IF($J241="","",SUMIFS(SummaryHelper!$E$2:$E$5000,SummaryHelper!$A$2:$A$5000,$I241,SummaryHelper!$B$2:$B$5000,$J241,SummaryHelper!$C$2:$C$5000,$K241))</f>
        <v/>
      </c>
      <c r="N241" s="9" t="str">
        <f>IF($J241="","",SUMIFS(SummaryHelper!$F$2:$F$5000,SummaryHelper!$A$2:$A$5000,$I241,SummaryHelper!$B$2:$B$5000,$J241,SummaryHelper!$C$2:$C$5000,$K241))</f>
        <v/>
      </c>
      <c r="O241" s="9" t="str">
        <f>IF($J241="","",SUMIFS(SummaryHelper!$G$2:$G$5000,SummaryHelper!$A$2:$A$5000,$I241,SummaryHelper!$B$2:$B$5000,$J241,SummaryHelper!$C$2:$C$5000,$K241))</f>
        <v/>
      </c>
      <c r="Q241" s="9" t="str">
        <f t="shared" si="30"/>
        <v/>
      </c>
      <c r="R241" s="9" t="str">
        <f t="shared" si="31"/>
        <v/>
      </c>
      <c r="W241" s="9" t="str">
        <f>IF($U241="","",IFERROR(SUMIFS(SummaryHelper!$H$2:$H$5000,SummaryHelper!$A$2:$A$5000,$T241,SummaryHelper!$B$2:$B$5000,$U241,SummaryHelper!$C$2:$C$5000,$V241)/SUMIFS(SummaryHelper!$G$2:$G$5000,SummaryHelper!$A$2:$A$5000,$T241,SummaryHelper!$B$2:$B$5000,$U241,SummaryHelper!$C$2:$C$5000,$V241),""))</f>
        <v/>
      </c>
      <c r="X241" s="9" t="str">
        <f>IF($U241="","",SUMIFS(SummaryHelper!$E$2:$E$5000,SummaryHelper!$A$2:$A$5000,$T241,SummaryHelper!$B$2:$B$5000,$U241,SummaryHelper!$C$2:$C$5000,$V241))</f>
        <v/>
      </c>
      <c r="Y241" s="9" t="str">
        <f>IF($U241="","",SUMIFS(SummaryHelper!$F$2:$F$5000,SummaryHelper!$A$2:$A$5000,$T241,SummaryHelper!$B$2:$B$5000,$U241,SummaryHelper!$C$2:$C$5000,$V241))</f>
        <v/>
      </c>
      <c r="Z241" s="9" t="s">
        <v>489</v>
      </c>
      <c r="AB241" s="9" t="str">
        <f t="shared" si="32"/>
        <v/>
      </c>
      <c r="AC241" s="9" t="str">
        <f t="shared" si="33"/>
        <v/>
      </c>
      <c r="AH241" t="str">
        <f>IF($AF241="","",IFERROR(SUMIFS(SummaryHelper!$H$2:$H$5000,SummaryHelper!$A$2:$A$5000,$AE241,SummaryHelper!$B$2:$B$5000,$AF241,SummaryHelper!$C$2:$C$5000,$AG241)/SUMIFS(SummaryHelper!$G$2:$G$5000,SummaryHelper!$A$2:$A$5000,$AE241,SummaryHelper!$B$2:$B$5000,$AF241,SummaryHelper!$C$2:$C$5000,$AG241),""))</f>
        <v/>
      </c>
      <c r="AI241" t="str">
        <f>IF($AF241="","",SUMIFS(SummaryHelper!$E$2:$E$5000,SummaryHelper!$A$2:$A$5000,$AE241,SummaryHelper!$B$2:$B$5000,$AF241,SummaryHelper!$C$2:$C$5000,$AG241))</f>
        <v/>
      </c>
      <c r="AJ241" t="str">
        <f>IF($AF241="","",SUMIFS(SummaryHelper!$F$2:$F$5000,SummaryHelper!$A$2:$A$5000,$AE241,SummaryHelper!$B$2:$B$5000,$AF241,SummaryHelper!$C$2:$C$5000,$AG241))</f>
        <v/>
      </c>
      <c r="AK241" t="str">
        <f>IF($AF241="","",SUMIFS(SummaryHelper!$G$2:$G$5000,SummaryHelper!$A$2:$A$5000,$AE241,SummaryHelper!$B$2:$B$5000,$AF241,SummaryHelper!$C$2:$C$5000,$AG241))</f>
        <v/>
      </c>
      <c r="AM241" t="str">
        <f t="shared" si="34"/>
        <v/>
      </c>
      <c r="AN241" t="str">
        <f t="shared" si="35"/>
        <v/>
      </c>
    </row>
    <row r="242" spans="1:40" x14ac:dyDescent="0.25">
      <c r="A242" s="12"/>
      <c r="C242" s="9"/>
      <c r="D242" s="9"/>
      <c r="E242" s="9"/>
      <c r="F242" s="9"/>
      <c r="G242" s="9"/>
      <c r="L242" s="9" t="str">
        <f>IF($J242="","",IFERROR(SUMIFS(SummaryHelper!$H$2:$H$5000,SummaryHelper!$A$2:$A$5000,$I242,SummaryHelper!$B$2:$B$5000,$J242,SummaryHelper!$C$2:$C$5000,$K242)/SUMIFS(SummaryHelper!$G$2:$G$5000,SummaryHelper!$A$2:$A$5000,$I242,SummaryHelper!$B$2:$B$5000,$J242,SummaryHelper!$C$2:$C$5000,$K242),""))</f>
        <v/>
      </c>
      <c r="M242" s="9" t="str">
        <f>IF($J242="","",SUMIFS(SummaryHelper!$E$2:$E$5000,SummaryHelper!$A$2:$A$5000,$I242,SummaryHelper!$B$2:$B$5000,$J242,SummaryHelper!$C$2:$C$5000,$K242))</f>
        <v/>
      </c>
      <c r="N242" s="9" t="str">
        <f>IF($J242="","",SUMIFS(SummaryHelper!$F$2:$F$5000,SummaryHelper!$A$2:$A$5000,$I242,SummaryHelper!$B$2:$B$5000,$J242,SummaryHelper!$C$2:$C$5000,$K242))</f>
        <v/>
      </c>
      <c r="O242" s="9" t="str">
        <f>IF($J242="","",SUMIFS(SummaryHelper!$G$2:$G$5000,SummaryHelper!$A$2:$A$5000,$I242,SummaryHelper!$B$2:$B$5000,$J242,SummaryHelper!$C$2:$C$5000,$K242))</f>
        <v/>
      </c>
      <c r="Q242" s="9" t="str">
        <f t="shared" si="30"/>
        <v/>
      </c>
      <c r="R242" s="9" t="str">
        <f t="shared" si="31"/>
        <v/>
      </c>
      <c r="W242" s="9" t="str">
        <f>IF($U242="","",IFERROR(SUMIFS(SummaryHelper!$H$2:$H$5000,SummaryHelper!$A$2:$A$5000,$T242,SummaryHelper!$B$2:$B$5000,$U242,SummaryHelper!$C$2:$C$5000,$V242)/SUMIFS(SummaryHelper!$G$2:$G$5000,SummaryHelper!$A$2:$A$5000,$T242,SummaryHelper!$B$2:$B$5000,$U242,SummaryHelper!$C$2:$C$5000,$V242),""))</f>
        <v/>
      </c>
      <c r="X242" s="9" t="str">
        <f>IF($U242="","",SUMIFS(SummaryHelper!$E$2:$E$5000,SummaryHelper!$A$2:$A$5000,$T242,SummaryHelper!$B$2:$B$5000,$U242,SummaryHelper!$C$2:$C$5000,$V242))</f>
        <v/>
      </c>
      <c r="Y242" s="9" t="str">
        <f>IF($U242="","",SUMIFS(SummaryHelper!$F$2:$F$5000,SummaryHelper!$A$2:$A$5000,$T242,SummaryHelper!$B$2:$B$5000,$U242,SummaryHelper!$C$2:$C$5000,$V242))</f>
        <v/>
      </c>
      <c r="Z242" s="9" t="s">
        <v>489</v>
      </c>
      <c r="AB242" s="9" t="str">
        <f t="shared" si="32"/>
        <v/>
      </c>
      <c r="AC242" s="9" t="str">
        <f t="shared" si="33"/>
        <v/>
      </c>
      <c r="AH242" t="str">
        <f>IF($AF242="","",IFERROR(SUMIFS(SummaryHelper!$H$2:$H$5000,SummaryHelper!$A$2:$A$5000,$AE242,SummaryHelper!$B$2:$B$5000,$AF242,SummaryHelper!$C$2:$C$5000,$AG242)/SUMIFS(SummaryHelper!$G$2:$G$5000,SummaryHelper!$A$2:$A$5000,$AE242,SummaryHelper!$B$2:$B$5000,$AF242,SummaryHelper!$C$2:$C$5000,$AG242),""))</f>
        <v/>
      </c>
      <c r="AI242" t="str">
        <f>IF($AF242="","",SUMIFS(SummaryHelper!$E$2:$E$5000,SummaryHelper!$A$2:$A$5000,$AE242,SummaryHelper!$B$2:$B$5000,$AF242,SummaryHelper!$C$2:$C$5000,$AG242))</f>
        <v/>
      </c>
      <c r="AJ242" t="str">
        <f>IF($AF242="","",SUMIFS(SummaryHelper!$F$2:$F$5000,SummaryHelper!$A$2:$A$5000,$AE242,SummaryHelper!$B$2:$B$5000,$AF242,SummaryHelper!$C$2:$C$5000,$AG242))</f>
        <v/>
      </c>
      <c r="AK242" t="str">
        <f>IF($AF242="","",SUMIFS(SummaryHelper!$G$2:$G$5000,SummaryHelper!$A$2:$A$5000,$AE242,SummaryHelper!$B$2:$B$5000,$AF242,SummaryHelper!$C$2:$C$5000,$AG242))</f>
        <v/>
      </c>
      <c r="AM242" t="str">
        <f t="shared" si="34"/>
        <v/>
      </c>
      <c r="AN242" t="str">
        <f t="shared" si="35"/>
        <v/>
      </c>
    </row>
    <row r="243" spans="1:40" x14ac:dyDescent="0.25">
      <c r="A243" s="12"/>
      <c r="C243" s="9"/>
      <c r="D243" s="9"/>
      <c r="E243" s="9"/>
      <c r="F243" s="9"/>
      <c r="G243" s="9"/>
      <c r="L243" s="9" t="str">
        <f>IF($J243="","",IFERROR(SUMIFS(SummaryHelper!$H$2:$H$5000,SummaryHelper!$A$2:$A$5000,$I243,SummaryHelper!$B$2:$B$5000,$J243,SummaryHelper!$C$2:$C$5000,$K243)/SUMIFS(SummaryHelper!$G$2:$G$5000,SummaryHelper!$A$2:$A$5000,$I243,SummaryHelper!$B$2:$B$5000,$J243,SummaryHelper!$C$2:$C$5000,$K243),""))</f>
        <v/>
      </c>
      <c r="M243" s="9" t="str">
        <f>IF($J243="","",SUMIFS(SummaryHelper!$E$2:$E$5000,SummaryHelper!$A$2:$A$5000,$I243,SummaryHelper!$B$2:$B$5000,$J243,SummaryHelper!$C$2:$C$5000,$K243))</f>
        <v/>
      </c>
      <c r="N243" s="9" t="str">
        <f>IF($J243="","",SUMIFS(SummaryHelper!$F$2:$F$5000,SummaryHelper!$A$2:$A$5000,$I243,SummaryHelper!$B$2:$B$5000,$J243,SummaryHelper!$C$2:$C$5000,$K243))</f>
        <v/>
      </c>
      <c r="O243" s="9" t="str">
        <f>IF($J243="","",SUMIFS(SummaryHelper!$G$2:$G$5000,SummaryHelper!$A$2:$A$5000,$I243,SummaryHelper!$B$2:$B$5000,$J243,SummaryHelper!$C$2:$C$5000,$K243))</f>
        <v/>
      </c>
      <c r="Q243" s="9" t="str">
        <f t="shared" si="30"/>
        <v/>
      </c>
      <c r="R243" s="9" t="str">
        <f t="shared" si="31"/>
        <v/>
      </c>
      <c r="W243" s="9" t="str">
        <f>IF($U243="","",IFERROR(SUMIFS(SummaryHelper!$H$2:$H$5000,SummaryHelper!$A$2:$A$5000,$T243,SummaryHelper!$B$2:$B$5000,$U243,SummaryHelper!$C$2:$C$5000,$V243)/SUMIFS(SummaryHelper!$G$2:$G$5000,SummaryHelper!$A$2:$A$5000,$T243,SummaryHelper!$B$2:$B$5000,$U243,SummaryHelper!$C$2:$C$5000,$V243),""))</f>
        <v/>
      </c>
      <c r="X243" s="9" t="str">
        <f>IF($U243="","",SUMIFS(SummaryHelper!$E$2:$E$5000,SummaryHelper!$A$2:$A$5000,$T243,SummaryHelper!$B$2:$B$5000,$U243,SummaryHelper!$C$2:$C$5000,$V243))</f>
        <v/>
      </c>
      <c r="Y243" s="9" t="str">
        <f>IF($U243="","",SUMIFS(SummaryHelper!$F$2:$F$5000,SummaryHelper!$A$2:$A$5000,$T243,SummaryHelper!$B$2:$B$5000,$U243,SummaryHelper!$C$2:$C$5000,$V243))</f>
        <v/>
      </c>
      <c r="Z243" s="9" t="s">
        <v>489</v>
      </c>
      <c r="AB243" s="9" t="str">
        <f t="shared" si="32"/>
        <v/>
      </c>
      <c r="AC243" s="9" t="str">
        <f t="shared" si="33"/>
        <v/>
      </c>
      <c r="AH243" t="str">
        <f>IF($AF243="","",IFERROR(SUMIFS(SummaryHelper!$H$2:$H$5000,SummaryHelper!$A$2:$A$5000,$AE243,SummaryHelper!$B$2:$B$5000,$AF243,SummaryHelper!$C$2:$C$5000,$AG243)/SUMIFS(SummaryHelper!$G$2:$G$5000,SummaryHelper!$A$2:$A$5000,$AE243,SummaryHelper!$B$2:$B$5000,$AF243,SummaryHelper!$C$2:$C$5000,$AG243),""))</f>
        <v/>
      </c>
      <c r="AI243" t="str">
        <f>IF($AF243="","",SUMIFS(SummaryHelper!$E$2:$E$5000,SummaryHelper!$A$2:$A$5000,$AE243,SummaryHelper!$B$2:$B$5000,$AF243,SummaryHelper!$C$2:$C$5000,$AG243))</f>
        <v/>
      </c>
      <c r="AJ243" t="str">
        <f>IF($AF243="","",SUMIFS(SummaryHelper!$F$2:$F$5000,SummaryHelper!$A$2:$A$5000,$AE243,SummaryHelper!$B$2:$B$5000,$AF243,SummaryHelper!$C$2:$C$5000,$AG243))</f>
        <v/>
      </c>
      <c r="AK243" t="str">
        <f>IF($AF243="","",SUMIFS(SummaryHelper!$G$2:$G$5000,SummaryHelper!$A$2:$A$5000,$AE243,SummaryHelper!$B$2:$B$5000,$AF243,SummaryHelper!$C$2:$C$5000,$AG243))</f>
        <v/>
      </c>
      <c r="AM243" t="str">
        <f t="shared" si="34"/>
        <v/>
      </c>
      <c r="AN243" t="str">
        <f t="shared" si="35"/>
        <v/>
      </c>
    </row>
    <row r="244" spans="1:40" x14ac:dyDescent="0.25">
      <c r="A244" s="12"/>
      <c r="C244" s="9"/>
      <c r="D244" s="9"/>
      <c r="E244" s="9"/>
      <c r="F244" s="9"/>
      <c r="G244" s="9"/>
      <c r="L244" s="9" t="str">
        <f>IF($J244="","",IFERROR(SUMIFS(SummaryHelper!$H$2:$H$5000,SummaryHelper!$A$2:$A$5000,$I244,SummaryHelper!$B$2:$B$5000,$J244,SummaryHelper!$C$2:$C$5000,$K244)/SUMIFS(SummaryHelper!$G$2:$G$5000,SummaryHelper!$A$2:$A$5000,$I244,SummaryHelper!$B$2:$B$5000,$J244,SummaryHelper!$C$2:$C$5000,$K244),""))</f>
        <v/>
      </c>
      <c r="M244" s="9" t="str">
        <f>IF($J244="","",SUMIFS(SummaryHelper!$E$2:$E$5000,SummaryHelper!$A$2:$A$5000,$I244,SummaryHelper!$B$2:$B$5000,$J244,SummaryHelper!$C$2:$C$5000,$K244))</f>
        <v/>
      </c>
      <c r="N244" s="9" t="str">
        <f>IF($J244="","",SUMIFS(SummaryHelper!$F$2:$F$5000,SummaryHelper!$A$2:$A$5000,$I244,SummaryHelper!$B$2:$B$5000,$J244,SummaryHelper!$C$2:$C$5000,$K244))</f>
        <v/>
      </c>
      <c r="O244" s="9" t="str">
        <f>IF($J244="","",SUMIFS(SummaryHelper!$G$2:$G$5000,SummaryHelper!$A$2:$A$5000,$I244,SummaryHelper!$B$2:$B$5000,$J244,SummaryHelper!$C$2:$C$5000,$K244))</f>
        <v/>
      </c>
      <c r="Q244" s="9" t="str">
        <f t="shared" si="30"/>
        <v/>
      </c>
      <c r="R244" s="9" t="str">
        <f t="shared" si="31"/>
        <v/>
      </c>
      <c r="W244" s="9" t="str">
        <f>IF($U244="","",IFERROR(SUMIFS(SummaryHelper!$H$2:$H$5000,SummaryHelper!$A$2:$A$5000,$T244,SummaryHelper!$B$2:$B$5000,$U244,SummaryHelper!$C$2:$C$5000,$V244)/SUMIFS(SummaryHelper!$G$2:$G$5000,SummaryHelper!$A$2:$A$5000,$T244,SummaryHelper!$B$2:$B$5000,$U244,SummaryHelper!$C$2:$C$5000,$V244),""))</f>
        <v/>
      </c>
      <c r="X244" s="9" t="str">
        <f>IF($U244="","",SUMIFS(SummaryHelper!$E$2:$E$5000,SummaryHelper!$A$2:$A$5000,$T244,SummaryHelper!$B$2:$B$5000,$U244,SummaryHelper!$C$2:$C$5000,$V244))</f>
        <v/>
      </c>
      <c r="Y244" s="9" t="str">
        <f>IF($U244="","",SUMIFS(SummaryHelper!$F$2:$F$5000,SummaryHelper!$A$2:$A$5000,$T244,SummaryHelper!$B$2:$B$5000,$U244,SummaryHelper!$C$2:$C$5000,$V244))</f>
        <v/>
      </c>
      <c r="Z244" s="9" t="s">
        <v>489</v>
      </c>
      <c r="AB244" s="9" t="str">
        <f t="shared" si="32"/>
        <v/>
      </c>
      <c r="AC244" s="9" t="str">
        <f t="shared" si="33"/>
        <v/>
      </c>
      <c r="AH244" t="str">
        <f>IF($AF244="","",IFERROR(SUMIFS(SummaryHelper!$H$2:$H$5000,SummaryHelper!$A$2:$A$5000,$AE244,SummaryHelper!$B$2:$B$5000,$AF244,SummaryHelper!$C$2:$C$5000,$AG244)/SUMIFS(SummaryHelper!$G$2:$G$5000,SummaryHelper!$A$2:$A$5000,$AE244,SummaryHelper!$B$2:$B$5000,$AF244,SummaryHelper!$C$2:$C$5000,$AG244),""))</f>
        <v/>
      </c>
      <c r="AI244" t="str">
        <f>IF($AF244="","",SUMIFS(SummaryHelper!$E$2:$E$5000,SummaryHelper!$A$2:$A$5000,$AE244,SummaryHelper!$B$2:$B$5000,$AF244,SummaryHelper!$C$2:$C$5000,$AG244))</f>
        <v/>
      </c>
      <c r="AJ244" t="str">
        <f>IF($AF244="","",SUMIFS(SummaryHelper!$F$2:$F$5000,SummaryHelper!$A$2:$A$5000,$AE244,SummaryHelper!$B$2:$B$5000,$AF244,SummaryHelper!$C$2:$C$5000,$AG244))</f>
        <v/>
      </c>
      <c r="AK244" t="str">
        <f>IF($AF244="","",SUMIFS(SummaryHelper!$G$2:$G$5000,SummaryHelper!$A$2:$A$5000,$AE244,SummaryHelper!$B$2:$B$5000,$AF244,SummaryHelper!$C$2:$C$5000,$AG244))</f>
        <v/>
      </c>
      <c r="AM244" t="str">
        <f t="shared" si="34"/>
        <v/>
      </c>
      <c r="AN244" t="str">
        <f t="shared" si="35"/>
        <v/>
      </c>
    </row>
    <row r="245" spans="1:40" x14ac:dyDescent="0.25">
      <c r="A245" s="12"/>
      <c r="C245" s="9"/>
      <c r="D245" s="9"/>
      <c r="E245" s="9"/>
      <c r="F245" s="9"/>
      <c r="G245" s="9"/>
      <c r="L245" s="9" t="str">
        <f>IF($J245="","",IFERROR(SUMIFS(SummaryHelper!$H$2:$H$5000,SummaryHelper!$A$2:$A$5000,$I245,SummaryHelper!$B$2:$B$5000,$J245,SummaryHelper!$C$2:$C$5000,$K245)/SUMIFS(SummaryHelper!$G$2:$G$5000,SummaryHelper!$A$2:$A$5000,$I245,SummaryHelper!$B$2:$B$5000,$J245,SummaryHelper!$C$2:$C$5000,$K245),""))</f>
        <v/>
      </c>
      <c r="M245" s="9" t="str">
        <f>IF($J245="","",SUMIFS(SummaryHelper!$E$2:$E$5000,SummaryHelper!$A$2:$A$5000,$I245,SummaryHelper!$B$2:$B$5000,$J245,SummaryHelper!$C$2:$C$5000,$K245))</f>
        <v/>
      </c>
      <c r="N245" s="9" t="str">
        <f>IF($J245="","",SUMIFS(SummaryHelper!$F$2:$F$5000,SummaryHelper!$A$2:$A$5000,$I245,SummaryHelper!$B$2:$B$5000,$J245,SummaryHelper!$C$2:$C$5000,$K245))</f>
        <v/>
      </c>
      <c r="O245" s="9" t="str">
        <f>IF($J245="","",SUMIFS(SummaryHelper!$G$2:$G$5000,SummaryHelper!$A$2:$A$5000,$I245,SummaryHelper!$B$2:$B$5000,$J245,SummaryHelper!$C$2:$C$5000,$K245))</f>
        <v/>
      </c>
      <c r="Q245" s="9" t="str">
        <f t="shared" si="30"/>
        <v/>
      </c>
      <c r="R245" s="9" t="str">
        <f t="shared" si="31"/>
        <v/>
      </c>
      <c r="W245" s="9" t="str">
        <f>IF($U245="","",IFERROR(SUMIFS(SummaryHelper!$H$2:$H$5000,SummaryHelper!$A$2:$A$5000,$T245,SummaryHelper!$B$2:$B$5000,$U245,SummaryHelper!$C$2:$C$5000,$V245)/SUMIFS(SummaryHelper!$G$2:$G$5000,SummaryHelper!$A$2:$A$5000,$T245,SummaryHelper!$B$2:$B$5000,$U245,SummaryHelper!$C$2:$C$5000,$V245),""))</f>
        <v/>
      </c>
      <c r="X245" s="9" t="str">
        <f>IF($U245="","",SUMIFS(SummaryHelper!$E$2:$E$5000,SummaryHelper!$A$2:$A$5000,$T245,SummaryHelper!$B$2:$B$5000,$U245,SummaryHelper!$C$2:$C$5000,$V245))</f>
        <v/>
      </c>
      <c r="Y245" s="9" t="str">
        <f>IF($U245="","",SUMIFS(SummaryHelper!$F$2:$F$5000,SummaryHelper!$A$2:$A$5000,$T245,SummaryHelper!$B$2:$B$5000,$U245,SummaryHelper!$C$2:$C$5000,$V245))</f>
        <v/>
      </c>
      <c r="Z245" s="9" t="s">
        <v>489</v>
      </c>
      <c r="AB245" s="9" t="str">
        <f t="shared" si="32"/>
        <v/>
      </c>
      <c r="AC245" s="9" t="str">
        <f t="shared" si="33"/>
        <v/>
      </c>
      <c r="AH245" t="str">
        <f>IF($AF245="","",IFERROR(SUMIFS(SummaryHelper!$H$2:$H$5000,SummaryHelper!$A$2:$A$5000,$AE245,SummaryHelper!$B$2:$B$5000,$AF245,SummaryHelper!$C$2:$C$5000,$AG245)/SUMIFS(SummaryHelper!$G$2:$G$5000,SummaryHelper!$A$2:$A$5000,$AE245,SummaryHelper!$B$2:$B$5000,$AF245,SummaryHelper!$C$2:$C$5000,$AG245),""))</f>
        <v/>
      </c>
      <c r="AI245" t="str">
        <f>IF($AF245="","",SUMIFS(SummaryHelper!$E$2:$E$5000,SummaryHelper!$A$2:$A$5000,$AE245,SummaryHelper!$B$2:$B$5000,$AF245,SummaryHelper!$C$2:$C$5000,$AG245))</f>
        <v/>
      </c>
      <c r="AJ245" t="str">
        <f>IF($AF245="","",SUMIFS(SummaryHelper!$F$2:$F$5000,SummaryHelper!$A$2:$A$5000,$AE245,SummaryHelper!$B$2:$B$5000,$AF245,SummaryHelper!$C$2:$C$5000,$AG245))</f>
        <v/>
      </c>
      <c r="AK245" t="str">
        <f>IF($AF245="","",SUMIFS(SummaryHelper!$G$2:$G$5000,SummaryHelper!$A$2:$A$5000,$AE245,SummaryHelper!$B$2:$B$5000,$AF245,SummaryHelper!$C$2:$C$5000,$AG245))</f>
        <v/>
      </c>
      <c r="AM245" t="str">
        <f t="shared" si="34"/>
        <v/>
      </c>
      <c r="AN245" t="str">
        <f t="shared" si="35"/>
        <v/>
      </c>
    </row>
    <row r="246" spans="1:40" x14ac:dyDescent="0.25">
      <c r="A246" s="12"/>
      <c r="C246" s="9"/>
      <c r="D246" s="9"/>
      <c r="E246" s="9"/>
      <c r="F246" s="9"/>
      <c r="G246" s="9"/>
      <c r="L246" s="9" t="str">
        <f>IF($J246="","",IFERROR(SUMIFS(SummaryHelper!$H$2:$H$5000,SummaryHelper!$A$2:$A$5000,$I246,SummaryHelper!$B$2:$B$5000,$J246,SummaryHelper!$C$2:$C$5000,$K246)/SUMIFS(SummaryHelper!$G$2:$G$5000,SummaryHelper!$A$2:$A$5000,$I246,SummaryHelper!$B$2:$B$5000,$J246,SummaryHelper!$C$2:$C$5000,$K246),""))</f>
        <v/>
      </c>
      <c r="M246" s="9" t="str">
        <f>IF($J246="","",SUMIFS(SummaryHelper!$E$2:$E$5000,SummaryHelper!$A$2:$A$5000,$I246,SummaryHelper!$B$2:$B$5000,$J246,SummaryHelper!$C$2:$C$5000,$K246))</f>
        <v/>
      </c>
      <c r="N246" s="9" t="str">
        <f>IF($J246="","",SUMIFS(SummaryHelper!$F$2:$F$5000,SummaryHelper!$A$2:$A$5000,$I246,SummaryHelper!$B$2:$B$5000,$J246,SummaryHelper!$C$2:$C$5000,$K246))</f>
        <v/>
      </c>
      <c r="O246" s="9" t="str">
        <f>IF($J246="","",SUMIFS(SummaryHelper!$G$2:$G$5000,SummaryHelper!$A$2:$A$5000,$I246,SummaryHelper!$B$2:$B$5000,$J246,SummaryHelper!$C$2:$C$5000,$K246))</f>
        <v/>
      </c>
      <c r="Q246" s="9" t="str">
        <f t="shared" si="30"/>
        <v/>
      </c>
      <c r="R246" s="9" t="str">
        <f t="shared" si="31"/>
        <v/>
      </c>
      <c r="W246" s="9" t="str">
        <f>IF($U246="","",IFERROR(SUMIFS(SummaryHelper!$H$2:$H$5000,SummaryHelper!$A$2:$A$5000,$T246,SummaryHelper!$B$2:$B$5000,$U246,SummaryHelper!$C$2:$C$5000,$V246)/SUMIFS(SummaryHelper!$G$2:$G$5000,SummaryHelper!$A$2:$A$5000,$T246,SummaryHelper!$B$2:$B$5000,$U246,SummaryHelper!$C$2:$C$5000,$V246),""))</f>
        <v/>
      </c>
      <c r="X246" s="9" t="str">
        <f>IF($U246="","",SUMIFS(SummaryHelper!$E$2:$E$5000,SummaryHelper!$A$2:$A$5000,$T246,SummaryHelper!$B$2:$B$5000,$U246,SummaryHelper!$C$2:$C$5000,$V246))</f>
        <v/>
      </c>
      <c r="Y246" s="9" t="str">
        <f>IF($U246="","",SUMIFS(SummaryHelper!$F$2:$F$5000,SummaryHelper!$A$2:$A$5000,$T246,SummaryHelper!$B$2:$B$5000,$U246,SummaryHelper!$C$2:$C$5000,$V246))</f>
        <v/>
      </c>
      <c r="Z246" s="9" t="s">
        <v>489</v>
      </c>
      <c r="AB246" s="9" t="str">
        <f t="shared" si="32"/>
        <v/>
      </c>
      <c r="AC246" s="9" t="str">
        <f t="shared" si="33"/>
        <v/>
      </c>
      <c r="AH246" t="str">
        <f>IF($AF246="","",IFERROR(SUMIFS(SummaryHelper!$H$2:$H$5000,SummaryHelper!$A$2:$A$5000,$AE246,SummaryHelper!$B$2:$B$5000,$AF246,SummaryHelper!$C$2:$C$5000,$AG246)/SUMIFS(SummaryHelper!$G$2:$G$5000,SummaryHelper!$A$2:$A$5000,$AE246,SummaryHelper!$B$2:$B$5000,$AF246,SummaryHelper!$C$2:$C$5000,$AG246),""))</f>
        <v/>
      </c>
      <c r="AI246" t="str">
        <f>IF($AF246="","",SUMIFS(SummaryHelper!$E$2:$E$5000,SummaryHelper!$A$2:$A$5000,$AE246,SummaryHelper!$B$2:$B$5000,$AF246,SummaryHelper!$C$2:$C$5000,$AG246))</f>
        <v/>
      </c>
      <c r="AJ246" t="str">
        <f>IF($AF246="","",SUMIFS(SummaryHelper!$F$2:$F$5000,SummaryHelper!$A$2:$A$5000,$AE246,SummaryHelper!$B$2:$B$5000,$AF246,SummaryHelper!$C$2:$C$5000,$AG246))</f>
        <v/>
      </c>
      <c r="AK246" t="str">
        <f>IF($AF246="","",SUMIFS(SummaryHelper!$G$2:$G$5000,SummaryHelper!$A$2:$A$5000,$AE246,SummaryHelper!$B$2:$B$5000,$AF246,SummaryHelper!$C$2:$C$5000,$AG246))</f>
        <v/>
      </c>
      <c r="AM246" t="str">
        <f t="shared" si="34"/>
        <v/>
      </c>
      <c r="AN246" t="str">
        <f t="shared" si="35"/>
        <v/>
      </c>
    </row>
    <row r="247" spans="1:40" x14ac:dyDescent="0.25">
      <c r="A247" s="12"/>
      <c r="C247" s="9"/>
      <c r="D247" s="9"/>
      <c r="E247" s="9"/>
      <c r="F247" s="9"/>
      <c r="G247" s="9"/>
      <c r="L247" s="9" t="str">
        <f>IF($J247="","",IFERROR(SUMIFS(SummaryHelper!$H$2:$H$5000,SummaryHelper!$A$2:$A$5000,$I247,SummaryHelper!$B$2:$B$5000,$J247,SummaryHelper!$C$2:$C$5000,$K247)/SUMIFS(SummaryHelper!$G$2:$G$5000,SummaryHelper!$A$2:$A$5000,$I247,SummaryHelper!$B$2:$B$5000,$J247,SummaryHelper!$C$2:$C$5000,$K247),""))</f>
        <v/>
      </c>
      <c r="M247" s="9" t="str">
        <f>IF($J247="","",SUMIFS(SummaryHelper!$E$2:$E$5000,SummaryHelper!$A$2:$A$5000,$I247,SummaryHelper!$B$2:$B$5000,$J247,SummaryHelper!$C$2:$C$5000,$K247))</f>
        <v/>
      </c>
      <c r="N247" s="9" t="str">
        <f>IF($J247="","",SUMIFS(SummaryHelper!$F$2:$F$5000,SummaryHelper!$A$2:$A$5000,$I247,SummaryHelper!$B$2:$B$5000,$J247,SummaryHelper!$C$2:$C$5000,$K247))</f>
        <v/>
      </c>
      <c r="O247" s="9" t="str">
        <f>IF($J247="","",SUMIFS(SummaryHelper!$G$2:$G$5000,SummaryHelper!$A$2:$A$5000,$I247,SummaryHelper!$B$2:$B$5000,$J247,SummaryHelper!$C$2:$C$5000,$K247))</f>
        <v/>
      </c>
      <c r="Q247" s="9" t="str">
        <f t="shared" si="30"/>
        <v/>
      </c>
      <c r="R247" s="9" t="str">
        <f t="shared" si="31"/>
        <v/>
      </c>
      <c r="W247" s="9" t="str">
        <f>IF($U247="","",IFERROR(SUMIFS(SummaryHelper!$H$2:$H$5000,SummaryHelper!$A$2:$A$5000,$T247,SummaryHelper!$B$2:$B$5000,$U247,SummaryHelper!$C$2:$C$5000,$V247)/SUMIFS(SummaryHelper!$G$2:$G$5000,SummaryHelper!$A$2:$A$5000,$T247,SummaryHelper!$B$2:$B$5000,$U247,SummaryHelper!$C$2:$C$5000,$V247),""))</f>
        <v/>
      </c>
      <c r="X247" s="9" t="str">
        <f>IF($U247="","",SUMIFS(SummaryHelper!$E$2:$E$5000,SummaryHelper!$A$2:$A$5000,$T247,SummaryHelper!$B$2:$B$5000,$U247,SummaryHelper!$C$2:$C$5000,$V247))</f>
        <v/>
      </c>
      <c r="Y247" s="9" t="str">
        <f>IF($U247="","",SUMIFS(SummaryHelper!$F$2:$F$5000,SummaryHelper!$A$2:$A$5000,$T247,SummaryHelper!$B$2:$B$5000,$U247,SummaryHelper!$C$2:$C$5000,$V247))</f>
        <v/>
      </c>
      <c r="Z247" s="9" t="s">
        <v>489</v>
      </c>
      <c r="AB247" s="9" t="str">
        <f t="shared" si="32"/>
        <v/>
      </c>
      <c r="AC247" s="9" t="str">
        <f t="shared" si="33"/>
        <v/>
      </c>
      <c r="AH247" t="str">
        <f>IF($AF247="","",IFERROR(SUMIFS(SummaryHelper!$H$2:$H$5000,SummaryHelper!$A$2:$A$5000,$AE247,SummaryHelper!$B$2:$B$5000,$AF247,SummaryHelper!$C$2:$C$5000,$AG247)/SUMIFS(SummaryHelper!$G$2:$G$5000,SummaryHelper!$A$2:$A$5000,$AE247,SummaryHelper!$B$2:$B$5000,$AF247,SummaryHelper!$C$2:$C$5000,$AG247),""))</f>
        <v/>
      </c>
      <c r="AI247" t="str">
        <f>IF($AF247="","",SUMIFS(SummaryHelper!$E$2:$E$5000,SummaryHelper!$A$2:$A$5000,$AE247,SummaryHelper!$B$2:$B$5000,$AF247,SummaryHelper!$C$2:$C$5000,$AG247))</f>
        <v/>
      </c>
      <c r="AJ247" t="str">
        <f>IF($AF247="","",SUMIFS(SummaryHelper!$F$2:$F$5000,SummaryHelper!$A$2:$A$5000,$AE247,SummaryHelper!$B$2:$B$5000,$AF247,SummaryHelper!$C$2:$C$5000,$AG247))</f>
        <v/>
      </c>
      <c r="AK247" t="str">
        <f>IF($AF247="","",SUMIFS(SummaryHelper!$G$2:$G$5000,SummaryHelper!$A$2:$A$5000,$AE247,SummaryHelper!$B$2:$B$5000,$AF247,SummaryHelper!$C$2:$C$5000,$AG247))</f>
        <v/>
      </c>
      <c r="AM247" t="str">
        <f t="shared" si="34"/>
        <v/>
      </c>
      <c r="AN247" t="str">
        <f t="shared" si="35"/>
        <v/>
      </c>
    </row>
    <row r="248" spans="1:40" x14ac:dyDescent="0.25">
      <c r="A248" s="12"/>
      <c r="C248" s="9"/>
      <c r="D248" s="9"/>
      <c r="E248" s="9"/>
      <c r="F248" s="9"/>
      <c r="G248" s="9"/>
      <c r="L248" s="9" t="str">
        <f>IF($J248="","",IFERROR(SUMIFS(SummaryHelper!$H$2:$H$5000,SummaryHelper!$A$2:$A$5000,$I248,SummaryHelper!$B$2:$B$5000,$J248,SummaryHelper!$C$2:$C$5000,$K248)/SUMIFS(SummaryHelper!$G$2:$G$5000,SummaryHelper!$A$2:$A$5000,$I248,SummaryHelper!$B$2:$B$5000,$J248,SummaryHelper!$C$2:$C$5000,$K248),""))</f>
        <v/>
      </c>
      <c r="M248" s="9" t="str">
        <f>IF($J248="","",SUMIFS(SummaryHelper!$E$2:$E$5000,SummaryHelper!$A$2:$A$5000,$I248,SummaryHelper!$B$2:$B$5000,$J248,SummaryHelper!$C$2:$C$5000,$K248))</f>
        <v/>
      </c>
      <c r="N248" s="9" t="str">
        <f>IF($J248="","",SUMIFS(SummaryHelper!$F$2:$F$5000,SummaryHelper!$A$2:$A$5000,$I248,SummaryHelper!$B$2:$B$5000,$J248,SummaryHelper!$C$2:$C$5000,$K248))</f>
        <v/>
      </c>
      <c r="O248" s="9" t="str">
        <f>IF($J248="","",SUMIFS(SummaryHelper!$G$2:$G$5000,SummaryHelper!$A$2:$A$5000,$I248,SummaryHelper!$B$2:$B$5000,$J248,SummaryHelper!$C$2:$C$5000,$K248))</f>
        <v/>
      </c>
      <c r="Q248" s="9" t="str">
        <f t="shared" si="30"/>
        <v/>
      </c>
      <c r="R248" s="9" t="str">
        <f t="shared" si="31"/>
        <v/>
      </c>
      <c r="W248" s="9" t="str">
        <f>IF($U248="","",IFERROR(SUMIFS(SummaryHelper!$H$2:$H$5000,SummaryHelper!$A$2:$A$5000,$T248,SummaryHelper!$B$2:$B$5000,$U248,SummaryHelper!$C$2:$C$5000,$V248)/SUMIFS(SummaryHelper!$G$2:$G$5000,SummaryHelper!$A$2:$A$5000,$T248,SummaryHelper!$B$2:$B$5000,$U248,SummaryHelper!$C$2:$C$5000,$V248),""))</f>
        <v/>
      </c>
      <c r="X248" s="9" t="str">
        <f>IF($U248="","",SUMIFS(SummaryHelper!$E$2:$E$5000,SummaryHelper!$A$2:$A$5000,$T248,SummaryHelper!$B$2:$B$5000,$U248,SummaryHelper!$C$2:$C$5000,$V248))</f>
        <v/>
      </c>
      <c r="Y248" s="9" t="str">
        <f>IF($U248="","",SUMIFS(SummaryHelper!$F$2:$F$5000,SummaryHelper!$A$2:$A$5000,$T248,SummaryHelper!$B$2:$B$5000,$U248,SummaryHelper!$C$2:$C$5000,$V248))</f>
        <v/>
      </c>
      <c r="Z248" s="9" t="s">
        <v>489</v>
      </c>
      <c r="AB248" s="9" t="str">
        <f t="shared" si="32"/>
        <v/>
      </c>
      <c r="AC248" s="9" t="str">
        <f t="shared" si="33"/>
        <v/>
      </c>
      <c r="AH248" t="str">
        <f>IF($AF248="","",IFERROR(SUMIFS(SummaryHelper!$H$2:$H$5000,SummaryHelper!$A$2:$A$5000,$AE248,SummaryHelper!$B$2:$B$5000,$AF248,SummaryHelper!$C$2:$C$5000,$AG248)/SUMIFS(SummaryHelper!$G$2:$G$5000,SummaryHelper!$A$2:$A$5000,$AE248,SummaryHelper!$B$2:$B$5000,$AF248,SummaryHelper!$C$2:$C$5000,$AG248),""))</f>
        <v/>
      </c>
      <c r="AI248" t="str">
        <f>IF($AF248="","",SUMIFS(SummaryHelper!$E$2:$E$5000,SummaryHelper!$A$2:$A$5000,$AE248,SummaryHelper!$B$2:$B$5000,$AF248,SummaryHelper!$C$2:$C$5000,$AG248))</f>
        <v/>
      </c>
      <c r="AJ248" t="str">
        <f>IF($AF248="","",SUMIFS(SummaryHelper!$F$2:$F$5000,SummaryHelper!$A$2:$A$5000,$AE248,SummaryHelper!$B$2:$B$5000,$AF248,SummaryHelper!$C$2:$C$5000,$AG248))</f>
        <v/>
      </c>
      <c r="AK248" t="str">
        <f>IF($AF248="","",SUMIFS(SummaryHelper!$G$2:$G$5000,SummaryHelper!$A$2:$A$5000,$AE248,SummaryHelper!$B$2:$B$5000,$AF248,SummaryHelper!$C$2:$C$5000,$AG248))</f>
        <v/>
      </c>
      <c r="AM248" t="str">
        <f t="shared" si="34"/>
        <v/>
      </c>
      <c r="AN248" t="str">
        <f t="shared" si="35"/>
        <v/>
      </c>
    </row>
    <row r="249" spans="1:40" x14ac:dyDescent="0.25">
      <c r="A249" s="12"/>
      <c r="C249" s="9"/>
      <c r="D249" s="9"/>
      <c r="E249" s="9"/>
      <c r="F249" s="9"/>
      <c r="G249" s="9"/>
      <c r="L249" s="9" t="str">
        <f>IF($J249="","",IFERROR(SUMIFS(SummaryHelper!$H$2:$H$5000,SummaryHelper!$A$2:$A$5000,$I249,SummaryHelper!$B$2:$B$5000,$J249,SummaryHelper!$C$2:$C$5000,$K249)/SUMIFS(SummaryHelper!$G$2:$G$5000,SummaryHelper!$A$2:$A$5000,$I249,SummaryHelper!$B$2:$B$5000,$J249,SummaryHelper!$C$2:$C$5000,$K249),""))</f>
        <v/>
      </c>
      <c r="M249" s="9" t="str">
        <f>IF($J249="","",SUMIFS(SummaryHelper!$E$2:$E$5000,SummaryHelper!$A$2:$A$5000,$I249,SummaryHelper!$B$2:$B$5000,$J249,SummaryHelper!$C$2:$C$5000,$K249))</f>
        <v/>
      </c>
      <c r="N249" s="9" t="str">
        <f>IF($J249="","",SUMIFS(SummaryHelper!$F$2:$F$5000,SummaryHelper!$A$2:$A$5000,$I249,SummaryHelper!$B$2:$B$5000,$J249,SummaryHelper!$C$2:$C$5000,$K249))</f>
        <v/>
      </c>
      <c r="O249" s="9" t="str">
        <f>IF($J249="","",SUMIFS(SummaryHelper!$G$2:$G$5000,SummaryHelper!$A$2:$A$5000,$I249,SummaryHelper!$B$2:$B$5000,$J249,SummaryHelper!$C$2:$C$5000,$K249))</f>
        <v/>
      </c>
      <c r="Q249" s="9" t="str">
        <f t="shared" si="30"/>
        <v/>
      </c>
      <c r="R249" s="9" t="str">
        <f t="shared" si="31"/>
        <v/>
      </c>
      <c r="W249" s="9" t="str">
        <f>IF($U249="","",IFERROR(SUMIFS(SummaryHelper!$H$2:$H$5000,SummaryHelper!$A$2:$A$5000,$T249,SummaryHelper!$B$2:$B$5000,$U249,SummaryHelper!$C$2:$C$5000,$V249)/SUMIFS(SummaryHelper!$G$2:$G$5000,SummaryHelper!$A$2:$A$5000,$T249,SummaryHelper!$B$2:$B$5000,$U249,SummaryHelper!$C$2:$C$5000,$V249),""))</f>
        <v/>
      </c>
      <c r="X249" s="9" t="str">
        <f>IF($U249="","",SUMIFS(SummaryHelper!$E$2:$E$5000,SummaryHelper!$A$2:$A$5000,$T249,SummaryHelper!$B$2:$B$5000,$U249,SummaryHelper!$C$2:$C$5000,$V249))</f>
        <v/>
      </c>
      <c r="Y249" s="9" t="str">
        <f>IF($U249="","",SUMIFS(SummaryHelper!$F$2:$F$5000,SummaryHelper!$A$2:$A$5000,$T249,SummaryHelper!$B$2:$B$5000,$U249,SummaryHelper!$C$2:$C$5000,$V249))</f>
        <v/>
      </c>
      <c r="Z249" s="9" t="s">
        <v>489</v>
      </c>
      <c r="AB249" s="9" t="str">
        <f t="shared" si="32"/>
        <v/>
      </c>
      <c r="AC249" s="9" t="str">
        <f t="shared" si="33"/>
        <v/>
      </c>
      <c r="AH249" t="str">
        <f>IF($AF249="","",IFERROR(SUMIFS(SummaryHelper!$H$2:$H$5000,SummaryHelper!$A$2:$A$5000,$AE249,SummaryHelper!$B$2:$B$5000,$AF249,SummaryHelper!$C$2:$C$5000,$AG249)/SUMIFS(SummaryHelper!$G$2:$G$5000,SummaryHelper!$A$2:$A$5000,$AE249,SummaryHelper!$B$2:$B$5000,$AF249,SummaryHelper!$C$2:$C$5000,$AG249),""))</f>
        <v/>
      </c>
      <c r="AI249" t="str">
        <f>IF($AF249="","",SUMIFS(SummaryHelper!$E$2:$E$5000,SummaryHelper!$A$2:$A$5000,$AE249,SummaryHelper!$B$2:$B$5000,$AF249,SummaryHelper!$C$2:$C$5000,$AG249))</f>
        <v/>
      </c>
      <c r="AJ249" t="str">
        <f>IF($AF249="","",SUMIFS(SummaryHelper!$F$2:$F$5000,SummaryHelper!$A$2:$A$5000,$AE249,SummaryHelper!$B$2:$B$5000,$AF249,SummaryHelper!$C$2:$C$5000,$AG249))</f>
        <v/>
      </c>
      <c r="AK249" t="str">
        <f>IF($AF249="","",SUMIFS(SummaryHelper!$G$2:$G$5000,SummaryHelper!$A$2:$A$5000,$AE249,SummaryHelper!$B$2:$B$5000,$AF249,SummaryHelper!$C$2:$C$5000,$AG249))</f>
        <v/>
      </c>
      <c r="AM249" t="str">
        <f t="shared" si="34"/>
        <v/>
      </c>
      <c r="AN249" t="str">
        <f t="shared" si="35"/>
        <v/>
      </c>
    </row>
    <row r="250" spans="1:40" x14ac:dyDescent="0.25">
      <c r="A250" s="12"/>
      <c r="C250" s="9"/>
      <c r="D250" s="9"/>
      <c r="E250" s="9"/>
      <c r="F250" s="9"/>
      <c r="G250" s="9"/>
      <c r="L250" s="9" t="str">
        <f>IF($J250="","",IFERROR(SUMIFS(SummaryHelper!$H$2:$H$5000,SummaryHelper!$A$2:$A$5000,$I250,SummaryHelper!$B$2:$B$5000,$J250,SummaryHelper!$C$2:$C$5000,$K250)/SUMIFS(SummaryHelper!$G$2:$G$5000,SummaryHelper!$A$2:$A$5000,$I250,SummaryHelper!$B$2:$B$5000,$J250,SummaryHelper!$C$2:$C$5000,$K250),""))</f>
        <v/>
      </c>
      <c r="M250" s="9" t="str">
        <f>IF($J250="","",SUMIFS(SummaryHelper!$E$2:$E$5000,SummaryHelper!$A$2:$A$5000,$I250,SummaryHelper!$B$2:$B$5000,$J250,SummaryHelper!$C$2:$C$5000,$K250))</f>
        <v/>
      </c>
      <c r="N250" s="9" t="str">
        <f>IF($J250="","",SUMIFS(SummaryHelper!$F$2:$F$5000,SummaryHelper!$A$2:$A$5000,$I250,SummaryHelper!$B$2:$B$5000,$J250,SummaryHelper!$C$2:$C$5000,$K250))</f>
        <v/>
      </c>
      <c r="O250" s="9" t="str">
        <f>IF($J250="","",SUMIFS(SummaryHelper!$G$2:$G$5000,SummaryHelper!$A$2:$A$5000,$I250,SummaryHelper!$B$2:$B$5000,$J250,SummaryHelper!$C$2:$C$5000,$K250))</f>
        <v/>
      </c>
      <c r="Q250" s="9" t="str">
        <f t="shared" si="30"/>
        <v/>
      </c>
      <c r="R250" s="9" t="str">
        <f t="shared" si="31"/>
        <v/>
      </c>
      <c r="W250" s="9" t="str">
        <f>IF($U250="","",IFERROR(SUMIFS(SummaryHelper!$H$2:$H$5000,SummaryHelper!$A$2:$A$5000,$T250,SummaryHelper!$B$2:$B$5000,$U250,SummaryHelper!$C$2:$C$5000,$V250)/SUMIFS(SummaryHelper!$G$2:$G$5000,SummaryHelper!$A$2:$A$5000,$T250,SummaryHelper!$B$2:$B$5000,$U250,SummaryHelper!$C$2:$C$5000,$V250),""))</f>
        <v/>
      </c>
      <c r="X250" s="9" t="str">
        <f>IF($U250="","",SUMIFS(SummaryHelper!$E$2:$E$5000,SummaryHelper!$A$2:$A$5000,$T250,SummaryHelper!$B$2:$B$5000,$U250,SummaryHelper!$C$2:$C$5000,$V250))</f>
        <v/>
      </c>
      <c r="Y250" s="9" t="str">
        <f>IF($U250="","",SUMIFS(SummaryHelper!$F$2:$F$5000,SummaryHelper!$A$2:$A$5000,$T250,SummaryHelper!$B$2:$B$5000,$U250,SummaryHelper!$C$2:$C$5000,$V250))</f>
        <v/>
      </c>
      <c r="Z250" s="9" t="s">
        <v>489</v>
      </c>
      <c r="AB250" s="9" t="str">
        <f t="shared" si="32"/>
        <v/>
      </c>
      <c r="AC250" s="9" t="str">
        <f t="shared" si="33"/>
        <v/>
      </c>
      <c r="AH250" t="str">
        <f>IF($AF250="","",IFERROR(SUMIFS(SummaryHelper!$H$2:$H$5000,SummaryHelper!$A$2:$A$5000,$AE250,SummaryHelper!$B$2:$B$5000,$AF250,SummaryHelper!$C$2:$C$5000,$AG250)/SUMIFS(SummaryHelper!$G$2:$G$5000,SummaryHelper!$A$2:$A$5000,$AE250,SummaryHelper!$B$2:$B$5000,$AF250,SummaryHelper!$C$2:$C$5000,$AG250),""))</f>
        <v/>
      </c>
      <c r="AI250" t="str">
        <f>IF($AF250="","",SUMIFS(SummaryHelper!$E$2:$E$5000,SummaryHelper!$A$2:$A$5000,$AE250,SummaryHelper!$B$2:$B$5000,$AF250,SummaryHelper!$C$2:$C$5000,$AG250))</f>
        <v/>
      </c>
      <c r="AJ250" t="str">
        <f>IF($AF250="","",SUMIFS(SummaryHelper!$F$2:$F$5000,SummaryHelper!$A$2:$A$5000,$AE250,SummaryHelper!$B$2:$B$5000,$AF250,SummaryHelper!$C$2:$C$5000,$AG250))</f>
        <v/>
      </c>
      <c r="AK250" t="str">
        <f>IF($AF250="","",SUMIFS(SummaryHelper!$G$2:$G$5000,SummaryHelper!$A$2:$A$5000,$AE250,SummaryHelper!$B$2:$B$5000,$AF250,SummaryHelper!$C$2:$C$5000,$AG250))</f>
        <v/>
      </c>
      <c r="AM250" t="str">
        <f t="shared" si="34"/>
        <v/>
      </c>
      <c r="AN250" t="str">
        <f t="shared" si="35"/>
        <v/>
      </c>
    </row>
    <row r="251" spans="1:40" x14ac:dyDescent="0.25">
      <c r="A251" s="12"/>
      <c r="C251" s="9"/>
      <c r="D251" s="9"/>
      <c r="E251" s="9"/>
      <c r="F251" s="9"/>
      <c r="G251" s="9"/>
      <c r="L251" s="9" t="str">
        <f>IF($J251="","",IFERROR(SUMIFS(SummaryHelper!$H$2:$H$5000,SummaryHelper!$A$2:$A$5000,$I251,SummaryHelper!$B$2:$B$5000,$J251,SummaryHelper!$C$2:$C$5000,$K251)/SUMIFS(SummaryHelper!$G$2:$G$5000,SummaryHelper!$A$2:$A$5000,$I251,SummaryHelper!$B$2:$B$5000,$J251,SummaryHelper!$C$2:$C$5000,$K251),""))</f>
        <v/>
      </c>
      <c r="M251" s="9" t="str">
        <f>IF($J251="","",SUMIFS(SummaryHelper!$E$2:$E$5000,SummaryHelper!$A$2:$A$5000,$I251,SummaryHelper!$B$2:$B$5000,$J251,SummaryHelper!$C$2:$C$5000,$K251))</f>
        <v/>
      </c>
      <c r="N251" s="9" t="str">
        <f>IF($J251="","",SUMIFS(SummaryHelper!$F$2:$F$5000,SummaryHelper!$A$2:$A$5000,$I251,SummaryHelper!$B$2:$B$5000,$J251,SummaryHelper!$C$2:$C$5000,$K251))</f>
        <v/>
      </c>
      <c r="O251" s="9" t="str">
        <f>IF($J251="","",SUMIFS(SummaryHelper!$G$2:$G$5000,SummaryHelper!$A$2:$A$5000,$I251,SummaryHelper!$B$2:$B$5000,$J251,SummaryHelper!$C$2:$C$5000,$K251))</f>
        <v/>
      </c>
      <c r="Q251" s="9" t="str">
        <f t="shared" si="30"/>
        <v/>
      </c>
      <c r="R251" s="9" t="str">
        <f t="shared" si="31"/>
        <v/>
      </c>
      <c r="W251" s="9" t="str">
        <f>IF($U251="","",IFERROR(SUMIFS(SummaryHelper!$H$2:$H$5000,SummaryHelper!$A$2:$A$5000,$T251,SummaryHelper!$B$2:$B$5000,$U251,SummaryHelper!$C$2:$C$5000,$V251)/SUMIFS(SummaryHelper!$G$2:$G$5000,SummaryHelper!$A$2:$A$5000,$T251,SummaryHelper!$B$2:$B$5000,$U251,SummaryHelper!$C$2:$C$5000,$V251),""))</f>
        <v/>
      </c>
      <c r="X251" s="9" t="str">
        <f>IF($U251="","",SUMIFS(SummaryHelper!$E$2:$E$5000,SummaryHelper!$A$2:$A$5000,$T251,SummaryHelper!$B$2:$B$5000,$U251,SummaryHelper!$C$2:$C$5000,$V251))</f>
        <v/>
      </c>
      <c r="Y251" s="9" t="str">
        <f>IF($U251="","",SUMIFS(SummaryHelper!$F$2:$F$5000,SummaryHelper!$A$2:$A$5000,$T251,SummaryHelper!$B$2:$B$5000,$U251,SummaryHelper!$C$2:$C$5000,$V251))</f>
        <v/>
      </c>
      <c r="Z251" s="9" t="s">
        <v>489</v>
      </c>
      <c r="AB251" s="9" t="str">
        <f t="shared" si="32"/>
        <v/>
      </c>
      <c r="AC251" s="9" t="str">
        <f t="shared" si="33"/>
        <v/>
      </c>
      <c r="AH251" t="str">
        <f>IF($AF251="","",IFERROR(SUMIFS(SummaryHelper!$H$2:$H$5000,SummaryHelper!$A$2:$A$5000,$AE251,SummaryHelper!$B$2:$B$5000,$AF251,SummaryHelper!$C$2:$C$5000,$AG251)/SUMIFS(SummaryHelper!$G$2:$G$5000,SummaryHelper!$A$2:$A$5000,$AE251,SummaryHelper!$B$2:$B$5000,$AF251,SummaryHelper!$C$2:$C$5000,$AG251),""))</f>
        <v/>
      </c>
      <c r="AI251" t="str">
        <f>IF($AF251="","",SUMIFS(SummaryHelper!$E$2:$E$5000,SummaryHelper!$A$2:$A$5000,$AE251,SummaryHelper!$B$2:$B$5000,$AF251,SummaryHelper!$C$2:$C$5000,$AG251))</f>
        <v/>
      </c>
      <c r="AJ251" t="str">
        <f>IF($AF251="","",SUMIFS(SummaryHelper!$F$2:$F$5000,SummaryHelper!$A$2:$A$5000,$AE251,SummaryHelper!$B$2:$B$5000,$AF251,SummaryHelper!$C$2:$C$5000,$AG251))</f>
        <v/>
      </c>
      <c r="AK251" t="str">
        <f>IF($AF251="","",SUMIFS(SummaryHelper!$G$2:$G$5000,SummaryHelper!$A$2:$A$5000,$AE251,SummaryHelper!$B$2:$B$5000,$AF251,SummaryHelper!$C$2:$C$5000,$AG251))</f>
        <v/>
      </c>
      <c r="AM251" t="str">
        <f t="shared" si="34"/>
        <v/>
      </c>
      <c r="AN251" t="str">
        <f t="shared" si="35"/>
        <v/>
      </c>
    </row>
    <row r="252" spans="1:40" x14ac:dyDescent="0.25">
      <c r="A252" s="12"/>
      <c r="C252" s="9"/>
      <c r="D252" s="9"/>
      <c r="E252" s="9"/>
      <c r="F252" s="9"/>
      <c r="G252" s="9"/>
      <c r="L252" s="9" t="str">
        <f>IF($J252="","",IFERROR(SUMIFS(SummaryHelper!$H$2:$H$5000,SummaryHelper!$A$2:$A$5000,$I252,SummaryHelper!$B$2:$B$5000,$J252,SummaryHelper!$C$2:$C$5000,$K252)/SUMIFS(SummaryHelper!$G$2:$G$5000,SummaryHelper!$A$2:$A$5000,$I252,SummaryHelper!$B$2:$B$5000,$J252,SummaryHelper!$C$2:$C$5000,$K252),""))</f>
        <v/>
      </c>
      <c r="M252" s="9" t="str">
        <f>IF($J252="","",SUMIFS(SummaryHelper!$E$2:$E$5000,SummaryHelper!$A$2:$A$5000,$I252,SummaryHelper!$B$2:$B$5000,$J252,SummaryHelper!$C$2:$C$5000,$K252))</f>
        <v/>
      </c>
      <c r="N252" s="9" t="str">
        <f>IF($J252="","",SUMIFS(SummaryHelper!$F$2:$F$5000,SummaryHelper!$A$2:$A$5000,$I252,SummaryHelper!$B$2:$B$5000,$J252,SummaryHelper!$C$2:$C$5000,$K252))</f>
        <v/>
      </c>
      <c r="O252" s="9" t="str">
        <f>IF($J252="","",SUMIFS(SummaryHelper!$G$2:$G$5000,SummaryHelper!$A$2:$A$5000,$I252,SummaryHelper!$B$2:$B$5000,$J252,SummaryHelper!$C$2:$C$5000,$K252))</f>
        <v/>
      </c>
      <c r="Q252" s="9" t="str">
        <f t="shared" si="30"/>
        <v/>
      </c>
      <c r="R252" s="9" t="str">
        <f t="shared" si="31"/>
        <v/>
      </c>
      <c r="W252" s="9" t="str">
        <f>IF($U252="","",IFERROR(SUMIFS(SummaryHelper!$H$2:$H$5000,SummaryHelper!$A$2:$A$5000,$T252,SummaryHelper!$B$2:$B$5000,$U252,SummaryHelper!$C$2:$C$5000,$V252)/SUMIFS(SummaryHelper!$G$2:$G$5000,SummaryHelper!$A$2:$A$5000,$T252,SummaryHelper!$B$2:$B$5000,$U252,SummaryHelper!$C$2:$C$5000,$V252),""))</f>
        <v/>
      </c>
      <c r="X252" s="9" t="str">
        <f>IF($U252="","",SUMIFS(SummaryHelper!$E$2:$E$5000,SummaryHelper!$A$2:$A$5000,$T252,SummaryHelper!$B$2:$B$5000,$U252,SummaryHelper!$C$2:$C$5000,$V252))</f>
        <v/>
      </c>
      <c r="Y252" s="9" t="str">
        <f>IF($U252="","",SUMIFS(SummaryHelper!$F$2:$F$5000,SummaryHelper!$A$2:$A$5000,$T252,SummaryHelper!$B$2:$B$5000,$U252,SummaryHelper!$C$2:$C$5000,$V252))</f>
        <v/>
      </c>
      <c r="Z252" s="9" t="s">
        <v>489</v>
      </c>
      <c r="AB252" s="9" t="str">
        <f t="shared" si="32"/>
        <v/>
      </c>
      <c r="AC252" s="9" t="str">
        <f t="shared" si="33"/>
        <v/>
      </c>
      <c r="AH252" t="str">
        <f>IF($AF252="","",IFERROR(SUMIFS(SummaryHelper!$H$2:$H$5000,SummaryHelper!$A$2:$A$5000,$AE252,SummaryHelper!$B$2:$B$5000,$AF252,SummaryHelper!$C$2:$C$5000,$AG252)/SUMIFS(SummaryHelper!$G$2:$G$5000,SummaryHelper!$A$2:$A$5000,$AE252,SummaryHelper!$B$2:$B$5000,$AF252,SummaryHelper!$C$2:$C$5000,$AG252),""))</f>
        <v/>
      </c>
      <c r="AI252" t="str">
        <f>IF($AF252="","",SUMIFS(SummaryHelper!$E$2:$E$5000,SummaryHelper!$A$2:$A$5000,$AE252,SummaryHelper!$B$2:$B$5000,$AF252,SummaryHelper!$C$2:$C$5000,$AG252))</f>
        <v/>
      </c>
      <c r="AJ252" t="str">
        <f>IF($AF252="","",SUMIFS(SummaryHelper!$F$2:$F$5000,SummaryHelper!$A$2:$A$5000,$AE252,SummaryHelper!$B$2:$B$5000,$AF252,SummaryHelper!$C$2:$C$5000,$AG252))</f>
        <v/>
      </c>
      <c r="AK252" t="str">
        <f>IF($AF252="","",SUMIFS(SummaryHelper!$G$2:$G$5000,SummaryHelper!$A$2:$A$5000,$AE252,SummaryHelper!$B$2:$B$5000,$AF252,SummaryHelper!$C$2:$C$5000,$AG252))</f>
        <v/>
      </c>
      <c r="AM252" t="str">
        <f t="shared" si="34"/>
        <v/>
      </c>
      <c r="AN252" t="str">
        <f t="shared" si="35"/>
        <v/>
      </c>
    </row>
    <row r="253" spans="1:40" x14ac:dyDescent="0.25">
      <c r="A253" s="12"/>
      <c r="C253" s="9"/>
      <c r="D253" s="9"/>
      <c r="E253" s="9"/>
      <c r="F253" s="9"/>
      <c r="G253" s="9"/>
      <c r="L253" s="9" t="str">
        <f>IF($J253="","",IFERROR(SUMIFS(SummaryHelper!$H$2:$H$5000,SummaryHelper!$A$2:$A$5000,$I253,SummaryHelper!$B$2:$B$5000,$J253,SummaryHelper!$C$2:$C$5000,$K253)/SUMIFS(SummaryHelper!$G$2:$G$5000,SummaryHelper!$A$2:$A$5000,$I253,SummaryHelper!$B$2:$B$5000,$J253,SummaryHelper!$C$2:$C$5000,$K253),""))</f>
        <v/>
      </c>
      <c r="M253" s="9" t="str">
        <f>IF($J253="","",SUMIFS(SummaryHelper!$E$2:$E$5000,SummaryHelper!$A$2:$A$5000,$I253,SummaryHelper!$B$2:$B$5000,$J253,SummaryHelper!$C$2:$C$5000,$K253))</f>
        <v/>
      </c>
      <c r="N253" s="9" t="str">
        <f>IF($J253="","",SUMIFS(SummaryHelper!$F$2:$F$5000,SummaryHelper!$A$2:$A$5000,$I253,SummaryHelper!$B$2:$B$5000,$J253,SummaryHelper!$C$2:$C$5000,$K253))</f>
        <v/>
      </c>
      <c r="O253" s="9" t="str">
        <f>IF($J253="","",SUMIFS(SummaryHelper!$G$2:$G$5000,SummaryHelper!$A$2:$A$5000,$I253,SummaryHelper!$B$2:$B$5000,$J253,SummaryHelper!$C$2:$C$5000,$K253))</f>
        <v/>
      </c>
      <c r="Q253" s="9" t="str">
        <f t="shared" si="30"/>
        <v/>
      </c>
      <c r="R253" s="9" t="str">
        <f t="shared" si="31"/>
        <v/>
      </c>
      <c r="W253" s="9" t="str">
        <f>IF($U253="","",IFERROR(SUMIFS(SummaryHelper!$H$2:$H$5000,SummaryHelper!$A$2:$A$5000,$T253,SummaryHelper!$B$2:$B$5000,$U253,SummaryHelper!$C$2:$C$5000,$V253)/SUMIFS(SummaryHelper!$G$2:$G$5000,SummaryHelper!$A$2:$A$5000,$T253,SummaryHelper!$B$2:$B$5000,$U253,SummaryHelper!$C$2:$C$5000,$V253),""))</f>
        <v/>
      </c>
      <c r="X253" s="9" t="str">
        <f>IF($U253="","",SUMIFS(SummaryHelper!$E$2:$E$5000,SummaryHelper!$A$2:$A$5000,$T253,SummaryHelper!$B$2:$B$5000,$U253,SummaryHelper!$C$2:$C$5000,$V253))</f>
        <v/>
      </c>
      <c r="Y253" s="9" t="str">
        <f>IF($U253="","",SUMIFS(SummaryHelper!$F$2:$F$5000,SummaryHelper!$A$2:$A$5000,$T253,SummaryHelper!$B$2:$B$5000,$U253,SummaryHelper!$C$2:$C$5000,$V253))</f>
        <v/>
      </c>
      <c r="Z253" s="9" t="s">
        <v>489</v>
      </c>
      <c r="AB253" s="9" t="str">
        <f t="shared" si="32"/>
        <v/>
      </c>
      <c r="AC253" s="9" t="str">
        <f t="shared" si="33"/>
        <v/>
      </c>
      <c r="AH253" t="str">
        <f>IF($AF253="","",IFERROR(SUMIFS(SummaryHelper!$H$2:$H$5000,SummaryHelper!$A$2:$A$5000,$AE253,SummaryHelper!$B$2:$B$5000,$AF253,SummaryHelper!$C$2:$C$5000,$AG253)/SUMIFS(SummaryHelper!$G$2:$G$5000,SummaryHelper!$A$2:$A$5000,$AE253,SummaryHelper!$B$2:$B$5000,$AF253,SummaryHelper!$C$2:$C$5000,$AG253),""))</f>
        <v/>
      </c>
      <c r="AI253" t="str">
        <f>IF($AF253="","",SUMIFS(SummaryHelper!$E$2:$E$5000,SummaryHelper!$A$2:$A$5000,$AE253,SummaryHelper!$B$2:$B$5000,$AF253,SummaryHelper!$C$2:$C$5000,$AG253))</f>
        <v/>
      </c>
      <c r="AJ253" t="str">
        <f>IF($AF253="","",SUMIFS(SummaryHelper!$F$2:$F$5000,SummaryHelper!$A$2:$A$5000,$AE253,SummaryHelper!$B$2:$B$5000,$AF253,SummaryHelper!$C$2:$C$5000,$AG253))</f>
        <v/>
      </c>
      <c r="AK253" t="str">
        <f>IF($AF253="","",SUMIFS(SummaryHelper!$G$2:$G$5000,SummaryHelper!$A$2:$A$5000,$AE253,SummaryHelper!$B$2:$B$5000,$AF253,SummaryHelper!$C$2:$C$5000,$AG253))</f>
        <v/>
      </c>
      <c r="AM253" t="str">
        <f t="shared" si="34"/>
        <v/>
      </c>
      <c r="AN253" t="str">
        <f t="shared" si="35"/>
        <v/>
      </c>
    </row>
    <row r="254" spans="1:40" x14ac:dyDescent="0.25">
      <c r="A254" s="12"/>
      <c r="C254" s="9"/>
      <c r="D254" s="9"/>
      <c r="E254" s="9"/>
      <c r="F254" s="9"/>
      <c r="G254" s="9"/>
      <c r="L254" s="9" t="str">
        <f>IF($J254="","",IFERROR(SUMIFS(SummaryHelper!$H$2:$H$5000,SummaryHelper!$A$2:$A$5000,$I254,SummaryHelper!$B$2:$B$5000,$J254,SummaryHelper!$C$2:$C$5000,$K254)/SUMIFS(SummaryHelper!$G$2:$G$5000,SummaryHelper!$A$2:$A$5000,$I254,SummaryHelper!$B$2:$B$5000,$J254,SummaryHelper!$C$2:$C$5000,$K254),""))</f>
        <v/>
      </c>
      <c r="M254" s="9" t="str">
        <f>IF($J254="","",SUMIFS(SummaryHelper!$E$2:$E$5000,SummaryHelper!$A$2:$A$5000,$I254,SummaryHelper!$B$2:$B$5000,$J254,SummaryHelper!$C$2:$C$5000,$K254))</f>
        <v/>
      </c>
      <c r="N254" s="9" t="str">
        <f>IF($J254="","",SUMIFS(SummaryHelper!$F$2:$F$5000,SummaryHelper!$A$2:$A$5000,$I254,SummaryHelper!$B$2:$B$5000,$J254,SummaryHelper!$C$2:$C$5000,$K254))</f>
        <v/>
      </c>
      <c r="O254" s="9" t="str">
        <f>IF($J254="","",SUMIFS(SummaryHelper!$G$2:$G$5000,SummaryHelper!$A$2:$A$5000,$I254,SummaryHelper!$B$2:$B$5000,$J254,SummaryHelper!$C$2:$C$5000,$K254))</f>
        <v/>
      </c>
      <c r="Q254" s="9" t="str">
        <f t="shared" si="30"/>
        <v/>
      </c>
      <c r="R254" s="9" t="str">
        <f t="shared" si="31"/>
        <v/>
      </c>
      <c r="W254" s="9" t="str">
        <f>IF($U254="","",IFERROR(SUMIFS(SummaryHelper!$H$2:$H$5000,SummaryHelper!$A$2:$A$5000,$T254,SummaryHelper!$B$2:$B$5000,$U254,SummaryHelper!$C$2:$C$5000,$V254)/SUMIFS(SummaryHelper!$G$2:$G$5000,SummaryHelper!$A$2:$A$5000,$T254,SummaryHelper!$B$2:$B$5000,$U254,SummaryHelper!$C$2:$C$5000,$V254),""))</f>
        <v/>
      </c>
      <c r="X254" s="9" t="str">
        <f>IF($U254="","",SUMIFS(SummaryHelper!$E$2:$E$5000,SummaryHelper!$A$2:$A$5000,$T254,SummaryHelper!$B$2:$B$5000,$U254,SummaryHelper!$C$2:$C$5000,$V254))</f>
        <v/>
      </c>
      <c r="Y254" s="9" t="str">
        <f>IF($U254="","",SUMIFS(SummaryHelper!$F$2:$F$5000,SummaryHelper!$A$2:$A$5000,$T254,SummaryHelper!$B$2:$B$5000,$U254,SummaryHelper!$C$2:$C$5000,$V254))</f>
        <v/>
      </c>
      <c r="Z254" s="9" t="s">
        <v>489</v>
      </c>
      <c r="AB254" s="9" t="str">
        <f t="shared" si="32"/>
        <v/>
      </c>
      <c r="AC254" s="9" t="str">
        <f t="shared" si="33"/>
        <v/>
      </c>
      <c r="AH254" t="str">
        <f>IF($AF254="","",IFERROR(SUMIFS(SummaryHelper!$H$2:$H$5000,SummaryHelper!$A$2:$A$5000,$AE254,SummaryHelper!$B$2:$B$5000,$AF254,SummaryHelper!$C$2:$C$5000,$AG254)/SUMIFS(SummaryHelper!$G$2:$G$5000,SummaryHelper!$A$2:$A$5000,$AE254,SummaryHelper!$B$2:$B$5000,$AF254,SummaryHelper!$C$2:$C$5000,$AG254),""))</f>
        <v/>
      </c>
      <c r="AI254" t="str">
        <f>IF($AF254="","",SUMIFS(SummaryHelper!$E$2:$E$5000,SummaryHelper!$A$2:$A$5000,$AE254,SummaryHelper!$B$2:$B$5000,$AF254,SummaryHelper!$C$2:$C$5000,$AG254))</f>
        <v/>
      </c>
      <c r="AJ254" t="str">
        <f>IF($AF254="","",SUMIFS(SummaryHelper!$F$2:$F$5000,SummaryHelper!$A$2:$A$5000,$AE254,SummaryHelper!$B$2:$B$5000,$AF254,SummaryHelper!$C$2:$C$5000,$AG254))</f>
        <v/>
      </c>
      <c r="AK254" t="str">
        <f>IF($AF254="","",SUMIFS(SummaryHelper!$G$2:$G$5000,SummaryHelper!$A$2:$A$5000,$AE254,SummaryHelper!$B$2:$B$5000,$AF254,SummaryHelper!$C$2:$C$5000,$AG254))</f>
        <v/>
      </c>
      <c r="AM254" t="str">
        <f t="shared" si="34"/>
        <v/>
      </c>
      <c r="AN254" t="str">
        <f t="shared" si="35"/>
        <v/>
      </c>
    </row>
    <row r="255" spans="1:40" x14ac:dyDescent="0.25">
      <c r="A255" s="12"/>
      <c r="C255" s="9"/>
      <c r="D255" s="9"/>
      <c r="E255" s="9"/>
      <c r="F255" s="9"/>
      <c r="G255" s="9"/>
      <c r="L255" s="9" t="str">
        <f>IF($J255="","",IFERROR(SUMIFS(SummaryHelper!$H$2:$H$5000,SummaryHelper!$A$2:$A$5000,$I255,SummaryHelper!$B$2:$B$5000,$J255,SummaryHelper!$C$2:$C$5000,$K255)/SUMIFS(SummaryHelper!$G$2:$G$5000,SummaryHelper!$A$2:$A$5000,$I255,SummaryHelper!$B$2:$B$5000,$J255,SummaryHelper!$C$2:$C$5000,$K255),""))</f>
        <v/>
      </c>
      <c r="M255" s="9" t="str">
        <f>IF($J255="","",SUMIFS(SummaryHelper!$E$2:$E$5000,SummaryHelper!$A$2:$A$5000,$I255,SummaryHelper!$B$2:$B$5000,$J255,SummaryHelper!$C$2:$C$5000,$K255))</f>
        <v/>
      </c>
      <c r="N255" s="9" t="str">
        <f>IF($J255="","",SUMIFS(SummaryHelper!$F$2:$F$5000,SummaryHelper!$A$2:$A$5000,$I255,SummaryHelper!$B$2:$B$5000,$J255,SummaryHelper!$C$2:$C$5000,$K255))</f>
        <v/>
      </c>
      <c r="O255" s="9" t="str">
        <f>IF($J255="","",SUMIFS(SummaryHelper!$G$2:$G$5000,SummaryHelper!$A$2:$A$5000,$I255,SummaryHelper!$B$2:$B$5000,$J255,SummaryHelper!$C$2:$C$5000,$K255))</f>
        <v/>
      </c>
      <c r="Q255" s="9" t="str">
        <f t="shared" si="30"/>
        <v/>
      </c>
      <c r="R255" s="9" t="str">
        <f t="shared" si="31"/>
        <v/>
      </c>
      <c r="W255" s="9" t="str">
        <f>IF($U255="","",IFERROR(SUMIFS(SummaryHelper!$H$2:$H$5000,SummaryHelper!$A$2:$A$5000,$T255,SummaryHelper!$B$2:$B$5000,$U255,SummaryHelper!$C$2:$C$5000,$V255)/SUMIFS(SummaryHelper!$G$2:$G$5000,SummaryHelper!$A$2:$A$5000,$T255,SummaryHelper!$B$2:$B$5000,$U255,SummaryHelper!$C$2:$C$5000,$V255),""))</f>
        <v/>
      </c>
      <c r="X255" s="9" t="str">
        <f>IF($U255="","",SUMIFS(SummaryHelper!$E$2:$E$5000,SummaryHelper!$A$2:$A$5000,$T255,SummaryHelper!$B$2:$B$5000,$U255,SummaryHelper!$C$2:$C$5000,$V255))</f>
        <v/>
      </c>
      <c r="Y255" s="9" t="str">
        <f>IF($U255="","",SUMIFS(SummaryHelper!$F$2:$F$5000,SummaryHelper!$A$2:$A$5000,$T255,SummaryHelper!$B$2:$B$5000,$U255,SummaryHelper!$C$2:$C$5000,$V255))</f>
        <v/>
      </c>
      <c r="Z255" s="9" t="s">
        <v>489</v>
      </c>
      <c r="AB255" s="9" t="str">
        <f t="shared" si="32"/>
        <v/>
      </c>
      <c r="AC255" s="9" t="str">
        <f t="shared" si="33"/>
        <v/>
      </c>
      <c r="AH255" t="str">
        <f>IF($AF255="","",IFERROR(SUMIFS(SummaryHelper!$H$2:$H$5000,SummaryHelper!$A$2:$A$5000,$AE255,SummaryHelper!$B$2:$B$5000,$AF255,SummaryHelper!$C$2:$C$5000,$AG255)/SUMIFS(SummaryHelper!$G$2:$G$5000,SummaryHelper!$A$2:$A$5000,$AE255,SummaryHelper!$B$2:$B$5000,$AF255,SummaryHelper!$C$2:$C$5000,$AG255),""))</f>
        <v/>
      </c>
      <c r="AI255" t="str">
        <f>IF($AF255="","",SUMIFS(SummaryHelper!$E$2:$E$5000,SummaryHelper!$A$2:$A$5000,$AE255,SummaryHelper!$B$2:$B$5000,$AF255,SummaryHelper!$C$2:$C$5000,$AG255))</f>
        <v/>
      </c>
      <c r="AJ255" t="str">
        <f>IF($AF255="","",SUMIFS(SummaryHelper!$F$2:$F$5000,SummaryHelper!$A$2:$A$5000,$AE255,SummaryHelper!$B$2:$B$5000,$AF255,SummaryHelper!$C$2:$C$5000,$AG255))</f>
        <v/>
      </c>
      <c r="AK255" t="str">
        <f>IF($AF255="","",SUMIFS(SummaryHelper!$G$2:$G$5000,SummaryHelper!$A$2:$A$5000,$AE255,SummaryHelper!$B$2:$B$5000,$AF255,SummaryHelper!$C$2:$C$5000,$AG255))</f>
        <v/>
      </c>
      <c r="AM255" t="str">
        <f t="shared" si="34"/>
        <v/>
      </c>
      <c r="AN255" t="str">
        <f t="shared" si="35"/>
        <v/>
      </c>
    </row>
    <row r="256" spans="1:40" x14ac:dyDescent="0.25">
      <c r="A256" s="12"/>
      <c r="C256" s="9"/>
      <c r="D256" s="9"/>
      <c r="E256" s="9"/>
      <c r="F256" s="9"/>
      <c r="G256" s="9"/>
      <c r="L256" s="9" t="str">
        <f>IF($J256="","",IFERROR(SUMIFS(SummaryHelper!$H$2:$H$5000,SummaryHelper!$A$2:$A$5000,$I256,SummaryHelper!$B$2:$B$5000,$J256,SummaryHelper!$C$2:$C$5000,$K256)/SUMIFS(SummaryHelper!$G$2:$G$5000,SummaryHelper!$A$2:$A$5000,$I256,SummaryHelper!$B$2:$B$5000,$J256,SummaryHelper!$C$2:$C$5000,$K256),""))</f>
        <v/>
      </c>
      <c r="M256" s="9" t="str">
        <f>IF($J256="","",SUMIFS(SummaryHelper!$E$2:$E$5000,SummaryHelper!$A$2:$A$5000,$I256,SummaryHelper!$B$2:$B$5000,$J256,SummaryHelper!$C$2:$C$5000,$K256))</f>
        <v/>
      </c>
      <c r="N256" s="9" t="str">
        <f>IF($J256="","",SUMIFS(SummaryHelper!$F$2:$F$5000,SummaryHelper!$A$2:$A$5000,$I256,SummaryHelper!$B$2:$B$5000,$J256,SummaryHelper!$C$2:$C$5000,$K256))</f>
        <v/>
      </c>
      <c r="O256" s="9" t="str">
        <f>IF($J256="","",SUMIFS(SummaryHelper!$G$2:$G$5000,SummaryHelper!$A$2:$A$5000,$I256,SummaryHelper!$B$2:$B$5000,$J256,SummaryHelper!$C$2:$C$5000,$K256))</f>
        <v/>
      </c>
      <c r="Q256" s="9" t="str">
        <f t="shared" si="30"/>
        <v/>
      </c>
      <c r="R256" s="9" t="str">
        <f t="shared" si="31"/>
        <v/>
      </c>
      <c r="W256" s="9" t="str">
        <f>IF($U256="","",IFERROR(SUMIFS(SummaryHelper!$H$2:$H$5000,SummaryHelper!$A$2:$A$5000,$T256,SummaryHelper!$B$2:$B$5000,$U256,SummaryHelper!$C$2:$C$5000,$V256)/SUMIFS(SummaryHelper!$G$2:$G$5000,SummaryHelper!$A$2:$A$5000,$T256,SummaryHelper!$B$2:$B$5000,$U256,SummaryHelper!$C$2:$C$5000,$V256),""))</f>
        <v/>
      </c>
      <c r="X256" s="9" t="str">
        <f>IF($U256="","",SUMIFS(SummaryHelper!$E$2:$E$5000,SummaryHelper!$A$2:$A$5000,$T256,SummaryHelper!$B$2:$B$5000,$U256,SummaryHelper!$C$2:$C$5000,$V256))</f>
        <v/>
      </c>
      <c r="Y256" s="9" t="str">
        <f>IF($U256="","",SUMIFS(SummaryHelper!$F$2:$F$5000,SummaryHelper!$A$2:$A$5000,$T256,SummaryHelper!$B$2:$B$5000,$U256,SummaryHelper!$C$2:$C$5000,$V256))</f>
        <v/>
      </c>
      <c r="Z256" s="9" t="s">
        <v>489</v>
      </c>
      <c r="AB256" s="9" t="str">
        <f t="shared" si="32"/>
        <v/>
      </c>
      <c r="AC256" s="9" t="str">
        <f t="shared" si="33"/>
        <v/>
      </c>
      <c r="AH256" t="str">
        <f>IF($AF256="","",IFERROR(SUMIFS(SummaryHelper!$H$2:$H$5000,SummaryHelper!$A$2:$A$5000,$AE256,SummaryHelper!$B$2:$B$5000,$AF256,SummaryHelper!$C$2:$C$5000,$AG256)/SUMIFS(SummaryHelper!$G$2:$G$5000,SummaryHelper!$A$2:$A$5000,$AE256,SummaryHelper!$B$2:$B$5000,$AF256,SummaryHelper!$C$2:$C$5000,$AG256),""))</f>
        <v/>
      </c>
      <c r="AI256" t="str">
        <f>IF($AF256="","",SUMIFS(SummaryHelper!$E$2:$E$5000,SummaryHelper!$A$2:$A$5000,$AE256,SummaryHelper!$B$2:$B$5000,$AF256,SummaryHelper!$C$2:$C$5000,$AG256))</f>
        <v/>
      </c>
      <c r="AJ256" t="str">
        <f>IF($AF256="","",SUMIFS(SummaryHelper!$F$2:$F$5000,SummaryHelper!$A$2:$A$5000,$AE256,SummaryHelper!$B$2:$B$5000,$AF256,SummaryHelper!$C$2:$C$5000,$AG256))</f>
        <v/>
      </c>
      <c r="AK256" t="str">
        <f>IF($AF256="","",SUMIFS(SummaryHelper!$G$2:$G$5000,SummaryHelper!$A$2:$A$5000,$AE256,SummaryHelper!$B$2:$B$5000,$AF256,SummaryHelper!$C$2:$C$5000,$AG256))</f>
        <v/>
      </c>
      <c r="AM256" t="str">
        <f t="shared" si="34"/>
        <v/>
      </c>
      <c r="AN256" t="str">
        <f t="shared" si="35"/>
        <v/>
      </c>
    </row>
    <row r="257" spans="1:40" x14ac:dyDescent="0.25">
      <c r="A257" s="12"/>
      <c r="C257" s="9"/>
      <c r="D257" s="9"/>
      <c r="E257" s="9"/>
      <c r="F257" s="9"/>
      <c r="G257" s="9"/>
      <c r="L257" s="9" t="str">
        <f>IF($J257="","",IFERROR(SUMIFS(SummaryHelper!$H$2:$H$5000,SummaryHelper!$A$2:$A$5000,$I257,SummaryHelper!$B$2:$B$5000,$J257,SummaryHelper!$C$2:$C$5000,$K257)/SUMIFS(SummaryHelper!$G$2:$G$5000,SummaryHelper!$A$2:$A$5000,$I257,SummaryHelper!$B$2:$B$5000,$J257,SummaryHelper!$C$2:$C$5000,$K257),""))</f>
        <v/>
      </c>
      <c r="M257" s="9" t="str">
        <f>IF($J257="","",SUMIFS(SummaryHelper!$E$2:$E$5000,SummaryHelper!$A$2:$A$5000,$I257,SummaryHelper!$B$2:$B$5000,$J257,SummaryHelper!$C$2:$C$5000,$K257))</f>
        <v/>
      </c>
      <c r="N257" s="9" t="str">
        <f>IF($J257="","",SUMIFS(SummaryHelper!$F$2:$F$5000,SummaryHelper!$A$2:$A$5000,$I257,SummaryHelper!$B$2:$B$5000,$J257,SummaryHelper!$C$2:$C$5000,$K257))</f>
        <v/>
      </c>
      <c r="O257" s="9" t="str">
        <f>IF($J257="","",SUMIFS(SummaryHelper!$G$2:$G$5000,SummaryHelper!$A$2:$A$5000,$I257,SummaryHelper!$B$2:$B$5000,$J257,SummaryHelper!$C$2:$C$5000,$K257))</f>
        <v/>
      </c>
      <c r="Q257" s="9" t="str">
        <f t="shared" si="30"/>
        <v/>
      </c>
      <c r="R257" s="9" t="str">
        <f t="shared" si="31"/>
        <v/>
      </c>
      <c r="W257" s="9" t="str">
        <f>IF($U257="","",IFERROR(SUMIFS(SummaryHelper!$H$2:$H$5000,SummaryHelper!$A$2:$A$5000,$T257,SummaryHelper!$B$2:$B$5000,$U257,SummaryHelper!$C$2:$C$5000,$V257)/SUMIFS(SummaryHelper!$G$2:$G$5000,SummaryHelper!$A$2:$A$5000,$T257,SummaryHelper!$B$2:$B$5000,$U257,SummaryHelper!$C$2:$C$5000,$V257),""))</f>
        <v/>
      </c>
      <c r="X257" s="9" t="str">
        <f>IF($U257="","",SUMIFS(SummaryHelper!$E$2:$E$5000,SummaryHelper!$A$2:$A$5000,$T257,SummaryHelper!$B$2:$B$5000,$U257,SummaryHelper!$C$2:$C$5000,$V257))</f>
        <v/>
      </c>
      <c r="Y257" s="9" t="str">
        <f>IF($U257="","",SUMIFS(SummaryHelper!$F$2:$F$5000,SummaryHelper!$A$2:$A$5000,$T257,SummaryHelper!$B$2:$B$5000,$U257,SummaryHelper!$C$2:$C$5000,$V257))</f>
        <v/>
      </c>
      <c r="Z257" s="9" t="s">
        <v>489</v>
      </c>
      <c r="AB257" s="9" t="str">
        <f t="shared" si="32"/>
        <v/>
      </c>
      <c r="AC257" s="9" t="str">
        <f t="shared" si="33"/>
        <v/>
      </c>
      <c r="AH257" t="str">
        <f>IF($AF257="","",IFERROR(SUMIFS(SummaryHelper!$H$2:$H$5000,SummaryHelper!$A$2:$A$5000,$AE257,SummaryHelper!$B$2:$B$5000,$AF257,SummaryHelper!$C$2:$C$5000,$AG257)/SUMIFS(SummaryHelper!$G$2:$G$5000,SummaryHelper!$A$2:$A$5000,$AE257,SummaryHelper!$B$2:$B$5000,$AF257,SummaryHelper!$C$2:$C$5000,$AG257),""))</f>
        <v/>
      </c>
      <c r="AI257" t="str">
        <f>IF($AF257="","",SUMIFS(SummaryHelper!$E$2:$E$5000,SummaryHelper!$A$2:$A$5000,$AE257,SummaryHelper!$B$2:$B$5000,$AF257,SummaryHelper!$C$2:$C$5000,$AG257))</f>
        <v/>
      </c>
      <c r="AJ257" t="str">
        <f>IF($AF257="","",SUMIFS(SummaryHelper!$F$2:$F$5000,SummaryHelper!$A$2:$A$5000,$AE257,SummaryHelper!$B$2:$B$5000,$AF257,SummaryHelper!$C$2:$C$5000,$AG257))</f>
        <v/>
      </c>
      <c r="AK257" t="str">
        <f>IF($AF257="","",SUMIFS(SummaryHelper!$G$2:$G$5000,SummaryHelper!$A$2:$A$5000,$AE257,SummaryHelper!$B$2:$B$5000,$AF257,SummaryHelper!$C$2:$C$5000,$AG257))</f>
        <v/>
      </c>
      <c r="AM257" t="str">
        <f t="shared" si="34"/>
        <v/>
      </c>
      <c r="AN257" t="str">
        <f t="shared" si="35"/>
        <v/>
      </c>
    </row>
    <row r="258" spans="1:40" x14ac:dyDescent="0.25">
      <c r="A258" s="12"/>
      <c r="C258" s="9"/>
      <c r="D258" s="9"/>
      <c r="E258" s="9"/>
      <c r="F258" s="9"/>
      <c r="G258" s="9"/>
      <c r="L258" s="9" t="str">
        <f>IF($J258="","",IFERROR(SUMIFS(SummaryHelper!$H$2:$H$5000,SummaryHelper!$A$2:$A$5000,$I258,SummaryHelper!$B$2:$B$5000,$J258,SummaryHelper!$C$2:$C$5000,$K258)/SUMIFS(SummaryHelper!$G$2:$G$5000,SummaryHelper!$A$2:$A$5000,$I258,SummaryHelper!$B$2:$B$5000,$J258,SummaryHelper!$C$2:$C$5000,$K258),""))</f>
        <v/>
      </c>
      <c r="M258" s="9" t="str">
        <f>IF($J258="","",SUMIFS(SummaryHelper!$E$2:$E$5000,SummaryHelper!$A$2:$A$5000,$I258,SummaryHelper!$B$2:$B$5000,$J258,SummaryHelper!$C$2:$C$5000,$K258))</f>
        <v/>
      </c>
      <c r="N258" s="9" t="str">
        <f>IF($J258="","",SUMIFS(SummaryHelper!$F$2:$F$5000,SummaryHelper!$A$2:$A$5000,$I258,SummaryHelper!$B$2:$B$5000,$J258,SummaryHelper!$C$2:$C$5000,$K258))</f>
        <v/>
      </c>
      <c r="O258" s="9" t="str">
        <f>IF($J258="","",SUMIFS(SummaryHelper!$G$2:$G$5000,SummaryHelper!$A$2:$A$5000,$I258,SummaryHelper!$B$2:$B$5000,$J258,SummaryHelper!$C$2:$C$5000,$K258))</f>
        <v/>
      </c>
      <c r="Q258" s="9" t="str">
        <f t="shared" si="30"/>
        <v/>
      </c>
      <c r="R258" s="9" t="str">
        <f t="shared" si="31"/>
        <v/>
      </c>
      <c r="W258" s="9" t="str">
        <f>IF($U258="","",IFERROR(SUMIFS(SummaryHelper!$H$2:$H$5000,SummaryHelper!$A$2:$A$5000,$T258,SummaryHelper!$B$2:$B$5000,$U258,SummaryHelper!$C$2:$C$5000,$V258)/SUMIFS(SummaryHelper!$G$2:$G$5000,SummaryHelper!$A$2:$A$5000,$T258,SummaryHelper!$B$2:$B$5000,$U258,SummaryHelper!$C$2:$C$5000,$V258),""))</f>
        <v/>
      </c>
      <c r="X258" s="9" t="str">
        <f>IF($U258="","",SUMIFS(SummaryHelper!$E$2:$E$5000,SummaryHelper!$A$2:$A$5000,$T258,SummaryHelper!$B$2:$B$5000,$U258,SummaryHelper!$C$2:$C$5000,$V258))</f>
        <v/>
      </c>
      <c r="Y258" s="9" t="str">
        <f>IF($U258="","",SUMIFS(SummaryHelper!$F$2:$F$5000,SummaryHelper!$A$2:$A$5000,$T258,SummaryHelper!$B$2:$B$5000,$U258,SummaryHelper!$C$2:$C$5000,$V258))</f>
        <v/>
      </c>
      <c r="Z258" s="9" t="s">
        <v>489</v>
      </c>
      <c r="AB258" s="9" t="str">
        <f t="shared" si="32"/>
        <v/>
      </c>
      <c r="AC258" s="9" t="str">
        <f t="shared" si="33"/>
        <v/>
      </c>
      <c r="AH258" t="str">
        <f>IF($AF258="","",IFERROR(SUMIFS(SummaryHelper!$H$2:$H$5000,SummaryHelper!$A$2:$A$5000,$AE258,SummaryHelper!$B$2:$B$5000,$AF258,SummaryHelper!$C$2:$C$5000,$AG258)/SUMIFS(SummaryHelper!$G$2:$G$5000,SummaryHelper!$A$2:$A$5000,$AE258,SummaryHelper!$B$2:$B$5000,$AF258,SummaryHelper!$C$2:$C$5000,$AG258),""))</f>
        <v/>
      </c>
      <c r="AI258" t="str">
        <f>IF($AF258="","",SUMIFS(SummaryHelper!$E$2:$E$5000,SummaryHelper!$A$2:$A$5000,$AE258,SummaryHelper!$B$2:$B$5000,$AF258,SummaryHelper!$C$2:$C$5000,$AG258))</f>
        <v/>
      </c>
      <c r="AJ258" t="str">
        <f>IF($AF258="","",SUMIFS(SummaryHelper!$F$2:$F$5000,SummaryHelper!$A$2:$A$5000,$AE258,SummaryHelper!$B$2:$B$5000,$AF258,SummaryHelper!$C$2:$C$5000,$AG258))</f>
        <v/>
      </c>
      <c r="AK258" t="str">
        <f>IF($AF258="","",SUMIFS(SummaryHelper!$G$2:$G$5000,SummaryHelper!$A$2:$A$5000,$AE258,SummaryHelper!$B$2:$B$5000,$AF258,SummaryHelper!$C$2:$C$5000,$AG258))</f>
        <v/>
      </c>
      <c r="AM258" t="str">
        <f t="shared" si="34"/>
        <v/>
      </c>
      <c r="AN258" t="str">
        <f t="shared" si="35"/>
        <v/>
      </c>
    </row>
    <row r="259" spans="1:40" x14ac:dyDescent="0.25">
      <c r="A259" s="12"/>
      <c r="C259" s="9"/>
      <c r="D259" s="9"/>
      <c r="E259" s="9"/>
      <c r="F259" s="9"/>
      <c r="G259" s="9"/>
      <c r="L259" s="9" t="str">
        <f>IF($J259="","",IFERROR(SUMIFS(SummaryHelper!$H$2:$H$5000,SummaryHelper!$A$2:$A$5000,$I259,SummaryHelper!$B$2:$B$5000,$J259,SummaryHelper!$C$2:$C$5000,$K259)/SUMIFS(SummaryHelper!$G$2:$G$5000,SummaryHelper!$A$2:$A$5000,$I259,SummaryHelper!$B$2:$B$5000,$J259,SummaryHelper!$C$2:$C$5000,$K259),""))</f>
        <v/>
      </c>
      <c r="M259" s="9" t="str">
        <f>IF($J259="","",SUMIFS(SummaryHelper!$E$2:$E$5000,SummaryHelper!$A$2:$A$5000,$I259,SummaryHelper!$B$2:$B$5000,$J259,SummaryHelper!$C$2:$C$5000,$K259))</f>
        <v/>
      </c>
      <c r="N259" s="9" t="str">
        <f>IF($J259="","",SUMIFS(SummaryHelper!$F$2:$F$5000,SummaryHelper!$A$2:$A$5000,$I259,SummaryHelper!$B$2:$B$5000,$J259,SummaryHelper!$C$2:$C$5000,$K259))</f>
        <v/>
      </c>
      <c r="O259" s="9" t="str">
        <f>IF($J259="","",SUMIFS(SummaryHelper!$G$2:$G$5000,SummaryHelper!$A$2:$A$5000,$I259,SummaryHelper!$B$2:$B$5000,$J259,SummaryHelper!$C$2:$C$5000,$K259))</f>
        <v/>
      </c>
      <c r="Q259" s="9" t="str">
        <f t="shared" si="30"/>
        <v/>
      </c>
      <c r="R259" s="9" t="str">
        <f t="shared" si="31"/>
        <v/>
      </c>
      <c r="W259" s="9" t="str">
        <f>IF($U259="","",IFERROR(SUMIFS(SummaryHelper!$H$2:$H$5000,SummaryHelper!$A$2:$A$5000,$T259,SummaryHelper!$B$2:$B$5000,$U259,SummaryHelper!$C$2:$C$5000,$V259)/SUMIFS(SummaryHelper!$G$2:$G$5000,SummaryHelper!$A$2:$A$5000,$T259,SummaryHelper!$B$2:$B$5000,$U259,SummaryHelper!$C$2:$C$5000,$V259),""))</f>
        <v/>
      </c>
      <c r="X259" s="9" t="str">
        <f>IF($U259="","",SUMIFS(SummaryHelper!$E$2:$E$5000,SummaryHelper!$A$2:$A$5000,$T259,SummaryHelper!$B$2:$B$5000,$U259,SummaryHelper!$C$2:$C$5000,$V259))</f>
        <v/>
      </c>
      <c r="Y259" s="9" t="str">
        <f>IF($U259="","",SUMIFS(SummaryHelper!$F$2:$F$5000,SummaryHelper!$A$2:$A$5000,$T259,SummaryHelper!$B$2:$B$5000,$U259,SummaryHelper!$C$2:$C$5000,$V259))</f>
        <v/>
      </c>
      <c r="Z259" s="9" t="s">
        <v>489</v>
      </c>
      <c r="AB259" s="9" t="str">
        <f t="shared" si="32"/>
        <v/>
      </c>
      <c r="AC259" s="9" t="str">
        <f t="shared" si="33"/>
        <v/>
      </c>
      <c r="AH259" t="str">
        <f>IF($AF259="","",IFERROR(SUMIFS(SummaryHelper!$H$2:$H$5000,SummaryHelper!$A$2:$A$5000,$AE259,SummaryHelper!$B$2:$B$5000,$AF259,SummaryHelper!$C$2:$C$5000,$AG259)/SUMIFS(SummaryHelper!$G$2:$G$5000,SummaryHelper!$A$2:$A$5000,$AE259,SummaryHelper!$B$2:$B$5000,$AF259,SummaryHelper!$C$2:$C$5000,$AG259),""))</f>
        <v/>
      </c>
      <c r="AI259" t="str">
        <f>IF($AF259="","",SUMIFS(SummaryHelper!$E$2:$E$5000,SummaryHelper!$A$2:$A$5000,$AE259,SummaryHelper!$B$2:$B$5000,$AF259,SummaryHelper!$C$2:$C$5000,$AG259))</f>
        <v/>
      </c>
      <c r="AJ259" t="str">
        <f>IF($AF259="","",SUMIFS(SummaryHelper!$F$2:$F$5000,SummaryHelper!$A$2:$A$5000,$AE259,SummaryHelper!$B$2:$B$5000,$AF259,SummaryHelper!$C$2:$C$5000,$AG259))</f>
        <v/>
      </c>
      <c r="AK259" t="str">
        <f>IF($AF259="","",SUMIFS(SummaryHelper!$G$2:$G$5000,SummaryHelper!$A$2:$A$5000,$AE259,SummaryHelper!$B$2:$B$5000,$AF259,SummaryHelper!$C$2:$C$5000,$AG259))</f>
        <v/>
      </c>
      <c r="AM259" t="str">
        <f t="shared" si="34"/>
        <v/>
      </c>
      <c r="AN259" t="str">
        <f t="shared" si="35"/>
        <v/>
      </c>
    </row>
    <row r="260" spans="1:40" x14ac:dyDescent="0.25">
      <c r="A260" s="12"/>
      <c r="C260" s="9"/>
      <c r="D260" s="9"/>
      <c r="E260" s="9"/>
      <c r="F260" s="9"/>
      <c r="G260" s="9"/>
      <c r="L260" s="9" t="str">
        <f>IF($J260="","",IFERROR(SUMIFS(SummaryHelper!$H$2:$H$5000,SummaryHelper!$A$2:$A$5000,$I260,SummaryHelper!$B$2:$B$5000,$J260,SummaryHelper!$C$2:$C$5000,$K260)/SUMIFS(SummaryHelper!$G$2:$G$5000,SummaryHelper!$A$2:$A$5000,$I260,SummaryHelper!$B$2:$B$5000,$J260,SummaryHelper!$C$2:$C$5000,$K260),""))</f>
        <v/>
      </c>
      <c r="M260" s="9" t="str">
        <f>IF($J260="","",SUMIFS(SummaryHelper!$E$2:$E$5000,SummaryHelper!$A$2:$A$5000,$I260,SummaryHelper!$B$2:$B$5000,$J260,SummaryHelper!$C$2:$C$5000,$K260))</f>
        <v/>
      </c>
      <c r="N260" s="9" t="str">
        <f>IF($J260="","",SUMIFS(SummaryHelper!$F$2:$F$5000,SummaryHelper!$A$2:$A$5000,$I260,SummaryHelper!$B$2:$B$5000,$J260,SummaryHelper!$C$2:$C$5000,$K260))</f>
        <v/>
      </c>
      <c r="O260" s="9" t="str">
        <f>IF($J260="","",SUMIFS(SummaryHelper!$G$2:$G$5000,SummaryHelper!$A$2:$A$5000,$I260,SummaryHelper!$B$2:$B$5000,$J260,SummaryHelper!$C$2:$C$5000,$K260))</f>
        <v/>
      </c>
      <c r="Q260" s="9" t="str">
        <f t="shared" ref="Q260:Q300" si="36">IF($J260="","",IF($P260="",ROUNDUP($O260,0),$P260))</f>
        <v/>
      </c>
      <c r="R260" s="9" t="str">
        <f t="shared" ref="R260:R300" si="37">IF($J260="","",$Q260*$L260)</f>
        <v/>
      </c>
      <c r="W260" s="9" t="str">
        <f>IF($U260="","",IFERROR(SUMIFS(SummaryHelper!$H$2:$H$5000,SummaryHelper!$A$2:$A$5000,$T260,SummaryHelper!$B$2:$B$5000,$U260,SummaryHelper!$C$2:$C$5000,$V260)/SUMIFS(SummaryHelper!$G$2:$G$5000,SummaryHelper!$A$2:$A$5000,$T260,SummaryHelper!$B$2:$B$5000,$U260,SummaryHelper!$C$2:$C$5000,$V260),""))</f>
        <v/>
      </c>
      <c r="X260" s="9" t="str">
        <f>IF($U260="","",SUMIFS(SummaryHelper!$E$2:$E$5000,SummaryHelper!$A$2:$A$5000,$T260,SummaryHelper!$B$2:$B$5000,$U260,SummaryHelper!$C$2:$C$5000,$V260))</f>
        <v/>
      </c>
      <c r="Y260" s="9" t="str">
        <f>IF($U260="","",SUMIFS(SummaryHelper!$F$2:$F$5000,SummaryHelper!$A$2:$A$5000,$T260,SummaryHelper!$B$2:$B$5000,$U260,SummaryHelper!$C$2:$C$5000,$V260))</f>
        <v/>
      </c>
      <c r="Z260" s="9" t="s">
        <v>489</v>
      </c>
      <c r="AB260" s="9" t="str">
        <f t="shared" ref="AB260:AB300" si="38">IF($U260="","",IF($AA260="",$Z260,$AA260))</f>
        <v/>
      </c>
      <c r="AC260" s="9" t="str">
        <f t="shared" ref="AC260:AC300" si="39">IF($U260="","",$AB260*$W260)</f>
        <v/>
      </c>
      <c r="AH260" t="str">
        <f>IF($AF260="","",IFERROR(SUMIFS(SummaryHelper!$H$2:$H$5000,SummaryHelper!$A$2:$A$5000,$AE260,SummaryHelper!$B$2:$B$5000,$AF260,SummaryHelper!$C$2:$C$5000,$AG260)/SUMIFS(SummaryHelper!$G$2:$G$5000,SummaryHelper!$A$2:$A$5000,$AE260,SummaryHelper!$B$2:$B$5000,$AF260,SummaryHelper!$C$2:$C$5000,$AG260),""))</f>
        <v/>
      </c>
      <c r="AI260" t="str">
        <f>IF($AF260="","",SUMIFS(SummaryHelper!$E$2:$E$5000,SummaryHelper!$A$2:$A$5000,$AE260,SummaryHelper!$B$2:$B$5000,$AF260,SummaryHelper!$C$2:$C$5000,$AG260))</f>
        <v/>
      </c>
      <c r="AJ260" t="str">
        <f>IF($AF260="","",SUMIFS(SummaryHelper!$F$2:$F$5000,SummaryHelper!$A$2:$A$5000,$AE260,SummaryHelper!$B$2:$B$5000,$AF260,SummaryHelper!$C$2:$C$5000,$AG260))</f>
        <v/>
      </c>
      <c r="AK260" t="str">
        <f>IF($AF260="","",SUMIFS(SummaryHelper!$G$2:$G$5000,SummaryHelper!$A$2:$A$5000,$AE260,SummaryHelper!$B$2:$B$5000,$AF260,SummaryHelper!$C$2:$C$5000,$AG260))</f>
        <v/>
      </c>
      <c r="AM260" t="str">
        <f t="shared" ref="AM260:AM300" si="40">IF($AF260="","",IF($AL260="",$AK260,$AL260))</f>
        <v/>
      </c>
      <c r="AN260" t="str">
        <f t="shared" ref="AN260:AN299" si="41">IF($AF260="","",$AM260*$AH260)</f>
        <v/>
      </c>
    </row>
    <row r="261" spans="1:40" x14ac:dyDescent="0.25">
      <c r="A261" s="12"/>
      <c r="C261" s="9"/>
      <c r="D261" s="9"/>
      <c r="E261" s="9"/>
      <c r="F261" s="9"/>
      <c r="G261" s="9"/>
      <c r="L261" s="9" t="str">
        <f>IF($J261="","",IFERROR(SUMIFS(SummaryHelper!$H$2:$H$5000,SummaryHelper!$A$2:$A$5000,$I261,SummaryHelper!$B$2:$B$5000,$J261,SummaryHelper!$C$2:$C$5000,$K261)/SUMIFS(SummaryHelper!$G$2:$G$5000,SummaryHelper!$A$2:$A$5000,$I261,SummaryHelper!$B$2:$B$5000,$J261,SummaryHelper!$C$2:$C$5000,$K261),""))</f>
        <v/>
      </c>
      <c r="M261" s="9" t="str">
        <f>IF($J261="","",SUMIFS(SummaryHelper!$E$2:$E$5000,SummaryHelper!$A$2:$A$5000,$I261,SummaryHelper!$B$2:$B$5000,$J261,SummaryHelper!$C$2:$C$5000,$K261))</f>
        <v/>
      </c>
      <c r="N261" s="9" t="str">
        <f>IF($J261="","",SUMIFS(SummaryHelper!$F$2:$F$5000,SummaryHelper!$A$2:$A$5000,$I261,SummaryHelper!$B$2:$B$5000,$J261,SummaryHelper!$C$2:$C$5000,$K261))</f>
        <v/>
      </c>
      <c r="O261" s="9" t="str">
        <f>IF($J261="","",SUMIFS(SummaryHelper!$G$2:$G$5000,SummaryHelper!$A$2:$A$5000,$I261,SummaryHelper!$B$2:$B$5000,$J261,SummaryHelper!$C$2:$C$5000,$K261))</f>
        <v/>
      </c>
      <c r="Q261" s="9" t="str">
        <f t="shared" si="36"/>
        <v/>
      </c>
      <c r="R261" s="9" t="str">
        <f t="shared" si="37"/>
        <v/>
      </c>
      <c r="W261" s="9" t="str">
        <f>IF($U261="","",IFERROR(SUMIFS(SummaryHelper!$H$2:$H$5000,SummaryHelper!$A$2:$A$5000,$T261,SummaryHelper!$B$2:$B$5000,$U261,SummaryHelper!$C$2:$C$5000,$V261)/SUMIFS(SummaryHelper!$G$2:$G$5000,SummaryHelper!$A$2:$A$5000,$T261,SummaryHelper!$B$2:$B$5000,$U261,SummaryHelper!$C$2:$C$5000,$V261),""))</f>
        <v/>
      </c>
      <c r="X261" s="9" t="str">
        <f>IF($U261="","",SUMIFS(SummaryHelper!$E$2:$E$5000,SummaryHelper!$A$2:$A$5000,$T261,SummaryHelper!$B$2:$B$5000,$U261,SummaryHelper!$C$2:$C$5000,$V261))</f>
        <v/>
      </c>
      <c r="Y261" s="9" t="str">
        <f>IF($U261="","",SUMIFS(SummaryHelper!$F$2:$F$5000,SummaryHelper!$A$2:$A$5000,$T261,SummaryHelper!$B$2:$B$5000,$U261,SummaryHelper!$C$2:$C$5000,$V261))</f>
        <v/>
      </c>
      <c r="Z261" s="9" t="s">
        <v>489</v>
      </c>
      <c r="AB261" s="9" t="str">
        <f t="shared" si="38"/>
        <v/>
      </c>
      <c r="AC261" s="9" t="str">
        <f t="shared" si="39"/>
        <v/>
      </c>
      <c r="AH261" t="str">
        <f>IF($AF261="","",IFERROR(SUMIFS(SummaryHelper!$H$2:$H$5000,SummaryHelper!$A$2:$A$5000,$AE261,SummaryHelper!$B$2:$B$5000,$AF261,SummaryHelper!$C$2:$C$5000,$AG261)/SUMIFS(SummaryHelper!$G$2:$G$5000,SummaryHelper!$A$2:$A$5000,$AE261,SummaryHelper!$B$2:$B$5000,$AF261,SummaryHelper!$C$2:$C$5000,$AG261),""))</f>
        <v/>
      </c>
      <c r="AI261" t="str">
        <f>IF($AF261="","",SUMIFS(SummaryHelper!$E$2:$E$5000,SummaryHelper!$A$2:$A$5000,$AE261,SummaryHelper!$B$2:$B$5000,$AF261,SummaryHelper!$C$2:$C$5000,$AG261))</f>
        <v/>
      </c>
      <c r="AJ261" t="str">
        <f>IF($AF261="","",SUMIFS(SummaryHelper!$F$2:$F$5000,SummaryHelper!$A$2:$A$5000,$AE261,SummaryHelper!$B$2:$B$5000,$AF261,SummaryHelper!$C$2:$C$5000,$AG261))</f>
        <v/>
      </c>
      <c r="AK261" t="str">
        <f>IF($AF261="","",SUMIFS(SummaryHelper!$G$2:$G$5000,SummaryHelper!$A$2:$A$5000,$AE261,SummaryHelper!$B$2:$B$5000,$AF261,SummaryHelper!$C$2:$C$5000,$AG261))</f>
        <v/>
      </c>
      <c r="AM261" t="str">
        <f t="shared" si="40"/>
        <v/>
      </c>
      <c r="AN261" t="str">
        <f t="shared" si="41"/>
        <v/>
      </c>
    </row>
    <row r="262" spans="1:40" x14ac:dyDescent="0.25">
      <c r="A262" s="12"/>
      <c r="C262" s="9"/>
      <c r="D262" s="9"/>
      <c r="E262" s="9"/>
      <c r="F262" s="9"/>
      <c r="G262" s="9"/>
      <c r="L262" s="9" t="str">
        <f>IF($J262="","",IFERROR(SUMIFS(SummaryHelper!$H$2:$H$5000,SummaryHelper!$A$2:$A$5000,$I262,SummaryHelper!$B$2:$B$5000,$J262,SummaryHelper!$C$2:$C$5000,$K262)/SUMIFS(SummaryHelper!$G$2:$G$5000,SummaryHelper!$A$2:$A$5000,$I262,SummaryHelper!$B$2:$B$5000,$J262,SummaryHelper!$C$2:$C$5000,$K262),""))</f>
        <v/>
      </c>
      <c r="M262" s="9" t="str">
        <f>IF($J262="","",SUMIFS(SummaryHelper!$E$2:$E$5000,SummaryHelper!$A$2:$A$5000,$I262,SummaryHelper!$B$2:$B$5000,$J262,SummaryHelper!$C$2:$C$5000,$K262))</f>
        <v/>
      </c>
      <c r="N262" s="9" t="str">
        <f>IF($J262="","",SUMIFS(SummaryHelper!$F$2:$F$5000,SummaryHelper!$A$2:$A$5000,$I262,SummaryHelper!$B$2:$B$5000,$J262,SummaryHelper!$C$2:$C$5000,$K262))</f>
        <v/>
      </c>
      <c r="O262" s="9" t="str">
        <f>IF($J262="","",SUMIFS(SummaryHelper!$G$2:$G$5000,SummaryHelper!$A$2:$A$5000,$I262,SummaryHelper!$B$2:$B$5000,$J262,SummaryHelper!$C$2:$C$5000,$K262))</f>
        <v/>
      </c>
      <c r="Q262" s="9" t="str">
        <f t="shared" si="36"/>
        <v/>
      </c>
      <c r="R262" s="9" t="str">
        <f t="shared" si="37"/>
        <v/>
      </c>
      <c r="W262" s="9" t="str">
        <f>IF($U262="","",IFERROR(SUMIFS(SummaryHelper!$H$2:$H$5000,SummaryHelper!$A$2:$A$5000,$T262,SummaryHelper!$B$2:$B$5000,$U262,SummaryHelper!$C$2:$C$5000,$V262)/SUMIFS(SummaryHelper!$G$2:$G$5000,SummaryHelper!$A$2:$A$5000,$T262,SummaryHelper!$B$2:$B$5000,$U262,SummaryHelper!$C$2:$C$5000,$V262),""))</f>
        <v/>
      </c>
      <c r="X262" s="9" t="str">
        <f>IF($U262="","",SUMIFS(SummaryHelper!$E$2:$E$5000,SummaryHelper!$A$2:$A$5000,$T262,SummaryHelper!$B$2:$B$5000,$U262,SummaryHelper!$C$2:$C$5000,$V262))</f>
        <v/>
      </c>
      <c r="Y262" s="9" t="str">
        <f>IF($U262="","",SUMIFS(SummaryHelper!$F$2:$F$5000,SummaryHelper!$A$2:$A$5000,$T262,SummaryHelper!$B$2:$B$5000,$U262,SummaryHelper!$C$2:$C$5000,$V262))</f>
        <v/>
      </c>
      <c r="Z262" s="9" t="s">
        <v>489</v>
      </c>
      <c r="AB262" s="9" t="str">
        <f t="shared" si="38"/>
        <v/>
      </c>
      <c r="AC262" s="9" t="str">
        <f t="shared" si="39"/>
        <v/>
      </c>
      <c r="AH262" t="str">
        <f>IF($AF262="","",IFERROR(SUMIFS(SummaryHelper!$H$2:$H$5000,SummaryHelper!$A$2:$A$5000,$AE262,SummaryHelper!$B$2:$B$5000,$AF262,SummaryHelper!$C$2:$C$5000,$AG262)/SUMIFS(SummaryHelper!$G$2:$G$5000,SummaryHelper!$A$2:$A$5000,$AE262,SummaryHelper!$B$2:$B$5000,$AF262,SummaryHelper!$C$2:$C$5000,$AG262),""))</f>
        <v/>
      </c>
      <c r="AI262" t="str">
        <f>IF($AF262="","",SUMIFS(SummaryHelper!$E$2:$E$5000,SummaryHelper!$A$2:$A$5000,$AE262,SummaryHelper!$B$2:$B$5000,$AF262,SummaryHelper!$C$2:$C$5000,$AG262))</f>
        <v/>
      </c>
      <c r="AJ262" t="str">
        <f>IF($AF262="","",SUMIFS(SummaryHelper!$F$2:$F$5000,SummaryHelper!$A$2:$A$5000,$AE262,SummaryHelper!$B$2:$B$5000,$AF262,SummaryHelper!$C$2:$C$5000,$AG262))</f>
        <v/>
      </c>
      <c r="AK262" t="str">
        <f>IF($AF262="","",SUMIFS(SummaryHelper!$G$2:$G$5000,SummaryHelper!$A$2:$A$5000,$AE262,SummaryHelper!$B$2:$B$5000,$AF262,SummaryHelper!$C$2:$C$5000,$AG262))</f>
        <v/>
      </c>
      <c r="AM262" t="str">
        <f t="shared" si="40"/>
        <v/>
      </c>
      <c r="AN262" t="str">
        <f t="shared" si="41"/>
        <v/>
      </c>
    </row>
    <row r="263" spans="1:40" x14ac:dyDescent="0.25">
      <c r="A263" s="12"/>
      <c r="C263" s="9"/>
      <c r="D263" s="9"/>
      <c r="E263" s="9"/>
      <c r="F263" s="9"/>
      <c r="G263" s="9"/>
      <c r="L263" s="9" t="str">
        <f>IF($J263="","",IFERROR(SUMIFS(SummaryHelper!$H$2:$H$5000,SummaryHelper!$A$2:$A$5000,$I263,SummaryHelper!$B$2:$B$5000,$J263,SummaryHelper!$C$2:$C$5000,$K263)/SUMIFS(SummaryHelper!$G$2:$G$5000,SummaryHelper!$A$2:$A$5000,$I263,SummaryHelper!$B$2:$B$5000,$J263,SummaryHelper!$C$2:$C$5000,$K263),""))</f>
        <v/>
      </c>
      <c r="M263" s="9" t="str">
        <f>IF($J263="","",SUMIFS(SummaryHelper!$E$2:$E$5000,SummaryHelper!$A$2:$A$5000,$I263,SummaryHelper!$B$2:$B$5000,$J263,SummaryHelper!$C$2:$C$5000,$K263))</f>
        <v/>
      </c>
      <c r="N263" s="9" t="str">
        <f>IF($J263="","",SUMIFS(SummaryHelper!$F$2:$F$5000,SummaryHelper!$A$2:$A$5000,$I263,SummaryHelper!$B$2:$B$5000,$J263,SummaryHelper!$C$2:$C$5000,$K263))</f>
        <v/>
      </c>
      <c r="O263" s="9" t="str">
        <f>IF($J263="","",SUMIFS(SummaryHelper!$G$2:$G$5000,SummaryHelper!$A$2:$A$5000,$I263,SummaryHelper!$B$2:$B$5000,$J263,SummaryHelper!$C$2:$C$5000,$K263))</f>
        <v/>
      </c>
      <c r="Q263" s="9" t="str">
        <f t="shared" si="36"/>
        <v/>
      </c>
      <c r="R263" s="9" t="str">
        <f t="shared" si="37"/>
        <v/>
      </c>
      <c r="W263" s="9" t="str">
        <f>IF($U263="","",IFERROR(SUMIFS(SummaryHelper!$H$2:$H$5000,SummaryHelper!$A$2:$A$5000,$T263,SummaryHelper!$B$2:$B$5000,$U263,SummaryHelper!$C$2:$C$5000,$V263)/SUMIFS(SummaryHelper!$G$2:$G$5000,SummaryHelper!$A$2:$A$5000,$T263,SummaryHelper!$B$2:$B$5000,$U263,SummaryHelper!$C$2:$C$5000,$V263),""))</f>
        <v/>
      </c>
      <c r="X263" s="9" t="str">
        <f>IF($U263="","",SUMIFS(SummaryHelper!$E$2:$E$5000,SummaryHelper!$A$2:$A$5000,$T263,SummaryHelper!$B$2:$B$5000,$U263,SummaryHelper!$C$2:$C$5000,$V263))</f>
        <v/>
      </c>
      <c r="Y263" s="9" t="str">
        <f>IF($U263="","",SUMIFS(SummaryHelper!$F$2:$F$5000,SummaryHelper!$A$2:$A$5000,$T263,SummaryHelper!$B$2:$B$5000,$U263,SummaryHelper!$C$2:$C$5000,$V263))</f>
        <v/>
      </c>
      <c r="Z263" s="9" t="s">
        <v>489</v>
      </c>
      <c r="AB263" s="9" t="str">
        <f t="shared" si="38"/>
        <v/>
      </c>
      <c r="AC263" s="9" t="str">
        <f t="shared" si="39"/>
        <v/>
      </c>
      <c r="AH263" t="str">
        <f>IF($AF263="","",IFERROR(SUMIFS(SummaryHelper!$H$2:$H$5000,SummaryHelper!$A$2:$A$5000,$AE263,SummaryHelper!$B$2:$B$5000,$AF263,SummaryHelper!$C$2:$C$5000,$AG263)/SUMIFS(SummaryHelper!$G$2:$G$5000,SummaryHelper!$A$2:$A$5000,$AE263,SummaryHelper!$B$2:$B$5000,$AF263,SummaryHelper!$C$2:$C$5000,$AG263),""))</f>
        <v/>
      </c>
      <c r="AI263" t="str">
        <f>IF($AF263="","",SUMIFS(SummaryHelper!$E$2:$E$5000,SummaryHelper!$A$2:$A$5000,$AE263,SummaryHelper!$B$2:$B$5000,$AF263,SummaryHelper!$C$2:$C$5000,$AG263))</f>
        <v/>
      </c>
      <c r="AJ263" t="str">
        <f>IF($AF263="","",SUMIFS(SummaryHelper!$F$2:$F$5000,SummaryHelper!$A$2:$A$5000,$AE263,SummaryHelper!$B$2:$B$5000,$AF263,SummaryHelper!$C$2:$C$5000,$AG263))</f>
        <v/>
      </c>
      <c r="AK263" t="str">
        <f>IF($AF263="","",SUMIFS(SummaryHelper!$G$2:$G$5000,SummaryHelper!$A$2:$A$5000,$AE263,SummaryHelper!$B$2:$B$5000,$AF263,SummaryHelper!$C$2:$C$5000,$AG263))</f>
        <v/>
      </c>
      <c r="AM263" t="str">
        <f t="shared" si="40"/>
        <v/>
      </c>
      <c r="AN263" t="str">
        <f t="shared" si="41"/>
        <v/>
      </c>
    </row>
    <row r="264" spans="1:40" x14ac:dyDescent="0.25">
      <c r="A264" s="12"/>
      <c r="C264" s="9"/>
      <c r="D264" s="9"/>
      <c r="E264" s="9"/>
      <c r="F264" s="9"/>
      <c r="G264" s="9"/>
      <c r="L264" s="9" t="str">
        <f>IF($J264="","",IFERROR(SUMIFS(SummaryHelper!$H$2:$H$5000,SummaryHelper!$A$2:$A$5000,$I264,SummaryHelper!$B$2:$B$5000,$J264,SummaryHelper!$C$2:$C$5000,$K264)/SUMIFS(SummaryHelper!$G$2:$G$5000,SummaryHelper!$A$2:$A$5000,$I264,SummaryHelper!$B$2:$B$5000,$J264,SummaryHelper!$C$2:$C$5000,$K264),""))</f>
        <v/>
      </c>
      <c r="M264" s="9" t="str">
        <f>IF($J264="","",SUMIFS(SummaryHelper!$E$2:$E$5000,SummaryHelper!$A$2:$A$5000,$I264,SummaryHelper!$B$2:$B$5000,$J264,SummaryHelper!$C$2:$C$5000,$K264))</f>
        <v/>
      </c>
      <c r="N264" s="9" t="str">
        <f>IF($J264="","",SUMIFS(SummaryHelper!$F$2:$F$5000,SummaryHelper!$A$2:$A$5000,$I264,SummaryHelper!$B$2:$B$5000,$J264,SummaryHelper!$C$2:$C$5000,$K264))</f>
        <v/>
      </c>
      <c r="O264" s="9" t="str">
        <f>IF($J264="","",SUMIFS(SummaryHelper!$G$2:$G$5000,SummaryHelper!$A$2:$A$5000,$I264,SummaryHelper!$B$2:$B$5000,$J264,SummaryHelper!$C$2:$C$5000,$K264))</f>
        <v/>
      </c>
      <c r="Q264" s="9" t="str">
        <f t="shared" si="36"/>
        <v/>
      </c>
      <c r="R264" s="9" t="str">
        <f t="shared" si="37"/>
        <v/>
      </c>
      <c r="W264" s="9" t="str">
        <f>IF($U264="","",IFERROR(SUMIFS(SummaryHelper!$H$2:$H$5000,SummaryHelper!$A$2:$A$5000,$T264,SummaryHelper!$B$2:$B$5000,$U264,SummaryHelper!$C$2:$C$5000,$V264)/SUMIFS(SummaryHelper!$G$2:$G$5000,SummaryHelper!$A$2:$A$5000,$T264,SummaryHelper!$B$2:$B$5000,$U264,SummaryHelper!$C$2:$C$5000,$V264),""))</f>
        <v/>
      </c>
      <c r="X264" s="9" t="str">
        <f>IF($U264="","",SUMIFS(SummaryHelper!$E$2:$E$5000,SummaryHelper!$A$2:$A$5000,$T264,SummaryHelper!$B$2:$B$5000,$U264,SummaryHelper!$C$2:$C$5000,$V264))</f>
        <v/>
      </c>
      <c r="Y264" s="9" t="str">
        <f>IF($U264="","",SUMIFS(SummaryHelper!$F$2:$F$5000,SummaryHelper!$A$2:$A$5000,$T264,SummaryHelper!$B$2:$B$5000,$U264,SummaryHelper!$C$2:$C$5000,$V264))</f>
        <v/>
      </c>
      <c r="Z264" s="9" t="s">
        <v>489</v>
      </c>
      <c r="AB264" s="9" t="str">
        <f t="shared" si="38"/>
        <v/>
      </c>
      <c r="AC264" s="9" t="str">
        <f t="shared" si="39"/>
        <v/>
      </c>
      <c r="AH264" t="str">
        <f>IF($AF264="","",IFERROR(SUMIFS(SummaryHelper!$H$2:$H$5000,SummaryHelper!$A$2:$A$5000,$AE264,SummaryHelper!$B$2:$B$5000,$AF264,SummaryHelper!$C$2:$C$5000,$AG264)/SUMIFS(SummaryHelper!$G$2:$G$5000,SummaryHelper!$A$2:$A$5000,$AE264,SummaryHelper!$B$2:$B$5000,$AF264,SummaryHelper!$C$2:$C$5000,$AG264),""))</f>
        <v/>
      </c>
      <c r="AI264" t="str">
        <f>IF($AF264="","",SUMIFS(SummaryHelper!$E$2:$E$5000,SummaryHelper!$A$2:$A$5000,$AE264,SummaryHelper!$B$2:$B$5000,$AF264,SummaryHelper!$C$2:$C$5000,$AG264))</f>
        <v/>
      </c>
      <c r="AJ264" t="str">
        <f>IF($AF264="","",SUMIFS(SummaryHelper!$F$2:$F$5000,SummaryHelper!$A$2:$A$5000,$AE264,SummaryHelper!$B$2:$B$5000,$AF264,SummaryHelper!$C$2:$C$5000,$AG264))</f>
        <v/>
      </c>
      <c r="AK264" t="str">
        <f>IF($AF264="","",SUMIFS(SummaryHelper!$G$2:$G$5000,SummaryHelper!$A$2:$A$5000,$AE264,SummaryHelper!$B$2:$B$5000,$AF264,SummaryHelper!$C$2:$C$5000,$AG264))</f>
        <v/>
      </c>
      <c r="AM264" t="str">
        <f t="shared" si="40"/>
        <v/>
      </c>
      <c r="AN264" t="str">
        <f t="shared" si="41"/>
        <v/>
      </c>
    </row>
    <row r="265" spans="1:40" x14ac:dyDescent="0.25">
      <c r="A265" s="12"/>
      <c r="C265" s="9"/>
      <c r="D265" s="9"/>
      <c r="E265" s="9"/>
      <c r="F265" s="9"/>
      <c r="G265" s="9"/>
      <c r="L265" s="9" t="str">
        <f>IF($J265="","",IFERROR(SUMIFS(SummaryHelper!$H$2:$H$5000,SummaryHelper!$A$2:$A$5000,$I265,SummaryHelper!$B$2:$B$5000,$J265,SummaryHelper!$C$2:$C$5000,$K265)/SUMIFS(SummaryHelper!$G$2:$G$5000,SummaryHelper!$A$2:$A$5000,$I265,SummaryHelper!$B$2:$B$5000,$J265,SummaryHelper!$C$2:$C$5000,$K265),""))</f>
        <v/>
      </c>
      <c r="M265" s="9" t="str">
        <f>IF($J265="","",SUMIFS(SummaryHelper!$E$2:$E$5000,SummaryHelper!$A$2:$A$5000,$I265,SummaryHelper!$B$2:$B$5000,$J265,SummaryHelper!$C$2:$C$5000,$K265))</f>
        <v/>
      </c>
      <c r="N265" s="9" t="str">
        <f>IF($J265="","",SUMIFS(SummaryHelper!$F$2:$F$5000,SummaryHelper!$A$2:$A$5000,$I265,SummaryHelper!$B$2:$B$5000,$J265,SummaryHelper!$C$2:$C$5000,$K265))</f>
        <v/>
      </c>
      <c r="O265" s="9" t="str">
        <f>IF($J265="","",SUMIFS(SummaryHelper!$G$2:$G$5000,SummaryHelper!$A$2:$A$5000,$I265,SummaryHelper!$B$2:$B$5000,$J265,SummaryHelper!$C$2:$C$5000,$K265))</f>
        <v/>
      </c>
      <c r="Q265" s="9" t="str">
        <f t="shared" si="36"/>
        <v/>
      </c>
      <c r="R265" s="9" t="str">
        <f t="shared" si="37"/>
        <v/>
      </c>
      <c r="W265" s="9" t="str">
        <f>IF($U265="","",IFERROR(SUMIFS(SummaryHelper!$H$2:$H$5000,SummaryHelper!$A$2:$A$5000,$T265,SummaryHelper!$B$2:$B$5000,$U265,SummaryHelper!$C$2:$C$5000,$V265)/SUMIFS(SummaryHelper!$G$2:$G$5000,SummaryHelper!$A$2:$A$5000,$T265,SummaryHelper!$B$2:$B$5000,$U265,SummaryHelper!$C$2:$C$5000,$V265),""))</f>
        <v/>
      </c>
      <c r="X265" s="9" t="str">
        <f>IF($U265="","",SUMIFS(SummaryHelper!$E$2:$E$5000,SummaryHelper!$A$2:$A$5000,$T265,SummaryHelper!$B$2:$B$5000,$U265,SummaryHelper!$C$2:$C$5000,$V265))</f>
        <v/>
      </c>
      <c r="Y265" s="9" t="str">
        <f>IF($U265="","",SUMIFS(SummaryHelper!$F$2:$F$5000,SummaryHelper!$A$2:$A$5000,$T265,SummaryHelper!$B$2:$B$5000,$U265,SummaryHelper!$C$2:$C$5000,$V265))</f>
        <v/>
      </c>
      <c r="Z265" s="9" t="s">
        <v>489</v>
      </c>
      <c r="AB265" s="9" t="str">
        <f t="shared" si="38"/>
        <v/>
      </c>
      <c r="AC265" s="9" t="str">
        <f t="shared" si="39"/>
        <v/>
      </c>
      <c r="AH265" t="str">
        <f>IF($AF265="","",IFERROR(SUMIFS(SummaryHelper!$H$2:$H$5000,SummaryHelper!$A$2:$A$5000,$AE265,SummaryHelper!$B$2:$B$5000,$AF265,SummaryHelper!$C$2:$C$5000,$AG265)/SUMIFS(SummaryHelper!$G$2:$G$5000,SummaryHelper!$A$2:$A$5000,$AE265,SummaryHelper!$B$2:$B$5000,$AF265,SummaryHelper!$C$2:$C$5000,$AG265),""))</f>
        <v/>
      </c>
      <c r="AI265" t="str">
        <f>IF($AF265="","",SUMIFS(SummaryHelper!$E$2:$E$5000,SummaryHelper!$A$2:$A$5000,$AE265,SummaryHelper!$B$2:$B$5000,$AF265,SummaryHelper!$C$2:$C$5000,$AG265))</f>
        <v/>
      </c>
      <c r="AJ265" t="str">
        <f>IF($AF265="","",SUMIFS(SummaryHelper!$F$2:$F$5000,SummaryHelper!$A$2:$A$5000,$AE265,SummaryHelper!$B$2:$B$5000,$AF265,SummaryHelper!$C$2:$C$5000,$AG265))</f>
        <v/>
      </c>
      <c r="AK265" t="str">
        <f>IF($AF265="","",SUMIFS(SummaryHelper!$G$2:$G$5000,SummaryHelper!$A$2:$A$5000,$AE265,SummaryHelper!$B$2:$B$5000,$AF265,SummaryHelper!$C$2:$C$5000,$AG265))</f>
        <v/>
      </c>
      <c r="AM265" t="str">
        <f t="shared" si="40"/>
        <v/>
      </c>
      <c r="AN265" t="str">
        <f t="shared" si="41"/>
        <v/>
      </c>
    </row>
    <row r="266" spans="1:40" x14ac:dyDescent="0.25">
      <c r="A266" s="12"/>
      <c r="C266" s="9"/>
      <c r="D266" s="9"/>
      <c r="E266" s="9"/>
      <c r="F266" s="9"/>
      <c r="G266" s="9"/>
      <c r="L266" s="9" t="str">
        <f>IF($J266="","",IFERROR(SUMIFS(SummaryHelper!$H$2:$H$5000,SummaryHelper!$A$2:$A$5000,$I266,SummaryHelper!$B$2:$B$5000,$J266,SummaryHelper!$C$2:$C$5000,$K266)/SUMIFS(SummaryHelper!$G$2:$G$5000,SummaryHelper!$A$2:$A$5000,$I266,SummaryHelper!$B$2:$B$5000,$J266,SummaryHelper!$C$2:$C$5000,$K266),""))</f>
        <v/>
      </c>
      <c r="M266" s="9" t="str">
        <f>IF($J266="","",SUMIFS(SummaryHelper!$E$2:$E$5000,SummaryHelper!$A$2:$A$5000,$I266,SummaryHelper!$B$2:$B$5000,$J266,SummaryHelper!$C$2:$C$5000,$K266))</f>
        <v/>
      </c>
      <c r="N266" s="9" t="str">
        <f>IF($J266="","",SUMIFS(SummaryHelper!$F$2:$F$5000,SummaryHelper!$A$2:$A$5000,$I266,SummaryHelper!$B$2:$B$5000,$J266,SummaryHelper!$C$2:$C$5000,$K266))</f>
        <v/>
      </c>
      <c r="O266" s="9" t="str">
        <f>IF($J266="","",SUMIFS(SummaryHelper!$G$2:$G$5000,SummaryHelper!$A$2:$A$5000,$I266,SummaryHelper!$B$2:$B$5000,$J266,SummaryHelper!$C$2:$C$5000,$K266))</f>
        <v/>
      </c>
      <c r="Q266" s="9" t="str">
        <f t="shared" si="36"/>
        <v/>
      </c>
      <c r="R266" s="9" t="str">
        <f t="shared" si="37"/>
        <v/>
      </c>
      <c r="W266" s="9" t="str">
        <f>IF($U266="","",IFERROR(SUMIFS(SummaryHelper!$H$2:$H$5000,SummaryHelper!$A$2:$A$5000,$T266,SummaryHelper!$B$2:$B$5000,$U266,SummaryHelper!$C$2:$C$5000,$V266)/SUMIFS(SummaryHelper!$G$2:$G$5000,SummaryHelper!$A$2:$A$5000,$T266,SummaryHelper!$B$2:$B$5000,$U266,SummaryHelper!$C$2:$C$5000,$V266),""))</f>
        <v/>
      </c>
      <c r="X266" s="9" t="str">
        <f>IF($U266="","",SUMIFS(SummaryHelper!$E$2:$E$5000,SummaryHelper!$A$2:$A$5000,$T266,SummaryHelper!$B$2:$B$5000,$U266,SummaryHelper!$C$2:$C$5000,$V266))</f>
        <v/>
      </c>
      <c r="Y266" s="9" t="str">
        <f>IF($U266="","",SUMIFS(SummaryHelper!$F$2:$F$5000,SummaryHelper!$A$2:$A$5000,$T266,SummaryHelper!$B$2:$B$5000,$U266,SummaryHelper!$C$2:$C$5000,$V266))</f>
        <v/>
      </c>
      <c r="Z266" s="9" t="s">
        <v>489</v>
      </c>
      <c r="AB266" s="9" t="str">
        <f t="shared" si="38"/>
        <v/>
      </c>
      <c r="AC266" s="9" t="str">
        <f t="shared" si="39"/>
        <v/>
      </c>
      <c r="AH266" t="str">
        <f>IF($AF266="","",IFERROR(SUMIFS(SummaryHelper!$H$2:$H$5000,SummaryHelper!$A$2:$A$5000,$AE266,SummaryHelper!$B$2:$B$5000,$AF266,SummaryHelper!$C$2:$C$5000,$AG266)/SUMIFS(SummaryHelper!$G$2:$G$5000,SummaryHelper!$A$2:$A$5000,$AE266,SummaryHelper!$B$2:$B$5000,$AF266,SummaryHelper!$C$2:$C$5000,$AG266),""))</f>
        <v/>
      </c>
      <c r="AI266" t="str">
        <f>IF($AF266="","",SUMIFS(SummaryHelper!$E$2:$E$5000,SummaryHelper!$A$2:$A$5000,$AE266,SummaryHelper!$B$2:$B$5000,$AF266,SummaryHelper!$C$2:$C$5000,$AG266))</f>
        <v/>
      </c>
      <c r="AJ266" t="str">
        <f>IF($AF266="","",SUMIFS(SummaryHelper!$F$2:$F$5000,SummaryHelper!$A$2:$A$5000,$AE266,SummaryHelper!$B$2:$B$5000,$AF266,SummaryHelper!$C$2:$C$5000,$AG266))</f>
        <v/>
      </c>
      <c r="AK266" t="str">
        <f>IF($AF266="","",SUMIFS(SummaryHelper!$G$2:$G$5000,SummaryHelper!$A$2:$A$5000,$AE266,SummaryHelper!$B$2:$B$5000,$AF266,SummaryHelper!$C$2:$C$5000,$AG266))</f>
        <v/>
      </c>
      <c r="AM266" t="str">
        <f t="shared" si="40"/>
        <v/>
      </c>
      <c r="AN266" t="str">
        <f t="shared" si="41"/>
        <v/>
      </c>
    </row>
    <row r="267" spans="1:40" x14ac:dyDescent="0.25">
      <c r="A267" s="12"/>
      <c r="C267" s="9"/>
      <c r="D267" s="9"/>
      <c r="E267" s="9"/>
      <c r="F267" s="9"/>
      <c r="G267" s="9"/>
      <c r="L267" s="9" t="str">
        <f>IF($J267="","",IFERROR(SUMIFS(SummaryHelper!$H$2:$H$5000,SummaryHelper!$A$2:$A$5000,$I267,SummaryHelper!$B$2:$B$5000,$J267,SummaryHelper!$C$2:$C$5000,$K267)/SUMIFS(SummaryHelper!$G$2:$G$5000,SummaryHelper!$A$2:$A$5000,$I267,SummaryHelper!$B$2:$B$5000,$J267,SummaryHelper!$C$2:$C$5000,$K267),""))</f>
        <v/>
      </c>
      <c r="M267" s="9" t="str">
        <f>IF($J267="","",SUMIFS(SummaryHelper!$E$2:$E$5000,SummaryHelper!$A$2:$A$5000,$I267,SummaryHelper!$B$2:$B$5000,$J267,SummaryHelper!$C$2:$C$5000,$K267))</f>
        <v/>
      </c>
      <c r="N267" s="9" t="str">
        <f>IF($J267="","",SUMIFS(SummaryHelper!$F$2:$F$5000,SummaryHelper!$A$2:$A$5000,$I267,SummaryHelper!$B$2:$B$5000,$J267,SummaryHelper!$C$2:$C$5000,$K267))</f>
        <v/>
      </c>
      <c r="O267" s="9" t="str">
        <f>IF($J267="","",SUMIFS(SummaryHelper!$G$2:$G$5000,SummaryHelper!$A$2:$A$5000,$I267,SummaryHelper!$B$2:$B$5000,$J267,SummaryHelper!$C$2:$C$5000,$K267))</f>
        <v/>
      </c>
      <c r="Q267" s="9" t="str">
        <f t="shared" si="36"/>
        <v/>
      </c>
      <c r="R267" s="9" t="str">
        <f t="shared" si="37"/>
        <v/>
      </c>
      <c r="W267" s="9" t="str">
        <f>IF($U267="","",IFERROR(SUMIFS(SummaryHelper!$H$2:$H$5000,SummaryHelper!$A$2:$A$5000,$T267,SummaryHelper!$B$2:$B$5000,$U267,SummaryHelper!$C$2:$C$5000,$V267)/SUMIFS(SummaryHelper!$G$2:$G$5000,SummaryHelper!$A$2:$A$5000,$T267,SummaryHelper!$B$2:$B$5000,$U267,SummaryHelper!$C$2:$C$5000,$V267),""))</f>
        <v/>
      </c>
      <c r="X267" s="9" t="str">
        <f>IF($U267="","",SUMIFS(SummaryHelper!$E$2:$E$5000,SummaryHelper!$A$2:$A$5000,$T267,SummaryHelper!$B$2:$B$5000,$U267,SummaryHelper!$C$2:$C$5000,$V267))</f>
        <v/>
      </c>
      <c r="Y267" s="9" t="str">
        <f>IF($U267="","",SUMIFS(SummaryHelper!$F$2:$F$5000,SummaryHelper!$A$2:$A$5000,$T267,SummaryHelper!$B$2:$B$5000,$U267,SummaryHelper!$C$2:$C$5000,$V267))</f>
        <v/>
      </c>
      <c r="Z267" s="9" t="s">
        <v>489</v>
      </c>
      <c r="AB267" s="9" t="str">
        <f t="shared" si="38"/>
        <v/>
      </c>
      <c r="AC267" s="9" t="str">
        <f t="shared" si="39"/>
        <v/>
      </c>
      <c r="AH267" t="str">
        <f>IF($AF267="","",IFERROR(SUMIFS(SummaryHelper!$H$2:$H$5000,SummaryHelper!$A$2:$A$5000,$AE267,SummaryHelper!$B$2:$B$5000,$AF267,SummaryHelper!$C$2:$C$5000,$AG267)/SUMIFS(SummaryHelper!$G$2:$G$5000,SummaryHelper!$A$2:$A$5000,$AE267,SummaryHelper!$B$2:$B$5000,$AF267,SummaryHelper!$C$2:$C$5000,$AG267),""))</f>
        <v/>
      </c>
      <c r="AI267" t="str">
        <f>IF($AF267="","",SUMIFS(SummaryHelper!$E$2:$E$5000,SummaryHelper!$A$2:$A$5000,$AE267,SummaryHelper!$B$2:$B$5000,$AF267,SummaryHelper!$C$2:$C$5000,$AG267))</f>
        <v/>
      </c>
      <c r="AJ267" t="str">
        <f>IF($AF267="","",SUMIFS(SummaryHelper!$F$2:$F$5000,SummaryHelper!$A$2:$A$5000,$AE267,SummaryHelper!$B$2:$B$5000,$AF267,SummaryHelper!$C$2:$C$5000,$AG267))</f>
        <v/>
      </c>
      <c r="AK267" t="str">
        <f>IF($AF267="","",SUMIFS(SummaryHelper!$G$2:$G$5000,SummaryHelper!$A$2:$A$5000,$AE267,SummaryHelper!$B$2:$B$5000,$AF267,SummaryHelper!$C$2:$C$5000,$AG267))</f>
        <v/>
      </c>
      <c r="AM267" t="str">
        <f t="shared" si="40"/>
        <v/>
      </c>
      <c r="AN267" t="str">
        <f t="shared" si="41"/>
        <v/>
      </c>
    </row>
    <row r="268" spans="1:40" x14ac:dyDescent="0.25">
      <c r="A268" s="12"/>
      <c r="C268" s="9"/>
      <c r="D268" s="9"/>
      <c r="E268" s="9"/>
      <c r="F268" s="9"/>
      <c r="G268" s="9"/>
      <c r="L268" s="9" t="str">
        <f>IF($J268="","",IFERROR(SUMIFS(SummaryHelper!$H$2:$H$5000,SummaryHelper!$A$2:$A$5000,$I268,SummaryHelper!$B$2:$B$5000,$J268,SummaryHelper!$C$2:$C$5000,$K268)/SUMIFS(SummaryHelper!$G$2:$G$5000,SummaryHelper!$A$2:$A$5000,$I268,SummaryHelper!$B$2:$B$5000,$J268,SummaryHelper!$C$2:$C$5000,$K268),""))</f>
        <v/>
      </c>
      <c r="M268" s="9" t="str">
        <f>IF($J268="","",SUMIFS(SummaryHelper!$E$2:$E$5000,SummaryHelper!$A$2:$A$5000,$I268,SummaryHelper!$B$2:$B$5000,$J268,SummaryHelper!$C$2:$C$5000,$K268))</f>
        <v/>
      </c>
      <c r="N268" s="9" t="str">
        <f>IF($J268="","",SUMIFS(SummaryHelper!$F$2:$F$5000,SummaryHelper!$A$2:$A$5000,$I268,SummaryHelper!$B$2:$B$5000,$J268,SummaryHelper!$C$2:$C$5000,$K268))</f>
        <v/>
      </c>
      <c r="O268" s="9" t="str">
        <f>IF($J268="","",SUMIFS(SummaryHelper!$G$2:$G$5000,SummaryHelper!$A$2:$A$5000,$I268,SummaryHelper!$B$2:$B$5000,$J268,SummaryHelper!$C$2:$C$5000,$K268))</f>
        <v/>
      </c>
      <c r="Q268" s="9" t="str">
        <f t="shared" si="36"/>
        <v/>
      </c>
      <c r="R268" s="9" t="str">
        <f t="shared" si="37"/>
        <v/>
      </c>
      <c r="W268" s="9" t="str">
        <f>IF($U268="","",IFERROR(SUMIFS(SummaryHelper!$H$2:$H$5000,SummaryHelper!$A$2:$A$5000,$T268,SummaryHelper!$B$2:$B$5000,$U268,SummaryHelper!$C$2:$C$5000,$V268)/SUMIFS(SummaryHelper!$G$2:$G$5000,SummaryHelper!$A$2:$A$5000,$T268,SummaryHelper!$B$2:$B$5000,$U268,SummaryHelper!$C$2:$C$5000,$V268),""))</f>
        <v/>
      </c>
      <c r="X268" s="9" t="str">
        <f>IF($U268="","",SUMIFS(SummaryHelper!$E$2:$E$5000,SummaryHelper!$A$2:$A$5000,$T268,SummaryHelper!$B$2:$B$5000,$U268,SummaryHelper!$C$2:$C$5000,$V268))</f>
        <v/>
      </c>
      <c r="Y268" s="9" t="str">
        <f>IF($U268="","",SUMIFS(SummaryHelper!$F$2:$F$5000,SummaryHelper!$A$2:$A$5000,$T268,SummaryHelper!$B$2:$B$5000,$U268,SummaryHelper!$C$2:$C$5000,$V268))</f>
        <v/>
      </c>
      <c r="Z268" s="9" t="s">
        <v>489</v>
      </c>
      <c r="AB268" s="9" t="str">
        <f t="shared" si="38"/>
        <v/>
      </c>
      <c r="AC268" s="9" t="str">
        <f t="shared" si="39"/>
        <v/>
      </c>
      <c r="AH268" t="str">
        <f>IF($AF268="","",IFERROR(SUMIFS(SummaryHelper!$H$2:$H$5000,SummaryHelper!$A$2:$A$5000,$AE268,SummaryHelper!$B$2:$B$5000,$AF268,SummaryHelper!$C$2:$C$5000,$AG268)/SUMIFS(SummaryHelper!$G$2:$G$5000,SummaryHelper!$A$2:$A$5000,$AE268,SummaryHelper!$B$2:$B$5000,$AF268,SummaryHelper!$C$2:$C$5000,$AG268),""))</f>
        <v/>
      </c>
      <c r="AI268" t="str">
        <f>IF($AF268="","",SUMIFS(SummaryHelper!$E$2:$E$5000,SummaryHelper!$A$2:$A$5000,$AE268,SummaryHelper!$B$2:$B$5000,$AF268,SummaryHelper!$C$2:$C$5000,$AG268))</f>
        <v/>
      </c>
      <c r="AJ268" t="str">
        <f>IF($AF268="","",SUMIFS(SummaryHelper!$F$2:$F$5000,SummaryHelper!$A$2:$A$5000,$AE268,SummaryHelper!$B$2:$B$5000,$AF268,SummaryHelper!$C$2:$C$5000,$AG268))</f>
        <v/>
      </c>
      <c r="AK268" t="str">
        <f>IF($AF268="","",SUMIFS(SummaryHelper!$G$2:$G$5000,SummaryHelper!$A$2:$A$5000,$AE268,SummaryHelper!$B$2:$B$5000,$AF268,SummaryHelper!$C$2:$C$5000,$AG268))</f>
        <v/>
      </c>
      <c r="AM268" t="str">
        <f t="shared" si="40"/>
        <v/>
      </c>
      <c r="AN268" t="str">
        <f t="shared" si="41"/>
        <v/>
      </c>
    </row>
    <row r="269" spans="1:40" x14ac:dyDescent="0.25">
      <c r="A269" s="12"/>
      <c r="C269" s="9"/>
      <c r="D269" s="9"/>
      <c r="E269" s="9"/>
      <c r="F269" s="9"/>
      <c r="G269" s="9"/>
      <c r="L269" s="9" t="str">
        <f>IF($J269="","",IFERROR(SUMIFS(SummaryHelper!$H$2:$H$5000,SummaryHelper!$A$2:$A$5000,$I269,SummaryHelper!$B$2:$B$5000,$J269,SummaryHelper!$C$2:$C$5000,$K269)/SUMIFS(SummaryHelper!$G$2:$G$5000,SummaryHelper!$A$2:$A$5000,$I269,SummaryHelper!$B$2:$B$5000,$J269,SummaryHelper!$C$2:$C$5000,$K269),""))</f>
        <v/>
      </c>
      <c r="M269" s="9" t="str">
        <f>IF($J269="","",SUMIFS(SummaryHelper!$E$2:$E$5000,SummaryHelper!$A$2:$A$5000,$I269,SummaryHelper!$B$2:$B$5000,$J269,SummaryHelper!$C$2:$C$5000,$K269))</f>
        <v/>
      </c>
      <c r="N269" s="9" t="str">
        <f>IF($J269="","",SUMIFS(SummaryHelper!$F$2:$F$5000,SummaryHelper!$A$2:$A$5000,$I269,SummaryHelper!$B$2:$B$5000,$J269,SummaryHelper!$C$2:$C$5000,$K269))</f>
        <v/>
      </c>
      <c r="O269" s="9" t="str">
        <f>IF($J269="","",SUMIFS(SummaryHelper!$G$2:$G$5000,SummaryHelper!$A$2:$A$5000,$I269,SummaryHelper!$B$2:$B$5000,$J269,SummaryHelper!$C$2:$C$5000,$K269))</f>
        <v/>
      </c>
      <c r="Q269" s="9" t="str">
        <f t="shared" si="36"/>
        <v/>
      </c>
      <c r="R269" s="9" t="str">
        <f t="shared" si="37"/>
        <v/>
      </c>
      <c r="W269" s="9" t="str">
        <f>IF($U269="","",IFERROR(SUMIFS(SummaryHelper!$H$2:$H$5000,SummaryHelper!$A$2:$A$5000,$T269,SummaryHelper!$B$2:$B$5000,$U269,SummaryHelper!$C$2:$C$5000,$V269)/SUMIFS(SummaryHelper!$G$2:$G$5000,SummaryHelper!$A$2:$A$5000,$T269,SummaryHelper!$B$2:$B$5000,$U269,SummaryHelper!$C$2:$C$5000,$V269),""))</f>
        <v/>
      </c>
      <c r="X269" s="9" t="str">
        <f>IF($U269="","",SUMIFS(SummaryHelper!$E$2:$E$5000,SummaryHelper!$A$2:$A$5000,$T269,SummaryHelper!$B$2:$B$5000,$U269,SummaryHelper!$C$2:$C$5000,$V269))</f>
        <v/>
      </c>
      <c r="Y269" s="9" t="str">
        <f>IF($U269="","",SUMIFS(SummaryHelper!$F$2:$F$5000,SummaryHelper!$A$2:$A$5000,$T269,SummaryHelper!$B$2:$B$5000,$U269,SummaryHelper!$C$2:$C$5000,$V269))</f>
        <v/>
      </c>
      <c r="Z269" s="9" t="s">
        <v>489</v>
      </c>
      <c r="AB269" s="9" t="str">
        <f t="shared" si="38"/>
        <v/>
      </c>
      <c r="AC269" s="9" t="str">
        <f t="shared" si="39"/>
        <v/>
      </c>
      <c r="AH269" t="str">
        <f>IF($AF269="","",IFERROR(SUMIFS(SummaryHelper!$H$2:$H$5000,SummaryHelper!$A$2:$A$5000,$AE269,SummaryHelper!$B$2:$B$5000,$AF269,SummaryHelper!$C$2:$C$5000,$AG269)/SUMIFS(SummaryHelper!$G$2:$G$5000,SummaryHelper!$A$2:$A$5000,$AE269,SummaryHelper!$B$2:$B$5000,$AF269,SummaryHelper!$C$2:$C$5000,$AG269),""))</f>
        <v/>
      </c>
      <c r="AI269" t="str">
        <f>IF($AF269="","",SUMIFS(SummaryHelper!$E$2:$E$5000,SummaryHelper!$A$2:$A$5000,$AE269,SummaryHelper!$B$2:$B$5000,$AF269,SummaryHelper!$C$2:$C$5000,$AG269))</f>
        <v/>
      </c>
      <c r="AJ269" t="str">
        <f>IF($AF269="","",SUMIFS(SummaryHelper!$F$2:$F$5000,SummaryHelper!$A$2:$A$5000,$AE269,SummaryHelper!$B$2:$B$5000,$AF269,SummaryHelper!$C$2:$C$5000,$AG269))</f>
        <v/>
      </c>
      <c r="AK269" t="str">
        <f>IF($AF269="","",SUMIFS(SummaryHelper!$G$2:$G$5000,SummaryHelper!$A$2:$A$5000,$AE269,SummaryHelper!$B$2:$B$5000,$AF269,SummaryHelper!$C$2:$C$5000,$AG269))</f>
        <v/>
      </c>
      <c r="AM269" t="str">
        <f t="shared" si="40"/>
        <v/>
      </c>
      <c r="AN269" t="str">
        <f t="shared" si="41"/>
        <v/>
      </c>
    </row>
    <row r="270" spans="1:40" x14ac:dyDescent="0.25">
      <c r="A270" s="12"/>
      <c r="C270" s="9"/>
      <c r="D270" s="9"/>
      <c r="E270" s="9"/>
      <c r="F270" s="9"/>
      <c r="G270" s="9"/>
      <c r="L270" s="9" t="str">
        <f>IF($J270="","",IFERROR(SUMIFS(SummaryHelper!$H$2:$H$5000,SummaryHelper!$A$2:$A$5000,$I270,SummaryHelper!$B$2:$B$5000,$J270,SummaryHelper!$C$2:$C$5000,$K270)/SUMIFS(SummaryHelper!$G$2:$G$5000,SummaryHelper!$A$2:$A$5000,$I270,SummaryHelper!$B$2:$B$5000,$J270,SummaryHelper!$C$2:$C$5000,$K270),""))</f>
        <v/>
      </c>
      <c r="M270" s="9" t="str">
        <f>IF($J270="","",SUMIFS(SummaryHelper!$E$2:$E$5000,SummaryHelper!$A$2:$A$5000,$I270,SummaryHelper!$B$2:$B$5000,$J270,SummaryHelper!$C$2:$C$5000,$K270))</f>
        <v/>
      </c>
      <c r="N270" s="9" t="str">
        <f>IF($J270="","",SUMIFS(SummaryHelper!$F$2:$F$5000,SummaryHelper!$A$2:$A$5000,$I270,SummaryHelper!$B$2:$B$5000,$J270,SummaryHelper!$C$2:$C$5000,$K270))</f>
        <v/>
      </c>
      <c r="O270" s="9" t="str">
        <f>IF($J270="","",SUMIFS(SummaryHelper!$G$2:$G$5000,SummaryHelper!$A$2:$A$5000,$I270,SummaryHelper!$B$2:$B$5000,$J270,SummaryHelper!$C$2:$C$5000,$K270))</f>
        <v/>
      </c>
      <c r="Q270" s="9" t="str">
        <f t="shared" si="36"/>
        <v/>
      </c>
      <c r="R270" s="9" t="str">
        <f t="shared" si="37"/>
        <v/>
      </c>
      <c r="W270" s="9" t="str">
        <f>IF($U270="","",IFERROR(SUMIFS(SummaryHelper!$H$2:$H$5000,SummaryHelper!$A$2:$A$5000,$T270,SummaryHelper!$B$2:$B$5000,$U270,SummaryHelper!$C$2:$C$5000,$V270)/SUMIFS(SummaryHelper!$G$2:$G$5000,SummaryHelper!$A$2:$A$5000,$T270,SummaryHelper!$B$2:$B$5000,$U270,SummaryHelper!$C$2:$C$5000,$V270),""))</f>
        <v/>
      </c>
      <c r="X270" s="9" t="str">
        <f>IF($U270="","",SUMIFS(SummaryHelper!$E$2:$E$5000,SummaryHelper!$A$2:$A$5000,$T270,SummaryHelper!$B$2:$B$5000,$U270,SummaryHelper!$C$2:$C$5000,$V270))</f>
        <v/>
      </c>
      <c r="Y270" s="9" t="str">
        <f>IF($U270="","",SUMIFS(SummaryHelper!$F$2:$F$5000,SummaryHelper!$A$2:$A$5000,$T270,SummaryHelper!$B$2:$B$5000,$U270,SummaryHelper!$C$2:$C$5000,$V270))</f>
        <v/>
      </c>
      <c r="Z270" s="9" t="s">
        <v>489</v>
      </c>
      <c r="AB270" s="9" t="str">
        <f t="shared" si="38"/>
        <v/>
      </c>
      <c r="AC270" s="9" t="str">
        <f t="shared" si="39"/>
        <v/>
      </c>
      <c r="AH270" t="str">
        <f>IF($AF270="","",IFERROR(SUMIFS(SummaryHelper!$H$2:$H$5000,SummaryHelper!$A$2:$A$5000,$AE270,SummaryHelper!$B$2:$B$5000,$AF270,SummaryHelper!$C$2:$C$5000,$AG270)/SUMIFS(SummaryHelper!$G$2:$G$5000,SummaryHelper!$A$2:$A$5000,$AE270,SummaryHelper!$B$2:$B$5000,$AF270,SummaryHelper!$C$2:$C$5000,$AG270),""))</f>
        <v/>
      </c>
      <c r="AI270" t="str">
        <f>IF($AF270="","",SUMIFS(SummaryHelper!$E$2:$E$5000,SummaryHelper!$A$2:$A$5000,$AE270,SummaryHelper!$B$2:$B$5000,$AF270,SummaryHelper!$C$2:$C$5000,$AG270))</f>
        <v/>
      </c>
      <c r="AJ270" t="str">
        <f>IF($AF270="","",SUMIFS(SummaryHelper!$F$2:$F$5000,SummaryHelper!$A$2:$A$5000,$AE270,SummaryHelper!$B$2:$B$5000,$AF270,SummaryHelper!$C$2:$C$5000,$AG270))</f>
        <v/>
      </c>
      <c r="AK270" t="str">
        <f>IF($AF270="","",SUMIFS(SummaryHelper!$G$2:$G$5000,SummaryHelper!$A$2:$A$5000,$AE270,SummaryHelper!$B$2:$B$5000,$AF270,SummaryHelper!$C$2:$C$5000,$AG270))</f>
        <v/>
      </c>
      <c r="AM270" t="str">
        <f t="shared" si="40"/>
        <v/>
      </c>
      <c r="AN270" t="str">
        <f t="shared" si="41"/>
        <v/>
      </c>
    </row>
    <row r="271" spans="1:40" x14ac:dyDescent="0.25">
      <c r="A271" s="12"/>
      <c r="C271" s="9"/>
      <c r="D271" s="9"/>
      <c r="E271" s="9"/>
      <c r="F271" s="9"/>
      <c r="G271" s="9"/>
      <c r="L271" s="9" t="str">
        <f>IF($J271="","",IFERROR(SUMIFS(SummaryHelper!$H$2:$H$5000,SummaryHelper!$A$2:$A$5000,$I271,SummaryHelper!$B$2:$B$5000,$J271,SummaryHelper!$C$2:$C$5000,$K271)/SUMIFS(SummaryHelper!$G$2:$G$5000,SummaryHelper!$A$2:$A$5000,$I271,SummaryHelper!$B$2:$B$5000,$J271,SummaryHelper!$C$2:$C$5000,$K271),""))</f>
        <v/>
      </c>
      <c r="M271" s="9" t="str">
        <f>IF($J271="","",SUMIFS(SummaryHelper!$E$2:$E$5000,SummaryHelper!$A$2:$A$5000,$I271,SummaryHelper!$B$2:$B$5000,$J271,SummaryHelper!$C$2:$C$5000,$K271))</f>
        <v/>
      </c>
      <c r="N271" s="9" t="str">
        <f>IF($J271="","",SUMIFS(SummaryHelper!$F$2:$F$5000,SummaryHelper!$A$2:$A$5000,$I271,SummaryHelper!$B$2:$B$5000,$J271,SummaryHelper!$C$2:$C$5000,$K271))</f>
        <v/>
      </c>
      <c r="O271" s="9" t="str">
        <f>IF($J271="","",SUMIFS(SummaryHelper!$G$2:$G$5000,SummaryHelper!$A$2:$A$5000,$I271,SummaryHelper!$B$2:$B$5000,$J271,SummaryHelper!$C$2:$C$5000,$K271))</f>
        <v/>
      </c>
      <c r="Q271" s="9" t="str">
        <f t="shared" si="36"/>
        <v/>
      </c>
      <c r="R271" s="9" t="str">
        <f t="shared" si="37"/>
        <v/>
      </c>
      <c r="W271" s="9" t="str">
        <f>IF($U271="","",IFERROR(SUMIFS(SummaryHelper!$H$2:$H$5000,SummaryHelper!$A$2:$A$5000,$T271,SummaryHelper!$B$2:$B$5000,$U271,SummaryHelper!$C$2:$C$5000,$V271)/SUMIFS(SummaryHelper!$G$2:$G$5000,SummaryHelper!$A$2:$A$5000,$T271,SummaryHelper!$B$2:$B$5000,$U271,SummaryHelper!$C$2:$C$5000,$V271),""))</f>
        <v/>
      </c>
      <c r="X271" s="9" t="str">
        <f>IF($U271="","",SUMIFS(SummaryHelper!$E$2:$E$5000,SummaryHelper!$A$2:$A$5000,$T271,SummaryHelper!$B$2:$B$5000,$U271,SummaryHelper!$C$2:$C$5000,$V271))</f>
        <v/>
      </c>
      <c r="Y271" s="9" t="str">
        <f>IF($U271="","",SUMIFS(SummaryHelper!$F$2:$F$5000,SummaryHelper!$A$2:$A$5000,$T271,SummaryHelper!$B$2:$B$5000,$U271,SummaryHelper!$C$2:$C$5000,$V271))</f>
        <v/>
      </c>
      <c r="Z271" s="9" t="s">
        <v>489</v>
      </c>
      <c r="AB271" s="9" t="str">
        <f t="shared" si="38"/>
        <v/>
      </c>
      <c r="AC271" s="9" t="str">
        <f t="shared" si="39"/>
        <v/>
      </c>
      <c r="AH271" t="str">
        <f>IF($AF271="","",IFERROR(SUMIFS(SummaryHelper!$H$2:$H$5000,SummaryHelper!$A$2:$A$5000,$AE271,SummaryHelper!$B$2:$B$5000,$AF271,SummaryHelper!$C$2:$C$5000,$AG271)/SUMIFS(SummaryHelper!$G$2:$G$5000,SummaryHelper!$A$2:$A$5000,$AE271,SummaryHelper!$B$2:$B$5000,$AF271,SummaryHelper!$C$2:$C$5000,$AG271),""))</f>
        <v/>
      </c>
      <c r="AI271" t="str">
        <f>IF($AF271="","",SUMIFS(SummaryHelper!$E$2:$E$5000,SummaryHelper!$A$2:$A$5000,$AE271,SummaryHelper!$B$2:$B$5000,$AF271,SummaryHelper!$C$2:$C$5000,$AG271))</f>
        <v/>
      </c>
      <c r="AJ271" t="str">
        <f>IF($AF271="","",SUMIFS(SummaryHelper!$F$2:$F$5000,SummaryHelper!$A$2:$A$5000,$AE271,SummaryHelper!$B$2:$B$5000,$AF271,SummaryHelper!$C$2:$C$5000,$AG271))</f>
        <v/>
      </c>
      <c r="AK271" t="str">
        <f>IF($AF271="","",SUMIFS(SummaryHelper!$G$2:$G$5000,SummaryHelper!$A$2:$A$5000,$AE271,SummaryHelper!$B$2:$B$5000,$AF271,SummaryHelper!$C$2:$C$5000,$AG271))</f>
        <v/>
      </c>
      <c r="AM271" t="str">
        <f t="shared" si="40"/>
        <v/>
      </c>
      <c r="AN271" t="str">
        <f t="shared" si="41"/>
        <v/>
      </c>
    </row>
    <row r="272" spans="1:40" x14ac:dyDescent="0.25">
      <c r="A272" s="12"/>
      <c r="C272" s="9"/>
      <c r="D272" s="9"/>
      <c r="E272" s="9"/>
      <c r="F272" s="9"/>
      <c r="G272" s="9"/>
      <c r="L272" s="9" t="str">
        <f>IF($J272="","",IFERROR(SUMIFS(SummaryHelper!$H$2:$H$5000,SummaryHelper!$A$2:$A$5000,$I272,SummaryHelper!$B$2:$B$5000,$J272,SummaryHelper!$C$2:$C$5000,$K272)/SUMIFS(SummaryHelper!$G$2:$G$5000,SummaryHelper!$A$2:$A$5000,$I272,SummaryHelper!$B$2:$B$5000,$J272,SummaryHelper!$C$2:$C$5000,$K272),""))</f>
        <v/>
      </c>
      <c r="M272" s="9" t="str">
        <f>IF($J272="","",SUMIFS(SummaryHelper!$E$2:$E$5000,SummaryHelper!$A$2:$A$5000,$I272,SummaryHelper!$B$2:$B$5000,$J272,SummaryHelper!$C$2:$C$5000,$K272))</f>
        <v/>
      </c>
      <c r="N272" s="9" t="str">
        <f>IF($J272="","",SUMIFS(SummaryHelper!$F$2:$F$5000,SummaryHelper!$A$2:$A$5000,$I272,SummaryHelper!$B$2:$B$5000,$J272,SummaryHelper!$C$2:$C$5000,$K272))</f>
        <v/>
      </c>
      <c r="O272" s="9" t="str">
        <f>IF($J272="","",SUMIFS(SummaryHelper!$G$2:$G$5000,SummaryHelper!$A$2:$A$5000,$I272,SummaryHelper!$B$2:$B$5000,$J272,SummaryHelper!$C$2:$C$5000,$K272))</f>
        <v/>
      </c>
      <c r="Q272" s="9" t="str">
        <f t="shared" si="36"/>
        <v/>
      </c>
      <c r="R272" s="9" t="str">
        <f t="shared" si="37"/>
        <v/>
      </c>
      <c r="W272" s="9" t="str">
        <f>IF($U272="","",IFERROR(SUMIFS(SummaryHelper!$H$2:$H$5000,SummaryHelper!$A$2:$A$5000,$T272,SummaryHelper!$B$2:$B$5000,$U272,SummaryHelper!$C$2:$C$5000,$V272)/SUMIFS(SummaryHelper!$G$2:$G$5000,SummaryHelper!$A$2:$A$5000,$T272,SummaryHelper!$B$2:$B$5000,$U272,SummaryHelper!$C$2:$C$5000,$V272),""))</f>
        <v/>
      </c>
      <c r="X272" s="9" t="str">
        <f>IF($U272="","",SUMIFS(SummaryHelper!$E$2:$E$5000,SummaryHelper!$A$2:$A$5000,$T272,SummaryHelper!$B$2:$B$5000,$U272,SummaryHelper!$C$2:$C$5000,$V272))</f>
        <v/>
      </c>
      <c r="Y272" s="9" t="str">
        <f>IF($U272="","",SUMIFS(SummaryHelper!$F$2:$F$5000,SummaryHelper!$A$2:$A$5000,$T272,SummaryHelper!$B$2:$B$5000,$U272,SummaryHelper!$C$2:$C$5000,$V272))</f>
        <v/>
      </c>
      <c r="Z272" s="9" t="s">
        <v>489</v>
      </c>
      <c r="AB272" s="9" t="str">
        <f t="shared" si="38"/>
        <v/>
      </c>
      <c r="AC272" s="9" t="str">
        <f t="shared" si="39"/>
        <v/>
      </c>
      <c r="AH272" t="str">
        <f>IF($AF272="","",IFERROR(SUMIFS(SummaryHelper!$H$2:$H$5000,SummaryHelper!$A$2:$A$5000,$AE272,SummaryHelper!$B$2:$B$5000,$AF272,SummaryHelper!$C$2:$C$5000,$AG272)/SUMIFS(SummaryHelper!$G$2:$G$5000,SummaryHelper!$A$2:$A$5000,$AE272,SummaryHelper!$B$2:$B$5000,$AF272,SummaryHelper!$C$2:$C$5000,$AG272),""))</f>
        <v/>
      </c>
      <c r="AI272" t="str">
        <f>IF($AF272="","",SUMIFS(SummaryHelper!$E$2:$E$5000,SummaryHelper!$A$2:$A$5000,$AE272,SummaryHelper!$B$2:$B$5000,$AF272,SummaryHelper!$C$2:$C$5000,$AG272))</f>
        <v/>
      </c>
      <c r="AJ272" t="str">
        <f>IF($AF272="","",SUMIFS(SummaryHelper!$F$2:$F$5000,SummaryHelper!$A$2:$A$5000,$AE272,SummaryHelper!$B$2:$B$5000,$AF272,SummaryHelper!$C$2:$C$5000,$AG272))</f>
        <v/>
      </c>
      <c r="AK272" t="str">
        <f>IF($AF272="","",SUMIFS(SummaryHelper!$G$2:$G$5000,SummaryHelper!$A$2:$A$5000,$AE272,SummaryHelper!$B$2:$B$5000,$AF272,SummaryHelper!$C$2:$C$5000,$AG272))</f>
        <v/>
      </c>
      <c r="AM272" t="str">
        <f t="shared" si="40"/>
        <v/>
      </c>
      <c r="AN272" t="str">
        <f t="shared" si="41"/>
        <v/>
      </c>
    </row>
    <row r="273" spans="1:40" x14ac:dyDescent="0.25">
      <c r="A273" s="12"/>
      <c r="C273" s="9"/>
      <c r="D273" s="9"/>
      <c r="E273" s="9"/>
      <c r="F273" s="9"/>
      <c r="G273" s="9"/>
      <c r="L273" s="9" t="str">
        <f>IF($J273="","",IFERROR(SUMIFS(SummaryHelper!$H$2:$H$5000,SummaryHelper!$A$2:$A$5000,$I273,SummaryHelper!$B$2:$B$5000,$J273,SummaryHelper!$C$2:$C$5000,$K273)/SUMIFS(SummaryHelper!$G$2:$G$5000,SummaryHelper!$A$2:$A$5000,$I273,SummaryHelper!$B$2:$B$5000,$J273,SummaryHelper!$C$2:$C$5000,$K273),""))</f>
        <v/>
      </c>
      <c r="M273" s="9" t="str">
        <f>IF($J273="","",SUMIFS(SummaryHelper!$E$2:$E$5000,SummaryHelper!$A$2:$A$5000,$I273,SummaryHelper!$B$2:$B$5000,$J273,SummaryHelper!$C$2:$C$5000,$K273))</f>
        <v/>
      </c>
      <c r="N273" s="9" t="str">
        <f>IF($J273="","",SUMIFS(SummaryHelper!$F$2:$F$5000,SummaryHelper!$A$2:$A$5000,$I273,SummaryHelper!$B$2:$B$5000,$J273,SummaryHelper!$C$2:$C$5000,$K273))</f>
        <v/>
      </c>
      <c r="O273" s="9" t="str">
        <f>IF($J273="","",SUMIFS(SummaryHelper!$G$2:$G$5000,SummaryHelper!$A$2:$A$5000,$I273,SummaryHelper!$B$2:$B$5000,$J273,SummaryHelper!$C$2:$C$5000,$K273))</f>
        <v/>
      </c>
      <c r="Q273" s="9" t="str">
        <f t="shared" si="36"/>
        <v/>
      </c>
      <c r="R273" s="9" t="str">
        <f t="shared" si="37"/>
        <v/>
      </c>
      <c r="W273" s="9" t="str">
        <f>IF($U273="","",IFERROR(SUMIFS(SummaryHelper!$H$2:$H$5000,SummaryHelper!$A$2:$A$5000,$T273,SummaryHelper!$B$2:$B$5000,$U273,SummaryHelper!$C$2:$C$5000,$V273)/SUMIFS(SummaryHelper!$G$2:$G$5000,SummaryHelper!$A$2:$A$5000,$T273,SummaryHelper!$B$2:$B$5000,$U273,SummaryHelper!$C$2:$C$5000,$V273),""))</f>
        <v/>
      </c>
      <c r="X273" s="9" t="str">
        <f>IF($U273="","",SUMIFS(SummaryHelper!$E$2:$E$5000,SummaryHelper!$A$2:$A$5000,$T273,SummaryHelper!$B$2:$B$5000,$U273,SummaryHelper!$C$2:$C$5000,$V273))</f>
        <v/>
      </c>
      <c r="Y273" s="9" t="str">
        <f>IF($U273="","",SUMIFS(SummaryHelper!$F$2:$F$5000,SummaryHelper!$A$2:$A$5000,$T273,SummaryHelper!$B$2:$B$5000,$U273,SummaryHelper!$C$2:$C$5000,$V273))</f>
        <v/>
      </c>
      <c r="Z273" s="9" t="s">
        <v>489</v>
      </c>
      <c r="AB273" s="9" t="str">
        <f t="shared" si="38"/>
        <v/>
      </c>
      <c r="AC273" s="9" t="str">
        <f t="shared" si="39"/>
        <v/>
      </c>
      <c r="AH273" t="str">
        <f>IF($AF273="","",IFERROR(SUMIFS(SummaryHelper!$H$2:$H$5000,SummaryHelper!$A$2:$A$5000,$AE273,SummaryHelper!$B$2:$B$5000,$AF273,SummaryHelper!$C$2:$C$5000,$AG273)/SUMIFS(SummaryHelper!$G$2:$G$5000,SummaryHelper!$A$2:$A$5000,$AE273,SummaryHelper!$B$2:$B$5000,$AF273,SummaryHelper!$C$2:$C$5000,$AG273),""))</f>
        <v/>
      </c>
      <c r="AI273" t="str">
        <f>IF($AF273="","",SUMIFS(SummaryHelper!$E$2:$E$5000,SummaryHelper!$A$2:$A$5000,$AE273,SummaryHelper!$B$2:$B$5000,$AF273,SummaryHelper!$C$2:$C$5000,$AG273))</f>
        <v/>
      </c>
      <c r="AJ273" t="str">
        <f>IF($AF273="","",SUMIFS(SummaryHelper!$F$2:$F$5000,SummaryHelper!$A$2:$A$5000,$AE273,SummaryHelper!$B$2:$B$5000,$AF273,SummaryHelper!$C$2:$C$5000,$AG273))</f>
        <v/>
      </c>
      <c r="AK273" t="str">
        <f>IF($AF273="","",SUMIFS(SummaryHelper!$G$2:$G$5000,SummaryHelper!$A$2:$A$5000,$AE273,SummaryHelper!$B$2:$B$5000,$AF273,SummaryHelper!$C$2:$C$5000,$AG273))</f>
        <v/>
      </c>
      <c r="AM273" t="str">
        <f t="shared" si="40"/>
        <v/>
      </c>
      <c r="AN273" t="str">
        <f t="shared" si="41"/>
        <v/>
      </c>
    </row>
    <row r="274" spans="1:40" x14ac:dyDescent="0.25">
      <c r="A274" s="12"/>
      <c r="C274" s="9"/>
      <c r="D274" s="9"/>
      <c r="E274" s="9"/>
      <c r="F274" s="9"/>
      <c r="G274" s="9"/>
      <c r="L274" s="9" t="str">
        <f>IF($J274="","",IFERROR(SUMIFS(SummaryHelper!$H$2:$H$5000,SummaryHelper!$A$2:$A$5000,$I274,SummaryHelper!$B$2:$B$5000,$J274,SummaryHelper!$C$2:$C$5000,$K274)/SUMIFS(SummaryHelper!$G$2:$G$5000,SummaryHelper!$A$2:$A$5000,$I274,SummaryHelper!$B$2:$B$5000,$J274,SummaryHelper!$C$2:$C$5000,$K274),""))</f>
        <v/>
      </c>
      <c r="M274" s="9" t="str">
        <f>IF($J274="","",SUMIFS(SummaryHelper!$E$2:$E$5000,SummaryHelper!$A$2:$A$5000,$I274,SummaryHelper!$B$2:$B$5000,$J274,SummaryHelper!$C$2:$C$5000,$K274))</f>
        <v/>
      </c>
      <c r="N274" s="9" t="str">
        <f>IF($J274="","",SUMIFS(SummaryHelper!$F$2:$F$5000,SummaryHelper!$A$2:$A$5000,$I274,SummaryHelper!$B$2:$B$5000,$J274,SummaryHelper!$C$2:$C$5000,$K274))</f>
        <v/>
      </c>
      <c r="O274" s="9" t="str">
        <f>IF($J274="","",SUMIFS(SummaryHelper!$G$2:$G$5000,SummaryHelper!$A$2:$A$5000,$I274,SummaryHelper!$B$2:$B$5000,$J274,SummaryHelper!$C$2:$C$5000,$K274))</f>
        <v/>
      </c>
      <c r="Q274" s="9" t="str">
        <f t="shared" si="36"/>
        <v/>
      </c>
      <c r="R274" s="9" t="str">
        <f t="shared" si="37"/>
        <v/>
      </c>
      <c r="W274" s="9" t="str">
        <f>IF($U274="","",IFERROR(SUMIFS(SummaryHelper!$H$2:$H$5000,SummaryHelper!$A$2:$A$5000,$T274,SummaryHelper!$B$2:$B$5000,$U274,SummaryHelper!$C$2:$C$5000,$V274)/SUMIFS(SummaryHelper!$G$2:$G$5000,SummaryHelper!$A$2:$A$5000,$T274,SummaryHelper!$B$2:$B$5000,$U274,SummaryHelper!$C$2:$C$5000,$V274),""))</f>
        <v/>
      </c>
      <c r="X274" s="9" t="str">
        <f>IF($U274="","",SUMIFS(SummaryHelper!$E$2:$E$5000,SummaryHelper!$A$2:$A$5000,$T274,SummaryHelper!$B$2:$B$5000,$U274,SummaryHelper!$C$2:$C$5000,$V274))</f>
        <v/>
      </c>
      <c r="Y274" s="9" t="str">
        <f>IF($U274="","",SUMIFS(SummaryHelper!$F$2:$F$5000,SummaryHelper!$A$2:$A$5000,$T274,SummaryHelper!$B$2:$B$5000,$U274,SummaryHelper!$C$2:$C$5000,$V274))</f>
        <v/>
      </c>
      <c r="Z274" s="9" t="s">
        <v>489</v>
      </c>
      <c r="AB274" s="9" t="str">
        <f t="shared" si="38"/>
        <v/>
      </c>
      <c r="AC274" s="9" t="str">
        <f t="shared" si="39"/>
        <v/>
      </c>
      <c r="AH274" t="str">
        <f>IF($AF274="","",IFERROR(SUMIFS(SummaryHelper!$H$2:$H$5000,SummaryHelper!$A$2:$A$5000,$AE274,SummaryHelper!$B$2:$B$5000,$AF274,SummaryHelper!$C$2:$C$5000,$AG274)/SUMIFS(SummaryHelper!$G$2:$G$5000,SummaryHelper!$A$2:$A$5000,$AE274,SummaryHelper!$B$2:$B$5000,$AF274,SummaryHelper!$C$2:$C$5000,$AG274),""))</f>
        <v/>
      </c>
      <c r="AI274" t="str">
        <f>IF($AF274="","",SUMIFS(SummaryHelper!$E$2:$E$5000,SummaryHelper!$A$2:$A$5000,$AE274,SummaryHelper!$B$2:$B$5000,$AF274,SummaryHelper!$C$2:$C$5000,$AG274))</f>
        <v/>
      </c>
      <c r="AJ274" t="str">
        <f>IF($AF274="","",SUMIFS(SummaryHelper!$F$2:$F$5000,SummaryHelper!$A$2:$A$5000,$AE274,SummaryHelper!$B$2:$B$5000,$AF274,SummaryHelper!$C$2:$C$5000,$AG274))</f>
        <v/>
      </c>
      <c r="AK274" t="str">
        <f>IF($AF274="","",SUMIFS(SummaryHelper!$G$2:$G$5000,SummaryHelper!$A$2:$A$5000,$AE274,SummaryHelper!$B$2:$B$5000,$AF274,SummaryHelper!$C$2:$C$5000,$AG274))</f>
        <v/>
      </c>
      <c r="AM274" t="str">
        <f t="shared" si="40"/>
        <v/>
      </c>
      <c r="AN274" t="str">
        <f t="shared" si="41"/>
        <v/>
      </c>
    </row>
    <row r="275" spans="1:40" x14ac:dyDescent="0.25">
      <c r="A275" s="12"/>
      <c r="C275" s="9"/>
      <c r="D275" s="9"/>
      <c r="E275" s="9"/>
      <c r="F275" s="9"/>
      <c r="G275" s="9"/>
      <c r="L275" s="9" t="str">
        <f>IF($J275="","",IFERROR(SUMIFS(SummaryHelper!$H$2:$H$5000,SummaryHelper!$A$2:$A$5000,$I275,SummaryHelper!$B$2:$B$5000,$J275,SummaryHelper!$C$2:$C$5000,$K275)/SUMIFS(SummaryHelper!$G$2:$G$5000,SummaryHelper!$A$2:$A$5000,$I275,SummaryHelper!$B$2:$B$5000,$J275,SummaryHelper!$C$2:$C$5000,$K275),""))</f>
        <v/>
      </c>
      <c r="M275" s="9" t="str">
        <f>IF($J275="","",SUMIFS(SummaryHelper!$E$2:$E$5000,SummaryHelper!$A$2:$A$5000,$I275,SummaryHelper!$B$2:$B$5000,$J275,SummaryHelper!$C$2:$C$5000,$K275))</f>
        <v/>
      </c>
      <c r="N275" s="9" t="str">
        <f>IF($J275="","",SUMIFS(SummaryHelper!$F$2:$F$5000,SummaryHelper!$A$2:$A$5000,$I275,SummaryHelper!$B$2:$B$5000,$J275,SummaryHelper!$C$2:$C$5000,$K275))</f>
        <v/>
      </c>
      <c r="O275" s="9" t="str">
        <f>IF($J275="","",SUMIFS(SummaryHelper!$G$2:$G$5000,SummaryHelper!$A$2:$A$5000,$I275,SummaryHelper!$B$2:$B$5000,$J275,SummaryHelper!$C$2:$C$5000,$K275))</f>
        <v/>
      </c>
      <c r="Q275" s="9" t="str">
        <f t="shared" si="36"/>
        <v/>
      </c>
      <c r="R275" s="9" t="str">
        <f t="shared" si="37"/>
        <v/>
      </c>
      <c r="W275" s="9" t="str">
        <f>IF($U275="","",IFERROR(SUMIFS(SummaryHelper!$H$2:$H$5000,SummaryHelper!$A$2:$A$5000,$T275,SummaryHelper!$B$2:$B$5000,$U275,SummaryHelper!$C$2:$C$5000,$V275)/SUMIFS(SummaryHelper!$G$2:$G$5000,SummaryHelper!$A$2:$A$5000,$T275,SummaryHelper!$B$2:$B$5000,$U275,SummaryHelper!$C$2:$C$5000,$V275),""))</f>
        <v/>
      </c>
      <c r="X275" s="9" t="str">
        <f>IF($U275="","",SUMIFS(SummaryHelper!$E$2:$E$5000,SummaryHelper!$A$2:$A$5000,$T275,SummaryHelper!$B$2:$B$5000,$U275,SummaryHelper!$C$2:$C$5000,$V275))</f>
        <v/>
      </c>
      <c r="Y275" s="9" t="str">
        <f>IF($U275="","",SUMIFS(SummaryHelper!$F$2:$F$5000,SummaryHelper!$A$2:$A$5000,$T275,SummaryHelper!$B$2:$B$5000,$U275,SummaryHelper!$C$2:$C$5000,$V275))</f>
        <v/>
      </c>
      <c r="Z275" s="9" t="s">
        <v>489</v>
      </c>
      <c r="AB275" s="9" t="str">
        <f t="shared" si="38"/>
        <v/>
      </c>
      <c r="AC275" s="9" t="str">
        <f t="shared" si="39"/>
        <v/>
      </c>
      <c r="AH275" t="str">
        <f>IF($AF275="","",IFERROR(SUMIFS(SummaryHelper!$H$2:$H$5000,SummaryHelper!$A$2:$A$5000,$AE275,SummaryHelper!$B$2:$B$5000,$AF275,SummaryHelper!$C$2:$C$5000,$AG275)/SUMIFS(SummaryHelper!$G$2:$G$5000,SummaryHelper!$A$2:$A$5000,$AE275,SummaryHelper!$B$2:$B$5000,$AF275,SummaryHelper!$C$2:$C$5000,$AG275),""))</f>
        <v/>
      </c>
      <c r="AI275" t="str">
        <f>IF($AF275="","",SUMIFS(SummaryHelper!$E$2:$E$5000,SummaryHelper!$A$2:$A$5000,$AE275,SummaryHelper!$B$2:$B$5000,$AF275,SummaryHelper!$C$2:$C$5000,$AG275))</f>
        <v/>
      </c>
      <c r="AJ275" t="str">
        <f>IF($AF275="","",SUMIFS(SummaryHelper!$F$2:$F$5000,SummaryHelper!$A$2:$A$5000,$AE275,SummaryHelper!$B$2:$B$5000,$AF275,SummaryHelper!$C$2:$C$5000,$AG275))</f>
        <v/>
      </c>
      <c r="AK275" t="str">
        <f>IF($AF275="","",SUMIFS(SummaryHelper!$G$2:$G$5000,SummaryHelper!$A$2:$A$5000,$AE275,SummaryHelper!$B$2:$B$5000,$AF275,SummaryHelper!$C$2:$C$5000,$AG275))</f>
        <v/>
      </c>
      <c r="AM275" t="str">
        <f t="shared" si="40"/>
        <v/>
      </c>
      <c r="AN275" t="str">
        <f t="shared" si="41"/>
        <v/>
      </c>
    </row>
    <row r="276" spans="1:40" x14ac:dyDescent="0.25">
      <c r="A276" s="12"/>
      <c r="C276" s="9"/>
      <c r="D276" s="9"/>
      <c r="E276" s="9"/>
      <c r="F276" s="9"/>
      <c r="G276" s="9"/>
      <c r="L276" s="9" t="str">
        <f>IF($J276="","",IFERROR(SUMIFS(SummaryHelper!$H$2:$H$5000,SummaryHelper!$A$2:$A$5000,$I276,SummaryHelper!$B$2:$B$5000,$J276,SummaryHelper!$C$2:$C$5000,$K276)/SUMIFS(SummaryHelper!$G$2:$G$5000,SummaryHelper!$A$2:$A$5000,$I276,SummaryHelper!$B$2:$B$5000,$J276,SummaryHelper!$C$2:$C$5000,$K276),""))</f>
        <v/>
      </c>
      <c r="M276" s="9" t="str">
        <f>IF($J276="","",SUMIFS(SummaryHelper!$E$2:$E$5000,SummaryHelper!$A$2:$A$5000,$I276,SummaryHelper!$B$2:$B$5000,$J276,SummaryHelper!$C$2:$C$5000,$K276))</f>
        <v/>
      </c>
      <c r="N276" s="9" t="str">
        <f>IF($J276="","",SUMIFS(SummaryHelper!$F$2:$F$5000,SummaryHelper!$A$2:$A$5000,$I276,SummaryHelper!$B$2:$B$5000,$J276,SummaryHelper!$C$2:$C$5000,$K276))</f>
        <v/>
      </c>
      <c r="O276" s="9" t="str">
        <f>IF($J276="","",SUMIFS(SummaryHelper!$G$2:$G$5000,SummaryHelper!$A$2:$A$5000,$I276,SummaryHelper!$B$2:$B$5000,$J276,SummaryHelper!$C$2:$C$5000,$K276))</f>
        <v/>
      </c>
      <c r="Q276" s="9" t="str">
        <f t="shared" si="36"/>
        <v/>
      </c>
      <c r="R276" s="9" t="str">
        <f t="shared" si="37"/>
        <v/>
      </c>
      <c r="W276" s="9" t="str">
        <f>IF($U276="","",IFERROR(SUMIFS(SummaryHelper!$H$2:$H$5000,SummaryHelper!$A$2:$A$5000,$T276,SummaryHelper!$B$2:$B$5000,$U276,SummaryHelper!$C$2:$C$5000,$V276)/SUMIFS(SummaryHelper!$G$2:$G$5000,SummaryHelper!$A$2:$A$5000,$T276,SummaryHelper!$B$2:$B$5000,$U276,SummaryHelper!$C$2:$C$5000,$V276),""))</f>
        <v/>
      </c>
      <c r="X276" s="9" t="str">
        <f>IF($U276="","",SUMIFS(SummaryHelper!$E$2:$E$5000,SummaryHelper!$A$2:$A$5000,$T276,SummaryHelper!$B$2:$B$5000,$U276,SummaryHelper!$C$2:$C$5000,$V276))</f>
        <v/>
      </c>
      <c r="Y276" s="9" t="str">
        <f>IF($U276="","",SUMIFS(SummaryHelper!$F$2:$F$5000,SummaryHelper!$A$2:$A$5000,$T276,SummaryHelper!$B$2:$B$5000,$U276,SummaryHelper!$C$2:$C$5000,$V276))</f>
        <v/>
      </c>
      <c r="Z276" s="9" t="s">
        <v>489</v>
      </c>
      <c r="AB276" s="9" t="str">
        <f t="shared" si="38"/>
        <v/>
      </c>
      <c r="AC276" s="9" t="str">
        <f t="shared" si="39"/>
        <v/>
      </c>
      <c r="AH276" t="str">
        <f>IF($AF276="","",IFERROR(SUMIFS(SummaryHelper!$H$2:$H$5000,SummaryHelper!$A$2:$A$5000,$AE276,SummaryHelper!$B$2:$B$5000,$AF276,SummaryHelper!$C$2:$C$5000,$AG276)/SUMIFS(SummaryHelper!$G$2:$G$5000,SummaryHelper!$A$2:$A$5000,$AE276,SummaryHelper!$B$2:$B$5000,$AF276,SummaryHelper!$C$2:$C$5000,$AG276),""))</f>
        <v/>
      </c>
      <c r="AI276" t="str">
        <f>IF($AF276="","",SUMIFS(SummaryHelper!$E$2:$E$5000,SummaryHelper!$A$2:$A$5000,$AE276,SummaryHelper!$B$2:$B$5000,$AF276,SummaryHelper!$C$2:$C$5000,$AG276))</f>
        <v/>
      </c>
      <c r="AJ276" t="str">
        <f>IF($AF276="","",SUMIFS(SummaryHelper!$F$2:$F$5000,SummaryHelper!$A$2:$A$5000,$AE276,SummaryHelper!$B$2:$B$5000,$AF276,SummaryHelper!$C$2:$C$5000,$AG276))</f>
        <v/>
      </c>
      <c r="AK276" t="str">
        <f>IF($AF276="","",SUMIFS(SummaryHelper!$G$2:$G$5000,SummaryHelper!$A$2:$A$5000,$AE276,SummaryHelper!$B$2:$B$5000,$AF276,SummaryHelper!$C$2:$C$5000,$AG276))</f>
        <v/>
      </c>
      <c r="AM276" t="str">
        <f t="shared" si="40"/>
        <v/>
      </c>
      <c r="AN276" t="str">
        <f t="shared" si="41"/>
        <v/>
      </c>
    </row>
    <row r="277" spans="1:40" x14ac:dyDescent="0.25">
      <c r="A277" s="12"/>
      <c r="C277" s="9"/>
      <c r="D277" s="9"/>
      <c r="E277" s="9"/>
      <c r="F277" s="9"/>
      <c r="G277" s="9"/>
      <c r="L277" s="9" t="str">
        <f>IF($J277="","",IFERROR(SUMIFS(SummaryHelper!$H$2:$H$5000,SummaryHelper!$A$2:$A$5000,$I277,SummaryHelper!$B$2:$B$5000,$J277,SummaryHelper!$C$2:$C$5000,$K277)/SUMIFS(SummaryHelper!$G$2:$G$5000,SummaryHelper!$A$2:$A$5000,$I277,SummaryHelper!$B$2:$B$5000,$J277,SummaryHelper!$C$2:$C$5000,$K277),""))</f>
        <v/>
      </c>
      <c r="M277" s="9" t="str">
        <f>IF($J277="","",SUMIFS(SummaryHelper!$E$2:$E$5000,SummaryHelper!$A$2:$A$5000,$I277,SummaryHelper!$B$2:$B$5000,$J277,SummaryHelper!$C$2:$C$5000,$K277))</f>
        <v/>
      </c>
      <c r="N277" s="9" t="str">
        <f>IF($J277="","",SUMIFS(SummaryHelper!$F$2:$F$5000,SummaryHelper!$A$2:$A$5000,$I277,SummaryHelper!$B$2:$B$5000,$J277,SummaryHelper!$C$2:$C$5000,$K277))</f>
        <v/>
      </c>
      <c r="O277" s="9" t="str">
        <f>IF($J277="","",SUMIFS(SummaryHelper!$G$2:$G$5000,SummaryHelper!$A$2:$A$5000,$I277,SummaryHelper!$B$2:$B$5000,$J277,SummaryHelper!$C$2:$C$5000,$K277))</f>
        <v/>
      </c>
      <c r="Q277" s="9" t="str">
        <f t="shared" si="36"/>
        <v/>
      </c>
      <c r="R277" s="9" t="str">
        <f t="shared" si="37"/>
        <v/>
      </c>
      <c r="W277" s="9" t="str">
        <f>IF($U277="","",IFERROR(SUMIFS(SummaryHelper!$H$2:$H$5000,SummaryHelper!$A$2:$A$5000,$T277,SummaryHelper!$B$2:$B$5000,$U277,SummaryHelper!$C$2:$C$5000,$V277)/SUMIFS(SummaryHelper!$G$2:$G$5000,SummaryHelper!$A$2:$A$5000,$T277,SummaryHelper!$B$2:$B$5000,$U277,SummaryHelper!$C$2:$C$5000,$V277),""))</f>
        <v/>
      </c>
      <c r="X277" s="9" t="str">
        <f>IF($U277="","",SUMIFS(SummaryHelper!$E$2:$E$5000,SummaryHelper!$A$2:$A$5000,$T277,SummaryHelper!$B$2:$B$5000,$U277,SummaryHelper!$C$2:$C$5000,$V277))</f>
        <v/>
      </c>
      <c r="Y277" s="9" t="str">
        <f>IF($U277="","",SUMIFS(SummaryHelper!$F$2:$F$5000,SummaryHelper!$A$2:$A$5000,$T277,SummaryHelper!$B$2:$B$5000,$U277,SummaryHelper!$C$2:$C$5000,$V277))</f>
        <v/>
      </c>
      <c r="Z277" s="9" t="s">
        <v>489</v>
      </c>
      <c r="AB277" s="9" t="str">
        <f t="shared" si="38"/>
        <v/>
      </c>
      <c r="AC277" s="9" t="str">
        <f t="shared" si="39"/>
        <v/>
      </c>
      <c r="AH277" t="str">
        <f>IF($AF277="","",IFERROR(SUMIFS(SummaryHelper!$H$2:$H$5000,SummaryHelper!$A$2:$A$5000,$AE277,SummaryHelper!$B$2:$B$5000,$AF277,SummaryHelper!$C$2:$C$5000,$AG277)/SUMIFS(SummaryHelper!$G$2:$G$5000,SummaryHelper!$A$2:$A$5000,$AE277,SummaryHelper!$B$2:$B$5000,$AF277,SummaryHelper!$C$2:$C$5000,$AG277),""))</f>
        <v/>
      </c>
      <c r="AI277" t="str">
        <f>IF($AF277="","",SUMIFS(SummaryHelper!$E$2:$E$5000,SummaryHelper!$A$2:$A$5000,$AE277,SummaryHelper!$B$2:$B$5000,$AF277,SummaryHelper!$C$2:$C$5000,$AG277))</f>
        <v/>
      </c>
      <c r="AJ277" t="str">
        <f>IF($AF277="","",SUMIFS(SummaryHelper!$F$2:$F$5000,SummaryHelper!$A$2:$A$5000,$AE277,SummaryHelper!$B$2:$B$5000,$AF277,SummaryHelper!$C$2:$C$5000,$AG277))</f>
        <v/>
      </c>
      <c r="AK277" t="str">
        <f>IF($AF277="","",SUMIFS(SummaryHelper!$G$2:$G$5000,SummaryHelper!$A$2:$A$5000,$AE277,SummaryHelper!$B$2:$B$5000,$AF277,SummaryHelper!$C$2:$C$5000,$AG277))</f>
        <v/>
      </c>
      <c r="AM277" t="str">
        <f t="shared" si="40"/>
        <v/>
      </c>
      <c r="AN277" t="str">
        <f t="shared" si="41"/>
        <v/>
      </c>
    </row>
    <row r="278" spans="1:40" x14ac:dyDescent="0.25">
      <c r="A278" s="12"/>
      <c r="C278" s="9"/>
      <c r="D278" s="9"/>
      <c r="E278" s="9"/>
      <c r="F278" s="9"/>
      <c r="G278" s="9"/>
      <c r="L278" s="9" t="str">
        <f>IF($J278="","",IFERROR(SUMIFS(SummaryHelper!$H$2:$H$5000,SummaryHelper!$A$2:$A$5000,$I278,SummaryHelper!$B$2:$B$5000,$J278,SummaryHelper!$C$2:$C$5000,$K278)/SUMIFS(SummaryHelper!$G$2:$G$5000,SummaryHelper!$A$2:$A$5000,$I278,SummaryHelper!$B$2:$B$5000,$J278,SummaryHelper!$C$2:$C$5000,$K278),""))</f>
        <v/>
      </c>
      <c r="M278" s="9" t="str">
        <f>IF($J278="","",SUMIFS(SummaryHelper!$E$2:$E$5000,SummaryHelper!$A$2:$A$5000,$I278,SummaryHelper!$B$2:$B$5000,$J278,SummaryHelper!$C$2:$C$5000,$K278))</f>
        <v/>
      </c>
      <c r="N278" s="9" t="str">
        <f>IF($J278="","",SUMIFS(SummaryHelper!$F$2:$F$5000,SummaryHelper!$A$2:$A$5000,$I278,SummaryHelper!$B$2:$B$5000,$J278,SummaryHelper!$C$2:$C$5000,$K278))</f>
        <v/>
      </c>
      <c r="O278" s="9" t="str">
        <f>IF($J278="","",SUMIFS(SummaryHelper!$G$2:$G$5000,SummaryHelper!$A$2:$A$5000,$I278,SummaryHelper!$B$2:$B$5000,$J278,SummaryHelper!$C$2:$C$5000,$K278))</f>
        <v/>
      </c>
      <c r="Q278" s="9" t="str">
        <f t="shared" si="36"/>
        <v/>
      </c>
      <c r="R278" s="9" t="str">
        <f t="shared" si="37"/>
        <v/>
      </c>
      <c r="W278" s="9" t="str">
        <f>IF($U278="","",IFERROR(SUMIFS(SummaryHelper!$H$2:$H$5000,SummaryHelper!$A$2:$A$5000,$T278,SummaryHelper!$B$2:$B$5000,$U278,SummaryHelper!$C$2:$C$5000,$V278)/SUMIFS(SummaryHelper!$G$2:$G$5000,SummaryHelper!$A$2:$A$5000,$T278,SummaryHelper!$B$2:$B$5000,$U278,SummaryHelper!$C$2:$C$5000,$V278),""))</f>
        <v/>
      </c>
      <c r="X278" s="9" t="str">
        <f>IF($U278="","",SUMIFS(SummaryHelper!$E$2:$E$5000,SummaryHelper!$A$2:$A$5000,$T278,SummaryHelper!$B$2:$B$5000,$U278,SummaryHelper!$C$2:$C$5000,$V278))</f>
        <v/>
      </c>
      <c r="Y278" s="9" t="str">
        <f>IF($U278="","",SUMIFS(SummaryHelper!$F$2:$F$5000,SummaryHelper!$A$2:$A$5000,$T278,SummaryHelper!$B$2:$B$5000,$U278,SummaryHelper!$C$2:$C$5000,$V278))</f>
        <v/>
      </c>
      <c r="Z278" s="9" t="s">
        <v>489</v>
      </c>
      <c r="AB278" s="9" t="str">
        <f t="shared" si="38"/>
        <v/>
      </c>
      <c r="AC278" s="9" t="str">
        <f t="shared" si="39"/>
        <v/>
      </c>
      <c r="AH278" t="str">
        <f>IF($AF278="","",IFERROR(SUMIFS(SummaryHelper!$H$2:$H$5000,SummaryHelper!$A$2:$A$5000,$AE278,SummaryHelper!$B$2:$B$5000,$AF278,SummaryHelper!$C$2:$C$5000,$AG278)/SUMIFS(SummaryHelper!$G$2:$G$5000,SummaryHelper!$A$2:$A$5000,$AE278,SummaryHelper!$B$2:$B$5000,$AF278,SummaryHelper!$C$2:$C$5000,$AG278),""))</f>
        <v/>
      </c>
      <c r="AI278" t="str">
        <f>IF($AF278="","",SUMIFS(SummaryHelper!$E$2:$E$5000,SummaryHelper!$A$2:$A$5000,$AE278,SummaryHelper!$B$2:$B$5000,$AF278,SummaryHelper!$C$2:$C$5000,$AG278))</f>
        <v/>
      </c>
      <c r="AJ278" t="str">
        <f>IF($AF278="","",SUMIFS(SummaryHelper!$F$2:$F$5000,SummaryHelper!$A$2:$A$5000,$AE278,SummaryHelper!$B$2:$B$5000,$AF278,SummaryHelper!$C$2:$C$5000,$AG278))</f>
        <v/>
      </c>
      <c r="AK278" t="str">
        <f>IF($AF278="","",SUMIFS(SummaryHelper!$G$2:$G$5000,SummaryHelper!$A$2:$A$5000,$AE278,SummaryHelper!$B$2:$B$5000,$AF278,SummaryHelper!$C$2:$C$5000,$AG278))</f>
        <v/>
      </c>
      <c r="AM278" t="str">
        <f t="shared" si="40"/>
        <v/>
      </c>
      <c r="AN278" t="str">
        <f t="shared" si="41"/>
        <v/>
      </c>
    </row>
    <row r="279" spans="1:40" x14ac:dyDescent="0.25">
      <c r="A279" s="12"/>
      <c r="C279" s="9"/>
      <c r="D279" s="9"/>
      <c r="E279" s="9"/>
      <c r="F279" s="9"/>
      <c r="G279" s="9"/>
      <c r="L279" s="9" t="str">
        <f>IF($J279="","",IFERROR(SUMIFS(SummaryHelper!$H$2:$H$5000,SummaryHelper!$A$2:$A$5000,$I279,SummaryHelper!$B$2:$B$5000,$J279,SummaryHelper!$C$2:$C$5000,$K279)/SUMIFS(SummaryHelper!$G$2:$G$5000,SummaryHelper!$A$2:$A$5000,$I279,SummaryHelper!$B$2:$B$5000,$J279,SummaryHelper!$C$2:$C$5000,$K279),""))</f>
        <v/>
      </c>
      <c r="M279" s="9" t="str">
        <f>IF($J279="","",SUMIFS(SummaryHelper!$E$2:$E$5000,SummaryHelper!$A$2:$A$5000,$I279,SummaryHelper!$B$2:$B$5000,$J279,SummaryHelper!$C$2:$C$5000,$K279))</f>
        <v/>
      </c>
      <c r="N279" s="9" t="str">
        <f>IF($J279="","",SUMIFS(SummaryHelper!$F$2:$F$5000,SummaryHelper!$A$2:$A$5000,$I279,SummaryHelper!$B$2:$B$5000,$J279,SummaryHelper!$C$2:$C$5000,$K279))</f>
        <v/>
      </c>
      <c r="O279" s="9" t="str">
        <f>IF($J279="","",SUMIFS(SummaryHelper!$G$2:$G$5000,SummaryHelper!$A$2:$A$5000,$I279,SummaryHelper!$B$2:$B$5000,$J279,SummaryHelper!$C$2:$C$5000,$K279))</f>
        <v/>
      </c>
      <c r="Q279" s="9" t="str">
        <f t="shared" si="36"/>
        <v/>
      </c>
      <c r="R279" s="9" t="str">
        <f t="shared" si="37"/>
        <v/>
      </c>
      <c r="W279" s="9" t="str">
        <f>IF($U279="","",IFERROR(SUMIFS(SummaryHelper!$H$2:$H$5000,SummaryHelper!$A$2:$A$5000,$T279,SummaryHelper!$B$2:$B$5000,$U279,SummaryHelper!$C$2:$C$5000,$V279)/SUMIFS(SummaryHelper!$G$2:$G$5000,SummaryHelper!$A$2:$A$5000,$T279,SummaryHelper!$B$2:$B$5000,$U279,SummaryHelper!$C$2:$C$5000,$V279),""))</f>
        <v/>
      </c>
      <c r="X279" s="9" t="str">
        <f>IF($U279="","",SUMIFS(SummaryHelper!$E$2:$E$5000,SummaryHelper!$A$2:$A$5000,$T279,SummaryHelper!$B$2:$B$5000,$U279,SummaryHelper!$C$2:$C$5000,$V279))</f>
        <v/>
      </c>
      <c r="Y279" s="9" t="str">
        <f>IF($U279="","",SUMIFS(SummaryHelper!$F$2:$F$5000,SummaryHelper!$A$2:$A$5000,$T279,SummaryHelper!$B$2:$B$5000,$U279,SummaryHelper!$C$2:$C$5000,$V279))</f>
        <v/>
      </c>
      <c r="Z279" s="9" t="s">
        <v>489</v>
      </c>
      <c r="AB279" s="9" t="str">
        <f t="shared" si="38"/>
        <v/>
      </c>
      <c r="AC279" s="9" t="str">
        <f t="shared" si="39"/>
        <v/>
      </c>
      <c r="AH279" t="str">
        <f>IF($AF279="","",IFERROR(SUMIFS(SummaryHelper!$H$2:$H$5000,SummaryHelper!$A$2:$A$5000,$AE279,SummaryHelper!$B$2:$B$5000,$AF279,SummaryHelper!$C$2:$C$5000,$AG279)/SUMIFS(SummaryHelper!$G$2:$G$5000,SummaryHelper!$A$2:$A$5000,$AE279,SummaryHelper!$B$2:$B$5000,$AF279,SummaryHelper!$C$2:$C$5000,$AG279),""))</f>
        <v/>
      </c>
      <c r="AI279" t="str">
        <f>IF($AF279="","",SUMIFS(SummaryHelper!$E$2:$E$5000,SummaryHelper!$A$2:$A$5000,$AE279,SummaryHelper!$B$2:$B$5000,$AF279,SummaryHelper!$C$2:$C$5000,$AG279))</f>
        <v/>
      </c>
      <c r="AJ279" t="str">
        <f>IF($AF279="","",SUMIFS(SummaryHelper!$F$2:$F$5000,SummaryHelper!$A$2:$A$5000,$AE279,SummaryHelper!$B$2:$B$5000,$AF279,SummaryHelper!$C$2:$C$5000,$AG279))</f>
        <v/>
      </c>
      <c r="AK279" t="str">
        <f>IF($AF279="","",SUMIFS(SummaryHelper!$G$2:$G$5000,SummaryHelper!$A$2:$A$5000,$AE279,SummaryHelper!$B$2:$B$5000,$AF279,SummaryHelper!$C$2:$C$5000,$AG279))</f>
        <v/>
      </c>
      <c r="AM279" t="str">
        <f t="shared" si="40"/>
        <v/>
      </c>
      <c r="AN279" t="str">
        <f t="shared" si="41"/>
        <v/>
      </c>
    </row>
    <row r="280" spans="1:40" x14ac:dyDescent="0.25">
      <c r="A280" s="12"/>
      <c r="C280" s="9"/>
      <c r="D280" s="9"/>
      <c r="E280" s="9"/>
      <c r="F280" s="9"/>
      <c r="G280" s="9"/>
      <c r="L280" s="9" t="str">
        <f>IF($J280="","",IFERROR(SUMIFS(SummaryHelper!$H$2:$H$5000,SummaryHelper!$A$2:$A$5000,$I280,SummaryHelper!$B$2:$B$5000,$J280,SummaryHelper!$C$2:$C$5000,$K280)/SUMIFS(SummaryHelper!$G$2:$G$5000,SummaryHelper!$A$2:$A$5000,$I280,SummaryHelper!$B$2:$B$5000,$J280,SummaryHelper!$C$2:$C$5000,$K280),""))</f>
        <v/>
      </c>
      <c r="M280" s="9" t="str">
        <f>IF($J280="","",SUMIFS(SummaryHelper!$E$2:$E$5000,SummaryHelper!$A$2:$A$5000,$I280,SummaryHelper!$B$2:$B$5000,$J280,SummaryHelper!$C$2:$C$5000,$K280))</f>
        <v/>
      </c>
      <c r="N280" s="9" t="str">
        <f>IF($J280="","",SUMIFS(SummaryHelper!$F$2:$F$5000,SummaryHelper!$A$2:$A$5000,$I280,SummaryHelper!$B$2:$B$5000,$J280,SummaryHelper!$C$2:$C$5000,$K280))</f>
        <v/>
      </c>
      <c r="O280" s="9" t="str">
        <f>IF($J280="","",SUMIFS(SummaryHelper!$G$2:$G$5000,SummaryHelper!$A$2:$A$5000,$I280,SummaryHelper!$B$2:$B$5000,$J280,SummaryHelper!$C$2:$C$5000,$K280))</f>
        <v/>
      </c>
      <c r="Q280" s="9" t="str">
        <f t="shared" si="36"/>
        <v/>
      </c>
      <c r="R280" s="9" t="str">
        <f t="shared" si="37"/>
        <v/>
      </c>
      <c r="W280" s="9" t="str">
        <f>IF($U280="","",IFERROR(SUMIFS(SummaryHelper!$H$2:$H$5000,SummaryHelper!$A$2:$A$5000,$T280,SummaryHelper!$B$2:$B$5000,$U280,SummaryHelper!$C$2:$C$5000,$V280)/SUMIFS(SummaryHelper!$G$2:$G$5000,SummaryHelper!$A$2:$A$5000,$T280,SummaryHelper!$B$2:$B$5000,$U280,SummaryHelper!$C$2:$C$5000,$V280),""))</f>
        <v/>
      </c>
      <c r="X280" s="9" t="str">
        <f>IF($U280="","",SUMIFS(SummaryHelper!$E$2:$E$5000,SummaryHelper!$A$2:$A$5000,$T280,SummaryHelper!$B$2:$B$5000,$U280,SummaryHelper!$C$2:$C$5000,$V280))</f>
        <v/>
      </c>
      <c r="Y280" s="9" t="str">
        <f>IF($U280="","",SUMIFS(SummaryHelper!$F$2:$F$5000,SummaryHelper!$A$2:$A$5000,$T280,SummaryHelper!$B$2:$B$5000,$U280,SummaryHelper!$C$2:$C$5000,$V280))</f>
        <v/>
      </c>
      <c r="Z280" s="9" t="s">
        <v>489</v>
      </c>
      <c r="AB280" s="9" t="str">
        <f t="shared" si="38"/>
        <v/>
      </c>
      <c r="AC280" s="9" t="str">
        <f t="shared" si="39"/>
        <v/>
      </c>
      <c r="AH280" t="str">
        <f>IF($AF280="","",IFERROR(SUMIFS(SummaryHelper!$H$2:$H$5000,SummaryHelper!$A$2:$A$5000,$AE280,SummaryHelper!$B$2:$B$5000,$AF280,SummaryHelper!$C$2:$C$5000,$AG280)/SUMIFS(SummaryHelper!$G$2:$G$5000,SummaryHelper!$A$2:$A$5000,$AE280,SummaryHelper!$B$2:$B$5000,$AF280,SummaryHelper!$C$2:$C$5000,$AG280),""))</f>
        <v/>
      </c>
      <c r="AI280" t="str">
        <f>IF($AF280="","",SUMIFS(SummaryHelper!$E$2:$E$5000,SummaryHelper!$A$2:$A$5000,$AE280,SummaryHelper!$B$2:$B$5000,$AF280,SummaryHelper!$C$2:$C$5000,$AG280))</f>
        <v/>
      </c>
      <c r="AJ280" t="str">
        <f>IF($AF280="","",SUMIFS(SummaryHelper!$F$2:$F$5000,SummaryHelper!$A$2:$A$5000,$AE280,SummaryHelper!$B$2:$B$5000,$AF280,SummaryHelper!$C$2:$C$5000,$AG280))</f>
        <v/>
      </c>
      <c r="AK280" t="str">
        <f>IF($AF280="","",SUMIFS(SummaryHelper!$G$2:$G$5000,SummaryHelper!$A$2:$A$5000,$AE280,SummaryHelper!$B$2:$B$5000,$AF280,SummaryHelper!$C$2:$C$5000,$AG280))</f>
        <v/>
      </c>
      <c r="AM280" t="str">
        <f t="shared" si="40"/>
        <v/>
      </c>
      <c r="AN280" t="str">
        <f t="shared" si="41"/>
        <v/>
      </c>
    </row>
    <row r="281" spans="1:40" x14ac:dyDescent="0.25">
      <c r="A281" s="12"/>
      <c r="C281" s="9"/>
      <c r="D281" s="9"/>
      <c r="E281" s="9"/>
      <c r="F281" s="9"/>
      <c r="G281" s="9"/>
      <c r="L281" s="9" t="str">
        <f>IF($J281="","",IFERROR(SUMIFS(SummaryHelper!$H$2:$H$5000,SummaryHelper!$A$2:$A$5000,$I281,SummaryHelper!$B$2:$B$5000,$J281,SummaryHelper!$C$2:$C$5000,$K281)/SUMIFS(SummaryHelper!$G$2:$G$5000,SummaryHelper!$A$2:$A$5000,$I281,SummaryHelper!$B$2:$B$5000,$J281,SummaryHelper!$C$2:$C$5000,$K281),""))</f>
        <v/>
      </c>
      <c r="M281" s="9" t="str">
        <f>IF($J281="","",SUMIFS(SummaryHelper!$E$2:$E$5000,SummaryHelper!$A$2:$A$5000,$I281,SummaryHelper!$B$2:$B$5000,$J281,SummaryHelper!$C$2:$C$5000,$K281))</f>
        <v/>
      </c>
      <c r="N281" s="9" t="str">
        <f>IF($J281="","",SUMIFS(SummaryHelper!$F$2:$F$5000,SummaryHelper!$A$2:$A$5000,$I281,SummaryHelper!$B$2:$B$5000,$J281,SummaryHelper!$C$2:$C$5000,$K281))</f>
        <v/>
      </c>
      <c r="O281" s="9" t="str">
        <f>IF($J281="","",SUMIFS(SummaryHelper!$G$2:$G$5000,SummaryHelper!$A$2:$A$5000,$I281,SummaryHelper!$B$2:$B$5000,$J281,SummaryHelper!$C$2:$C$5000,$K281))</f>
        <v/>
      </c>
      <c r="Q281" s="9" t="str">
        <f t="shared" si="36"/>
        <v/>
      </c>
      <c r="R281" s="9" t="str">
        <f t="shared" si="37"/>
        <v/>
      </c>
      <c r="W281" s="9" t="str">
        <f>IF($U281="","",IFERROR(SUMIFS(SummaryHelper!$H$2:$H$5000,SummaryHelper!$A$2:$A$5000,$T281,SummaryHelper!$B$2:$B$5000,$U281,SummaryHelper!$C$2:$C$5000,$V281)/SUMIFS(SummaryHelper!$G$2:$G$5000,SummaryHelper!$A$2:$A$5000,$T281,SummaryHelper!$B$2:$B$5000,$U281,SummaryHelper!$C$2:$C$5000,$V281),""))</f>
        <v/>
      </c>
      <c r="X281" s="9" t="str">
        <f>IF($U281="","",SUMIFS(SummaryHelper!$E$2:$E$5000,SummaryHelper!$A$2:$A$5000,$T281,SummaryHelper!$B$2:$B$5000,$U281,SummaryHelper!$C$2:$C$5000,$V281))</f>
        <v/>
      </c>
      <c r="Y281" s="9" t="str">
        <f>IF($U281="","",SUMIFS(SummaryHelper!$F$2:$F$5000,SummaryHelper!$A$2:$A$5000,$T281,SummaryHelper!$B$2:$B$5000,$U281,SummaryHelper!$C$2:$C$5000,$V281))</f>
        <v/>
      </c>
      <c r="Z281" s="9" t="s">
        <v>489</v>
      </c>
      <c r="AB281" s="9" t="str">
        <f t="shared" si="38"/>
        <v/>
      </c>
      <c r="AC281" s="9" t="str">
        <f t="shared" si="39"/>
        <v/>
      </c>
      <c r="AH281" t="str">
        <f>IF($AF281="","",IFERROR(SUMIFS(SummaryHelper!$H$2:$H$5000,SummaryHelper!$A$2:$A$5000,$AE281,SummaryHelper!$B$2:$B$5000,$AF281,SummaryHelper!$C$2:$C$5000,$AG281)/SUMIFS(SummaryHelper!$G$2:$G$5000,SummaryHelper!$A$2:$A$5000,$AE281,SummaryHelper!$B$2:$B$5000,$AF281,SummaryHelper!$C$2:$C$5000,$AG281),""))</f>
        <v/>
      </c>
      <c r="AI281" t="str">
        <f>IF($AF281="","",SUMIFS(SummaryHelper!$E$2:$E$5000,SummaryHelper!$A$2:$A$5000,$AE281,SummaryHelper!$B$2:$B$5000,$AF281,SummaryHelper!$C$2:$C$5000,$AG281))</f>
        <v/>
      </c>
      <c r="AJ281" t="str">
        <f>IF($AF281="","",SUMIFS(SummaryHelper!$F$2:$F$5000,SummaryHelper!$A$2:$A$5000,$AE281,SummaryHelper!$B$2:$B$5000,$AF281,SummaryHelper!$C$2:$C$5000,$AG281))</f>
        <v/>
      </c>
      <c r="AK281" t="str">
        <f>IF($AF281="","",SUMIFS(SummaryHelper!$G$2:$G$5000,SummaryHelper!$A$2:$A$5000,$AE281,SummaryHelper!$B$2:$B$5000,$AF281,SummaryHelper!$C$2:$C$5000,$AG281))</f>
        <v/>
      </c>
      <c r="AM281" t="str">
        <f t="shared" si="40"/>
        <v/>
      </c>
      <c r="AN281" t="str">
        <f t="shared" si="41"/>
        <v/>
      </c>
    </row>
    <row r="282" spans="1:40" x14ac:dyDescent="0.25">
      <c r="A282" s="12"/>
      <c r="C282" s="9"/>
      <c r="D282" s="9"/>
      <c r="E282" s="9"/>
      <c r="F282" s="9"/>
      <c r="G282" s="9"/>
      <c r="L282" s="9" t="str">
        <f>IF($J282="","",IFERROR(SUMIFS(SummaryHelper!$H$2:$H$5000,SummaryHelper!$A$2:$A$5000,$I282,SummaryHelper!$B$2:$B$5000,$J282,SummaryHelper!$C$2:$C$5000,$K282)/SUMIFS(SummaryHelper!$G$2:$G$5000,SummaryHelper!$A$2:$A$5000,$I282,SummaryHelper!$B$2:$B$5000,$J282,SummaryHelper!$C$2:$C$5000,$K282),""))</f>
        <v/>
      </c>
      <c r="M282" s="9" t="str">
        <f>IF($J282="","",SUMIFS(SummaryHelper!$E$2:$E$5000,SummaryHelper!$A$2:$A$5000,$I282,SummaryHelper!$B$2:$B$5000,$J282,SummaryHelper!$C$2:$C$5000,$K282))</f>
        <v/>
      </c>
      <c r="N282" s="9" t="str">
        <f>IF($J282="","",SUMIFS(SummaryHelper!$F$2:$F$5000,SummaryHelper!$A$2:$A$5000,$I282,SummaryHelper!$B$2:$B$5000,$J282,SummaryHelper!$C$2:$C$5000,$K282))</f>
        <v/>
      </c>
      <c r="O282" s="9" t="str">
        <f>IF($J282="","",SUMIFS(SummaryHelper!$G$2:$G$5000,SummaryHelper!$A$2:$A$5000,$I282,SummaryHelper!$B$2:$B$5000,$J282,SummaryHelper!$C$2:$C$5000,$K282))</f>
        <v/>
      </c>
      <c r="Q282" s="9" t="str">
        <f t="shared" si="36"/>
        <v/>
      </c>
      <c r="R282" s="9" t="str">
        <f t="shared" si="37"/>
        <v/>
      </c>
      <c r="W282" s="9" t="str">
        <f>IF($U282="","",IFERROR(SUMIFS(SummaryHelper!$H$2:$H$5000,SummaryHelper!$A$2:$A$5000,$T282,SummaryHelper!$B$2:$B$5000,$U282,SummaryHelper!$C$2:$C$5000,$V282)/SUMIFS(SummaryHelper!$G$2:$G$5000,SummaryHelper!$A$2:$A$5000,$T282,SummaryHelper!$B$2:$B$5000,$U282,SummaryHelper!$C$2:$C$5000,$V282),""))</f>
        <v/>
      </c>
      <c r="X282" s="9" t="str">
        <f>IF($U282="","",SUMIFS(SummaryHelper!$E$2:$E$5000,SummaryHelper!$A$2:$A$5000,$T282,SummaryHelper!$B$2:$B$5000,$U282,SummaryHelper!$C$2:$C$5000,$V282))</f>
        <v/>
      </c>
      <c r="Y282" s="9" t="str">
        <f>IF($U282="","",SUMIFS(SummaryHelper!$F$2:$F$5000,SummaryHelper!$A$2:$A$5000,$T282,SummaryHelper!$B$2:$B$5000,$U282,SummaryHelper!$C$2:$C$5000,$V282))</f>
        <v/>
      </c>
      <c r="Z282" s="9" t="s">
        <v>489</v>
      </c>
      <c r="AB282" s="9" t="str">
        <f t="shared" si="38"/>
        <v/>
      </c>
      <c r="AC282" s="9" t="str">
        <f t="shared" si="39"/>
        <v/>
      </c>
      <c r="AH282" t="str">
        <f>IF($AF282="","",IFERROR(SUMIFS(SummaryHelper!$H$2:$H$5000,SummaryHelper!$A$2:$A$5000,$AE282,SummaryHelper!$B$2:$B$5000,$AF282,SummaryHelper!$C$2:$C$5000,$AG282)/SUMIFS(SummaryHelper!$G$2:$G$5000,SummaryHelper!$A$2:$A$5000,$AE282,SummaryHelper!$B$2:$B$5000,$AF282,SummaryHelper!$C$2:$C$5000,$AG282),""))</f>
        <v/>
      </c>
      <c r="AI282" t="str">
        <f>IF($AF282="","",SUMIFS(SummaryHelper!$E$2:$E$5000,SummaryHelper!$A$2:$A$5000,$AE282,SummaryHelper!$B$2:$B$5000,$AF282,SummaryHelper!$C$2:$C$5000,$AG282))</f>
        <v/>
      </c>
      <c r="AJ282" t="str">
        <f>IF($AF282="","",SUMIFS(SummaryHelper!$F$2:$F$5000,SummaryHelper!$A$2:$A$5000,$AE282,SummaryHelper!$B$2:$B$5000,$AF282,SummaryHelper!$C$2:$C$5000,$AG282))</f>
        <v/>
      </c>
      <c r="AK282" t="str">
        <f>IF($AF282="","",SUMIFS(SummaryHelper!$G$2:$G$5000,SummaryHelper!$A$2:$A$5000,$AE282,SummaryHelper!$B$2:$B$5000,$AF282,SummaryHelper!$C$2:$C$5000,$AG282))</f>
        <v/>
      </c>
      <c r="AM282" t="str">
        <f t="shared" si="40"/>
        <v/>
      </c>
      <c r="AN282" t="str">
        <f t="shared" si="41"/>
        <v/>
      </c>
    </row>
    <row r="283" spans="1:40" x14ac:dyDescent="0.25">
      <c r="A283" s="12"/>
      <c r="C283" s="9"/>
      <c r="D283" s="9"/>
      <c r="E283" s="9"/>
      <c r="F283" s="9"/>
      <c r="G283" s="9"/>
      <c r="L283" s="9" t="str">
        <f>IF($J283="","",IFERROR(SUMIFS(SummaryHelper!$H$2:$H$5000,SummaryHelper!$A$2:$A$5000,$I283,SummaryHelper!$B$2:$B$5000,$J283,SummaryHelper!$C$2:$C$5000,$K283)/SUMIFS(SummaryHelper!$G$2:$G$5000,SummaryHelper!$A$2:$A$5000,$I283,SummaryHelper!$B$2:$B$5000,$J283,SummaryHelper!$C$2:$C$5000,$K283),""))</f>
        <v/>
      </c>
      <c r="M283" s="9" t="str">
        <f>IF($J283="","",SUMIFS(SummaryHelper!$E$2:$E$5000,SummaryHelper!$A$2:$A$5000,$I283,SummaryHelper!$B$2:$B$5000,$J283,SummaryHelper!$C$2:$C$5000,$K283))</f>
        <v/>
      </c>
      <c r="N283" s="9" t="str">
        <f>IF($J283="","",SUMIFS(SummaryHelper!$F$2:$F$5000,SummaryHelper!$A$2:$A$5000,$I283,SummaryHelper!$B$2:$B$5000,$J283,SummaryHelper!$C$2:$C$5000,$K283))</f>
        <v/>
      </c>
      <c r="O283" s="9" t="str">
        <f>IF($J283="","",SUMIFS(SummaryHelper!$G$2:$G$5000,SummaryHelper!$A$2:$A$5000,$I283,SummaryHelper!$B$2:$B$5000,$J283,SummaryHelper!$C$2:$C$5000,$K283))</f>
        <v/>
      </c>
      <c r="Q283" s="9" t="str">
        <f t="shared" si="36"/>
        <v/>
      </c>
      <c r="R283" s="9" t="str">
        <f t="shared" si="37"/>
        <v/>
      </c>
      <c r="W283" s="9" t="str">
        <f>IF($U283="","",IFERROR(SUMIFS(SummaryHelper!$H$2:$H$5000,SummaryHelper!$A$2:$A$5000,$T283,SummaryHelper!$B$2:$B$5000,$U283,SummaryHelper!$C$2:$C$5000,$V283)/SUMIFS(SummaryHelper!$G$2:$G$5000,SummaryHelper!$A$2:$A$5000,$T283,SummaryHelper!$B$2:$B$5000,$U283,SummaryHelper!$C$2:$C$5000,$V283),""))</f>
        <v/>
      </c>
      <c r="X283" s="9" t="str">
        <f>IF($U283="","",SUMIFS(SummaryHelper!$E$2:$E$5000,SummaryHelper!$A$2:$A$5000,$T283,SummaryHelper!$B$2:$B$5000,$U283,SummaryHelper!$C$2:$C$5000,$V283))</f>
        <v/>
      </c>
      <c r="Y283" s="9" t="str">
        <f>IF($U283="","",SUMIFS(SummaryHelper!$F$2:$F$5000,SummaryHelper!$A$2:$A$5000,$T283,SummaryHelper!$B$2:$B$5000,$U283,SummaryHelper!$C$2:$C$5000,$V283))</f>
        <v/>
      </c>
      <c r="Z283" s="9" t="s">
        <v>489</v>
      </c>
      <c r="AB283" s="9" t="str">
        <f t="shared" si="38"/>
        <v/>
      </c>
      <c r="AC283" s="9" t="str">
        <f t="shared" si="39"/>
        <v/>
      </c>
      <c r="AH283" t="str">
        <f>IF($AF283="","",IFERROR(SUMIFS(SummaryHelper!$H$2:$H$5000,SummaryHelper!$A$2:$A$5000,$AE283,SummaryHelper!$B$2:$B$5000,$AF283,SummaryHelper!$C$2:$C$5000,$AG283)/SUMIFS(SummaryHelper!$G$2:$G$5000,SummaryHelper!$A$2:$A$5000,$AE283,SummaryHelper!$B$2:$B$5000,$AF283,SummaryHelper!$C$2:$C$5000,$AG283),""))</f>
        <v/>
      </c>
      <c r="AI283" t="str">
        <f>IF($AF283="","",SUMIFS(SummaryHelper!$E$2:$E$5000,SummaryHelper!$A$2:$A$5000,$AE283,SummaryHelper!$B$2:$B$5000,$AF283,SummaryHelper!$C$2:$C$5000,$AG283))</f>
        <v/>
      </c>
      <c r="AJ283" t="str">
        <f>IF($AF283="","",SUMIFS(SummaryHelper!$F$2:$F$5000,SummaryHelper!$A$2:$A$5000,$AE283,SummaryHelper!$B$2:$B$5000,$AF283,SummaryHelper!$C$2:$C$5000,$AG283))</f>
        <v/>
      </c>
      <c r="AK283" t="str">
        <f>IF($AF283="","",SUMIFS(SummaryHelper!$G$2:$G$5000,SummaryHelper!$A$2:$A$5000,$AE283,SummaryHelper!$B$2:$B$5000,$AF283,SummaryHelper!$C$2:$C$5000,$AG283))</f>
        <v/>
      </c>
      <c r="AM283" t="str">
        <f t="shared" si="40"/>
        <v/>
      </c>
      <c r="AN283" t="str">
        <f t="shared" si="41"/>
        <v/>
      </c>
    </row>
    <row r="284" spans="1:40" x14ac:dyDescent="0.25">
      <c r="A284" s="12"/>
      <c r="C284" s="9"/>
      <c r="D284" s="9"/>
      <c r="E284" s="9"/>
      <c r="F284" s="9"/>
      <c r="G284" s="9"/>
      <c r="L284" s="9" t="str">
        <f>IF($J284="","",IFERROR(SUMIFS(SummaryHelper!$H$2:$H$5000,SummaryHelper!$A$2:$A$5000,$I284,SummaryHelper!$B$2:$B$5000,$J284,SummaryHelper!$C$2:$C$5000,$K284)/SUMIFS(SummaryHelper!$G$2:$G$5000,SummaryHelper!$A$2:$A$5000,$I284,SummaryHelper!$B$2:$B$5000,$J284,SummaryHelper!$C$2:$C$5000,$K284),""))</f>
        <v/>
      </c>
      <c r="M284" s="9" t="str">
        <f>IF($J284="","",SUMIFS(SummaryHelper!$E$2:$E$5000,SummaryHelper!$A$2:$A$5000,$I284,SummaryHelper!$B$2:$B$5000,$J284,SummaryHelper!$C$2:$C$5000,$K284))</f>
        <v/>
      </c>
      <c r="N284" s="9" t="str">
        <f>IF($J284="","",SUMIFS(SummaryHelper!$F$2:$F$5000,SummaryHelper!$A$2:$A$5000,$I284,SummaryHelper!$B$2:$B$5000,$J284,SummaryHelper!$C$2:$C$5000,$K284))</f>
        <v/>
      </c>
      <c r="O284" s="9" t="str">
        <f>IF($J284="","",SUMIFS(SummaryHelper!$G$2:$G$5000,SummaryHelper!$A$2:$A$5000,$I284,SummaryHelper!$B$2:$B$5000,$J284,SummaryHelper!$C$2:$C$5000,$K284))</f>
        <v/>
      </c>
      <c r="Q284" s="9" t="str">
        <f t="shared" si="36"/>
        <v/>
      </c>
      <c r="R284" s="9" t="str">
        <f t="shared" si="37"/>
        <v/>
      </c>
      <c r="W284" s="9" t="str">
        <f>IF($U284="","",IFERROR(SUMIFS(SummaryHelper!$H$2:$H$5000,SummaryHelper!$A$2:$A$5000,$T284,SummaryHelper!$B$2:$B$5000,$U284,SummaryHelper!$C$2:$C$5000,$V284)/SUMIFS(SummaryHelper!$G$2:$G$5000,SummaryHelper!$A$2:$A$5000,$T284,SummaryHelper!$B$2:$B$5000,$U284,SummaryHelper!$C$2:$C$5000,$V284),""))</f>
        <v/>
      </c>
      <c r="X284" s="9" t="str">
        <f>IF($U284="","",SUMIFS(SummaryHelper!$E$2:$E$5000,SummaryHelper!$A$2:$A$5000,$T284,SummaryHelper!$B$2:$B$5000,$U284,SummaryHelper!$C$2:$C$5000,$V284))</f>
        <v/>
      </c>
      <c r="Y284" s="9" t="str">
        <f>IF($U284="","",SUMIFS(SummaryHelper!$F$2:$F$5000,SummaryHelper!$A$2:$A$5000,$T284,SummaryHelper!$B$2:$B$5000,$U284,SummaryHelper!$C$2:$C$5000,$V284))</f>
        <v/>
      </c>
      <c r="Z284" s="9" t="s">
        <v>489</v>
      </c>
      <c r="AB284" s="9" t="str">
        <f t="shared" si="38"/>
        <v/>
      </c>
      <c r="AC284" s="9" t="str">
        <f t="shared" si="39"/>
        <v/>
      </c>
      <c r="AH284" t="str">
        <f>IF($AF284="","",IFERROR(SUMIFS(SummaryHelper!$H$2:$H$5000,SummaryHelper!$A$2:$A$5000,$AE284,SummaryHelper!$B$2:$B$5000,$AF284,SummaryHelper!$C$2:$C$5000,$AG284)/SUMIFS(SummaryHelper!$G$2:$G$5000,SummaryHelper!$A$2:$A$5000,$AE284,SummaryHelper!$B$2:$B$5000,$AF284,SummaryHelper!$C$2:$C$5000,$AG284),""))</f>
        <v/>
      </c>
      <c r="AI284" t="str">
        <f>IF($AF284="","",SUMIFS(SummaryHelper!$E$2:$E$5000,SummaryHelper!$A$2:$A$5000,$AE284,SummaryHelper!$B$2:$B$5000,$AF284,SummaryHelper!$C$2:$C$5000,$AG284))</f>
        <v/>
      </c>
      <c r="AJ284" t="str">
        <f>IF($AF284="","",SUMIFS(SummaryHelper!$F$2:$F$5000,SummaryHelper!$A$2:$A$5000,$AE284,SummaryHelper!$B$2:$B$5000,$AF284,SummaryHelper!$C$2:$C$5000,$AG284))</f>
        <v/>
      </c>
      <c r="AK284" t="str">
        <f>IF($AF284="","",SUMIFS(SummaryHelper!$G$2:$G$5000,SummaryHelper!$A$2:$A$5000,$AE284,SummaryHelper!$B$2:$B$5000,$AF284,SummaryHelper!$C$2:$C$5000,$AG284))</f>
        <v/>
      </c>
      <c r="AM284" t="str">
        <f t="shared" si="40"/>
        <v/>
      </c>
      <c r="AN284" t="str">
        <f t="shared" si="41"/>
        <v/>
      </c>
    </row>
    <row r="285" spans="1:40" x14ac:dyDescent="0.25">
      <c r="A285" s="12"/>
      <c r="C285" s="9"/>
      <c r="D285" s="9"/>
      <c r="E285" s="9"/>
      <c r="F285" s="9"/>
      <c r="G285" s="9"/>
      <c r="L285" s="9" t="str">
        <f>IF($J285="","",IFERROR(SUMIFS(SummaryHelper!$H$2:$H$5000,SummaryHelper!$A$2:$A$5000,$I285,SummaryHelper!$B$2:$B$5000,$J285,SummaryHelper!$C$2:$C$5000,$K285)/SUMIFS(SummaryHelper!$G$2:$G$5000,SummaryHelper!$A$2:$A$5000,$I285,SummaryHelper!$B$2:$B$5000,$J285,SummaryHelper!$C$2:$C$5000,$K285),""))</f>
        <v/>
      </c>
      <c r="M285" s="9" t="str">
        <f>IF($J285="","",SUMIFS(SummaryHelper!$E$2:$E$5000,SummaryHelper!$A$2:$A$5000,$I285,SummaryHelper!$B$2:$B$5000,$J285,SummaryHelper!$C$2:$C$5000,$K285))</f>
        <v/>
      </c>
      <c r="N285" s="9" t="str">
        <f>IF($J285="","",SUMIFS(SummaryHelper!$F$2:$F$5000,SummaryHelper!$A$2:$A$5000,$I285,SummaryHelper!$B$2:$B$5000,$J285,SummaryHelper!$C$2:$C$5000,$K285))</f>
        <v/>
      </c>
      <c r="O285" s="9" t="str">
        <f>IF($J285="","",SUMIFS(SummaryHelper!$G$2:$G$5000,SummaryHelper!$A$2:$A$5000,$I285,SummaryHelper!$B$2:$B$5000,$J285,SummaryHelper!$C$2:$C$5000,$K285))</f>
        <v/>
      </c>
      <c r="Q285" s="9" t="str">
        <f t="shared" si="36"/>
        <v/>
      </c>
      <c r="R285" s="9" t="str">
        <f t="shared" si="37"/>
        <v/>
      </c>
      <c r="W285" s="9" t="str">
        <f>IF($U285="","",IFERROR(SUMIFS(SummaryHelper!$H$2:$H$5000,SummaryHelper!$A$2:$A$5000,$T285,SummaryHelper!$B$2:$B$5000,$U285,SummaryHelper!$C$2:$C$5000,$V285)/SUMIFS(SummaryHelper!$G$2:$G$5000,SummaryHelper!$A$2:$A$5000,$T285,SummaryHelper!$B$2:$B$5000,$U285,SummaryHelper!$C$2:$C$5000,$V285),""))</f>
        <v/>
      </c>
      <c r="X285" s="9" t="str">
        <f>IF($U285="","",SUMIFS(SummaryHelper!$E$2:$E$5000,SummaryHelper!$A$2:$A$5000,$T285,SummaryHelper!$B$2:$B$5000,$U285,SummaryHelper!$C$2:$C$5000,$V285))</f>
        <v/>
      </c>
      <c r="Y285" s="9" t="str">
        <f>IF($U285="","",SUMIFS(SummaryHelper!$F$2:$F$5000,SummaryHelper!$A$2:$A$5000,$T285,SummaryHelper!$B$2:$B$5000,$U285,SummaryHelper!$C$2:$C$5000,$V285))</f>
        <v/>
      </c>
      <c r="Z285" s="9" t="s">
        <v>489</v>
      </c>
      <c r="AB285" s="9" t="str">
        <f t="shared" si="38"/>
        <v/>
      </c>
      <c r="AC285" s="9" t="str">
        <f t="shared" si="39"/>
        <v/>
      </c>
      <c r="AH285" t="str">
        <f>IF($AF285="","",IFERROR(SUMIFS(SummaryHelper!$H$2:$H$5000,SummaryHelper!$A$2:$A$5000,$AE285,SummaryHelper!$B$2:$B$5000,$AF285,SummaryHelper!$C$2:$C$5000,$AG285)/SUMIFS(SummaryHelper!$G$2:$G$5000,SummaryHelper!$A$2:$A$5000,$AE285,SummaryHelper!$B$2:$B$5000,$AF285,SummaryHelper!$C$2:$C$5000,$AG285),""))</f>
        <v/>
      </c>
      <c r="AI285" t="str">
        <f>IF($AF285="","",SUMIFS(SummaryHelper!$E$2:$E$5000,SummaryHelper!$A$2:$A$5000,$AE285,SummaryHelper!$B$2:$B$5000,$AF285,SummaryHelper!$C$2:$C$5000,$AG285))</f>
        <v/>
      </c>
      <c r="AJ285" t="str">
        <f>IF($AF285="","",SUMIFS(SummaryHelper!$F$2:$F$5000,SummaryHelper!$A$2:$A$5000,$AE285,SummaryHelper!$B$2:$B$5000,$AF285,SummaryHelper!$C$2:$C$5000,$AG285))</f>
        <v/>
      </c>
      <c r="AK285" t="str">
        <f>IF($AF285="","",SUMIFS(SummaryHelper!$G$2:$G$5000,SummaryHelper!$A$2:$A$5000,$AE285,SummaryHelper!$B$2:$B$5000,$AF285,SummaryHelper!$C$2:$C$5000,$AG285))</f>
        <v/>
      </c>
      <c r="AM285" t="str">
        <f t="shared" si="40"/>
        <v/>
      </c>
      <c r="AN285" t="str">
        <f t="shared" si="41"/>
        <v/>
      </c>
    </row>
    <row r="286" spans="1:40" x14ac:dyDescent="0.25">
      <c r="A286" s="12"/>
      <c r="C286" s="9"/>
      <c r="D286" s="9"/>
      <c r="E286" s="9"/>
      <c r="F286" s="9"/>
      <c r="G286" s="9"/>
      <c r="L286" s="9" t="str">
        <f>IF($J286="","",IFERROR(SUMIFS(SummaryHelper!$H$2:$H$5000,SummaryHelper!$A$2:$A$5000,$I286,SummaryHelper!$B$2:$B$5000,$J286,SummaryHelper!$C$2:$C$5000,$K286)/SUMIFS(SummaryHelper!$G$2:$G$5000,SummaryHelper!$A$2:$A$5000,$I286,SummaryHelper!$B$2:$B$5000,$J286,SummaryHelper!$C$2:$C$5000,$K286),""))</f>
        <v/>
      </c>
      <c r="M286" s="9" t="str">
        <f>IF($J286="","",SUMIFS(SummaryHelper!$E$2:$E$5000,SummaryHelper!$A$2:$A$5000,$I286,SummaryHelper!$B$2:$B$5000,$J286,SummaryHelper!$C$2:$C$5000,$K286))</f>
        <v/>
      </c>
      <c r="N286" s="9" t="str">
        <f>IF($J286="","",SUMIFS(SummaryHelper!$F$2:$F$5000,SummaryHelper!$A$2:$A$5000,$I286,SummaryHelper!$B$2:$B$5000,$J286,SummaryHelper!$C$2:$C$5000,$K286))</f>
        <v/>
      </c>
      <c r="O286" s="9" t="str">
        <f>IF($J286="","",SUMIFS(SummaryHelper!$G$2:$G$5000,SummaryHelper!$A$2:$A$5000,$I286,SummaryHelper!$B$2:$B$5000,$J286,SummaryHelper!$C$2:$C$5000,$K286))</f>
        <v/>
      </c>
      <c r="Q286" s="9" t="str">
        <f t="shared" si="36"/>
        <v/>
      </c>
      <c r="R286" s="9" t="str">
        <f t="shared" si="37"/>
        <v/>
      </c>
      <c r="W286" s="9" t="str">
        <f>IF($U286="","",IFERROR(SUMIFS(SummaryHelper!$H$2:$H$5000,SummaryHelper!$A$2:$A$5000,$T286,SummaryHelper!$B$2:$B$5000,$U286,SummaryHelper!$C$2:$C$5000,$V286)/SUMIFS(SummaryHelper!$G$2:$G$5000,SummaryHelper!$A$2:$A$5000,$T286,SummaryHelper!$B$2:$B$5000,$U286,SummaryHelper!$C$2:$C$5000,$V286),""))</f>
        <v/>
      </c>
      <c r="X286" s="9" t="str">
        <f>IF($U286="","",SUMIFS(SummaryHelper!$E$2:$E$5000,SummaryHelper!$A$2:$A$5000,$T286,SummaryHelper!$B$2:$B$5000,$U286,SummaryHelper!$C$2:$C$5000,$V286))</f>
        <v/>
      </c>
      <c r="Y286" s="9" t="str">
        <f>IF($U286="","",SUMIFS(SummaryHelper!$F$2:$F$5000,SummaryHelper!$A$2:$A$5000,$T286,SummaryHelper!$B$2:$B$5000,$U286,SummaryHelper!$C$2:$C$5000,$V286))</f>
        <v/>
      </c>
      <c r="Z286" s="9" t="s">
        <v>489</v>
      </c>
      <c r="AB286" s="9" t="str">
        <f t="shared" si="38"/>
        <v/>
      </c>
      <c r="AC286" s="9" t="str">
        <f t="shared" si="39"/>
        <v/>
      </c>
      <c r="AH286" t="str">
        <f>IF($AF286="","",IFERROR(SUMIFS(SummaryHelper!$H$2:$H$5000,SummaryHelper!$A$2:$A$5000,$AE286,SummaryHelper!$B$2:$B$5000,$AF286,SummaryHelper!$C$2:$C$5000,$AG286)/SUMIFS(SummaryHelper!$G$2:$G$5000,SummaryHelper!$A$2:$A$5000,$AE286,SummaryHelper!$B$2:$B$5000,$AF286,SummaryHelper!$C$2:$C$5000,$AG286),""))</f>
        <v/>
      </c>
      <c r="AI286" t="str">
        <f>IF($AF286="","",SUMIFS(SummaryHelper!$E$2:$E$5000,SummaryHelper!$A$2:$A$5000,$AE286,SummaryHelper!$B$2:$B$5000,$AF286,SummaryHelper!$C$2:$C$5000,$AG286))</f>
        <v/>
      </c>
      <c r="AJ286" t="str">
        <f>IF($AF286="","",SUMIFS(SummaryHelper!$F$2:$F$5000,SummaryHelper!$A$2:$A$5000,$AE286,SummaryHelper!$B$2:$B$5000,$AF286,SummaryHelper!$C$2:$C$5000,$AG286))</f>
        <v/>
      </c>
      <c r="AK286" t="str">
        <f>IF($AF286="","",SUMIFS(SummaryHelper!$G$2:$G$5000,SummaryHelper!$A$2:$A$5000,$AE286,SummaryHelper!$B$2:$B$5000,$AF286,SummaryHelper!$C$2:$C$5000,$AG286))</f>
        <v/>
      </c>
      <c r="AM286" t="str">
        <f t="shared" si="40"/>
        <v/>
      </c>
      <c r="AN286" t="str">
        <f t="shared" si="41"/>
        <v/>
      </c>
    </row>
    <row r="287" spans="1:40" x14ac:dyDescent="0.25">
      <c r="A287" s="12"/>
      <c r="C287" s="9"/>
      <c r="D287" s="9"/>
      <c r="E287" s="9"/>
      <c r="F287" s="9"/>
      <c r="G287" s="9"/>
      <c r="L287" s="9" t="str">
        <f>IF($J287="","",IFERROR(SUMIFS(SummaryHelper!$H$2:$H$5000,SummaryHelper!$A$2:$A$5000,$I287,SummaryHelper!$B$2:$B$5000,$J287,SummaryHelper!$C$2:$C$5000,$K287)/SUMIFS(SummaryHelper!$G$2:$G$5000,SummaryHelper!$A$2:$A$5000,$I287,SummaryHelper!$B$2:$B$5000,$J287,SummaryHelper!$C$2:$C$5000,$K287),""))</f>
        <v/>
      </c>
      <c r="M287" s="9" t="str">
        <f>IF($J287="","",SUMIFS(SummaryHelper!$E$2:$E$5000,SummaryHelper!$A$2:$A$5000,$I287,SummaryHelper!$B$2:$B$5000,$J287,SummaryHelper!$C$2:$C$5000,$K287))</f>
        <v/>
      </c>
      <c r="N287" s="9" t="str">
        <f>IF($J287="","",SUMIFS(SummaryHelper!$F$2:$F$5000,SummaryHelper!$A$2:$A$5000,$I287,SummaryHelper!$B$2:$B$5000,$J287,SummaryHelper!$C$2:$C$5000,$K287))</f>
        <v/>
      </c>
      <c r="O287" s="9" t="str">
        <f>IF($J287="","",SUMIFS(SummaryHelper!$G$2:$G$5000,SummaryHelper!$A$2:$A$5000,$I287,SummaryHelper!$B$2:$B$5000,$J287,SummaryHelper!$C$2:$C$5000,$K287))</f>
        <v/>
      </c>
      <c r="Q287" s="9" t="str">
        <f t="shared" si="36"/>
        <v/>
      </c>
      <c r="R287" s="9" t="str">
        <f t="shared" si="37"/>
        <v/>
      </c>
      <c r="W287" s="9" t="str">
        <f>IF($U287="","",IFERROR(SUMIFS(SummaryHelper!$H$2:$H$5000,SummaryHelper!$A$2:$A$5000,$T287,SummaryHelper!$B$2:$B$5000,$U287,SummaryHelper!$C$2:$C$5000,$V287)/SUMIFS(SummaryHelper!$G$2:$G$5000,SummaryHelper!$A$2:$A$5000,$T287,SummaryHelper!$B$2:$B$5000,$U287,SummaryHelper!$C$2:$C$5000,$V287),""))</f>
        <v/>
      </c>
      <c r="X287" s="9" t="str">
        <f>IF($U287="","",SUMIFS(SummaryHelper!$E$2:$E$5000,SummaryHelper!$A$2:$A$5000,$T287,SummaryHelper!$B$2:$B$5000,$U287,SummaryHelper!$C$2:$C$5000,$V287))</f>
        <v/>
      </c>
      <c r="Y287" s="9" t="str">
        <f>IF($U287="","",SUMIFS(SummaryHelper!$F$2:$F$5000,SummaryHelper!$A$2:$A$5000,$T287,SummaryHelper!$B$2:$B$5000,$U287,SummaryHelper!$C$2:$C$5000,$V287))</f>
        <v/>
      </c>
      <c r="Z287" s="9" t="s">
        <v>489</v>
      </c>
      <c r="AB287" s="9" t="str">
        <f t="shared" si="38"/>
        <v/>
      </c>
      <c r="AC287" s="9" t="str">
        <f t="shared" si="39"/>
        <v/>
      </c>
      <c r="AH287" t="str">
        <f>IF($AF287="","",IFERROR(SUMIFS(SummaryHelper!$H$2:$H$5000,SummaryHelper!$A$2:$A$5000,$AE287,SummaryHelper!$B$2:$B$5000,$AF287,SummaryHelper!$C$2:$C$5000,$AG287)/SUMIFS(SummaryHelper!$G$2:$G$5000,SummaryHelper!$A$2:$A$5000,$AE287,SummaryHelper!$B$2:$B$5000,$AF287,SummaryHelper!$C$2:$C$5000,$AG287),""))</f>
        <v/>
      </c>
      <c r="AI287" t="str">
        <f>IF($AF287="","",SUMIFS(SummaryHelper!$E$2:$E$5000,SummaryHelper!$A$2:$A$5000,$AE287,SummaryHelper!$B$2:$B$5000,$AF287,SummaryHelper!$C$2:$C$5000,$AG287))</f>
        <v/>
      </c>
      <c r="AJ287" t="str">
        <f>IF($AF287="","",SUMIFS(SummaryHelper!$F$2:$F$5000,SummaryHelper!$A$2:$A$5000,$AE287,SummaryHelper!$B$2:$B$5000,$AF287,SummaryHelper!$C$2:$C$5000,$AG287))</f>
        <v/>
      </c>
      <c r="AK287" t="str">
        <f>IF($AF287="","",SUMIFS(SummaryHelper!$G$2:$G$5000,SummaryHelper!$A$2:$A$5000,$AE287,SummaryHelper!$B$2:$B$5000,$AF287,SummaryHelper!$C$2:$C$5000,$AG287))</f>
        <v/>
      </c>
      <c r="AM287" t="str">
        <f t="shared" si="40"/>
        <v/>
      </c>
      <c r="AN287" t="str">
        <f t="shared" si="41"/>
        <v/>
      </c>
    </row>
    <row r="288" spans="1:40" x14ac:dyDescent="0.25">
      <c r="A288" s="12"/>
      <c r="C288" s="9"/>
      <c r="D288" s="9"/>
      <c r="E288" s="9"/>
      <c r="F288" s="9"/>
      <c r="G288" s="9"/>
      <c r="L288" s="9" t="str">
        <f>IF($J288="","",IFERROR(SUMIFS(SummaryHelper!$H$2:$H$5000,SummaryHelper!$A$2:$A$5000,$I288,SummaryHelper!$B$2:$B$5000,$J288,SummaryHelper!$C$2:$C$5000,$K288)/SUMIFS(SummaryHelper!$G$2:$G$5000,SummaryHelper!$A$2:$A$5000,$I288,SummaryHelper!$B$2:$B$5000,$J288,SummaryHelper!$C$2:$C$5000,$K288),""))</f>
        <v/>
      </c>
      <c r="M288" s="9" t="str">
        <f>IF($J288="","",SUMIFS(SummaryHelper!$E$2:$E$5000,SummaryHelper!$A$2:$A$5000,$I288,SummaryHelper!$B$2:$B$5000,$J288,SummaryHelper!$C$2:$C$5000,$K288))</f>
        <v/>
      </c>
      <c r="N288" s="9" t="str">
        <f>IF($J288="","",SUMIFS(SummaryHelper!$F$2:$F$5000,SummaryHelper!$A$2:$A$5000,$I288,SummaryHelper!$B$2:$B$5000,$J288,SummaryHelper!$C$2:$C$5000,$K288))</f>
        <v/>
      </c>
      <c r="O288" s="9" t="str">
        <f>IF($J288="","",SUMIFS(SummaryHelper!$G$2:$G$5000,SummaryHelper!$A$2:$A$5000,$I288,SummaryHelper!$B$2:$B$5000,$J288,SummaryHelper!$C$2:$C$5000,$K288))</f>
        <v/>
      </c>
      <c r="Q288" s="9" t="str">
        <f t="shared" si="36"/>
        <v/>
      </c>
      <c r="R288" s="9" t="str">
        <f t="shared" si="37"/>
        <v/>
      </c>
      <c r="W288" s="9" t="str">
        <f>IF($U288="","",IFERROR(SUMIFS(SummaryHelper!$H$2:$H$5000,SummaryHelper!$A$2:$A$5000,$T288,SummaryHelper!$B$2:$B$5000,$U288,SummaryHelper!$C$2:$C$5000,$V288)/SUMIFS(SummaryHelper!$G$2:$G$5000,SummaryHelper!$A$2:$A$5000,$T288,SummaryHelper!$B$2:$B$5000,$U288,SummaryHelper!$C$2:$C$5000,$V288),""))</f>
        <v/>
      </c>
      <c r="X288" s="9" t="str">
        <f>IF($U288="","",SUMIFS(SummaryHelper!$E$2:$E$5000,SummaryHelper!$A$2:$A$5000,$T288,SummaryHelper!$B$2:$B$5000,$U288,SummaryHelper!$C$2:$C$5000,$V288))</f>
        <v/>
      </c>
      <c r="Y288" s="9" t="str">
        <f>IF($U288="","",SUMIFS(SummaryHelper!$F$2:$F$5000,SummaryHelper!$A$2:$A$5000,$T288,SummaryHelper!$B$2:$B$5000,$U288,SummaryHelper!$C$2:$C$5000,$V288))</f>
        <v/>
      </c>
      <c r="Z288" s="9" t="s">
        <v>489</v>
      </c>
      <c r="AB288" s="9" t="str">
        <f t="shared" si="38"/>
        <v/>
      </c>
      <c r="AC288" s="9" t="str">
        <f t="shared" si="39"/>
        <v/>
      </c>
      <c r="AH288" t="str">
        <f>IF($AF288="","",IFERROR(SUMIFS(SummaryHelper!$H$2:$H$5000,SummaryHelper!$A$2:$A$5000,$AE288,SummaryHelper!$B$2:$B$5000,$AF288,SummaryHelper!$C$2:$C$5000,$AG288)/SUMIFS(SummaryHelper!$G$2:$G$5000,SummaryHelper!$A$2:$A$5000,$AE288,SummaryHelper!$B$2:$B$5000,$AF288,SummaryHelper!$C$2:$C$5000,$AG288),""))</f>
        <v/>
      </c>
      <c r="AI288" t="str">
        <f>IF($AF288="","",SUMIFS(SummaryHelper!$E$2:$E$5000,SummaryHelper!$A$2:$A$5000,$AE288,SummaryHelper!$B$2:$B$5000,$AF288,SummaryHelper!$C$2:$C$5000,$AG288))</f>
        <v/>
      </c>
      <c r="AJ288" t="str">
        <f>IF($AF288="","",SUMIFS(SummaryHelper!$F$2:$F$5000,SummaryHelper!$A$2:$A$5000,$AE288,SummaryHelper!$B$2:$B$5000,$AF288,SummaryHelper!$C$2:$C$5000,$AG288))</f>
        <v/>
      </c>
      <c r="AK288" t="str">
        <f>IF($AF288="","",SUMIFS(SummaryHelper!$G$2:$G$5000,SummaryHelper!$A$2:$A$5000,$AE288,SummaryHelper!$B$2:$B$5000,$AF288,SummaryHelper!$C$2:$C$5000,$AG288))</f>
        <v/>
      </c>
      <c r="AM288" t="str">
        <f t="shared" si="40"/>
        <v/>
      </c>
      <c r="AN288" t="str">
        <f t="shared" si="41"/>
        <v/>
      </c>
    </row>
    <row r="289" spans="1:40" x14ac:dyDescent="0.25">
      <c r="A289" s="12"/>
      <c r="C289" s="9"/>
      <c r="D289" s="9"/>
      <c r="E289" s="9"/>
      <c r="F289" s="9"/>
      <c r="G289" s="9"/>
      <c r="L289" s="9" t="str">
        <f>IF($J289="","",IFERROR(SUMIFS(SummaryHelper!$H$2:$H$5000,SummaryHelper!$A$2:$A$5000,$I289,SummaryHelper!$B$2:$B$5000,$J289,SummaryHelper!$C$2:$C$5000,$K289)/SUMIFS(SummaryHelper!$G$2:$G$5000,SummaryHelper!$A$2:$A$5000,$I289,SummaryHelper!$B$2:$B$5000,$J289,SummaryHelper!$C$2:$C$5000,$K289),""))</f>
        <v/>
      </c>
      <c r="M289" s="9" t="str">
        <f>IF($J289="","",SUMIFS(SummaryHelper!$E$2:$E$5000,SummaryHelper!$A$2:$A$5000,$I289,SummaryHelper!$B$2:$B$5000,$J289,SummaryHelper!$C$2:$C$5000,$K289))</f>
        <v/>
      </c>
      <c r="N289" s="9" t="str">
        <f>IF($J289="","",SUMIFS(SummaryHelper!$F$2:$F$5000,SummaryHelper!$A$2:$A$5000,$I289,SummaryHelper!$B$2:$B$5000,$J289,SummaryHelper!$C$2:$C$5000,$K289))</f>
        <v/>
      </c>
      <c r="O289" s="9" t="str">
        <f>IF($J289="","",SUMIFS(SummaryHelper!$G$2:$G$5000,SummaryHelper!$A$2:$A$5000,$I289,SummaryHelper!$B$2:$B$5000,$J289,SummaryHelper!$C$2:$C$5000,$K289))</f>
        <v/>
      </c>
      <c r="Q289" s="9" t="str">
        <f t="shared" si="36"/>
        <v/>
      </c>
      <c r="R289" s="9" t="str">
        <f t="shared" si="37"/>
        <v/>
      </c>
      <c r="W289" s="9" t="str">
        <f>IF($U289="","",IFERROR(SUMIFS(SummaryHelper!$H$2:$H$5000,SummaryHelper!$A$2:$A$5000,$T289,SummaryHelper!$B$2:$B$5000,$U289,SummaryHelper!$C$2:$C$5000,$V289)/SUMIFS(SummaryHelper!$G$2:$G$5000,SummaryHelper!$A$2:$A$5000,$T289,SummaryHelper!$B$2:$B$5000,$U289,SummaryHelper!$C$2:$C$5000,$V289),""))</f>
        <v/>
      </c>
      <c r="X289" s="9" t="str">
        <f>IF($U289="","",SUMIFS(SummaryHelper!$E$2:$E$5000,SummaryHelper!$A$2:$A$5000,$T289,SummaryHelper!$B$2:$B$5000,$U289,SummaryHelper!$C$2:$C$5000,$V289))</f>
        <v/>
      </c>
      <c r="Y289" s="9" t="str">
        <f>IF($U289="","",SUMIFS(SummaryHelper!$F$2:$F$5000,SummaryHelper!$A$2:$A$5000,$T289,SummaryHelper!$B$2:$B$5000,$U289,SummaryHelper!$C$2:$C$5000,$V289))</f>
        <v/>
      </c>
      <c r="Z289" s="9" t="s">
        <v>489</v>
      </c>
      <c r="AB289" s="9" t="str">
        <f t="shared" si="38"/>
        <v/>
      </c>
      <c r="AC289" s="9" t="str">
        <f t="shared" si="39"/>
        <v/>
      </c>
      <c r="AH289" t="str">
        <f>IF($AF289="","",IFERROR(SUMIFS(SummaryHelper!$H$2:$H$5000,SummaryHelper!$A$2:$A$5000,$AE289,SummaryHelper!$B$2:$B$5000,$AF289,SummaryHelper!$C$2:$C$5000,$AG289)/SUMIFS(SummaryHelper!$G$2:$G$5000,SummaryHelper!$A$2:$A$5000,$AE289,SummaryHelper!$B$2:$B$5000,$AF289,SummaryHelper!$C$2:$C$5000,$AG289),""))</f>
        <v/>
      </c>
      <c r="AI289" t="str">
        <f>IF($AF289="","",SUMIFS(SummaryHelper!$E$2:$E$5000,SummaryHelper!$A$2:$A$5000,$AE289,SummaryHelper!$B$2:$B$5000,$AF289,SummaryHelper!$C$2:$C$5000,$AG289))</f>
        <v/>
      </c>
      <c r="AJ289" t="str">
        <f>IF($AF289="","",SUMIFS(SummaryHelper!$F$2:$F$5000,SummaryHelper!$A$2:$A$5000,$AE289,SummaryHelper!$B$2:$B$5000,$AF289,SummaryHelper!$C$2:$C$5000,$AG289))</f>
        <v/>
      </c>
      <c r="AK289" t="str">
        <f>IF($AF289="","",SUMIFS(SummaryHelper!$G$2:$G$5000,SummaryHelper!$A$2:$A$5000,$AE289,SummaryHelper!$B$2:$B$5000,$AF289,SummaryHelper!$C$2:$C$5000,$AG289))</f>
        <v/>
      </c>
      <c r="AM289" t="str">
        <f t="shared" si="40"/>
        <v/>
      </c>
      <c r="AN289" t="str">
        <f t="shared" si="41"/>
        <v/>
      </c>
    </row>
    <row r="290" spans="1:40" x14ac:dyDescent="0.25">
      <c r="A290" s="12"/>
      <c r="C290" s="9"/>
      <c r="D290" s="9"/>
      <c r="E290" s="9"/>
      <c r="F290" s="9"/>
      <c r="G290" s="9"/>
      <c r="L290" s="9" t="str">
        <f>IF($J290="","",IFERROR(SUMIFS(SummaryHelper!$H$2:$H$5000,SummaryHelper!$A$2:$A$5000,$I290,SummaryHelper!$B$2:$B$5000,$J290,SummaryHelper!$C$2:$C$5000,$K290)/SUMIFS(SummaryHelper!$G$2:$G$5000,SummaryHelper!$A$2:$A$5000,$I290,SummaryHelper!$B$2:$B$5000,$J290,SummaryHelper!$C$2:$C$5000,$K290),""))</f>
        <v/>
      </c>
      <c r="M290" s="9" t="str">
        <f>IF($J290="","",SUMIFS(SummaryHelper!$E$2:$E$5000,SummaryHelper!$A$2:$A$5000,$I290,SummaryHelper!$B$2:$B$5000,$J290,SummaryHelper!$C$2:$C$5000,$K290))</f>
        <v/>
      </c>
      <c r="N290" s="9" t="str">
        <f>IF($J290="","",SUMIFS(SummaryHelper!$F$2:$F$5000,SummaryHelper!$A$2:$A$5000,$I290,SummaryHelper!$B$2:$B$5000,$J290,SummaryHelper!$C$2:$C$5000,$K290))</f>
        <v/>
      </c>
      <c r="O290" s="9" t="str">
        <f>IF($J290="","",SUMIFS(SummaryHelper!$G$2:$G$5000,SummaryHelper!$A$2:$A$5000,$I290,SummaryHelper!$B$2:$B$5000,$J290,SummaryHelper!$C$2:$C$5000,$K290))</f>
        <v/>
      </c>
      <c r="Q290" s="9" t="str">
        <f t="shared" si="36"/>
        <v/>
      </c>
      <c r="R290" s="9" t="str">
        <f t="shared" si="37"/>
        <v/>
      </c>
      <c r="W290" s="9" t="str">
        <f>IF($U290="","",IFERROR(SUMIFS(SummaryHelper!$H$2:$H$5000,SummaryHelper!$A$2:$A$5000,$T290,SummaryHelper!$B$2:$B$5000,$U290,SummaryHelper!$C$2:$C$5000,$V290)/SUMIFS(SummaryHelper!$G$2:$G$5000,SummaryHelper!$A$2:$A$5000,$T290,SummaryHelper!$B$2:$B$5000,$U290,SummaryHelper!$C$2:$C$5000,$V290),""))</f>
        <v/>
      </c>
      <c r="X290" s="9" t="str">
        <f>IF($U290="","",SUMIFS(SummaryHelper!$E$2:$E$5000,SummaryHelper!$A$2:$A$5000,$T290,SummaryHelper!$B$2:$B$5000,$U290,SummaryHelper!$C$2:$C$5000,$V290))</f>
        <v/>
      </c>
      <c r="Y290" s="9" t="str">
        <f>IF($U290="","",SUMIFS(SummaryHelper!$F$2:$F$5000,SummaryHelper!$A$2:$A$5000,$T290,SummaryHelper!$B$2:$B$5000,$U290,SummaryHelper!$C$2:$C$5000,$V290))</f>
        <v/>
      </c>
      <c r="Z290" s="9" t="s">
        <v>489</v>
      </c>
      <c r="AB290" s="9" t="str">
        <f t="shared" si="38"/>
        <v/>
      </c>
      <c r="AC290" s="9" t="str">
        <f t="shared" si="39"/>
        <v/>
      </c>
      <c r="AH290" t="str">
        <f>IF($AF290="","",IFERROR(SUMIFS(SummaryHelper!$H$2:$H$5000,SummaryHelper!$A$2:$A$5000,$AE290,SummaryHelper!$B$2:$B$5000,$AF290,SummaryHelper!$C$2:$C$5000,$AG290)/SUMIFS(SummaryHelper!$G$2:$G$5000,SummaryHelper!$A$2:$A$5000,$AE290,SummaryHelper!$B$2:$B$5000,$AF290,SummaryHelper!$C$2:$C$5000,$AG290),""))</f>
        <v/>
      </c>
      <c r="AI290" t="str">
        <f>IF($AF290="","",SUMIFS(SummaryHelper!$E$2:$E$5000,SummaryHelper!$A$2:$A$5000,$AE290,SummaryHelper!$B$2:$B$5000,$AF290,SummaryHelper!$C$2:$C$5000,$AG290))</f>
        <v/>
      </c>
      <c r="AJ290" t="str">
        <f>IF($AF290="","",SUMIFS(SummaryHelper!$F$2:$F$5000,SummaryHelper!$A$2:$A$5000,$AE290,SummaryHelper!$B$2:$B$5000,$AF290,SummaryHelper!$C$2:$C$5000,$AG290))</f>
        <v/>
      </c>
      <c r="AK290" t="str">
        <f>IF($AF290="","",SUMIFS(SummaryHelper!$G$2:$G$5000,SummaryHelper!$A$2:$A$5000,$AE290,SummaryHelper!$B$2:$B$5000,$AF290,SummaryHelper!$C$2:$C$5000,$AG290))</f>
        <v/>
      </c>
      <c r="AM290" t="str">
        <f t="shared" si="40"/>
        <v/>
      </c>
      <c r="AN290" t="str">
        <f t="shared" si="41"/>
        <v/>
      </c>
    </row>
    <row r="291" spans="1:40" x14ac:dyDescent="0.25">
      <c r="A291" s="12"/>
      <c r="C291" s="9"/>
      <c r="D291" s="9"/>
      <c r="E291" s="9"/>
      <c r="F291" s="9"/>
      <c r="G291" s="9"/>
      <c r="L291" s="9" t="str">
        <f>IF($J291="","",IFERROR(SUMIFS(SummaryHelper!$H$2:$H$5000,SummaryHelper!$A$2:$A$5000,$I291,SummaryHelper!$B$2:$B$5000,$J291,SummaryHelper!$C$2:$C$5000,$K291)/SUMIFS(SummaryHelper!$G$2:$G$5000,SummaryHelper!$A$2:$A$5000,$I291,SummaryHelper!$B$2:$B$5000,$J291,SummaryHelper!$C$2:$C$5000,$K291),""))</f>
        <v/>
      </c>
      <c r="M291" s="9" t="str">
        <f>IF($J291="","",SUMIFS(SummaryHelper!$E$2:$E$5000,SummaryHelper!$A$2:$A$5000,$I291,SummaryHelper!$B$2:$B$5000,$J291,SummaryHelper!$C$2:$C$5000,$K291))</f>
        <v/>
      </c>
      <c r="N291" s="9" t="str">
        <f>IF($J291="","",SUMIFS(SummaryHelper!$F$2:$F$5000,SummaryHelper!$A$2:$A$5000,$I291,SummaryHelper!$B$2:$B$5000,$J291,SummaryHelper!$C$2:$C$5000,$K291))</f>
        <v/>
      </c>
      <c r="O291" s="9" t="str">
        <f>IF($J291="","",SUMIFS(SummaryHelper!$G$2:$G$5000,SummaryHelper!$A$2:$A$5000,$I291,SummaryHelper!$B$2:$B$5000,$J291,SummaryHelper!$C$2:$C$5000,$K291))</f>
        <v/>
      </c>
      <c r="Q291" s="9" t="str">
        <f t="shared" si="36"/>
        <v/>
      </c>
      <c r="R291" s="9" t="str">
        <f t="shared" si="37"/>
        <v/>
      </c>
      <c r="W291" s="9" t="str">
        <f>IF($U291="","",IFERROR(SUMIFS(SummaryHelper!$H$2:$H$5000,SummaryHelper!$A$2:$A$5000,$T291,SummaryHelper!$B$2:$B$5000,$U291,SummaryHelper!$C$2:$C$5000,$V291)/SUMIFS(SummaryHelper!$G$2:$G$5000,SummaryHelper!$A$2:$A$5000,$T291,SummaryHelper!$B$2:$B$5000,$U291,SummaryHelper!$C$2:$C$5000,$V291),""))</f>
        <v/>
      </c>
      <c r="X291" s="9" t="str">
        <f>IF($U291="","",SUMIFS(SummaryHelper!$E$2:$E$5000,SummaryHelper!$A$2:$A$5000,$T291,SummaryHelper!$B$2:$B$5000,$U291,SummaryHelper!$C$2:$C$5000,$V291))</f>
        <v/>
      </c>
      <c r="Y291" s="9" t="str">
        <f>IF($U291="","",SUMIFS(SummaryHelper!$F$2:$F$5000,SummaryHelper!$A$2:$A$5000,$T291,SummaryHelper!$B$2:$B$5000,$U291,SummaryHelper!$C$2:$C$5000,$V291))</f>
        <v/>
      </c>
      <c r="Z291" s="9" t="s">
        <v>489</v>
      </c>
      <c r="AB291" s="9" t="str">
        <f t="shared" si="38"/>
        <v/>
      </c>
      <c r="AC291" s="9" t="str">
        <f t="shared" si="39"/>
        <v/>
      </c>
      <c r="AH291" t="str">
        <f>IF($AF291="","",IFERROR(SUMIFS(SummaryHelper!$H$2:$H$5000,SummaryHelper!$A$2:$A$5000,$AE291,SummaryHelper!$B$2:$B$5000,$AF291,SummaryHelper!$C$2:$C$5000,$AG291)/SUMIFS(SummaryHelper!$G$2:$G$5000,SummaryHelper!$A$2:$A$5000,$AE291,SummaryHelper!$B$2:$B$5000,$AF291,SummaryHelper!$C$2:$C$5000,$AG291),""))</f>
        <v/>
      </c>
      <c r="AI291" t="str">
        <f>IF($AF291="","",SUMIFS(SummaryHelper!$E$2:$E$5000,SummaryHelper!$A$2:$A$5000,$AE291,SummaryHelper!$B$2:$B$5000,$AF291,SummaryHelper!$C$2:$C$5000,$AG291))</f>
        <v/>
      </c>
      <c r="AJ291" t="str">
        <f>IF($AF291="","",SUMIFS(SummaryHelper!$F$2:$F$5000,SummaryHelper!$A$2:$A$5000,$AE291,SummaryHelper!$B$2:$B$5000,$AF291,SummaryHelper!$C$2:$C$5000,$AG291))</f>
        <v/>
      </c>
      <c r="AK291" t="str">
        <f>IF($AF291="","",SUMIFS(SummaryHelper!$G$2:$G$5000,SummaryHelper!$A$2:$A$5000,$AE291,SummaryHelper!$B$2:$B$5000,$AF291,SummaryHelper!$C$2:$C$5000,$AG291))</f>
        <v/>
      </c>
      <c r="AM291" t="str">
        <f t="shared" si="40"/>
        <v/>
      </c>
      <c r="AN291" t="str">
        <f t="shared" si="41"/>
        <v/>
      </c>
    </row>
    <row r="292" spans="1:40" x14ac:dyDescent="0.25">
      <c r="A292" s="12"/>
      <c r="C292" s="9"/>
      <c r="D292" s="9"/>
      <c r="E292" s="9"/>
      <c r="F292" s="9"/>
      <c r="G292" s="9"/>
      <c r="L292" s="9" t="str">
        <f>IF($J292="","",IFERROR(SUMIFS(SummaryHelper!$H$2:$H$5000,SummaryHelper!$A$2:$A$5000,$I292,SummaryHelper!$B$2:$B$5000,$J292,SummaryHelper!$C$2:$C$5000,$K292)/SUMIFS(SummaryHelper!$G$2:$G$5000,SummaryHelper!$A$2:$A$5000,$I292,SummaryHelper!$B$2:$B$5000,$J292,SummaryHelper!$C$2:$C$5000,$K292),""))</f>
        <v/>
      </c>
      <c r="M292" s="9" t="str">
        <f>IF($J292="","",SUMIFS(SummaryHelper!$E$2:$E$5000,SummaryHelper!$A$2:$A$5000,$I292,SummaryHelper!$B$2:$B$5000,$J292,SummaryHelper!$C$2:$C$5000,$K292))</f>
        <v/>
      </c>
      <c r="N292" s="9" t="str">
        <f>IF($J292="","",SUMIFS(SummaryHelper!$F$2:$F$5000,SummaryHelper!$A$2:$A$5000,$I292,SummaryHelper!$B$2:$B$5000,$J292,SummaryHelper!$C$2:$C$5000,$K292))</f>
        <v/>
      </c>
      <c r="O292" s="9" t="str">
        <f>IF($J292="","",SUMIFS(SummaryHelper!$G$2:$G$5000,SummaryHelper!$A$2:$A$5000,$I292,SummaryHelper!$B$2:$B$5000,$J292,SummaryHelper!$C$2:$C$5000,$K292))</f>
        <v/>
      </c>
      <c r="Q292" s="9" t="str">
        <f t="shared" si="36"/>
        <v/>
      </c>
      <c r="R292" s="9" t="str">
        <f t="shared" si="37"/>
        <v/>
      </c>
      <c r="W292" s="9" t="str">
        <f>IF($U292="","",IFERROR(SUMIFS(SummaryHelper!$H$2:$H$5000,SummaryHelper!$A$2:$A$5000,$T292,SummaryHelper!$B$2:$B$5000,$U292,SummaryHelper!$C$2:$C$5000,$V292)/SUMIFS(SummaryHelper!$G$2:$G$5000,SummaryHelper!$A$2:$A$5000,$T292,SummaryHelper!$B$2:$B$5000,$U292,SummaryHelper!$C$2:$C$5000,$V292),""))</f>
        <v/>
      </c>
      <c r="X292" s="9" t="str">
        <f>IF($U292="","",SUMIFS(SummaryHelper!$E$2:$E$5000,SummaryHelper!$A$2:$A$5000,$T292,SummaryHelper!$B$2:$B$5000,$U292,SummaryHelper!$C$2:$C$5000,$V292))</f>
        <v/>
      </c>
      <c r="Y292" s="9" t="str">
        <f>IF($U292="","",SUMIFS(SummaryHelper!$F$2:$F$5000,SummaryHelper!$A$2:$A$5000,$T292,SummaryHelper!$B$2:$B$5000,$U292,SummaryHelper!$C$2:$C$5000,$V292))</f>
        <v/>
      </c>
      <c r="Z292" s="9" t="s">
        <v>489</v>
      </c>
      <c r="AB292" s="9" t="str">
        <f t="shared" si="38"/>
        <v/>
      </c>
      <c r="AC292" s="9" t="str">
        <f t="shared" si="39"/>
        <v/>
      </c>
      <c r="AH292" t="str">
        <f>IF($AF292="","",IFERROR(SUMIFS(SummaryHelper!$H$2:$H$5000,SummaryHelper!$A$2:$A$5000,$AE292,SummaryHelper!$B$2:$B$5000,$AF292,SummaryHelper!$C$2:$C$5000,$AG292)/SUMIFS(SummaryHelper!$G$2:$G$5000,SummaryHelper!$A$2:$A$5000,$AE292,SummaryHelper!$B$2:$B$5000,$AF292,SummaryHelper!$C$2:$C$5000,$AG292),""))</f>
        <v/>
      </c>
      <c r="AI292" t="str">
        <f>IF($AF292="","",SUMIFS(SummaryHelper!$E$2:$E$5000,SummaryHelper!$A$2:$A$5000,$AE292,SummaryHelper!$B$2:$B$5000,$AF292,SummaryHelper!$C$2:$C$5000,$AG292))</f>
        <v/>
      </c>
      <c r="AJ292" t="str">
        <f>IF($AF292="","",SUMIFS(SummaryHelper!$F$2:$F$5000,SummaryHelper!$A$2:$A$5000,$AE292,SummaryHelper!$B$2:$B$5000,$AF292,SummaryHelper!$C$2:$C$5000,$AG292))</f>
        <v/>
      </c>
      <c r="AK292" t="str">
        <f>IF($AF292="","",SUMIFS(SummaryHelper!$G$2:$G$5000,SummaryHelper!$A$2:$A$5000,$AE292,SummaryHelper!$B$2:$B$5000,$AF292,SummaryHelper!$C$2:$C$5000,$AG292))</f>
        <v/>
      </c>
      <c r="AM292" t="str">
        <f t="shared" si="40"/>
        <v/>
      </c>
      <c r="AN292" t="str">
        <f t="shared" si="41"/>
        <v/>
      </c>
    </row>
    <row r="293" spans="1:40" x14ac:dyDescent="0.25">
      <c r="A293" s="12"/>
      <c r="C293" s="9"/>
      <c r="D293" s="9"/>
      <c r="E293" s="9"/>
      <c r="F293" s="9"/>
      <c r="G293" s="9"/>
      <c r="L293" s="9" t="str">
        <f>IF($J293="","",IFERROR(SUMIFS(SummaryHelper!$H$2:$H$5000,SummaryHelper!$A$2:$A$5000,$I293,SummaryHelper!$B$2:$B$5000,$J293,SummaryHelper!$C$2:$C$5000,$K293)/SUMIFS(SummaryHelper!$G$2:$G$5000,SummaryHelper!$A$2:$A$5000,$I293,SummaryHelper!$B$2:$B$5000,$J293,SummaryHelper!$C$2:$C$5000,$K293),""))</f>
        <v/>
      </c>
      <c r="M293" s="9" t="str">
        <f>IF($J293="","",SUMIFS(SummaryHelper!$E$2:$E$5000,SummaryHelper!$A$2:$A$5000,$I293,SummaryHelper!$B$2:$B$5000,$J293,SummaryHelper!$C$2:$C$5000,$K293))</f>
        <v/>
      </c>
      <c r="N293" s="9" t="str">
        <f>IF($J293="","",SUMIFS(SummaryHelper!$F$2:$F$5000,SummaryHelper!$A$2:$A$5000,$I293,SummaryHelper!$B$2:$B$5000,$J293,SummaryHelper!$C$2:$C$5000,$K293))</f>
        <v/>
      </c>
      <c r="O293" s="9" t="str">
        <f>IF($J293="","",SUMIFS(SummaryHelper!$G$2:$G$5000,SummaryHelper!$A$2:$A$5000,$I293,SummaryHelper!$B$2:$B$5000,$J293,SummaryHelper!$C$2:$C$5000,$K293))</f>
        <v/>
      </c>
      <c r="Q293" s="9" t="str">
        <f t="shared" si="36"/>
        <v/>
      </c>
      <c r="R293" s="9" t="str">
        <f t="shared" si="37"/>
        <v/>
      </c>
      <c r="W293" s="9" t="str">
        <f>IF($U293="","",IFERROR(SUMIFS(SummaryHelper!$H$2:$H$5000,SummaryHelper!$A$2:$A$5000,$T293,SummaryHelper!$B$2:$B$5000,$U293,SummaryHelper!$C$2:$C$5000,$V293)/SUMIFS(SummaryHelper!$G$2:$G$5000,SummaryHelper!$A$2:$A$5000,$T293,SummaryHelper!$B$2:$B$5000,$U293,SummaryHelper!$C$2:$C$5000,$V293),""))</f>
        <v/>
      </c>
      <c r="X293" s="9" t="str">
        <f>IF($U293="","",SUMIFS(SummaryHelper!$E$2:$E$5000,SummaryHelper!$A$2:$A$5000,$T293,SummaryHelper!$B$2:$B$5000,$U293,SummaryHelper!$C$2:$C$5000,$V293))</f>
        <v/>
      </c>
      <c r="Y293" s="9" t="str">
        <f>IF($U293="","",SUMIFS(SummaryHelper!$F$2:$F$5000,SummaryHelper!$A$2:$A$5000,$T293,SummaryHelper!$B$2:$B$5000,$U293,SummaryHelper!$C$2:$C$5000,$V293))</f>
        <v/>
      </c>
      <c r="Z293" s="9" t="s">
        <v>489</v>
      </c>
      <c r="AB293" s="9" t="str">
        <f t="shared" si="38"/>
        <v/>
      </c>
      <c r="AC293" s="9" t="str">
        <f t="shared" si="39"/>
        <v/>
      </c>
      <c r="AH293" t="str">
        <f>IF($AF293="","",IFERROR(SUMIFS(SummaryHelper!$H$2:$H$5000,SummaryHelper!$A$2:$A$5000,$AE293,SummaryHelper!$B$2:$B$5000,$AF293,SummaryHelper!$C$2:$C$5000,$AG293)/SUMIFS(SummaryHelper!$G$2:$G$5000,SummaryHelper!$A$2:$A$5000,$AE293,SummaryHelper!$B$2:$B$5000,$AF293,SummaryHelper!$C$2:$C$5000,$AG293),""))</f>
        <v/>
      </c>
      <c r="AI293" t="str">
        <f>IF($AF293="","",SUMIFS(SummaryHelper!$E$2:$E$5000,SummaryHelper!$A$2:$A$5000,$AE293,SummaryHelper!$B$2:$B$5000,$AF293,SummaryHelper!$C$2:$C$5000,$AG293))</f>
        <v/>
      </c>
      <c r="AJ293" t="str">
        <f>IF($AF293="","",SUMIFS(SummaryHelper!$F$2:$F$5000,SummaryHelper!$A$2:$A$5000,$AE293,SummaryHelper!$B$2:$B$5000,$AF293,SummaryHelper!$C$2:$C$5000,$AG293))</f>
        <v/>
      </c>
      <c r="AK293" t="str">
        <f>IF($AF293="","",SUMIFS(SummaryHelper!$G$2:$G$5000,SummaryHelper!$A$2:$A$5000,$AE293,SummaryHelper!$B$2:$B$5000,$AF293,SummaryHelper!$C$2:$C$5000,$AG293))</f>
        <v/>
      </c>
      <c r="AM293" t="str">
        <f t="shared" si="40"/>
        <v/>
      </c>
      <c r="AN293" t="str">
        <f t="shared" si="41"/>
        <v/>
      </c>
    </row>
    <row r="294" spans="1:40" x14ac:dyDescent="0.25">
      <c r="A294" s="12"/>
      <c r="C294" s="9"/>
      <c r="D294" s="9"/>
      <c r="E294" s="9"/>
      <c r="F294" s="9"/>
      <c r="G294" s="9"/>
      <c r="L294" s="9" t="str">
        <f>IF($J294="","",IFERROR(SUMIFS(SummaryHelper!$H$2:$H$5000,SummaryHelper!$A$2:$A$5000,$I294,SummaryHelper!$B$2:$B$5000,$J294,SummaryHelper!$C$2:$C$5000,$K294)/SUMIFS(SummaryHelper!$G$2:$G$5000,SummaryHelper!$A$2:$A$5000,$I294,SummaryHelper!$B$2:$B$5000,$J294,SummaryHelper!$C$2:$C$5000,$K294),""))</f>
        <v/>
      </c>
      <c r="M294" s="9" t="str">
        <f>IF($J294="","",SUMIFS(SummaryHelper!$E$2:$E$5000,SummaryHelper!$A$2:$A$5000,$I294,SummaryHelper!$B$2:$B$5000,$J294,SummaryHelper!$C$2:$C$5000,$K294))</f>
        <v/>
      </c>
      <c r="N294" s="9" t="str">
        <f>IF($J294="","",SUMIFS(SummaryHelper!$F$2:$F$5000,SummaryHelper!$A$2:$A$5000,$I294,SummaryHelper!$B$2:$B$5000,$J294,SummaryHelper!$C$2:$C$5000,$K294))</f>
        <v/>
      </c>
      <c r="O294" s="9" t="str">
        <f>IF($J294="","",SUMIFS(SummaryHelper!$G$2:$G$5000,SummaryHelper!$A$2:$A$5000,$I294,SummaryHelper!$B$2:$B$5000,$J294,SummaryHelper!$C$2:$C$5000,$K294))</f>
        <v/>
      </c>
      <c r="Q294" s="9" t="str">
        <f t="shared" si="36"/>
        <v/>
      </c>
      <c r="R294" s="9" t="str">
        <f t="shared" si="37"/>
        <v/>
      </c>
      <c r="W294" s="9" t="str">
        <f>IF($U294="","",IFERROR(SUMIFS(SummaryHelper!$H$2:$H$5000,SummaryHelper!$A$2:$A$5000,$T294,SummaryHelper!$B$2:$B$5000,$U294,SummaryHelper!$C$2:$C$5000,$V294)/SUMIFS(SummaryHelper!$G$2:$G$5000,SummaryHelper!$A$2:$A$5000,$T294,SummaryHelper!$B$2:$B$5000,$U294,SummaryHelper!$C$2:$C$5000,$V294),""))</f>
        <v/>
      </c>
      <c r="X294" s="9" t="str">
        <f>IF($U294="","",SUMIFS(SummaryHelper!$E$2:$E$5000,SummaryHelper!$A$2:$A$5000,$T294,SummaryHelper!$B$2:$B$5000,$U294,SummaryHelper!$C$2:$C$5000,$V294))</f>
        <v/>
      </c>
      <c r="Y294" s="9" t="str">
        <f>IF($U294="","",SUMIFS(SummaryHelper!$F$2:$F$5000,SummaryHelper!$A$2:$A$5000,$T294,SummaryHelper!$B$2:$B$5000,$U294,SummaryHelper!$C$2:$C$5000,$V294))</f>
        <v/>
      </c>
      <c r="Z294" s="9" t="s">
        <v>489</v>
      </c>
      <c r="AB294" s="9" t="str">
        <f t="shared" si="38"/>
        <v/>
      </c>
      <c r="AC294" s="9" t="str">
        <f t="shared" si="39"/>
        <v/>
      </c>
      <c r="AH294" t="str">
        <f>IF($AF294="","",IFERROR(SUMIFS(SummaryHelper!$H$2:$H$5000,SummaryHelper!$A$2:$A$5000,$AE294,SummaryHelper!$B$2:$B$5000,$AF294,SummaryHelper!$C$2:$C$5000,$AG294)/SUMIFS(SummaryHelper!$G$2:$G$5000,SummaryHelper!$A$2:$A$5000,$AE294,SummaryHelper!$B$2:$B$5000,$AF294,SummaryHelper!$C$2:$C$5000,$AG294),""))</f>
        <v/>
      </c>
      <c r="AI294" t="str">
        <f>IF($AF294="","",SUMIFS(SummaryHelper!$E$2:$E$5000,SummaryHelper!$A$2:$A$5000,$AE294,SummaryHelper!$B$2:$B$5000,$AF294,SummaryHelper!$C$2:$C$5000,$AG294))</f>
        <v/>
      </c>
      <c r="AJ294" t="str">
        <f>IF($AF294="","",SUMIFS(SummaryHelper!$F$2:$F$5000,SummaryHelper!$A$2:$A$5000,$AE294,SummaryHelper!$B$2:$B$5000,$AF294,SummaryHelper!$C$2:$C$5000,$AG294))</f>
        <v/>
      </c>
      <c r="AK294" t="str">
        <f>IF($AF294="","",SUMIFS(SummaryHelper!$G$2:$G$5000,SummaryHelper!$A$2:$A$5000,$AE294,SummaryHelper!$B$2:$B$5000,$AF294,SummaryHelper!$C$2:$C$5000,$AG294))</f>
        <v/>
      </c>
      <c r="AM294" t="str">
        <f t="shared" si="40"/>
        <v/>
      </c>
      <c r="AN294" t="str">
        <f t="shared" si="41"/>
        <v/>
      </c>
    </row>
    <row r="295" spans="1:40" x14ac:dyDescent="0.25">
      <c r="A295" s="12"/>
      <c r="C295" s="9"/>
      <c r="D295" s="9"/>
      <c r="E295" s="9"/>
      <c r="F295" s="9"/>
      <c r="G295" s="9"/>
      <c r="L295" s="9" t="str">
        <f>IF($J295="","",IFERROR(SUMIFS(SummaryHelper!$H$2:$H$5000,SummaryHelper!$A$2:$A$5000,$I295,SummaryHelper!$B$2:$B$5000,$J295,SummaryHelper!$C$2:$C$5000,$K295)/SUMIFS(SummaryHelper!$G$2:$G$5000,SummaryHelper!$A$2:$A$5000,$I295,SummaryHelper!$B$2:$B$5000,$J295,SummaryHelper!$C$2:$C$5000,$K295),""))</f>
        <v/>
      </c>
      <c r="M295" s="9" t="str">
        <f>IF($J295="","",SUMIFS(SummaryHelper!$E$2:$E$5000,SummaryHelper!$A$2:$A$5000,$I295,SummaryHelper!$B$2:$B$5000,$J295,SummaryHelper!$C$2:$C$5000,$K295))</f>
        <v/>
      </c>
      <c r="N295" s="9" t="str">
        <f>IF($J295="","",SUMIFS(SummaryHelper!$F$2:$F$5000,SummaryHelper!$A$2:$A$5000,$I295,SummaryHelper!$B$2:$B$5000,$J295,SummaryHelper!$C$2:$C$5000,$K295))</f>
        <v/>
      </c>
      <c r="O295" s="9" t="str">
        <f>IF($J295="","",SUMIFS(SummaryHelper!$G$2:$G$5000,SummaryHelper!$A$2:$A$5000,$I295,SummaryHelper!$B$2:$B$5000,$J295,SummaryHelper!$C$2:$C$5000,$K295))</f>
        <v/>
      </c>
      <c r="Q295" s="9" t="str">
        <f t="shared" si="36"/>
        <v/>
      </c>
      <c r="R295" s="9" t="str">
        <f t="shared" si="37"/>
        <v/>
      </c>
      <c r="W295" s="9" t="str">
        <f>IF($U295="","",IFERROR(SUMIFS(SummaryHelper!$H$2:$H$5000,SummaryHelper!$A$2:$A$5000,$T295,SummaryHelper!$B$2:$B$5000,$U295,SummaryHelper!$C$2:$C$5000,$V295)/SUMIFS(SummaryHelper!$G$2:$G$5000,SummaryHelper!$A$2:$A$5000,$T295,SummaryHelper!$B$2:$B$5000,$U295,SummaryHelper!$C$2:$C$5000,$V295),""))</f>
        <v/>
      </c>
      <c r="X295" s="9" t="str">
        <f>IF($U295="","",SUMIFS(SummaryHelper!$E$2:$E$5000,SummaryHelper!$A$2:$A$5000,$T295,SummaryHelper!$B$2:$B$5000,$U295,SummaryHelper!$C$2:$C$5000,$V295))</f>
        <v/>
      </c>
      <c r="Y295" s="9" t="str">
        <f>IF($U295="","",SUMIFS(SummaryHelper!$F$2:$F$5000,SummaryHelper!$A$2:$A$5000,$T295,SummaryHelper!$B$2:$B$5000,$U295,SummaryHelper!$C$2:$C$5000,$V295))</f>
        <v/>
      </c>
      <c r="Z295" s="9" t="s">
        <v>489</v>
      </c>
      <c r="AB295" s="9" t="str">
        <f t="shared" si="38"/>
        <v/>
      </c>
      <c r="AC295" s="9" t="str">
        <f t="shared" si="39"/>
        <v/>
      </c>
      <c r="AH295" t="str">
        <f>IF($AF295="","",IFERROR(SUMIFS(SummaryHelper!$H$2:$H$5000,SummaryHelper!$A$2:$A$5000,$AE295,SummaryHelper!$B$2:$B$5000,$AF295,SummaryHelper!$C$2:$C$5000,$AG295)/SUMIFS(SummaryHelper!$G$2:$G$5000,SummaryHelper!$A$2:$A$5000,$AE295,SummaryHelper!$B$2:$B$5000,$AF295,SummaryHelper!$C$2:$C$5000,$AG295),""))</f>
        <v/>
      </c>
      <c r="AI295" t="str">
        <f>IF($AF295="","",SUMIFS(SummaryHelper!$E$2:$E$5000,SummaryHelper!$A$2:$A$5000,$AE295,SummaryHelper!$B$2:$B$5000,$AF295,SummaryHelper!$C$2:$C$5000,$AG295))</f>
        <v/>
      </c>
      <c r="AJ295" t="str">
        <f>IF($AF295="","",SUMIFS(SummaryHelper!$F$2:$F$5000,SummaryHelper!$A$2:$A$5000,$AE295,SummaryHelper!$B$2:$B$5000,$AF295,SummaryHelper!$C$2:$C$5000,$AG295))</f>
        <v/>
      </c>
      <c r="AK295" t="str">
        <f>IF($AF295="","",SUMIFS(SummaryHelper!$G$2:$G$5000,SummaryHelper!$A$2:$A$5000,$AE295,SummaryHelper!$B$2:$B$5000,$AF295,SummaryHelper!$C$2:$C$5000,$AG295))</f>
        <v/>
      </c>
      <c r="AM295" t="str">
        <f t="shared" si="40"/>
        <v/>
      </c>
      <c r="AN295" t="str">
        <f t="shared" si="41"/>
        <v/>
      </c>
    </row>
    <row r="296" spans="1:40" x14ac:dyDescent="0.25">
      <c r="A296" s="12"/>
      <c r="C296" s="9"/>
      <c r="D296" s="9"/>
      <c r="E296" s="9"/>
      <c r="F296" s="9"/>
      <c r="G296" s="9"/>
      <c r="L296" s="9" t="str">
        <f>IF($J296="","",IFERROR(SUMIFS(SummaryHelper!$H$2:$H$5000,SummaryHelper!$A$2:$A$5000,$I296,SummaryHelper!$B$2:$B$5000,$J296,SummaryHelper!$C$2:$C$5000,$K296)/SUMIFS(SummaryHelper!$G$2:$G$5000,SummaryHelper!$A$2:$A$5000,$I296,SummaryHelper!$B$2:$B$5000,$J296,SummaryHelper!$C$2:$C$5000,$K296),""))</f>
        <v/>
      </c>
      <c r="M296" s="9" t="str">
        <f>IF($J296="","",SUMIFS(SummaryHelper!$E$2:$E$5000,SummaryHelper!$A$2:$A$5000,$I296,SummaryHelper!$B$2:$B$5000,$J296,SummaryHelper!$C$2:$C$5000,$K296))</f>
        <v/>
      </c>
      <c r="N296" s="9" t="str">
        <f>IF($J296="","",SUMIFS(SummaryHelper!$F$2:$F$5000,SummaryHelper!$A$2:$A$5000,$I296,SummaryHelper!$B$2:$B$5000,$J296,SummaryHelper!$C$2:$C$5000,$K296))</f>
        <v/>
      </c>
      <c r="O296" s="9" t="str">
        <f>IF($J296="","",SUMIFS(SummaryHelper!$G$2:$G$5000,SummaryHelper!$A$2:$A$5000,$I296,SummaryHelper!$B$2:$B$5000,$J296,SummaryHelper!$C$2:$C$5000,$K296))</f>
        <v/>
      </c>
      <c r="Q296" s="9" t="str">
        <f t="shared" si="36"/>
        <v/>
      </c>
      <c r="R296" s="9" t="str">
        <f t="shared" si="37"/>
        <v/>
      </c>
      <c r="W296" s="9" t="str">
        <f>IF($U296="","",IFERROR(SUMIFS(SummaryHelper!$H$2:$H$5000,SummaryHelper!$A$2:$A$5000,$T296,SummaryHelper!$B$2:$B$5000,$U296,SummaryHelper!$C$2:$C$5000,$V296)/SUMIFS(SummaryHelper!$G$2:$G$5000,SummaryHelper!$A$2:$A$5000,$T296,SummaryHelper!$B$2:$B$5000,$U296,SummaryHelper!$C$2:$C$5000,$V296),""))</f>
        <v/>
      </c>
      <c r="X296" s="9" t="str">
        <f>IF($U296="","",SUMIFS(SummaryHelper!$E$2:$E$5000,SummaryHelper!$A$2:$A$5000,$T296,SummaryHelper!$B$2:$B$5000,$U296,SummaryHelper!$C$2:$C$5000,$V296))</f>
        <v/>
      </c>
      <c r="Y296" s="9" t="str">
        <f>IF($U296="","",SUMIFS(SummaryHelper!$F$2:$F$5000,SummaryHelper!$A$2:$A$5000,$T296,SummaryHelper!$B$2:$B$5000,$U296,SummaryHelper!$C$2:$C$5000,$V296))</f>
        <v/>
      </c>
      <c r="Z296" s="9" t="s">
        <v>489</v>
      </c>
      <c r="AB296" s="9" t="str">
        <f t="shared" si="38"/>
        <v/>
      </c>
      <c r="AC296" s="9" t="str">
        <f t="shared" si="39"/>
        <v/>
      </c>
      <c r="AH296" t="str">
        <f>IF($AF296="","",IFERROR(SUMIFS(SummaryHelper!$H$2:$H$5000,SummaryHelper!$A$2:$A$5000,$AE296,SummaryHelper!$B$2:$B$5000,$AF296,SummaryHelper!$C$2:$C$5000,$AG296)/SUMIFS(SummaryHelper!$G$2:$G$5000,SummaryHelper!$A$2:$A$5000,$AE296,SummaryHelper!$B$2:$B$5000,$AF296,SummaryHelper!$C$2:$C$5000,$AG296),""))</f>
        <v/>
      </c>
      <c r="AI296" t="str">
        <f>IF($AF296="","",SUMIFS(SummaryHelper!$E$2:$E$5000,SummaryHelper!$A$2:$A$5000,$AE296,SummaryHelper!$B$2:$B$5000,$AF296,SummaryHelper!$C$2:$C$5000,$AG296))</f>
        <v/>
      </c>
      <c r="AJ296" t="str">
        <f>IF($AF296="","",SUMIFS(SummaryHelper!$F$2:$F$5000,SummaryHelper!$A$2:$A$5000,$AE296,SummaryHelper!$B$2:$B$5000,$AF296,SummaryHelper!$C$2:$C$5000,$AG296))</f>
        <v/>
      </c>
      <c r="AK296" t="str">
        <f>IF($AF296="","",SUMIFS(SummaryHelper!$G$2:$G$5000,SummaryHelper!$A$2:$A$5000,$AE296,SummaryHelper!$B$2:$B$5000,$AF296,SummaryHelper!$C$2:$C$5000,$AG296))</f>
        <v/>
      </c>
      <c r="AM296" t="str">
        <f t="shared" si="40"/>
        <v/>
      </c>
      <c r="AN296" t="str">
        <f t="shared" si="41"/>
        <v/>
      </c>
    </row>
    <row r="297" spans="1:40" x14ac:dyDescent="0.25">
      <c r="A297" s="12"/>
      <c r="C297" s="9"/>
      <c r="D297" s="9"/>
      <c r="E297" s="9"/>
      <c r="F297" s="9"/>
      <c r="G297" s="9"/>
      <c r="L297" s="9" t="str">
        <f>IF($J297="","",IFERROR(SUMIFS(SummaryHelper!$H$2:$H$5000,SummaryHelper!$A$2:$A$5000,$I297,SummaryHelper!$B$2:$B$5000,$J297,SummaryHelper!$C$2:$C$5000,$K297)/SUMIFS(SummaryHelper!$G$2:$G$5000,SummaryHelper!$A$2:$A$5000,$I297,SummaryHelper!$B$2:$B$5000,$J297,SummaryHelper!$C$2:$C$5000,$K297),""))</f>
        <v/>
      </c>
      <c r="M297" s="9" t="str">
        <f>IF($J297="","",SUMIFS(SummaryHelper!$E$2:$E$5000,SummaryHelper!$A$2:$A$5000,$I297,SummaryHelper!$B$2:$B$5000,$J297,SummaryHelper!$C$2:$C$5000,$K297))</f>
        <v/>
      </c>
      <c r="N297" s="9" t="str">
        <f>IF($J297="","",SUMIFS(SummaryHelper!$F$2:$F$5000,SummaryHelper!$A$2:$A$5000,$I297,SummaryHelper!$B$2:$B$5000,$J297,SummaryHelper!$C$2:$C$5000,$K297))</f>
        <v/>
      </c>
      <c r="O297" s="9" t="str">
        <f>IF($J297="","",SUMIFS(SummaryHelper!$G$2:$G$5000,SummaryHelper!$A$2:$A$5000,$I297,SummaryHelper!$B$2:$B$5000,$J297,SummaryHelper!$C$2:$C$5000,$K297))</f>
        <v/>
      </c>
      <c r="Q297" s="9" t="str">
        <f t="shared" si="36"/>
        <v/>
      </c>
      <c r="R297" s="9" t="str">
        <f t="shared" si="37"/>
        <v/>
      </c>
      <c r="W297" s="9" t="str">
        <f>IF($U297="","",IFERROR(SUMIFS(SummaryHelper!$H$2:$H$5000,SummaryHelper!$A$2:$A$5000,$T297,SummaryHelper!$B$2:$B$5000,$U297,SummaryHelper!$C$2:$C$5000,$V297)/SUMIFS(SummaryHelper!$G$2:$G$5000,SummaryHelper!$A$2:$A$5000,$T297,SummaryHelper!$B$2:$B$5000,$U297,SummaryHelper!$C$2:$C$5000,$V297),""))</f>
        <v/>
      </c>
      <c r="X297" s="9" t="str">
        <f>IF($U297="","",SUMIFS(SummaryHelper!$E$2:$E$5000,SummaryHelper!$A$2:$A$5000,$T297,SummaryHelper!$B$2:$B$5000,$U297,SummaryHelper!$C$2:$C$5000,$V297))</f>
        <v/>
      </c>
      <c r="Y297" s="9" t="str">
        <f>IF($U297="","",SUMIFS(SummaryHelper!$F$2:$F$5000,SummaryHelper!$A$2:$A$5000,$T297,SummaryHelper!$B$2:$B$5000,$U297,SummaryHelper!$C$2:$C$5000,$V297))</f>
        <v/>
      </c>
      <c r="Z297" s="9" t="s">
        <v>489</v>
      </c>
      <c r="AB297" s="9" t="str">
        <f t="shared" si="38"/>
        <v/>
      </c>
      <c r="AC297" s="9" t="str">
        <f t="shared" si="39"/>
        <v/>
      </c>
      <c r="AH297" t="str">
        <f>IF($AF297="","",IFERROR(SUMIFS(SummaryHelper!$H$2:$H$5000,SummaryHelper!$A$2:$A$5000,$AE297,SummaryHelper!$B$2:$B$5000,$AF297,SummaryHelper!$C$2:$C$5000,$AG297)/SUMIFS(SummaryHelper!$G$2:$G$5000,SummaryHelper!$A$2:$A$5000,$AE297,SummaryHelper!$B$2:$B$5000,$AF297,SummaryHelper!$C$2:$C$5000,$AG297),""))</f>
        <v/>
      </c>
      <c r="AI297" t="str">
        <f>IF($AF297="","",SUMIFS(SummaryHelper!$E$2:$E$5000,SummaryHelper!$A$2:$A$5000,$AE297,SummaryHelper!$B$2:$B$5000,$AF297,SummaryHelper!$C$2:$C$5000,$AG297))</f>
        <v/>
      </c>
      <c r="AJ297" t="str">
        <f>IF($AF297="","",SUMIFS(SummaryHelper!$F$2:$F$5000,SummaryHelper!$A$2:$A$5000,$AE297,SummaryHelper!$B$2:$B$5000,$AF297,SummaryHelper!$C$2:$C$5000,$AG297))</f>
        <v/>
      </c>
      <c r="AK297" t="str">
        <f>IF($AF297="","",SUMIFS(SummaryHelper!$G$2:$G$5000,SummaryHelper!$A$2:$A$5000,$AE297,SummaryHelper!$B$2:$B$5000,$AF297,SummaryHelper!$C$2:$C$5000,$AG297))</f>
        <v/>
      </c>
      <c r="AM297" t="str">
        <f t="shared" si="40"/>
        <v/>
      </c>
      <c r="AN297" t="str">
        <f t="shared" si="41"/>
        <v/>
      </c>
    </row>
    <row r="298" spans="1:40" x14ac:dyDescent="0.25">
      <c r="A298" s="12"/>
      <c r="C298" s="9"/>
      <c r="D298" s="9"/>
      <c r="E298" s="9"/>
      <c r="F298" s="9"/>
      <c r="G298" s="9"/>
      <c r="L298" s="9" t="str">
        <f>IF($J298="","",IFERROR(SUMIFS(SummaryHelper!$H$2:$H$5000,SummaryHelper!$A$2:$A$5000,$I298,SummaryHelper!$B$2:$B$5000,$J298,SummaryHelper!$C$2:$C$5000,$K298)/SUMIFS(SummaryHelper!$G$2:$G$5000,SummaryHelper!$A$2:$A$5000,$I298,SummaryHelper!$B$2:$B$5000,$J298,SummaryHelper!$C$2:$C$5000,$K298),""))</f>
        <v/>
      </c>
      <c r="M298" s="9" t="str">
        <f>IF($J298="","",SUMIFS(SummaryHelper!$E$2:$E$5000,SummaryHelper!$A$2:$A$5000,$I298,SummaryHelper!$B$2:$B$5000,$J298,SummaryHelper!$C$2:$C$5000,$K298))</f>
        <v/>
      </c>
      <c r="N298" s="9" t="str">
        <f>IF($J298="","",SUMIFS(SummaryHelper!$F$2:$F$5000,SummaryHelper!$A$2:$A$5000,$I298,SummaryHelper!$B$2:$B$5000,$J298,SummaryHelper!$C$2:$C$5000,$K298))</f>
        <v/>
      </c>
      <c r="O298" s="9" t="str">
        <f>IF($J298="","",SUMIFS(SummaryHelper!$G$2:$G$5000,SummaryHelper!$A$2:$A$5000,$I298,SummaryHelper!$B$2:$B$5000,$J298,SummaryHelper!$C$2:$C$5000,$K298))</f>
        <v/>
      </c>
      <c r="Q298" s="9" t="str">
        <f t="shared" si="36"/>
        <v/>
      </c>
      <c r="R298" s="9" t="str">
        <f t="shared" si="37"/>
        <v/>
      </c>
      <c r="W298" s="9" t="str">
        <f>IF($U298="","",IFERROR(SUMIFS(SummaryHelper!$H$2:$H$5000,SummaryHelper!$A$2:$A$5000,$T298,SummaryHelper!$B$2:$B$5000,$U298,SummaryHelper!$C$2:$C$5000,$V298)/SUMIFS(SummaryHelper!$G$2:$G$5000,SummaryHelper!$A$2:$A$5000,$T298,SummaryHelper!$B$2:$B$5000,$U298,SummaryHelper!$C$2:$C$5000,$V298),""))</f>
        <v/>
      </c>
      <c r="X298" s="9" t="str">
        <f>IF($U298="","",SUMIFS(SummaryHelper!$E$2:$E$5000,SummaryHelper!$A$2:$A$5000,$T298,SummaryHelper!$B$2:$B$5000,$U298,SummaryHelper!$C$2:$C$5000,$V298))</f>
        <v/>
      </c>
      <c r="Y298" s="9" t="str">
        <f>IF($U298="","",SUMIFS(SummaryHelper!$F$2:$F$5000,SummaryHelper!$A$2:$A$5000,$T298,SummaryHelper!$B$2:$B$5000,$U298,SummaryHelper!$C$2:$C$5000,$V298))</f>
        <v/>
      </c>
      <c r="Z298" s="9" t="s">
        <v>489</v>
      </c>
      <c r="AB298" s="9" t="str">
        <f t="shared" si="38"/>
        <v/>
      </c>
      <c r="AC298" s="9" t="str">
        <f t="shared" si="39"/>
        <v/>
      </c>
      <c r="AH298" t="str">
        <f>IF($AF298="","",IFERROR(SUMIFS(SummaryHelper!$H$2:$H$5000,SummaryHelper!$A$2:$A$5000,$AE298,SummaryHelper!$B$2:$B$5000,$AF298,SummaryHelper!$C$2:$C$5000,$AG298)/SUMIFS(SummaryHelper!$G$2:$G$5000,SummaryHelper!$A$2:$A$5000,$AE298,SummaryHelper!$B$2:$B$5000,$AF298,SummaryHelper!$C$2:$C$5000,$AG298),""))</f>
        <v/>
      </c>
      <c r="AI298" t="str">
        <f>IF($AF298="","",SUMIFS(SummaryHelper!$E$2:$E$5000,SummaryHelper!$A$2:$A$5000,$AE298,SummaryHelper!$B$2:$B$5000,$AF298,SummaryHelper!$C$2:$C$5000,$AG298))</f>
        <v/>
      </c>
      <c r="AJ298" t="str">
        <f>IF($AF298="","",SUMIFS(SummaryHelper!$F$2:$F$5000,SummaryHelper!$A$2:$A$5000,$AE298,SummaryHelper!$B$2:$B$5000,$AF298,SummaryHelper!$C$2:$C$5000,$AG298))</f>
        <v/>
      </c>
      <c r="AK298" t="str">
        <f>IF($AF298="","",SUMIFS(SummaryHelper!$G$2:$G$5000,SummaryHelper!$A$2:$A$5000,$AE298,SummaryHelper!$B$2:$B$5000,$AF298,SummaryHelper!$C$2:$C$5000,$AG298))</f>
        <v/>
      </c>
      <c r="AM298" t="str">
        <f t="shared" si="40"/>
        <v/>
      </c>
      <c r="AN298" t="str">
        <f t="shared" si="41"/>
        <v/>
      </c>
    </row>
    <row r="299" spans="1:40" x14ac:dyDescent="0.25">
      <c r="A299" s="12"/>
      <c r="C299" s="9"/>
      <c r="D299" s="9"/>
      <c r="E299" s="9"/>
      <c r="F299" s="9"/>
      <c r="G299" s="9"/>
      <c r="L299" s="9" t="str">
        <f>IF($J299="","",IFERROR(SUMIFS(SummaryHelper!$H$2:$H$5000,SummaryHelper!$A$2:$A$5000,$I299,SummaryHelper!$B$2:$B$5000,$J299,SummaryHelper!$C$2:$C$5000,$K299)/SUMIFS(SummaryHelper!$G$2:$G$5000,SummaryHelper!$A$2:$A$5000,$I299,SummaryHelper!$B$2:$B$5000,$J299,SummaryHelper!$C$2:$C$5000,$K299),""))</f>
        <v/>
      </c>
      <c r="M299" s="9" t="str">
        <f>IF($J299="","",SUMIFS(SummaryHelper!$E$2:$E$5000,SummaryHelper!$A$2:$A$5000,$I299,SummaryHelper!$B$2:$B$5000,$J299,SummaryHelper!$C$2:$C$5000,$K299))</f>
        <v/>
      </c>
      <c r="N299" s="9" t="str">
        <f>IF($J299="","",SUMIFS(SummaryHelper!$F$2:$F$5000,SummaryHelper!$A$2:$A$5000,$I299,SummaryHelper!$B$2:$B$5000,$J299,SummaryHelper!$C$2:$C$5000,$K299))</f>
        <v/>
      </c>
      <c r="O299" s="9" t="str">
        <f>IF($J299="","",SUMIFS(SummaryHelper!$G$2:$G$5000,SummaryHelper!$A$2:$A$5000,$I299,SummaryHelper!$B$2:$B$5000,$J299,SummaryHelper!$C$2:$C$5000,$K299))</f>
        <v/>
      </c>
      <c r="Q299" s="9" t="str">
        <f t="shared" si="36"/>
        <v/>
      </c>
      <c r="R299" s="9" t="str">
        <f t="shared" si="37"/>
        <v/>
      </c>
      <c r="W299" s="9" t="str">
        <f>IF($U299="","",IFERROR(SUMIFS(SummaryHelper!$H$2:$H$5000,SummaryHelper!$A$2:$A$5000,$T299,SummaryHelper!$B$2:$B$5000,$U299,SummaryHelper!$C$2:$C$5000,$V299)/SUMIFS(SummaryHelper!$G$2:$G$5000,SummaryHelper!$A$2:$A$5000,$T299,SummaryHelper!$B$2:$B$5000,$U299,SummaryHelper!$C$2:$C$5000,$V299),""))</f>
        <v/>
      </c>
      <c r="X299" s="9" t="str">
        <f>IF($U299="","",SUMIFS(SummaryHelper!$E$2:$E$5000,SummaryHelper!$A$2:$A$5000,$T299,SummaryHelper!$B$2:$B$5000,$U299,SummaryHelper!$C$2:$C$5000,$V299))</f>
        <v/>
      </c>
      <c r="Y299" s="9" t="str">
        <f>IF($U299="","",SUMIFS(SummaryHelper!$F$2:$F$5000,SummaryHelper!$A$2:$A$5000,$T299,SummaryHelper!$B$2:$B$5000,$U299,SummaryHelper!$C$2:$C$5000,$V299))</f>
        <v/>
      </c>
      <c r="Z299" s="9" t="s">
        <v>489</v>
      </c>
      <c r="AB299" s="9" t="str">
        <f t="shared" si="38"/>
        <v/>
      </c>
      <c r="AC299" s="9" t="str">
        <f t="shared" si="39"/>
        <v/>
      </c>
      <c r="AH299" t="str">
        <f>IF($AF299="","",IFERROR(SUMIFS(SummaryHelper!$H$2:$H$5000,SummaryHelper!$A$2:$A$5000,$AE299,SummaryHelper!$B$2:$B$5000,$AF299,SummaryHelper!$C$2:$C$5000,$AG299)/SUMIFS(SummaryHelper!$G$2:$G$5000,SummaryHelper!$A$2:$A$5000,$AE299,SummaryHelper!$B$2:$B$5000,$AF299,SummaryHelper!$C$2:$C$5000,$AG299),""))</f>
        <v/>
      </c>
      <c r="AI299" t="str">
        <f>IF($AF299="","",SUMIFS(SummaryHelper!$E$2:$E$5000,SummaryHelper!$A$2:$A$5000,$AE299,SummaryHelper!$B$2:$B$5000,$AF299,SummaryHelper!$C$2:$C$5000,$AG299))</f>
        <v/>
      </c>
      <c r="AJ299" t="str">
        <f>IF($AF299="","",SUMIFS(SummaryHelper!$F$2:$F$5000,SummaryHelper!$A$2:$A$5000,$AE299,SummaryHelper!$B$2:$B$5000,$AF299,SummaryHelper!$C$2:$C$5000,$AG299))</f>
        <v/>
      </c>
      <c r="AK299" t="str">
        <f>IF($AF299="","",SUMIFS(SummaryHelper!$G$2:$G$5000,SummaryHelper!$A$2:$A$5000,$AE299,SummaryHelper!$B$2:$B$5000,$AF299,SummaryHelper!$C$2:$C$5000,$AG299))</f>
        <v/>
      </c>
      <c r="AM299" t="str">
        <f t="shared" si="40"/>
        <v/>
      </c>
      <c r="AN299" t="str">
        <f t="shared" si="41"/>
        <v/>
      </c>
    </row>
    <row r="300" spans="1:40" x14ac:dyDescent="0.25">
      <c r="A300" s="12"/>
      <c r="C300" s="9"/>
      <c r="D300" s="9"/>
      <c r="E300" s="9"/>
      <c r="F300" s="9"/>
      <c r="G300" s="9"/>
      <c r="L300" s="9" t="str">
        <f>IF($J300="","",IFERROR(SUMIFS(SummaryHelper!$H$2:$H$5000,SummaryHelper!$A$2:$A$5000,$I300,SummaryHelper!$B$2:$B$5000,$J300,SummaryHelper!$C$2:$C$5000,$K300)/SUMIFS(SummaryHelper!$G$2:$G$5000,SummaryHelper!$A$2:$A$5000,$I300,SummaryHelper!$B$2:$B$5000,$J300,SummaryHelper!$C$2:$C$5000,$K300),""))</f>
        <v/>
      </c>
      <c r="M300" s="9" t="str">
        <f>IF($J300="","",SUMIFS(SummaryHelper!$E$2:$E$5000,SummaryHelper!$A$2:$A$5000,$I300,SummaryHelper!$B$2:$B$5000,$J300,SummaryHelper!$C$2:$C$5000,$K300))</f>
        <v/>
      </c>
      <c r="N300" s="9" t="str">
        <f>IF($J300="","",SUMIFS(SummaryHelper!$F$2:$F$5000,SummaryHelper!$A$2:$A$5000,$I300,SummaryHelper!$B$2:$B$5000,$J300,SummaryHelper!$C$2:$C$5000,$K300))</f>
        <v/>
      </c>
      <c r="O300" s="9" t="str">
        <f>IF($J300="","",SUMIFS(SummaryHelper!$G$2:$G$5000,SummaryHelper!$A$2:$A$5000,$I300,SummaryHelper!$B$2:$B$5000,$J300,SummaryHelper!$C$2:$C$5000,$K300))</f>
        <v/>
      </c>
      <c r="Q300" s="9" t="str">
        <f t="shared" si="36"/>
        <v/>
      </c>
      <c r="R300" s="9" t="str">
        <f t="shared" si="37"/>
        <v/>
      </c>
      <c r="W300" s="9" t="str">
        <f>IF($U300="","",IFERROR(SUMIFS(SummaryHelper!$H$2:$H$5000,SummaryHelper!$A$2:$A$5000,$T300,SummaryHelper!$B$2:$B$5000,$U300,SummaryHelper!$C$2:$C$5000,$V300)/SUMIFS(SummaryHelper!$G$2:$G$5000,SummaryHelper!$A$2:$A$5000,$T300,SummaryHelper!$B$2:$B$5000,$U300,SummaryHelper!$C$2:$C$5000,$V300),""))</f>
        <v/>
      </c>
      <c r="X300" s="9" t="str">
        <f>IF($U300="","",SUMIFS(SummaryHelper!$E$2:$E$5000,SummaryHelper!$A$2:$A$5000,$T300,SummaryHelper!$B$2:$B$5000,$U300,SummaryHelper!$C$2:$C$5000,$V300))</f>
        <v/>
      </c>
      <c r="Y300" s="9" t="str">
        <f>IF($U300="","",SUMIFS(SummaryHelper!$F$2:$F$5000,SummaryHelper!$A$2:$A$5000,$T300,SummaryHelper!$B$2:$B$5000,$U300,SummaryHelper!$C$2:$C$5000,$V300))</f>
        <v/>
      </c>
      <c r="Z300" s="9" t="s">
        <v>489</v>
      </c>
      <c r="AB300" s="9" t="str">
        <f t="shared" si="38"/>
        <v/>
      </c>
      <c r="AC300" s="9" t="str">
        <f t="shared" si="39"/>
        <v/>
      </c>
      <c r="AH300" t="str">
        <f>IF($AF300="","",IFERROR(SUMIFS(SummaryHelper!$H$2:$H$5000,SummaryHelper!$A$2:$A$5000,$AE300,SummaryHelper!$B$2:$B$5000,$AF300,SummaryHelper!$C$2:$C$5000,$AG300)/SUMIFS(SummaryHelper!$G$2:$G$5000,SummaryHelper!$A$2:$A$5000,$AE300,SummaryHelper!$B$2:$B$5000,$AF300,SummaryHelper!$C$2:$C$5000,$AG300),""))</f>
        <v/>
      </c>
      <c r="AI300" t="str">
        <f>IF($AF300="","",SUMIFS(SummaryHelper!$E$2:$E$5000,SummaryHelper!$A$2:$A$5000,$AE300,SummaryHelper!$B$2:$B$5000,$AF300,SummaryHelper!$C$2:$C$5000,$AG300))</f>
        <v/>
      </c>
      <c r="AJ300" t="str">
        <f>IF($AF300="","",SUMIFS(SummaryHelper!$F$2:$F$5000,SummaryHelper!$A$2:$A$5000,$AE300,SummaryHelper!$B$2:$B$5000,$AF300,SummaryHelper!$C$2:$C$5000,$AG300))</f>
        <v/>
      </c>
      <c r="AK300" t="str">
        <f>IF($AF300="","",SUMIFS(SummaryHelper!$G$2:$G$5000,SummaryHelper!$A$2:$A$5000,$AE300,SummaryHelper!$B$2:$B$5000,$AF300,SummaryHelper!$C$2:$C$5000,$AG300))</f>
        <v/>
      </c>
      <c r="AM300" t="str">
        <f t="shared" si="40"/>
        <v/>
      </c>
      <c r="AN300" t="str">
        <f t="shared" ref="AN300" si="42">IF($AF300="","",$AM300*$AH300)</f>
        <v/>
      </c>
    </row>
    <row r="301" spans="1:40" s="28" customFormat="1" x14ac:dyDescent="0.25">
      <c r="A301"/>
      <c r="B301" s="20"/>
      <c r="C301"/>
      <c r="D301"/>
      <c r="E301"/>
      <c r="F301"/>
      <c r="G301"/>
      <c r="H301" s="1"/>
      <c r="L301" s="29" t="str">
        <f>IF($J301="","",IFERROR(SUMIFS(SummaryHelper!$H$2:$H$5000,SummaryHelper!$A$2:$A$5000,$I301,SummaryHelper!$B$2:$B$5000,$J301,SummaryHelper!$C$2:$C$5000,$K301)/SUMIFS(SummaryHelper!$G$2:$G$5000,SummaryHelper!$A$2:$A$5000,$I301,SummaryHelper!$B$2:$B$5000,$J301,SummaryHelper!$C$2:$C$5000,$K301),""))</f>
        <v/>
      </c>
      <c r="M301" s="29"/>
      <c r="N301" s="29"/>
      <c r="O301" s="29"/>
      <c r="P301" s="29"/>
      <c r="Q301" s="29"/>
      <c r="R301" s="29"/>
      <c r="W301" s="29"/>
      <c r="X301" s="29"/>
      <c r="Y301" s="29"/>
      <c r="Z301" s="29"/>
      <c r="AA301" s="29"/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2A2B5-ADA8-49BE-92B6-B05CACA4F717}">
  <sheetPr codeName="Sheet30"/>
  <dimension ref="A1:AK49"/>
  <sheetViews>
    <sheetView tabSelected="1" zoomScale="75" zoomScaleNormal="75" workbookViewId="0">
      <pane ySplit="40" topLeftCell="A41" activePane="bottomLeft" state="frozen"/>
      <selection pane="bottomLeft" activeCell="K32" sqref="K32"/>
    </sheetView>
  </sheetViews>
  <sheetFormatPr defaultRowHeight="15" x14ac:dyDescent="0.25"/>
  <cols>
    <col min="1" max="3" width="8.7109375" style="3" customWidth="1"/>
    <col min="4" max="4" width="1.7109375" style="1" customWidth="1"/>
    <col min="5" max="14" width="8.7109375" customWidth="1"/>
    <col min="15" max="15" width="1.7109375" style="1" customWidth="1"/>
    <col min="16" max="25" width="8.7109375" customWidth="1"/>
    <col min="26" max="26" width="1.7109375" style="5" customWidth="1"/>
    <col min="27" max="27" width="8.7109375" style="6" customWidth="1"/>
    <col min="28" max="36" width="8.7109375" customWidth="1"/>
    <col min="37" max="37" width="1.7109375" style="1" customWidth="1"/>
  </cols>
  <sheetData>
    <row r="1" spans="1:37" x14ac:dyDescent="0.25">
      <c r="A1" s="40" t="str" cm="1">
        <f t="array" aca="1" ref="A1" ca="1">IFERROR(MID(CELL("filename",$A$1),FIND("]",CELL("filename",$A$1))+1,99),"SXX")</f>
        <v>S01</v>
      </c>
      <c r="B1" s="40"/>
      <c r="C1" s="40"/>
      <c r="E1" s="41" t="str" cm="1">
        <f t="array" aca="1" ref="E1" ca="1">IFERROR(MID(CELL("filename",$A$1),FIND("]",CELL("filename",$A$1))+1,99),"SXX")&amp;" MATERIALS (USAGE + STANDALONE)"</f>
        <v>S01 MATERIALS (USAGE + STANDALONE)</v>
      </c>
      <c r="F1" s="41"/>
      <c r="G1" s="41"/>
      <c r="H1" s="41"/>
      <c r="I1" s="41"/>
      <c r="J1" s="41"/>
      <c r="K1" s="41"/>
      <c r="L1" s="13"/>
      <c r="M1" s="13"/>
      <c r="N1" s="17">
        <f>SUM(N3:N49)</f>
        <v>0</v>
      </c>
      <c r="P1" s="41" t="str" cm="1">
        <f t="array" aca="1" ref="P1" ca="1">IFERROR(MID(CELL("filename",$A$1),FIND("]",CELL("filename",$A$1))+1,99),"SXX")&amp;" LABOUR (USAGE + STANDALONE)"</f>
        <v>S01 LABOUR (USAGE + STANDALONE)</v>
      </c>
      <c r="Q1" s="41"/>
      <c r="R1" s="41"/>
      <c r="S1" s="41"/>
      <c r="T1" s="41"/>
      <c r="U1" s="41"/>
      <c r="V1" s="41"/>
      <c r="Y1" s="17">
        <f>SUM(Y3:Y49)</f>
        <v>0</v>
      </c>
      <c r="AA1" s="42" t="str" cm="1">
        <f t="array" aca="1" ref="AA1" ca="1">IFERROR(MID(CELL("filename",$A$1),FIND("]",CELL("filename",$A$1))+1,99),"SXX")&amp;" RENTAL / SERVICE (USAGE + STANDALONE)"</f>
        <v>S01 RENTAL / SERVICE (USAGE + STANDALONE)</v>
      </c>
      <c r="AB1" s="42"/>
      <c r="AC1" s="42"/>
      <c r="AD1" s="42"/>
      <c r="AE1" s="42"/>
      <c r="AF1" s="42"/>
      <c r="AG1" s="42"/>
      <c r="AH1" s="6"/>
      <c r="AI1" s="6"/>
      <c r="AJ1" s="17">
        <f>SUM(AJ3:AJ49)</f>
        <v>0</v>
      </c>
    </row>
    <row r="2" spans="1:37" s="2" customFormat="1" x14ac:dyDescent="0.25">
      <c r="A2" s="4" t="s">
        <v>0</v>
      </c>
      <c r="B2" s="4" t="s">
        <v>3</v>
      </c>
      <c r="C2" s="4" t="s">
        <v>5</v>
      </c>
      <c r="D2" s="1"/>
      <c r="E2" s="2" t="s">
        <v>5</v>
      </c>
      <c r="F2" s="2" t="s">
        <v>0</v>
      </c>
      <c r="G2" s="2" t="s">
        <v>3</v>
      </c>
      <c r="H2" s="2" t="s">
        <v>1</v>
      </c>
      <c r="I2" s="2" t="s">
        <v>12</v>
      </c>
      <c r="J2" s="2" t="s">
        <v>4</v>
      </c>
      <c r="K2" s="2" t="s">
        <v>313</v>
      </c>
      <c r="L2" s="2" t="s">
        <v>13</v>
      </c>
      <c r="M2" s="2" t="s">
        <v>14</v>
      </c>
      <c r="N2" s="2" t="s">
        <v>15</v>
      </c>
      <c r="O2" s="1"/>
      <c r="P2" s="2" t="s">
        <v>5</v>
      </c>
      <c r="Q2" s="2" t="s">
        <v>0</v>
      </c>
      <c r="R2" s="2" t="s">
        <v>3</v>
      </c>
      <c r="S2" s="2" t="s">
        <v>1</v>
      </c>
      <c r="T2" s="2" t="s">
        <v>12</v>
      </c>
      <c r="U2" s="2" t="s">
        <v>4</v>
      </c>
      <c r="V2" s="2" t="s">
        <v>17</v>
      </c>
      <c r="W2" s="2" t="s">
        <v>13</v>
      </c>
      <c r="X2" s="2" t="s">
        <v>14</v>
      </c>
      <c r="Y2" s="2" t="s">
        <v>15</v>
      </c>
      <c r="Z2" s="5"/>
      <c r="AA2" s="7" t="s">
        <v>5</v>
      </c>
      <c r="AB2" s="2" t="s">
        <v>0</v>
      </c>
      <c r="AC2" s="2" t="s">
        <v>16</v>
      </c>
      <c r="AD2" s="2" t="s">
        <v>1</v>
      </c>
      <c r="AE2" s="2" t="s">
        <v>12</v>
      </c>
      <c r="AF2" s="2" t="s">
        <v>4</v>
      </c>
      <c r="AG2" s="2" t="s">
        <v>17</v>
      </c>
      <c r="AH2" s="2" t="s">
        <v>13</v>
      </c>
      <c r="AI2" s="2" t="s">
        <v>14</v>
      </c>
      <c r="AJ2" s="2" t="s">
        <v>15</v>
      </c>
      <c r="AK2" s="1"/>
    </row>
    <row r="3" spans="1:37" x14ac:dyDescent="0.25">
      <c r="J3" s="19"/>
      <c r="L3" s="8" t="str">
        <f t="shared" ref="L3:L49" si="0">IF($G3="","",$I3*(1+IF($J3="",0,$J3)))</f>
        <v/>
      </c>
      <c r="M3" s="8" t="str">
        <f t="shared" ref="M3:M49" si="1">IF($G3="","",$L3)</f>
        <v/>
      </c>
      <c r="N3" s="8" t="str">
        <f t="shared" ref="N3:N49" si="2">IF($G3="","",IF($K3="","",$M3*$K3))</f>
        <v/>
      </c>
      <c r="U3" s="19"/>
      <c r="W3" s="8" t="str">
        <f>IF($R3="","",$T3*(1+IF($U3="",0,$U3)))</f>
        <v/>
      </c>
      <c r="X3" s="8" t="str">
        <f>IF($R3="","",$W3)</f>
        <v/>
      </c>
      <c r="Y3" s="8" t="str">
        <f>IF($R3="","",IF($V3="","",$X3*$V3))</f>
        <v/>
      </c>
      <c r="AH3" s="8" t="str">
        <f>IF($AC3="","",$AE3*(1+IF($AF3="",0,$AF3)))</f>
        <v/>
      </c>
      <c r="AI3" s="8" t="str">
        <f>IF($AC3="","",$AH3)</f>
        <v/>
      </c>
      <c r="AJ3" s="8" t="str">
        <f>IF($AC3="","",IF($AG3="","",$AI3*$AG3))</f>
        <v/>
      </c>
    </row>
    <row r="4" spans="1:37" x14ac:dyDescent="0.25">
      <c r="J4" s="19"/>
      <c r="L4" s="8" t="str">
        <f t="shared" si="0"/>
        <v/>
      </c>
      <c r="M4" s="8" t="str">
        <f t="shared" si="1"/>
        <v/>
      </c>
      <c r="N4" s="8" t="str">
        <f t="shared" si="2"/>
        <v/>
      </c>
      <c r="U4" s="19"/>
      <c r="W4" s="8" t="str">
        <f t="shared" ref="W4:W49" si="3">IF($R4="","",$T4*(1+IF($U4="",0,$U4)))</f>
        <v/>
      </c>
      <c r="X4" s="8" t="str">
        <f t="shared" ref="X4:X49" si="4">IF($R4="","",$W4)</f>
        <v/>
      </c>
      <c r="Y4" s="8" t="str">
        <f t="shared" ref="Y4:Y49" si="5">IF($R4="","",IF($V4="","",$X4*$V4))</f>
        <v/>
      </c>
      <c r="AH4" s="8" t="str">
        <f t="shared" ref="AH4:AH49" si="6">IF($AC4="","",$AE4*(1+IF($AF4="",0,$AF4)))</f>
        <v/>
      </c>
      <c r="AI4" s="8" t="str">
        <f t="shared" ref="AI4:AI49" si="7">IF($AC4="","",$AH4)</f>
        <v/>
      </c>
      <c r="AJ4" s="8" t="str">
        <f t="shared" ref="AJ4:AJ49" si="8">IF($AC4="","",IF($AG4="","",$AI4*$AG4))</f>
        <v/>
      </c>
    </row>
    <row r="5" spans="1:37" x14ac:dyDescent="0.25">
      <c r="J5" s="19"/>
      <c r="L5" s="8" t="str">
        <f t="shared" si="0"/>
        <v/>
      </c>
      <c r="M5" s="8" t="str">
        <f t="shared" si="1"/>
        <v/>
      </c>
      <c r="N5" s="8" t="str">
        <f t="shared" si="2"/>
        <v/>
      </c>
      <c r="W5" s="8" t="str">
        <f t="shared" si="3"/>
        <v/>
      </c>
      <c r="X5" s="8" t="str">
        <f t="shared" si="4"/>
        <v/>
      </c>
      <c r="Y5" s="8" t="str">
        <f t="shared" si="5"/>
        <v/>
      </c>
      <c r="AH5" s="8" t="str">
        <f t="shared" si="6"/>
        <v/>
      </c>
      <c r="AI5" s="8" t="str">
        <f t="shared" si="7"/>
        <v/>
      </c>
      <c r="AJ5" s="8" t="str">
        <f t="shared" si="8"/>
        <v/>
      </c>
    </row>
    <row r="6" spans="1:37" x14ac:dyDescent="0.25">
      <c r="L6" s="8" t="str">
        <f t="shared" si="0"/>
        <v/>
      </c>
      <c r="M6" s="8" t="str">
        <f t="shared" si="1"/>
        <v/>
      </c>
      <c r="N6" s="8" t="str">
        <f t="shared" si="2"/>
        <v/>
      </c>
      <c r="W6" s="8" t="str">
        <f t="shared" si="3"/>
        <v/>
      </c>
      <c r="X6" s="8" t="str">
        <f t="shared" si="4"/>
        <v/>
      </c>
      <c r="Y6" s="8" t="str">
        <f t="shared" si="5"/>
        <v/>
      </c>
      <c r="AH6" s="8" t="str">
        <f t="shared" si="6"/>
        <v/>
      </c>
      <c r="AI6" s="8" t="str">
        <f t="shared" si="7"/>
        <v/>
      </c>
      <c r="AJ6" s="8" t="str">
        <f t="shared" si="8"/>
        <v/>
      </c>
    </row>
    <row r="7" spans="1:37" x14ac:dyDescent="0.25">
      <c r="L7" s="8" t="str">
        <f t="shared" si="0"/>
        <v/>
      </c>
      <c r="M7" s="8" t="str">
        <f t="shared" si="1"/>
        <v/>
      </c>
      <c r="N7" s="8" t="str">
        <f t="shared" si="2"/>
        <v/>
      </c>
      <c r="W7" s="8" t="str">
        <f t="shared" si="3"/>
        <v/>
      </c>
      <c r="X7" s="8" t="str">
        <f t="shared" si="4"/>
        <v/>
      </c>
      <c r="Y7" s="8" t="str">
        <f t="shared" si="5"/>
        <v/>
      </c>
      <c r="AH7" s="8" t="str">
        <f t="shared" si="6"/>
        <v/>
      </c>
      <c r="AI7" s="8" t="str">
        <f t="shared" si="7"/>
        <v/>
      </c>
      <c r="AJ7" s="8" t="str">
        <f t="shared" si="8"/>
        <v/>
      </c>
    </row>
    <row r="8" spans="1:37" x14ac:dyDescent="0.25">
      <c r="L8" s="8" t="str">
        <f t="shared" si="0"/>
        <v/>
      </c>
      <c r="M8" s="8" t="str">
        <f t="shared" si="1"/>
        <v/>
      </c>
      <c r="N8" s="8" t="str">
        <f t="shared" si="2"/>
        <v/>
      </c>
      <c r="W8" s="8" t="str">
        <f t="shared" si="3"/>
        <v/>
      </c>
      <c r="X8" s="8" t="str">
        <f t="shared" si="4"/>
        <v/>
      </c>
      <c r="Y8" s="8" t="str">
        <f t="shared" si="5"/>
        <v/>
      </c>
      <c r="AH8" s="8" t="str">
        <f t="shared" si="6"/>
        <v/>
      </c>
      <c r="AI8" s="8" t="str">
        <f t="shared" si="7"/>
        <v/>
      </c>
      <c r="AJ8" s="8" t="str">
        <f t="shared" si="8"/>
        <v/>
      </c>
    </row>
    <row r="9" spans="1:37" x14ac:dyDescent="0.25">
      <c r="L9" s="8" t="str">
        <f t="shared" si="0"/>
        <v/>
      </c>
      <c r="M9" s="8" t="str">
        <f t="shared" si="1"/>
        <v/>
      </c>
      <c r="N9" s="8" t="str">
        <f t="shared" si="2"/>
        <v/>
      </c>
      <c r="W9" s="8" t="str">
        <f t="shared" si="3"/>
        <v/>
      </c>
      <c r="X9" s="8" t="str">
        <f t="shared" si="4"/>
        <v/>
      </c>
      <c r="Y9" s="8" t="str">
        <f t="shared" si="5"/>
        <v/>
      </c>
      <c r="AH9" s="8" t="str">
        <f t="shared" si="6"/>
        <v/>
      </c>
      <c r="AI9" s="8" t="str">
        <f t="shared" si="7"/>
        <v/>
      </c>
      <c r="AJ9" s="8" t="str">
        <f t="shared" si="8"/>
        <v/>
      </c>
    </row>
    <row r="10" spans="1:37" x14ac:dyDescent="0.25">
      <c r="L10" s="8" t="str">
        <f t="shared" si="0"/>
        <v/>
      </c>
      <c r="M10" s="8" t="str">
        <f t="shared" si="1"/>
        <v/>
      </c>
      <c r="N10" s="8" t="str">
        <f t="shared" si="2"/>
        <v/>
      </c>
      <c r="W10" s="8" t="str">
        <f t="shared" si="3"/>
        <v/>
      </c>
      <c r="X10" s="8" t="str">
        <f t="shared" si="4"/>
        <v/>
      </c>
      <c r="Y10" s="8" t="str">
        <f t="shared" si="5"/>
        <v/>
      </c>
      <c r="AH10" s="8" t="str">
        <f t="shared" si="6"/>
        <v/>
      </c>
      <c r="AI10" s="8" t="str">
        <f t="shared" si="7"/>
        <v/>
      </c>
      <c r="AJ10" s="8" t="str">
        <f t="shared" si="8"/>
        <v/>
      </c>
    </row>
    <row r="11" spans="1:37" x14ac:dyDescent="0.25">
      <c r="L11" s="8" t="str">
        <f t="shared" si="0"/>
        <v/>
      </c>
      <c r="M11" s="8" t="str">
        <f t="shared" si="1"/>
        <v/>
      </c>
      <c r="N11" s="8" t="str">
        <f t="shared" si="2"/>
        <v/>
      </c>
      <c r="W11" s="8" t="str">
        <f t="shared" si="3"/>
        <v/>
      </c>
      <c r="X11" s="8" t="str">
        <f t="shared" si="4"/>
        <v/>
      </c>
      <c r="Y11" s="8" t="str">
        <f t="shared" si="5"/>
        <v/>
      </c>
      <c r="AH11" s="8" t="str">
        <f t="shared" si="6"/>
        <v/>
      </c>
      <c r="AI11" s="8" t="str">
        <f t="shared" si="7"/>
        <v/>
      </c>
      <c r="AJ11" s="8" t="str">
        <f t="shared" si="8"/>
        <v/>
      </c>
    </row>
    <row r="12" spans="1:37" x14ac:dyDescent="0.25">
      <c r="L12" s="8" t="str">
        <f t="shared" si="0"/>
        <v/>
      </c>
      <c r="M12" s="8" t="str">
        <f t="shared" si="1"/>
        <v/>
      </c>
      <c r="N12" s="8" t="str">
        <f t="shared" si="2"/>
        <v/>
      </c>
      <c r="W12" s="8" t="str">
        <f t="shared" si="3"/>
        <v/>
      </c>
      <c r="X12" s="8" t="str">
        <f t="shared" si="4"/>
        <v/>
      </c>
      <c r="Y12" s="8" t="str">
        <f t="shared" si="5"/>
        <v/>
      </c>
      <c r="AH12" s="8" t="str">
        <f t="shared" si="6"/>
        <v/>
      </c>
      <c r="AI12" s="8" t="str">
        <f t="shared" si="7"/>
        <v/>
      </c>
      <c r="AJ12" s="8" t="str">
        <f t="shared" si="8"/>
        <v/>
      </c>
    </row>
    <row r="13" spans="1:37" x14ac:dyDescent="0.25">
      <c r="L13" s="8" t="str">
        <f t="shared" si="0"/>
        <v/>
      </c>
      <c r="M13" s="8" t="str">
        <f t="shared" si="1"/>
        <v/>
      </c>
      <c r="N13" s="8" t="str">
        <f t="shared" si="2"/>
        <v/>
      </c>
      <c r="W13" s="8" t="str">
        <f t="shared" si="3"/>
        <v/>
      </c>
      <c r="X13" s="8" t="str">
        <f t="shared" si="4"/>
        <v/>
      </c>
      <c r="Y13" s="8" t="str">
        <f t="shared" si="5"/>
        <v/>
      </c>
      <c r="AH13" s="8" t="str">
        <f t="shared" si="6"/>
        <v/>
      </c>
      <c r="AI13" s="8" t="str">
        <f t="shared" si="7"/>
        <v/>
      </c>
      <c r="AJ13" s="8" t="str">
        <f t="shared" si="8"/>
        <v/>
      </c>
    </row>
    <row r="14" spans="1:37" x14ac:dyDescent="0.25">
      <c r="L14" s="8" t="str">
        <f t="shared" si="0"/>
        <v/>
      </c>
      <c r="M14" s="8" t="str">
        <f t="shared" si="1"/>
        <v/>
      </c>
      <c r="N14" s="8" t="str">
        <f t="shared" si="2"/>
        <v/>
      </c>
      <c r="W14" s="8" t="str">
        <f t="shared" si="3"/>
        <v/>
      </c>
      <c r="X14" s="8" t="str">
        <f t="shared" si="4"/>
        <v/>
      </c>
      <c r="Y14" s="8" t="str">
        <f t="shared" si="5"/>
        <v/>
      </c>
      <c r="AH14" s="8" t="str">
        <f t="shared" si="6"/>
        <v/>
      </c>
      <c r="AI14" s="8" t="str">
        <f t="shared" si="7"/>
        <v/>
      </c>
      <c r="AJ14" s="8" t="str">
        <f t="shared" si="8"/>
        <v/>
      </c>
    </row>
    <row r="15" spans="1:37" x14ac:dyDescent="0.25">
      <c r="L15" s="8" t="str">
        <f t="shared" si="0"/>
        <v/>
      </c>
      <c r="M15" s="8" t="str">
        <f t="shared" si="1"/>
        <v/>
      </c>
      <c r="N15" s="8" t="str">
        <f t="shared" si="2"/>
        <v/>
      </c>
      <c r="W15" s="8" t="str">
        <f t="shared" si="3"/>
        <v/>
      </c>
      <c r="X15" s="8" t="str">
        <f t="shared" si="4"/>
        <v/>
      </c>
      <c r="Y15" s="8" t="str">
        <f t="shared" si="5"/>
        <v/>
      </c>
      <c r="AH15" s="8" t="str">
        <f t="shared" si="6"/>
        <v/>
      </c>
      <c r="AI15" s="8" t="str">
        <f t="shared" si="7"/>
        <v/>
      </c>
      <c r="AJ15" s="8" t="str">
        <f t="shared" si="8"/>
        <v/>
      </c>
    </row>
    <row r="16" spans="1:37" x14ac:dyDescent="0.25">
      <c r="L16" s="8" t="str">
        <f t="shared" si="0"/>
        <v/>
      </c>
      <c r="M16" s="8" t="str">
        <f t="shared" si="1"/>
        <v/>
      </c>
      <c r="N16" s="8" t="str">
        <f t="shared" si="2"/>
        <v/>
      </c>
      <c r="W16" s="8" t="str">
        <f t="shared" si="3"/>
        <v/>
      </c>
      <c r="X16" s="8" t="str">
        <f t="shared" si="4"/>
        <v/>
      </c>
      <c r="Y16" s="8" t="str">
        <f t="shared" si="5"/>
        <v/>
      </c>
      <c r="AH16" s="8" t="str">
        <f t="shared" si="6"/>
        <v/>
      </c>
      <c r="AI16" s="8" t="str">
        <f t="shared" si="7"/>
        <v/>
      </c>
      <c r="AJ16" s="8" t="str">
        <f t="shared" si="8"/>
        <v/>
      </c>
    </row>
    <row r="17" spans="1:36" x14ac:dyDescent="0.25">
      <c r="L17" s="8" t="str">
        <f t="shared" si="0"/>
        <v/>
      </c>
      <c r="M17" s="8" t="str">
        <f t="shared" si="1"/>
        <v/>
      </c>
      <c r="N17" s="8" t="str">
        <f t="shared" si="2"/>
        <v/>
      </c>
      <c r="W17" s="8" t="str">
        <f t="shared" si="3"/>
        <v/>
      </c>
      <c r="X17" s="8" t="str">
        <f t="shared" si="4"/>
        <v/>
      </c>
      <c r="Y17" s="8" t="str">
        <f t="shared" si="5"/>
        <v/>
      </c>
      <c r="AH17" s="8" t="str">
        <f t="shared" si="6"/>
        <v/>
      </c>
      <c r="AI17" s="8" t="str">
        <f t="shared" si="7"/>
        <v/>
      </c>
      <c r="AJ17" s="8" t="str">
        <f t="shared" si="8"/>
        <v/>
      </c>
    </row>
    <row r="18" spans="1:36" x14ac:dyDescent="0.25">
      <c r="L18" s="8" t="str">
        <f t="shared" si="0"/>
        <v/>
      </c>
      <c r="M18" s="8" t="str">
        <f t="shared" si="1"/>
        <v/>
      </c>
      <c r="N18" s="8" t="str">
        <f t="shared" si="2"/>
        <v/>
      </c>
      <c r="W18" s="8" t="str">
        <f t="shared" si="3"/>
        <v/>
      </c>
      <c r="X18" s="8" t="str">
        <f t="shared" si="4"/>
        <v/>
      </c>
      <c r="Y18" s="8" t="str">
        <f t="shared" si="5"/>
        <v/>
      </c>
      <c r="AH18" s="8" t="str">
        <f t="shared" si="6"/>
        <v/>
      </c>
      <c r="AI18" s="8" t="str">
        <f t="shared" si="7"/>
        <v/>
      </c>
      <c r="AJ18" s="8" t="str">
        <f t="shared" si="8"/>
        <v/>
      </c>
    </row>
    <row r="19" spans="1:36" x14ac:dyDescent="0.25">
      <c r="L19" s="8" t="str">
        <f t="shared" si="0"/>
        <v/>
      </c>
      <c r="M19" s="8" t="str">
        <f t="shared" si="1"/>
        <v/>
      </c>
      <c r="N19" s="8" t="str">
        <f t="shared" si="2"/>
        <v/>
      </c>
      <c r="W19" s="8" t="str">
        <f t="shared" si="3"/>
        <v/>
      </c>
      <c r="X19" s="8" t="str">
        <f t="shared" si="4"/>
        <v/>
      </c>
      <c r="Y19" s="8" t="str">
        <f t="shared" si="5"/>
        <v/>
      </c>
      <c r="AH19" s="8" t="str">
        <f t="shared" si="6"/>
        <v/>
      </c>
      <c r="AI19" s="8" t="str">
        <f t="shared" si="7"/>
        <v/>
      </c>
      <c r="AJ19" s="8" t="str">
        <f t="shared" si="8"/>
        <v/>
      </c>
    </row>
    <row r="20" spans="1:36" x14ac:dyDescent="0.25">
      <c r="L20" s="8" t="str">
        <f t="shared" si="0"/>
        <v/>
      </c>
      <c r="M20" s="8" t="str">
        <f t="shared" si="1"/>
        <v/>
      </c>
      <c r="N20" s="8" t="str">
        <f t="shared" si="2"/>
        <v/>
      </c>
      <c r="W20" s="8" t="str">
        <f t="shared" si="3"/>
        <v/>
      </c>
      <c r="X20" s="8" t="str">
        <f t="shared" si="4"/>
        <v/>
      </c>
      <c r="Y20" s="8" t="str">
        <f t="shared" si="5"/>
        <v/>
      </c>
      <c r="AH20" s="8" t="str">
        <f t="shared" si="6"/>
        <v/>
      </c>
      <c r="AI20" s="8" t="str">
        <f t="shared" si="7"/>
        <v/>
      </c>
      <c r="AJ20" s="8" t="str">
        <f t="shared" si="8"/>
        <v/>
      </c>
    </row>
    <row r="21" spans="1:36" x14ac:dyDescent="0.25">
      <c r="L21" s="8" t="str">
        <f t="shared" si="0"/>
        <v/>
      </c>
      <c r="M21" s="8" t="str">
        <f t="shared" si="1"/>
        <v/>
      </c>
      <c r="N21" s="8" t="str">
        <f t="shared" si="2"/>
        <v/>
      </c>
      <c r="W21" s="8" t="str">
        <f t="shared" si="3"/>
        <v/>
      </c>
      <c r="X21" s="8" t="str">
        <f t="shared" si="4"/>
        <v/>
      </c>
      <c r="Y21" s="8" t="str">
        <f t="shared" si="5"/>
        <v/>
      </c>
      <c r="AH21" s="8" t="str">
        <f t="shared" si="6"/>
        <v/>
      </c>
      <c r="AI21" s="8" t="str">
        <f t="shared" si="7"/>
        <v/>
      </c>
      <c r="AJ21" s="8" t="str">
        <f t="shared" si="8"/>
        <v/>
      </c>
    </row>
    <row r="22" spans="1:36" x14ac:dyDescent="0.25">
      <c r="L22" s="8" t="str">
        <f t="shared" si="0"/>
        <v/>
      </c>
      <c r="M22" s="8" t="str">
        <f t="shared" si="1"/>
        <v/>
      </c>
      <c r="N22" s="8" t="str">
        <f t="shared" si="2"/>
        <v/>
      </c>
      <c r="W22" s="8" t="str">
        <f t="shared" si="3"/>
        <v/>
      </c>
      <c r="X22" s="8" t="str">
        <f t="shared" si="4"/>
        <v/>
      </c>
      <c r="Y22" s="8" t="str">
        <f t="shared" si="5"/>
        <v/>
      </c>
      <c r="AH22" s="8" t="str">
        <f t="shared" si="6"/>
        <v/>
      </c>
      <c r="AI22" s="8" t="str">
        <f t="shared" si="7"/>
        <v/>
      </c>
      <c r="AJ22" s="8" t="str">
        <f t="shared" si="8"/>
        <v/>
      </c>
    </row>
    <row r="23" spans="1:36" x14ac:dyDescent="0.25">
      <c r="L23" s="8" t="str">
        <f t="shared" si="0"/>
        <v/>
      </c>
      <c r="M23" s="8" t="str">
        <f t="shared" si="1"/>
        <v/>
      </c>
      <c r="N23" s="8" t="str">
        <f t="shared" si="2"/>
        <v/>
      </c>
      <c r="W23" s="8" t="str">
        <f t="shared" si="3"/>
        <v/>
      </c>
      <c r="X23" s="8" t="str">
        <f t="shared" si="4"/>
        <v/>
      </c>
      <c r="Y23" s="8" t="str">
        <f t="shared" si="5"/>
        <v/>
      </c>
      <c r="AH23" s="8" t="str">
        <f t="shared" si="6"/>
        <v/>
      </c>
      <c r="AI23" s="8" t="str">
        <f t="shared" si="7"/>
        <v/>
      </c>
      <c r="AJ23" s="8" t="str">
        <f t="shared" si="8"/>
        <v/>
      </c>
    </row>
    <row r="24" spans="1:36" x14ac:dyDescent="0.25">
      <c r="L24" s="8" t="str">
        <f t="shared" si="0"/>
        <v/>
      </c>
      <c r="M24" s="8" t="str">
        <f t="shared" si="1"/>
        <v/>
      </c>
      <c r="N24" s="8" t="str">
        <f t="shared" si="2"/>
        <v/>
      </c>
      <c r="W24" s="8" t="str">
        <f t="shared" si="3"/>
        <v/>
      </c>
      <c r="X24" s="8" t="str">
        <f t="shared" si="4"/>
        <v/>
      </c>
      <c r="Y24" s="8" t="str">
        <f t="shared" si="5"/>
        <v/>
      </c>
      <c r="AH24" s="8" t="str">
        <f t="shared" si="6"/>
        <v/>
      </c>
      <c r="AI24" s="8" t="str">
        <f t="shared" si="7"/>
        <v/>
      </c>
      <c r="AJ24" s="8" t="str">
        <f t="shared" si="8"/>
        <v/>
      </c>
    </row>
    <row r="25" spans="1:36" x14ac:dyDescent="0.25">
      <c r="L25" s="8" t="str">
        <f t="shared" si="0"/>
        <v/>
      </c>
      <c r="M25" s="8" t="str">
        <f t="shared" si="1"/>
        <v/>
      </c>
      <c r="N25" s="8" t="str">
        <f t="shared" si="2"/>
        <v/>
      </c>
      <c r="W25" s="8" t="str">
        <f t="shared" si="3"/>
        <v/>
      </c>
      <c r="X25" s="8" t="str">
        <f t="shared" si="4"/>
        <v/>
      </c>
      <c r="Y25" s="8" t="str">
        <f t="shared" si="5"/>
        <v/>
      </c>
      <c r="AH25" s="8" t="str">
        <f t="shared" si="6"/>
        <v/>
      </c>
      <c r="AI25" s="8" t="str">
        <f t="shared" si="7"/>
        <v/>
      </c>
      <c r="AJ25" s="8" t="str">
        <f t="shared" si="8"/>
        <v/>
      </c>
    </row>
    <row r="26" spans="1:36" x14ac:dyDescent="0.25">
      <c r="L26" s="8" t="str">
        <f t="shared" si="0"/>
        <v/>
      </c>
      <c r="M26" s="8" t="str">
        <f t="shared" si="1"/>
        <v/>
      </c>
      <c r="N26" s="8" t="str">
        <f t="shared" si="2"/>
        <v/>
      </c>
      <c r="W26" s="8" t="str">
        <f t="shared" si="3"/>
        <v/>
      </c>
      <c r="X26" s="8" t="str">
        <f t="shared" si="4"/>
        <v/>
      </c>
      <c r="Y26" s="8" t="str">
        <f t="shared" si="5"/>
        <v/>
      </c>
      <c r="AH26" s="8" t="str">
        <f t="shared" si="6"/>
        <v/>
      </c>
      <c r="AI26" s="8" t="str">
        <f t="shared" si="7"/>
        <v/>
      </c>
      <c r="AJ26" s="8" t="str">
        <f t="shared" si="8"/>
        <v/>
      </c>
    </row>
    <row r="27" spans="1:36" x14ac:dyDescent="0.25">
      <c r="A27"/>
      <c r="L27" s="8" t="str">
        <f t="shared" si="0"/>
        <v/>
      </c>
      <c r="M27" s="8" t="str">
        <f t="shared" si="1"/>
        <v/>
      </c>
      <c r="N27" s="8" t="str">
        <f t="shared" si="2"/>
        <v/>
      </c>
      <c r="W27" s="8" t="str">
        <f t="shared" si="3"/>
        <v/>
      </c>
      <c r="X27" s="8" t="str">
        <f t="shared" si="4"/>
        <v/>
      </c>
      <c r="Y27" s="8" t="str">
        <f t="shared" si="5"/>
        <v/>
      </c>
      <c r="AH27" s="8" t="str">
        <f t="shared" si="6"/>
        <v/>
      </c>
      <c r="AI27" s="8" t="str">
        <f t="shared" si="7"/>
        <v/>
      </c>
      <c r="AJ27" s="8" t="str">
        <f t="shared" si="8"/>
        <v/>
      </c>
    </row>
    <row r="28" spans="1:36" x14ac:dyDescent="0.25">
      <c r="L28" s="8" t="str">
        <f t="shared" si="0"/>
        <v/>
      </c>
      <c r="M28" s="8" t="str">
        <f t="shared" si="1"/>
        <v/>
      </c>
      <c r="N28" s="8" t="str">
        <f t="shared" si="2"/>
        <v/>
      </c>
      <c r="W28" s="8" t="str">
        <f t="shared" si="3"/>
        <v/>
      </c>
      <c r="X28" s="8" t="str">
        <f t="shared" si="4"/>
        <v/>
      </c>
      <c r="Y28" s="8" t="str">
        <f t="shared" si="5"/>
        <v/>
      </c>
      <c r="AH28" s="8" t="str">
        <f t="shared" si="6"/>
        <v/>
      </c>
      <c r="AI28" s="8" t="str">
        <f t="shared" si="7"/>
        <v/>
      </c>
      <c r="AJ28" s="8" t="str">
        <f t="shared" si="8"/>
        <v/>
      </c>
    </row>
    <row r="29" spans="1:36" x14ac:dyDescent="0.25">
      <c r="L29" s="8" t="str">
        <f t="shared" si="0"/>
        <v/>
      </c>
      <c r="M29" s="8" t="str">
        <f t="shared" si="1"/>
        <v/>
      </c>
      <c r="N29" s="8" t="str">
        <f t="shared" si="2"/>
        <v/>
      </c>
      <c r="W29" s="8" t="str">
        <f t="shared" si="3"/>
        <v/>
      </c>
      <c r="X29" s="8" t="str">
        <f t="shared" si="4"/>
        <v/>
      </c>
      <c r="Y29" s="8" t="str">
        <f t="shared" si="5"/>
        <v/>
      </c>
      <c r="AH29" s="8" t="str">
        <f t="shared" si="6"/>
        <v/>
      </c>
      <c r="AI29" s="8" t="str">
        <f t="shared" si="7"/>
        <v/>
      </c>
      <c r="AJ29" s="8" t="str">
        <f t="shared" si="8"/>
        <v/>
      </c>
    </row>
    <row r="30" spans="1:36" x14ac:dyDescent="0.25">
      <c r="L30" s="8" t="str">
        <f t="shared" si="0"/>
        <v/>
      </c>
      <c r="M30" s="8" t="str">
        <f t="shared" si="1"/>
        <v/>
      </c>
      <c r="N30" s="8" t="str">
        <f t="shared" si="2"/>
        <v/>
      </c>
      <c r="W30" s="8" t="str">
        <f t="shared" si="3"/>
        <v/>
      </c>
      <c r="X30" s="8" t="str">
        <f t="shared" si="4"/>
        <v/>
      </c>
      <c r="Y30" s="8" t="str">
        <f t="shared" si="5"/>
        <v/>
      </c>
      <c r="AH30" s="8" t="str">
        <f t="shared" si="6"/>
        <v/>
      </c>
      <c r="AI30" s="8" t="str">
        <f t="shared" si="7"/>
        <v/>
      </c>
      <c r="AJ30" s="8" t="str">
        <f t="shared" si="8"/>
        <v/>
      </c>
    </row>
    <row r="31" spans="1:36" x14ac:dyDescent="0.25">
      <c r="L31" s="8" t="str">
        <f t="shared" si="0"/>
        <v/>
      </c>
      <c r="M31" s="8" t="str">
        <f t="shared" si="1"/>
        <v/>
      </c>
      <c r="N31" s="8" t="str">
        <f t="shared" si="2"/>
        <v/>
      </c>
      <c r="W31" s="8" t="str">
        <f t="shared" si="3"/>
        <v/>
      </c>
      <c r="X31" s="8" t="str">
        <f t="shared" si="4"/>
        <v/>
      </c>
      <c r="Y31" s="8" t="str">
        <f t="shared" si="5"/>
        <v/>
      </c>
      <c r="AH31" s="8" t="str">
        <f t="shared" si="6"/>
        <v/>
      </c>
      <c r="AI31" s="8" t="str">
        <f t="shared" si="7"/>
        <v/>
      </c>
      <c r="AJ31" s="8" t="str">
        <f t="shared" si="8"/>
        <v/>
      </c>
    </row>
    <row r="32" spans="1:36" x14ac:dyDescent="0.25">
      <c r="L32" s="8" t="str">
        <f t="shared" si="0"/>
        <v/>
      </c>
      <c r="M32" s="8" t="str">
        <f t="shared" si="1"/>
        <v/>
      </c>
      <c r="N32" s="8" t="str">
        <f t="shared" si="2"/>
        <v/>
      </c>
      <c r="W32" s="8" t="str">
        <f t="shared" si="3"/>
        <v/>
      </c>
      <c r="X32" s="8" t="str">
        <f t="shared" si="4"/>
        <v/>
      </c>
      <c r="Y32" s="8" t="str">
        <f t="shared" si="5"/>
        <v/>
      </c>
      <c r="AH32" s="8" t="str">
        <f t="shared" si="6"/>
        <v/>
      </c>
      <c r="AI32" s="8" t="str">
        <f t="shared" si="7"/>
        <v/>
      </c>
      <c r="AJ32" s="8" t="str">
        <f t="shared" si="8"/>
        <v/>
      </c>
    </row>
    <row r="33" spans="12:36" x14ac:dyDescent="0.25">
      <c r="L33" s="8" t="str">
        <f t="shared" si="0"/>
        <v/>
      </c>
      <c r="M33" s="8" t="str">
        <f t="shared" si="1"/>
        <v/>
      </c>
      <c r="N33" s="8" t="str">
        <f t="shared" si="2"/>
        <v/>
      </c>
      <c r="W33" s="8" t="str">
        <f t="shared" si="3"/>
        <v/>
      </c>
      <c r="X33" s="8" t="str">
        <f t="shared" si="4"/>
        <v/>
      </c>
      <c r="Y33" s="8" t="str">
        <f t="shared" si="5"/>
        <v/>
      </c>
      <c r="AH33" s="8" t="str">
        <f t="shared" si="6"/>
        <v/>
      </c>
      <c r="AI33" s="8" t="str">
        <f t="shared" si="7"/>
        <v/>
      </c>
      <c r="AJ33" s="8" t="str">
        <f t="shared" si="8"/>
        <v/>
      </c>
    </row>
    <row r="34" spans="12:36" x14ac:dyDescent="0.25">
      <c r="L34" s="8" t="str">
        <f t="shared" si="0"/>
        <v/>
      </c>
      <c r="M34" s="8" t="str">
        <f t="shared" si="1"/>
        <v/>
      </c>
      <c r="N34" s="8" t="str">
        <f t="shared" si="2"/>
        <v/>
      </c>
      <c r="W34" s="8" t="str">
        <f t="shared" si="3"/>
        <v/>
      </c>
      <c r="X34" s="8" t="str">
        <f t="shared" si="4"/>
        <v/>
      </c>
      <c r="Y34" s="8" t="str">
        <f t="shared" si="5"/>
        <v/>
      </c>
      <c r="AH34" s="8" t="str">
        <f t="shared" si="6"/>
        <v/>
      </c>
      <c r="AI34" s="8" t="str">
        <f t="shared" si="7"/>
        <v/>
      </c>
      <c r="AJ34" s="8" t="str">
        <f t="shared" si="8"/>
        <v/>
      </c>
    </row>
    <row r="35" spans="12:36" x14ac:dyDescent="0.25">
      <c r="L35" s="8" t="str">
        <f t="shared" si="0"/>
        <v/>
      </c>
      <c r="M35" s="8" t="str">
        <f t="shared" si="1"/>
        <v/>
      </c>
      <c r="N35" s="8" t="str">
        <f t="shared" si="2"/>
        <v/>
      </c>
      <c r="W35" s="8" t="str">
        <f t="shared" si="3"/>
        <v/>
      </c>
      <c r="X35" s="8" t="str">
        <f t="shared" si="4"/>
        <v/>
      </c>
      <c r="Y35" s="8" t="str">
        <f t="shared" si="5"/>
        <v/>
      </c>
      <c r="AH35" s="8" t="str">
        <f t="shared" si="6"/>
        <v/>
      </c>
      <c r="AI35" s="8" t="str">
        <f t="shared" si="7"/>
        <v/>
      </c>
      <c r="AJ35" s="8" t="str">
        <f t="shared" si="8"/>
        <v/>
      </c>
    </row>
    <row r="36" spans="12:36" x14ac:dyDescent="0.25">
      <c r="L36" s="8" t="str">
        <f t="shared" si="0"/>
        <v/>
      </c>
      <c r="M36" s="8" t="str">
        <f t="shared" si="1"/>
        <v/>
      </c>
      <c r="N36" s="8" t="str">
        <f t="shared" si="2"/>
        <v/>
      </c>
      <c r="W36" s="8" t="str">
        <f t="shared" si="3"/>
        <v/>
      </c>
      <c r="X36" s="8" t="str">
        <f t="shared" si="4"/>
        <v/>
      </c>
      <c r="Y36" s="8" t="str">
        <f t="shared" si="5"/>
        <v/>
      </c>
      <c r="AH36" s="8" t="str">
        <f t="shared" si="6"/>
        <v/>
      </c>
      <c r="AI36" s="8" t="str">
        <f t="shared" si="7"/>
        <v/>
      </c>
      <c r="AJ36" s="8" t="str">
        <f t="shared" si="8"/>
        <v/>
      </c>
    </row>
    <row r="37" spans="12:36" x14ac:dyDescent="0.25">
      <c r="L37" s="8" t="str">
        <f t="shared" si="0"/>
        <v/>
      </c>
      <c r="M37" s="8" t="str">
        <f t="shared" si="1"/>
        <v/>
      </c>
      <c r="N37" s="8" t="str">
        <f t="shared" si="2"/>
        <v/>
      </c>
      <c r="W37" s="8" t="str">
        <f t="shared" si="3"/>
        <v/>
      </c>
      <c r="X37" s="8" t="str">
        <f t="shared" si="4"/>
        <v/>
      </c>
      <c r="Y37" s="8" t="str">
        <f t="shared" si="5"/>
        <v/>
      </c>
      <c r="AH37" s="8" t="str">
        <f t="shared" si="6"/>
        <v/>
      </c>
      <c r="AI37" s="8" t="str">
        <f t="shared" si="7"/>
        <v/>
      </c>
      <c r="AJ37" s="8" t="str">
        <f t="shared" si="8"/>
        <v/>
      </c>
    </row>
    <row r="38" spans="12:36" x14ac:dyDescent="0.25">
      <c r="L38" s="8" t="str">
        <f t="shared" si="0"/>
        <v/>
      </c>
      <c r="M38" s="8" t="str">
        <f t="shared" si="1"/>
        <v/>
      </c>
      <c r="N38" s="8" t="str">
        <f t="shared" si="2"/>
        <v/>
      </c>
      <c r="W38" s="8" t="str">
        <f t="shared" si="3"/>
        <v/>
      </c>
      <c r="X38" s="8" t="str">
        <f t="shared" si="4"/>
        <v/>
      </c>
      <c r="Y38" s="8" t="str">
        <f t="shared" si="5"/>
        <v/>
      </c>
      <c r="AH38" s="8" t="str">
        <f t="shared" si="6"/>
        <v/>
      </c>
      <c r="AI38" s="8" t="str">
        <f t="shared" si="7"/>
        <v/>
      </c>
      <c r="AJ38" s="8" t="str">
        <f t="shared" si="8"/>
        <v/>
      </c>
    </row>
    <row r="39" spans="12:36" x14ac:dyDescent="0.25">
      <c r="L39" s="8" t="str">
        <f t="shared" si="0"/>
        <v/>
      </c>
      <c r="M39" s="8" t="str">
        <f t="shared" si="1"/>
        <v/>
      </c>
      <c r="N39" s="8" t="str">
        <f t="shared" si="2"/>
        <v/>
      </c>
      <c r="W39" s="8" t="str">
        <f t="shared" si="3"/>
        <v/>
      </c>
      <c r="X39" s="8" t="str">
        <f t="shared" si="4"/>
        <v/>
      </c>
      <c r="Y39" s="8" t="str">
        <f t="shared" si="5"/>
        <v/>
      </c>
      <c r="AH39" s="8" t="str">
        <f t="shared" si="6"/>
        <v/>
      </c>
      <c r="AI39" s="8" t="str">
        <f t="shared" si="7"/>
        <v/>
      </c>
      <c r="AJ39" s="8" t="str">
        <f t="shared" si="8"/>
        <v/>
      </c>
    </row>
    <row r="40" spans="12:36" x14ac:dyDescent="0.25">
      <c r="L40" s="8" t="str">
        <f t="shared" si="0"/>
        <v/>
      </c>
      <c r="M40" s="8" t="str">
        <f t="shared" si="1"/>
        <v/>
      </c>
      <c r="N40" s="8" t="str">
        <f t="shared" si="2"/>
        <v/>
      </c>
      <c r="W40" s="8" t="str">
        <f t="shared" si="3"/>
        <v/>
      </c>
      <c r="X40" s="8" t="str">
        <f t="shared" si="4"/>
        <v/>
      </c>
      <c r="Y40" s="8" t="str">
        <f t="shared" si="5"/>
        <v/>
      </c>
      <c r="AH40" s="8" t="str">
        <f t="shared" si="6"/>
        <v/>
      </c>
      <c r="AI40" s="8" t="str">
        <f t="shared" si="7"/>
        <v/>
      </c>
      <c r="AJ40" s="8" t="str">
        <f t="shared" si="8"/>
        <v/>
      </c>
    </row>
    <row r="41" spans="12:36" x14ac:dyDescent="0.25">
      <c r="L41" s="8" t="str">
        <f t="shared" si="0"/>
        <v/>
      </c>
      <c r="M41" s="8" t="str">
        <f t="shared" si="1"/>
        <v/>
      </c>
      <c r="N41" s="8" t="str">
        <f t="shared" si="2"/>
        <v/>
      </c>
      <c r="W41" s="8" t="str">
        <f t="shared" si="3"/>
        <v/>
      </c>
      <c r="X41" s="8" t="str">
        <f t="shared" si="4"/>
        <v/>
      </c>
      <c r="Y41" s="8" t="str">
        <f t="shared" si="5"/>
        <v/>
      </c>
      <c r="AH41" s="8" t="str">
        <f t="shared" si="6"/>
        <v/>
      </c>
      <c r="AI41" s="8" t="str">
        <f t="shared" si="7"/>
        <v/>
      </c>
      <c r="AJ41" s="8" t="str">
        <f t="shared" si="8"/>
        <v/>
      </c>
    </row>
    <row r="42" spans="12:36" x14ac:dyDescent="0.25">
      <c r="L42" s="8" t="str">
        <f t="shared" si="0"/>
        <v/>
      </c>
      <c r="M42" s="8" t="str">
        <f t="shared" si="1"/>
        <v/>
      </c>
      <c r="N42" s="8" t="str">
        <f t="shared" si="2"/>
        <v/>
      </c>
      <c r="W42" s="8" t="str">
        <f t="shared" si="3"/>
        <v/>
      </c>
      <c r="X42" s="8" t="str">
        <f t="shared" si="4"/>
        <v/>
      </c>
      <c r="Y42" s="8" t="str">
        <f t="shared" si="5"/>
        <v/>
      </c>
      <c r="AH42" s="8" t="str">
        <f t="shared" si="6"/>
        <v/>
      </c>
      <c r="AI42" s="8" t="str">
        <f t="shared" si="7"/>
        <v/>
      </c>
      <c r="AJ42" s="8" t="str">
        <f t="shared" si="8"/>
        <v/>
      </c>
    </row>
    <row r="43" spans="12:36" x14ac:dyDescent="0.25">
      <c r="L43" s="8" t="str">
        <f t="shared" si="0"/>
        <v/>
      </c>
      <c r="M43" s="8" t="str">
        <f t="shared" si="1"/>
        <v/>
      </c>
      <c r="N43" s="8" t="str">
        <f t="shared" si="2"/>
        <v/>
      </c>
      <c r="W43" s="8" t="str">
        <f t="shared" si="3"/>
        <v/>
      </c>
      <c r="X43" s="8" t="str">
        <f t="shared" si="4"/>
        <v/>
      </c>
      <c r="Y43" s="8" t="str">
        <f t="shared" si="5"/>
        <v/>
      </c>
      <c r="AH43" s="8" t="str">
        <f t="shared" si="6"/>
        <v/>
      </c>
      <c r="AI43" s="8" t="str">
        <f t="shared" si="7"/>
        <v/>
      </c>
      <c r="AJ43" s="8" t="str">
        <f t="shared" si="8"/>
        <v/>
      </c>
    </row>
    <row r="44" spans="12:36" x14ac:dyDescent="0.25">
      <c r="L44" s="8" t="str">
        <f t="shared" si="0"/>
        <v/>
      </c>
      <c r="M44" s="8" t="str">
        <f t="shared" si="1"/>
        <v/>
      </c>
      <c r="N44" s="8" t="str">
        <f t="shared" si="2"/>
        <v/>
      </c>
      <c r="W44" s="8" t="str">
        <f t="shared" si="3"/>
        <v/>
      </c>
      <c r="X44" s="8" t="str">
        <f t="shared" si="4"/>
        <v/>
      </c>
      <c r="Y44" s="8" t="str">
        <f t="shared" si="5"/>
        <v/>
      </c>
      <c r="AH44" s="8" t="str">
        <f t="shared" si="6"/>
        <v/>
      </c>
      <c r="AI44" s="8" t="str">
        <f t="shared" si="7"/>
        <v/>
      </c>
      <c r="AJ44" s="8" t="str">
        <f t="shared" si="8"/>
        <v/>
      </c>
    </row>
    <row r="45" spans="12:36" x14ac:dyDescent="0.25">
      <c r="L45" s="8" t="str">
        <f t="shared" si="0"/>
        <v/>
      </c>
      <c r="M45" s="8" t="str">
        <f t="shared" si="1"/>
        <v/>
      </c>
      <c r="N45" s="8" t="str">
        <f t="shared" si="2"/>
        <v/>
      </c>
      <c r="W45" s="8" t="str">
        <f t="shared" si="3"/>
        <v/>
      </c>
      <c r="X45" s="8" t="str">
        <f t="shared" si="4"/>
        <v/>
      </c>
      <c r="Y45" s="8" t="str">
        <f t="shared" si="5"/>
        <v/>
      </c>
      <c r="AH45" s="8" t="str">
        <f t="shared" si="6"/>
        <v/>
      </c>
      <c r="AI45" s="8" t="str">
        <f t="shared" si="7"/>
        <v/>
      </c>
      <c r="AJ45" s="8" t="str">
        <f t="shared" si="8"/>
        <v/>
      </c>
    </row>
    <row r="46" spans="12:36" x14ac:dyDescent="0.25">
      <c r="L46" s="8" t="str">
        <f t="shared" si="0"/>
        <v/>
      </c>
      <c r="M46" s="8" t="str">
        <f t="shared" si="1"/>
        <v/>
      </c>
      <c r="N46" s="8" t="str">
        <f t="shared" si="2"/>
        <v/>
      </c>
      <c r="W46" s="8" t="str">
        <f t="shared" si="3"/>
        <v/>
      </c>
      <c r="X46" s="8" t="str">
        <f t="shared" si="4"/>
        <v/>
      </c>
      <c r="Y46" s="8" t="str">
        <f t="shared" si="5"/>
        <v/>
      </c>
      <c r="AH46" s="8" t="str">
        <f t="shared" si="6"/>
        <v/>
      </c>
      <c r="AI46" s="8" t="str">
        <f t="shared" si="7"/>
        <v/>
      </c>
      <c r="AJ46" s="8" t="str">
        <f t="shared" si="8"/>
        <v/>
      </c>
    </row>
    <row r="47" spans="12:36" x14ac:dyDescent="0.25">
      <c r="L47" s="8" t="str">
        <f t="shared" si="0"/>
        <v/>
      </c>
      <c r="M47" s="8" t="str">
        <f t="shared" si="1"/>
        <v/>
      </c>
      <c r="N47" s="8" t="str">
        <f t="shared" si="2"/>
        <v/>
      </c>
      <c r="W47" s="8" t="str">
        <f t="shared" si="3"/>
        <v/>
      </c>
      <c r="X47" s="8" t="str">
        <f t="shared" si="4"/>
        <v/>
      </c>
      <c r="Y47" s="8" t="str">
        <f t="shared" si="5"/>
        <v/>
      </c>
      <c r="AH47" s="8" t="str">
        <f t="shared" si="6"/>
        <v/>
      </c>
      <c r="AI47" s="8" t="str">
        <f t="shared" si="7"/>
        <v/>
      </c>
      <c r="AJ47" s="8" t="str">
        <f t="shared" si="8"/>
        <v/>
      </c>
    </row>
    <row r="48" spans="12:36" x14ac:dyDescent="0.25">
      <c r="L48" s="8" t="str">
        <f t="shared" si="0"/>
        <v/>
      </c>
      <c r="M48" s="8" t="str">
        <f t="shared" si="1"/>
        <v/>
      </c>
      <c r="N48" s="8" t="str">
        <f t="shared" si="2"/>
        <v/>
      </c>
      <c r="W48" s="8" t="str">
        <f t="shared" si="3"/>
        <v/>
      </c>
      <c r="X48" s="8" t="str">
        <f t="shared" si="4"/>
        <v/>
      </c>
      <c r="Y48" s="8" t="str">
        <f t="shared" si="5"/>
        <v/>
      </c>
      <c r="AH48" s="8" t="str">
        <f t="shared" si="6"/>
        <v/>
      </c>
      <c r="AI48" s="8" t="str">
        <f t="shared" si="7"/>
        <v/>
      </c>
      <c r="AJ48" s="8" t="str">
        <f t="shared" si="8"/>
        <v/>
      </c>
    </row>
    <row r="49" spans="12:36" x14ac:dyDescent="0.25">
      <c r="L49" s="8" t="str">
        <f t="shared" si="0"/>
        <v/>
      </c>
      <c r="M49" s="8" t="str">
        <f t="shared" si="1"/>
        <v/>
      </c>
      <c r="N49" s="8" t="str">
        <f t="shared" si="2"/>
        <v/>
      </c>
      <c r="W49" s="8" t="str">
        <f t="shared" si="3"/>
        <v/>
      </c>
      <c r="X49" s="8" t="str">
        <f t="shared" si="4"/>
        <v/>
      </c>
      <c r="Y49" s="8" t="str">
        <f t="shared" si="5"/>
        <v/>
      </c>
      <c r="AH49" s="8" t="str">
        <f t="shared" si="6"/>
        <v/>
      </c>
      <c r="AI49" s="8" t="str">
        <f t="shared" si="7"/>
        <v/>
      </c>
      <c r="AJ49" s="8" t="str">
        <f t="shared" si="8"/>
        <v/>
      </c>
    </row>
  </sheetData>
  <mergeCells count="4">
    <mergeCell ref="A1:C1"/>
    <mergeCell ref="E1:K1"/>
    <mergeCell ref="P1:V1"/>
    <mergeCell ref="AA1:A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SummaryHelper</vt:lpstr>
      <vt:lpstr>README</vt:lpstr>
      <vt:lpstr>ProcurementHelper</vt:lpstr>
      <vt:lpstr>Procurement</vt:lpstr>
      <vt:lpstr>Summary</vt:lpstr>
      <vt:lpstr>S01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Pa` Din</dc:creator>
  <cp:lastModifiedBy>Pa` Din</cp:lastModifiedBy>
  <dcterms:created xsi:type="dcterms:W3CDTF">2015-06-05T18:17:20Z</dcterms:created>
  <dcterms:modified xsi:type="dcterms:W3CDTF">2026-04-05T17:20:19Z</dcterms:modified>
</cp:coreProperties>
</file>