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6A0F2F01-2418-46BE-9A06-612955B29E41}" xr6:coauthVersionLast="47" xr6:coauthVersionMax="47" xr10:uidLastSave="{00000000-0000-0000-0000-000000000000}"/>
  <bookViews>
    <workbookView xWindow="57480" yWindow="-120" windowWidth="29040" windowHeight="15840" firstSheet="4" activeTab="4" xr2:uid="{00000000-000D-0000-FFFF-FFFF00000000}"/>
  </bookViews>
  <sheets>
    <sheet name="SummaryHelper" sheetId="46" state="hidden" r:id="rId1"/>
    <sheet name="README" sheetId="16" r:id="rId2"/>
    <sheet name="ProcurementHelper" sheetId="48"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S18" sheetId="49" r:id="rId23"/>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49" i="49" l="1"/>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N30" i="49"/>
  <c r="M30" i="49"/>
  <c r="L30" i="49"/>
  <c r="AJ29" i="49"/>
  <c r="AI29" i="49"/>
  <c r="AH29" i="49"/>
  <c r="Y29" i="49"/>
  <c r="X29" i="49"/>
  <c r="W29" i="49"/>
  <c r="N29" i="49"/>
  <c r="M29" i="49"/>
  <c r="L29" i="49"/>
  <c r="AJ28" i="49"/>
  <c r="AI28" i="49"/>
  <c r="AH28" i="49"/>
  <c r="Y28" i="49"/>
  <c r="X28" i="49"/>
  <c r="W28" i="49"/>
  <c r="N28" i="49"/>
  <c r="M28" i="49"/>
  <c r="L28" i="49"/>
  <c r="AJ27" i="49"/>
  <c r="AI27" i="49"/>
  <c r="AH27" i="49"/>
  <c r="Y27" i="49"/>
  <c r="X27" i="49"/>
  <c r="W27" i="49"/>
  <c r="N27" i="49"/>
  <c r="M27" i="49"/>
  <c r="L27" i="49"/>
  <c r="AJ26" i="49"/>
  <c r="AI26" i="49"/>
  <c r="AH26" i="49"/>
  <c r="Y26" i="49"/>
  <c r="X26" i="49"/>
  <c r="W26" i="49"/>
  <c r="N26" i="49"/>
  <c r="M26" i="49"/>
  <c r="L26" i="49"/>
  <c r="AJ25" i="49"/>
  <c r="AI25" i="49"/>
  <c r="AH25" i="49"/>
  <c r="Y25" i="49"/>
  <c r="X25" i="49"/>
  <c r="W25" i="49"/>
  <c r="N25" i="49"/>
  <c r="M25" i="49"/>
  <c r="L25" i="49"/>
  <c r="AJ24" i="49"/>
  <c r="AI24" i="49"/>
  <c r="AH24" i="49"/>
  <c r="Y24" i="49"/>
  <c r="X24" i="49"/>
  <c r="W24" i="49"/>
  <c r="N24" i="49"/>
  <c r="M24" i="49"/>
  <c r="L24" i="49"/>
  <c r="AJ23" i="49"/>
  <c r="AI23" i="49"/>
  <c r="AH23" i="49"/>
  <c r="Y23" i="49"/>
  <c r="X23" i="49"/>
  <c r="W23" i="49"/>
  <c r="N23" i="49"/>
  <c r="M23" i="49"/>
  <c r="L23" i="49"/>
  <c r="AJ22" i="49"/>
  <c r="AI22" i="49"/>
  <c r="AH22" i="49"/>
  <c r="Y22" i="49"/>
  <c r="X22" i="49"/>
  <c r="W22" i="49"/>
  <c r="N22" i="49"/>
  <c r="M22" i="49"/>
  <c r="L22" i="49"/>
  <c r="AJ21" i="49"/>
  <c r="AI21" i="49"/>
  <c r="AH21" i="49"/>
  <c r="Y21" i="49"/>
  <c r="X21" i="49"/>
  <c r="W21" i="49"/>
  <c r="N21" i="49"/>
  <c r="M21" i="49"/>
  <c r="L21" i="49"/>
  <c r="AJ20" i="49"/>
  <c r="AI20" i="49"/>
  <c r="AH20" i="49"/>
  <c r="Y20" i="49"/>
  <c r="X20" i="49"/>
  <c r="W20" i="49"/>
  <c r="N20" i="49"/>
  <c r="M20" i="49"/>
  <c r="L20" i="49"/>
  <c r="AJ19" i="49"/>
  <c r="AI19" i="49"/>
  <c r="AH19" i="49"/>
  <c r="Y19" i="49"/>
  <c r="X19" i="49"/>
  <c r="W19" i="49"/>
  <c r="N19" i="49"/>
  <c r="M19" i="49"/>
  <c r="L19" i="49"/>
  <c r="AJ18" i="49"/>
  <c r="AI18" i="49"/>
  <c r="AH18" i="49"/>
  <c r="Y18" i="49"/>
  <c r="X18" i="49"/>
  <c r="W18" i="49"/>
  <c r="N18" i="49"/>
  <c r="M18" i="49"/>
  <c r="L18" i="49"/>
  <c r="AJ17" i="49"/>
  <c r="AI17" i="49"/>
  <c r="AH17" i="49"/>
  <c r="Y17" i="49"/>
  <c r="X17" i="49"/>
  <c r="W17" i="49"/>
  <c r="N17" i="49"/>
  <c r="M17" i="49"/>
  <c r="L17" i="49"/>
  <c r="AJ16" i="49"/>
  <c r="AI16" i="49"/>
  <c r="AH16" i="49"/>
  <c r="Y16" i="49"/>
  <c r="X16" i="49"/>
  <c r="W16" i="49"/>
  <c r="N16" i="49"/>
  <c r="M16" i="49"/>
  <c r="L16" i="49"/>
  <c r="AJ15" i="49"/>
  <c r="AI15" i="49"/>
  <c r="AH15" i="49"/>
  <c r="Y15" i="49"/>
  <c r="X15" i="49"/>
  <c r="W15" i="49"/>
  <c r="N15" i="49"/>
  <c r="M15" i="49"/>
  <c r="L15" i="49"/>
  <c r="AJ14" i="49"/>
  <c r="AI14" i="49"/>
  <c r="AH14" i="49"/>
  <c r="Y14" i="49"/>
  <c r="X14" i="49"/>
  <c r="W14" i="49"/>
  <c r="N14" i="49"/>
  <c r="M14" i="49"/>
  <c r="L14" i="49"/>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M5" i="49"/>
  <c r="N5" i="49" s="1"/>
  <c r="L5" i="49"/>
  <c r="AJ4" i="49"/>
  <c r="AI4" i="49"/>
  <c r="AH4" i="49"/>
  <c r="Y4" i="49"/>
  <c r="X4" i="49"/>
  <c r="W4" i="49"/>
  <c r="M4" i="49"/>
  <c r="N4" i="49" s="1"/>
  <c r="L4" i="49"/>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122" i="12"/>
  <c r="C246" i="12"/>
  <c r="D52" i="12"/>
  <c r="D116" i="12"/>
  <c r="D180" i="12"/>
  <c r="D244"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E20" i="12"/>
  <c r="D20" i="12"/>
  <c r="C20" i="12"/>
  <c r="N1" i="49" l="1"/>
  <c r="AI7" i="12"/>
  <c r="AJ7" i="12"/>
  <c r="AK7" i="12"/>
  <c r="AM7" i="12" s="1"/>
  <c r="AN7" i="12" s="1"/>
  <c r="Y4" i="12"/>
  <c r="X4" i="12"/>
  <c r="W4" i="12"/>
  <c r="Z4" i="12"/>
  <c r="AB4" i="12" s="1"/>
  <c r="T3" i="12"/>
  <c r="W3" i="12" s="1"/>
  <c r="AE3" i="12"/>
  <c r="AH3" i="12" s="1"/>
  <c r="AJ4" i="12"/>
  <c r="AJ5" i="12"/>
  <c r="AJ6" i="12"/>
  <c r="AI4" i="12"/>
  <c r="AI5" i="12"/>
  <c r="AI6" i="12"/>
  <c r="AH4" i="12"/>
  <c r="AH5" i="12"/>
  <c r="AK4" i="12"/>
  <c r="AM4" i="12" s="1"/>
  <c r="AH6" i="12"/>
  <c r="AK5" i="12"/>
  <c r="AM5" i="12" s="1"/>
  <c r="AK6" i="12"/>
  <c r="AM6" i="12" s="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Q108" i="12" s="1"/>
  <c r="I3" i="12"/>
  <c r="L3" i="12" s="1"/>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R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R99" i="12" l="1"/>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Z3" i="12"/>
  <c r="AB3" i="12" s="1"/>
  <c r="AC3" i="12" s="1"/>
  <c r="L3" i="48" s="1" a="1"/>
  <c r="L3" i="48" s="1"/>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B15" i="12"/>
  <c r="B16" i="12"/>
  <c r="B17" i="12"/>
  <c r="B18" i="12"/>
  <c r="B19" i="12"/>
  <c r="C16" i="12"/>
  <c r="C17" i="12"/>
  <c r="C19" i="12"/>
  <c r="C7" i="12"/>
  <c r="E4" i="12"/>
  <c r="E8" i="12"/>
  <c r="E10" i="12"/>
  <c r="E6" i="12"/>
  <c r="C11" i="12"/>
  <c r="E5" i="12"/>
  <c r="D7" i="12"/>
  <c r="E7" i="12"/>
  <c r="C9" i="12"/>
  <c r="D4" i="12"/>
  <c r="E14" i="12"/>
  <c r="E12" i="12"/>
  <c r="C14" i="12"/>
  <c r="E18" i="12"/>
  <c r="E11" i="12"/>
  <c r="D5" i="12"/>
  <c r="C12" i="12"/>
  <c r="E13" i="12"/>
  <c r="AC1" i="12" l="1"/>
  <c r="AN1" i="12"/>
  <c r="A3" i="48" a="1"/>
  <c r="A3" i="48" s="1"/>
  <c r="Q3" i="12"/>
  <c r="R3" i="12" s="1"/>
  <c r="R1" i="12" s="1"/>
  <c r="C13" i="12"/>
  <c r="C8" i="12"/>
  <c r="D10" i="12"/>
  <c r="D15" i="12"/>
  <c r="D16" i="12"/>
  <c r="E19" i="12"/>
  <c r="D12" i="12"/>
  <c r="E16" i="12"/>
  <c r="C6" i="12"/>
  <c r="D8" i="12"/>
  <c r="D6" i="12"/>
  <c r="E15" i="12"/>
  <c r="D17" i="12"/>
  <c r="E17" i="12"/>
  <c r="D19" i="12"/>
  <c r="D13" i="12"/>
  <c r="D18" i="12"/>
  <c r="C18" i="12"/>
  <c r="C10" i="12"/>
  <c r="D14" i="12"/>
  <c r="D9" i="12"/>
  <c r="D11" i="12"/>
  <c r="E9" i="12"/>
  <c r="C15"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D3" i="12"/>
  <c r="C5" i="12"/>
  <c r="C3" i="12"/>
  <c r="E3" i="12"/>
  <c r="AJ1" i="21" l="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<sst xmlns="http://schemas.openxmlformats.org/spreadsheetml/2006/main" count="5817" uniqueCount="2335">
  <si>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</si>
  <si>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</si>
  <si>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</si>
  <si>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</si>
  <si>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</si>
  <si>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</si>
  <si>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</si>
  <si>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</si>
  <si>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</si>
  <si>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</si>
  <si>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</si>
  <si>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</si>
  <si>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</si>
  <si>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</si>
  <si>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</si>
  <si>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</si>
  <si>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</si>
  <si>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</si>
  <si>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</si>
  <si>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</si>
  <si>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</si>
  <si>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</si>
  <si>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</si>
  <si>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</si>
  <si>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</si>
  <si>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</si>
  <si>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</si>
  <si>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</si>
  <si>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</si>
  <si>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</si>
  <si>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</si>
  <si>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</si>
  <si>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</si>
  <si>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</si>
  <si>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</si>
  <si>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</si>
  <si>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</si>
  <si>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</si>
  <si>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</si>
  <si>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</si>
  <si>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</si>
  <si>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</si>
  <si>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</si>
  <si>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</si>
  <si>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</si>
  <si>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</si>
  <si>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</si>
  <si>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</si>
  <si>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</si>
  <si>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</si>
  <si>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</si>
  <si>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</si>
  <si>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</si>
  <si>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</si>
  <si>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</si>
  <si>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</si>
  <si>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</si>
  <si>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</si>
  <si>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</si>
  <si>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</si>
  <si>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</si>
  <si>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</si>
  <si>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</si>
  <si>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</si>
  <si>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</si>
  <si>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</si>
  <si>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</si>
  <si>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</si>
  <si>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</si>
  <si>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</si>
  <si>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</si>
  <si>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</si>
  <si>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</si>
  <si>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</si>
  <si>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</si>
  <si>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</si>
  <si>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</si>
  <si>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</si>
  <si>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</si>
  <si>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</si>
  <si>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</si>
  <si>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</si>
  <si>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</si>
  <si>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</si>
  <si>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</si>
  <si>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</si>
  <si>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</si>
  <si>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</si>
  <si>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</si>
  <si>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</si>
  <si>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</si>
  <si>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</si>
  <si>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</si>
  <si>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</si>
  <si>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</si>
  <si>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</si>
  <si>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</si>
  <si>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</si>
  <si>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</si>
  <si>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</si>
  <si>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</si>
  <si>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</si>
  <si>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</si>
  <si>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</si>
  <si>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</si>
  <si>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</si>
  <si>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</si>
  <si>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</si>
  <si>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</si>
  <si>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</si>
  <si>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</si>
  <si>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</si>
  <si>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</si>
  <si>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</si>
  <si>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</si>
  <si>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</si>
  <si>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</si>
  <si>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</si>
  <si>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</si>
  <si>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</si>
  <si>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</si>
  <si>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</si>
  <si>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</si>
  <si>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</si>
  <si>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</si>
  <si>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</si>
  <si>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</si>
  <si>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</si>
  <si>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</si>
  <si>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</si>
  <si>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</si>
  <si>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</si>
  <si>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</si>
  <si>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</si>
  <si>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</si>
  <si>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</si>
  <si>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</si>
  <si>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</si>
  <si>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</si>
  <si>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</si>
  <si>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</si>
  <si>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</si>
  <si>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</si>
  <si>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</si>
  <si>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</si>
  <si>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</si>
  <si>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</si>
  <si>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</si>
  <si>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</si>
  <si>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</si>
  <si>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</si>
  <si>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</si>
  <si>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</si>
  <si>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</si>
  <si>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</si>
  <si>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</si>
  <si>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</si>
  <si>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</si>
  <si>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</si>
  <si>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</si>
  <si>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</si>
  <si>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</si>
  <si>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</si>
  <si>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</si>
  <si>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</si>
  <si>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</si>
  <si>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</si>
  <si>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</si>
  <si>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</si>
  <si>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</si>
  <si>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</si>
  <si>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</si>
  <si>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</si>
  <si>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</si>
  <si>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</si>
  <si>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</si>
  <si>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</si>
  <si>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</si>
  <si>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</si>
  <si>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</si>
  <si>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</si>
  <si>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</si>
  <si>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</si>
  <si>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</si>
  <si>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</si>
  <si>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</si>
  <si>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</si>
  <si>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</si>
  <si>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</si>
  <si>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</si>
  <si>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</si>
  <si>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</si>
  <si>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</si>
  <si>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</si>
  <si>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</si>
  <si>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</si>
  <si>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</si>
  <si>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</si>
  <si>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</si>
  <si>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</si>
  <si>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</si>
  <si>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</si>
  <si>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</si>
  <si>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</si>
  <si>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</si>
  <si>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</si>
  <si>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</si>
  <si>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</si>
  <si>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</si>
  <si>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</si>
  <si>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</si>
  <si>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</si>
  <si>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</si>
  <si>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</si>
  <si>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</si>
  <si>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</si>
  <si>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</si>
  <si>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</si>
  <si>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</si>
  <si>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</si>
  <si>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</si>
  <si>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</si>
  <si>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</si>
  <si>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</si>
  <si>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</si>
  <si>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</si>
  <si>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</si>
  <si>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</si>
  <si>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</si>
  <si>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</si>
  <si>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</si>
  <si>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</si>
  <si>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</si>
  <si>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</si>
  <si>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</si>
  <si>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</si>
  <si>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</si>
  <si>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</si>
  <si>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</si>
  <si>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</si>
  <si>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</si>
  <si>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</si>
  <si>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</si>
  <si>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</si>
  <si>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</si>
  <si>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</si>
  <si>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</si>
  <si>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</si>
  <si>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</si>
  <si>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</si>
  <si>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</si>
  <si>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</si>
  <si>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</si>
  <si>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</si>
  <si>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</si>
  <si>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</si>
  <si>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</si>
  <si>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</si>
  <si>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</si>
  <si>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</si>
  <si>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</si>
  <si>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</si>
  <si>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</si>
  <si>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</si>
  <si>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</si>
  <si>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</si>
  <si>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</si>
  <si>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</si>
  <si>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</si>
  <si>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</si>
  <si>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</si>
  <si>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</si>
  <si>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</si>
  <si>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</si>
  <si>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</si>
  <si>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</si>
  <si>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</si>
  <si>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</si>
  <si>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</si>
  <si>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</si>
  <si>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</si>
  <si>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</si>
  <si>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</si>
  <si>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</si>
  <si>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</si>
  <si>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</si>
  <si>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</si>
  <si>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</si>
  <si>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</si>
  <si>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</si>
  <si>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</si>
  <si>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</si>
  <si>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</si>
  <si>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</si>
  <si>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</si>
  <si>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</si>
  <si>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</si>
  <si>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</si>
  <si>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</si>
  <si>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</si>
  <si>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</si>
  <si>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</si>
  <si>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</si>
  <si>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</si>
  <si>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</si>
  <si>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</si>
  <si>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</si>
  <si>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</si>
  <si>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</si>
  <si>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</si>
  <si>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</si>
  <si>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</si>
  <si>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</si>
  <si>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</si>
  <si>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</si>
  <si>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</si>
  <si>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</si>
  <si>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</si>
  <si>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</si>
  <si>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</si>
  <si>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</si>
  <si>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</si>
  <si>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</si>
  <si>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</si>
  <si>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</si>
  <si>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</si>
  <si>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</si>
  <si>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</si>
  <si>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</si>
  <si>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</si>
  <si>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</si>
  <si>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</si>
  <si>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</si>
  <si>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</si>
  <si>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</si>
  <si>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</si>
  <si>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</si>
  <si>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</si>
  <si>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</si>
  <si>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</si>
  <si>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</si>
  <si>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</si>
  <si>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</si>
  <si>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</si>
  <si>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</si>
  <si>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</si>
  <si>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</si>
  <si>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</si>
  <si>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</si>
  <si>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</si>
  <si>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</si>
  <si>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</si>
  <si>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</si>
  <si>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</si>
  <si>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</si>
  <si>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</si>
  <si>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</si>
  <si>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</si>
  <si>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</si>
  <si>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</si>
  <si>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</si>
  <si>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</si>
  <si>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</si>
  <si>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</si>
  <si>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</si>
  <si>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</si>
  <si>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</si>
  <si>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</si>
  <si>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</si>
  <si>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</si>
  <si>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</si>
  <si>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</si>
  <si>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</si>
  <si>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</si>
  <si>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</si>
  <si>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</si>
  <si>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</si>
  <si>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</si>
  <si>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</si>
  <si>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</si>
  <si>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</si>
  <si>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</si>
  <si>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</si>
  <si>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</si>
  <si>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</si>
  <si>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</si>
  <si>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</si>
  <si>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</si>
  <si>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</si>
  <si>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</si>
  <si>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</si>
  <si>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</si>
  <si>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</si>
  <si>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</si>
  <si>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</si>
  <si>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</si>
  <si>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</si>
  <si>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</si>
  <si>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</si>
  <si>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</si>
  <si>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</si>
  <si>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</si>
  <si>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</si>
  <si>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</si>
  <si>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</si>
  <si>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</si>
  <si>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</si>
  <si>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</si>
  <si>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</si>
  <si>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</si>
  <si>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</si>
  <si>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</si>
  <si>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</si>
  <si>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</si>
  <si>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</si>
  <si>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</si>
  <si>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</si>
  <si>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</si>
  <si>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</si>
  <si>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</si>
  <si>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</si>
  <si>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</si>
  <si>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</si>
  <si>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</si>
  <si>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</si>
  <si>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</si>
  <si>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</si>
  <si>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</si>
  <si>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</si>
  <si>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</si>
  <si>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</si>
  <si>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</si>
  <si>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</si>
  <si>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</si>
  <si>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</si>
  <si>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</si>
  <si>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</si>
  <si>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</si>
  <si>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</si>
  <si>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</si>
  <si>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</si>
  <si>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</si>
  <si>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</si>
  <si>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</si>
  <si>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</si>
  <si>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</si>
  <si>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</si>
  <si>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</si>
  <si>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</si>
  <si>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</si>
  <si>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</si>
  <si>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</si>
  <si>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</si>
  <si>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</si>
  <si>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</si>
  <si>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</si>
  <si>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</si>
  <si>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</si>
  <si>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</si>
  <si>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</si>
  <si>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</si>
  <si>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</si>
  <si>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</si>
  <si>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</si>
  <si>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</si>
  <si>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</si>
  <si>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</si>
  <si>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</si>
  <si>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</si>
  <si>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</si>
  <si>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</si>
  <si>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</si>
  <si>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</si>
  <si>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</si>
  <si>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</si>
  <si>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</si>
  <si>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</si>
  <si>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</si>
  <si>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</si>
  <si>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</si>
  <si>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</si>
  <si>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</si>
  <si>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</si>
  <si>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</si>
  <si>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</si>
  <si>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</si>
  <si>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</si>
  <si>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</si>
  <si>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</si>
  <si>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</si>
  <si>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</si>
  <si>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</si>
  <si>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</si>
  <si>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</si>
  <si>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</si>
  <si>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</si>
  <si>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</si>
  <si>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</si>
  <si>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</si>
  <si>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</si>
  <si>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</si>
  <si>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</si>
  <si>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</si>
  <si>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</si>
  <si>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</si>
  <si>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</si>
  <si>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</si>
  <si>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</si>
  <si>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</si>
  <si>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</si>
  <si>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</si>
  <si>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</si>
  <si>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</si>
  <si>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</si>
  <si>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</si>
  <si>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</si>
  <si>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</si>
  <si>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</si>
  <si>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</si>
  <si>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</si>
  <si>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</si>
  <si>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</si>
  <si>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</si>
  <si>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</si>
  <si>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</si>
  <si>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</si>
  <si>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</si>
  <si>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</si>
  <si>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</si>
  <si>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</si>
  <si>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</si>
  <si>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</si>
  <si>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</si>
  <si>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</si>
  <si>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</si>
  <si>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</si>
  <si>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</si>
  <si>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</si>
  <si>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</si>
  <si>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</si>
  <si>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</si>
  <si>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</si>
  <si>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</si>
  <si>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</si>
  <si>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</si>
  <si>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</si>
  <si>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</si>
  <si>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</si>
  <si>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</si>
  <si>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</si>
  <si>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</si>
  <si>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</si>
  <si>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</si>
  <si>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</si>
  <si>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</si>
  <si>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</si>
  <si>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</si>
  <si>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</si>
  <si>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</si>
  <si>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</si>
  <si>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</si>
  <si>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</si>
  <si>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</si>
  <si>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</si>
  <si>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</si>
  <si>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</si>
  <si>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</si>
  <si>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</si>
  <si>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</si>
  <si>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</si>
  <si>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</si>
  <si>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</si>
  <si>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</si>
  <si>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</si>
  <si>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</si>
  <si>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</si>
  <si>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</si>
  <si>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</si>
  <si>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</si>
  <si>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</si>
  <si>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</si>
  <si>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</si>
  <si>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</si>
  <si>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</si>
  <si>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</si>
  <si>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</si>
  <si>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</si>
  <si>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</si>
  <si>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</si>
  <si>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</si>
  <si>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</si>
  <si>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</si>
  <si>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</si>
  <si>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</si>
  <si>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</si>
  <si>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</si>
  <si>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</si>
  <si>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</si>
  <si>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</si>
  <si>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</si>
  <si>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</si>
  <si>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</si>
  <si>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</si>
  <si>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</si>
  <si>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</si>
  <si>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</si>
  <si>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</si>
  <si>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</si>
  <si>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</si>
  <si>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</si>
  <si>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</si>
  <si>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</si>
  <si>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</si>
  <si>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</si>
  <si>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</si>
  <si>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</si>
  <si>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</si>
  <si>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</si>
  <si>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</si>
  <si>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</si>
  <si>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</si>
  <si>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</si>
  <si>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</si>
  <si>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</si>
  <si>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</si>
  <si>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</si>
  <si>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</si>
  <si>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</si>
  <si>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</si>
  <si>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</si>
  <si>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</si>
  <si>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</si>
  <si>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</si>
  <si>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</si>
  <si>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</si>
  <si>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</si>
  <si>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</si>
  <si>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</si>
  <si>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</si>
  <si>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</si>
  <si>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</si>
  <si>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</si>
  <si>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</si>
  <si>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</si>
  <si>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</si>
  <si>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</si>
  <si>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</si>
  <si>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</si>
  <si>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</si>
  <si>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</si>
  <si>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</si>
  <si>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</si>
  <si>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</si>
  <si>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</si>
  <si>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</si>
  <si>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</si>
  <si>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</si>
  <si>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</si>
  <si>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</si>
  <si>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</si>
  <si>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</si>
  <si>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</si>
  <si>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</si>
  <si>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</si>
  <si>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</si>
  <si>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</si>
  <si>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</si>
  <si>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</si>
  <si>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</si>
  <si>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</si>
  <si>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</si>
  <si>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</si>
  <si>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</si>
  <si>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</si>
  <si>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</si>
  <si>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</si>
  <si>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</si>
  <si>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</si>
  <si>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</si>
  <si>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</si>
  <si>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</si>
  <si>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</si>
  <si>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</si>
  <si>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</si>
  <si>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</si>
  <si>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</si>
  <si>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</si>
  <si>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</si>
  <si>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</si>
  <si>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</si>
  <si>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</si>
  <si>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</si>
  <si>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</si>
  <si>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</si>
  <si>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</si>
  <si>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</si>
  <si>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</si>
  <si>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</si>
  <si>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</si>
  <si>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</si>
  <si>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</si>
  <si>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</si>
  <si>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</si>
  <si>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</si>
  <si>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</si>
  <si>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</si>
  <si>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</si>
  <si>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</si>
  <si>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</si>
  <si>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</si>
  <si>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</si>
  <si>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</si>
  <si>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</si>
  <si>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</si>
  <si>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</si>
  <si>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</si>
  <si>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</si>
  <si>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</si>
  <si>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</si>
  <si>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</si>
  <si>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</si>
  <si>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</si>
  <si>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</si>
  <si>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</si>
  <si>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</si>
  <si>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</si>
  <si>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</si>
  <si>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</si>
  <si>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</si>
  <si>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</si>
  <si>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</si>
  <si>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</si>
  <si>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</si>
  <si>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</si>
  <si>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</si>
  <si>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</si>
  <si>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</si>
  <si>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</si>
  <si>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</si>
  <si>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</si>
  <si>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</si>
  <si>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</si>
  <si>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</si>
  <si>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</si>
  <si>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</si>
  <si>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</si>
  <si>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</si>
  <si>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</si>
  <si>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</si>
  <si>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</si>
  <si>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</si>
  <si>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</si>
  <si>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</si>
  <si>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</si>
  <si>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</si>
  <si>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</si>
  <si>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</si>
  <si>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</si>
  <si>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</si>
  <si>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</si>
  <si>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</si>
  <si>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</si>
  <si>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</si>
  <si>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</si>
  <si>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</si>
  <si>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</si>
  <si>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</si>
  <si>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</si>
  <si>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</si>
  <si>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</si>
  <si>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</si>
  <si>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</si>
  <si>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</si>
  <si>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</si>
  <si>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</si>
  <si>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</si>
  <si>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</si>
  <si>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</si>
  <si>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</si>
  <si>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</si>
  <si>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</si>
  <si>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</si>
  <si>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</si>
  <si>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</si>
  <si>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</si>
  <si>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</si>
  <si>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</si>
  <si>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</si>
  <si>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</si>
  <si>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</si>
  <si>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</si>
  <si>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</si>
  <si>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</si>
  <si>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</si>
  <si>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</si>
  <si>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</si>
  <si>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</si>
  <si>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</si>
  <si>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</si>
  <si>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</si>
  <si>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</si>
  <si>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</si>
  <si>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</si>
  <si>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</si>
  <si>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</si>
  <si>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</si>
  <si>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</si>
  <si>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</si>
  <si>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</si>
  <si>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</si>
  <si>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</si>
  <si>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</si>
  <si>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</si>
  <si>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</si>
  <si>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</si>
  <si>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</si>
  <si>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</si>
  <si>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</si>
  <si>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</si>
  <si>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</si>
  <si>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</si>
  <si>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</si>
  <si>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</si>
  <si>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</si>
  <si>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</si>
  <si>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</si>
  <si>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</si>
  <si>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</si>
  <si>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</si>
  <si>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</si>
  <si>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</si>
  <si>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</si>
  <si>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</si>
  <si>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</si>
  <si>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</si>
  <si>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</si>
  <si>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</si>
  <si>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</si>
  <si>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</si>
  <si>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</si>
  <si>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</si>
  <si>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</si>
  <si>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</si>
  <si>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</si>
  <si>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</si>
  <si>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</si>
  <si>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</si>
  <si>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</si>
  <si>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</si>
  <si>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</si>
  <si>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</si>
  <si>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</si>
  <si>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</si>
  <si>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</si>
  <si>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</si>
  <si>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</si>
  <si>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</si>
  <si>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</si>
  <si>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</si>
  <si>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</si>
  <si>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</si>
  <si>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</si>
  <si>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</si>
  <si>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</si>
  <si>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</si>
  <si>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</si>
  <si>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</si>
  <si>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</si>
  <si>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</si>
  <si>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</si>
  <si>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</si>
  <si>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</si>
  <si>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</si>
  <si>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</si>
  <si>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</si>
  <si>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</si>
  <si>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</si>
  <si>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</si>
  <si>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</si>
  <si>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</si>
  <si>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</si>
  <si>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</si>
  <si>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</si>
  <si>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</si>
  <si>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</si>
  <si>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</si>
  <si>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</si>
  <si>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</si>
  <si>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</si>
  <si>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</si>
  <si>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</si>
  <si>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</si>
  <si>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</si>
  <si>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</si>
  <si>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</si>
  <si>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</si>
  <si>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</si>
  <si>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</si>
  <si>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</si>
  <si>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</si>
  <si>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</si>
  <si>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</si>
  <si>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</si>
  <si>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</si>
  <si>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</si>
  <si>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</si>
  <si>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</si>
  <si>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</si>
  <si>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</si>
  <si>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</si>
  <si>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</si>
  <si>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</si>
  <si>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</si>
  <si>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</si>
  <si>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</si>
  <si>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</si>
  <si>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</si>
  <si>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</si>
  <si>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</si>
  <si>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</si>
  <si>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</si>
  <si>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</si>
  <si>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</si>
  <si>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</si>
  <si>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</si>
  <si>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</si>
  <si>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</si>
  <si>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</si>
  <si>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</si>
  <si>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</si>
  <si>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</si>
  <si>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</si>
  <si>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</si>
  <si>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</si>
  <si>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</si>
  <si>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</si>
  <si>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</si>
  <si>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</si>
  <si>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</si>
  <si>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</si>
  <si>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</si>
  <si>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</si>
  <si>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</si>
  <si>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</si>
  <si>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</si>
  <si>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</si>
  <si>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</si>
  <si>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</si>
  <si>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</si>
  <si>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</si>
  <si>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</si>
  <si>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</si>
  <si>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</si>
  <si>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</si>
  <si>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</si>
  <si>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</si>
  <si>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</si>
  <si>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</si>
  <si>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</si>
  <si>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</si>
  <si>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</si>
  <si>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</si>
  <si>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</si>
  <si>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</si>
  <si>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</si>
  <si>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</si>
  <si>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</si>
  <si>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</si>
  <si>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</si>
  <si>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</si>
  <si>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</si>
  <si>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</si>
  <si>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</si>
  <si>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</si>
  <si>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</si>
  <si>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</si>
  <si>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</si>
  <si>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</si>
  <si>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</si>
  <si>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</si>
  <si>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</si>
  <si>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</si>
  <si>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</si>
  <si>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</si>
  <si>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</si>
  <si>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</si>
  <si>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</si>
  <si>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</si>
  <si>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</si>
  <si>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</si>
  <si>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</si>
  <si>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</si>
  <si>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</si>
  <si>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</si>
  <si>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</si>
  <si>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</si>
  <si>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</si>
  <si>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</si>
  <si>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</si>
  <si>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</si>
  <si>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</si>
  <si>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</si>
  <si>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</si>
  <si>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</si>
  <si>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</si>
  <si>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</si>
  <si>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</si>
  <si>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</si>
  <si>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</si>
  <si>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</si>
  <si>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</si>
  <si>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</si>
  <si>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</si>
  <si>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</si>
  <si>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</si>
  <si>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</si>
  <si>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</si>
  <si>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</si>
  <si>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</si>
  <si>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</si>
  <si>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</si>
  <si>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</si>
  <si>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</si>
  <si>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</si>
  <si>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</si>
  <si>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</si>
  <si>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</si>
  <si>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</si>
  <si>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</si>
  <si>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</si>
  <si>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</si>
  <si>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</si>
  <si>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</si>
  <si>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</si>
  <si>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</si>
  <si>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</si>
  <si>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</si>
  <si>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</si>
  <si>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</si>
  <si>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</si>
  <si>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</si>
  <si>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</si>
  <si>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</si>
  <si>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</si>
  <si>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</si>
  <si>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</si>
  <si>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</si>
  <si>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</si>
  <si>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</si>
  <si>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</si>
  <si>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</si>
  <si>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</si>
  <si>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</si>
  <si>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</si>
  <si>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</si>
  <si>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</si>
  <si>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</si>
  <si>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</si>
  <si>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</si>
  <si>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</si>
  <si>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</si>
  <si>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</si>
  <si>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</si>
  <si>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</si>
  <si>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</si>
  <si>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</si>
  <si>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</si>
  <si>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</si>
  <si>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</si>
  <si>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</si>
  <si>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</si>
  <si>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</si>
  <si>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</si>
  <si>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</si>
  <si>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</si>
  <si>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</si>
  <si>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</si>
  <si>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</si>
  <si>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</si>
  <si>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</si>
  <si>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</si>
  <si>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</si>
  <si>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</si>
  <si>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</si>
  <si>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</si>
  <si>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</si>
  <si>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</si>
  <si>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</si>
  <si>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</si>
  <si>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</si>
  <si>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</si>
  <si>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</si>
  <si>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</si>
  <si>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</si>
  <si>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</si>
  <si>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</si>
  <si>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</si>
  <si>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</si>
  <si>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</si>
  <si>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</si>
  <si>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</si>
  <si>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</si>
  <si>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</si>
  <si>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</si>
  <si>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</si>
  <si>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</si>
  <si>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</si>
  <si>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</si>
  <si>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</si>
  <si>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</si>
  <si>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</si>
  <si>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</si>
  <si>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</si>
  <si>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</si>
  <si>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</si>
  <si>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</si>
  <si>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</si>
  <si>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</si>
  <si>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</si>
  <si>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</si>
  <si>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</si>
  <si>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</si>
  <si>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</si>
  <si>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</si>
  <si>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</si>
  <si>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</si>
  <si>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</si>
  <si>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</si>
  <si>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</si>
  <si>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</si>
  <si>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</si>
  <si>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</si>
  <si>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</si>
  <si>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</si>
  <si>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</si>
  <si>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</si>
  <si>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</si>
  <si>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</si>
  <si>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</si>
  <si>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</si>
  <si>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</si>
  <si>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</si>
  <si>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</si>
  <si>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</si>
  <si>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</si>
  <si>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</si>
  <si>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</si>
  <si>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</si>
  <si>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</si>
  <si>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</si>
  <si>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</si>
  <si>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</si>
  <si>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</si>
  <si>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</si>
  <si>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</si>
  <si>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</si>
  <si>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</si>
  <si>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</si>
  <si>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</si>
  <si>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</si>
  <si>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</si>
  <si>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</si>
  <si>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</si>
  <si>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</si>
  <si>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</si>
  <si>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</si>
  <si>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</si>
  <si>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</si>
  <si>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</si>
  <si>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</si>
  <si>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</si>
  <si>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</si>
  <si>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</si>
  <si>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</si>
  <si>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</si>
  <si>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</si>
  <si>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</si>
  <si>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</si>
  <si>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</si>
  <si>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</si>
  <si>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</si>
  <si>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</si>
  <si>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</si>
  <si>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</si>
  <si>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</si>
  <si>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</si>
  <si>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</si>
  <si>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</si>
  <si>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</si>
  <si>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</si>
  <si>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</si>
  <si>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</si>
  <si>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</si>
  <si>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</si>
  <si>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</si>
  <si>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</si>
  <si>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</si>
  <si>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</si>
  <si>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</si>
  <si>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</si>
  <si>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</si>
  <si>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</si>
  <si>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</si>
  <si>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</si>
  <si>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</si>
  <si>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</si>
  <si>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</si>
  <si>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</si>
  <si>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</si>
  <si>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</si>
  <si>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</si>
  <si>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</si>
  <si>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</si>
  <si>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</si>
  <si>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</si>
  <si>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</si>
  <si>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</si>
  <si>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</si>
  <si>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</si>
  <si>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</si>
  <si>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</si>
  <si>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</si>
  <si>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</si>
  <si>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</si>
  <si>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</si>
  <si>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</si>
  <si>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</si>
  <si>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</si>
  <si>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</si>
  <si>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</si>
  <si>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</si>
  <si>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</si>
  <si>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</si>
  <si>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</si>
  <si>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</si>
  <si>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</si>
  <si>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</si>
  <si>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</si>
  <si>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</si>
  <si>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</si>
  <si>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</si>
  <si>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</si>
  <si>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</si>
  <si>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</si>
  <si>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</si>
  <si>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</si>
  <si>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</si>
  <si>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</si>
  <si>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</si>
  <si>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</si>
  <si>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</si>
  <si>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</si>
  <si>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</si>
  <si>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</si>
  <si>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</si>
  <si>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</si>
  <si>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</si>
  <si>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</si>
  <si>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</si>
  <si>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</si>
  <si>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</si>
  <si>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</si>
  <si>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</si>
  <si>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</si>
  <si>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</si>
  <si>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</si>
  <si>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</si>
  <si>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</si>
  <si>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</si>
  <si>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</si>
  <si>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</si>
  <si>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</si>
  <si>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</si>
  <si>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</si>
  <si>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</si>
  <si>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</si>
  <si>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</si>
  <si>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</si>
  <si>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</si>
  <si>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</si>
  <si>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</si>
  <si>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</si>
  <si>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</si>
  <si>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</si>
  <si>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</si>
  <si>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</si>
  <si>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</si>
  <si>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</si>
  <si>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</si>
  <si>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</si>
  <si>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</si>
  <si>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</si>
  <si>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</si>
  <si>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</si>
  <si>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</si>
  <si>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</si>
  <si>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</si>
  <si>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</si>
  <si>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</si>
  <si>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</si>
  <si>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</si>
  <si>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</si>
  <si>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</si>
  <si>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</si>
  <si>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</si>
  <si>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</si>
  <si>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</si>
  <si>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</si>
  <si>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</si>
  <si>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</si>
  <si>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</si>
  <si>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</si>
  <si>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</si>
  <si>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</si>
  <si>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</si>
  <si>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</si>
  <si>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</si>
  <si>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</si>
  <si>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</si>
  <si>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</si>
  <si>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</si>
  <si>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</si>
  <si>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</si>
  <si>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</si>
  <si>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</si>
  <si>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</si>
  <si>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</si>
  <si>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</si>
  <si>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</si>
  <si>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</si>
  <si>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</si>
  <si>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</si>
  <si>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</si>
  <si>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</si>
  <si>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</si>
  <si>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</si>
  <si>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</si>
  <si>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</si>
  <si>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</si>
  <si>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</si>
  <si>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</si>
  <si>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</si>
  <si>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</si>
  <si>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</si>
  <si>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</si>
  <si>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</si>
  <si>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</si>
  <si>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</si>
  <si>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</si>
  <si>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</si>
  <si>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</si>
  <si>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</si>
  <si>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</si>
  <si>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</si>
  <si>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</si>
  <si>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</si>
  <si>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</si>
  <si>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</si>
  <si>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</si>
  <si>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</si>
  <si>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</si>
  <si>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</si>
  <si>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</si>
  <si>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</si>
  <si>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</si>
  <si>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</si>
  <si>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</si>
  <si>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</si>
  <si>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</si>
  <si>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</si>
  <si>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</si>
  <si>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</si>
  <si>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</si>
  <si>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</si>
  <si>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</si>
  <si>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</si>
  <si>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</si>
  <si>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</si>
  <si>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</si>
  <si>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</si>
  <si>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</si>
  <si>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</si>
  <si>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</si>
  <si>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</si>
  <si>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</si>
  <si>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</si>
  <si>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</si>
  <si>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</si>
  <si>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</si>
  <si>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</si>
  <si>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</si>
  <si>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</si>
  <si>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</si>
  <si>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</si>
  <si>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</si>
  <si>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</si>
  <si>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</si>
  <si>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</si>
  <si>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</si>
  <si>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</si>
  <si>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</si>
  <si>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</si>
  <si>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</si>
  <si>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</si>
  <si>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</si>
  <si>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</si>
  <si>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</si>
  <si>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</si>
  <si>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</si>
  <si>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</si>
  <si>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</si>
  <si>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</si>
  <si>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</si>
  <si>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</si>
  <si>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</si>
  <si>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</si>
  <si>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</si>
  <si>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</si>
  <si>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</si>
  <si>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</si>
  <si>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</si>
  <si>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</si>
  <si>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</si>
  <si>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</si>
  <si>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</si>
  <si>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</si>
  <si>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</si>
  <si>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</si>
  <si>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</si>
  <si>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</si>
  <si>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</si>
  <si>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</si>
  <si>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</si>
  <si>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</si>
  <si>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</si>
  <si>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</si>
  <si>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</si>
  <si>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</si>
  <si>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</si>
  <si>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</si>
  <si>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</si>
  <si>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</si>
  <si>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</si>
  <si>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</si>
  <si>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</si>
  <si>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</si>
  <si>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</si>
  <si>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</si>
  <si>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</si>
  <si>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</si>
  <si>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</si>
  <si>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</si>
  <si>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</si>
  <si>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</si>
  <si>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</si>
  <si>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</si>
  <si>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</si>
  <si>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</si>
  <si>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</si>
  <si>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</si>
  <si>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</si>
  <si>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</si>
  <si>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</si>
  <si>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</si>
  <si>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</si>
  <si>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</si>
  <si>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</si>
  <si>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</si>
  <si>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</si>
  <si>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</si>
  <si>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</si>
  <si>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</si>
  <si>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</si>
  <si>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</si>
  <si>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</si>
  <si>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</si>
  <si>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</si>
  <si>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</si>
  <si>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</si>
  <si>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</si>
  <si>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</si>
  <si>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</si>
  <si>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</si>
  <si>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</si>
  <si>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</si>
  <si>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</si>
  <si>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</si>
  <si>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</si>
  <si>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</si>
  <si>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</si>
  <si>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</si>
  <si>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</si>
  <si>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</si>
  <si>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</si>
  <si>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</si>
  <si>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</si>
  <si>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</si>
  <si>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</si>
  <si>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</si>
  <si>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</si>
  <si>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</si>
  <si>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</si>
  <si>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</si>
  <si>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</si>
  <si>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</si>
  <si>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</si>
  <si>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</si>
  <si>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</si>
  <si>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</si>
  <si>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</si>
  <si>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</si>
  <si>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</si>
  <si>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</si>
  <si>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</si>
  <si>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</si>
  <si>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</si>
  <si>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</si>
  <si>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</si>
  <si>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</si>
  <si>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</si>
  <si>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</si>
  <si>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</si>
  <si>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</si>
  <si>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</si>
  <si>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</si>
  <si>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</si>
  <si>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</si>
  <si>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</si>
  <si>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</si>
  <si>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</si>
  <si>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</si>
  <si>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</si>
  <si>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</si>
  <si>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</si>
  <si>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</si>
  <si>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</si>
  <si>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</si>
  <si>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</si>
  <si>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</si>
  <si>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</si>
  <si>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</si>
  <si>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</si>
  <si>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</si>
  <si>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</si>
  <si>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</si>
  <si>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</si>
  <si>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</si>
  <si>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</si>
  <si>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</si>
  <si>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</si>
  <si>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</si>
  <si>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</si>
  <si>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</si>
  <si>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</si>
  <si>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</si>
  <si>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</si>
  <si>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</si>
  <si>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</si>
  <si>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</si>
  <si>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</si>
  <si>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</si>
  <si>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</si>
  <si>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</si>
  <si>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</si>
  <si>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</si>
  <si>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</si>
  <si>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</si>
  <si>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</si>
  <si>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</si>
  <si>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</si>
  <si>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</si>
  <si>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</si>
  <si>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</si>
  <si>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</si>
  <si>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</si>
  <si>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</si>
  <si>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</si>
  <si>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</si>
  <si>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</si>
  <si>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</si>
  <si>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</si>
  <si>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</si>
  <si>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</si>
  <si>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</si>
  <si>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</si>
  <si>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</si>
  <si>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</si>
  <si>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</si>
  <si>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</si>
  <si>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</si>
  <si>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</si>
  <si>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</si>
  <si>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</si>
  <si>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</si>
  <si>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</si>
  <si>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</si>
  <si>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</si>
  <si>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</si>
  <si>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</si>
  <si>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</si>
  <si>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</si>
  <si>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</si>
  <si>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</si>
  <si>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</si>
  <si>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</si>
  <si>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</si>
  <si>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</si>
  <si>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</si>
  <si>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</si>
  <si>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</si>
  <si>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</si>
  <si>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</si>
  <si>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</si>
  <si>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</si>
  <si>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</si>
  <si>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</si>
  <si>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</si>
  <si>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</si>
  <si>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</si>
  <si>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</si>
  <si>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</si>
  <si>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</si>
  <si>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</si>
  <si>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</si>
  <si>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</si>
  <si>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</si>
  <si>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</si>
  <si>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</si>
  <si>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</si>
  <si>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</si>
  <si>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</si>
  <si>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</si>
  <si>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</si>
  <si>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</si>
  <si>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</si>
  <si>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</si>
  <si>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</si>
  <si>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</si>
  <si>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</si>
  <si>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</si>
  <si>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</si>
  <si>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</si>
  <si>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</si>
  <si>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</si>
  <si>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</si>
  <si>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</si>
  <si>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</si>
  <si>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</si>
  <si>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</si>
  <si>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</si>
  <si>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</si>
  <si>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</si>
  <si>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</si>
  <si>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</si>
  <si>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</si>
  <si>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</si>
  <si>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</si>
  <si>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</si>
  <si>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</si>
  <si>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</si>
  <si>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</si>
  <si>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</si>
  <si>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</si>
  <si>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</si>
  <si>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</si>
  <si>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</si>
  <si>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</si>
  <si>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</si>
  <si>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</si>
  <si>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</si>
  <si>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</si>
  <si>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</si>
  <si>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</si>
  <si>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</si>
  <si>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</si>
  <si>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</si>
  <si>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</si>
  <si>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</si>
  <si>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</si>
  <si>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</si>
  <si>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</si>
  <si>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</si>
  <si>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</si>
  <si>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</si>
  <si>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</si>
  <si>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</si>
  <si>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</si>
  <si>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</si>
  <si>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</si>
  <si>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</si>
  <si>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</si>
  <si>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</si>
  <si>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</si>
  <si>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</si>
  <si>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</si>
  <si>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</si>
  <si>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</si>
  <si>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</si>
  <si>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</si>
  <si>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</si>
  <si>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</si>
  <si>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</si>
  <si>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</si>
  <si>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</si>
  <si>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</si>
  <si>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</si>
  <si>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</si>
  <si>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</si>
  <si>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</si>
  <si>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</si>
  <si>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</si>
  <si>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</si>
  <si>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</si>
  <si>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</si>
  <si>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</si>
  <si>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</si>
  <si>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</si>
  <si>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</si>
  <si>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</si>
  <si>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</si>
  <si>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</si>
  <si>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</si>
  <si>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</si>
  <si>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</si>
  <si>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</si>
  <si>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</si>
  <si>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</si>
  <si>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</si>
  <si>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</si>
  <si>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</si>
  <si>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</si>
  <si>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</si>
  <si>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</si>
  <si>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</si>
  <si>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</si>
  <si>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</si>
  <si>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</si>
  <si>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</si>
  <si>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</si>
  <si>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</si>
  <si>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</si>
  <si>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</si>
  <si>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</si>
  <si>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</si>
  <si>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</si>
  <si>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</si>
  <si>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</si>
  <si>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</si>
  <si>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</si>
  <si>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</si>
  <si>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</si>
  <si>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</si>
  <si>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</si>
  <si>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</si>
  <si>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</si>
  <si>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</si>
  <si>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</si>
  <si>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</si>
  <si>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</si>
  <si>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</si>
  <si>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</si>
  <si>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</si>
  <si>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</si>
  <si>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</si>
  <si>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</si>
  <si>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</si>
  <si>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</si>
  <si>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</si>
  <si>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</si>
  <si>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</si>
  <si>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</si>
  <si>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</si>
  <si>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</si>
  <si>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</si>
  <si>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</si>
  <si>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</si>
  <si>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</si>
  <si>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</si>
  <si>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</si>
  <si>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</si>
  <si>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</si>
  <si>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</si>
  <si>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</si>
  <si>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</si>
  <si>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</si>
  <si>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</si>
  <si>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</si>
  <si>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</si>
  <si>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</si>
  <si>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</si>
  <si>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</si>
  <si>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</si>
  <si>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</si>
  <si>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</si>
  <si>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</si>
  <si>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</si>
  <si>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</si>
  <si>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</si>
  <si>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</si>
  <si>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</si>
  <si>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</si>
  <si>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</si>
  <si>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</si>
  <si>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</si>
  <si>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</si>
  <si>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</si>
  <si>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</si>
  <si>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</si>
  <si>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</si>
  <si>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</si>
  <si>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</si>
  <si>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</si>
  <si>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</si>
  <si>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</si>
  <si>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</si>
  <si>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</si>
  <si>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</si>
  <si>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</si>
  <si>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</si>
  <si>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</si>
  <si>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</si>
  <si>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</si>
  <si>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</si>
  <si>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</si>
  <si>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</si>
  <si>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</si>
  <si>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</si>
  <si>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</si>
  <si>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</si>
  <si>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</si>
  <si>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</si>
  <si>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</si>
  <si>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</si>
  <si>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</si>
  <si>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</si>
  <si>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</si>
  <si>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</si>
  <si>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</si>
  <si>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</si>
  <si>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</si>
  <si>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</si>
  <si>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</si>
  <si>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</si>
  <si>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</si>
  <si>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</si>
  <si>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</si>
  <si>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</si>
  <si>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</si>
  <si>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</si>
  <si>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</si>
  <si>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</si>
  <si>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</si>
  <si>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</si>
  <si>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</si>
  <si>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</si>
  <si>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</si>
  <si>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</si>
  <si>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</si>
  <si>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</si>
  <si>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</si>
  <si>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</si>
  <si>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</si>
  <si>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</si>
  <si>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</si>
  <si>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</si>
  <si>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</si>
  <si>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</si>
  <si>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</si>
  <si>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</si>
  <si>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</si>
  <si>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</si>
  <si>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</si>
  <si>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</si>
  <si>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</si>
  <si>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</si>
  <si>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</si>
  <si>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</si>
  <si>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</si>
  <si>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</si>
  <si>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</si>
  <si>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</si>
  <si>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</si>
  <si>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</si>
  <si>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</si>
  <si>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</si>
  <si>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</si>
  <si>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</si>
  <si>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</si>
  <si>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</si>
  <si>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</si>
  <si>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</si>
  <si>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</si>
  <si>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</si>
  <si>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</si>
  <si>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</si>
  <si>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</si>
  <si>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</si>
  <si>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</si>
  <si>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</si>
  <si>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</si>
  <si>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</si>
  <si>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</si>
  <si>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</si>
  <si>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</si>
  <si>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</si>
  <si>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</si>
  <si>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</si>
  <si>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</si>
  <si>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</si>
  <si>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</si>
  <si>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</si>
  <si>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</si>
  <si>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</si>
  <si>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</si>
  <si>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</si>
  <si>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</si>
  <si>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</si>
  <si>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</si>
  <si>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</si>
  <si>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</si>
  <si>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</si>
  <si>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</si>
  <si>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</si>
  <si>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</si>
  <si>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</si>
  <si>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</si>
  <si>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</si>
  <si>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</si>
  <si>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</si>
  <si>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</si>
  <si>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</si>
  <si>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</si>
  <si>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</si>
  <si>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</si>
  <si>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</si>
  <si>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</si>
  <si>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</si>
  <si>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</si>
  <si>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</si>
  <si>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</si>
  <si>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</si>
  <si>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</si>
  <si>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</si>
  <si>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</si>
  <si>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</si>
  <si>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</si>
  <si>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</si>
  <si>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</si>
  <si>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</si>
  <si>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</si>
  <si>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</si>
  <si>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</si>
  <si>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</si>
  <si>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</si>
  <si>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</si>
  <si>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</si>
  <si>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</si>
  <si>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</si>
  <si>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</si>
  <si>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</si>
  <si>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</si>
  <si>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</si>
  <si>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</si>
  <si>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</si>
  <si>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</si>
  <si>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</si>
  <si>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</si>
  <si>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</si>
  <si>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</si>
  <si>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</si>
  <si>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</si>
  <si>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</si>
  <si>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</si>
  <si>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</si>
  <si>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</si>
  <si>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</si>
  <si>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</si>
  <si>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</si>
  <si>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</si>
  <si>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</si>
  <si>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</si>
  <si>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</si>
  <si>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</si>
  <si>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</si>
  <si>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</si>
  <si>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</si>
  <si>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</si>
  <si>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</si>
  <si>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</si>
  <si>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</si>
  <si>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</si>
  <si>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</si>
  <si>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</si>
  <si>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</si>
  <si>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</si>
  <si>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</si>
  <si>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</si>
  <si>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</si>
  <si>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</si>
  <si>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</si>
  <si>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</si>
  <si>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</si>
  <si>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</si>
  <si>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</si>
  <si>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</si>
  <si>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</si>
  <si>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</si>
  <si>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</si>
  <si>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</si>
  <si>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</si>
  <si>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</si>
  <si>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</si>
  <si>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</si>
  <si>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</si>
  <si>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</si>
  <si>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</si>
  <si>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</si>
  <si>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</si>
  <si>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</si>
  <si>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</si>
  <si>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</si>
  <si>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</si>
  <si>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</si>
  <si>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</si>
  <si>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</si>
  <si>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</si>
  <si>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</si>
  <si>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</si>
  <si>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</si>
  <si>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</si>
  <si>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</si>
  <si>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</si>
  <si>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</si>
  <si>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</si>
  <si>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</si>
  <si>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</si>
  <si>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</si>
  <si>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</si>
  <si>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</si>
  <si>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</si>
  <si>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</si>
  <si>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</si>
  <si>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</si>
  <si>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</si>
  <si>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</si>
  <si>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</si>
  <si>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</si>
  <si>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</si>
  <si>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</si>
  <si>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</si>
  <si>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</si>
  <si>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</si>
  <si>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</si>
  <si>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</si>
  <si>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</si>
  <si>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</si>
  <si>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</si>
  <si>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</si>
  <si>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</si>
  <si>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</si>
  <si>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</si>
  <si>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</si>
  <si>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</si>
  <si>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</si>
  <si>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</si>
  <si>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</si>
  <si>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</si>
  <si>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</si>
  <si>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</si>
  <si>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</si>
  <si>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</si>
  <si>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</si>
  <si>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</si>
  <si>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</si>
  <si>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</si>
  <si>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</si>
  <si>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</si>
  <si>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</si>
  <si>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</si>
  <si>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</si>
  <si>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</si>
  <si>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</si>
  <si>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</si>
  <si>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</si>
  <si>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</si>
  <si>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</si>
  <si>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</si>
  <si>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</si>
  <si>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</si>
  <si>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</si>
  <si>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</si>
  <si>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</si>
  <si>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</si>
  <si>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</si>
  <si>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</si>
  <si>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</si>
  <si>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</si>
  <si>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</si>
  <si>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</si>
  <si>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</si>
  <si>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</si>
  <si>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</si>
  <si>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</si>
  <si>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</si>
  <si>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</si>
  <si>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</si>
  <si>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</si>
  <si>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</si>
  <si>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</si>
  <si>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</si>
  <si>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</si>
  <si>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</si>
  <si>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</si>
  <si>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</si>
  <si>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</si>
  <si>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</si>
  <si>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</si>
  <si>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</si>
  <si>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</si>
  <si>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</si>
  <si>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</si>
  <si>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</si>
  <si>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</si>
  <si>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</si>
  <si>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</si>
  <si>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</si>
  <si>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</si>
  <si>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</si>
  <si>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</si>
  <si>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</si>
  <si>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</si>
  <si>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</si>
  <si>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</si>
  <si>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</si>
  <si>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</si>
  <si>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</si>
  <si>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</si>
  <si>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</si>
  <si>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</si>
  <si>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</si>
  <si>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</si>
  <si>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</si>
  <si>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</si>
  <si>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</si>
  <si>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</si>
  <si>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</si>
  <si>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</si>
  <si>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</si>
  <si>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</si>
  <si>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</si>
  <si>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</si>
  <si>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</si>
  <si>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</si>
  <si>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</si>
  <si>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</si>
  <si>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</si>
  <si>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</si>
  <si>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</si>
  <si>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</si>
  <si>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</si>
  <si>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</si>
  <si>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</si>
  <si>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</si>
  <si>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</si>
  <si>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</si>
  <si>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</si>
  <si>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</si>
  <si>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</si>
  <si>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</si>
  <si>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</si>
  <si>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</si>
  <si>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</si>
  <si>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</si>
  <si>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</si>
  <si>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</si>
  <si>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</si>
  <si>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</si>
  <si>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</si>
  <si>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</si>
  <si>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</si>
  <si>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</si>
  <si>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</si>
  <si>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</si>
  <si>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</si>
  <si>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</si>
  <si>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</si>
  <si>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</si>
  <si>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</si>
  <si>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</si>
  <si>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</si>
  <si>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</si>
  <si>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</si>
  <si>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</si>
  <si>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</si>
  <si>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</si>
  <si>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</si>
  <si>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</si>
  <si>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</si>
  <si>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</si>
  <si>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</si>
  <si>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</si>
  <si>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</si>
  <si>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</si>
  <si>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</si>
  <si>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</si>
  <si>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</si>
  <si>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</si>
  <si>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</si>
  <si>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</si>
  <si>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</si>
  <si>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</si>
  <si>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</si>
  <si>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</si>
  <si>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</si>
  <si>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</si>
  <si>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</si>
  <si>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</si>
  <si>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</si>
  <si>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RENTAL / SERVICE row 3</t>
  </si>
  <si>
    <t>RENTAL / SERVICE row 4</t>
  </si>
  <si>
    <t>ALL</t>
  </si>
  <si>
    <t>MATERIALS row 21</t>
  </si>
  <si>
    <t>MATERIALS row 77</t>
  </si>
  <si>
    <t>MATERIALS row 4</t>
  </si>
  <si>
    <t>MATERIALS row 5</t>
  </si>
  <si>
    <t>MATERIALS row 7</t>
  </si>
  <si>
    <t>MATERIALS row 8</t>
  </si>
  <si>
    <t>MATERIALS row 9</t>
  </si>
  <si>
    <t>MATERIALS row 10</t>
  </si>
  <si>
    <t>MATERIALS row 11</t>
  </si>
  <si>
    <t>MATERIALS row 12</t>
  </si>
  <si>
    <t>MATERIALS row 15</t>
  </si>
  <si>
    <t>MATERIALS row 16</t>
  </si>
  <si>
    <t>MATERIALS row 17</t>
  </si>
  <si>
    <t>MATERIALS row 18</t>
  </si>
  <si>
    <t>MATERIALS row 24</t>
  </si>
  <si>
    <t>MATERIALS row 25</t>
  </si>
  <si>
    <t>MATERIALS row 27</t>
  </si>
  <si>
    <t>MATERIALS row 33</t>
  </si>
  <si>
    <t>MATERIALS row 35</t>
  </si>
  <si>
    <t>MATERIALS row 36</t>
  </si>
  <si>
    <t>MATERIALS row 37</t>
  </si>
  <si>
    <t>MATERIALS row 38</t>
  </si>
  <si>
    <t>MATERIALS row 40</t>
  </si>
  <si>
    <t>MATERIALS row 42</t>
  </si>
  <si>
    <t>MATERIALS row 47</t>
  </si>
  <si>
    <t>MATERIALS row 48</t>
  </si>
  <si>
    <t>MATERIALS row 49</t>
  </si>
  <si>
    <t>MATERIALS row 50</t>
  </si>
  <si>
    <t>MATERIALS row 51</t>
  </si>
  <si>
    <t>MATERIALS row 52</t>
  </si>
  <si>
    <t>MATERIALS row 53</t>
  </si>
  <si>
    <t>MATERIALS row 54</t>
  </si>
  <si>
    <t>MATERIALS row 55</t>
  </si>
  <si>
    <t>MATERIALS row 57</t>
  </si>
  <si>
    <t>MATERIALS row 59</t>
  </si>
  <si>
    <t>MATERIALS row 62</t>
  </si>
  <si>
    <t>MATERIALS row 63</t>
  </si>
  <si>
    <t>MATERIALS row 64</t>
  </si>
  <si>
    <t>MATERIALS row 66</t>
  </si>
  <si>
    <t>MATERIALS row 69</t>
  </si>
  <si>
    <t>MATERIALS row 70</t>
  </si>
  <si>
    <t>MATERIALS row 71</t>
  </si>
  <si>
    <t>MATERIALS row 72</t>
  </si>
  <si>
    <t>MATERIALS row 78</t>
  </si>
  <si>
    <t>MATERIALS row 79</t>
  </si>
  <si>
    <t>MATERIALS row 85</t>
  </si>
  <si>
    <t>MATERIALS row 86</t>
  </si>
  <si>
    <t>MATERIALS row 87</t>
  </si>
  <si>
    <t>MATERIALS row 90</t>
  </si>
  <si>
    <t>MATERIALS row 92</t>
  </si>
  <si>
    <t>MATERIALS row 93</t>
  </si>
  <si>
    <t>MATERIALS row 95</t>
  </si>
  <si>
    <t>MATERIALS row 96</t>
  </si>
  <si>
    <t>MATERIALS row 97</t>
  </si>
  <si>
    <t>MATERIALS row 98</t>
  </si>
  <si>
    <t>MATERIALS row 99</t>
  </si>
  <si>
    <t>MATERIALS row 102</t>
  </si>
  <si>
    <t>MATERIALS row 104</t>
  </si>
  <si>
    <t>MATERIALS row 105</t>
  </si>
  <si>
    <t>MATERIALS row 106</t>
  </si>
  <si>
    <t>LABOUR row 3</t>
  </si>
  <si>
    <t>RENTAL / SERVICE row 5</t>
  </si>
  <si>
    <t>RENTAL / SERVICE row 6</t>
  </si>
  <si>
    <t>MATERIALS row 3</t>
  </si>
  <si>
    <t>MATERIALS row 6</t>
  </si>
  <si>
    <t>MATERIALS row 13</t>
  </si>
  <si>
    <t>MATERIALS row 14</t>
  </si>
  <si>
    <t>MATERIALS row 19</t>
  </si>
  <si>
    <t>MATERIALS row 20</t>
  </si>
  <si>
    <t>MATERIALS row 22</t>
  </si>
  <si>
    <t>MATERIALS row 23</t>
  </si>
  <si>
    <t>MATERIALS row 26</t>
  </si>
  <si>
    <t>MATERIALS row 28</t>
  </si>
  <si>
    <t>MATERIALS row 29</t>
  </si>
  <si>
    <t>MATERIALS row 30</t>
  </si>
  <si>
    <t>MATERIALS row 31</t>
  </si>
  <si>
    <t>MATERIALS row 32</t>
  </si>
  <si>
    <t>MATERIALS row 34</t>
  </si>
  <si>
    <t>MATERIALS row 39</t>
  </si>
  <si>
    <t>MATERIALS row 41</t>
  </si>
  <si>
    <t>MATERIALS row 43</t>
  </si>
  <si>
    <t>MATERIALS row 44</t>
  </si>
  <si>
    <t>MATERIALS row 45</t>
  </si>
  <si>
    <t>MATERIALS row 46</t>
  </si>
  <si>
    <t>MATERIALS row 56</t>
  </si>
  <si>
    <t>MATERIALS row 58</t>
  </si>
  <si>
    <t>MATERIALS row 60</t>
  </si>
  <si>
    <t>MATERIALS row 61</t>
  </si>
  <si>
    <t>MATERIALS row 65</t>
  </si>
  <si>
    <t>MATERIALS row 67</t>
  </si>
  <si>
    <t>MATERIALS row 68</t>
  </si>
  <si>
    <t>MATERIALS row 73</t>
  </si>
  <si>
    <t>MATERIALS row 74</t>
  </si>
  <si>
    <t>MATERIALS row 75</t>
  </si>
  <si>
    <t>MATERIALS row 76</t>
  </si>
  <si>
    <t>MATERIALS row 80</t>
  </si>
  <si>
    <t>MATERIALS row 81</t>
  </si>
  <si>
    <t>MATERIALS row 82</t>
  </si>
  <si>
    <t>MATERIALS row 83</t>
  </si>
  <si>
    <t>MATERIALS row 84</t>
  </si>
  <si>
    <t>MATERIALS row 88</t>
  </si>
  <si>
    <t>MATERIALS row 89</t>
  </si>
  <si>
    <t>MATERIALS row 91</t>
  </si>
  <si>
    <t>MATERIALS row 94</t>
  </si>
  <si>
    <t>MATERIALS row 100</t>
  </si>
  <si>
    <t>MATERIALS row 101</t>
  </si>
  <si>
    <t>MATERIALS row 103</t>
  </si>
  <si>
    <t>MATERIALS row 107</t>
  </si>
  <si>
    <t>View</t>
  </si>
  <si>
    <t>Listed Qty</t>
  </si>
  <si>
    <t>Qty Check</t>
  </si>
  <si>
    <t>DESCRIPTION</t>
  </si>
  <si>
    <t>CHECK</t>
  </si>
  <si>
    <t>S18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</si>
</sst>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1">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95"/>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254</v>
      </c>
      <c r="C2" t="s">
        <v>8</v>
      </c>
      <c r="D2">
        <v>65</v>
      </c>
      <c r="E2">
        <v>2</v>
      </c>
      <c r="F2">
        <v>0</v>
      </c>
      <c r="G2">
        <v>2</v>
      </c>
      <c r="H2">
        <v>130</v>
      </c>
      <c r="I2" t="s">
        <v>2189</v>
      </c>
      <c r="J2">
        <v>3</v>
      </c>
    </row>
    <row r="3" spans="1:10" x14ac:dyDescent="0.25">
      <c r="A3" t="s">
        <v>2188</v>
      </c>
      <c r="B3" s="20" t="s">
        <v>255</v>
      </c>
      <c r="C3" t="s">
        <v>256</v>
      </c>
      <c r="D3">
        <v>15</v>
      </c>
      <c r="E3">
        <v>1</v>
      </c>
      <c r="F3">
        <v>0</v>
      </c>
      <c r="G3">
        <v>1</v>
      </c>
      <c r="H3">
        <v>15</v>
      </c>
      <c r="I3" t="s">
        <v>2189</v>
      </c>
      <c r="J3">
        <v>4</v>
      </c>
    </row>
    <row r="4" spans="1:10" x14ac:dyDescent="0.25">
      <c r="A4" t="s">
        <v>2188</v>
      </c>
      <c r="B4" s="20" t="s">
        <v>258</v>
      </c>
      <c r="C4" t="s">
        <v>8</v>
      </c>
      <c r="D4">
        <v>4</v>
      </c>
      <c r="E4">
        <v>1</v>
      </c>
      <c r="F4">
        <v>0</v>
      </c>
      <c r="G4">
        <v>1</v>
      </c>
      <c r="H4">
        <v>4</v>
      </c>
      <c r="I4" t="s">
        <v>2189</v>
      </c>
      <c r="J4">
        <v>5</v>
      </c>
    </row>
    <row r="5" spans="1:10" x14ac:dyDescent="0.25">
      <c r="A5" t="s">
        <v>2190</v>
      </c>
      <c r="B5" s="20" t="s">
        <v>251</v>
      </c>
      <c r="C5" t="s">
        <v>29</v>
      </c>
      <c r="D5">
        <v>22.5</v>
      </c>
      <c r="E5">
        <v>14</v>
      </c>
      <c r="F5">
        <v>0</v>
      </c>
      <c r="G5">
        <v>14</v>
      </c>
      <c r="H5">
        <v>315</v>
      </c>
      <c r="I5" t="s">
        <v>2189</v>
      </c>
      <c r="J5">
        <v>3</v>
      </c>
    </row>
    <row r="6" spans="1:10" x14ac:dyDescent="0.25">
      <c r="A6" t="s">
        <v>2191</v>
      </c>
      <c r="B6" s="20" t="s">
        <v>493</v>
      </c>
      <c r="C6" t="s">
        <v>494</v>
      </c>
      <c r="D6">
        <v>650</v>
      </c>
      <c r="E6">
        <v>1</v>
      </c>
      <c r="F6">
        <v>0</v>
      </c>
      <c r="G6">
        <v>1</v>
      </c>
      <c r="H6">
        <v>650</v>
      </c>
      <c r="I6" t="s">
        <v>2189</v>
      </c>
      <c r="J6">
        <v>3</v>
      </c>
    </row>
    <row r="7" spans="1:10" x14ac:dyDescent="0.25">
      <c r="A7" t="s">
        <v>2191</v>
      </c>
      <c r="B7" s="20" t="s">
        <v>1385</v>
      </c>
      <c r="C7" t="s">
        <v>494</v>
      </c>
      <c r="D7">
        <v>450</v>
      </c>
      <c r="E7">
        <v>1</v>
      </c>
      <c r="F7">
        <v>0</v>
      </c>
      <c r="G7">
        <v>1</v>
      </c>
      <c r="H7">
        <v>450</v>
      </c>
      <c r="I7" t="s">
        <v>2189</v>
      </c>
      <c r="J7">
        <v>4</v>
      </c>
    </row>
    <row r="8" spans="1:10" x14ac:dyDescent="0.25">
      <c r="A8" t="s">
        <v>2191</v>
      </c>
      <c r="B8" s="20" t="s">
        <v>31</v>
      </c>
      <c r="C8" t="s">
        <v>10</v>
      </c>
      <c r="D8">
        <v>45</v>
      </c>
      <c r="E8">
        <v>60</v>
      </c>
      <c r="F8">
        <v>0</v>
      </c>
      <c r="G8">
        <v>60</v>
      </c>
      <c r="H8">
        <v>2700</v>
      </c>
      <c r="I8" t="s">
        <v>2189</v>
      </c>
      <c r="J8">
        <v>5</v>
      </c>
    </row>
    <row r="9" spans="1:10" x14ac:dyDescent="0.25">
      <c r="A9" t="s">
        <v>2190</v>
      </c>
      <c r="B9" s="20" t="s">
        <v>251</v>
      </c>
      <c r="C9" t="s">
        <v>29</v>
      </c>
      <c r="D9">
        <v>22.5</v>
      </c>
      <c r="E9">
        <v>100</v>
      </c>
      <c r="F9">
        <v>0</v>
      </c>
      <c r="G9">
        <v>100</v>
      </c>
      <c r="H9">
        <v>2250</v>
      </c>
      <c r="I9" t="s">
        <v>2192</v>
      </c>
      <c r="J9">
        <v>3</v>
      </c>
    </row>
    <row r="10" spans="1:10" x14ac:dyDescent="0.25">
      <c r="A10" t="s">
        <v>2188</v>
      </c>
      <c r="B10" s="20" t="s">
        <v>481</v>
      </c>
      <c r="C10" t="s">
        <v>11</v>
      </c>
      <c r="D10">
        <v>830</v>
      </c>
      <c r="E10">
        <v>0.26</v>
      </c>
      <c r="F10">
        <v>0</v>
      </c>
      <c r="G10">
        <v>0.26</v>
      </c>
      <c r="H10">
        <v>215.8</v>
      </c>
      <c r="I10" t="s">
        <v>2193</v>
      </c>
      <c r="J10">
        <v>3</v>
      </c>
    </row>
    <row r="11" spans="1:10" x14ac:dyDescent="0.25">
      <c r="A11" t="s">
        <v>2188</v>
      </c>
      <c r="B11" s="20" t="s">
        <v>482</v>
      </c>
      <c r="C11" t="s">
        <v>11</v>
      </c>
      <c r="D11">
        <v>950</v>
      </c>
      <c r="E11">
        <v>0.05</v>
      </c>
      <c r="F11">
        <v>0</v>
      </c>
      <c r="G11">
        <v>0.05</v>
      </c>
      <c r="H11">
        <v>47.5</v>
      </c>
      <c r="I11" t="s">
        <v>2193</v>
      </c>
      <c r="J11">
        <v>4</v>
      </c>
    </row>
    <row r="12" spans="1:10" x14ac:dyDescent="0.25">
      <c r="A12" t="s">
        <v>2188</v>
      </c>
      <c r="B12" s="20" t="s">
        <v>640</v>
      </c>
      <c r="C12" t="s">
        <v>256</v>
      </c>
      <c r="D12">
        <v>180</v>
      </c>
      <c r="E12">
        <v>1</v>
      </c>
      <c r="F12">
        <v>0</v>
      </c>
      <c r="G12">
        <v>1</v>
      </c>
      <c r="H12">
        <v>180</v>
      </c>
      <c r="I12" t="s">
        <v>2193</v>
      </c>
      <c r="J12">
        <v>5</v>
      </c>
    </row>
    <row r="13" spans="1:10" x14ac:dyDescent="0.25">
      <c r="A13" t="s">
        <v>2188</v>
      </c>
      <c r="B13" s="20" t="s">
        <v>483</v>
      </c>
      <c r="C13" t="s">
        <v>8</v>
      </c>
      <c r="D13">
        <v>215</v>
      </c>
      <c r="E13">
        <v>4.41</v>
      </c>
      <c r="F13">
        <v>0</v>
      </c>
      <c r="G13">
        <v>4.41</v>
      </c>
      <c r="H13">
        <v>948.15</v>
      </c>
      <c r="I13" t="s">
        <v>2193</v>
      </c>
      <c r="J13">
        <v>6</v>
      </c>
    </row>
    <row r="14" spans="1:10" x14ac:dyDescent="0.25">
      <c r="A14" t="s">
        <v>2188</v>
      </c>
      <c r="B14" s="20" t="s">
        <v>485</v>
      </c>
      <c r="C14" t="s">
        <v>486</v>
      </c>
      <c r="D14">
        <v>330</v>
      </c>
      <c r="E14">
        <v>5.2</v>
      </c>
      <c r="F14">
        <v>0</v>
      </c>
      <c r="G14">
        <v>5.2</v>
      </c>
      <c r="H14">
        <v>1716</v>
      </c>
      <c r="I14" t="s">
        <v>2193</v>
      </c>
      <c r="J14">
        <v>7</v>
      </c>
    </row>
    <row r="15" spans="1:10" x14ac:dyDescent="0.25">
      <c r="A15" t="s">
        <v>2188</v>
      </c>
      <c r="B15" s="20" t="s">
        <v>481</v>
      </c>
      <c r="C15" t="s">
        <v>11</v>
      </c>
      <c r="D15">
        <v>830</v>
      </c>
      <c r="E15">
        <v>0.08</v>
      </c>
      <c r="F15">
        <v>0</v>
      </c>
      <c r="G15">
        <v>0.08</v>
      </c>
      <c r="H15">
        <v>66.400000000000006</v>
      </c>
      <c r="I15" t="s">
        <v>2193</v>
      </c>
      <c r="J15">
        <v>8</v>
      </c>
    </row>
    <row r="16" spans="1:10" x14ac:dyDescent="0.25">
      <c r="A16" t="s">
        <v>2188</v>
      </c>
      <c r="B16" s="20" t="s">
        <v>482</v>
      </c>
      <c r="C16" t="s">
        <v>11</v>
      </c>
      <c r="D16">
        <v>950</v>
      </c>
      <c r="E16">
        <v>0.02</v>
      </c>
      <c r="F16">
        <v>0</v>
      </c>
      <c r="G16">
        <v>0.02</v>
      </c>
      <c r="H16">
        <v>19</v>
      </c>
      <c r="I16" t="s">
        <v>2193</v>
      </c>
      <c r="J16">
        <v>9</v>
      </c>
    </row>
    <row r="17" spans="1:10" x14ac:dyDescent="0.25">
      <c r="A17" t="s">
        <v>2188</v>
      </c>
      <c r="B17" s="20" t="s">
        <v>483</v>
      </c>
      <c r="C17" t="s">
        <v>8</v>
      </c>
      <c r="D17">
        <v>215</v>
      </c>
      <c r="E17">
        <v>1.33</v>
      </c>
      <c r="F17">
        <v>0</v>
      </c>
      <c r="G17">
        <v>1.33</v>
      </c>
      <c r="H17">
        <v>285.95</v>
      </c>
      <c r="I17" t="s">
        <v>2193</v>
      </c>
      <c r="J17">
        <v>10</v>
      </c>
    </row>
    <row r="18" spans="1:10" x14ac:dyDescent="0.25">
      <c r="A18" t="s">
        <v>2188</v>
      </c>
      <c r="B18" s="20" t="s">
        <v>485</v>
      </c>
      <c r="C18" t="s">
        <v>486</v>
      </c>
      <c r="D18">
        <v>330</v>
      </c>
      <c r="E18">
        <v>1.57</v>
      </c>
      <c r="F18">
        <v>0</v>
      </c>
      <c r="G18">
        <v>1.57</v>
      </c>
      <c r="H18">
        <v>518.1</v>
      </c>
      <c r="I18" t="s">
        <v>2193</v>
      </c>
      <c r="J18">
        <v>11</v>
      </c>
    </row>
    <row r="19" spans="1:10" x14ac:dyDescent="0.25">
      <c r="A19" t="s">
        <v>2188</v>
      </c>
      <c r="B19" s="20" t="s">
        <v>643</v>
      </c>
      <c r="C19" t="s">
        <v>644</v>
      </c>
      <c r="D19">
        <v>130</v>
      </c>
      <c r="E19">
        <v>1</v>
      </c>
      <c r="F19">
        <v>0</v>
      </c>
      <c r="G19">
        <v>1</v>
      </c>
      <c r="H19">
        <v>130</v>
      </c>
      <c r="I19" t="s">
        <v>2193</v>
      </c>
      <c r="J19">
        <v>12</v>
      </c>
    </row>
    <row r="20" spans="1:10" x14ac:dyDescent="0.25">
      <c r="A20" t="s">
        <v>2190</v>
      </c>
      <c r="B20" s="20" t="s">
        <v>251</v>
      </c>
      <c r="C20" t="s">
        <v>29</v>
      </c>
      <c r="D20">
        <v>22.5</v>
      </c>
      <c r="E20">
        <v>81</v>
      </c>
      <c r="F20">
        <v>0</v>
      </c>
      <c r="G20">
        <v>81</v>
      </c>
      <c r="H20">
        <v>1822.5</v>
      </c>
      <c r="I20" t="s">
        <v>2193</v>
      </c>
      <c r="J20">
        <v>3</v>
      </c>
    </row>
    <row r="21" spans="1:10" x14ac:dyDescent="0.25">
      <c r="A21" t="s">
        <v>2191</v>
      </c>
      <c r="B21" s="20" t="s">
        <v>520</v>
      </c>
      <c r="C21" t="s">
        <v>521</v>
      </c>
      <c r="D21">
        <v>900</v>
      </c>
      <c r="E21">
        <v>1</v>
      </c>
      <c r="F21">
        <v>0</v>
      </c>
      <c r="G21">
        <v>1</v>
      </c>
      <c r="H21">
        <v>900</v>
      </c>
      <c r="I21" t="s">
        <v>2193</v>
      </c>
      <c r="J21">
        <v>3</v>
      </c>
    </row>
    <row r="22" spans="1:10" x14ac:dyDescent="0.25">
      <c r="A22" t="s">
        <v>2188</v>
      </c>
      <c r="B22" s="20" t="s">
        <v>646</v>
      </c>
      <c r="C22" t="s">
        <v>486</v>
      </c>
      <c r="D22">
        <v>340</v>
      </c>
      <c r="E22">
        <v>0.45</v>
      </c>
      <c r="F22">
        <v>0</v>
      </c>
      <c r="G22">
        <v>0.45</v>
      </c>
      <c r="H22">
        <v>153</v>
      </c>
      <c r="I22" t="s">
        <v>2194</v>
      </c>
      <c r="J22">
        <v>3</v>
      </c>
    </row>
    <row r="23" spans="1:10" x14ac:dyDescent="0.25">
      <c r="A23" t="s">
        <v>2188</v>
      </c>
      <c r="B23" s="20" t="s">
        <v>646</v>
      </c>
      <c r="C23" t="s">
        <v>486</v>
      </c>
      <c r="D23">
        <v>340</v>
      </c>
      <c r="E23">
        <v>4.0999999999999996</v>
      </c>
      <c r="F23">
        <v>0</v>
      </c>
      <c r="G23">
        <v>4.0999999999999996</v>
      </c>
      <c r="H23">
        <v>1393.9999999999998</v>
      </c>
      <c r="I23" t="s">
        <v>2194</v>
      </c>
      <c r="J23">
        <v>4</v>
      </c>
    </row>
    <row r="24" spans="1:10" x14ac:dyDescent="0.25">
      <c r="A24" t="s">
        <v>2188</v>
      </c>
      <c r="B24" s="20" t="s">
        <v>590</v>
      </c>
      <c r="C24" t="s">
        <v>591</v>
      </c>
      <c r="D24">
        <v>28</v>
      </c>
      <c r="E24">
        <v>28</v>
      </c>
      <c r="F24">
        <v>0.05</v>
      </c>
      <c r="G24">
        <v>29.400000000000002</v>
      </c>
      <c r="H24">
        <v>823.2</v>
      </c>
      <c r="I24" t="s">
        <v>2194</v>
      </c>
      <c r="J24">
        <v>5</v>
      </c>
    </row>
    <row r="25" spans="1:10" x14ac:dyDescent="0.25">
      <c r="A25" t="s">
        <v>2188</v>
      </c>
      <c r="B25" s="20" t="s">
        <v>592</v>
      </c>
      <c r="C25" t="s">
        <v>591</v>
      </c>
      <c r="D25">
        <v>15</v>
      </c>
      <c r="E25">
        <v>13</v>
      </c>
      <c r="F25">
        <v>0.05</v>
      </c>
      <c r="G25">
        <v>13.65</v>
      </c>
      <c r="H25">
        <v>204.75</v>
      </c>
      <c r="I25" t="s">
        <v>2194</v>
      </c>
      <c r="J25">
        <v>6</v>
      </c>
    </row>
    <row r="26" spans="1:10" x14ac:dyDescent="0.25">
      <c r="A26" t="s">
        <v>2188</v>
      </c>
      <c r="B26" s="20" t="s">
        <v>594</v>
      </c>
      <c r="C26" t="s">
        <v>595</v>
      </c>
      <c r="D26">
        <v>45</v>
      </c>
      <c r="E26">
        <v>12</v>
      </c>
      <c r="F26">
        <v>0.05</v>
      </c>
      <c r="G26">
        <v>12.600000000000001</v>
      </c>
      <c r="H26">
        <v>567.00000000000011</v>
      </c>
      <c r="I26" t="s">
        <v>2194</v>
      </c>
      <c r="J26">
        <v>7</v>
      </c>
    </row>
    <row r="27" spans="1:10" x14ac:dyDescent="0.25">
      <c r="A27" t="s">
        <v>2188</v>
      </c>
      <c r="B27" s="20" t="s">
        <v>651</v>
      </c>
      <c r="C27" t="s">
        <v>652</v>
      </c>
      <c r="D27">
        <v>15</v>
      </c>
      <c r="E27">
        <v>20</v>
      </c>
      <c r="F27">
        <v>0.05</v>
      </c>
      <c r="G27">
        <v>21</v>
      </c>
      <c r="H27">
        <v>315</v>
      </c>
      <c r="I27" t="s">
        <v>2194</v>
      </c>
      <c r="J27">
        <v>8</v>
      </c>
    </row>
    <row r="28" spans="1:10" x14ac:dyDescent="0.25">
      <c r="A28" t="s">
        <v>2188</v>
      </c>
      <c r="B28" s="20" t="s">
        <v>643</v>
      </c>
      <c r="C28" t="s">
        <v>644</v>
      </c>
      <c r="D28">
        <v>130</v>
      </c>
      <c r="E28">
        <v>1</v>
      </c>
      <c r="F28">
        <v>0</v>
      </c>
      <c r="G28">
        <v>1</v>
      </c>
      <c r="H28">
        <v>130</v>
      </c>
      <c r="I28" t="s">
        <v>2194</v>
      </c>
      <c r="J28">
        <v>9</v>
      </c>
    </row>
    <row r="29" spans="1:10" x14ac:dyDescent="0.25">
      <c r="A29" t="s">
        <v>2190</v>
      </c>
      <c r="B29" s="20" t="s">
        <v>251</v>
      </c>
      <c r="C29" t="s">
        <v>29</v>
      </c>
      <c r="D29">
        <v>22.5</v>
      </c>
      <c r="E29">
        <v>141</v>
      </c>
      <c r="F29">
        <v>0</v>
      </c>
      <c r="G29">
        <v>141</v>
      </c>
      <c r="H29">
        <v>3172.5</v>
      </c>
      <c r="I29" t="s">
        <v>2194</v>
      </c>
      <c r="J29">
        <v>3</v>
      </c>
    </row>
    <row r="30" spans="1:10" x14ac:dyDescent="0.25">
      <c r="A30" t="s">
        <v>2191</v>
      </c>
      <c r="B30" s="20" t="s">
        <v>520</v>
      </c>
      <c r="C30" t="s">
        <v>521</v>
      </c>
      <c r="D30">
        <v>900</v>
      </c>
      <c r="E30">
        <v>1</v>
      </c>
      <c r="F30">
        <v>0</v>
      </c>
      <c r="G30">
        <v>1</v>
      </c>
      <c r="H30">
        <v>900</v>
      </c>
      <c r="I30" t="s">
        <v>2194</v>
      </c>
      <c r="J30">
        <v>3</v>
      </c>
    </row>
    <row r="31" spans="1:10" x14ac:dyDescent="0.25">
      <c r="A31" t="s">
        <v>2188</v>
      </c>
      <c r="B31" s="20" t="s">
        <v>646</v>
      </c>
      <c r="C31" t="s">
        <v>486</v>
      </c>
      <c r="D31">
        <v>340</v>
      </c>
      <c r="E31">
        <v>1.5</v>
      </c>
      <c r="F31">
        <v>0</v>
      </c>
      <c r="G31">
        <v>1.5</v>
      </c>
      <c r="H31">
        <v>510</v>
      </c>
      <c r="I31" t="s">
        <v>2195</v>
      </c>
      <c r="J31">
        <v>3</v>
      </c>
    </row>
    <row r="32" spans="1:10" x14ac:dyDescent="0.25">
      <c r="A32" t="s">
        <v>2188</v>
      </c>
      <c r="B32" s="20" t="s">
        <v>590</v>
      </c>
      <c r="C32" t="s">
        <v>591</v>
      </c>
      <c r="D32">
        <v>28</v>
      </c>
      <c r="E32">
        <v>12</v>
      </c>
      <c r="F32">
        <v>0.05</v>
      </c>
      <c r="G32">
        <v>12.600000000000001</v>
      </c>
      <c r="H32">
        <v>352.80000000000007</v>
      </c>
      <c r="I32" t="s">
        <v>2195</v>
      </c>
      <c r="J32">
        <v>4</v>
      </c>
    </row>
    <row r="33" spans="1:10" x14ac:dyDescent="0.25">
      <c r="A33" t="s">
        <v>2188</v>
      </c>
      <c r="B33" s="20" t="s">
        <v>795</v>
      </c>
      <c r="C33" t="s">
        <v>591</v>
      </c>
      <c r="D33">
        <v>22</v>
      </c>
      <c r="E33">
        <v>17</v>
      </c>
      <c r="F33">
        <v>0.05</v>
      </c>
      <c r="G33">
        <v>17.850000000000001</v>
      </c>
      <c r="H33">
        <v>392.70000000000005</v>
      </c>
      <c r="I33" t="s">
        <v>2195</v>
      </c>
      <c r="J33">
        <v>5</v>
      </c>
    </row>
    <row r="34" spans="1:10" x14ac:dyDescent="0.25">
      <c r="A34" t="s">
        <v>2188</v>
      </c>
      <c r="B34" s="20" t="s">
        <v>592</v>
      </c>
      <c r="C34" t="s">
        <v>591</v>
      </c>
      <c r="D34">
        <v>15</v>
      </c>
      <c r="E34">
        <v>17</v>
      </c>
      <c r="F34">
        <v>0.05</v>
      </c>
      <c r="G34">
        <v>17.850000000000001</v>
      </c>
      <c r="H34">
        <v>267.75</v>
      </c>
      <c r="I34" t="s">
        <v>2195</v>
      </c>
      <c r="J34">
        <v>6</v>
      </c>
    </row>
    <row r="35" spans="1:10" x14ac:dyDescent="0.25">
      <c r="A35" t="s">
        <v>2188</v>
      </c>
      <c r="B35" s="20" t="s">
        <v>594</v>
      </c>
      <c r="C35" t="s">
        <v>595</v>
      </c>
      <c r="D35">
        <v>45</v>
      </c>
      <c r="E35">
        <v>14</v>
      </c>
      <c r="F35">
        <v>0.05</v>
      </c>
      <c r="G35">
        <v>14.700000000000001</v>
      </c>
      <c r="H35">
        <v>661.5</v>
      </c>
      <c r="I35" t="s">
        <v>2195</v>
      </c>
      <c r="J35">
        <v>7</v>
      </c>
    </row>
    <row r="36" spans="1:10" x14ac:dyDescent="0.25">
      <c r="A36" t="s">
        <v>2188</v>
      </c>
      <c r="B36" s="20" t="s">
        <v>651</v>
      </c>
      <c r="C36" t="s">
        <v>652</v>
      </c>
      <c r="D36">
        <v>15</v>
      </c>
      <c r="E36">
        <v>24</v>
      </c>
      <c r="F36">
        <v>0.05</v>
      </c>
      <c r="G36">
        <v>25.200000000000003</v>
      </c>
      <c r="H36">
        <v>378.00000000000006</v>
      </c>
      <c r="I36" t="s">
        <v>2195</v>
      </c>
      <c r="J36">
        <v>8</v>
      </c>
    </row>
    <row r="37" spans="1:10" x14ac:dyDescent="0.25">
      <c r="A37" t="s">
        <v>2188</v>
      </c>
      <c r="B37" s="20" t="s">
        <v>643</v>
      </c>
      <c r="C37" t="s">
        <v>644</v>
      </c>
      <c r="D37">
        <v>130</v>
      </c>
      <c r="E37">
        <v>1</v>
      </c>
      <c r="F37">
        <v>0</v>
      </c>
      <c r="G37">
        <v>1</v>
      </c>
      <c r="H37">
        <v>130</v>
      </c>
      <c r="I37" t="s">
        <v>2195</v>
      </c>
      <c r="J37">
        <v>9</v>
      </c>
    </row>
    <row r="38" spans="1:10" x14ac:dyDescent="0.25">
      <c r="A38" t="s">
        <v>2190</v>
      </c>
      <c r="B38" s="20" t="s">
        <v>251</v>
      </c>
      <c r="C38" t="s">
        <v>29</v>
      </c>
      <c r="D38">
        <v>22.5</v>
      </c>
      <c r="E38">
        <v>110</v>
      </c>
      <c r="F38">
        <v>0</v>
      </c>
      <c r="G38">
        <v>110</v>
      </c>
      <c r="H38">
        <v>2475</v>
      </c>
      <c r="I38" t="s">
        <v>2195</v>
      </c>
      <c r="J38">
        <v>3</v>
      </c>
    </row>
    <row r="39" spans="1:10" x14ac:dyDescent="0.25">
      <c r="A39" t="s">
        <v>2188</v>
      </c>
      <c r="B39" s="20" t="s">
        <v>877</v>
      </c>
      <c r="C39" t="s">
        <v>652</v>
      </c>
      <c r="D39">
        <v>12.6</v>
      </c>
      <c r="E39">
        <v>4</v>
      </c>
      <c r="F39">
        <v>0.05</v>
      </c>
      <c r="G39">
        <v>4.2</v>
      </c>
      <c r="H39">
        <v>52.92</v>
      </c>
      <c r="I39" t="s">
        <v>2196</v>
      </c>
      <c r="J39">
        <v>3</v>
      </c>
    </row>
    <row r="40" spans="1:10" x14ac:dyDescent="0.25">
      <c r="A40" t="s">
        <v>2188</v>
      </c>
      <c r="B40" s="20" t="s">
        <v>1929</v>
      </c>
      <c r="C40" t="s">
        <v>8</v>
      </c>
      <c r="D40">
        <v>3</v>
      </c>
      <c r="E40">
        <v>5</v>
      </c>
      <c r="F40">
        <v>0.05</v>
      </c>
      <c r="G40">
        <v>5.25</v>
      </c>
      <c r="H40">
        <v>15.75</v>
      </c>
      <c r="I40" t="s">
        <v>2196</v>
      </c>
      <c r="J40">
        <v>4</v>
      </c>
    </row>
    <row r="41" spans="1:10" x14ac:dyDescent="0.25">
      <c r="A41" t="s">
        <v>2188</v>
      </c>
      <c r="B41" s="20" t="s">
        <v>879</v>
      </c>
      <c r="C41" t="s">
        <v>8</v>
      </c>
      <c r="D41">
        <v>13</v>
      </c>
      <c r="E41">
        <v>2</v>
      </c>
      <c r="F41">
        <v>0</v>
      </c>
      <c r="G41">
        <v>2</v>
      </c>
      <c r="H41">
        <v>26</v>
      </c>
      <c r="I41" t="s">
        <v>2196</v>
      </c>
      <c r="J41">
        <v>5</v>
      </c>
    </row>
    <row r="42" spans="1:10" x14ac:dyDescent="0.25">
      <c r="A42" t="s">
        <v>2188</v>
      </c>
      <c r="B42" s="20" t="s">
        <v>880</v>
      </c>
      <c r="C42" t="s">
        <v>8</v>
      </c>
      <c r="D42">
        <v>8</v>
      </c>
      <c r="E42">
        <v>1</v>
      </c>
      <c r="F42">
        <v>0</v>
      </c>
      <c r="G42">
        <v>1</v>
      </c>
      <c r="H42">
        <v>8</v>
      </c>
      <c r="I42" t="s">
        <v>2196</v>
      </c>
      <c r="J42">
        <v>6</v>
      </c>
    </row>
    <row r="43" spans="1:10" x14ac:dyDescent="0.25">
      <c r="A43" t="s">
        <v>2188</v>
      </c>
      <c r="B43" s="20" t="s">
        <v>882</v>
      </c>
      <c r="C43" t="s">
        <v>8</v>
      </c>
      <c r="D43">
        <v>49</v>
      </c>
      <c r="E43">
        <v>3</v>
      </c>
      <c r="F43">
        <v>0.05</v>
      </c>
      <c r="G43">
        <v>3.1500000000000004</v>
      </c>
      <c r="H43">
        <v>154.35000000000002</v>
      </c>
      <c r="I43" t="s">
        <v>2196</v>
      </c>
      <c r="J43">
        <v>7</v>
      </c>
    </row>
    <row r="44" spans="1:10" x14ac:dyDescent="0.25">
      <c r="A44" t="s">
        <v>2188</v>
      </c>
      <c r="B44" s="20" t="s">
        <v>883</v>
      </c>
      <c r="C44" t="s">
        <v>8</v>
      </c>
      <c r="D44">
        <v>4.3</v>
      </c>
      <c r="E44">
        <v>6</v>
      </c>
      <c r="F44">
        <v>0.05</v>
      </c>
      <c r="G44">
        <v>6.3000000000000007</v>
      </c>
      <c r="H44">
        <v>27.090000000000003</v>
      </c>
      <c r="I44" t="s">
        <v>2196</v>
      </c>
      <c r="J44">
        <v>8</v>
      </c>
    </row>
    <row r="45" spans="1:10" x14ac:dyDescent="0.25">
      <c r="A45" t="s">
        <v>2188</v>
      </c>
      <c r="B45" s="20" t="s">
        <v>44</v>
      </c>
      <c r="C45" t="s">
        <v>8</v>
      </c>
      <c r="D45">
        <v>15</v>
      </c>
      <c r="E45">
        <v>1</v>
      </c>
      <c r="F45">
        <v>0</v>
      </c>
      <c r="G45">
        <v>1</v>
      </c>
      <c r="H45">
        <v>15</v>
      </c>
      <c r="I45" t="s">
        <v>2196</v>
      </c>
      <c r="J45">
        <v>9</v>
      </c>
    </row>
    <row r="46" spans="1:10" x14ac:dyDescent="0.25">
      <c r="A46" t="s">
        <v>2188</v>
      </c>
      <c r="B46" s="20" t="s">
        <v>1935</v>
      </c>
      <c r="C46" t="s">
        <v>8</v>
      </c>
      <c r="D46">
        <v>4</v>
      </c>
      <c r="E46">
        <v>1</v>
      </c>
      <c r="F46">
        <v>0</v>
      </c>
      <c r="G46">
        <v>1</v>
      </c>
      <c r="H46">
        <v>4</v>
      </c>
      <c r="I46" t="s">
        <v>2196</v>
      </c>
      <c r="J46">
        <v>10</v>
      </c>
    </row>
    <row r="47" spans="1:10" x14ac:dyDescent="0.25">
      <c r="A47" t="s">
        <v>2188</v>
      </c>
      <c r="B47" s="20" t="s">
        <v>1937</v>
      </c>
      <c r="C47" t="s">
        <v>8</v>
      </c>
      <c r="D47">
        <v>8</v>
      </c>
      <c r="E47">
        <v>1</v>
      </c>
      <c r="F47">
        <v>0</v>
      </c>
      <c r="G47">
        <v>1</v>
      </c>
      <c r="H47">
        <v>8</v>
      </c>
      <c r="I47" t="s">
        <v>2196</v>
      </c>
      <c r="J47">
        <v>11</v>
      </c>
    </row>
    <row r="48" spans="1:10" x14ac:dyDescent="0.25">
      <c r="A48" t="s">
        <v>2188</v>
      </c>
      <c r="B48" s="20" t="s">
        <v>885</v>
      </c>
      <c r="C48" t="s">
        <v>8</v>
      </c>
      <c r="D48">
        <v>91</v>
      </c>
      <c r="E48">
        <v>2</v>
      </c>
      <c r="F48">
        <v>0.05</v>
      </c>
      <c r="G48">
        <v>2.1</v>
      </c>
      <c r="H48">
        <v>191.1</v>
      </c>
      <c r="I48" t="s">
        <v>2196</v>
      </c>
      <c r="J48">
        <v>12</v>
      </c>
    </row>
    <row r="49" spans="1:10" x14ac:dyDescent="0.25">
      <c r="A49" t="s">
        <v>2188</v>
      </c>
      <c r="B49" s="20" t="s">
        <v>886</v>
      </c>
      <c r="C49" t="s">
        <v>8</v>
      </c>
      <c r="D49">
        <v>9.5</v>
      </c>
      <c r="E49">
        <v>2</v>
      </c>
      <c r="F49">
        <v>0.05</v>
      </c>
      <c r="G49">
        <v>2.1</v>
      </c>
      <c r="H49">
        <v>19.95</v>
      </c>
      <c r="I49" t="s">
        <v>2196</v>
      </c>
      <c r="J49">
        <v>13</v>
      </c>
    </row>
    <row r="50" spans="1:10" x14ac:dyDescent="0.25">
      <c r="A50" t="s">
        <v>2188</v>
      </c>
      <c r="B50" s="20" t="s">
        <v>887</v>
      </c>
      <c r="C50" t="s">
        <v>888</v>
      </c>
      <c r="D50">
        <v>8.4</v>
      </c>
      <c r="E50">
        <v>1</v>
      </c>
      <c r="F50">
        <v>0</v>
      </c>
      <c r="G50">
        <v>1</v>
      </c>
      <c r="H50">
        <v>8.4</v>
      </c>
      <c r="I50" t="s">
        <v>2196</v>
      </c>
      <c r="J50">
        <v>14</v>
      </c>
    </row>
    <row r="51" spans="1:10" x14ac:dyDescent="0.25">
      <c r="A51" t="s">
        <v>2188</v>
      </c>
      <c r="B51" s="20" t="s">
        <v>890</v>
      </c>
      <c r="C51" t="s">
        <v>8</v>
      </c>
      <c r="D51">
        <v>1</v>
      </c>
      <c r="E51">
        <v>1</v>
      </c>
      <c r="F51">
        <v>0</v>
      </c>
      <c r="G51">
        <v>1</v>
      </c>
      <c r="H51">
        <v>1</v>
      </c>
      <c r="I51" t="s">
        <v>2196</v>
      </c>
      <c r="J51">
        <v>15</v>
      </c>
    </row>
    <row r="52" spans="1:10" x14ac:dyDescent="0.25">
      <c r="A52" t="s">
        <v>2190</v>
      </c>
      <c r="B52" s="20" t="s">
        <v>251</v>
      </c>
      <c r="C52" t="s">
        <v>29</v>
      </c>
      <c r="D52">
        <v>22.5</v>
      </c>
      <c r="E52">
        <v>64</v>
      </c>
      <c r="F52">
        <v>0</v>
      </c>
      <c r="G52">
        <v>64</v>
      </c>
      <c r="H52">
        <v>1440</v>
      </c>
      <c r="I52" t="s">
        <v>2196</v>
      </c>
      <c r="J52">
        <v>3</v>
      </c>
    </row>
    <row r="53" spans="1:10" x14ac:dyDescent="0.25">
      <c r="A53" t="s">
        <v>2188</v>
      </c>
      <c r="B53" s="20" t="s">
        <v>1978</v>
      </c>
      <c r="C53" t="s">
        <v>652</v>
      </c>
      <c r="D53">
        <v>55</v>
      </c>
      <c r="E53">
        <v>16</v>
      </c>
      <c r="F53">
        <v>0.05</v>
      </c>
      <c r="G53">
        <v>16.8</v>
      </c>
      <c r="H53">
        <v>924</v>
      </c>
      <c r="I53" t="s">
        <v>2197</v>
      </c>
      <c r="J53">
        <v>3</v>
      </c>
    </row>
    <row r="54" spans="1:10" x14ac:dyDescent="0.25">
      <c r="A54" t="s">
        <v>2188</v>
      </c>
      <c r="B54" s="20" t="s">
        <v>934</v>
      </c>
      <c r="C54" t="s">
        <v>8</v>
      </c>
      <c r="D54">
        <v>22</v>
      </c>
      <c r="E54">
        <v>26</v>
      </c>
      <c r="F54">
        <v>0.05</v>
      </c>
      <c r="G54">
        <v>27.3</v>
      </c>
      <c r="H54">
        <v>600.6</v>
      </c>
      <c r="I54" t="s">
        <v>2197</v>
      </c>
      <c r="J54">
        <v>4</v>
      </c>
    </row>
    <row r="55" spans="1:10" x14ac:dyDescent="0.25">
      <c r="A55" t="s">
        <v>2188</v>
      </c>
      <c r="B55" s="20" t="s">
        <v>936</v>
      </c>
      <c r="C55" t="s">
        <v>937</v>
      </c>
      <c r="D55">
        <v>5.5</v>
      </c>
      <c r="E55">
        <v>958</v>
      </c>
      <c r="F55">
        <v>0.05</v>
      </c>
      <c r="G55">
        <v>1005.9000000000001</v>
      </c>
      <c r="H55">
        <v>5532.4500000000007</v>
      </c>
      <c r="I55" t="s">
        <v>2197</v>
      </c>
      <c r="J55">
        <v>5</v>
      </c>
    </row>
    <row r="56" spans="1:10" x14ac:dyDescent="0.25">
      <c r="A56" t="s">
        <v>2188</v>
      </c>
      <c r="B56" s="20" t="s">
        <v>1442</v>
      </c>
      <c r="C56" t="s">
        <v>8</v>
      </c>
      <c r="D56">
        <v>0.13</v>
      </c>
      <c r="E56">
        <v>1200</v>
      </c>
      <c r="F56">
        <v>0.05</v>
      </c>
      <c r="G56">
        <v>1260</v>
      </c>
      <c r="H56">
        <v>163.80000000000001</v>
      </c>
      <c r="I56" t="s">
        <v>2197</v>
      </c>
      <c r="J56">
        <v>6</v>
      </c>
    </row>
    <row r="57" spans="1:10" x14ac:dyDescent="0.25">
      <c r="A57" t="s">
        <v>2188</v>
      </c>
      <c r="B57" s="20" t="s">
        <v>940</v>
      </c>
      <c r="C57" t="s">
        <v>8</v>
      </c>
      <c r="D57">
        <v>28</v>
      </c>
      <c r="E57">
        <v>10</v>
      </c>
      <c r="F57">
        <v>0.05</v>
      </c>
      <c r="G57">
        <v>10.5</v>
      </c>
      <c r="H57">
        <v>294</v>
      </c>
      <c r="I57" t="s">
        <v>2197</v>
      </c>
      <c r="J57">
        <v>7</v>
      </c>
    </row>
    <row r="58" spans="1:10" x14ac:dyDescent="0.25">
      <c r="A58" t="s">
        <v>2188</v>
      </c>
      <c r="B58" s="20" t="s">
        <v>941</v>
      </c>
      <c r="C58" t="s">
        <v>256</v>
      </c>
      <c r="D58">
        <v>15</v>
      </c>
      <c r="E58">
        <v>3</v>
      </c>
      <c r="F58">
        <v>0.05</v>
      </c>
      <c r="G58">
        <v>3.1500000000000004</v>
      </c>
      <c r="H58">
        <v>47.250000000000007</v>
      </c>
      <c r="I58" t="s">
        <v>2197</v>
      </c>
      <c r="J58">
        <v>8</v>
      </c>
    </row>
    <row r="59" spans="1:10" x14ac:dyDescent="0.25">
      <c r="A59" t="s">
        <v>2188</v>
      </c>
      <c r="B59" s="20" t="s">
        <v>1443</v>
      </c>
      <c r="C59" t="s">
        <v>652</v>
      </c>
      <c r="D59">
        <v>45</v>
      </c>
      <c r="E59">
        <v>8</v>
      </c>
      <c r="F59">
        <v>0.05</v>
      </c>
      <c r="G59">
        <v>8.4</v>
      </c>
      <c r="H59">
        <v>378</v>
      </c>
      <c r="I59" t="s">
        <v>2197</v>
      </c>
      <c r="J59">
        <v>9</v>
      </c>
    </row>
    <row r="60" spans="1:10" x14ac:dyDescent="0.25">
      <c r="A60" t="s">
        <v>2188</v>
      </c>
      <c r="B60" s="20" t="s">
        <v>1445</v>
      </c>
      <c r="C60" t="s">
        <v>8</v>
      </c>
      <c r="D60">
        <v>7.5</v>
      </c>
      <c r="E60">
        <v>24</v>
      </c>
      <c r="F60">
        <v>0.05</v>
      </c>
      <c r="G60">
        <v>25.200000000000003</v>
      </c>
      <c r="H60">
        <v>189.00000000000003</v>
      </c>
      <c r="I60" t="s">
        <v>2197</v>
      </c>
      <c r="J60">
        <v>10</v>
      </c>
    </row>
    <row r="61" spans="1:10" x14ac:dyDescent="0.25">
      <c r="A61" t="s">
        <v>2188</v>
      </c>
      <c r="B61" s="20" t="s">
        <v>1446</v>
      </c>
      <c r="C61" t="s">
        <v>8</v>
      </c>
      <c r="D61">
        <v>10</v>
      </c>
      <c r="E61">
        <v>4</v>
      </c>
      <c r="F61">
        <v>0</v>
      </c>
      <c r="G61">
        <v>4</v>
      </c>
      <c r="H61">
        <v>40</v>
      </c>
      <c r="I61" t="s">
        <v>2197</v>
      </c>
      <c r="J61">
        <v>11</v>
      </c>
    </row>
    <row r="62" spans="1:10" x14ac:dyDescent="0.25">
      <c r="A62" t="s">
        <v>2188</v>
      </c>
      <c r="B62" s="20" t="s">
        <v>1449</v>
      </c>
      <c r="C62" t="s">
        <v>652</v>
      </c>
      <c r="D62">
        <v>59</v>
      </c>
      <c r="E62">
        <v>4</v>
      </c>
      <c r="F62">
        <v>0.05</v>
      </c>
      <c r="G62">
        <v>4.2</v>
      </c>
      <c r="H62">
        <v>247.8</v>
      </c>
      <c r="I62" t="s">
        <v>2197</v>
      </c>
      <c r="J62">
        <v>12</v>
      </c>
    </row>
    <row r="63" spans="1:10" x14ac:dyDescent="0.25">
      <c r="A63" t="s">
        <v>2188</v>
      </c>
      <c r="B63" s="20" t="s">
        <v>1451</v>
      </c>
      <c r="C63" t="s">
        <v>8</v>
      </c>
      <c r="D63">
        <v>6.2</v>
      </c>
      <c r="E63">
        <v>4</v>
      </c>
      <c r="F63">
        <v>0.05</v>
      </c>
      <c r="G63">
        <v>4.2</v>
      </c>
      <c r="H63">
        <v>26.040000000000003</v>
      </c>
      <c r="I63" t="s">
        <v>2197</v>
      </c>
      <c r="J63">
        <v>13</v>
      </c>
    </row>
    <row r="64" spans="1:10" x14ac:dyDescent="0.25">
      <c r="A64" t="s">
        <v>2188</v>
      </c>
      <c r="B64" s="20" t="s">
        <v>1453</v>
      </c>
      <c r="C64" t="s">
        <v>8</v>
      </c>
      <c r="D64">
        <v>5.6</v>
      </c>
      <c r="E64">
        <v>8</v>
      </c>
      <c r="F64">
        <v>0.05</v>
      </c>
      <c r="G64">
        <v>8.4</v>
      </c>
      <c r="H64">
        <v>47.04</v>
      </c>
      <c r="I64" t="s">
        <v>2197</v>
      </c>
      <c r="J64">
        <v>14</v>
      </c>
    </row>
    <row r="65" spans="1:10" x14ac:dyDescent="0.25">
      <c r="A65" t="s">
        <v>2188</v>
      </c>
      <c r="B65" s="20" t="s">
        <v>943</v>
      </c>
      <c r="C65" t="s">
        <v>8</v>
      </c>
      <c r="D65">
        <v>3</v>
      </c>
      <c r="E65">
        <v>12</v>
      </c>
      <c r="F65">
        <v>0.05</v>
      </c>
      <c r="G65">
        <v>12.600000000000001</v>
      </c>
      <c r="H65">
        <v>37.800000000000004</v>
      </c>
      <c r="I65" t="s">
        <v>2197</v>
      </c>
      <c r="J65">
        <v>15</v>
      </c>
    </row>
    <row r="66" spans="1:10" x14ac:dyDescent="0.25">
      <c r="A66" t="s">
        <v>2190</v>
      </c>
      <c r="B66" s="20" t="s">
        <v>251</v>
      </c>
      <c r="C66" t="s">
        <v>29</v>
      </c>
      <c r="D66">
        <v>22.5</v>
      </c>
      <c r="E66">
        <v>89</v>
      </c>
      <c r="F66">
        <v>0</v>
      </c>
      <c r="G66">
        <v>89</v>
      </c>
      <c r="H66">
        <v>2002.5</v>
      </c>
      <c r="I66" t="s">
        <v>2197</v>
      </c>
      <c r="J66">
        <v>3</v>
      </c>
    </row>
    <row r="67" spans="1:10" x14ac:dyDescent="0.25">
      <c r="A67" t="s">
        <v>2188</v>
      </c>
      <c r="B67" s="20" t="s">
        <v>1131</v>
      </c>
      <c r="C67" t="s">
        <v>8</v>
      </c>
      <c r="D67">
        <v>0.28000000000000003</v>
      </c>
      <c r="E67">
        <v>3900</v>
      </c>
      <c r="F67">
        <v>0.03</v>
      </c>
      <c r="G67">
        <v>4017</v>
      </c>
      <c r="H67">
        <v>1124.7600000000002</v>
      </c>
      <c r="I67" t="s">
        <v>2198</v>
      </c>
      <c r="J67">
        <v>3</v>
      </c>
    </row>
    <row r="68" spans="1:10" x14ac:dyDescent="0.25">
      <c r="A68" t="s">
        <v>2188</v>
      </c>
      <c r="B68" s="20" t="s">
        <v>2005</v>
      </c>
      <c r="C68" t="s">
        <v>9</v>
      </c>
      <c r="D68">
        <v>24</v>
      </c>
      <c r="E68">
        <v>12</v>
      </c>
      <c r="F68">
        <v>0.05</v>
      </c>
      <c r="G68">
        <v>12.600000000000001</v>
      </c>
      <c r="H68">
        <v>302.40000000000003</v>
      </c>
      <c r="I68" t="s">
        <v>2198</v>
      </c>
      <c r="J68">
        <v>4</v>
      </c>
    </row>
    <row r="69" spans="1:10" x14ac:dyDescent="0.25">
      <c r="A69" t="s">
        <v>2188</v>
      </c>
      <c r="B69" s="20" t="s">
        <v>662</v>
      </c>
      <c r="C69" t="s">
        <v>11</v>
      </c>
      <c r="D69">
        <v>850</v>
      </c>
      <c r="E69">
        <v>0.2</v>
      </c>
      <c r="F69">
        <v>0.05</v>
      </c>
      <c r="G69">
        <v>0.21000000000000002</v>
      </c>
      <c r="H69">
        <v>178.50000000000003</v>
      </c>
      <c r="I69" t="s">
        <v>2198</v>
      </c>
      <c r="J69">
        <v>5</v>
      </c>
    </row>
    <row r="70" spans="1:10" x14ac:dyDescent="0.25">
      <c r="A70" t="s">
        <v>2188</v>
      </c>
      <c r="B70" s="20" t="s">
        <v>795</v>
      </c>
      <c r="C70" t="s">
        <v>591</v>
      </c>
      <c r="D70">
        <v>22</v>
      </c>
      <c r="E70">
        <v>2</v>
      </c>
      <c r="F70">
        <v>0.05</v>
      </c>
      <c r="G70">
        <v>2.1</v>
      </c>
      <c r="H70">
        <v>46.2</v>
      </c>
      <c r="I70" t="s">
        <v>2198</v>
      </c>
      <c r="J70">
        <v>6</v>
      </c>
    </row>
    <row r="71" spans="1:10" x14ac:dyDescent="0.25">
      <c r="A71" t="s">
        <v>2188</v>
      </c>
      <c r="B71" s="20" t="s">
        <v>592</v>
      </c>
      <c r="C71" t="s">
        <v>591</v>
      </c>
      <c r="D71">
        <v>15</v>
      </c>
      <c r="E71">
        <v>2</v>
      </c>
      <c r="F71">
        <v>0.05</v>
      </c>
      <c r="G71">
        <v>2.1</v>
      </c>
      <c r="H71">
        <v>31.5</v>
      </c>
      <c r="I71" t="s">
        <v>2198</v>
      </c>
      <c r="J71">
        <v>7</v>
      </c>
    </row>
    <row r="72" spans="1:10" x14ac:dyDescent="0.25">
      <c r="A72" t="s">
        <v>2188</v>
      </c>
      <c r="B72" s="20" t="s">
        <v>594</v>
      </c>
      <c r="C72" t="s">
        <v>595</v>
      </c>
      <c r="D72">
        <v>45</v>
      </c>
      <c r="E72">
        <v>2</v>
      </c>
      <c r="F72">
        <v>0.05</v>
      </c>
      <c r="G72">
        <v>2.1</v>
      </c>
      <c r="H72">
        <v>94.5</v>
      </c>
      <c r="I72" t="s">
        <v>2198</v>
      </c>
      <c r="J72">
        <v>8</v>
      </c>
    </row>
    <row r="73" spans="1:10" x14ac:dyDescent="0.25">
      <c r="A73" t="s">
        <v>2188</v>
      </c>
      <c r="B73" s="20" t="s">
        <v>651</v>
      </c>
      <c r="C73" t="s">
        <v>652</v>
      </c>
      <c r="D73">
        <v>15</v>
      </c>
      <c r="E73">
        <v>4</v>
      </c>
      <c r="F73">
        <v>0.05</v>
      </c>
      <c r="G73">
        <v>4.2</v>
      </c>
      <c r="H73">
        <v>63</v>
      </c>
      <c r="I73" t="s">
        <v>2198</v>
      </c>
      <c r="J73">
        <v>9</v>
      </c>
    </row>
    <row r="74" spans="1:10" x14ac:dyDescent="0.25">
      <c r="A74" t="s">
        <v>2190</v>
      </c>
      <c r="B74" s="20" t="s">
        <v>251</v>
      </c>
      <c r="C74" t="s">
        <v>29</v>
      </c>
      <c r="D74">
        <v>22.5</v>
      </c>
      <c r="E74">
        <v>136</v>
      </c>
      <c r="F74">
        <v>0</v>
      </c>
      <c r="G74">
        <v>136</v>
      </c>
      <c r="H74">
        <v>3060</v>
      </c>
      <c r="I74" t="s">
        <v>2198</v>
      </c>
      <c r="J74">
        <v>3</v>
      </c>
    </row>
    <row r="75" spans="1:10" x14ac:dyDescent="0.25">
      <c r="A75" t="s">
        <v>2188</v>
      </c>
      <c r="B75" s="20" t="s">
        <v>2022</v>
      </c>
      <c r="C75" t="s">
        <v>10</v>
      </c>
      <c r="D75">
        <v>480</v>
      </c>
      <c r="E75">
        <v>1</v>
      </c>
      <c r="F75">
        <v>0</v>
      </c>
      <c r="G75">
        <v>1</v>
      </c>
      <c r="H75">
        <v>480</v>
      </c>
      <c r="I75" t="s">
        <v>2199</v>
      </c>
      <c r="J75">
        <v>3</v>
      </c>
    </row>
    <row r="76" spans="1:10" x14ac:dyDescent="0.25">
      <c r="A76" t="s">
        <v>2188</v>
      </c>
      <c r="B76" s="20" t="s">
        <v>2024</v>
      </c>
      <c r="C76" t="s">
        <v>10</v>
      </c>
      <c r="D76">
        <v>300</v>
      </c>
      <c r="E76">
        <v>3</v>
      </c>
      <c r="F76">
        <v>0</v>
      </c>
      <c r="G76">
        <v>3</v>
      </c>
      <c r="H76">
        <v>900</v>
      </c>
      <c r="I76" t="s">
        <v>2199</v>
      </c>
      <c r="J76">
        <v>4</v>
      </c>
    </row>
    <row r="77" spans="1:10" x14ac:dyDescent="0.25">
      <c r="A77" t="s">
        <v>2188</v>
      </c>
      <c r="B77" s="20" t="s">
        <v>2026</v>
      </c>
      <c r="C77" t="s">
        <v>10</v>
      </c>
      <c r="D77">
        <v>240</v>
      </c>
      <c r="E77">
        <v>1</v>
      </c>
      <c r="F77">
        <v>0</v>
      </c>
      <c r="G77">
        <v>1</v>
      </c>
      <c r="H77">
        <v>240</v>
      </c>
      <c r="I77" t="s">
        <v>2199</v>
      </c>
      <c r="J77">
        <v>5</v>
      </c>
    </row>
    <row r="78" spans="1:10" x14ac:dyDescent="0.25">
      <c r="A78" t="s">
        <v>2188</v>
      </c>
      <c r="B78" s="20" t="s">
        <v>2029</v>
      </c>
      <c r="C78" t="s">
        <v>10</v>
      </c>
      <c r="D78">
        <v>800</v>
      </c>
      <c r="E78">
        <v>1</v>
      </c>
      <c r="F78">
        <v>0</v>
      </c>
      <c r="G78">
        <v>1</v>
      </c>
      <c r="H78">
        <v>800</v>
      </c>
      <c r="I78" t="s">
        <v>2199</v>
      </c>
      <c r="J78">
        <v>6</v>
      </c>
    </row>
    <row r="79" spans="1:10" x14ac:dyDescent="0.25">
      <c r="A79" t="s">
        <v>2188</v>
      </c>
      <c r="B79" s="20" t="s">
        <v>2031</v>
      </c>
      <c r="C79" t="s">
        <v>10</v>
      </c>
      <c r="D79">
        <v>180</v>
      </c>
      <c r="E79">
        <v>3</v>
      </c>
      <c r="F79">
        <v>0</v>
      </c>
      <c r="G79">
        <v>3</v>
      </c>
      <c r="H79">
        <v>540</v>
      </c>
      <c r="I79" t="s">
        <v>2199</v>
      </c>
      <c r="J79">
        <v>7</v>
      </c>
    </row>
    <row r="80" spans="1:10" x14ac:dyDescent="0.25">
      <c r="A80" t="s">
        <v>2188</v>
      </c>
      <c r="B80" s="20" t="s">
        <v>2033</v>
      </c>
      <c r="C80" t="s">
        <v>10</v>
      </c>
      <c r="D80">
        <v>170</v>
      </c>
      <c r="E80">
        <v>1</v>
      </c>
      <c r="F80">
        <v>0</v>
      </c>
      <c r="G80">
        <v>1</v>
      </c>
      <c r="H80">
        <v>170</v>
      </c>
      <c r="I80" t="s">
        <v>2199</v>
      </c>
      <c r="J80">
        <v>8</v>
      </c>
    </row>
    <row r="81" spans="1:10" x14ac:dyDescent="0.25">
      <c r="A81" t="s">
        <v>2188</v>
      </c>
      <c r="B81" s="20" t="s">
        <v>1215</v>
      </c>
      <c r="C81" t="s">
        <v>8</v>
      </c>
      <c r="D81">
        <v>150</v>
      </c>
      <c r="E81">
        <v>1</v>
      </c>
      <c r="F81">
        <v>0</v>
      </c>
      <c r="G81">
        <v>1</v>
      </c>
      <c r="H81">
        <v>150</v>
      </c>
      <c r="I81" t="s">
        <v>2199</v>
      </c>
      <c r="J81">
        <v>9</v>
      </c>
    </row>
    <row r="82" spans="1:10" x14ac:dyDescent="0.25">
      <c r="A82" t="s">
        <v>2188</v>
      </c>
      <c r="B82" s="20" t="s">
        <v>651</v>
      </c>
      <c r="C82" t="s">
        <v>652</v>
      </c>
      <c r="D82">
        <v>15</v>
      </c>
      <c r="E82">
        <v>2</v>
      </c>
      <c r="F82">
        <v>0.05</v>
      </c>
      <c r="G82">
        <v>2.1</v>
      </c>
      <c r="H82">
        <v>31.5</v>
      </c>
      <c r="I82" t="s">
        <v>2199</v>
      </c>
      <c r="J82">
        <v>10</v>
      </c>
    </row>
    <row r="83" spans="1:10" x14ac:dyDescent="0.25">
      <c r="A83" t="s">
        <v>2188</v>
      </c>
      <c r="B83" s="20" t="s">
        <v>2200</v>
      </c>
      <c r="C83" t="s">
        <v>644</v>
      </c>
      <c r="D83">
        <v>160</v>
      </c>
      <c r="E83">
        <v>0.05</v>
      </c>
      <c r="F83">
        <v>0</v>
      </c>
      <c r="G83">
        <v>0.05</v>
      </c>
      <c r="H83">
        <v>8</v>
      </c>
      <c r="I83" t="s">
        <v>2199</v>
      </c>
      <c r="J83">
        <v>11</v>
      </c>
    </row>
    <row r="84" spans="1:10" x14ac:dyDescent="0.25">
      <c r="A84" t="s">
        <v>2188</v>
      </c>
      <c r="B84" s="20" t="s">
        <v>1219</v>
      </c>
      <c r="C84" t="s">
        <v>28</v>
      </c>
      <c r="D84">
        <v>94</v>
      </c>
      <c r="E84">
        <v>0.05</v>
      </c>
      <c r="F84">
        <v>0</v>
      </c>
      <c r="G84">
        <v>0.05</v>
      </c>
      <c r="H84">
        <v>4.7</v>
      </c>
      <c r="I84" t="s">
        <v>2199</v>
      </c>
      <c r="J84">
        <v>12</v>
      </c>
    </row>
    <row r="85" spans="1:10" x14ac:dyDescent="0.25">
      <c r="A85" t="s">
        <v>2188</v>
      </c>
      <c r="B85" s="20" t="s">
        <v>1220</v>
      </c>
      <c r="C85" t="s">
        <v>8</v>
      </c>
      <c r="D85">
        <v>0.3</v>
      </c>
      <c r="E85">
        <v>2</v>
      </c>
      <c r="F85">
        <v>0.1</v>
      </c>
      <c r="G85">
        <v>2.2000000000000002</v>
      </c>
      <c r="H85">
        <v>0.66</v>
      </c>
      <c r="I85" t="s">
        <v>2199</v>
      </c>
      <c r="J85">
        <v>13</v>
      </c>
    </row>
    <row r="86" spans="1:10" x14ac:dyDescent="0.25">
      <c r="A86" t="s">
        <v>2188</v>
      </c>
      <c r="B86" s="20" t="s">
        <v>1221</v>
      </c>
      <c r="C86" t="s">
        <v>8</v>
      </c>
      <c r="D86">
        <v>0.3</v>
      </c>
      <c r="E86">
        <v>2</v>
      </c>
      <c r="F86">
        <v>0.1</v>
      </c>
      <c r="G86">
        <v>2.2000000000000002</v>
      </c>
      <c r="H86">
        <v>0.66</v>
      </c>
      <c r="I86" t="s">
        <v>2199</v>
      </c>
      <c r="J86">
        <v>14</v>
      </c>
    </row>
    <row r="87" spans="1:10" x14ac:dyDescent="0.25">
      <c r="A87" t="s">
        <v>2188</v>
      </c>
      <c r="B87" s="20" t="s">
        <v>1222</v>
      </c>
      <c r="C87" t="s">
        <v>8</v>
      </c>
      <c r="D87">
        <v>0.3</v>
      </c>
      <c r="E87">
        <v>2</v>
      </c>
      <c r="F87">
        <v>0.1</v>
      </c>
      <c r="G87">
        <v>2.2000000000000002</v>
      </c>
      <c r="H87">
        <v>0.66</v>
      </c>
      <c r="I87" t="s">
        <v>2199</v>
      </c>
      <c r="J87">
        <v>15</v>
      </c>
    </row>
    <row r="88" spans="1:10" x14ac:dyDescent="0.25">
      <c r="A88" t="s">
        <v>2188</v>
      </c>
      <c r="B88" s="20" t="s">
        <v>1225</v>
      </c>
      <c r="C88" t="s">
        <v>8</v>
      </c>
      <c r="D88">
        <v>0.85</v>
      </c>
      <c r="E88">
        <v>3</v>
      </c>
      <c r="F88">
        <v>0.05</v>
      </c>
      <c r="G88">
        <v>3.1500000000000004</v>
      </c>
      <c r="H88">
        <v>2.6775000000000002</v>
      </c>
      <c r="I88" t="s">
        <v>2199</v>
      </c>
      <c r="J88">
        <v>16</v>
      </c>
    </row>
    <row r="89" spans="1:10" x14ac:dyDescent="0.25">
      <c r="A89" t="s">
        <v>2188</v>
      </c>
      <c r="B89" s="20" t="s">
        <v>1227</v>
      </c>
      <c r="C89" t="s">
        <v>10</v>
      </c>
      <c r="D89">
        <v>60</v>
      </c>
      <c r="E89">
        <v>1</v>
      </c>
      <c r="F89">
        <v>0</v>
      </c>
      <c r="G89">
        <v>1</v>
      </c>
      <c r="H89">
        <v>60</v>
      </c>
      <c r="I89" t="s">
        <v>2199</v>
      </c>
      <c r="J89">
        <v>17</v>
      </c>
    </row>
    <row r="90" spans="1:10" x14ac:dyDescent="0.25">
      <c r="A90" t="s">
        <v>2190</v>
      </c>
      <c r="B90" s="20" t="s">
        <v>251</v>
      </c>
      <c r="C90" t="s">
        <v>29</v>
      </c>
      <c r="D90">
        <v>22.5</v>
      </c>
      <c r="E90">
        <v>85</v>
      </c>
      <c r="F90">
        <v>0</v>
      </c>
      <c r="G90">
        <v>85</v>
      </c>
      <c r="H90">
        <v>1912.5</v>
      </c>
      <c r="I90" t="s">
        <v>2199</v>
      </c>
      <c r="J90">
        <v>3</v>
      </c>
    </row>
    <row r="91" spans="1:10" x14ac:dyDescent="0.25">
      <c r="A91" t="s">
        <v>2188</v>
      </c>
      <c r="B91" s="20" t="s">
        <v>2005</v>
      </c>
      <c r="C91" t="s">
        <v>9</v>
      </c>
      <c r="D91">
        <v>24</v>
      </c>
      <c r="E91">
        <v>12</v>
      </c>
      <c r="F91">
        <v>0.05</v>
      </c>
      <c r="G91">
        <v>12.600000000000001</v>
      </c>
      <c r="H91">
        <v>302.40000000000003</v>
      </c>
      <c r="I91" t="s">
        <v>2201</v>
      </c>
      <c r="J91">
        <v>3</v>
      </c>
    </row>
    <row r="92" spans="1:10" x14ac:dyDescent="0.25">
      <c r="A92" t="s">
        <v>2188</v>
      </c>
      <c r="B92" s="20" t="s">
        <v>662</v>
      </c>
      <c r="C92" t="s">
        <v>11</v>
      </c>
      <c r="D92">
        <v>850</v>
      </c>
      <c r="E92">
        <v>0.15</v>
      </c>
      <c r="F92">
        <v>0.05</v>
      </c>
      <c r="G92">
        <v>0.1575</v>
      </c>
      <c r="H92">
        <v>133.875</v>
      </c>
      <c r="I92" t="s">
        <v>2201</v>
      </c>
      <c r="J92">
        <v>4</v>
      </c>
    </row>
    <row r="93" spans="1:10" x14ac:dyDescent="0.25">
      <c r="A93" t="s">
        <v>2188</v>
      </c>
      <c r="B93" s="20" t="s">
        <v>41</v>
      </c>
      <c r="C93" t="s">
        <v>9</v>
      </c>
      <c r="D93">
        <v>22</v>
      </c>
      <c r="E93">
        <v>4</v>
      </c>
      <c r="F93">
        <v>0.05</v>
      </c>
      <c r="G93">
        <v>4.2</v>
      </c>
      <c r="H93">
        <v>92.4</v>
      </c>
      <c r="I93" t="s">
        <v>2201</v>
      </c>
      <c r="J93">
        <v>5</v>
      </c>
    </row>
    <row r="94" spans="1:10" x14ac:dyDescent="0.25">
      <c r="A94" t="s">
        <v>2188</v>
      </c>
      <c r="B94" s="20" t="s">
        <v>1285</v>
      </c>
      <c r="C94" t="s">
        <v>9</v>
      </c>
      <c r="D94">
        <v>17.5</v>
      </c>
      <c r="E94">
        <v>4</v>
      </c>
      <c r="F94">
        <v>0.05</v>
      </c>
      <c r="G94">
        <v>4.2</v>
      </c>
      <c r="H94">
        <v>73.5</v>
      </c>
      <c r="I94" t="s">
        <v>2201</v>
      </c>
      <c r="J94">
        <v>6</v>
      </c>
    </row>
    <row r="95" spans="1:10" x14ac:dyDescent="0.25">
      <c r="A95" t="s">
        <v>2188</v>
      </c>
      <c r="B95" s="20" t="s">
        <v>1286</v>
      </c>
      <c r="C95" t="s">
        <v>9</v>
      </c>
      <c r="D95">
        <v>17.5</v>
      </c>
      <c r="E95">
        <v>4</v>
      </c>
      <c r="F95">
        <v>0.05</v>
      </c>
      <c r="G95">
        <v>4.2</v>
      </c>
      <c r="H95">
        <v>73.5</v>
      </c>
      <c r="I95" t="s">
        <v>2201</v>
      </c>
      <c r="J95">
        <v>7</v>
      </c>
    </row>
    <row r="96" spans="1:10" x14ac:dyDescent="0.25">
      <c r="A96" t="s">
        <v>2190</v>
      </c>
      <c r="B96" s="20" t="s">
        <v>251</v>
      </c>
      <c r="C96" t="s">
        <v>29</v>
      </c>
      <c r="D96">
        <v>22.5</v>
      </c>
      <c r="E96">
        <v>110</v>
      </c>
      <c r="F96">
        <v>0</v>
      </c>
      <c r="G96">
        <v>110</v>
      </c>
      <c r="H96">
        <v>2475</v>
      </c>
      <c r="I96" t="s">
        <v>2201</v>
      </c>
      <c r="J96">
        <v>3</v>
      </c>
    </row>
    <row r="97" spans="1:10" x14ac:dyDescent="0.25">
      <c r="A97" t="s">
        <v>2188</v>
      </c>
      <c r="B97" s="20" t="s">
        <v>1289</v>
      </c>
      <c r="C97" t="s">
        <v>595</v>
      </c>
      <c r="D97">
        <v>25</v>
      </c>
      <c r="E97">
        <v>13</v>
      </c>
      <c r="F97">
        <v>0.05</v>
      </c>
      <c r="G97">
        <v>13.65</v>
      </c>
      <c r="H97">
        <v>341.25</v>
      </c>
      <c r="I97" t="s">
        <v>2202</v>
      </c>
      <c r="J97">
        <v>3</v>
      </c>
    </row>
    <row r="98" spans="1:10" x14ac:dyDescent="0.25">
      <c r="A98" t="s">
        <v>2188</v>
      </c>
      <c r="B98" s="20" t="s">
        <v>1290</v>
      </c>
      <c r="C98" t="s">
        <v>595</v>
      </c>
      <c r="D98">
        <v>13</v>
      </c>
      <c r="E98">
        <v>5</v>
      </c>
      <c r="F98">
        <v>0.05</v>
      </c>
      <c r="G98">
        <v>5.25</v>
      </c>
      <c r="H98">
        <v>68.25</v>
      </c>
      <c r="I98" t="s">
        <v>2202</v>
      </c>
      <c r="J98">
        <v>4</v>
      </c>
    </row>
    <row r="99" spans="1:10" x14ac:dyDescent="0.25">
      <c r="A99" t="s">
        <v>2188</v>
      </c>
      <c r="B99" s="20" t="s">
        <v>1291</v>
      </c>
      <c r="C99" t="s">
        <v>652</v>
      </c>
      <c r="D99">
        <v>3.5</v>
      </c>
      <c r="E99">
        <v>30</v>
      </c>
      <c r="F99">
        <v>0.05</v>
      </c>
      <c r="G99">
        <v>31.5</v>
      </c>
      <c r="H99">
        <v>110.25</v>
      </c>
      <c r="I99" t="s">
        <v>2202</v>
      </c>
      <c r="J99">
        <v>5</v>
      </c>
    </row>
    <row r="100" spans="1:10" x14ac:dyDescent="0.25">
      <c r="A100" t="s">
        <v>2188</v>
      </c>
      <c r="B100" s="20" t="s">
        <v>1292</v>
      </c>
      <c r="C100" t="s">
        <v>8</v>
      </c>
      <c r="D100">
        <v>20</v>
      </c>
      <c r="E100">
        <v>12</v>
      </c>
      <c r="F100">
        <v>0.05</v>
      </c>
      <c r="G100">
        <v>12.600000000000001</v>
      </c>
      <c r="H100">
        <v>252.00000000000003</v>
      </c>
      <c r="I100" t="s">
        <v>2202</v>
      </c>
      <c r="J100">
        <v>6</v>
      </c>
    </row>
    <row r="101" spans="1:10" x14ac:dyDescent="0.25">
      <c r="A101" t="s">
        <v>2188</v>
      </c>
      <c r="B101" s="20" t="s">
        <v>1293</v>
      </c>
      <c r="C101" t="s">
        <v>652</v>
      </c>
      <c r="D101">
        <v>8.5</v>
      </c>
      <c r="E101">
        <v>12</v>
      </c>
      <c r="F101">
        <v>0.05</v>
      </c>
      <c r="G101">
        <v>12.600000000000001</v>
      </c>
      <c r="H101">
        <v>107.10000000000001</v>
      </c>
      <c r="I101" t="s">
        <v>2202</v>
      </c>
      <c r="J101">
        <v>7</v>
      </c>
    </row>
    <row r="102" spans="1:10" x14ac:dyDescent="0.25">
      <c r="A102" t="s">
        <v>2188</v>
      </c>
      <c r="B102" s="20" t="s">
        <v>1295</v>
      </c>
      <c r="C102" t="s">
        <v>8</v>
      </c>
      <c r="D102">
        <v>3</v>
      </c>
      <c r="E102">
        <v>2</v>
      </c>
      <c r="F102">
        <v>0.05</v>
      </c>
      <c r="G102">
        <v>2.1</v>
      </c>
      <c r="H102">
        <v>6.3000000000000007</v>
      </c>
      <c r="I102" t="s">
        <v>2202</v>
      </c>
      <c r="J102">
        <v>8</v>
      </c>
    </row>
    <row r="103" spans="1:10" x14ac:dyDescent="0.25">
      <c r="A103" t="s">
        <v>2188</v>
      </c>
      <c r="B103" s="20" t="s">
        <v>41</v>
      </c>
      <c r="C103" t="s">
        <v>9</v>
      </c>
      <c r="D103">
        <v>16.5</v>
      </c>
      <c r="E103">
        <v>3</v>
      </c>
      <c r="F103">
        <v>0.05</v>
      </c>
      <c r="G103">
        <v>3.1500000000000004</v>
      </c>
      <c r="H103">
        <v>51.975000000000009</v>
      </c>
      <c r="I103" t="s">
        <v>2202</v>
      </c>
      <c r="J103">
        <v>9</v>
      </c>
    </row>
    <row r="104" spans="1:10" x14ac:dyDescent="0.25">
      <c r="A104" t="s">
        <v>2188</v>
      </c>
      <c r="B104" s="20" t="s">
        <v>1297</v>
      </c>
      <c r="C104" t="s">
        <v>8</v>
      </c>
      <c r="D104">
        <v>13</v>
      </c>
      <c r="E104">
        <v>2</v>
      </c>
      <c r="F104">
        <v>0</v>
      </c>
      <c r="G104">
        <v>2</v>
      </c>
      <c r="H104">
        <v>26</v>
      </c>
      <c r="I104" t="s">
        <v>2202</v>
      </c>
      <c r="J104">
        <v>10</v>
      </c>
    </row>
    <row r="105" spans="1:10" x14ac:dyDescent="0.25">
      <c r="A105" t="s">
        <v>2190</v>
      </c>
      <c r="B105" s="20" t="s">
        <v>251</v>
      </c>
      <c r="C105" t="s">
        <v>29</v>
      </c>
      <c r="D105">
        <v>22.5</v>
      </c>
      <c r="E105">
        <v>85</v>
      </c>
      <c r="F105">
        <v>0</v>
      </c>
      <c r="G105">
        <v>85</v>
      </c>
      <c r="H105">
        <v>1912.5</v>
      </c>
      <c r="I105" t="s">
        <v>2202</v>
      </c>
      <c r="J105">
        <v>3</v>
      </c>
    </row>
    <row r="106" spans="1:10" x14ac:dyDescent="0.25">
      <c r="A106" t="s">
        <v>2188</v>
      </c>
      <c r="B106" s="20" t="s">
        <v>1546</v>
      </c>
      <c r="C106" t="s">
        <v>10</v>
      </c>
      <c r="D106">
        <v>105</v>
      </c>
      <c r="E106">
        <v>5</v>
      </c>
      <c r="F106">
        <v>0</v>
      </c>
      <c r="G106">
        <v>5</v>
      </c>
      <c r="H106">
        <v>525</v>
      </c>
      <c r="I106" t="s">
        <v>2203</v>
      </c>
      <c r="J106">
        <v>3</v>
      </c>
    </row>
    <row r="107" spans="1:10" x14ac:dyDescent="0.25">
      <c r="A107" t="s">
        <v>2188</v>
      </c>
      <c r="B107" s="20" t="s">
        <v>1548</v>
      </c>
      <c r="C107" t="s">
        <v>8</v>
      </c>
      <c r="D107">
        <v>15</v>
      </c>
      <c r="E107">
        <v>84</v>
      </c>
      <c r="F107">
        <v>0</v>
      </c>
      <c r="G107">
        <v>84</v>
      </c>
      <c r="H107">
        <v>1260</v>
      </c>
      <c r="I107" t="s">
        <v>2203</v>
      </c>
      <c r="J107">
        <v>4</v>
      </c>
    </row>
    <row r="108" spans="1:10" x14ac:dyDescent="0.25">
      <c r="A108" t="s">
        <v>2188</v>
      </c>
      <c r="B108" s="20" t="s">
        <v>1550</v>
      </c>
      <c r="C108" t="s">
        <v>8</v>
      </c>
      <c r="D108">
        <v>4.5</v>
      </c>
      <c r="E108">
        <v>75</v>
      </c>
      <c r="F108">
        <v>0</v>
      </c>
      <c r="G108">
        <v>75</v>
      </c>
      <c r="H108">
        <v>337.5</v>
      </c>
      <c r="I108" t="s">
        <v>2203</v>
      </c>
      <c r="J108">
        <v>5</v>
      </c>
    </row>
    <row r="109" spans="1:10" x14ac:dyDescent="0.25">
      <c r="A109" t="s">
        <v>2188</v>
      </c>
      <c r="B109" s="20" t="s">
        <v>1550</v>
      </c>
      <c r="C109" t="s">
        <v>8</v>
      </c>
      <c r="D109">
        <v>4.5</v>
      </c>
      <c r="E109">
        <v>198</v>
      </c>
      <c r="F109">
        <v>0</v>
      </c>
      <c r="G109">
        <v>198</v>
      </c>
      <c r="H109">
        <v>891</v>
      </c>
      <c r="I109" t="s">
        <v>2203</v>
      </c>
      <c r="J109">
        <v>6</v>
      </c>
    </row>
    <row r="110" spans="1:10" x14ac:dyDescent="0.25">
      <c r="A110" t="s">
        <v>2188</v>
      </c>
      <c r="B110" s="20" t="s">
        <v>7</v>
      </c>
      <c r="C110" t="s">
        <v>8</v>
      </c>
      <c r="D110">
        <v>6.5</v>
      </c>
      <c r="E110">
        <v>132</v>
      </c>
      <c r="F110">
        <v>0</v>
      </c>
      <c r="G110">
        <v>132</v>
      </c>
      <c r="H110">
        <v>858</v>
      </c>
      <c r="I110" t="s">
        <v>2203</v>
      </c>
      <c r="J110">
        <v>7</v>
      </c>
    </row>
    <row r="111" spans="1:10" x14ac:dyDescent="0.25">
      <c r="A111" t="s">
        <v>2188</v>
      </c>
      <c r="B111" s="20" t="s">
        <v>7</v>
      </c>
      <c r="C111" t="s">
        <v>8</v>
      </c>
      <c r="D111">
        <v>6.5</v>
      </c>
      <c r="E111">
        <v>34</v>
      </c>
      <c r="F111">
        <v>0</v>
      </c>
      <c r="G111">
        <v>34</v>
      </c>
      <c r="H111">
        <v>221</v>
      </c>
      <c r="I111" t="s">
        <v>2203</v>
      </c>
      <c r="J111">
        <v>8</v>
      </c>
    </row>
    <row r="112" spans="1:10" x14ac:dyDescent="0.25">
      <c r="A112" t="s">
        <v>2188</v>
      </c>
      <c r="B112" s="20" t="s">
        <v>38</v>
      </c>
      <c r="C112" t="s">
        <v>9</v>
      </c>
      <c r="D112">
        <v>25</v>
      </c>
      <c r="E112">
        <v>29</v>
      </c>
      <c r="F112">
        <v>0</v>
      </c>
      <c r="G112">
        <v>29</v>
      </c>
      <c r="H112">
        <v>725</v>
      </c>
      <c r="I112" t="s">
        <v>2203</v>
      </c>
      <c r="J112">
        <v>9</v>
      </c>
    </row>
    <row r="113" spans="1:10" x14ac:dyDescent="0.25">
      <c r="A113" t="s">
        <v>2188</v>
      </c>
      <c r="B113" s="20" t="s">
        <v>1558</v>
      </c>
      <c r="C113" t="s">
        <v>1559</v>
      </c>
      <c r="D113">
        <v>1</v>
      </c>
      <c r="E113">
        <v>12</v>
      </c>
      <c r="F113">
        <v>0</v>
      </c>
      <c r="G113">
        <v>12</v>
      </c>
      <c r="H113">
        <v>12</v>
      </c>
      <c r="I113" t="s">
        <v>2203</v>
      </c>
      <c r="J113">
        <v>10</v>
      </c>
    </row>
    <row r="114" spans="1:10" x14ac:dyDescent="0.25">
      <c r="A114" t="s">
        <v>2188</v>
      </c>
      <c r="B114" s="20" t="s">
        <v>39</v>
      </c>
      <c r="C114" t="s">
        <v>9</v>
      </c>
      <c r="D114">
        <v>18</v>
      </c>
      <c r="E114">
        <v>12</v>
      </c>
      <c r="F114">
        <v>0</v>
      </c>
      <c r="G114">
        <v>12</v>
      </c>
      <c r="H114">
        <v>216</v>
      </c>
      <c r="I114" t="s">
        <v>2203</v>
      </c>
      <c r="J114">
        <v>11</v>
      </c>
    </row>
    <row r="115" spans="1:10" x14ac:dyDescent="0.25">
      <c r="A115" t="s">
        <v>2188</v>
      </c>
      <c r="B115" s="20" t="s">
        <v>2005</v>
      </c>
      <c r="C115" t="s">
        <v>9</v>
      </c>
      <c r="D115">
        <v>24</v>
      </c>
      <c r="E115">
        <v>3</v>
      </c>
      <c r="F115">
        <v>0</v>
      </c>
      <c r="G115">
        <v>3</v>
      </c>
      <c r="H115">
        <v>72</v>
      </c>
      <c r="I115" t="s">
        <v>2203</v>
      </c>
      <c r="J115">
        <v>12</v>
      </c>
    </row>
    <row r="116" spans="1:10" x14ac:dyDescent="0.25">
      <c r="A116" t="s">
        <v>2188</v>
      </c>
      <c r="B116" s="20" t="s">
        <v>1564</v>
      </c>
      <c r="C116" t="s">
        <v>40</v>
      </c>
      <c r="D116">
        <v>80</v>
      </c>
      <c r="E116">
        <v>2</v>
      </c>
      <c r="F116">
        <v>0</v>
      </c>
      <c r="G116">
        <v>2</v>
      </c>
      <c r="H116">
        <v>160</v>
      </c>
      <c r="I116" t="s">
        <v>2203</v>
      </c>
      <c r="J116">
        <v>13</v>
      </c>
    </row>
    <row r="117" spans="1:10" x14ac:dyDescent="0.25">
      <c r="A117" t="s">
        <v>2190</v>
      </c>
      <c r="B117" s="20" t="s">
        <v>251</v>
      </c>
      <c r="C117" t="s">
        <v>29</v>
      </c>
      <c r="D117">
        <v>22.5</v>
      </c>
      <c r="E117">
        <v>224</v>
      </c>
      <c r="F117">
        <v>0</v>
      </c>
      <c r="G117">
        <v>224</v>
      </c>
      <c r="H117">
        <v>5040</v>
      </c>
      <c r="I117" t="s">
        <v>2203</v>
      </c>
      <c r="J117">
        <v>3</v>
      </c>
    </row>
    <row r="118" spans="1:10" x14ac:dyDescent="0.25">
      <c r="A118" t="s">
        <v>2188</v>
      </c>
      <c r="B118" s="20" t="s">
        <v>1652</v>
      </c>
      <c r="C118" t="s">
        <v>256</v>
      </c>
      <c r="D118">
        <v>92</v>
      </c>
      <c r="E118">
        <v>1</v>
      </c>
      <c r="F118">
        <v>0</v>
      </c>
      <c r="G118">
        <v>1</v>
      </c>
      <c r="H118">
        <v>92</v>
      </c>
      <c r="I118" t="s">
        <v>2204</v>
      </c>
      <c r="J118">
        <v>3</v>
      </c>
    </row>
    <row r="119" spans="1:10" x14ac:dyDescent="0.25">
      <c r="A119" t="s">
        <v>2188</v>
      </c>
      <c r="B119" s="20" t="s">
        <v>1653</v>
      </c>
      <c r="C119" t="s">
        <v>256</v>
      </c>
      <c r="D119">
        <v>92</v>
      </c>
      <c r="E119">
        <v>1</v>
      </c>
      <c r="F119">
        <v>0</v>
      </c>
      <c r="G119">
        <v>1</v>
      </c>
      <c r="H119">
        <v>92</v>
      </c>
      <c r="I119" t="s">
        <v>2204</v>
      </c>
      <c r="J119">
        <v>4</v>
      </c>
    </row>
    <row r="120" spans="1:10" x14ac:dyDescent="0.25">
      <c r="A120" t="s">
        <v>2188</v>
      </c>
      <c r="B120" s="20" t="s">
        <v>1654</v>
      </c>
      <c r="C120" t="s">
        <v>256</v>
      </c>
      <c r="D120">
        <v>92</v>
      </c>
      <c r="E120">
        <v>1</v>
      </c>
      <c r="F120">
        <v>0</v>
      </c>
      <c r="G120">
        <v>1</v>
      </c>
      <c r="H120">
        <v>92</v>
      </c>
      <c r="I120" t="s">
        <v>2204</v>
      </c>
      <c r="J120">
        <v>5</v>
      </c>
    </row>
    <row r="121" spans="1:10" x14ac:dyDescent="0.25">
      <c r="A121" t="s">
        <v>2188</v>
      </c>
      <c r="B121" s="20" t="s">
        <v>1656</v>
      </c>
      <c r="C121" t="s">
        <v>256</v>
      </c>
      <c r="D121">
        <v>146</v>
      </c>
      <c r="E121">
        <v>1</v>
      </c>
      <c r="F121">
        <v>0</v>
      </c>
      <c r="G121">
        <v>1</v>
      </c>
      <c r="H121">
        <v>146</v>
      </c>
      <c r="I121" t="s">
        <v>2204</v>
      </c>
      <c r="J121">
        <v>6</v>
      </c>
    </row>
    <row r="122" spans="1:10" x14ac:dyDescent="0.25">
      <c r="A122" t="s">
        <v>2188</v>
      </c>
      <c r="B122" s="20" t="s">
        <v>1657</v>
      </c>
      <c r="C122" t="s">
        <v>256</v>
      </c>
      <c r="D122">
        <v>146</v>
      </c>
      <c r="E122">
        <v>1</v>
      </c>
      <c r="F122">
        <v>0</v>
      </c>
      <c r="G122">
        <v>1</v>
      </c>
      <c r="H122">
        <v>146</v>
      </c>
      <c r="I122" t="s">
        <v>2204</v>
      </c>
      <c r="J122">
        <v>7</v>
      </c>
    </row>
    <row r="123" spans="1:10" x14ac:dyDescent="0.25">
      <c r="A123" t="s">
        <v>2188</v>
      </c>
      <c r="B123" s="20" t="s">
        <v>1658</v>
      </c>
      <c r="C123" t="s">
        <v>256</v>
      </c>
      <c r="D123">
        <v>146</v>
      </c>
      <c r="E123">
        <v>1</v>
      </c>
      <c r="F123">
        <v>0</v>
      </c>
      <c r="G123">
        <v>1</v>
      </c>
      <c r="H123">
        <v>146</v>
      </c>
      <c r="I123" t="s">
        <v>2204</v>
      </c>
      <c r="J123">
        <v>8</v>
      </c>
    </row>
    <row r="124" spans="1:10" x14ac:dyDescent="0.25">
      <c r="A124" t="s">
        <v>2188</v>
      </c>
      <c r="B124" s="20" t="s">
        <v>1661</v>
      </c>
      <c r="C124" t="s">
        <v>1662</v>
      </c>
      <c r="D124">
        <v>10.5</v>
      </c>
      <c r="E124">
        <v>15</v>
      </c>
      <c r="F124">
        <v>0</v>
      </c>
      <c r="G124">
        <v>15</v>
      </c>
      <c r="H124">
        <v>157.5</v>
      </c>
      <c r="I124" t="s">
        <v>2204</v>
      </c>
      <c r="J124">
        <v>9</v>
      </c>
    </row>
    <row r="125" spans="1:10" x14ac:dyDescent="0.25">
      <c r="A125" t="s">
        <v>2188</v>
      </c>
      <c r="B125" s="20" t="s">
        <v>1665</v>
      </c>
      <c r="C125" t="s">
        <v>652</v>
      </c>
      <c r="D125">
        <v>6.8</v>
      </c>
      <c r="E125">
        <v>15</v>
      </c>
      <c r="F125">
        <v>0</v>
      </c>
      <c r="G125">
        <v>15</v>
      </c>
      <c r="H125">
        <v>102</v>
      </c>
      <c r="I125" t="s">
        <v>2204</v>
      </c>
      <c r="J125">
        <v>10</v>
      </c>
    </row>
    <row r="126" spans="1:10" x14ac:dyDescent="0.25">
      <c r="A126" t="s">
        <v>2188</v>
      </c>
      <c r="B126" s="20" t="s">
        <v>1667</v>
      </c>
      <c r="C126" t="s">
        <v>652</v>
      </c>
      <c r="D126">
        <v>10.199999999999999</v>
      </c>
      <c r="E126">
        <v>12</v>
      </c>
      <c r="F126">
        <v>0</v>
      </c>
      <c r="G126">
        <v>12</v>
      </c>
      <c r="H126">
        <v>122.39999999999999</v>
      </c>
      <c r="I126" t="s">
        <v>2204</v>
      </c>
      <c r="J126">
        <v>11</v>
      </c>
    </row>
    <row r="127" spans="1:10" x14ac:dyDescent="0.25">
      <c r="A127" t="s">
        <v>2188</v>
      </c>
      <c r="B127" s="20" t="s">
        <v>1669</v>
      </c>
      <c r="C127" t="s">
        <v>888</v>
      </c>
      <c r="D127">
        <v>1.36</v>
      </c>
      <c r="E127">
        <v>2</v>
      </c>
      <c r="F127">
        <v>0</v>
      </c>
      <c r="G127">
        <v>2</v>
      </c>
      <c r="H127">
        <v>2.72</v>
      </c>
      <c r="I127" t="s">
        <v>2204</v>
      </c>
      <c r="J127">
        <v>12</v>
      </c>
    </row>
    <row r="128" spans="1:10" x14ac:dyDescent="0.25">
      <c r="A128" t="s">
        <v>2188</v>
      </c>
      <c r="B128" s="20" t="s">
        <v>1672</v>
      </c>
      <c r="C128" t="s">
        <v>30</v>
      </c>
      <c r="D128">
        <v>0.35</v>
      </c>
      <c r="E128">
        <v>15</v>
      </c>
      <c r="F128">
        <v>0</v>
      </c>
      <c r="G128">
        <v>15</v>
      </c>
      <c r="H128">
        <v>5.25</v>
      </c>
      <c r="I128" t="s">
        <v>2204</v>
      </c>
      <c r="J128">
        <v>13</v>
      </c>
    </row>
    <row r="129" spans="1:10" x14ac:dyDescent="0.25">
      <c r="A129" t="s">
        <v>2188</v>
      </c>
      <c r="B129" s="20" t="s">
        <v>1674</v>
      </c>
      <c r="C129" t="s">
        <v>30</v>
      </c>
      <c r="D129">
        <v>8.5</v>
      </c>
      <c r="E129">
        <v>10</v>
      </c>
      <c r="F129">
        <v>0</v>
      </c>
      <c r="G129">
        <v>10</v>
      </c>
      <c r="H129">
        <v>85</v>
      </c>
      <c r="I129" t="s">
        <v>2204</v>
      </c>
      <c r="J129">
        <v>14</v>
      </c>
    </row>
    <row r="130" spans="1:10" x14ac:dyDescent="0.25">
      <c r="A130" t="s">
        <v>2188</v>
      </c>
      <c r="B130" s="20" t="s">
        <v>1676</v>
      </c>
      <c r="C130" t="s">
        <v>30</v>
      </c>
      <c r="D130">
        <v>5.9</v>
      </c>
      <c r="E130">
        <v>5</v>
      </c>
      <c r="F130">
        <v>0</v>
      </c>
      <c r="G130">
        <v>5</v>
      </c>
      <c r="H130">
        <v>29.5</v>
      </c>
      <c r="I130" t="s">
        <v>2204</v>
      </c>
      <c r="J130">
        <v>15</v>
      </c>
    </row>
    <row r="131" spans="1:10" x14ac:dyDescent="0.25">
      <c r="A131" t="s">
        <v>2188</v>
      </c>
      <c r="B131" s="20" t="s">
        <v>42</v>
      </c>
      <c r="C131" t="s">
        <v>8</v>
      </c>
      <c r="D131">
        <v>9.9</v>
      </c>
      <c r="E131">
        <v>10</v>
      </c>
      <c r="F131">
        <v>0</v>
      </c>
      <c r="G131">
        <v>10</v>
      </c>
      <c r="H131">
        <v>99</v>
      </c>
      <c r="I131" t="s">
        <v>2204</v>
      </c>
      <c r="J131">
        <v>16</v>
      </c>
    </row>
    <row r="132" spans="1:10" x14ac:dyDescent="0.25">
      <c r="A132" t="s">
        <v>2188</v>
      </c>
      <c r="B132" s="20" t="s">
        <v>1679</v>
      </c>
      <c r="C132" t="s">
        <v>10</v>
      </c>
      <c r="D132">
        <v>13</v>
      </c>
      <c r="E132">
        <v>2</v>
      </c>
      <c r="F132">
        <v>0</v>
      </c>
      <c r="G132">
        <v>2</v>
      </c>
      <c r="H132">
        <v>26</v>
      </c>
      <c r="I132" t="s">
        <v>2204</v>
      </c>
      <c r="J132">
        <v>17</v>
      </c>
    </row>
    <row r="133" spans="1:10" x14ac:dyDescent="0.25">
      <c r="A133" t="s">
        <v>2188</v>
      </c>
      <c r="B133" s="20" t="s">
        <v>1682</v>
      </c>
      <c r="C133" t="s">
        <v>30</v>
      </c>
      <c r="D133">
        <v>185</v>
      </c>
      <c r="E133">
        <v>1</v>
      </c>
      <c r="F133">
        <v>0</v>
      </c>
      <c r="G133">
        <v>1</v>
      </c>
      <c r="H133">
        <v>185</v>
      </c>
      <c r="I133" t="s">
        <v>2204</v>
      </c>
      <c r="J133">
        <v>18</v>
      </c>
    </row>
    <row r="134" spans="1:10" x14ac:dyDescent="0.25">
      <c r="A134" t="s">
        <v>2188</v>
      </c>
      <c r="B134" s="20" t="s">
        <v>1684</v>
      </c>
      <c r="C134" t="s">
        <v>8</v>
      </c>
      <c r="D134">
        <v>4.5999999999999996</v>
      </c>
      <c r="E134">
        <v>4</v>
      </c>
      <c r="F134">
        <v>0</v>
      </c>
      <c r="G134">
        <v>4</v>
      </c>
      <c r="H134">
        <v>18.399999999999999</v>
      </c>
      <c r="I134" t="s">
        <v>2204</v>
      </c>
      <c r="J134">
        <v>19</v>
      </c>
    </row>
    <row r="135" spans="1:10" x14ac:dyDescent="0.25">
      <c r="A135" t="s">
        <v>2188</v>
      </c>
      <c r="B135" s="20" t="s">
        <v>1686</v>
      </c>
      <c r="C135" t="s">
        <v>8</v>
      </c>
      <c r="D135">
        <v>59</v>
      </c>
      <c r="E135">
        <v>1</v>
      </c>
      <c r="F135">
        <v>0</v>
      </c>
      <c r="G135">
        <v>1</v>
      </c>
      <c r="H135">
        <v>59</v>
      </c>
      <c r="I135" t="s">
        <v>2204</v>
      </c>
      <c r="J135">
        <v>20</v>
      </c>
    </row>
    <row r="136" spans="1:10" x14ac:dyDescent="0.25">
      <c r="A136" t="s">
        <v>2188</v>
      </c>
      <c r="B136" s="20" t="s">
        <v>1688</v>
      </c>
      <c r="C136" t="s">
        <v>8</v>
      </c>
      <c r="D136">
        <v>165</v>
      </c>
      <c r="E136">
        <v>1</v>
      </c>
      <c r="F136">
        <v>0</v>
      </c>
      <c r="G136">
        <v>1</v>
      </c>
      <c r="H136">
        <v>165</v>
      </c>
      <c r="I136" t="s">
        <v>2204</v>
      </c>
      <c r="J136">
        <v>21</v>
      </c>
    </row>
    <row r="137" spans="1:10" x14ac:dyDescent="0.25">
      <c r="A137" t="s">
        <v>2188</v>
      </c>
      <c r="B137" s="20" t="s">
        <v>1690</v>
      </c>
      <c r="C137" t="s">
        <v>652</v>
      </c>
      <c r="D137">
        <v>48</v>
      </c>
      <c r="E137">
        <v>1</v>
      </c>
      <c r="F137">
        <v>0</v>
      </c>
      <c r="G137">
        <v>1</v>
      </c>
      <c r="H137">
        <v>48</v>
      </c>
      <c r="I137" t="s">
        <v>2204</v>
      </c>
      <c r="J137">
        <v>22</v>
      </c>
    </row>
    <row r="138" spans="1:10" x14ac:dyDescent="0.25">
      <c r="A138" t="s">
        <v>2188</v>
      </c>
      <c r="B138" s="20" t="s">
        <v>1692</v>
      </c>
      <c r="C138" t="s">
        <v>8</v>
      </c>
      <c r="D138">
        <v>6.5</v>
      </c>
      <c r="E138">
        <v>1</v>
      </c>
      <c r="F138">
        <v>0</v>
      </c>
      <c r="G138">
        <v>1</v>
      </c>
      <c r="H138">
        <v>6.5</v>
      </c>
      <c r="I138" t="s">
        <v>2204</v>
      </c>
      <c r="J138">
        <v>23</v>
      </c>
    </row>
    <row r="139" spans="1:10" x14ac:dyDescent="0.25">
      <c r="A139" t="s">
        <v>2190</v>
      </c>
      <c r="B139" s="20" t="s">
        <v>251</v>
      </c>
      <c r="C139" t="s">
        <v>29</v>
      </c>
      <c r="D139">
        <v>22.5</v>
      </c>
      <c r="E139">
        <v>38</v>
      </c>
      <c r="F139">
        <v>0</v>
      </c>
      <c r="G139">
        <v>38</v>
      </c>
      <c r="H139">
        <v>855</v>
      </c>
      <c r="I139" t="s">
        <v>2204</v>
      </c>
      <c r="J139">
        <v>3</v>
      </c>
    </row>
    <row r="140" spans="1:10" x14ac:dyDescent="0.25">
      <c r="A140" t="s">
        <v>2190</v>
      </c>
      <c r="B140" s="20" t="s">
        <v>251</v>
      </c>
      <c r="C140" t="s">
        <v>29</v>
      </c>
      <c r="D140">
        <v>22.5</v>
      </c>
      <c r="E140">
        <v>17</v>
      </c>
      <c r="F140">
        <v>0</v>
      </c>
      <c r="G140">
        <v>17</v>
      </c>
      <c r="H140">
        <v>382.5</v>
      </c>
      <c r="I140" t="s">
        <v>2204</v>
      </c>
      <c r="J140">
        <v>4</v>
      </c>
    </row>
    <row r="141" spans="1:10" x14ac:dyDescent="0.25">
      <c r="A141" t="s">
        <v>2190</v>
      </c>
      <c r="B141" s="20" t="s">
        <v>251</v>
      </c>
      <c r="C141" t="s">
        <v>29</v>
      </c>
      <c r="D141">
        <v>22.5</v>
      </c>
      <c r="E141">
        <v>9</v>
      </c>
      <c r="F141">
        <v>0</v>
      </c>
      <c r="G141">
        <v>9</v>
      </c>
      <c r="H141">
        <v>202.5</v>
      </c>
      <c r="I141" t="s">
        <v>2204</v>
      </c>
      <c r="J141">
        <v>5</v>
      </c>
    </row>
    <row r="142" spans="1:10" x14ac:dyDescent="0.25">
      <c r="A142" t="s">
        <v>2188</v>
      </c>
      <c r="B142" s="20" t="s">
        <v>2200</v>
      </c>
      <c r="C142" t="s">
        <v>644</v>
      </c>
      <c r="D142">
        <v>160</v>
      </c>
      <c r="E142">
        <v>1</v>
      </c>
      <c r="F142">
        <v>0.05</v>
      </c>
      <c r="G142">
        <v>1.05</v>
      </c>
      <c r="H142">
        <v>168</v>
      </c>
      <c r="I142" t="s">
        <v>2205</v>
      </c>
      <c r="J142">
        <v>3</v>
      </c>
    </row>
    <row r="143" spans="1:10" x14ac:dyDescent="0.25">
      <c r="A143" t="s">
        <v>2188</v>
      </c>
      <c r="B143" s="20" t="s">
        <v>1794</v>
      </c>
      <c r="C143" t="s">
        <v>644</v>
      </c>
      <c r="D143">
        <v>80</v>
      </c>
      <c r="E143">
        <v>2</v>
      </c>
      <c r="F143">
        <v>0.05</v>
      </c>
      <c r="G143">
        <v>2.1</v>
      </c>
      <c r="H143">
        <v>168</v>
      </c>
      <c r="I143" t="s">
        <v>2205</v>
      </c>
      <c r="J143">
        <v>4</v>
      </c>
    </row>
    <row r="144" spans="1:10" x14ac:dyDescent="0.25">
      <c r="A144" t="s">
        <v>2188</v>
      </c>
      <c r="B144" s="20" t="s">
        <v>1219</v>
      </c>
      <c r="C144" t="s">
        <v>28</v>
      </c>
      <c r="D144">
        <v>94</v>
      </c>
      <c r="E144">
        <v>1</v>
      </c>
      <c r="F144">
        <v>0.05</v>
      </c>
      <c r="G144">
        <v>1.05</v>
      </c>
      <c r="H144">
        <v>98.7</v>
      </c>
      <c r="I144" t="s">
        <v>2205</v>
      </c>
      <c r="J144">
        <v>5</v>
      </c>
    </row>
    <row r="145" spans="1:10" x14ac:dyDescent="0.25">
      <c r="A145" t="s">
        <v>2188</v>
      </c>
      <c r="B145" s="20" t="s">
        <v>1220</v>
      </c>
      <c r="C145" t="s">
        <v>8</v>
      </c>
      <c r="D145">
        <v>0.3</v>
      </c>
      <c r="E145">
        <v>4</v>
      </c>
      <c r="F145">
        <v>0.1</v>
      </c>
      <c r="G145">
        <v>4.4000000000000004</v>
      </c>
      <c r="H145">
        <v>1.32</v>
      </c>
      <c r="I145" t="s">
        <v>2205</v>
      </c>
      <c r="J145">
        <v>6</v>
      </c>
    </row>
    <row r="146" spans="1:10" x14ac:dyDescent="0.25">
      <c r="A146" t="s">
        <v>2188</v>
      </c>
      <c r="B146" s="20" t="s">
        <v>1221</v>
      </c>
      <c r="C146" t="s">
        <v>8</v>
      </c>
      <c r="D146">
        <v>0.3</v>
      </c>
      <c r="E146">
        <v>4</v>
      </c>
      <c r="F146">
        <v>0.1</v>
      </c>
      <c r="G146">
        <v>4.4000000000000004</v>
      </c>
      <c r="H146">
        <v>1.32</v>
      </c>
      <c r="I146" t="s">
        <v>2205</v>
      </c>
      <c r="J146">
        <v>7</v>
      </c>
    </row>
    <row r="147" spans="1:10" x14ac:dyDescent="0.25">
      <c r="A147" t="s">
        <v>2188</v>
      </c>
      <c r="B147" s="20" t="s">
        <v>1222</v>
      </c>
      <c r="C147" t="s">
        <v>8</v>
      </c>
      <c r="D147">
        <v>0.3</v>
      </c>
      <c r="E147">
        <v>4</v>
      </c>
      <c r="F147">
        <v>0.1</v>
      </c>
      <c r="G147">
        <v>4.4000000000000004</v>
      </c>
      <c r="H147">
        <v>1.32</v>
      </c>
      <c r="I147" t="s">
        <v>2205</v>
      </c>
      <c r="J147">
        <v>8</v>
      </c>
    </row>
    <row r="148" spans="1:10" x14ac:dyDescent="0.25">
      <c r="A148" t="s">
        <v>2188</v>
      </c>
      <c r="B148" s="20" t="s">
        <v>1802</v>
      </c>
      <c r="C148" t="s">
        <v>8</v>
      </c>
      <c r="D148">
        <v>5.5</v>
      </c>
      <c r="E148">
        <v>4</v>
      </c>
      <c r="F148">
        <v>0.05</v>
      </c>
      <c r="G148">
        <v>4.2</v>
      </c>
      <c r="H148">
        <v>23.1</v>
      </c>
      <c r="I148" t="s">
        <v>2205</v>
      </c>
      <c r="J148">
        <v>9</v>
      </c>
    </row>
    <row r="149" spans="1:10" x14ac:dyDescent="0.25">
      <c r="A149" t="s">
        <v>2188</v>
      </c>
      <c r="B149" s="20" t="s">
        <v>2206</v>
      </c>
      <c r="C149" t="s">
        <v>8</v>
      </c>
      <c r="D149">
        <v>650</v>
      </c>
      <c r="E149">
        <v>1</v>
      </c>
      <c r="F149">
        <v>0</v>
      </c>
      <c r="G149">
        <v>1</v>
      </c>
      <c r="H149">
        <v>650</v>
      </c>
      <c r="I149" t="s">
        <v>2205</v>
      </c>
      <c r="J149">
        <v>10</v>
      </c>
    </row>
    <row r="150" spans="1:10" x14ac:dyDescent="0.25">
      <c r="A150" t="s">
        <v>2188</v>
      </c>
      <c r="B150" s="20" t="s">
        <v>1807</v>
      </c>
      <c r="C150" t="s">
        <v>43</v>
      </c>
      <c r="D150">
        <v>35</v>
      </c>
      <c r="E150">
        <v>1</v>
      </c>
      <c r="F150">
        <v>0</v>
      </c>
      <c r="G150">
        <v>1</v>
      </c>
      <c r="H150">
        <v>35</v>
      </c>
      <c r="I150" t="s">
        <v>2205</v>
      </c>
      <c r="J150">
        <v>11</v>
      </c>
    </row>
    <row r="151" spans="1:10" x14ac:dyDescent="0.25">
      <c r="A151" t="s">
        <v>2188</v>
      </c>
      <c r="B151" s="20" t="s">
        <v>1809</v>
      </c>
      <c r="C151" t="s">
        <v>43</v>
      </c>
      <c r="D151">
        <v>60</v>
      </c>
      <c r="E151">
        <v>1</v>
      </c>
      <c r="F151">
        <v>0</v>
      </c>
      <c r="G151">
        <v>1</v>
      </c>
      <c r="H151">
        <v>60</v>
      </c>
      <c r="I151" t="s">
        <v>2205</v>
      </c>
      <c r="J151">
        <v>12</v>
      </c>
    </row>
    <row r="152" spans="1:10" x14ac:dyDescent="0.25">
      <c r="A152" t="s">
        <v>2188</v>
      </c>
      <c r="B152" s="20" t="s">
        <v>44</v>
      </c>
      <c r="C152" t="s">
        <v>43</v>
      </c>
      <c r="D152">
        <v>15</v>
      </c>
      <c r="E152">
        <v>1</v>
      </c>
      <c r="F152">
        <v>0</v>
      </c>
      <c r="G152">
        <v>1</v>
      </c>
      <c r="H152">
        <v>15</v>
      </c>
      <c r="I152" t="s">
        <v>2205</v>
      </c>
      <c r="J152">
        <v>13</v>
      </c>
    </row>
    <row r="153" spans="1:10" x14ac:dyDescent="0.25">
      <c r="A153" t="s">
        <v>2188</v>
      </c>
      <c r="B153" s="20" t="s">
        <v>1812</v>
      </c>
      <c r="C153" t="s">
        <v>8</v>
      </c>
      <c r="D153">
        <v>6</v>
      </c>
      <c r="E153">
        <v>2</v>
      </c>
      <c r="F153">
        <v>0</v>
      </c>
      <c r="G153">
        <v>2</v>
      </c>
      <c r="H153">
        <v>12</v>
      </c>
      <c r="I153" t="s">
        <v>2205</v>
      </c>
      <c r="J153">
        <v>14</v>
      </c>
    </row>
    <row r="154" spans="1:10" x14ac:dyDescent="0.25">
      <c r="A154" t="s">
        <v>2190</v>
      </c>
      <c r="B154" s="20" t="s">
        <v>251</v>
      </c>
      <c r="C154" t="s">
        <v>29</v>
      </c>
      <c r="D154">
        <v>22.5</v>
      </c>
      <c r="E154">
        <v>21</v>
      </c>
      <c r="F154">
        <v>0</v>
      </c>
      <c r="G154">
        <v>21</v>
      </c>
      <c r="H154">
        <v>472.5</v>
      </c>
      <c r="I154" t="s">
        <v>2205</v>
      </c>
      <c r="J154">
        <v>3</v>
      </c>
    </row>
    <row r="155" spans="1:10" x14ac:dyDescent="0.25">
      <c r="A155" t="s">
        <v>2190</v>
      </c>
      <c r="B155" s="20" t="s">
        <v>251</v>
      </c>
      <c r="C155" t="s">
        <v>29</v>
      </c>
      <c r="D155">
        <v>22.5</v>
      </c>
      <c r="E155">
        <v>17</v>
      </c>
      <c r="F155">
        <v>0</v>
      </c>
      <c r="G155">
        <v>17</v>
      </c>
      <c r="H155">
        <v>382.5</v>
      </c>
      <c r="I155" t="s">
        <v>2205</v>
      </c>
      <c r="J155">
        <v>4</v>
      </c>
    </row>
    <row r="156" spans="1:10" x14ac:dyDescent="0.25">
      <c r="A156" t="s">
        <v>2190</v>
      </c>
      <c r="B156" s="20" t="s">
        <v>251</v>
      </c>
      <c r="C156" t="s">
        <v>29</v>
      </c>
      <c r="D156">
        <v>22.5</v>
      </c>
      <c r="E156">
        <v>9</v>
      </c>
      <c r="F156">
        <v>0</v>
      </c>
      <c r="G156">
        <v>9</v>
      </c>
      <c r="H156">
        <v>202.5</v>
      </c>
      <c r="I156" t="s">
        <v>2205</v>
      </c>
      <c r="J156">
        <v>5</v>
      </c>
    </row>
    <row r="157" spans="1:10" x14ac:dyDescent="0.25">
      <c r="A157" t="s">
        <v>2188</v>
      </c>
      <c r="B157" s="20" t="s">
        <v>481</v>
      </c>
      <c r="C157" t="s">
        <v>11</v>
      </c>
      <c r="D157">
        <v>830</v>
      </c>
      <c r="E157">
        <v>0.26</v>
      </c>
      <c r="F157">
        <v>0</v>
      </c>
      <c r="G157">
        <v>0.26</v>
      </c>
      <c r="H157">
        <v>215.8</v>
      </c>
      <c r="I157" t="s">
        <v>2207</v>
      </c>
      <c r="J157">
        <v>3</v>
      </c>
    </row>
    <row r="158" spans="1:10" x14ac:dyDescent="0.25">
      <c r="A158" t="s">
        <v>2188</v>
      </c>
      <c r="B158" s="20" t="s">
        <v>482</v>
      </c>
      <c r="C158" t="s">
        <v>11</v>
      </c>
      <c r="D158">
        <v>950</v>
      </c>
      <c r="E158">
        <v>0.05</v>
      </c>
      <c r="F158">
        <v>0</v>
      </c>
      <c r="G158">
        <v>0.05</v>
      </c>
      <c r="H158">
        <v>47.5</v>
      </c>
      <c r="I158" t="s">
        <v>2207</v>
      </c>
      <c r="J158">
        <v>4</v>
      </c>
    </row>
    <row r="159" spans="1:10" x14ac:dyDescent="0.25">
      <c r="A159" t="s">
        <v>2188</v>
      </c>
      <c r="B159" s="20" t="s">
        <v>640</v>
      </c>
      <c r="C159" t="s">
        <v>256</v>
      </c>
      <c r="D159">
        <v>180</v>
      </c>
      <c r="E159">
        <v>1</v>
      </c>
      <c r="F159">
        <v>0</v>
      </c>
      <c r="G159">
        <v>1</v>
      </c>
      <c r="H159">
        <v>180</v>
      </c>
      <c r="I159" t="s">
        <v>2207</v>
      </c>
      <c r="J159">
        <v>5</v>
      </c>
    </row>
    <row r="160" spans="1:10" x14ac:dyDescent="0.25">
      <c r="A160" t="s">
        <v>2188</v>
      </c>
      <c r="B160" s="20" t="s">
        <v>483</v>
      </c>
      <c r="C160" t="s">
        <v>8</v>
      </c>
      <c r="D160">
        <v>215</v>
      </c>
      <c r="E160">
        <v>4.41</v>
      </c>
      <c r="F160">
        <v>0</v>
      </c>
      <c r="G160">
        <v>4.41</v>
      </c>
      <c r="H160">
        <v>948.15</v>
      </c>
      <c r="I160" t="s">
        <v>2207</v>
      </c>
      <c r="J160">
        <v>6</v>
      </c>
    </row>
    <row r="161" spans="1:10" x14ac:dyDescent="0.25">
      <c r="A161" t="s">
        <v>2188</v>
      </c>
      <c r="B161" s="20" t="s">
        <v>2005</v>
      </c>
      <c r="C161" t="s">
        <v>9</v>
      </c>
      <c r="D161">
        <v>24</v>
      </c>
      <c r="E161">
        <v>33</v>
      </c>
      <c r="F161">
        <v>0</v>
      </c>
      <c r="G161">
        <v>33</v>
      </c>
      <c r="H161">
        <v>792</v>
      </c>
      <c r="I161" t="s">
        <v>2207</v>
      </c>
      <c r="J161">
        <v>7</v>
      </c>
    </row>
    <row r="162" spans="1:10" x14ac:dyDescent="0.25">
      <c r="A162" t="s">
        <v>2188</v>
      </c>
      <c r="B162" s="20" t="s">
        <v>662</v>
      </c>
      <c r="C162" t="s">
        <v>11</v>
      </c>
      <c r="D162">
        <v>850</v>
      </c>
      <c r="E162">
        <v>0.23</v>
      </c>
      <c r="F162">
        <v>0</v>
      </c>
      <c r="G162">
        <v>0.23</v>
      </c>
      <c r="H162">
        <v>195.5</v>
      </c>
      <c r="I162" t="s">
        <v>2207</v>
      </c>
      <c r="J162">
        <v>8</v>
      </c>
    </row>
    <row r="163" spans="1:10" x14ac:dyDescent="0.25">
      <c r="A163" t="s">
        <v>2188</v>
      </c>
      <c r="B163" s="20" t="s">
        <v>663</v>
      </c>
      <c r="C163" t="s">
        <v>11</v>
      </c>
      <c r="D163">
        <v>830</v>
      </c>
      <c r="E163">
        <v>0.46</v>
      </c>
      <c r="F163">
        <v>0</v>
      </c>
      <c r="G163">
        <v>0.46</v>
      </c>
      <c r="H163">
        <v>381.8</v>
      </c>
      <c r="I163" t="s">
        <v>2207</v>
      </c>
      <c r="J163">
        <v>9</v>
      </c>
    </row>
    <row r="164" spans="1:10" x14ac:dyDescent="0.25">
      <c r="A164" t="s">
        <v>2188</v>
      </c>
      <c r="B164" s="20" t="s">
        <v>481</v>
      </c>
      <c r="C164" t="s">
        <v>11</v>
      </c>
      <c r="D164">
        <v>830</v>
      </c>
      <c r="E164">
        <v>0.08</v>
      </c>
      <c r="F164">
        <v>0</v>
      </c>
      <c r="G164">
        <v>0.08</v>
      </c>
      <c r="H164">
        <v>66.400000000000006</v>
      </c>
      <c r="I164" t="s">
        <v>2207</v>
      </c>
      <c r="J164">
        <v>10</v>
      </c>
    </row>
    <row r="165" spans="1:10" x14ac:dyDescent="0.25">
      <c r="A165" t="s">
        <v>2188</v>
      </c>
      <c r="B165" s="20" t="s">
        <v>482</v>
      </c>
      <c r="C165" t="s">
        <v>11</v>
      </c>
      <c r="D165">
        <v>950</v>
      </c>
      <c r="E165">
        <v>0.02</v>
      </c>
      <c r="F165">
        <v>0</v>
      </c>
      <c r="G165">
        <v>0.02</v>
      </c>
      <c r="H165">
        <v>19</v>
      </c>
      <c r="I165" t="s">
        <v>2207</v>
      </c>
      <c r="J165">
        <v>11</v>
      </c>
    </row>
    <row r="166" spans="1:10" x14ac:dyDescent="0.25">
      <c r="A166" t="s">
        <v>2188</v>
      </c>
      <c r="B166" s="20" t="s">
        <v>483</v>
      </c>
      <c r="C166" t="s">
        <v>8</v>
      </c>
      <c r="D166">
        <v>215</v>
      </c>
      <c r="E166">
        <v>1.33</v>
      </c>
      <c r="F166">
        <v>0</v>
      </c>
      <c r="G166">
        <v>1.33</v>
      </c>
      <c r="H166">
        <v>285.95</v>
      </c>
      <c r="I166" t="s">
        <v>2207</v>
      </c>
      <c r="J166">
        <v>12</v>
      </c>
    </row>
    <row r="167" spans="1:10" x14ac:dyDescent="0.25">
      <c r="A167" t="s">
        <v>2188</v>
      </c>
      <c r="B167" s="20" t="s">
        <v>2005</v>
      </c>
      <c r="C167" t="s">
        <v>9</v>
      </c>
      <c r="D167">
        <v>24</v>
      </c>
      <c r="E167">
        <v>10</v>
      </c>
      <c r="F167">
        <v>0</v>
      </c>
      <c r="G167">
        <v>10</v>
      </c>
      <c r="H167">
        <v>240</v>
      </c>
      <c r="I167" t="s">
        <v>2207</v>
      </c>
      <c r="J167">
        <v>13</v>
      </c>
    </row>
    <row r="168" spans="1:10" x14ac:dyDescent="0.25">
      <c r="A168" t="s">
        <v>2188</v>
      </c>
      <c r="B168" s="20" t="s">
        <v>662</v>
      </c>
      <c r="C168" t="s">
        <v>11</v>
      </c>
      <c r="D168">
        <v>850</v>
      </c>
      <c r="E168">
        <v>7.0000000000000007E-2</v>
      </c>
      <c r="F168">
        <v>0</v>
      </c>
      <c r="G168">
        <v>7.0000000000000007E-2</v>
      </c>
      <c r="H168">
        <v>59.500000000000007</v>
      </c>
      <c r="I168" t="s">
        <v>2207</v>
      </c>
      <c r="J168">
        <v>14</v>
      </c>
    </row>
    <row r="169" spans="1:10" x14ac:dyDescent="0.25">
      <c r="A169" t="s">
        <v>2188</v>
      </c>
      <c r="B169" s="20" t="s">
        <v>663</v>
      </c>
      <c r="C169" t="s">
        <v>11</v>
      </c>
      <c r="D169">
        <v>830</v>
      </c>
      <c r="E169">
        <v>0.14000000000000001</v>
      </c>
      <c r="F169">
        <v>0</v>
      </c>
      <c r="G169">
        <v>0.14000000000000001</v>
      </c>
      <c r="H169">
        <v>116.20000000000002</v>
      </c>
      <c r="I169" t="s">
        <v>2207</v>
      </c>
      <c r="J169">
        <v>15</v>
      </c>
    </row>
    <row r="170" spans="1:10" x14ac:dyDescent="0.25">
      <c r="A170" t="s">
        <v>2188</v>
      </c>
      <c r="B170" s="20" t="s">
        <v>643</v>
      </c>
      <c r="C170" t="s">
        <v>644</v>
      </c>
      <c r="D170">
        <v>130</v>
      </c>
      <c r="E170">
        <v>1</v>
      </c>
      <c r="F170">
        <v>0</v>
      </c>
      <c r="G170">
        <v>1</v>
      </c>
      <c r="H170">
        <v>130</v>
      </c>
      <c r="I170" t="s">
        <v>2207</v>
      </c>
      <c r="J170">
        <v>16</v>
      </c>
    </row>
    <row r="171" spans="1:10" x14ac:dyDescent="0.25">
      <c r="A171" t="s">
        <v>2190</v>
      </c>
      <c r="B171" s="20" t="s">
        <v>251</v>
      </c>
      <c r="C171" t="s">
        <v>29</v>
      </c>
      <c r="D171">
        <v>22.5</v>
      </c>
      <c r="E171">
        <v>120</v>
      </c>
      <c r="F171">
        <v>0</v>
      </c>
      <c r="G171">
        <v>120</v>
      </c>
      <c r="H171">
        <v>2700</v>
      </c>
      <c r="I171" t="s">
        <v>2207</v>
      </c>
      <c r="J171">
        <v>3</v>
      </c>
    </row>
    <row r="172" spans="1:10" x14ac:dyDescent="0.25">
      <c r="A172" t="s">
        <v>2188</v>
      </c>
      <c r="B172" s="20" t="s">
        <v>2005</v>
      </c>
      <c r="C172" t="s">
        <v>9</v>
      </c>
      <c r="D172">
        <v>24</v>
      </c>
      <c r="E172">
        <v>3</v>
      </c>
      <c r="F172">
        <v>0</v>
      </c>
      <c r="G172">
        <v>3</v>
      </c>
      <c r="H172">
        <v>72</v>
      </c>
      <c r="I172" t="s">
        <v>2208</v>
      </c>
      <c r="J172">
        <v>3</v>
      </c>
    </row>
    <row r="173" spans="1:10" x14ac:dyDescent="0.25">
      <c r="A173" t="s">
        <v>2188</v>
      </c>
      <c r="B173" s="20" t="s">
        <v>662</v>
      </c>
      <c r="C173" t="s">
        <v>11</v>
      </c>
      <c r="D173">
        <v>850</v>
      </c>
      <c r="E173">
        <v>0.02</v>
      </c>
      <c r="F173">
        <v>0</v>
      </c>
      <c r="G173">
        <v>0.02</v>
      </c>
      <c r="H173">
        <v>17</v>
      </c>
      <c r="I173" t="s">
        <v>2208</v>
      </c>
      <c r="J173">
        <v>4</v>
      </c>
    </row>
    <row r="174" spans="1:10" x14ac:dyDescent="0.25">
      <c r="A174" t="s">
        <v>2188</v>
      </c>
      <c r="B174" s="20" t="s">
        <v>663</v>
      </c>
      <c r="C174" t="s">
        <v>11</v>
      </c>
      <c r="D174">
        <v>830</v>
      </c>
      <c r="E174">
        <v>0.04</v>
      </c>
      <c r="F174">
        <v>0</v>
      </c>
      <c r="G174">
        <v>0.04</v>
      </c>
      <c r="H174">
        <v>33.200000000000003</v>
      </c>
      <c r="I174" t="s">
        <v>2208</v>
      </c>
      <c r="J174">
        <v>5</v>
      </c>
    </row>
    <row r="175" spans="1:10" x14ac:dyDescent="0.25">
      <c r="A175" t="s">
        <v>2188</v>
      </c>
      <c r="B175" s="20" t="s">
        <v>2005</v>
      </c>
      <c r="C175" t="s">
        <v>9</v>
      </c>
      <c r="D175">
        <v>24</v>
      </c>
      <c r="E175">
        <v>26</v>
      </c>
      <c r="F175">
        <v>0</v>
      </c>
      <c r="G175">
        <v>26</v>
      </c>
      <c r="H175">
        <v>624</v>
      </c>
      <c r="I175" t="s">
        <v>2208</v>
      </c>
      <c r="J175">
        <v>6</v>
      </c>
    </row>
    <row r="176" spans="1:10" x14ac:dyDescent="0.25">
      <c r="A176" t="s">
        <v>2188</v>
      </c>
      <c r="B176" s="20" t="s">
        <v>662</v>
      </c>
      <c r="C176" t="s">
        <v>11</v>
      </c>
      <c r="D176">
        <v>850</v>
      </c>
      <c r="E176">
        <v>0.18</v>
      </c>
      <c r="F176">
        <v>0</v>
      </c>
      <c r="G176">
        <v>0.18</v>
      </c>
      <c r="H176">
        <v>153</v>
      </c>
      <c r="I176" t="s">
        <v>2208</v>
      </c>
      <c r="J176">
        <v>7</v>
      </c>
    </row>
    <row r="177" spans="1:10" x14ac:dyDescent="0.25">
      <c r="A177" t="s">
        <v>2188</v>
      </c>
      <c r="B177" s="20" t="s">
        <v>663</v>
      </c>
      <c r="C177" t="s">
        <v>11</v>
      </c>
      <c r="D177">
        <v>830</v>
      </c>
      <c r="E177">
        <v>0.36</v>
      </c>
      <c r="F177">
        <v>0</v>
      </c>
      <c r="G177">
        <v>0.36</v>
      </c>
      <c r="H177">
        <v>298.8</v>
      </c>
      <c r="I177" t="s">
        <v>2208</v>
      </c>
      <c r="J177">
        <v>8</v>
      </c>
    </row>
    <row r="178" spans="1:10" x14ac:dyDescent="0.25">
      <c r="A178" t="s">
        <v>2188</v>
      </c>
      <c r="B178" s="20" t="s">
        <v>590</v>
      </c>
      <c r="C178" t="s">
        <v>591</v>
      </c>
      <c r="D178">
        <v>28</v>
      </c>
      <c r="E178">
        <v>30</v>
      </c>
      <c r="F178">
        <v>0</v>
      </c>
      <c r="G178">
        <v>30</v>
      </c>
      <c r="H178">
        <v>840</v>
      </c>
      <c r="I178" t="s">
        <v>2208</v>
      </c>
      <c r="J178">
        <v>9</v>
      </c>
    </row>
    <row r="179" spans="1:10" x14ac:dyDescent="0.25">
      <c r="A179" t="s">
        <v>2188</v>
      </c>
      <c r="B179" s="20" t="s">
        <v>592</v>
      </c>
      <c r="C179" t="s">
        <v>591</v>
      </c>
      <c r="D179">
        <v>15</v>
      </c>
      <c r="E179">
        <v>12</v>
      </c>
      <c r="F179">
        <v>0</v>
      </c>
      <c r="G179">
        <v>12</v>
      </c>
      <c r="H179">
        <v>180</v>
      </c>
      <c r="I179" t="s">
        <v>2208</v>
      </c>
      <c r="J179">
        <v>10</v>
      </c>
    </row>
    <row r="180" spans="1:10" x14ac:dyDescent="0.25">
      <c r="A180" t="s">
        <v>2188</v>
      </c>
      <c r="B180" s="20" t="s">
        <v>594</v>
      </c>
      <c r="C180" t="s">
        <v>595</v>
      </c>
      <c r="D180">
        <v>45</v>
      </c>
      <c r="E180">
        <v>8</v>
      </c>
      <c r="F180">
        <v>0</v>
      </c>
      <c r="G180">
        <v>8</v>
      </c>
      <c r="H180">
        <v>360</v>
      </c>
      <c r="I180" t="s">
        <v>2208</v>
      </c>
      <c r="J180">
        <v>11</v>
      </c>
    </row>
    <row r="181" spans="1:10" x14ac:dyDescent="0.25">
      <c r="A181" t="s">
        <v>2188</v>
      </c>
      <c r="B181" s="20" t="s">
        <v>651</v>
      </c>
      <c r="C181" t="s">
        <v>652</v>
      </c>
      <c r="D181">
        <v>15</v>
      </c>
      <c r="E181">
        <v>12</v>
      </c>
      <c r="F181">
        <v>0</v>
      </c>
      <c r="G181">
        <v>12</v>
      </c>
      <c r="H181">
        <v>180</v>
      </c>
      <c r="I181" t="s">
        <v>2208</v>
      </c>
      <c r="J181">
        <v>12</v>
      </c>
    </row>
    <row r="182" spans="1:10" x14ac:dyDescent="0.25">
      <c r="A182" t="s">
        <v>2188</v>
      </c>
      <c r="B182" s="20" t="s">
        <v>643</v>
      </c>
      <c r="C182" t="s">
        <v>644</v>
      </c>
      <c r="D182">
        <v>130</v>
      </c>
      <c r="E182">
        <v>1</v>
      </c>
      <c r="F182">
        <v>0</v>
      </c>
      <c r="G182">
        <v>1</v>
      </c>
      <c r="H182">
        <v>130</v>
      </c>
      <c r="I182" t="s">
        <v>2208</v>
      </c>
      <c r="J182">
        <v>13</v>
      </c>
    </row>
    <row r="183" spans="1:10" x14ac:dyDescent="0.25">
      <c r="A183" t="s">
        <v>2190</v>
      </c>
      <c r="B183" s="20" t="s">
        <v>251</v>
      </c>
      <c r="C183" t="s">
        <v>29</v>
      </c>
      <c r="D183">
        <v>22.5</v>
      </c>
      <c r="E183">
        <v>112</v>
      </c>
      <c r="F183">
        <v>0</v>
      </c>
      <c r="G183">
        <v>112</v>
      </c>
      <c r="H183">
        <v>2520</v>
      </c>
      <c r="I183" t="s">
        <v>2208</v>
      </c>
      <c r="J183">
        <v>3</v>
      </c>
    </row>
    <row r="184" spans="1:10" x14ac:dyDescent="0.25">
      <c r="A184" t="s">
        <v>2188</v>
      </c>
      <c r="B184" s="20" t="s">
        <v>2005</v>
      </c>
      <c r="C184" t="s">
        <v>9</v>
      </c>
      <c r="D184">
        <v>24</v>
      </c>
      <c r="E184">
        <v>3</v>
      </c>
      <c r="F184">
        <v>0</v>
      </c>
      <c r="G184">
        <v>3</v>
      </c>
      <c r="H184">
        <v>72</v>
      </c>
      <c r="I184" t="s">
        <v>2334</v>
      </c>
      <c r="J184">
        <v>3</v>
      </c>
    </row>
    <row r="185" spans="1:10" x14ac:dyDescent="0.25">
      <c r="A185" t="s">
        <v>2188</v>
      </c>
      <c r="B185" s="20" t="s">
        <v>662</v>
      </c>
      <c r="C185" t="s">
        <v>11</v>
      </c>
      <c r="D185">
        <v>850</v>
      </c>
      <c r="E185">
        <v>0.02</v>
      </c>
      <c r="F185">
        <v>0</v>
      </c>
      <c r="G185">
        <v>0.02</v>
      </c>
      <c r="H185">
        <v>17</v>
      </c>
      <c r="I185" t="s">
        <v>2334</v>
      </c>
      <c r="J185">
        <v>4</v>
      </c>
    </row>
    <row r="186" spans="1:10" x14ac:dyDescent="0.25">
      <c r="A186" t="s">
        <v>2188</v>
      </c>
      <c r="B186" s="20" t="s">
        <v>663</v>
      </c>
      <c r="C186" t="s">
        <v>11</v>
      </c>
      <c r="D186">
        <v>830</v>
      </c>
      <c r="E186">
        <v>0.04</v>
      </c>
      <c r="F186">
        <v>0</v>
      </c>
      <c r="G186">
        <v>0.04</v>
      </c>
      <c r="H186">
        <v>33.200000000000003</v>
      </c>
      <c r="I186" t="s">
        <v>2334</v>
      </c>
      <c r="J186">
        <v>5</v>
      </c>
    </row>
    <row r="187" spans="1:10" x14ac:dyDescent="0.25">
      <c r="A187" t="s">
        <v>2188</v>
      </c>
      <c r="B187" s="20" t="s">
        <v>2005</v>
      </c>
      <c r="C187" t="s">
        <v>9</v>
      </c>
      <c r="D187">
        <v>24</v>
      </c>
      <c r="E187">
        <v>26</v>
      </c>
      <c r="F187">
        <v>0</v>
      </c>
      <c r="G187">
        <v>26</v>
      </c>
      <c r="H187">
        <v>624</v>
      </c>
      <c r="I187" t="s">
        <v>2334</v>
      </c>
      <c r="J187">
        <v>6</v>
      </c>
    </row>
    <row r="188" spans="1:10" x14ac:dyDescent="0.25">
      <c r="A188" t="s">
        <v>2188</v>
      </c>
      <c r="B188" s="20" t="s">
        <v>662</v>
      </c>
      <c r="C188" t="s">
        <v>11</v>
      </c>
      <c r="D188">
        <v>850</v>
      </c>
      <c r="E188">
        <v>0.18</v>
      </c>
      <c r="F188">
        <v>0</v>
      </c>
      <c r="G188">
        <v>0.18</v>
      </c>
      <c r="H188">
        <v>153</v>
      </c>
      <c r="I188" t="s">
        <v>2334</v>
      </c>
      <c r="J188">
        <v>7</v>
      </c>
    </row>
    <row r="189" spans="1:10" x14ac:dyDescent="0.25">
      <c r="A189" t="s">
        <v>2188</v>
      </c>
      <c r="B189" s="20" t="s">
        <v>663</v>
      </c>
      <c r="C189" t="s">
        <v>11</v>
      </c>
      <c r="D189">
        <v>830</v>
      </c>
      <c r="E189">
        <v>0.36</v>
      </c>
      <c r="F189">
        <v>0</v>
      </c>
      <c r="G189">
        <v>0.36</v>
      </c>
      <c r="H189">
        <v>298.8</v>
      </c>
      <c r="I189" t="s">
        <v>2334</v>
      </c>
      <c r="J189">
        <v>8</v>
      </c>
    </row>
    <row r="190" spans="1:10" x14ac:dyDescent="0.25">
      <c r="A190" t="s">
        <v>2188</v>
      </c>
      <c r="B190" s="20" t="s">
        <v>590</v>
      </c>
      <c r="C190" t="s">
        <v>591</v>
      </c>
      <c r="D190">
        <v>28</v>
      </c>
      <c r="E190">
        <v>30</v>
      </c>
      <c r="F190">
        <v>0</v>
      </c>
      <c r="G190">
        <v>30</v>
      </c>
      <c r="H190">
        <v>840</v>
      </c>
      <c r="I190" t="s">
        <v>2334</v>
      </c>
      <c r="J190">
        <v>9</v>
      </c>
    </row>
    <row r="191" spans="1:10" x14ac:dyDescent="0.25">
      <c r="A191" t="s">
        <v>2188</v>
      </c>
      <c r="B191" s="20" t="s">
        <v>592</v>
      </c>
      <c r="C191" t="s">
        <v>591</v>
      </c>
      <c r="D191">
        <v>15</v>
      </c>
      <c r="E191">
        <v>12</v>
      </c>
      <c r="F191">
        <v>0</v>
      </c>
      <c r="G191">
        <v>12</v>
      </c>
      <c r="H191">
        <v>180</v>
      </c>
      <c r="I191" t="s">
        <v>2334</v>
      </c>
      <c r="J191">
        <v>10</v>
      </c>
    </row>
    <row r="192" spans="1:10" x14ac:dyDescent="0.25">
      <c r="A192" t="s">
        <v>2188</v>
      </c>
      <c r="B192" s="20" t="s">
        <v>594</v>
      </c>
      <c r="C192" t="s">
        <v>595</v>
      </c>
      <c r="D192">
        <v>45</v>
      </c>
      <c r="E192">
        <v>8</v>
      </c>
      <c r="F192">
        <v>0</v>
      </c>
      <c r="G192">
        <v>8</v>
      </c>
      <c r="H192">
        <v>360</v>
      </c>
      <c r="I192" t="s">
        <v>2334</v>
      </c>
      <c r="J192">
        <v>11</v>
      </c>
    </row>
    <row r="193" spans="1:10" x14ac:dyDescent="0.25">
      <c r="A193" t="s">
        <v>2188</v>
      </c>
      <c r="B193" s="20" t="s">
        <v>651</v>
      </c>
      <c r="C193" t="s">
        <v>652</v>
      </c>
      <c r="D193">
        <v>15</v>
      </c>
      <c r="E193">
        <v>12</v>
      </c>
      <c r="F193">
        <v>0</v>
      </c>
      <c r="G193">
        <v>12</v>
      </c>
      <c r="H193">
        <v>180</v>
      </c>
      <c r="I193" t="s">
        <v>2334</v>
      </c>
      <c r="J193">
        <v>12</v>
      </c>
    </row>
    <row r="194" spans="1:10" x14ac:dyDescent="0.25">
      <c r="A194" t="s">
        <v>2188</v>
      </c>
      <c r="B194" s="20" t="s">
        <v>643</v>
      </c>
      <c r="C194" t="s">
        <v>644</v>
      </c>
      <c r="D194">
        <v>130</v>
      </c>
      <c r="E194">
        <v>1</v>
      </c>
      <c r="F194">
        <v>0</v>
      </c>
      <c r="G194">
        <v>1</v>
      </c>
      <c r="H194">
        <v>130</v>
      </c>
      <c r="I194" t="s">
        <v>2334</v>
      </c>
      <c r="J194">
        <v>13</v>
      </c>
    </row>
    <row r="195" spans="1:10" x14ac:dyDescent="0.25">
      <c r="A195" t="s">
        <v>2190</v>
      </c>
      <c r="B195" s="20" t="s">
        <v>251</v>
      </c>
      <c r="C195" t="s">
        <v>29</v>
      </c>
      <c r="D195">
        <v>22.5</v>
      </c>
      <c r="E195">
        <v>112</v>
      </c>
      <c r="F195">
        <v>0</v>
      </c>
      <c r="G195">
        <v>112</v>
      </c>
      <c r="H195">
        <v>2520</v>
      </c>
      <c r="I195" t="s">
        <v>2334</v>
      </c>
      <c r="J195">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2213</v>
      </c>
      <c r="F2" s="18" t="s">
        <v>20</v>
      </c>
      <c r="G2" s="12" t="s">
        <v>2</v>
      </c>
      <c r="H2" s="12" t="s">
        <v>19</v>
      </c>
      <c r="I2" s="12" t="s">
        <v>2214</v>
      </c>
      <c r="J2" s="12" t="s">
        <v>5</v>
      </c>
      <c r="L2" s="16" t="s">
        <v>26</v>
      </c>
      <c r="M2" s="12" t="s">
        <v>3</v>
      </c>
      <c r="N2" s="18" t="s">
        <v>1</v>
      </c>
      <c r="O2" s="18" t="s">
        <v>32</v>
      </c>
      <c r="P2" s="12" t="s">
        <v>2213</v>
      </c>
      <c r="Q2" s="12" t="s">
        <v>20</v>
      </c>
      <c r="R2" s="12" t="s">
        <v>2</v>
      </c>
      <c r="S2" s="12" t="s">
        <v>19</v>
      </c>
      <c r="T2" t="s">
        <v>2214</v>
      </c>
      <c r="U2" t="s">
        <v>5</v>
      </c>
      <c r="W2" t="s">
        <v>26</v>
      </c>
      <c r="X2" t="s">
        <v>3</v>
      </c>
      <c r="Y2" t="s">
        <v>1</v>
      </c>
      <c r="Z2" t="s">
        <v>32</v>
      </c>
      <c r="AA2" t="s">
        <v>2213</v>
      </c>
      <c r="AB2" t="s">
        <v>20</v>
      </c>
      <c r="AC2" t="s">
        <v>2</v>
      </c>
      <c r="AD2" t="s">
        <v>19</v>
      </c>
      <c r="AE2" t="s">
        <v>2214</v>
      </c>
      <c r="AF2" t="s">
        <v>5</v>
      </c>
    </row>
    <row r="3" spans="1:32" x14ac:dyDescent="0.25">
      <c r="A3" t="str" cm="1">
        <f t="array" ref="A3:J107">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v>1694</v>
      </c>
      <c r="Q3" s="12">
        <v>0</v>
      </c>
      <c r="R3" s="12">
        <v>1694</v>
      </c>
      <c r="S3" s="12">
        <v>38115</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3/4" Aggregate (10-Wheel Truck)</v>
      </c>
      <c r="C7" t="str">
        <v>TRIP</v>
      </c>
      <c r="D7">
        <v>830</v>
      </c>
      <c r="E7" s="12">
        <v>1.4</v>
      </c>
      <c r="F7" s="18">
        <v>0</v>
      </c>
      <c r="G7" s="12">
        <v>2</v>
      </c>
      <c r="H7" s="12">
        <v>1660</v>
      </c>
      <c r="I7" s="12" t="str">
        <v>MATERIALS</v>
      </c>
      <c r="J7" s="12" t="str">
        <v/>
      </c>
    </row>
    <row r="8" spans="1:32" x14ac:dyDescent="0.25">
      <c r="A8" t="str">
        <v>MATERIALS</v>
      </c>
      <c r="B8" t="str">
        <v>30inW x 84inH Bifold Mini Pro VACP 800 Series</v>
      </c>
      <c r="C8" t="str">
        <v>SET</v>
      </c>
      <c r="D8">
        <v>480</v>
      </c>
      <c r="E8" s="12">
        <v>1</v>
      </c>
      <c r="F8" s="18">
        <v>0</v>
      </c>
      <c r="G8" s="12">
        <v>1</v>
      </c>
      <c r="H8" s="12">
        <v>480</v>
      </c>
      <c r="I8" s="12" t="str">
        <v>MATERIALS</v>
      </c>
      <c r="J8" s="12" t="str">
        <v/>
      </c>
    </row>
    <row r="9" spans="1:32" x14ac:dyDescent="0.25">
      <c r="A9" t="str">
        <v>MATERIALS</v>
      </c>
      <c r="B9" t="str">
        <v>36inW x 84inH 1 Panel Grill Swing Kitchen/back door</v>
      </c>
      <c r="C9" t="str">
        <v>SET</v>
      </c>
      <c r="D9">
        <v>800</v>
      </c>
      <c r="E9" s="12">
        <v>1</v>
      </c>
      <c r="F9" s="18">
        <v>0</v>
      </c>
      <c r="G9" s="12">
        <v>1</v>
      </c>
      <c r="H9" s="12">
        <v>800</v>
      </c>
      <c r="I9" s="12" t="str">
        <v>MATERIALS</v>
      </c>
      <c r="J9" s="12" t="str">
        <v/>
      </c>
    </row>
    <row r="10" spans="1:32" x14ac:dyDescent="0.25">
      <c r="A10" t="str">
        <v>MATERIALS</v>
      </c>
      <c r="B10" t="str">
        <v>4" Dia Outlet</v>
      </c>
      <c r="C10" t="str">
        <v>PCS</v>
      </c>
      <c r="D10">
        <v>10</v>
      </c>
      <c r="E10" s="12">
        <v>4</v>
      </c>
      <c r="F10" s="18">
        <v>0</v>
      </c>
      <c r="G10" s="12">
        <v>4</v>
      </c>
      <c r="H10" s="12">
        <v>40</v>
      </c>
      <c r="I10" s="12" t="str">
        <v>MATERIALS</v>
      </c>
      <c r="J10" s="12" t="str">
        <v/>
      </c>
    </row>
    <row r="11" spans="1:32" x14ac:dyDescent="0.25">
      <c r="A11" t="str">
        <v>MATERIALS</v>
      </c>
      <c r="B11" t="str">
        <v>600mmW x 1200mmH 1 Panel Casement Window c/w Float Glass</v>
      </c>
      <c r="C11" t="str">
        <v>SET</v>
      </c>
      <c r="D11">
        <v>240</v>
      </c>
      <c r="E11" s="12">
        <v>1</v>
      </c>
      <c r="F11" s="18">
        <v>0</v>
      </c>
      <c r="G11" s="12">
        <v>1</v>
      </c>
      <c r="H11" s="12">
        <v>240</v>
      </c>
      <c r="I11" s="12" t="str">
        <v>MATERIALS</v>
      </c>
      <c r="J11" s="12" t="str">
        <v/>
      </c>
    </row>
    <row r="12" spans="1:32" x14ac:dyDescent="0.25">
      <c r="A12" t="str">
        <v>MATERIALS</v>
      </c>
      <c r="B12" t="str">
        <v>600mmW x 1200mmH 1 Panel Grill Window</v>
      </c>
      <c r="C12" t="str">
        <v>SET</v>
      </c>
      <c r="D12">
        <v>170</v>
      </c>
      <c r="E12" s="12">
        <v>1</v>
      </c>
      <c r="F12" s="18">
        <v>0</v>
      </c>
      <c r="G12" s="12">
        <v>1</v>
      </c>
      <c r="H12" s="12">
        <v>170</v>
      </c>
      <c r="I12" s="12" t="str">
        <v>MATERIALS</v>
      </c>
      <c r="J12" s="12" t="str">
        <v/>
      </c>
    </row>
    <row r="13" spans="1:32" x14ac:dyDescent="0.25">
      <c r="A13" t="str">
        <v>MATERIALS</v>
      </c>
      <c r="B13" t="str">
        <v>A Plus Stopping Compound 20kg</v>
      </c>
      <c r="C13" t="str">
        <v>BAG</v>
      </c>
      <c r="D13">
        <v>19.642857142857142</v>
      </c>
      <c r="E13" s="12">
        <v>7.3500000000000005</v>
      </c>
      <c r="F13" s="18">
        <v>0</v>
      </c>
      <c r="G13" s="12">
        <v>8</v>
      </c>
      <c r="H13" s="12">
        <v>157.14285714285714</v>
      </c>
      <c r="I13" s="12" t="str">
        <v>MATERIALS</v>
      </c>
      <c r="J13" s="12" t="str">
        <v/>
      </c>
    </row>
    <row r="14" spans="1:32" x14ac:dyDescent="0.25">
      <c r="A14" t="str">
        <v>MATERIALS</v>
      </c>
      <c r="B14" t="str">
        <v>Aluminium Ceiling Trim (STD) 3660mm</v>
      </c>
      <c r="C14" t="str">
        <v>LTH</v>
      </c>
      <c r="D14">
        <v>8.5</v>
      </c>
      <c r="E14" s="12">
        <v>12.600000000000001</v>
      </c>
      <c r="F14" s="18">
        <v>0</v>
      </c>
      <c r="G14" s="12">
        <v>13</v>
      </c>
      <c r="H14" s="12">
        <v>110.5</v>
      </c>
      <c r="I14" s="12" t="str">
        <v>MATERIALS</v>
      </c>
      <c r="J14" s="12" t="str">
        <v/>
      </c>
    </row>
    <row r="15" spans="1:32" x14ac:dyDescent="0.25">
      <c r="A15" t="str">
        <v>MATERIALS</v>
      </c>
      <c r="B15" t="str">
        <v>Basin Waste 11/4"</v>
      </c>
      <c r="C15" t="str">
        <v>PCS</v>
      </c>
      <c r="D15">
        <v>4</v>
      </c>
      <c r="E15" s="12">
        <v>1</v>
      </c>
      <c r="F15" s="18">
        <v>0</v>
      </c>
      <c r="G15" s="12">
        <v>1</v>
      </c>
      <c r="H15" s="12">
        <v>4</v>
      </c>
      <c r="I15" s="12" t="str">
        <v>MATERIALS</v>
      </c>
      <c r="J15" s="12" t="str">
        <v/>
      </c>
    </row>
    <row r="16" spans="1:32" x14ac:dyDescent="0.25">
      <c r="A16" t="str">
        <v>MATERIALS</v>
      </c>
      <c r="B16" t="str">
        <v>Bottle Trap PVC 11/4" 32mm Blue/green</v>
      </c>
      <c r="C16" t="str">
        <v>PCS</v>
      </c>
      <c r="D16">
        <v>8</v>
      </c>
      <c r="E16" s="12">
        <v>1</v>
      </c>
      <c r="F16" s="18">
        <v>0</v>
      </c>
      <c r="G16" s="12">
        <v>1</v>
      </c>
      <c r="H16" s="12">
        <v>8</v>
      </c>
      <c r="I16" s="12" t="str">
        <v>MATERIALS</v>
      </c>
      <c r="J16" s="12" t="str">
        <v/>
      </c>
    </row>
    <row r="17" spans="1:10" x14ac:dyDescent="0.25">
      <c r="A17" t="str">
        <v>MATERIALS</v>
      </c>
      <c r="B17" t="str">
        <v>Brass Garden Bib Tap 1/2"</v>
      </c>
      <c r="C17" t="str">
        <v>PCS</v>
      </c>
      <c r="D17">
        <v>8</v>
      </c>
      <c r="E17" s="12">
        <v>1</v>
      </c>
      <c r="F17" s="18">
        <v>0</v>
      </c>
      <c r="G17" s="12">
        <v>1</v>
      </c>
      <c r="H17" s="12">
        <v>8</v>
      </c>
      <c r="I17" s="12" t="str">
        <v>MATERIALS</v>
      </c>
      <c r="J17" s="12" t="str">
        <v/>
      </c>
    </row>
    <row r="18" spans="1:10" x14ac:dyDescent="0.25">
      <c r="A18" t="str">
        <v>MATERIALS</v>
      </c>
      <c r="B18" t="str">
        <v>Brass Stop Cock 1/2"</v>
      </c>
      <c r="C18" t="str">
        <v>PCS</v>
      </c>
      <c r="D18">
        <v>13</v>
      </c>
      <c r="E18" s="12">
        <v>2</v>
      </c>
      <c r="F18" s="18">
        <v>0</v>
      </c>
      <c r="G18" s="12">
        <v>2</v>
      </c>
      <c r="H18" s="12">
        <v>26</v>
      </c>
      <c r="I18" s="12" t="str">
        <v>MATERIALS</v>
      </c>
      <c r="J18" s="12" t="str">
        <v/>
      </c>
    </row>
    <row r="19" spans="1:10" x14ac:dyDescent="0.25">
      <c r="A19" t="str">
        <v>MATERIALS</v>
      </c>
      <c r="B19" t="str">
        <v>BRC Mesh A10 2.13m x 6.10m (Normal Spec) 3.2mm</v>
      </c>
      <c r="C19" t="str">
        <v>PCS</v>
      </c>
      <c r="D19">
        <v>214.99999999999997</v>
      </c>
      <c r="E19" s="12">
        <v>11.48</v>
      </c>
      <c r="F19" s="18">
        <v>0</v>
      </c>
      <c r="G19" s="12">
        <v>12</v>
      </c>
      <c r="H19" s="12">
        <v>2579.9999999999995</v>
      </c>
      <c r="I19" s="12" t="str">
        <v>MATERIALS</v>
      </c>
      <c r="J19" s="12" t="str">
        <v/>
      </c>
    </row>
    <row r="20" spans="1:10" x14ac:dyDescent="0.25">
      <c r="A20" t="str">
        <v>MATERIALS</v>
      </c>
      <c r="B20" t="str">
        <v>Butyl Flashing Tape 50.00mm x 5.00m</v>
      </c>
      <c r="C20" t="str">
        <v>ROLL</v>
      </c>
      <c r="D20">
        <v>15</v>
      </c>
      <c r="E20" s="12">
        <v>3.1500000000000004</v>
      </c>
      <c r="F20" s="18">
        <v>0</v>
      </c>
      <c r="G20" s="12">
        <v>4</v>
      </c>
      <c r="H20" s="12">
        <v>60</v>
      </c>
      <c r="I20" s="12" t="str">
        <v>MATERIALS</v>
      </c>
      <c r="J20" s="12" t="str">
        <v/>
      </c>
    </row>
    <row r="21" spans="1:10" x14ac:dyDescent="0.25">
      <c r="A21" t="str">
        <v>MATERIALS</v>
      </c>
      <c r="B21" t="str">
        <v>Cement Bricks 215 mm (L) x 102 mm (W) x 65 mm (H)</v>
      </c>
      <c r="C21" t="str">
        <v>PCS</v>
      </c>
      <c r="D21">
        <v>0.28000000000000003</v>
      </c>
      <c r="E21" s="12">
        <v>4017</v>
      </c>
      <c r="F21" s="18">
        <v>0</v>
      </c>
      <c r="G21" s="12">
        <v>4017</v>
      </c>
      <c r="H21" s="12">
        <v>1124.7600000000002</v>
      </c>
      <c r="I21" s="12" t="str">
        <v>MATERIALS</v>
      </c>
      <c r="J21" s="12" t="str">
        <v/>
      </c>
    </row>
    <row r="22" spans="1:10" x14ac:dyDescent="0.25">
      <c r="A22" t="str">
        <v>MATERIALS</v>
      </c>
      <c r="B22" t="str">
        <v>Coarse Sand (10-Wheel Truck)</v>
      </c>
      <c r="C22" t="str">
        <v>TRIP</v>
      </c>
      <c r="D22">
        <v>850.00000000000011</v>
      </c>
      <c r="E22" s="12">
        <v>1.0674999999999999</v>
      </c>
      <c r="F22" s="18">
        <v>0</v>
      </c>
      <c r="G22" s="12">
        <v>2</v>
      </c>
      <c r="H22" s="12">
        <v>1700.0000000000002</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830.00000000000011</v>
      </c>
      <c r="E26" s="12">
        <v>0.68</v>
      </c>
      <c r="F26" s="18">
        <v>0</v>
      </c>
      <c r="G26" s="12">
        <v>1</v>
      </c>
      <c r="H26" s="12">
        <v>830.00000000000011</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0.14000000000000001</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10.5</v>
      </c>
      <c r="F41" s="18">
        <v>0</v>
      </c>
      <c r="G41" s="12">
        <v>11</v>
      </c>
      <c r="H41" s="12">
        <v>308</v>
      </c>
      <c r="I41" s="12" t="str">
        <v>MATERIALS</v>
      </c>
      <c r="J41" s="12" t="str">
        <v/>
      </c>
    </row>
    <row r="42" spans="1:10" x14ac:dyDescent="0.25">
      <c r="A42" t="str">
        <v>MATERIALS</v>
      </c>
      <c r="B42" t="str">
        <v>Flexible Hose Latina 10"</v>
      </c>
      <c r="C42" t="str">
        <v>PCS</v>
      </c>
      <c r="D42">
        <v>6</v>
      </c>
      <c r="E42" s="12">
        <v>2</v>
      </c>
      <c r="F42" s="18">
        <v>0</v>
      </c>
      <c r="G42" s="12">
        <v>2</v>
      </c>
      <c r="H42" s="12">
        <v>12</v>
      </c>
      <c r="I42" s="12" t="str">
        <v>MATERIALS</v>
      </c>
      <c r="J42" s="12" t="str">
        <v/>
      </c>
    </row>
    <row r="43" spans="1:10" x14ac:dyDescent="0.25">
      <c r="A43" t="str">
        <v>MATERIALS</v>
      </c>
      <c r="B43" t="str">
        <v>GI Batten 32.00mm x 40.00mm x 0.42mm x 6.00m</v>
      </c>
      <c r="C43" t="str">
        <v>PCS</v>
      </c>
      <c r="D43">
        <v>22</v>
      </c>
      <c r="E43" s="12">
        <v>27.3</v>
      </c>
      <c r="F43" s="18">
        <v>0</v>
      </c>
      <c r="G43" s="12">
        <v>28</v>
      </c>
      <c r="H43" s="12">
        <v>616</v>
      </c>
      <c r="I43" s="12" t="str">
        <v>MATERIALS</v>
      </c>
      <c r="J43" s="12" t="str">
        <v/>
      </c>
    </row>
    <row r="44" spans="1:10" x14ac:dyDescent="0.25">
      <c r="A44" t="str">
        <v>MATERIALS</v>
      </c>
      <c r="B44" t="str">
        <v>GI Bracing 2440mm</v>
      </c>
      <c r="C44" t="str">
        <v>LTH</v>
      </c>
      <c r="D44">
        <v>3.5</v>
      </c>
      <c r="E44" s="12">
        <v>31.5</v>
      </c>
      <c r="F44" s="18">
        <v>0</v>
      </c>
      <c r="G44" s="12">
        <v>32</v>
      </c>
      <c r="H44" s="12">
        <v>112</v>
      </c>
      <c r="I44" s="12" t="str">
        <v>MATERIALS</v>
      </c>
      <c r="J44" s="12" t="str">
        <v/>
      </c>
    </row>
    <row r="45" spans="1:10" x14ac:dyDescent="0.25">
      <c r="A45" t="str">
        <v>MATERIALS</v>
      </c>
      <c r="B45" t="str">
        <v>GI Carrier Rail (MF) 4880.00mm</v>
      </c>
      <c r="C45" t="str">
        <v>PCS</v>
      </c>
      <c r="D45">
        <v>20</v>
      </c>
      <c r="E45" s="12">
        <v>12.600000000000001</v>
      </c>
      <c r="F45" s="18">
        <v>0</v>
      </c>
      <c r="G45" s="12">
        <v>13</v>
      </c>
      <c r="H45" s="12">
        <v>260</v>
      </c>
      <c r="I45" s="12" t="str">
        <v>MATERIALS</v>
      </c>
      <c r="J45" s="12" t="str">
        <v/>
      </c>
    </row>
    <row r="46" spans="1:10" x14ac:dyDescent="0.25">
      <c r="A46" t="str">
        <v>MATERIALS</v>
      </c>
      <c r="B46" t="str">
        <v>Gyproc Gypsum Board 4.00ft x 6.00ft x 9.00mm</v>
      </c>
      <c r="C46" t="str">
        <v>SHEET</v>
      </c>
      <c r="D46">
        <v>25</v>
      </c>
      <c r="E46" s="12">
        <v>13.65</v>
      </c>
      <c r="F46" s="18">
        <v>0</v>
      </c>
      <c r="G46" s="12">
        <v>14</v>
      </c>
      <c r="H46" s="12">
        <v>350</v>
      </c>
      <c r="I46" s="12" t="str">
        <v>MATERIALS</v>
      </c>
      <c r="J46" s="12" t="str">
        <v/>
      </c>
    </row>
    <row r="47" spans="1:10" x14ac:dyDescent="0.25">
      <c r="A47" t="str">
        <v>MATERIALS</v>
      </c>
      <c r="B47" t="str">
        <v>Hex Self-Drilling Screw DS525HW 10# x 1"</v>
      </c>
      <c r="C47" t="str">
        <v>PCS</v>
      </c>
      <c r="D47">
        <v>0.13</v>
      </c>
      <c r="E47" s="12">
        <v>1260</v>
      </c>
      <c r="F47" s="18">
        <v>0</v>
      </c>
      <c r="G47" s="12">
        <v>1260</v>
      </c>
      <c r="H47" s="12">
        <v>163.80000000000001</v>
      </c>
      <c r="I47" s="12" t="str">
        <v>MATERIALS</v>
      </c>
      <c r="J47" s="12" t="str">
        <v/>
      </c>
    </row>
    <row r="48" spans="1:10" x14ac:dyDescent="0.25">
      <c r="A48" t="str">
        <v>MATERIALS</v>
      </c>
      <c r="B48" t="str">
        <v>LED Downlight 4in 12W</v>
      </c>
      <c r="C48" t="str">
        <v>PCS</v>
      </c>
      <c r="D48">
        <v>9.9</v>
      </c>
      <c r="E48" s="12">
        <v>10</v>
      </c>
      <c r="F48" s="18">
        <v>0</v>
      </c>
      <c r="G48" s="12">
        <v>10</v>
      </c>
      <c r="H48" s="12">
        <v>99</v>
      </c>
      <c r="I48" s="12" t="str">
        <v>MATERIALS</v>
      </c>
      <c r="J48" s="12" t="str">
        <v/>
      </c>
    </row>
    <row r="49" spans="1:10" x14ac:dyDescent="0.25">
      <c r="A49" t="str">
        <v>MATERIALS</v>
      </c>
      <c r="B49" t="str">
        <v>Long Bend 4"</v>
      </c>
      <c r="C49" t="str">
        <v>PKT</v>
      </c>
      <c r="D49">
        <v>8.4</v>
      </c>
      <c r="E49" s="12">
        <v>1</v>
      </c>
      <c r="F49" s="18">
        <v>0</v>
      </c>
      <c r="G49" s="12">
        <v>1</v>
      </c>
      <c r="H49" s="12">
        <v>8.4</v>
      </c>
      <c r="I49" s="12" t="str">
        <v>MATERIALS</v>
      </c>
      <c r="J49" s="12" t="str">
        <v/>
      </c>
    </row>
    <row r="50" spans="1:10" x14ac:dyDescent="0.25">
      <c r="A50" t="str">
        <v>MATERIALS</v>
      </c>
      <c r="B50" t="str">
        <v>Mega PVC Cable 1.5mm2 (Black, SIRIM)</v>
      </c>
      <c r="C50" t="str">
        <v>ROLL</v>
      </c>
      <c r="D50">
        <v>92</v>
      </c>
      <c r="E50" s="12">
        <v>1</v>
      </c>
      <c r="F50" s="18">
        <v>0</v>
      </c>
      <c r="G50" s="12">
        <v>1</v>
      </c>
      <c r="H50" s="12">
        <v>92</v>
      </c>
      <c r="I50" s="12" t="str">
        <v>MATERIALS</v>
      </c>
      <c r="J50" s="12" t="str">
        <v/>
      </c>
    </row>
    <row r="51" spans="1:10" x14ac:dyDescent="0.25">
      <c r="A51" t="str">
        <v>MATERIALS</v>
      </c>
      <c r="B51" t="str">
        <v>Mega PVC Cable 1.5mm2 (Green, SIRIM)</v>
      </c>
      <c r="C51" t="str">
        <v>ROLL</v>
      </c>
      <c r="D51">
        <v>92</v>
      </c>
      <c r="E51" s="12">
        <v>1</v>
      </c>
      <c r="F51" s="18">
        <v>0</v>
      </c>
      <c r="G51" s="12">
        <v>1</v>
      </c>
      <c r="H51" s="12">
        <v>92</v>
      </c>
      <c r="I51" s="12" t="str">
        <v>MATERIALS</v>
      </c>
      <c r="J51" s="12" t="str">
        <v/>
      </c>
    </row>
    <row r="52" spans="1:10" x14ac:dyDescent="0.25">
      <c r="A52" t="str">
        <v>MATERIALS</v>
      </c>
      <c r="B52" t="str">
        <v>Mega PVC Cable 1.5mm2 (Red, SIRIM)</v>
      </c>
      <c r="C52" t="str">
        <v>ROLL</v>
      </c>
      <c r="D52">
        <v>92</v>
      </c>
      <c r="E52" s="12">
        <v>1</v>
      </c>
      <c r="F52" s="18">
        <v>0</v>
      </c>
      <c r="G52" s="12">
        <v>1</v>
      </c>
      <c r="H52" s="12">
        <v>92</v>
      </c>
      <c r="I52" s="12" t="str">
        <v>MATERIALS</v>
      </c>
      <c r="J52" s="12" t="str">
        <v/>
      </c>
    </row>
    <row r="53" spans="1:10" x14ac:dyDescent="0.25">
      <c r="A53" t="str">
        <v>MATERIALS</v>
      </c>
      <c r="B53" t="str">
        <v>Mega PVC Cable 2.5mm2 (Black, SIRIM)</v>
      </c>
      <c r="C53" t="str">
        <v>ROLL</v>
      </c>
      <c r="D53">
        <v>146</v>
      </c>
      <c r="E53" s="12">
        <v>1</v>
      </c>
      <c r="F53" s="18">
        <v>0</v>
      </c>
      <c r="G53" s="12">
        <v>1</v>
      </c>
      <c r="H53" s="12">
        <v>146</v>
      </c>
      <c r="I53" s="12" t="str">
        <v>MATERIALS</v>
      </c>
      <c r="J53" s="12" t="str">
        <v/>
      </c>
    </row>
    <row r="54" spans="1:10" x14ac:dyDescent="0.25">
      <c r="A54" t="str">
        <v>MATERIALS</v>
      </c>
      <c r="B54" t="str">
        <v>Mega PVC Cable 2.5mm2 (Green, SIRIM)</v>
      </c>
      <c r="C54" t="str">
        <v>ROLL</v>
      </c>
      <c r="D54">
        <v>146</v>
      </c>
      <c r="E54" s="12">
        <v>1</v>
      </c>
      <c r="F54" s="18">
        <v>0</v>
      </c>
      <c r="G54" s="12">
        <v>1</v>
      </c>
      <c r="H54" s="12">
        <v>146</v>
      </c>
      <c r="I54" s="12" t="str">
        <v>MATERIALS</v>
      </c>
      <c r="J54" s="12" t="str">
        <v/>
      </c>
    </row>
    <row r="55" spans="1:10" x14ac:dyDescent="0.25">
      <c r="A55" t="str">
        <v>MATERIALS</v>
      </c>
      <c r="B55" t="str">
        <v>Mega PVC Cable 2.5mm2 (Red, SIRIM)</v>
      </c>
      <c r="C55" t="str">
        <v>ROLL</v>
      </c>
      <c r="D55">
        <v>146</v>
      </c>
      <c r="E55" s="12">
        <v>1</v>
      </c>
      <c r="F55" s="18">
        <v>0</v>
      </c>
      <c r="G55" s="12">
        <v>1</v>
      </c>
      <c r="H55" s="12">
        <v>146</v>
      </c>
      <c r="I55" s="12" t="str">
        <v>MATERIALS</v>
      </c>
      <c r="J55" s="12" t="str">
        <v/>
      </c>
    </row>
    <row r="56" spans="1:10" x14ac:dyDescent="0.25">
      <c r="A56" t="str">
        <v>MATERIALS</v>
      </c>
      <c r="B56" t="str">
        <v>Mixed Timber 2" x 3" x 10ft (Grade A)</v>
      </c>
      <c r="C56" t="str">
        <v>LTH</v>
      </c>
      <c r="D56">
        <v>15</v>
      </c>
      <c r="E56" s="12">
        <v>76.5</v>
      </c>
      <c r="F56" s="18">
        <v>0</v>
      </c>
      <c r="G56" s="12">
        <v>77</v>
      </c>
      <c r="H56" s="12">
        <v>1155</v>
      </c>
      <c r="I56" s="12" t="str">
        <v>MATERIALS</v>
      </c>
      <c r="J56" s="12" t="str">
        <v/>
      </c>
    </row>
    <row r="57" spans="1:10" x14ac:dyDescent="0.25">
      <c r="A57" t="str">
        <v>MATERIALS</v>
      </c>
      <c r="B57" t="str">
        <v>ML7025-SS Armor Lever Mortise</v>
      </c>
      <c r="C57" t="str">
        <v>SET</v>
      </c>
      <c r="D57">
        <v>60</v>
      </c>
      <c r="E57" s="12">
        <v>1</v>
      </c>
      <c r="F57" s="18">
        <v>0</v>
      </c>
      <c r="G57" s="12">
        <v>1</v>
      </c>
      <c r="H57" s="12">
        <v>60</v>
      </c>
      <c r="I57" s="12" t="str">
        <v>MATERIALS</v>
      </c>
      <c r="J57" s="12" t="str">
        <v/>
      </c>
    </row>
    <row r="58" spans="1:10" x14ac:dyDescent="0.25">
      <c r="A58" t="str">
        <v>MATERIALS</v>
      </c>
      <c r="B58" t="str">
        <v>MS Deformed Bar Y10 12.00m (Main Bars)</v>
      </c>
      <c r="C58" t="str">
        <v>BAR</v>
      </c>
      <c r="D58">
        <v>22</v>
      </c>
      <c r="E58" s="12">
        <v>19.950000000000003</v>
      </c>
      <c r="F58" s="18">
        <v>0</v>
      </c>
      <c r="G58" s="12">
        <v>20</v>
      </c>
      <c r="H58" s="12">
        <v>440</v>
      </c>
      <c r="I58" s="12" t="str">
        <v>MATERIALS</v>
      </c>
      <c r="J58" s="12" t="str">
        <v/>
      </c>
    </row>
    <row r="59" spans="1:10" x14ac:dyDescent="0.25">
      <c r="A59" t="str">
        <v>MATERIALS</v>
      </c>
      <c r="B59" t="str">
        <v>MS Deformed Bar Y12 12.00m</v>
      </c>
      <c r="C59" t="str">
        <v>BAR</v>
      </c>
      <c r="D59">
        <v>28</v>
      </c>
      <c r="E59" s="12">
        <v>102</v>
      </c>
      <c r="F59" s="18">
        <v>0</v>
      </c>
      <c r="G59" s="12">
        <v>102</v>
      </c>
      <c r="H59" s="12">
        <v>2856</v>
      </c>
      <c r="I59" s="12" t="str">
        <v>MATERIALS</v>
      </c>
      <c r="J59" s="12" t="str">
        <v/>
      </c>
    </row>
    <row r="60" spans="1:10" x14ac:dyDescent="0.25">
      <c r="A60" t="str">
        <v>MATERIALS</v>
      </c>
      <c r="B60" t="str">
        <v>MS Round Bar R6 12.00m</v>
      </c>
      <c r="C60" t="str">
        <v>BAR</v>
      </c>
      <c r="D60">
        <v>15</v>
      </c>
      <c r="E60" s="12">
        <v>57.6</v>
      </c>
      <c r="F60" s="18">
        <v>0</v>
      </c>
      <c r="G60" s="12">
        <v>58</v>
      </c>
      <c r="H60" s="12">
        <v>870</v>
      </c>
      <c r="I60" s="12" t="str">
        <v>MATERIALS</v>
      </c>
      <c r="J60" s="12" t="str">
        <v/>
      </c>
    </row>
    <row r="61" spans="1:10" x14ac:dyDescent="0.25">
      <c r="A61" t="str">
        <v>MATERIALS</v>
      </c>
      <c r="B61" t="str">
        <v>MS SHS Square Hollow 2" 1.6mm x 6m</v>
      </c>
      <c r="C61" t="str">
        <v>LTH</v>
      </c>
      <c r="D61">
        <v>55</v>
      </c>
      <c r="E61" s="12">
        <v>16.8</v>
      </c>
      <c r="F61" s="18">
        <v>0</v>
      </c>
      <c r="G61" s="12">
        <v>17</v>
      </c>
      <c r="H61" s="12">
        <v>935</v>
      </c>
      <c r="I61" s="12" t="str">
        <v>MATERIALS</v>
      </c>
      <c r="J61" s="12" t="str">
        <v/>
      </c>
    </row>
    <row r="62" spans="1:10" x14ac:dyDescent="0.25">
      <c r="A62" t="str">
        <v>MATERIALS</v>
      </c>
      <c r="B62" t="str">
        <v>Newton LED Batten 4ft Single Fitting C/W SBE LED Tube 22W 6500K</v>
      </c>
      <c r="C62" t="str">
        <v>SET</v>
      </c>
      <c r="D62">
        <v>13</v>
      </c>
      <c r="E62" s="12">
        <v>2</v>
      </c>
      <c r="F62" s="18">
        <v>0</v>
      </c>
      <c r="G62" s="12">
        <v>2</v>
      </c>
      <c r="H62" s="12">
        <v>26</v>
      </c>
      <c r="I62" s="12" t="str">
        <v>MATERIALS</v>
      </c>
      <c r="J62" s="12" t="str">
        <v/>
      </c>
    </row>
    <row r="63" spans="1:10" x14ac:dyDescent="0.25">
      <c r="A63" t="str">
        <v>MATERIALS</v>
      </c>
      <c r="B63" t="str">
        <v>Plaster Ceiling Manhole 12"</v>
      </c>
      <c r="C63" t="str">
        <v>PCS</v>
      </c>
      <c r="D63">
        <v>13</v>
      </c>
      <c r="E63" s="12">
        <v>2</v>
      </c>
      <c r="F63" s="18">
        <v>0</v>
      </c>
      <c r="G63" s="12">
        <v>2</v>
      </c>
      <c r="H63" s="12">
        <v>26</v>
      </c>
      <c r="I63" s="12" t="str">
        <v>MATERIALS</v>
      </c>
      <c r="J63" s="12" t="str">
        <v/>
      </c>
    </row>
    <row r="64" spans="1:10" x14ac:dyDescent="0.25">
      <c r="A64" t="str">
        <v>MATERIALS</v>
      </c>
      <c r="B64" t="str">
        <v>Plastic Tarpaulin Sheet 12 x 18ft</v>
      </c>
      <c r="C64" t="str">
        <v>PCS</v>
      </c>
      <c r="D64">
        <v>65</v>
      </c>
      <c r="E64" s="12">
        <v>2</v>
      </c>
      <c r="F64" s="18">
        <v>0</v>
      </c>
      <c r="G64" s="12">
        <v>2</v>
      </c>
      <c r="H64" s="12">
        <v>130</v>
      </c>
      <c r="I64" s="12" t="str">
        <v>MATERIALS</v>
      </c>
      <c r="J64" s="12" t="str">
        <v/>
      </c>
    </row>
    <row r="65" spans="1:10" x14ac:dyDescent="0.25">
      <c r="A65" t="str">
        <v>MATERIALS</v>
      </c>
      <c r="B65" t="str">
        <v>Plywood 9mm 4ft x 8ft</v>
      </c>
      <c r="C65" t="str">
        <v>SHEET</v>
      </c>
      <c r="D65">
        <v>44.999999999999993</v>
      </c>
      <c r="E65" s="12">
        <v>45.400000000000006</v>
      </c>
      <c r="F65" s="18">
        <v>0</v>
      </c>
      <c r="G65" s="12">
        <v>46</v>
      </c>
      <c r="H65" s="12">
        <v>2069.9999999999995</v>
      </c>
      <c r="I65" s="12" t="str">
        <v>MATERIALS</v>
      </c>
      <c r="J65" s="12" t="str">
        <v/>
      </c>
    </row>
    <row r="66" spans="1:10" x14ac:dyDescent="0.25">
      <c r="A66" t="str">
        <v>MATERIALS</v>
      </c>
      <c r="B66" t="str">
        <v>Poly Rope 6mm Blue</v>
      </c>
      <c r="C66" t="str">
        <v>ROLL</v>
      </c>
      <c r="D66">
        <v>15</v>
      </c>
      <c r="E66" s="12">
        <v>1</v>
      </c>
      <c r="F66" s="18">
        <v>0</v>
      </c>
      <c r="G66" s="12">
        <v>1</v>
      </c>
      <c r="H66" s="12">
        <v>15</v>
      </c>
      <c r="I66" s="12" t="str">
        <v>MATERIALS</v>
      </c>
      <c r="J66" s="12" t="str">
        <v/>
      </c>
    </row>
    <row r="67" spans="1:10" x14ac:dyDescent="0.25">
      <c r="A67" t="str">
        <v>MATERIALS</v>
      </c>
      <c r="B67" t="str">
        <v>Poly Sealant 280ml</v>
      </c>
      <c r="C67" t="str">
        <v>PCS</v>
      </c>
      <c r="D67">
        <v>5.5</v>
      </c>
      <c r="E67" s="12">
        <v>4.2</v>
      </c>
      <c r="F67" s="18">
        <v>0</v>
      </c>
      <c r="G67" s="12">
        <v>5</v>
      </c>
      <c r="H67" s="12">
        <v>27.5</v>
      </c>
      <c r="I67" s="12" t="str">
        <v>MATERIALS</v>
      </c>
      <c r="J67" s="12" t="str">
        <v/>
      </c>
    </row>
    <row r="68" spans="1:10" x14ac:dyDescent="0.25">
      <c r="A68" t="str">
        <v>MATERIALS</v>
      </c>
      <c r="B68" t="str">
        <v>Primaflex Fibre Cement Board 4.00ft x 4.00ft</v>
      </c>
      <c r="C68" t="str">
        <v>SHEET</v>
      </c>
      <c r="D68">
        <v>13</v>
      </c>
      <c r="E68" s="12">
        <v>5.25</v>
      </c>
      <c r="F68" s="18">
        <v>0</v>
      </c>
      <c r="G68" s="12">
        <v>6</v>
      </c>
      <c r="H68" s="12">
        <v>78</v>
      </c>
      <c r="I68" s="12" t="str">
        <v>MATERIALS</v>
      </c>
      <c r="J68" s="12" t="str">
        <v/>
      </c>
    </row>
    <row r="69" spans="1:10" x14ac:dyDescent="0.25">
      <c r="A69" t="str">
        <v>MATERIALS</v>
      </c>
      <c r="B69" t="str">
        <v>PVC Concealed Box 1 Gang</v>
      </c>
      <c r="C69" t="str">
        <v>UNIT</v>
      </c>
      <c r="D69">
        <v>0.35</v>
      </c>
      <c r="E69" s="12">
        <v>15</v>
      </c>
      <c r="F69" s="18">
        <v>0</v>
      </c>
      <c r="G69" s="12">
        <v>15</v>
      </c>
      <c r="H69" s="12">
        <v>5.25</v>
      </c>
      <c r="I69" s="12" t="str">
        <v>MATERIALS</v>
      </c>
      <c r="J69" s="12" t="str">
        <v/>
      </c>
    </row>
    <row r="70" spans="1:10" x14ac:dyDescent="0.25">
      <c r="A70" t="str">
        <v>MATERIALS</v>
      </c>
      <c r="B70" t="str">
        <v>PVC Conduit Pipe 20mm (10ft)</v>
      </c>
      <c r="C70" t="str">
        <v>LTH</v>
      </c>
      <c r="D70">
        <v>6.8</v>
      </c>
      <c r="E70" s="12">
        <v>15</v>
      </c>
      <c r="F70" s="18">
        <v>0</v>
      </c>
      <c r="G70" s="12">
        <v>15</v>
      </c>
      <c r="H70" s="12">
        <v>102</v>
      </c>
      <c r="I70" s="12" t="str">
        <v>MATERIALS</v>
      </c>
      <c r="J70" s="12" t="str">
        <v/>
      </c>
    </row>
    <row r="71" spans="1:10" x14ac:dyDescent="0.25">
      <c r="A71" t="str">
        <v>MATERIALS</v>
      </c>
      <c r="B71" t="str">
        <v>PVC Conduit Pipe 25mm (10ft)</v>
      </c>
      <c r="C71" t="str">
        <v>LTH</v>
      </c>
      <c r="D71">
        <v>10.199999999999999</v>
      </c>
      <c r="E71" s="12">
        <v>12</v>
      </c>
      <c r="F71" s="18">
        <v>0</v>
      </c>
      <c r="G71" s="12">
        <v>12</v>
      </c>
      <c r="H71" s="12">
        <v>122.39999999999999</v>
      </c>
      <c r="I71" s="12" t="str">
        <v>MATERIALS</v>
      </c>
      <c r="J71" s="12" t="str">
        <v/>
      </c>
    </row>
    <row r="72" spans="1:10" x14ac:dyDescent="0.25">
      <c r="A72" t="str">
        <v>MATERIALS</v>
      </c>
      <c r="B72" t="str">
        <v>PVC Elbow 90 Degree 25mm</v>
      </c>
      <c r="C72" t="str">
        <v>PKT</v>
      </c>
      <c r="D72">
        <v>1.36</v>
      </c>
      <c r="E72" s="12">
        <v>2</v>
      </c>
      <c r="F72" s="18">
        <v>0</v>
      </c>
      <c r="G72" s="12">
        <v>2</v>
      </c>
      <c r="H72" s="12">
        <v>2.72</v>
      </c>
      <c r="I72" s="12" t="str">
        <v>MATERIALS</v>
      </c>
      <c r="J72" s="12" t="str">
        <v/>
      </c>
    </row>
    <row r="73" spans="1:10" x14ac:dyDescent="0.25">
      <c r="A73" t="str">
        <v>MATERIALS</v>
      </c>
      <c r="B73" t="str">
        <v>PVC Fitting Double End Socket 100mm (4")</v>
      </c>
      <c r="C73" t="str">
        <v>PCS</v>
      </c>
      <c r="D73">
        <v>9.5</v>
      </c>
      <c r="E73" s="12">
        <v>2.1</v>
      </c>
      <c r="F73" s="18">
        <v>0</v>
      </c>
      <c r="G73" s="12">
        <v>3</v>
      </c>
      <c r="H73" s="12">
        <v>28.5</v>
      </c>
      <c r="I73" s="12" t="str">
        <v>MATERIALS</v>
      </c>
      <c r="J73" s="12" t="str">
        <v/>
      </c>
    </row>
    <row r="74" spans="1:10" x14ac:dyDescent="0.25">
      <c r="A74" t="str">
        <v>MATERIALS</v>
      </c>
      <c r="B74" t="str">
        <v>PVC Fitting Double End Socket 50mm (2")</v>
      </c>
      <c r="C74" t="str">
        <v>PCS</v>
      </c>
      <c r="D74">
        <v>4.3</v>
      </c>
      <c r="E74" s="12">
        <v>6.3000000000000007</v>
      </c>
      <c r="F74" s="18">
        <v>0</v>
      </c>
      <c r="G74" s="12">
        <v>7</v>
      </c>
      <c r="H74" s="12">
        <v>30.099999999999998</v>
      </c>
      <c r="I74" s="12" t="str">
        <v>MATERIALS</v>
      </c>
      <c r="J74" s="12" t="str">
        <v/>
      </c>
    </row>
    <row r="75" spans="1:10" x14ac:dyDescent="0.25">
      <c r="A75" t="str">
        <v>MATERIALS</v>
      </c>
      <c r="B75" t="str">
        <v>PVC P/T Socket Brass Thread 1/2"</v>
      </c>
      <c r="C75" t="str">
        <v>PCS</v>
      </c>
      <c r="D75">
        <v>3</v>
      </c>
      <c r="E75" s="12">
        <v>5.25</v>
      </c>
      <c r="F75" s="18">
        <v>0</v>
      </c>
      <c r="G75" s="12">
        <v>6</v>
      </c>
      <c r="H75" s="12">
        <v>18</v>
      </c>
      <c r="I75" s="12" t="str">
        <v>MATERIALS</v>
      </c>
      <c r="J75" s="12" t="str">
        <v/>
      </c>
    </row>
    <row r="76" spans="1:10" x14ac:dyDescent="0.25">
      <c r="A76" t="str">
        <v>MATERIALS</v>
      </c>
      <c r="B76" t="str">
        <v>PVC Pipe Class 6 Dia15.00mm (1/2") x 5.80m/Length</v>
      </c>
      <c r="C76" t="str">
        <v>LTH</v>
      </c>
      <c r="D76">
        <v>12.6</v>
      </c>
      <c r="E76" s="12">
        <v>4.2</v>
      </c>
      <c r="F76" s="18">
        <v>0</v>
      </c>
      <c r="G76" s="12">
        <v>5</v>
      </c>
      <c r="H76" s="12">
        <v>63</v>
      </c>
      <c r="I76" s="12" t="str">
        <v>MATERIALS</v>
      </c>
      <c r="J76" s="12" t="str">
        <v/>
      </c>
    </row>
    <row r="77" spans="1:10" x14ac:dyDescent="0.25">
      <c r="A77" t="str">
        <v>MATERIALS</v>
      </c>
      <c r="B77" t="str">
        <v>PVC Solvent Cement Glue 500g (Arrow, Orange)</v>
      </c>
      <c r="C77" t="str">
        <v>PCS</v>
      </c>
      <c r="D77">
        <v>1</v>
      </c>
      <c r="E77" s="12">
        <v>1</v>
      </c>
      <c r="F77" s="18">
        <v>0</v>
      </c>
      <c r="G77" s="12">
        <v>1</v>
      </c>
      <c r="H77" s="12">
        <v>1</v>
      </c>
      <c r="I77" s="12" t="str">
        <v>MATERIALS</v>
      </c>
      <c r="J77" s="12" t="str">
        <v/>
      </c>
    </row>
    <row r="78" spans="1:10" x14ac:dyDescent="0.25">
      <c r="A78" t="str">
        <v>MATERIALS</v>
      </c>
      <c r="B78" t="str">
        <v>PVC Tile Spacer 2mm</v>
      </c>
      <c r="C78" t="str">
        <v>PACK</v>
      </c>
      <c r="D78">
        <v>1</v>
      </c>
      <c r="E78" s="12">
        <v>12</v>
      </c>
      <c r="F78" s="18">
        <v>0</v>
      </c>
      <c r="G78" s="12">
        <v>12</v>
      </c>
      <c r="H78" s="12">
        <v>12</v>
      </c>
      <c r="I78" s="12" t="str">
        <v>MATERIALS</v>
      </c>
      <c r="J78" s="12" t="str">
        <v/>
      </c>
    </row>
    <row r="79" spans="1:10" x14ac:dyDescent="0.25">
      <c r="A79" t="str">
        <v>MATERIALS</v>
      </c>
      <c r="B79" t="str">
        <v>Raw Plywood Door (Unfinished) - Up to 36"W x 84"H (Custom Size)</v>
      </c>
      <c r="C79" t="str">
        <v>PCS</v>
      </c>
      <c r="D79">
        <v>150</v>
      </c>
      <c r="E79" s="12">
        <v>1</v>
      </c>
      <c r="F79" s="18">
        <v>0</v>
      </c>
      <c r="G79" s="12">
        <v>1</v>
      </c>
      <c r="H79" s="12">
        <v>150</v>
      </c>
      <c r="I79" s="12" t="str">
        <v>MATERIALS</v>
      </c>
      <c r="J79" s="12" t="str">
        <v/>
      </c>
    </row>
    <row r="80" spans="1:10" x14ac:dyDescent="0.25">
      <c r="A80" t="str">
        <v>MATERIALS</v>
      </c>
      <c r="B80" t="str">
        <v>Ready Mix Concrete G20 (Per m3)</v>
      </c>
      <c r="C80" t="str">
        <v>M3</v>
      </c>
      <c r="D80">
        <v>329.99999999999994</v>
      </c>
      <c r="E80" s="12">
        <v>6.7700000000000005</v>
      </c>
      <c r="F80" s="18">
        <v>0</v>
      </c>
      <c r="G80" s="12">
        <v>7</v>
      </c>
      <c r="H80" s="12">
        <v>2309.9999999999995</v>
      </c>
      <c r="I80" s="12" t="str">
        <v>MATERIALS</v>
      </c>
      <c r="J80" s="12" t="str">
        <v/>
      </c>
    </row>
    <row r="81" spans="1:10" x14ac:dyDescent="0.25">
      <c r="A81" t="str">
        <v>MATERIALS</v>
      </c>
      <c r="B81" t="str">
        <v>Ready Mix Concrete G25 (Per m3)</v>
      </c>
      <c r="C81" t="str">
        <v>M3</v>
      </c>
      <c r="D81">
        <v>340</v>
      </c>
      <c r="E81" s="12">
        <v>6.05</v>
      </c>
      <c r="F81" s="18">
        <v>0</v>
      </c>
      <c r="G81" s="12">
        <v>7</v>
      </c>
      <c r="H81" s="12">
        <v>2380</v>
      </c>
      <c r="I81" s="12" t="str">
        <v>MATERIALS</v>
      </c>
      <c r="J81" s="12" t="str">
        <v/>
      </c>
    </row>
    <row r="82" spans="1:10" x14ac:dyDescent="0.25">
      <c r="A82" t="str">
        <v>MATERIALS</v>
      </c>
      <c r="B82" t="str">
        <v>Sanding Paper 120G</v>
      </c>
      <c r="C82" t="str">
        <v>PCS</v>
      </c>
      <c r="D82">
        <v>0.3</v>
      </c>
      <c r="E82" s="12">
        <v>6.6000000000000005</v>
      </c>
      <c r="F82" s="18">
        <v>0</v>
      </c>
      <c r="G82" s="12">
        <v>7</v>
      </c>
      <c r="H82" s="12">
        <v>2.1</v>
      </c>
      <c r="I82" s="12" t="str">
        <v>MATERIALS</v>
      </c>
      <c r="J82" s="12" t="str">
        <v/>
      </c>
    </row>
    <row r="83" spans="1:10" x14ac:dyDescent="0.25">
      <c r="A83" t="str">
        <v>MATERIALS</v>
      </c>
      <c r="B83" t="str">
        <v>Sanding Paper 240G</v>
      </c>
      <c r="C83" t="str">
        <v>PCS</v>
      </c>
      <c r="D83">
        <v>0.3</v>
      </c>
      <c r="E83" s="12">
        <v>6.6000000000000005</v>
      </c>
      <c r="F83" s="18">
        <v>0</v>
      </c>
      <c r="G83" s="12">
        <v>7</v>
      </c>
      <c r="H83" s="12">
        <v>2.1</v>
      </c>
      <c r="I83" s="12" t="str">
        <v>MATERIALS</v>
      </c>
      <c r="J83" s="12" t="str">
        <v/>
      </c>
    </row>
    <row r="84" spans="1:10" x14ac:dyDescent="0.25">
      <c r="A84" t="str">
        <v>MATERIALS</v>
      </c>
      <c r="B84" t="str">
        <v>Sanding Paper 400G</v>
      </c>
      <c r="C84" t="str">
        <v>PCS</v>
      </c>
      <c r="D84">
        <v>0.3</v>
      </c>
      <c r="E84" s="12">
        <v>6.6000000000000005</v>
      </c>
      <c r="F84" s="18">
        <v>0</v>
      </c>
      <c r="G84" s="12">
        <v>7</v>
      </c>
      <c r="H84" s="12">
        <v>2.1</v>
      </c>
      <c r="I84" s="12" t="str">
        <v>MATERIALS</v>
      </c>
      <c r="J84" s="12" t="str">
        <v/>
      </c>
    </row>
    <row r="85" spans="1:10" x14ac:dyDescent="0.25">
      <c r="A85" t="str">
        <v>MATERIALS</v>
      </c>
      <c r="B85" t="str">
        <v>Schneider Socket 13A (Single)</v>
      </c>
      <c r="C85" t="str">
        <v>UNIT</v>
      </c>
      <c r="D85">
        <v>8.5</v>
      </c>
      <c r="E85" s="12">
        <v>10</v>
      </c>
      <c r="F85" s="18">
        <v>0</v>
      </c>
      <c r="G85" s="12">
        <v>10</v>
      </c>
      <c r="H85" s="12">
        <v>85</v>
      </c>
      <c r="I85" s="12" t="str">
        <v>MATERIALS</v>
      </c>
      <c r="J85" s="12" t="str">
        <v/>
      </c>
    </row>
    <row r="86" spans="1:10" x14ac:dyDescent="0.25">
      <c r="A86" t="str">
        <v>MATERIALS</v>
      </c>
      <c r="B86" t="str">
        <v>Schneider Switch 1 Gang</v>
      </c>
      <c r="C86" t="str">
        <v>UNIT</v>
      </c>
      <c r="D86">
        <v>5.9</v>
      </c>
      <c r="E86" s="12">
        <v>5</v>
      </c>
      <c r="F86" s="18">
        <v>0</v>
      </c>
      <c r="G86" s="12">
        <v>5</v>
      </c>
      <c r="H86" s="12">
        <v>29.5</v>
      </c>
      <c r="I86" s="12" t="str">
        <v>MATERIALS</v>
      </c>
      <c r="J86" s="12" t="str">
        <v/>
      </c>
    </row>
    <row r="87" spans="1:10" x14ac:dyDescent="0.25">
      <c r="A87" t="str">
        <v>MATERIALS</v>
      </c>
      <c r="B87" t="str">
        <v>SIKA Curing Compound Antisol E 20.00L</v>
      </c>
      <c r="C87" t="str">
        <v>PAIL</v>
      </c>
      <c r="D87">
        <v>130</v>
      </c>
      <c r="E87" s="12">
        <v>6</v>
      </c>
      <c r="F87" s="18">
        <v>0</v>
      </c>
      <c r="G87" s="12">
        <v>6</v>
      </c>
      <c r="H87" s="12">
        <v>780</v>
      </c>
      <c r="I87" s="12" t="str">
        <v>MATERIALS</v>
      </c>
      <c r="J87" s="12" t="str">
        <v/>
      </c>
    </row>
    <row r="88" spans="1:10" x14ac:dyDescent="0.25">
      <c r="A88" t="str">
        <v>MATERIALS</v>
      </c>
      <c r="B88" t="str">
        <v>Sika Wall 191 Coarse (White) 25kg</v>
      </c>
      <c r="C88" t="str">
        <v>BAG</v>
      </c>
      <c r="D88">
        <v>17.5</v>
      </c>
      <c r="E88" s="12">
        <v>4.2</v>
      </c>
      <c r="F88" s="18">
        <v>0</v>
      </c>
      <c r="G88" s="12">
        <v>5</v>
      </c>
      <c r="H88" s="12">
        <v>87.5</v>
      </c>
      <c r="I88" s="12" t="str">
        <v>MATERIALS</v>
      </c>
      <c r="J88" s="12" t="str">
        <v/>
      </c>
    </row>
    <row r="89" spans="1:10" x14ac:dyDescent="0.25">
      <c r="A89" t="str">
        <v>MATERIALS</v>
      </c>
      <c r="B89" t="str">
        <v>Sika Wall 192 Fine (White) 25kg</v>
      </c>
      <c r="C89" t="str">
        <v>BAG</v>
      </c>
      <c r="D89">
        <v>17.5</v>
      </c>
      <c r="E89" s="12">
        <v>4.2</v>
      </c>
      <c r="F89" s="18">
        <v>0</v>
      </c>
      <c r="G89" s="12">
        <v>5</v>
      </c>
      <c r="H89" s="12">
        <v>87.5</v>
      </c>
      <c r="I89" s="12" t="str">
        <v>MATERIALS</v>
      </c>
      <c r="J89" s="12" t="str">
        <v/>
      </c>
    </row>
    <row r="90" spans="1:10" x14ac:dyDescent="0.25">
      <c r="A90" t="str">
        <v>MATERIALS</v>
      </c>
      <c r="B90" t="str">
        <v>SIKA Waterproof Compound Top Seal 107 (A+B) 25.00kg</v>
      </c>
      <c r="C90" t="str">
        <v>SET</v>
      </c>
      <c r="D90">
        <v>105</v>
      </c>
      <c r="E90" s="12">
        <v>5</v>
      </c>
      <c r="F90" s="18">
        <v>0</v>
      </c>
      <c r="G90" s="12">
        <v>5</v>
      </c>
      <c r="H90" s="12">
        <v>525</v>
      </c>
      <c r="I90" s="12" t="str">
        <v>MATERIALS</v>
      </c>
      <c r="J90" s="12" t="str">
        <v/>
      </c>
    </row>
    <row r="91" spans="1:10" x14ac:dyDescent="0.25">
      <c r="A91" t="str">
        <v>MATERIALS</v>
      </c>
      <c r="B91" t="str">
        <v>Smart Paint 5400 Wall Sealer Exterior &amp; Interior Wall Undercoat 18L</v>
      </c>
      <c r="C91" t="str">
        <v>PAIL</v>
      </c>
      <c r="D91">
        <v>160</v>
      </c>
      <c r="E91" s="12">
        <v>1.1000000000000001</v>
      </c>
      <c r="F91" s="18">
        <v>0</v>
      </c>
      <c r="G91" s="12">
        <v>2</v>
      </c>
      <c r="H91" s="12">
        <v>320</v>
      </c>
      <c r="I91" s="12" t="str">
        <v>MATERIALS</v>
      </c>
      <c r="J91" s="12" t="str">
        <v/>
      </c>
    </row>
    <row r="92" spans="1:10" x14ac:dyDescent="0.25">
      <c r="A92" t="str">
        <v>MATERIALS</v>
      </c>
      <c r="B92" t="str">
        <v>Taipoly Copper Rod 13.7mm x 5ft (SIRIM JKR)</v>
      </c>
      <c r="C92" t="str">
        <v>LTH</v>
      </c>
      <c r="D92">
        <v>48</v>
      </c>
      <c r="E92" s="12">
        <v>1</v>
      </c>
      <c r="F92" s="18">
        <v>0</v>
      </c>
      <c r="G92" s="12">
        <v>1</v>
      </c>
      <c r="H92" s="12">
        <v>48</v>
      </c>
      <c r="I92" s="12" t="str">
        <v>MATERIALS</v>
      </c>
      <c r="J92" s="12" t="str">
        <v/>
      </c>
    </row>
    <row r="93" spans="1:10" x14ac:dyDescent="0.25">
      <c r="A93" t="str">
        <v>MATERIALS</v>
      </c>
      <c r="B93" t="str">
        <v>Talc Chalk</v>
      </c>
      <c r="C93" t="str">
        <v>PCS</v>
      </c>
      <c r="D93">
        <v>4</v>
      </c>
      <c r="E93" s="12">
        <v>1</v>
      </c>
      <c r="F93" s="18">
        <v>0</v>
      </c>
      <c r="G93" s="12">
        <v>1</v>
      </c>
      <c r="H93" s="12">
        <v>4</v>
      </c>
      <c r="I93" s="12" t="str">
        <v>MATERIALS</v>
      </c>
      <c r="J93" s="12" t="str">
        <v/>
      </c>
    </row>
    <row r="94" spans="1:10" x14ac:dyDescent="0.25">
      <c r="A94" t="str">
        <v>MATERIALS</v>
      </c>
      <c r="B94" t="str">
        <v>TH Deck 762 Metal Roofing 0.47mm G26 TCT</v>
      </c>
      <c r="C94" t="str">
        <v>FT-RUN</v>
      </c>
      <c r="D94">
        <v>5.5</v>
      </c>
      <c r="E94" s="12">
        <v>1005.9000000000001</v>
      </c>
      <c r="F94" s="18">
        <v>0</v>
      </c>
      <c r="G94" s="12">
        <v>1006</v>
      </c>
      <c r="H94" s="12">
        <v>5533</v>
      </c>
      <c r="I94" s="12" t="str">
        <v>MATERIALS</v>
      </c>
      <c r="J94" s="12" t="str">
        <v/>
      </c>
    </row>
    <row r="95" spans="1:10" x14ac:dyDescent="0.25">
      <c r="A95" t="str">
        <v>MATERIALS</v>
      </c>
      <c r="B95" t="str">
        <v>Tile 300mm x 300mm</v>
      </c>
      <c r="C95" t="str">
        <v>PCS</v>
      </c>
      <c r="D95">
        <v>4.5</v>
      </c>
      <c r="E95" s="12">
        <v>273</v>
      </c>
      <c r="F95" s="18">
        <v>0</v>
      </c>
      <c r="G95" s="12">
        <v>273</v>
      </c>
      <c r="H95" s="12">
        <v>1228.5</v>
      </c>
      <c r="I95" s="12" t="str">
        <v>MATERIALS</v>
      </c>
      <c r="J95" s="12" t="str">
        <v/>
      </c>
    </row>
    <row r="96" spans="1:10" x14ac:dyDescent="0.25">
      <c r="A96" t="str">
        <v>MATERIALS</v>
      </c>
      <c r="B96" t="str">
        <v>Tile 300mm x 600mm</v>
      </c>
      <c r="C96" t="str">
        <v>PCS</v>
      </c>
      <c r="D96">
        <v>6.5</v>
      </c>
      <c r="E96" s="12">
        <v>166</v>
      </c>
      <c r="F96" s="18">
        <v>0</v>
      </c>
      <c r="G96" s="12">
        <v>166</v>
      </c>
      <c r="H96" s="12">
        <v>1079</v>
      </c>
      <c r="I96" s="12" t="str">
        <v>MATERIALS</v>
      </c>
      <c r="J96" s="12" t="str">
        <v/>
      </c>
    </row>
    <row r="97" spans="1:10" x14ac:dyDescent="0.25">
      <c r="A97" t="str">
        <v>MATERIALS</v>
      </c>
      <c r="B97" t="str">
        <v>Tile 600mm x 600mm</v>
      </c>
      <c r="C97" t="str">
        <v>PCS</v>
      </c>
      <c r="D97">
        <v>15</v>
      </c>
      <c r="E97" s="12">
        <v>84</v>
      </c>
      <c r="F97" s="18">
        <v>0</v>
      </c>
      <c r="G97" s="12">
        <v>84</v>
      </c>
      <c r="H97" s="12">
        <v>1260</v>
      </c>
      <c r="I97" s="12" t="str">
        <v>MATERIALS</v>
      </c>
      <c r="J97" s="12" t="str">
        <v/>
      </c>
    </row>
    <row r="98" spans="1:10" x14ac:dyDescent="0.25">
      <c r="A98" t="str">
        <v>MATERIALS</v>
      </c>
      <c r="B98" t="str">
        <v>Tile Adhesive Weber 99</v>
      </c>
      <c r="C98" t="str">
        <v>BAG</v>
      </c>
      <c r="D98">
        <v>25</v>
      </c>
      <c r="E98" s="12">
        <v>29</v>
      </c>
      <c r="F98" s="18">
        <v>0</v>
      </c>
      <c r="G98" s="12">
        <v>29</v>
      </c>
      <c r="H98" s="12">
        <v>725</v>
      </c>
      <c r="I98" s="12" t="str">
        <v>MATERIALS</v>
      </c>
      <c r="J98" s="12" t="str">
        <v/>
      </c>
    </row>
    <row r="99" spans="1:10" x14ac:dyDescent="0.25">
      <c r="A99" t="str">
        <v>MATERIALS</v>
      </c>
      <c r="B99" t="str">
        <v>Twins Shower Square 8"</v>
      </c>
      <c r="C99" t="str">
        <v>pc</v>
      </c>
      <c r="D99">
        <v>35</v>
      </c>
      <c r="E99" s="12">
        <v>1</v>
      </c>
      <c r="F99" s="18">
        <v>0</v>
      </c>
      <c r="G99" s="12">
        <v>1</v>
      </c>
      <c r="H99" s="12">
        <v>35</v>
      </c>
      <c r="I99" s="12" t="str">
        <v>MATERIALS</v>
      </c>
      <c r="J99" s="12" t="str">
        <v/>
      </c>
    </row>
    <row r="100" spans="1:10" x14ac:dyDescent="0.25">
      <c r="A100" t="str">
        <v>MATERIALS</v>
      </c>
      <c r="B100" t="str">
        <v>UPVC Pipe With SIRIM (2") x 5.8m</v>
      </c>
      <c r="C100" t="str">
        <v>PCS</v>
      </c>
      <c r="D100">
        <v>49</v>
      </c>
      <c r="E100" s="12">
        <v>3.1500000000000004</v>
      </c>
      <c r="F100" s="18">
        <v>0</v>
      </c>
      <c r="G100" s="12">
        <v>4</v>
      </c>
      <c r="H100" s="12">
        <v>196</v>
      </c>
      <c r="I100" s="12" t="str">
        <v>MATERIALS</v>
      </c>
      <c r="J100" s="12" t="str">
        <v/>
      </c>
    </row>
    <row r="101" spans="1:10" x14ac:dyDescent="0.25">
      <c r="A101" t="str">
        <v>MATERIALS</v>
      </c>
      <c r="B101" t="str">
        <v>UPVC Pipe With SIRIM (4") x 5.8m</v>
      </c>
      <c r="C101" t="str">
        <v>PCS</v>
      </c>
      <c r="D101">
        <v>91</v>
      </c>
      <c r="E101" s="12">
        <v>2.1</v>
      </c>
      <c r="F101" s="18">
        <v>0</v>
      </c>
      <c r="G101" s="12">
        <v>3</v>
      </c>
      <c r="H101" s="12">
        <v>273</v>
      </c>
      <c r="I101" s="12" t="str">
        <v>MATERIALS</v>
      </c>
      <c r="J101" s="12" t="str">
        <v/>
      </c>
    </row>
    <row r="102" spans="1:10" x14ac:dyDescent="0.25">
      <c r="A102" t="str">
        <v>MATERIALS</v>
      </c>
      <c r="B102" t="str">
        <v>Weber Weberfill Fine Grout Coloured Grout For Narrow Tile Joint (3.5kg)</v>
      </c>
      <c r="C102" t="str">
        <v>BAG</v>
      </c>
      <c r="D102">
        <v>18</v>
      </c>
      <c r="E102" s="12">
        <v>12</v>
      </c>
      <c r="F102" s="18">
        <v>0</v>
      </c>
      <c r="G102" s="12">
        <v>12</v>
      </c>
      <c r="H102" s="12">
        <v>216</v>
      </c>
      <c r="I102" s="12" t="str">
        <v>MATERIALS</v>
      </c>
      <c r="J102" s="12" t="str">
        <v/>
      </c>
    </row>
    <row r="103" spans="1:10" x14ac:dyDescent="0.25">
      <c r="A103" t="str">
        <v>MATERIALS</v>
      </c>
      <c r="B103" t="str">
        <v>White Gloss Paint 5L</v>
      </c>
      <c r="C103" t="str">
        <v>TIN</v>
      </c>
      <c r="D103">
        <v>94</v>
      </c>
      <c r="E103" s="12">
        <v>1.1000000000000001</v>
      </c>
      <c r="F103" s="18">
        <v>0</v>
      </c>
      <c r="G103" s="12">
        <v>2</v>
      </c>
      <c r="H103" s="12">
        <v>188</v>
      </c>
      <c r="I103" s="12" t="str">
        <v>MATERIALS</v>
      </c>
      <c r="J103" s="12" t="str">
        <v/>
      </c>
    </row>
    <row r="104" spans="1:10" x14ac:dyDescent="0.25">
      <c r="A104" t="str">
        <v>MATERIALS</v>
      </c>
      <c r="B104" t="str">
        <v>Yessy Tile Floor Trap</v>
      </c>
      <c r="C104" t="str">
        <v>PCS</v>
      </c>
      <c r="D104">
        <v>15</v>
      </c>
      <c r="E104" s="12">
        <v>1</v>
      </c>
      <c r="F104" s="18">
        <v>0</v>
      </c>
      <c r="G104" s="12">
        <v>1</v>
      </c>
      <c r="H104" s="12">
        <v>15</v>
      </c>
      <c r="I104" s="12" t="str">
        <v>MATERIALS</v>
      </c>
      <c r="J104" s="12" t="str">
        <v/>
      </c>
    </row>
    <row r="105" spans="1:10" x14ac:dyDescent="0.25">
      <c r="A105" t="str">
        <v>MATERIALS</v>
      </c>
      <c r="B105" t="str">
        <v>Yessy Tile Floor Trap</v>
      </c>
      <c r="C105" t="str">
        <v>pc</v>
      </c>
      <c r="D105">
        <v>15</v>
      </c>
      <c r="E105" s="12">
        <v>1</v>
      </c>
      <c r="F105" s="18">
        <v>0</v>
      </c>
      <c r="G105" s="12">
        <v>1</v>
      </c>
      <c r="H105" s="12">
        <v>15</v>
      </c>
      <c r="I105" s="12" t="str">
        <v>MATERIALS</v>
      </c>
      <c r="J105" s="12" t="str">
        <v/>
      </c>
    </row>
    <row r="106" spans="1:10" x14ac:dyDescent="0.25">
      <c r="A106" t="str">
        <v>MATERIALS</v>
      </c>
      <c r="B106" t="str">
        <v>Yessy Two-Way Hand Bidet</v>
      </c>
      <c r="C106" t="str">
        <v>pc</v>
      </c>
      <c r="D106">
        <v>60</v>
      </c>
      <c r="E106" s="12">
        <v>1</v>
      </c>
      <c r="F106" s="18">
        <v>0</v>
      </c>
      <c r="G106" s="12">
        <v>1</v>
      </c>
      <c r="H106" s="12">
        <v>60</v>
      </c>
      <c r="I106" s="12" t="str">
        <v>MATERIALS</v>
      </c>
      <c r="J106" s="12" t="str">
        <v/>
      </c>
    </row>
    <row r="107" spans="1:10" x14ac:dyDescent="0.25">
      <c r="A107" t="str">
        <v>MATERIALS</v>
      </c>
      <c r="B107" t="str">
        <v>YTL PCC Cement Castle 50kg Bag</v>
      </c>
      <c r="C107" t="str">
        <v>BAG</v>
      </c>
      <c r="D107">
        <v>24.000000000000004</v>
      </c>
      <c r="E107" s="12">
        <v>129.19999999999999</v>
      </c>
      <c r="F107" s="18">
        <v>0</v>
      </c>
      <c r="G107" s="12">
        <v>130</v>
      </c>
      <c r="H107" s="12">
        <v>3120.0000000000005</v>
      </c>
      <c r="I107" s="12" t="str">
        <v>MATERIALS</v>
      </c>
      <c r="J107"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4"/>
  <sheetViews>
    <sheetView zoomScale="75" zoomScaleNormal="75" workbookViewId="0">
      <pane ySplit="1" topLeftCell="A2" activePane="bottomLeft" state="frozen"/>
      <selection pane="bottomLeft" activeCell="B3" sqref="B3"/>
    </sheetView>
  </sheetViews>
  <sheetFormatPr defaultRowHeight="15" x14ac:dyDescent="0.25"/>
  <cols>
    <col min="1" max="1" width="3.7109375" style="12" bestFit="1" customWidth="1"/>
    <col min="2" max="2" width="49.7109375" style="32"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2" bestFit="1" customWidth="1"/>
    <col min="8" max="8" width="3.7109375" style="37" customWidth="1"/>
    <col min="9" max="9" width="3.7109375" style="12" bestFit="1" customWidth="1"/>
    <col min="10" max="10" width="49.7109375" style="32" bestFit="1" customWidth="1"/>
    <col min="11" max="11" width="8" style="12" bestFit="1" customWidth="1"/>
    <col min="12" max="12" width="5.85546875"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3" t="s">
        <v>35</v>
      </c>
      <c r="C2" s="33" t="s">
        <v>2212</v>
      </c>
      <c r="D2" s="33" t="s">
        <v>2329</v>
      </c>
      <c r="E2" s="33" t="s">
        <v>2330</v>
      </c>
      <c r="F2" s="33" t="s">
        <v>26</v>
      </c>
      <c r="G2" s="33" t="s">
        <v>2331</v>
      </c>
      <c r="J2" s="12"/>
    </row>
    <row r="3" spans="1:15" x14ac:dyDescent="0.25">
      <c r="B3" s="31"/>
      <c r="C3" s="33" t="s">
        <v>2332</v>
      </c>
      <c r="D3" s="33" t="s">
        <v>2333</v>
      </c>
      <c r="E3" s="33">
        <v>110</v>
      </c>
      <c r="F3" s="33" t="s">
        <v>2220</v>
      </c>
      <c r="G3" s="33" t="s">
        <v>2220</v>
      </c>
      <c r="J3" s="12"/>
    </row>
    <row r="4" spans="1:15" x14ac:dyDescent="0.25">
      <c r="A4" s="34" t="s">
        <v>33</v>
      </c>
      <c r="B4" s="35" t="s">
        <v>3</v>
      </c>
      <c r="C4" s="34" t="s">
        <v>1</v>
      </c>
      <c r="D4" s="34" t="s">
        <v>2215</v>
      </c>
      <c r="E4" s="34" t="s">
        <v>32</v>
      </c>
      <c r="F4" s="34" t="s">
        <v>2216</v>
      </c>
      <c r="G4" s="35" t="s">
        <v>2217</v>
      </c>
      <c r="I4" s="34" t="s">
        <v>33</v>
      </c>
      <c r="J4" s="34" t="s">
        <v>3</v>
      </c>
      <c r="K4" s="34" t="s">
        <v>1</v>
      </c>
      <c r="L4" s="34" t="s">
        <v>2215</v>
      </c>
      <c r="M4" s="36" t="s">
        <v>32</v>
      </c>
      <c r="N4" s="36" t="s">
        <v>2216</v>
      </c>
      <c r="O4" s="36" t="s">
        <v>2217</v>
      </c>
    </row>
    <row r="5" spans="1:15" x14ac:dyDescent="0.25">
      <c r="A5" s="12">
        <v>1</v>
      </c>
      <c r="B5" s="32" t="s">
        <v>1443</v>
      </c>
      <c r="C5" s="12" t="s">
        <v>652</v>
      </c>
      <c r="D5" s="12">
        <v>8.4</v>
      </c>
      <c r="E5" s="12">
        <v>45</v>
      </c>
      <c r="F5" s="12">
        <v>378</v>
      </c>
      <c r="G5" s="32" t="s">
        <v>2284</v>
      </c>
      <c r="I5" s="12">
        <v>1</v>
      </c>
      <c r="J5" s="32" t="s">
        <v>1443</v>
      </c>
      <c r="K5" s="12" t="s">
        <v>652</v>
      </c>
      <c r="L5" s="12">
        <v>9</v>
      </c>
      <c r="M5">
        <v>45</v>
      </c>
      <c r="N5">
        <v>405</v>
      </c>
      <c r="O5" t="s">
        <v>2284</v>
      </c>
    </row>
    <row r="6" spans="1:15" x14ac:dyDescent="0.25">
      <c r="A6" s="12">
        <v>2</v>
      </c>
      <c r="B6" s="32" t="s">
        <v>2031</v>
      </c>
      <c r="C6" s="12" t="s">
        <v>10</v>
      </c>
      <c r="D6" s="12">
        <v>3</v>
      </c>
      <c r="E6" s="12">
        <v>180</v>
      </c>
      <c r="F6" s="12">
        <v>540</v>
      </c>
      <c r="G6" s="32" t="s">
        <v>2223</v>
      </c>
      <c r="I6" s="12">
        <v>2</v>
      </c>
      <c r="J6" s="32" t="s">
        <v>2031</v>
      </c>
      <c r="K6" s="12" t="s">
        <v>10</v>
      </c>
      <c r="L6" s="12">
        <v>3</v>
      </c>
      <c r="M6">
        <v>180</v>
      </c>
      <c r="N6">
        <v>540</v>
      </c>
      <c r="O6" t="s">
        <v>2223</v>
      </c>
    </row>
    <row r="7" spans="1:15" x14ac:dyDescent="0.25">
      <c r="A7" s="12">
        <v>3</v>
      </c>
      <c r="B7" s="32" t="s">
        <v>2024</v>
      </c>
      <c r="C7" s="12" t="s">
        <v>10</v>
      </c>
      <c r="D7" s="12">
        <v>3</v>
      </c>
      <c r="E7" s="12">
        <v>300</v>
      </c>
      <c r="F7" s="12">
        <v>900</v>
      </c>
      <c r="G7" s="32" t="s">
        <v>2224</v>
      </c>
      <c r="I7" s="12">
        <v>3</v>
      </c>
      <c r="J7" s="32" t="s">
        <v>2024</v>
      </c>
      <c r="K7" s="12" t="s">
        <v>10</v>
      </c>
      <c r="L7" s="12">
        <v>3</v>
      </c>
      <c r="M7">
        <v>300</v>
      </c>
      <c r="N7">
        <v>900</v>
      </c>
      <c r="O7" t="s">
        <v>2224</v>
      </c>
    </row>
    <row r="8" spans="1:15" x14ac:dyDescent="0.25">
      <c r="A8" s="12">
        <v>4</v>
      </c>
      <c r="B8" s="32" t="s">
        <v>1445</v>
      </c>
      <c r="C8" s="12" t="s">
        <v>8</v>
      </c>
      <c r="D8" s="12">
        <v>25.200000000000003</v>
      </c>
      <c r="E8" s="12">
        <v>7.5</v>
      </c>
      <c r="F8" s="12">
        <v>189.00000000000003</v>
      </c>
      <c r="G8" s="32" t="s">
        <v>2285</v>
      </c>
      <c r="I8" s="12">
        <v>4</v>
      </c>
      <c r="J8" s="32" t="s">
        <v>1445</v>
      </c>
      <c r="K8" s="12" t="s">
        <v>8</v>
      </c>
      <c r="L8" s="12">
        <v>26</v>
      </c>
      <c r="M8">
        <v>7.5</v>
      </c>
      <c r="N8">
        <v>195</v>
      </c>
      <c r="O8" t="s">
        <v>2285</v>
      </c>
    </row>
    <row r="9" spans="1:15" x14ac:dyDescent="0.25">
      <c r="A9" s="12">
        <v>5</v>
      </c>
      <c r="B9" s="32" t="s">
        <v>663</v>
      </c>
      <c r="C9" s="12" t="s">
        <v>11</v>
      </c>
      <c r="D9" s="12">
        <v>1</v>
      </c>
      <c r="E9" s="12">
        <v>830</v>
      </c>
      <c r="F9" s="12">
        <v>830</v>
      </c>
      <c r="G9" s="32" t="s">
        <v>2225</v>
      </c>
      <c r="I9" s="12">
        <v>5</v>
      </c>
      <c r="J9" s="32" t="s">
        <v>663</v>
      </c>
      <c r="K9" s="12" t="s">
        <v>11</v>
      </c>
      <c r="L9" s="12">
        <v>1</v>
      </c>
      <c r="M9">
        <v>830</v>
      </c>
      <c r="N9">
        <v>830</v>
      </c>
      <c r="O9" t="s">
        <v>2225</v>
      </c>
    </row>
    <row r="10" spans="1:15" x14ac:dyDescent="0.25">
      <c r="A10" s="12">
        <v>6</v>
      </c>
      <c r="B10" s="32" t="s">
        <v>2022</v>
      </c>
      <c r="C10" s="12" t="s">
        <v>10</v>
      </c>
      <c r="D10" s="12">
        <v>1</v>
      </c>
      <c r="E10" s="12">
        <v>480</v>
      </c>
      <c r="F10" s="12">
        <v>480</v>
      </c>
      <c r="G10" s="32" t="s">
        <v>2226</v>
      </c>
      <c r="I10" s="12">
        <v>6</v>
      </c>
      <c r="J10" s="32" t="s">
        <v>2022</v>
      </c>
      <c r="K10" s="12" t="s">
        <v>10</v>
      </c>
      <c r="L10" s="12">
        <v>1</v>
      </c>
      <c r="M10">
        <v>480</v>
      </c>
      <c r="N10">
        <v>480</v>
      </c>
      <c r="O10" t="s">
        <v>2226</v>
      </c>
    </row>
    <row r="11" spans="1:15" x14ac:dyDescent="0.25">
      <c r="A11" s="12">
        <v>7</v>
      </c>
      <c r="B11" s="32" t="s">
        <v>2029</v>
      </c>
      <c r="C11" s="12" t="s">
        <v>10</v>
      </c>
      <c r="D11" s="12">
        <v>1</v>
      </c>
      <c r="E11" s="12">
        <v>800</v>
      </c>
      <c r="F11" s="12">
        <v>800</v>
      </c>
      <c r="G11" s="32" t="s">
        <v>2227</v>
      </c>
      <c r="I11" s="12">
        <v>7</v>
      </c>
      <c r="J11" s="32" t="s">
        <v>2029</v>
      </c>
      <c r="K11" s="12" t="s">
        <v>10</v>
      </c>
      <c r="L11" s="12">
        <v>1</v>
      </c>
      <c r="M11">
        <v>800</v>
      </c>
      <c r="N11">
        <v>800</v>
      </c>
      <c r="O11" t="s">
        <v>2227</v>
      </c>
    </row>
    <row r="12" spans="1:15" x14ac:dyDescent="0.25">
      <c r="A12" s="12">
        <v>8</v>
      </c>
      <c r="B12" s="32" t="s">
        <v>1446</v>
      </c>
      <c r="C12" s="12" t="s">
        <v>8</v>
      </c>
      <c r="D12" s="12">
        <v>4</v>
      </c>
      <c r="E12" s="12">
        <v>10</v>
      </c>
      <c r="F12" s="12">
        <v>40</v>
      </c>
      <c r="G12" s="32" t="s">
        <v>2228</v>
      </c>
      <c r="I12" s="12">
        <v>8</v>
      </c>
      <c r="J12" s="32" t="s">
        <v>1446</v>
      </c>
      <c r="K12" s="12" t="s">
        <v>8</v>
      </c>
      <c r="L12" s="12">
        <v>4</v>
      </c>
      <c r="M12">
        <v>10</v>
      </c>
      <c r="N12">
        <v>40</v>
      </c>
      <c r="O12" t="s">
        <v>2228</v>
      </c>
    </row>
    <row r="13" spans="1:15" x14ac:dyDescent="0.25">
      <c r="A13" s="12">
        <v>9</v>
      </c>
      <c r="B13" s="32" t="s">
        <v>2026</v>
      </c>
      <c r="C13" s="12" t="s">
        <v>10</v>
      </c>
      <c r="D13" s="12">
        <v>1</v>
      </c>
      <c r="E13" s="12">
        <v>240</v>
      </c>
      <c r="F13" s="12">
        <v>240</v>
      </c>
      <c r="G13" s="32" t="s">
        <v>2229</v>
      </c>
      <c r="I13" s="12">
        <v>9</v>
      </c>
      <c r="J13" s="32" t="s">
        <v>2026</v>
      </c>
      <c r="K13" s="12" t="s">
        <v>10</v>
      </c>
      <c r="L13" s="12">
        <v>1</v>
      </c>
      <c r="M13">
        <v>240</v>
      </c>
      <c r="N13">
        <v>240</v>
      </c>
      <c r="O13" t="s">
        <v>2229</v>
      </c>
    </row>
    <row r="14" spans="1:15" x14ac:dyDescent="0.25">
      <c r="A14" s="12">
        <v>10</v>
      </c>
      <c r="B14" s="32" t="s">
        <v>2033</v>
      </c>
      <c r="C14" s="12" t="s">
        <v>10</v>
      </c>
      <c r="D14" s="12">
        <v>1</v>
      </c>
      <c r="E14" s="12">
        <v>170</v>
      </c>
      <c r="F14" s="12">
        <v>170</v>
      </c>
      <c r="G14" s="32" t="s">
        <v>2230</v>
      </c>
      <c r="I14" s="12">
        <v>10</v>
      </c>
      <c r="J14" s="32" t="s">
        <v>2033</v>
      </c>
      <c r="K14" s="12" t="s">
        <v>10</v>
      </c>
      <c r="L14" s="12">
        <v>1</v>
      </c>
      <c r="M14">
        <v>170</v>
      </c>
      <c r="N14">
        <v>170</v>
      </c>
      <c r="O14" t="s">
        <v>2230</v>
      </c>
    </row>
    <row r="15" spans="1:15" x14ac:dyDescent="0.25">
      <c r="A15" s="12">
        <v>11</v>
      </c>
      <c r="B15" s="32" t="s">
        <v>41</v>
      </c>
      <c r="C15" s="12" t="s">
        <v>9</v>
      </c>
      <c r="D15" s="12">
        <v>7.3500000000000005</v>
      </c>
      <c r="E15" s="12">
        <v>19.642857142857142</v>
      </c>
      <c r="F15" s="12">
        <v>144.375</v>
      </c>
      <c r="G15" s="32" t="s">
        <v>2286</v>
      </c>
      <c r="I15" s="12">
        <v>11</v>
      </c>
      <c r="J15" s="32" t="s">
        <v>41</v>
      </c>
      <c r="K15" s="12" t="s">
        <v>9</v>
      </c>
      <c r="L15" s="12">
        <v>8</v>
      </c>
      <c r="M15">
        <v>19.642857142857142</v>
      </c>
      <c r="N15">
        <v>157.14285714285714</v>
      </c>
      <c r="O15" t="s">
        <v>2286</v>
      </c>
    </row>
    <row r="16" spans="1:15" x14ac:dyDescent="0.25">
      <c r="A16" s="12">
        <v>12</v>
      </c>
      <c r="B16" s="32" t="s">
        <v>1293</v>
      </c>
      <c r="C16" s="12" t="s">
        <v>652</v>
      </c>
      <c r="D16" s="12">
        <v>12.600000000000001</v>
      </c>
      <c r="E16" s="12">
        <v>8.5</v>
      </c>
      <c r="F16" s="12">
        <v>107.10000000000001</v>
      </c>
      <c r="G16" s="32" t="s">
        <v>2287</v>
      </c>
      <c r="I16" s="12">
        <v>12</v>
      </c>
      <c r="J16" s="32" t="s">
        <v>1293</v>
      </c>
      <c r="K16" s="12" t="s">
        <v>652</v>
      </c>
      <c r="L16" s="12">
        <v>13</v>
      </c>
      <c r="M16">
        <v>8.5</v>
      </c>
      <c r="N16">
        <v>110.5</v>
      </c>
      <c r="O16" t="s">
        <v>2287</v>
      </c>
    </row>
    <row r="17" spans="1:15" x14ac:dyDescent="0.25">
      <c r="A17" s="12">
        <v>13</v>
      </c>
      <c r="B17" s="32" t="s">
        <v>1935</v>
      </c>
      <c r="C17" s="12" t="s">
        <v>8</v>
      </c>
      <c r="D17" s="12">
        <v>1</v>
      </c>
      <c r="E17" s="12">
        <v>4</v>
      </c>
      <c r="F17" s="12">
        <v>4</v>
      </c>
      <c r="G17" s="32" t="s">
        <v>2231</v>
      </c>
      <c r="I17" s="12">
        <v>13</v>
      </c>
      <c r="J17" s="32" t="s">
        <v>1935</v>
      </c>
      <c r="K17" s="12" t="s">
        <v>8</v>
      </c>
      <c r="L17" s="12">
        <v>1</v>
      </c>
      <c r="M17">
        <v>4</v>
      </c>
      <c r="N17">
        <v>4</v>
      </c>
      <c r="O17" t="s">
        <v>2231</v>
      </c>
    </row>
    <row r="18" spans="1:15" x14ac:dyDescent="0.25">
      <c r="A18" s="12">
        <v>14</v>
      </c>
      <c r="B18" s="32" t="s">
        <v>1937</v>
      </c>
      <c r="C18" s="12" t="s">
        <v>8</v>
      </c>
      <c r="D18" s="12">
        <v>1</v>
      </c>
      <c r="E18" s="12">
        <v>8</v>
      </c>
      <c r="F18" s="12">
        <v>8</v>
      </c>
      <c r="G18" s="32" t="s">
        <v>2232</v>
      </c>
      <c r="I18" s="12">
        <v>14</v>
      </c>
      <c r="J18" s="32" t="s">
        <v>1937</v>
      </c>
      <c r="K18" s="12" t="s">
        <v>8</v>
      </c>
      <c r="L18" s="12">
        <v>1</v>
      </c>
      <c r="M18">
        <v>8</v>
      </c>
      <c r="N18">
        <v>8</v>
      </c>
      <c r="O18" t="s">
        <v>2232</v>
      </c>
    </row>
    <row r="19" spans="1:15" x14ac:dyDescent="0.25">
      <c r="A19" s="12">
        <v>15</v>
      </c>
      <c r="B19" s="32" t="s">
        <v>880</v>
      </c>
      <c r="C19" s="12" t="s">
        <v>8</v>
      </c>
      <c r="D19" s="12">
        <v>1</v>
      </c>
      <c r="E19" s="12">
        <v>8</v>
      </c>
      <c r="F19" s="12">
        <v>8</v>
      </c>
      <c r="G19" s="32" t="s">
        <v>2233</v>
      </c>
      <c r="I19" s="12">
        <v>15</v>
      </c>
      <c r="J19" s="32" t="s">
        <v>880</v>
      </c>
      <c r="K19" s="12" t="s">
        <v>8</v>
      </c>
      <c r="L19" s="12">
        <v>1</v>
      </c>
      <c r="M19">
        <v>8</v>
      </c>
      <c r="N19">
        <v>8</v>
      </c>
      <c r="O19" t="s">
        <v>2233</v>
      </c>
    </row>
    <row r="20" spans="1:15" x14ac:dyDescent="0.25">
      <c r="A20" s="12">
        <v>16</v>
      </c>
      <c r="B20" s="32" t="s">
        <v>879</v>
      </c>
      <c r="C20" s="12" t="s">
        <v>8</v>
      </c>
      <c r="D20" s="12">
        <v>2</v>
      </c>
      <c r="E20" s="12">
        <v>13</v>
      </c>
      <c r="F20" s="12">
        <v>26</v>
      </c>
      <c r="G20" s="32" t="s">
        <v>2234</v>
      </c>
      <c r="I20" s="12">
        <v>16</v>
      </c>
      <c r="J20" s="32" t="s">
        <v>879</v>
      </c>
      <c r="K20" s="12" t="s">
        <v>8</v>
      </c>
      <c r="L20" s="12">
        <v>2</v>
      </c>
      <c r="M20">
        <v>13</v>
      </c>
      <c r="N20">
        <v>26</v>
      </c>
      <c r="O20" t="s">
        <v>2234</v>
      </c>
    </row>
    <row r="21" spans="1:15" x14ac:dyDescent="0.25">
      <c r="A21" s="12">
        <v>17</v>
      </c>
      <c r="B21" s="32" t="s">
        <v>483</v>
      </c>
      <c r="C21" s="12" t="s">
        <v>8</v>
      </c>
      <c r="D21" s="12">
        <v>11.48</v>
      </c>
      <c r="E21" s="12">
        <v>214.99999999999997</v>
      </c>
      <c r="F21" s="12">
        <v>2468.1999999999998</v>
      </c>
      <c r="G21" s="32" t="s">
        <v>2288</v>
      </c>
      <c r="I21" s="12">
        <v>17</v>
      </c>
      <c r="J21" s="32" t="s">
        <v>483</v>
      </c>
      <c r="K21" s="12" t="s">
        <v>8</v>
      </c>
      <c r="L21" s="12">
        <v>12</v>
      </c>
      <c r="M21">
        <v>214.99999999999997</v>
      </c>
      <c r="N21">
        <v>2579.9999999999995</v>
      </c>
      <c r="O21" t="s">
        <v>2288</v>
      </c>
    </row>
    <row r="22" spans="1:15" x14ac:dyDescent="0.25">
      <c r="A22" s="12">
        <v>18</v>
      </c>
      <c r="B22" s="32" t="s">
        <v>941</v>
      </c>
      <c r="C22" s="12" t="s">
        <v>256</v>
      </c>
      <c r="D22" s="12">
        <v>3.1500000000000004</v>
      </c>
      <c r="E22" s="12">
        <v>15</v>
      </c>
      <c r="F22" s="12">
        <v>47.250000000000007</v>
      </c>
      <c r="G22" s="32" t="s">
        <v>2289</v>
      </c>
      <c r="I22" s="12">
        <v>18</v>
      </c>
      <c r="J22" s="32" t="s">
        <v>941</v>
      </c>
      <c r="K22" s="12" t="s">
        <v>256</v>
      </c>
      <c r="L22" s="12">
        <v>4</v>
      </c>
      <c r="M22">
        <v>15</v>
      </c>
      <c r="N22">
        <v>60</v>
      </c>
      <c r="O22" t="s">
        <v>2289</v>
      </c>
    </row>
    <row r="23" spans="1:15" x14ac:dyDescent="0.25">
      <c r="A23" s="12">
        <v>19</v>
      </c>
      <c r="B23" s="32" t="s">
        <v>1131</v>
      </c>
      <c r="C23" s="12" t="s">
        <v>8</v>
      </c>
      <c r="D23" s="12">
        <v>4017</v>
      </c>
      <c r="E23" s="12">
        <v>0.28000000000000003</v>
      </c>
      <c r="F23" s="12">
        <v>1124.7600000000002</v>
      </c>
      <c r="G23" s="32" t="s">
        <v>2221</v>
      </c>
      <c r="I23" s="12">
        <v>19</v>
      </c>
      <c r="J23" s="32" t="s">
        <v>1131</v>
      </c>
      <c r="K23" s="12" t="s">
        <v>8</v>
      </c>
      <c r="L23" s="12">
        <v>4017</v>
      </c>
      <c r="M23">
        <v>0.28000000000000003</v>
      </c>
      <c r="N23">
        <v>1124.7600000000002</v>
      </c>
      <c r="O23" t="s">
        <v>2221</v>
      </c>
    </row>
    <row r="24" spans="1:15" x14ac:dyDescent="0.25">
      <c r="A24" s="12">
        <v>20</v>
      </c>
      <c r="B24" s="32" t="s">
        <v>493</v>
      </c>
      <c r="C24" s="12" t="s">
        <v>494</v>
      </c>
      <c r="D24" s="12">
        <v>1</v>
      </c>
      <c r="E24" s="12">
        <v>650</v>
      </c>
      <c r="F24" s="12">
        <v>650</v>
      </c>
      <c r="G24" s="32" t="s">
        <v>2218</v>
      </c>
      <c r="I24" s="12">
        <v>20</v>
      </c>
      <c r="J24" s="32" t="s">
        <v>493</v>
      </c>
      <c r="K24" s="12" t="s">
        <v>494</v>
      </c>
      <c r="L24" s="12">
        <v>1</v>
      </c>
      <c r="M24">
        <v>650</v>
      </c>
      <c r="N24">
        <v>650</v>
      </c>
      <c r="O24" t="s">
        <v>2218</v>
      </c>
    </row>
    <row r="25" spans="1:15" x14ac:dyDescent="0.25">
      <c r="A25" s="12">
        <v>21</v>
      </c>
      <c r="B25" s="32" t="s">
        <v>1385</v>
      </c>
      <c r="C25" s="12" t="s">
        <v>494</v>
      </c>
      <c r="D25" s="12">
        <v>1</v>
      </c>
      <c r="E25" s="12">
        <v>450</v>
      </c>
      <c r="F25" s="12">
        <v>450</v>
      </c>
      <c r="G25" s="32" t="s">
        <v>2219</v>
      </c>
      <c r="I25" s="12">
        <v>21</v>
      </c>
      <c r="J25" s="32" t="s">
        <v>1385</v>
      </c>
      <c r="K25" s="12" t="s">
        <v>494</v>
      </c>
      <c r="L25" s="12">
        <v>1</v>
      </c>
      <c r="M25">
        <v>450</v>
      </c>
      <c r="N25">
        <v>450</v>
      </c>
      <c r="O25" t="s">
        <v>2219</v>
      </c>
    </row>
    <row r="26" spans="1:15" x14ac:dyDescent="0.25">
      <c r="A26" s="12">
        <v>22</v>
      </c>
      <c r="B26" s="32" t="s">
        <v>662</v>
      </c>
      <c r="C26" s="12" t="s">
        <v>11</v>
      </c>
      <c r="D26" s="12">
        <v>0.86749999999999994</v>
      </c>
      <c r="E26" s="12">
        <v>850.00000000000011</v>
      </c>
      <c r="F26" s="12">
        <v>737.375</v>
      </c>
      <c r="G26" s="32" t="s">
        <v>2290</v>
      </c>
      <c r="I26" s="12">
        <v>22</v>
      </c>
      <c r="J26" s="32" t="s">
        <v>662</v>
      </c>
      <c r="K26" s="12" t="s">
        <v>11</v>
      </c>
      <c r="L26" s="12">
        <v>1</v>
      </c>
      <c r="M26">
        <v>850.00000000000011</v>
      </c>
      <c r="N26">
        <v>850.00000000000011</v>
      </c>
      <c r="O26" t="s">
        <v>2290</v>
      </c>
    </row>
    <row r="27" spans="1:15" x14ac:dyDescent="0.25">
      <c r="A27" s="12">
        <v>23</v>
      </c>
      <c r="B27" s="32" t="s">
        <v>1794</v>
      </c>
      <c r="C27" s="12" t="s">
        <v>644</v>
      </c>
      <c r="D27" s="12">
        <v>2.1</v>
      </c>
      <c r="E27" s="12">
        <v>80</v>
      </c>
      <c r="F27" s="12">
        <v>168</v>
      </c>
      <c r="G27" s="32" t="s">
        <v>2291</v>
      </c>
      <c r="I27" s="12">
        <v>23</v>
      </c>
      <c r="J27" s="32" t="s">
        <v>1794</v>
      </c>
      <c r="K27" s="12" t="s">
        <v>644</v>
      </c>
      <c r="L27" s="12">
        <v>3</v>
      </c>
      <c r="M27">
        <v>80</v>
      </c>
      <c r="N27">
        <v>240</v>
      </c>
      <c r="O27" t="s">
        <v>2291</v>
      </c>
    </row>
    <row r="28" spans="1:15" x14ac:dyDescent="0.25">
      <c r="A28" s="12">
        <v>24</v>
      </c>
      <c r="B28" s="32" t="s">
        <v>1682</v>
      </c>
      <c r="C28" s="12" t="s">
        <v>30</v>
      </c>
      <c r="D28" s="12">
        <v>1</v>
      </c>
      <c r="E28" s="12">
        <v>185</v>
      </c>
      <c r="F28" s="12">
        <v>185</v>
      </c>
      <c r="G28" s="32" t="s">
        <v>2235</v>
      </c>
      <c r="I28" s="12">
        <v>24</v>
      </c>
      <c r="J28" s="32" t="s">
        <v>1682</v>
      </c>
      <c r="K28" s="12" t="s">
        <v>30</v>
      </c>
      <c r="L28" s="12">
        <v>1</v>
      </c>
      <c r="M28">
        <v>185</v>
      </c>
      <c r="N28">
        <v>185</v>
      </c>
      <c r="O28" t="s">
        <v>2235</v>
      </c>
    </row>
    <row r="29" spans="1:15" x14ac:dyDescent="0.25">
      <c r="A29" s="12">
        <v>25</v>
      </c>
      <c r="B29" s="32" t="s">
        <v>1692</v>
      </c>
      <c r="C29" s="12" t="s">
        <v>8</v>
      </c>
      <c r="D29" s="12">
        <v>1</v>
      </c>
      <c r="E29" s="12">
        <v>6.5</v>
      </c>
      <c r="F29" s="12">
        <v>6.5</v>
      </c>
      <c r="G29" s="32" t="s">
        <v>2236</v>
      </c>
      <c r="I29" s="12">
        <v>25</v>
      </c>
      <c r="J29" s="32" t="s">
        <v>1692</v>
      </c>
      <c r="K29" s="12" t="s">
        <v>8</v>
      </c>
      <c r="L29" s="12">
        <v>1</v>
      </c>
      <c r="M29">
        <v>6.5</v>
      </c>
      <c r="N29">
        <v>6.5</v>
      </c>
      <c r="O29" t="s">
        <v>2236</v>
      </c>
    </row>
    <row r="30" spans="1:15" x14ac:dyDescent="0.25">
      <c r="A30" s="12">
        <v>26</v>
      </c>
      <c r="B30" s="32" t="s">
        <v>520</v>
      </c>
      <c r="C30" s="12" t="s">
        <v>521</v>
      </c>
      <c r="D30" s="12">
        <v>2</v>
      </c>
      <c r="E30" s="12">
        <v>900</v>
      </c>
      <c r="F30" s="12">
        <v>1800</v>
      </c>
      <c r="G30" s="32" t="s">
        <v>2283</v>
      </c>
      <c r="I30" s="12">
        <v>26</v>
      </c>
      <c r="J30" s="32" t="s">
        <v>520</v>
      </c>
      <c r="K30" s="12" t="s">
        <v>521</v>
      </c>
      <c r="L30" s="12">
        <v>2</v>
      </c>
      <c r="M30">
        <v>900</v>
      </c>
      <c r="N30">
        <v>1800</v>
      </c>
      <c r="O30" t="s">
        <v>2283</v>
      </c>
    </row>
    <row r="31" spans="1:15" x14ac:dyDescent="0.25">
      <c r="A31" s="12">
        <v>27</v>
      </c>
      <c r="B31" s="32" t="s">
        <v>481</v>
      </c>
      <c r="C31" s="12" t="s">
        <v>11</v>
      </c>
      <c r="D31" s="12">
        <v>0.68</v>
      </c>
      <c r="E31" s="12">
        <v>830.00000000000011</v>
      </c>
      <c r="F31" s="12">
        <v>564.40000000000009</v>
      </c>
      <c r="G31" s="32" t="s">
        <v>2292</v>
      </c>
      <c r="I31" s="12">
        <v>27</v>
      </c>
      <c r="J31" s="32" t="s">
        <v>481</v>
      </c>
      <c r="K31" s="12" t="s">
        <v>11</v>
      </c>
      <c r="L31" s="12">
        <v>1</v>
      </c>
      <c r="M31">
        <v>830.00000000000011</v>
      </c>
      <c r="N31">
        <v>830.00000000000011</v>
      </c>
      <c r="O31" t="s">
        <v>2292</v>
      </c>
    </row>
    <row r="32" spans="1:15" x14ac:dyDescent="0.25">
      <c r="A32" s="12">
        <v>28</v>
      </c>
      <c r="B32" s="32" t="s">
        <v>2206</v>
      </c>
      <c r="C32" s="12" t="s">
        <v>8</v>
      </c>
      <c r="D32" s="12">
        <v>1</v>
      </c>
      <c r="E32" s="12">
        <v>650</v>
      </c>
      <c r="F32" s="12">
        <v>650</v>
      </c>
      <c r="G32" s="32" t="s">
        <v>2237</v>
      </c>
      <c r="I32" s="12">
        <v>28</v>
      </c>
      <c r="J32" s="32" t="s">
        <v>2206</v>
      </c>
      <c r="K32" s="12" t="s">
        <v>8</v>
      </c>
      <c r="L32" s="12">
        <v>1</v>
      </c>
      <c r="M32">
        <v>650</v>
      </c>
      <c r="N32">
        <v>650</v>
      </c>
      <c r="O32" t="s">
        <v>2237</v>
      </c>
    </row>
    <row r="33" spans="1:15" x14ac:dyDescent="0.25">
      <c r="A33" s="12">
        <v>29</v>
      </c>
      <c r="B33" s="32" t="s">
        <v>1225</v>
      </c>
      <c r="C33" s="12" t="s">
        <v>8</v>
      </c>
      <c r="D33" s="12">
        <v>3.1500000000000004</v>
      </c>
      <c r="E33" s="12">
        <v>0.85</v>
      </c>
      <c r="F33" s="12">
        <v>2.6775000000000002</v>
      </c>
      <c r="G33" s="32" t="s">
        <v>2293</v>
      </c>
      <c r="I33" s="12">
        <v>29</v>
      </c>
      <c r="J33" s="32" t="s">
        <v>1225</v>
      </c>
      <c r="K33" s="12" t="s">
        <v>8</v>
      </c>
      <c r="L33" s="12">
        <v>4</v>
      </c>
      <c r="M33">
        <v>0.85</v>
      </c>
      <c r="N33">
        <v>3.4</v>
      </c>
      <c r="O33" t="s">
        <v>2293</v>
      </c>
    </row>
    <row r="34" spans="1:15" x14ac:dyDescent="0.25">
      <c r="A34" s="12">
        <v>30</v>
      </c>
      <c r="B34" s="32" t="s">
        <v>1449</v>
      </c>
      <c r="C34" s="12" t="s">
        <v>652</v>
      </c>
      <c r="D34" s="12">
        <v>4.2</v>
      </c>
      <c r="E34" s="12">
        <v>59</v>
      </c>
      <c r="F34" s="12">
        <v>247.8</v>
      </c>
      <c r="G34" s="32" t="s">
        <v>2294</v>
      </c>
      <c r="I34" s="12">
        <v>30</v>
      </c>
      <c r="J34" s="32" t="s">
        <v>1449</v>
      </c>
      <c r="K34" s="12" t="s">
        <v>652</v>
      </c>
      <c r="L34" s="12">
        <v>5</v>
      </c>
      <c r="M34">
        <v>59</v>
      </c>
      <c r="N34">
        <v>295</v>
      </c>
      <c r="O34" t="s">
        <v>2294</v>
      </c>
    </row>
    <row r="35" spans="1:15" x14ac:dyDescent="0.25">
      <c r="A35" s="12">
        <v>31</v>
      </c>
      <c r="B35" s="32" t="s">
        <v>1451</v>
      </c>
      <c r="C35" s="12" t="s">
        <v>8</v>
      </c>
      <c r="D35" s="12">
        <v>4.2</v>
      </c>
      <c r="E35" s="12">
        <v>6.2</v>
      </c>
      <c r="F35" s="12">
        <v>26.040000000000003</v>
      </c>
      <c r="G35" s="32" t="s">
        <v>2295</v>
      </c>
      <c r="I35" s="12">
        <v>31</v>
      </c>
      <c r="J35" s="32" t="s">
        <v>1451</v>
      </c>
      <c r="K35" s="12" t="s">
        <v>8</v>
      </c>
      <c r="L35" s="12">
        <v>5</v>
      </c>
      <c r="M35">
        <v>6.2</v>
      </c>
      <c r="N35">
        <v>31</v>
      </c>
      <c r="O35" t="s">
        <v>2295</v>
      </c>
    </row>
    <row r="36" spans="1:15" x14ac:dyDescent="0.25">
      <c r="A36" s="12">
        <v>32</v>
      </c>
      <c r="B36" s="32" t="s">
        <v>1453</v>
      </c>
      <c r="C36" s="12" t="s">
        <v>8</v>
      </c>
      <c r="D36" s="12">
        <v>8.4</v>
      </c>
      <c r="E36" s="12">
        <v>5.6</v>
      </c>
      <c r="F36" s="12">
        <v>47.04</v>
      </c>
      <c r="G36" s="32" t="s">
        <v>2296</v>
      </c>
      <c r="I36" s="12">
        <v>32</v>
      </c>
      <c r="J36" s="32" t="s">
        <v>1453</v>
      </c>
      <c r="K36" s="12" t="s">
        <v>8</v>
      </c>
      <c r="L36" s="12">
        <v>9</v>
      </c>
      <c r="M36">
        <v>5.6</v>
      </c>
      <c r="N36">
        <v>50.4</v>
      </c>
      <c r="O36" t="s">
        <v>2296</v>
      </c>
    </row>
    <row r="37" spans="1:15" x14ac:dyDescent="0.25">
      <c r="A37" s="12">
        <v>33</v>
      </c>
      <c r="B37" s="32" t="s">
        <v>943</v>
      </c>
      <c r="C37" s="12" t="s">
        <v>8</v>
      </c>
      <c r="D37" s="12">
        <v>12.600000000000001</v>
      </c>
      <c r="E37" s="12">
        <v>3</v>
      </c>
      <c r="F37" s="12">
        <v>37.800000000000004</v>
      </c>
      <c r="G37" s="32" t="s">
        <v>2297</v>
      </c>
      <c r="I37" s="12">
        <v>33</v>
      </c>
      <c r="J37" s="32" t="s">
        <v>943</v>
      </c>
      <c r="K37" s="12" t="s">
        <v>8</v>
      </c>
      <c r="L37" s="12">
        <v>13</v>
      </c>
      <c r="M37">
        <v>3</v>
      </c>
      <c r="N37">
        <v>39</v>
      </c>
      <c r="O37" t="s">
        <v>2297</v>
      </c>
    </row>
    <row r="38" spans="1:15" x14ac:dyDescent="0.25">
      <c r="A38" s="12">
        <v>34</v>
      </c>
      <c r="B38" s="32" t="s">
        <v>640</v>
      </c>
      <c r="C38" s="12" t="s">
        <v>256</v>
      </c>
      <c r="D38" s="12">
        <v>2</v>
      </c>
      <c r="E38" s="12">
        <v>180</v>
      </c>
      <c r="F38" s="12">
        <v>360</v>
      </c>
      <c r="G38" s="32" t="s">
        <v>2238</v>
      </c>
      <c r="I38" s="12">
        <v>34</v>
      </c>
      <c r="J38" s="32" t="s">
        <v>640</v>
      </c>
      <c r="K38" s="12" t="s">
        <v>256</v>
      </c>
      <c r="L38" s="12">
        <v>2</v>
      </c>
      <c r="M38">
        <v>180</v>
      </c>
      <c r="N38">
        <v>360</v>
      </c>
      <c r="O38" t="s">
        <v>2238</v>
      </c>
    </row>
    <row r="39" spans="1:15" x14ac:dyDescent="0.25">
      <c r="A39" s="12">
        <v>35</v>
      </c>
      <c r="B39" s="32" t="s">
        <v>1295</v>
      </c>
      <c r="C39" s="12" t="s">
        <v>8</v>
      </c>
      <c r="D39" s="12">
        <v>2.1</v>
      </c>
      <c r="E39" s="12">
        <v>3</v>
      </c>
      <c r="F39" s="12">
        <v>6.3000000000000007</v>
      </c>
      <c r="G39" s="32" t="s">
        <v>2298</v>
      </c>
      <c r="I39" s="12">
        <v>35</v>
      </c>
      <c r="J39" s="32" t="s">
        <v>1295</v>
      </c>
      <c r="K39" s="12" t="s">
        <v>8</v>
      </c>
      <c r="L39" s="12">
        <v>3</v>
      </c>
      <c r="M39">
        <v>3</v>
      </c>
      <c r="N39">
        <v>9</v>
      </c>
      <c r="O39" t="s">
        <v>2298</v>
      </c>
    </row>
    <row r="40" spans="1:15" x14ac:dyDescent="0.25">
      <c r="A40" s="12">
        <v>36</v>
      </c>
      <c r="B40" s="32" t="s">
        <v>1661</v>
      </c>
      <c r="C40" s="12" t="s">
        <v>1662</v>
      </c>
      <c r="D40" s="12">
        <v>15</v>
      </c>
      <c r="E40" s="12">
        <v>10.5</v>
      </c>
      <c r="F40" s="12">
        <v>157.5</v>
      </c>
      <c r="G40" s="32" t="s">
        <v>2239</v>
      </c>
      <c r="I40" s="12">
        <v>36</v>
      </c>
      <c r="J40" s="32" t="s">
        <v>1661</v>
      </c>
      <c r="K40" s="12" t="s">
        <v>1662</v>
      </c>
      <c r="L40" s="12">
        <v>15</v>
      </c>
      <c r="M40">
        <v>10.5</v>
      </c>
      <c r="N40">
        <v>157.5</v>
      </c>
      <c r="O40" t="s">
        <v>2239</v>
      </c>
    </row>
    <row r="41" spans="1:15" x14ac:dyDescent="0.25">
      <c r="A41" s="12">
        <v>37</v>
      </c>
      <c r="B41" s="32" t="s">
        <v>1684</v>
      </c>
      <c r="C41" s="12" t="s">
        <v>8</v>
      </c>
      <c r="D41" s="12">
        <v>4</v>
      </c>
      <c r="E41" s="12">
        <v>4.5999999999999996</v>
      </c>
      <c r="F41" s="12">
        <v>18.399999999999999</v>
      </c>
      <c r="G41" s="32" t="s">
        <v>2240</v>
      </c>
      <c r="I41" s="12">
        <v>37</v>
      </c>
      <c r="J41" s="32" t="s">
        <v>1684</v>
      </c>
      <c r="K41" s="12" t="s">
        <v>8</v>
      </c>
      <c r="L41" s="12">
        <v>4</v>
      </c>
      <c r="M41">
        <v>4.5999999999999996</v>
      </c>
      <c r="N41">
        <v>18.399999999999999</v>
      </c>
      <c r="O41" t="s">
        <v>2240</v>
      </c>
    </row>
    <row r="42" spans="1:15" x14ac:dyDescent="0.25">
      <c r="A42" s="12">
        <v>38</v>
      </c>
      <c r="B42" s="32" t="s">
        <v>1686</v>
      </c>
      <c r="C42" s="12" t="s">
        <v>8</v>
      </c>
      <c r="D42" s="12">
        <v>1</v>
      </c>
      <c r="E42" s="12">
        <v>59</v>
      </c>
      <c r="F42" s="12">
        <v>59</v>
      </c>
      <c r="G42" s="32" t="s">
        <v>2241</v>
      </c>
      <c r="I42" s="12">
        <v>38</v>
      </c>
      <c r="J42" s="32" t="s">
        <v>1686</v>
      </c>
      <c r="K42" s="12" t="s">
        <v>8</v>
      </c>
      <c r="L42" s="12">
        <v>1</v>
      </c>
      <c r="M42">
        <v>59</v>
      </c>
      <c r="N42">
        <v>59</v>
      </c>
      <c r="O42" t="s">
        <v>2241</v>
      </c>
    </row>
    <row r="43" spans="1:15" x14ac:dyDescent="0.25">
      <c r="A43" s="12">
        <v>39</v>
      </c>
      <c r="B43" s="32" t="s">
        <v>1688</v>
      </c>
      <c r="C43" s="12" t="s">
        <v>8</v>
      </c>
      <c r="D43" s="12">
        <v>1</v>
      </c>
      <c r="E43" s="12">
        <v>165</v>
      </c>
      <c r="F43" s="12">
        <v>165</v>
      </c>
      <c r="G43" s="32" t="s">
        <v>2242</v>
      </c>
      <c r="I43" s="12">
        <v>39</v>
      </c>
      <c r="J43" s="32" t="s">
        <v>1688</v>
      </c>
      <c r="K43" s="12" t="s">
        <v>8</v>
      </c>
      <c r="L43" s="12">
        <v>1</v>
      </c>
      <c r="M43">
        <v>165</v>
      </c>
      <c r="N43">
        <v>165</v>
      </c>
      <c r="O43" t="s">
        <v>2242</v>
      </c>
    </row>
    <row r="44" spans="1:15" x14ac:dyDescent="0.25">
      <c r="A44" s="12">
        <v>40</v>
      </c>
      <c r="B44" s="32" t="s">
        <v>482</v>
      </c>
      <c r="C44" s="12" t="s">
        <v>11</v>
      </c>
      <c r="D44" s="12">
        <v>0.14000000000000001</v>
      </c>
      <c r="E44" s="12">
        <v>949.99999999999989</v>
      </c>
      <c r="F44" s="12">
        <v>133</v>
      </c>
      <c r="G44" s="32" t="s">
        <v>2299</v>
      </c>
      <c r="I44" s="12">
        <v>40</v>
      </c>
      <c r="J44" s="32" t="s">
        <v>482</v>
      </c>
      <c r="K44" s="12" t="s">
        <v>11</v>
      </c>
      <c r="L44" s="12">
        <v>1</v>
      </c>
      <c r="M44">
        <v>949.99999999999989</v>
      </c>
      <c r="N44">
        <v>949.99999999999989</v>
      </c>
      <c r="O44" t="s">
        <v>2299</v>
      </c>
    </row>
    <row r="45" spans="1:15" x14ac:dyDescent="0.25">
      <c r="A45" s="12">
        <v>41</v>
      </c>
      <c r="B45" s="32" t="s">
        <v>1564</v>
      </c>
      <c r="C45" s="12" t="s">
        <v>40</v>
      </c>
      <c r="D45" s="12">
        <v>2</v>
      </c>
      <c r="E45" s="12">
        <v>80</v>
      </c>
      <c r="F45" s="12">
        <v>160</v>
      </c>
      <c r="G45" s="32" t="s">
        <v>2243</v>
      </c>
      <c r="I45" s="12">
        <v>41</v>
      </c>
      <c r="J45" s="32" t="s">
        <v>1564</v>
      </c>
      <c r="K45" s="12" t="s">
        <v>40</v>
      </c>
      <c r="L45" s="12">
        <v>2</v>
      </c>
      <c r="M45">
        <v>80</v>
      </c>
      <c r="N45">
        <v>160</v>
      </c>
      <c r="O45" t="s">
        <v>2243</v>
      </c>
    </row>
    <row r="46" spans="1:15" x14ac:dyDescent="0.25">
      <c r="A46" s="12">
        <v>42</v>
      </c>
      <c r="B46" s="32" t="s">
        <v>940</v>
      </c>
      <c r="C46" s="12" t="s">
        <v>8</v>
      </c>
      <c r="D46" s="12">
        <v>10.5</v>
      </c>
      <c r="E46" s="12">
        <v>28</v>
      </c>
      <c r="F46" s="12">
        <v>294</v>
      </c>
      <c r="G46" s="32" t="s">
        <v>2300</v>
      </c>
      <c r="I46" s="12">
        <v>42</v>
      </c>
      <c r="J46" s="32" t="s">
        <v>940</v>
      </c>
      <c r="K46" s="12" t="s">
        <v>8</v>
      </c>
      <c r="L46" s="12">
        <v>11</v>
      </c>
      <c r="M46">
        <v>28</v>
      </c>
      <c r="N46">
        <v>308</v>
      </c>
      <c r="O46" t="s">
        <v>2300</v>
      </c>
    </row>
    <row r="47" spans="1:15" x14ac:dyDescent="0.25">
      <c r="A47" s="12">
        <v>43</v>
      </c>
      <c r="B47" s="32" t="s">
        <v>1812</v>
      </c>
      <c r="C47" s="12" t="s">
        <v>8</v>
      </c>
      <c r="D47" s="12">
        <v>2</v>
      </c>
      <c r="E47" s="12">
        <v>6</v>
      </c>
      <c r="F47" s="12">
        <v>12</v>
      </c>
      <c r="G47" s="32" t="s">
        <v>2244</v>
      </c>
      <c r="I47" s="12">
        <v>43</v>
      </c>
      <c r="J47" s="32" t="s">
        <v>1812</v>
      </c>
      <c r="K47" s="12" t="s">
        <v>8</v>
      </c>
      <c r="L47" s="12">
        <v>2</v>
      </c>
      <c r="M47">
        <v>6</v>
      </c>
      <c r="N47">
        <v>12</v>
      </c>
      <c r="O47" t="s">
        <v>2244</v>
      </c>
    </row>
    <row r="48" spans="1:15" x14ac:dyDescent="0.25">
      <c r="A48" s="12">
        <v>44</v>
      </c>
      <c r="B48" s="32" t="s">
        <v>934</v>
      </c>
      <c r="C48" s="12" t="s">
        <v>8</v>
      </c>
      <c r="D48" s="12">
        <v>27.3</v>
      </c>
      <c r="E48" s="12">
        <v>22</v>
      </c>
      <c r="F48" s="12">
        <v>600.6</v>
      </c>
      <c r="G48" s="32" t="s">
        <v>2301</v>
      </c>
      <c r="I48" s="12">
        <v>44</v>
      </c>
      <c r="J48" s="32" t="s">
        <v>934</v>
      </c>
      <c r="K48" s="12" t="s">
        <v>8</v>
      </c>
      <c r="L48" s="12">
        <v>28</v>
      </c>
      <c r="M48">
        <v>22</v>
      </c>
      <c r="N48">
        <v>616</v>
      </c>
      <c r="O48" t="s">
        <v>2301</v>
      </c>
    </row>
    <row r="49" spans="1:15" x14ac:dyDescent="0.25">
      <c r="A49" s="12">
        <v>45</v>
      </c>
      <c r="B49" s="32" t="s">
        <v>1291</v>
      </c>
      <c r="C49" s="12" t="s">
        <v>652</v>
      </c>
      <c r="D49" s="12">
        <v>31.5</v>
      </c>
      <c r="E49" s="12">
        <v>3.5</v>
      </c>
      <c r="F49" s="12">
        <v>110.25</v>
      </c>
      <c r="G49" s="32" t="s">
        <v>2302</v>
      </c>
      <c r="I49" s="12">
        <v>45</v>
      </c>
      <c r="J49" s="32" t="s">
        <v>1291</v>
      </c>
      <c r="K49" s="12" t="s">
        <v>652</v>
      </c>
      <c r="L49" s="12">
        <v>32</v>
      </c>
      <c r="M49">
        <v>3.5</v>
      </c>
      <c r="N49">
        <v>112</v>
      </c>
      <c r="O49" t="s">
        <v>2302</v>
      </c>
    </row>
    <row r="50" spans="1:15" x14ac:dyDescent="0.25">
      <c r="A50" s="12">
        <v>46</v>
      </c>
      <c r="B50" s="32" t="s">
        <v>1292</v>
      </c>
      <c r="C50" s="12" t="s">
        <v>8</v>
      </c>
      <c r="D50" s="12">
        <v>12.600000000000001</v>
      </c>
      <c r="E50" s="12">
        <v>20</v>
      </c>
      <c r="F50" s="12">
        <v>252.00000000000003</v>
      </c>
      <c r="G50" s="32" t="s">
        <v>2303</v>
      </c>
      <c r="I50" s="12">
        <v>46</v>
      </c>
      <c r="J50" s="32" t="s">
        <v>1292</v>
      </c>
      <c r="K50" s="12" t="s">
        <v>8</v>
      </c>
      <c r="L50" s="12">
        <v>13</v>
      </c>
      <c r="M50">
        <v>20</v>
      </c>
      <c r="N50">
        <v>260</v>
      </c>
      <c r="O50" t="s">
        <v>2303</v>
      </c>
    </row>
    <row r="51" spans="1:15" x14ac:dyDescent="0.25">
      <c r="A51" s="12">
        <v>47</v>
      </c>
      <c r="B51" s="32" t="s">
        <v>1289</v>
      </c>
      <c r="C51" s="12" t="s">
        <v>595</v>
      </c>
      <c r="D51" s="12">
        <v>13.65</v>
      </c>
      <c r="E51" s="12">
        <v>25</v>
      </c>
      <c r="F51" s="12">
        <v>341.25</v>
      </c>
      <c r="G51" s="32" t="s">
        <v>2304</v>
      </c>
      <c r="I51" s="12">
        <v>47</v>
      </c>
      <c r="J51" s="32" t="s">
        <v>1289</v>
      </c>
      <c r="K51" s="12" t="s">
        <v>595</v>
      </c>
      <c r="L51" s="12">
        <v>14</v>
      </c>
      <c r="M51">
        <v>25</v>
      </c>
      <c r="N51">
        <v>350</v>
      </c>
      <c r="O51" t="s">
        <v>2304</v>
      </c>
    </row>
    <row r="52" spans="1:15" x14ac:dyDescent="0.25">
      <c r="A52" s="12">
        <v>48</v>
      </c>
      <c r="B52" s="32" t="s">
        <v>1442</v>
      </c>
      <c r="C52" s="12" t="s">
        <v>8</v>
      </c>
      <c r="D52" s="12">
        <v>1260</v>
      </c>
      <c r="E52" s="12">
        <v>0.13</v>
      </c>
      <c r="F52" s="12">
        <v>163.80000000000001</v>
      </c>
      <c r="G52" s="32" t="s">
        <v>2245</v>
      </c>
      <c r="I52" s="12">
        <v>48</v>
      </c>
      <c r="J52" s="32" t="s">
        <v>1442</v>
      </c>
      <c r="K52" s="12" t="s">
        <v>8</v>
      </c>
      <c r="L52" s="12">
        <v>1260</v>
      </c>
      <c r="M52">
        <v>0.13</v>
      </c>
      <c r="N52">
        <v>163.80000000000001</v>
      </c>
      <c r="O52" t="s">
        <v>2245</v>
      </c>
    </row>
    <row r="53" spans="1:15" x14ac:dyDescent="0.25">
      <c r="A53" s="12">
        <v>49</v>
      </c>
      <c r="B53" s="32" t="s">
        <v>251</v>
      </c>
      <c r="C53" s="12" t="s">
        <v>29</v>
      </c>
      <c r="D53" s="12">
        <v>1582</v>
      </c>
      <c r="E53" s="12">
        <v>22.5</v>
      </c>
      <c r="F53" s="12">
        <v>35595</v>
      </c>
      <c r="G53" s="32" t="s">
        <v>2281</v>
      </c>
      <c r="I53" s="12">
        <v>49</v>
      </c>
      <c r="J53" s="32" t="s">
        <v>251</v>
      </c>
      <c r="K53" s="12" t="s">
        <v>29</v>
      </c>
      <c r="L53" s="12">
        <v>1582</v>
      </c>
      <c r="M53">
        <v>22.5</v>
      </c>
      <c r="N53">
        <v>35595</v>
      </c>
      <c r="O53" t="s">
        <v>2281</v>
      </c>
    </row>
    <row r="54" spans="1:15" x14ac:dyDescent="0.25">
      <c r="A54" s="12">
        <v>50</v>
      </c>
      <c r="B54" s="32" t="s">
        <v>42</v>
      </c>
      <c r="C54" s="12" t="s">
        <v>8</v>
      </c>
      <c r="D54" s="12">
        <v>10</v>
      </c>
      <c r="E54" s="12">
        <v>9.9</v>
      </c>
      <c r="F54" s="12">
        <v>99</v>
      </c>
      <c r="G54" s="32" t="s">
        <v>2246</v>
      </c>
      <c r="I54" s="12">
        <v>50</v>
      </c>
      <c r="J54" s="32" t="s">
        <v>42</v>
      </c>
      <c r="K54" s="12" t="s">
        <v>8</v>
      </c>
      <c r="L54" s="12">
        <v>10</v>
      </c>
      <c r="M54">
        <v>9.9</v>
      </c>
      <c r="N54">
        <v>99</v>
      </c>
      <c r="O54" t="s">
        <v>2246</v>
      </c>
    </row>
    <row r="55" spans="1:15" x14ac:dyDescent="0.25">
      <c r="A55" s="12">
        <v>51</v>
      </c>
      <c r="B55" s="32" t="s">
        <v>887</v>
      </c>
      <c r="C55" s="12" t="s">
        <v>888</v>
      </c>
      <c r="D55" s="12">
        <v>1</v>
      </c>
      <c r="E55" s="12">
        <v>8.4</v>
      </c>
      <c r="F55" s="12">
        <v>8.4</v>
      </c>
      <c r="G55" s="32" t="s">
        <v>2247</v>
      </c>
      <c r="I55" s="12">
        <v>51</v>
      </c>
      <c r="J55" s="32" t="s">
        <v>887</v>
      </c>
      <c r="K55" s="12" t="s">
        <v>888</v>
      </c>
      <c r="L55" s="12">
        <v>1</v>
      </c>
      <c r="M55">
        <v>8.4</v>
      </c>
      <c r="N55">
        <v>8.4</v>
      </c>
      <c r="O55" t="s">
        <v>2247</v>
      </c>
    </row>
    <row r="56" spans="1:15" x14ac:dyDescent="0.25">
      <c r="A56" s="12">
        <v>52</v>
      </c>
      <c r="B56" s="32" t="s">
        <v>1652</v>
      </c>
      <c r="C56" s="12" t="s">
        <v>256</v>
      </c>
      <c r="D56" s="12">
        <v>1</v>
      </c>
      <c r="E56" s="12">
        <v>92</v>
      </c>
      <c r="F56" s="12">
        <v>92</v>
      </c>
      <c r="G56" s="32" t="s">
        <v>2248</v>
      </c>
      <c r="I56" s="12">
        <v>52</v>
      </c>
      <c r="J56" s="32" t="s">
        <v>1652</v>
      </c>
      <c r="K56" s="12" t="s">
        <v>256</v>
      </c>
      <c r="L56" s="12">
        <v>1</v>
      </c>
      <c r="M56">
        <v>92</v>
      </c>
      <c r="N56">
        <v>92</v>
      </c>
      <c r="O56" t="s">
        <v>2248</v>
      </c>
    </row>
    <row r="57" spans="1:15" x14ac:dyDescent="0.25">
      <c r="A57" s="12">
        <v>53</v>
      </c>
      <c r="B57" s="32" t="s">
        <v>1653</v>
      </c>
      <c r="C57" s="12" t="s">
        <v>256</v>
      </c>
      <c r="D57" s="12">
        <v>1</v>
      </c>
      <c r="E57" s="12">
        <v>92</v>
      </c>
      <c r="F57" s="12">
        <v>92</v>
      </c>
      <c r="G57" s="32" t="s">
        <v>2249</v>
      </c>
      <c r="I57" s="12">
        <v>53</v>
      </c>
      <c r="J57" s="32" t="s">
        <v>1653</v>
      </c>
      <c r="K57" s="12" t="s">
        <v>256</v>
      </c>
      <c r="L57" s="12">
        <v>1</v>
      </c>
      <c r="M57">
        <v>92</v>
      </c>
      <c r="N57">
        <v>92</v>
      </c>
      <c r="O57" t="s">
        <v>2249</v>
      </c>
    </row>
    <row r="58" spans="1:15" x14ac:dyDescent="0.25">
      <c r="A58" s="12">
        <v>54</v>
      </c>
      <c r="B58" s="32" t="s">
        <v>1654</v>
      </c>
      <c r="C58" s="12" t="s">
        <v>256</v>
      </c>
      <c r="D58" s="12">
        <v>1</v>
      </c>
      <c r="E58" s="12">
        <v>92</v>
      </c>
      <c r="F58" s="12">
        <v>92</v>
      </c>
      <c r="G58" s="32" t="s">
        <v>2250</v>
      </c>
      <c r="I58" s="12">
        <v>54</v>
      </c>
      <c r="J58" s="32" t="s">
        <v>1654</v>
      </c>
      <c r="K58" s="12" t="s">
        <v>256</v>
      </c>
      <c r="L58" s="12">
        <v>1</v>
      </c>
      <c r="M58">
        <v>92</v>
      </c>
      <c r="N58">
        <v>92</v>
      </c>
      <c r="O58" t="s">
        <v>2250</v>
      </c>
    </row>
    <row r="59" spans="1:15" x14ac:dyDescent="0.25">
      <c r="A59" s="12">
        <v>55</v>
      </c>
      <c r="B59" s="32" t="s">
        <v>1656</v>
      </c>
      <c r="C59" s="12" t="s">
        <v>256</v>
      </c>
      <c r="D59" s="12">
        <v>1</v>
      </c>
      <c r="E59" s="12">
        <v>146</v>
      </c>
      <c r="F59" s="12">
        <v>146</v>
      </c>
      <c r="G59" s="32" t="s">
        <v>2251</v>
      </c>
      <c r="I59" s="12">
        <v>55</v>
      </c>
      <c r="J59" s="32" t="s">
        <v>1656</v>
      </c>
      <c r="K59" s="12" t="s">
        <v>256</v>
      </c>
      <c r="L59" s="12">
        <v>1</v>
      </c>
      <c r="M59">
        <v>146</v>
      </c>
      <c r="N59">
        <v>146</v>
      </c>
      <c r="O59" t="s">
        <v>2251</v>
      </c>
    </row>
    <row r="60" spans="1:15" x14ac:dyDescent="0.25">
      <c r="A60" s="12">
        <v>56</v>
      </c>
      <c r="B60" s="32" t="s">
        <v>1657</v>
      </c>
      <c r="C60" s="12" t="s">
        <v>256</v>
      </c>
      <c r="D60" s="12">
        <v>1</v>
      </c>
      <c r="E60" s="12">
        <v>146</v>
      </c>
      <c r="F60" s="12">
        <v>146</v>
      </c>
      <c r="G60" s="32" t="s">
        <v>2252</v>
      </c>
      <c r="I60" s="12">
        <v>56</v>
      </c>
      <c r="J60" s="32" t="s">
        <v>1657</v>
      </c>
      <c r="K60" s="12" t="s">
        <v>256</v>
      </c>
      <c r="L60" s="12">
        <v>1</v>
      </c>
      <c r="M60">
        <v>146</v>
      </c>
      <c r="N60">
        <v>146</v>
      </c>
      <c r="O60" t="s">
        <v>2252</v>
      </c>
    </row>
    <row r="61" spans="1:15" x14ac:dyDescent="0.25">
      <c r="A61" s="12">
        <v>57</v>
      </c>
      <c r="B61" s="32" t="s">
        <v>1658</v>
      </c>
      <c r="C61" s="12" t="s">
        <v>256</v>
      </c>
      <c r="D61" s="12">
        <v>1</v>
      </c>
      <c r="E61" s="12">
        <v>146</v>
      </c>
      <c r="F61" s="12">
        <v>146</v>
      </c>
      <c r="G61" s="32" t="s">
        <v>2253</v>
      </c>
      <c r="I61" s="12">
        <v>57</v>
      </c>
      <c r="J61" s="32" t="s">
        <v>1658</v>
      </c>
      <c r="K61" s="12" t="s">
        <v>256</v>
      </c>
      <c r="L61" s="12">
        <v>1</v>
      </c>
      <c r="M61">
        <v>146</v>
      </c>
      <c r="N61">
        <v>146</v>
      </c>
      <c r="O61" t="s">
        <v>2253</v>
      </c>
    </row>
    <row r="62" spans="1:15" x14ac:dyDescent="0.25">
      <c r="A62" s="12">
        <v>58</v>
      </c>
      <c r="B62" s="32" t="s">
        <v>651</v>
      </c>
      <c r="C62" s="12" t="s">
        <v>652</v>
      </c>
      <c r="D62" s="12">
        <v>64.5</v>
      </c>
      <c r="E62" s="12">
        <v>15</v>
      </c>
      <c r="F62" s="12">
        <v>967.5</v>
      </c>
      <c r="G62" s="32" t="s">
        <v>2305</v>
      </c>
      <c r="I62" s="12">
        <v>58</v>
      </c>
      <c r="J62" s="32" t="s">
        <v>651</v>
      </c>
      <c r="K62" s="12" t="s">
        <v>652</v>
      </c>
      <c r="L62" s="12">
        <v>65</v>
      </c>
      <c r="M62">
        <v>15</v>
      </c>
      <c r="N62">
        <v>975</v>
      </c>
      <c r="O62" t="s">
        <v>2305</v>
      </c>
    </row>
    <row r="63" spans="1:15" x14ac:dyDescent="0.25">
      <c r="A63" s="12">
        <v>59</v>
      </c>
      <c r="B63" s="32" t="s">
        <v>1227</v>
      </c>
      <c r="C63" s="12" t="s">
        <v>10</v>
      </c>
      <c r="D63" s="12">
        <v>1</v>
      </c>
      <c r="E63" s="12">
        <v>60</v>
      </c>
      <c r="F63" s="12">
        <v>60</v>
      </c>
      <c r="G63" s="32" t="s">
        <v>2254</v>
      </c>
      <c r="I63" s="12">
        <v>59</v>
      </c>
      <c r="J63" s="32" t="s">
        <v>1227</v>
      </c>
      <c r="K63" s="12" t="s">
        <v>10</v>
      </c>
      <c r="L63" s="12">
        <v>1</v>
      </c>
      <c r="M63">
        <v>60</v>
      </c>
      <c r="N63">
        <v>60</v>
      </c>
      <c r="O63" t="s">
        <v>2254</v>
      </c>
    </row>
    <row r="64" spans="1:15" x14ac:dyDescent="0.25">
      <c r="A64" s="12">
        <v>60</v>
      </c>
      <c r="B64" s="32" t="s">
        <v>795</v>
      </c>
      <c r="C64" s="12" t="s">
        <v>591</v>
      </c>
      <c r="D64" s="12">
        <v>19.950000000000003</v>
      </c>
      <c r="E64" s="12">
        <v>22</v>
      </c>
      <c r="F64" s="12">
        <v>438.90000000000009</v>
      </c>
      <c r="G64" s="32" t="s">
        <v>2306</v>
      </c>
      <c r="I64" s="12">
        <v>60</v>
      </c>
      <c r="J64" s="32" t="s">
        <v>795</v>
      </c>
      <c r="K64" s="12" t="s">
        <v>591</v>
      </c>
      <c r="L64" s="12">
        <v>20</v>
      </c>
      <c r="M64">
        <v>22</v>
      </c>
      <c r="N64">
        <v>440</v>
      </c>
      <c r="O64" t="s">
        <v>2306</v>
      </c>
    </row>
    <row r="65" spans="1:15" x14ac:dyDescent="0.25">
      <c r="A65" s="12">
        <v>61</v>
      </c>
      <c r="B65" s="32" t="s">
        <v>590</v>
      </c>
      <c r="C65" s="12" t="s">
        <v>591</v>
      </c>
      <c r="D65" s="12">
        <v>72</v>
      </c>
      <c r="E65" s="12">
        <v>28</v>
      </c>
      <c r="F65" s="12">
        <v>2016</v>
      </c>
      <c r="G65" s="32" t="s">
        <v>2255</v>
      </c>
      <c r="I65" s="12">
        <v>61</v>
      </c>
      <c r="J65" s="32" t="s">
        <v>590</v>
      </c>
      <c r="K65" s="12" t="s">
        <v>591</v>
      </c>
      <c r="L65" s="12">
        <v>72</v>
      </c>
      <c r="M65">
        <v>28</v>
      </c>
      <c r="N65">
        <v>2016</v>
      </c>
      <c r="O65" t="s">
        <v>2255</v>
      </c>
    </row>
    <row r="66" spans="1:15" x14ac:dyDescent="0.25">
      <c r="A66" s="12">
        <v>62</v>
      </c>
      <c r="B66" s="32" t="s">
        <v>592</v>
      </c>
      <c r="C66" s="12" t="s">
        <v>591</v>
      </c>
      <c r="D66" s="12">
        <v>45.6</v>
      </c>
      <c r="E66" s="12">
        <v>15</v>
      </c>
      <c r="F66" s="12">
        <v>684</v>
      </c>
      <c r="G66" s="32" t="s">
        <v>2307</v>
      </c>
      <c r="I66" s="12">
        <v>62</v>
      </c>
      <c r="J66" s="32" t="s">
        <v>592</v>
      </c>
      <c r="K66" s="12" t="s">
        <v>591</v>
      </c>
      <c r="L66" s="12">
        <v>46</v>
      </c>
      <c r="M66">
        <v>15</v>
      </c>
      <c r="N66">
        <v>690</v>
      </c>
      <c r="O66" t="s">
        <v>2307</v>
      </c>
    </row>
    <row r="67" spans="1:15" x14ac:dyDescent="0.25">
      <c r="A67" s="12">
        <v>63</v>
      </c>
      <c r="B67" s="32" t="s">
        <v>1978</v>
      </c>
      <c r="C67" s="12" t="s">
        <v>652</v>
      </c>
      <c r="D67" s="12">
        <v>16.8</v>
      </c>
      <c r="E67" s="12">
        <v>55</v>
      </c>
      <c r="F67" s="12">
        <v>924</v>
      </c>
      <c r="G67" s="32" t="s">
        <v>2308</v>
      </c>
      <c r="I67" s="12">
        <v>63</v>
      </c>
      <c r="J67" s="32" t="s">
        <v>1978</v>
      </c>
      <c r="K67" s="12" t="s">
        <v>652</v>
      </c>
      <c r="L67" s="12">
        <v>17</v>
      </c>
      <c r="M67">
        <v>55</v>
      </c>
      <c r="N67">
        <v>935</v>
      </c>
      <c r="O67" t="s">
        <v>2308</v>
      </c>
    </row>
    <row r="68" spans="1:15" x14ac:dyDescent="0.25">
      <c r="A68" s="12">
        <v>64</v>
      </c>
      <c r="B68" s="32" t="s">
        <v>1679</v>
      </c>
      <c r="C68" s="12" t="s">
        <v>10</v>
      </c>
      <c r="D68" s="12">
        <v>2</v>
      </c>
      <c r="E68" s="12">
        <v>13</v>
      </c>
      <c r="F68" s="12">
        <v>26</v>
      </c>
      <c r="G68" s="32" t="s">
        <v>2256</v>
      </c>
      <c r="I68" s="12">
        <v>64</v>
      </c>
      <c r="J68" s="32" t="s">
        <v>1679</v>
      </c>
      <c r="K68" s="12" t="s">
        <v>10</v>
      </c>
      <c r="L68" s="12">
        <v>2</v>
      </c>
      <c r="M68">
        <v>13</v>
      </c>
      <c r="N68">
        <v>26</v>
      </c>
      <c r="O68" t="s">
        <v>2256</v>
      </c>
    </row>
    <row r="69" spans="1:15" x14ac:dyDescent="0.25">
      <c r="A69" s="12">
        <v>65</v>
      </c>
      <c r="B69" s="32" t="s">
        <v>1297</v>
      </c>
      <c r="C69" s="12" t="s">
        <v>8</v>
      </c>
      <c r="D69" s="12">
        <v>2</v>
      </c>
      <c r="E69" s="12">
        <v>13</v>
      </c>
      <c r="F69" s="12">
        <v>26</v>
      </c>
      <c r="G69" s="32" t="s">
        <v>2257</v>
      </c>
      <c r="I69" s="12">
        <v>65</v>
      </c>
      <c r="J69" s="32" t="s">
        <v>1297</v>
      </c>
      <c r="K69" s="12" t="s">
        <v>8</v>
      </c>
      <c r="L69" s="12">
        <v>2</v>
      </c>
      <c r="M69">
        <v>13</v>
      </c>
      <c r="N69">
        <v>26</v>
      </c>
      <c r="O69" t="s">
        <v>2257</v>
      </c>
    </row>
    <row r="70" spans="1:15" x14ac:dyDescent="0.25">
      <c r="A70" s="12">
        <v>66</v>
      </c>
      <c r="B70" s="32" t="s">
        <v>254</v>
      </c>
      <c r="C70" s="12" t="s">
        <v>8</v>
      </c>
      <c r="D70" s="12">
        <v>2</v>
      </c>
      <c r="E70" s="12">
        <v>65</v>
      </c>
      <c r="F70" s="12">
        <v>130</v>
      </c>
      <c r="G70" s="32" t="s">
        <v>2258</v>
      </c>
      <c r="I70" s="12">
        <v>66</v>
      </c>
      <c r="J70" s="32" t="s">
        <v>254</v>
      </c>
      <c r="K70" s="12" t="s">
        <v>8</v>
      </c>
      <c r="L70" s="12">
        <v>2</v>
      </c>
      <c r="M70">
        <v>65</v>
      </c>
      <c r="N70">
        <v>130</v>
      </c>
      <c r="O70" t="s">
        <v>2258</v>
      </c>
    </row>
    <row r="71" spans="1:15" x14ac:dyDescent="0.25">
      <c r="A71" s="12">
        <v>67</v>
      </c>
      <c r="B71" s="32" t="s">
        <v>594</v>
      </c>
      <c r="C71" s="12" t="s">
        <v>595</v>
      </c>
      <c r="D71" s="12">
        <v>37.400000000000006</v>
      </c>
      <c r="E71" s="12">
        <v>44.999999999999993</v>
      </c>
      <c r="F71" s="12">
        <v>1683</v>
      </c>
      <c r="G71" s="32" t="s">
        <v>2309</v>
      </c>
      <c r="I71" s="12">
        <v>67</v>
      </c>
      <c r="J71" s="32" t="s">
        <v>594</v>
      </c>
      <c r="K71" s="12" t="s">
        <v>595</v>
      </c>
      <c r="L71" s="12">
        <v>38</v>
      </c>
      <c r="M71">
        <v>44.999999999999993</v>
      </c>
      <c r="N71">
        <v>1709.9999999999998</v>
      </c>
      <c r="O71" t="s">
        <v>2309</v>
      </c>
    </row>
    <row r="72" spans="1:15" x14ac:dyDescent="0.25">
      <c r="A72" s="12">
        <v>68</v>
      </c>
      <c r="B72" s="32" t="s">
        <v>255</v>
      </c>
      <c r="C72" s="12" t="s">
        <v>256</v>
      </c>
      <c r="D72" s="12">
        <v>1</v>
      </c>
      <c r="E72" s="12">
        <v>15</v>
      </c>
      <c r="F72" s="12">
        <v>15</v>
      </c>
      <c r="G72" s="32" t="s">
        <v>2259</v>
      </c>
      <c r="I72" s="12">
        <v>68</v>
      </c>
      <c r="J72" s="32" t="s">
        <v>255</v>
      </c>
      <c r="K72" s="12" t="s">
        <v>256</v>
      </c>
      <c r="L72" s="12">
        <v>1</v>
      </c>
      <c r="M72">
        <v>15</v>
      </c>
      <c r="N72">
        <v>15</v>
      </c>
      <c r="O72" t="s">
        <v>2259</v>
      </c>
    </row>
    <row r="73" spans="1:15" x14ac:dyDescent="0.25">
      <c r="A73" s="12">
        <v>69</v>
      </c>
      <c r="B73" s="32" t="s">
        <v>1802</v>
      </c>
      <c r="C73" s="12" t="s">
        <v>8</v>
      </c>
      <c r="D73" s="12">
        <v>4.2</v>
      </c>
      <c r="E73" s="12">
        <v>5.5</v>
      </c>
      <c r="F73" s="12">
        <v>23.1</v>
      </c>
      <c r="G73" s="32" t="s">
        <v>2310</v>
      </c>
      <c r="I73" s="12">
        <v>69</v>
      </c>
      <c r="J73" s="32" t="s">
        <v>1802</v>
      </c>
      <c r="K73" s="12" t="s">
        <v>8</v>
      </c>
      <c r="L73" s="12">
        <v>5</v>
      </c>
      <c r="M73">
        <v>5.5</v>
      </c>
      <c r="N73">
        <v>27.5</v>
      </c>
      <c r="O73" t="s">
        <v>2310</v>
      </c>
    </row>
    <row r="74" spans="1:15" x14ac:dyDescent="0.25">
      <c r="A74" s="12">
        <v>70</v>
      </c>
      <c r="B74" s="32" t="s">
        <v>1290</v>
      </c>
      <c r="C74" s="12" t="s">
        <v>595</v>
      </c>
      <c r="D74" s="12">
        <v>5.25</v>
      </c>
      <c r="E74" s="12">
        <v>13</v>
      </c>
      <c r="F74" s="12">
        <v>68.25</v>
      </c>
      <c r="G74" s="32" t="s">
        <v>2311</v>
      </c>
      <c r="I74" s="12">
        <v>70</v>
      </c>
      <c r="J74" s="32" t="s">
        <v>1290</v>
      </c>
      <c r="K74" s="12" t="s">
        <v>595</v>
      </c>
      <c r="L74" s="12">
        <v>6</v>
      </c>
      <c r="M74">
        <v>13</v>
      </c>
      <c r="N74">
        <v>78</v>
      </c>
      <c r="O74" t="s">
        <v>2311</v>
      </c>
    </row>
    <row r="75" spans="1:15" x14ac:dyDescent="0.25">
      <c r="A75" s="12">
        <v>71</v>
      </c>
      <c r="B75" s="32" t="s">
        <v>1672</v>
      </c>
      <c r="C75" s="12" t="s">
        <v>30</v>
      </c>
      <c r="D75" s="12">
        <v>15</v>
      </c>
      <c r="E75" s="12">
        <v>0.35</v>
      </c>
      <c r="F75" s="12">
        <v>5.25</v>
      </c>
      <c r="G75" s="32" t="s">
        <v>2260</v>
      </c>
      <c r="I75" s="12">
        <v>71</v>
      </c>
      <c r="J75" s="32" t="s">
        <v>1672</v>
      </c>
      <c r="K75" s="12" t="s">
        <v>30</v>
      </c>
      <c r="L75" s="12">
        <v>15</v>
      </c>
      <c r="M75">
        <v>0.35</v>
      </c>
      <c r="N75">
        <v>5.25</v>
      </c>
      <c r="O75" t="s">
        <v>2260</v>
      </c>
    </row>
    <row r="76" spans="1:15" x14ac:dyDescent="0.25">
      <c r="A76" s="12">
        <v>72</v>
      </c>
      <c r="B76" s="32" t="s">
        <v>1665</v>
      </c>
      <c r="C76" s="12" t="s">
        <v>652</v>
      </c>
      <c r="D76" s="12">
        <v>15</v>
      </c>
      <c r="E76" s="12">
        <v>6.8</v>
      </c>
      <c r="F76" s="12">
        <v>102</v>
      </c>
      <c r="G76" s="32" t="s">
        <v>2261</v>
      </c>
      <c r="I76" s="12">
        <v>72</v>
      </c>
      <c r="J76" s="32" t="s">
        <v>1665</v>
      </c>
      <c r="K76" s="12" t="s">
        <v>652</v>
      </c>
      <c r="L76" s="12">
        <v>15</v>
      </c>
      <c r="M76">
        <v>6.8</v>
      </c>
      <c r="N76">
        <v>102</v>
      </c>
      <c r="O76" t="s">
        <v>2261</v>
      </c>
    </row>
    <row r="77" spans="1:15" x14ac:dyDescent="0.25">
      <c r="A77" s="12">
        <v>73</v>
      </c>
      <c r="B77" s="32" t="s">
        <v>1667</v>
      </c>
      <c r="C77" s="12" t="s">
        <v>652</v>
      </c>
      <c r="D77" s="12">
        <v>12</v>
      </c>
      <c r="E77" s="12">
        <v>10.199999999999999</v>
      </c>
      <c r="F77" s="12">
        <v>122.39999999999999</v>
      </c>
      <c r="G77" s="32" t="s">
        <v>2262</v>
      </c>
      <c r="I77" s="12">
        <v>73</v>
      </c>
      <c r="J77" s="32" t="s">
        <v>1667</v>
      </c>
      <c r="K77" s="12" t="s">
        <v>652</v>
      </c>
      <c r="L77" s="12">
        <v>12</v>
      </c>
      <c r="M77">
        <v>10.199999999999999</v>
      </c>
      <c r="N77">
        <v>122.39999999999999</v>
      </c>
      <c r="O77" t="s">
        <v>2262</v>
      </c>
    </row>
    <row r="78" spans="1:15" x14ac:dyDescent="0.25">
      <c r="A78" s="12">
        <v>74</v>
      </c>
      <c r="B78" s="32" t="s">
        <v>1669</v>
      </c>
      <c r="C78" s="12" t="s">
        <v>888</v>
      </c>
      <c r="D78" s="12">
        <v>2</v>
      </c>
      <c r="E78" s="12">
        <v>1.36</v>
      </c>
      <c r="F78" s="12">
        <v>2.72</v>
      </c>
      <c r="G78" s="32" t="s">
        <v>2263</v>
      </c>
      <c r="I78" s="12">
        <v>74</v>
      </c>
      <c r="J78" s="32" t="s">
        <v>1669</v>
      </c>
      <c r="K78" s="12" t="s">
        <v>888</v>
      </c>
      <c r="L78" s="12">
        <v>2</v>
      </c>
      <c r="M78">
        <v>1.36</v>
      </c>
      <c r="N78">
        <v>2.72</v>
      </c>
      <c r="O78" t="s">
        <v>2263</v>
      </c>
    </row>
    <row r="79" spans="1:15" x14ac:dyDescent="0.25">
      <c r="A79" s="12">
        <v>75</v>
      </c>
      <c r="B79" s="32" t="s">
        <v>886</v>
      </c>
      <c r="C79" s="12" t="s">
        <v>8</v>
      </c>
      <c r="D79" s="12">
        <v>2.1</v>
      </c>
      <c r="E79" s="12">
        <v>9.5</v>
      </c>
      <c r="F79" s="12">
        <v>19.95</v>
      </c>
      <c r="G79" s="32" t="s">
        <v>2312</v>
      </c>
      <c r="I79" s="12">
        <v>75</v>
      </c>
      <c r="J79" s="32" t="s">
        <v>886</v>
      </c>
      <c r="K79" s="12" t="s">
        <v>8</v>
      </c>
      <c r="L79" s="12">
        <v>3</v>
      </c>
      <c r="M79">
        <v>9.5</v>
      </c>
      <c r="N79">
        <v>28.5</v>
      </c>
      <c r="O79" t="s">
        <v>2312</v>
      </c>
    </row>
    <row r="80" spans="1:15" x14ac:dyDescent="0.25">
      <c r="A80" s="12">
        <v>76</v>
      </c>
      <c r="B80" s="32" t="s">
        <v>883</v>
      </c>
      <c r="C80" s="12" t="s">
        <v>8</v>
      </c>
      <c r="D80" s="12">
        <v>6.3000000000000007</v>
      </c>
      <c r="E80" s="12">
        <v>4.3</v>
      </c>
      <c r="F80" s="12">
        <v>27.090000000000003</v>
      </c>
      <c r="G80" s="32" t="s">
        <v>2313</v>
      </c>
      <c r="I80" s="12">
        <v>76</v>
      </c>
      <c r="J80" s="32" t="s">
        <v>883</v>
      </c>
      <c r="K80" s="12" t="s">
        <v>8</v>
      </c>
      <c r="L80" s="12">
        <v>7</v>
      </c>
      <c r="M80">
        <v>4.3</v>
      </c>
      <c r="N80">
        <v>30.099999999999998</v>
      </c>
      <c r="O80" t="s">
        <v>2313</v>
      </c>
    </row>
    <row r="81" spans="1:15" x14ac:dyDescent="0.25">
      <c r="A81" s="12">
        <v>77</v>
      </c>
      <c r="B81" s="32" t="s">
        <v>1929</v>
      </c>
      <c r="C81" s="12" t="s">
        <v>8</v>
      </c>
      <c r="D81" s="12">
        <v>5.25</v>
      </c>
      <c r="E81" s="12">
        <v>3</v>
      </c>
      <c r="F81" s="12">
        <v>15.75</v>
      </c>
      <c r="G81" s="32" t="s">
        <v>2314</v>
      </c>
      <c r="I81" s="12">
        <v>77</v>
      </c>
      <c r="J81" s="32" t="s">
        <v>1929</v>
      </c>
      <c r="K81" s="12" t="s">
        <v>8</v>
      </c>
      <c r="L81" s="12">
        <v>6</v>
      </c>
      <c r="M81">
        <v>3</v>
      </c>
      <c r="N81">
        <v>18</v>
      </c>
      <c r="O81" t="s">
        <v>2314</v>
      </c>
    </row>
    <row r="82" spans="1:15" x14ac:dyDescent="0.25">
      <c r="A82" s="12">
        <v>78</v>
      </c>
      <c r="B82" s="32" t="s">
        <v>877</v>
      </c>
      <c r="C82" s="12" t="s">
        <v>652</v>
      </c>
      <c r="D82" s="12">
        <v>4.2</v>
      </c>
      <c r="E82" s="12">
        <v>12.6</v>
      </c>
      <c r="F82" s="12">
        <v>52.92</v>
      </c>
      <c r="G82" s="32" t="s">
        <v>2315</v>
      </c>
      <c r="I82" s="12">
        <v>78</v>
      </c>
      <c r="J82" s="32" t="s">
        <v>877</v>
      </c>
      <c r="K82" s="12" t="s">
        <v>652</v>
      </c>
      <c r="L82" s="12">
        <v>5</v>
      </c>
      <c r="M82">
        <v>12.6</v>
      </c>
      <c r="N82">
        <v>63</v>
      </c>
      <c r="O82" t="s">
        <v>2315</v>
      </c>
    </row>
    <row r="83" spans="1:15" x14ac:dyDescent="0.25">
      <c r="A83" s="12">
        <v>79</v>
      </c>
      <c r="B83" s="32" t="s">
        <v>890</v>
      </c>
      <c r="C83" s="12" t="s">
        <v>8</v>
      </c>
      <c r="D83" s="12">
        <v>1</v>
      </c>
      <c r="E83" s="12">
        <v>1</v>
      </c>
      <c r="F83" s="12">
        <v>1</v>
      </c>
      <c r="G83" s="32" t="s">
        <v>2222</v>
      </c>
      <c r="I83" s="12">
        <v>79</v>
      </c>
      <c r="J83" s="32" t="s">
        <v>890</v>
      </c>
      <c r="K83" s="12" t="s">
        <v>8</v>
      </c>
      <c r="L83" s="12">
        <v>1</v>
      </c>
      <c r="M83">
        <v>1</v>
      </c>
      <c r="N83">
        <v>1</v>
      </c>
      <c r="O83" t="s">
        <v>2222</v>
      </c>
    </row>
    <row r="84" spans="1:15" x14ac:dyDescent="0.25">
      <c r="A84" s="12">
        <v>80</v>
      </c>
      <c r="B84" s="32" t="s">
        <v>1558</v>
      </c>
      <c r="C84" s="12" t="s">
        <v>1559</v>
      </c>
      <c r="D84" s="12">
        <v>12</v>
      </c>
      <c r="E84" s="12">
        <v>1</v>
      </c>
      <c r="F84" s="12">
        <v>12</v>
      </c>
      <c r="G84" s="32" t="s">
        <v>2264</v>
      </c>
      <c r="I84" s="12">
        <v>80</v>
      </c>
      <c r="J84" s="32" t="s">
        <v>1558</v>
      </c>
      <c r="K84" s="12" t="s">
        <v>1559</v>
      </c>
      <c r="L84" s="12">
        <v>12</v>
      </c>
      <c r="M84">
        <v>1</v>
      </c>
      <c r="N84">
        <v>12</v>
      </c>
      <c r="O84" t="s">
        <v>2264</v>
      </c>
    </row>
    <row r="85" spans="1:15" x14ac:dyDescent="0.25">
      <c r="A85" s="12">
        <v>81</v>
      </c>
      <c r="B85" s="32" t="s">
        <v>1215</v>
      </c>
      <c r="C85" s="12" t="s">
        <v>8</v>
      </c>
      <c r="D85" s="12">
        <v>1</v>
      </c>
      <c r="E85" s="12">
        <v>150</v>
      </c>
      <c r="F85" s="12">
        <v>150</v>
      </c>
      <c r="G85" s="32" t="s">
        <v>2265</v>
      </c>
      <c r="I85" s="12">
        <v>81</v>
      </c>
      <c r="J85" s="32" t="s">
        <v>1215</v>
      </c>
      <c r="K85" s="12" t="s">
        <v>8</v>
      </c>
      <c r="L85" s="12">
        <v>1</v>
      </c>
      <c r="M85">
        <v>150</v>
      </c>
      <c r="N85">
        <v>150</v>
      </c>
      <c r="O85" t="s">
        <v>2265</v>
      </c>
    </row>
    <row r="86" spans="1:15" x14ac:dyDescent="0.25">
      <c r="A86" s="12">
        <v>82</v>
      </c>
      <c r="B86" s="32" t="s">
        <v>485</v>
      </c>
      <c r="C86" s="12" t="s">
        <v>486</v>
      </c>
      <c r="D86" s="12">
        <v>6.7700000000000005</v>
      </c>
      <c r="E86" s="12">
        <v>329.99999999999994</v>
      </c>
      <c r="F86" s="12">
        <v>2234.1</v>
      </c>
      <c r="G86" s="32" t="s">
        <v>2316</v>
      </c>
      <c r="I86" s="12">
        <v>82</v>
      </c>
      <c r="J86" s="32" t="s">
        <v>485</v>
      </c>
      <c r="K86" s="12" t="s">
        <v>486</v>
      </c>
      <c r="L86" s="12">
        <v>7</v>
      </c>
      <c r="M86">
        <v>329.99999999999994</v>
      </c>
      <c r="N86">
        <v>2309.9999999999995</v>
      </c>
      <c r="O86" t="s">
        <v>2316</v>
      </c>
    </row>
    <row r="87" spans="1:15" x14ac:dyDescent="0.25">
      <c r="A87" s="12">
        <v>83</v>
      </c>
      <c r="B87" s="32" t="s">
        <v>646</v>
      </c>
      <c r="C87" s="12" t="s">
        <v>486</v>
      </c>
      <c r="D87" s="12">
        <v>6.05</v>
      </c>
      <c r="E87" s="12">
        <v>340</v>
      </c>
      <c r="F87" s="12">
        <v>2057</v>
      </c>
      <c r="G87" s="32" t="s">
        <v>2317</v>
      </c>
      <c r="I87" s="12">
        <v>83</v>
      </c>
      <c r="J87" s="32" t="s">
        <v>646</v>
      </c>
      <c r="K87" s="12" t="s">
        <v>486</v>
      </c>
      <c r="L87" s="12">
        <v>7</v>
      </c>
      <c r="M87">
        <v>340</v>
      </c>
      <c r="N87">
        <v>2380</v>
      </c>
      <c r="O87" t="s">
        <v>2317</v>
      </c>
    </row>
    <row r="88" spans="1:15" x14ac:dyDescent="0.25">
      <c r="A88" s="12">
        <v>84</v>
      </c>
      <c r="B88" s="32" t="s">
        <v>1220</v>
      </c>
      <c r="C88" s="12" t="s">
        <v>8</v>
      </c>
      <c r="D88" s="12">
        <v>6.6000000000000005</v>
      </c>
      <c r="E88" s="12">
        <v>0.3</v>
      </c>
      <c r="F88" s="12">
        <v>1.98</v>
      </c>
      <c r="G88" s="32" t="s">
        <v>2318</v>
      </c>
      <c r="I88" s="12">
        <v>84</v>
      </c>
      <c r="J88" s="32" t="s">
        <v>1220</v>
      </c>
      <c r="K88" s="12" t="s">
        <v>8</v>
      </c>
      <c r="L88" s="12">
        <v>7</v>
      </c>
      <c r="M88">
        <v>0.3</v>
      </c>
      <c r="N88">
        <v>2.1</v>
      </c>
      <c r="O88" t="s">
        <v>2318</v>
      </c>
    </row>
    <row r="89" spans="1:15" x14ac:dyDescent="0.25">
      <c r="A89" s="12">
        <v>85</v>
      </c>
      <c r="B89" s="32" t="s">
        <v>1221</v>
      </c>
      <c r="C89" s="12" t="s">
        <v>8</v>
      </c>
      <c r="D89" s="12">
        <v>6.6000000000000005</v>
      </c>
      <c r="E89" s="12">
        <v>0.3</v>
      </c>
      <c r="F89" s="12">
        <v>1.98</v>
      </c>
      <c r="G89" s="32" t="s">
        <v>2319</v>
      </c>
      <c r="I89" s="12">
        <v>85</v>
      </c>
      <c r="J89" s="32" t="s">
        <v>1221</v>
      </c>
      <c r="K89" s="12" t="s">
        <v>8</v>
      </c>
      <c r="L89" s="12">
        <v>7</v>
      </c>
      <c r="M89">
        <v>0.3</v>
      </c>
      <c r="N89">
        <v>2.1</v>
      </c>
      <c r="O89" t="s">
        <v>2319</v>
      </c>
    </row>
    <row r="90" spans="1:15" x14ac:dyDescent="0.25">
      <c r="A90" s="12">
        <v>86</v>
      </c>
      <c r="B90" s="32" t="s">
        <v>1222</v>
      </c>
      <c r="C90" s="12" t="s">
        <v>8</v>
      </c>
      <c r="D90" s="12">
        <v>6.6000000000000005</v>
      </c>
      <c r="E90" s="12">
        <v>0.3</v>
      </c>
      <c r="F90" s="12">
        <v>1.98</v>
      </c>
      <c r="G90" s="32" t="s">
        <v>2320</v>
      </c>
      <c r="I90" s="12">
        <v>86</v>
      </c>
      <c r="J90" s="32" t="s">
        <v>1222</v>
      </c>
      <c r="K90" s="12" t="s">
        <v>8</v>
      </c>
      <c r="L90" s="12">
        <v>7</v>
      </c>
      <c r="M90">
        <v>0.3</v>
      </c>
      <c r="N90">
        <v>2.1</v>
      </c>
      <c r="O90" t="s">
        <v>2320</v>
      </c>
    </row>
    <row r="91" spans="1:15" x14ac:dyDescent="0.25">
      <c r="A91" s="12">
        <v>87</v>
      </c>
      <c r="B91" s="32" t="s">
        <v>31</v>
      </c>
      <c r="C91" s="12" t="s">
        <v>10</v>
      </c>
      <c r="D91" s="12">
        <v>60</v>
      </c>
      <c r="E91" s="12">
        <v>45</v>
      </c>
      <c r="F91" s="12">
        <v>2700</v>
      </c>
      <c r="G91" s="32" t="s">
        <v>2282</v>
      </c>
      <c r="I91" s="12">
        <v>87</v>
      </c>
      <c r="J91" s="32" t="s">
        <v>31</v>
      </c>
      <c r="K91" s="12" t="s">
        <v>10</v>
      </c>
      <c r="L91" s="12">
        <v>60</v>
      </c>
      <c r="M91">
        <v>45</v>
      </c>
      <c r="N91">
        <v>2700</v>
      </c>
      <c r="O91" t="s">
        <v>2282</v>
      </c>
    </row>
    <row r="92" spans="1:15" x14ac:dyDescent="0.25">
      <c r="A92" s="12">
        <v>88</v>
      </c>
      <c r="B92" s="32" t="s">
        <v>1674</v>
      </c>
      <c r="C92" s="12" t="s">
        <v>30</v>
      </c>
      <c r="D92" s="12">
        <v>10</v>
      </c>
      <c r="E92" s="12">
        <v>8.5</v>
      </c>
      <c r="F92" s="12">
        <v>85</v>
      </c>
      <c r="G92" s="32" t="s">
        <v>2266</v>
      </c>
      <c r="I92" s="12">
        <v>88</v>
      </c>
      <c r="J92" s="32" t="s">
        <v>1674</v>
      </c>
      <c r="K92" s="12" t="s">
        <v>30</v>
      </c>
      <c r="L92" s="12">
        <v>10</v>
      </c>
      <c r="M92">
        <v>8.5</v>
      </c>
      <c r="N92">
        <v>85</v>
      </c>
      <c r="O92" t="s">
        <v>2266</v>
      </c>
    </row>
    <row r="93" spans="1:15" x14ac:dyDescent="0.25">
      <c r="A93" s="12">
        <v>89</v>
      </c>
      <c r="B93" s="32" t="s">
        <v>1676</v>
      </c>
      <c r="C93" s="12" t="s">
        <v>30</v>
      </c>
      <c r="D93" s="12">
        <v>5</v>
      </c>
      <c r="E93" s="12">
        <v>5.9</v>
      </c>
      <c r="F93" s="12">
        <v>29.5</v>
      </c>
      <c r="G93" s="32" t="s">
        <v>2267</v>
      </c>
      <c r="I93" s="12">
        <v>89</v>
      </c>
      <c r="J93" s="32" t="s">
        <v>1676</v>
      </c>
      <c r="K93" s="12" t="s">
        <v>30</v>
      </c>
      <c r="L93" s="12">
        <v>5</v>
      </c>
      <c r="M93">
        <v>5.9</v>
      </c>
      <c r="N93">
        <v>29.5</v>
      </c>
      <c r="O93" t="s">
        <v>2267</v>
      </c>
    </row>
    <row r="94" spans="1:15" x14ac:dyDescent="0.25">
      <c r="A94" s="12">
        <v>90</v>
      </c>
      <c r="B94" s="32" t="s">
        <v>643</v>
      </c>
      <c r="C94" s="12" t="s">
        <v>644</v>
      </c>
      <c r="D94" s="12">
        <v>5</v>
      </c>
      <c r="E94" s="12">
        <v>130</v>
      </c>
      <c r="F94" s="12">
        <v>650</v>
      </c>
      <c r="G94" s="32" t="s">
        <v>2268</v>
      </c>
      <c r="I94" s="12">
        <v>90</v>
      </c>
      <c r="J94" s="32" t="s">
        <v>643</v>
      </c>
      <c r="K94" s="12" t="s">
        <v>644</v>
      </c>
      <c r="L94" s="12">
        <v>5</v>
      </c>
      <c r="M94">
        <v>130</v>
      </c>
      <c r="N94">
        <v>650</v>
      </c>
      <c r="O94" t="s">
        <v>2268</v>
      </c>
    </row>
    <row r="95" spans="1:15" x14ac:dyDescent="0.25">
      <c r="A95" s="12">
        <v>91</v>
      </c>
      <c r="B95" s="32" t="s">
        <v>1285</v>
      </c>
      <c r="C95" s="12" t="s">
        <v>9</v>
      </c>
      <c r="D95" s="12">
        <v>4.2</v>
      </c>
      <c r="E95" s="12">
        <v>17.5</v>
      </c>
      <c r="F95" s="12">
        <v>73.5</v>
      </c>
      <c r="G95" s="32" t="s">
        <v>2321</v>
      </c>
      <c r="I95" s="12">
        <v>91</v>
      </c>
      <c r="J95" s="32" t="s">
        <v>1285</v>
      </c>
      <c r="K95" s="12" t="s">
        <v>9</v>
      </c>
      <c r="L95" s="12">
        <v>5</v>
      </c>
      <c r="M95">
        <v>17.5</v>
      </c>
      <c r="N95">
        <v>87.5</v>
      </c>
      <c r="O95" t="s">
        <v>2321</v>
      </c>
    </row>
    <row r="96" spans="1:15" x14ac:dyDescent="0.25">
      <c r="A96" s="12">
        <v>92</v>
      </c>
      <c r="B96" s="32" t="s">
        <v>1286</v>
      </c>
      <c r="C96" s="12" t="s">
        <v>9</v>
      </c>
      <c r="D96" s="12">
        <v>4.2</v>
      </c>
      <c r="E96" s="12">
        <v>17.5</v>
      </c>
      <c r="F96" s="12">
        <v>73.5</v>
      </c>
      <c r="G96" s="32" t="s">
        <v>2322</v>
      </c>
      <c r="I96" s="12">
        <v>92</v>
      </c>
      <c r="J96" s="32" t="s">
        <v>1286</v>
      </c>
      <c r="K96" s="12" t="s">
        <v>9</v>
      </c>
      <c r="L96" s="12">
        <v>5</v>
      </c>
      <c r="M96">
        <v>17.5</v>
      </c>
      <c r="N96">
        <v>87.5</v>
      </c>
      <c r="O96" t="s">
        <v>2322</v>
      </c>
    </row>
    <row r="97" spans="1:15" x14ac:dyDescent="0.25">
      <c r="A97" s="12">
        <v>93</v>
      </c>
      <c r="B97" s="32" t="s">
        <v>1546</v>
      </c>
      <c r="C97" s="12" t="s">
        <v>10</v>
      </c>
      <c r="D97" s="12">
        <v>5</v>
      </c>
      <c r="E97" s="12">
        <v>105</v>
      </c>
      <c r="F97" s="12">
        <v>525</v>
      </c>
      <c r="G97" s="32" t="s">
        <v>2269</v>
      </c>
      <c r="I97" s="12">
        <v>93</v>
      </c>
      <c r="J97" s="32" t="s">
        <v>1546</v>
      </c>
      <c r="K97" s="12" t="s">
        <v>10</v>
      </c>
      <c r="L97" s="12">
        <v>5</v>
      </c>
      <c r="M97">
        <v>105</v>
      </c>
      <c r="N97">
        <v>525</v>
      </c>
      <c r="O97" t="s">
        <v>2269</v>
      </c>
    </row>
    <row r="98" spans="1:15" x14ac:dyDescent="0.25">
      <c r="A98" s="12">
        <v>94</v>
      </c>
      <c r="B98" s="32" t="s">
        <v>2200</v>
      </c>
      <c r="C98" s="12" t="s">
        <v>644</v>
      </c>
      <c r="D98" s="12">
        <v>1.1000000000000001</v>
      </c>
      <c r="E98" s="12">
        <v>160</v>
      </c>
      <c r="F98" s="12">
        <v>176</v>
      </c>
      <c r="G98" s="32" t="s">
        <v>2323</v>
      </c>
      <c r="I98" s="12">
        <v>94</v>
      </c>
      <c r="J98" s="32" t="s">
        <v>2200</v>
      </c>
      <c r="K98" s="12" t="s">
        <v>644</v>
      </c>
      <c r="L98" s="12">
        <v>2</v>
      </c>
      <c r="M98">
        <v>160</v>
      </c>
      <c r="N98">
        <v>320</v>
      </c>
      <c r="O98" t="s">
        <v>2323</v>
      </c>
    </row>
    <row r="99" spans="1:15" x14ac:dyDescent="0.25">
      <c r="A99" s="12">
        <v>95</v>
      </c>
      <c r="B99" s="32" t="s">
        <v>1690</v>
      </c>
      <c r="C99" s="12" t="s">
        <v>652</v>
      </c>
      <c r="D99" s="12">
        <v>1</v>
      </c>
      <c r="E99" s="12">
        <v>48</v>
      </c>
      <c r="F99" s="12">
        <v>48</v>
      </c>
      <c r="G99" s="32" t="s">
        <v>2270</v>
      </c>
      <c r="I99" s="12">
        <v>95</v>
      </c>
      <c r="J99" s="32" t="s">
        <v>1690</v>
      </c>
      <c r="K99" s="12" t="s">
        <v>652</v>
      </c>
      <c r="L99" s="12">
        <v>1</v>
      </c>
      <c r="M99">
        <v>48</v>
      </c>
      <c r="N99">
        <v>48</v>
      </c>
      <c r="O99" t="s">
        <v>2270</v>
      </c>
    </row>
    <row r="100" spans="1:15" x14ac:dyDescent="0.25">
      <c r="A100" s="12">
        <v>96</v>
      </c>
      <c r="B100" s="32" t="s">
        <v>258</v>
      </c>
      <c r="C100" s="12" t="s">
        <v>8</v>
      </c>
      <c r="D100" s="12">
        <v>1</v>
      </c>
      <c r="E100" s="12">
        <v>4</v>
      </c>
      <c r="F100" s="12">
        <v>4</v>
      </c>
      <c r="G100" s="32" t="s">
        <v>2271</v>
      </c>
      <c r="I100" s="12">
        <v>96</v>
      </c>
      <c r="J100" s="32" t="s">
        <v>258</v>
      </c>
      <c r="K100" s="12" t="s">
        <v>8</v>
      </c>
      <c r="L100" s="12">
        <v>1</v>
      </c>
      <c r="M100">
        <v>4</v>
      </c>
      <c r="N100">
        <v>4</v>
      </c>
      <c r="O100" t="s">
        <v>2271</v>
      </c>
    </row>
    <row r="101" spans="1:15" x14ac:dyDescent="0.25">
      <c r="A101" s="12">
        <v>97</v>
      </c>
      <c r="B101" s="32" t="s">
        <v>936</v>
      </c>
      <c r="C101" s="12" t="s">
        <v>937</v>
      </c>
      <c r="D101" s="12">
        <v>1005.9000000000001</v>
      </c>
      <c r="E101" s="12">
        <v>5.5</v>
      </c>
      <c r="F101" s="12">
        <v>5532.4500000000007</v>
      </c>
      <c r="G101" s="32" t="s">
        <v>2324</v>
      </c>
      <c r="I101" s="12">
        <v>97</v>
      </c>
      <c r="J101" s="32" t="s">
        <v>936</v>
      </c>
      <c r="K101" s="12" t="s">
        <v>937</v>
      </c>
      <c r="L101" s="12">
        <v>1006</v>
      </c>
      <c r="M101">
        <v>5.5</v>
      </c>
      <c r="N101">
        <v>5533</v>
      </c>
      <c r="O101" t="s">
        <v>2324</v>
      </c>
    </row>
    <row r="102" spans="1:15" x14ac:dyDescent="0.25">
      <c r="A102" s="12">
        <v>98</v>
      </c>
      <c r="B102" s="32" t="s">
        <v>1550</v>
      </c>
      <c r="C102" s="12" t="s">
        <v>8</v>
      </c>
      <c r="D102" s="12">
        <v>273</v>
      </c>
      <c r="E102" s="12">
        <v>4.5</v>
      </c>
      <c r="F102" s="12">
        <v>1228.5</v>
      </c>
      <c r="G102" s="32" t="s">
        <v>2272</v>
      </c>
      <c r="I102" s="12">
        <v>98</v>
      </c>
      <c r="J102" s="32" t="s">
        <v>1550</v>
      </c>
      <c r="K102" s="12" t="s">
        <v>8</v>
      </c>
      <c r="L102" s="12">
        <v>273</v>
      </c>
      <c r="M102">
        <v>4.5</v>
      </c>
      <c r="N102">
        <v>1228.5</v>
      </c>
      <c r="O102" t="s">
        <v>2272</v>
      </c>
    </row>
    <row r="103" spans="1:15" x14ac:dyDescent="0.25">
      <c r="A103" s="12">
        <v>99</v>
      </c>
      <c r="B103" s="32" t="s">
        <v>7</v>
      </c>
      <c r="C103" s="12" t="s">
        <v>8</v>
      </c>
      <c r="D103" s="12">
        <v>166</v>
      </c>
      <c r="E103" s="12">
        <v>6.5</v>
      </c>
      <c r="F103" s="12">
        <v>1079</v>
      </c>
      <c r="G103" s="32" t="s">
        <v>2273</v>
      </c>
      <c r="I103" s="12">
        <v>99</v>
      </c>
      <c r="J103" s="32" t="s">
        <v>7</v>
      </c>
      <c r="K103" s="12" t="s">
        <v>8</v>
      </c>
      <c r="L103" s="12">
        <v>166</v>
      </c>
      <c r="M103">
        <v>6.5</v>
      </c>
      <c r="N103">
        <v>1079</v>
      </c>
      <c r="O103" t="s">
        <v>2273</v>
      </c>
    </row>
    <row r="104" spans="1:15" x14ac:dyDescent="0.25">
      <c r="A104" s="12">
        <v>100</v>
      </c>
      <c r="B104" s="32" t="s">
        <v>1548</v>
      </c>
      <c r="C104" s="12" t="s">
        <v>8</v>
      </c>
      <c r="D104" s="12">
        <v>84</v>
      </c>
      <c r="E104" s="12">
        <v>15</v>
      </c>
      <c r="F104" s="12">
        <v>1260</v>
      </c>
      <c r="G104" s="32" t="s">
        <v>2274</v>
      </c>
      <c r="I104" s="12">
        <v>100</v>
      </c>
      <c r="J104" s="32" t="s">
        <v>1548</v>
      </c>
      <c r="K104" s="12" t="s">
        <v>8</v>
      </c>
      <c r="L104" s="12">
        <v>84</v>
      </c>
      <c r="M104">
        <v>15</v>
      </c>
      <c r="N104">
        <v>1260</v>
      </c>
      <c r="O104" t="s">
        <v>2274</v>
      </c>
    </row>
    <row r="105" spans="1:15" x14ac:dyDescent="0.25">
      <c r="A105" s="12">
        <v>101</v>
      </c>
      <c r="B105" s="32" t="s">
        <v>38</v>
      </c>
      <c r="C105" s="12" t="s">
        <v>9</v>
      </c>
      <c r="D105" s="12">
        <v>29</v>
      </c>
      <c r="E105" s="12">
        <v>25</v>
      </c>
      <c r="F105" s="12">
        <v>725</v>
      </c>
      <c r="G105" s="32" t="s">
        <v>2275</v>
      </c>
      <c r="I105" s="12">
        <v>101</v>
      </c>
      <c r="J105" s="32" t="s">
        <v>38</v>
      </c>
      <c r="K105" s="12" t="s">
        <v>9</v>
      </c>
      <c r="L105" s="12">
        <v>29</v>
      </c>
      <c r="M105">
        <v>25</v>
      </c>
      <c r="N105">
        <v>725</v>
      </c>
      <c r="O105" t="s">
        <v>2275</v>
      </c>
    </row>
    <row r="106" spans="1:15" x14ac:dyDescent="0.25">
      <c r="A106" s="12">
        <v>102</v>
      </c>
      <c r="B106" s="32" t="s">
        <v>1807</v>
      </c>
      <c r="C106" s="12" t="s">
        <v>43</v>
      </c>
      <c r="D106" s="12">
        <v>1</v>
      </c>
      <c r="E106" s="12">
        <v>35</v>
      </c>
      <c r="F106" s="12">
        <v>35</v>
      </c>
      <c r="G106" s="32" t="s">
        <v>2276</v>
      </c>
      <c r="I106" s="12">
        <v>102</v>
      </c>
      <c r="J106" s="32" t="s">
        <v>1807</v>
      </c>
      <c r="K106" s="12" t="s">
        <v>43</v>
      </c>
      <c r="L106" s="12">
        <v>1</v>
      </c>
      <c r="M106">
        <v>35</v>
      </c>
      <c r="N106">
        <v>35</v>
      </c>
      <c r="O106" t="s">
        <v>2276</v>
      </c>
    </row>
    <row r="107" spans="1:15" x14ac:dyDescent="0.25">
      <c r="A107" s="12">
        <v>103</v>
      </c>
      <c r="B107" s="32" t="s">
        <v>882</v>
      </c>
      <c r="C107" s="12" t="s">
        <v>8</v>
      </c>
      <c r="D107" s="12">
        <v>3.1500000000000004</v>
      </c>
      <c r="E107" s="12">
        <v>49</v>
      </c>
      <c r="F107" s="12">
        <v>154.35000000000002</v>
      </c>
      <c r="G107" s="32" t="s">
        <v>2325</v>
      </c>
      <c r="I107" s="12">
        <v>103</v>
      </c>
      <c r="J107" s="32" t="s">
        <v>882</v>
      </c>
      <c r="K107" s="12" t="s">
        <v>8</v>
      </c>
      <c r="L107" s="12">
        <v>4</v>
      </c>
      <c r="M107">
        <v>49</v>
      </c>
      <c r="N107">
        <v>196</v>
      </c>
      <c r="O107" t="s">
        <v>2325</v>
      </c>
    </row>
    <row r="108" spans="1:15" x14ac:dyDescent="0.25">
      <c r="A108" s="12">
        <v>104</v>
      </c>
      <c r="B108" s="32" t="s">
        <v>885</v>
      </c>
      <c r="C108" s="12" t="s">
        <v>8</v>
      </c>
      <c r="D108" s="12">
        <v>2.1</v>
      </c>
      <c r="E108" s="12">
        <v>91</v>
      </c>
      <c r="F108" s="12">
        <v>191.1</v>
      </c>
      <c r="G108" s="32" t="s">
        <v>2326</v>
      </c>
      <c r="I108" s="12">
        <v>104</v>
      </c>
      <c r="J108" s="32" t="s">
        <v>885</v>
      </c>
      <c r="K108" s="12" t="s">
        <v>8</v>
      </c>
      <c r="L108" s="12">
        <v>3</v>
      </c>
      <c r="M108">
        <v>91</v>
      </c>
      <c r="N108">
        <v>273</v>
      </c>
      <c r="O108" t="s">
        <v>2326</v>
      </c>
    </row>
    <row r="109" spans="1:15" x14ac:dyDescent="0.25">
      <c r="A109" s="12">
        <v>105</v>
      </c>
      <c r="B109" s="32" t="s">
        <v>39</v>
      </c>
      <c r="C109" s="12" t="s">
        <v>9</v>
      </c>
      <c r="D109" s="12">
        <v>12</v>
      </c>
      <c r="E109" s="12">
        <v>18</v>
      </c>
      <c r="F109" s="12">
        <v>216</v>
      </c>
      <c r="G109" s="32" t="s">
        <v>2277</v>
      </c>
      <c r="I109" s="12">
        <v>105</v>
      </c>
      <c r="J109" s="32" t="s">
        <v>39</v>
      </c>
      <c r="K109" s="12" t="s">
        <v>9</v>
      </c>
      <c r="L109" s="12">
        <v>12</v>
      </c>
      <c r="M109">
        <v>18</v>
      </c>
      <c r="N109">
        <v>216</v>
      </c>
      <c r="O109" t="s">
        <v>2277</v>
      </c>
    </row>
    <row r="110" spans="1:15" x14ac:dyDescent="0.25">
      <c r="A110" s="12">
        <v>106</v>
      </c>
      <c r="B110" s="32" t="s">
        <v>1219</v>
      </c>
      <c r="C110" s="12" t="s">
        <v>28</v>
      </c>
      <c r="D110" s="12">
        <v>1.1000000000000001</v>
      </c>
      <c r="E110" s="12">
        <v>94</v>
      </c>
      <c r="F110" s="12">
        <v>103.4</v>
      </c>
      <c r="G110" s="32" t="s">
        <v>2327</v>
      </c>
      <c r="I110" s="12">
        <v>106</v>
      </c>
      <c r="J110" s="32" t="s">
        <v>1219</v>
      </c>
      <c r="K110" s="12" t="s">
        <v>28</v>
      </c>
      <c r="L110" s="12">
        <v>2</v>
      </c>
      <c r="M110">
        <v>94</v>
      </c>
      <c r="N110">
        <v>188</v>
      </c>
      <c r="O110" t="s">
        <v>2327</v>
      </c>
    </row>
    <row r="111" spans="1:15" x14ac:dyDescent="0.25">
      <c r="A111" s="12">
        <v>107</v>
      </c>
      <c r="B111" s="32" t="s">
        <v>44</v>
      </c>
      <c r="C111" s="12" t="s">
        <v>8</v>
      </c>
      <c r="D111" s="12">
        <v>1</v>
      </c>
      <c r="E111" s="12">
        <v>15</v>
      </c>
      <c r="F111" s="12">
        <v>15</v>
      </c>
      <c r="G111" s="32" t="s">
        <v>2278</v>
      </c>
      <c r="I111" s="12">
        <v>107</v>
      </c>
      <c r="J111" s="32" t="s">
        <v>44</v>
      </c>
      <c r="K111" s="12" t="s">
        <v>8</v>
      </c>
      <c r="L111" s="12">
        <v>1</v>
      </c>
      <c r="M111">
        <v>15</v>
      </c>
      <c r="N111">
        <v>15</v>
      </c>
      <c r="O111" t="s">
        <v>2278</v>
      </c>
    </row>
    <row r="112" spans="1:15" x14ac:dyDescent="0.25">
      <c r="A112" s="12">
        <v>108</v>
      </c>
      <c r="B112" s="32" t="s">
        <v>44</v>
      </c>
      <c r="C112" s="12" t="s">
        <v>43</v>
      </c>
      <c r="D112" s="12">
        <v>1</v>
      </c>
      <c r="E112" s="12">
        <v>15</v>
      </c>
      <c r="F112" s="12">
        <v>15</v>
      </c>
      <c r="G112" s="32" t="s">
        <v>2279</v>
      </c>
      <c r="I112" s="12">
        <v>108</v>
      </c>
      <c r="J112" s="32" t="s">
        <v>44</v>
      </c>
      <c r="K112" s="12" t="s">
        <v>43</v>
      </c>
      <c r="L112" s="12">
        <v>1</v>
      </c>
      <c r="M112">
        <v>15</v>
      </c>
      <c r="N112">
        <v>15</v>
      </c>
      <c r="O112" t="s">
        <v>2279</v>
      </c>
    </row>
    <row r="113" spans="1:15" x14ac:dyDescent="0.25">
      <c r="A113" s="12">
        <v>109</v>
      </c>
      <c r="B113" s="32" t="s">
        <v>1809</v>
      </c>
      <c r="C113" s="12" t="s">
        <v>43</v>
      </c>
      <c r="D113" s="12">
        <v>1</v>
      </c>
      <c r="E113" s="12">
        <v>60</v>
      </c>
      <c r="F113" s="12">
        <v>60</v>
      </c>
      <c r="G113" s="32" t="s">
        <v>2280</v>
      </c>
      <c r="I113" s="12">
        <v>109</v>
      </c>
      <c r="J113" s="32" t="s">
        <v>1809</v>
      </c>
      <c r="K113" s="12" t="s">
        <v>43</v>
      </c>
      <c r="L113" s="12">
        <v>1</v>
      </c>
      <c r="M113">
        <v>60</v>
      </c>
      <c r="N113">
        <v>60</v>
      </c>
      <c r="O113" t="s">
        <v>2280</v>
      </c>
    </row>
    <row r="114" spans="1:15" x14ac:dyDescent="0.25">
      <c r="A114" s="12">
        <v>110</v>
      </c>
      <c r="B114" s="32" t="s">
        <v>2005</v>
      </c>
      <c r="C114" s="12" t="s">
        <v>9</v>
      </c>
      <c r="D114" s="12">
        <v>100.2</v>
      </c>
      <c r="E114" s="12">
        <v>24</v>
      </c>
      <c r="F114" s="12">
        <v>2404.8000000000002</v>
      </c>
      <c r="G114" s="32" t="s">
        <v>2328</v>
      </c>
      <c r="I114" s="12">
        <v>110</v>
      </c>
      <c r="J114" s="32" t="s">
        <v>2005</v>
      </c>
      <c r="K114" s="12" t="s">
        <v>9</v>
      </c>
      <c r="L114" s="12">
        <v>101</v>
      </c>
      <c r="M114">
        <v>24</v>
      </c>
      <c r="N114">
        <v>2424</v>
      </c>
      <c r="O114" t="s">
        <v>2328</v>
      </c>
    </row>
  </sheetData>
  <sortState xmlns:xlrd2="http://schemas.microsoft.com/office/spreadsheetml/2017/richdata2" ref="A5:O114">
    <sortCondition ref="B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tabSelected="1" zoomScale="75" zoomScaleNormal="75" workbookViewId="0">
      <pane ySplit="40" topLeftCell="A41" activePane="bottomLeft" state="frozen"/>
      <selection pane="bottomLeft" activeCell="A27" sqref="A27"/>
    </sheetView>
  </sheetViews>
  <sheetFormatPr defaultColWidth="8.7109375" defaultRowHeight="15" x14ac:dyDescent="0.25"/>
  <cols>
    <col min="1" max="1" width="8" bestFit="1" customWidth="1"/>
    <col min="2" max="2" width="6.42578125" style="20"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4"/>
      <c r="C1" s="14" cm="1">
        <f t="array" aca="1" ref="C1" ca="1">_xlfn.LET(_xlpm.v,IFERROR(--C$3:C$49,0),IF(SUMPRODUCT(--(_xlpm.v&lt;&gt;0))=0,"",SUM(_xlpm.v)))</f>
        <v>44273.787500000006</v>
      </c>
      <c r="D1" s="14" cm="1">
        <f t="array" aca="1" ref="D1" ca="1">_xlfn.LET(_xlpm.v,IFERROR(--D$3:D$49,0),IF(SUMPRODUCT(--(_xlpm.v&lt;&gt;0))=0,"",SUM(_xlpm.v)))</f>
        <v>38115</v>
      </c>
      <c r="E1" s="14" cm="1">
        <f t="array" aca="1" ref="E1" ca="1">_xlfn.LET(_xlpm.v,IFERROR(--E$3:E$49,0),IF(SUMPRODUCT(--(_xlpm.v&lt;&gt;0))=0,"",SUM(_xlpm.v)))</f>
        <v>5600</v>
      </c>
      <c r="F1" s="14" cm="1">
        <f t="array" aca="1" ref="F1" ca="1">_xlfn.LET(_xlpm.v,IFERROR(--F$3:F$49,0),IF(SUMPRODUCT(--(_xlpm.v&lt;&gt;0))=0,"",SUM(_xlpm.v)))</f>
        <v>87988.787500000006</v>
      </c>
      <c r="G1" s="14" cm="1">
        <f t="array" aca="1" ref="G1" ca="1">_xlfn.LET(_xlpm.v,IFERROR(--G$3:G$49,0),IF(SUMPRODUCT(--(_xlpm.v&lt;&gt;0))=0,"",SUM(_xlpm.v)))</f>
        <v>87988.787500000006</v>
      </c>
      <c r="I1" t="s">
        <v>25</v>
      </c>
      <c r="L1"/>
      <c r="M1"/>
      <c r="N1"/>
      <c r="O1"/>
      <c r="P1"/>
      <c r="Q1" s="22">
        <f>SUMIFS(SummaryHelper!$H$2:$H$5000,SummaryHelper!$A$2:$A$5000,"MATERIALS")</f>
        <v>44273.787499999999</v>
      </c>
      <c r="R1" s="10">
        <f>SUM(R3:R300)</f>
        <v>47890.572857142848</v>
      </c>
      <c r="S1" s="23"/>
      <c r="U1" s="11"/>
      <c r="V1" s="11"/>
      <c r="W1" s="11"/>
      <c r="X1" s="11"/>
      <c r="Y1" s="11"/>
      <c r="Z1" s="11"/>
      <c r="AA1" s="11"/>
      <c r="AB1" s="22">
        <f>SUMIFS(SummaryHelper!$H$2:$H$5000,SummaryHelper!$A$2:$A$5000,"LABOUR")</f>
        <v>38115</v>
      </c>
      <c r="AC1" s="10">
        <f>SUM(AC3:AC300)</f>
        <v>38115</v>
      </c>
      <c r="AM1" s="21">
        <f>SUMIFS(SummaryHelper!$H$2:$H$5000,SummaryHelper!$A$2:$A$5000,"RENTAL / SERVICE")</f>
        <v>5600</v>
      </c>
      <c r="AN1" s="10">
        <f>SUM(AN3:AN300)</f>
        <v>5600</v>
      </c>
    </row>
    <row r="2" spans="1:40" x14ac:dyDescent="0.25">
      <c r="A2" s="12" t="s">
        <v>18</v>
      </c>
      <c r="B2" s="12" t="s">
        <v>6</v>
      </c>
      <c r="C2" s="15" t="s">
        <v>2209</v>
      </c>
      <c r="D2" s="15" t="s">
        <v>2210</v>
      </c>
      <c r="E2" s="15" t="s">
        <v>2211</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1694</v>
      </c>
      <c r="Y3" s="9">
        <f>IF($U3="","",SUMIFS(SummaryHelper!$F$2:$F$5000,SummaryHelper!$A$2:$A$5000,$T3,SummaryHelper!$B$2:$B$5000,$U3,SummaryHelper!$C$2:$C$5000,$V3))</f>
        <v>0</v>
      </c>
      <c r="Z3" s="9">
        <f>IF($U3="","",SUMIFS(SummaryHelper!$G$2:$G$5000,SummaryHelper!$A$2:$A$5000,$T3,SummaryHelper!$B$2:$B$5000,$U3,SummaryHelper!$C$2:$C$5000,$V3))</f>
        <v>1694</v>
      </c>
      <c r="AB3" s="9">
        <f>IF($U3="","",IF($AA3="",$Z3,$AA3))</f>
        <v>1694</v>
      </c>
      <c r="AC3" s="9">
        <f>IF($U3="","",$AB3*$W3)</f>
        <v>38115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1.4</v>
      </c>
      <c r="N7" s="9">
        <f>IF($J7="","",SUMIFS(SummaryHelper!$F$2:$F$5000,SummaryHelper!$A$2:$A$5000,$I7,SummaryHelper!$B$2:$B$5000,$J7,SummaryHelper!$C$2:$C$5000,$K7))</f>
        <v>0</v>
      </c>
      <c r="O7" s="9">
        <f>IF($J7="","",SUMIFS(SummaryHelper!$G$2:$G$5000,SummaryHelper!$A$2:$A$5000,$I7,SummaryHelper!$B$2:$B$5000,$J7,SummaryHelper!$C$2:$C$5000,$K7))</f>
        <v>1.4</v>
      </c>
      <c r="Q7" s="9">
        <f t="shared" si="6"/>
        <v>2</v>
      </c>
      <c r="R7" s="9">
        <f t="shared" si="7"/>
        <v>1660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0"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0"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0"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0"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0"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20" t="str">
        <f t="shared" si="12"/>
        <v>S18</v>
      </c>
      <c r="C20" s="9">
        <f t="shared" ca="1" si="1"/>
        <v>2888</v>
      </c>
      <c r="D20" s="9">
        <f t="shared" ca="1" si="2"/>
        <v>2520</v>
      </c>
      <c r="E20" s="9">
        <f t="shared" ca="1" si="3"/>
        <v>0</v>
      </c>
      <c r="F20" s="9">
        <f t="shared" ca="1" si="4"/>
        <v>5408</v>
      </c>
      <c r="G20" s="9">
        <f t="shared" ca="1" si="5"/>
        <v>5408</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0"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0"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1.0499999999999998</v>
      </c>
      <c r="N22" s="9">
        <f>IF($J22="","",SUMIFS(SummaryHelper!$F$2:$F$5000,SummaryHelper!$A$2:$A$5000,$I22,SummaryHelper!$B$2:$B$5000,$J22,SummaryHelper!$C$2:$C$5000,$K22))</f>
        <v>0.1</v>
      </c>
      <c r="O22" s="9">
        <f>IF($J22="","",SUMIFS(SummaryHelper!$G$2:$G$5000,SummaryHelper!$A$2:$A$5000,$I22,SummaryHelper!$B$2:$B$5000,$J22,SummaryHelper!$C$2:$C$5000,$K22))</f>
        <v>1.0674999999999999</v>
      </c>
      <c r="Q22" s="9">
        <f t="shared" si="6"/>
        <v>2</v>
      </c>
      <c r="R22" s="9">
        <f t="shared" si="7"/>
        <v>1700.0000000000002</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0"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0"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0"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0"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0"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0"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0"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0"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0"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0"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0"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0"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0"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0"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0"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0"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0"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0"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0"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0"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0"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0"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0"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0"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0"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0"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0"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0"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0"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0"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0"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0"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0"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0"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74</v>
      </c>
      <c r="N56" s="9">
        <f>IF($J56="","",SUMIFS(SummaryHelper!$F$2:$F$5000,SummaryHelper!$A$2:$A$5000,$I56,SummaryHelper!$B$2:$B$5000,$J56,SummaryHelper!$C$2:$C$5000,$K56))</f>
        <v>0.2</v>
      </c>
      <c r="O56" s="9">
        <f>IF($J56="","",SUMIFS(SummaryHelper!$G$2:$G$5000,SummaryHelper!$A$2:$A$5000,$I56,SummaryHelper!$B$2:$B$5000,$J56,SummaryHelper!$C$2:$C$5000,$K56))</f>
        <v>76.5</v>
      </c>
      <c r="Q56" s="9">
        <f t="shared" si="6"/>
        <v>77</v>
      </c>
      <c r="R56" s="9">
        <f t="shared" si="7"/>
        <v>1155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0"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0"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0"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100</v>
      </c>
      <c r="N59" s="9">
        <f>IF($J59="","",SUMIFS(SummaryHelper!$F$2:$F$5000,SummaryHelper!$A$2:$A$5000,$I59,SummaryHelper!$B$2:$B$5000,$J59,SummaryHelper!$C$2:$C$5000,$K59))</f>
        <v>0.1</v>
      </c>
      <c r="O59" s="9">
        <f>IF($J59="","",SUMIFS(SummaryHelper!$G$2:$G$5000,SummaryHelper!$A$2:$A$5000,$I59,SummaryHelper!$B$2:$B$5000,$J59,SummaryHelper!$C$2:$C$5000,$K59))</f>
        <v>102</v>
      </c>
      <c r="Q59" s="9">
        <f t="shared" si="6"/>
        <v>102</v>
      </c>
      <c r="R59" s="9">
        <f t="shared" si="7"/>
        <v>2856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0"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v>
      </c>
      <c r="M60" s="9">
        <f>IF($J60="","",SUMIFS(SummaryHelper!$E$2:$E$5000,SummaryHelper!$A$2:$A$5000,$I60,SummaryHelper!$B$2:$B$5000,$J60,SummaryHelper!$C$2:$C$5000,$K60))</f>
        <v>56</v>
      </c>
      <c r="N60" s="9">
        <f>IF($J60="","",SUMIFS(SummaryHelper!$F$2:$F$5000,SummaryHelper!$A$2:$A$5000,$I60,SummaryHelper!$B$2:$B$5000,$J60,SummaryHelper!$C$2:$C$5000,$K60))</f>
        <v>0.15000000000000002</v>
      </c>
      <c r="O60" s="9">
        <f>IF($J60="","",SUMIFS(SummaryHelper!$G$2:$G$5000,SummaryHelper!$A$2:$A$5000,$I60,SummaryHelper!$B$2:$B$5000,$J60,SummaryHelper!$C$2:$C$5000,$K60))</f>
        <v>57.6</v>
      </c>
      <c r="Q60" s="9">
        <f t="shared" si="6"/>
        <v>58</v>
      </c>
      <c r="R60" s="9">
        <f t="shared" si="7"/>
        <v>870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0"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0"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0"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0"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0"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44</v>
      </c>
      <c r="N65" s="9">
        <f>IF($J65="","",SUMIFS(SummaryHelper!$F$2:$F$5000,SummaryHelper!$A$2:$A$5000,$I65,SummaryHelper!$B$2:$B$5000,$J65,SummaryHelper!$C$2:$C$5000,$K65))</f>
        <v>0.15000000000000002</v>
      </c>
      <c r="O65" s="9">
        <f>IF($J65="","",SUMIFS(SummaryHelper!$G$2:$G$5000,SummaryHelper!$A$2:$A$5000,$I65,SummaryHelper!$B$2:$B$5000,$J65,SummaryHelper!$C$2:$C$5000,$K65))</f>
        <v>45.400000000000006</v>
      </c>
      <c r="Q65" s="9">
        <f t="shared" si="6"/>
        <v>46</v>
      </c>
      <c r="R65" s="9">
        <f t="shared" si="7"/>
        <v>2069.9999999999995</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0"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0"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0"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0"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0"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0"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0"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0"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0"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0"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0"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0"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0"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0"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0"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0"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0"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0"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0"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0"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0"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0"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6</v>
      </c>
      <c r="N87" s="9">
        <f>IF($J87="","",SUMIFS(SummaryHelper!$F$2:$F$5000,SummaryHelper!$A$2:$A$5000,$I87,SummaryHelper!$B$2:$B$5000,$J87,SummaryHelper!$C$2:$C$5000,$K87))</f>
        <v>0</v>
      </c>
      <c r="O87" s="9">
        <f>IF($J87="","",SUMIFS(SummaryHelper!$G$2:$G$5000,SummaryHelper!$A$2:$A$5000,$I87,SummaryHelper!$B$2:$B$5000,$J87,SummaryHelper!$C$2:$C$5000,$K87))</f>
        <v>6</v>
      </c>
      <c r="Q87" s="9">
        <f t="shared" si="18"/>
        <v>6</v>
      </c>
      <c r="R87" s="9">
        <f t="shared" si="19"/>
        <v>780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0"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0"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0"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0"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0"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0"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0"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0"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0"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0"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0"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0"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0"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0"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0"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0"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0"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0"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0"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0"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24.000000000000004</v>
      </c>
      <c r="M107" s="9">
        <f>IF($J107="","",SUMIFS(SummaryHelper!$E$2:$E$5000,SummaryHelper!$A$2:$A$5000,$I107,SummaryHelper!$B$2:$B$5000,$J107,SummaryHelper!$C$2:$C$5000,$K107))</f>
        <v>128</v>
      </c>
      <c r="N107" s="9">
        <f>IF($J107="","",SUMIFS(SummaryHelper!$F$2:$F$5000,SummaryHelper!$A$2:$A$5000,$I107,SummaryHelper!$B$2:$B$5000,$J107,SummaryHelper!$C$2:$C$5000,$K107))</f>
        <v>0.1</v>
      </c>
      <c r="O107" s="9">
        <f>IF($J107="","",SUMIFS(SummaryHelper!$G$2:$G$5000,SummaryHelper!$A$2:$A$5000,$I107,SummaryHelper!$B$2:$B$5000,$J107,SummaryHelper!$C$2:$C$5000,$K107))</f>
        <v>129.19999999999999</v>
      </c>
      <c r="Q107" s="9">
        <f t="shared" si="18"/>
        <v>130</v>
      </c>
      <c r="R107" s="9">
        <f t="shared" si="19"/>
        <v>3120.0000000000005</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0"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0"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0"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0"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0"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0"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0"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0"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0"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0"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0"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0"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0"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0"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0"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0"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0"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0"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0"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0"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0"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0"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0"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0"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0"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0"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0"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0"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0"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0"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0"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0"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0"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0"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0"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0"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0"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0"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0"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0"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0"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0"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0"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0"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0"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0"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0"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0"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0"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0"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0"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0"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0"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0"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0"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0"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0"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0"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0"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0"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0"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0"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0"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0"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0"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0"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0"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0"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0"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0"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0"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0"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0"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0"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0"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0"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0"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0"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0"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0"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0"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0"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0"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0"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0"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0"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0"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0"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0"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0"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0"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0"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0"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0"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0"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0"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0"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0"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0"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0"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0"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0"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0"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0"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0"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0"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0"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0"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0"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0"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0"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0"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0"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0"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0"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0"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0"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0"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0"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0"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0"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0"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0"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0"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0"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0"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0"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0"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0"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0"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0"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0"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0"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0"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0"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0"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0"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0"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0"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0"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0"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0"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0"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0"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0"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0"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0"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0"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0"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0"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0"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0"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0"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0"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0"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0"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0"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0"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0"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0"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0"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0"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0"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0"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0"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0"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0"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0"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0"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0"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0"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0"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0"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0"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0"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0"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0"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0"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0"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0"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0"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0"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0"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0"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0"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0"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0"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0"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0"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0"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0"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0"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0"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28" customFormat="1" x14ac:dyDescent="0.25">
      <c r="B301" s="29"/>
      <c r="L301" s="30" t="str">
        <f>IF($J301="","",IFERROR(SUMIFS(SummaryHelper!$H$2:$H$5000,SummaryHelper!$A$2:$A$5000,$I301,SummaryHelper!$B$2:$B$5000,$J301,SummaryHelper!$C$2:$C$5000,$K301)/SUMIFS(SummaryHelper!$G$2:$G$5000,SummaryHelper!$A$2:$A$5000,$I301,SummaryHelper!$B$2:$B$5000,$J301,SummaryHelper!$C$2:$C$5000,$K301),""))</f>
        <v/>
      </c>
      <c r="M301" s="30"/>
      <c r="N301" s="30"/>
      <c r="O301" s="30"/>
      <c r="P301" s="30"/>
      <c r="Q301" s="30"/>
      <c r="R301" s="30"/>
      <c r="W301" s="30"/>
      <c r="X301" s="30"/>
      <c r="Y301" s="30"/>
      <c r="Z301" s="30"/>
      <c r="AA301" s="30"/>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S01</v>
      </c>
      <c r="B1" s="38"/>
      <c r="C1" s="38"/>
      <c r="E1" s="39" t="str" cm="1">
        <f t="array" aca="1" ref="E1" ca="1">IFERROR(MID(CELL("filename",$A$1),FIND("]",CELL("filename",$A$1))+1,99),"SXX")&amp;" MATERIALS (USAGE + STANDALONE)"</f>
        <v>S01 MATERIALS (USAGE + STANDALONE)</v>
      </c>
      <c r="F1" s="39"/>
      <c r="G1" s="39"/>
      <c r="H1" s="39"/>
      <c r="I1" s="39"/>
      <c r="J1" s="39"/>
      <c r="K1" s="39"/>
      <c r="L1" s="13"/>
      <c r="M1" s="13"/>
      <c r="N1" s="17">
        <f>SUM(N3:N49)</f>
        <v>149</v>
      </c>
      <c r="P1" s="39" t="str" cm="1">
        <f t="array" aca="1" ref="P1" ca="1">IFERROR(MID(CELL("filename",$A$1),FIND("]",CELL("filename",$A$1))+1,99),"SXX")&amp;" LABOUR (USAGE + STANDALONE)"</f>
        <v>S01 LABOUR (USAGE + STANDALONE)</v>
      </c>
      <c r="Q1" s="39"/>
      <c r="R1" s="39"/>
      <c r="S1" s="39"/>
      <c r="T1" s="39"/>
      <c r="U1" s="39"/>
      <c r="V1" s="39"/>
      <c r="Y1" s="17">
        <f>SUM(Y3:Y49)</f>
        <v>315</v>
      </c>
      <c r="AA1" s="40" t="str" cm="1">
        <f t="array" aca="1" ref="AA1" ca="1">IFERROR(MID(CELL("filename",$A$1),FIND("]",CELL("filename",$A$1))+1,99),"SXX")&amp;" RENTAL / SERVICE (USAGE + STANDALONE)"</f>
        <v>S01 RENTAL / SERVICE (USAGE + STANDALONE)</v>
      </c>
      <c r="AB1" s="40"/>
      <c r="AC1" s="40"/>
      <c r="AD1" s="40"/>
      <c r="AE1" s="40"/>
      <c r="AF1" s="40"/>
      <c r="AG1" s="40"/>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S02</v>
      </c>
      <c r="B1" s="38"/>
      <c r="C1" s="38"/>
      <c r="E1" s="39" t="str" cm="1">
        <f t="array" aca="1" ref="E1" ca="1">IFERROR(MID(CELL("filename",$A$1),FIND("]",CELL("filename",$A$1))+1,99),"SXX")&amp;" MATERIALS (USAGE + STANDALONE)"</f>
        <v>S02 MATERIALS (USAGE + STANDALONE)</v>
      </c>
      <c r="F1" s="39"/>
      <c r="G1" s="39"/>
      <c r="H1" s="39"/>
      <c r="I1" s="39"/>
      <c r="J1" s="39"/>
      <c r="K1" s="39"/>
      <c r="L1" s="13"/>
      <c r="M1" s="13"/>
      <c r="N1" s="17">
        <f>SUM(N3:N49)</f>
        <v>0</v>
      </c>
      <c r="P1" s="39" t="str" cm="1">
        <f t="array" aca="1" ref="P1" ca="1">IFERROR(MID(CELL("filename",$A$1),FIND("]",CELL("filename",$A$1))+1,99),"SXX")&amp;" LABOUR (USAGE + STANDALONE)"</f>
        <v>S02 LABOUR (USAGE + STANDALONE)</v>
      </c>
      <c r="Q1" s="39"/>
      <c r="R1" s="39"/>
      <c r="S1" s="39"/>
      <c r="T1" s="39"/>
      <c r="U1" s="39"/>
      <c r="V1" s="39"/>
      <c r="Y1" s="17">
        <f>SUM(Y3:Y49)</f>
        <v>0</v>
      </c>
      <c r="AA1" s="40" t="str" cm="1">
        <f t="array" aca="1" ref="AA1" ca="1">IFERROR(MID(CELL("filename",$A$1),FIND("]",CELL("filename",$A$1))+1,99),"SXX")&amp;" RENTAL / SERVICE (USAGE + STANDALONE)"</f>
        <v>S02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S03</v>
      </c>
      <c r="B1" s="38"/>
      <c r="C1" s="38"/>
      <c r="E1" s="39" t="str" cm="1">
        <f t="array" aca="1" ref="E1" ca="1">IFERROR(MID(CELL("filename",$A$1),FIND("]",CELL("filename",$A$1))+1,99),"SXX")&amp;" MATERIALS (USAGE + STANDALONE)"</f>
        <v>S03 MATERIALS (USAGE + STANDALONE)</v>
      </c>
      <c r="F1" s="39"/>
      <c r="G1" s="39"/>
      <c r="H1" s="39"/>
      <c r="I1" s="39"/>
      <c r="J1" s="39"/>
      <c r="K1" s="39"/>
      <c r="L1" s="13"/>
      <c r="M1" s="13"/>
      <c r="N1" s="17">
        <f>SUM(N3:N49)</f>
        <v>0</v>
      </c>
      <c r="P1" s="39" t="str" cm="1">
        <f t="array" aca="1" ref="P1" ca="1">IFERROR(MID(CELL("filename",$A$1),FIND("]",CELL("filename",$A$1))+1,99),"SXX")&amp;" LABOUR (USAGE + STANDALONE)"</f>
        <v>S03 LABOUR (USAGE + STANDALONE)</v>
      </c>
      <c r="Q1" s="39"/>
      <c r="R1" s="39"/>
      <c r="S1" s="39"/>
      <c r="T1" s="39"/>
      <c r="U1" s="39"/>
      <c r="V1" s="39"/>
      <c r="Y1" s="17">
        <f>SUM(Y3:Y49)</f>
        <v>2250</v>
      </c>
      <c r="AA1" s="40" t="str" cm="1">
        <f t="array" aca="1" ref="AA1" ca="1">IFERROR(MID(CELL("filename",$A$1),FIND("]",CELL("filename",$A$1))+1,99),"SXX")&amp;" RENTAL / SERVICE (USAGE + STANDALONE)"</f>
        <v>S03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S04</v>
      </c>
      <c r="B1" s="38"/>
      <c r="C1" s="38"/>
      <c r="E1" s="39" t="str" cm="1">
        <f t="array" aca="1" ref="E1" ca="1">IFERROR(MID(CELL("filename",$A$1),FIND("]",CELL("filename",$A$1))+1,99),"SXX")&amp;" MATERIALS (USAGE + STANDALONE)"</f>
        <v>S04 MATERIALS (USAGE + STANDALONE)</v>
      </c>
      <c r="F1" s="39"/>
      <c r="G1" s="39"/>
      <c r="H1" s="39"/>
      <c r="I1" s="39"/>
      <c r="J1" s="39"/>
      <c r="K1" s="39"/>
      <c r="L1" s="13"/>
      <c r="M1" s="13"/>
      <c r="N1" s="17">
        <f>SUM(N3:N49)</f>
        <v>4126.8999999999996</v>
      </c>
      <c r="P1" s="39" t="str" cm="1">
        <f t="array" aca="1" ref="P1" ca="1">IFERROR(MID(CELL("filename",$A$1),FIND("]",CELL("filename",$A$1))+1,99),"SXX")&amp;" LABOUR (USAGE + STANDALONE)"</f>
        <v>S04 LABOUR (USAGE + STANDALONE)</v>
      </c>
      <c r="Q1" s="39"/>
      <c r="R1" s="39"/>
      <c r="S1" s="39"/>
      <c r="T1" s="39"/>
      <c r="U1" s="39"/>
      <c r="V1" s="39"/>
      <c r="Y1" s="17">
        <f>SUM(Y3:Y49)</f>
        <v>1822.5</v>
      </c>
      <c r="AA1" s="40" t="str" cm="1">
        <f t="array" aca="1" ref="AA1" ca="1">IFERROR(MID(CELL("filename",$A$1),FIND("]",CELL("filename",$A$1))+1,99),"SXX")&amp;" RENTAL / SERVICE (USAGE + STANDALONE)"</f>
        <v>S04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S05</v>
      </c>
      <c r="B1" s="38"/>
      <c r="C1" s="38"/>
      <c r="E1" s="39" t="str" cm="1">
        <f t="array" aca="1" ref="E1" ca="1">IFERROR(MID(CELL("filename",$A$1),FIND("]",CELL("filename",$A$1))+1,99),"SXX")&amp;" MATERIALS (USAGE + STANDALONE)"</f>
        <v>S05 MATERIALS (USAGE + STANDALONE)</v>
      </c>
      <c r="F1" s="39"/>
      <c r="G1" s="39"/>
      <c r="H1" s="39"/>
      <c r="I1" s="39"/>
      <c r="J1" s="39"/>
      <c r="K1" s="39"/>
      <c r="L1" s="13"/>
      <c r="M1" s="13"/>
      <c r="N1" s="17">
        <f>SUM(N3:N49)</f>
        <v>3586.95</v>
      </c>
      <c r="P1" s="39" t="str" cm="1">
        <f t="array" aca="1" ref="P1" ca="1">IFERROR(MID(CELL("filename",$A$1),FIND("]",CELL("filename",$A$1))+1,99),"SXX")&amp;" LABOUR (USAGE + STANDALONE)"</f>
        <v>S05 LABOUR (USAGE + STANDALONE)</v>
      </c>
      <c r="Q1" s="39"/>
      <c r="R1" s="39"/>
      <c r="S1" s="39"/>
      <c r="T1" s="39"/>
      <c r="U1" s="39"/>
      <c r="V1" s="39"/>
      <c r="Y1" s="17">
        <f>SUM(Y3:Y49)</f>
        <v>3172.5</v>
      </c>
      <c r="AA1" s="40" t="str" cm="1">
        <f t="array" aca="1" ref="AA1" ca="1">IFERROR(MID(CELL("filename",$A$1),FIND("]",CELL("filename",$A$1))+1,99),"SXX")&amp;" RENTAL / SERVICE (USAGE + STANDALONE)"</f>
        <v>S05 RENTAL / SERVICE (USAGE + STANDALONE)</v>
      </c>
      <c r="AB1" s="40"/>
      <c r="AC1" s="40"/>
      <c r="AD1" s="40"/>
      <c r="AE1" s="40"/>
      <c r="AF1" s="40"/>
      <c r="AG1" s="40"/>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S06</v>
      </c>
      <c r="B1" s="38"/>
      <c r="C1" s="38"/>
      <c r="E1" s="39" t="str" cm="1">
        <f t="array" aca="1" ref="E1" ca="1">IFERROR(MID(CELL("filename",$A$1),FIND("]",CELL("filename",$A$1))+1,99),"SXX")&amp;" MATERIALS (USAGE + STANDALONE)"</f>
        <v>S06 MATERIALS (USAGE + STANDALONE)</v>
      </c>
      <c r="F1" s="39"/>
      <c r="G1" s="39"/>
      <c r="H1" s="39"/>
      <c r="I1" s="39"/>
      <c r="J1" s="39"/>
      <c r="K1" s="39"/>
      <c r="L1" s="13"/>
      <c r="M1" s="13"/>
      <c r="N1" s="17">
        <f>SUM(N3:N49)</f>
        <v>2692.75</v>
      </c>
      <c r="P1" s="39" t="str" cm="1">
        <f t="array" aca="1" ref="P1" ca="1">IFERROR(MID(CELL("filename",$A$1),FIND("]",CELL("filename",$A$1))+1,99),"SXX")&amp;" LABOUR (USAGE + STANDALONE)"</f>
        <v>S06 LABOUR (USAGE + STANDALONE)</v>
      </c>
      <c r="Q1" s="39"/>
      <c r="R1" s="39"/>
      <c r="S1" s="39"/>
      <c r="T1" s="39"/>
      <c r="U1" s="39"/>
      <c r="V1" s="39"/>
      <c r="Y1" s="17">
        <f>SUM(Y3:Y49)</f>
        <v>2475</v>
      </c>
      <c r="AA1" s="40" t="str" cm="1">
        <f t="array" aca="1" ref="AA1" ca="1">IFERROR(MID(CELL("filename",$A$1),FIND("]",CELL("filename",$A$1))+1,99),"SXX")&amp;" RENTAL / SERVICE (USAGE + STANDALONE)"</f>
        <v>S06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S07</v>
      </c>
      <c r="B1" s="38"/>
      <c r="C1" s="38"/>
      <c r="E1" s="39" t="str" cm="1">
        <f t="array" aca="1" ref="E1" ca="1">IFERROR(MID(CELL("filename",$A$1),FIND("]",CELL("filename",$A$1))+1,99),"SXX")&amp;" MATERIALS (USAGE + STANDALONE)"</f>
        <v>S07 MATERIALS (USAGE + STANDALONE)</v>
      </c>
      <c r="F1" s="39"/>
      <c r="G1" s="39"/>
      <c r="H1" s="39"/>
      <c r="I1" s="39"/>
      <c r="J1" s="39"/>
      <c r="K1" s="39"/>
      <c r="L1" s="13"/>
      <c r="M1" s="13"/>
      <c r="N1" s="17">
        <f>SUM(N3:N49)</f>
        <v>531.56000000000006</v>
      </c>
      <c r="P1" s="39" t="str" cm="1">
        <f t="array" aca="1" ref="P1" ca="1">IFERROR(MID(CELL("filename",$A$1),FIND("]",CELL("filename",$A$1))+1,99),"SXX")&amp;" LABOUR (USAGE + STANDALONE)"</f>
        <v>S07 LABOUR (USAGE + STANDALONE)</v>
      </c>
      <c r="Q1" s="39"/>
      <c r="R1" s="39"/>
      <c r="S1" s="39"/>
      <c r="T1" s="39"/>
      <c r="U1" s="39"/>
      <c r="V1" s="39"/>
      <c r="Y1" s="17">
        <f>SUM(Y3:Y49)</f>
        <v>1440</v>
      </c>
      <c r="AA1" s="40" t="str" cm="1">
        <f t="array" aca="1" ref="AA1" ca="1">IFERROR(MID(CELL("filename",$A$1),FIND("]",CELL("filename",$A$1))+1,99),"SXX")&amp;" RENTAL / SERVICE (USAGE + STANDALONE)"</f>
        <v>S07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S08</v>
      </c>
      <c r="B1" s="38"/>
      <c r="C1" s="38"/>
      <c r="E1" s="39" t="str" cm="1">
        <f t="array" aca="1" ref="E1" ca="1">IFERROR(MID(CELL("filename",$A$1),FIND("]",CELL("filename",$A$1))+1,99),"SXX")&amp;" MATERIALS (USAGE + STANDALONE)"</f>
        <v>S08 MATERIALS (USAGE + STANDALONE)</v>
      </c>
      <c r="F1" s="39"/>
      <c r="G1" s="39"/>
      <c r="H1" s="39"/>
      <c r="I1" s="39"/>
      <c r="J1" s="39"/>
      <c r="K1" s="39"/>
      <c r="L1" s="13"/>
      <c r="M1" s="13"/>
      <c r="N1" s="17">
        <f>SUM(N3:N49)</f>
        <v>8527.7800000000025</v>
      </c>
      <c r="P1" s="39" t="str" cm="1">
        <f t="array" aca="1" ref="P1" ca="1">IFERROR(MID(CELL("filename",$A$1),FIND("]",CELL("filename",$A$1))+1,99),"SXX")&amp;" LABOUR (USAGE + STANDALONE)"</f>
        <v>S08 LABOUR (USAGE + STANDALONE)</v>
      </c>
      <c r="Q1" s="39"/>
      <c r="R1" s="39"/>
      <c r="S1" s="39"/>
      <c r="T1" s="39"/>
      <c r="U1" s="39"/>
      <c r="V1" s="39"/>
      <c r="Y1" s="17">
        <f>SUM(Y3:Y49)</f>
        <v>2002.5</v>
      </c>
      <c r="AA1" s="40" t="str" cm="1">
        <f t="array" aca="1" ref="AA1" ca="1">IFERROR(MID(CELL("filename",$A$1),FIND("]",CELL("filename",$A$1))+1,99),"SXX")&amp;" RENTAL / SERVICE (USAGE + STANDALONE)"</f>
        <v>S08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S09</v>
      </c>
      <c r="B1" s="38"/>
      <c r="C1" s="38"/>
      <c r="E1" s="39" t="str" cm="1">
        <f t="array" aca="1" ref="E1" ca="1">IFERROR(MID(CELL("filename",$A$1),FIND("]",CELL("filename",$A$1))+1,99),"SXX")&amp;" MATERIALS (USAGE + STANDALONE)"</f>
        <v>S09 MATERIALS (USAGE + STANDALONE)</v>
      </c>
      <c r="F1" s="39"/>
      <c r="G1" s="39"/>
      <c r="H1" s="39"/>
      <c r="I1" s="39"/>
      <c r="J1" s="39"/>
      <c r="K1" s="39"/>
      <c r="L1" s="13"/>
      <c r="M1" s="13"/>
      <c r="N1" s="17">
        <f>SUM(N3:N49)</f>
        <v>1840.8600000000004</v>
      </c>
      <c r="P1" s="39" t="str" cm="1">
        <f t="array" aca="1" ref="P1" ca="1">IFERROR(MID(CELL("filename",$A$1),FIND("]",CELL("filename",$A$1))+1,99),"SXX")&amp;" LABOUR (USAGE + STANDALONE)"</f>
        <v>S09 LABOUR (USAGE + STANDALONE)</v>
      </c>
      <c r="Q1" s="39"/>
      <c r="R1" s="39"/>
      <c r="S1" s="39"/>
      <c r="T1" s="39"/>
      <c r="U1" s="39"/>
      <c r="V1" s="39"/>
      <c r="Y1" s="17">
        <f>SUM(Y3:Y49)</f>
        <v>3060</v>
      </c>
      <c r="AA1" s="40" t="str" cm="1">
        <f t="array" aca="1" ref="AA1" ca="1">IFERROR(MID(CELL("filename",$A$1),FIND("]",CELL("filename",$A$1))+1,99),"SXX")&amp;" RENTAL / SERVICE (USAGE + STANDALONE)"</f>
        <v>S09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S10</v>
      </c>
      <c r="B1" s="38"/>
      <c r="C1" s="38"/>
      <c r="E1" s="39" t="str" cm="1">
        <f t="array" aca="1" ref="E1" ca="1">IFERROR(MID(CELL("filename",$A$1),FIND("]",CELL("filename",$A$1))+1,99),"SXX")&amp;" MATERIALS (USAGE + STANDALONE)"</f>
        <v>S10 MATERIALS (USAGE + STANDALONE)</v>
      </c>
      <c r="F1" s="39"/>
      <c r="G1" s="39"/>
      <c r="H1" s="39"/>
      <c r="I1" s="39"/>
      <c r="J1" s="39"/>
      <c r="K1" s="39"/>
      <c r="L1" s="13"/>
      <c r="M1" s="13"/>
      <c r="N1" s="17">
        <f>SUM(N3:N49)</f>
        <v>3388.8574999999992</v>
      </c>
      <c r="P1" s="39" t="str" cm="1">
        <f t="array" aca="1" ref="P1" ca="1">IFERROR(MID(CELL("filename",$A$1),FIND("]",CELL("filename",$A$1))+1,99),"SXX")&amp;" LABOUR (USAGE + STANDALONE)"</f>
        <v>S10 LABOUR (USAGE + STANDALONE)</v>
      </c>
      <c r="Q1" s="39"/>
      <c r="R1" s="39"/>
      <c r="S1" s="39"/>
      <c r="T1" s="39"/>
      <c r="U1" s="39"/>
      <c r="V1" s="39"/>
      <c r="Y1" s="17">
        <f>SUM(Y3:Y49)</f>
        <v>1912.5</v>
      </c>
      <c r="AA1" s="40" t="str" cm="1">
        <f t="array" aca="1" ref="AA1" ca="1">IFERROR(MID(CELL("filename",$A$1),FIND("]",CELL("filename",$A$1))+1,99),"SXX")&amp;" RENTAL / SERVICE (USAGE + STANDALONE)"</f>
        <v>S10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S11</v>
      </c>
      <c r="B1" s="38"/>
      <c r="C1" s="38"/>
      <c r="E1" s="39" t="str" cm="1">
        <f t="array" aca="1" ref="E1" ca="1">IFERROR(MID(CELL("filename",$A$1),FIND("]",CELL("filename",$A$1))+1,99),"SXX")&amp;" MATERIALS (USAGE + STANDALONE)"</f>
        <v>S11 MATERIALS (USAGE + STANDALONE)</v>
      </c>
      <c r="F1" s="39"/>
      <c r="G1" s="39"/>
      <c r="H1" s="39"/>
      <c r="I1" s="39"/>
      <c r="J1" s="39"/>
      <c r="K1" s="39"/>
      <c r="L1" s="13"/>
      <c r="M1" s="13"/>
      <c r="N1" s="17">
        <f>SUM(N3:N49)</f>
        <v>675.67500000000007</v>
      </c>
      <c r="P1" s="39" t="str" cm="1">
        <f t="array" aca="1" ref="P1" ca="1">IFERROR(MID(CELL("filename",$A$1),FIND("]",CELL("filename",$A$1))+1,99),"SXX")&amp;" LABOUR (USAGE + STANDALONE)"</f>
        <v>S11 LABOUR (USAGE + STANDALONE)</v>
      </c>
      <c r="Q1" s="39"/>
      <c r="R1" s="39"/>
      <c r="S1" s="39"/>
      <c r="T1" s="39"/>
      <c r="U1" s="39"/>
      <c r="V1" s="39"/>
      <c r="Y1" s="17">
        <f>SUM(Y3:Y49)</f>
        <v>2475</v>
      </c>
      <c r="AA1" s="40" t="str" cm="1">
        <f t="array" aca="1" ref="AA1" ca="1">IFERROR(MID(CELL("filename",$A$1),FIND("]",CELL("filename",$A$1))+1,99),"SXX")&amp;" RENTAL / SERVICE (USAGE + STANDALONE)"</f>
        <v>S11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S12</v>
      </c>
      <c r="B1" s="38"/>
      <c r="C1" s="38"/>
      <c r="E1" s="39" t="str" cm="1">
        <f t="array" aca="1" ref="E1" ca="1">IFERROR(MID(CELL("filename",$A$1),FIND("]",CELL("filename",$A$1))+1,99),"SXX")&amp;" MATERIALS (USAGE + STANDALONE)"</f>
        <v>S12 MATERIALS (USAGE + STANDALONE)</v>
      </c>
      <c r="F1" s="39"/>
      <c r="G1" s="39"/>
      <c r="H1" s="39"/>
      <c r="I1" s="39"/>
      <c r="J1" s="39"/>
      <c r="K1" s="39"/>
      <c r="L1" s="13"/>
      <c r="M1" s="13"/>
      <c r="N1" s="17">
        <f>SUM(N3:N49)</f>
        <v>963.125</v>
      </c>
      <c r="P1" s="39" t="str" cm="1">
        <f t="array" aca="1" ref="P1" ca="1">IFERROR(MID(CELL("filename",$A$1),FIND("]",CELL("filename",$A$1))+1,99),"SXX")&amp;" LABOUR (USAGE + STANDALONE)"</f>
        <v>S12 LABOUR (USAGE + STANDALONE)</v>
      </c>
      <c r="Q1" s="39"/>
      <c r="R1" s="39"/>
      <c r="S1" s="39"/>
      <c r="T1" s="39"/>
      <c r="U1" s="39"/>
      <c r="V1" s="39"/>
      <c r="Y1" s="17">
        <f>SUM(Y3:Y49)</f>
        <v>1912.5</v>
      </c>
      <c r="AA1" s="40" t="str" cm="1">
        <f t="array" aca="1" ref="AA1" ca="1">IFERROR(MID(CELL("filename",$A$1),FIND("]",CELL("filename",$A$1))+1,99),"SXX")&amp;" RENTAL / SERVICE (USAGE + STANDALONE)"</f>
        <v>S12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S13</v>
      </c>
      <c r="B1" s="38"/>
      <c r="C1" s="38"/>
      <c r="E1" s="39" t="str" cm="1">
        <f t="array" aca="1" ref="E1" ca="1">IFERROR(MID(CELL("filename",$A$1),FIND("]",CELL("filename",$A$1))+1,99),"SXX")&amp;" MATERIALS (USAGE + STANDALONE)"</f>
        <v>S13 MATERIALS (USAGE + STANDALONE)</v>
      </c>
      <c r="F1" s="39"/>
      <c r="G1" s="39"/>
      <c r="H1" s="39"/>
      <c r="I1" s="39"/>
      <c r="J1" s="39"/>
      <c r="K1" s="39"/>
      <c r="L1" s="13"/>
      <c r="M1" s="13"/>
      <c r="N1" s="17">
        <f>SUM(N3:N49)</f>
        <v>5277.5</v>
      </c>
      <c r="P1" s="39" t="str" cm="1">
        <f t="array" aca="1" ref="P1" ca="1">IFERROR(MID(CELL("filename",$A$1),FIND("]",CELL("filename",$A$1))+1,99),"SXX")&amp;" LABOUR (USAGE + STANDALONE)"</f>
        <v>S13 LABOUR (USAGE + STANDALONE)</v>
      </c>
      <c r="Q1" s="39"/>
      <c r="R1" s="39"/>
      <c r="S1" s="39"/>
      <c r="T1" s="39"/>
      <c r="U1" s="39"/>
      <c r="V1" s="39"/>
      <c r="Y1" s="17">
        <f>SUM(Y3:Y49)</f>
        <v>5040</v>
      </c>
      <c r="AA1" s="40" t="str" cm="1">
        <f t="array" aca="1" ref="AA1" ca="1">IFERROR(MID(CELL("filename",$A$1),FIND("]",CELL("filename",$A$1))+1,99),"SXX")&amp;" RENTAL / SERVICE (USAGE + STANDALONE)"</f>
        <v>S13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S14</v>
      </c>
      <c r="B1" s="38"/>
      <c r="C1" s="38"/>
      <c r="E1" s="39" t="str" cm="1">
        <f t="array" aca="1" ref="E1" ca="1">IFERROR(MID(CELL("filename",$A$1),FIND("]",CELL("filename",$A$1))+1,99),"SXX")&amp;" MATERIALS (USAGE + STANDALONE)"</f>
        <v>S14 MATERIALS (USAGE + STANDALONE)</v>
      </c>
      <c r="F1" s="39"/>
      <c r="G1" s="39"/>
      <c r="H1" s="39"/>
      <c r="I1" s="39"/>
      <c r="J1" s="39"/>
      <c r="K1" s="39"/>
      <c r="L1" s="13"/>
      <c r="M1" s="13"/>
      <c r="N1" s="17">
        <f>SUM(N3:N49)</f>
        <v>1825.2700000000002</v>
      </c>
      <c r="P1" s="39" t="str" cm="1">
        <f t="array" aca="1" ref="P1" ca="1">IFERROR(MID(CELL("filename",$A$1),FIND("]",CELL("filename",$A$1))+1,99),"SXX")&amp;" LABOUR (USAGE + STANDALONE)"</f>
        <v>S14 LABOUR (USAGE + STANDALONE)</v>
      </c>
      <c r="Q1" s="39"/>
      <c r="R1" s="39"/>
      <c r="S1" s="39"/>
      <c r="T1" s="39"/>
      <c r="U1" s="39"/>
      <c r="V1" s="39"/>
      <c r="Y1" s="17">
        <f>SUM(Y3:Y49)</f>
        <v>1440</v>
      </c>
      <c r="AA1" s="40" t="str" cm="1">
        <f t="array" aca="1" ref="AA1" ca="1">IFERROR(MID(CELL("filename",$A$1),FIND("]",CELL("filename",$A$1))+1,99),"SXX")&amp;" RENTAL / SERVICE (USAGE + STANDALONE)"</f>
        <v>S14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S15</v>
      </c>
      <c r="B1" s="38"/>
      <c r="C1" s="38"/>
      <c r="E1" s="39" t="str" cm="1">
        <f t="array" aca="1" ref="E1" ca="1">IFERROR(MID(CELL("filename",$A$1),FIND("]",CELL("filename",$A$1))+1,99),"SXX")&amp;" MATERIALS (USAGE + STANDALONE)"</f>
        <v>S15 MATERIALS (USAGE + STANDALONE)</v>
      </c>
      <c r="F1" s="39"/>
      <c r="G1" s="39"/>
      <c r="H1" s="39"/>
      <c r="I1" s="39"/>
      <c r="J1" s="39"/>
      <c r="K1" s="39"/>
      <c r="L1" s="13"/>
      <c r="M1" s="13"/>
      <c r="N1" s="17">
        <f>SUM(N3:N49)</f>
        <v>1233.76</v>
      </c>
      <c r="P1" s="39" t="str" cm="1">
        <f t="array" aca="1" ref="P1" ca="1">IFERROR(MID(CELL("filename",$A$1),FIND("]",CELL("filename",$A$1))+1,99),"SXX")&amp;" LABOUR (USAGE + STANDALONE)"</f>
        <v>S15 LABOUR (USAGE + STANDALONE)</v>
      </c>
      <c r="Q1" s="39"/>
      <c r="R1" s="39"/>
      <c r="S1" s="39"/>
      <c r="T1" s="39"/>
      <c r="U1" s="39"/>
      <c r="V1" s="39"/>
      <c r="Y1" s="17">
        <f>SUM(Y3:Y49)</f>
        <v>1057.5</v>
      </c>
      <c r="AA1" s="40" t="str" cm="1">
        <f t="array" aca="1" ref="AA1" ca="1">IFERROR(MID(CELL("filename",$A$1),FIND("]",CELL("filename",$A$1))+1,99),"SXX")&amp;" RENTAL / SERVICE (USAGE + STANDALONE)"</f>
        <v>S15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S16</v>
      </c>
      <c r="B1" s="38"/>
      <c r="C1" s="38"/>
      <c r="E1" s="39" t="str" cm="1">
        <f t="array" aca="1" ref="E1" ca="1">IFERROR(MID(CELL("filename",$A$1),FIND("]",CELL("filename",$A$1))+1,99),"SXX")&amp;" MATERIALS (USAGE + STANDALONE)"</f>
        <v>S16 MATERIALS (USAGE + STANDALONE)</v>
      </c>
      <c r="F1" s="39"/>
      <c r="G1" s="39"/>
      <c r="H1" s="39"/>
      <c r="I1" s="39"/>
      <c r="J1" s="39"/>
      <c r="K1" s="39"/>
      <c r="L1" s="13"/>
      <c r="M1" s="13"/>
      <c r="N1" s="17">
        <f>SUM(N3:N49)</f>
        <v>3677.7999999999997</v>
      </c>
      <c r="P1" s="39" t="str" cm="1">
        <f t="array" aca="1" ref="P1" ca="1">IFERROR(MID(CELL("filename",$A$1),FIND("]",CELL("filename",$A$1))+1,99),"SXX")&amp;" LABOUR (USAGE + STANDALONE)"</f>
        <v>S16 LABOUR (USAGE + STANDALONE)</v>
      </c>
      <c r="Q1" s="39"/>
      <c r="R1" s="39"/>
      <c r="S1" s="39"/>
      <c r="T1" s="39"/>
      <c r="U1" s="39"/>
      <c r="V1" s="39"/>
      <c r="Y1" s="17">
        <f>SUM(Y3:Y49)</f>
        <v>2700</v>
      </c>
      <c r="AA1" s="40" t="str" cm="1">
        <f t="array" aca="1" ref="AA1" ca="1">IFERROR(MID(CELL("filename",$A$1),FIND("]",CELL("filename",$A$1))+1,99),"SXX")&amp;" RENTAL / SERVICE (USAGE + STANDALONE)"</f>
        <v>S16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S17</v>
      </c>
      <c r="B1" s="38"/>
      <c r="C1" s="38"/>
      <c r="E1" s="39" t="str" cm="1">
        <f t="array" aca="1" ref="E1" ca="1">IFERROR(MID(CELL("filename",$A$1),FIND("]",CELL("filename",$A$1))+1,99),"SXX")&amp;" MATERIALS (USAGE + STANDALONE)"</f>
        <v>S17 MATERIALS (USAGE + STANDALONE)</v>
      </c>
      <c r="F1" s="39"/>
      <c r="G1" s="39"/>
      <c r="H1" s="39"/>
      <c r="I1" s="39"/>
      <c r="J1" s="39"/>
      <c r="K1" s="39"/>
      <c r="L1" s="13"/>
      <c r="M1" s="13"/>
      <c r="N1" s="17">
        <f>SUM(N3:N49)</f>
        <v>2888</v>
      </c>
      <c r="P1" s="39" t="str" cm="1">
        <f t="array" aca="1" ref="P1" ca="1">IFERROR(MID(CELL("filename",$A$1),FIND("]",CELL("filename",$A$1))+1,99),"SXX")&amp;" LABOUR (USAGE + STANDALONE)"</f>
        <v>S17 LABOUR (USAGE + STANDALONE)</v>
      </c>
      <c r="Q1" s="39"/>
      <c r="R1" s="39"/>
      <c r="S1" s="39"/>
      <c r="T1" s="39"/>
      <c r="U1" s="39"/>
      <c r="V1" s="39"/>
      <c r="Y1" s="17">
        <f>SUM(Y3:Y49)</f>
        <v>2520</v>
      </c>
      <c r="AA1" s="40" t="str" cm="1">
        <f t="array" aca="1" ref="AA1" ca="1">IFERROR(MID(CELL("filename",$A$1),FIND("]",CELL("filename",$A$1))+1,99),"SXX")&amp;" RENTAL / SERVICE (USAGE + STANDALONE)"</f>
        <v>S17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38" t="str" cm="1">
        <f t="array" aca="1" ref="A1" ca="1">IFERROR(MID(CELL("filename",$A$1),FIND("]",CELL("filename",$A$1))+1,99),"SXX")</f>
        <v>S18</v>
      </c>
      <c r="B1" s="38"/>
      <c r="C1" s="38"/>
      <c r="E1" s="39" t="str" cm="1">
        <f t="array" aca="1" ref="E1" ca="1">IFERROR(MID(CELL("filename",$A$1),FIND("]",CELL("filename",$A$1))+1,99),"SXX")&amp;" MATERIALS (USAGE + STANDALONE)"</f>
        <v>S18 MATERIALS (USAGE + STANDALONE)</v>
      </c>
      <c r="F1" s="39"/>
      <c r="G1" s="39"/>
      <c r="H1" s="39"/>
      <c r="I1" s="39"/>
      <c r="J1" s="39"/>
      <c r="K1" s="39"/>
      <c r="L1" s="13"/>
      <c r="M1" s="13"/>
      <c r="N1" s="17">
        <f>SUM(N3:N49)</f>
        <v>2888</v>
      </c>
      <c r="P1" s="39" t="str" cm="1">
        <f t="array" aca="1" ref="P1" ca="1">IFERROR(MID(CELL("filename",$A$1),FIND("]",CELL("filename",$A$1))+1,99),"SXX")&amp;" LABOUR (USAGE + STANDALONE)"</f>
        <v>S18 LABOUR (USAGE + STANDALONE)</v>
      </c>
      <c r="Q1" s="39"/>
      <c r="R1" s="39"/>
      <c r="S1" s="39"/>
      <c r="T1" s="39"/>
      <c r="U1" s="39"/>
      <c r="V1" s="39"/>
      <c r="Y1" s="17">
        <f>SUM(Y3:Y49)</f>
        <v>2520</v>
      </c>
      <c r="AA1" s="40" t="str" cm="1">
        <f t="array" aca="1" ref="AA1" ca="1">IFERROR(MID(CELL("filename",$A$1),FIND("]",CELL("filename",$A$1))+1,99),"SXX")&amp;" RENTAL / SERVICE (USAGE + STANDALONE)"</f>
        <v>S18 RENTAL / SERVICE (USAGE + STANDALONE)</v>
      </c>
      <c r="AB1" s="40"/>
      <c r="AC1" s="40"/>
      <c r="AD1" s="40"/>
      <c r="AE1" s="40"/>
      <c r="AF1" s="40"/>
      <c r="AG1" s="40"/>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2026-04-02T03:24:00Z</dcterms:modified>
</cp:coreProperties>
</file>