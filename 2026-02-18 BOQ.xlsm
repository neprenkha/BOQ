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HOME-SERVER\k\Client Sharing Storage\KERJA\QUOTATION\belum quote\WClient Banting 1122 - Puan Sal Raduan\2026-03-27 - EXTAND\"/>
    </mc:Choice>
  </mc:AlternateContent>
  <xr:revisionPtr revIDLastSave="0" documentId="13_ncr:1_{2CBFD9C9-A2B0-4C55-AF2F-3A0BC9EDF65E}" xr6:coauthVersionLast="47" xr6:coauthVersionMax="47" xr10:uidLastSave="{00000000-0000-0000-0000-000000000000}"/>
  <bookViews>
    <workbookView xWindow="57480" yWindow="-120" windowWidth="29040" windowHeight="15840" firstSheet="1" activeTab="6" xr2:uid="{00000000-000D-0000-FFFF-FFFF00000000}"/>
  </bookViews>
  <sheets>
    <sheet name="SummaryHelper" sheetId="46" state="hidden" r:id="rId1"/>
    <sheet name="Purchase" sheetId="23" r:id="rId2"/>
    <sheet name="Search" sheetId="24" r:id="rId3"/>
    <sheet name="Button" sheetId="28" r:id="rId4"/>
    <sheet name="README" sheetId="16" r:id="rId5"/>
    <sheet name="ProcurementHelper" sheetId="48" r:id="rId6"/>
    <sheet name="Procurement" sheetId="47" r:id="rId7"/>
    <sheet name="Summary" sheetId="12" r:id="rId8"/>
    <sheet name="S01" sheetId="21" r:id="rId9"/>
    <sheet name="S02" sheetId="30" r:id="rId10"/>
    <sheet name="S03" sheetId="34" r:id="rId11"/>
    <sheet name="S04" sheetId="33" r:id="rId12"/>
    <sheet name="S05" sheetId="32" r:id="rId13"/>
    <sheet name="S06" sheetId="31" r:id="rId14"/>
    <sheet name="S07" sheetId="35" r:id="rId15"/>
    <sheet name="S08" sheetId="36" r:id="rId16"/>
    <sheet name="S09" sheetId="37" r:id="rId17"/>
    <sheet name="S10" sheetId="38" r:id="rId18"/>
    <sheet name="S11" sheetId="39" r:id="rId19"/>
    <sheet name="S12" sheetId="40" r:id="rId20"/>
    <sheet name="S13" sheetId="41" r:id="rId21"/>
    <sheet name="S14" sheetId="42" r:id="rId22"/>
    <sheet name="S15" sheetId="43" r:id="rId23"/>
    <sheet name="S16" sheetId="44" r:id="rId24"/>
    <sheet name="S17" sheetId="45" r:id="rId25"/>
    <sheet name="_SummaryBackup" sheetId="29" state="veryHidden" r:id="rId26"/>
  </sheets>
  <definedNames>
    <definedName name="_xlpm.all" hidden="1" xlm="1">#NAME?</definedName>
    <definedName name="_xlpm.Amt" hidden="1" xlm="1">#NAME?</definedName>
    <definedName name="_xlpm.b" hidden="1" xlm="1">#NAME?</definedName>
    <definedName name="_xlpm.base" hidden="1" xlm="1">#NAME?</definedName>
    <definedName name="_xlpm.blk" hidden="1" xlm="1">#NAME?</definedName>
    <definedName name="_xlpm.c" hidden="1" xlm="1">#NAME?</definedName>
    <definedName name="_xlpm.cat" hidden="1" xlm="1">#NAME?</definedName>
    <definedName name="_xlpm.cols" hidden="1" xlm="1">#NAME?</definedName>
    <definedName name="_xlpm.cond" hidden="1" xlm="1">#NAME?</definedName>
    <definedName name="_xlpm.d" hidden="1" xlm="1">#NAME?</definedName>
    <definedName name="_xlpm.data" hidden="1" xlm="1">#NAME?</definedName>
    <definedName name="_xlpm.desc" hidden="1" xlm="1">#NAME?</definedName>
    <definedName name="_xlpm.descAll" hidden="1" xlm="1">#NAME?</definedName>
    <definedName name="_xlpm.f" hidden="1" xlm="1">#NAME?</definedName>
    <definedName name="_xlpm.filtered" hidden="1" xlm="1">#NAME?</definedName>
    <definedName name="_xlpm.header" hidden="1" xlm="1">#NAME?</definedName>
    <definedName name="_xlpm.i" hidden="1" xlm="1">#NAME?</definedName>
    <definedName name="_xlpm.idx" hidden="1" xlm="1">#NAME?</definedName>
    <definedName name="_xlpm.idxIn" hidden="1" xlm="1">#NAME?</definedName>
    <definedName name="_xlpm.inc" hidden="1" xlm="1">#NAME?</definedName>
    <definedName name="_xlpm.incVec" hidden="1" xlm="1">#NAME?</definedName>
    <definedName name="_xlpm.k" hidden="1" xlm="1">#NAME?</definedName>
    <definedName name="_xlpm.lab" hidden="1" xlm="1">#NAME?</definedName>
    <definedName name="_xlpm.mat" hidden="1" xlm="1">#NAME?</definedName>
    <definedName name="_xlpm.maxScopes" hidden="1" xlm="1">#NAME?</definedName>
    <definedName name="_xlpm.mn" hidden="1" xlm="1">#NAME?</definedName>
    <definedName name="_xlpm.mx" hidden="1" xlm="1">#NAME?</definedName>
    <definedName name="_xlpm.n" hidden="1" xlm="1">#NAME?</definedName>
    <definedName name="_xlpm.oq" hidden="1" xlm="1">#NAME?</definedName>
    <definedName name="_xlpm.orate" hidden="1" xlm="1">#NAME?</definedName>
    <definedName name="_xlpm.out" hidden="1" xlm="1">#NAME?</definedName>
    <definedName name="_xlpm.perSheet" hidden="1" xlm="1">#NAME?</definedName>
    <definedName name="_xlpm.ps" hidden="1" xlm="1">#NAME?</definedName>
    <definedName name="_xlpm.pu" hidden="1" xlm="1">#NAME?</definedName>
    <definedName name="_xlpm.QtyWU" hidden="1" xlm="1">#NAME?</definedName>
    <definedName name="_xlpm.r" hidden="1" xlm="1">#NAME?</definedName>
    <definedName name="_xlpm.rate" hidden="1" xlm="1">#NAME?</definedName>
    <definedName name="_xlpm.rateAll" hidden="1" xlm="1">#NAME?</definedName>
    <definedName name="_xlpm.raw" hidden="1" xlm="1">#NAME?</definedName>
    <definedName name="_xlpm.rows" hidden="1" xlm="1">#NAME?</definedName>
    <definedName name="_xlpm.rowsPerScope" hidden="1" xlm="1">#NAME?</definedName>
    <definedName name="_xlpm.sh" hidden="1" xlm="1">#NAME?</definedName>
    <definedName name="_xlpm.sheetCol" hidden="1" xlm="1">#NAME?</definedName>
    <definedName name="_xlpm.sheets" hidden="1" xlm="1">#NAME?</definedName>
    <definedName name="_xlpm.shIdx" hidden="1" xlm="1">#NAME?</definedName>
    <definedName name="_xlpm.spec" hidden="1" xlm="1">#NAME?</definedName>
    <definedName name="_xlpm.specAll" hidden="1" xlm="1">#NAME?</definedName>
    <definedName name="_xlpm.svc" hidden="1" xlm="1">#NAME?</definedName>
    <definedName name="_xlpm.tbl" hidden="1" xlm="1">#NAME?</definedName>
    <definedName name="_xlpm.tot" hidden="1" xlm="1">#NAME?</definedName>
    <definedName name="_xlpm.total" hidden="1" xlm="1">#NAME?</definedName>
    <definedName name="_xlpm.totAll" hidden="1" xlm="1">#NAME?</definedName>
    <definedName name="_xlpm.totalRows" hidden="1" xlm="1">#NAME?</definedName>
    <definedName name="_xlpm.uom" hidden="1" xlm="1">#NAME?</definedName>
    <definedName name="_xlpm.uomAll" hidden="1" xlm="1">#NAME?</definedName>
    <definedName name="_xlpm.usage" hidden="1" xlm="1">#NAME?</definedName>
    <definedName name="_xlpm.usageAll" hidden="1" xlm="1">#NAME?</definedName>
    <definedName name="_xlpm.usepw" hidden="1" xlm="1">#NAME?</definedName>
    <definedName name="_xlpm.useW" hidden="1" xlm="1">#NAME?</definedName>
    <definedName name="_xlpm.useWAll" hidden="1" xlm="1">#NAME?</definedName>
    <definedName name="_xlpm.v" hidden="1" xlm="1">#NAME?</definedName>
    <definedName name="_xlpm.wast" hidden="1" xlm="1">#NAME?</definedName>
    <definedName name="_xlpm.wastAll" hidden="1" xlm="1">#NAME?</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3" i="48" l="1" a="1"/>
  <c r="W3" i="48" s="1"/>
  <c r="A3" i="48" a="1"/>
  <c r="A3" i="48" s="1"/>
  <c r="L3" i="48" a="1"/>
  <c r="L3" i="48" s="1"/>
  <c r="AN7" i="12"/>
  <c r="AN8" i="12"/>
  <c r="AN9" i="12"/>
  <c r="AN10"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AN38" i="12"/>
  <c r="AN39" i="12"/>
  <c r="AN40" i="12"/>
  <c r="AN41" i="12"/>
  <c r="AN42" i="12"/>
  <c r="AN43" i="12"/>
  <c r="AN44" i="12"/>
  <c r="AN45" i="12"/>
  <c r="AN46" i="12"/>
  <c r="AN47" i="12"/>
  <c r="AN48" i="12"/>
  <c r="AN49" i="12"/>
  <c r="AN50" i="12"/>
  <c r="AN51" i="12"/>
  <c r="AN52" i="12"/>
  <c r="AN53" i="12"/>
  <c r="AN54" i="12"/>
  <c r="AN55" i="12"/>
  <c r="AN56" i="12"/>
  <c r="AN57" i="12"/>
  <c r="AN58" i="12"/>
  <c r="AN59" i="12"/>
  <c r="AN60" i="12"/>
  <c r="AN61" i="12"/>
  <c r="AN62" i="12"/>
  <c r="AN63" i="12"/>
  <c r="AN64" i="12"/>
  <c r="AN65" i="12"/>
  <c r="AN66" i="12"/>
  <c r="AN67" i="12"/>
  <c r="AN68" i="12"/>
  <c r="AN69" i="12"/>
  <c r="AN70" i="12"/>
  <c r="AN71" i="12"/>
  <c r="AN72" i="12"/>
  <c r="AN73" i="12"/>
  <c r="AN74" i="12"/>
  <c r="AN75" i="12"/>
  <c r="AN76" i="12"/>
  <c r="AN77" i="12"/>
  <c r="AN78" i="12"/>
  <c r="AN79" i="12"/>
  <c r="AN80" i="12"/>
  <c r="AN81" i="12"/>
  <c r="AN82" i="12"/>
  <c r="AN83" i="12"/>
  <c r="AN84" i="12"/>
  <c r="AN85" i="12"/>
  <c r="AN86" i="12"/>
  <c r="AN87" i="12"/>
  <c r="AN88" i="12"/>
  <c r="AN89" i="12"/>
  <c r="AN90" i="12"/>
  <c r="AN91" i="12"/>
  <c r="AN92" i="12"/>
  <c r="AN93" i="12"/>
  <c r="AN94" i="12"/>
  <c r="AN95" i="12"/>
  <c r="AN96" i="12"/>
  <c r="AN97" i="12"/>
  <c r="AN98" i="12"/>
  <c r="AN99" i="12"/>
  <c r="AN100" i="12"/>
  <c r="AN101" i="12"/>
  <c r="AN102" i="12"/>
  <c r="AN103" i="12"/>
  <c r="AN104" i="12"/>
  <c r="AN105" i="12"/>
  <c r="AN106" i="12"/>
  <c r="AN107" i="12"/>
  <c r="AN108" i="12"/>
  <c r="AN109" i="12"/>
  <c r="AN110" i="12"/>
  <c r="AN111" i="12"/>
  <c r="AN112" i="12"/>
  <c r="AN113" i="12"/>
  <c r="AN114" i="12"/>
  <c r="AN115" i="12"/>
  <c r="AN116" i="12"/>
  <c r="AN117" i="12"/>
  <c r="AN118" i="12"/>
  <c r="AN119" i="12"/>
  <c r="AN120" i="12"/>
  <c r="AN121" i="12"/>
  <c r="AN122" i="12"/>
  <c r="AN123" i="12"/>
  <c r="AN124" i="12"/>
  <c r="AN125" i="12"/>
  <c r="AN126" i="12"/>
  <c r="AN127" i="12"/>
  <c r="AN128" i="12"/>
  <c r="AN129" i="12"/>
  <c r="AN130" i="12"/>
  <c r="AN131" i="12"/>
  <c r="AN132" i="12"/>
  <c r="AN133" i="12"/>
  <c r="AN134" i="12"/>
  <c r="AN135" i="12"/>
  <c r="AN136" i="12"/>
  <c r="AN137" i="12"/>
  <c r="AN138" i="12"/>
  <c r="AN139" i="12"/>
  <c r="AN140" i="12"/>
  <c r="AN141" i="12"/>
  <c r="AN142" i="12"/>
  <c r="AN143" i="12"/>
  <c r="AN144" i="12"/>
  <c r="AN145" i="12"/>
  <c r="AN146" i="12"/>
  <c r="AN147" i="12"/>
  <c r="AN148" i="12"/>
  <c r="AN149" i="12"/>
  <c r="AN150" i="12"/>
  <c r="AN151" i="12"/>
  <c r="AN152" i="12"/>
  <c r="AN153" i="12"/>
  <c r="AN154" i="12"/>
  <c r="AN155" i="12"/>
  <c r="AN156" i="12"/>
  <c r="AN157" i="12"/>
  <c r="AN158" i="12"/>
  <c r="AN159" i="12"/>
  <c r="AN160" i="12"/>
  <c r="AN161" i="12"/>
  <c r="AN162" i="12"/>
  <c r="AN163" i="12"/>
  <c r="AN164" i="12"/>
  <c r="AN165" i="12"/>
  <c r="AN166" i="12"/>
  <c r="AN167" i="12"/>
  <c r="AN168" i="12"/>
  <c r="AN169" i="12"/>
  <c r="AN170" i="12"/>
  <c r="AN171" i="12"/>
  <c r="AN172" i="12"/>
  <c r="AN173" i="12"/>
  <c r="AN174" i="12"/>
  <c r="AN175" i="12"/>
  <c r="AN176" i="12"/>
  <c r="AN177" i="12"/>
  <c r="AN178" i="12"/>
  <c r="AN179" i="12"/>
  <c r="AN180" i="12"/>
  <c r="AN181" i="12"/>
  <c r="AN182" i="12"/>
  <c r="AN183" i="12"/>
  <c r="AN184" i="12"/>
  <c r="AN185" i="12"/>
  <c r="AN186" i="12"/>
  <c r="AN187" i="12"/>
  <c r="AN188" i="12"/>
  <c r="AN189" i="12"/>
  <c r="AN190" i="12"/>
  <c r="AN191" i="12"/>
  <c r="AN192" i="12"/>
  <c r="AN193" i="12"/>
  <c r="AN194" i="12"/>
  <c r="AN195" i="12"/>
  <c r="AN196" i="12"/>
  <c r="AN197" i="12"/>
  <c r="AN198" i="12"/>
  <c r="AN199" i="12"/>
  <c r="AN200" i="12"/>
  <c r="AN201" i="12"/>
  <c r="AN202" i="12"/>
  <c r="AN203" i="12"/>
  <c r="AN204" i="12"/>
  <c r="AN205" i="12"/>
  <c r="AN206" i="12"/>
  <c r="AN207" i="12"/>
  <c r="AN208" i="12"/>
  <c r="AN209" i="12"/>
  <c r="AN210" i="12"/>
  <c r="AN211" i="12"/>
  <c r="AN212" i="12"/>
  <c r="AN213" i="12"/>
  <c r="AN214" i="12"/>
  <c r="AN215" i="12"/>
  <c r="AN216" i="12"/>
  <c r="AN217" i="12"/>
  <c r="AN218" i="12"/>
  <c r="AN219" i="12"/>
  <c r="AN220" i="12"/>
  <c r="AN221" i="12"/>
  <c r="AN222" i="12"/>
  <c r="AN223" i="12"/>
  <c r="AN224" i="12"/>
  <c r="AN225" i="12"/>
  <c r="AN226" i="12"/>
  <c r="AN227" i="12"/>
  <c r="AN228" i="12"/>
  <c r="AN229" i="12"/>
  <c r="AN230" i="12"/>
  <c r="AN231" i="12"/>
  <c r="AN232" i="12"/>
  <c r="AN233" i="12"/>
  <c r="AN234" i="12"/>
  <c r="AN235" i="12"/>
  <c r="AN236" i="12"/>
  <c r="AN237" i="12"/>
  <c r="AN238" i="12"/>
  <c r="AN239" i="12"/>
  <c r="AN240" i="12"/>
  <c r="AN241" i="12"/>
  <c r="AN242" i="12"/>
  <c r="AN243" i="12"/>
  <c r="AN244" i="12"/>
  <c r="AN245" i="12"/>
  <c r="AN246" i="12"/>
  <c r="AN247" i="12"/>
  <c r="AN248" i="12"/>
  <c r="AN249" i="12"/>
  <c r="AN250" i="12"/>
  <c r="AN251" i="12"/>
  <c r="AN252" i="12"/>
  <c r="AN253" i="12"/>
  <c r="AN254" i="12"/>
  <c r="AN255" i="12"/>
  <c r="AN256" i="12"/>
  <c r="AN257" i="12"/>
  <c r="AN258" i="12"/>
  <c r="AN259" i="12"/>
  <c r="AN260" i="12"/>
  <c r="AN261" i="12"/>
  <c r="AN262" i="12"/>
  <c r="AN263" i="12"/>
  <c r="AN264" i="12"/>
  <c r="AN265" i="12"/>
  <c r="AN266" i="12"/>
  <c r="AN267" i="12"/>
  <c r="AN268" i="12"/>
  <c r="AN269" i="12"/>
  <c r="AN270" i="12"/>
  <c r="AN271" i="12"/>
  <c r="AN272" i="12"/>
  <c r="AN273" i="12"/>
  <c r="AN274" i="12"/>
  <c r="AN275" i="12"/>
  <c r="AN276" i="12"/>
  <c r="AN277" i="12"/>
  <c r="AN278" i="12"/>
  <c r="AN279" i="12"/>
  <c r="AN280" i="12"/>
  <c r="AN281" i="12"/>
  <c r="AN282" i="12"/>
  <c r="AN283" i="12"/>
  <c r="AN284" i="12"/>
  <c r="AN285" i="12"/>
  <c r="AN286" i="12"/>
  <c r="AN287" i="12"/>
  <c r="AN288" i="12"/>
  <c r="AN289" i="12"/>
  <c r="AN290" i="12"/>
  <c r="AN291" i="12"/>
  <c r="AN292" i="12"/>
  <c r="AN293" i="12"/>
  <c r="AN294" i="12"/>
  <c r="AN295" i="12"/>
  <c r="AN296" i="12"/>
  <c r="AN297" i="12"/>
  <c r="AN298" i="12"/>
  <c r="AN299" i="12"/>
  <c r="AN4" i="12"/>
  <c r="AN5" i="12"/>
  <c r="AN6" i="12"/>
  <c r="AN300" i="12"/>
  <c r="AM1" i="12"/>
  <c r="AM4" i="12"/>
  <c r="AM5" i="12"/>
  <c r="AM6" i="12"/>
  <c r="AM7" i="12"/>
  <c r="AM8" i="12"/>
  <c r="AM9" i="12"/>
  <c r="AM10" i="12"/>
  <c r="AM11" i="12"/>
  <c r="AM12" i="12"/>
  <c r="AM13" i="12"/>
  <c r="AM14" i="12"/>
  <c r="AM15" i="12"/>
  <c r="AM16" i="12"/>
  <c r="AM17" i="12"/>
  <c r="AM18" i="12"/>
  <c r="AM19" i="12"/>
  <c r="AM20" i="12"/>
  <c r="AM21" i="12"/>
  <c r="AM22" i="12"/>
  <c r="AM23" i="12"/>
  <c r="AM24" i="12"/>
  <c r="AM25" i="12"/>
  <c r="AM26" i="12"/>
  <c r="AM27" i="12"/>
  <c r="AM28" i="12"/>
  <c r="AM29" i="12"/>
  <c r="AM30" i="12"/>
  <c r="AM31" i="12"/>
  <c r="AM32" i="12"/>
  <c r="AM33" i="12"/>
  <c r="AM34" i="12"/>
  <c r="AM35" i="12"/>
  <c r="AM36" i="12"/>
  <c r="AM37" i="12"/>
  <c r="AM38" i="12"/>
  <c r="AM39" i="12"/>
  <c r="AM40" i="12"/>
  <c r="AM41" i="12"/>
  <c r="AM42" i="12"/>
  <c r="AM43" i="12"/>
  <c r="AM44" i="12"/>
  <c r="AM45" i="12"/>
  <c r="AM46" i="12"/>
  <c r="AM47" i="12"/>
  <c r="AM48" i="12"/>
  <c r="AM49" i="12"/>
  <c r="AM50" i="12"/>
  <c r="AM51" i="12"/>
  <c r="AM52" i="12"/>
  <c r="AM53" i="12"/>
  <c r="AM54" i="12"/>
  <c r="AM55" i="12"/>
  <c r="AM56" i="12"/>
  <c r="AM57" i="12"/>
  <c r="AM58" i="12"/>
  <c r="AM59" i="12"/>
  <c r="AM60" i="12"/>
  <c r="AM61" i="12"/>
  <c r="AM62" i="12"/>
  <c r="AM63" i="12"/>
  <c r="AM64" i="12"/>
  <c r="AM65" i="12"/>
  <c r="AM66" i="12"/>
  <c r="AM67" i="12"/>
  <c r="AM68" i="12"/>
  <c r="AM69" i="12"/>
  <c r="AM70" i="12"/>
  <c r="AM71" i="12"/>
  <c r="AM72" i="12"/>
  <c r="AM73" i="12"/>
  <c r="AM74" i="12"/>
  <c r="AM75" i="12"/>
  <c r="AM76" i="12"/>
  <c r="AM77" i="12"/>
  <c r="AM78" i="12"/>
  <c r="AM79" i="12"/>
  <c r="AM80" i="12"/>
  <c r="AM81" i="12"/>
  <c r="AM82" i="12"/>
  <c r="AM83" i="12"/>
  <c r="AM84" i="12"/>
  <c r="AM85" i="12"/>
  <c r="AM86" i="12"/>
  <c r="AM87" i="12"/>
  <c r="AM88" i="12"/>
  <c r="AM89" i="12"/>
  <c r="AM90" i="12"/>
  <c r="AM91" i="12"/>
  <c r="AM92" i="12"/>
  <c r="AM93" i="12"/>
  <c r="AM94" i="12"/>
  <c r="AM95" i="12"/>
  <c r="AM96" i="12"/>
  <c r="AM97" i="12"/>
  <c r="AM98" i="12"/>
  <c r="AM99" i="12"/>
  <c r="AM100" i="12"/>
  <c r="AM101" i="12"/>
  <c r="AM102" i="12"/>
  <c r="AM103" i="12"/>
  <c r="AM104" i="12"/>
  <c r="AM105" i="12"/>
  <c r="AM106" i="12"/>
  <c r="AM107" i="12"/>
  <c r="AM108" i="12"/>
  <c r="AM109" i="12"/>
  <c r="AM110" i="12"/>
  <c r="AM111" i="12"/>
  <c r="AM112" i="12"/>
  <c r="AM113" i="12"/>
  <c r="AM114" i="12"/>
  <c r="AM115" i="12"/>
  <c r="AM116" i="12"/>
  <c r="AM117" i="12"/>
  <c r="AM118" i="12"/>
  <c r="AM119" i="12"/>
  <c r="AM120" i="12"/>
  <c r="AM121" i="12"/>
  <c r="AM122" i="12"/>
  <c r="AM123" i="12"/>
  <c r="AM124" i="12"/>
  <c r="AM125" i="12"/>
  <c r="AM126" i="12"/>
  <c r="AM127" i="12"/>
  <c r="AM128" i="12"/>
  <c r="AM129" i="12"/>
  <c r="AM130" i="12"/>
  <c r="AM131" i="12"/>
  <c r="AM132" i="12"/>
  <c r="AM133" i="12"/>
  <c r="AM134" i="12"/>
  <c r="AM135" i="12"/>
  <c r="AM136" i="12"/>
  <c r="AM137" i="12"/>
  <c r="AM138" i="12"/>
  <c r="AM139" i="12"/>
  <c r="AM140" i="12"/>
  <c r="AM141" i="12"/>
  <c r="AM142" i="12"/>
  <c r="AM143" i="12"/>
  <c r="AM144" i="12"/>
  <c r="AM145" i="12"/>
  <c r="AM146" i="12"/>
  <c r="AM147" i="12"/>
  <c r="AM148" i="12"/>
  <c r="AM149" i="12"/>
  <c r="AM150" i="12"/>
  <c r="AM151" i="12"/>
  <c r="AM152" i="12"/>
  <c r="AM153" i="12"/>
  <c r="AM154" i="12"/>
  <c r="AM155" i="12"/>
  <c r="AM156" i="12"/>
  <c r="AM157" i="12"/>
  <c r="AM158" i="12"/>
  <c r="AM159" i="12"/>
  <c r="AM160" i="12"/>
  <c r="AM161" i="12"/>
  <c r="AM162" i="12"/>
  <c r="AM163" i="12"/>
  <c r="AM164" i="12"/>
  <c r="AM165" i="12"/>
  <c r="AM166" i="12"/>
  <c r="AM167" i="12"/>
  <c r="AM168" i="12"/>
  <c r="AM169" i="12"/>
  <c r="AM170" i="12"/>
  <c r="AM171" i="12"/>
  <c r="AM172" i="12"/>
  <c r="AM173" i="12"/>
  <c r="AM174" i="12"/>
  <c r="AM175" i="12"/>
  <c r="AM176" i="12"/>
  <c r="AM177" i="12"/>
  <c r="AM178" i="12"/>
  <c r="AM179" i="12"/>
  <c r="AM180" i="12"/>
  <c r="AM181" i="12"/>
  <c r="AM182" i="12"/>
  <c r="AM183" i="12"/>
  <c r="AM184" i="12"/>
  <c r="AM185" i="12"/>
  <c r="AM186" i="12"/>
  <c r="AM187" i="12"/>
  <c r="AM188" i="12"/>
  <c r="AM189" i="12"/>
  <c r="AM190" i="12"/>
  <c r="AM191" i="12"/>
  <c r="AM192" i="12"/>
  <c r="AM193" i="12"/>
  <c r="AM194" i="12"/>
  <c r="AM195" i="12"/>
  <c r="AM196" i="12"/>
  <c r="AM197" i="12"/>
  <c r="AM198" i="12"/>
  <c r="AM199" i="12"/>
  <c r="AM200" i="12"/>
  <c r="AM201" i="12"/>
  <c r="AM202" i="12"/>
  <c r="AM203" i="12"/>
  <c r="AM204" i="12"/>
  <c r="AM205" i="12"/>
  <c r="AM206" i="12"/>
  <c r="AM207" i="12"/>
  <c r="AM208" i="12"/>
  <c r="AM209" i="12"/>
  <c r="AM210" i="12"/>
  <c r="AM211" i="12"/>
  <c r="AM212" i="12"/>
  <c r="AM213" i="12"/>
  <c r="AM214" i="12"/>
  <c r="AM215" i="12"/>
  <c r="AM216" i="12"/>
  <c r="AM217" i="12"/>
  <c r="AM218" i="12"/>
  <c r="AM219" i="12"/>
  <c r="AM220" i="12"/>
  <c r="AM221" i="12"/>
  <c r="AM222" i="12"/>
  <c r="AM223" i="12"/>
  <c r="AM224" i="12"/>
  <c r="AM225" i="12"/>
  <c r="AM226" i="12"/>
  <c r="AM227" i="12"/>
  <c r="AM228" i="12"/>
  <c r="AM229" i="12"/>
  <c r="AM230" i="12"/>
  <c r="AM231" i="12"/>
  <c r="AM232" i="12"/>
  <c r="AM233" i="12"/>
  <c r="AM234" i="12"/>
  <c r="AM235" i="12"/>
  <c r="AM236" i="12"/>
  <c r="AM237" i="12"/>
  <c r="AM238" i="12"/>
  <c r="AM239" i="12"/>
  <c r="AM240" i="12"/>
  <c r="AM241" i="12"/>
  <c r="AM242" i="12"/>
  <c r="AM243" i="12"/>
  <c r="AM244" i="12"/>
  <c r="AM245" i="12"/>
  <c r="AM246" i="12"/>
  <c r="AM247" i="12"/>
  <c r="AM248" i="12"/>
  <c r="AM249" i="12"/>
  <c r="AM250" i="12"/>
  <c r="AM251" i="12"/>
  <c r="AM252" i="12"/>
  <c r="AM253" i="12"/>
  <c r="AM254" i="12"/>
  <c r="AM255" i="12"/>
  <c r="AM256" i="12"/>
  <c r="AM257" i="12"/>
  <c r="AM258" i="12"/>
  <c r="AM259" i="12"/>
  <c r="AM260" i="12"/>
  <c r="AM261" i="12"/>
  <c r="AM262" i="12"/>
  <c r="AM263" i="12"/>
  <c r="AM264" i="12"/>
  <c r="AM265" i="12"/>
  <c r="AM266" i="12"/>
  <c r="AM267" i="12"/>
  <c r="AM268" i="12"/>
  <c r="AM269" i="12"/>
  <c r="AM270" i="12"/>
  <c r="AM271" i="12"/>
  <c r="AM272" i="12"/>
  <c r="AM273" i="12"/>
  <c r="AM274" i="12"/>
  <c r="AM275" i="12"/>
  <c r="AM276" i="12"/>
  <c r="AM277" i="12"/>
  <c r="AM278" i="12"/>
  <c r="AM279" i="12"/>
  <c r="AM280" i="12"/>
  <c r="AM281" i="12"/>
  <c r="AM282" i="12"/>
  <c r="AM283" i="12"/>
  <c r="AM284" i="12"/>
  <c r="AM285" i="12"/>
  <c r="AM286" i="12"/>
  <c r="AM287" i="12"/>
  <c r="AM288" i="12"/>
  <c r="AM289" i="12"/>
  <c r="AM290" i="12"/>
  <c r="AM291" i="12"/>
  <c r="AM292" i="12"/>
  <c r="AM293" i="12"/>
  <c r="AM294" i="12"/>
  <c r="AM295" i="12"/>
  <c r="AM296" i="12"/>
  <c r="AM297" i="12"/>
  <c r="AM298" i="12"/>
  <c r="AM299" i="12"/>
  <c r="AM300" i="12"/>
  <c r="AM3" i="12"/>
  <c r="AN3" i="12" s="1"/>
  <c r="AK4" i="12"/>
  <c r="AK5" i="12"/>
  <c r="AK6" i="12"/>
  <c r="AK7" i="12"/>
  <c r="AK8" i="12"/>
  <c r="AK9" i="12"/>
  <c r="AK10" i="12"/>
  <c r="AK11" i="12"/>
  <c r="AK12"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K38" i="12"/>
  <c r="AK39" i="12"/>
  <c r="AK40" i="12"/>
  <c r="AK41" i="12"/>
  <c r="AK42" i="12"/>
  <c r="AK43" i="12"/>
  <c r="AK44" i="12"/>
  <c r="AK45" i="12"/>
  <c r="AK46" i="12"/>
  <c r="AK47" i="12"/>
  <c r="AK48" i="12"/>
  <c r="AK49" i="12"/>
  <c r="AK50" i="12"/>
  <c r="AK51" i="12"/>
  <c r="AK52" i="12"/>
  <c r="AK53" i="12"/>
  <c r="AK54" i="12"/>
  <c r="AK55" i="12"/>
  <c r="AK56" i="12"/>
  <c r="AK57" i="12"/>
  <c r="AK58" i="12"/>
  <c r="AK59" i="12"/>
  <c r="AK60" i="12"/>
  <c r="AK61" i="12"/>
  <c r="AK62" i="12"/>
  <c r="AK63" i="12"/>
  <c r="AK64" i="12"/>
  <c r="AK65" i="12"/>
  <c r="AK66" i="12"/>
  <c r="AK67" i="12"/>
  <c r="AK68" i="12"/>
  <c r="AK69" i="12"/>
  <c r="AK70" i="12"/>
  <c r="AK71" i="12"/>
  <c r="AK72" i="12"/>
  <c r="AK73" i="12"/>
  <c r="AK74" i="12"/>
  <c r="AK75" i="12"/>
  <c r="AK76" i="12"/>
  <c r="AK77" i="12"/>
  <c r="AK78" i="12"/>
  <c r="AK79" i="12"/>
  <c r="AK80" i="12"/>
  <c r="AK81" i="12"/>
  <c r="AK82" i="12"/>
  <c r="AK83" i="12"/>
  <c r="AK84" i="12"/>
  <c r="AK85" i="12"/>
  <c r="AK86" i="12"/>
  <c r="AK87" i="12"/>
  <c r="AK88" i="12"/>
  <c r="AK89" i="12"/>
  <c r="AK90" i="12"/>
  <c r="AK91" i="12"/>
  <c r="AK92" i="12"/>
  <c r="AK93" i="12"/>
  <c r="AK94" i="12"/>
  <c r="AK95" i="12"/>
  <c r="AK96" i="12"/>
  <c r="AK97" i="12"/>
  <c r="AK98" i="12"/>
  <c r="AK99" i="12"/>
  <c r="AK100" i="12"/>
  <c r="AK101" i="12"/>
  <c r="AK102" i="12"/>
  <c r="AK103" i="12"/>
  <c r="AK104" i="12"/>
  <c r="AK105" i="12"/>
  <c r="AK106" i="12"/>
  <c r="AK107" i="12"/>
  <c r="AK108" i="12"/>
  <c r="AK109" i="12"/>
  <c r="AK110" i="12"/>
  <c r="AK111" i="12"/>
  <c r="AK112" i="12"/>
  <c r="AK113" i="12"/>
  <c r="AK114" i="12"/>
  <c r="AK115" i="12"/>
  <c r="AK116" i="12"/>
  <c r="AK117" i="12"/>
  <c r="AK118" i="12"/>
  <c r="AK119" i="12"/>
  <c r="AK120" i="12"/>
  <c r="AK121" i="12"/>
  <c r="AK122" i="12"/>
  <c r="AK123" i="12"/>
  <c r="AK124" i="12"/>
  <c r="AK125" i="12"/>
  <c r="AK126" i="12"/>
  <c r="AK127" i="12"/>
  <c r="AK128" i="12"/>
  <c r="AK129" i="12"/>
  <c r="AK130" i="12"/>
  <c r="AK131" i="12"/>
  <c r="AK132" i="12"/>
  <c r="AK133" i="12"/>
  <c r="AK134" i="12"/>
  <c r="AK135" i="12"/>
  <c r="AK136" i="12"/>
  <c r="AK137" i="12"/>
  <c r="AK138" i="12"/>
  <c r="AK139" i="12"/>
  <c r="AK140" i="12"/>
  <c r="AK141" i="12"/>
  <c r="AK142" i="12"/>
  <c r="AK143" i="12"/>
  <c r="AK144" i="12"/>
  <c r="AK145" i="12"/>
  <c r="AK146" i="12"/>
  <c r="AK147" i="12"/>
  <c r="AK148" i="12"/>
  <c r="AK149" i="12"/>
  <c r="AK150" i="12"/>
  <c r="AK151" i="12"/>
  <c r="AK152" i="12"/>
  <c r="AK153" i="12"/>
  <c r="AK154" i="12"/>
  <c r="AK155" i="12"/>
  <c r="AK156" i="12"/>
  <c r="AK157" i="12"/>
  <c r="AK158" i="12"/>
  <c r="AK159" i="12"/>
  <c r="AK160" i="12"/>
  <c r="AK161" i="12"/>
  <c r="AK162" i="12"/>
  <c r="AK163" i="12"/>
  <c r="AK164" i="12"/>
  <c r="AK165" i="12"/>
  <c r="AK166" i="12"/>
  <c r="AK167" i="12"/>
  <c r="AK168" i="12"/>
  <c r="AK169" i="12"/>
  <c r="AK170" i="12"/>
  <c r="AK171" i="12"/>
  <c r="AK172" i="12"/>
  <c r="AK173" i="12"/>
  <c r="AK174" i="12"/>
  <c r="AK175" i="12"/>
  <c r="AK176" i="12"/>
  <c r="AK177" i="12"/>
  <c r="AK178" i="12"/>
  <c r="AK179" i="12"/>
  <c r="AK180" i="12"/>
  <c r="AK181" i="12"/>
  <c r="AK182" i="12"/>
  <c r="AK183" i="12"/>
  <c r="AK184" i="12"/>
  <c r="AK185" i="12"/>
  <c r="AK186" i="12"/>
  <c r="AK187" i="12"/>
  <c r="AK188" i="12"/>
  <c r="AK189" i="12"/>
  <c r="AK190" i="12"/>
  <c r="AK191" i="12"/>
  <c r="AK192" i="12"/>
  <c r="AK193" i="12"/>
  <c r="AK194" i="12"/>
  <c r="AK195" i="12"/>
  <c r="AK196" i="12"/>
  <c r="AK197" i="12"/>
  <c r="AK198" i="12"/>
  <c r="AK199" i="12"/>
  <c r="AK200" i="12"/>
  <c r="AK201" i="12"/>
  <c r="AK202" i="12"/>
  <c r="AK203" i="12"/>
  <c r="AK204" i="12"/>
  <c r="AK205" i="12"/>
  <c r="AK206" i="12"/>
  <c r="AK207" i="12"/>
  <c r="AK208" i="12"/>
  <c r="AK209" i="12"/>
  <c r="AK210" i="12"/>
  <c r="AK211" i="12"/>
  <c r="AK212" i="12"/>
  <c r="AK213" i="12"/>
  <c r="AK214" i="12"/>
  <c r="AK215" i="12"/>
  <c r="AK216" i="12"/>
  <c r="AK217" i="12"/>
  <c r="AK218" i="12"/>
  <c r="AK219" i="12"/>
  <c r="AK220" i="12"/>
  <c r="AK221" i="12"/>
  <c r="AK222" i="12"/>
  <c r="AK223" i="12"/>
  <c r="AK224" i="12"/>
  <c r="AK225" i="12"/>
  <c r="AK226" i="12"/>
  <c r="AK227" i="12"/>
  <c r="AK228" i="12"/>
  <c r="AK229" i="12"/>
  <c r="AK230" i="12"/>
  <c r="AK231" i="12"/>
  <c r="AK232" i="12"/>
  <c r="AK233" i="12"/>
  <c r="AK234" i="12"/>
  <c r="AK235" i="12"/>
  <c r="AK236" i="12"/>
  <c r="AK237" i="12"/>
  <c r="AK238" i="12"/>
  <c r="AK239" i="12"/>
  <c r="AK240" i="12"/>
  <c r="AK241" i="12"/>
  <c r="AK242" i="12"/>
  <c r="AK243" i="12"/>
  <c r="AK244" i="12"/>
  <c r="AK245" i="12"/>
  <c r="AK246" i="12"/>
  <c r="AK247" i="12"/>
  <c r="AK248" i="12"/>
  <c r="AK249" i="12"/>
  <c r="AK250" i="12"/>
  <c r="AK251" i="12"/>
  <c r="AK252" i="12"/>
  <c r="AK253" i="12"/>
  <c r="AK254" i="12"/>
  <c r="AK255" i="12"/>
  <c r="AK256" i="12"/>
  <c r="AK257" i="12"/>
  <c r="AK258" i="12"/>
  <c r="AK259" i="12"/>
  <c r="AK260" i="12"/>
  <c r="AK261" i="12"/>
  <c r="AK262" i="12"/>
  <c r="AK263" i="12"/>
  <c r="AK264" i="12"/>
  <c r="AK265" i="12"/>
  <c r="AK266" i="12"/>
  <c r="AK267" i="12"/>
  <c r="AK268" i="12"/>
  <c r="AK269" i="12"/>
  <c r="AK270" i="12"/>
  <c r="AK271" i="12"/>
  <c r="AK272" i="12"/>
  <c r="AK273" i="12"/>
  <c r="AK274" i="12"/>
  <c r="AK275" i="12"/>
  <c r="AK276" i="12"/>
  <c r="AK277" i="12"/>
  <c r="AK278" i="12"/>
  <c r="AK279" i="12"/>
  <c r="AK280" i="12"/>
  <c r="AK281" i="12"/>
  <c r="AK282" i="12"/>
  <c r="AK283" i="12"/>
  <c r="AK284" i="12"/>
  <c r="AK285" i="12"/>
  <c r="AK286" i="12"/>
  <c r="AK287" i="12"/>
  <c r="AK288" i="12"/>
  <c r="AK289" i="12"/>
  <c r="AK290" i="12"/>
  <c r="AK291" i="12"/>
  <c r="AK292" i="12"/>
  <c r="AK293" i="12"/>
  <c r="AK294" i="12"/>
  <c r="AK295" i="12"/>
  <c r="AK296" i="12"/>
  <c r="AK297" i="12"/>
  <c r="AK298" i="12"/>
  <c r="AK299" i="12"/>
  <c r="AK300" i="12"/>
  <c r="AK3" i="12"/>
  <c r="AJ4" i="12"/>
  <c r="AJ5" i="12"/>
  <c r="AJ6" i="12"/>
  <c r="AJ7" i="12"/>
  <c r="AJ8" i="12"/>
  <c r="AJ9" i="12"/>
  <c r="AJ10" i="12"/>
  <c r="AJ11"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J38" i="12"/>
  <c r="AJ39" i="12"/>
  <c r="AJ40" i="12"/>
  <c r="AJ41" i="12"/>
  <c r="AJ42" i="12"/>
  <c r="AJ43" i="12"/>
  <c r="AJ44" i="12"/>
  <c r="AJ45" i="12"/>
  <c r="AJ46" i="12"/>
  <c r="AJ47" i="12"/>
  <c r="AJ48" i="12"/>
  <c r="AJ49" i="12"/>
  <c r="AJ50" i="12"/>
  <c r="AJ51" i="12"/>
  <c r="AJ52" i="12"/>
  <c r="AJ53" i="12"/>
  <c r="AJ54" i="12"/>
  <c r="AJ55" i="12"/>
  <c r="AJ56" i="12"/>
  <c r="AJ57" i="12"/>
  <c r="AJ58" i="12"/>
  <c r="AJ59" i="12"/>
  <c r="AJ60" i="12"/>
  <c r="AJ61" i="12"/>
  <c r="AJ62" i="12"/>
  <c r="AJ63" i="12"/>
  <c r="AJ64" i="12"/>
  <c r="AJ65" i="12"/>
  <c r="AJ66" i="12"/>
  <c r="AJ67" i="12"/>
  <c r="AJ68" i="12"/>
  <c r="AJ69" i="12"/>
  <c r="AJ70" i="12"/>
  <c r="AJ71" i="12"/>
  <c r="AJ72" i="12"/>
  <c r="AJ73" i="12"/>
  <c r="AJ74" i="12"/>
  <c r="AJ75" i="12"/>
  <c r="AJ76" i="12"/>
  <c r="AJ77" i="12"/>
  <c r="AJ78" i="12"/>
  <c r="AJ79" i="12"/>
  <c r="AJ80" i="12"/>
  <c r="AJ81" i="12"/>
  <c r="AJ82" i="12"/>
  <c r="AJ83" i="12"/>
  <c r="AJ84" i="12"/>
  <c r="AJ85" i="12"/>
  <c r="AJ86" i="12"/>
  <c r="AJ87" i="12"/>
  <c r="AJ88" i="12"/>
  <c r="AJ89" i="12"/>
  <c r="AJ90" i="12"/>
  <c r="AJ91" i="12"/>
  <c r="AJ92" i="12"/>
  <c r="AJ93" i="12"/>
  <c r="AJ94" i="12"/>
  <c r="AJ95" i="12"/>
  <c r="AJ96" i="12"/>
  <c r="AJ97" i="12"/>
  <c r="AJ98" i="12"/>
  <c r="AJ99" i="12"/>
  <c r="AJ100" i="12"/>
  <c r="AJ101" i="12"/>
  <c r="AJ102" i="12"/>
  <c r="AJ103" i="12"/>
  <c r="AJ104" i="12"/>
  <c r="AJ105" i="12"/>
  <c r="AJ106" i="12"/>
  <c r="AJ107" i="12"/>
  <c r="AJ108" i="12"/>
  <c r="AJ109" i="12"/>
  <c r="AJ110" i="12"/>
  <c r="AJ111" i="12"/>
  <c r="AJ112" i="12"/>
  <c r="AJ113" i="12"/>
  <c r="AJ114" i="12"/>
  <c r="AJ115" i="12"/>
  <c r="AJ116" i="12"/>
  <c r="AJ117" i="12"/>
  <c r="AJ118" i="12"/>
  <c r="AJ119" i="12"/>
  <c r="AJ120" i="12"/>
  <c r="AJ121" i="12"/>
  <c r="AJ122" i="12"/>
  <c r="AJ123" i="12"/>
  <c r="AJ124" i="12"/>
  <c r="AJ125" i="12"/>
  <c r="AJ126" i="12"/>
  <c r="AJ127" i="12"/>
  <c r="AJ128" i="12"/>
  <c r="AJ129" i="12"/>
  <c r="AJ130" i="12"/>
  <c r="AJ131" i="12"/>
  <c r="AJ132" i="12"/>
  <c r="AJ133" i="12"/>
  <c r="AJ134" i="12"/>
  <c r="AJ135" i="12"/>
  <c r="AJ136" i="12"/>
  <c r="AJ137" i="12"/>
  <c r="AJ138" i="12"/>
  <c r="AJ139" i="12"/>
  <c r="AJ140" i="12"/>
  <c r="AJ141" i="12"/>
  <c r="AJ142" i="12"/>
  <c r="AJ143" i="12"/>
  <c r="AJ144" i="12"/>
  <c r="AJ145" i="12"/>
  <c r="AJ146" i="12"/>
  <c r="AJ147" i="12"/>
  <c r="AJ148" i="12"/>
  <c r="AJ149" i="12"/>
  <c r="AJ150" i="12"/>
  <c r="AJ151" i="12"/>
  <c r="AJ152" i="12"/>
  <c r="AJ153" i="12"/>
  <c r="AJ154" i="12"/>
  <c r="AJ155" i="12"/>
  <c r="AJ156" i="12"/>
  <c r="AJ157" i="12"/>
  <c r="AJ158" i="12"/>
  <c r="AJ159" i="12"/>
  <c r="AJ160" i="12"/>
  <c r="AJ161" i="12"/>
  <c r="AJ162" i="12"/>
  <c r="AJ163" i="12"/>
  <c r="AJ164" i="12"/>
  <c r="AJ165" i="12"/>
  <c r="AJ166" i="12"/>
  <c r="AJ167" i="12"/>
  <c r="AJ168" i="12"/>
  <c r="AJ169" i="12"/>
  <c r="AJ170" i="12"/>
  <c r="AJ171" i="12"/>
  <c r="AJ172" i="12"/>
  <c r="AJ173" i="12"/>
  <c r="AJ174" i="12"/>
  <c r="AJ175" i="12"/>
  <c r="AJ176" i="12"/>
  <c r="AJ177" i="12"/>
  <c r="AJ178" i="12"/>
  <c r="AJ179" i="12"/>
  <c r="AJ180" i="12"/>
  <c r="AJ181" i="12"/>
  <c r="AJ182" i="12"/>
  <c r="AJ183" i="12"/>
  <c r="AJ184" i="12"/>
  <c r="AJ185" i="12"/>
  <c r="AJ186" i="12"/>
  <c r="AJ187" i="12"/>
  <c r="AJ188" i="12"/>
  <c r="AJ189" i="12"/>
  <c r="AJ190" i="12"/>
  <c r="AJ191" i="12"/>
  <c r="AJ192" i="12"/>
  <c r="AJ193" i="12"/>
  <c r="AJ194" i="12"/>
  <c r="AJ195" i="12"/>
  <c r="AJ196" i="12"/>
  <c r="AJ197" i="12"/>
  <c r="AJ198" i="12"/>
  <c r="AJ199" i="12"/>
  <c r="AJ200" i="12"/>
  <c r="AJ201" i="12"/>
  <c r="AJ202" i="12"/>
  <c r="AJ203" i="12"/>
  <c r="AJ204" i="12"/>
  <c r="AJ205" i="12"/>
  <c r="AJ206" i="12"/>
  <c r="AJ207" i="12"/>
  <c r="AJ208" i="12"/>
  <c r="AJ209" i="12"/>
  <c r="AJ210" i="12"/>
  <c r="AJ211" i="12"/>
  <c r="AJ212" i="12"/>
  <c r="AJ213" i="12"/>
  <c r="AJ214" i="12"/>
  <c r="AJ215" i="12"/>
  <c r="AJ216" i="12"/>
  <c r="AJ217" i="12"/>
  <c r="AJ218" i="12"/>
  <c r="AJ219" i="12"/>
  <c r="AJ220" i="12"/>
  <c r="AJ221" i="12"/>
  <c r="AJ222" i="12"/>
  <c r="AJ223" i="12"/>
  <c r="AJ224" i="12"/>
  <c r="AJ225" i="12"/>
  <c r="AJ226" i="12"/>
  <c r="AJ227" i="12"/>
  <c r="AJ228" i="12"/>
  <c r="AJ229" i="12"/>
  <c r="AJ230" i="12"/>
  <c r="AJ231" i="12"/>
  <c r="AJ232" i="12"/>
  <c r="AJ233" i="12"/>
  <c r="AJ234" i="12"/>
  <c r="AJ235" i="12"/>
  <c r="AJ236" i="12"/>
  <c r="AJ237" i="12"/>
  <c r="AJ238" i="12"/>
  <c r="AJ239" i="12"/>
  <c r="AJ240" i="12"/>
  <c r="AJ241" i="12"/>
  <c r="AJ242" i="12"/>
  <c r="AJ243" i="12"/>
  <c r="AJ244" i="12"/>
  <c r="AJ245" i="12"/>
  <c r="AJ246" i="12"/>
  <c r="AJ247" i="12"/>
  <c r="AJ248" i="12"/>
  <c r="AJ249" i="12"/>
  <c r="AJ250" i="12"/>
  <c r="AJ251" i="12"/>
  <c r="AJ252" i="12"/>
  <c r="AJ253" i="12"/>
  <c r="AJ254" i="12"/>
  <c r="AJ255" i="12"/>
  <c r="AJ256" i="12"/>
  <c r="AJ257" i="12"/>
  <c r="AJ258" i="12"/>
  <c r="AJ259" i="12"/>
  <c r="AJ260" i="12"/>
  <c r="AJ261" i="12"/>
  <c r="AJ262" i="12"/>
  <c r="AJ263" i="12"/>
  <c r="AJ264" i="12"/>
  <c r="AJ265" i="12"/>
  <c r="AJ266" i="12"/>
  <c r="AJ267" i="12"/>
  <c r="AJ268" i="12"/>
  <c r="AJ269" i="12"/>
  <c r="AJ270" i="12"/>
  <c r="AJ271" i="12"/>
  <c r="AJ272" i="12"/>
  <c r="AJ273" i="12"/>
  <c r="AJ274" i="12"/>
  <c r="AJ275" i="12"/>
  <c r="AJ276" i="12"/>
  <c r="AJ277" i="12"/>
  <c r="AJ278" i="12"/>
  <c r="AJ279" i="12"/>
  <c r="AJ280" i="12"/>
  <c r="AJ281" i="12"/>
  <c r="AJ282" i="12"/>
  <c r="AJ283" i="12"/>
  <c r="AJ284" i="12"/>
  <c r="AJ285" i="12"/>
  <c r="AJ286" i="12"/>
  <c r="AJ287" i="12"/>
  <c r="AJ288" i="12"/>
  <c r="AJ289" i="12"/>
  <c r="AJ290" i="12"/>
  <c r="AJ291" i="12"/>
  <c r="AJ292" i="12"/>
  <c r="AJ293" i="12"/>
  <c r="AJ294" i="12"/>
  <c r="AJ295" i="12"/>
  <c r="AJ296" i="12"/>
  <c r="AJ297" i="12"/>
  <c r="AJ298" i="12"/>
  <c r="AJ299" i="12"/>
  <c r="AJ300" i="12"/>
  <c r="AJ3" i="12"/>
  <c r="AI4" i="12"/>
  <c r="AI5" i="12"/>
  <c r="AI6" i="12"/>
  <c r="AI7" i="12"/>
  <c r="AI8" i="12"/>
  <c r="AI9" i="12"/>
  <c r="AI10" i="12"/>
  <c r="AI11" i="12"/>
  <c r="AI12" i="12"/>
  <c r="AI13" i="12"/>
  <c r="AI14" i="12"/>
  <c r="AI15" i="12"/>
  <c r="AI16" i="12"/>
  <c r="AI17" i="12"/>
  <c r="AI18" i="12"/>
  <c r="AI19" i="12"/>
  <c r="AI20" i="12"/>
  <c r="AI21" i="12"/>
  <c r="AI22" i="12"/>
  <c r="AI23" i="12"/>
  <c r="AI24" i="12"/>
  <c r="AI25" i="12"/>
  <c r="AI26" i="12"/>
  <c r="AI27" i="12"/>
  <c r="AI28" i="12"/>
  <c r="AI29" i="12"/>
  <c r="AI30" i="12"/>
  <c r="AI31" i="12"/>
  <c r="AI32" i="12"/>
  <c r="AI33" i="12"/>
  <c r="AI34" i="12"/>
  <c r="AI35" i="12"/>
  <c r="AI36" i="12"/>
  <c r="AI37" i="12"/>
  <c r="AI38" i="12"/>
  <c r="AI39" i="12"/>
  <c r="AI40" i="12"/>
  <c r="AI41" i="12"/>
  <c r="AI42" i="12"/>
  <c r="AI43" i="12"/>
  <c r="AI44" i="12"/>
  <c r="AI45" i="12"/>
  <c r="AI46" i="12"/>
  <c r="AI47" i="12"/>
  <c r="AI48" i="12"/>
  <c r="AI49" i="12"/>
  <c r="AI50" i="12"/>
  <c r="AI51" i="12"/>
  <c r="AI52" i="12"/>
  <c r="AI53" i="12"/>
  <c r="AI54" i="12"/>
  <c r="AI55" i="12"/>
  <c r="AI56" i="12"/>
  <c r="AI57" i="12"/>
  <c r="AI58" i="12"/>
  <c r="AI59" i="12"/>
  <c r="AI60" i="12"/>
  <c r="AI61" i="12"/>
  <c r="AI62" i="12"/>
  <c r="AI63" i="12"/>
  <c r="AI64" i="12"/>
  <c r="AI65" i="12"/>
  <c r="AI66" i="12"/>
  <c r="AI67" i="12"/>
  <c r="AI68" i="12"/>
  <c r="AI69" i="12"/>
  <c r="AI70" i="12"/>
  <c r="AI71" i="12"/>
  <c r="AI72" i="12"/>
  <c r="AI73" i="12"/>
  <c r="AI74" i="12"/>
  <c r="AI75" i="12"/>
  <c r="AI76" i="12"/>
  <c r="AI77" i="12"/>
  <c r="AI78" i="12"/>
  <c r="AI79" i="12"/>
  <c r="AI80" i="12"/>
  <c r="AI81" i="12"/>
  <c r="AI82" i="12"/>
  <c r="AI83" i="12"/>
  <c r="AI84" i="12"/>
  <c r="AI85" i="12"/>
  <c r="AI86" i="12"/>
  <c r="AI87" i="12"/>
  <c r="AI88" i="12"/>
  <c r="AI89" i="12"/>
  <c r="AI90" i="12"/>
  <c r="AI91" i="12"/>
  <c r="AI92" i="12"/>
  <c r="AI93" i="12"/>
  <c r="AI94" i="12"/>
  <c r="AI95" i="12"/>
  <c r="AI96" i="12"/>
  <c r="AI97" i="12"/>
  <c r="AI98" i="12"/>
  <c r="AI99" i="12"/>
  <c r="AI100" i="12"/>
  <c r="AI101" i="12"/>
  <c r="AI102" i="12"/>
  <c r="AI103" i="12"/>
  <c r="AI104" i="12"/>
  <c r="AI105" i="12"/>
  <c r="AI106" i="12"/>
  <c r="AI107" i="12"/>
  <c r="AI108" i="12"/>
  <c r="AI109" i="12"/>
  <c r="AI110" i="12"/>
  <c r="AI111" i="12"/>
  <c r="AI112" i="12"/>
  <c r="AI113" i="12"/>
  <c r="AI114" i="12"/>
  <c r="AI115" i="12"/>
  <c r="AI116" i="12"/>
  <c r="AI117" i="12"/>
  <c r="AI118" i="12"/>
  <c r="AI119" i="12"/>
  <c r="AI120" i="12"/>
  <c r="AI121" i="12"/>
  <c r="AI122" i="12"/>
  <c r="AI123" i="12"/>
  <c r="AI124" i="12"/>
  <c r="AI125" i="12"/>
  <c r="AI126" i="12"/>
  <c r="AI127" i="12"/>
  <c r="AI128" i="12"/>
  <c r="AI129" i="12"/>
  <c r="AI130" i="12"/>
  <c r="AI131" i="12"/>
  <c r="AI132" i="12"/>
  <c r="AI133" i="12"/>
  <c r="AI134" i="12"/>
  <c r="AI135" i="12"/>
  <c r="AI136" i="12"/>
  <c r="AI137" i="12"/>
  <c r="AI138" i="12"/>
  <c r="AI139" i="12"/>
  <c r="AI140" i="12"/>
  <c r="AI141" i="12"/>
  <c r="AI142" i="12"/>
  <c r="AI143" i="12"/>
  <c r="AI144" i="12"/>
  <c r="AI145" i="12"/>
  <c r="AI146" i="12"/>
  <c r="AI147" i="12"/>
  <c r="AI148" i="12"/>
  <c r="AI149" i="12"/>
  <c r="AI150" i="12"/>
  <c r="AI151" i="12"/>
  <c r="AI152" i="12"/>
  <c r="AI153" i="12"/>
  <c r="AI154" i="12"/>
  <c r="AI155" i="12"/>
  <c r="AI156" i="12"/>
  <c r="AI157" i="12"/>
  <c r="AI158" i="12"/>
  <c r="AI159" i="12"/>
  <c r="AI160" i="12"/>
  <c r="AI161" i="12"/>
  <c r="AI162" i="12"/>
  <c r="AI163" i="12"/>
  <c r="AI164" i="12"/>
  <c r="AI165" i="12"/>
  <c r="AI166" i="12"/>
  <c r="AI167" i="12"/>
  <c r="AI168" i="12"/>
  <c r="AI169" i="12"/>
  <c r="AI170" i="12"/>
  <c r="AI171" i="12"/>
  <c r="AI172" i="12"/>
  <c r="AI173" i="12"/>
  <c r="AI174" i="12"/>
  <c r="AI175" i="12"/>
  <c r="AI176" i="12"/>
  <c r="AI177" i="12"/>
  <c r="AI178" i="12"/>
  <c r="AI179" i="12"/>
  <c r="AI180" i="12"/>
  <c r="AI181" i="12"/>
  <c r="AI182" i="12"/>
  <c r="AI183" i="12"/>
  <c r="AI184" i="12"/>
  <c r="AI185" i="12"/>
  <c r="AI186" i="12"/>
  <c r="AI187" i="12"/>
  <c r="AI188" i="12"/>
  <c r="AI189" i="12"/>
  <c r="AI190" i="12"/>
  <c r="AI191" i="12"/>
  <c r="AI192" i="12"/>
  <c r="AI193" i="12"/>
  <c r="AI194" i="12"/>
  <c r="AI195" i="12"/>
  <c r="AI196" i="12"/>
  <c r="AI197" i="12"/>
  <c r="AI198" i="12"/>
  <c r="AI199" i="12"/>
  <c r="AI200" i="12"/>
  <c r="AI201" i="12"/>
  <c r="AI202" i="12"/>
  <c r="AI203" i="12"/>
  <c r="AI204" i="12"/>
  <c r="AI205" i="12"/>
  <c r="AI206" i="12"/>
  <c r="AI207" i="12"/>
  <c r="AI208" i="12"/>
  <c r="AI209" i="12"/>
  <c r="AI210" i="12"/>
  <c r="AI211" i="12"/>
  <c r="AI212" i="12"/>
  <c r="AI213" i="12"/>
  <c r="AI214" i="12"/>
  <c r="AI215" i="12"/>
  <c r="AI216" i="12"/>
  <c r="AI217" i="12"/>
  <c r="AI218" i="12"/>
  <c r="AI219" i="12"/>
  <c r="AI220" i="12"/>
  <c r="AI221" i="12"/>
  <c r="AI222" i="12"/>
  <c r="AI223" i="12"/>
  <c r="AI224" i="12"/>
  <c r="AI225" i="12"/>
  <c r="AI226" i="12"/>
  <c r="AI227" i="12"/>
  <c r="AI228" i="12"/>
  <c r="AI229" i="12"/>
  <c r="AI230" i="12"/>
  <c r="AI231" i="12"/>
  <c r="AI232" i="12"/>
  <c r="AI233" i="12"/>
  <c r="AI234" i="12"/>
  <c r="AI235" i="12"/>
  <c r="AI236" i="12"/>
  <c r="AI237" i="12"/>
  <c r="AI238" i="12"/>
  <c r="AI239" i="12"/>
  <c r="AI240" i="12"/>
  <c r="AI241" i="12"/>
  <c r="AI242" i="12"/>
  <c r="AI243" i="12"/>
  <c r="AI244" i="12"/>
  <c r="AI245" i="12"/>
  <c r="AI246" i="12"/>
  <c r="AI247" i="12"/>
  <c r="AI248" i="12"/>
  <c r="AI249" i="12"/>
  <c r="AI250" i="12"/>
  <c r="AI251" i="12"/>
  <c r="AI252" i="12"/>
  <c r="AI253" i="12"/>
  <c r="AI254" i="12"/>
  <c r="AI255" i="12"/>
  <c r="AI256" i="12"/>
  <c r="AI257" i="12"/>
  <c r="AI258" i="12"/>
  <c r="AI259" i="12"/>
  <c r="AI260" i="12"/>
  <c r="AI261" i="12"/>
  <c r="AI262" i="12"/>
  <c r="AI263" i="12"/>
  <c r="AI264" i="12"/>
  <c r="AI265" i="12"/>
  <c r="AI266" i="12"/>
  <c r="AI267" i="12"/>
  <c r="AI268" i="12"/>
  <c r="AI269" i="12"/>
  <c r="AI270" i="12"/>
  <c r="AI271" i="12"/>
  <c r="AI272" i="12"/>
  <c r="AI273" i="12"/>
  <c r="AI274" i="12"/>
  <c r="AI275" i="12"/>
  <c r="AI276" i="12"/>
  <c r="AI277" i="12"/>
  <c r="AI278" i="12"/>
  <c r="AI279" i="12"/>
  <c r="AI280" i="12"/>
  <c r="AI281" i="12"/>
  <c r="AI282" i="12"/>
  <c r="AI283" i="12"/>
  <c r="AI284" i="12"/>
  <c r="AI285" i="12"/>
  <c r="AI286" i="12"/>
  <c r="AI287" i="12"/>
  <c r="AI288" i="12"/>
  <c r="AI289" i="12"/>
  <c r="AI290" i="12"/>
  <c r="AI291" i="12"/>
  <c r="AI292" i="12"/>
  <c r="AI293" i="12"/>
  <c r="AI294" i="12"/>
  <c r="AI295" i="12"/>
  <c r="AI296" i="12"/>
  <c r="AI297" i="12"/>
  <c r="AI298" i="12"/>
  <c r="AI299" i="12"/>
  <c r="AI300" i="12"/>
  <c r="AI3" i="12"/>
  <c r="AH4" i="12"/>
  <c r="AH5" i="12"/>
  <c r="AH6" i="12"/>
  <c r="AH7" i="12"/>
  <c r="AH8" i="12"/>
  <c r="AH9" i="12"/>
  <c r="AH10" i="12"/>
  <c r="AH11" i="12"/>
  <c r="AH12" i="12"/>
  <c r="AH13" i="12"/>
  <c r="AH14" i="12"/>
  <c r="AH15" i="12"/>
  <c r="AH16" i="12"/>
  <c r="AH17" i="12"/>
  <c r="AH18" i="12"/>
  <c r="AH19" i="12"/>
  <c r="AH20" i="12"/>
  <c r="AH21" i="12"/>
  <c r="AH22" i="12"/>
  <c r="AH23" i="12"/>
  <c r="AH24" i="12"/>
  <c r="AH25" i="12"/>
  <c r="AH26" i="12"/>
  <c r="AH27" i="12"/>
  <c r="AH28" i="12"/>
  <c r="AH29" i="12"/>
  <c r="AH30" i="12"/>
  <c r="AH31" i="12"/>
  <c r="AH32" i="12"/>
  <c r="AH33" i="12"/>
  <c r="AH34" i="12"/>
  <c r="AH35" i="12"/>
  <c r="AH36" i="12"/>
  <c r="AH37" i="12"/>
  <c r="AH38" i="12"/>
  <c r="AH39" i="12"/>
  <c r="AH40" i="12"/>
  <c r="AH41" i="12"/>
  <c r="AH42" i="12"/>
  <c r="AH43" i="12"/>
  <c r="AH44" i="12"/>
  <c r="AH45" i="12"/>
  <c r="AH46" i="12"/>
  <c r="AH47" i="12"/>
  <c r="AH48" i="12"/>
  <c r="AH49" i="12"/>
  <c r="AH50" i="12"/>
  <c r="AH51" i="12"/>
  <c r="AH52" i="12"/>
  <c r="AH53" i="12"/>
  <c r="AH54" i="12"/>
  <c r="AH55" i="12"/>
  <c r="AH56" i="12"/>
  <c r="AH57" i="12"/>
  <c r="AH58" i="12"/>
  <c r="AH59" i="12"/>
  <c r="AH60" i="12"/>
  <c r="AH61" i="12"/>
  <c r="AH62" i="12"/>
  <c r="AH63" i="12"/>
  <c r="AH64" i="12"/>
  <c r="AH65" i="12"/>
  <c r="AH66" i="12"/>
  <c r="AH67" i="12"/>
  <c r="AH68" i="12"/>
  <c r="AH69" i="12"/>
  <c r="AH70" i="12"/>
  <c r="AH71" i="12"/>
  <c r="AH72" i="12"/>
  <c r="AH73" i="12"/>
  <c r="AH74" i="12"/>
  <c r="AH75" i="12"/>
  <c r="AH76" i="12"/>
  <c r="AH77" i="12"/>
  <c r="AH78" i="12"/>
  <c r="AH79" i="12"/>
  <c r="AH80" i="12"/>
  <c r="AH81" i="12"/>
  <c r="AH82" i="12"/>
  <c r="AH83" i="12"/>
  <c r="AH84" i="12"/>
  <c r="AH85" i="12"/>
  <c r="AH86" i="12"/>
  <c r="AH87" i="12"/>
  <c r="AH88" i="12"/>
  <c r="AH89" i="12"/>
  <c r="AH90" i="12"/>
  <c r="AH91" i="12"/>
  <c r="AH92" i="12"/>
  <c r="AH93" i="12"/>
  <c r="AH94" i="12"/>
  <c r="AH95" i="12"/>
  <c r="AH96" i="12"/>
  <c r="AH97" i="12"/>
  <c r="AH98" i="12"/>
  <c r="AH99" i="12"/>
  <c r="AH100" i="12"/>
  <c r="AH101" i="12"/>
  <c r="AH102" i="12"/>
  <c r="AH103" i="12"/>
  <c r="AH104" i="12"/>
  <c r="AH105" i="12"/>
  <c r="AH106" i="12"/>
  <c r="AH107" i="12"/>
  <c r="AH108" i="12"/>
  <c r="AH109" i="12"/>
  <c r="AH110" i="12"/>
  <c r="AH111" i="12"/>
  <c r="AH112" i="12"/>
  <c r="AH113" i="12"/>
  <c r="AH114" i="12"/>
  <c r="AH115" i="12"/>
  <c r="AH116" i="12"/>
  <c r="AH117" i="12"/>
  <c r="AH118" i="12"/>
  <c r="AH119" i="12"/>
  <c r="AH120" i="12"/>
  <c r="AH121" i="12"/>
  <c r="AH122" i="12"/>
  <c r="AH123" i="12"/>
  <c r="AH124" i="12"/>
  <c r="AH125" i="12"/>
  <c r="AH126" i="12"/>
  <c r="AH127" i="12"/>
  <c r="AH128" i="12"/>
  <c r="AH129" i="12"/>
  <c r="AH130" i="12"/>
  <c r="AH131" i="12"/>
  <c r="AH132" i="12"/>
  <c r="AH133" i="12"/>
  <c r="AH134" i="12"/>
  <c r="AH135" i="12"/>
  <c r="AH136" i="12"/>
  <c r="AH137" i="12"/>
  <c r="AH138" i="12"/>
  <c r="AH139" i="12"/>
  <c r="AH140" i="12"/>
  <c r="AH141" i="12"/>
  <c r="AH142" i="12"/>
  <c r="AH143" i="12"/>
  <c r="AH144" i="12"/>
  <c r="AH145" i="12"/>
  <c r="AH146" i="12"/>
  <c r="AH147" i="12"/>
  <c r="AH148" i="12"/>
  <c r="AH149" i="12"/>
  <c r="AH150" i="12"/>
  <c r="AH151" i="12"/>
  <c r="AH152" i="12"/>
  <c r="AH153" i="12"/>
  <c r="AH154" i="12"/>
  <c r="AH155" i="12"/>
  <c r="AH156" i="12"/>
  <c r="AH157" i="12"/>
  <c r="AH158" i="12"/>
  <c r="AH159" i="12"/>
  <c r="AH160" i="12"/>
  <c r="AH161" i="12"/>
  <c r="AH162" i="12"/>
  <c r="AH163" i="12"/>
  <c r="AH164" i="12"/>
  <c r="AH165" i="12"/>
  <c r="AH166" i="12"/>
  <c r="AH167" i="12"/>
  <c r="AH168" i="12"/>
  <c r="AH169" i="12"/>
  <c r="AH170" i="12"/>
  <c r="AH171" i="12"/>
  <c r="AH172" i="12"/>
  <c r="AH173" i="12"/>
  <c r="AH174" i="12"/>
  <c r="AH175" i="12"/>
  <c r="AH176" i="12"/>
  <c r="AH177" i="12"/>
  <c r="AH178" i="12"/>
  <c r="AH179" i="12"/>
  <c r="AH180" i="12"/>
  <c r="AH181" i="12"/>
  <c r="AH182" i="12"/>
  <c r="AH183" i="12"/>
  <c r="AH184" i="12"/>
  <c r="AH185" i="12"/>
  <c r="AH186" i="12"/>
  <c r="AH187" i="12"/>
  <c r="AH188" i="12"/>
  <c r="AH189" i="12"/>
  <c r="AH190" i="12"/>
  <c r="AH191" i="12"/>
  <c r="AH192" i="12"/>
  <c r="AH193" i="12"/>
  <c r="AH194" i="12"/>
  <c r="AH195" i="12"/>
  <c r="AH196" i="12"/>
  <c r="AH197" i="12"/>
  <c r="AH198" i="12"/>
  <c r="AH199" i="12"/>
  <c r="AH200" i="12"/>
  <c r="AH201" i="12"/>
  <c r="AH202" i="12"/>
  <c r="AH203" i="12"/>
  <c r="AH204" i="12"/>
  <c r="AH205" i="12"/>
  <c r="AH206" i="12"/>
  <c r="AH207" i="12"/>
  <c r="AH208" i="12"/>
  <c r="AH209" i="12"/>
  <c r="AH210" i="12"/>
  <c r="AH211" i="12"/>
  <c r="AH212" i="12"/>
  <c r="AH213" i="12"/>
  <c r="AH214" i="12"/>
  <c r="AH215" i="12"/>
  <c r="AH216" i="12"/>
  <c r="AH217" i="12"/>
  <c r="AH218" i="12"/>
  <c r="AH219" i="12"/>
  <c r="AH220" i="12"/>
  <c r="AH221" i="12"/>
  <c r="AH222" i="12"/>
  <c r="AH223" i="12"/>
  <c r="AH224" i="12"/>
  <c r="AH225" i="12"/>
  <c r="AH226" i="12"/>
  <c r="AH227" i="12"/>
  <c r="AH228" i="12"/>
  <c r="AH229" i="12"/>
  <c r="AH230" i="12"/>
  <c r="AH231" i="12"/>
  <c r="AH232" i="12"/>
  <c r="AH233" i="12"/>
  <c r="AH234" i="12"/>
  <c r="AH235" i="12"/>
  <c r="AH236" i="12"/>
  <c r="AH237" i="12"/>
  <c r="AH238" i="12"/>
  <c r="AH239" i="12"/>
  <c r="AH240" i="12"/>
  <c r="AH241" i="12"/>
  <c r="AH242" i="12"/>
  <c r="AH243" i="12"/>
  <c r="AH244" i="12"/>
  <c r="AH245" i="12"/>
  <c r="AH246" i="12"/>
  <c r="AH247" i="12"/>
  <c r="AH248" i="12"/>
  <c r="AH249" i="12"/>
  <c r="AH250" i="12"/>
  <c r="AH251" i="12"/>
  <c r="AH252" i="12"/>
  <c r="AH253" i="12"/>
  <c r="AH254" i="12"/>
  <c r="AH255" i="12"/>
  <c r="AH256" i="12"/>
  <c r="AH257" i="12"/>
  <c r="AH258" i="12"/>
  <c r="AH259" i="12"/>
  <c r="AH260" i="12"/>
  <c r="AH261" i="12"/>
  <c r="AH262" i="12"/>
  <c r="AH263" i="12"/>
  <c r="AH264" i="12"/>
  <c r="AH265" i="12"/>
  <c r="AH266" i="12"/>
  <c r="AH267" i="12"/>
  <c r="AH268" i="12"/>
  <c r="AH269" i="12"/>
  <c r="AH270" i="12"/>
  <c r="AH271" i="12"/>
  <c r="AH272" i="12"/>
  <c r="AH273" i="12"/>
  <c r="AH274" i="12"/>
  <c r="AH275" i="12"/>
  <c r="AH276" i="12"/>
  <c r="AH277" i="12"/>
  <c r="AH278" i="12"/>
  <c r="AH279" i="12"/>
  <c r="AH280" i="12"/>
  <c r="AH281" i="12"/>
  <c r="AH282" i="12"/>
  <c r="AH283" i="12"/>
  <c r="AH284" i="12"/>
  <c r="AH285" i="12"/>
  <c r="AH286" i="12"/>
  <c r="AH287" i="12"/>
  <c r="AH288" i="12"/>
  <c r="AH289" i="12"/>
  <c r="AH290" i="12"/>
  <c r="AH291" i="12"/>
  <c r="AH292" i="12"/>
  <c r="AH293" i="12"/>
  <c r="AH294" i="12"/>
  <c r="AH295" i="12"/>
  <c r="AH296" i="12"/>
  <c r="AH297" i="12"/>
  <c r="AH298" i="12"/>
  <c r="AH299" i="12"/>
  <c r="AH300" i="12"/>
  <c r="AH3" i="12"/>
  <c r="AE3" i="12" a="1"/>
  <c r="AE3" i="12" s="1"/>
  <c r="AC4" i="12"/>
  <c r="AC5" i="12"/>
  <c r="AC6" i="12"/>
  <c r="AC7" i="12"/>
  <c r="AC8" i="12"/>
  <c r="AC9" i="12"/>
  <c r="AC10" i="12"/>
  <c r="AC11" i="12"/>
  <c r="AC12" i="12"/>
  <c r="AC13" i="12"/>
  <c r="AC14" i="12"/>
  <c r="AC15" i="12"/>
  <c r="AC16" i="12"/>
  <c r="AC17" i="12"/>
  <c r="AC18" i="12"/>
  <c r="AC19" i="12"/>
  <c r="AC20" i="12"/>
  <c r="AC21" i="12"/>
  <c r="AC22" i="12"/>
  <c r="AC23" i="12"/>
  <c r="AC24" i="12"/>
  <c r="AC25" i="12"/>
  <c r="AC26" i="12"/>
  <c r="AC27" i="12"/>
  <c r="AC28" i="12"/>
  <c r="AC29" i="12"/>
  <c r="AC30" i="12"/>
  <c r="AC31" i="12"/>
  <c r="AC1" i="12" s="1"/>
  <c r="AC32" i="12"/>
  <c r="AC33" i="12"/>
  <c r="AC34" i="12"/>
  <c r="AC35" i="12"/>
  <c r="AC36" i="12"/>
  <c r="AC37" i="12"/>
  <c r="AC38" i="12"/>
  <c r="AC39" i="12"/>
  <c r="AC40" i="12"/>
  <c r="AC41" i="12"/>
  <c r="AC42" i="12"/>
  <c r="AC43" i="12"/>
  <c r="AC44" i="12"/>
  <c r="AC45" i="12"/>
  <c r="AC46" i="12"/>
  <c r="AC47" i="12"/>
  <c r="AC48" i="12"/>
  <c r="AC49" i="12"/>
  <c r="AC50" i="12"/>
  <c r="AC51" i="12"/>
  <c r="AC52" i="12"/>
  <c r="AC53" i="12"/>
  <c r="AC54" i="12"/>
  <c r="AC55" i="12"/>
  <c r="AC56" i="12"/>
  <c r="AC57" i="12"/>
  <c r="AC58" i="12"/>
  <c r="AC59" i="12"/>
  <c r="AC60" i="12"/>
  <c r="AC61" i="12"/>
  <c r="AC62" i="12"/>
  <c r="AC63" i="12"/>
  <c r="AC64" i="12"/>
  <c r="AC65" i="12"/>
  <c r="AC66" i="12"/>
  <c r="AC67" i="12"/>
  <c r="AC68" i="12"/>
  <c r="AC69" i="12"/>
  <c r="AC70" i="12"/>
  <c r="AC71" i="12"/>
  <c r="AC72" i="12"/>
  <c r="AC73" i="12"/>
  <c r="AC74" i="12"/>
  <c r="AC75" i="12"/>
  <c r="AC76" i="12"/>
  <c r="AC77" i="12"/>
  <c r="AC78" i="12"/>
  <c r="AC79" i="12"/>
  <c r="AC80" i="12"/>
  <c r="AC81" i="12"/>
  <c r="AC82" i="12"/>
  <c r="AC83" i="12"/>
  <c r="AC84" i="12"/>
  <c r="AC85" i="12"/>
  <c r="AC86" i="12"/>
  <c r="AC87" i="12"/>
  <c r="AC88" i="12"/>
  <c r="AC89" i="12"/>
  <c r="AC90" i="12"/>
  <c r="AC91" i="12"/>
  <c r="AC92" i="12"/>
  <c r="AC93" i="12"/>
  <c r="AC94" i="12"/>
  <c r="AC95" i="12"/>
  <c r="AC96" i="12"/>
  <c r="AC97" i="12"/>
  <c r="AC98" i="12"/>
  <c r="AC99" i="12"/>
  <c r="AC100" i="12"/>
  <c r="AC101" i="12"/>
  <c r="AC102" i="12"/>
  <c r="AC103" i="12"/>
  <c r="AC104" i="12"/>
  <c r="AC105" i="12"/>
  <c r="AC106" i="12"/>
  <c r="AC107" i="12"/>
  <c r="AC108" i="12"/>
  <c r="AC109" i="12"/>
  <c r="AC110" i="12"/>
  <c r="AC111" i="12"/>
  <c r="AC112" i="12"/>
  <c r="AC113" i="12"/>
  <c r="AC114" i="12"/>
  <c r="AC115" i="12"/>
  <c r="AC116" i="12"/>
  <c r="AC117" i="12"/>
  <c r="AC118" i="12"/>
  <c r="AC119" i="12"/>
  <c r="AC120" i="12"/>
  <c r="AC121" i="12"/>
  <c r="AC122" i="12"/>
  <c r="AC123" i="12"/>
  <c r="AC124" i="12"/>
  <c r="AC125" i="12"/>
  <c r="AC126" i="12"/>
  <c r="AC127" i="12"/>
  <c r="AC128" i="12"/>
  <c r="AC129" i="12"/>
  <c r="AC130" i="12"/>
  <c r="AC131" i="12"/>
  <c r="AC132" i="12"/>
  <c r="AC133" i="12"/>
  <c r="AC134" i="12"/>
  <c r="AC135" i="12"/>
  <c r="AC136" i="12"/>
  <c r="AC137" i="12"/>
  <c r="AC138" i="12"/>
  <c r="AC139" i="12"/>
  <c r="AC140" i="12"/>
  <c r="AC141" i="12"/>
  <c r="AC142" i="12"/>
  <c r="AC143" i="12"/>
  <c r="AC144" i="12"/>
  <c r="AC145" i="12"/>
  <c r="AC146" i="12"/>
  <c r="AC147" i="12"/>
  <c r="AC148" i="12"/>
  <c r="AC149" i="12"/>
  <c r="AC150" i="12"/>
  <c r="AC151" i="12"/>
  <c r="AC152" i="12"/>
  <c r="AC153" i="12"/>
  <c r="AC154" i="12"/>
  <c r="AC155" i="12"/>
  <c r="AC156" i="12"/>
  <c r="AC157" i="12"/>
  <c r="AC158" i="12"/>
  <c r="AC159" i="12"/>
  <c r="AC160" i="12"/>
  <c r="AC161" i="12"/>
  <c r="AC162" i="12"/>
  <c r="AC163" i="12"/>
  <c r="AC164" i="12"/>
  <c r="AC165" i="12"/>
  <c r="AC166" i="12"/>
  <c r="AC167" i="12"/>
  <c r="AC168" i="12"/>
  <c r="AC169" i="12"/>
  <c r="AC170" i="12"/>
  <c r="AC171" i="12"/>
  <c r="AC172" i="12"/>
  <c r="AC173" i="12"/>
  <c r="AC174" i="12"/>
  <c r="AC175" i="12"/>
  <c r="AC176" i="12"/>
  <c r="AC177" i="12"/>
  <c r="AC178" i="12"/>
  <c r="AC179" i="12"/>
  <c r="AC180" i="12"/>
  <c r="AC181" i="12"/>
  <c r="AC182" i="12"/>
  <c r="AC183" i="12"/>
  <c r="AC184" i="12"/>
  <c r="AC185" i="12"/>
  <c r="AC186" i="12"/>
  <c r="AC187" i="12"/>
  <c r="AC188" i="12"/>
  <c r="AC189" i="12"/>
  <c r="AC190" i="12"/>
  <c r="AC191" i="12"/>
  <c r="AC192" i="12"/>
  <c r="AC193" i="12"/>
  <c r="AC194" i="12"/>
  <c r="AC195" i="12"/>
  <c r="AC196" i="12"/>
  <c r="AC197" i="12"/>
  <c r="AC198" i="12"/>
  <c r="AC199" i="12"/>
  <c r="AC200" i="12"/>
  <c r="AC201" i="12"/>
  <c r="AC202" i="12"/>
  <c r="AC203" i="12"/>
  <c r="AC204" i="12"/>
  <c r="AC205" i="12"/>
  <c r="AC206" i="12"/>
  <c r="AC207" i="12"/>
  <c r="AC208" i="12"/>
  <c r="AC209" i="12"/>
  <c r="AC210" i="12"/>
  <c r="AC211" i="12"/>
  <c r="AC212" i="12"/>
  <c r="AC213" i="12"/>
  <c r="AC214" i="12"/>
  <c r="AC215" i="12"/>
  <c r="AC216" i="12"/>
  <c r="AC217" i="12"/>
  <c r="AC218" i="12"/>
  <c r="AC219" i="12"/>
  <c r="AC220" i="12"/>
  <c r="AC221" i="12"/>
  <c r="AC222" i="12"/>
  <c r="AC223" i="12"/>
  <c r="AC224" i="12"/>
  <c r="AC225" i="12"/>
  <c r="AC226" i="12"/>
  <c r="AC227" i="12"/>
  <c r="AC228" i="12"/>
  <c r="AC229" i="12"/>
  <c r="AC230" i="12"/>
  <c r="AC231" i="12"/>
  <c r="AC232" i="12"/>
  <c r="AC233" i="12"/>
  <c r="AC234" i="12"/>
  <c r="AC235" i="12"/>
  <c r="AC236" i="12"/>
  <c r="AC237" i="12"/>
  <c r="AC238" i="12"/>
  <c r="AC239" i="12"/>
  <c r="AC240" i="12"/>
  <c r="AC241" i="12"/>
  <c r="AC242" i="12"/>
  <c r="AC243" i="12"/>
  <c r="AC244" i="12"/>
  <c r="AC245" i="12"/>
  <c r="AC246" i="12"/>
  <c r="AC247" i="12"/>
  <c r="AC248" i="12"/>
  <c r="AC249" i="12"/>
  <c r="AC250" i="12"/>
  <c r="AC251" i="12"/>
  <c r="AC252" i="12"/>
  <c r="AC253" i="12"/>
  <c r="AC254" i="12"/>
  <c r="AC255" i="12"/>
  <c r="AC256" i="12"/>
  <c r="AC257" i="12"/>
  <c r="AC258" i="12"/>
  <c r="AC259" i="12"/>
  <c r="AC260" i="12"/>
  <c r="AC261" i="12"/>
  <c r="AC262" i="12"/>
  <c r="AC263" i="12"/>
  <c r="AC264" i="12"/>
  <c r="AC265" i="12"/>
  <c r="AC266" i="12"/>
  <c r="AC267" i="12"/>
  <c r="AC268" i="12"/>
  <c r="AC269" i="12"/>
  <c r="AC270" i="12"/>
  <c r="AC271" i="12"/>
  <c r="AC272" i="12"/>
  <c r="AC273" i="12"/>
  <c r="AC274" i="12"/>
  <c r="AC275" i="12"/>
  <c r="AC276" i="12"/>
  <c r="AC277" i="12"/>
  <c r="AC278" i="12"/>
  <c r="AC279" i="12"/>
  <c r="AC280" i="12"/>
  <c r="AC281" i="12"/>
  <c r="AC282" i="12"/>
  <c r="AC283" i="12"/>
  <c r="AC284" i="12"/>
  <c r="AC285" i="12"/>
  <c r="AC286" i="12"/>
  <c r="AC287" i="12"/>
  <c r="AC288" i="12"/>
  <c r="AC289" i="12"/>
  <c r="AC290" i="12"/>
  <c r="AC291" i="12"/>
  <c r="AC292" i="12"/>
  <c r="AC293" i="12"/>
  <c r="AC294" i="12"/>
  <c r="AC295" i="12"/>
  <c r="AC296" i="12"/>
  <c r="AC297" i="12"/>
  <c r="AC298" i="12"/>
  <c r="AC299" i="12"/>
  <c r="AC300" i="12"/>
  <c r="AB4" i="12"/>
  <c r="AB5" i="12"/>
  <c r="AB6" i="12"/>
  <c r="AB7"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B38" i="12"/>
  <c r="AB39" i="12"/>
  <c r="AB40" i="12"/>
  <c r="AB41" i="12"/>
  <c r="AB42" i="12"/>
  <c r="AB43" i="12"/>
  <c r="AB44" i="12"/>
  <c r="AB45" i="12"/>
  <c r="AB46" i="12"/>
  <c r="AB47" i="12"/>
  <c r="AB48" i="12"/>
  <c r="AB49" i="12"/>
  <c r="AB50" i="12"/>
  <c r="AB51" i="12"/>
  <c r="AB52" i="12"/>
  <c r="AB53" i="12"/>
  <c r="AB54" i="12"/>
  <c r="AB55" i="12"/>
  <c r="AB56" i="12"/>
  <c r="AB57" i="12"/>
  <c r="AB58" i="12"/>
  <c r="AB59" i="12"/>
  <c r="AB60" i="12"/>
  <c r="AB61" i="12"/>
  <c r="AB62" i="12"/>
  <c r="AB63" i="12"/>
  <c r="AB64" i="12"/>
  <c r="AB65" i="12"/>
  <c r="AB66" i="12"/>
  <c r="AB67" i="12"/>
  <c r="AB68" i="12"/>
  <c r="AB69" i="12"/>
  <c r="AB70" i="12"/>
  <c r="AB71" i="12"/>
  <c r="AB72" i="12"/>
  <c r="AB73" i="12"/>
  <c r="AB74" i="12"/>
  <c r="AB75" i="12"/>
  <c r="AB76" i="12"/>
  <c r="AB77" i="12"/>
  <c r="AB78" i="12"/>
  <c r="AB79" i="12"/>
  <c r="AB80" i="12"/>
  <c r="AB81" i="12"/>
  <c r="AB82" i="12"/>
  <c r="AB83" i="12"/>
  <c r="AB84" i="12"/>
  <c r="AB85" i="12"/>
  <c r="AB86" i="12"/>
  <c r="AB87" i="12"/>
  <c r="AB88" i="12"/>
  <c r="AB89" i="12"/>
  <c r="AB90" i="12"/>
  <c r="AB91" i="12"/>
  <c r="AB92" i="12"/>
  <c r="AB93" i="12"/>
  <c r="AB94" i="12"/>
  <c r="AB95" i="12"/>
  <c r="AB96" i="12"/>
  <c r="AB97" i="12"/>
  <c r="AB98" i="12"/>
  <c r="AB99" i="12"/>
  <c r="AB100" i="12"/>
  <c r="AB101" i="12"/>
  <c r="AB102" i="12"/>
  <c r="AB103" i="12"/>
  <c r="AB104" i="12"/>
  <c r="AB105" i="12"/>
  <c r="AB106" i="12"/>
  <c r="AB107" i="12"/>
  <c r="AB108" i="12"/>
  <c r="AB109" i="12"/>
  <c r="AB110" i="12"/>
  <c r="AB111" i="12"/>
  <c r="AB112" i="12"/>
  <c r="AB113" i="12"/>
  <c r="AB114" i="12"/>
  <c r="AB115" i="12"/>
  <c r="AB116" i="12"/>
  <c r="AB117" i="12"/>
  <c r="AB118" i="12"/>
  <c r="AB119" i="12"/>
  <c r="AB120" i="12"/>
  <c r="AB121" i="12"/>
  <c r="AB122" i="12"/>
  <c r="AB123" i="12"/>
  <c r="AB124" i="12"/>
  <c r="AB125" i="12"/>
  <c r="AB126" i="12"/>
  <c r="AB127" i="12"/>
  <c r="AB128" i="12"/>
  <c r="AB129" i="12"/>
  <c r="AB130" i="12"/>
  <c r="AB131" i="12"/>
  <c r="AB132" i="12"/>
  <c r="AB133" i="12"/>
  <c r="AB134" i="12"/>
  <c r="AB135" i="12"/>
  <c r="AB136" i="12"/>
  <c r="AB137" i="12"/>
  <c r="AB138" i="12"/>
  <c r="AB139" i="12"/>
  <c r="AB140" i="12"/>
  <c r="AB141" i="12"/>
  <c r="AB142" i="12"/>
  <c r="AB143" i="12"/>
  <c r="AB144" i="12"/>
  <c r="AB145" i="12"/>
  <c r="AB146" i="12"/>
  <c r="AB147" i="12"/>
  <c r="AB148" i="12"/>
  <c r="AB149" i="12"/>
  <c r="AB150" i="12"/>
  <c r="AB151" i="12"/>
  <c r="AB152" i="12"/>
  <c r="AB153" i="12"/>
  <c r="AB154" i="12"/>
  <c r="AB155" i="12"/>
  <c r="AB156" i="12"/>
  <c r="AB157" i="12"/>
  <c r="AB158" i="12"/>
  <c r="AB159" i="12"/>
  <c r="AB160" i="12"/>
  <c r="AB161" i="12"/>
  <c r="AB162" i="12"/>
  <c r="AB163" i="12"/>
  <c r="AB164" i="12"/>
  <c r="AB165" i="12"/>
  <c r="AB166" i="12"/>
  <c r="AB167" i="12"/>
  <c r="AB168" i="12"/>
  <c r="AB169" i="12"/>
  <c r="AB170" i="12"/>
  <c r="AB171" i="12"/>
  <c r="AB172" i="12"/>
  <c r="AB173" i="12"/>
  <c r="AB174" i="12"/>
  <c r="AB175" i="12"/>
  <c r="AB176" i="12"/>
  <c r="AB177" i="12"/>
  <c r="AB178" i="12"/>
  <c r="AB179" i="12"/>
  <c r="AB180" i="12"/>
  <c r="AB181" i="12"/>
  <c r="AB182" i="12"/>
  <c r="AB183" i="12"/>
  <c r="AB184" i="12"/>
  <c r="AB185" i="12"/>
  <c r="AB186" i="12"/>
  <c r="AB187" i="12"/>
  <c r="AB188" i="12"/>
  <c r="AB189" i="12"/>
  <c r="AB190" i="12"/>
  <c r="AB191" i="12"/>
  <c r="AB192" i="12"/>
  <c r="AB193" i="12"/>
  <c r="AB194" i="12"/>
  <c r="AB195" i="12"/>
  <c r="AB196" i="12"/>
  <c r="AB197" i="12"/>
  <c r="AB198" i="12"/>
  <c r="AB199" i="12"/>
  <c r="AB200" i="12"/>
  <c r="AB201" i="12"/>
  <c r="AB202" i="12"/>
  <c r="AB203" i="12"/>
  <c r="AB204" i="12"/>
  <c r="AB205" i="12"/>
  <c r="AB206" i="12"/>
  <c r="AB207" i="12"/>
  <c r="AB208" i="12"/>
  <c r="AB209" i="12"/>
  <c r="AB210" i="12"/>
  <c r="AB211" i="12"/>
  <c r="AB212" i="12"/>
  <c r="AB213" i="12"/>
  <c r="AB214" i="12"/>
  <c r="AB215" i="12"/>
  <c r="AB216" i="12"/>
  <c r="AB217" i="12"/>
  <c r="AB218" i="12"/>
  <c r="AB219" i="12"/>
  <c r="AB220" i="12"/>
  <c r="AB221" i="12"/>
  <c r="AB222" i="12"/>
  <c r="AB223" i="12"/>
  <c r="AB224" i="12"/>
  <c r="AB225" i="12"/>
  <c r="AB226" i="12"/>
  <c r="AB227" i="12"/>
  <c r="AB228" i="12"/>
  <c r="AB229" i="12"/>
  <c r="AB230" i="12"/>
  <c r="AB231" i="12"/>
  <c r="AB232" i="12"/>
  <c r="AB233" i="12"/>
  <c r="AB234" i="12"/>
  <c r="AB235" i="12"/>
  <c r="AB236" i="12"/>
  <c r="AB237" i="12"/>
  <c r="AB238" i="12"/>
  <c r="AB239" i="12"/>
  <c r="AB240" i="12"/>
  <c r="AB241" i="12"/>
  <c r="AB242" i="12"/>
  <c r="AB243" i="12"/>
  <c r="AB244" i="12"/>
  <c r="AB245" i="12"/>
  <c r="AB246" i="12"/>
  <c r="AB247" i="12"/>
  <c r="AB248" i="12"/>
  <c r="AB249" i="12"/>
  <c r="AB250" i="12"/>
  <c r="AB251" i="12"/>
  <c r="AB252" i="12"/>
  <c r="AB253" i="12"/>
  <c r="AB254" i="12"/>
  <c r="AB255" i="12"/>
  <c r="AB256" i="12"/>
  <c r="AB257" i="12"/>
  <c r="AB258" i="12"/>
  <c r="AB259" i="12"/>
  <c r="AB260" i="12"/>
  <c r="AB261" i="12"/>
  <c r="AB262" i="12"/>
  <c r="AB263" i="12"/>
  <c r="AB264" i="12"/>
  <c r="AB265" i="12"/>
  <c r="AB266" i="12"/>
  <c r="AB267" i="12"/>
  <c r="AB268" i="12"/>
  <c r="AB269" i="12"/>
  <c r="AB270" i="12"/>
  <c r="AB271" i="12"/>
  <c r="AB272" i="12"/>
  <c r="AB273" i="12"/>
  <c r="AB274" i="12"/>
  <c r="AB275" i="12"/>
  <c r="AB276" i="12"/>
  <c r="AB277" i="12"/>
  <c r="AB278" i="12"/>
  <c r="AB279" i="12"/>
  <c r="AB280" i="12"/>
  <c r="AB281" i="12"/>
  <c r="AB282" i="12"/>
  <c r="AB283" i="12"/>
  <c r="AB284" i="12"/>
  <c r="AB285" i="12"/>
  <c r="AB286" i="12"/>
  <c r="AB287" i="12"/>
  <c r="AB288" i="12"/>
  <c r="AB289" i="12"/>
  <c r="AB290" i="12"/>
  <c r="AB291" i="12"/>
  <c r="AB292" i="12"/>
  <c r="AB293" i="12"/>
  <c r="AB294" i="12"/>
  <c r="AB295" i="12"/>
  <c r="AB296" i="12"/>
  <c r="AB297" i="12"/>
  <c r="AB298" i="12"/>
  <c r="AB299" i="12"/>
  <c r="AB300" i="12"/>
  <c r="Z4" i="12"/>
  <c r="Z5" i="12"/>
  <c r="Z6" i="12"/>
  <c r="Z7" i="12"/>
  <c r="Z8" i="12"/>
  <c r="Z9" i="12"/>
  <c r="Z10"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Z38" i="12"/>
  <c r="Z39" i="12"/>
  <c r="Z40" i="12"/>
  <c r="Z41" i="12"/>
  <c r="Z42" i="12"/>
  <c r="Z43" i="12"/>
  <c r="Z44" i="12"/>
  <c r="Z45" i="12"/>
  <c r="Z46" i="12"/>
  <c r="Z47" i="12"/>
  <c r="Z48" i="12"/>
  <c r="Z49" i="12"/>
  <c r="Z50" i="12"/>
  <c r="Z51" i="12"/>
  <c r="Z52" i="12"/>
  <c r="Z53" i="12"/>
  <c r="Z54" i="12"/>
  <c r="Z55" i="12"/>
  <c r="Z56" i="12"/>
  <c r="Z57" i="12"/>
  <c r="Z58" i="12"/>
  <c r="Z59" i="12"/>
  <c r="Z60" i="12"/>
  <c r="Z61" i="12"/>
  <c r="Z62" i="12"/>
  <c r="Z63" i="12"/>
  <c r="Z64" i="12"/>
  <c r="Z65" i="12"/>
  <c r="Z66" i="12"/>
  <c r="Z67" i="12"/>
  <c r="Z68" i="12"/>
  <c r="Z69" i="12"/>
  <c r="Z70" i="12"/>
  <c r="Z71" i="12"/>
  <c r="Z72" i="12"/>
  <c r="Z73" i="12"/>
  <c r="Z74" i="12"/>
  <c r="Z75" i="12"/>
  <c r="Z76" i="12"/>
  <c r="Z77" i="12"/>
  <c r="Z78" i="12"/>
  <c r="Z79" i="12"/>
  <c r="Z80" i="12"/>
  <c r="Z81" i="12"/>
  <c r="Z82" i="12"/>
  <c r="Z83" i="12"/>
  <c r="Z84" i="12"/>
  <c r="Z85" i="12"/>
  <c r="Z86" i="12"/>
  <c r="Z87" i="12"/>
  <c r="Z88" i="12"/>
  <c r="Z89" i="12"/>
  <c r="Z90" i="12"/>
  <c r="Z91" i="12"/>
  <c r="Z92" i="12"/>
  <c r="Z93" i="12"/>
  <c r="Z94" i="12"/>
  <c r="Z95" i="12"/>
  <c r="Z96" i="12"/>
  <c r="Z97" i="12"/>
  <c r="Z98" i="12"/>
  <c r="Z99" i="12"/>
  <c r="Z100" i="12"/>
  <c r="Z101" i="12"/>
  <c r="Z102" i="12"/>
  <c r="Z103" i="12"/>
  <c r="Z104" i="12"/>
  <c r="Z105" i="12"/>
  <c r="Z106" i="12"/>
  <c r="Z107" i="12"/>
  <c r="Z108" i="12"/>
  <c r="Z109" i="12"/>
  <c r="Z110" i="12"/>
  <c r="Z111" i="12"/>
  <c r="Z112" i="12"/>
  <c r="Z113" i="12"/>
  <c r="Z114" i="12"/>
  <c r="Z115" i="12"/>
  <c r="Z116" i="12"/>
  <c r="Z117" i="12"/>
  <c r="Z118" i="12"/>
  <c r="Z119" i="12"/>
  <c r="Z120" i="12"/>
  <c r="Z121" i="12"/>
  <c r="Z122" i="12"/>
  <c r="Z123" i="12"/>
  <c r="Z124" i="12"/>
  <c r="Z125" i="12"/>
  <c r="Z126" i="12"/>
  <c r="Z127" i="12"/>
  <c r="Z128" i="12"/>
  <c r="Z129" i="12"/>
  <c r="Z130" i="12"/>
  <c r="Z131" i="12"/>
  <c r="Z132" i="12"/>
  <c r="Z133" i="12"/>
  <c r="Z134" i="12"/>
  <c r="Z135" i="12"/>
  <c r="Z136" i="12"/>
  <c r="Z137" i="12"/>
  <c r="Z138" i="12"/>
  <c r="Z139" i="12"/>
  <c r="Z140" i="12"/>
  <c r="Z141" i="12"/>
  <c r="Z142" i="12"/>
  <c r="Z143" i="12"/>
  <c r="Z144" i="12"/>
  <c r="Z145" i="12"/>
  <c r="Z146" i="12"/>
  <c r="Z147" i="12"/>
  <c r="Z148" i="12"/>
  <c r="Z149" i="12"/>
  <c r="Z150" i="12"/>
  <c r="Z151" i="12"/>
  <c r="Z152" i="12"/>
  <c r="Z153" i="12"/>
  <c r="Z154" i="12"/>
  <c r="Z155" i="12"/>
  <c r="Z156" i="12"/>
  <c r="Z157" i="12"/>
  <c r="Z158" i="12"/>
  <c r="Z159" i="12"/>
  <c r="Z160" i="12"/>
  <c r="Z161" i="12"/>
  <c r="Z162" i="12"/>
  <c r="Z163" i="12"/>
  <c r="Z164" i="12"/>
  <c r="Z165" i="12"/>
  <c r="Z166" i="12"/>
  <c r="Z167" i="12"/>
  <c r="Z168" i="12"/>
  <c r="Z169" i="12"/>
  <c r="Z170" i="12"/>
  <c r="Z171" i="12"/>
  <c r="Z172" i="12"/>
  <c r="Z173" i="12"/>
  <c r="Z174" i="12"/>
  <c r="Z175" i="12"/>
  <c r="Z176" i="12"/>
  <c r="Z177" i="12"/>
  <c r="Z178" i="12"/>
  <c r="Z179" i="12"/>
  <c r="Z180" i="12"/>
  <c r="Z181" i="12"/>
  <c r="Z182" i="12"/>
  <c r="Z183" i="12"/>
  <c r="Z184" i="12"/>
  <c r="Z185" i="12"/>
  <c r="Z186" i="12"/>
  <c r="Z187" i="12"/>
  <c r="Z188" i="12"/>
  <c r="Z189" i="12"/>
  <c r="Z190" i="12"/>
  <c r="Z191" i="12"/>
  <c r="Z192" i="12"/>
  <c r="Z193" i="12"/>
  <c r="Z194" i="12"/>
  <c r="Z195" i="12"/>
  <c r="Z196" i="12"/>
  <c r="Z197" i="12"/>
  <c r="Z198" i="12"/>
  <c r="Z199" i="12"/>
  <c r="Z200" i="12"/>
  <c r="Z201" i="12"/>
  <c r="Z202" i="12"/>
  <c r="Z203" i="12"/>
  <c r="Z204" i="12"/>
  <c r="Z205" i="12"/>
  <c r="Z206" i="12"/>
  <c r="Z207" i="12"/>
  <c r="Z208" i="12"/>
  <c r="Z209" i="12"/>
  <c r="Z210" i="12"/>
  <c r="Z211" i="12"/>
  <c r="Z212" i="12"/>
  <c r="Z213" i="12"/>
  <c r="Z214" i="12"/>
  <c r="Z215" i="12"/>
  <c r="Z216" i="12"/>
  <c r="Z217" i="12"/>
  <c r="Z218" i="12"/>
  <c r="Z219" i="12"/>
  <c r="Z220" i="12"/>
  <c r="Z221" i="12"/>
  <c r="Z222" i="12"/>
  <c r="Z223" i="12"/>
  <c r="Z224" i="12"/>
  <c r="Z225" i="12"/>
  <c r="Z226" i="12"/>
  <c r="Z227" i="12"/>
  <c r="Z228" i="12"/>
  <c r="Z229" i="12"/>
  <c r="Z230" i="12"/>
  <c r="Z231" i="12"/>
  <c r="Z232" i="12"/>
  <c r="Z233" i="12"/>
  <c r="Z234" i="12"/>
  <c r="Z235" i="12"/>
  <c r="Z236" i="12"/>
  <c r="Z237" i="12"/>
  <c r="Z238" i="12"/>
  <c r="Z239" i="12"/>
  <c r="Z240" i="12"/>
  <c r="Z241" i="12"/>
  <c r="Z242" i="12"/>
  <c r="Z243" i="12"/>
  <c r="Z244" i="12"/>
  <c r="Z245" i="12"/>
  <c r="Z246" i="12"/>
  <c r="Z247" i="12"/>
  <c r="Z248" i="12"/>
  <c r="Z249" i="12"/>
  <c r="Z250" i="12"/>
  <c r="Z251" i="12"/>
  <c r="Z252" i="12"/>
  <c r="Z253" i="12"/>
  <c r="Z254" i="12"/>
  <c r="Z255" i="12"/>
  <c r="Z256" i="12"/>
  <c r="Z257" i="12"/>
  <c r="Z258" i="12"/>
  <c r="Z259" i="12"/>
  <c r="Z260" i="12"/>
  <c r="Z261" i="12"/>
  <c r="Z262" i="12"/>
  <c r="Z263" i="12"/>
  <c r="Z264" i="12"/>
  <c r="Z265" i="12"/>
  <c r="Z266" i="12"/>
  <c r="Z267" i="12"/>
  <c r="Z268" i="12"/>
  <c r="Z269" i="12"/>
  <c r="Z270" i="12"/>
  <c r="Z271" i="12"/>
  <c r="Z272" i="12"/>
  <c r="Z273" i="12"/>
  <c r="Z274" i="12"/>
  <c r="Z275" i="12"/>
  <c r="Z276" i="12"/>
  <c r="Z277" i="12"/>
  <c r="Z278" i="12"/>
  <c r="Z279" i="12"/>
  <c r="Z280" i="12"/>
  <c r="Z281" i="12"/>
  <c r="Z282" i="12"/>
  <c r="Z283" i="12"/>
  <c r="Z284" i="12"/>
  <c r="Z285" i="12"/>
  <c r="Z286" i="12"/>
  <c r="Z287" i="12"/>
  <c r="Z288" i="12"/>
  <c r="Z289" i="12"/>
  <c r="Z290" i="12"/>
  <c r="Z291" i="12"/>
  <c r="Z292" i="12"/>
  <c r="Z293" i="12"/>
  <c r="Z294" i="12"/>
  <c r="Z295" i="12"/>
  <c r="Z296" i="12"/>
  <c r="Z297" i="12"/>
  <c r="Z298" i="12"/>
  <c r="Z299" i="12"/>
  <c r="Z300" i="12"/>
  <c r="Y4" i="12"/>
  <c r="Y5" i="12"/>
  <c r="Y6" i="12"/>
  <c r="Y7" i="12"/>
  <c r="Y8" i="12"/>
  <c r="Y9" i="12"/>
  <c r="Y10" i="12"/>
  <c r="Y11" i="12"/>
  <c r="Y12" i="12"/>
  <c r="Y13" i="12"/>
  <c r="Y14" i="12"/>
  <c r="Y15" i="12"/>
  <c r="Y16" i="12"/>
  <c r="Y17" i="12"/>
  <c r="Y18" i="12"/>
  <c r="Y19" i="12"/>
  <c r="Y20" i="12"/>
  <c r="Y21" i="12"/>
  <c r="Y22" i="12"/>
  <c r="Y23" i="12"/>
  <c r="Y24" i="12"/>
  <c r="Y25" i="12"/>
  <c r="Y26" i="12"/>
  <c r="Y27" i="12"/>
  <c r="Y28" i="12"/>
  <c r="Y29" i="12"/>
  <c r="Y30" i="12"/>
  <c r="Y31" i="12"/>
  <c r="Y32" i="12"/>
  <c r="Y33" i="12"/>
  <c r="Y34" i="12"/>
  <c r="Y35" i="12"/>
  <c r="Y36" i="12"/>
  <c r="Y37" i="12"/>
  <c r="Y38" i="12"/>
  <c r="Y39" i="12"/>
  <c r="Y40" i="12"/>
  <c r="Y41" i="12"/>
  <c r="Y42" i="12"/>
  <c r="Y43" i="12"/>
  <c r="Y44" i="12"/>
  <c r="Y45" i="12"/>
  <c r="Y46" i="12"/>
  <c r="Y47" i="12"/>
  <c r="Y48" i="12"/>
  <c r="Y49" i="12"/>
  <c r="Y50" i="12"/>
  <c r="Y51" i="12"/>
  <c r="Y52" i="12"/>
  <c r="Y53" i="12"/>
  <c r="Y54" i="12"/>
  <c r="Y55" i="12"/>
  <c r="Y56" i="12"/>
  <c r="Y57" i="12"/>
  <c r="Y58" i="12"/>
  <c r="Y59" i="12"/>
  <c r="Y60" i="12"/>
  <c r="Y61" i="12"/>
  <c r="Y62" i="12"/>
  <c r="Y63" i="12"/>
  <c r="Y64" i="12"/>
  <c r="Y65" i="12"/>
  <c r="Y66" i="12"/>
  <c r="Y67" i="12"/>
  <c r="Y68" i="12"/>
  <c r="Y69" i="12"/>
  <c r="Y70" i="12"/>
  <c r="Y71" i="12"/>
  <c r="Y72" i="12"/>
  <c r="Y73" i="12"/>
  <c r="Y74" i="12"/>
  <c r="Y75" i="12"/>
  <c r="Y76" i="12"/>
  <c r="Y77" i="12"/>
  <c r="Y78" i="12"/>
  <c r="Y79" i="12"/>
  <c r="Y80" i="12"/>
  <c r="Y81" i="12"/>
  <c r="Y82" i="12"/>
  <c r="Y83" i="12"/>
  <c r="Y84" i="12"/>
  <c r="Y85" i="12"/>
  <c r="Y86" i="12"/>
  <c r="Y87" i="12"/>
  <c r="Y88" i="12"/>
  <c r="Y89" i="12"/>
  <c r="Y90" i="12"/>
  <c r="Y91" i="12"/>
  <c r="Y92" i="12"/>
  <c r="Y93" i="12"/>
  <c r="Y94" i="12"/>
  <c r="Y95" i="12"/>
  <c r="Y96" i="12"/>
  <c r="Y97" i="12"/>
  <c r="Y98" i="12"/>
  <c r="Y99" i="12"/>
  <c r="Y100" i="12"/>
  <c r="Y101" i="12"/>
  <c r="Y102" i="12"/>
  <c r="Y103" i="12"/>
  <c r="Y104" i="12"/>
  <c r="Y105" i="12"/>
  <c r="Y106" i="12"/>
  <c r="Y107" i="12"/>
  <c r="Y108" i="12"/>
  <c r="Y109" i="12"/>
  <c r="Y110" i="12"/>
  <c r="Y111" i="12"/>
  <c r="Y112" i="12"/>
  <c r="Y113" i="12"/>
  <c r="Y114" i="12"/>
  <c r="Y115" i="12"/>
  <c r="Y116" i="12"/>
  <c r="Y117" i="12"/>
  <c r="Y118" i="12"/>
  <c r="Y119" i="12"/>
  <c r="Y120" i="12"/>
  <c r="Y121" i="12"/>
  <c r="Y122" i="12"/>
  <c r="Y123" i="12"/>
  <c r="Y124" i="12"/>
  <c r="Y125" i="12"/>
  <c r="Y126" i="12"/>
  <c r="Y127" i="12"/>
  <c r="Y128" i="12"/>
  <c r="Y129" i="12"/>
  <c r="Y130" i="12"/>
  <c r="Y131" i="12"/>
  <c r="Y132" i="12"/>
  <c r="Y133" i="12"/>
  <c r="Y134" i="12"/>
  <c r="Y135" i="12"/>
  <c r="Y136" i="12"/>
  <c r="Y137" i="12"/>
  <c r="Y138" i="12"/>
  <c r="Y139" i="12"/>
  <c r="Y140" i="12"/>
  <c r="Y141" i="12"/>
  <c r="Y142" i="12"/>
  <c r="Y143" i="12"/>
  <c r="Y144" i="12"/>
  <c r="Y145" i="12"/>
  <c r="Y146" i="12"/>
  <c r="Y147" i="12"/>
  <c r="Y148" i="12"/>
  <c r="Y149" i="12"/>
  <c r="Y150" i="12"/>
  <c r="Y151" i="12"/>
  <c r="Y152" i="12"/>
  <c r="Y153" i="12"/>
  <c r="Y154" i="12"/>
  <c r="Y155" i="12"/>
  <c r="Y156" i="12"/>
  <c r="Y157" i="12"/>
  <c r="Y158" i="12"/>
  <c r="Y159" i="12"/>
  <c r="Y160" i="12"/>
  <c r="Y161" i="12"/>
  <c r="Y162" i="12"/>
  <c r="Y163" i="12"/>
  <c r="Y164" i="12"/>
  <c r="Y165" i="12"/>
  <c r="Y166" i="12"/>
  <c r="Y167" i="12"/>
  <c r="Y168" i="12"/>
  <c r="Y169" i="12"/>
  <c r="Y170" i="12"/>
  <c r="Y171" i="12"/>
  <c r="Y172" i="12"/>
  <c r="Y173" i="12"/>
  <c r="Y174" i="12"/>
  <c r="Y175" i="12"/>
  <c r="Y176" i="12"/>
  <c r="Y177" i="12"/>
  <c r="Y178" i="12"/>
  <c r="Y179" i="12"/>
  <c r="Y180" i="12"/>
  <c r="Y181" i="12"/>
  <c r="Y182" i="12"/>
  <c r="Y183" i="12"/>
  <c r="Y184" i="12"/>
  <c r="Y185" i="12"/>
  <c r="Y186" i="12"/>
  <c r="Y187" i="12"/>
  <c r="Y188" i="12"/>
  <c r="Y189" i="12"/>
  <c r="Y190" i="12"/>
  <c r="Y191" i="12"/>
  <c r="Y192" i="12"/>
  <c r="Y193" i="12"/>
  <c r="Y194" i="12"/>
  <c r="Y195" i="12"/>
  <c r="Y196" i="12"/>
  <c r="Y197" i="12"/>
  <c r="Y198" i="12"/>
  <c r="Y199" i="12"/>
  <c r="Y200" i="12"/>
  <c r="Y201" i="12"/>
  <c r="Y202" i="12"/>
  <c r="Y203" i="12"/>
  <c r="Y204" i="12"/>
  <c r="Y205" i="12"/>
  <c r="Y206" i="12"/>
  <c r="Y207" i="12"/>
  <c r="Y208" i="12"/>
  <c r="Y209" i="12"/>
  <c r="Y210" i="12"/>
  <c r="Y211" i="12"/>
  <c r="Y212" i="12"/>
  <c r="Y213" i="12"/>
  <c r="Y214" i="12"/>
  <c r="Y215" i="12"/>
  <c r="Y216" i="12"/>
  <c r="Y217" i="12"/>
  <c r="Y218" i="12"/>
  <c r="Y219" i="12"/>
  <c r="Y220" i="12"/>
  <c r="Y221" i="12"/>
  <c r="Y222" i="12"/>
  <c r="Y223" i="12"/>
  <c r="Y224" i="12"/>
  <c r="Y225" i="12"/>
  <c r="Y226" i="12"/>
  <c r="Y227" i="12"/>
  <c r="Y228" i="12"/>
  <c r="Y229" i="12"/>
  <c r="Y230" i="12"/>
  <c r="Y231" i="12"/>
  <c r="Y232" i="12"/>
  <c r="Y233" i="12"/>
  <c r="Y234" i="12"/>
  <c r="Y235" i="12"/>
  <c r="Y236" i="12"/>
  <c r="Y237" i="12"/>
  <c r="Y238" i="12"/>
  <c r="Y239" i="12"/>
  <c r="Y240" i="12"/>
  <c r="Y241" i="12"/>
  <c r="Y242" i="12"/>
  <c r="Y243" i="12"/>
  <c r="Y244" i="12"/>
  <c r="Y245" i="12"/>
  <c r="Y246" i="12"/>
  <c r="Y247" i="12"/>
  <c r="Y248" i="12"/>
  <c r="Y249" i="12"/>
  <c r="Y250" i="12"/>
  <c r="Y251" i="12"/>
  <c r="Y252" i="12"/>
  <c r="Y253" i="12"/>
  <c r="Y254" i="12"/>
  <c r="Y255" i="12"/>
  <c r="Y256" i="12"/>
  <c r="Y257" i="12"/>
  <c r="Y258" i="12"/>
  <c r="Y259" i="12"/>
  <c r="Y260" i="12"/>
  <c r="Y261" i="12"/>
  <c r="Y262" i="12"/>
  <c r="Y263" i="12"/>
  <c r="Y264" i="12"/>
  <c r="Y265" i="12"/>
  <c r="Y266" i="12"/>
  <c r="Y267" i="12"/>
  <c r="Y268" i="12"/>
  <c r="Y269" i="12"/>
  <c r="Y270" i="12"/>
  <c r="Y271" i="12"/>
  <c r="Y272" i="12"/>
  <c r="Y273" i="12"/>
  <c r="Y274" i="12"/>
  <c r="Y275" i="12"/>
  <c r="Y276" i="12"/>
  <c r="Y277" i="12"/>
  <c r="Y278" i="12"/>
  <c r="Y279" i="12"/>
  <c r="Y280" i="12"/>
  <c r="Y281" i="12"/>
  <c r="Y282" i="12"/>
  <c r="Y283" i="12"/>
  <c r="Y284" i="12"/>
  <c r="Y285" i="12"/>
  <c r="Y286" i="12"/>
  <c r="Y287" i="12"/>
  <c r="Y288" i="12"/>
  <c r="Y289" i="12"/>
  <c r="Y290" i="12"/>
  <c r="Y291" i="12"/>
  <c r="Y292" i="12"/>
  <c r="Y293" i="12"/>
  <c r="Y294" i="12"/>
  <c r="Y295" i="12"/>
  <c r="Y296" i="12"/>
  <c r="Y297" i="12"/>
  <c r="Y298" i="12"/>
  <c r="Y299" i="12"/>
  <c r="Y300" i="12"/>
  <c r="X4" i="12"/>
  <c r="X5" i="12"/>
  <c r="X6" i="12"/>
  <c r="X7" i="12"/>
  <c r="X8" i="12"/>
  <c r="X9" i="12"/>
  <c r="X10" i="12"/>
  <c r="X11" i="12"/>
  <c r="X12" i="12"/>
  <c r="X13" i="12"/>
  <c r="X14" i="12"/>
  <c r="X15" i="12"/>
  <c r="X16" i="12"/>
  <c r="X17" i="12"/>
  <c r="X18" i="12"/>
  <c r="X19" i="12"/>
  <c r="X20" i="12"/>
  <c r="X21" i="12"/>
  <c r="X22" i="12"/>
  <c r="X23" i="12"/>
  <c r="X24" i="12"/>
  <c r="X25" i="12"/>
  <c r="X26" i="12"/>
  <c r="X27" i="12"/>
  <c r="X28" i="12"/>
  <c r="X29" i="12"/>
  <c r="X30" i="12"/>
  <c r="X31" i="12"/>
  <c r="X32" i="12"/>
  <c r="X33" i="12"/>
  <c r="X34" i="12"/>
  <c r="X35" i="12"/>
  <c r="X36" i="12"/>
  <c r="X37" i="12"/>
  <c r="X38" i="12"/>
  <c r="X39" i="12"/>
  <c r="X40" i="12"/>
  <c r="X41" i="12"/>
  <c r="X42" i="12"/>
  <c r="X43" i="12"/>
  <c r="X44" i="12"/>
  <c r="X45" i="12"/>
  <c r="X46" i="12"/>
  <c r="X47" i="12"/>
  <c r="X48" i="12"/>
  <c r="X49" i="12"/>
  <c r="X50" i="12"/>
  <c r="X51" i="12"/>
  <c r="X52" i="12"/>
  <c r="X53" i="12"/>
  <c r="X54" i="12"/>
  <c r="X55" i="12"/>
  <c r="X56" i="12"/>
  <c r="X57" i="12"/>
  <c r="X58" i="12"/>
  <c r="X59" i="12"/>
  <c r="X60" i="12"/>
  <c r="X61" i="12"/>
  <c r="X62" i="12"/>
  <c r="X63" i="12"/>
  <c r="X64" i="12"/>
  <c r="X65" i="12"/>
  <c r="X66" i="12"/>
  <c r="X67" i="12"/>
  <c r="X68" i="12"/>
  <c r="X69" i="12"/>
  <c r="X70" i="12"/>
  <c r="X71" i="12"/>
  <c r="X72" i="12"/>
  <c r="X73" i="12"/>
  <c r="X74" i="12"/>
  <c r="X75" i="12"/>
  <c r="X76" i="12"/>
  <c r="X77" i="12"/>
  <c r="X78" i="12"/>
  <c r="X79" i="12"/>
  <c r="X80" i="12"/>
  <c r="X81" i="12"/>
  <c r="X82" i="12"/>
  <c r="X83" i="12"/>
  <c r="X84" i="12"/>
  <c r="X85" i="12"/>
  <c r="X86" i="12"/>
  <c r="X87" i="12"/>
  <c r="X88" i="12"/>
  <c r="X89" i="12"/>
  <c r="X90" i="12"/>
  <c r="X91" i="12"/>
  <c r="X92" i="12"/>
  <c r="X93" i="12"/>
  <c r="X94" i="12"/>
  <c r="X95" i="12"/>
  <c r="X96" i="12"/>
  <c r="X97" i="12"/>
  <c r="X98" i="12"/>
  <c r="X99" i="12"/>
  <c r="X100" i="12"/>
  <c r="X101" i="12"/>
  <c r="X102" i="12"/>
  <c r="X103" i="12"/>
  <c r="X104" i="12"/>
  <c r="X105" i="12"/>
  <c r="X106" i="12"/>
  <c r="X107" i="12"/>
  <c r="X108" i="12"/>
  <c r="X109" i="12"/>
  <c r="X110" i="12"/>
  <c r="X111" i="12"/>
  <c r="X112" i="12"/>
  <c r="X113" i="12"/>
  <c r="X114" i="12"/>
  <c r="X115" i="12"/>
  <c r="X116" i="12"/>
  <c r="X117" i="12"/>
  <c r="X118" i="12"/>
  <c r="X119" i="12"/>
  <c r="X120" i="12"/>
  <c r="X121" i="12"/>
  <c r="X122" i="12"/>
  <c r="X123" i="12"/>
  <c r="X124" i="12"/>
  <c r="X125" i="12"/>
  <c r="X126" i="12"/>
  <c r="X127" i="12"/>
  <c r="X128" i="12"/>
  <c r="X129" i="12"/>
  <c r="X130" i="12"/>
  <c r="X131" i="12"/>
  <c r="X132" i="12"/>
  <c r="X133" i="12"/>
  <c r="X134" i="12"/>
  <c r="X135" i="12"/>
  <c r="X136" i="12"/>
  <c r="X137" i="12"/>
  <c r="X138" i="12"/>
  <c r="X139" i="12"/>
  <c r="X140" i="12"/>
  <c r="X141" i="12"/>
  <c r="X142" i="12"/>
  <c r="X143" i="12"/>
  <c r="X144" i="12"/>
  <c r="X145" i="12"/>
  <c r="X146" i="12"/>
  <c r="X147" i="12"/>
  <c r="X148" i="12"/>
  <c r="X149" i="12"/>
  <c r="X150" i="12"/>
  <c r="X151" i="12"/>
  <c r="X152" i="12"/>
  <c r="X153" i="12"/>
  <c r="X154" i="12"/>
  <c r="X155" i="12"/>
  <c r="X156" i="12"/>
  <c r="X157" i="12"/>
  <c r="X158" i="12"/>
  <c r="X159" i="12"/>
  <c r="X160" i="12"/>
  <c r="X161" i="12"/>
  <c r="X162" i="12"/>
  <c r="X163" i="12"/>
  <c r="X164" i="12"/>
  <c r="X165" i="12"/>
  <c r="X166" i="12"/>
  <c r="X167" i="12"/>
  <c r="X168" i="12"/>
  <c r="X169" i="12"/>
  <c r="X170" i="12"/>
  <c r="X171" i="12"/>
  <c r="X172" i="12"/>
  <c r="X173" i="12"/>
  <c r="X174" i="12"/>
  <c r="X175" i="12"/>
  <c r="X176" i="12"/>
  <c r="X177" i="12"/>
  <c r="X178" i="12"/>
  <c r="X179" i="12"/>
  <c r="X180" i="12"/>
  <c r="X181" i="12"/>
  <c r="X182" i="12"/>
  <c r="X183" i="12"/>
  <c r="X184" i="12"/>
  <c r="X185" i="12"/>
  <c r="X186" i="12"/>
  <c r="X187" i="12"/>
  <c r="X188" i="12"/>
  <c r="X189" i="12"/>
  <c r="X190" i="12"/>
  <c r="X191" i="12"/>
  <c r="X192" i="12"/>
  <c r="X193" i="12"/>
  <c r="X194" i="12"/>
  <c r="X195" i="12"/>
  <c r="X196" i="12"/>
  <c r="X197" i="12"/>
  <c r="X198" i="12"/>
  <c r="X199" i="12"/>
  <c r="X200" i="12"/>
  <c r="X201" i="12"/>
  <c r="X202" i="12"/>
  <c r="X203" i="12"/>
  <c r="X204" i="12"/>
  <c r="X205" i="12"/>
  <c r="X206" i="12"/>
  <c r="X207" i="12"/>
  <c r="X208" i="12"/>
  <c r="X209" i="12"/>
  <c r="X210" i="12"/>
  <c r="X211" i="12"/>
  <c r="X212" i="12"/>
  <c r="X213" i="12"/>
  <c r="X214" i="12"/>
  <c r="X215" i="12"/>
  <c r="X216" i="12"/>
  <c r="X217" i="12"/>
  <c r="X218" i="12"/>
  <c r="X219" i="12"/>
  <c r="X220" i="12"/>
  <c r="X221" i="12"/>
  <c r="X222" i="12"/>
  <c r="X223" i="12"/>
  <c r="X224" i="12"/>
  <c r="X225" i="12"/>
  <c r="X226" i="12"/>
  <c r="X227" i="12"/>
  <c r="X228" i="12"/>
  <c r="X229" i="12"/>
  <c r="X230" i="12"/>
  <c r="X231" i="12"/>
  <c r="X232" i="12"/>
  <c r="X233" i="12"/>
  <c r="X234" i="12"/>
  <c r="X235" i="12"/>
  <c r="X236" i="12"/>
  <c r="X237" i="12"/>
  <c r="X238" i="12"/>
  <c r="X239" i="12"/>
  <c r="X240" i="12"/>
  <c r="X241" i="12"/>
  <c r="X242" i="12"/>
  <c r="X243" i="12"/>
  <c r="X244" i="12"/>
  <c r="X245" i="12"/>
  <c r="X246" i="12"/>
  <c r="X247" i="12"/>
  <c r="X248" i="12"/>
  <c r="X249" i="12"/>
  <c r="X250" i="12"/>
  <c r="X251" i="12"/>
  <c r="X252" i="12"/>
  <c r="X253" i="12"/>
  <c r="X254" i="12"/>
  <c r="X255" i="12"/>
  <c r="X256" i="12"/>
  <c r="X257" i="12"/>
  <c r="X258" i="12"/>
  <c r="X259" i="12"/>
  <c r="X260" i="12"/>
  <c r="X261" i="12"/>
  <c r="X262" i="12"/>
  <c r="X263" i="12"/>
  <c r="X264" i="12"/>
  <c r="X265" i="12"/>
  <c r="X266" i="12"/>
  <c r="X267" i="12"/>
  <c r="X268" i="12"/>
  <c r="X269" i="12"/>
  <c r="X270" i="12"/>
  <c r="X271" i="12"/>
  <c r="X272" i="12"/>
  <c r="X273" i="12"/>
  <c r="X274" i="12"/>
  <c r="X275" i="12"/>
  <c r="X276" i="12"/>
  <c r="X277" i="12"/>
  <c r="X278" i="12"/>
  <c r="X279" i="12"/>
  <c r="X280" i="12"/>
  <c r="X281" i="12"/>
  <c r="X282" i="12"/>
  <c r="X283" i="12"/>
  <c r="X284" i="12"/>
  <c r="X285" i="12"/>
  <c r="X286" i="12"/>
  <c r="X287" i="12"/>
  <c r="X288" i="12"/>
  <c r="X289" i="12"/>
  <c r="X290" i="12"/>
  <c r="X291" i="12"/>
  <c r="X292" i="12"/>
  <c r="X293" i="12"/>
  <c r="X294" i="12"/>
  <c r="X295" i="12"/>
  <c r="X296" i="12"/>
  <c r="X297" i="12"/>
  <c r="X298" i="12"/>
  <c r="X299" i="12"/>
  <c r="X300" i="12"/>
  <c r="W4" i="12"/>
  <c r="W5" i="12"/>
  <c r="W6" i="12"/>
  <c r="W7" i="12"/>
  <c r="W8" i="12"/>
  <c r="W9" i="12"/>
  <c r="W10" i="12"/>
  <c r="W11" i="12"/>
  <c r="W12" i="12"/>
  <c r="W13" i="12"/>
  <c r="W14" i="12"/>
  <c r="W15"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W48" i="12"/>
  <c r="W49" i="12"/>
  <c r="W50" i="12"/>
  <c r="W51" i="12"/>
  <c r="W52" i="12"/>
  <c r="W53" i="12"/>
  <c r="W54" i="12"/>
  <c r="W55" i="12"/>
  <c r="W56" i="12"/>
  <c r="W57" i="12"/>
  <c r="W58" i="12"/>
  <c r="W59" i="12"/>
  <c r="W60" i="12"/>
  <c r="W61" i="12"/>
  <c r="W62" i="12"/>
  <c r="W63" i="12"/>
  <c r="W64" i="12"/>
  <c r="W65" i="12"/>
  <c r="W66" i="12"/>
  <c r="W67" i="12"/>
  <c r="W68" i="12"/>
  <c r="W69" i="12"/>
  <c r="W70" i="12"/>
  <c r="W71" i="12"/>
  <c r="W72" i="12"/>
  <c r="W73" i="12"/>
  <c r="W74" i="12"/>
  <c r="W75" i="12"/>
  <c r="W76" i="12"/>
  <c r="W77" i="12"/>
  <c r="W78" i="12"/>
  <c r="W79" i="12"/>
  <c r="W80" i="12"/>
  <c r="W81" i="12"/>
  <c r="W82" i="12"/>
  <c r="W83" i="12"/>
  <c r="W84" i="12"/>
  <c r="W85" i="12"/>
  <c r="W86" i="12"/>
  <c r="W87" i="12"/>
  <c r="W88" i="12"/>
  <c r="W89" i="12"/>
  <c r="W90" i="12"/>
  <c r="W91" i="12"/>
  <c r="W92" i="12"/>
  <c r="W93" i="12"/>
  <c r="W94" i="12"/>
  <c r="W95" i="12"/>
  <c r="W96" i="12"/>
  <c r="W97" i="12"/>
  <c r="W98" i="12"/>
  <c r="W99" i="12"/>
  <c r="W100" i="12"/>
  <c r="W101" i="12"/>
  <c r="W102" i="12"/>
  <c r="W103" i="12"/>
  <c r="W104" i="12"/>
  <c r="W105" i="12"/>
  <c r="W106" i="12"/>
  <c r="W107" i="12"/>
  <c r="W108" i="12"/>
  <c r="W109" i="12"/>
  <c r="W110" i="12"/>
  <c r="W111" i="12"/>
  <c r="W112" i="12"/>
  <c r="W113" i="12"/>
  <c r="W114" i="12"/>
  <c r="W115" i="12"/>
  <c r="W116" i="12"/>
  <c r="W117" i="12"/>
  <c r="W118" i="12"/>
  <c r="W119" i="12"/>
  <c r="W120" i="12"/>
  <c r="W121" i="12"/>
  <c r="W122" i="12"/>
  <c r="W123" i="12"/>
  <c r="W124" i="12"/>
  <c r="W125" i="12"/>
  <c r="W126" i="12"/>
  <c r="W127" i="12"/>
  <c r="W128" i="12"/>
  <c r="W129" i="12"/>
  <c r="W130" i="12"/>
  <c r="W131" i="12"/>
  <c r="W132" i="12"/>
  <c r="W133" i="12"/>
  <c r="W134" i="12"/>
  <c r="W135" i="12"/>
  <c r="W136" i="12"/>
  <c r="W137" i="12"/>
  <c r="W138" i="12"/>
  <c r="W139" i="12"/>
  <c r="W140" i="12"/>
  <c r="W141" i="12"/>
  <c r="W142" i="12"/>
  <c r="W143" i="12"/>
  <c r="W144" i="12"/>
  <c r="W145" i="12"/>
  <c r="W146" i="12"/>
  <c r="W147" i="12"/>
  <c r="W148" i="12"/>
  <c r="W149" i="12"/>
  <c r="W150" i="12"/>
  <c r="W151" i="12"/>
  <c r="W152" i="12"/>
  <c r="W153" i="12"/>
  <c r="W154" i="12"/>
  <c r="W155" i="12"/>
  <c r="W156" i="12"/>
  <c r="W157" i="12"/>
  <c r="W158" i="12"/>
  <c r="W159" i="12"/>
  <c r="W160" i="12"/>
  <c r="W161" i="12"/>
  <c r="W162" i="12"/>
  <c r="W163" i="12"/>
  <c r="W164" i="12"/>
  <c r="W165" i="12"/>
  <c r="W166" i="12"/>
  <c r="W167" i="12"/>
  <c r="W168" i="12"/>
  <c r="W169" i="12"/>
  <c r="W170" i="12"/>
  <c r="W171" i="12"/>
  <c r="W172" i="12"/>
  <c r="W173" i="12"/>
  <c r="W174" i="12"/>
  <c r="W175" i="12"/>
  <c r="W176" i="12"/>
  <c r="W177" i="12"/>
  <c r="W178" i="12"/>
  <c r="W179" i="12"/>
  <c r="W180" i="12"/>
  <c r="W181" i="12"/>
  <c r="W182" i="12"/>
  <c r="W183" i="12"/>
  <c r="W184" i="12"/>
  <c r="W185" i="12"/>
  <c r="W186" i="12"/>
  <c r="W187" i="12"/>
  <c r="W188" i="12"/>
  <c r="W189" i="12"/>
  <c r="W190" i="12"/>
  <c r="W191" i="12"/>
  <c r="W192" i="12"/>
  <c r="W193" i="12"/>
  <c r="W194" i="12"/>
  <c r="W195" i="12"/>
  <c r="W196" i="12"/>
  <c r="W197" i="12"/>
  <c r="W198" i="12"/>
  <c r="W199" i="12"/>
  <c r="W200" i="12"/>
  <c r="W201" i="12"/>
  <c r="W202" i="12"/>
  <c r="W203" i="12"/>
  <c r="W204" i="12"/>
  <c r="W205" i="12"/>
  <c r="W206" i="12"/>
  <c r="W207" i="12"/>
  <c r="W208" i="12"/>
  <c r="W209" i="12"/>
  <c r="W210" i="12"/>
  <c r="W211" i="12"/>
  <c r="W212" i="12"/>
  <c r="W213" i="12"/>
  <c r="W214" i="12"/>
  <c r="W215" i="12"/>
  <c r="W216" i="12"/>
  <c r="W217" i="12"/>
  <c r="W218" i="12"/>
  <c r="W219" i="12"/>
  <c r="W220" i="12"/>
  <c r="W221" i="12"/>
  <c r="W222" i="12"/>
  <c r="W223" i="12"/>
  <c r="W224" i="12"/>
  <c r="W225" i="12"/>
  <c r="W226" i="12"/>
  <c r="W227" i="12"/>
  <c r="W228" i="12"/>
  <c r="W229" i="12"/>
  <c r="W230" i="12"/>
  <c r="W231" i="12"/>
  <c r="W232" i="12"/>
  <c r="W233" i="12"/>
  <c r="W234" i="12"/>
  <c r="W235" i="12"/>
  <c r="W236" i="12"/>
  <c r="W237" i="12"/>
  <c r="W238" i="12"/>
  <c r="W239" i="12"/>
  <c r="W240" i="12"/>
  <c r="W241" i="12"/>
  <c r="W242" i="12"/>
  <c r="W243" i="12"/>
  <c r="W244" i="12"/>
  <c r="W245" i="12"/>
  <c r="W246" i="12"/>
  <c r="W247" i="12"/>
  <c r="W248" i="12"/>
  <c r="W249" i="12"/>
  <c r="W250" i="12"/>
  <c r="W251" i="12"/>
  <c r="W252" i="12"/>
  <c r="W253" i="12"/>
  <c r="W254" i="12"/>
  <c r="W255" i="12"/>
  <c r="W256" i="12"/>
  <c r="W257" i="12"/>
  <c r="W258" i="12"/>
  <c r="W259" i="12"/>
  <c r="W260" i="12"/>
  <c r="W261" i="12"/>
  <c r="W262" i="12"/>
  <c r="W263" i="12"/>
  <c r="W264" i="12"/>
  <c r="W265" i="12"/>
  <c r="W266" i="12"/>
  <c r="W267" i="12"/>
  <c r="W268" i="12"/>
  <c r="W269" i="12"/>
  <c r="W270" i="12"/>
  <c r="W271" i="12"/>
  <c r="W272" i="12"/>
  <c r="W273" i="12"/>
  <c r="W274" i="12"/>
  <c r="W275" i="12"/>
  <c r="W276" i="12"/>
  <c r="W277" i="12"/>
  <c r="W278" i="12"/>
  <c r="W279" i="12"/>
  <c r="W280" i="12"/>
  <c r="W281" i="12"/>
  <c r="W282" i="12"/>
  <c r="W283" i="12"/>
  <c r="W284" i="12"/>
  <c r="W285" i="12"/>
  <c r="W286" i="12"/>
  <c r="W287" i="12"/>
  <c r="W288" i="12"/>
  <c r="W289" i="12"/>
  <c r="W290" i="12"/>
  <c r="W291" i="12"/>
  <c r="W292" i="12"/>
  <c r="W293" i="12"/>
  <c r="W294" i="12"/>
  <c r="W295" i="12"/>
  <c r="W296" i="12"/>
  <c r="W297" i="12"/>
  <c r="W298" i="12"/>
  <c r="W299" i="12"/>
  <c r="W300" i="12"/>
  <c r="AB1" i="12"/>
  <c r="Q1" i="12"/>
  <c r="R1" i="12"/>
  <c r="AC3" i="12"/>
  <c r="AB3" i="12"/>
  <c r="Z3" i="12"/>
  <c r="Y3" i="12"/>
  <c r="X3" i="12"/>
  <c r="W3" i="12"/>
  <c r="T3" i="12" a="1"/>
  <c r="T3" i="12" s="1"/>
  <c r="Q4" i="12"/>
  <c r="Q5" i="12"/>
  <c r="Q6" i="12"/>
  <c r="Q7" i="12"/>
  <c r="Q8" i="12"/>
  <c r="Q9" i="12"/>
  <c r="Q10" i="12"/>
  <c r="Q11" i="12"/>
  <c r="Q12" i="12"/>
  <c r="Q13" i="12"/>
  <c r="Q14" i="12"/>
  <c r="Q15" i="12"/>
  <c r="Q16" i="12"/>
  <c r="Q17" i="12"/>
  <c r="Q18" i="12"/>
  <c r="Q19" i="12"/>
  <c r="Q20" i="12"/>
  <c r="Q21" i="12"/>
  <c r="Q22" i="12"/>
  <c r="Q23" i="12"/>
  <c r="R23" i="12" s="1"/>
  <c r="Q24" i="12"/>
  <c r="R24" i="12" s="1"/>
  <c r="Q25" i="12"/>
  <c r="R25" i="12" s="1"/>
  <c r="Q26" i="12"/>
  <c r="R26" i="12" s="1"/>
  <c r="Q27" i="12"/>
  <c r="R27" i="12" s="1"/>
  <c r="Q28" i="12"/>
  <c r="R28" i="12" s="1"/>
  <c r="Q29" i="12"/>
  <c r="R29" i="12" s="1"/>
  <c r="Q30" i="12"/>
  <c r="R30" i="12" s="1"/>
  <c r="Q31" i="12"/>
  <c r="R31" i="12" s="1"/>
  <c r="Q32" i="12"/>
  <c r="R32" i="12" s="1"/>
  <c r="Q33" i="12"/>
  <c r="R33" i="12" s="1"/>
  <c r="Q34" i="12"/>
  <c r="R34" i="12" s="1"/>
  <c r="Q35" i="12"/>
  <c r="R35" i="12" s="1"/>
  <c r="Q36" i="12"/>
  <c r="Q37" i="12"/>
  <c r="Q38" i="12"/>
  <c r="Q39" i="12"/>
  <c r="Q40" i="12"/>
  <c r="Q41" i="12"/>
  <c r="Q42" i="12"/>
  <c r="Q43" i="12"/>
  <c r="Q44" i="12"/>
  <c r="Q45" i="12"/>
  <c r="Q46" i="12"/>
  <c r="Q47" i="12"/>
  <c r="Q48" i="12"/>
  <c r="Q49" i="12"/>
  <c r="Q50" i="12"/>
  <c r="Q51" i="12"/>
  <c r="Q52" i="12"/>
  <c r="Q53" i="12"/>
  <c r="Q54" i="12"/>
  <c r="Q55" i="12"/>
  <c r="Q56" i="12"/>
  <c r="Q57" i="12"/>
  <c r="Q58" i="12"/>
  <c r="Q59" i="12"/>
  <c r="R59" i="12" s="1"/>
  <c r="Q60" i="12"/>
  <c r="Q61" i="12"/>
  <c r="Q62" i="12"/>
  <c r="Q63" i="12"/>
  <c r="Q64" i="12"/>
  <c r="R64" i="12" s="1"/>
  <c r="Q65" i="12"/>
  <c r="Q66" i="12"/>
  <c r="R66" i="12" s="1"/>
  <c r="Q67" i="12"/>
  <c r="Q68" i="12"/>
  <c r="Q69" i="12"/>
  <c r="Q70" i="12"/>
  <c r="Q71" i="12"/>
  <c r="Q72" i="12"/>
  <c r="Q73" i="12"/>
  <c r="Q74" i="12"/>
  <c r="Q75" i="12"/>
  <c r="Q76" i="12"/>
  <c r="Q77" i="12"/>
  <c r="Q78" i="12"/>
  <c r="Q79" i="12"/>
  <c r="Q80" i="12"/>
  <c r="Q81" i="12"/>
  <c r="Q82" i="12"/>
  <c r="Q83" i="12"/>
  <c r="Q84" i="12"/>
  <c r="Q85" i="12"/>
  <c r="Q86" i="12"/>
  <c r="Q87" i="12"/>
  <c r="R87" i="12" s="1"/>
  <c r="Q88" i="12"/>
  <c r="R88" i="12" s="1"/>
  <c r="Q89" i="12"/>
  <c r="R89" i="12" s="1"/>
  <c r="Q90" i="12"/>
  <c r="R90" i="12" s="1"/>
  <c r="Q91" i="12"/>
  <c r="R91" i="12" s="1"/>
  <c r="Q92" i="12"/>
  <c r="R92" i="12" s="1"/>
  <c r="Q93" i="12"/>
  <c r="R93" i="12" s="1"/>
  <c r="Q94" i="12"/>
  <c r="R94" i="12" s="1"/>
  <c r="Q95" i="12"/>
  <c r="R95" i="12" s="1"/>
  <c r="Q96" i="12"/>
  <c r="R96" i="12" s="1"/>
  <c r="Q97" i="12"/>
  <c r="R97" i="12" s="1"/>
  <c r="Q98" i="12"/>
  <c r="R98" i="12" s="1"/>
  <c r="Q99" i="12"/>
  <c r="R99" i="12" s="1"/>
  <c r="Q100" i="12"/>
  <c r="Q101" i="12"/>
  <c r="Q102" i="12"/>
  <c r="Q103" i="12"/>
  <c r="Q104" i="12"/>
  <c r="Q105" i="12"/>
  <c r="Q106" i="12"/>
  <c r="Q107" i="12"/>
  <c r="Q108" i="12"/>
  <c r="Q109" i="12"/>
  <c r="Q110" i="12"/>
  <c r="Q111" i="12"/>
  <c r="Q112" i="12"/>
  <c r="Q113" i="12"/>
  <c r="Q114" i="12"/>
  <c r="Q115" i="12"/>
  <c r="Q116" i="12"/>
  <c r="Q117" i="12"/>
  <c r="Q118" i="12"/>
  <c r="Q119" i="12"/>
  <c r="Q120" i="12"/>
  <c r="Q121" i="12"/>
  <c r="Q122" i="12"/>
  <c r="Q123" i="12"/>
  <c r="Q124" i="12"/>
  <c r="Q125" i="12"/>
  <c r="Q126" i="12"/>
  <c r="Q127" i="12"/>
  <c r="Q128" i="12"/>
  <c r="Q129" i="12"/>
  <c r="Q130" i="12"/>
  <c r="Q131" i="12"/>
  <c r="Q132" i="12"/>
  <c r="Q133" i="12"/>
  <c r="Q134" i="12"/>
  <c r="Q135" i="12"/>
  <c r="Q136" i="12"/>
  <c r="Q137" i="12"/>
  <c r="Q138" i="12"/>
  <c r="Q139" i="12"/>
  <c r="Q140" i="12"/>
  <c r="Q141" i="12"/>
  <c r="Q142" i="12"/>
  <c r="Q143" i="12"/>
  <c r="Q144" i="12"/>
  <c r="Q145" i="12"/>
  <c r="Q146" i="12"/>
  <c r="Q147" i="12"/>
  <c r="Q148" i="12"/>
  <c r="Q149" i="12"/>
  <c r="Q150" i="12"/>
  <c r="Q151" i="12"/>
  <c r="Q152" i="12"/>
  <c r="Q153" i="12"/>
  <c r="Q154" i="12"/>
  <c r="Q155" i="12"/>
  <c r="Q156" i="12"/>
  <c r="Q157" i="12"/>
  <c r="Q158" i="12"/>
  <c r="Q159" i="12"/>
  <c r="Q160" i="12"/>
  <c r="Q161" i="12"/>
  <c r="Q162" i="12"/>
  <c r="Q163" i="12"/>
  <c r="Q164" i="12"/>
  <c r="Q165" i="12"/>
  <c r="Q166" i="12"/>
  <c r="Q167" i="12"/>
  <c r="Q168" i="12"/>
  <c r="Q169" i="12"/>
  <c r="Q170" i="12"/>
  <c r="Q171" i="12"/>
  <c r="Q172" i="12"/>
  <c r="Q173" i="12"/>
  <c r="Q174" i="12"/>
  <c r="Q175" i="12"/>
  <c r="Q176" i="12"/>
  <c r="Q177" i="12"/>
  <c r="Q178" i="12"/>
  <c r="Q179" i="12"/>
  <c r="Q180" i="12"/>
  <c r="Q181" i="12"/>
  <c r="Q182" i="12"/>
  <c r="Q183" i="12"/>
  <c r="Q184" i="12"/>
  <c r="Q185" i="12"/>
  <c r="Q186" i="12"/>
  <c r="Q187" i="12"/>
  <c r="Q188" i="12"/>
  <c r="Q189" i="12"/>
  <c r="Q190" i="12"/>
  <c r="Q191" i="12"/>
  <c r="Q192" i="12"/>
  <c r="Q193" i="12"/>
  <c r="Q194" i="12"/>
  <c r="Q195" i="12"/>
  <c r="Q196" i="12"/>
  <c r="Q197" i="12"/>
  <c r="Q198" i="12"/>
  <c r="Q199" i="12"/>
  <c r="Q200" i="12"/>
  <c r="Q201" i="12"/>
  <c r="Q202" i="12"/>
  <c r="Q203" i="12"/>
  <c r="Q204" i="12"/>
  <c r="Q205" i="12"/>
  <c r="Q206" i="12"/>
  <c r="Q207" i="12"/>
  <c r="Q208" i="12"/>
  <c r="Q209" i="12"/>
  <c r="Q210" i="12"/>
  <c r="Q211" i="12"/>
  <c r="Q212" i="12"/>
  <c r="Q213" i="12"/>
  <c r="Q214" i="12"/>
  <c r="Q215" i="12"/>
  <c r="Q216" i="12"/>
  <c r="Q217" i="12"/>
  <c r="Q218" i="12"/>
  <c r="Q219" i="12"/>
  <c r="Q220" i="12"/>
  <c r="Q221" i="12"/>
  <c r="Q222" i="12"/>
  <c r="Q223" i="12"/>
  <c r="Q224" i="12"/>
  <c r="Q225" i="12"/>
  <c r="Q226" i="12"/>
  <c r="Q227" i="12"/>
  <c r="Q228" i="12"/>
  <c r="Q229" i="12"/>
  <c r="Q230" i="12"/>
  <c r="Q231" i="12"/>
  <c r="Q232" i="12"/>
  <c r="Q233" i="12"/>
  <c r="Q234" i="12"/>
  <c r="Q235" i="12"/>
  <c r="Q236" i="12"/>
  <c r="Q237" i="12"/>
  <c r="Q238" i="12"/>
  <c r="Q239" i="12"/>
  <c r="Q240" i="12"/>
  <c r="Q241" i="12"/>
  <c r="Q242" i="12"/>
  <c r="Q243" i="12"/>
  <c r="Q244" i="12"/>
  <c r="Q245" i="12"/>
  <c r="Q246" i="12"/>
  <c r="Q247" i="12"/>
  <c r="Q248" i="12"/>
  <c r="Q249" i="12"/>
  <c r="Q250" i="12"/>
  <c r="Q251" i="12"/>
  <c r="Q252" i="12"/>
  <c r="Q253" i="12"/>
  <c r="Q254" i="12"/>
  <c r="Q255" i="12"/>
  <c r="Q256" i="12"/>
  <c r="Q257" i="12"/>
  <c r="Q258" i="12"/>
  <c r="Q259" i="12"/>
  <c r="Q260" i="12"/>
  <c r="Q261" i="12"/>
  <c r="Q262" i="12"/>
  <c r="Q263" i="12"/>
  <c r="Q264" i="12"/>
  <c r="Q265" i="12"/>
  <c r="Q266" i="12"/>
  <c r="Q267" i="12"/>
  <c r="Q268" i="12"/>
  <c r="Q269" i="12"/>
  <c r="Q270" i="12"/>
  <c r="Q271" i="12"/>
  <c r="Q272" i="12"/>
  <c r="Q273" i="12"/>
  <c r="Q274" i="12"/>
  <c r="Q275" i="12"/>
  <c r="Q276" i="12"/>
  <c r="Q277" i="12"/>
  <c r="Q278" i="12"/>
  <c r="Q279" i="12"/>
  <c r="Q280" i="12"/>
  <c r="Q281" i="12"/>
  <c r="Q282" i="12"/>
  <c r="Q283" i="12"/>
  <c r="Q284" i="12"/>
  <c r="Q285" i="12"/>
  <c r="Q286" i="12"/>
  <c r="Q287" i="12"/>
  <c r="Q288" i="12"/>
  <c r="Q289" i="12"/>
  <c r="Q290" i="12"/>
  <c r="Q291" i="12"/>
  <c r="Q292" i="12"/>
  <c r="Q293" i="12"/>
  <c r="Q294" i="12"/>
  <c r="Q295" i="12"/>
  <c r="Q296" i="12"/>
  <c r="Q297" i="12"/>
  <c r="Q298" i="12"/>
  <c r="Q299" i="12"/>
  <c r="Q300" i="12"/>
  <c r="R41" i="12"/>
  <c r="R49" i="12"/>
  <c r="R56" i="12"/>
  <c r="R60" i="12"/>
  <c r="R61" i="12"/>
  <c r="R62" i="12"/>
  <c r="R63" i="12"/>
  <c r="R65" i="12"/>
  <c r="R67" i="12"/>
  <c r="R84" i="12"/>
  <c r="R85" i="12"/>
  <c r="R86" i="12"/>
  <c r="R4" i="12"/>
  <c r="R5" i="12"/>
  <c r="R6" i="12"/>
  <c r="R7" i="12"/>
  <c r="R8" i="12"/>
  <c r="R9" i="12"/>
  <c r="R10" i="12"/>
  <c r="R11" i="12"/>
  <c r="R12" i="12"/>
  <c r="R13" i="12"/>
  <c r="R14" i="12"/>
  <c r="R15" i="12"/>
  <c r="R16" i="12"/>
  <c r="R17" i="12"/>
  <c r="R18" i="12"/>
  <c r="R19" i="12"/>
  <c r="R20" i="12"/>
  <c r="R21" i="12"/>
  <c r="R22" i="12"/>
  <c r="R36" i="12"/>
  <c r="R37" i="12"/>
  <c r="R38" i="12"/>
  <c r="R39" i="12"/>
  <c r="R40" i="12"/>
  <c r="R42" i="12"/>
  <c r="R43" i="12"/>
  <c r="R44" i="12"/>
  <c r="R45" i="12"/>
  <c r="R46" i="12"/>
  <c r="R47" i="12"/>
  <c r="R48" i="12"/>
  <c r="R50" i="12"/>
  <c r="R51" i="12"/>
  <c r="R52" i="12"/>
  <c r="R53" i="12"/>
  <c r="R54" i="12"/>
  <c r="R55" i="12"/>
  <c r="R57" i="12"/>
  <c r="R58" i="12"/>
  <c r="R68" i="12"/>
  <c r="R69" i="12"/>
  <c r="R70" i="12"/>
  <c r="R71" i="12"/>
  <c r="R72" i="12"/>
  <c r="R73" i="12"/>
  <c r="R74" i="12"/>
  <c r="R75" i="12"/>
  <c r="R76" i="12"/>
  <c r="R77" i="12"/>
  <c r="R78" i="12"/>
  <c r="R79" i="12"/>
  <c r="R80" i="12"/>
  <c r="R81" i="12"/>
  <c r="R82" i="12"/>
  <c r="R83" i="12"/>
  <c r="R100" i="12"/>
  <c r="R101" i="12"/>
  <c r="R102" i="12"/>
  <c r="R103" i="12"/>
  <c r="R104" i="12"/>
  <c r="R105" i="12"/>
  <c r="R106" i="12"/>
  <c r="R107" i="12"/>
  <c r="R108" i="12"/>
  <c r="R109" i="12"/>
  <c r="R110" i="12"/>
  <c r="R111" i="12"/>
  <c r="R112" i="12"/>
  <c r="R113" i="12"/>
  <c r="R114" i="12"/>
  <c r="R115" i="12"/>
  <c r="R116" i="12"/>
  <c r="R117" i="12"/>
  <c r="R118" i="12"/>
  <c r="R119" i="12"/>
  <c r="R120" i="12"/>
  <c r="R121" i="12"/>
  <c r="R122" i="12"/>
  <c r="R123" i="12"/>
  <c r="R124" i="12"/>
  <c r="R125" i="12"/>
  <c r="R126" i="12"/>
  <c r="R127" i="12"/>
  <c r="R128" i="12"/>
  <c r="R129" i="12"/>
  <c r="R130" i="12"/>
  <c r="R131" i="12"/>
  <c r="R132" i="12"/>
  <c r="R133" i="12"/>
  <c r="R134" i="12"/>
  <c r="R135" i="12"/>
  <c r="R136" i="12"/>
  <c r="R137" i="12"/>
  <c r="R138" i="12"/>
  <c r="R139" i="12"/>
  <c r="R140" i="12"/>
  <c r="R141" i="12"/>
  <c r="R142" i="12"/>
  <c r="R143" i="12"/>
  <c r="R144" i="12"/>
  <c r="R145" i="12"/>
  <c r="R146" i="12"/>
  <c r="R147" i="12"/>
  <c r="R148" i="12"/>
  <c r="R149" i="12"/>
  <c r="R150" i="12"/>
  <c r="R151" i="12"/>
  <c r="R152" i="12"/>
  <c r="R153" i="12"/>
  <c r="R154" i="12"/>
  <c r="R155" i="12"/>
  <c r="R156" i="12"/>
  <c r="R157" i="12"/>
  <c r="R158" i="12"/>
  <c r="R159" i="12"/>
  <c r="R160" i="12"/>
  <c r="R161" i="12"/>
  <c r="R162" i="12"/>
  <c r="R163" i="12"/>
  <c r="R164" i="12"/>
  <c r="R165" i="12"/>
  <c r="R166" i="12"/>
  <c r="R167" i="12"/>
  <c r="R168" i="12"/>
  <c r="R169" i="12"/>
  <c r="R170" i="12"/>
  <c r="R171" i="12"/>
  <c r="R172" i="12"/>
  <c r="R173" i="12"/>
  <c r="R174" i="12"/>
  <c r="R175" i="12"/>
  <c r="R176" i="12"/>
  <c r="R177" i="12"/>
  <c r="R178" i="12"/>
  <c r="R179" i="12"/>
  <c r="R180" i="12"/>
  <c r="R181" i="12"/>
  <c r="R182" i="12"/>
  <c r="R183" i="12"/>
  <c r="R184" i="12"/>
  <c r="R185" i="12"/>
  <c r="R186" i="12"/>
  <c r="R187" i="12"/>
  <c r="R188" i="12"/>
  <c r="R189" i="12"/>
  <c r="R190" i="12"/>
  <c r="R191" i="12"/>
  <c r="R192" i="12"/>
  <c r="R193" i="12"/>
  <c r="R194" i="12"/>
  <c r="R195" i="12"/>
  <c r="R196" i="12"/>
  <c r="R197" i="12"/>
  <c r="R198" i="12"/>
  <c r="R199" i="12"/>
  <c r="R200" i="12"/>
  <c r="R201" i="12"/>
  <c r="R202" i="12"/>
  <c r="R203" i="12"/>
  <c r="R204" i="12"/>
  <c r="R205" i="12"/>
  <c r="R206" i="12"/>
  <c r="R207" i="12"/>
  <c r="R208" i="12"/>
  <c r="R209" i="12"/>
  <c r="R210" i="12"/>
  <c r="R211" i="12"/>
  <c r="R212" i="12"/>
  <c r="R213" i="12"/>
  <c r="R214" i="12"/>
  <c r="R215" i="12"/>
  <c r="R216" i="12"/>
  <c r="R217" i="12"/>
  <c r="R218" i="12"/>
  <c r="R219" i="12"/>
  <c r="R220" i="12"/>
  <c r="R221" i="12"/>
  <c r="R222" i="12"/>
  <c r="R223" i="12"/>
  <c r="R224" i="12"/>
  <c r="R225" i="12"/>
  <c r="R226" i="12"/>
  <c r="R227" i="12"/>
  <c r="R228" i="12"/>
  <c r="R229" i="12"/>
  <c r="R230" i="12"/>
  <c r="R231" i="12"/>
  <c r="R232" i="12"/>
  <c r="R233" i="12"/>
  <c r="R234" i="12"/>
  <c r="R235" i="12"/>
  <c r="R236" i="12"/>
  <c r="R237" i="12"/>
  <c r="R238" i="12"/>
  <c r="R239" i="12"/>
  <c r="R240" i="12"/>
  <c r="R241" i="12"/>
  <c r="R242" i="12"/>
  <c r="R243" i="12"/>
  <c r="R244" i="12"/>
  <c r="R245" i="12"/>
  <c r="R246" i="12"/>
  <c r="R247" i="12"/>
  <c r="R248" i="12"/>
  <c r="R249" i="12"/>
  <c r="R250" i="12"/>
  <c r="R251" i="12"/>
  <c r="R252" i="12"/>
  <c r="R253" i="12"/>
  <c r="R254" i="12"/>
  <c r="R255" i="12"/>
  <c r="R256" i="12"/>
  <c r="R257" i="12"/>
  <c r="R258" i="12"/>
  <c r="R259" i="12"/>
  <c r="R260" i="12"/>
  <c r="R261" i="12"/>
  <c r="R262" i="12"/>
  <c r="R263" i="12"/>
  <c r="R264" i="12"/>
  <c r="R265" i="12"/>
  <c r="R266" i="12"/>
  <c r="R267" i="12"/>
  <c r="R268" i="12"/>
  <c r="R269" i="12"/>
  <c r="R270" i="12"/>
  <c r="R271" i="12"/>
  <c r="R272" i="12"/>
  <c r="R273" i="12"/>
  <c r="R274" i="12"/>
  <c r="R275" i="12"/>
  <c r="R276" i="12"/>
  <c r="R277" i="12"/>
  <c r="R278" i="12"/>
  <c r="R279" i="12"/>
  <c r="R280" i="12"/>
  <c r="R281" i="12"/>
  <c r="R282" i="12"/>
  <c r="R283" i="12"/>
  <c r="R284" i="12"/>
  <c r="R285" i="12"/>
  <c r="R286" i="12"/>
  <c r="R287" i="12"/>
  <c r="R288" i="12"/>
  <c r="R289" i="12"/>
  <c r="R290" i="12"/>
  <c r="R291" i="12"/>
  <c r="R292" i="12"/>
  <c r="R293" i="12"/>
  <c r="R294" i="12"/>
  <c r="R295" i="12"/>
  <c r="R296" i="12"/>
  <c r="R297" i="12"/>
  <c r="R298" i="12"/>
  <c r="R299" i="12"/>
  <c r="R300" i="12"/>
  <c r="Q3" i="12"/>
  <c r="R3" i="12" s="1"/>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94" i="12"/>
  <c r="B295" i="12"/>
  <c r="B296" i="12"/>
  <c r="B297" i="12"/>
  <c r="B298" i="12"/>
  <c r="B299" i="12"/>
  <c r="B300" i="12"/>
  <c r="O109" i="12"/>
  <c r="O110" i="12"/>
  <c r="O111" i="12"/>
  <c r="O112" i="12"/>
  <c r="O113" i="12"/>
  <c r="O114" i="12"/>
  <c r="O115" i="12"/>
  <c r="O116" i="12"/>
  <c r="O117" i="12"/>
  <c r="O118" i="12"/>
  <c r="O119" i="12"/>
  <c r="O120" i="12"/>
  <c r="O121" i="12"/>
  <c r="O122" i="12"/>
  <c r="O123" i="12"/>
  <c r="O124" i="12"/>
  <c r="O125" i="12"/>
  <c r="O126" i="12"/>
  <c r="O127" i="12"/>
  <c r="O128" i="12"/>
  <c r="O129" i="12"/>
  <c r="O130" i="12"/>
  <c r="O131" i="12"/>
  <c r="O132" i="12"/>
  <c r="O133" i="12"/>
  <c r="O134" i="12"/>
  <c r="O135" i="12"/>
  <c r="O136" i="12"/>
  <c r="O137" i="12"/>
  <c r="O138" i="12"/>
  <c r="O139" i="12"/>
  <c r="O140" i="12"/>
  <c r="O141" i="12"/>
  <c r="O142" i="12"/>
  <c r="O143" i="12"/>
  <c r="O144" i="12"/>
  <c r="O145" i="12"/>
  <c r="O146" i="12"/>
  <c r="O147" i="12"/>
  <c r="O148" i="12"/>
  <c r="O149" i="12"/>
  <c r="O150" i="12"/>
  <c r="O151" i="12"/>
  <c r="O152" i="12"/>
  <c r="O153" i="12"/>
  <c r="O154" i="12"/>
  <c r="O155" i="12"/>
  <c r="O156" i="12"/>
  <c r="O157" i="12"/>
  <c r="O158" i="12"/>
  <c r="O159" i="12"/>
  <c r="O160" i="12"/>
  <c r="O161" i="12"/>
  <c r="O162" i="12"/>
  <c r="O163" i="12"/>
  <c r="O164" i="12"/>
  <c r="O165" i="12"/>
  <c r="O166" i="12"/>
  <c r="O167" i="12"/>
  <c r="O168" i="12"/>
  <c r="O169" i="12"/>
  <c r="O170" i="12"/>
  <c r="O171" i="12"/>
  <c r="O172" i="12"/>
  <c r="O173" i="12"/>
  <c r="O174" i="12"/>
  <c r="O175" i="12"/>
  <c r="O176" i="12"/>
  <c r="O177" i="12"/>
  <c r="O178" i="12"/>
  <c r="O179" i="12"/>
  <c r="O180" i="12"/>
  <c r="O181" i="12"/>
  <c r="O182" i="12"/>
  <c r="O183" i="12"/>
  <c r="O184" i="12"/>
  <c r="O185" i="12"/>
  <c r="O186" i="12"/>
  <c r="O187" i="12"/>
  <c r="O188" i="12"/>
  <c r="O189" i="12"/>
  <c r="O190" i="12"/>
  <c r="O191" i="12"/>
  <c r="O192" i="12"/>
  <c r="O193" i="12"/>
  <c r="O194" i="12"/>
  <c r="O195" i="12"/>
  <c r="O196" i="12"/>
  <c r="O197" i="12"/>
  <c r="O198" i="12"/>
  <c r="O199" i="12"/>
  <c r="O200" i="12"/>
  <c r="O201" i="12"/>
  <c r="O202" i="12"/>
  <c r="O203" i="12"/>
  <c r="O204" i="12"/>
  <c r="O205" i="12"/>
  <c r="O206" i="12"/>
  <c r="O207" i="12"/>
  <c r="O208" i="12"/>
  <c r="O209" i="12"/>
  <c r="O210" i="12"/>
  <c r="O211" i="12"/>
  <c r="O212" i="12"/>
  <c r="O213" i="12"/>
  <c r="O214" i="12"/>
  <c r="O215" i="12"/>
  <c r="O216" i="12"/>
  <c r="O217" i="12"/>
  <c r="O218" i="12"/>
  <c r="O219" i="12"/>
  <c r="O220" i="12"/>
  <c r="O221" i="12"/>
  <c r="O222" i="12"/>
  <c r="O223" i="12"/>
  <c r="O224" i="12"/>
  <c r="O225" i="12"/>
  <c r="O226" i="12"/>
  <c r="O227" i="12"/>
  <c r="O228" i="12"/>
  <c r="O229" i="12"/>
  <c r="O230" i="12"/>
  <c r="O231" i="12"/>
  <c r="O232" i="12"/>
  <c r="O233" i="12"/>
  <c r="O234" i="12"/>
  <c r="O235" i="12"/>
  <c r="O236" i="12"/>
  <c r="O237" i="12"/>
  <c r="O238" i="12"/>
  <c r="O239" i="12"/>
  <c r="O240" i="12"/>
  <c r="O241" i="12"/>
  <c r="O242" i="12"/>
  <c r="O243" i="12"/>
  <c r="O244" i="12"/>
  <c r="O245" i="12"/>
  <c r="O246" i="12"/>
  <c r="O247" i="12"/>
  <c r="O248" i="12"/>
  <c r="O249" i="12"/>
  <c r="O250" i="12"/>
  <c r="O251" i="12"/>
  <c r="O252" i="12"/>
  <c r="O253" i="12"/>
  <c r="O254" i="12"/>
  <c r="O255" i="12"/>
  <c r="O256" i="12"/>
  <c r="O257" i="12"/>
  <c r="O258" i="12"/>
  <c r="O259" i="12"/>
  <c r="O260" i="12"/>
  <c r="O261" i="12"/>
  <c r="O262" i="12"/>
  <c r="O263" i="12"/>
  <c r="O264" i="12"/>
  <c r="O265" i="12"/>
  <c r="O266" i="12"/>
  <c r="O267" i="12"/>
  <c r="O268" i="12"/>
  <c r="O269" i="12"/>
  <c r="O270" i="12"/>
  <c r="O271" i="12"/>
  <c r="O272" i="12"/>
  <c r="O273" i="12"/>
  <c r="O274" i="12"/>
  <c r="O275" i="12"/>
  <c r="O276" i="12"/>
  <c r="O277" i="12"/>
  <c r="O278" i="12"/>
  <c r="O279" i="12"/>
  <c r="O280" i="12"/>
  <c r="O281" i="12"/>
  <c r="O282" i="12"/>
  <c r="O283" i="12"/>
  <c r="O284" i="12"/>
  <c r="O285" i="12"/>
  <c r="O286" i="12"/>
  <c r="O287" i="12"/>
  <c r="O288" i="12"/>
  <c r="O289" i="12"/>
  <c r="O290" i="12"/>
  <c r="O291" i="12"/>
  <c r="O292" i="12"/>
  <c r="O293" i="12"/>
  <c r="O294" i="12"/>
  <c r="O295" i="12"/>
  <c r="O296" i="12"/>
  <c r="O297" i="12"/>
  <c r="O298" i="12"/>
  <c r="O299" i="12"/>
  <c r="O300" i="12"/>
  <c r="N109" i="12"/>
  <c r="N110" i="12"/>
  <c r="N111" i="12"/>
  <c r="N112" i="12"/>
  <c r="N113" i="12"/>
  <c r="N114" i="12"/>
  <c r="N115" i="12"/>
  <c r="N116" i="12"/>
  <c r="N117" i="12"/>
  <c r="N118" i="12"/>
  <c r="N119" i="12"/>
  <c r="N120" i="12"/>
  <c r="N121" i="12"/>
  <c r="N122" i="12"/>
  <c r="N123" i="12"/>
  <c r="N124" i="12"/>
  <c r="N125" i="12"/>
  <c r="N126" i="12"/>
  <c r="N127" i="12"/>
  <c r="N128" i="12"/>
  <c r="N129" i="12"/>
  <c r="N130"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N175" i="12"/>
  <c r="N176" i="12"/>
  <c r="N177" i="12"/>
  <c r="N178" i="12"/>
  <c r="N179" i="12"/>
  <c r="N180" i="12"/>
  <c r="N181" i="12"/>
  <c r="N182" i="12"/>
  <c r="N183" i="12"/>
  <c r="N184" i="12"/>
  <c r="N185" i="12"/>
  <c r="N186" i="12"/>
  <c r="N187" i="12"/>
  <c r="N188" i="12"/>
  <c r="N189" i="12"/>
  <c r="N190" i="12"/>
  <c r="N191" i="12"/>
  <c r="N192" i="12"/>
  <c r="N193" i="12"/>
  <c r="N194" i="12"/>
  <c r="N195" i="12"/>
  <c r="N196" i="12"/>
  <c r="N197" i="12"/>
  <c r="N198" i="12"/>
  <c r="N199" i="12"/>
  <c r="N200" i="12"/>
  <c r="N201" i="12"/>
  <c r="N202" i="12"/>
  <c r="N203" i="12"/>
  <c r="N204" i="12"/>
  <c r="N205" i="12"/>
  <c r="N206" i="12"/>
  <c r="N207" i="12"/>
  <c r="N208" i="12"/>
  <c r="N209" i="12"/>
  <c r="N210" i="12"/>
  <c r="N211" i="12"/>
  <c r="N212" i="12"/>
  <c r="N213" i="12"/>
  <c r="N214" i="12"/>
  <c r="N215" i="12"/>
  <c r="N216" i="12"/>
  <c r="N217" i="12"/>
  <c r="N218" i="12"/>
  <c r="N219" i="12"/>
  <c r="N220" i="12"/>
  <c r="N221" i="12"/>
  <c r="N222" i="12"/>
  <c r="N223" i="12"/>
  <c r="N224" i="12"/>
  <c r="N225" i="12"/>
  <c r="N226" i="12"/>
  <c r="N227" i="12"/>
  <c r="N228" i="12"/>
  <c r="N229" i="12"/>
  <c r="N230" i="12"/>
  <c r="N231" i="12"/>
  <c r="N232" i="12"/>
  <c r="N233" i="12"/>
  <c r="N234" i="12"/>
  <c r="N235" i="12"/>
  <c r="N236" i="12"/>
  <c r="N237" i="12"/>
  <c r="N238" i="12"/>
  <c r="N239" i="12"/>
  <c r="N240" i="12"/>
  <c r="N241" i="12"/>
  <c r="N242" i="12"/>
  <c r="N243" i="12"/>
  <c r="N244" i="12"/>
  <c r="N245" i="12"/>
  <c r="N246" i="12"/>
  <c r="N247" i="12"/>
  <c r="N248" i="12"/>
  <c r="N249" i="12"/>
  <c r="N250" i="12"/>
  <c r="N251" i="12"/>
  <c r="N252" i="12"/>
  <c r="N253" i="12"/>
  <c r="N254" i="12"/>
  <c r="N255" i="12"/>
  <c r="N256" i="12"/>
  <c r="N257" i="12"/>
  <c r="N258" i="12"/>
  <c r="N259" i="12"/>
  <c r="N260" i="12"/>
  <c r="N261" i="12"/>
  <c r="N262" i="12"/>
  <c r="N263" i="12"/>
  <c r="N264" i="12"/>
  <c r="N265" i="12"/>
  <c r="N266" i="12"/>
  <c r="N267" i="12"/>
  <c r="N268" i="12"/>
  <c r="N269" i="12"/>
  <c r="N270" i="12"/>
  <c r="N271" i="12"/>
  <c r="N272" i="12"/>
  <c r="N273" i="12"/>
  <c r="N274" i="12"/>
  <c r="N275" i="12"/>
  <c r="N276" i="12"/>
  <c r="N277" i="12"/>
  <c r="N278" i="12"/>
  <c r="N279" i="12"/>
  <c r="N280" i="12"/>
  <c r="N281" i="12"/>
  <c r="N282" i="12"/>
  <c r="N283" i="12"/>
  <c r="N284" i="12"/>
  <c r="N285" i="12"/>
  <c r="N286" i="12"/>
  <c r="N287" i="12"/>
  <c r="N288" i="12"/>
  <c r="N289" i="12"/>
  <c r="N290" i="12"/>
  <c r="N291" i="12"/>
  <c r="N292" i="12"/>
  <c r="N293" i="12"/>
  <c r="N294" i="12"/>
  <c r="N295" i="12"/>
  <c r="N296" i="12"/>
  <c r="N297" i="12"/>
  <c r="N298" i="12"/>
  <c r="N299" i="12"/>
  <c r="N300" i="12"/>
  <c r="M109" i="12"/>
  <c r="M110" i="12"/>
  <c r="M111" i="12"/>
  <c r="M112" i="12"/>
  <c r="M113" i="12"/>
  <c r="M114" i="12"/>
  <c r="M115" i="12"/>
  <c r="M116"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0" i="12"/>
  <c r="M141" i="12"/>
  <c r="M142" i="12"/>
  <c r="M143" i="12"/>
  <c r="M144" i="12"/>
  <c r="M145" i="12"/>
  <c r="M146" i="12"/>
  <c r="M147" i="12"/>
  <c r="M148" i="12"/>
  <c r="M149" i="12"/>
  <c r="M150" i="12"/>
  <c r="M151" i="12"/>
  <c r="M152" i="12"/>
  <c r="M153" i="12"/>
  <c r="M154" i="12"/>
  <c r="M155" i="12"/>
  <c r="M156" i="12"/>
  <c r="M157" i="12"/>
  <c r="M158" i="12"/>
  <c r="M159" i="12"/>
  <c r="M160" i="12"/>
  <c r="M161" i="12"/>
  <c r="M162" i="12"/>
  <c r="M163" i="12"/>
  <c r="M164" i="12"/>
  <c r="M165" i="12"/>
  <c r="M166" i="12"/>
  <c r="M167" i="12"/>
  <c r="M168" i="12"/>
  <c r="M169" i="12"/>
  <c r="M170" i="12"/>
  <c r="M171" i="12"/>
  <c r="M172" i="12"/>
  <c r="M173" i="12"/>
  <c r="M174" i="12"/>
  <c r="M175" i="12"/>
  <c r="M176" i="12"/>
  <c r="M177" i="12"/>
  <c r="M178" i="12"/>
  <c r="M179" i="12"/>
  <c r="M180" i="12"/>
  <c r="M181" i="12"/>
  <c r="M182" i="12"/>
  <c r="M183" i="12"/>
  <c r="M184" i="12"/>
  <c r="M185" i="12"/>
  <c r="M186" i="12"/>
  <c r="M187" i="12"/>
  <c r="M188" i="12"/>
  <c r="M189" i="12"/>
  <c r="M190" i="12"/>
  <c r="M191" i="12"/>
  <c r="M192" i="12"/>
  <c r="M193" i="12"/>
  <c r="M194" i="12"/>
  <c r="M195" i="12"/>
  <c r="M196" i="12"/>
  <c r="M197" i="12"/>
  <c r="M198" i="12"/>
  <c r="M199" i="12"/>
  <c r="M200" i="12"/>
  <c r="M201" i="12"/>
  <c r="M202" i="12"/>
  <c r="M203" i="12"/>
  <c r="M204" i="12"/>
  <c r="M205" i="12"/>
  <c r="M206" i="12"/>
  <c r="M207" i="12"/>
  <c r="M208" i="12"/>
  <c r="M209" i="12"/>
  <c r="M210" i="12"/>
  <c r="M211" i="12"/>
  <c r="M212" i="12"/>
  <c r="M213" i="12"/>
  <c r="M214" i="12"/>
  <c r="M215" i="12"/>
  <c r="M216" i="12"/>
  <c r="M217" i="12"/>
  <c r="M218" i="12"/>
  <c r="M219" i="12"/>
  <c r="M220" i="12"/>
  <c r="M221" i="12"/>
  <c r="M222" i="12"/>
  <c r="M223" i="12"/>
  <c r="M224" i="12"/>
  <c r="M225" i="12"/>
  <c r="M226" i="12"/>
  <c r="M227" i="12"/>
  <c r="M228" i="12"/>
  <c r="M229" i="12"/>
  <c r="M230" i="12"/>
  <c r="M231" i="12"/>
  <c r="M232" i="12"/>
  <c r="M233" i="12"/>
  <c r="M234" i="12"/>
  <c r="M235" i="12"/>
  <c r="M236" i="12"/>
  <c r="M237" i="12"/>
  <c r="M238" i="12"/>
  <c r="M239" i="12"/>
  <c r="M240" i="12"/>
  <c r="M241" i="12"/>
  <c r="M242" i="12"/>
  <c r="M243" i="12"/>
  <c r="M244" i="12"/>
  <c r="M245" i="12"/>
  <c r="M246" i="12"/>
  <c r="M247" i="12"/>
  <c r="M248" i="12"/>
  <c r="M249" i="12"/>
  <c r="M250" i="12"/>
  <c r="M251" i="12"/>
  <c r="M252" i="12"/>
  <c r="M253" i="12"/>
  <c r="M254" i="12"/>
  <c r="M255" i="12"/>
  <c r="M256" i="12"/>
  <c r="M257" i="12"/>
  <c r="M258" i="12"/>
  <c r="M259" i="12"/>
  <c r="M260" i="12"/>
  <c r="M261" i="12"/>
  <c r="M262" i="12"/>
  <c r="M263" i="12"/>
  <c r="M264" i="12"/>
  <c r="M265" i="12"/>
  <c r="M266" i="12"/>
  <c r="M267" i="12"/>
  <c r="M268" i="12"/>
  <c r="M269" i="12"/>
  <c r="M270" i="12"/>
  <c r="M271" i="12"/>
  <c r="M272" i="12"/>
  <c r="M273" i="12"/>
  <c r="M274" i="12"/>
  <c r="M275" i="12"/>
  <c r="M276" i="12"/>
  <c r="M277" i="12"/>
  <c r="M278" i="12"/>
  <c r="M279" i="12"/>
  <c r="M280" i="12"/>
  <c r="M281" i="12"/>
  <c r="M282" i="12"/>
  <c r="M283" i="12"/>
  <c r="M284" i="12"/>
  <c r="M285" i="12"/>
  <c r="M286" i="12"/>
  <c r="M287" i="12"/>
  <c r="M288" i="12"/>
  <c r="M289" i="12"/>
  <c r="M290" i="12"/>
  <c r="M291" i="12"/>
  <c r="M292" i="12"/>
  <c r="M293" i="12"/>
  <c r="M294" i="12"/>
  <c r="M295" i="12"/>
  <c r="M296" i="12"/>
  <c r="M297" i="12"/>
  <c r="M298" i="12"/>
  <c r="M299" i="12"/>
  <c r="M300" i="12"/>
  <c r="L109" i="12"/>
  <c r="L110" i="12"/>
  <c r="L111" i="12"/>
  <c r="L112" i="12"/>
  <c r="L113" i="12"/>
  <c r="L114" i="12"/>
  <c r="L115" i="12"/>
  <c r="L116" i="12"/>
  <c r="L117" i="12"/>
  <c r="L118" i="12"/>
  <c r="L119" i="12"/>
  <c r="L120" i="12"/>
  <c r="L121" i="12"/>
  <c r="L122" i="12"/>
  <c r="L123" i="12"/>
  <c r="L124" i="12"/>
  <c r="L125" i="12"/>
  <c r="L126" i="12"/>
  <c r="L127" i="12"/>
  <c r="L128" i="12"/>
  <c r="L129" i="12"/>
  <c r="L130" i="12"/>
  <c r="L131" i="12"/>
  <c r="L132" i="12"/>
  <c r="L133" i="12"/>
  <c r="L134" i="12"/>
  <c r="L135" i="12"/>
  <c r="L136" i="12"/>
  <c r="L137" i="12"/>
  <c r="L138" i="12"/>
  <c r="L139" i="12"/>
  <c r="L140" i="12"/>
  <c r="L141" i="12"/>
  <c r="L142" i="12"/>
  <c r="L143" i="12"/>
  <c r="L144" i="12"/>
  <c r="L145" i="12"/>
  <c r="L146" i="12"/>
  <c r="L147" i="12"/>
  <c r="L148" i="12"/>
  <c r="L149" i="12"/>
  <c r="L150" i="12"/>
  <c r="L151" i="12"/>
  <c r="L152" i="12"/>
  <c r="L153" i="12"/>
  <c r="L154" i="12"/>
  <c r="L155" i="12"/>
  <c r="L156" i="12"/>
  <c r="L157" i="12"/>
  <c r="L158" i="12"/>
  <c r="L159" i="12"/>
  <c r="L160" i="12"/>
  <c r="L161" i="12"/>
  <c r="L162" i="12"/>
  <c r="L163" i="12"/>
  <c r="L164" i="12"/>
  <c r="L165" i="12"/>
  <c r="L166" i="12"/>
  <c r="L167" i="12"/>
  <c r="L168" i="12"/>
  <c r="L169" i="12"/>
  <c r="L170" i="12"/>
  <c r="L171" i="12"/>
  <c r="L172" i="12"/>
  <c r="L173" i="12"/>
  <c r="L174" i="12"/>
  <c r="L175" i="12"/>
  <c r="L176" i="12"/>
  <c r="L177" i="12"/>
  <c r="L178" i="12"/>
  <c r="L179" i="12"/>
  <c r="L180" i="12"/>
  <c r="L181" i="12"/>
  <c r="L182" i="12"/>
  <c r="L183" i="12"/>
  <c r="L184" i="12"/>
  <c r="L185" i="12"/>
  <c r="L186" i="12"/>
  <c r="L187" i="12"/>
  <c r="L188" i="12"/>
  <c r="L189" i="12"/>
  <c r="L190" i="12"/>
  <c r="L191" i="12"/>
  <c r="L192" i="12"/>
  <c r="L193" i="12"/>
  <c r="L194" i="12"/>
  <c r="L195" i="12"/>
  <c r="L196" i="12"/>
  <c r="L197" i="12"/>
  <c r="L198" i="12"/>
  <c r="L199" i="12"/>
  <c r="L200" i="12"/>
  <c r="L201" i="12"/>
  <c r="L202" i="12"/>
  <c r="L203" i="12"/>
  <c r="L204" i="12"/>
  <c r="L205" i="12"/>
  <c r="L206" i="12"/>
  <c r="L207" i="12"/>
  <c r="L208" i="12"/>
  <c r="L209" i="12"/>
  <c r="L210" i="12"/>
  <c r="L211" i="12"/>
  <c r="L212" i="12"/>
  <c r="L213" i="12"/>
  <c r="L214" i="12"/>
  <c r="L215" i="12"/>
  <c r="L216" i="12"/>
  <c r="L217" i="12"/>
  <c r="L218" i="12"/>
  <c r="L219" i="12"/>
  <c r="L220" i="12"/>
  <c r="L221" i="12"/>
  <c r="L222" i="12"/>
  <c r="L223" i="12"/>
  <c r="L224" i="12"/>
  <c r="L225" i="12"/>
  <c r="L226" i="12"/>
  <c r="L227" i="12"/>
  <c r="L228" i="12"/>
  <c r="L229" i="12"/>
  <c r="L230" i="12"/>
  <c r="L231" i="12"/>
  <c r="L232" i="12"/>
  <c r="L233" i="12"/>
  <c r="L234" i="12"/>
  <c r="L235" i="12"/>
  <c r="L236" i="12"/>
  <c r="L237" i="12"/>
  <c r="L238" i="12"/>
  <c r="L239" i="12"/>
  <c r="L240" i="12"/>
  <c r="L241" i="12"/>
  <c r="L242" i="12"/>
  <c r="L243" i="12"/>
  <c r="L244" i="12"/>
  <c r="L245" i="12"/>
  <c r="L246" i="12"/>
  <c r="L247" i="12"/>
  <c r="L248" i="12"/>
  <c r="L249" i="12"/>
  <c r="L250" i="12"/>
  <c r="L251" i="12"/>
  <c r="L252" i="12"/>
  <c r="L253" i="12"/>
  <c r="L254" i="12"/>
  <c r="L255" i="12"/>
  <c r="L256" i="12"/>
  <c r="L257" i="12"/>
  <c r="L258" i="12"/>
  <c r="L259" i="12"/>
  <c r="L260" i="12"/>
  <c r="L261" i="12"/>
  <c r="L262" i="12"/>
  <c r="L263" i="12"/>
  <c r="L264" i="12"/>
  <c r="L265" i="12"/>
  <c r="L266" i="12"/>
  <c r="L267" i="12"/>
  <c r="L268" i="12"/>
  <c r="L269" i="12"/>
  <c r="L270" i="12"/>
  <c r="L271" i="12"/>
  <c r="L272" i="12"/>
  <c r="L273" i="12"/>
  <c r="L274" i="12"/>
  <c r="L275" i="12"/>
  <c r="L276" i="12"/>
  <c r="L277" i="12"/>
  <c r="L278" i="12"/>
  <c r="L279" i="12"/>
  <c r="L280" i="12"/>
  <c r="L281" i="12"/>
  <c r="L282" i="12"/>
  <c r="L283" i="12"/>
  <c r="L284" i="12"/>
  <c r="L285" i="12"/>
  <c r="L286" i="12"/>
  <c r="L287" i="12"/>
  <c r="L288" i="12"/>
  <c r="L289" i="12"/>
  <c r="L290" i="12"/>
  <c r="L291" i="12"/>
  <c r="L292" i="12"/>
  <c r="L293" i="12"/>
  <c r="L294" i="12"/>
  <c r="L295" i="12"/>
  <c r="L296" i="12"/>
  <c r="L297" i="12"/>
  <c r="L298" i="12"/>
  <c r="L299" i="12"/>
  <c r="L300" i="12"/>
  <c r="L301" i="12"/>
  <c r="I3" i="12" a="1"/>
  <c r="AJ49" i="45"/>
  <c r="AI49" i="45"/>
  <c r="AH49" i="45"/>
  <c r="Y49" i="45"/>
  <c r="X49" i="45"/>
  <c r="W49" i="45"/>
  <c r="N49" i="45"/>
  <c r="M49" i="45"/>
  <c r="L49" i="45"/>
  <c r="AJ48" i="45"/>
  <c r="AI48" i="45"/>
  <c r="AH48" i="45"/>
  <c r="Y48" i="45"/>
  <c r="X48" i="45"/>
  <c r="W48" i="45"/>
  <c r="N48" i="45"/>
  <c r="M48" i="45"/>
  <c r="L48" i="45"/>
  <c r="AJ47" i="45"/>
  <c r="AI47" i="45"/>
  <c r="AH47" i="45"/>
  <c r="Y47" i="45"/>
  <c r="X47" i="45"/>
  <c r="W47" i="45"/>
  <c r="N47" i="45"/>
  <c r="M47" i="45"/>
  <c r="L47" i="45"/>
  <c r="AJ46" i="45"/>
  <c r="AI46" i="45"/>
  <c r="AH46" i="45"/>
  <c r="Y46" i="45"/>
  <c r="X46" i="45"/>
  <c r="W46" i="45"/>
  <c r="N46" i="45"/>
  <c r="M46" i="45"/>
  <c r="L46" i="45"/>
  <c r="AJ45" i="45"/>
  <c r="AI45" i="45"/>
  <c r="AH45" i="45"/>
  <c r="Y45" i="45"/>
  <c r="X45" i="45"/>
  <c r="W45" i="45"/>
  <c r="N45" i="45"/>
  <c r="M45" i="45"/>
  <c r="L45" i="45"/>
  <c r="AJ44" i="45"/>
  <c r="AI44" i="45"/>
  <c r="AH44" i="45"/>
  <c r="Y44" i="45"/>
  <c r="X44" i="45"/>
  <c r="W44" i="45"/>
  <c r="N44" i="45"/>
  <c r="M44" i="45"/>
  <c r="L44" i="45"/>
  <c r="AJ43" i="45"/>
  <c r="AI43" i="45"/>
  <c r="AH43" i="45"/>
  <c r="Y43" i="45"/>
  <c r="X43" i="45"/>
  <c r="W43" i="45"/>
  <c r="N43" i="45"/>
  <c r="M43" i="45"/>
  <c r="L43" i="45"/>
  <c r="AJ42" i="45"/>
  <c r="AI42" i="45"/>
  <c r="AH42" i="45"/>
  <c r="Y42" i="45"/>
  <c r="X42" i="45"/>
  <c r="W42" i="45"/>
  <c r="N42" i="45"/>
  <c r="M42" i="45"/>
  <c r="L42" i="45"/>
  <c r="AJ41" i="45"/>
  <c r="AI41" i="45"/>
  <c r="AH41" i="45"/>
  <c r="Y41" i="45"/>
  <c r="X41" i="45"/>
  <c r="W41" i="45"/>
  <c r="N41" i="45"/>
  <c r="M41" i="45"/>
  <c r="L41" i="45"/>
  <c r="AJ40" i="45"/>
  <c r="AI40" i="45"/>
  <c r="AH40" i="45"/>
  <c r="Y40" i="45"/>
  <c r="X40" i="45"/>
  <c r="W40" i="45"/>
  <c r="N40" i="45"/>
  <c r="M40" i="45"/>
  <c r="L40" i="45"/>
  <c r="AJ39" i="45"/>
  <c r="AI39" i="45"/>
  <c r="AH39" i="45"/>
  <c r="Y39" i="45"/>
  <c r="X39" i="45"/>
  <c r="W39" i="45"/>
  <c r="N39" i="45"/>
  <c r="M39" i="45"/>
  <c r="L39" i="45"/>
  <c r="AJ38" i="45"/>
  <c r="AI38" i="45"/>
  <c r="AH38" i="45"/>
  <c r="Y38" i="45"/>
  <c r="X38" i="45"/>
  <c r="W38" i="45"/>
  <c r="N38" i="45"/>
  <c r="M38" i="45"/>
  <c r="L38" i="45"/>
  <c r="AJ37" i="45"/>
  <c r="AI37" i="45"/>
  <c r="AH37" i="45"/>
  <c r="Y37" i="45"/>
  <c r="X37" i="45"/>
  <c r="W37" i="45"/>
  <c r="N37" i="45"/>
  <c r="M37" i="45"/>
  <c r="L37" i="45"/>
  <c r="AJ36" i="45"/>
  <c r="AI36" i="45"/>
  <c r="AH36" i="45"/>
  <c r="Y36" i="45"/>
  <c r="X36" i="45"/>
  <c r="W36" i="45"/>
  <c r="N36" i="45"/>
  <c r="M36" i="45"/>
  <c r="L36" i="45"/>
  <c r="AJ35" i="45"/>
  <c r="AI35" i="45"/>
  <c r="AH35" i="45"/>
  <c r="Y35" i="45"/>
  <c r="X35" i="45"/>
  <c r="W35" i="45"/>
  <c r="N35" i="45"/>
  <c r="M35" i="45"/>
  <c r="L35" i="45"/>
  <c r="AJ34" i="45"/>
  <c r="AI34" i="45"/>
  <c r="AH34" i="45"/>
  <c r="Y34" i="45"/>
  <c r="X34" i="45"/>
  <c r="W34" i="45"/>
  <c r="N34" i="45"/>
  <c r="M34" i="45"/>
  <c r="L34" i="45"/>
  <c r="AJ33" i="45"/>
  <c r="AI33" i="45"/>
  <c r="AH33" i="45"/>
  <c r="Y33" i="45"/>
  <c r="X33" i="45"/>
  <c r="W33" i="45"/>
  <c r="N33" i="45"/>
  <c r="M33" i="45"/>
  <c r="L33" i="45"/>
  <c r="AJ32" i="45"/>
  <c r="AI32" i="45"/>
  <c r="AH32" i="45"/>
  <c r="Y32" i="45"/>
  <c r="X32" i="45"/>
  <c r="W32" i="45"/>
  <c r="N32" i="45"/>
  <c r="M32" i="45"/>
  <c r="L32" i="45"/>
  <c r="AJ31" i="45"/>
  <c r="AI31" i="45"/>
  <c r="AH31" i="45"/>
  <c r="Y31" i="45"/>
  <c r="X31" i="45"/>
  <c r="W31" i="45"/>
  <c r="N31" i="45"/>
  <c r="M31" i="45"/>
  <c r="L31" i="45"/>
  <c r="AJ30" i="45"/>
  <c r="AI30" i="45"/>
  <c r="AH30" i="45"/>
  <c r="Y30" i="45"/>
  <c r="X30" i="45"/>
  <c r="W30" i="45"/>
  <c r="N30" i="45"/>
  <c r="M30" i="45"/>
  <c r="L30" i="45"/>
  <c r="AJ29" i="45"/>
  <c r="AI29" i="45"/>
  <c r="AH29" i="45"/>
  <c r="Y29" i="45"/>
  <c r="X29" i="45"/>
  <c r="W29" i="45"/>
  <c r="N29" i="45"/>
  <c r="M29" i="45"/>
  <c r="L29" i="45"/>
  <c r="AJ28" i="45"/>
  <c r="AI28" i="45"/>
  <c r="AH28" i="45"/>
  <c r="Y28" i="45"/>
  <c r="X28" i="45"/>
  <c r="W28" i="45"/>
  <c r="N28" i="45"/>
  <c r="M28" i="45"/>
  <c r="L28" i="45"/>
  <c r="AJ27" i="45"/>
  <c r="AI27" i="45"/>
  <c r="AH27" i="45"/>
  <c r="Y27" i="45"/>
  <c r="X27" i="45"/>
  <c r="W27" i="45"/>
  <c r="N27" i="45"/>
  <c r="M27" i="45"/>
  <c r="L27" i="45"/>
  <c r="AJ26" i="45"/>
  <c r="AI26" i="45"/>
  <c r="AH26" i="45"/>
  <c r="Y26" i="45"/>
  <c r="X26" i="45"/>
  <c r="W26" i="45"/>
  <c r="N26" i="45"/>
  <c r="M26" i="45"/>
  <c r="L26" i="45"/>
  <c r="AJ25" i="45"/>
  <c r="AI25" i="45"/>
  <c r="AH25" i="45"/>
  <c r="Y25" i="45"/>
  <c r="X25" i="45"/>
  <c r="W25" i="45"/>
  <c r="N25" i="45"/>
  <c r="M25" i="45"/>
  <c r="L25" i="45"/>
  <c r="AJ24" i="45"/>
  <c r="AI24" i="45"/>
  <c r="AH24" i="45"/>
  <c r="Y24" i="45"/>
  <c r="X24" i="45"/>
  <c r="W24" i="45"/>
  <c r="N24" i="45"/>
  <c r="M24" i="45"/>
  <c r="L24" i="45"/>
  <c r="AJ23" i="45"/>
  <c r="AI23" i="45"/>
  <c r="AH23" i="45"/>
  <c r="Y23" i="45"/>
  <c r="X23" i="45"/>
  <c r="W23" i="45"/>
  <c r="N23" i="45"/>
  <c r="M23" i="45"/>
  <c r="L23" i="45"/>
  <c r="AJ22" i="45"/>
  <c r="AI22" i="45"/>
  <c r="AH22" i="45"/>
  <c r="Y22" i="45"/>
  <c r="X22" i="45"/>
  <c r="W22" i="45"/>
  <c r="N22" i="45"/>
  <c r="M22" i="45"/>
  <c r="L22" i="45"/>
  <c r="AJ21" i="45"/>
  <c r="AI21" i="45"/>
  <c r="AH21" i="45"/>
  <c r="Y21" i="45"/>
  <c r="X21" i="45"/>
  <c r="W21" i="45"/>
  <c r="N21" i="45"/>
  <c r="M21" i="45"/>
  <c r="L21" i="45"/>
  <c r="AJ20" i="45"/>
  <c r="AI20" i="45"/>
  <c r="AH20" i="45"/>
  <c r="Y20" i="45"/>
  <c r="X20" i="45"/>
  <c r="W20" i="45"/>
  <c r="N20" i="45"/>
  <c r="M20" i="45"/>
  <c r="L20" i="45"/>
  <c r="AJ19" i="45"/>
  <c r="AI19" i="45"/>
  <c r="AH19" i="45"/>
  <c r="Y19" i="45"/>
  <c r="X19" i="45"/>
  <c r="W19" i="45"/>
  <c r="N19" i="45"/>
  <c r="M19" i="45"/>
  <c r="L19" i="45"/>
  <c r="AJ18" i="45"/>
  <c r="AI18" i="45"/>
  <c r="AH18" i="45"/>
  <c r="Y18" i="45"/>
  <c r="X18" i="45"/>
  <c r="W18" i="45"/>
  <c r="N18" i="45"/>
  <c r="M18" i="45"/>
  <c r="L18" i="45"/>
  <c r="AJ17" i="45"/>
  <c r="AI17" i="45"/>
  <c r="AH17" i="45"/>
  <c r="Y17" i="45"/>
  <c r="X17" i="45"/>
  <c r="W17" i="45"/>
  <c r="N17" i="45"/>
  <c r="M17" i="45"/>
  <c r="L17" i="45"/>
  <c r="AJ16" i="45"/>
  <c r="AI16" i="45"/>
  <c r="AH16" i="45"/>
  <c r="Y16" i="45"/>
  <c r="X16" i="45"/>
  <c r="W16" i="45"/>
  <c r="N16" i="45"/>
  <c r="M16" i="45"/>
  <c r="L16" i="45"/>
  <c r="AJ15" i="45"/>
  <c r="AI15" i="45"/>
  <c r="AH15" i="45"/>
  <c r="Y15" i="45"/>
  <c r="X15" i="45"/>
  <c r="W15" i="45"/>
  <c r="N15" i="45"/>
  <c r="M15" i="45"/>
  <c r="L15" i="45"/>
  <c r="AJ14" i="45"/>
  <c r="AI14" i="45"/>
  <c r="AH14" i="45"/>
  <c r="Y14" i="45"/>
  <c r="X14" i="45"/>
  <c r="W14" i="45"/>
  <c r="N14" i="45"/>
  <c r="M14" i="45"/>
  <c r="L14" i="45"/>
  <c r="AJ13" i="45"/>
  <c r="AI13" i="45"/>
  <c r="AH13" i="45"/>
  <c r="Y13" i="45"/>
  <c r="X13" i="45"/>
  <c r="W13" i="45"/>
  <c r="L13" i="45"/>
  <c r="M13" i="45" s="1"/>
  <c r="N13" i="45" s="1"/>
  <c r="AJ12" i="45"/>
  <c r="AI12" i="45"/>
  <c r="AH12" i="45"/>
  <c r="Y12" i="45"/>
  <c r="X12" i="45"/>
  <c r="W12" i="45"/>
  <c r="L12" i="45"/>
  <c r="M12" i="45" s="1"/>
  <c r="N12" i="45" s="1"/>
  <c r="AJ11" i="45"/>
  <c r="AI11" i="45"/>
  <c r="AH11" i="45"/>
  <c r="Y11" i="45"/>
  <c r="X11" i="45"/>
  <c r="W11" i="45"/>
  <c r="L11" i="45"/>
  <c r="M11" i="45" s="1"/>
  <c r="N11" i="45" s="1"/>
  <c r="AJ10" i="45"/>
  <c r="AI10" i="45"/>
  <c r="AH10" i="45"/>
  <c r="Y10" i="45"/>
  <c r="X10" i="45"/>
  <c r="W10" i="45"/>
  <c r="L10" i="45"/>
  <c r="M10" i="45" s="1"/>
  <c r="N10" i="45" s="1"/>
  <c r="AJ9" i="45"/>
  <c r="AI9" i="45"/>
  <c r="AH9" i="45"/>
  <c r="Y9" i="45"/>
  <c r="X9" i="45"/>
  <c r="W9" i="45"/>
  <c r="L9" i="45"/>
  <c r="M9" i="45" s="1"/>
  <c r="N9" i="45" s="1"/>
  <c r="AJ8" i="45"/>
  <c r="AI8" i="45"/>
  <c r="AH8" i="45"/>
  <c r="Y8" i="45"/>
  <c r="X8" i="45"/>
  <c r="W8" i="45"/>
  <c r="L8" i="45"/>
  <c r="M8" i="45" s="1"/>
  <c r="N8" i="45" s="1"/>
  <c r="AJ7" i="45"/>
  <c r="AI7" i="45"/>
  <c r="AH7" i="45"/>
  <c r="Y7" i="45"/>
  <c r="X7" i="45"/>
  <c r="W7" i="45"/>
  <c r="L7" i="45"/>
  <c r="M7" i="45" s="1"/>
  <c r="N7" i="45" s="1"/>
  <c r="AJ6" i="45"/>
  <c r="AI6" i="45"/>
  <c r="AH6" i="45"/>
  <c r="Y6" i="45"/>
  <c r="X6" i="45"/>
  <c r="W6" i="45"/>
  <c r="L6" i="45"/>
  <c r="M6" i="45" s="1"/>
  <c r="N6" i="45" s="1"/>
  <c r="AJ5" i="45"/>
  <c r="AI5" i="45"/>
  <c r="AH5" i="45"/>
  <c r="Y5" i="45"/>
  <c r="X5" i="45"/>
  <c r="W5" i="45"/>
  <c r="L5" i="45"/>
  <c r="M5" i="45" s="1"/>
  <c r="N5" i="45" s="1"/>
  <c r="AJ4" i="45"/>
  <c r="AI4" i="45"/>
  <c r="AH4" i="45"/>
  <c r="W4" i="45"/>
  <c r="X4" i="45" s="1"/>
  <c r="Y4" i="45" s="1"/>
  <c r="L4" i="45"/>
  <c r="M4" i="45" s="1"/>
  <c r="N4" i="45" s="1"/>
  <c r="AJ3" i="45"/>
  <c r="AJ1" i="45" s="1"/>
  <c r="AI3" i="45"/>
  <c r="AH3" i="45"/>
  <c r="W3" i="45"/>
  <c r="X3" i="45" s="1"/>
  <c r="Y3" i="45" s="1"/>
  <c r="L3" i="45"/>
  <c r="M3" i="45" s="1"/>
  <c r="N3" i="45" s="1"/>
  <c r="AA1" i="45" a="1"/>
  <c r="AA1" i="45" s="1"/>
  <c r="P1" i="45" a="1"/>
  <c r="P1" i="45" s="1"/>
  <c r="E1" i="45" a="1"/>
  <c r="E1" i="45" s="1"/>
  <c r="A1" i="45" a="1"/>
  <c r="A1" i="45" s="1"/>
  <c r="AJ49" i="44"/>
  <c r="AI49" i="44"/>
  <c r="AH49" i="44"/>
  <c r="Y49" i="44"/>
  <c r="X49" i="44"/>
  <c r="W49" i="44"/>
  <c r="N49" i="44"/>
  <c r="M49" i="44"/>
  <c r="L49" i="44"/>
  <c r="AJ48" i="44"/>
  <c r="AI48" i="44"/>
  <c r="AH48" i="44"/>
  <c r="Y48" i="44"/>
  <c r="X48" i="44"/>
  <c r="W48" i="44"/>
  <c r="N48" i="44"/>
  <c r="M48" i="44"/>
  <c r="L48" i="44"/>
  <c r="AJ47" i="44"/>
  <c r="AI47" i="44"/>
  <c r="AH47" i="44"/>
  <c r="Y47" i="44"/>
  <c r="X47" i="44"/>
  <c r="W47" i="44"/>
  <c r="N47" i="44"/>
  <c r="M47" i="44"/>
  <c r="L47" i="44"/>
  <c r="AJ46" i="44"/>
  <c r="AI46" i="44"/>
  <c r="AH46" i="44"/>
  <c r="Y46" i="44"/>
  <c r="X46" i="44"/>
  <c r="W46" i="44"/>
  <c r="N46" i="44"/>
  <c r="M46" i="44"/>
  <c r="L46" i="44"/>
  <c r="AJ45" i="44"/>
  <c r="AI45" i="44"/>
  <c r="AH45" i="44"/>
  <c r="Y45" i="44"/>
  <c r="X45" i="44"/>
  <c r="W45" i="44"/>
  <c r="N45" i="44"/>
  <c r="M45" i="44"/>
  <c r="L45" i="44"/>
  <c r="AJ44" i="44"/>
  <c r="AI44" i="44"/>
  <c r="AH44" i="44"/>
  <c r="Y44" i="44"/>
  <c r="X44" i="44"/>
  <c r="W44" i="44"/>
  <c r="N44" i="44"/>
  <c r="M44" i="44"/>
  <c r="L44" i="44"/>
  <c r="AJ43" i="44"/>
  <c r="AI43" i="44"/>
  <c r="AH43" i="44"/>
  <c r="Y43" i="44"/>
  <c r="X43" i="44"/>
  <c r="W43" i="44"/>
  <c r="N43" i="44"/>
  <c r="M43" i="44"/>
  <c r="L43" i="44"/>
  <c r="AJ42" i="44"/>
  <c r="AI42" i="44"/>
  <c r="AH42" i="44"/>
  <c r="Y42" i="44"/>
  <c r="X42" i="44"/>
  <c r="W42" i="44"/>
  <c r="N42" i="44"/>
  <c r="M42" i="44"/>
  <c r="L42" i="44"/>
  <c r="AJ41" i="44"/>
  <c r="AI41" i="44"/>
  <c r="AH41" i="44"/>
  <c r="Y41" i="44"/>
  <c r="X41" i="44"/>
  <c r="W41" i="44"/>
  <c r="N41" i="44"/>
  <c r="M41" i="44"/>
  <c r="L41" i="44"/>
  <c r="AJ40" i="44"/>
  <c r="AI40" i="44"/>
  <c r="AH40" i="44"/>
  <c r="Y40" i="44"/>
  <c r="X40" i="44"/>
  <c r="W40" i="44"/>
  <c r="N40" i="44"/>
  <c r="M40" i="44"/>
  <c r="L40" i="44"/>
  <c r="AJ39" i="44"/>
  <c r="AI39" i="44"/>
  <c r="AH39" i="44"/>
  <c r="Y39" i="44"/>
  <c r="X39" i="44"/>
  <c r="W39" i="44"/>
  <c r="N39" i="44"/>
  <c r="M39" i="44"/>
  <c r="L39" i="44"/>
  <c r="AJ38" i="44"/>
  <c r="AI38" i="44"/>
  <c r="AH38" i="44"/>
  <c r="Y38" i="44"/>
  <c r="X38" i="44"/>
  <c r="W38" i="44"/>
  <c r="N38" i="44"/>
  <c r="M38" i="44"/>
  <c r="L38" i="44"/>
  <c r="AJ37" i="44"/>
  <c r="AI37" i="44"/>
  <c r="AH37" i="44"/>
  <c r="Y37" i="44"/>
  <c r="X37" i="44"/>
  <c r="W37" i="44"/>
  <c r="N37" i="44"/>
  <c r="M37" i="44"/>
  <c r="L37" i="44"/>
  <c r="AJ36" i="44"/>
  <c r="AI36" i="44"/>
  <c r="AH36" i="44"/>
  <c r="Y36" i="44"/>
  <c r="X36" i="44"/>
  <c r="W36" i="44"/>
  <c r="N36" i="44"/>
  <c r="M36" i="44"/>
  <c r="L36" i="44"/>
  <c r="AJ35" i="44"/>
  <c r="AI35" i="44"/>
  <c r="AH35" i="44"/>
  <c r="Y35" i="44"/>
  <c r="X35" i="44"/>
  <c r="W35" i="44"/>
  <c r="N35" i="44"/>
  <c r="M35" i="44"/>
  <c r="L35" i="44"/>
  <c r="AJ34" i="44"/>
  <c r="AI34" i="44"/>
  <c r="AH34" i="44"/>
  <c r="Y34" i="44"/>
  <c r="X34" i="44"/>
  <c r="W34" i="44"/>
  <c r="N34" i="44"/>
  <c r="M34" i="44"/>
  <c r="L34" i="44"/>
  <c r="AJ33" i="44"/>
  <c r="AI33" i="44"/>
  <c r="AH33" i="44"/>
  <c r="Y33" i="44"/>
  <c r="X33" i="44"/>
  <c r="W33" i="44"/>
  <c r="N33" i="44"/>
  <c r="M33" i="44"/>
  <c r="L33" i="44"/>
  <c r="AJ32" i="44"/>
  <c r="AI32" i="44"/>
  <c r="AH32" i="44"/>
  <c r="Y32" i="44"/>
  <c r="X32" i="44"/>
  <c r="W32" i="44"/>
  <c r="N32" i="44"/>
  <c r="M32" i="44"/>
  <c r="L32" i="44"/>
  <c r="AJ31" i="44"/>
  <c r="AI31" i="44"/>
  <c r="AH31" i="44"/>
  <c r="Y31" i="44"/>
  <c r="X31" i="44"/>
  <c r="W31" i="44"/>
  <c r="N31" i="44"/>
  <c r="M31" i="44"/>
  <c r="L31" i="44"/>
  <c r="AJ30" i="44"/>
  <c r="AI30" i="44"/>
  <c r="AH30" i="44"/>
  <c r="Y30" i="44"/>
  <c r="X30" i="44"/>
  <c r="W30" i="44"/>
  <c r="N30" i="44"/>
  <c r="M30" i="44"/>
  <c r="L30" i="44"/>
  <c r="AJ29" i="44"/>
  <c r="AI29" i="44"/>
  <c r="AH29" i="44"/>
  <c r="Y29" i="44"/>
  <c r="X29" i="44"/>
  <c r="W29" i="44"/>
  <c r="N29" i="44"/>
  <c r="M29" i="44"/>
  <c r="L29" i="44"/>
  <c r="AJ28" i="44"/>
  <c r="AI28" i="44"/>
  <c r="AH28" i="44"/>
  <c r="Y28" i="44"/>
  <c r="X28" i="44"/>
  <c r="W28" i="44"/>
  <c r="N28" i="44"/>
  <c r="M28" i="44"/>
  <c r="L28" i="44"/>
  <c r="AJ27" i="44"/>
  <c r="AI27" i="44"/>
  <c r="AH27" i="44"/>
  <c r="Y27" i="44"/>
  <c r="X27" i="44"/>
  <c r="W27" i="44"/>
  <c r="N27" i="44"/>
  <c r="M27" i="44"/>
  <c r="L27" i="44"/>
  <c r="AJ26" i="44"/>
  <c r="AI26" i="44"/>
  <c r="AH26" i="44"/>
  <c r="Y26" i="44"/>
  <c r="X26" i="44"/>
  <c r="W26" i="44"/>
  <c r="N26" i="44"/>
  <c r="M26" i="44"/>
  <c r="L26" i="44"/>
  <c r="AJ25" i="44"/>
  <c r="AI25" i="44"/>
  <c r="AH25" i="44"/>
  <c r="Y25" i="44"/>
  <c r="X25" i="44"/>
  <c r="W25" i="44"/>
  <c r="N25" i="44"/>
  <c r="M25" i="44"/>
  <c r="L25" i="44"/>
  <c r="AJ24" i="44"/>
  <c r="AI24" i="44"/>
  <c r="AH24" i="44"/>
  <c r="Y24" i="44"/>
  <c r="X24" i="44"/>
  <c r="W24" i="44"/>
  <c r="N24" i="44"/>
  <c r="M24" i="44"/>
  <c r="L24" i="44"/>
  <c r="AJ23" i="44"/>
  <c r="AI23" i="44"/>
  <c r="AH23" i="44"/>
  <c r="Y23" i="44"/>
  <c r="X23" i="44"/>
  <c r="W23" i="44"/>
  <c r="N23" i="44"/>
  <c r="M23" i="44"/>
  <c r="L23" i="44"/>
  <c r="AJ22" i="44"/>
  <c r="AI22" i="44"/>
  <c r="AH22" i="44"/>
  <c r="Y22" i="44"/>
  <c r="X22" i="44"/>
  <c r="W22" i="44"/>
  <c r="N22" i="44"/>
  <c r="M22" i="44"/>
  <c r="L22" i="44"/>
  <c r="AJ21" i="44"/>
  <c r="AI21" i="44"/>
  <c r="AH21" i="44"/>
  <c r="Y21" i="44"/>
  <c r="X21" i="44"/>
  <c r="W21" i="44"/>
  <c r="N21" i="44"/>
  <c r="M21" i="44"/>
  <c r="L21" i="44"/>
  <c r="AJ20" i="44"/>
  <c r="AI20" i="44"/>
  <c r="AH20" i="44"/>
  <c r="Y20" i="44"/>
  <c r="X20" i="44"/>
  <c r="W20" i="44"/>
  <c r="N20" i="44"/>
  <c r="M20" i="44"/>
  <c r="L20" i="44"/>
  <c r="AJ19" i="44"/>
  <c r="AI19" i="44"/>
  <c r="AH19" i="44"/>
  <c r="Y19" i="44"/>
  <c r="X19" i="44"/>
  <c r="W19" i="44"/>
  <c r="N19" i="44"/>
  <c r="M19" i="44"/>
  <c r="L19" i="44"/>
  <c r="AJ18" i="44"/>
  <c r="AI18" i="44"/>
  <c r="AH18" i="44"/>
  <c r="Y18" i="44"/>
  <c r="X18" i="44"/>
  <c r="W18" i="44"/>
  <c r="N18" i="44"/>
  <c r="M18" i="44"/>
  <c r="L18" i="44"/>
  <c r="AJ17" i="44"/>
  <c r="AI17" i="44"/>
  <c r="AH17" i="44"/>
  <c r="Y17" i="44"/>
  <c r="X17" i="44"/>
  <c r="W17" i="44"/>
  <c r="N17" i="44"/>
  <c r="M17" i="44"/>
  <c r="L17" i="44"/>
  <c r="AJ16" i="44"/>
  <c r="AI16" i="44"/>
  <c r="AH16" i="44"/>
  <c r="W16" i="44"/>
  <c r="X16" i="44" s="1"/>
  <c r="Y16" i="44" s="1"/>
  <c r="L16" i="44"/>
  <c r="M16" i="44" s="1"/>
  <c r="N16" i="44" s="1"/>
  <c r="AJ15" i="44"/>
  <c r="AI15" i="44"/>
  <c r="AH15" i="44"/>
  <c r="W15" i="44"/>
  <c r="X15" i="44" s="1"/>
  <c r="Y15" i="44" s="1"/>
  <c r="L15" i="44"/>
  <c r="M15" i="44" s="1"/>
  <c r="N15" i="44" s="1"/>
  <c r="AJ14" i="44"/>
  <c r="AI14" i="44"/>
  <c r="AH14" i="44"/>
  <c r="W14" i="44"/>
  <c r="X14" i="44" s="1"/>
  <c r="Y14" i="44" s="1"/>
  <c r="L14" i="44"/>
  <c r="M14" i="44" s="1"/>
  <c r="N14" i="44" s="1"/>
  <c r="AJ13" i="44"/>
  <c r="AI13" i="44"/>
  <c r="AH13" i="44"/>
  <c r="W13" i="44"/>
  <c r="X13" i="44" s="1"/>
  <c r="Y13" i="44" s="1"/>
  <c r="L13" i="44"/>
  <c r="M13" i="44" s="1"/>
  <c r="N13" i="44" s="1"/>
  <c r="AJ12" i="44"/>
  <c r="AI12" i="44"/>
  <c r="AH12" i="44"/>
  <c r="W12" i="44"/>
  <c r="X12" i="44" s="1"/>
  <c r="Y12" i="44" s="1"/>
  <c r="L12" i="44"/>
  <c r="M12" i="44" s="1"/>
  <c r="N12" i="44" s="1"/>
  <c r="AJ11" i="44"/>
  <c r="AI11" i="44"/>
  <c r="AH11" i="44"/>
  <c r="W11" i="44"/>
  <c r="X11" i="44" s="1"/>
  <c r="Y11" i="44" s="1"/>
  <c r="L11" i="44"/>
  <c r="M11" i="44" s="1"/>
  <c r="N11" i="44" s="1"/>
  <c r="AJ10" i="44"/>
  <c r="AI10" i="44"/>
  <c r="AH10" i="44"/>
  <c r="W10" i="44"/>
  <c r="X10" i="44" s="1"/>
  <c r="Y10" i="44" s="1"/>
  <c r="L10" i="44"/>
  <c r="M10" i="44" s="1"/>
  <c r="N10" i="44" s="1"/>
  <c r="AJ9" i="44"/>
  <c r="AI9" i="44"/>
  <c r="AH9" i="44"/>
  <c r="W9" i="44"/>
  <c r="X9" i="44" s="1"/>
  <c r="Y9" i="44" s="1"/>
  <c r="L9" i="44"/>
  <c r="M9" i="44" s="1"/>
  <c r="N9" i="44" s="1"/>
  <c r="AJ8" i="44"/>
  <c r="AI8" i="44"/>
  <c r="AH8" i="44"/>
  <c r="W8" i="44"/>
  <c r="X8" i="44" s="1"/>
  <c r="Y8" i="44" s="1"/>
  <c r="L8" i="44"/>
  <c r="M8" i="44" s="1"/>
  <c r="N8" i="44" s="1"/>
  <c r="AJ7" i="44"/>
  <c r="AI7" i="44"/>
  <c r="AH7" i="44"/>
  <c r="W7" i="44"/>
  <c r="X7" i="44" s="1"/>
  <c r="Y7" i="44" s="1"/>
  <c r="L7" i="44"/>
  <c r="M7" i="44" s="1"/>
  <c r="N7" i="44" s="1"/>
  <c r="AJ6" i="44"/>
  <c r="AI6" i="44"/>
  <c r="AH6" i="44"/>
  <c r="W6" i="44"/>
  <c r="X6" i="44" s="1"/>
  <c r="Y6" i="44" s="1"/>
  <c r="L6" i="44"/>
  <c r="M6" i="44" s="1"/>
  <c r="N6" i="44" s="1"/>
  <c r="AJ5" i="44"/>
  <c r="AI5" i="44"/>
  <c r="AH5" i="44"/>
  <c r="W5" i="44"/>
  <c r="X5" i="44" s="1"/>
  <c r="Y5" i="44" s="1"/>
  <c r="L5" i="44"/>
  <c r="M5" i="44" s="1"/>
  <c r="N5" i="44" s="1"/>
  <c r="AJ4" i="44"/>
  <c r="AI4" i="44"/>
  <c r="AH4" i="44"/>
  <c r="W4" i="44"/>
  <c r="X4" i="44" s="1"/>
  <c r="Y4" i="44" s="1"/>
  <c r="L4" i="44"/>
  <c r="M4" i="44" s="1"/>
  <c r="N4" i="44" s="1"/>
  <c r="AJ3" i="44"/>
  <c r="AJ1" i="44" s="1"/>
  <c r="AI3" i="44"/>
  <c r="AH3" i="44"/>
  <c r="W3" i="44"/>
  <c r="X3" i="44" s="1"/>
  <c r="Y3" i="44" s="1"/>
  <c r="L3" i="44"/>
  <c r="M3" i="44" s="1"/>
  <c r="N3" i="44" s="1"/>
  <c r="AA1" i="44" a="1"/>
  <c r="AA1" i="44" s="1"/>
  <c r="P1" i="44" a="1"/>
  <c r="P1" i="44" s="1"/>
  <c r="E1" i="44" a="1"/>
  <c r="E1" i="44" s="1"/>
  <c r="A1" i="44" a="1"/>
  <c r="A1" i="44" s="1"/>
  <c r="C31" i="12"/>
  <c r="C152" i="12"/>
  <c r="C276" i="12"/>
  <c r="D59" i="12"/>
  <c r="D123" i="12"/>
  <c r="D187" i="12"/>
  <c r="D251" i="12"/>
  <c r="E27" i="12"/>
  <c r="E68" i="12"/>
  <c r="E118" i="12"/>
  <c r="E159" i="12"/>
  <c r="E200" i="12"/>
  <c r="E250" i="12"/>
  <c r="C251" i="12"/>
  <c r="C52" i="12"/>
  <c r="C153" i="12"/>
  <c r="C277" i="12"/>
  <c r="D60" i="12"/>
  <c r="D124" i="12"/>
  <c r="D188" i="12"/>
  <c r="E28" i="12"/>
  <c r="E69" i="12"/>
  <c r="E119" i="12"/>
  <c r="E160" i="12"/>
  <c r="E201" i="12"/>
  <c r="E251" i="12"/>
  <c r="E292" i="12"/>
  <c r="E66" i="12"/>
  <c r="C53" i="12"/>
  <c r="C154" i="12"/>
  <c r="C278" i="12"/>
  <c r="D61" i="12"/>
  <c r="D125" i="12"/>
  <c r="D189" i="12"/>
  <c r="D253" i="12"/>
  <c r="E29" i="12"/>
  <c r="E70" i="12"/>
  <c r="E120" i="12"/>
  <c r="E161" i="12"/>
  <c r="E252" i="12"/>
  <c r="E293" i="12"/>
  <c r="E288" i="12"/>
  <c r="C150" i="12"/>
  <c r="C54" i="12"/>
  <c r="C155" i="12"/>
  <c r="C279" i="12"/>
  <c r="D62" i="12"/>
  <c r="D126" i="12"/>
  <c r="D190" i="12"/>
  <c r="E30" i="12"/>
  <c r="E71" i="12"/>
  <c r="E121" i="12"/>
  <c r="E162" i="12"/>
  <c r="E212" i="12"/>
  <c r="E253" i="12"/>
  <c r="E294" i="12"/>
  <c r="D120" i="12"/>
  <c r="C55" i="12"/>
  <c r="C159" i="12"/>
  <c r="C280" i="12"/>
  <c r="D63" i="12"/>
  <c r="D127" i="12"/>
  <c r="D191" i="12"/>
  <c r="D255" i="12"/>
  <c r="E31" i="12"/>
  <c r="E72" i="12"/>
  <c r="E122" i="12"/>
  <c r="E163" i="12"/>
  <c r="E213" i="12"/>
  <c r="E254" i="12"/>
  <c r="E156" i="12"/>
  <c r="C56" i="12"/>
  <c r="C180" i="12"/>
  <c r="C281" i="12"/>
  <c r="D64" i="12"/>
  <c r="D128" i="12"/>
  <c r="D192" i="12"/>
  <c r="E32" i="12"/>
  <c r="E73" i="12"/>
  <c r="E123" i="12"/>
  <c r="E164" i="12"/>
  <c r="E214" i="12"/>
  <c r="E255" i="12"/>
  <c r="D184" i="12"/>
  <c r="D185" i="12"/>
  <c r="C57" i="12"/>
  <c r="C181" i="12"/>
  <c r="C282" i="12"/>
  <c r="D65" i="12"/>
  <c r="D129" i="12"/>
  <c r="D193" i="12"/>
  <c r="E33" i="12"/>
  <c r="E77" i="12"/>
  <c r="E124" i="12"/>
  <c r="E165" i="12"/>
  <c r="E215" i="12"/>
  <c r="E256" i="12"/>
  <c r="D56" i="12"/>
  <c r="C27" i="12"/>
  <c r="C58" i="12"/>
  <c r="C182" i="12"/>
  <c r="C283" i="12"/>
  <c r="D66" i="12"/>
  <c r="D130" i="12"/>
  <c r="D194" i="12"/>
  <c r="D258" i="12"/>
  <c r="E34" i="12"/>
  <c r="E84" i="12"/>
  <c r="E125" i="12"/>
  <c r="E166" i="12"/>
  <c r="E216" i="12"/>
  <c r="E257" i="12"/>
  <c r="C250" i="12"/>
  <c r="C28" i="12"/>
  <c r="C60" i="12"/>
  <c r="C92" i="12"/>
  <c r="C124" i="12"/>
  <c r="C156" i="12"/>
  <c r="C188" i="12"/>
  <c r="C220" i="12"/>
  <c r="C252" i="12"/>
  <c r="C284" i="12"/>
  <c r="C59" i="12"/>
  <c r="C183" i="12"/>
  <c r="C287" i="12"/>
  <c r="D70" i="12"/>
  <c r="D134" i="12"/>
  <c r="D198" i="12"/>
  <c r="D262" i="12"/>
  <c r="E35" i="12"/>
  <c r="E85" i="12"/>
  <c r="E126" i="12"/>
  <c r="E167" i="12"/>
  <c r="E217" i="12"/>
  <c r="E258" i="12"/>
  <c r="C149" i="12"/>
  <c r="C29" i="12"/>
  <c r="C61" i="12"/>
  <c r="C93" i="12"/>
  <c r="C125" i="12"/>
  <c r="C157" i="12"/>
  <c r="C189" i="12"/>
  <c r="C221" i="12"/>
  <c r="C253" i="12"/>
  <c r="C285" i="12"/>
  <c r="C63" i="12"/>
  <c r="C184" i="12"/>
  <c r="D20" i="12"/>
  <c r="D84" i="12"/>
  <c r="D148" i="12"/>
  <c r="D212" i="12"/>
  <c r="D276" i="12"/>
  <c r="E36" i="12"/>
  <c r="E86" i="12"/>
  <c r="E127" i="12"/>
  <c r="E168" i="12"/>
  <c r="E218" i="12"/>
  <c r="E259" i="12"/>
  <c r="E65" i="12"/>
  <c r="E116" i="12"/>
  <c r="C30" i="12"/>
  <c r="C62" i="12"/>
  <c r="C94" i="12"/>
  <c r="C126" i="12"/>
  <c r="C158" i="12"/>
  <c r="C190" i="12"/>
  <c r="C222" i="12"/>
  <c r="C254" i="12"/>
  <c r="C286" i="12"/>
  <c r="C84" i="12"/>
  <c r="C185" i="12"/>
  <c r="D21" i="12"/>
  <c r="D85" i="12"/>
  <c r="D149" i="12"/>
  <c r="D213" i="12"/>
  <c r="D277" i="12"/>
  <c r="E37" i="12"/>
  <c r="E87" i="12"/>
  <c r="E128" i="12"/>
  <c r="E169" i="12"/>
  <c r="E219" i="12"/>
  <c r="E260" i="12"/>
  <c r="D248" i="12"/>
  <c r="C85" i="12"/>
  <c r="C186" i="12"/>
  <c r="D22" i="12"/>
  <c r="D86" i="12"/>
  <c r="D150" i="12"/>
  <c r="D214" i="12"/>
  <c r="D278" i="12"/>
  <c r="E38" i="12"/>
  <c r="E88" i="12"/>
  <c r="E129" i="12"/>
  <c r="E173" i="12"/>
  <c r="E220" i="12"/>
  <c r="E261" i="12"/>
  <c r="C32" i="12"/>
  <c r="C64" i="12"/>
  <c r="C96" i="12"/>
  <c r="C128" i="12"/>
  <c r="C160" i="12"/>
  <c r="C192" i="12"/>
  <c r="C224" i="12"/>
  <c r="C256" i="12"/>
  <c r="C288" i="12"/>
  <c r="C86" i="12"/>
  <c r="C187" i="12"/>
  <c r="D23" i="12"/>
  <c r="D87" i="12"/>
  <c r="D151" i="12"/>
  <c r="D215" i="12"/>
  <c r="D279" i="12"/>
  <c r="E39" i="12"/>
  <c r="E89" i="12"/>
  <c r="E130" i="12"/>
  <c r="E180" i="12"/>
  <c r="E221" i="12"/>
  <c r="E262" i="12"/>
  <c r="C33" i="12"/>
  <c r="C65" i="12"/>
  <c r="C97" i="12"/>
  <c r="C129" i="12"/>
  <c r="C161" i="12"/>
  <c r="C193" i="12"/>
  <c r="C225" i="12"/>
  <c r="C257" i="12"/>
  <c r="C289" i="12"/>
  <c r="C87" i="12"/>
  <c r="C191" i="12"/>
  <c r="D24" i="12"/>
  <c r="D88" i="12"/>
  <c r="D152" i="12"/>
  <c r="D216" i="12"/>
  <c r="D280" i="12"/>
  <c r="E40" i="12"/>
  <c r="E90" i="12"/>
  <c r="E131" i="12"/>
  <c r="E181" i="12"/>
  <c r="E222" i="12"/>
  <c r="E263" i="12"/>
  <c r="E157" i="12"/>
  <c r="C34" i="12"/>
  <c r="C66" i="12"/>
  <c r="C98" i="12"/>
  <c r="C130" i="12"/>
  <c r="C162" i="12"/>
  <c r="C194" i="12"/>
  <c r="C226" i="12"/>
  <c r="C258" i="12"/>
  <c r="C290" i="12"/>
  <c r="C88" i="12"/>
  <c r="C212" i="12"/>
  <c r="D25" i="12"/>
  <c r="D89" i="12"/>
  <c r="D153" i="12"/>
  <c r="D217" i="12"/>
  <c r="D281" i="12"/>
  <c r="E41" i="12"/>
  <c r="E91" i="12"/>
  <c r="E132" i="12"/>
  <c r="E182" i="12"/>
  <c r="E223" i="12"/>
  <c r="E264" i="12"/>
  <c r="E198" i="12"/>
  <c r="D35" i="12"/>
  <c r="D67" i="12"/>
  <c r="D99" i="12"/>
  <c r="D131" i="12"/>
  <c r="D163" i="12"/>
  <c r="D195" i="12"/>
  <c r="D227" i="12"/>
  <c r="D259" i="12"/>
  <c r="D291" i="12"/>
  <c r="C89" i="12"/>
  <c r="C213" i="12"/>
  <c r="D26" i="12"/>
  <c r="D90" i="12"/>
  <c r="D154" i="12"/>
  <c r="D218" i="12"/>
  <c r="D282" i="12"/>
  <c r="E45" i="12"/>
  <c r="E92" i="12"/>
  <c r="E133" i="12"/>
  <c r="E183" i="12"/>
  <c r="E224" i="12"/>
  <c r="E265" i="12"/>
  <c r="D121" i="12"/>
  <c r="D36" i="12"/>
  <c r="D68" i="12"/>
  <c r="D100" i="12"/>
  <c r="D132" i="12"/>
  <c r="D164" i="12"/>
  <c r="D196" i="12"/>
  <c r="D228" i="12"/>
  <c r="D260" i="12"/>
  <c r="D292" i="12"/>
  <c r="C90" i="12"/>
  <c r="C214" i="12"/>
  <c r="D27" i="12"/>
  <c r="D91" i="12"/>
  <c r="D155" i="12"/>
  <c r="D219" i="12"/>
  <c r="D283" i="12"/>
  <c r="E52" i="12"/>
  <c r="E93" i="12"/>
  <c r="E134" i="12"/>
  <c r="E184" i="12"/>
  <c r="E225" i="12"/>
  <c r="E269" i="12"/>
  <c r="D37" i="12"/>
  <c r="D69" i="12"/>
  <c r="D101" i="12"/>
  <c r="D133" i="12"/>
  <c r="D165" i="12"/>
  <c r="D197" i="12"/>
  <c r="D229" i="12"/>
  <c r="D261" i="12"/>
  <c r="D293" i="12"/>
  <c r="C91" i="12"/>
  <c r="C215" i="12"/>
  <c r="D28" i="12"/>
  <c r="D92" i="12"/>
  <c r="D156" i="12"/>
  <c r="D220" i="12"/>
  <c r="D284" i="12"/>
  <c r="E53" i="12"/>
  <c r="E94" i="12"/>
  <c r="E135" i="12"/>
  <c r="E185" i="12"/>
  <c r="E226" i="12"/>
  <c r="E276" i="12"/>
  <c r="E197" i="12"/>
  <c r="E289" i="12"/>
  <c r="C38" i="12"/>
  <c r="C70" i="12"/>
  <c r="C102" i="12"/>
  <c r="C134" i="12"/>
  <c r="C166" i="12"/>
  <c r="C198" i="12"/>
  <c r="C230" i="12"/>
  <c r="C262" i="12"/>
  <c r="C294" i="12"/>
  <c r="C95" i="12"/>
  <c r="C216" i="12"/>
  <c r="D29" i="12"/>
  <c r="D93" i="12"/>
  <c r="D157" i="12"/>
  <c r="D221" i="12"/>
  <c r="D285" i="12"/>
  <c r="E54" i="12"/>
  <c r="E95" i="12"/>
  <c r="E136" i="12"/>
  <c r="E186" i="12"/>
  <c r="E227" i="12"/>
  <c r="E277" i="12"/>
  <c r="E25" i="12"/>
  <c r="D39" i="12"/>
  <c r="D71" i="12"/>
  <c r="D103" i="12"/>
  <c r="D135" i="12"/>
  <c r="D167" i="12"/>
  <c r="D199" i="12"/>
  <c r="D231" i="12"/>
  <c r="D263" i="12"/>
  <c r="D295" i="12"/>
  <c r="C116" i="12"/>
  <c r="C217" i="12"/>
  <c r="D30" i="12"/>
  <c r="D94" i="12"/>
  <c r="D158" i="12"/>
  <c r="D222" i="12"/>
  <c r="D286" i="12"/>
  <c r="E55" i="12"/>
  <c r="E96" i="12"/>
  <c r="E137" i="12"/>
  <c r="E187" i="12"/>
  <c r="E228" i="12"/>
  <c r="E278" i="12"/>
  <c r="D40" i="12"/>
  <c r="D72" i="12"/>
  <c r="D104" i="12"/>
  <c r="D136" i="12"/>
  <c r="D168" i="12"/>
  <c r="D200" i="12"/>
  <c r="D232" i="12"/>
  <c r="D264" i="12"/>
  <c r="D296" i="12"/>
  <c r="C117" i="12"/>
  <c r="C218" i="12"/>
  <c r="D31" i="12"/>
  <c r="D95" i="12"/>
  <c r="D159" i="12"/>
  <c r="D223" i="12"/>
  <c r="D287" i="12"/>
  <c r="E56" i="12"/>
  <c r="E97" i="12"/>
  <c r="E141" i="12"/>
  <c r="E188" i="12"/>
  <c r="E229" i="12"/>
  <c r="E279" i="12"/>
  <c r="D57" i="12"/>
  <c r="D41" i="12"/>
  <c r="D73" i="12"/>
  <c r="D105" i="12"/>
  <c r="D137" i="12"/>
  <c r="D169" i="12"/>
  <c r="D201" i="12"/>
  <c r="D233" i="12"/>
  <c r="D265" i="12"/>
  <c r="D297" i="12"/>
  <c r="C118" i="12"/>
  <c r="C219" i="12"/>
  <c r="D32" i="12"/>
  <c r="D96" i="12"/>
  <c r="D160" i="12"/>
  <c r="D224" i="12"/>
  <c r="D288" i="12"/>
  <c r="E57" i="12"/>
  <c r="E98" i="12"/>
  <c r="E148" i="12"/>
  <c r="E189" i="12"/>
  <c r="E230" i="12"/>
  <c r="E280" i="12"/>
  <c r="E42" i="12"/>
  <c r="E74" i="12"/>
  <c r="E106" i="12"/>
  <c r="E138" i="12"/>
  <c r="E170" i="12"/>
  <c r="E202" i="12"/>
  <c r="E234" i="12"/>
  <c r="E266" i="12"/>
  <c r="E298" i="12"/>
  <c r="C119" i="12"/>
  <c r="C223" i="12"/>
  <c r="D33" i="12"/>
  <c r="D97" i="12"/>
  <c r="D161" i="12"/>
  <c r="D225" i="12"/>
  <c r="D289" i="12"/>
  <c r="E58" i="12"/>
  <c r="E99" i="12"/>
  <c r="E149" i="12"/>
  <c r="E190" i="12"/>
  <c r="E231" i="12"/>
  <c r="E281" i="12"/>
  <c r="C25" i="12"/>
  <c r="E43" i="12"/>
  <c r="E75" i="12"/>
  <c r="E107" i="12"/>
  <c r="E139" i="12"/>
  <c r="E171" i="12"/>
  <c r="E203" i="12"/>
  <c r="E235" i="12"/>
  <c r="E267" i="12"/>
  <c r="E299" i="12"/>
  <c r="C120" i="12"/>
  <c r="C244" i="12"/>
  <c r="D34" i="12"/>
  <c r="D98" i="12"/>
  <c r="D162" i="12"/>
  <c r="D226" i="12"/>
  <c r="D290" i="12"/>
  <c r="E59" i="12"/>
  <c r="E100" i="12"/>
  <c r="E150" i="12"/>
  <c r="E191" i="12"/>
  <c r="E232" i="12"/>
  <c r="E282" i="12"/>
  <c r="D249" i="12"/>
  <c r="E44" i="12"/>
  <c r="E76" i="12"/>
  <c r="E108" i="12"/>
  <c r="E140" i="12"/>
  <c r="E172" i="12"/>
  <c r="E204" i="12"/>
  <c r="E236" i="12"/>
  <c r="E268" i="12"/>
  <c r="E300" i="12"/>
  <c r="C121" i="12"/>
  <c r="C245" i="12"/>
  <c r="D38" i="12"/>
  <c r="D102" i="12"/>
  <c r="D166" i="12"/>
  <c r="D230" i="12"/>
  <c r="D294" i="12"/>
  <c r="E60" i="12"/>
  <c r="E101" i="12"/>
  <c r="E151" i="12"/>
  <c r="E192" i="12"/>
  <c r="E233" i="12"/>
  <c r="E283" i="12"/>
  <c r="E24" i="12"/>
  <c r="E248" i="12"/>
  <c r="D45" i="12"/>
  <c r="D77" i="12"/>
  <c r="D109" i="12"/>
  <c r="D141" i="12"/>
  <c r="D173" i="12"/>
  <c r="D205" i="12"/>
  <c r="D237" i="12"/>
  <c r="D269" i="12"/>
  <c r="C20" i="12"/>
  <c r="C122" i="12"/>
  <c r="C246" i="12"/>
  <c r="D52" i="12"/>
  <c r="D116" i="12"/>
  <c r="D180" i="12"/>
  <c r="D244" i="12"/>
  <c r="E20" i="12"/>
  <c r="E61" i="12"/>
  <c r="E102" i="12"/>
  <c r="E152" i="12"/>
  <c r="E193" i="12"/>
  <c r="E237" i="12"/>
  <c r="E284" i="12"/>
  <c r="E46" i="12"/>
  <c r="E78" i="12"/>
  <c r="E110" i="12"/>
  <c r="E142" i="12"/>
  <c r="E174" i="12"/>
  <c r="E206" i="12"/>
  <c r="E238" i="12"/>
  <c r="E270" i="12"/>
  <c r="C21" i="12"/>
  <c r="C123" i="12"/>
  <c r="C247" i="12"/>
  <c r="D53" i="12"/>
  <c r="D117" i="12"/>
  <c r="D181" i="12"/>
  <c r="D245" i="12"/>
  <c r="E21" i="12"/>
  <c r="E62" i="12"/>
  <c r="E103" i="12"/>
  <c r="E153" i="12"/>
  <c r="E194" i="12"/>
  <c r="E244" i="12"/>
  <c r="E285" i="12"/>
  <c r="C24" i="12"/>
  <c r="E247" i="12"/>
  <c r="E47" i="12"/>
  <c r="E79" i="12"/>
  <c r="E111" i="12"/>
  <c r="E143" i="12"/>
  <c r="E175" i="12"/>
  <c r="E207" i="12"/>
  <c r="E239" i="12"/>
  <c r="E271" i="12"/>
  <c r="C22" i="12"/>
  <c r="C127" i="12"/>
  <c r="C248" i="12"/>
  <c r="D54" i="12"/>
  <c r="D118" i="12"/>
  <c r="D182" i="12"/>
  <c r="D246" i="12"/>
  <c r="E22" i="12"/>
  <c r="E63" i="12"/>
  <c r="E104" i="12"/>
  <c r="E154" i="12"/>
  <c r="E195" i="12"/>
  <c r="E245" i="12"/>
  <c r="E286" i="12"/>
  <c r="E109" i="12"/>
  <c r="C23" i="12"/>
  <c r="C148" i="12"/>
  <c r="C249" i="12"/>
  <c r="D55" i="12"/>
  <c r="D119" i="12"/>
  <c r="D183" i="12"/>
  <c r="D247" i="12"/>
  <c r="E23" i="12"/>
  <c r="E64" i="12"/>
  <c r="E105" i="12"/>
  <c r="E155" i="12"/>
  <c r="E196" i="12"/>
  <c r="E246" i="12"/>
  <c r="E287" i="12"/>
  <c r="C26" i="12"/>
  <c r="C151" i="12"/>
  <c r="C255" i="12"/>
  <c r="D58" i="12"/>
  <c r="D122" i="12"/>
  <c r="D186" i="12"/>
  <c r="D250" i="12"/>
  <c r="E26" i="12"/>
  <c r="E67" i="12"/>
  <c r="E117" i="12"/>
  <c r="E158" i="12"/>
  <c r="E199" i="12"/>
  <c r="E249" i="12"/>
  <c r="E290" i="12"/>
  <c r="AN1" i="12" l="1"/>
  <c r="F255" i="12"/>
  <c r="G255" i="12" s="1"/>
  <c r="F151" i="12"/>
  <c r="G151" i="12" s="1"/>
  <c r="F26" i="12"/>
  <c r="F249" i="12"/>
  <c r="G249" i="12" s="1"/>
  <c r="F148" i="12"/>
  <c r="G148" i="12" s="1"/>
  <c r="F23" i="12"/>
  <c r="F248" i="12"/>
  <c r="G248" i="12" s="1"/>
  <c r="F127" i="12"/>
  <c r="G127" i="12" s="1"/>
  <c r="F22" i="12"/>
  <c r="F24" i="12"/>
  <c r="F247" i="12"/>
  <c r="G247" i="12" s="1"/>
  <c r="F123" i="12"/>
  <c r="G123" i="12" s="1"/>
  <c r="F21" i="12"/>
  <c r="F246" i="12"/>
  <c r="G246" i="12" s="1"/>
  <c r="F122" i="12"/>
  <c r="G122" i="12" s="1"/>
  <c r="F20" i="12"/>
  <c r="F245" i="12"/>
  <c r="G245" i="12" s="1"/>
  <c r="F121" i="12"/>
  <c r="G121" i="12" s="1"/>
  <c r="F244" i="12"/>
  <c r="G244" i="12" s="1"/>
  <c r="F120" i="12"/>
  <c r="G120" i="12" s="1"/>
  <c r="F25" i="12"/>
  <c r="F223" i="12"/>
  <c r="G223" i="12" s="1"/>
  <c r="F119" i="12"/>
  <c r="G119" i="12" s="1"/>
  <c r="F219" i="12"/>
  <c r="G219" i="12" s="1"/>
  <c r="F118" i="12"/>
  <c r="G118" i="12" s="1"/>
  <c r="F218" i="12"/>
  <c r="G218" i="12" s="1"/>
  <c r="F117" i="12"/>
  <c r="G117" i="12" s="1"/>
  <c r="F217" i="12"/>
  <c r="G217" i="12" s="1"/>
  <c r="F116" i="12"/>
  <c r="G116" i="12" s="1"/>
  <c r="F216" i="12"/>
  <c r="G216" i="12" s="1"/>
  <c r="F95" i="12"/>
  <c r="G95" i="12" s="1"/>
  <c r="F294" i="12"/>
  <c r="G294" i="12" s="1"/>
  <c r="F262" i="12"/>
  <c r="G262" i="12" s="1"/>
  <c r="F230" i="12"/>
  <c r="G230" i="12" s="1"/>
  <c r="F198" i="12"/>
  <c r="G198" i="12" s="1"/>
  <c r="F166" i="12"/>
  <c r="G166" i="12" s="1"/>
  <c r="F134" i="12"/>
  <c r="G134" i="12" s="1"/>
  <c r="F102" i="12"/>
  <c r="G102" i="12" s="1"/>
  <c r="F70" i="12"/>
  <c r="G70" i="12" s="1"/>
  <c r="F38" i="12"/>
  <c r="F215" i="12"/>
  <c r="G215" i="12" s="1"/>
  <c r="F91" i="12"/>
  <c r="G91" i="12" s="1"/>
  <c r="F214" i="12"/>
  <c r="G214" i="12" s="1"/>
  <c r="F90" i="12"/>
  <c r="G90" i="12" s="1"/>
  <c r="F213" i="12"/>
  <c r="G213" i="12" s="1"/>
  <c r="F89" i="12"/>
  <c r="G89" i="12" s="1"/>
  <c r="F212" i="12"/>
  <c r="G212" i="12" s="1"/>
  <c r="F88" i="12"/>
  <c r="G88" i="12" s="1"/>
  <c r="F290" i="12"/>
  <c r="G290" i="12" s="1"/>
  <c r="F258" i="12"/>
  <c r="G258" i="12" s="1"/>
  <c r="F226" i="12"/>
  <c r="G226" i="12" s="1"/>
  <c r="F194" i="12"/>
  <c r="G194" i="12" s="1"/>
  <c r="F162" i="12"/>
  <c r="G162" i="12" s="1"/>
  <c r="F130" i="12"/>
  <c r="G130" i="12" s="1"/>
  <c r="F98" i="12"/>
  <c r="G98" i="12" s="1"/>
  <c r="F66" i="12"/>
  <c r="G66" i="12" s="1"/>
  <c r="F34" i="12"/>
  <c r="F191" i="12"/>
  <c r="G191" i="12" s="1"/>
  <c r="F87" i="12"/>
  <c r="G87" i="12" s="1"/>
  <c r="F289" i="12"/>
  <c r="G289" i="12" s="1"/>
  <c r="F225" i="12"/>
  <c r="G225" i="12" s="1"/>
  <c r="F193" i="12"/>
  <c r="G193" i="12" s="1"/>
  <c r="F161" i="12"/>
  <c r="G161" i="12" s="1"/>
  <c r="F129" i="12"/>
  <c r="G129" i="12" s="1"/>
  <c r="F97" i="12"/>
  <c r="G97" i="12" s="1"/>
  <c r="F65" i="12"/>
  <c r="G65" i="12" s="1"/>
  <c r="F33" i="12"/>
  <c r="F187" i="12"/>
  <c r="G187" i="12" s="1"/>
  <c r="F86" i="12"/>
  <c r="G86" i="12" s="1"/>
  <c r="F288" i="12"/>
  <c r="G288" i="12" s="1"/>
  <c r="F224" i="12"/>
  <c r="G224" i="12" s="1"/>
  <c r="F192" i="12"/>
  <c r="G192" i="12" s="1"/>
  <c r="F160" i="12"/>
  <c r="G160" i="12" s="1"/>
  <c r="F128" i="12"/>
  <c r="G128" i="12" s="1"/>
  <c r="F96" i="12"/>
  <c r="G96" i="12" s="1"/>
  <c r="F64" i="12"/>
  <c r="G64" i="12" s="1"/>
  <c r="F32" i="12"/>
  <c r="F186" i="12"/>
  <c r="G186" i="12" s="1"/>
  <c r="F85" i="12"/>
  <c r="G85" i="12" s="1"/>
  <c r="F185" i="12"/>
  <c r="G185" i="12" s="1"/>
  <c r="F84" i="12"/>
  <c r="G84" i="12" s="1"/>
  <c r="F286" i="12"/>
  <c r="G286" i="12" s="1"/>
  <c r="F222" i="12"/>
  <c r="G222" i="12" s="1"/>
  <c r="F190" i="12"/>
  <c r="G190" i="12" s="1"/>
  <c r="F158" i="12"/>
  <c r="G158" i="12" s="1"/>
  <c r="F126" i="12"/>
  <c r="G126" i="12" s="1"/>
  <c r="F94" i="12"/>
  <c r="G94" i="12" s="1"/>
  <c r="F62" i="12"/>
  <c r="G62" i="12" s="1"/>
  <c r="F30" i="12"/>
  <c r="F184" i="12"/>
  <c r="G184" i="12" s="1"/>
  <c r="F63" i="12"/>
  <c r="G63" i="12" s="1"/>
  <c r="F285" i="12"/>
  <c r="G285" i="12" s="1"/>
  <c r="F253" i="12"/>
  <c r="G253" i="12" s="1"/>
  <c r="F221" i="12"/>
  <c r="G221" i="12" s="1"/>
  <c r="F189" i="12"/>
  <c r="G189" i="12" s="1"/>
  <c r="F157" i="12"/>
  <c r="G157" i="12" s="1"/>
  <c r="F125" i="12"/>
  <c r="G125" i="12" s="1"/>
  <c r="F93" i="12"/>
  <c r="G93" i="12" s="1"/>
  <c r="F61" i="12"/>
  <c r="G61" i="12" s="1"/>
  <c r="F29" i="12"/>
  <c r="F149" i="12"/>
  <c r="G149" i="12" s="1"/>
  <c r="F287" i="12"/>
  <c r="G287" i="12" s="1"/>
  <c r="F183" i="12"/>
  <c r="G183" i="12" s="1"/>
  <c r="F59" i="12"/>
  <c r="G59" i="12" s="1"/>
  <c r="F284" i="12"/>
  <c r="G284" i="12" s="1"/>
  <c r="F220" i="12"/>
  <c r="G220" i="12" s="1"/>
  <c r="F188" i="12"/>
  <c r="G188" i="12" s="1"/>
  <c r="F156" i="12"/>
  <c r="G156" i="12" s="1"/>
  <c r="F124" i="12"/>
  <c r="G124" i="12" s="1"/>
  <c r="F92" i="12"/>
  <c r="G92" i="12" s="1"/>
  <c r="F60" i="12"/>
  <c r="G60" i="12" s="1"/>
  <c r="F28" i="12"/>
  <c r="F250" i="12"/>
  <c r="G250" i="12" s="1"/>
  <c r="F283" i="12"/>
  <c r="G283" i="12" s="1"/>
  <c r="F182" i="12"/>
  <c r="G182" i="12" s="1"/>
  <c r="F58" i="12"/>
  <c r="G58" i="12" s="1"/>
  <c r="F27" i="12"/>
  <c r="F282" i="12"/>
  <c r="G282" i="12" s="1"/>
  <c r="F181" i="12"/>
  <c r="G181" i="12" s="1"/>
  <c r="F57" i="12"/>
  <c r="G57" i="12" s="1"/>
  <c r="F281" i="12"/>
  <c r="G281" i="12" s="1"/>
  <c r="F180" i="12"/>
  <c r="G180" i="12" s="1"/>
  <c r="F56" i="12"/>
  <c r="G56" i="12" s="1"/>
  <c r="F280" i="12"/>
  <c r="G280" i="12" s="1"/>
  <c r="F159" i="12"/>
  <c r="G159" i="12" s="1"/>
  <c r="F55" i="12"/>
  <c r="G55" i="12" s="1"/>
  <c r="F279" i="12"/>
  <c r="G279" i="12" s="1"/>
  <c r="F155" i="12"/>
  <c r="G155" i="12" s="1"/>
  <c r="F54" i="12"/>
  <c r="G54" i="12" s="1"/>
  <c r="F150" i="12"/>
  <c r="G150" i="12" s="1"/>
  <c r="F278" i="12"/>
  <c r="G278" i="12" s="1"/>
  <c r="F154" i="12"/>
  <c r="G154" i="12" s="1"/>
  <c r="F53" i="12"/>
  <c r="G53" i="12" s="1"/>
  <c r="F277" i="12"/>
  <c r="G277" i="12" s="1"/>
  <c r="F153" i="12"/>
  <c r="G153" i="12" s="1"/>
  <c r="F52" i="12"/>
  <c r="G52" i="12" s="1"/>
  <c r="F251" i="12"/>
  <c r="G251" i="12" s="1"/>
  <c r="F276" i="12"/>
  <c r="G276" i="12" s="1"/>
  <c r="F152" i="12"/>
  <c r="G152" i="12" s="1"/>
  <c r="F31" i="12"/>
  <c r="M108" i="12"/>
  <c r="L108" i="12"/>
  <c r="N108" i="12"/>
  <c r="O108" i="12"/>
  <c r="I3" i="12"/>
  <c r="L3" i="12" s="1"/>
  <c r="O22" i="12"/>
  <c r="O54" i="12"/>
  <c r="O86" i="12"/>
  <c r="N13" i="12"/>
  <c r="N45" i="12"/>
  <c r="N77" i="12"/>
  <c r="M4" i="12"/>
  <c r="M36" i="12"/>
  <c r="M68" i="12"/>
  <c r="M100" i="12"/>
  <c r="L64" i="12"/>
  <c r="L96" i="12"/>
  <c r="L23" i="12"/>
  <c r="L28" i="12"/>
  <c r="L41" i="12"/>
  <c r="O23" i="12"/>
  <c r="O55" i="12"/>
  <c r="O87" i="12"/>
  <c r="N14" i="12"/>
  <c r="N46" i="12"/>
  <c r="N78" i="12"/>
  <c r="M5" i="12"/>
  <c r="M37" i="12"/>
  <c r="M69" i="12"/>
  <c r="M101" i="12"/>
  <c r="L65" i="12"/>
  <c r="L97" i="12"/>
  <c r="L24" i="12"/>
  <c r="L33" i="12"/>
  <c r="L34" i="12"/>
  <c r="L35" i="12"/>
  <c r="O20" i="12"/>
  <c r="O24" i="12"/>
  <c r="O56" i="12"/>
  <c r="O88" i="12"/>
  <c r="N15" i="12"/>
  <c r="N47" i="12"/>
  <c r="N79" i="12"/>
  <c r="M6" i="12"/>
  <c r="M38" i="12"/>
  <c r="M70" i="12"/>
  <c r="M102" i="12"/>
  <c r="L66" i="12"/>
  <c r="L98" i="12"/>
  <c r="L25" i="12"/>
  <c r="L26" i="12"/>
  <c r="M9" i="12"/>
  <c r="L69" i="12"/>
  <c r="O25" i="12"/>
  <c r="O57" i="12"/>
  <c r="O89" i="12"/>
  <c r="N16" i="12"/>
  <c r="N48" i="12"/>
  <c r="N80" i="12"/>
  <c r="M7" i="12"/>
  <c r="M39" i="12"/>
  <c r="M71" i="12"/>
  <c r="M103" i="12"/>
  <c r="L67" i="12"/>
  <c r="L99" i="12"/>
  <c r="N43" i="12"/>
  <c r="O26" i="12"/>
  <c r="O58" i="12"/>
  <c r="O90" i="12"/>
  <c r="N17" i="12"/>
  <c r="N49" i="12"/>
  <c r="N81" i="12"/>
  <c r="M8" i="12"/>
  <c r="M40" i="12"/>
  <c r="M72" i="12"/>
  <c r="M104" i="12"/>
  <c r="L68" i="12"/>
  <c r="L100" i="12"/>
  <c r="L27" i="12"/>
  <c r="L101" i="12"/>
  <c r="L31" i="12"/>
  <c r="L44" i="12"/>
  <c r="M66" i="12"/>
  <c r="O27" i="12"/>
  <c r="O59" i="12"/>
  <c r="O91" i="12"/>
  <c r="N18" i="12"/>
  <c r="N50" i="12"/>
  <c r="N82" i="12"/>
  <c r="M41" i="12"/>
  <c r="M73" i="12"/>
  <c r="M105" i="12"/>
  <c r="O28" i="12"/>
  <c r="O60" i="12"/>
  <c r="O92" i="12"/>
  <c r="N19" i="12"/>
  <c r="N51" i="12"/>
  <c r="N83" i="12"/>
  <c r="M10" i="12"/>
  <c r="M42" i="12"/>
  <c r="M74" i="12"/>
  <c r="M106" i="12"/>
  <c r="L70" i="12"/>
  <c r="L102" i="12"/>
  <c r="L29" i="12"/>
  <c r="L30" i="12"/>
  <c r="M12" i="12"/>
  <c r="L72" i="12"/>
  <c r="L105" i="12"/>
  <c r="L76" i="12"/>
  <c r="O29" i="12"/>
  <c r="O61" i="12"/>
  <c r="O93" i="12"/>
  <c r="N20" i="12"/>
  <c r="N52" i="12"/>
  <c r="N84" i="12"/>
  <c r="M11" i="12"/>
  <c r="M43" i="12"/>
  <c r="M75" i="12"/>
  <c r="M107" i="12"/>
  <c r="L71" i="12"/>
  <c r="L103" i="12"/>
  <c r="N21" i="12"/>
  <c r="M76" i="12"/>
  <c r="L73" i="12"/>
  <c r="L32" i="12"/>
  <c r="L22" i="12"/>
  <c r="L95" i="12"/>
  <c r="L63" i="12"/>
  <c r="M99" i="12"/>
  <c r="M67" i="12"/>
  <c r="M35" i="12"/>
  <c r="N76" i="12"/>
  <c r="N44" i="12"/>
  <c r="N12" i="12"/>
  <c r="O85" i="12"/>
  <c r="O53" i="12"/>
  <c r="O21" i="12"/>
  <c r="L20" i="12"/>
  <c r="L93" i="12"/>
  <c r="L61" i="12"/>
  <c r="M97" i="12"/>
  <c r="M65" i="12"/>
  <c r="M33" i="12"/>
  <c r="N106" i="12"/>
  <c r="N74" i="12"/>
  <c r="N42" i="12"/>
  <c r="N10" i="12"/>
  <c r="O83" i="12"/>
  <c r="O51" i="12"/>
  <c r="O19" i="12"/>
  <c r="L19" i="12"/>
  <c r="L92" i="12"/>
  <c r="L60" i="12"/>
  <c r="M96" i="12"/>
  <c r="M64" i="12"/>
  <c r="M32" i="12"/>
  <c r="N105" i="12"/>
  <c r="N73" i="12"/>
  <c r="N41" i="12"/>
  <c r="N9" i="12"/>
  <c r="O82" i="12"/>
  <c r="O50" i="12"/>
  <c r="O18" i="12"/>
  <c r="L18" i="12"/>
  <c r="L91" i="12"/>
  <c r="L59" i="12"/>
  <c r="M95" i="12"/>
  <c r="M63" i="12"/>
  <c r="M31" i="12"/>
  <c r="N104" i="12"/>
  <c r="N72" i="12"/>
  <c r="N40" i="12"/>
  <c r="N8" i="12"/>
  <c r="O81" i="12"/>
  <c r="O49" i="12"/>
  <c r="O17" i="12"/>
  <c r="L17" i="12"/>
  <c r="L90" i="12"/>
  <c r="L58" i="12"/>
  <c r="M94" i="12"/>
  <c r="M62" i="12"/>
  <c r="M30" i="12"/>
  <c r="N103" i="12"/>
  <c r="N71" i="12"/>
  <c r="N39" i="12"/>
  <c r="N7" i="12"/>
  <c r="O80" i="12"/>
  <c r="O48" i="12"/>
  <c r="O16" i="12"/>
  <c r="L89" i="12"/>
  <c r="L57" i="12"/>
  <c r="M93" i="12"/>
  <c r="M61" i="12"/>
  <c r="M29" i="12"/>
  <c r="N102" i="12"/>
  <c r="N70" i="12"/>
  <c r="N38" i="12"/>
  <c r="N6" i="12"/>
  <c r="O79" i="12"/>
  <c r="O47" i="12"/>
  <c r="O15" i="12"/>
  <c r="L21" i="12"/>
  <c r="O84" i="12"/>
  <c r="L88" i="12"/>
  <c r="L56" i="12"/>
  <c r="M92" i="12"/>
  <c r="M60" i="12"/>
  <c r="M28" i="12"/>
  <c r="N101" i="12"/>
  <c r="N69" i="12"/>
  <c r="N37" i="12"/>
  <c r="N5" i="12"/>
  <c r="O78" i="12"/>
  <c r="O46" i="12"/>
  <c r="O14" i="12"/>
  <c r="M3" i="12"/>
  <c r="L14" i="12"/>
  <c r="L87" i="12"/>
  <c r="L55" i="12"/>
  <c r="M91" i="12"/>
  <c r="M59" i="12"/>
  <c r="M27" i="12"/>
  <c r="N100" i="12"/>
  <c r="N68" i="12"/>
  <c r="N36" i="12"/>
  <c r="N4" i="12"/>
  <c r="O77" i="12"/>
  <c r="O45" i="12"/>
  <c r="O13" i="12"/>
  <c r="M34" i="12"/>
  <c r="L13" i="12"/>
  <c r="L86" i="12"/>
  <c r="L54" i="12"/>
  <c r="M90" i="12"/>
  <c r="M58" i="12"/>
  <c r="M26" i="12"/>
  <c r="N99" i="12"/>
  <c r="N67" i="12"/>
  <c r="N35" i="12"/>
  <c r="O76" i="12"/>
  <c r="O44" i="12"/>
  <c r="O12" i="12"/>
  <c r="N75" i="12"/>
  <c r="L85" i="12"/>
  <c r="L53" i="12"/>
  <c r="M89" i="12"/>
  <c r="M57" i="12"/>
  <c r="M25" i="12"/>
  <c r="N98" i="12"/>
  <c r="N66" i="12"/>
  <c r="N34" i="12"/>
  <c r="O107" i="12"/>
  <c r="O75" i="12"/>
  <c r="O43" i="12"/>
  <c r="O11" i="12"/>
  <c r="L52" i="12"/>
  <c r="M88" i="12"/>
  <c r="M56" i="12"/>
  <c r="M24" i="12"/>
  <c r="N97" i="12"/>
  <c r="N65" i="12"/>
  <c r="N33" i="12"/>
  <c r="O106" i="12"/>
  <c r="O74" i="12"/>
  <c r="O42" i="12"/>
  <c r="O10" i="12"/>
  <c r="N11" i="12"/>
  <c r="L84" i="12"/>
  <c r="L10" i="12"/>
  <c r="L83" i="12"/>
  <c r="L51" i="12"/>
  <c r="M87" i="12"/>
  <c r="M55" i="12"/>
  <c r="M23" i="12"/>
  <c r="N96" i="12"/>
  <c r="N64" i="12"/>
  <c r="N32" i="12"/>
  <c r="O105" i="12"/>
  <c r="O73" i="12"/>
  <c r="O41" i="12"/>
  <c r="O9" i="12"/>
  <c r="N107" i="12"/>
  <c r="M86" i="12"/>
  <c r="N95" i="12"/>
  <c r="N63" i="12"/>
  <c r="N31" i="12"/>
  <c r="O104" i="12"/>
  <c r="O72" i="12"/>
  <c r="O40" i="12"/>
  <c r="O8" i="12"/>
  <c r="M54" i="12"/>
  <c r="L40" i="12"/>
  <c r="L81" i="12"/>
  <c r="L49" i="12"/>
  <c r="M85" i="12"/>
  <c r="M53" i="12"/>
  <c r="M21" i="12"/>
  <c r="N94" i="12"/>
  <c r="N62" i="12"/>
  <c r="N30" i="12"/>
  <c r="O103" i="12"/>
  <c r="O71" i="12"/>
  <c r="O39" i="12"/>
  <c r="O7" i="12"/>
  <c r="L9" i="12"/>
  <c r="L50" i="12"/>
  <c r="M22" i="12"/>
  <c r="L8" i="12"/>
  <c r="L39" i="12"/>
  <c r="L7" i="12"/>
  <c r="L80" i="12"/>
  <c r="L48" i="12"/>
  <c r="M84" i="12"/>
  <c r="M52" i="12"/>
  <c r="M20" i="12"/>
  <c r="N93" i="12"/>
  <c r="N61" i="12"/>
  <c r="N29" i="12"/>
  <c r="O102" i="12"/>
  <c r="O70" i="12"/>
  <c r="O38" i="12"/>
  <c r="O6" i="12"/>
  <c r="L16" i="12"/>
  <c r="L12" i="12"/>
  <c r="L38" i="12"/>
  <c r="L6" i="12"/>
  <c r="L79" i="12"/>
  <c r="L47" i="12"/>
  <c r="M83" i="12"/>
  <c r="M51" i="12"/>
  <c r="M19" i="12"/>
  <c r="N92" i="12"/>
  <c r="N60" i="12"/>
  <c r="N28" i="12"/>
  <c r="O101" i="12"/>
  <c r="O69" i="12"/>
  <c r="O37" i="12"/>
  <c r="O5" i="12"/>
  <c r="L62" i="12"/>
  <c r="L82" i="12"/>
  <c r="L37" i="12"/>
  <c r="L5" i="12"/>
  <c r="L78" i="12"/>
  <c r="L46" i="12"/>
  <c r="M82" i="12"/>
  <c r="M50" i="12"/>
  <c r="M18" i="12"/>
  <c r="N91" i="12"/>
  <c r="N59" i="12"/>
  <c r="N27" i="12"/>
  <c r="O100" i="12"/>
  <c r="O68" i="12"/>
  <c r="O36" i="12"/>
  <c r="O4" i="12"/>
  <c r="L11" i="12"/>
  <c r="L36" i="12"/>
  <c r="L4" i="12"/>
  <c r="L77" i="12"/>
  <c r="L45" i="12"/>
  <c r="M81" i="12"/>
  <c r="M49" i="12"/>
  <c r="M17" i="12"/>
  <c r="N90" i="12"/>
  <c r="N58" i="12"/>
  <c r="N26" i="12"/>
  <c r="O99" i="12"/>
  <c r="O67" i="12"/>
  <c r="O35" i="12"/>
  <c r="L94" i="12"/>
  <c r="M80" i="12"/>
  <c r="M48" i="12"/>
  <c r="M16" i="12"/>
  <c r="N89" i="12"/>
  <c r="N57" i="12"/>
  <c r="N25" i="12"/>
  <c r="O98" i="12"/>
  <c r="O66" i="12"/>
  <c r="O34" i="12"/>
  <c r="M98" i="12"/>
  <c r="O52" i="12"/>
  <c r="L107" i="12"/>
  <c r="L75" i="12"/>
  <c r="L43" i="12"/>
  <c r="M79" i="12"/>
  <c r="M47" i="12"/>
  <c r="M15" i="12"/>
  <c r="N88" i="12"/>
  <c r="N56" i="12"/>
  <c r="N24" i="12"/>
  <c r="O97" i="12"/>
  <c r="O65" i="12"/>
  <c r="O33" i="12"/>
  <c r="L15" i="12"/>
  <c r="L106" i="12"/>
  <c r="L74" i="12"/>
  <c r="L42" i="12"/>
  <c r="M78" i="12"/>
  <c r="M46" i="12"/>
  <c r="M14" i="12"/>
  <c r="N87" i="12"/>
  <c r="N55" i="12"/>
  <c r="N23" i="12"/>
  <c r="O96" i="12"/>
  <c r="O64" i="12"/>
  <c r="O32" i="12"/>
  <c r="M77" i="12"/>
  <c r="M45" i="12"/>
  <c r="M13" i="12"/>
  <c r="N86" i="12"/>
  <c r="N54" i="12"/>
  <c r="N22" i="12"/>
  <c r="O95" i="12"/>
  <c r="O63" i="12"/>
  <c r="O31" i="12"/>
  <c r="L104" i="12"/>
  <c r="M44" i="12"/>
  <c r="N85" i="12"/>
  <c r="N53" i="12"/>
  <c r="O94" i="12"/>
  <c r="O62" i="12"/>
  <c r="O30" i="12"/>
  <c r="Y1" i="44"/>
  <c r="Y1" i="45"/>
  <c r="N1" i="45"/>
  <c r="N1" i="44"/>
  <c r="AJ49" i="43"/>
  <c r="AI49" i="43"/>
  <c r="AH49" i="43"/>
  <c r="Y49" i="43"/>
  <c r="X49" i="43"/>
  <c r="W49" i="43"/>
  <c r="N49" i="43"/>
  <c r="M49" i="43"/>
  <c r="L49" i="43"/>
  <c r="AJ48" i="43"/>
  <c r="AI48" i="43"/>
  <c r="AH48" i="43"/>
  <c r="Y48" i="43"/>
  <c r="X48" i="43"/>
  <c r="W48" i="43"/>
  <c r="N48" i="43"/>
  <c r="M48" i="43"/>
  <c r="L48" i="43"/>
  <c r="AJ47" i="43"/>
  <c r="AI47" i="43"/>
  <c r="AH47" i="43"/>
  <c r="Y47" i="43"/>
  <c r="X47" i="43"/>
  <c r="W47" i="43"/>
  <c r="N47" i="43"/>
  <c r="M47" i="43"/>
  <c r="L47" i="43"/>
  <c r="AJ46" i="43"/>
  <c r="AI46" i="43"/>
  <c r="AH46" i="43"/>
  <c r="Y46" i="43"/>
  <c r="X46" i="43"/>
  <c r="W46" i="43"/>
  <c r="N46" i="43"/>
  <c r="M46" i="43"/>
  <c r="L46" i="43"/>
  <c r="AJ45" i="43"/>
  <c r="AI45" i="43"/>
  <c r="AH45" i="43"/>
  <c r="Y45" i="43"/>
  <c r="X45" i="43"/>
  <c r="W45" i="43"/>
  <c r="N45" i="43"/>
  <c r="M45" i="43"/>
  <c r="L45" i="43"/>
  <c r="AJ44" i="43"/>
  <c r="AI44" i="43"/>
  <c r="AH44" i="43"/>
  <c r="Y44" i="43"/>
  <c r="X44" i="43"/>
  <c r="W44" i="43"/>
  <c r="N44" i="43"/>
  <c r="M44" i="43"/>
  <c r="L44" i="43"/>
  <c r="AJ43" i="43"/>
  <c r="AI43" i="43"/>
  <c r="AH43" i="43"/>
  <c r="Y43" i="43"/>
  <c r="X43" i="43"/>
  <c r="W43" i="43"/>
  <c r="N43" i="43"/>
  <c r="M43" i="43"/>
  <c r="L43" i="43"/>
  <c r="AJ42" i="43"/>
  <c r="AI42" i="43"/>
  <c r="AH42" i="43"/>
  <c r="Y42" i="43"/>
  <c r="X42" i="43"/>
  <c r="W42" i="43"/>
  <c r="N42" i="43"/>
  <c r="M42" i="43"/>
  <c r="L42" i="43"/>
  <c r="AJ41" i="43"/>
  <c r="AI41" i="43"/>
  <c r="AH41" i="43"/>
  <c r="Y41" i="43"/>
  <c r="X41" i="43"/>
  <c r="W41" i="43"/>
  <c r="N41" i="43"/>
  <c r="M41" i="43"/>
  <c r="L41" i="43"/>
  <c r="AJ40" i="43"/>
  <c r="AI40" i="43"/>
  <c r="AH40" i="43"/>
  <c r="Y40" i="43"/>
  <c r="X40" i="43"/>
  <c r="W40" i="43"/>
  <c r="N40" i="43"/>
  <c r="M40" i="43"/>
  <c r="L40" i="43"/>
  <c r="AJ39" i="43"/>
  <c r="AI39" i="43"/>
  <c r="AH39" i="43"/>
  <c r="Y39" i="43"/>
  <c r="X39" i="43"/>
  <c r="W39" i="43"/>
  <c r="N39" i="43"/>
  <c r="M39" i="43"/>
  <c r="L39" i="43"/>
  <c r="AJ38" i="43"/>
  <c r="AI38" i="43"/>
  <c r="AH38" i="43"/>
  <c r="Y38" i="43"/>
  <c r="X38" i="43"/>
  <c r="W38" i="43"/>
  <c r="N38" i="43"/>
  <c r="M38" i="43"/>
  <c r="L38" i="43"/>
  <c r="AJ37" i="43"/>
  <c r="AI37" i="43"/>
  <c r="AH37" i="43"/>
  <c r="Y37" i="43"/>
  <c r="X37" i="43"/>
  <c r="W37" i="43"/>
  <c r="N37" i="43"/>
  <c r="M37" i="43"/>
  <c r="L37" i="43"/>
  <c r="AJ36" i="43"/>
  <c r="AI36" i="43"/>
  <c r="AH36" i="43"/>
  <c r="Y36" i="43"/>
  <c r="X36" i="43"/>
  <c r="W36" i="43"/>
  <c r="N36" i="43"/>
  <c r="M36" i="43"/>
  <c r="L36" i="43"/>
  <c r="AJ35" i="43"/>
  <c r="AI35" i="43"/>
  <c r="AH35" i="43"/>
  <c r="Y35" i="43"/>
  <c r="X35" i="43"/>
  <c r="W35" i="43"/>
  <c r="N35" i="43"/>
  <c r="M35" i="43"/>
  <c r="L35" i="43"/>
  <c r="AJ34" i="43"/>
  <c r="AI34" i="43"/>
  <c r="AH34" i="43"/>
  <c r="Y34" i="43"/>
  <c r="X34" i="43"/>
  <c r="W34" i="43"/>
  <c r="N34" i="43"/>
  <c r="M34" i="43"/>
  <c r="L34" i="43"/>
  <c r="AJ33" i="43"/>
  <c r="AI33" i="43"/>
  <c r="AH33" i="43"/>
  <c r="Y33" i="43"/>
  <c r="X33" i="43"/>
  <c r="W33" i="43"/>
  <c r="N33" i="43"/>
  <c r="M33" i="43"/>
  <c r="L33" i="43"/>
  <c r="AJ32" i="43"/>
  <c r="AI32" i="43"/>
  <c r="AH32" i="43"/>
  <c r="Y32" i="43"/>
  <c r="X32" i="43"/>
  <c r="W32" i="43"/>
  <c r="N32" i="43"/>
  <c r="M32" i="43"/>
  <c r="L32" i="43"/>
  <c r="AJ31" i="43"/>
  <c r="AI31" i="43"/>
  <c r="AH31" i="43"/>
  <c r="Y31" i="43"/>
  <c r="X31" i="43"/>
  <c r="W31" i="43"/>
  <c r="N31" i="43"/>
  <c r="M31" i="43"/>
  <c r="L31" i="43"/>
  <c r="AJ30" i="43"/>
  <c r="AI30" i="43"/>
  <c r="AH30" i="43"/>
  <c r="Y30" i="43"/>
  <c r="X30" i="43"/>
  <c r="W30" i="43"/>
  <c r="N30" i="43"/>
  <c r="M30" i="43"/>
  <c r="L30" i="43"/>
  <c r="AJ29" i="43"/>
  <c r="AI29" i="43"/>
  <c r="AH29" i="43"/>
  <c r="Y29" i="43"/>
  <c r="X29" i="43"/>
  <c r="W29" i="43"/>
  <c r="N29" i="43"/>
  <c r="M29" i="43"/>
  <c r="L29" i="43"/>
  <c r="AJ28" i="43"/>
  <c r="AI28" i="43"/>
  <c r="AH28" i="43"/>
  <c r="Y28" i="43"/>
  <c r="X28" i="43"/>
  <c r="W28" i="43"/>
  <c r="N28" i="43"/>
  <c r="M28" i="43"/>
  <c r="L28" i="43"/>
  <c r="AJ27" i="43"/>
  <c r="AI27" i="43"/>
  <c r="AH27" i="43"/>
  <c r="Y27" i="43"/>
  <c r="X27" i="43"/>
  <c r="W27" i="43"/>
  <c r="N27" i="43"/>
  <c r="M27" i="43"/>
  <c r="L27" i="43"/>
  <c r="AJ26" i="43"/>
  <c r="AI26" i="43"/>
  <c r="AH26" i="43"/>
  <c r="Y26" i="43"/>
  <c r="X26" i="43"/>
  <c r="W26" i="43"/>
  <c r="N26" i="43"/>
  <c r="M26" i="43"/>
  <c r="L26" i="43"/>
  <c r="AJ25" i="43"/>
  <c r="AI25" i="43"/>
  <c r="AH25" i="43"/>
  <c r="Y25" i="43"/>
  <c r="X25" i="43"/>
  <c r="W25" i="43"/>
  <c r="N25" i="43"/>
  <c r="M25" i="43"/>
  <c r="L25" i="43"/>
  <c r="AJ24" i="43"/>
  <c r="AI24" i="43"/>
  <c r="AH24" i="43"/>
  <c r="Y24" i="43"/>
  <c r="X24" i="43"/>
  <c r="W24" i="43"/>
  <c r="N24" i="43"/>
  <c r="M24" i="43"/>
  <c r="L24" i="43"/>
  <c r="AJ23" i="43"/>
  <c r="AI23" i="43"/>
  <c r="AH23" i="43"/>
  <c r="Y23" i="43"/>
  <c r="X23" i="43"/>
  <c r="W23" i="43"/>
  <c r="N23" i="43"/>
  <c r="M23" i="43"/>
  <c r="L23" i="43"/>
  <c r="AJ22" i="43"/>
  <c r="AI22" i="43"/>
  <c r="AH22" i="43"/>
  <c r="Y22" i="43"/>
  <c r="X22" i="43"/>
  <c r="W22" i="43"/>
  <c r="N22" i="43"/>
  <c r="M22" i="43"/>
  <c r="L22" i="43"/>
  <c r="AJ21" i="43"/>
  <c r="AI21" i="43"/>
  <c r="AH21" i="43"/>
  <c r="Y21" i="43"/>
  <c r="X21" i="43"/>
  <c r="W21" i="43"/>
  <c r="N21" i="43"/>
  <c r="M21" i="43"/>
  <c r="L21" i="43"/>
  <c r="AJ20" i="43"/>
  <c r="AI20" i="43"/>
  <c r="AH20" i="43"/>
  <c r="Y20" i="43"/>
  <c r="X20" i="43"/>
  <c r="W20" i="43"/>
  <c r="N20" i="43"/>
  <c r="M20" i="43"/>
  <c r="L20" i="43"/>
  <c r="AJ19" i="43"/>
  <c r="AI19" i="43"/>
  <c r="AH19" i="43"/>
  <c r="Y19" i="43"/>
  <c r="X19" i="43"/>
  <c r="W19" i="43"/>
  <c r="N19" i="43"/>
  <c r="M19" i="43"/>
  <c r="L19" i="43"/>
  <c r="AJ18" i="43"/>
  <c r="AI18" i="43"/>
  <c r="AH18" i="43"/>
  <c r="Y18" i="43"/>
  <c r="X18" i="43"/>
  <c r="W18" i="43"/>
  <c r="N18" i="43"/>
  <c r="M18" i="43"/>
  <c r="L18" i="43"/>
  <c r="AJ17" i="43"/>
  <c r="AI17" i="43"/>
  <c r="AH17" i="43"/>
  <c r="Y17" i="43"/>
  <c r="X17" i="43"/>
  <c r="W17" i="43"/>
  <c r="N17" i="43"/>
  <c r="M17" i="43"/>
  <c r="L17" i="43"/>
  <c r="AJ16" i="43"/>
  <c r="AI16" i="43"/>
  <c r="AH16" i="43"/>
  <c r="Y16" i="43"/>
  <c r="X16" i="43"/>
  <c r="W16" i="43"/>
  <c r="N16" i="43"/>
  <c r="M16" i="43"/>
  <c r="L16" i="43"/>
  <c r="AJ15" i="43"/>
  <c r="AI15" i="43"/>
  <c r="AH15" i="43"/>
  <c r="Y15" i="43"/>
  <c r="X15" i="43"/>
  <c r="W15" i="43"/>
  <c r="N15" i="43"/>
  <c r="M15" i="43"/>
  <c r="L15" i="43"/>
  <c r="AJ14" i="43"/>
  <c r="AI14" i="43"/>
  <c r="AH14" i="43"/>
  <c r="Y14" i="43"/>
  <c r="X14" i="43"/>
  <c r="W14" i="43"/>
  <c r="L14" i="43"/>
  <c r="M14" i="43" s="1"/>
  <c r="N14" i="43" s="1"/>
  <c r="AJ13" i="43"/>
  <c r="AI13" i="43"/>
  <c r="AH13" i="43"/>
  <c r="Y13" i="43"/>
  <c r="X13" i="43"/>
  <c r="W13" i="43"/>
  <c r="L13" i="43"/>
  <c r="M13" i="43" s="1"/>
  <c r="N13" i="43" s="1"/>
  <c r="AJ12" i="43"/>
  <c r="AI12" i="43"/>
  <c r="AH12" i="43"/>
  <c r="Y12" i="43"/>
  <c r="X12" i="43"/>
  <c r="W12" i="43"/>
  <c r="L12" i="43"/>
  <c r="M12" i="43" s="1"/>
  <c r="N12" i="43" s="1"/>
  <c r="AJ11" i="43"/>
  <c r="AI11" i="43"/>
  <c r="AH11" i="43"/>
  <c r="Y11" i="43"/>
  <c r="X11" i="43"/>
  <c r="W11" i="43"/>
  <c r="L11" i="43"/>
  <c r="M11" i="43" s="1"/>
  <c r="N11" i="43" s="1"/>
  <c r="AJ10" i="43"/>
  <c r="AI10" i="43"/>
  <c r="AH10" i="43"/>
  <c r="Y10" i="43"/>
  <c r="X10" i="43"/>
  <c r="W10" i="43"/>
  <c r="L10" i="43"/>
  <c r="M10" i="43" s="1"/>
  <c r="N10" i="43" s="1"/>
  <c r="AJ9" i="43"/>
  <c r="AI9" i="43"/>
  <c r="AH9" i="43"/>
  <c r="Y9" i="43"/>
  <c r="X9" i="43"/>
  <c r="W9" i="43"/>
  <c r="L9" i="43"/>
  <c r="M9" i="43" s="1"/>
  <c r="N9" i="43" s="1"/>
  <c r="AJ8" i="43"/>
  <c r="AI8" i="43"/>
  <c r="AH8" i="43"/>
  <c r="Y8" i="43"/>
  <c r="X8" i="43"/>
  <c r="W8" i="43"/>
  <c r="L8" i="43"/>
  <c r="M8" i="43" s="1"/>
  <c r="N8" i="43" s="1"/>
  <c r="AJ7" i="43"/>
  <c r="AI7" i="43"/>
  <c r="AH7" i="43"/>
  <c r="Y7" i="43"/>
  <c r="X7" i="43"/>
  <c r="W7" i="43"/>
  <c r="L7" i="43"/>
  <c r="M7" i="43" s="1"/>
  <c r="N7" i="43" s="1"/>
  <c r="AJ6" i="43"/>
  <c r="AI6" i="43"/>
  <c r="AH6" i="43"/>
  <c r="Y6" i="43"/>
  <c r="X6" i="43"/>
  <c r="W6" i="43"/>
  <c r="L6" i="43"/>
  <c r="M6" i="43" s="1"/>
  <c r="N6" i="43" s="1"/>
  <c r="AJ5" i="43"/>
  <c r="AI5" i="43"/>
  <c r="AH5" i="43"/>
  <c r="W5" i="43"/>
  <c r="X5" i="43" s="1"/>
  <c r="Y5" i="43" s="1"/>
  <c r="L5" i="43"/>
  <c r="M5" i="43" s="1"/>
  <c r="N5" i="43" s="1"/>
  <c r="AJ4" i="43"/>
  <c r="AI4" i="43"/>
  <c r="AH4" i="43"/>
  <c r="W4" i="43"/>
  <c r="X4" i="43" s="1"/>
  <c r="Y4" i="43" s="1"/>
  <c r="L4" i="43"/>
  <c r="M4" i="43" s="1"/>
  <c r="N4" i="43" s="1"/>
  <c r="AJ3" i="43"/>
  <c r="AJ1" i="43" s="1"/>
  <c r="AI3" i="43"/>
  <c r="AH3" i="43"/>
  <c r="W3" i="43"/>
  <c r="X3" i="43" s="1"/>
  <c r="Y3" i="43" s="1"/>
  <c r="L3" i="43"/>
  <c r="M3" i="43" s="1"/>
  <c r="N3" i="43" s="1"/>
  <c r="AA1" i="43" a="1"/>
  <c r="AA1" i="43" s="1"/>
  <c r="P1" i="43" a="1"/>
  <c r="P1" i="43" s="1"/>
  <c r="E1" i="43" a="1"/>
  <c r="E1" i="43" s="1"/>
  <c r="A1" i="43" a="1"/>
  <c r="A1" i="43" s="1"/>
  <c r="AJ49" i="42"/>
  <c r="AI49" i="42"/>
  <c r="AH49" i="42"/>
  <c r="Y49" i="42"/>
  <c r="X49" i="42"/>
  <c r="W49" i="42"/>
  <c r="N49" i="42"/>
  <c r="M49" i="42"/>
  <c r="L49" i="42"/>
  <c r="AJ48" i="42"/>
  <c r="AI48" i="42"/>
  <c r="AH48" i="42"/>
  <c r="Y48" i="42"/>
  <c r="X48" i="42"/>
  <c r="W48" i="42"/>
  <c r="N48" i="42"/>
  <c r="M48" i="42"/>
  <c r="L48" i="42"/>
  <c r="AJ47" i="42"/>
  <c r="AI47" i="42"/>
  <c r="AH47" i="42"/>
  <c r="Y47" i="42"/>
  <c r="X47" i="42"/>
  <c r="W47" i="42"/>
  <c r="N47" i="42"/>
  <c r="M47" i="42"/>
  <c r="L47" i="42"/>
  <c r="AJ46" i="42"/>
  <c r="AI46" i="42"/>
  <c r="AH46" i="42"/>
  <c r="Y46" i="42"/>
  <c r="X46" i="42"/>
  <c r="W46" i="42"/>
  <c r="N46" i="42"/>
  <c r="M46" i="42"/>
  <c r="L46" i="42"/>
  <c r="AJ45" i="42"/>
  <c r="AI45" i="42"/>
  <c r="AH45" i="42"/>
  <c r="Y45" i="42"/>
  <c r="X45" i="42"/>
  <c r="W45" i="42"/>
  <c r="N45" i="42"/>
  <c r="M45" i="42"/>
  <c r="L45" i="42"/>
  <c r="AJ44" i="42"/>
  <c r="AI44" i="42"/>
  <c r="AH44" i="42"/>
  <c r="Y44" i="42"/>
  <c r="X44" i="42"/>
  <c r="W44" i="42"/>
  <c r="N44" i="42"/>
  <c r="M44" i="42"/>
  <c r="L44" i="42"/>
  <c r="AJ43" i="42"/>
  <c r="AI43" i="42"/>
  <c r="AH43" i="42"/>
  <c r="Y43" i="42"/>
  <c r="X43" i="42"/>
  <c r="W43" i="42"/>
  <c r="N43" i="42"/>
  <c r="M43" i="42"/>
  <c r="L43" i="42"/>
  <c r="AJ42" i="42"/>
  <c r="AI42" i="42"/>
  <c r="AH42" i="42"/>
  <c r="Y42" i="42"/>
  <c r="X42" i="42"/>
  <c r="W42" i="42"/>
  <c r="N42" i="42"/>
  <c r="M42" i="42"/>
  <c r="L42" i="42"/>
  <c r="AJ41" i="42"/>
  <c r="AI41" i="42"/>
  <c r="AH41" i="42"/>
  <c r="Y41" i="42"/>
  <c r="X41" i="42"/>
  <c r="W41" i="42"/>
  <c r="N41" i="42"/>
  <c r="M41" i="42"/>
  <c r="L41" i="42"/>
  <c r="AJ40" i="42"/>
  <c r="AI40" i="42"/>
  <c r="AH40" i="42"/>
  <c r="Y40" i="42"/>
  <c r="X40" i="42"/>
  <c r="W40" i="42"/>
  <c r="N40" i="42"/>
  <c r="M40" i="42"/>
  <c r="L40" i="42"/>
  <c r="AJ39" i="42"/>
  <c r="AI39" i="42"/>
  <c r="AH39" i="42"/>
  <c r="Y39" i="42"/>
  <c r="X39" i="42"/>
  <c r="W39" i="42"/>
  <c r="N39" i="42"/>
  <c r="M39" i="42"/>
  <c r="L39" i="42"/>
  <c r="AJ38" i="42"/>
  <c r="AI38" i="42"/>
  <c r="AH38" i="42"/>
  <c r="Y38" i="42"/>
  <c r="X38" i="42"/>
  <c r="W38" i="42"/>
  <c r="N38" i="42"/>
  <c r="M38" i="42"/>
  <c r="L38" i="42"/>
  <c r="AJ37" i="42"/>
  <c r="AI37" i="42"/>
  <c r="AH37" i="42"/>
  <c r="Y37" i="42"/>
  <c r="X37" i="42"/>
  <c r="W37" i="42"/>
  <c r="N37" i="42"/>
  <c r="M37" i="42"/>
  <c r="L37" i="42"/>
  <c r="AJ36" i="42"/>
  <c r="AI36" i="42"/>
  <c r="AH36" i="42"/>
  <c r="Y36" i="42"/>
  <c r="X36" i="42"/>
  <c r="W36" i="42"/>
  <c r="N36" i="42"/>
  <c r="M36" i="42"/>
  <c r="L36" i="42"/>
  <c r="AJ35" i="42"/>
  <c r="AI35" i="42"/>
  <c r="AH35" i="42"/>
  <c r="Y35" i="42"/>
  <c r="X35" i="42"/>
  <c r="W35" i="42"/>
  <c r="N35" i="42"/>
  <c r="M35" i="42"/>
  <c r="L35" i="42"/>
  <c r="AJ34" i="42"/>
  <c r="AI34" i="42"/>
  <c r="AH34" i="42"/>
  <c r="Y34" i="42"/>
  <c r="X34" i="42"/>
  <c r="W34" i="42"/>
  <c r="N34" i="42"/>
  <c r="M34" i="42"/>
  <c r="L34" i="42"/>
  <c r="AJ33" i="42"/>
  <c r="AI33" i="42"/>
  <c r="AH33" i="42"/>
  <c r="Y33" i="42"/>
  <c r="X33" i="42"/>
  <c r="W33" i="42"/>
  <c r="N33" i="42"/>
  <c r="M33" i="42"/>
  <c r="L33" i="42"/>
  <c r="AJ32" i="42"/>
  <c r="AI32" i="42"/>
  <c r="AH32" i="42"/>
  <c r="Y32" i="42"/>
  <c r="X32" i="42"/>
  <c r="W32" i="42"/>
  <c r="N32" i="42"/>
  <c r="M32" i="42"/>
  <c r="L32" i="42"/>
  <c r="AJ31" i="42"/>
  <c r="AI31" i="42"/>
  <c r="AH31" i="42"/>
  <c r="Y31" i="42"/>
  <c r="X31" i="42"/>
  <c r="W31" i="42"/>
  <c r="N31" i="42"/>
  <c r="M31" i="42"/>
  <c r="L31" i="42"/>
  <c r="AJ30" i="42"/>
  <c r="AI30" i="42"/>
  <c r="AH30" i="42"/>
  <c r="Y30" i="42"/>
  <c r="X30" i="42"/>
  <c r="W30" i="42"/>
  <c r="N30" i="42"/>
  <c r="M30" i="42"/>
  <c r="L30" i="42"/>
  <c r="AJ29" i="42"/>
  <c r="AI29" i="42"/>
  <c r="AH29" i="42"/>
  <c r="Y29" i="42"/>
  <c r="X29" i="42"/>
  <c r="W29" i="42"/>
  <c r="N29" i="42"/>
  <c r="M29" i="42"/>
  <c r="L29" i="42"/>
  <c r="AJ28" i="42"/>
  <c r="AI28" i="42"/>
  <c r="AH28" i="42"/>
  <c r="Y28" i="42"/>
  <c r="X28" i="42"/>
  <c r="W28" i="42"/>
  <c r="N28" i="42"/>
  <c r="M28" i="42"/>
  <c r="L28" i="42"/>
  <c r="AJ27" i="42"/>
  <c r="AI27" i="42"/>
  <c r="AH27" i="42"/>
  <c r="Y27" i="42"/>
  <c r="X27" i="42"/>
  <c r="W27" i="42"/>
  <c r="N27" i="42"/>
  <c r="M27" i="42"/>
  <c r="L27" i="42"/>
  <c r="AJ26" i="42"/>
  <c r="AI26" i="42"/>
  <c r="AH26" i="42"/>
  <c r="Y26" i="42"/>
  <c r="X26" i="42"/>
  <c r="W26" i="42"/>
  <c r="N26" i="42"/>
  <c r="M26" i="42"/>
  <c r="L26" i="42"/>
  <c r="AJ25" i="42"/>
  <c r="AI25" i="42"/>
  <c r="AH25" i="42"/>
  <c r="Y25" i="42"/>
  <c r="X25" i="42"/>
  <c r="W25" i="42"/>
  <c r="N25" i="42"/>
  <c r="M25" i="42"/>
  <c r="L25" i="42"/>
  <c r="AJ24" i="42"/>
  <c r="AI24" i="42"/>
  <c r="AH24" i="42"/>
  <c r="Y24" i="42"/>
  <c r="X24" i="42"/>
  <c r="W24" i="42"/>
  <c r="M24" i="42"/>
  <c r="N24" i="42" s="1"/>
  <c r="L24" i="42"/>
  <c r="AJ23" i="42"/>
  <c r="AI23" i="42"/>
  <c r="AH23" i="42"/>
  <c r="Y23" i="42"/>
  <c r="X23" i="42"/>
  <c r="W23" i="42"/>
  <c r="L23" i="42"/>
  <c r="M23" i="42" s="1"/>
  <c r="N23" i="42" s="1"/>
  <c r="AJ22" i="42"/>
  <c r="AI22" i="42"/>
  <c r="AH22" i="42"/>
  <c r="Y22" i="42"/>
  <c r="X22" i="42"/>
  <c r="W22" i="42"/>
  <c r="L22" i="42"/>
  <c r="M22" i="42" s="1"/>
  <c r="N22" i="42" s="1"/>
  <c r="AJ21" i="42"/>
  <c r="AI21" i="42"/>
  <c r="AH21" i="42"/>
  <c r="Y21" i="42"/>
  <c r="X21" i="42"/>
  <c r="W21" i="42"/>
  <c r="L21" i="42"/>
  <c r="M21" i="42" s="1"/>
  <c r="N21" i="42" s="1"/>
  <c r="AJ20" i="42"/>
  <c r="AI20" i="42"/>
  <c r="AH20" i="42"/>
  <c r="Y20" i="42"/>
  <c r="X20" i="42"/>
  <c r="W20" i="42"/>
  <c r="L20" i="42"/>
  <c r="M20" i="42" s="1"/>
  <c r="N20" i="42" s="1"/>
  <c r="AJ19" i="42"/>
  <c r="AI19" i="42"/>
  <c r="AH19" i="42"/>
  <c r="Y19" i="42"/>
  <c r="X19" i="42"/>
  <c r="W19" i="42"/>
  <c r="L19" i="42"/>
  <c r="M19" i="42" s="1"/>
  <c r="N19" i="42" s="1"/>
  <c r="AJ18" i="42"/>
  <c r="AI18" i="42"/>
  <c r="AH18" i="42"/>
  <c r="Y18" i="42"/>
  <c r="X18" i="42"/>
  <c r="W18" i="42"/>
  <c r="L18" i="42"/>
  <c r="M18" i="42" s="1"/>
  <c r="N18" i="42" s="1"/>
  <c r="AJ17" i="42"/>
  <c r="AI17" i="42"/>
  <c r="AH17" i="42"/>
  <c r="Y17" i="42"/>
  <c r="X17" i="42"/>
  <c r="W17" i="42"/>
  <c r="L17" i="42"/>
  <c r="M17" i="42" s="1"/>
  <c r="N17" i="42" s="1"/>
  <c r="AJ16" i="42"/>
  <c r="AI16" i="42"/>
  <c r="AH16" i="42"/>
  <c r="Y16" i="42"/>
  <c r="X16" i="42"/>
  <c r="W16" i="42"/>
  <c r="L16" i="42"/>
  <c r="M16" i="42" s="1"/>
  <c r="N16" i="42" s="1"/>
  <c r="AJ15" i="42"/>
  <c r="AI15" i="42"/>
  <c r="AH15" i="42"/>
  <c r="Y15" i="42"/>
  <c r="X15" i="42"/>
  <c r="W15" i="42"/>
  <c r="L15" i="42"/>
  <c r="M15" i="42" s="1"/>
  <c r="N15" i="42" s="1"/>
  <c r="AJ14" i="42"/>
  <c r="AI14" i="42"/>
  <c r="AH14" i="42"/>
  <c r="Y14" i="42"/>
  <c r="X14" i="42"/>
  <c r="W14" i="42"/>
  <c r="L14" i="42"/>
  <c r="M14" i="42" s="1"/>
  <c r="N14" i="42" s="1"/>
  <c r="AJ13" i="42"/>
  <c r="AI13" i="42"/>
  <c r="AH13" i="42"/>
  <c r="W13" i="42"/>
  <c r="X13" i="42" s="1"/>
  <c r="Y13" i="42" s="1"/>
  <c r="L13" i="42"/>
  <c r="M13" i="42" s="1"/>
  <c r="N13" i="42" s="1"/>
  <c r="AJ12" i="42"/>
  <c r="AI12" i="42"/>
  <c r="AH12" i="42"/>
  <c r="W12" i="42"/>
  <c r="X12" i="42" s="1"/>
  <c r="Y12" i="42" s="1"/>
  <c r="L12" i="42"/>
  <c r="M12" i="42" s="1"/>
  <c r="N12" i="42" s="1"/>
  <c r="AJ11" i="42"/>
  <c r="AI11" i="42"/>
  <c r="AH11" i="42"/>
  <c r="X11" i="42"/>
  <c r="Y11" i="42" s="1"/>
  <c r="W11" i="42"/>
  <c r="L11" i="42"/>
  <c r="M11" i="42" s="1"/>
  <c r="N11" i="42" s="1"/>
  <c r="AJ10" i="42"/>
  <c r="AI10" i="42"/>
  <c r="AH10" i="42"/>
  <c r="W10" i="42"/>
  <c r="X10" i="42" s="1"/>
  <c r="Y10" i="42" s="1"/>
  <c r="L10" i="42"/>
  <c r="M10" i="42" s="1"/>
  <c r="N10" i="42" s="1"/>
  <c r="AJ9" i="42"/>
  <c r="AI9" i="42"/>
  <c r="AH9" i="42"/>
  <c r="W9" i="42"/>
  <c r="X9" i="42" s="1"/>
  <c r="Y9" i="42" s="1"/>
  <c r="L9" i="42"/>
  <c r="M9" i="42" s="1"/>
  <c r="N9" i="42" s="1"/>
  <c r="AJ8" i="42"/>
  <c r="AI8" i="42"/>
  <c r="AH8" i="42"/>
  <c r="W8" i="42"/>
  <c r="X8" i="42" s="1"/>
  <c r="Y8" i="42" s="1"/>
  <c r="L8" i="42"/>
  <c r="M8" i="42" s="1"/>
  <c r="N8" i="42" s="1"/>
  <c r="AJ7" i="42"/>
  <c r="AI7" i="42"/>
  <c r="AH7" i="42"/>
  <c r="X7" i="42"/>
  <c r="Y7" i="42" s="1"/>
  <c r="W7" i="42"/>
  <c r="L7" i="42"/>
  <c r="M7" i="42" s="1"/>
  <c r="N7" i="42" s="1"/>
  <c r="AJ6" i="42"/>
  <c r="AI6" i="42"/>
  <c r="AH6" i="42"/>
  <c r="W6" i="42"/>
  <c r="X6" i="42" s="1"/>
  <c r="Y6" i="42" s="1"/>
  <c r="L6" i="42"/>
  <c r="M6" i="42" s="1"/>
  <c r="N6" i="42" s="1"/>
  <c r="AJ5" i="42"/>
  <c r="AI5" i="42"/>
  <c r="AH5" i="42"/>
  <c r="W5" i="42"/>
  <c r="X5" i="42" s="1"/>
  <c r="Y5" i="42" s="1"/>
  <c r="L5" i="42"/>
  <c r="M5" i="42" s="1"/>
  <c r="N5" i="42" s="1"/>
  <c r="AJ4" i="42"/>
  <c r="AI4" i="42"/>
  <c r="AH4" i="42"/>
  <c r="W4" i="42"/>
  <c r="X4" i="42" s="1"/>
  <c r="Y4" i="42" s="1"/>
  <c r="L4" i="42"/>
  <c r="M4" i="42" s="1"/>
  <c r="N4" i="42" s="1"/>
  <c r="AJ3" i="42"/>
  <c r="AJ1" i="42" s="1"/>
  <c r="AI3" i="42"/>
  <c r="AH3" i="42"/>
  <c r="W3" i="42"/>
  <c r="X3" i="42" s="1"/>
  <c r="Y3" i="42" s="1"/>
  <c r="L3" i="42"/>
  <c r="M3" i="42" s="1"/>
  <c r="N3" i="42" s="1"/>
  <c r="AA1" i="42" a="1"/>
  <c r="AA1" i="42" s="1"/>
  <c r="P1" i="42" a="1"/>
  <c r="P1" i="42" s="1"/>
  <c r="E1" i="42" a="1"/>
  <c r="E1" i="42" s="1"/>
  <c r="A1" i="42" a="1"/>
  <c r="A1" i="42" s="1"/>
  <c r="AJ49" i="41"/>
  <c r="AI49" i="41"/>
  <c r="AH49" i="41"/>
  <c r="Y49" i="41"/>
  <c r="X49" i="41"/>
  <c r="W49" i="41"/>
  <c r="N49" i="41"/>
  <c r="M49" i="41"/>
  <c r="L49" i="41"/>
  <c r="AJ48" i="41"/>
  <c r="AI48" i="41"/>
  <c r="AH48" i="41"/>
  <c r="Y48" i="41"/>
  <c r="X48" i="41"/>
  <c r="W48" i="41"/>
  <c r="N48" i="41"/>
  <c r="M48" i="41"/>
  <c r="L48" i="41"/>
  <c r="AJ47" i="41"/>
  <c r="AI47" i="41"/>
  <c r="AH47" i="41"/>
  <c r="Y47" i="41"/>
  <c r="X47" i="41"/>
  <c r="W47" i="41"/>
  <c r="N47" i="41"/>
  <c r="M47" i="41"/>
  <c r="L47" i="41"/>
  <c r="AJ46" i="41"/>
  <c r="AI46" i="41"/>
  <c r="AH46" i="41"/>
  <c r="Y46" i="41"/>
  <c r="X46" i="41"/>
  <c r="W46" i="41"/>
  <c r="N46" i="41"/>
  <c r="M46" i="41"/>
  <c r="L46" i="41"/>
  <c r="AJ45" i="41"/>
  <c r="AI45" i="41"/>
  <c r="AH45" i="41"/>
  <c r="Y45" i="41"/>
  <c r="X45" i="41"/>
  <c r="W45" i="41"/>
  <c r="N45" i="41"/>
  <c r="M45" i="41"/>
  <c r="L45" i="41"/>
  <c r="AJ44" i="41"/>
  <c r="AI44" i="41"/>
  <c r="AH44" i="41"/>
  <c r="Y44" i="41"/>
  <c r="X44" i="41"/>
  <c r="W44" i="41"/>
  <c r="N44" i="41"/>
  <c r="M44" i="41"/>
  <c r="L44" i="41"/>
  <c r="AJ43" i="41"/>
  <c r="AI43" i="41"/>
  <c r="AH43" i="41"/>
  <c r="Y43" i="41"/>
  <c r="X43" i="41"/>
  <c r="W43" i="41"/>
  <c r="N43" i="41"/>
  <c r="M43" i="41"/>
  <c r="L43" i="41"/>
  <c r="AJ42" i="41"/>
  <c r="AI42" i="41"/>
  <c r="AH42" i="41"/>
  <c r="Y42" i="41"/>
  <c r="X42" i="41"/>
  <c r="W42" i="41"/>
  <c r="N42" i="41"/>
  <c r="M42" i="41"/>
  <c r="L42" i="41"/>
  <c r="AJ41" i="41"/>
  <c r="AI41" i="41"/>
  <c r="AH41" i="41"/>
  <c r="Y41" i="41"/>
  <c r="X41" i="41"/>
  <c r="W41" i="41"/>
  <c r="N41" i="41"/>
  <c r="M41" i="41"/>
  <c r="L41" i="41"/>
  <c r="AJ40" i="41"/>
  <c r="AI40" i="41"/>
  <c r="AH40" i="41"/>
  <c r="Y40" i="41"/>
  <c r="X40" i="41"/>
  <c r="W40" i="41"/>
  <c r="N40" i="41"/>
  <c r="M40" i="41"/>
  <c r="L40" i="41"/>
  <c r="AJ39" i="41"/>
  <c r="AI39" i="41"/>
  <c r="AH39" i="41"/>
  <c r="Y39" i="41"/>
  <c r="X39" i="41"/>
  <c r="W39" i="41"/>
  <c r="N39" i="41"/>
  <c r="M39" i="41"/>
  <c r="L39" i="41"/>
  <c r="AJ38" i="41"/>
  <c r="AI38" i="41"/>
  <c r="AH38" i="41"/>
  <c r="Y38" i="41"/>
  <c r="X38" i="41"/>
  <c r="W38" i="41"/>
  <c r="N38" i="41"/>
  <c r="M38" i="41"/>
  <c r="L38" i="41"/>
  <c r="AJ37" i="41"/>
  <c r="AI37" i="41"/>
  <c r="AH37" i="41"/>
  <c r="Y37" i="41"/>
  <c r="X37" i="41"/>
  <c r="W37" i="41"/>
  <c r="N37" i="41"/>
  <c r="M37" i="41"/>
  <c r="L37" i="41"/>
  <c r="AJ36" i="41"/>
  <c r="AI36" i="41"/>
  <c r="AH36" i="41"/>
  <c r="Y36" i="41"/>
  <c r="X36" i="41"/>
  <c r="W36" i="41"/>
  <c r="N36" i="41"/>
  <c r="M36" i="41"/>
  <c r="L36" i="41"/>
  <c r="AJ35" i="41"/>
  <c r="AI35" i="41"/>
  <c r="AH35" i="41"/>
  <c r="Y35" i="41"/>
  <c r="X35" i="41"/>
  <c r="W35" i="41"/>
  <c r="N35" i="41"/>
  <c r="M35" i="41"/>
  <c r="L35" i="41"/>
  <c r="AJ34" i="41"/>
  <c r="AI34" i="41"/>
  <c r="AH34" i="41"/>
  <c r="Y34" i="41"/>
  <c r="X34" i="41"/>
  <c r="W34" i="41"/>
  <c r="N34" i="41"/>
  <c r="M34" i="41"/>
  <c r="L34" i="41"/>
  <c r="AJ33" i="41"/>
  <c r="AI33" i="41"/>
  <c r="AH33" i="41"/>
  <c r="Y33" i="41"/>
  <c r="X33" i="41"/>
  <c r="W33" i="41"/>
  <c r="N33" i="41"/>
  <c r="M33" i="41"/>
  <c r="L33" i="41"/>
  <c r="AJ32" i="41"/>
  <c r="AI32" i="41"/>
  <c r="AH32" i="41"/>
  <c r="Y32" i="41"/>
  <c r="X32" i="41"/>
  <c r="W32" i="41"/>
  <c r="N32" i="41"/>
  <c r="M32" i="41"/>
  <c r="L32" i="41"/>
  <c r="AJ31" i="41"/>
  <c r="AI31" i="41"/>
  <c r="AH31" i="41"/>
  <c r="Y31" i="41"/>
  <c r="X31" i="41"/>
  <c r="W31" i="41"/>
  <c r="N31" i="41"/>
  <c r="M31" i="41"/>
  <c r="L31" i="41"/>
  <c r="AJ30" i="41"/>
  <c r="AI30" i="41"/>
  <c r="AH30" i="41"/>
  <c r="Y30" i="41"/>
  <c r="X30" i="41"/>
  <c r="W30" i="41"/>
  <c r="N30" i="41"/>
  <c r="M30" i="41"/>
  <c r="L30" i="41"/>
  <c r="AJ29" i="41"/>
  <c r="AI29" i="41"/>
  <c r="AH29" i="41"/>
  <c r="Y29" i="41"/>
  <c r="X29" i="41"/>
  <c r="W29" i="41"/>
  <c r="N29" i="41"/>
  <c r="M29" i="41"/>
  <c r="L29" i="41"/>
  <c r="AJ28" i="41"/>
  <c r="AI28" i="41"/>
  <c r="AH28" i="41"/>
  <c r="Y28" i="41"/>
  <c r="X28" i="41"/>
  <c r="W28" i="41"/>
  <c r="N28" i="41"/>
  <c r="M28" i="41"/>
  <c r="L28" i="41"/>
  <c r="AJ27" i="41"/>
  <c r="AI27" i="41"/>
  <c r="AH27" i="41"/>
  <c r="Y27" i="41"/>
  <c r="X27" i="41"/>
  <c r="W27" i="41"/>
  <c r="N27" i="41"/>
  <c r="M27" i="41"/>
  <c r="L27" i="41"/>
  <c r="AJ26" i="41"/>
  <c r="AI26" i="41"/>
  <c r="AH26" i="41"/>
  <c r="Y26" i="41"/>
  <c r="X26" i="41"/>
  <c r="W26" i="41"/>
  <c r="N26" i="41"/>
  <c r="M26" i="41"/>
  <c r="L26" i="41"/>
  <c r="AJ25" i="41"/>
  <c r="AI25" i="41"/>
  <c r="AH25" i="41"/>
  <c r="Y25" i="41"/>
  <c r="X25" i="41"/>
  <c r="W25" i="41"/>
  <c r="N25" i="41"/>
  <c r="M25" i="41"/>
  <c r="L25" i="41"/>
  <c r="AJ24" i="41"/>
  <c r="AI24" i="41"/>
  <c r="AH24" i="41"/>
  <c r="Y24" i="41"/>
  <c r="X24" i="41"/>
  <c r="W24" i="41"/>
  <c r="N24" i="41"/>
  <c r="M24" i="41"/>
  <c r="L24" i="41"/>
  <c r="AJ23" i="41"/>
  <c r="AI23" i="41"/>
  <c r="AH23" i="41"/>
  <c r="Y23" i="41"/>
  <c r="X23" i="41"/>
  <c r="W23" i="41"/>
  <c r="N23" i="41"/>
  <c r="M23" i="41"/>
  <c r="L23" i="41"/>
  <c r="AJ22" i="41"/>
  <c r="AI22" i="41"/>
  <c r="AH22" i="41"/>
  <c r="Y22" i="41"/>
  <c r="X22" i="41"/>
  <c r="W22" i="41"/>
  <c r="N22" i="41"/>
  <c r="M22" i="41"/>
  <c r="L22" i="41"/>
  <c r="AJ21" i="41"/>
  <c r="AI21" i="41"/>
  <c r="AH21" i="41"/>
  <c r="Y21" i="41"/>
  <c r="X21" i="41"/>
  <c r="W21" i="41"/>
  <c r="N21" i="41"/>
  <c r="M21" i="41"/>
  <c r="L21" i="41"/>
  <c r="AJ20" i="41"/>
  <c r="AI20" i="41"/>
  <c r="AH20" i="41"/>
  <c r="Y20" i="41"/>
  <c r="X20" i="41"/>
  <c r="W20" i="41"/>
  <c r="N20" i="41"/>
  <c r="M20" i="41"/>
  <c r="L20" i="41"/>
  <c r="AJ19" i="41"/>
  <c r="AI19" i="41"/>
  <c r="AH19" i="41"/>
  <c r="Y19" i="41"/>
  <c r="X19" i="41"/>
  <c r="W19" i="41"/>
  <c r="N19" i="41"/>
  <c r="M19" i="41"/>
  <c r="L19" i="41"/>
  <c r="AJ18" i="41"/>
  <c r="AI18" i="41"/>
  <c r="AH18" i="41"/>
  <c r="Y18" i="41"/>
  <c r="X18" i="41"/>
  <c r="W18" i="41"/>
  <c r="N18" i="41"/>
  <c r="M18" i="41"/>
  <c r="L18" i="41"/>
  <c r="AJ17" i="41"/>
  <c r="AI17" i="41"/>
  <c r="AH17" i="41"/>
  <c r="Y17" i="41"/>
  <c r="X17" i="41"/>
  <c r="W17" i="41"/>
  <c r="N17" i="41"/>
  <c r="M17" i="41"/>
  <c r="L17" i="41"/>
  <c r="AJ16" i="41"/>
  <c r="AI16" i="41"/>
  <c r="AH16" i="41"/>
  <c r="Y16" i="41"/>
  <c r="X16" i="41"/>
  <c r="W16" i="41"/>
  <c r="N16" i="41"/>
  <c r="M16" i="41"/>
  <c r="L16" i="41"/>
  <c r="AJ15" i="41"/>
  <c r="AI15" i="41"/>
  <c r="AH15" i="41"/>
  <c r="Y15" i="41"/>
  <c r="X15" i="41"/>
  <c r="W15" i="41"/>
  <c r="N15" i="41"/>
  <c r="M15" i="41"/>
  <c r="L15" i="41"/>
  <c r="AJ14" i="41"/>
  <c r="AI14" i="41"/>
  <c r="AH14" i="41"/>
  <c r="Y14" i="41"/>
  <c r="X14" i="41"/>
  <c r="W14" i="41"/>
  <c r="N14" i="41"/>
  <c r="M14" i="41"/>
  <c r="L14" i="41"/>
  <c r="AJ13" i="41"/>
  <c r="AI13" i="41"/>
  <c r="AH13" i="41"/>
  <c r="Y13" i="41"/>
  <c r="X13" i="41"/>
  <c r="W13" i="41"/>
  <c r="L13" i="41"/>
  <c r="M13" i="41" s="1"/>
  <c r="N13" i="41" s="1"/>
  <c r="AJ12" i="41"/>
  <c r="AI12" i="41"/>
  <c r="AH12" i="41"/>
  <c r="Y12" i="41"/>
  <c r="X12" i="41"/>
  <c r="W12" i="41"/>
  <c r="L12" i="41"/>
  <c r="M12" i="41" s="1"/>
  <c r="N12" i="41" s="1"/>
  <c r="AJ11" i="41"/>
  <c r="AI11" i="41"/>
  <c r="AH11" i="41"/>
  <c r="Y11" i="41"/>
  <c r="X11" i="41"/>
  <c r="W11" i="41"/>
  <c r="L11" i="41"/>
  <c r="M11" i="41" s="1"/>
  <c r="N11" i="41" s="1"/>
  <c r="AJ10" i="41"/>
  <c r="AI10" i="41"/>
  <c r="AH10" i="41"/>
  <c r="Y10" i="41"/>
  <c r="X10" i="41"/>
  <c r="W10" i="41"/>
  <c r="L10" i="41"/>
  <c r="M10" i="41" s="1"/>
  <c r="N10" i="41" s="1"/>
  <c r="AJ9" i="41"/>
  <c r="AI9" i="41"/>
  <c r="AH9" i="41"/>
  <c r="Y9" i="41"/>
  <c r="X9" i="41"/>
  <c r="W9" i="41"/>
  <c r="L9" i="41"/>
  <c r="M9" i="41" s="1"/>
  <c r="N9" i="41" s="1"/>
  <c r="AJ8" i="41"/>
  <c r="AI8" i="41"/>
  <c r="AH8" i="41"/>
  <c r="Y8" i="41"/>
  <c r="X8" i="41"/>
  <c r="W8" i="41"/>
  <c r="L8" i="41"/>
  <c r="M8" i="41" s="1"/>
  <c r="N8" i="41" s="1"/>
  <c r="AJ7" i="41"/>
  <c r="AI7" i="41"/>
  <c r="AH7" i="41"/>
  <c r="Y7" i="41"/>
  <c r="X7" i="41"/>
  <c r="W7" i="41"/>
  <c r="L7" i="41"/>
  <c r="M7" i="41" s="1"/>
  <c r="N7" i="41" s="1"/>
  <c r="AJ6" i="41"/>
  <c r="AI6" i="41"/>
  <c r="AH6" i="41"/>
  <c r="Y6" i="41"/>
  <c r="X6" i="41"/>
  <c r="W6" i="41"/>
  <c r="L6" i="41"/>
  <c r="M6" i="41" s="1"/>
  <c r="N6" i="41" s="1"/>
  <c r="AJ5" i="41"/>
  <c r="AI5" i="41"/>
  <c r="AH5" i="41"/>
  <c r="Y5" i="41"/>
  <c r="X5" i="41"/>
  <c r="W5" i="41"/>
  <c r="M5" i="41"/>
  <c r="N5" i="41" s="1"/>
  <c r="L5" i="41"/>
  <c r="AJ4" i="41"/>
  <c r="AI4" i="41"/>
  <c r="AH4" i="41"/>
  <c r="Y4" i="41"/>
  <c r="X4" i="41"/>
  <c r="W4" i="41"/>
  <c r="L4" i="41"/>
  <c r="M4" i="41" s="1"/>
  <c r="N4" i="41" s="1"/>
  <c r="AJ3" i="41"/>
  <c r="AJ1" i="41" s="1"/>
  <c r="AI3" i="41"/>
  <c r="AH3" i="41"/>
  <c r="W3" i="41"/>
  <c r="X3" i="41" s="1"/>
  <c r="Y3" i="41" s="1"/>
  <c r="L3" i="41"/>
  <c r="M3" i="41" s="1"/>
  <c r="N3" i="41" s="1"/>
  <c r="AA1" i="41" a="1"/>
  <c r="AA1" i="41" s="1"/>
  <c r="P1" i="41" a="1"/>
  <c r="P1" i="41" s="1"/>
  <c r="E1" i="41" a="1"/>
  <c r="E1" i="41" s="1"/>
  <c r="A1" i="41" a="1"/>
  <c r="A1" i="41" s="1"/>
  <c r="AJ49" i="40"/>
  <c r="AI49" i="40"/>
  <c r="AH49" i="40"/>
  <c r="Y49" i="40"/>
  <c r="X49" i="40"/>
  <c r="W49" i="40"/>
  <c r="N49" i="40"/>
  <c r="M49" i="40"/>
  <c r="L49" i="40"/>
  <c r="AJ48" i="40"/>
  <c r="AI48" i="40"/>
  <c r="AH48" i="40"/>
  <c r="Y48" i="40"/>
  <c r="X48" i="40"/>
  <c r="W48" i="40"/>
  <c r="N48" i="40"/>
  <c r="M48" i="40"/>
  <c r="L48" i="40"/>
  <c r="AJ47" i="40"/>
  <c r="AI47" i="40"/>
  <c r="AH47" i="40"/>
  <c r="Y47" i="40"/>
  <c r="X47" i="40"/>
  <c r="W47" i="40"/>
  <c r="N47" i="40"/>
  <c r="M47" i="40"/>
  <c r="L47" i="40"/>
  <c r="AJ46" i="40"/>
  <c r="AI46" i="40"/>
  <c r="AH46" i="40"/>
  <c r="Y46" i="40"/>
  <c r="X46" i="40"/>
  <c r="W46" i="40"/>
  <c r="N46" i="40"/>
  <c r="M46" i="40"/>
  <c r="L46" i="40"/>
  <c r="AJ45" i="40"/>
  <c r="AI45" i="40"/>
  <c r="AH45" i="40"/>
  <c r="Y45" i="40"/>
  <c r="X45" i="40"/>
  <c r="W45" i="40"/>
  <c r="N45" i="40"/>
  <c r="M45" i="40"/>
  <c r="L45" i="40"/>
  <c r="AJ44" i="40"/>
  <c r="AI44" i="40"/>
  <c r="AH44" i="40"/>
  <c r="Y44" i="40"/>
  <c r="X44" i="40"/>
  <c r="W44" i="40"/>
  <c r="N44" i="40"/>
  <c r="M44" i="40"/>
  <c r="L44" i="40"/>
  <c r="AJ43" i="40"/>
  <c r="AI43" i="40"/>
  <c r="AH43" i="40"/>
  <c r="Y43" i="40"/>
  <c r="X43" i="40"/>
  <c r="W43" i="40"/>
  <c r="N43" i="40"/>
  <c r="M43" i="40"/>
  <c r="L43" i="40"/>
  <c r="AJ42" i="40"/>
  <c r="AI42" i="40"/>
  <c r="AH42" i="40"/>
  <c r="Y42" i="40"/>
  <c r="X42" i="40"/>
  <c r="W42" i="40"/>
  <c r="N42" i="40"/>
  <c r="M42" i="40"/>
  <c r="L42" i="40"/>
  <c r="AJ41" i="40"/>
  <c r="AI41" i="40"/>
  <c r="AH41" i="40"/>
  <c r="Y41" i="40"/>
  <c r="X41" i="40"/>
  <c r="W41" i="40"/>
  <c r="N41" i="40"/>
  <c r="M41" i="40"/>
  <c r="L41" i="40"/>
  <c r="AJ40" i="40"/>
  <c r="AI40" i="40"/>
  <c r="AH40" i="40"/>
  <c r="Y40" i="40"/>
  <c r="X40" i="40"/>
  <c r="W40" i="40"/>
  <c r="N40" i="40"/>
  <c r="M40" i="40"/>
  <c r="L40" i="40"/>
  <c r="AJ39" i="40"/>
  <c r="AI39" i="40"/>
  <c r="AH39" i="40"/>
  <c r="Y39" i="40"/>
  <c r="X39" i="40"/>
  <c r="W39" i="40"/>
  <c r="N39" i="40"/>
  <c r="M39" i="40"/>
  <c r="L39" i="40"/>
  <c r="AJ38" i="40"/>
  <c r="AI38" i="40"/>
  <c r="AH38" i="40"/>
  <c r="Y38" i="40"/>
  <c r="X38" i="40"/>
  <c r="W38" i="40"/>
  <c r="N38" i="40"/>
  <c r="M38" i="40"/>
  <c r="L38" i="40"/>
  <c r="AJ37" i="40"/>
  <c r="AI37" i="40"/>
  <c r="AH37" i="40"/>
  <c r="Y37" i="40"/>
  <c r="X37" i="40"/>
  <c r="W37" i="40"/>
  <c r="N37" i="40"/>
  <c r="M37" i="40"/>
  <c r="L37" i="40"/>
  <c r="AJ36" i="40"/>
  <c r="AI36" i="40"/>
  <c r="AH36" i="40"/>
  <c r="Y36" i="40"/>
  <c r="X36" i="40"/>
  <c r="W36" i="40"/>
  <c r="N36" i="40"/>
  <c r="M36" i="40"/>
  <c r="L36" i="40"/>
  <c r="AJ35" i="40"/>
  <c r="AI35" i="40"/>
  <c r="AH35" i="40"/>
  <c r="Y35" i="40"/>
  <c r="X35" i="40"/>
  <c r="W35" i="40"/>
  <c r="N35" i="40"/>
  <c r="M35" i="40"/>
  <c r="L35" i="40"/>
  <c r="AJ34" i="40"/>
  <c r="AI34" i="40"/>
  <c r="AH34" i="40"/>
  <c r="Y34" i="40"/>
  <c r="X34" i="40"/>
  <c r="W34" i="40"/>
  <c r="N34" i="40"/>
  <c r="M34" i="40"/>
  <c r="L34" i="40"/>
  <c r="AJ33" i="40"/>
  <c r="AI33" i="40"/>
  <c r="AH33" i="40"/>
  <c r="Y33" i="40"/>
  <c r="X33" i="40"/>
  <c r="W33" i="40"/>
  <c r="N33" i="40"/>
  <c r="M33" i="40"/>
  <c r="L33" i="40"/>
  <c r="AJ32" i="40"/>
  <c r="AI32" i="40"/>
  <c r="AH32" i="40"/>
  <c r="Y32" i="40"/>
  <c r="X32" i="40"/>
  <c r="W32" i="40"/>
  <c r="N32" i="40"/>
  <c r="M32" i="40"/>
  <c r="L32" i="40"/>
  <c r="AJ31" i="40"/>
  <c r="AI31" i="40"/>
  <c r="AH31" i="40"/>
  <c r="Y31" i="40"/>
  <c r="X31" i="40"/>
  <c r="W31" i="40"/>
  <c r="N31" i="40"/>
  <c r="M31" i="40"/>
  <c r="L31" i="40"/>
  <c r="AJ30" i="40"/>
  <c r="AI30" i="40"/>
  <c r="AH30" i="40"/>
  <c r="Y30" i="40"/>
  <c r="X30" i="40"/>
  <c r="W30" i="40"/>
  <c r="N30" i="40"/>
  <c r="M30" i="40"/>
  <c r="L30" i="40"/>
  <c r="AJ29" i="40"/>
  <c r="AI29" i="40"/>
  <c r="AH29" i="40"/>
  <c r="Y29" i="40"/>
  <c r="X29" i="40"/>
  <c r="W29" i="40"/>
  <c r="N29" i="40"/>
  <c r="M29" i="40"/>
  <c r="L29" i="40"/>
  <c r="AJ28" i="40"/>
  <c r="AI28" i="40"/>
  <c r="AH28" i="40"/>
  <c r="Y28" i="40"/>
  <c r="X28" i="40"/>
  <c r="W28" i="40"/>
  <c r="N28" i="40"/>
  <c r="M28" i="40"/>
  <c r="L28" i="40"/>
  <c r="AJ27" i="40"/>
  <c r="AI27" i="40"/>
  <c r="AH27" i="40"/>
  <c r="Y27" i="40"/>
  <c r="X27" i="40"/>
  <c r="W27" i="40"/>
  <c r="N27" i="40"/>
  <c r="M27" i="40"/>
  <c r="L27" i="40"/>
  <c r="AJ26" i="40"/>
  <c r="AI26" i="40"/>
  <c r="AH26" i="40"/>
  <c r="Y26" i="40"/>
  <c r="X26" i="40"/>
  <c r="W26" i="40"/>
  <c r="N26" i="40"/>
  <c r="M26" i="40"/>
  <c r="L26" i="40"/>
  <c r="AJ25" i="40"/>
  <c r="AI25" i="40"/>
  <c r="AH25" i="40"/>
  <c r="Y25" i="40"/>
  <c r="X25" i="40"/>
  <c r="W25" i="40"/>
  <c r="N25" i="40"/>
  <c r="M25" i="40"/>
  <c r="L25" i="40"/>
  <c r="AJ24" i="40"/>
  <c r="AI24" i="40"/>
  <c r="AH24" i="40"/>
  <c r="Y24" i="40"/>
  <c r="X24" i="40"/>
  <c r="W24" i="40"/>
  <c r="N24" i="40"/>
  <c r="M24" i="40"/>
  <c r="L24" i="40"/>
  <c r="AJ23" i="40"/>
  <c r="AI23" i="40"/>
  <c r="AH23" i="40"/>
  <c r="Y23" i="40"/>
  <c r="X23" i="40"/>
  <c r="W23" i="40"/>
  <c r="N23" i="40"/>
  <c r="M23" i="40"/>
  <c r="L23" i="40"/>
  <c r="AJ22" i="40"/>
  <c r="AI22" i="40"/>
  <c r="AH22" i="40"/>
  <c r="Y22" i="40"/>
  <c r="X22" i="40"/>
  <c r="W22" i="40"/>
  <c r="N22" i="40"/>
  <c r="M22" i="40"/>
  <c r="L22" i="40"/>
  <c r="AJ21" i="40"/>
  <c r="AI21" i="40"/>
  <c r="AH21" i="40"/>
  <c r="Y21" i="40"/>
  <c r="X21" i="40"/>
  <c r="W21" i="40"/>
  <c r="N21" i="40"/>
  <c r="M21" i="40"/>
  <c r="L21" i="40"/>
  <c r="AJ20" i="40"/>
  <c r="AI20" i="40"/>
  <c r="AH20" i="40"/>
  <c r="Y20" i="40"/>
  <c r="X20" i="40"/>
  <c r="W20" i="40"/>
  <c r="N20" i="40"/>
  <c r="M20" i="40"/>
  <c r="L20" i="40"/>
  <c r="AJ19" i="40"/>
  <c r="AI19" i="40"/>
  <c r="AH19" i="40"/>
  <c r="Y19" i="40"/>
  <c r="X19" i="40"/>
  <c r="W19" i="40"/>
  <c r="N19" i="40"/>
  <c r="M19" i="40"/>
  <c r="L19" i="40"/>
  <c r="AJ18" i="40"/>
  <c r="AI18" i="40"/>
  <c r="AH18" i="40"/>
  <c r="Y18" i="40"/>
  <c r="X18" i="40"/>
  <c r="W18" i="40"/>
  <c r="N18" i="40"/>
  <c r="M18" i="40"/>
  <c r="L18" i="40"/>
  <c r="AJ17" i="40"/>
  <c r="AI17" i="40"/>
  <c r="AH17" i="40"/>
  <c r="Y17" i="40"/>
  <c r="X17" i="40"/>
  <c r="W17" i="40"/>
  <c r="N17" i="40"/>
  <c r="M17" i="40"/>
  <c r="L17" i="40"/>
  <c r="AJ16" i="40"/>
  <c r="AI16" i="40"/>
  <c r="AH16" i="40"/>
  <c r="Y16" i="40"/>
  <c r="X16" i="40"/>
  <c r="W16" i="40"/>
  <c r="N16" i="40"/>
  <c r="M16" i="40"/>
  <c r="L16" i="40"/>
  <c r="AJ15" i="40"/>
  <c r="AI15" i="40"/>
  <c r="AH15" i="40"/>
  <c r="Y15" i="40"/>
  <c r="X15" i="40"/>
  <c r="W15" i="40"/>
  <c r="N15" i="40"/>
  <c r="M15" i="40"/>
  <c r="L15" i="40"/>
  <c r="AJ14" i="40"/>
  <c r="AI14" i="40"/>
  <c r="AH14" i="40"/>
  <c r="Y14" i="40"/>
  <c r="X14" i="40"/>
  <c r="W14" i="40"/>
  <c r="N14" i="40"/>
  <c r="M14" i="40"/>
  <c r="L14" i="40"/>
  <c r="AJ13" i="40"/>
  <c r="AI13" i="40"/>
  <c r="AH13" i="40"/>
  <c r="Y13" i="40"/>
  <c r="X13" i="40"/>
  <c r="W13" i="40"/>
  <c r="N13" i="40"/>
  <c r="M13" i="40"/>
  <c r="L13" i="40"/>
  <c r="AJ12" i="40"/>
  <c r="AI12" i="40"/>
  <c r="AH12" i="40"/>
  <c r="Y12" i="40"/>
  <c r="X12" i="40"/>
  <c r="W12" i="40"/>
  <c r="N12" i="40"/>
  <c r="M12" i="40"/>
  <c r="L12" i="40"/>
  <c r="AJ11" i="40"/>
  <c r="AI11" i="40"/>
  <c r="AH11" i="40"/>
  <c r="Y11" i="40"/>
  <c r="X11" i="40"/>
  <c r="W11" i="40"/>
  <c r="N11" i="40"/>
  <c r="M11" i="40"/>
  <c r="L11" i="40"/>
  <c r="AJ10" i="40"/>
  <c r="AI10" i="40"/>
  <c r="AH10" i="40"/>
  <c r="Y10" i="40"/>
  <c r="X10" i="40"/>
  <c r="W10" i="40"/>
  <c r="L10" i="40"/>
  <c r="M10" i="40" s="1"/>
  <c r="N10" i="40" s="1"/>
  <c r="AJ9" i="40"/>
  <c r="AI9" i="40"/>
  <c r="AH9" i="40"/>
  <c r="Y9" i="40"/>
  <c r="X9" i="40"/>
  <c r="W9" i="40"/>
  <c r="L9" i="40"/>
  <c r="M9" i="40" s="1"/>
  <c r="N9" i="40" s="1"/>
  <c r="AJ8" i="40"/>
  <c r="AI8" i="40"/>
  <c r="AH8" i="40"/>
  <c r="Y8" i="40"/>
  <c r="X8" i="40"/>
  <c r="W8" i="40"/>
  <c r="L8" i="40"/>
  <c r="M8" i="40" s="1"/>
  <c r="N8" i="40" s="1"/>
  <c r="AJ7" i="40"/>
  <c r="AI7" i="40"/>
  <c r="AH7" i="40"/>
  <c r="Y7" i="40"/>
  <c r="X7" i="40"/>
  <c r="W7" i="40"/>
  <c r="L7" i="40"/>
  <c r="M7" i="40" s="1"/>
  <c r="N7" i="40" s="1"/>
  <c r="AJ6" i="40"/>
  <c r="AI6" i="40"/>
  <c r="AH6" i="40"/>
  <c r="Y6" i="40"/>
  <c r="X6" i="40"/>
  <c r="W6" i="40"/>
  <c r="L6" i="40"/>
  <c r="M6" i="40" s="1"/>
  <c r="N6" i="40" s="1"/>
  <c r="AJ5" i="40"/>
  <c r="AI5" i="40"/>
  <c r="AH5" i="40"/>
  <c r="Y5" i="40"/>
  <c r="X5" i="40"/>
  <c r="W5" i="40"/>
  <c r="L5" i="40"/>
  <c r="M5" i="40" s="1"/>
  <c r="N5" i="40" s="1"/>
  <c r="AJ4" i="40"/>
  <c r="AI4" i="40"/>
  <c r="AH4" i="40"/>
  <c r="W4" i="40"/>
  <c r="X4" i="40" s="1"/>
  <c r="Y4" i="40" s="1"/>
  <c r="L4" i="40"/>
  <c r="M4" i="40" s="1"/>
  <c r="N4" i="40" s="1"/>
  <c r="AJ3" i="40"/>
  <c r="AJ1" i="40" s="1"/>
  <c r="AI3" i="40"/>
  <c r="AH3" i="40"/>
  <c r="W3" i="40"/>
  <c r="X3" i="40" s="1"/>
  <c r="Y3" i="40" s="1"/>
  <c r="L3" i="40"/>
  <c r="M3" i="40" s="1"/>
  <c r="N3" i="40" s="1"/>
  <c r="AA1" i="40" a="1"/>
  <c r="AA1" i="40" s="1"/>
  <c r="P1" i="40" a="1"/>
  <c r="P1" i="40" s="1"/>
  <c r="E1" i="40" a="1"/>
  <c r="E1" i="40" s="1"/>
  <c r="A1" i="40" a="1"/>
  <c r="A1" i="40" s="1"/>
  <c r="AJ49" i="39"/>
  <c r="AI49" i="39"/>
  <c r="AH49" i="39"/>
  <c r="Y49" i="39"/>
  <c r="X49" i="39"/>
  <c r="W49" i="39"/>
  <c r="N49" i="39"/>
  <c r="M49" i="39"/>
  <c r="L49" i="39"/>
  <c r="AJ48" i="39"/>
  <c r="AI48" i="39"/>
  <c r="AH48" i="39"/>
  <c r="Y48" i="39"/>
  <c r="X48" i="39"/>
  <c r="W48" i="39"/>
  <c r="N48" i="39"/>
  <c r="M48" i="39"/>
  <c r="L48" i="39"/>
  <c r="AJ47" i="39"/>
  <c r="AI47" i="39"/>
  <c r="AH47" i="39"/>
  <c r="Y47" i="39"/>
  <c r="X47" i="39"/>
  <c r="W47" i="39"/>
  <c r="N47" i="39"/>
  <c r="M47" i="39"/>
  <c r="L47" i="39"/>
  <c r="AJ46" i="39"/>
  <c r="AI46" i="39"/>
  <c r="AH46" i="39"/>
  <c r="Y46" i="39"/>
  <c r="X46" i="39"/>
  <c r="W46" i="39"/>
  <c r="N46" i="39"/>
  <c r="M46" i="39"/>
  <c r="L46" i="39"/>
  <c r="AJ45" i="39"/>
  <c r="AI45" i="39"/>
  <c r="AH45" i="39"/>
  <c r="Y45" i="39"/>
  <c r="X45" i="39"/>
  <c r="W45" i="39"/>
  <c r="N45" i="39"/>
  <c r="M45" i="39"/>
  <c r="L45" i="39"/>
  <c r="AJ44" i="39"/>
  <c r="AI44" i="39"/>
  <c r="AH44" i="39"/>
  <c r="Y44" i="39"/>
  <c r="X44" i="39"/>
  <c r="W44" i="39"/>
  <c r="N44" i="39"/>
  <c r="M44" i="39"/>
  <c r="L44" i="39"/>
  <c r="AJ43" i="39"/>
  <c r="AI43" i="39"/>
  <c r="AH43" i="39"/>
  <c r="Y43" i="39"/>
  <c r="X43" i="39"/>
  <c r="W43" i="39"/>
  <c r="N43" i="39"/>
  <c r="M43" i="39"/>
  <c r="L43" i="39"/>
  <c r="AJ42" i="39"/>
  <c r="AI42" i="39"/>
  <c r="AH42" i="39"/>
  <c r="Y42" i="39"/>
  <c r="X42" i="39"/>
  <c r="W42" i="39"/>
  <c r="N42" i="39"/>
  <c r="M42" i="39"/>
  <c r="L42" i="39"/>
  <c r="AJ41" i="39"/>
  <c r="AI41" i="39"/>
  <c r="AH41" i="39"/>
  <c r="Y41" i="39"/>
  <c r="X41" i="39"/>
  <c r="W41" i="39"/>
  <c r="N41" i="39"/>
  <c r="M41" i="39"/>
  <c r="L41" i="39"/>
  <c r="AJ40" i="39"/>
  <c r="AI40" i="39"/>
  <c r="AH40" i="39"/>
  <c r="Y40" i="39"/>
  <c r="X40" i="39"/>
  <c r="W40" i="39"/>
  <c r="N40" i="39"/>
  <c r="M40" i="39"/>
  <c r="L40" i="39"/>
  <c r="AJ39" i="39"/>
  <c r="AI39" i="39"/>
  <c r="AH39" i="39"/>
  <c r="Y39" i="39"/>
  <c r="X39" i="39"/>
  <c r="W39" i="39"/>
  <c r="N39" i="39"/>
  <c r="M39" i="39"/>
  <c r="L39" i="39"/>
  <c r="AJ38" i="39"/>
  <c r="AI38" i="39"/>
  <c r="AH38" i="39"/>
  <c r="Y38" i="39"/>
  <c r="X38" i="39"/>
  <c r="W38" i="39"/>
  <c r="N38" i="39"/>
  <c r="M38" i="39"/>
  <c r="L38" i="39"/>
  <c r="AJ37" i="39"/>
  <c r="AI37" i="39"/>
  <c r="AH37" i="39"/>
  <c r="Y37" i="39"/>
  <c r="X37" i="39"/>
  <c r="W37" i="39"/>
  <c r="N37" i="39"/>
  <c r="M37" i="39"/>
  <c r="L37" i="39"/>
  <c r="AJ36" i="39"/>
  <c r="AI36" i="39"/>
  <c r="AH36" i="39"/>
  <c r="Y36" i="39"/>
  <c r="X36" i="39"/>
  <c r="W36" i="39"/>
  <c r="N36" i="39"/>
  <c r="M36" i="39"/>
  <c r="L36" i="39"/>
  <c r="AJ35" i="39"/>
  <c r="AI35" i="39"/>
  <c r="AH35" i="39"/>
  <c r="Y35" i="39"/>
  <c r="X35" i="39"/>
  <c r="W35" i="39"/>
  <c r="N35" i="39"/>
  <c r="M35" i="39"/>
  <c r="L35" i="39"/>
  <c r="AJ34" i="39"/>
  <c r="AI34" i="39"/>
  <c r="AH34" i="39"/>
  <c r="Y34" i="39"/>
  <c r="X34" i="39"/>
  <c r="W34" i="39"/>
  <c r="N34" i="39"/>
  <c r="M34" i="39"/>
  <c r="L34" i="39"/>
  <c r="AJ33" i="39"/>
  <c r="AI33" i="39"/>
  <c r="AH33" i="39"/>
  <c r="Y33" i="39"/>
  <c r="X33" i="39"/>
  <c r="W33" i="39"/>
  <c r="N33" i="39"/>
  <c r="M33" i="39"/>
  <c r="L33" i="39"/>
  <c r="AJ32" i="39"/>
  <c r="AI32" i="39"/>
  <c r="AH32" i="39"/>
  <c r="Y32" i="39"/>
  <c r="X32" i="39"/>
  <c r="W32" i="39"/>
  <c r="N32" i="39"/>
  <c r="M32" i="39"/>
  <c r="L32" i="39"/>
  <c r="AJ31" i="39"/>
  <c r="AI31" i="39"/>
  <c r="AH31" i="39"/>
  <c r="Y31" i="39"/>
  <c r="X31" i="39"/>
  <c r="W31" i="39"/>
  <c r="N31" i="39"/>
  <c r="M31" i="39"/>
  <c r="L31" i="39"/>
  <c r="AJ30" i="39"/>
  <c r="AI30" i="39"/>
  <c r="AH30" i="39"/>
  <c r="Y30" i="39"/>
  <c r="X30" i="39"/>
  <c r="W30" i="39"/>
  <c r="N30" i="39"/>
  <c r="M30" i="39"/>
  <c r="L30" i="39"/>
  <c r="AJ29" i="39"/>
  <c r="AI29" i="39"/>
  <c r="AH29" i="39"/>
  <c r="Y29" i="39"/>
  <c r="X29" i="39"/>
  <c r="W29" i="39"/>
  <c r="N29" i="39"/>
  <c r="M29" i="39"/>
  <c r="L29" i="39"/>
  <c r="AJ28" i="39"/>
  <c r="AI28" i="39"/>
  <c r="AH28" i="39"/>
  <c r="Y28" i="39"/>
  <c r="X28" i="39"/>
  <c r="W28" i="39"/>
  <c r="N28" i="39"/>
  <c r="M28" i="39"/>
  <c r="L28" i="39"/>
  <c r="AJ27" i="39"/>
  <c r="AI27" i="39"/>
  <c r="AH27" i="39"/>
  <c r="Y27" i="39"/>
  <c r="X27" i="39"/>
  <c r="W27" i="39"/>
  <c r="N27" i="39"/>
  <c r="M27" i="39"/>
  <c r="L27" i="39"/>
  <c r="AJ26" i="39"/>
  <c r="AI26" i="39"/>
  <c r="AH26" i="39"/>
  <c r="Y26" i="39"/>
  <c r="X26" i="39"/>
  <c r="W26" i="39"/>
  <c r="N26" i="39"/>
  <c r="M26" i="39"/>
  <c r="L26" i="39"/>
  <c r="AJ25" i="39"/>
  <c r="AI25" i="39"/>
  <c r="AH25" i="39"/>
  <c r="Y25" i="39"/>
  <c r="X25" i="39"/>
  <c r="W25" i="39"/>
  <c r="N25" i="39"/>
  <c r="M25" i="39"/>
  <c r="L25" i="39"/>
  <c r="AJ24" i="39"/>
  <c r="AI24" i="39"/>
  <c r="AH24" i="39"/>
  <c r="Y24" i="39"/>
  <c r="X24" i="39"/>
  <c r="W24" i="39"/>
  <c r="N24" i="39"/>
  <c r="M24" i="39"/>
  <c r="L24" i="39"/>
  <c r="AJ23" i="39"/>
  <c r="AI23" i="39"/>
  <c r="AH23" i="39"/>
  <c r="Y23" i="39"/>
  <c r="X23" i="39"/>
  <c r="W23" i="39"/>
  <c r="N23" i="39"/>
  <c r="M23" i="39"/>
  <c r="L23" i="39"/>
  <c r="AJ22" i="39"/>
  <c r="AI22" i="39"/>
  <c r="AH22" i="39"/>
  <c r="Y22" i="39"/>
  <c r="X22" i="39"/>
  <c r="W22" i="39"/>
  <c r="N22" i="39"/>
  <c r="M22" i="39"/>
  <c r="L22" i="39"/>
  <c r="AJ21" i="39"/>
  <c r="AI21" i="39"/>
  <c r="AH21" i="39"/>
  <c r="Y21" i="39"/>
  <c r="X21" i="39"/>
  <c r="W21" i="39"/>
  <c r="N21" i="39"/>
  <c r="M21" i="39"/>
  <c r="L21" i="39"/>
  <c r="AJ20" i="39"/>
  <c r="AI20" i="39"/>
  <c r="AH20" i="39"/>
  <c r="Y20" i="39"/>
  <c r="X20" i="39"/>
  <c r="W20" i="39"/>
  <c r="N20" i="39"/>
  <c r="M20" i="39"/>
  <c r="L20" i="39"/>
  <c r="AJ19" i="39"/>
  <c r="AI19" i="39"/>
  <c r="AH19" i="39"/>
  <c r="Y19" i="39"/>
  <c r="X19" i="39"/>
  <c r="W19" i="39"/>
  <c r="N19" i="39"/>
  <c r="M19" i="39"/>
  <c r="L19" i="39"/>
  <c r="AJ18" i="39"/>
  <c r="AI18" i="39"/>
  <c r="AH18" i="39"/>
  <c r="Y18" i="39"/>
  <c r="X18" i="39"/>
  <c r="W18" i="39"/>
  <c r="N18" i="39"/>
  <c r="M18" i="39"/>
  <c r="L18" i="39"/>
  <c r="AJ17" i="39"/>
  <c r="AI17" i="39"/>
  <c r="AH17" i="39"/>
  <c r="Y17" i="39"/>
  <c r="X17" i="39"/>
  <c r="W17" i="39"/>
  <c r="N17" i="39"/>
  <c r="M17" i="39"/>
  <c r="L17" i="39"/>
  <c r="AJ16" i="39"/>
  <c r="AI16" i="39"/>
  <c r="AH16" i="39"/>
  <c r="Y16" i="39"/>
  <c r="X16" i="39"/>
  <c r="W16" i="39"/>
  <c r="N16" i="39"/>
  <c r="M16" i="39"/>
  <c r="L16" i="39"/>
  <c r="AJ15" i="39"/>
  <c r="AI15" i="39"/>
  <c r="AH15" i="39"/>
  <c r="Y15" i="39"/>
  <c r="X15" i="39"/>
  <c r="W15" i="39"/>
  <c r="N15" i="39"/>
  <c r="M15" i="39"/>
  <c r="L15" i="39"/>
  <c r="AJ14" i="39"/>
  <c r="AI14" i="39"/>
  <c r="AH14" i="39"/>
  <c r="Y14" i="39"/>
  <c r="X14" i="39"/>
  <c r="W14" i="39"/>
  <c r="N14" i="39"/>
  <c r="M14" i="39"/>
  <c r="L14" i="39"/>
  <c r="AJ13" i="39"/>
  <c r="AI13" i="39"/>
  <c r="AH13" i="39"/>
  <c r="Y13" i="39"/>
  <c r="X13" i="39"/>
  <c r="W13" i="39"/>
  <c r="N13" i="39"/>
  <c r="M13" i="39"/>
  <c r="L13" i="39"/>
  <c r="AJ12" i="39"/>
  <c r="AI12" i="39"/>
  <c r="AH12" i="39"/>
  <c r="Y12" i="39"/>
  <c r="X12" i="39"/>
  <c r="W12" i="39"/>
  <c r="N12" i="39"/>
  <c r="M12" i="39"/>
  <c r="L12" i="39"/>
  <c r="AJ11" i="39"/>
  <c r="AI11" i="39"/>
  <c r="AH11" i="39"/>
  <c r="Y11" i="39"/>
  <c r="X11" i="39"/>
  <c r="W11" i="39"/>
  <c r="N11" i="39"/>
  <c r="M11" i="39"/>
  <c r="L11" i="39"/>
  <c r="AJ10" i="39"/>
  <c r="AI10" i="39"/>
  <c r="AH10" i="39"/>
  <c r="Y10" i="39"/>
  <c r="X10" i="39"/>
  <c r="W10" i="39"/>
  <c r="N10" i="39"/>
  <c r="M10" i="39"/>
  <c r="L10" i="39"/>
  <c r="AJ9" i="39"/>
  <c r="AI9" i="39"/>
  <c r="AH9" i="39"/>
  <c r="Y9" i="39"/>
  <c r="X9" i="39"/>
  <c r="W9" i="39"/>
  <c r="N9" i="39"/>
  <c r="M9" i="39"/>
  <c r="L9" i="39"/>
  <c r="AJ8" i="39"/>
  <c r="AI8" i="39"/>
  <c r="AH8" i="39"/>
  <c r="Y8" i="39"/>
  <c r="X8" i="39"/>
  <c r="W8" i="39"/>
  <c r="N8" i="39"/>
  <c r="M8" i="39"/>
  <c r="L8" i="39"/>
  <c r="AJ7" i="39"/>
  <c r="AI7" i="39"/>
  <c r="AH7" i="39"/>
  <c r="Y7" i="39"/>
  <c r="X7" i="39"/>
  <c r="W7" i="39"/>
  <c r="L7" i="39"/>
  <c r="M7" i="39" s="1"/>
  <c r="N7" i="39" s="1"/>
  <c r="AJ6" i="39"/>
  <c r="AI6" i="39"/>
  <c r="AH6" i="39"/>
  <c r="Y6" i="39"/>
  <c r="X6" i="39"/>
  <c r="W6" i="39"/>
  <c r="L6" i="39"/>
  <c r="M6" i="39" s="1"/>
  <c r="N6" i="39" s="1"/>
  <c r="AJ5" i="39"/>
  <c r="AI5" i="39"/>
  <c r="AH5" i="39"/>
  <c r="Y5" i="39"/>
  <c r="X5" i="39"/>
  <c r="W5" i="39"/>
  <c r="M5" i="39"/>
  <c r="N5" i="39" s="1"/>
  <c r="L5" i="39"/>
  <c r="AJ4" i="39"/>
  <c r="AI4" i="39"/>
  <c r="AH4" i="39"/>
  <c r="X4" i="39"/>
  <c r="Y4" i="39" s="1"/>
  <c r="W4" i="39"/>
  <c r="L4" i="39"/>
  <c r="M4" i="39" s="1"/>
  <c r="N4" i="39" s="1"/>
  <c r="AJ3" i="39"/>
  <c r="AJ1" i="39" s="1"/>
  <c r="AI3" i="39"/>
  <c r="AH3" i="39"/>
  <c r="W3" i="39"/>
  <c r="X3" i="39" s="1"/>
  <c r="Y3" i="39" s="1"/>
  <c r="L3" i="39"/>
  <c r="M3" i="39" s="1"/>
  <c r="N3" i="39" s="1"/>
  <c r="AA1" i="39" a="1"/>
  <c r="AA1" i="39" s="1"/>
  <c r="P1" i="39" a="1"/>
  <c r="P1" i="39" s="1"/>
  <c r="E1" i="39" a="1"/>
  <c r="E1" i="39" s="1"/>
  <c r="A1" i="39" a="1"/>
  <c r="A1" i="39" s="1"/>
  <c r="AJ49" i="38"/>
  <c r="AI49" i="38"/>
  <c r="AH49" i="38"/>
  <c r="Y49" i="38"/>
  <c r="X49" i="38"/>
  <c r="W49" i="38"/>
  <c r="N49" i="38"/>
  <c r="M49" i="38"/>
  <c r="L49" i="38"/>
  <c r="AJ48" i="38"/>
  <c r="AI48" i="38"/>
  <c r="AH48" i="38"/>
  <c r="Y48" i="38"/>
  <c r="X48" i="38"/>
  <c r="W48" i="38"/>
  <c r="N48" i="38"/>
  <c r="M48" i="38"/>
  <c r="L48" i="38"/>
  <c r="AJ47" i="38"/>
  <c r="AI47" i="38"/>
  <c r="AH47" i="38"/>
  <c r="Y47" i="38"/>
  <c r="X47" i="38"/>
  <c r="W47" i="38"/>
  <c r="N47" i="38"/>
  <c r="M47" i="38"/>
  <c r="L47" i="38"/>
  <c r="AJ46" i="38"/>
  <c r="AI46" i="38"/>
  <c r="AH46" i="38"/>
  <c r="Y46" i="38"/>
  <c r="X46" i="38"/>
  <c r="W46" i="38"/>
  <c r="N46" i="38"/>
  <c r="M46" i="38"/>
  <c r="L46" i="38"/>
  <c r="AJ45" i="38"/>
  <c r="AI45" i="38"/>
  <c r="AH45" i="38"/>
  <c r="Y45" i="38"/>
  <c r="X45" i="38"/>
  <c r="W45" i="38"/>
  <c r="N45" i="38"/>
  <c r="M45" i="38"/>
  <c r="L45" i="38"/>
  <c r="AJ44" i="38"/>
  <c r="AI44" i="38"/>
  <c r="AH44" i="38"/>
  <c r="Y44" i="38"/>
  <c r="X44" i="38"/>
  <c r="W44" i="38"/>
  <c r="N44" i="38"/>
  <c r="M44" i="38"/>
  <c r="L44" i="38"/>
  <c r="AJ43" i="38"/>
  <c r="AI43" i="38"/>
  <c r="AH43" i="38"/>
  <c r="Y43" i="38"/>
  <c r="X43" i="38"/>
  <c r="W43" i="38"/>
  <c r="N43" i="38"/>
  <c r="M43" i="38"/>
  <c r="L43" i="38"/>
  <c r="AJ42" i="38"/>
  <c r="AI42" i="38"/>
  <c r="AH42" i="38"/>
  <c r="Y42" i="38"/>
  <c r="X42" i="38"/>
  <c r="W42" i="38"/>
  <c r="N42" i="38"/>
  <c r="M42" i="38"/>
  <c r="L42" i="38"/>
  <c r="AJ41" i="38"/>
  <c r="AI41" i="38"/>
  <c r="AH41" i="38"/>
  <c r="Y41" i="38"/>
  <c r="X41" i="38"/>
  <c r="W41" i="38"/>
  <c r="N41" i="38"/>
  <c r="M41" i="38"/>
  <c r="L41" i="38"/>
  <c r="AJ40" i="38"/>
  <c r="AI40" i="38"/>
  <c r="AH40" i="38"/>
  <c r="Y40" i="38"/>
  <c r="X40" i="38"/>
  <c r="W40" i="38"/>
  <c r="N40" i="38"/>
  <c r="M40" i="38"/>
  <c r="L40" i="38"/>
  <c r="AJ39" i="38"/>
  <c r="AI39" i="38"/>
  <c r="AH39" i="38"/>
  <c r="Y39" i="38"/>
  <c r="X39" i="38"/>
  <c r="W39" i="38"/>
  <c r="N39" i="38"/>
  <c r="M39" i="38"/>
  <c r="L39" i="38"/>
  <c r="AJ38" i="38"/>
  <c r="AI38" i="38"/>
  <c r="AH38" i="38"/>
  <c r="Y38" i="38"/>
  <c r="X38" i="38"/>
  <c r="W38" i="38"/>
  <c r="N38" i="38"/>
  <c r="M38" i="38"/>
  <c r="L38" i="38"/>
  <c r="AJ37" i="38"/>
  <c r="AI37" i="38"/>
  <c r="AH37" i="38"/>
  <c r="Y37" i="38"/>
  <c r="X37" i="38"/>
  <c r="W37" i="38"/>
  <c r="N37" i="38"/>
  <c r="M37" i="38"/>
  <c r="L37" i="38"/>
  <c r="AJ36" i="38"/>
  <c r="AI36" i="38"/>
  <c r="AH36" i="38"/>
  <c r="Y36" i="38"/>
  <c r="X36" i="38"/>
  <c r="W36" i="38"/>
  <c r="N36" i="38"/>
  <c r="M36" i="38"/>
  <c r="L36" i="38"/>
  <c r="AJ35" i="38"/>
  <c r="AI35" i="38"/>
  <c r="AH35" i="38"/>
  <c r="Y35" i="38"/>
  <c r="X35" i="38"/>
  <c r="W35" i="38"/>
  <c r="N35" i="38"/>
  <c r="M35" i="38"/>
  <c r="L35" i="38"/>
  <c r="AJ34" i="38"/>
  <c r="AI34" i="38"/>
  <c r="AH34" i="38"/>
  <c r="Y34" i="38"/>
  <c r="X34" i="38"/>
  <c r="W34" i="38"/>
  <c r="N34" i="38"/>
  <c r="M34" i="38"/>
  <c r="L34" i="38"/>
  <c r="AJ33" i="38"/>
  <c r="AI33" i="38"/>
  <c r="AH33" i="38"/>
  <c r="Y33" i="38"/>
  <c r="X33" i="38"/>
  <c r="W33" i="38"/>
  <c r="N33" i="38"/>
  <c r="M33" i="38"/>
  <c r="L33" i="38"/>
  <c r="AJ32" i="38"/>
  <c r="AI32" i="38"/>
  <c r="AH32" i="38"/>
  <c r="Y32" i="38"/>
  <c r="X32" i="38"/>
  <c r="W32" i="38"/>
  <c r="N32" i="38"/>
  <c r="M32" i="38"/>
  <c r="L32" i="38"/>
  <c r="AJ31" i="38"/>
  <c r="AI31" i="38"/>
  <c r="AH31" i="38"/>
  <c r="Y31" i="38"/>
  <c r="X31" i="38"/>
  <c r="W31" i="38"/>
  <c r="N31" i="38"/>
  <c r="M31" i="38"/>
  <c r="L31" i="38"/>
  <c r="AJ30" i="38"/>
  <c r="AI30" i="38"/>
  <c r="AH30" i="38"/>
  <c r="Y30" i="38"/>
  <c r="X30" i="38"/>
  <c r="W30" i="38"/>
  <c r="N30" i="38"/>
  <c r="M30" i="38"/>
  <c r="L30" i="38"/>
  <c r="AJ29" i="38"/>
  <c r="AI29" i="38"/>
  <c r="AH29" i="38"/>
  <c r="Y29" i="38"/>
  <c r="X29" i="38"/>
  <c r="W29" i="38"/>
  <c r="N29" i="38"/>
  <c r="M29" i="38"/>
  <c r="L29" i="38"/>
  <c r="AJ28" i="38"/>
  <c r="AI28" i="38"/>
  <c r="AH28" i="38"/>
  <c r="Y28" i="38"/>
  <c r="X28" i="38"/>
  <c r="W28" i="38"/>
  <c r="N28" i="38"/>
  <c r="M28" i="38"/>
  <c r="L28" i="38"/>
  <c r="AJ27" i="38"/>
  <c r="AI27" i="38"/>
  <c r="AH27" i="38"/>
  <c r="Y27" i="38"/>
  <c r="X27" i="38"/>
  <c r="W27" i="38"/>
  <c r="N27" i="38"/>
  <c r="M27" i="38"/>
  <c r="L27" i="38"/>
  <c r="AJ26" i="38"/>
  <c r="AI26" i="38"/>
  <c r="AH26" i="38"/>
  <c r="Y26" i="38"/>
  <c r="X26" i="38"/>
  <c r="W26" i="38"/>
  <c r="N26" i="38"/>
  <c r="M26" i="38"/>
  <c r="L26" i="38"/>
  <c r="AJ25" i="38"/>
  <c r="AI25" i="38"/>
  <c r="AH25" i="38"/>
  <c r="Y25" i="38"/>
  <c r="X25" i="38"/>
  <c r="W25" i="38"/>
  <c r="N25" i="38"/>
  <c r="M25" i="38"/>
  <c r="L25" i="38"/>
  <c r="AJ24" i="38"/>
  <c r="AI24" i="38"/>
  <c r="AH24" i="38"/>
  <c r="Y24" i="38"/>
  <c r="X24" i="38"/>
  <c r="W24" i="38"/>
  <c r="N24" i="38"/>
  <c r="M24" i="38"/>
  <c r="L24" i="38"/>
  <c r="AJ23" i="38"/>
  <c r="AI23" i="38"/>
  <c r="AH23" i="38"/>
  <c r="Y23" i="38"/>
  <c r="X23" i="38"/>
  <c r="W23" i="38"/>
  <c r="N23" i="38"/>
  <c r="M23" i="38"/>
  <c r="L23" i="38"/>
  <c r="AJ22" i="38"/>
  <c r="AI22" i="38"/>
  <c r="AH22" i="38"/>
  <c r="Y22" i="38"/>
  <c r="X22" i="38"/>
  <c r="W22" i="38"/>
  <c r="N22" i="38"/>
  <c r="M22" i="38"/>
  <c r="L22" i="38"/>
  <c r="AJ21" i="38"/>
  <c r="AI21" i="38"/>
  <c r="AH21" i="38"/>
  <c r="Y21" i="38"/>
  <c r="X21" i="38"/>
  <c r="W21" i="38"/>
  <c r="N21" i="38"/>
  <c r="M21" i="38"/>
  <c r="L21" i="38"/>
  <c r="AJ20" i="38"/>
  <c r="AI20" i="38"/>
  <c r="AH20" i="38"/>
  <c r="Y20" i="38"/>
  <c r="X20" i="38"/>
  <c r="W20" i="38"/>
  <c r="N20" i="38"/>
  <c r="M20" i="38"/>
  <c r="L20" i="38"/>
  <c r="AJ19" i="38"/>
  <c r="AI19" i="38"/>
  <c r="AH19" i="38"/>
  <c r="Y19" i="38"/>
  <c r="X19" i="38"/>
  <c r="W19" i="38"/>
  <c r="N19" i="38"/>
  <c r="M19" i="38"/>
  <c r="L19" i="38"/>
  <c r="AJ18" i="38"/>
  <c r="AI18" i="38"/>
  <c r="AH18" i="38"/>
  <c r="Y18" i="38"/>
  <c r="X18" i="38"/>
  <c r="W18" i="38"/>
  <c r="N18" i="38"/>
  <c r="M18" i="38"/>
  <c r="L18" i="38"/>
  <c r="AJ17" i="38"/>
  <c r="AI17" i="38"/>
  <c r="AH17" i="38"/>
  <c r="Y17" i="38"/>
  <c r="X17" i="38"/>
  <c r="W17" i="38"/>
  <c r="L17" i="38"/>
  <c r="M17" i="38" s="1"/>
  <c r="N17" i="38" s="1"/>
  <c r="AJ16" i="38"/>
  <c r="AI16" i="38"/>
  <c r="AH16" i="38"/>
  <c r="Y16" i="38"/>
  <c r="X16" i="38"/>
  <c r="W16" i="38"/>
  <c r="L16" i="38"/>
  <c r="M16" i="38" s="1"/>
  <c r="N16" i="38" s="1"/>
  <c r="AJ15" i="38"/>
  <c r="AI15" i="38"/>
  <c r="AH15" i="38"/>
  <c r="Y15" i="38"/>
  <c r="X15" i="38"/>
  <c r="W15" i="38"/>
  <c r="L15" i="38"/>
  <c r="M15" i="38" s="1"/>
  <c r="N15" i="38" s="1"/>
  <c r="AJ14" i="38"/>
  <c r="AI14" i="38"/>
  <c r="AH14" i="38"/>
  <c r="Y14" i="38"/>
  <c r="X14" i="38"/>
  <c r="W14" i="38"/>
  <c r="L14" i="38"/>
  <c r="M14" i="38" s="1"/>
  <c r="N14" i="38" s="1"/>
  <c r="AJ13" i="38"/>
  <c r="AI13" i="38"/>
  <c r="AH13" i="38"/>
  <c r="Y13" i="38"/>
  <c r="X13" i="38"/>
  <c r="W13" i="38"/>
  <c r="L13" i="38"/>
  <c r="M13" i="38" s="1"/>
  <c r="N13" i="38" s="1"/>
  <c r="AJ12" i="38"/>
  <c r="AI12" i="38"/>
  <c r="AH12" i="38"/>
  <c r="Y12" i="38"/>
  <c r="X12" i="38"/>
  <c r="W12" i="38"/>
  <c r="L12" i="38"/>
  <c r="M12" i="38" s="1"/>
  <c r="N12" i="38" s="1"/>
  <c r="AJ11" i="38"/>
  <c r="AI11" i="38"/>
  <c r="AH11" i="38"/>
  <c r="Y11" i="38"/>
  <c r="X11" i="38"/>
  <c r="W11" i="38"/>
  <c r="L11" i="38"/>
  <c r="M11" i="38" s="1"/>
  <c r="N11" i="38" s="1"/>
  <c r="AJ10" i="38"/>
  <c r="AI10" i="38"/>
  <c r="AH10" i="38"/>
  <c r="Y10" i="38"/>
  <c r="X10" i="38"/>
  <c r="W10" i="38"/>
  <c r="L10" i="38"/>
  <c r="M10" i="38" s="1"/>
  <c r="N10" i="38" s="1"/>
  <c r="AJ9" i="38"/>
  <c r="AI9" i="38"/>
  <c r="AH9" i="38"/>
  <c r="Y9" i="38"/>
  <c r="X9" i="38"/>
  <c r="W9" i="38"/>
  <c r="L9" i="38"/>
  <c r="M9" i="38" s="1"/>
  <c r="N9" i="38" s="1"/>
  <c r="AJ8" i="38"/>
  <c r="AI8" i="38"/>
  <c r="AH8" i="38"/>
  <c r="Y8" i="38"/>
  <c r="X8" i="38"/>
  <c r="W8" i="38"/>
  <c r="L8" i="38"/>
  <c r="M8" i="38" s="1"/>
  <c r="N8" i="38" s="1"/>
  <c r="AJ7" i="38"/>
  <c r="AI7" i="38"/>
  <c r="AH7" i="38"/>
  <c r="Y7" i="38"/>
  <c r="X7" i="38"/>
  <c r="W7" i="38"/>
  <c r="L7" i="38"/>
  <c r="M7" i="38" s="1"/>
  <c r="N7" i="38" s="1"/>
  <c r="AJ6" i="38"/>
  <c r="AI6" i="38"/>
  <c r="AH6" i="38"/>
  <c r="Y6" i="38"/>
  <c r="X6" i="38"/>
  <c r="W6" i="38"/>
  <c r="L6" i="38"/>
  <c r="M6" i="38" s="1"/>
  <c r="N6" i="38" s="1"/>
  <c r="AJ5" i="38"/>
  <c r="AI5" i="38"/>
  <c r="AH5" i="38"/>
  <c r="Y5" i="38"/>
  <c r="X5" i="38"/>
  <c r="W5" i="38"/>
  <c r="L5" i="38"/>
  <c r="M5" i="38" s="1"/>
  <c r="N5" i="38" s="1"/>
  <c r="AJ4" i="38"/>
  <c r="AI4" i="38"/>
  <c r="AH4" i="38"/>
  <c r="W4" i="38"/>
  <c r="X4" i="38" s="1"/>
  <c r="Y4" i="38" s="1"/>
  <c r="L4" i="38"/>
  <c r="M4" i="38" s="1"/>
  <c r="N4" i="38" s="1"/>
  <c r="AJ3" i="38"/>
  <c r="AJ1" i="38" s="1"/>
  <c r="AI3" i="38"/>
  <c r="AH3" i="38"/>
  <c r="W3" i="38"/>
  <c r="X3" i="38" s="1"/>
  <c r="Y3" i="38" s="1"/>
  <c r="L3" i="38"/>
  <c r="M3" i="38" s="1"/>
  <c r="N3" i="38" s="1"/>
  <c r="AA1" i="38" a="1"/>
  <c r="AA1" i="38" s="1"/>
  <c r="P1" i="38" a="1"/>
  <c r="P1" i="38" s="1"/>
  <c r="E1" i="38" a="1"/>
  <c r="E1" i="38" s="1"/>
  <c r="A1" i="38" a="1"/>
  <c r="A1" i="38" s="1"/>
  <c r="AJ49" i="37"/>
  <c r="AI49" i="37"/>
  <c r="AH49" i="37"/>
  <c r="Y49" i="37"/>
  <c r="X49" i="37"/>
  <c r="W49" i="37"/>
  <c r="N49" i="37"/>
  <c r="M49" i="37"/>
  <c r="L49" i="37"/>
  <c r="AJ48" i="37"/>
  <c r="AI48" i="37"/>
  <c r="AH48" i="37"/>
  <c r="Y48" i="37"/>
  <c r="X48" i="37"/>
  <c r="W48" i="37"/>
  <c r="N48" i="37"/>
  <c r="M48" i="37"/>
  <c r="L48" i="37"/>
  <c r="AJ47" i="37"/>
  <c r="AI47" i="37"/>
  <c r="AH47" i="37"/>
  <c r="Y47" i="37"/>
  <c r="X47" i="37"/>
  <c r="W47" i="37"/>
  <c r="N47" i="37"/>
  <c r="M47" i="37"/>
  <c r="L47" i="37"/>
  <c r="AJ46" i="37"/>
  <c r="AI46" i="37"/>
  <c r="AH46" i="37"/>
  <c r="Y46" i="37"/>
  <c r="X46" i="37"/>
  <c r="W46" i="37"/>
  <c r="N46" i="37"/>
  <c r="M46" i="37"/>
  <c r="L46" i="37"/>
  <c r="AJ45" i="37"/>
  <c r="AI45" i="37"/>
  <c r="AH45" i="37"/>
  <c r="Y45" i="37"/>
  <c r="X45" i="37"/>
  <c r="W45" i="37"/>
  <c r="N45" i="37"/>
  <c r="M45" i="37"/>
  <c r="L45" i="37"/>
  <c r="AJ44" i="37"/>
  <c r="AI44" i="37"/>
  <c r="AH44" i="37"/>
  <c r="Y44" i="37"/>
  <c r="X44" i="37"/>
  <c r="W44" i="37"/>
  <c r="N44" i="37"/>
  <c r="M44" i="37"/>
  <c r="L44" i="37"/>
  <c r="AJ43" i="37"/>
  <c r="AI43" i="37"/>
  <c r="AH43" i="37"/>
  <c r="Y43" i="37"/>
  <c r="X43" i="37"/>
  <c r="W43" i="37"/>
  <c r="N43" i="37"/>
  <c r="M43" i="37"/>
  <c r="L43" i="37"/>
  <c r="AJ42" i="37"/>
  <c r="AI42" i="37"/>
  <c r="AH42" i="37"/>
  <c r="Y42" i="37"/>
  <c r="X42" i="37"/>
  <c r="W42" i="37"/>
  <c r="N42" i="37"/>
  <c r="M42" i="37"/>
  <c r="L42" i="37"/>
  <c r="AJ41" i="37"/>
  <c r="AI41" i="37"/>
  <c r="AH41" i="37"/>
  <c r="Y41" i="37"/>
  <c r="X41" i="37"/>
  <c r="W41" i="37"/>
  <c r="N41" i="37"/>
  <c r="M41" i="37"/>
  <c r="L41" i="37"/>
  <c r="AJ40" i="37"/>
  <c r="AI40" i="37"/>
  <c r="AH40" i="37"/>
  <c r="Y40" i="37"/>
  <c r="X40" i="37"/>
  <c r="W40" i="37"/>
  <c r="N40" i="37"/>
  <c r="M40" i="37"/>
  <c r="L40" i="37"/>
  <c r="AJ39" i="37"/>
  <c r="AI39" i="37"/>
  <c r="AH39" i="37"/>
  <c r="Y39" i="37"/>
  <c r="X39" i="37"/>
  <c r="W39" i="37"/>
  <c r="N39" i="37"/>
  <c r="M39" i="37"/>
  <c r="L39" i="37"/>
  <c r="AJ38" i="37"/>
  <c r="AI38" i="37"/>
  <c r="AH38" i="37"/>
  <c r="Y38" i="37"/>
  <c r="X38" i="37"/>
  <c r="W38" i="37"/>
  <c r="N38" i="37"/>
  <c r="M38" i="37"/>
  <c r="L38" i="37"/>
  <c r="AJ37" i="37"/>
  <c r="AI37" i="37"/>
  <c r="AH37" i="37"/>
  <c r="Y37" i="37"/>
  <c r="X37" i="37"/>
  <c r="W37" i="37"/>
  <c r="N37" i="37"/>
  <c r="M37" i="37"/>
  <c r="L37" i="37"/>
  <c r="AJ36" i="37"/>
  <c r="AI36" i="37"/>
  <c r="AH36" i="37"/>
  <c r="Y36" i="37"/>
  <c r="X36" i="37"/>
  <c r="W36" i="37"/>
  <c r="N36" i="37"/>
  <c r="M36" i="37"/>
  <c r="L36" i="37"/>
  <c r="AJ35" i="37"/>
  <c r="AI35" i="37"/>
  <c r="AH35" i="37"/>
  <c r="Y35" i="37"/>
  <c r="X35" i="37"/>
  <c r="W35" i="37"/>
  <c r="N35" i="37"/>
  <c r="M35" i="37"/>
  <c r="L35" i="37"/>
  <c r="AJ34" i="37"/>
  <c r="AI34" i="37"/>
  <c r="AH34" i="37"/>
  <c r="Y34" i="37"/>
  <c r="X34" i="37"/>
  <c r="W34" i="37"/>
  <c r="N34" i="37"/>
  <c r="M34" i="37"/>
  <c r="L34" i="37"/>
  <c r="AJ33" i="37"/>
  <c r="AI33" i="37"/>
  <c r="AH33" i="37"/>
  <c r="Y33" i="37"/>
  <c r="X33" i="37"/>
  <c r="W33" i="37"/>
  <c r="N33" i="37"/>
  <c r="M33" i="37"/>
  <c r="L33" i="37"/>
  <c r="AJ32" i="37"/>
  <c r="AI32" i="37"/>
  <c r="AH32" i="37"/>
  <c r="Y32" i="37"/>
  <c r="X32" i="37"/>
  <c r="W32" i="37"/>
  <c r="N32" i="37"/>
  <c r="M32" i="37"/>
  <c r="L32" i="37"/>
  <c r="AJ31" i="37"/>
  <c r="AI31" i="37"/>
  <c r="AH31" i="37"/>
  <c r="Y31" i="37"/>
  <c r="X31" i="37"/>
  <c r="W31" i="37"/>
  <c r="N31" i="37"/>
  <c r="M31" i="37"/>
  <c r="L31" i="37"/>
  <c r="AJ30" i="37"/>
  <c r="AI30" i="37"/>
  <c r="AH30" i="37"/>
  <c r="Y30" i="37"/>
  <c r="X30" i="37"/>
  <c r="W30" i="37"/>
  <c r="N30" i="37"/>
  <c r="M30" i="37"/>
  <c r="L30" i="37"/>
  <c r="AJ29" i="37"/>
  <c r="AI29" i="37"/>
  <c r="AH29" i="37"/>
  <c r="Y29" i="37"/>
  <c r="X29" i="37"/>
  <c r="W29" i="37"/>
  <c r="N29" i="37"/>
  <c r="M29" i="37"/>
  <c r="L29" i="37"/>
  <c r="AJ28" i="37"/>
  <c r="AI28" i="37"/>
  <c r="AH28" i="37"/>
  <c r="Y28" i="37"/>
  <c r="X28" i="37"/>
  <c r="W28" i="37"/>
  <c r="N28" i="37"/>
  <c r="M28" i="37"/>
  <c r="L28" i="37"/>
  <c r="AJ27" i="37"/>
  <c r="AI27" i="37"/>
  <c r="AH27" i="37"/>
  <c r="Y27" i="37"/>
  <c r="X27" i="37"/>
  <c r="W27" i="37"/>
  <c r="N27" i="37"/>
  <c r="M27" i="37"/>
  <c r="L27" i="37"/>
  <c r="AJ26" i="37"/>
  <c r="AI26" i="37"/>
  <c r="AH26" i="37"/>
  <c r="Y26" i="37"/>
  <c r="X26" i="37"/>
  <c r="W26" i="37"/>
  <c r="N26" i="37"/>
  <c r="M26" i="37"/>
  <c r="L26" i="37"/>
  <c r="AJ25" i="37"/>
  <c r="AI25" i="37"/>
  <c r="AH25" i="37"/>
  <c r="Y25" i="37"/>
  <c r="X25" i="37"/>
  <c r="W25" i="37"/>
  <c r="N25" i="37"/>
  <c r="M25" i="37"/>
  <c r="L25" i="37"/>
  <c r="AJ24" i="37"/>
  <c r="AI24" i="37"/>
  <c r="AH24" i="37"/>
  <c r="Y24" i="37"/>
  <c r="X24" i="37"/>
  <c r="W24" i="37"/>
  <c r="N24" i="37"/>
  <c r="M24" i="37"/>
  <c r="L24" i="37"/>
  <c r="AJ23" i="37"/>
  <c r="AI23" i="37"/>
  <c r="AH23" i="37"/>
  <c r="Y23" i="37"/>
  <c r="X23" i="37"/>
  <c r="W23" i="37"/>
  <c r="N23" i="37"/>
  <c r="M23" i="37"/>
  <c r="L23" i="37"/>
  <c r="AJ22" i="37"/>
  <c r="AI22" i="37"/>
  <c r="AH22" i="37"/>
  <c r="Y22" i="37"/>
  <c r="X22" i="37"/>
  <c r="W22" i="37"/>
  <c r="N22" i="37"/>
  <c r="M22" i="37"/>
  <c r="L22" i="37"/>
  <c r="AJ21" i="37"/>
  <c r="AI21" i="37"/>
  <c r="AH21" i="37"/>
  <c r="Y21" i="37"/>
  <c r="X21" i="37"/>
  <c r="W21" i="37"/>
  <c r="N21" i="37"/>
  <c r="M21" i="37"/>
  <c r="L21" i="37"/>
  <c r="AJ20" i="37"/>
  <c r="AI20" i="37"/>
  <c r="AH20" i="37"/>
  <c r="Y20" i="37"/>
  <c r="X20" i="37"/>
  <c r="W20" i="37"/>
  <c r="N20" i="37"/>
  <c r="M20" i="37"/>
  <c r="L20" i="37"/>
  <c r="AJ19" i="37"/>
  <c r="AI19" i="37"/>
  <c r="AH19" i="37"/>
  <c r="Y19" i="37"/>
  <c r="X19" i="37"/>
  <c r="W19" i="37"/>
  <c r="N19" i="37"/>
  <c r="M19" i="37"/>
  <c r="L19" i="37"/>
  <c r="AJ18" i="37"/>
  <c r="AI18" i="37"/>
  <c r="AH18" i="37"/>
  <c r="Y18" i="37"/>
  <c r="X18" i="37"/>
  <c r="W18" i="37"/>
  <c r="N18" i="37"/>
  <c r="M18" i="37"/>
  <c r="L18" i="37"/>
  <c r="AJ17" i="37"/>
  <c r="AI17" i="37"/>
  <c r="AH17" i="37"/>
  <c r="Y17" i="37"/>
  <c r="X17" i="37"/>
  <c r="W17" i="37"/>
  <c r="N17" i="37"/>
  <c r="M17" i="37"/>
  <c r="L17" i="37"/>
  <c r="AJ16" i="37"/>
  <c r="AI16" i="37"/>
  <c r="AH16" i="37"/>
  <c r="Y16" i="37"/>
  <c r="X16" i="37"/>
  <c r="W16" i="37"/>
  <c r="N16" i="37"/>
  <c r="M16" i="37"/>
  <c r="L16" i="37"/>
  <c r="AJ15" i="37"/>
  <c r="AI15" i="37"/>
  <c r="AH15" i="37"/>
  <c r="Y15" i="37"/>
  <c r="X15" i="37"/>
  <c r="W15" i="37"/>
  <c r="N15" i="37"/>
  <c r="M15" i="37"/>
  <c r="L15" i="37"/>
  <c r="AJ14" i="37"/>
  <c r="AI14" i="37"/>
  <c r="AH14" i="37"/>
  <c r="Y14" i="37"/>
  <c r="X14" i="37"/>
  <c r="W14" i="37"/>
  <c r="N14" i="37"/>
  <c r="M14" i="37"/>
  <c r="L14" i="37"/>
  <c r="AJ13" i="37"/>
  <c r="AI13" i="37"/>
  <c r="AH13" i="37"/>
  <c r="Y13" i="37"/>
  <c r="X13" i="37"/>
  <c r="W13" i="37"/>
  <c r="N13" i="37"/>
  <c r="M13" i="37"/>
  <c r="L13" i="37"/>
  <c r="AJ12" i="37"/>
  <c r="AI12" i="37"/>
  <c r="AH12" i="37"/>
  <c r="Y12" i="37"/>
  <c r="X12" i="37"/>
  <c r="W12" i="37"/>
  <c r="N12" i="37"/>
  <c r="M12" i="37"/>
  <c r="L12" i="37"/>
  <c r="AJ11" i="37"/>
  <c r="AI11" i="37"/>
  <c r="AH11" i="37"/>
  <c r="Y11" i="37"/>
  <c r="X11" i="37"/>
  <c r="W11" i="37"/>
  <c r="N11" i="37"/>
  <c r="M11" i="37"/>
  <c r="L11" i="37"/>
  <c r="AJ10" i="37"/>
  <c r="AI10" i="37"/>
  <c r="AH10" i="37"/>
  <c r="Y10" i="37"/>
  <c r="X10" i="37"/>
  <c r="W10" i="37"/>
  <c r="N10" i="37"/>
  <c r="M10" i="37"/>
  <c r="L10" i="37"/>
  <c r="AJ9" i="37"/>
  <c r="AI9" i="37"/>
  <c r="AH9" i="37"/>
  <c r="Y9" i="37"/>
  <c r="X9" i="37"/>
  <c r="W9" i="37"/>
  <c r="L9" i="37"/>
  <c r="M9" i="37" s="1"/>
  <c r="N9" i="37" s="1"/>
  <c r="AJ8" i="37"/>
  <c r="AI8" i="37"/>
  <c r="AH8" i="37"/>
  <c r="Y8" i="37"/>
  <c r="X8" i="37"/>
  <c r="W8" i="37"/>
  <c r="L8" i="37"/>
  <c r="M8" i="37" s="1"/>
  <c r="N8" i="37" s="1"/>
  <c r="AJ7" i="37"/>
  <c r="AI7" i="37"/>
  <c r="AH7" i="37"/>
  <c r="Y7" i="37"/>
  <c r="X7" i="37"/>
  <c r="W7" i="37"/>
  <c r="L7" i="37"/>
  <c r="M7" i="37" s="1"/>
  <c r="N7" i="37" s="1"/>
  <c r="AJ6" i="37"/>
  <c r="AI6" i="37"/>
  <c r="AH6" i="37"/>
  <c r="Y6" i="37"/>
  <c r="X6" i="37"/>
  <c r="W6" i="37"/>
  <c r="L6" i="37"/>
  <c r="M6" i="37" s="1"/>
  <c r="N6" i="37" s="1"/>
  <c r="AJ5" i="37"/>
  <c r="AI5" i="37"/>
  <c r="AH5" i="37"/>
  <c r="Y5" i="37"/>
  <c r="X5" i="37"/>
  <c r="W5" i="37"/>
  <c r="L5" i="37"/>
  <c r="M5" i="37" s="1"/>
  <c r="N5" i="37" s="1"/>
  <c r="AJ4" i="37"/>
  <c r="AI4" i="37"/>
  <c r="AH4" i="37"/>
  <c r="W4" i="37"/>
  <c r="X4" i="37" s="1"/>
  <c r="Y4" i="37" s="1"/>
  <c r="L4" i="37"/>
  <c r="M4" i="37" s="1"/>
  <c r="N4" i="37" s="1"/>
  <c r="AJ3" i="37"/>
  <c r="AJ1" i="37" s="1"/>
  <c r="AI3" i="37"/>
  <c r="AH3" i="37"/>
  <c r="W3" i="37"/>
  <c r="X3" i="37" s="1"/>
  <c r="Y3" i="37" s="1"/>
  <c r="L3" i="37"/>
  <c r="M3" i="37" s="1"/>
  <c r="N3" i="37" s="1"/>
  <c r="AA1" i="37" a="1"/>
  <c r="AA1" i="37" s="1"/>
  <c r="P1" i="37" a="1"/>
  <c r="P1" i="37" s="1"/>
  <c r="E1" i="37" a="1"/>
  <c r="E1" i="37" s="1"/>
  <c r="A1" i="37" a="1"/>
  <c r="A1" i="37" s="1"/>
  <c r="AJ49" i="36"/>
  <c r="AI49" i="36"/>
  <c r="AH49" i="36"/>
  <c r="Y49" i="36"/>
  <c r="X49" i="36"/>
  <c r="W49" i="36"/>
  <c r="N49" i="36"/>
  <c r="M49" i="36"/>
  <c r="L49" i="36"/>
  <c r="AJ48" i="36"/>
  <c r="AI48" i="36"/>
  <c r="AH48" i="36"/>
  <c r="Y48" i="36"/>
  <c r="X48" i="36"/>
  <c r="W48" i="36"/>
  <c r="N48" i="36"/>
  <c r="M48" i="36"/>
  <c r="L48" i="36"/>
  <c r="AJ47" i="36"/>
  <c r="AI47" i="36"/>
  <c r="AH47" i="36"/>
  <c r="Y47" i="36"/>
  <c r="X47" i="36"/>
  <c r="W47" i="36"/>
  <c r="N47" i="36"/>
  <c r="M47" i="36"/>
  <c r="L47" i="36"/>
  <c r="AJ46" i="36"/>
  <c r="AI46" i="36"/>
  <c r="AH46" i="36"/>
  <c r="Y46" i="36"/>
  <c r="X46" i="36"/>
  <c r="W46" i="36"/>
  <c r="N46" i="36"/>
  <c r="M46" i="36"/>
  <c r="L46" i="36"/>
  <c r="AJ45" i="36"/>
  <c r="AI45" i="36"/>
  <c r="AH45" i="36"/>
  <c r="Y45" i="36"/>
  <c r="X45" i="36"/>
  <c r="W45" i="36"/>
  <c r="N45" i="36"/>
  <c r="M45" i="36"/>
  <c r="L45" i="36"/>
  <c r="AJ44" i="36"/>
  <c r="AI44" i="36"/>
  <c r="AH44" i="36"/>
  <c r="Y44" i="36"/>
  <c r="X44" i="36"/>
  <c r="W44" i="36"/>
  <c r="N44" i="36"/>
  <c r="M44" i="36"/>
  <c r="L44" i="36"/>
  <c r="AJ43" i="36"/>
  <c r="AI43" i="36"/>
  <c r="AH43" i="36"/>
  <c r="Y43" i="36"/>
  <c r="X43" i="36"/>
  <c r="W43" i="36"/>
  <c r="N43" i="36"/>
  <c r="M43" i="36"/>
  <c r="L43" i="36"/>
  <c r="AJ42" i="36"/>
  <c r="AI42" i="36"/>
  <c r="AH42" i="36"/>
  <c r="Y42" i="36"/>
  <c r="X42" i="36"/>
  <c r="W42" i="36"/>
  <c r="N42" i="36"/>
  <c r="M42" i="36"/>
  <c r="L42" i="36"/>
  <c r="AJ41" i="36"/>
  <c r="AI41" i="36"/>
  <c r="AH41" i="36"/>
  <c r="Y41" i="36"/>
  <c r="X41" i="36"/>
  <c r="W41" i="36"/>
  <c r="N41" i="36"/>
  <c r="M41" i="36"/>
  <c r="L41" i="36"/>
  <c r="AJ40" i="36"/>
  <c r="AI40" i="36"/>
  <c r="AH40" i="36"/>
  <c r="Y40" i="36"/>
  <c r="X40" i="36"/>
  <c r="W40" i="36"/>
  <c r="N40" i="36"/>
  <c r="M40" i="36"/>
  <c r="L40" i="36"/>
  <c r="AJ39" i="36"/>
  <c r="AI39" i="36"/>
  <c r="AH39" i="36"/>
  <c r="Y39" i="36"/>
  <c r="X39" i="36"/>
  <c r="W39" i="36"/>
  <c r="N39" i="36"/>
  <c r="M39" i="36"/>
  <c r="L39" i="36"/>
  <c r="AJ38" i="36"/>
  <c r="AI38" i="36"/>
  <c r="AH38" i="36"/>
  <c r="Y38" i="36"/>
  <c r="X38" i="36"/>
  <c r="W38" i="36"/>
  <c r="N38" i="36"/>
  <c r="M38" i="36"/>
  <c r="L38" i="36"/>
  <c r="AJ37" i="36"/>
  <c r="AI37" i="36"/>
  <c r="AH37" i="36"/>
  <c r="Y37" i="36"/>
  <c r="X37" i="36"/>
  <c r="W37" i="36"/>
  <c r="N37" i="36"/>
  <c r="M37" i="36"/>
  <c r="L37" i="36"/>
  <c r="AJ36" i="36"/>
  <c r="AI36" i="36"/>
  <c r="AH36" i="36"/>
  <c r="Y36" i="36"/>
  <c r="X36" i="36"/>
  <c r="W36" i="36"/>
  <c r="N36" i="36"/>
  <c r="M36" i="36"/>
  <c r="L36" i="36"/>
  <c r="AJ35" i="36"/>
  <c r="AI35" i="36"/>
  <c r="AH35" i="36"/>
  <c r="Y35" i="36"/>
  <c r="X35" i="36"/>
  <c r="W35" i="36"/>
  <c r="N35" i="36"/>
  <c r="M35" i="36"/>
  <c r="L35" i="36"/>
  <c r="AJ34" i="36"/>
  <c r="AI34" i="36"/>
  <c r="AH34" i="36"/>
  <c r="Y34" i="36"/>
  <c r="X34" i="36"/>
  <c r="W34" i="36"/>
  <c r="N34" i="36"/>
  <c r="M34" i="36"/>
  <c r="L34" i="36"/>
  <c r="AJ33" i="36"/>
  <c r="AI33" i="36"/>
  <c r="AH33" i="36"/>
  <c r="Y33" i="36"/>
  <c r="X33" i="36"/>
  <c r="W33" i="36"/>
  <c r="N33" i="36"/>
  <c r="M33" i="36"/>
  <c r="L33" i="36"/>
  <c r="AJ32" i="36"/>
  <c r="AI32" i="36"/>
  <c r="AH32" i="36"/>
  <c r="Y32" i="36"/>
  <c r="X32" i="36"/>
  <c r="W32" i="36"/>
  <c r="N32" i="36"/>
  <c r="M32" i="36"/>
  <c r="L32" i="36"/>
  <c r="AJ31" i="36"/>
  <c r="AI31" i="36"/>
  <c r="AH31" i="36"/>
  <c r="Y31" i="36"/>
  <c r="X31" i="36"/>
  <c r="W31" i="36"/>
  <c r="N31" i="36"/>
  <c r="M31" i="36"/>
  <c r="L31" i="36"/>
  <c r="AJ30" i="36"/>
  <c r="AI30" i="36"/>
  <c r="AH30" i="36"/>
  <c r="Y30" i="36"/>
  <c r="X30" i="36"/>
  <c r="W30" i="36"/>
  <c r="N30" i="36"/>
  <c r="M30" i="36"/>
  <c r="L30" i="36"/>
  <c r="AJ29" i="36"/>
  <c r="AI29" i="36"/>
  <c r="AH29" i="36"/>
  <c r="Y29" i="36"/>
  <c r="X29" i="36"/>
  <c r="W29" i="36"/>
  <c r="N29" i="36"/>
  <c r="M29" i="36"/>
  <c r="L29" i="36"/>
  <c r="AJ28" i="36"/>
  <c r="AI28" i="36"/>
  <c r="AH28" i="36"/>
  <c r="Y28" i="36"/>
  <c r="X28" i="36"/>
  <c r="W28" i="36"/>
  <c r="N28" i="36"/>
  <c r="M28" i="36"/>
  <c r="L28" i="36"/>
  <c r="AJ27" i="36"/>
  <c r="AI27" i="36"/>
  <c r="AH27" i="36"/>
  <c r="Y27" i="36"/>
  <c r="X27" i="36"/>
  <c r="W27" i="36"/>
  <c r="N27" i="36"/>
  <c r="M27" i="36"/>
  <c r="L27" i="36"/>
  <c r="AJ26" i="36"/>
  <c r="AI26" i="36"/>
  <c r="AH26" i="36"/>
  <c r="Y26" i="36"/>
  <c r="X26" i="36"/>
  <c r="W26" i="36"/>
  <c r="N26" i="36"/>
  <c r="M26" i="36"/>
  <c r="L26" i="36"/>
  <c r="AJ25" i="36"/>
  <c r="AI25" i="36"/>
  <c r="AH25" i="36"/>
  <c r="Y25" i="36"/>
  <c r="X25" i="36"/>
  <c r="W25" i="36"/>
  <c r="N25" i="36"/>
  <c r="M25" i="36"/>
  <c r="L25" i="36"/>
  <c r="AJ24" i="36"/>
  <c r="AI24" i="36"/>
  <c r="AH24" i="36"/>
  <c r="Y24" i="36"/>
  <c r="X24" i="36"/>
  <c r="W24" i="36"/>
  <c r="N24" i="36"/>
  <c r="M24" i="36"/>
  <c r="L24" i="36"/>
  <c r="AJ23" i="36"/>
  <c r="AI23" i="36"/>
  <c r="AH23" i="36"/>
  <c r="Y23" i="36"/>
  <c r="X23" i="36"/>
  <c r="W23" i="36"/>
  <c r="N23" i="36"/>
  <c r="M23" i="36"/>
  <c r="L23" i="36"/>
  <c r="AJ22" i="36"/>
  <c r="AI22" i="36"/>
  <c r="AH22" i="36"/>
  <c r="Y22" i="36"/>
  <c r="X22" i="36"/>
  <c r="W22" i="36"/>
  <c r="N22" i="36"/>
  <c r="M22" i="36"/>
  <c r="L22" i="36"/>
  <c r="AJ21" i="36"/>
  <c r="AI21" i="36"/>
  <c r="AH21" i="36"/>
  <c r="Y21" i="36"/>
  <c r="X21" i="36"/>
  <c r="W21" i="36"/>
  <c r="N21" i="36"/>
  <c r="M21" i="36"/>
  <c r="L21" i="36"/>
  <c r="AJ20" i="36"/>
  <c r="AI20" i="36"/>
  <c r="AH20" i="36"/>
  <c r="Y20" i="36"/>
  <c r="X20" i="36"/>
  <c r="W20" i="36"/>
  <c r="N20" i="36"/>
  <c r="M20" i="36"/>
  <c r="L20" i="36"/>
  <c r="AJ19" i="36"/>
  <c r="AI19" i="36"/>
  <c r="AH19" i="36"/>
  <c r="Y19" i="36"/>
  <c r="X19" i="36"/>
  <c r="W19" i="36"/>
  <c r="N19" i="36"/>
  <c r="M19" i="36"/>
  <c r="L19" i="36"/>
  <c r="AJ18" i="36"/>
  <c r="AI18" i="36"/>
  <c r="AH18" i="36"/>
  <c r="Y18" i="36"/>
  <c r="X18" i="36"/>
  <c r="W18" i="36"/>
  <c r="N18" i="36"/>
  <c r="M18" i="36"/>
  <c r="L18" i="36"/>
  <c r="AJ17" i="36"/>
  <c r="AI17" i="36"/>
  <c r="AH17" i="36"/>
  <c r="Y17" i="36"/>
  <c r="X17" i="36"/>
  <c r="W17" i="36"/>
  <c r="N17" i="36"/>
  <c r="M17" i="36"/>
  <c r="L17" i="36"/>
  <c r="AJ16" i="36"/>
  <c r="AI16" i="36"/>
  <c r="AH16" i="36"/>
  <c r="Y16" i="36"/>
  <c r="X16" i="36"/>
  <c r="W16" i="36"/>
  <c r="N16" i="36"/>
  <c r="M16" i="36"/>
  <c r="L16" i="36"/>
  <c r="AJ15" i="36"/>
  <c r="AI15" i="36"/>
  <c r="AH15" i="36"/>
  <c r="Y15" i="36"/>
  <c r="X15" i="36"/>
  <c r="W15" i="36"/>
  <c r="L15" i="36"/>
  <c r="M15" i="36" s="1"/>
  <c r="N15" i="36" s="1"/>
  <c r="AJ14" i="36"/>
  <c r="AI14" i="36"/>
  <c r="AH14" i="36"/>
  <c r="Y14" i="36"/>
  <c r="X14" i="36"/>
  <c r="W14" i="36"/>
  <c r="M14" i="36"/>
  <c r="N14" i="36" s="1"/>
  <c r="L14" i="36"/>
  <c r="AJ13" i="36"/>
  <c r="AI13" i="36"/>
  <c r="AH13" i="36"/>
  <c r="Y13" i="36"/>
  <c r="X13" i="36"/>
  <c r="W13" i="36"/>
  <c r="L13" i="36"/>
  <c r="M13" i="36" s="1"/>
  <c r="N13" i="36" s="1"/>
  <c r="AJ12" i="36"/>
  <c r="AI12" i="36"/>
  <c r="AH12" i="36"/>
  <c r="Y12" i="36"/>
  <c r="X12" i="36"/>
  <c r="W12" i="36"/>
  <c r="L12" i="36"/>
  <c r="M12" i="36" s="1"/>
  <c r="N12" i="36" s="1"/>
  <c r="AJ11" i="36"/>
  <c r="AI11" i="36"/>
  <c r="AH11" i="36"/>
  <c r="Y11" i="36"/>
  <c r="X11" i="36"/>
  <c r="W11" i="36"/>
  <c r="L11" i="36"/>
  <c r="M11" i="36" s="1"/>
  <c r="N11" i="36" s="1"/>
  <c r="AJ10" i="36"/>
  <c r="AI10" i="36"/>
  <c r="AH10" i="36"/>
  <c r="Y10" i="36"/>
  <c r="X10" i="36"/>
  <c r="W10" i="36"/>
  <c r="L10" i="36"/>
  <c r="M10" i="36" s="1"/>
  <c r="N10" i="36" s="1"/>
  <c r="AJ9" i="36"/>
  <c r="AI9" i="36"/>
  <c r="AH9" i="36"/>
  <c r="Y9" i="36"/>
  <c r="X9" i="36"/>
  <c r="W9" i="36"/>
  <c r="L9" i="36"/>
  <c r="M9" i="36" s="1"/>
  <c r="N9" i="36" s="1"/>
  <c r="AJ8" i="36"/>
  <c r="AI8" i="36"/>
  <c r="AH8" i="36"/>
  <c r="Y8" i="36"/>
  <c r="X8" i="36"/>
  <c r="W8" i="36"/>
  <c r="L8" i="36"/>
  <c r="M8" i="36" s="1"/>
  <c r="N8" i="36" s="1"/>
  <c r="AJ7" i="36"/>
  <c r="AI7" i="36"/>
  <c r="AH7" i="36"/>
  <c r="Y7" i="36"/>
  <c r="X7" i="36"/>
  <c r="W7" i="36"/>
  <c r="L7" i="36"/>
  <c r="M7" i="36" s="1"/>
  <c r="N7" i="36" s="1"/>
  <c r="AJ6" i="36"/>
  <c r="AI6" i="36"/>
  <c r="AH6" i="36"/>
  <c r="Y6" i="36"/>
  <c r="X6" i="36"/>
  <c r="W6" i="36"/>
  <c r="L6" i="36"/>
  <c r="M6" i="36" s="1"/>
  <c r="N6" i="36" s="1"/>
  <c r="AJ5" i="36"/>
  <c r="AI5" i="36"/>
  <c r="AH5" i="36"/>
  <c r="Y5" i="36"/>
  <c r="X5" i="36"/>
  <c r="W5" i="36"/>
  <c r="L5" i="36"/>
  <c r="M5" i="36" s="1"/>
  <c r="N5" i="36" s="1"/>
  <c r="AJ4" i="36"/>
  <c r="AI4" i="36"/>
  <c r="AH4" i="36"/>
  <c r="W4" i="36"/>
  <c r="X4" i="36" s="1"/>
  <c r="Y4" i="36" s="1"/>
  <c r="L4" i="36"/>
  <c r="M4" i="36" s="1"/>
  <c r="N4" i="36" s="1"/>
  <c r="AJ3" i="36"/>
  <c r="AJ1" i="36" s="1"/>
  <c r="AI3" i="36"/>
  <c r="AH3" i="36"/>
  <c r="W3" i="36"/>
  <c r="X3" i="36" s="1"/>
  <c r="Y3" i="36" s="1"/>
  <c r="L3" i="36"/>
  <c r="M3" i="36" s="1"/>
  <c r="N3" i="36" s="1"/>
  <c r="AA1" i="36" a="1"/>
  <c r="AA1" i="36" s="1"/>
  <c r="P1" i="36" a="1"/>
  <c r="P1" i="36" s="1"/>
  <c r="E1" i="36" a="1"/>
  <c r="E1" i="36" s="1"/>
  <c r="A1" i="36" a="1"/>
  <c r="A1" i="36" s="1"/>
  <c r="AJ49" i="35"/>
  <c r="AI49" i="35"/>
  <c r="AH49" i="35"/>
  <c r="Y49" i="35"/>
  <c r="X49" i="35"/>
  <c r="W49" i="35"/>
  <c r="N49" i="35"/>
  <c r="M49" i="35"/>
  <c r="L49" i="35"/>
  <c r="AJ48" i="35"/>
  <c r="AI48" i="35"/>
  <c r="AH48" i="35"/>
  <c r="Y48" i="35"/>
  <c r="X48" i="35"/>
  <c r="W48" i="35"/>
  <c r="N48" i="35"/>
  <c r="M48" i="35"/>
  <c r="L48" i="35"/>
  <c r="AJ47" i="35"/>
  <c r="AI47" i="35"/>
  <c r="AH47" i="35"/>
  <c r="Y47" i="35"/>
  <c r="X47" i="35"/>
  <c r="W47" i="35"/>
  <c r="N47" i="35"/>
  <c r="M47" i="35"/>
  <c r="L47" i="35"/>
  <c r="AJ46" i="35"/>
  <c r="AI46" i="35"/>
  <c r="AH46" i="35"/>
  <c r="Y46" i="35"/>
  <c r="X46" i="35"/>
  <c r="W46" i="35"/>
  <c r="N46" i="35"/>
  <c r="M46" i="35"/>
  <c r="L46" i="35"/>
  <c r="AJ45" i="35"/>
  <c r="AI45" i="35"/>
  <c r="AH45" i="35"/>
  <c r="Y45" i="35"/>
  <c r="X45" i="35"/>
  <c r="W45" i="35"/>
  <c r="N45" i="35"/>
  <c r="M45" i="35"/>
  <c r="L45" i="35"/>
  <c r="AJ44" i="35"/>
  <c r="AI44" i="35"/>
  <c r="AH44" i="35"/>
  <c r="Y44" i="35"/>
  <c r="X44" i="35"/>
  <c r="W44" i="35"/>
  <c r="N44" i="35"/>
  <c r="M44" i="35"/>
  <c r="L44" i="35"/>
  <c r="AJ43" i="35"/>
  <c r="AI43" i="35"/>
  <c r="AH43" i="35"/>
  <c r="Y43" i="35"/>
  <c r="X43" i="35"/>
  <c r="W43" i="35"/>
  <c r="N43" i="35"/>
  <c r="M43" i="35"/>
  <c r="L43" i="35"/>
  <c r="AJ42" i="35"/>
  <c r="AI42" i="35"/>
  <c r="AH42" i="35"/>
  <c r="Y42" i="35"/>
  <c r="X42" i="35"/>
  <c r="W42" i="35"/>
  <c r="N42" i="35"/>
  <c r="M42" i="35"/>
  <c r="L42" i="35"/>
  <c r="AJ41" i="35"/>
  <c r="AI41" i="35"/>
  <c r="AH41" i="35"/>
  <c r="Y41" i="35"/>
  <c r="X41" i="35"/>
  <c r="W41" i="35"/>
  <c r="N41" i="35"/>
  <c r="M41" i="35"/>
  <c r="L41" i="35"/>
  <c r="AJ40" i="35"/>
  <c r="AI40" i="35"/>
  <c r="AH40" i="35"/>
  <c r="Y40" i="35"/>
  <c r="X40" i="35"/>
  <c r="W40" i="35"/>
  <c r="N40" i="35"/>
  <c r="M40" i="35"/>
  <c r="L40" i="35"/>
  <c r="AJ39" i="35"/>
  <c r="AI39" i="35"/>
  <c r="AH39" i="35"/>
  <c r="Y39" i="35"/>
  <c r="X39" i="35"/>
  <c r="W39" i="35"/>
  <c r="N39" i="35"/>
  <c r="M39" i="35"/>
  <c r="L39" i="35"/>
  <c r="AJ38" i="35"/>
  <c r="AI38" i="35"/>
  <c r="AH38" i="35"/>
  <c r="Y38" i="35"/>
  <c r="X38" i="35"/>
  <c r="W38" i="35"/>
  <c r="N38" i="35"/>
  <c r="M38" i="35"/>
  <c r="L38" i="35"/>
  <c r="AJ37" i="35"/>
  <c r="AI37" i="35"/>
  <c r="AH37" i="35"/>
  <c r="Y37" i="35"/>
  <c r="X37" i="35"/>
  <c r="W37" i="35"/>
  <c r="N37" i="35"/>
  <c r="M37" i="35"/>
  <c r="L37" i="35"/>
  <c r="AJ36" i="35"/>
  <c r="AI36" i="35"/>
  <c r="AH36" i="35"/>
  <c r="Y36" i="35"/>
  <c r="X36" i="35"/>
  <c r="W36" i="35"/>
  <c r="N36" i="35"/>
  <c r="M36" i="35"/>
  <c r="L36" i="35"/>
  <c r="AJ35" i="35"/>
  <c r="AI35" i="35"/>
  <c r="AH35" i="35"/>
  <c r="Y35" i="35"/>
  <c r="X35" i="35"/>
  <c r="W35" i="35"/>
  <c r="N35" i="35"/>
  <c r="M35" i="35"/>
  <c r="L35" i="35"/>
  <c r="AJ34" i="35"/>
  <c r="AI34" i="35"/>
  <c r="AH34" i="35"/>
  <c r="Y34" i="35"/>
  <c r="X34" i="35"/>
  <c r="W34" i="35"/>
  <c r="N34" i="35"/>
  <c r="M34" i="35"/>
  <c r="L34" i="35"/>
  <c r="AJ33" i="35"/>
  <c r="AI33" i="35"/>
  <c r="AH33" i="35"/>
  <c r="Y33" i="35"/>
  <c r="X33" i="35"/>
  <c r="W33" i="35"/>
  <c r="N33" i="35"/>
  <c r="M33" i="35"/>
  <c r="L33" i="35"/>
  <c r="AJ32" i="35"/>
  <c r="AI32" i="35"/>
  <c r="AH32" i="35"/>
  <c r="Y32" i="35"/>
  <c r="X32" i="35"/>
  <c r="W32" i="35"/>
  <c r="N32" i="35"/>
  <c r="M32" i="35"/>
  <c r="L32" i="35"/>
  <c r="AJ31" i="35"/>
  <c r="AI31" i="35"/>
  <c r="AH31" i="35"/>
  <c r="Y31" i="35"/>
  <c r="X31" i="35"/>
  <c r="W31" i="35"/>
  <c r="N31" i="35"/>
  <c r="M31" i="35"/>
  <c r="L31" i="35"/>
  <c r="AJ30" i="35"/>
  <c r="AI30" i="35"/>
  <c r="AH30" i="35"/>
  <c r="Y30" i="35"/>
  <c r="X30" i="35"/>
  <c r="W30" i="35"/>
  <c r="N30" i="35"/>
  <c r="M30" i="35"/>
  <c r="L30" i="35"/>
  <c r="AJ29" i="35"/>
  <c r="AI29" i="35"/>
  <c r="AH29" i="35"/>
  <c r="Y29" i="35"/>
  <c r="X29" i="35"/>
  <c r="W29" i="35"/>
  <c r="N29" i="35"/>
  <c r="M29" i="35"/>
  <c r="L29" i="35"/>
  <c r="AJ28" i="35"/>
  <c r="AI28" i="35"/>
  <c r="AH28" i="35"/>
  <c r="Y28" i="35"/>
  <c r="X28" i="35"/>
  <c r="W28" i="35"/>
  <c r="N28" i="35"/>
  <c r="M28" i="35"/>
  <c r="L28" i="35"/>
  <c r="AJ27" i="35"/>
  <c r="AI27" i="35"/>
  <c r="AH27" i="35"/>
  <c r="Y27" i="35"/>
  <c r="X27" i="35"/>
  <c r="W27" i="35"/>
  <c r="N27" i="35"/>
  <c r="M27" i="35"/>
  <c r="L27" i="35"/>
  <c r="AJ26" i="35"/>
  <c r="AI26" i="35"/>
  <c r="AH26" i="35"/>
  <c r="Y26" i="35"/>
  <c r="X26" i="35"/>
  <c r="W26" i="35"/>
  <c r="N26" i="35"/>
  <c r="M26" i="35"/>
  <c r="L26" i="35"/>
  <c r="AJ25" i="35"/>
  <c r="AI25" i="35"/>
  <c r="AH25" i="35"/>
  <c r="Y25" i="35"/>
  <c r="X25" i="35"/>
  <c r="W25" i="35"/>
  <c r="N25" i="35"/>
  <c r="M25" i="35"/>
  <c r="L25" i="35"/>
  <c r="AJ24" i="35"/>
  <c r="AI24" i="35"/>
  <c r="AH24" i="35"/>
  <c r="Y24" i="35"/>
  <c r="X24" i="35"/>
  <c r="W24" i="35"/>
  <c r="N24" i="35"/>
  <c r="M24" i="35"/>
  <c r="L24" i="35"/>
  <c r="AJ23" i="35"/>
  <c r="AI23" i="35"/>
  <c r="AH23" i="35"/>
  <c r="Y23" i="35"/>
  <c r="X23" i="35"/>
  <c r="W23" i="35"/>
  <c r="N23" i="35"/>
  <c r="M23" i="35"/>
  <c r="L23" i="35"/>
  <c r="AJ22" i="35"/>
  <c r="AI22" i="35"/>
  <c r="AH22" i="35"/>
  <c r="Y22" i="35"/>
  <c r="X22" i="35"/>
  <c r="W22" i="35"/>
  <c r="N22" i="35"/>
  <c r="M22" i="35"/>
  <c r="L22" i="35"/>
  <c r="AJ21" i="35"/>
  <c r="AI21" i="35"/>
  <c r="AH21" i="35"/>
  <c r="Y21" i="35"/>
  <c r="X21" i="35"/>
  <c r="W21" i="35"/>
  <c r="N21" i="35"/>
  <c r="M21" i="35"/>
  <c r="L21" i="35"/>
  <c r="AJ20" i="35"/>
  <c r="AI20" i="35"/>
  <c r="AH20" i="35"/>
  <c r="Y20" i="35"/>
  <c r="X20" i="35"/>
  <c r="W20" i="35"/>
  <c r="N20" i="35"/>
  <c r="M20" i="35"/>
  <c r="L20" i="35"/>
  <c r="AJ19" i="35"/>
  <c r="AI19" i="35"/>
  <c r="AH19" i="35"/>
  <c r="Y19" i="35"/>
  <c r="X19" i="35"/>
  <c r="W19" i="35"/>
  <c r="L19" i="35"/>
  <c r="M19" i="35" s="1"/>
  <c r="N19" i="35" s="1"/>
  <c r="AJ18" i="35"/>
  <c r="AI18" i="35"/>
  <c r="AH18" i="35"/>
  <c r="Y18" i="35"/>
  <c r="X18" i="35"/>
  <c r="W18" i="35"/>
  <c r="L18" i="35"/>
  <c r="M18" i="35" s="1"/>
  <c r="N18" i="35" s="1"/>
  <c r="AJ17" i="35"/>
  <c r="AI17" i="35"/>
  <c r="AH17" i="35"/>
  <c r="Y17" i="35"/>
  <c r="X17" i="35"/>
  <c r="W17" i="35"/>
  <c r="L17" i="35"/>
  <c r="M17" i="35" s="1"/>
  <c r="N17" i="35" s="1"/>
  <c r="AJ16" i="35"/>
  <c r="AI16" i="35"/>
  <c r="AH16" i="35"/>
  <c r="Y16" i="35"/>
  <c r="X16" i="35"/>
  <c r="W16" i="35"/>
  <c r="L16" i="35"/>
  <c r="M16" i="35" s="1"/>
  <c r="N16" i="35" s="1"/>
  <c r="AJ15" i="35"/>
  <c r="AI15" i="35"/>
  <c r="AH15" i="35"/>
  <c r="Y15" i="35"/>
  <c r="X15" i="35"/>
  <c r="W15" i="35"/>
  <c r="L15" i="35"/>
  <c r="M15" i="35" s="1"/>
  <c r="N15" i="35" s="1"/>
  <c r="AJ14" i="35"/>
  <c r="AI14" i="35"/>
  <c r="AH14" i="35"/>
  <c r="Y14" i="35"/>
  <c r="X14" i="35"/>
  <c r="W14" i="35"/>
  <c r="L14" i="35"/>
  <c r="M14" i="35" s="1"/>
  <c r="N14" i="35" s="1"/>
  <c r="AJ13" i="35"/>
  <c r="AI13" i="35"/>
  <c r="AH13" i="35"/>
  <c r="Y13" i="35"/>
  <c r="X13" i="35"/>
  <c r="W13" i="35"/>
  <c r="L13" i="35"/>
  <c r="M13" i="35" s="1"/>
  <c r="N13" i="35" s="1"/>
  <c r="AJ12" i="35"/>
  <c r="AI12" i="35"/>
  <c r="AH12" i="35"/>
  <c r="Y12" i="35"/>
  <c r="X12" i="35"/>
  <c r="W12" i="35"/>
  <c r="L12" i="35"/>
  <c r="M12" i="35" s="1"/>
  <c r="N12" i="35" s="1"/>
  <c r="AJ11" i="35"/>
  <c r="AI11" i="35"/>
  <c r="AH11" i="35"/>
  <c r="Y11" i="35"/>
  <c r="X11" i="35"/>
  <c r="W11" i="35"/>
  <c r="L11" i="35"/>
  <c r="M11" i="35" s="1"/>
  <c r="N11" i="35" s="1"/>
  <c r="AJ10" i="35"/>
  <c r="AI10" i="35"/>
  <c r="AH10" i="35"/>
  <c r="Y10" i="35"/>
  <c r="X10" i="35"/>
  <c r="W10" i="35"/>
  <c r="L10" i="35"/>
  <c r="M10" i="35" s="1"/>
  <c r="N10" i="35" s="1"/>
  <c r="AJ9" i="35"/>
  <c r="AI9" i="35"/>
  <c r="AH9" i="35"/>
  <c r="Y9" i="35"/>
  <c r="X9" i="35"/>
  <c r="W9" i="35"/>
  <c r="L9" i="35"/>
  <c r="M9" i="35" s="1"/>
  <c r="N9" i="35" s="1"/>
  <c r="AJ8" i="35"/>
  <c r="AI8" i="35"/>
  <c r="AH8" i="35"/>
  <c r="Y8" i="35"/>
  <c r="X8" i="35"/>
  <c r="W8" i="35"/>
  <c r="L8" i="35"/>
  <c r="M8" i="35" s="1"/>
  <c r="N8" i="35" s="1"/>
  <c r="AJ7" i="35"/>
  <c r="AI7" i="35"/>
  <c r="AH7" i="35"/>
  <c r="Y7" i="35"/>
  <c r="X7" i="35"/>
  <c r="W7" i="35"/>
  <c r="L7" i="35"/>
  <c r="M7" i="35" s="1"/>
  <c r="N7" i="35" s="1"/>
  <c r="AJ6" i="35"/>
  <c r="AI6" i="35"/>
  <c r="AH6" i="35"/>
  <c r="Y6" i="35"/>
  <c r="X6" i="35"/>
  <c r="W6" i="35"/>
  <c r="L6" i="35"/>
  <c r="M6" i="35" s="1"/>
  <c r="N6" i="35" s="1"/>
  <c r="AJ5" i="35"/>
  <c r="AI5" i="35"/>
  <c r="AH5" i="35"/>
  <c r="Y5" i="35"/>
  <c r="X5" i="35"/>
  <c r="W5" i="35"/>
  <c r="L5" i="35"/>
  <c r="M5" i="35" s="1"/>
  <c r="N5" i="35" s="1"/>
  <c r="AJ4" i="35"/>
  <c r="AI4" i="35"/>
  <c r="AH4" i="35"/>
  <c r="Y4" i="35"/>
  <c r="X4" i="35"/>
  <c r="W4" i="35"/>
  <c r="L4" i="35"/>
  <c r="M4" i="35" s="1"/>
  <c r="N4" i="35" s="1"/>
  <c r="AJ3" i="35"/>
  <c r="AJ1" i="35" s="1"/>
  <c r="AI3" i="35"/>
  <c r="AH3" i="35"/>
  <c r="W3" i="35"/>
  <c r="X3" i="35" s="1"/>
  <c r="Y3" i="35" s="1"/>
  <c r="L3" i="35"/>
  <c r="M3" i="35" s="1"/>
  <c r="N3" i="35" s="1"/>
  <c r="AA1" i="35" a="1"/>
  <c r="AA1" i="35" s="1"/>
  <c r="P1" i="35" a="1"/>
  <c r="P1" i="35" s="1"/>
  <c r="E1" i="35" a="1"/>
  <c r="E1" i="35" s="1"/>
  <c r="A1" i="35" a="1"/>
  <c r="A1" i="35" s="1"/>
  <c r="AJ49" i="34"/>
  <c r="AI49" i="34"/>
  <c r="AH49" i="34"/>
  <c r="Y49" i="34"/>
  <c r="X49" i="34"/>
  <c r="W49" i="34"/>
  <c r="N49" i="34"/>
  <c r="M49" i="34"/>
  <c r="L49" i="34"/>
  <c r="AJ48" i="34"/>
  <c r="AI48" i="34"/>
  <c r="AH48" i="34"/>
  <c r="Y48" i="34"/>
  <c r="X48" i="34"/>
  <c r="W48" i="34"/>
  <c r="N48" i="34"/>
  <c r="M48" i="34"/>
  <c r="L48" i="34"/>
  <c r="AJ47" i="34"/>
  <c r="AI47" i="34"/>
  <c r="AH47" i="34"/>
  <c r="Y47" i="34"/>
  <c r="X47" i="34"/>
  <c r="W47" i="34"/>
  <c r="N47" i="34"/>
  <c r="M47" i="34"/>
  <c r="L47" i="34"/>
  <c r="AJ46" i="34"/>
  <c r="AI46" i="34"/>
  <c r="AH46" i="34"/>
  <c r="Y46" i="34"/>
  <c r="X46" i="34"/>
  <c r="W46" i="34"/>
  <c r="N46" i="34"/>
  <c r="M46" i="34"/>
  <c r="L46" i="34"/>
  <c r="AJ45" i="34"/>
  <c r="AI45" i="34"/>
  <c r="AH45" i="34"/>
  <c r="Y45" i="34"/>
  <c r="X45" i="34"/>
  <c r="W45" i="34"/>
  <c r="N45" i="34"/>
  <c r="M45" i="34"/>
  <c r="L45" i="34"/>
  <c r="AJ44" i="34"/>
  <c r="AI44" i="34"/>
  <c r="AH44" i="34"/>
  <c r="Y44" i="34"/>
  <c r="X44" i="34"/>
  <c r="W44" i="34"/>
  <c r="N44" i="34"/>
  <c r="M44" i="34"/>
  <c r="L44" i="34"/>
  <c r="AJ43" i="34"/>
  <c r="AI43" i="34"/>
  <c r="AH43" i="34"/>
  <c r="Y43" i="34"/>
  <c r="X43" i="34"/>
  <c r="W43" i="34"/>
  <c r="N43" i="34"/>
  <c r="M43" i="34"/>
  <c r="L43" i="34"/>
  <c r="AJ42" i="34"/>
  <c r="AI42" i="34"/>
  <c r="AH42" i="34"/>
  <c r="Y42" i="34"/>
  <c r="X42" i="34"/>
  <c r="W42" i="34"/>
  <c r="N42" i="34"/>
  <c r="M42" i="34"/>
  <c r="L42" i="34"/>
  <c r="AJ41" i="34"/>
  <c r="AI41" i="34"/>
  <c r="AH41" i="34"/>
  <c r="Y41" i="34"/>
  <c r="X41" i="34"/>
  <c r="W41" i="34"/>
  <c r="N41" i="34"/>
  <c r="M41" i="34"/>
  <c r="L41" i="34"/>
  <c r="AJ40" i="34"/>
  <c r="AI40" i="34"/>
  <c r="AH40" i="34"/>
  <c r="Y40" i="34"/>
  <c r="X40" i="34"/>
  <c r="W40" i="34"/>
  <c r="N40" i="34"/>
  <c r="M40" i="34"/>
  <c r="L40" i="34"/>
  <c r="AJ39" i="34"/>
  <c r="AI39" i="34"/>
  <c r="AH39" i="34"/>
  <c r="Y39" i="34"/>
  <c r="X39" i="34"/>
  <c r="W39" i="34"/>
  <c r="N39" i="34"/>
  <c r="M39" i="34"/>
  <c r="L39" i="34"/>
  <c r="AJ38" i="34"/>
  <c r="AI38" i="34"/>
  <c r="AH38" i="34"/>
  <c r="Y38" i="34"/>
  <c r="X38" i="34"/>
  <c r="W38" i="34"/>
  <c r="N38" i="34"/>
  <c r="M38" i="34"/>
  <c r="L38" i="34"/>
  <c r="AJ37" i="34"/>
  <c r="AI37" i="34"/>
  <c r="AH37" i="34"/>
  <c r="Y37" i="34"/>
  <c r="X37" i="34"/>
  <c r="W37" i="34"/>
  <c r="N37" i="34"/>
  <c r="M37" i="34"/>
  <c r="L37" i="34"/>
  <c r="AJ36" i="34"/>
  <c r="AI36" i="34"/>
  <c r="AH36" i="34"/>
  <c r="Y36" i="34"/>
  <c r="X36" i="34"/>
  <c r="W36" i="34"/>
  <c r="N36" i="34"/>
  <c r="M36" i="34"/>
  <c r="L36" i="34"/>
  <c r="AJ35" i="34"/>
  <c r="AI35" i="34"/>
  <c r="AH35" i="34"/>
  <c r="Y35" i="34"/>
  <c r="X35" i="34"/>
  <c r="W35" i="34"/>
  <c r="N35" i="34"/>
  <c r="M35" i="34"/>
  <c r="L35" i="34"/>
  <c r="AJ34" i="34"/>
  <c r="AI34" i="34"/>
  <c r="AH34" i="34"/>
  <c r="Y34" i="34"/>
  <c r="X34" i="34"/>
  <c r="W34" i="34"/>
  <c r="N34" i="34"/>
  <c r="M34" i="34"/>
  <c r="L34" i="34"/>
  <c r="AJ33" i="34"/>
  <c r="AI33" i="34"/>
  <c r="AH33" i="34"/>
  <c r="Y33" i="34"/>
  <c r="X33" i="34"/>
  <c r="W33" i="34"/>
  <c r="N33" i="34"/>
  <c r="M33" i="34"/>
  <c r="L33" i="34"/>
  <c r="AJ32" i="34"/>
  <c r="AI32" i="34"/>
  <c r="AH32" i="34"/>
  <c r="Y32" i="34"/>
  <c r="X32" i="34"/>
  <c r="W32" i="34"/>
  <c r="N32" i="34"/>
  <c r="M32" i="34"/>
  <c r="L32" i="34"/>
  <c r="AJ31" i="34"/>
  <c r="AI31" i="34"/>
  <c r="AH31" i="34"/>
  <c r="Y31" i="34"/>
  <c r="X31" i="34"/>
  <c r="W31" i="34"/>
  <c r="N31" i="34"/>
  <c r="M31" i="34"/>
  <c r="L31" i="34"/>
  <c r="AJ30" i="34"/>
  <c r="AI30" i="34"/>
  <c r="AH30" i="34"/>
  <c r="Y30" i="34"/>
  <c r="X30" i="34"/>
  <c r="W30" i="34"/>
  <c r="N30" i="34"/>
  <c r="M30" i="34"/>
  <c r="L30" i="34"/>
  <c r="AJ29" i="34"/>
  <c r="AI29" i="34"/>
  <c r="AH29" i="34"/>
  <c r="Y29" i="34"/>
  <c r="X29" i="34"/>
  <c r="W29" i="34"/>
  <c r="N29" i="34"/>
  <c r="M29" i="34"/>
  <c r="L29" i="34"/>
  <c r="AJ28" i="34"/>
  <c r="AI28" i="34"/>
  <c r="AH28" i="34"/>
  <c r="Y28" i="34"/>
  <c r="X28" i="34"/>
  <c r="W28" i="34"/>
  <c r="N28" i="34"/>
  <c r="M28" i="34"/>
  <c r="L28" i="34"/>
  <c r="AJ27" i="34"/>
  <c r="AI27" i="34"/>
  <c r="AH27" i="34"/>
  <c r="Y27" i="34"/>
  <c r="X27" i="34"/>
  <c r="W27" i="34"/>
  <c r="N27" i="34"/>
  <c r="M27" i="34"/>
  <c r="L27" i="34"/>
  <c r="AJ26" i="34"/>
  <c r="AI26" i="34"/>
  <c r="AH26" i="34"/>
  <c r="Y26" i="34"/>
  <c r="X26" i="34"/>
  <c r="W26" i="34"/>
  <c r="N26" i="34"/>
  <c r="M26" i="34"/>
  <c r="L26" i="34"/>
  <c r="AJ25" i="34"/>
  <c r="AI25" i="34"/>
  <c r="AH25" i="34"/>
  <c r="Y25" i="34"/>
  <c r="X25" i="34"/>
  <c r="W25" i="34"/>
  <c r="N25" i="34"/>
  <c r="M25" i="34"/>
  <c r="L25" i="34"/>
  <c r="AJ24" i="34"/>
  <c r="AI24" i="34"/>
  <c r="AH24" i="34"/>
  <c r="Y24" i="34"/>
  <c r="X24" i="34"/>
  <c r="W24" i="34"/>
  <c r="N24" i="34"/>
  <c r="M24" i="34"/>
  <c r="L24" i="34"/>
  <c r="AJ23" i="34"/>
  <c r="AI23" i="34"/>
  <c r="AH23" i="34"/>
  <c r="Y23" i="34"/>
  <c r="X23" i="34"/>
  <c r="W23" i="34"/>
  <c r="N23" i="34"/>
  <c r="M23" i="34"/>
  <c r="L23" i="34"/>
  <c r="AJ22" i="34"/>
  <c r="AI22" i="34"/>
  <c r="AH22" i="34"/>
  <c r="Y22" i="34"/>
  <c r="X22" i="34"/>
  <c r="W22" i="34"/>
  <c r="N22" i="34"/>
  <c r="M22" i="34"/>
  <c r="L22" i="34"/>
  <c r="AJ21" i="34"/>
  <c r="AI21" i="34"/>
  <c r="AH21" i="34"/>
  <c r="Y21" i="34"/>
  <c r="X21" i="34"/>
  <c r="W21" i="34"/>
  <c r="N21" i="34"/>
  <c r="M21" i="34"/>
  <c r="L21" i="34"/>
  <c r="AJ20" i="34"/>
  <c r="AI20" i="34"/>
  <c r="AH20" i="34"/>
  <c r="Y20" i="34"/>
  <c r="X20" i="34"/>
  <c r="W20" i="34"/>
  <c r="N20" i="34"/>
  <c r="M20" i="34"/>
  <c r="L20" i="34"/>
  <c r="AJ19" i="34"/>
  <c r="AI19" i="34"/>
  <c r="AH19" i="34"/>
  <c r="Y19" i="34"/>
  <c r="X19" i="34"/>
  <c r="W19" i="34"/>
  <c r="N19" i="34"/>
  <c r="M19" i="34"/>
  <c r="L19" i="34"/>
  <c r="AJ18" i="34"/>
  <c r="AI18" i="34"/>
  <c r="AH18" i="34"/>
  <c r="Y18" i="34"/>
  <c r="X18" i="34"/>
  <c r="W18" i="34"/>
  <c r="N18" i="34"/>
  <c r="M18" i="34"/>
  <c r="L18" i="34"/>
  <c r="AJ17" i="34"/>
  <c r="AI17" i="34"/>
  <c r="AH17" i="34"/>
  <c r="Y17" i="34"/>
  <c r="X17" i="34"/>
  <c r="W17" i="34"/>
  <c r="N17" i="34"/>
  <c r="M17" i="34"/>
  <c r="L17" i="34"/>
  <c r="AJ16" i="34"/>
  <c r="AI16" i="34"/>
  <c r="AH16" i="34"/>
  <c r="Y16" i="34"/>
  <c r="X16" i="34"/>
  <c r="W16" i="34"/>
  <c r="N16" i="34"/>
  <c r="M16" i="34"/>
  <c r="L16" i="34"/>
  <c r="AJ15" i="34"/>
  <c r="AI15" i="34"/>
  <c r="AH15" i="34"/>
  <c r="Y15" i="34"/>
  <c r="X15" i="34"/>
  <c r="W15" i="34"/>
  <c r="N15" i="34"/>
  <c r="M15" i="34"/>
  <c r="L15" i="34"/>
  <c r="AJ14" i="34"/>
  <c r="AI14" i="34"/>
  <c r="AH14" i="34"/>
  <c r="Y14" i="34"/>
  <c r="X14" i="34"/>
  <c r="W14" i="34"/>
  <c r="N14" i="34"/>
  <c r="M14" i="34"/>
  <c r="L14" i="34"/>
  <c r="AJ13" i="34"/>
  <c r="AI13" i="34"/>
  <c r="AH13" i="34"/>
  <c r="Y13" i="34"/>
  <c r="X13" i="34"/>
  <c r="W13" i="34"/>
  <c r="N13" i="34"/>
  <c r="M13" i="34"/>
  <c r="L13" i="34"/>
  <c r="AJ12" i="34"/>
  <c r="AI12" i="34"/>
  <c r="AH12" i="34"/>
  <c r="Y12" i="34"/>
  <c r="X12" i="34"/>
  <c r="W12" i="34"/>
  <c r="N12" i="34"/>
  <c r="M12" i="34"/>
  <c r="L12" i="34"/>
  <c r="AJ11" i="34"/>
  <c r="AI11" i="34"/>
  <c r="AH11" i="34"/>
  <c r="Y11" i="34"/>
  <c r="X11" i="34"/>
  <c r="W11" i="34"/>
  <c r="N11" i="34"/>
  <c r="M11" i="34"/>
  <c r="L11" i="34"/>
  <c r="AJ10" i="34"/>
  <c r="AI10" i="34"/>
  <c r="AH10" i="34"/>
  <c r="Y10" i="34"/>
  <c r="X10" i="34"/>
  <c r="W10" i="34"/>
  <c r="N10" i="34"/>
  <c r="M10" i="34"/>
  <c r="L10" i="34"/>
  <c r="AJ9" i="34"/>
  <c r="AI9" i="34"/>
  <c r="AH9" i="34"/>
  <c r="Y9" i="34"/>
  <c r="X9" i="34"/>
  <c r="W9" i="34"/>
  <c r="N9" i="34"/>
  <c r="M9" i="34"/>
  <c r="L9" i="34"/>
  <c r="AJ8" i="34"/>
  <c r="AI8" i="34"/>
  <c r="AH8" i="34"/>
  <c r="Y8" i="34"/>
  <c r="X8" i="34"/>
  <c r="W8" i="34"/>
  <c r="N8" i="34"/>
  <c r="M8" i="34"/>
  <c r="L8" i="34"/>
  <c r="AJ7" i="34"/>
  <c r="AI7" i="34"/>
  <c r="AH7" i="34"/>
  <c r="Y7" i="34"/>
  <c r="X7" i="34"/>
  <c r="W7" i="34"/>
  <c r="N7" i="34"/>
  <c r="M7" i="34"/>
  <c r="L7" i="34"/>
  <c r="AJ6" i="34"/>
  <c r="AI6" i="34"/>
  <c r="AH6" i="34"/>
  <c r="Y6" i="34"/>
  <c r="X6" i="34"/>
  <c r="W6" i="34"/>
  <c r="N6" i="34"/>
  <c r="M6" i="34"/>
  <c r="L6" i="34"/>
  <c r="AJ5" i="34"/>
  <c r="AI5" i="34"/>
  <c r="AH5" i="34"/>
  <c r="Y5" i="34"/>
  <c r="X5" i="34"/>
  <c r="W5" i="34"/>
  <c r="N5" i="34"/>
  <c r="M5" i="34"/>
  <c r="L5" i="34"/>
  <c r="AI4" i="34"/>
  <c r="AJ4" i="34" s="1"/>
  <c r="AH4" i="34"/>
  <c r="W4" i="34"/>
  <c r="X4" i="34" s="1"/>
  <c r="Y4" i="34" s="1"/>
  <c r="N4" i="34"/>
  <c r="N1" i="34" s="1"/>
  <c r="M4" i="34"/>
  <c r="L4" i="34"/>
  <c r="AI3" i="34"/>
  <c r="AJ3" i="34" s="1"/>
  <c r="AH3" i="34"/>
  <c r="W3" i="34"/>
  <c r="X3" i="34" s="1"/>
  <c r="Y3" i="34" s="1"/>
  <c r="N3" i="34"/>
  <c r="M3" i="34"/>
  <c r="L3" i="34"/>
  <c r="AA1" i="34" a="1"/>
  <c r="AA1" i="34" s="1"/>
  <c r="P1" i="34" a="1"/>
  <c r="P1" i="34" s="1"/>
  <c r="E1" i="34" a="1"/>
  <c r="E1" i="34" s="1"/>
  <c r="A1" i="34" a="1"/>
  <c r="A1" i="34" s="1"/>
  <c r="AJ49" i="33"/>
  <c r="AI49" i="33"/>
  <c r="AH49" i="33"/>
  <c r="Y49" i="33"/>
  <c r="X49" i="33"/>
  <c r="W49" i="33"/>
  <c r="N49" i="33"/>
  <c r="M49" i="33"/>
  <c r="L49" i="33"/>
  <c r="AJ48" i="33"/>
  <c r="AI48" i="33"/>
  <c r="AH48" i="33"/>
  <c r="Y48" i="33"/>
  <c r="X48" i="33"/>
  <c r="W48" i="33"/>
  <c r="N48" i="33"/>
  <c r="L48" i="33"/>
  <c r="M48" i="33" s="1"/>
  <c r="AJ47" i="33"/>
  <c r="AI47" i="33"/>
  <c r="AH47" i="33"/>
  <c r="Y47" i="33"/>
  <c r="X47" i="33"/>
  <c r="W47" i="33"/>
  <c r="N47" i="33"/>
  <c r="L47" i="33"/>
  <c r="M47" i="33" s="1"/>
  <c r="AJ46" i="33"/>
  <c r="AI46" i="33"/>
  <c r="AH46" i="33"/>
  <c r="Y46" i="33"/>
  <c r="X46" i="33"/>
  <c r="W46" i="33"/>
  <c r="N46" i="33"/>
  <c r="L46" i="33"/>
  <c r="M46" i="33" s="1"/>
  <c r="AJ45" i="33"/>
  <c r="AI45" i="33"/>
  <c r="AH45" i="33"/>
  <c r="Y45" i="33"/>
  <c r="X45" i="33"/>
  <c r="W45" i="33"/>
  <c r="N45" i="33"/>
  <c r="L45" i="33"/>
  <c r="M45" i="33" s="1"/>
  <c r="AJ44" i="33"/>
  <c r="AI44" i="33"/>
  <c r="AH44" i="33"/>
  <c r="Y44" i="33"/>
  <c r="X44" i="33"/>
  <c r="W44" i="33"/>
  <c r="N44" i="33"/>
  <c r="L44" i="33"/>
  <c r="M44" i="33" s="1"/>
  <c r="AJ43" i="33"/>
  <c r="AI43" i="33"/>
  <c r="AH43" i="33"/>
  <c r="Y43" i="33"/>
  <c r="X43" i="33"/>
  <c r="W43" i="33"/>
  <c r="N43" i="33"/>
  <c r="L43" i="33"/>
  <c r="M43" i="33" s="1"/>
  <c r="AJ42" i="33"/>
  <c r="AI42" i="33"/>
  <c r="AH42" i="33"/>
  <c r="Y42" i="33"/>
  <c r="X42" i="33"/>
  <c r="W42" i="33"/>
  <c r="N42" i="33"/>
  <c r="L42" i="33"/>
  <c r="M42" i="33" s="1"/>
  <c r="AJ41" i="33"/>
  <c r="AI41" i="33"/>
  <c r="AH41" i="33"/>
  <c r="Y41" i="33"/>
  <c r="X41" i="33"/>
  <c r="W41" i="33"/>
  <c r="N41" i="33"/>
  <c r="L41" i="33"/>
  <c r="M41" i="33" s="1"/>
  <c r="AJ40" i="33"/>
  <c r="AI40" i="33"/>
  <c r="AH40" i="33"/>
  <c r="Y40" i="33"/>
  <c r="X40" i="33"/>
  <c r="W40" i="33"/>
  <c r="N40" i="33"/>
  <c r="L40" i="33"/>
  <c r="M40" i="33" s="1"/>
  <c r="AJ39" i="33"/>
  <c r="AI39" i="33"/>
  <c r="AH39" i="33"/>
  <c r="Y39" i="33"/>
  <c r="X39" i="33"/>
  <c r="W39" i="33"/>
  <c r="N39" i="33"/>
  <c r="L39" i="33"/>
  <c r="M39" i="33" s="1"/>
  <c r="AJ38" i="33"/>
  <c r="AI38" i="33"/>
  <c r="AH38" i="33"/>
  <c r="Y38" i="33"/>
  <c r="X38" i="33"/>
  <c r="W38" i="33"/>
  <c r="N38" i="33"/>
  <c r="L38" i="33"/>
  <c r="M38" i="33" s="1"/>
  <c r="AJ37" i="33"/>
  <c r="AI37" i="33"/>
  <c r="AH37" i="33"/>
  <c r="Y37" i="33"/>
  <c r="X37" i="33"/>
  <c r="W37" i="33"/>
  <c r="N37" i="33"/>
  <c r="L37" i="33"/>
  <c r="M37" i="33" s="1"/>
  <c r="AJ36" i="33"/>
  <c r="AI36" i="33"/>
  <c r="AH36" i="33"/>
  <c r="Y36" i="33"/>
  <c r="X36" i="33"/>
  <c r="W36" i="33"/>
  <c r="N36" i="33"/>
  <c r="L36" i="33"/>
  <c r="M36" i="33" s="1"/>
  <c r="AJ35" i="33"/>
  <c r="AI35" i="33"/>
  <c r="AH35" i="33"/>
  <c r="Y35" i="33"/>
  <c r="X35" i="33"/>
  <c r="W35" i="33"/>
  <c r="N35" i="33"/>
  <c r="L35" i="33"/>
  <c r="M35" i="33" s="1"/>
  <c r="AJ34" i="33"/>
  <c r="AI34" i="33"/>
  <c r="AH34" i="33"/>
  <c r="Y34" i="33"/>
  <c r="X34" i="33"/>
  <c r="W34" i="33"/>
  <c r="N34" i="33"/>
  <c r="L34" i="33"/>
  <c r="M34" i="33" s="1"/>
  <c r="AJ33" i="33"/>
  <c r="AI33" i="33"/>
  <c r="AH33" i="33"/>
  <c r="Y33" i="33"/>
  <c r="X33" i="33"/>
  <c r="W33" i="33"/>
  <c r="N33" i="33"/>
  <c r="L33" i="33"/>
  <c r="M33" i="33" s="1"/>
  <c r="AJ32" i="33"/>
  <c r="AI32" i="33"/>
  <c r="AH32" i="33"/>
  <c r="Y32" i="33"/>
  <c r="X32" i="33"/>
  <c r="W32" i="33"/>
  <c r="N32" i="33"/>
  <c r="L32" i="33"/>
  <c r="M32" i="33" s="1"/>
  <c r="AJ31" i="33"/>
  <c r="AI31" i="33"/>
  <c r="AH31" i="33"/>
  <c r="Y31" i="33"/>
  <c r="X31" i="33"/>
  <c r="W31" i="33"/>
  <c r="N31" i="33"/>
  <c r="L31" i="33"/>
  <c r="M31" i="33" s="1"/>
  <c r="AJ30" i="33"/>
  <c r="AI30" i="33"/>
  <c r="AH30" i="33"/>
  <c r="Y30" i="33"/>
  <c r="X30" i="33"/>
  <c r="W30" i="33"/>
  <c r="N30" i="33"/>
  <c r="L30" i="33"/>
  <c r="M30" i="33" s="1"/>
  <c r="AJ29" i="33"/>
  <c r="AI29" i="33"/>
  <c r="AH29" i="33"/>
  <c r="Y29" i="33"/>
  <c r="X29" i="33"/>
  <c r="W29" i="33"/>
  <c r="N29" i="33"/>
  <c r="L29" i="33"/>
  <c r="M29" i="33" s="1"/>
  <c r="AJ28" i="33"/>
  <c r="AI28" i="33"/>
  <c r="AH28" i="33"/>
  <c r="Y28" i="33"/>
  <c r="X28" i="33"/>
  <c r="W28" i="33"/>
  <c r="N28" i="33"/>
  <c r="L28" i="33"/>
  <c r="M28" i="33" s="1"/>
  <c r="AJ27" i="33"/>
  <c r="AI27" i="33"/>
  <c r="AH27" i="33"/>
  <c r="Y27" i="33"/>
  <c r="X27" i="33"/>
  <c r="W27" i="33"/>
  <c r="N27" i="33"/>
  <c r="L27" i="33"/>
  <c r="M27" i="33" s="1"/>
  <c r="AJ26" i="33"/>
  <c r="AI26" i="33"/>
  <c r="AH26" i="33"/>
  <c r="Y26" i="33"/>
  <c r="X26" i="33"/>
  <c r="W26" i="33"/>
  <c r="N26" i="33"/>
  <c r="L26" i="33"/>
  <c r="M26" i="33" s="1"/>
  <c r="AJ25" i="33"/>
  <c r="AI25" i="33"/>
  <c r="AH25" i="33"/>
  <c r="Y25" i="33"/>
  <c r="X25" i="33"/>
  <c r="W25" i="33"/>
  <c r="N25" i="33"/>
  <c r="L25" i="33"/>
  <c r="M25" i="33" s="1"/>
  <c r="AJ24" i="33"/>
  <c r="AI24" i="33"/>
  <c r="AH24" i="33"/>
  <c r="Y24" i="33"/>
  <c r="X24" i="33"/>
  <c r="W24" i="33"/>
  <c r="N24" i="33"/>
  <c r="M24" i="33"/>
  <c r="L24" i="33"/>
  <c r="AJ23" i="33"/>
  <c r="AI23" i="33"/>
  <c r="AH23" i="33"/>
  <c r="Y23" i="33"/>
  <c r="X23" i="33"/>
  <c r="W23" i="33"/>
  <c r="N23" i="33"/>
  <c r="L23" i="33"/>
  <c r="M23" i="33" s="1"/>
  <c r="AJ22" i="33"/>
  <c r="AI22" i="33"/>
  <c r="AH22" i="33"/>
  <c r="Y22" i="33"/>
  <c r="X22" i="33"/>
  <c r="W22" i="33"/>
  <c r="N22" i="33"/>
  <c r="L22" i="33"/>
  <c r="M22" i="33" s="1"/>
  <c r="AJ21" i="33"/>
  <c r="AI21" i="33"/>
  <c r="AH21" i="33"/>
  <c r="Y21" i="33"/>
  <c r="X21" i="33"/>
  <c r="W21" i="33"/>
  <c r="N21" i="33"/>
  <c r="L21" i="33"/>
  <c r="M21" i="33" s="1"/>
  <c r="AJ20" i="33"/>
  <c r="AI20" i="33"/>
  <c r="AH20" i="33"/>
  <c r="Y20" i="33"/>
  <c r="X20" i="33"/>
  <c r="W20" i="33"/>
  <c r="N20" i="33"/>
  <c r="L20" i="33"/>
  <c r="M20" i="33" s="1"/>
  <c r="AJ19" i="33"/>
  <c r="AI19" i="33"/>
  <c r="AH19" i="33"/>
  <c r="Y19" i="33"/>
  <c r="X19" i="33"/>
  <c r="W19" i="33"/>
  <c r="N19" i="33"/>
  <c r="L19" i="33"/>
  <c r="M19" i="33" s="1"/>
  <c r="AJ18" i="33"/>
  <c r="AI18" i="33"/>
  <c r="AH18" i="33"/>
  <c r="Y18" i="33"/>
  <c r="X18" i="33"/>
  <c r="W18" i="33"/>
  <c r="N18" i="33"/>
  <c r="L18" i="33"/>
  <c r="M18" i="33" s="1"/>
  <c r="AJ17" i="33"/>
  <c r="AI17" i="33"/>
  <c r="AH17" i="33"/>
  <c r="Y17" i="33"/>
  <c r="X17" i="33"/>
  <c r="W17" i="33"/>
  <c r="N17" i="33"/>
  <c r="M17" i="33"/>
  <c r="L17" i="33"/>
  <c r="AJ16" i="33"/>
  <c r="AI16" i="33"/>
  <c r="AH16" i="33"/>
  <c r="Y16" i="33"/>
  <c r="X16" i="33"/>
  <c r="W16" i="33"/>
  <c r="N16" i="33"/>
  <c r="M16" i="33"/>
  <c r="L16" i="33"/>
  <c r="AJ15" i="33"/>
  <c r="AI15" i="33"/>
  <c r="AH15" i="33"/>
  <c r="Y15" i="33"/>
  <c r="X15" i="33"/>
  <c r="W15" i="33"/>
  <c r="N15" i="33"/>
  <c r="M15" i="33"/>
  <c r="L15" i="33"/>
  <c r="AJ14" i="33"/>
  <c r="AI14" i="33"/>
  <c r="AH14" i="33"/>
  <c r="Y14" i="33"/>
  <c r="X14" i="33"/>
  <c r="W14" i="33"/>
  <c r="N14" i="33"/>
  <c r="M14" i="33"/>
  <c r="L14" i="33"/>
  <c r="AJ13" i="33"/>
  <c r="AI13" i="33"/>
  <c r="AH13" i="33"/>
  <c r="Y13" i="33"/>
  <c r="X13" i="33"/>
  <c r="W13" i="33"/>
  <c r="N13" i="33"/>
  <c r="L13" i="33"/>
  <c r="M13" i="33" s="1"/>
  <c r="AJ12" i="33"/>
  <c r="AI12" i="33"/>
  <c r="AH12" i="33"/>
  <c r="Y12" i="33"/>
  <c r="X12" i="33"/>
  <c r="W12" i="33"/>
  <c r="L12" i="33"/>
  <c r="M12" i="33" s="1"/>
  <c r="N12" i="33" s="1"/>
  <c r="AJ11" i="33"/>
  <c r="AI11" i="33"/>
  <c r="AH11" i="33"/>
  <c r="Y11" i="33"/>
  <c r="X11" i="33"/>
  <c r="W11" i="33"/>
  <c r="L11" i="33"/>
  <c r="M11" i="33" s="1"/>
  <c r="N11" i="33" s="1"/>
  <c r="AJ10" i="33"/>
  <c r="AI10" i="33"/>
  <c r="AH10" i="33"/>
  <c r="Y10" i="33"/>
  <c r="X10" i="33"/>
  <c r="W10" i="33"/>
  <c r="L10" i="33"/>
  <c r="M10" i="33" s="1"/>
  <c r="N10" i="33" s="1"/>
  <c r="AJ9" i="33"/>
  <c r="AI9" i="33"/>
  <c r="AH9" i="33"/>
  <c r="Y9" i="33"/>
  <c r="X9" i="33"/>
  <c r="W9" i="33"/>
  <c r="L9" i="33"/>
  <c r="M9" i="33" s="1"/>
  <c r="N9" i="33" s="1"/>
  <c r="AJ8" i="33"/>
  <c r="AI8" i="33"/>
  <c r="AH8" i="33"/>
  <c r="Y8" i="33"/>
  <c r="X8" i="33"/>
  <c r="W8" i="33"/>
  <c r="L8" i="33"/>
  <c r="M8" i="33" s="1"/>
  <c r="N8" i="33" s="1"/>
  <c r="AJ7" i="33"/>
  <c r="AI7" i="33"/>
  <c r="AH7" i="33"/>
  <c r="Y7" i="33"/>
  <c r="X7" i="33"/>
  <c r="W7" i="33"/>
  <c r="L7" i="33"/>
  <c r="M7" i="33" s="1"/>
  <c r="N7" i="33" s="1"/>
  <c r="AJ6" i="33"/>
  <c r="AI6" i="33"/>
  <c r="AH6" i="33"/>
  <c r="Y6" i="33"/>
  <c r="X6" i="33"/>
  <c r="W6" i="33"/>
  <c r="L6" i="33"/>
  <c r="M6" i="33" s="1"/>
  <c r="N6" i="33" s="1"/>
  <c r="AJ5" i="33"/>
  <c r="AI5" i="33"/>
  <c r="AH5" i="33"/>
  <c r="Y5" i="33"/>
  <c r="X5" i="33"/>
  <c r="W5" i="33"/>
  <c r="L5" i="33"/>
  <c r="M5" i="33" s="1"/>
  <c r="N5" i="33" s="1"/>
  <c r="AI4" i="33"/>
  <c r="AJ4" i="33" s="1"/>
  <c r="AH4" i="33"/>
  <c r="W4" i="33"/>
  <c r="X4" i="33" s="1"/>
  <c r="Y4" i="33" s="1"/>
  <c r="L4" i="33"/>
  <c r="M4" i="33" s="1"/>
  <c r="N4" i="33" s="1"/>
  <c r="AH3" i="33"/>
  <c r="AI3" i="33" s="1"/>
  <c r="AJ3" i="33" s="1"/>
  <c r="W3" i="33"/>
  <c r="X3" i="33" s="1"/>
  <c r="Y3" i="33" s="1"/>
  <c r="L3" i="33"/>
  <c r="M3" i="33" s="1"/>
  <c r="N3" i="33" s="1"/>
  <c r="AA1" i="33" a="1"/>
  <c r="AA1" i="33" s="1"/>
  <c r="P1" i="33" a="1"/>
  <c r="P1" i="33" s="1"/>
  <c r="E1" i="33" a="1"/>
  <c r="E1" i="33" s="1"/>
  <c r="A1" i="33" a="1"/>
  <c r="A1" i="33" s="1"/>
  <c r="AJ49" i="32"/>
  <c r="AI49" i="32"/>
  <c r="AH49" i="32"/>
  <c r="Y49" i="32"/>
  <c r="X49" i="32"/>
  <c r="W49" i="32"/>
  <c r="N49" i="32"/>
  <c r="M49" i="32"/>
  <c r="L49" i="32"/>
  <c r="AJ48" i="32"/>
  <c r="AI48" i="32"/>
  <c r="AH48" i="32"/>
  <c r="Y48" i="32"/>
  <c r="X48" i="32"/>
  <c r="W48" i="32"/>
  <c r="N48" i="32"/>
  <c r="M48" i="32"/>
  <c r="L48" i="32"/>
  <c r="AJ47" i="32"/>
  <c r="AI47" i="32"/>
  <c r="AH47" i="32"/>
  <c r="Y47" i="32"/>
  <c r="X47" i="32"/>
  <c r="W47" i="32"/>
  <c r="N47" i="32"/>
  <c r="M47" i="32"/>
  <c r="L47" i="32"/>
  <c r="AJ46" i="32"/>
  <c r="AI46" i="32"/>
  <c r="AH46" i="32"/>
  <c r="Y46" i="32"/>
  <c r="X46" i="32"/>
  <c r="W46" i="32"/>
  <c r="N46" i="32"/>
  <c r="M46" i="32"/>
  <c r="L46" i="32"/>
  <c r="AJ45" i="32"/>
  <c r="AI45" i="32"/>
  <c r="AH45" i="32"/>
  <c r="Y45" i="32"/>
  <c r="X45" i="32"/>
  <c r="W45" i="32"/>
  <c r="N45" i="32"/>
  <c r="M45" i="32"/>
  <c r="L45" i="32"/>
  <c r="AJ44" i="32"/>
  <c r="AI44" i="32"/>
  <c r="AH44" i="32"/>
  <c r="Y44" i="32"/>
  <c r="X44" i="32"/>
  <c r="W44" i="32"/>
  <c r="N44" i="32"/>
  <c r="M44" i="32"/>
  <c r="L44" i="32"/>
  <c r="AJ43" i="32"/>
  <c r="AI43" i="32"/>
  <c r="AH43" i="32"/>
  <c r="Y43" i="32"/>
  <c r="X43" i="32"/>
  <c r="W43" i="32"/>
  <c r="N43" i="32"/>
  <c r="M43" i="32"/>
  <c r="L43" i="32"/>
  <c r="AJ42" i="32"/>
  <c r="AI42" i="32"/>
  <c r="AH42" i="32"/>
  <c r="Y42" i="32"/>
  <c r="X42" i="32"/>
  <c r="W42" i="32"/>
  <c r="N42" i="32"/>
  <c r="M42" i="32"/>
  <c r="L42" i="32"/>
  <c r="AJ41" i="32"/>
  <c r="AI41" i="32"/>
  <c r="AH41" i="32"/>
  <c r="Y41" i="32"/>
  <c r="X41" i="32"/>
  <c r="W41" i="32"/>
  <c r="N41" i="32"/>
  <c r="M41" i="32"/>
  <c r="L41" i="32"/>
  <c r="AJ40" i="32"/>
  <c r="AI40" i="32"/>
  <c r="AH40" i="32"/>
  <c r="Y40" i="32"/>
  <c r="X40" i="32"/>
  <c r="W40" i="32"/>
  <c r="N40" i="32"/>
  <c r="M40" i="32"/>
  <c r="L40" i="32"/>
  <c r="AJ39" i="32"/>
  <c r="AI39" i="32"/>
  <c r="AH39" i="32"/>
  <c r="Y39" i="32"/>
  <c r="X39" i="32"/>
  <c r="W39" i="32"/>
  <c r="N39" i="32"/>
  <c r="M39" i="32"/>
  <c r="L39" i="32"/>
  <c r="AJ38" i="32"/>
  <c r="AI38" i="32"/>
  <c r="AH38" i="32"/>
  <c r="Y38" i="32"/>
  <c r="X38" i="32"/>
  <c r="W38" i="32"/>
  <c r="N38" i="32"/>
  <c r="M38" i="32"/>
  <c r="L38" i="32"/>
  <c r="AJ37" i="32"/>
  <c r="AI37" i="32"/>
  <c r="AH37" i="32"/>
  <c r="Y37" i="32"/>
  <c r="X37" i="32"/>
  <c r="W37" i="32"/>
  <c r="N37" i="32"/>
  <c r="M37" i="32"/>
  <c r="L37" i="32"/>
  <c r="AJ36" i="32"/>
  <c r="AI36" i="32"/>
  <c r="AH36" i="32"/>
  <c r="Y36" i="32"/>
  <c r="X36" i="32"/>
  <c r="W36" i="32"/>
  <c r="N36" i="32"/>
  <c r="M36" i="32"/>
  <c r="L36" i="32"/>
  <c r="AJ35" i="32"/>
  <c r="AI35" i="32"/>
  <c r="AH35" i="32"/>
  <c r="Y35" i="32"/>
  <c r="X35" i="32"/>
  <c r="W35" i="32"/>
  <c r="N35" i="32"/>
  <c r="M35" i="32"/>
  <c r="L35" i="32"/>
  <c r="AJ34" i="32"/>
  <c r="AI34" i="32"/>
  <c r="AH34" i="32"/>
  <c r="Y34" i="32"/>
  <c r="X34" i="32"/>
  <c r="W34" i="32"/>
  <c r="N34" i="32"/>
  <c r="M34" i="32"/>
  <c r="L34" i="32"/>
  <c r="AJ33" i="32"/>
  <c r="AI33" i="32"/>
  <c r="AH33" i="32"/>
  <c r="Y33" i="32"/>
  <c r="X33" i="32"/>
  <c r="W33" i="32"/>
  <c r="N33" i="32"/>
  <c r="M33" i="32"/>
  <c r="L33" i="32"/>
  <c r="AJ32" i="32"/>
  <c r="AI32" i="32"/>
  <c r="AH32" i="32"/>
  <c r="Y32" i="32"/>
  <c r="X32" i="32"/>
  <c r="W32" i="32"/>
  <c r="N32" i="32"/>
  <c r="M32" i="32"/>
  <c r="L32" i="32"/>
  <c r="AJ31" i="32"/>
  <c r="AI31" i="32"/>
  <c r="AH31" i="32"/>
  <c r="Y31" i="32"/>
  <c r="X31" i="32"/>
  <c r="W31" i="32"/>
  <c r="N31" i="32"/>
  <c r="M31" i="32"/>
  <c r="L31" i="32"/>
  <c r="AJ30" i="32"/>
  <c r="AI30" i="32"/>
  <c r="AH30" i="32"/>
  <c r="Y30" i="32"/>
  <c r="X30" i="32"/>
  <c r="W30" i="32"/>
  <c r="N30" i="32"/>
  <c r="M30" i="32"/>
  <c r="L30" i="32"/>
  <c r="AJ29" i="32"/>
  <c r="AI29" i="32"/>
  <c r="AH29" i="32"/>
  <c r="Y29" i="32"/>
  <c r="X29" i="32"/>
  <c r="W29" i="32"/>
  <c r="N29" i="32"/>
  <c r="M29" i="32"/>
  <c r="L29" i="32"/>
  <c r="AJ28" i="32"/>
  <c r="AI28" i="32"/>
  <c r="AH28" i="32"/>
  <c r="Y28" i="32"/>
  <c r="X28" i="32"/>
  <c r="W28" i="32"/>
  <c r="N28" i="32"/>
  <c r="M28" i="32"/>
  <c r="L28" i="32"/>
  <c r="AJ27" i="32"/>
  <c r="AI27" i="32"/>
  <c r="AH27" i="32"/>
  <c r="Y27" i="32"/>
  <c r="X27" i="32"/>
  <c r="W27" i="32"/>
  <c r="N27" i="32"/>
  <c r="M27" i="32"/>
  <c r="L27" i="32"/>
  <c r="AJ26" i="32"/>
  <c r="AI26" i="32"/>
  <c r="AH26" i="32"/>
  <c r="Y26" i="32"/>
  <c r="X26" i="32"/>
  <c r="W26" i="32"/>
  <c r="N26" i="32"/>
  <c r="M26" i="32"/>
  <c r="L26" i="32"/>
  <c r="AJ25" i="32"/>
  <c r="AI25" i="32"/>
  <c r="AH25" i="32"/>
  <c r="Y25" i="32"/>
  <c r="X25" i="32"/>
  <c r="W25" i="32"/>
  <c r="N25" i="32"/>
  <c r="M25" i="32"/>
  <c r="L25" i="32"/>
  <c r="AJ24" i="32"/>
  <c r="AI24" i="32"/>
  <c r="AH24" i="32"/>
  <c r="Y24" i="32"/>
  <c r="X24" i="32"/>
  <c r="W24" i="32"/>
  <c r="N24" i="32"/>
  <c r="M24" i="32"/>
  <c r="L24" i="32"/>
  <c r="AJ23" i="32"/>
  <c r="AI23" i="32"/>
  <c r="AH23" i="32"/>
  <c r="Y23" i="32"/>
  <c r="X23" i="32"/>
  <c r="W23" i="32"/>
  <c r="N23" i="32"/>
  <c r="M23" i="32"/>
  <c r="L23" i="32"/>
  <c r="AJ22" i="32"/>
  <c r="AI22" i="32"/>
  <c r="AH22" i="32"/>
  <c r="Y22" i="32"/>
  <c r="X22" i="32"/>
  <c r="W22" i="32"/>
  <c r="N22" i="32"/>
  <c r="M22" i="32"/>
  <c r="L22" i="32"/>
  <c r="AJ21" i="32"/>
  <c r="AI21" i="32"/>
  <c r="AH21" i="32"/>
  <c r="Y21" i="32"/>
  <c r="X21" i="32"/>
  <c r="W21" i="32"/>
  <c r="N21" i="32"/>
  <c r="M21" i="32"/>
  <c r="L21" i="32"/>
  <c r="AJ20" i="32"/>
  <c r="AI20" i="32"/>
  <c r="AH20" i="32"/>
  <c r="Y20" i="32"/>
  <c r="X20" i="32"/>
  <c r="W20" i="32"/>
  <c r="N20" i="32"/>
  <c r="M20" i="32"/>
  <c r="L20" i="32"/>
  <c r="AJ19" i="32"/>
  <c r="AI19" i="32"/>
  <c r="AH19" i="32"/>
  <c r="Y19" i="32"/>
  <c r="X19" i="32"/>
  <c r="W19" i="32"/>
  <c r="N19" i="32"/>
  <c r="M19" i="32"/>
  <c r="L19" i="32"/>
  <c r="AJ18" i="32"/>
  <c r="AI18" i="32"/>
  <c r="AH18" i="32"/>
  <c r="Y18" i="32"/>
  <c r="X18" i="32"/>
  <c r="W18" i="32"/>
  <c r="N18" i="32"/>
  <c r="M18" i="32"/>
  <c r="L18" i="32"/>
  <c r="AJ17" i="32"/>
  <c r="AI17" i="32"/>
  <c r="AH17" i="32"/>
  <c r="Y17" i="32"/>
  <c r="X17" i="32"/>
  <c r="W17" i="32"/>
  <c r="N17" i="32"/>
  <c r="M17" i="32"/>
  <c r="L17" i="32"/>
  <c r="AJ16" i="32"/>
  <c r="AI16" i="32"/>
  <c r="AH16" i="32"/>
  <c r="Y16" i="32"/>
  <c r="X16" i="32"/>
  <c r="W16" i="32"/>
  <c r="N16" i="32"/>
  <c r="M16" i="32"/>
  <c r="L16" i="32"/>
  <c r="AJ15" i="32"/>
  <c r="AI15" i="32"/>
  <c r="AH15" i="32"/>
  <c r="Y15" i="32"/>
  <c r="X15" i="32"/>
  <c r="W15" i="32"/>
  <c r="N15" i="32"/>
  <c r="M15" i="32"/>
  <c r="L15" i="32"/>
  <c r="AJ14" i="32"/>
  <c r="AI14" i="32"/>
  <c r="AH14" i="32"/>
  <c r="Y14" i="32"/>
  <c r="X14" i="32"/>
  <c r="W14" i="32"/>
  <c r="N14" i="32"/>
  <c r="M14" i="32"/>
  <c r="L14" i="32"/>
  <c r="AJ13" i="32"/>
  <c r="AI13" i="32"/>
  <c r="AH13" i="32"/>
  <c r="Y13" i="32"/>
  <c r="X13" i="32"/>
  <c r="W13" i="32"/>
  <c r="N13" i="32"/>
  <c r="M13" i="32"/>
  <c r="L13" i="32"/>
  <c r="AJ12" i="32"/>
  <c r="AI12" i="32"/>
  <c r="AH12" i="32"/>
  <c r="Y12" i="32"/>
  <c r="X12" i="32"/>
  <c r="W12" i="32"/>
  <c r="N12" i="32"/>
  <c r="M12" i="32"/>
  <c r="L12" i="32"/>
  <c r="AJ11" i="32"/>
  <c r="AI11" i="32"/>
  <c r="AH11" i="32"/>
  <c r="Y11" i="32"/>
  <c r="X11" i="32"/>
  <c r="W11" i="32"/>
  <c r="N11" i="32"/>
  <c r="M11" i="32"/>
  <c r="L11" i="32"/>
  <c r="AJ10" i="32"/>
  <c r="AI10" i="32"/>
  <c r="AH10" i="32"/>
  <c r="Y10" i="32"/>
  <c r="X10" i="32"/>
  <c r="W10" i="32"/>
  <c r="N10" i="32"/>
  <c r="M10" i="32"/>
  <c r="L10" i="32"/>
  <c r="AJ9" i="32"/>
  <c r="AI9" i="32"/>
  <c r="AH9" i="32"/>
  <c r="Y9" i="32"/>
  <c r="X9" i="32"/>
  <c r="W9" i="32"/>
  <c r="L9" i="32"/>
  <c r="M9" i="32" s="1"/>
  <c r="N9" i="32" s="1"/>
  <c r="AJ8" i="32"/>
  <c r="AI8" i="32"/>
  <c r="AH8" i="32"/>
  <c r="Y8" i="32"/>
  <c r="X8" i="32"/>
  <c r="W8" i="32"/>
  <c r="L8" i="32"/>
  <c r="M8" i="32" s="1"/>
  <c r="N8" i="32" s="1"/>
  <c r="AJ7" i="32"/>
  <c r="AI7" i="32"/>
  <c r="AH7" i="32"/>
  <c r="Y7" i="32"/>
  <c r="X7" i="32"/>
  <c r="W7" i="32"/>
  <c r="L7" i="32"/>
  <c r="M7" i="32" s="1"/>
  <c r="N7" i="32" s="1"/>
  <c r="AJ6" i="32"/>
  <c r="AI6" i="32"/>
  <c r="AH6" i="32"/>
  <c r="Y6" i="32"/>
  <c r="X6" i="32"/>
  <c r="W6" i="32"/>
  <c r="L6" i="32"/>
  <c r="M6" i="32" s="1"/>
  <c r="N6" i="32" s="1"/>
  <c r="AJ5" i="32"/>
  <c r="AI5" i="32"/>
  <c r="AH5" i="32"/>
  <c r="Y5" i="32"/>
  <c r="X5" i="32"/>
  <c r="W5" i="32"/>
  <c r="L5" i="32"/>
  <c r="M5" i="32" s="1"/>
  <c r="N5" i="32" s="1"/>
  <c r="AJ4" i="32"/>
  <c r="AI4" i="32"/>
  <c r="AH4" i="32"/>
  <c r="W4" i="32"/>
  <c r="X4" i="32" s="1"/>
  <c r="Y4" i="32" s="1"/>
  <c r="L4" i="32"/>
  <c r="M4" i="32" s="1"/>
  <c r="N4" i="32" s="1"/>
  <c r="AI3" i="32"/>
  <c r="AJ3" i="32" s="1"/>
  <c r="AH3" i="32"/>
  <c r="W3" i="32"/>
  <c r="X3" i="32" s="1"/>
  <c r="Y3" i="32" s="1"/>
  <c r="L3" i="32"/>
  <c r="M3" i="32" s="1"/>
  <c r="N3" i="32" s="1"/>
  <c r="AA1" i="32" a="1"/>
  <c r="AA1" i="32" s="1"/>
  <c r="P1" i="32" a="1"/>
  <c r="P1" i="32" s="1"/>
  <c r="E1" i="32" a="1"/>
  <c r="E1" i="32" s="1"/>
  <c r="A1" i="32" a="1"/>
  <c r="A1" i="32" s="1"/>
  <c r="AJ49" i="31"/>
  <c r="AI49" i="31"/>
  <c r="AH49" i="31"/>
  <c r="Y49" i="31"/>
  <c r="X49" i="31"/>
  <c r="W49" i="31"/>
  <c r="N49" i="31"/>
  <c r="M49" i="31"/>
  <c r="L49" i="31"/>
  <c r="AJ48" i="31"/>
  <c r="AI48" i="31"/>
  <c r="AH48" i="31"/>
  <c r="Y48" i="31"/>
  <c r="X48" i="31"/>
  <c r="W48" i="31"/>
  <c r="N48" i="31"/>
  <c r="M48" i="31"/>
  <c r="L48" i="31"/>
  <c r="AJ47" i="31"/>
  <c r="AI47" i="31"/>
  <c r="AH47" i="31"/>
  <c r="Y47" i="31"/>
  <c r="X47" i="31"/>
  <c r="W47" i="31"/>
  <c r="N47" i="31"/>
  <c r="M47" i="31"/>
  <c r="L47" i="31"/>
  <c r="AJ46" i="31"/>
  <c r="AI46" i="31"/>
  <c r="AH46" i="31"/>
  <c r="Y46" i="31"/>
  <c r="X46" i="31"/>
  <c r="W46" i="31"/>
  <c r="N46" i="31"/>
  <c r="M46" i="31"/>
  <c r="L46" i="31"/>
  <c r="AJ45" i="31"/>
  <c r="AI45" i="31"/>
  <c r="AH45" i="31"/>
  <c r="Y45" i="31"/>
  <c r="X45" i="31"/>
  <c r="W45" i="31"/>
  <c r="N45" i="31"/>
  <c r="M45" i="31"/>
  <c r="L45" i="31"/>
  <c r="AJ44" i="31"/>
  <c r="AI44" i="31"/>
  <c r="AH44" i="31"/>
  <c r="Y44" i="31"/>
  <c r="X44" i="31"/>
  <c r="W44" i="31"/>
  <c r="N44" i="31"/>
  <c r="M44" i="31"/>
  <c r="L44" i="31"/>
  <c r="AJ43" i="31"/>
  <c r="AI43" i="31"/>
  <c r="AH43" i="31"/>
  <c r="Y43" i="31"/>
  <c r="X43" i="31"/>
  <c r="W43" i="31"/>
  <c r="N43" i="31"/>
  <c r="M43" i="31"/>
  <c r="L43" i="31"/>
  <c r="AJ42" i="31"/>
  <c r="AI42" i="31"/>
  <c r="AH42" i="31"/>
  <c r="Y42" i="31"/>
  <c r="X42" i="31"/>
  <c r="W42" i="31"/>
  <c r="N42" i="31"/>
  <c r="M42" i="31"/>
  <c r="L42" i="31"/>
  <c r="AJ41" i="31"/>
  <c r="AI41" i="31"/>
  <c r="AH41" i="31"/>
  <c r="Y41" i="31"/>
  <c r="X41" i="31"/>
  <c r="W41" i="31"/>
  <c r="N41" i="31"/>
  <c r="M41" i="31"/>
  <c r="L41" i="31"/>
  <c r="AJ40" i="31"/>
  <c r="AI40" i="31"/>
  <c r="AH40" i="31"/>
  <c r="Y40" i="31"/>
  <c r="X40" i="31"/>
  <c r="W40" i="31"/>
  <c r="N40" i="31"/>
  <c r="M40" i="31"/>
  <c r="L40" i="31"/>
  <c r="AJ39" i="31"/>
  <c r="AI39" i="31"/>
  <c r="AH39" i="31"/>
  <c r="Y39" i="31"/>
  <c r="X39" i="31"/>
  <c r="W39" i="31"/>
  <c r="N39" i="31"/>
  <c r="M39" i="31"/>
  <c r="L39" i="31"/>
  <c r="AJ38" i="31"/>
  <c r="AI38" i="31"/>
  <c r="AH38" i="31"/>
  <c r="Y38" i="31"/>
  <c r="X38" i="31"/>
  <c r="W38" i="31"/>
  <c r="N38" i="31"/>
  <c r="M38" i="31"/>
  <c r="L38" i="31"/>
  <c r="AJ37" i="31"/>
  <c r="AI37" i="31"/>
  <c r="AH37" i="31"/>
  <c r="Y37" i="31"/>
  <c r="X37" i="31"/>
  <c r="W37" i="31"/>
  <c r="N37" i="31"/>
  <c r="M37" i="31"/>
  <c r="L37" i="31"/>
  <c r="AJ36" i="31"/>
  <c r="AI36" i="31"/>
  <c r="AH36" i="31"/>
  <c r="Y36" i="31"/>
  <c r="X36" i="31"/>
  <c r="W36" i="31"/>
  <c r="N36" i="31"/>
  <c r="M36" i="31"/>
  <c r="L36" i="31"/>
  <c r="AJ35" i="31"/>
  <c r="AI35" i="31"/>
  <c r="AH35" i="31"/>
  <c r="Y35" i="31"/>
  <c r="X35" i="31"/>
  <c r="W35" i="31"/>
  <c r="N35" i="31"/>
  <c r="M35" i="31"/>
  <c r="L35" i="31"/>
  <c r="AJ34" i="31"/>
  <c r="AI34" i="31"/>
  <c r="AH34" i="31"/>
  <c r="Y34" i="31"/>
  <c r="X34" i="31"/>
  <c r="W34" i="31"/>
  <c r="N34" i="31"/>
  <c r="M34" i="31"/>
  <c r="L34" i="31"/>
  <c r="AJ33" i="31"/>
  <c r="AI33" i="31"/>
  <c r="AH33" i="31"/>
  <c r="Y33" i="31"/>
  <c r="X33" i="31"/>
  <c r="W33" i="31"/>
  <c r="N33" i="31"/>
  <c r="M33" i="31"/>
  <c r="L33" i="31"/>
  <c r="AJ32" i="31"/>
  <c r="AI32" i="31"/>
  <c r="AH32" i="31"/>
  <c r="Y32" i="31"/>
  <c r="X32" i="31"/>
  <c r="W32" i="31"/>
  <c r="N32" i="31"/>
  <c r="M32" i="31"/>
  <c r="L32" i="31"/>
  <c r="AJ31" i="31"/>
  <c r="AI31" i="31"/>
  <c r="AH31" i="31"/>
  <c r="Y31" i="31"/>
  <c r="X31" i="31"/>
  <c r="W31" i="31"/>
  <c r="N31" i="31"/>
  <c r="M31" i="31"/>
  <c r="L31" i="31"/>
  <c r="AJ30" i="31"/>
  <c r="AI30" i="31"/>
  <c r="AH30" i="31"/>
  <c r="Y30" i="31"/>
  <c r="X30" i="31"/>
  <c r="W30" i="31"/>
  <c r="N30" i="31"/>
  <c r="M30" i="31"/>
  <c r="L30" i="31"/>
  <c r="AJ29" i="31"/>
  <c r="AI29" i="31"/>
  <c r="AH29" i="31"/>
  <c r="Y29" i="31"/>
  <c r="X29" i="31"/>
  <c r="W29" i="31"/>
  <c r="N29" i="31"/>
  <c r="M29" i="31"/>
  <c r="L29" i="31"/>
  <c r="AJ28" i="31"/>
  <c r="AI28" i="31"/>
  <c r="AH28" i="31"/>
  <c r="Y28" i="31"/>
  <c r="X28" i="31"/>
  <c r="W28" i="31"/>
  <c r="N28" i="31"/>
  <c r="M28" i="31"/>
  <c r="L28" i="31"/>
  <c r="AJ27" i="31"/>
  <c r="AI27" i="31"/>
  <c r="AH27" i="31"/>
  <c r="Y27" i="31"/>
  <c r="X27" i="31"/>
  <c r="W27" i="31"/>
  <c r="N27" i="31"/>
  <c r="M27" i="31"/>
  <c r="L27" i="31"/>
  <c r="AJ26" i="31"/>
  <c r="AI26" i="31"/>
  <c r="AH26" i="31"/>
  <c r="Y26" i="31"/>
  <c r="X26" i="31"/>
  <c r="W26" i="31"/>
  <c r="N26" i="31"/>
  <c r="M26" i="31"/>
  <c r="L26" i="31"/>
  <c r="AJ25" i="31"/>
  <c r="AI25" i="31"/>
  <c r="AH25" i="31"/>
  <c r="Y25" i="31"/>
  <c r="X25" i="31"/>
  <c r="W25" i="31"/>
  <c r="N25" i="31"/>
  <c r="M25" i="31"/>
  <c r="L25" i="31"/>
  <c r="AJ24" i="31"/>
  <c r="AI24" i="31"/>
  <c r="AH24" i="31"/>
  <c r="Y24" i="31"/>
  <c r="X24" i="31"/>
  <c r="W24" i="31"/>
  <c r="N24" i="31"/>
  <c r="M24" i="31"/>
  <c r="L24" i="31"/>
  <c r="AJ23" i="31"/>
  <c r="AI23" i="31"/>
  <c r="AH23" i="31"/>
  <c r="Y23" i="31"/>
  <c r="X23" i="31"/>
  <c r="W23" i="31"/>
  <c r="N23" i="31"/>
  <c r="M23" i="31"/>
  <c r="L23" i="31"/>
  <c r="AJ22" i="31"/>
  <c r="AI22" i="31"/>
  <c r="AH22" i="31"/>
  <c r="Y22" i="31"/>
  <c r="X22" i="31"/>
  <c r="W22" i="31"/>
  <c r="N22" i="31"/>
  <c r="M22" i="31"/>
  <c r="L22" i="31"/>
  <c r="AJ21" i="31"/>
  <c r="AI21" i="31"/>
  <c r="AH21" i="31"/>
  <c r="Y21" i="31"/>
  <c r="X21" i="31"/>
  <c r="W21" i="31"/>
  <c r="N21" i="31"/>
  <c r="M21" i="31"/>
  <c r="L21" i="31"/>
  <c r="AJ20" i="31"/>
  <c r="AI20" i="31"/>
  <c r="AH20" i="31"/>
  <c r="Y20" i="31"/>
  <c r="X20" i="31"/>
  <c r="W20" i="31"/>
  <c r="N20" i="31"/>
  <c r="M20" i="31"/>
  <c r="L20" i="31"/>
  <c r="AJ19" i="31"/>
  <c r="AI19" i="31"/>
  <c r="AH19" i="31"/>
  <c r="Y19" i="31"/>
  <c r="X19" i="31"/>
  <c r="W19" i="31"/>
  <c r="N19" i="31"/>
  <c r="M19" i="31"/>
  <c r="L19" i="31"/>
  <c r="AJ18" i="31"/>
  <c r="AI18" i="31"/>
  <c r="AH18" i="31"/>
  <c r="Y18" i="31"/>
  <c r="X18" i="31"/>
  <c r="W18" i="31"/>
  <c r="N18" i="31"/>
  <c r="M18" i="31"/>
  <c r="L18" i="31"/>
  <c r="AJ17" i="31"/>
  <c r="AI17" i="31"/>
  <c r="AH17" i="31"/>
  <c r="Y17" i="31"/>
  <c r="X17" i="31"/>
  <c r="W17" i="31"/>
  <c r="N17" i="31"/>
  <c r="M17" i="31"/>
  <c r="L17" i="31"/>
  <c r="AJ16" i="31"/>
  <c r="AI16" i="31"/>
  <c r="AH16" i="31"/>
  <c r="Y16" i="31"/>
  <c r="X16" i="31"/>
  <c r="W16" i="31"/>
  <c r="N16" i="31"/>
  <c r="M16" i="31"/>
  <c r="L16" i="31"/>
  <c r="AJ15" i="31"/>
  <c r="AI15" i="31"/>
  <c r="AH15" i="31"/>
  <c r="Y15" i="31"/>
  <c r="X15" i="31"/>
  <c r="W15" i="31"/>
  <c r="N15" i="31"/>
  <c r="M15" i="31"/>
  <c r="L15" i="31"/>
  <c r="AJ14" i="31"/>
  <c r="AI14" i="31"/>
  <c r="AH14" i="31"/>
  <c r="Y14" i="31"/>
  <c r="X14" i="31"/>
  <c r="W14" i="31"/>
  <c r="N14" i="31"/>
  <c r="M14" i="31"/>
  <c r="L14" i="31"/>
  <c r="AJ13" i="31"/>
  <c r="AI13" i="31"/>
  <c r="AH13" i="31"/>
  <c r="Y13" i="31"/>
  <c r="X13" i="31"/>
  <c r="W13" i="31"/>
  <c r="N13" i="31"/>
  <c r="M13" i="31"/>
  <c r="L13" i="31"/>
  <c r="AJ12" i="31"/>
  <c r="AI12" i="31"/>
  <c r="AH12" i="31"/>
  <c r="Y12" i="31"/>
  <c r="X12" i="31"/>
  <c r="W12" i="31"/>
  <c r="N12" i="31"/>
  <c r="M12" i="31"/>
  <c r="L12" i="31"/>
  <c r="AJ11" i="31"/>
  <c r="AI11" i="31"/>
  <c r="AH11" i="31"/>
  <c r="Y11" i="31"/>
  <c r="X11" i="31"/>
  <c r="W11" i="31"/>
  <c r="N11" i="31"/>
  <c r="M11" i="31"/>
  <c r="L11" i="31"/>
  <c r="AJ10" i="31"/>
  <c r="AI10" i="31"/>
  <c r="AH10" i="31"/>
  <c r="Y10" i="31"/>
  <c r="X10" i="31"/>
  <c r="W10" i="31"/>
  <c r="N10" i="31"/>
  <c r="M10" i="31"/>
  <c r="L10" i="31"/>
  <c r="AJ9" i="31"/>
  <c r="AI9" i="31"/>
  <c r="AH9" i="31"/>
  <c r="Y9" i="31"/>
  <c r="X9" i="31"/>
  <c r="W9" i="31"/>
  <c r="L9" i="31"/>
  <c r="M9" i="31" s="1"/>
  <c r="N9" i="31" s="1"/>
  <c r="AJ8" i="31"/>
  <c r="AI8" i="31"/>
  <c r="AH8" i="31"/>
  <c r="Y8" i="31"/>
  <c r="X8" i="31"/>
  <c r="W8" i="31"/>
  <c r="L8" i="31"/>
  <c r="M8" i="31" s="1"/>
  <c r="N8" i="31" s="1"/>
  <c r="AJ7" i="31"/>
  <c r="AI7" i="31"/>
  <c r="AH7" i="31"/>
  <c r="Y7" i="31"/>
  <c r="X7" i="31"/>
  <c r="W7" i="31"/>
  <c r="L7" i="31"/>
  <c r="M7" i="31" s="1"/>
  <c r="N7" i="31" s="1"/>
  <c r="AJ6" i="31"/>
  <c r="AI6" i="31"/>
  <c r="AH6" i="31"/>
  <c r="Y6" i="31"/>
  <c r="X6" i="31"/>
  <c r="W6" i="31"/>
  <c r="L6" i="31"/>
  <c r="M6" i="31" s="1"/>
  <c r="N6" i="31" s="1"/>
  <c r="AJ5" i="31"/>
  <c r="AI5" i="31"/>
  <c r="AH5" i="31"/>
  <c r="Y5" i="31"/>
  <c r="X5" i="31"/>
  <c r="W5" i="31"/>
  <c r="L5" i="31"/>
  <c r="M5" i="31" s="1"/>
  <c r="N5" i="31" s="1"/>
  <c r="AJ4" i="31"/>
  <c r="AI4" i="31"/>
  <c r="AH4" i="31"/>
  <c r="Y4" i="31"/>
  <c r="X4" i="31"/>
  <c r="W4" i="31"/>
  <c r="L4" i="31"/>
  <c r="M4" i="31" s="1"/>
  <c r="N4" i="31" s="1"/>
  <c r="AJ3" i="31"/>
  <c r="AJ1" i="31" s="1"/>
  <c r="AI3" i="31"/>
  <c r="AH3" i="31"/>
  <c r="W3" i="31"/>
  <c r="X3" i="31" s="1"/>
  <c r="Y3" i="31" s="1"/>
  <c r="L3" i="31"/>
  <c r="M3" i="31" s="1"/>
  <c r="N3" i="31" s="1"/>
  <c r="AA1" i="31" a="1"/>
  <c r="AA1" i="31" s="1"/>
  <c r="P1" i="31" a="1"/>
  <c r="P1" i="31" s="1"/>
  <c r="E1" i="31" a="1"/>
  <c r="E1" i="31" s="1"/>
  <c r="A1" i="31" a="1"/>
  <c r="A1" i="31" s="1"/>
  <c r="AJ49" i="30"/>
  <c r="AI49" i="30"/>
  <c r="AH49" i="30"/>
  <c r="Y49" i="30"/>
  <c r="X49" i="30"/>
  <c r="W49" i="30"/>
  <c r="N49" i="30"/>
  <c r="M49" i="30"/>
  <c r="L49" i="30"/>
  <c r="AJ48" i="30"/>
  <c r="AI48" i="30"/>
  <c r="AH48" i="30"/>
  <c r="Y48" i="30"/>
  <c r="X48" i="30"/>
  <c r="W48" i="30"/>
  <c r="N48" i="30"/>
  <c r="M48" i="30"/>
  <c r="L48" i="30"/>
  <c r="AJ47" i="30"/>
  <c r="AI47" i="30"/>
  <c r="AH47" i="30"/>
  <c r="Y47" i="30"/>
  <c r="X47" i="30"/>
  <c r="W47" i="30"/>
  <c r="N47" i="30"/>
  <c r="M47" i="30"/>
  <c r="L47" i="30"/>
  <c r="AJ46" i="30"/>
  <c r="AI46" i="30"/>
  <c r="AH46" i="30"/>
  <c r="Y46" i="30"/>
  <c r="X46" i="30"/>
  <c r="W46" i="30"/>
  <c r="N46" i="30"/>
  <c r="M46" i="30"/>
  <c r="L46" i="30"/>
  <c r="AJ45" i="30"/>
  <c r="AI45" i="30"/>
  <c r="AH45" i="30"/>
  <c r="Y45" i="30"/>
  <c r="X45" i="30"/>
  <c r="W45" i="30"/>
  <c r="N45" i="30"/>
  <c r="M45" i="30"/>
  <c r="L45" i="30"/>
  <c r="AJ44" i="30"/>
  <c r="AI44" i="30"/>
  <c r="AH44" i="30"/>
  <c r="Y44" i="30"/>
  <c r="X44" i="30"/>
  <c r="W44" i="30"/>
  <c r="N44" i="30"/>
  <c r="M44" i="30"/>
  <c r="L44" i="30"/>
  <c r="AJ43" i="30"/>
  <c r="AI43" i="30"/>
  <c r="AH43" i="30"/>
  <c r="Y43" i="30"/>
  <c r="X43" i="30"/>
  <c r="W43" i="30"/>
  <c r="N43" i="30"/>
  <c r="M43" i="30"/>
  <c r="L43" i="30"/>
  <c r="AJ42" i="30"/>
  <c r="AI42" i="30"/>
  <c r="AH42" i="30"/>
  <c r="Y42" i="30"/>
  <c r="X42" i="30"/>
  <c r="W42" i="30"/>
  <c r="N42" i="30"/>
  <c r="M42" i="30"/>
  <c r="L42" i="30"/>
  <c r="AJ41" i="30"/>
  <c r="AI41" i="30"/>
  <c r="AH41" i="30"/>
  <c r="Y41" i="30"/>
  <c r="X41" i="30"/>
  <c r="W41" i="30"/>
  <c r="N41" i="30"/>
  <c r="M41" i="30"/>
  <c r="L41" i="30"/>
  <c r="AJ40" i="30"/>
  <c r="AI40" i="30"/>
  <c r="AH40" i="30"/>
  <c r="Y40" i="30"/>
  <c r="X40" i="30"/>
  <c r="W40" i="30"/>
  <c r="N40" i="30"/>
  <c r="M40" i="30"/>
  <c r="L40" i="30"/>
  <c r="AJ39" i="30"/>
  <c r="AI39" i="30"/>
  <c r="AH39" i="30"/>
  <c r="Y39" i="30"/>
  <c r="X39" i="30"/>
  <c r="W39" i="30"/>
  <c r="N39" i="30"/>
  <c r="M39" i="30"/>
  <c r="L39" i="30"/>
  <c r="AJ38" i="30"/>
  <c r="AI38" i="30"/>
  <c r="AH38" i="30"/>
  <c r="Y38" i="30"/>
  <c r="X38" i="30"/>
  <c r="W38" i="30"/>
  <c r="N38" i="30"/>
  <c r="M38" i="30"/>
  <c r="L38" i="30"/>
  <c r="AJ37" i="30"/>
  <c r="AI37" i="30"/>
  <c r="AH37" i="30"/>
  <c r="Y37" i="30"/>
  <c r="X37" i="30"/>
  <c r="W37" i="30"/>
  <c r="N37" i="30"/>
  <c r="M37" i="30"/>
  <c r="L37" i="30"/>
  <c r="AJ36" i="30"/>
  <c r="AI36" i="30"/>
  <c r="AH36" i="30"/>
  <c r="Y36" i="30"/>
  <c r="X36" i="30"/>
  <c r="W36" i="30"/>
  <c r="N36" i="30"/>
  <c r="M36" i="30"/>
  <c r="L36" i="30"/>
  <c r="AJ35" i="30"/>
  <c r="AI35" i="30"/>
  <c r="AH35" i="30"/>
  <c r="Y35" i="30"/>
  <c r="X35" i="30"/>
  <c r="W35" i="30"/>
  <c r="N35" i="30"/>
  <c r="M35" i="30"/>
  <c r="L35" i="30"/>
  <c r="AJ34" i="30"/>
  <c r="AI34" i="30"/>
  <c r="AH34" i="30"/>
  <c r="Y34" i="30"/>
  <c r="X34" i="30"/>
  <c r="W34" i="30"/>
  <c r="N34" i="30"/>
  <c r="M34" i="30"/>
  <c r="L34" i="30"/>
  <c r="AJ33" i="30"/>
  <c r="AI33" i="30"/>
  <c r="AH33" i="30"/>
  <c r="Y33" i="30"/>
  <c r="X33" i="30"/>
  <c r="W33" i="30"/>
  <c r="N33" i="30"/>
  <c r="M33" i="30"/>
  <c r="L33" i="30"/>
  <c r="AJ32" i="30"/>
  <c r="AI32" i="30"/>
  <c r="AH32" i="30"/>
  <c r="Y32" i="30"/>
  <c r="X32" i="30"/>
  <c r="W32" i="30"/>
  <c r="N32" i="30"/>
  <c r="M32" i="30"/>
  <c r="L32" i="30"/>
  <c r="AJ31" i="30"/>
  <c r="AI31" i="30"/>
  <c r="AH31" i="30"/>
  <c r="Y31" i="30"/>
  <c r="X31" i="30"/>
  <c r="W31" i="30"/>
  <c r="N31" i="30"/>
  <c r="M31" i="30"/>
  <c r="L31" i="30"/>
  <c r="AJ30" i="30"/>
  <c r="AI30" i="30"/>
  <c r="AH30" i="30"/>
  <c r="Y30" i="30"/>
  <c r="X30" i="30"/>
  <c r="W30" i="30"/>
  <c r="N30" i="30"/>
  <c r="M30" i="30"/>
  <c r="L30" i="30"/>
  <c r="AJ29" i="30"/>
  <c r="AI29" i="30"/>
  <c r="AH29" i="30"/>
  <c r="Y29" i="30"/>
  <c r="X29" i="30"/>
  <c r="W29" i="30"/>
  <c r="N29" i="30"/>
  <c r="M29" i="30"/>
  <c r="L29" i="30"/>
  <c r="AJ28" i="30"/>
  <c r="AI28" i="30"/>
  <c r="AH28" i="30"/>
  <c r="Y28" i="30"/>
  <c r="X28" i="30"/>
  <c r="W28" i="30"/>
  <c r="N28" i="30"/>
  <c r="M28" i="30"/>
  <c r="L28" i="30"/>
  <c r="AJ27" i="30"/>
  <c r="AI27" i="30"/>
  <c r="AH27" i="30"/>
  <c r="Y27" i="30"/>
  <c r="X27" i="30"/>
  <c r="W27" i="30"/>
  <c r="N27" i="30"/>
  <c r="M27" i="30"/>
  <c r="L27" i="30"/>
  <c r="AJ26" i="30"/>
  <c r="AI26" i="30"/>
  <c r="AH26" i="30"/>
  <c r="Y26" i="30"/>
  <c r="X26" i="30"/>
  <c r="W26" i="30"/>
  <c r="N26" i="30"/>
  <c r="M26" i="30"/>
  <c r="L26" i="30"/>
  <c r="AJ25" i="30"/>
  <c r="AI25" i="30"/>
  <c r="AH25" i="30"/>
  <c r="Y25" i="30"/>
  <c r="X25" i="30"/>
  <c r="W25" i="30"/>
  <c r="N25" i="30"/>
  <c r="M25" i="30"/>
  <c r="L25" i="30"/>
  <c r="AJ24" i="30"/>
  <c r="AI24" i="30"/>
  <c r="AH24" i="30"/>
  <c r="Y24" i="30"/>
  <c r="X24" i="30"/>
  <c r="W24" i="30"/>
  <c r="N24" i="30"/>
  <c r="M24" i="30"/>
  <c r="L24" i="30"/>
  <c r="AJ23" i="30"/>
  <c r="AI23" i="30"/>
  <c r="AH23" i="30"/>
  <c r="Y23" i="30"/>
  <c r="X23" i="30"/>
  <c r="W23" i="30"/>
  <c r="N23" i="30"/>
  <c r="M23" i="30"/>
  <c r="L23" i="30"/>
  <c r="AJ22" i="30"/>
  <c r="AI22" i="30"/>
  <c r="AH22" i="30"/>
  <c r="Y22" i="30"/>
  <c r="X22" i="30"/>
  <c r="W22" i="30"/>
  <c r="N22" i="30"/>
  <c r="M22" i="30"/>
  <c r="L22" i="30"/>
  <c r="AJ21" i="30"/>
  <c r="AI21" i="30"/>
  <c r="AH21" i="30"/>
  <c r="Y21" i="30"/>
  <c r="X21" i="30"/>
  <c r="W21" i="30"/>
  <c r="N21" i="30"/>
  <c r="M21" i="30"/>
  <c r="L21" i="30"/>
  <c r="AJ20" i="30"/>
  <c r="AI20" i="30"/>
  <c r="AH20" i="30"/>
  <c r="Y20" i="30"/>
  <c r="X20" i="30"/>
  <c r="W20" i="30"/>
  <c r="N20" i="30"/>
  <c r="M20" i="30"/>
  <c r="L20" i="30"/>
  <c r="AJ19" i="30"/>
  <c r="AI19" i="30"/>
  <c r="AH19" i="30"/>
  <c r="Y19" i="30"/>
  <c r="X19" i="30"/>
  <c r="W19" i="30"/>
  <c r="N19" i="30"/>
  <c r="M19" i="30"/>
  <c r="L19" i="30"/>
  <c r="AJ18" i="30"/>
  <c r="AI18" i="30"/>
  <c r="AH18" i="30"/>
  <c r="Y18" i="30"/>
  <c r="X18" i="30"/>
  <c r="W18" i="30"/>
  <c r="N18" i="30"/>
  <c r="M18" i="30"/>
  <c r="L18" i="30"/>
  <c r="AJ17" i="30"/>
  <c r="AI17" i="30"/>
  <c r="AH17" i="30"/>
  <c r="Y17" i="30"/>
  <c r="X17" i="30"/>
  <c r="W17" i="30"/>
  <c r="N17" i="30"/>
  <c r="M17" i="30"/>
  <c r="L17" i="30"/>
  <c r="AJ16" i="30"/>
  <c r="AI16" i="30"/>
  <c r="AH16" i="30"/>
  <c r="Y16" i="30"/>
  <c r="X16" i="30"/>
  <c r="W16" i="30"/>
  <c r="N16" i="30"/>
  <c r="M16" i="30"/>
  <c r="L16" i="30"/>
  <c r="AJ15" i="30"/>
  <c r="AI15" i="30"/>
  <c r="AH15" i="30"/>
  <c r="Y15" i="30"/>
  <c r="X15" i="30"/>
  <c r="W15" i="30"/>
  <c r="N15" i="30"/>
  <c r="M15" i="30"/>
  <c r="L15" i="30"/>
  <c r="AJ14" i="30"/>
  <c r="AI14" i="30"/>
  <c r="AH14" i="30"/>
  <c r="Y14" i="30"/>
  <c r="X14" i="30"/>
  <c r="W14" i="30"/>
  <c r="N14" i="30"/>
  <c r="M14" i="30"/>
  <c r="L14" i="30"/>
  <c r="AJ13" i="30"/>
  <c r="AI13" i="30"/>
  <c r="AH13" i="30"/>
  <c r="Y13" i="30"/>
  <c r="X13" i="30"/>
  <c r="W13" i="30"/>
  <c r="N13" i="30"/>
  <c r="M13" i="30"/>
  <c r="L13" i="30"/>
  <c r="AJ12" i="30"/>
  <c r="AI12" i="30"/>
  <c r="AH12" i="30"/>
  <c r="Y12" i="30"/>
  <c r="X12" i="30"/>
  <c r="W12" i="30"/>
  <c r="N12" i="30"/>
  <c r="M12" i="30"/>
  <c r="L12" i="30"/>
  <c r="AJ11" i="30"/>
  <c r="AI11" i="30"/>
  <c r="AH11" i="30"/>
  <c r="Y11" i="30"/>
  <c r="X11" i="30"/>
  <c r="W11" i="30"/>
  <c r="N11" i="30"/>
  <c r="M11" i="30"/>
  <c r="L11" i="30"/>
  <c r="AJ10" i="30"/>
  <c r="AI10" i="30"/>
  <c r="AH10" i="30"/>
  <c r="Y10" i="30"/>
  <c r="X10" i="30"/>
  <c r="W10" i="30"/>
  <c r="N10" i="30"/>
  <c r="M10" i="30"/>
  <c r="L10" i="30"/>
  <c r="AJ9" i="30"/>
  <c r="AI9" i="30"/>
  <c r="AH9" i="30"/>
  <c r="Y9" i="30"/>
  <c r="X9" i="30"/>
  <c r="W9" i="30"/>
  <c r="N9" i="30"/>
  <c r="M9" i="30"/>
  <c r="L9" i="30"/>
  <c r="AJ8" i="30"/>
  <c r="AI8" i="30"/>
  <c r="AH8" i="30"/>
  <c r="Y8" i="30"/>
  <c r="X8" i="30"/>
  <c r="W8" i="30"/>
  <c r="N8" i="30"/>
  <c r="M8" i="30"/>
  <c r="L8" i="30"/>
  <c r="AJ7" i="30"/>
  <c r="AI7" i="30"/>
  <c r="AH7" i="30"/>
  <c r="Y7" i="30"/>
  <c r="X7" i="30"/>
  <c r="W7" i="30"/>
  <c r="N7" i="30"/>
  <c r="M7" i="30"/>
  <c r="L7" i="30"/>
  <c r="AJ6" i="30"/>
  <c r="AI6" i="30"/>
  <c r="AH6" i="30"/>
  <c r="Y6" i="30"/>
  <c r="X6" i="30"/>
  <c r="W6" i="30"/>
  <c r="N6" i="30"/>
  <c r="M6" i="30"/>
  <c r="L6" i="30"/>
  <c r="AJ5" i="30"/>
  <c r="AI5" i="30"/>
  <c r="AH5" i="30"/>
  <c r="Y5" i="30"/>
  <c r="X5" i="30"/>
  <c r="W5" i="30"/>
  <c r="L5" i="30"/>
  <c r="M5" i="30" s="1"/>
  <c r="N5" i="30" s="1"/>
  <c r="AJ4" i="30"/>
  <c r="AI4" i="30"/>
  <c r="AH4" i="30"/>
  <c r="X4" i="30"/>
  <c r="Y4" i="30" s="1"/>
  <c r="W4" i="30"/>
  <c r="L4" i="30"/>
  <c r="M4" i="30" s="1"/>
  <c r="N4" i="30" s="1"/>
  <c r="AJ3" i="30"/>
  <c r="AJ1" i="30" s="1"/>
  <c r="AI3" i="30"/>
  <c r="AH3" i="30"/>
  <c r="W3" i="30"/>
  <c r="X3" i="30" s="1"/>
  <c r="Y3" i="30" s="1"/>
  <c r="Y1" i="30" s="1"/>
  <c r="M3" i="30"/>
  <c r="N3" i="30" s="1"/>
  <c r="L3" i="30"/>
  <c r="AA1" i="30" a="1"/>
  <c r="AA1" i="30" s="1"/>
  <c r="P1" i="30" a="1"/>
  <c r="P1" i="30" s="1"/>
  <c r="E1" i="30" a="1"/>
  <c r="E1" i="30" s="1"/>
  <c r="A1" i="30" a="1"/>
  <c r="A1" i="30" s="1"/>
  <c r="B4" i="12"/>
  <c r="B5" i="12"/>
  <c r="B6" i="12"/>
  <c r="B7" i="12"/>
  <c r="B8" i="12"/>
  <c r="B9" i="12"/>
  <c r="B10" i="12"/>
  <c r="B11" i="12"/>
  <c r="B12" i="12"/>
  <c r="B13" i="12"/>
  <c r="B14" i="12"/>
  <c r="B3" i="12"/>
  <c r="C1" i="29"/>
  <c r="D1" i="29"/>
  <c r="E1" i="29"/>
  <c r="F1" i="29"/>
  <c r="G1" i="29"/>
  <c r="B3" i="29"/>
  <c r="B4" i="29"/>
  <c r="B5" i="29"/>
  <c r="B6" i="29"/>
  <c r="C6" i="29" s="1"/>
  <c r="D6" i="29"/>
  <c r="E6" i="29"/>
  <c r="F6" i="29"/>
  <c r="G6" i="29"/>
  <c r="B7" i="29"/>
  <c r="E7" i="29" s="1"/>
  <c r="C7" i="29"/>
  <c r="D7" i="29"/>
  <c r="G7" i="29"/>
  <c r="B8" i="29"/>
  <c r="C8" i="29"/>
  <c r="D8" i="29"/>
  <c r="E8" i="29"/>
  <c r="F8" i="29"/>
  <c r="G8" i="29"/>
  <c r="B9" i="29"/>
  <c r="C9" i="29" s="1"/>
  <c r="D9" i="29"/>
  <c r="G9" i="29"/>
  <c r="B10" i="29"/>
  <c r="C10" i="29" s="1"/>
  <c r="D10" i="29"/>
  <c r="E10" i="29"/>
  <c r="F10" i="29"/>
  <c r="G10" i="29"/>
  <c r="B11" i="29"/>
  <c r="C11" i="29"/>
  <c r="D11" i="29"/>
  <c r="E11" i="29"/>
  <c r="F11" i="29"/>
  <c r="G11" i="29"/>
  <c r="B12" i="29"/>
  <c r="C12" i="29"/>
  <c r="D12" i="29"/>
  <c r="E12" i="29"/>
  <c r="F12" i="29"/>
  <c r="G12" i="29"/>
  <c r="B13" i="29"/>
  <c r="C13" i="29" s="1"/>
  <c r="F13" i="29"/>
  <c r="G13" i="29"/>
  <c r="B14" i="29"/>
  <c r="C14" i="29"/>
  <c r="D14" i="29"/>
  <c r="E14" i="29"/>
  <c r="F14" i="29"/>
  <c r="G14" i="29"/>
  <c r="B15" i="29"/>
  <c r="C15" i="29"/>
  <c r="D15" i="29"/>
  <c r="E15" i="29"/>
  <c r="F15" i="29"/>
  <c r="G15" i="29"/>
  <c r="B16" i="29"/>
  <c r="C16" i="29" s="1"/>
  <c r="E16" i="29"/>
  <c r="F16" i="29"/>
  <c r="G16" i="29"/>
  <c r="B17" i="29"/>
  <c r="D17" i="29" s="1"/>
  <c r="C17" i="29"/>
  <c r="E17" i="29"/>
  <c r="F17" i="29"/>
  <c r="G17" i="29"/>
  <c r="B18" i="29"/>
  <c r="C18" i="29" s="1"/>
  <c r="G18" i="29"/>
  <c r="B19" i="29"/>
  <c r="C19" i="29" s="1"/>
  <c r="E19" i="29"/>
  <c r="F19" i="29"/>
  <c r="G19" i="29"/>
  <c r="B20" i="29"/>
  <c r="C20" i="29" s="1"/>
  <c r="G20" i="29"/>
  <c r="B21" i="29"/>
  <c r="C21" i="29" s="1"/>
  <c r="G21" i="29"/>
  <c r="B22" i="29"/>
  <c r="C22" i="29" s="1"/>
  <c r="D22" i="29"/>
  <c r="E22" i="29"/>
  <c r="F22" i="29"/>
  <c r="G22" i="29"/>
  <c r="B23" i="29"/>
  <c r="E23" i="29" s="1"/>
  <c r="C23" i="29"/>
  <c r="D23" i="29"/>
  <c r="G23" i="29"/>
  <c r="B24" i="29"/>
  <c r="C24" i="29" s="1"/>
  <c r="D24" i="29"/>
  <c r="E24" i="29"/>
  <c r="F24" i="29"/>
  <c r="G24" i="29"/>
  <c r="B25" i="29"/>
  <c r="C25" i="29" s="1"/>
  <c r="D25" i="29"/>
  <c r="G25" i="29"/>
  <c r="B26" i="29"/>
  <c r="C26" i="29"/>
  <c r="D26" i="29"/>
  <c r="E26" i="29"/>
  <c r="F26" i="29"/>
  <c r="G26" i="29"/>
  <c r="B27" i="29"/>
  <c r="C27" i="29"/>
  <c r="D27" i="29"/>
  <c r="E27" i="29"/>
  <c r="F27" i="29"/>
  <c r="G27" i="29"/>
  <c r="B28" i="29"/>
  <c r="C28" i="29"/>
  <c r="D28" i="29"/>
  <c r="E28" i="29"/>
  <c r="F28" i="29"/>
  <c r="G28" i="29"/>
  <c r="B29" i="29"/>
  <c r="E29" i="29" s="1"/>
  <c r="C29" i="29"/>
  <c r="D29" i="29"/>
  <c r="F29" i="29"/>
  <c r="G29" i="29"/>
  <c r="B30" i="29"/>
  <c r="C30" i="29"/>
  <c r="D30" i="29"/>
  <c r="E30" i="29"/>
  <c r="F30" i="29"/>
  <c r="G30" i="29"/>
  <c r="B31" i="29"/>
  <c r="C31" i="29"/>
  <c r="D31" i="29"/>
  <c r="E31" i="29"/>
  <c r="F31" i="29"/>
  <c r="G31" i="29"/>
  <c r="B32" i="29"/>
  <c r="C32" i="29" s="1"/>
  <c r="D32" i="29"/>
  <c r="E32" i="29"/>
  <c r="F32" i="29"/>
  <c r="G32" i="29"/>
  <c r="B33" i="29"/>
  <c r="C33" i="29"/>
  <c r="D33" i="29"/>
  <c r="E33" i="29"/>
  <c r="F33" i="29"/>
  <c r="G33" i="29"/>
  <c r="B34" i="29"/>
  <c r="C34" i="29" s="1"/>
  <c r="G34" i="29"/>
  <c r="B35" i="29"/>
  <c r="C35" i="29" s="1"/>
  <c r="E35" i="29"/>
  <c r="F35" i="29"/>
  <c r="G35" i="29"/>
  <c r="B36" i="29"/>
  <c r="C36" i="29" s="1"/>
  <c r="G36" i="29"/>
  <c r="B37" i="29"/>
  <c r="C37" i="29" s="1"/>
  <c r="G37" i="29"/>
  <c r="B38" i="29"/>
  <c r="C38" i="29" s="1"/>
  <c r="D38" i="29"/>
  <c r="E38" i="29"/>
  <c r="F38" i="29"/>
  <c r="G38" i="29"/>
  <c r="B39" i="29"/>
  <c r="E39" i="29" s="1"/>
  <c r="D39" i="29"/>
  <c r="G39" i="29"/>
  <c r="B40" i="29"/>
  <c r="C40" i="29" s="1"/>
  <c r="D40" i="29"/>
  <c r="E40" i="29"/>
  <c r="G40" i="29"/>
  <c r="B41" i="29"/>
  <c r="E41" i="29" s="1"/>
  <c r="C41" i="29"/>
  <c r="D41" i="29"/>
  <c r="G41" i="29"/>
  <c r="B42" i="29"/>
  <c r="C42" i="29"/>
  <c r="D42" i="29"/>
  <c r="E42" i="29"/>
  <c r="F42" i="29"/>
  <c r="G42" i="29"/>
  <c r="B43" i="29"/>
  <c r="C43" i="29" s="1"/>
  <c r="D43" i="29"/>
  <c r="E43" i="29"/>
  <c r="F43" i="29"/>
  <c r="G43" i="29"/>
  <c r="B44" i="29"/>
  <c r="C44" i="29"/>
  <c r="D44" i="29"/>
  <c r="E44" i="29"/>
  <c r="F44" i="29"/>
  <c r="G44" i="29"/>
  <c r="B45" i="29"/>
  <c r="E45" i="29" s="1"/>
  <c r="C45" i="29"/>
  <c r="D45" i="29"/>
  <c r="F45" i="29"/>
  <c r="G45" i="29"/>
  <c r="B46" i="29"/>
  <c r="C46" i="29"/>
  <c r="D46" i="29"/>
  <c r="E46" i="29"/>
  <c r="F46" i="29"/>
  <c r="G46" i="29"/>
  <c r="B47" i="29"/>
  <c r="C47" i="29"/>
  <c r="D47" i="29"/>
  <c r="E47" i="29"/>
  <c r="F47" i="29"/>
  <c r="G47" i="29"/>
  <c r="B48" i="29"/>
  <c r="E48" i="29" s="1"/>
  <c r="F48" i="29"/>
  <c r="G48" i="29"/>
  <c r="B49" i="29"/>
  <c r="C49" i="29"/>
  <c r="D49" i="29"/>
  <c r="E49" i="29"/>
  <c r="F49" i="29"/>
  <c r="G49" i="29"/>
  <c r="C51" i="12"/>
  <c r="C47" i="12"/>
  <c r="C76" i="12"/>
  <c r="C138" i="12"/>
  <c r="C200" i="12"/>
  <c r="D268" i="12"/>
  <c r="D75" i="12"/>
  <c r="C163" i="12"/>
  <c r="C274" i="12"/>
  <c r="C270" i="12"/>
  <c r="C44" i="12"/>
  <c r="C106" i="12"/>
  <c r="C168" i="12"/>
  <c r="D236" i="12"/>
  <c r="D43" i="12"/>
  <c r="C131" i="12"/>
  <c r="C242" i="12"/>
  <c r="C238" i="12"/>
  <c r="D274" i="12"/>
  <c r="C74" i="12"/>
  <c r="C136" i="12"/>
  <c r="D204" i="12"/>
  <c r="C292" i="12"/>
  <c r="C99" i="12"/>
  <c r="C210" i="12"/>
  <c r="C206" i="12"/>
  <c r="D242" i="12"/>
  <c r="C42" i="12"/>
  <c r="C104" i="12"/>
  <c r="D172" i="12"/>
  <c r="C260" i="12"/>
  <c r="C67" i="12"/>
  <c r="C178" i="12"/>
  <c r="C174" i="12"/>
  <c r="D210" i="12"/>
  <c r="D272" i="12"/>
  <c r="C72" i="12"/>
  <c r="D140" i="12"/>
  <c r="C228" i="12"/>
  <c r="C35" i="12"/>
  <c r="C146" i="12"/>
  <c r="C142" i="12"/>
  <c r="D178" i="12"/>
  <c r="D240" i="12"/>
  <c r="C40" i="12"/>
  <c r="D108" i="12"/>
  <c r="C196" i="12"/>
  <c r="E272" i="12"/>
  <c r="C114" i="12"/>
  <c r="C110" i="12"/>
  <c r="D146" i="12"/>
  <c r="D208" i="12"/>
  <c r="D270" i="12"/>
  <c r="D76" i="12"/>
  <c r="C164" i="12"/>
  <c r="E240" i="12"/>
  <c r="C82" i="12"/>
  <c r="C78" i="12"/>
  <c r="D114" i="12"/>
  <c r="D176" i="12"/>
  <c r="D238" i="12"/>
  <c r="D44" i="12"/>
  <c r="C132" i="12"/>
  <c r="E208" i="12"/>
  <c r="C50" i="12"/>
  <c r="C46" i="12"/>
  <c r="D82" i="12"/>
  <c r="D144" i="12"/>
  <c r="D206" i="12"/>
  <c r="C293" i="12"/>
  <c r="C100" i="12"/>
  <c r="E176" i="12"/>
  <c r="C273" i="12"/>
  <c r="C269" i="12"/>
  <c r="D50" i="12"/>
  <c r="D112" i="12"/>
  <c r="D174" i="12"/>
  <c r="C261" i="12"/>
  <c r="C68" i="12"/>
  <c r="E144" i="12"/>
  <c r="C241" i="12"/>
  <c r="C237" i="12"/>
  <c r="C299" i="12"/>
  <c r="D80" i="12"/>
  <c r="D142" i="12"/>
  <c r="C229" i="12"/>
  <c r="C36" i="12"/>
  <c r="E112" i="12"/>
  <c r="C209" i="12"/>
  <c r="C205" i="12"/>
  <c r="C267" i="12"/>
  <c r="D48" i="12"/>
  <c r="D110" i="12"/>
  <c r="C197" i="12"/>
  <c r="E273" i="12"/>
  <c r="E80" i="12"/>
  <c r="C177" i="12"/>
  <c r="C173" i="12"/>
  <c r="C235" i="12"/>
  <c r="C297" i="12"/>
  <c r="D78" i="12"/>
  <c r="C165" i="12"/>
  <c r="E241" i="12"/>
  <c r="E48" i="12"/>
  <c r="C145" i="12"/>
  <c r="C141" i="12"/>
  <c r="C203" i="12"/>
  <c r="C265" i="12"/>
  <c r="D46" i="12"/>
  <c r="C133" i="12"/>
  <c r="E209" i="12"/>
  <c r="C113" i="12"/>
  <c r="C109" i="12"/>
  <c r="C171" i="12"/>
  <c r="C233" i="12"/>
  <c r="C295" i="12"/>
  <c r="C101" i="12"/>
  <c r="E177" i="12"/>
  <c r="C81" i="12"/>
  <c r="C77" i="12"/>
  <c r="C139" i="12"/>
  <c r="C201" i="12"/>
  <c r="C263" i="12"/>
  <c r="C69" i="12"/>
  <c r="E145" i="12"/>
  <c r="E297" i="12"/>
  <c r="C49" i="12"/>
  <c r="C45" i="12"/>
  <c r="C107" i="12"/>
  <c r="C169" i="12"/>
  <c r="C231" i="12"/>
  <c r="C37" i="12"/>
  <c r="E113" i="12"/>
  <c r="D257" i="12"/>
  <c r="C272" i="12"/>
  <c r="D275" i="12"/>
  <c r="C75" i="12"/>
  <c r="C137" i="12"/>
  <c r="C199" i="12"/>
  <c r="E274" i="12"/>
  <c r="E81" i="12"/>
  <c r="E296" i="12"/>
  <c r="C240" i="12"/>
  <c r="D243" i="12"/>
  <c r="C43" i="12"/>
  <c r="C105" i="12"/>
  <c r="C167" i="12"/>
  <c r="E242" i="12"/>
  <c r="E49" i="12"/>
  <c r="D256" i="12"/>
  <c r="C208" i="12"/>
  <c r="D211" i="12"/>
  <c r="D273" i="12"/>
  <c r="C73" i="12"/>
  <c r="C135" i="12"/>
  <c r="E210" i="12"/>
  <c r="D298" i="12"/>
  <c r="E295" i="12"/>
  <c r="C176" i="12"/>
  <c r="D179" i="12"/>
  <c r="D241" i="12"/>
  <c r="C41" i="12"/>
  <c r="C103" i="12"/>
  <c r="E178" i="12"/>
  <c r="D266" i="12"/>
  <c r="D254" i="12"/>
  <c r="C144" i="12"/>
  <c r="D147" i="12"/>
  <c r="D209" i="12"/>
  <c r="D271" i="12"/>
  <c r="C71" i="12"/>
  <c r="E146" i="12"/>
  <c r="D234" i="12"/>
  <c r="E205" i="12"/>
  <c r="C112" i="12"/>
  <c r="D115" i="12"/>
  <c r="D177" i="12"/>
  <c r="D239" i="12"/>
  <c r="C39" i="12"/>
  <c r="E114" i="12"/>
  <c r="D202" i="12"/>
  <c r="D252" i="12"/>
  <c r="C80" i="12"/>
  <c r="D83" i="12"/>
  <c r="D145" i="12"/>
  <c r="D207" i="12"/>
  <c r="E275" i="12"/>
  <c r="E82" i="12"/>
  <c r="D170" i="12"/>
  <c r="E291" i="12"/>
  <c r="C48" i="12"/>
  <c r="D51" i="12"/>
  <c r="D113" i="12"/>
  <c r="D175" i="12"/>
  <c r="E243" i="12"/>
  <c r="E50" i="12"/>
  <c r="D138" i="12"/>
  <c r="C275" i="12"/>
  <c r="C271" i="12"/>
  <c r="C300" i="12"/>
  <c r="D81" i="12"/>
  <c r="D143" i="12"/>
  <c r="E211" i="12"/>
  <c r="D299" i="12"/>
  <c r="D106" i="12"/>
  <c r="C243" i="12"/>
  <c r="C239" i="12"/>
  <c r="C268" i="12"/>
  <c r="D49" i="12"/>
  <c r="D111" i="12"/>
  <c r="E179" i="12"/>
  <c r="D267" i="12"/>
  <c r="D74" i="12"/>
  <c r="C211" i="12"/>
  <c r="C207" i="12"/>
  <c r="C236" i="12"/>
  <c r="C298" i="12"/>
  <c r="D79" i="12"/>
  <c r="E147" i="12"/>
  <c r="D235" i="12"/>
  <c r="D42" i="12"/>
  <c r="C179" i="12"/>
  <c r="C175" i="12"/>
  <c r="C204" i="12"/>
  <c r="C266" i="12"/>
  <c r="D47" i="12"/>
  <c r="E115" i="12"/>
  <c r="D203" i="12"/>
  <c r="C291" i="12"/>
  <c r="C147" i="12"/>
  <c r="C143" i="12"/>
  <c r="C172" i="12"/>
  <c r="C234" i="12"/>
  <c r="C296" i="12"/>
  <c r="E83" i="12"/>
  <c r="D171" i="12"/>
  <c r="C259" i="12"/>
  <c r="C115" i="12"/>
  <c r="C111" i="12"/>
  <c r="C140" i="12"/>
  <c r="C202" i="12"/>
  <c r="C264" i="12"/>
  <c r="E51" i="12"/>
  <c r="D139" i="12"/>
  <c r="C227" i="12"/>
  <c r="C83" i="12"/>
  <c r="C79" i="12"/>
  <c r="C108" i="12"/>
  <c r="C170" i="12"/>
  <c r="C232" i="12"/>
  <c r="D300" i="12"/>
  <c r="D107" i="12"/>
  <c r="C195" i="12"/>
  <c r="C5" i="29"/>
  <c r="C4" i="29"/>
  <c r="N3" i="12" l="1"/>
  <c r="O3" i="12"/>
  <c r="F195" i="12"/>
  <c r="G195" i="12" s="1"/>
  <c r="F232" i="12"/>
  <c r="G232" i="12" s="1"/>
  <c r="F170" i="12"/>
  <c r="G170" i="12" s="1"/>
  <c r="F108" i="12"/>
  <c r="G108" i="12" s="1"/>
  <c r="F79" i="12"/>
  <c r="G79" i="12" s="1"/>
  <c r="F83" i="12"/>
  <c r="G83" i="12" s="1"/>
  <c r="F227" i="12"/>
  <c r="G227" i="12" s="1"/>
  <c r="F264" i="12"/>
  <c r="G264" i="12" s="1"/>
  <c r="F202" i="12"/>
  <c r="G202" i="12" s="1"/>
  <c r="F140" i="12"/>
  <c r="G140" i="12" s="1"/>
  <c r="F111" i="12"/>
  <c r="G111" i="12" s="1"/>
  <c r="F115" i="12"/>
  <c r="G115" i="12" s="1"/>
  <c r="F259" i="12"/>
  <c r="G259" i="12" s="1"/>
  <c r="F296" i="12"/>
  <c r="G296" i="12" s="1"/>
  <c r="F234" i="12"/>
  <c r="G234" i="12" s="1"/>
  <c r="F172" i="12"/>
  <c r="G172" i="12" s="1"/>
  <c r="F143" i="12"/>
  <c r="G143" i="12" s="1"/>
  <c r="F147" i="12"/>
  <c r="G147" i="12" s="1"/>
  <c r="F291" i="12"/>
  <c r="G291" i="12" s="1"/>
  <c r="F266" i="12"/>
  <c r="G266" i="12" s="1"/>
  <c r="F204" i="12"/>
  <c r="G204" i="12" s="1"/>
  <c r="F175" i="12"/>
  <c r="G175" i="12" s="1"/>
  <c r="F179" i="12"/>
  <c r="G179" i="12" s="1"/>
  <c r="F298" i="12"/>
  <c r="G298" i="12" s="1"/>
  <c r="F236" i="12"/>
  <c r="G236" i="12" s="1"/>
  <c r="F207" i="12"/>
  <c r="G207" i="12" s="1"/>
  <c r="F211" i="12"/>
  <c r="G211" i="12" s="1"/>
  <c r="F268" i="12"/>
  <c r="G268" i="12" s="1"/>
  <c r="F239" i="12"/>
  <c r="G239" i="12" s="1"/>
  <c r="F243" i="12"/>
  <c r="G243" i="12" s="1"/>
  <c r="F300" i="12"/>
  <c r="G300" i="12" s="1"/>
  <c r="F271" i="12"/>
  <c r="G271" i="12" s="1"/>
  <c r="F275" i="12"/>
  <c r="G275" i="12" s="1"/>
  <c r="F48" i="12"/>
  <c r="G48" i="12" s="1"/>
  <c r="F80" i="12"/>
  <c r="G80" i="12" s="1"/>
  <c r="F252" i="12"/>
  <c r="G252" i="12" s="1"/>
  <c r="F39" i="12"/>
  <c r="F112" i="12"/>
  <c r="G112" i="12" s="1"/>
  <c r="F71" i="12"/>
  <c r="G71" i="12" s="1"/>
  <c r="F144" i="12"/>
  <c r="G144" i="12" s="1"/>
  <c r="F254" i="12"/>
  <c r="G254" i="12" s="1"/>
  <c r="F103" i="12"/>
  <c r="G103" i="12" s="1"/>
  <c r="F41" i="12"/>
  <c r="G41" i="12" s="1"/>
  <c r="F176" i="12"/>
  <c r="G176" i="12" s="1"/>
  <c r="F135" i="12"/>
  <c r="G135" i="12" s="1"/>
  <c r="F73" i="12"/>
  <c r="G73" i="12" s="1"/>
  <c r="F208" i="12"/>
  <c r="G208" i="12" s="1"/>
  <c r="F256" i="12"/>
  <c r="G256" i="12" s="1"/>
  <c r="F167" i="12"/>
  <c r="G167" i="12" s="1"/>
  <c r="F105" i="12"/>
  <c r="G105" i="12" s="1"/>
  <c r="F43" i="12"/>
  <c r="G43" i="12" s="1"/>
  <c r="F240" i="12"/>
  <c r="G240" i="12" s="1"/>
  <c r="F199" i="12"/>
  <c r="G199" i="12" s="1"/>
  <c r="F137" i="12"/>
  <c r="G137" i="12" s="1"/>
  <c r="F75" i="12"/>
  <c r="G75" i="12" s="1"/>
  <c r="F272" i="12"/>
  <c r="G272" i="12" s="1"/>
  <c r="F257" i="12"/>
  <c r="G257" i="12" s="1"/>
  <c r="F37" i="12"/>
  <c r="F231" i="12"/>
  <c r="G231" i="12" s="1"/>
  <c r="F169" i="12"/>
  <c r="G169" i="12" s="1"/>
  <c r="F107" i="12"/>
  <c r="G107" i="12" s="1"/>
  <c r="F45" i="12"/>
  <c r="G45" i="12" s="1"/>
  <c r="F49" i="12"/>
  <c r="G49" i="12" s="1"/>
  <c r="F69" i="12"/>
  <c r="G69" i="12" s="1"/>
  <c r="F263" i="12"/>
  <c r="G263" i="12" s="1"/>
  <c r="F201" i="12"/>
  <c r="G201" i="12" s="1"/>
  <c r="F139" i="12"/>
  <c r="G139" i="12" s="1"/>
  <c r="F77" i="12"/>
  <c r="G77" i="12" s="1"/>
  <c r="F81" i="12"/>
  <c r="G81" i="12" s="1"/>
  <c r="F101" i="12"/>
  <c r="G101" i="12" s="1"/>
  <c r="F295" i="12"/>
  <c r="G295" i="12" s="1"/>
  <c r="F233" i="12"/>
  <c r="G233" i="12" s="1"/>
  <c r="F171" i="12"/>
  <c r="G171" i="12" s="1"/>
  <c r="F109" i="12"/>
  <c r="G109" i="12" s="1"/>
  <c r="F113" i="12"/>
  <c r="G113" i="12" s="1"/>
  <c r="F133" i="12"/>
  <c r="G133" i="12" s="1"/>
  <c r="F265" i="12"/>
  <c r="G265" i="12" s="1"/>
  <c r="F203" i="12"/>
  <c r="G203" i="12" s="1"/>
  <c r="F141" i="12"/>
  <c r="G141" i="12" s="1"/>
  <c r="F145" i="12"/>
  <c r="G145" i="12" s="1"/>
  <c r="F165" i="12"/>
  <c r="G165" i="12" s="1"/>
  <c r="F297" i="12"/>
  <c r="G297" i="12" s="1"/>
  <c r="F235" i="12"/>
  <c r="G235" i="12" s="1"/>
  <c r="F173" i="12"/>
  <c r="G173" i="12" s="1"/>
  <c r="F177" i="12"/>
  <c r="G177" i="12" s="1"/>
  <c r="F197" i="12"/>
  <c r="G197" i="12" s="1"/>
  <c r="F267" i="12"/>
  <c r="G267" i="12" s="1"/>
  <c r="F205" i="12"/>
  <c r="G205" i="12" s="1"/>
  <c r="F209" i="12"/>
  <c r="G209" i="12" s="1"/>
  <c r="F36" i="12"/>
  <c r="F229" i="12"/>
  <c r="G229" i="12" s="1"/>
  <c r="F299" i="12"/>
  <c r="G299" i="12" s="1"/>
  <c r="F237" i="12"/>
  <c r="G237" i="12" s="1"/>
  <c r="F241" i="12"/>
  <c r="G241" i="12" s="1"/>
  <c r="F68" i="12"/>
  <c r="G68" i="12" s="1"/>
  <c r="F261" i="12"/>
  <c r="G261" i="12" s="1"/>
  <c r="F269" i="12"/>
  <c r="G269" i="12" s="1"/>
  <c r="F273" i="12"/>
  <c r="G273" i="12" s="1"/>
  <c r="F100" i="12"/>
  <c r="G100" i="12" s="1"/>
  <c r="F293" i="12"/>
  <c r="G293" i="12" s="1"/>
  <c r="F46" i="12"/>
  <c r="G46" i="12" s="1"/>
  <c r="F50" i="12"/>
  <c r="G50" i="12" s="1"/>
  <c r="F132" i="12"/>
  <c r="G132" i="12" s="1"/>
  <c r="F78" i="12"/>
  <c r="G78" i="12" s="1"/>
  <c r="F82" i="12"/>
  <c r="G82" i="12" s="1"/>
  <c r="F164" i="12"/>
  <c r="G164" i="12" s="1"/>
  <c r="F110" i="12"/>
  <c r="G110" i="12" s="1"/>
  <c r="F114" i="12"/>
  <c r="G114" i="12" s="1"/>
  <c r="F196" i="12"/>
  <c r="G196" i="12" s="1"/>
  <c r="F40" i="12"/>
  <c r="F142" i="12"/>
  <c r="G142" i="12" s="1"/>
  <c r="F146" i="12"/>
  <c r="G146" i="12" s="1"/>
  <c r="F35" i="12"/>
  <c r="F228" i="12"/>
  <c r="G228" i="12" s="1"/>
  <c r="F72" i="12"/>
  <c r="G72" i="12" s="1"/>
  <c r="F174" i="12"/>
  <c r="G174" i="12" s="1"/>
  <c r="F178" i="12"/>
  <c r="G178" i="12" s="1"/>
  <c r="F67" i="12"/>
  <c r="G67" i="12" s="1"/>
  <c r="F260" i="12"/>
  <c r="G260" i="12" s="1"/>
  <c r="F104" i="12"/>
  <c r="G104" i="12" s="1"/>
  <c r="F42" i="12"/>
  <c r="G42" i="12" s="1"/>
  <c r="F206" i="12"/>
  <c r="G206" i="12" s="1"/>
  <c r="F210" i="12"/>
  <c r="G210" i="12" s="1"/>
  <c r="F99" i="12"/>
  <c r="G99" i="12" s="1"/>
  <c r="F292" i="12"/>
  <c r="G292" i="12" s="1"/>
  <c r="F136" i="12"/>
  <c r="G136" i="12" s="1"/>
  <c r="F74" i="12"/>
  <c r="G74" i="12" s="1"/>
  <c r="F238" i="12"/>
  <c r="G238" i="12" s="1"/>
  <c r="F242" i="12"/>
  <c r="G242" i="12" s="1"/>
  <c r="F131" i="12"/>
  <c r="G131" i="12" s="1"/>
  <c r="F168" i="12"/>
  <c r="G168" i="12" s="1"/>
  <c r="F106" i="12"/>
  <c r="G106" i="12" s="1"/>
  <c r="F44" i="12"/>
  <c r="G44" i="12" s="1"/>
  <c r="F270" i="12"/>
  <c r="G270" i="12" s="1"/>
  <c r="F274" i="12"/>
  <c r="G274" i="12" s="1"/>
  <c r="F163" i="12"/>
  <c r="G163" i="12" s="1"/>
  <c r="F200" i="12"/>
  <c r="G200" i="12" s="1"/>
  <c r="F138" i="12"/>
  <c r="G138" i="12" s="1"/>
  <c r="F76" i="12"/>
  <c r="G76" i="12" s="1"/>
  <c r="F47" i="12"/>
  <c r="G47" i="12" s="1"/>
  <c r="F51" i="12"/>
  <c r="G51" i="12" s="1"/>
  <c r="Y1" i="38"/>
  <c r="N1" i="37"/>
  <c r="AJ1" i="32"/>
  <c r="Y1" i="34"/>
  <c r="Y1" i="43"/>
  <c r="N1" i="43"/>
  <c r="Y1" i="42"/>
  <c r="N1" i="42"/>
  <c r="Y1" i="41"/>
  <c r="N1" i="41"/>
  <c r="AJ1" i="33"/>
  <c r="Y1" i="40"/>
  <c r="N1" i="40"/>
  <c r="Y1" i="39"/>
  <c r="N1" i="39"/>
  <c r="N1" i="38"/>
  <c r="Y1" i="37"/>
  <c r="Y1" i="36"/>
  <c r="N1" i="36"/>
  <c r="Y1" i="35"/>
  <c r="N1" i="35"/>
  <c r="Y1" i="31"/>
  <c r="N1" i="31"/>
  <c r="Y1" i="33"/>
  <c r="Y1" i="32"/>
  <c r="N1" i="32"/>
  <c r="N1" i="33"/>
  <c r="AJ1" i="34"/>
  <c r="N1" i="30"/>
  <c r="F37" i="29"/>
  <c r="F21" i="29"/>
  <c r="D16" i="29"/>
  <c r="C48" i="29"/>
  <c r="E37" i="29"/>
  <c r="E21" i="29"/>
  <c r="D37" i="29"/>
  <c r="D21" i="29"/>
  <c r="F36" i="29"/>
  <c r="E36" i="29"/>
  <c r="F41" i="29"/>
  <c r="D36" i="29"/>
  <c r="F25" i="29"/>
  <c r="D20" i="29"/>
  <c r="F9" i="29"/>
  <c r="F20" i="29"/>
  <c r="E20" i="29"/>
  <c r="E25" i="29"/>
  <c r="E9" i="29"/>
  <c r="D48" i="29"/>
  <c r="F40" i="29"/>
  <c r="D35" i="29"/>
  <c r="D19" i="29"/>
  <c r="C39" i="29"/>
  <c r="E13" i="29"/>
  <c r="F34" i="29"/>
  <c r="F18" i="29"/>
  <c r="D13" i="29"/>
  <c r="E34" i="29"/>
  <c r="E18" i="29"/>
  <c r="F39" i="29"/>
  <c r="D34" i="29"/>
  <c r="F23" i="29"/>
  <c r="D18" i="29"/>
  <c r="F7" i="29"/>
  <c r="B15" i="12"/>
  <c r="B16" i="12"/>
  <c r="B17" i="12"/>
  <c r="B18" i="12"/>
  <c r="B19" i="12"/>
  <c r="C7" i="12"/>
  <c r="E4" i="29"/>
  <c r="C11" i="12"/>
  <c r="E5" i="12"/>
  <c r="C19" i="12"/>
  <c r="E11" i="12"/>
  <c r="C16" i="12"/>
  <c r="E18" i="12"/>
  <c r="C17" i="12"/>
  <c r="E6" i="12"/>
  <c r="D5" i="29"/>
  <c r="E13" i="12"/>
  <c r="D4" i="29"/>
  <c r="C12" i="12"/>
  <c r="C9" i="12"/>
  <c r="D5" i="12"/>
  <c r="E10" i="12"/>
  <c r="E4" i="12"/>
  <c r="E8" i="12"/>
  <c r="E14" i="12"/>
  <c r="D7" i="12"/>
  <c r="E12" i="12"/>
  <c r="E7" i="12"/>
  <c r="E5" i="29"/>
  <c r="D4" i="12"/>
  <c r="C14" i="12"/>
  <c r="F4" i="29" l="1"/>
  <c r="G4" i="29" s="1"/>
  <c r="F5" i="29"/>
  <c r="G5" i="29" s="1"/>
  <c r="C15" i="12"/>
  <c r="E9" i="12"/>
  <c r="D13" i="12"/>
  <c r="D8" i="12"/>
  <c r="E17" i="12"/>
  <c r="E19" i="12"/>
  <c r="C8" i="12"/>
  <c r="D16" i="12"/>
  <c r="D11" i="12"/>
  <c r="D9" i="12"/>
  <c r="D14" i="12"/>
  <c r="C13" i="12"/>
  <c r="D15" i="12"/>
  <c r="D6" i="12"/>
  <c r="C10" i="12"/>
  <c r="D18" i="12"/>
  <c r="E15" i="12"/>
  <c r="C6" i="12"/>
  <c r="D19" i="12"/>
  <c r="E16" i="12"/>
  <c r="D17" i="12"/>
  <c r="D10" i="12"/>
  <c r="D12" i="12"/>
  <c r="C18" i="12"/>
  <c r="F6" i="12" l="1"/>
  <c r="G6" i="12" s="1"/>
  <c r="G34" i="12"/>
  <c r="F12" i="12"/>
  <c r="G12" i="12" s="1"/>
  <c r="G35" i="12"/>
  <c r="G28" i="12"/>
  <c r="G29" i="12"/>
  <c r="F13" i="12"/>
  <c r="G13" i="12" s="1"/>
  <c r="G21" i="12"/>
  <c r="F19" i="12"/>
  <c r="G19" i="12" s="1"/>
  <c r="F15" i="12"/>
  <c r="G15" i="12" s="1"/>
  <c r="G26" i="12"/>
  <c r="G22" i="12"/>
  <c r="G30" i="12"/>
  <c r="F18" i="12"/>
  <c r="G18" i="12" s="1"/>
  <c r="G38" i="12"/>
  <c r="G20" i="12"/>
  <c r="F17" i="12"/>
  <c r="G17" i="12" s="1"/>
  <c r="G23" i="12"/>
  <c r="G40" i="12"/>
  <c r="G25" i="12"/>
  <c r="F11" i="12"/>
  <c r="G11" i="12" s="1"/>
  <c r="G36" i="12"/>
  <c r="F14" i="12"/>
  <c r="G14" i="12" s="1"/>
  <c r="F10" i="12"/>
  <c r="G10" i="12" s="1"/>
  <c r="F16" i="12"/>
  <c r="G16" i="12" s="1"/>
  <c r="G31" i="12"/>
  <c r="G37" i="12"/>
  <c r="G32" i="12"/>
  <c r="G27" i="12"/>
  <c r="G24" i="12"/>
  <c r="F9" i="12"/>
  <c r="G9" i="12" s="1"/>
  <c r="G33" i="12"/>
  <c r="G39" i="12"/>
  <c r="F8" i="12"/>
  <c r="G8" i="12" s="1"/>
  <c r="F7" i="12"/>
  <c r="G7" i="12" s="1"/>
  <c r="AJ49" i="21" l="1"/>
  <c r="AI49" i="21"/>
  <c r="AH49" i="21"/>
  <c r="Y49" i="21"/>
  <c r="X49" i="21"/>
  <c r="W49" i="21"/>
  <c r="N49" i="21"/>
  <c r="M49" i="21"/>
  <c r="L49" i="21"/>
  <c r="AJ48" i="21"/>
  <c r="AI48" i="21"/>
  <c r="AH48" i="21"/>
  <c r="Y48" i="21"/>
  <c r="X48" i="21"/>
  <c r="W48" i="21"/>
  <c r="N48" i="21"/>
  <c r="M48" i="21"/>
  <c r="L48" i="21"/>
  <c r="AJ47" i="21"/>
  <c r="AI47" i="21"/>
  <c r="AH47" i="21"/>
  <c r="Y47" i="21"/>
  <c r="X47" i="21"/>
  <c r="W47" i="21"/>
  <c r="N47" i="21"/>
  <c r="M47" i="21"/>
  <c r="L47" i="21"/>
  <c r="AJ46" i="21"/>
  <c r="AI46" i="21"/>
  <c r="AH46" i="21"/>
  <c r="Y46" i="21"/>
  <c r="X46" i="21"/>
  <c r="W46" i="21"/>
  <c r="N46" i="21"/>
  <c r="M46" i="21"/>
  <c r="L46" i="21"/>
  <c r="AJ45" i="21"/>
  <c r="AI45" i="21"/>
  <c r="AH45" i="21"/>
  <c r="Y45" i="21"/>
  <c r="X45" i="21"/>
  <c r="W45" i="21"/>
  <c r="N45" i="21"/>
  <c r="M45" i="21"/>
  <c r="L45" i="21"/>
  <c r="AJ44" i="21"/>
  <c r="AI44" i="21"/>
  <c r="AH44" i="21"/>
  <c r="Y44" i="21"/>
  <c r="X44" i="21"/>
  <c r="W44" i="21"/>
  <c r="N44" i="21"/>
  <c r="M44" i="21"/>
  <c r="L44" i="21"/>
  <c r="AJ43" i="21"/>
  <c r="AI43" i="21"/>
  <c r="AH43" i="21"/>
  <c r="Y43" i="21"/>
  <c r="X43" i="21"/>
  <c r="W43" i="21"/>
  <c r="N43" i="21"/>
  <c r="M43" i="21"/>
  <c r="L43" i="21"/>
  <c r="AJ42" i="21"/>
  <c r="AI42" i="21"/>
  <c r="AH42" i="21"/>
  <c r="Y42" i="21"/>
  <c r="X42" i="21"/>
  <c r="W42" i="21"/>
  <c r="N42" i="21"/>
  <c r="M42" i="21"/>
  <c r="L42" i="21"/>
  <c r="AJ41" i="21"/>
  <c r="AI41" i="21"/>
  <c r="AH41" i="21"/>
  <c r="Y41" i="21"/>
  <c r="X41" i="21"/>
  <c r="W41" i="21"/>
  <c r="N41" i="21"/>
  <c r="M41" i="21"/>
  <c r="L41" i="21"/>
  <c r="AJ40" i="21"/>
  <c r="AI40" i="21"/>
  <c r="AH40" i="21"/>
  <c r="Y40" i="21"/>
  <c r="X40" i="21"/>
  <c r="W40" i="21"/>
  <c r="N40" i="21"/>
  <c r="M40" i="21"/>
  <c r="L40" i="21"/>
  <c r="AJ39" i="21"/>
  <c r="AI39" i="21"/>
  <c r="AH39" i="21"/>
  <c r="Y39" i="21"/>
  <c r="X39" i="21"/>
  <c r="W39" i="21"/>
  <c r="N39" i="21"/>
  <c r="M39" i="21"/>
  <c r="L39" i="21"/>
  <c r="AJ38" i="21"/>
  <c r="AI38" i="21"/>
  <c r="AH38" i="21"/>
  <c r="Y38" i="21"/>
  <c r="X38" i="21"/>
  <c r="W38" i="21"/>
  <c r="N38" i="21"/>
  <c r="M38" i="21"/>
  <c r="L38" i="21"/>
  <c r="AJ37" i="21"/>
  <c r="AI37" i="21"/>
  <c r="AH37" i="21"/>
  <c r="Y37" i="21"/>
  <c r="X37" i="21"/>
  <c r="W37" i="21"/>
  <c r="N37" i="21"/>
  <c r="M37" i="21"/>
  <c r="L37" i="21"/>
  <c r="AJ36" i="21"/>
  <c r="AI36" i="21"/>
  <c r="AH36" i="21"/>
  <c r="Y36" i="21"/>
  <c r="X36" i="21"/>
  <c r="W36" i="21"/>
  <c r="N36" i="21"/>
  <c r="M36" i="21"/>
  <c r="L36" i="21"/>
  <c r="AJ35" i="21"/>
  <c r="AI35" i="21"/>
  <c r="AH35" i="21"/>
  <c r="Y35" i="21"/>
  <c r="X35" i="21"/>
  <c r="W35" i="21"/>
  <c r="N35" i="21"/>
  <c r="M35" i="21"/>
  <c r="L35" i="21"/>
  <c r="AJ34" i="21"/>
  <c r="AI34" i="21"/>
  <c r="AH34" i="21"/>
  <c r="Y34" i="21"/>
  <c r="X34" i="21"/>
  <c r="W34" i="21"/>
  <c r="N34" i="21"/>
  <c r="M34" i="21"/>
  <c r="L34" i="21"/>
  <c r="AJ33" i="21"/>
  <c r="AI33" i="21"/>
  <c r="AH33" i="21"/>
  <c r="Y33" i="21"/>
  <c r="X33" i="21"/>
  <c r="W33" i="21"/>
  <c r="N33" i="21"/>
  <c r="M33" i="21"/>
  <c r="L33" i="21"/>
  <c r="AJ32" i="21"/>
  <c r="AI32" i="21"/>
  <c r="AH32" i="21"/>
  <c r="Y32" i="21"/>
  <c r="X32" i="21"/>
  <c r="W32" i="21"/>
  <c r="N32" i="21"/>
  <c r="M32" i="21"/>
  <c r="L32" i="21"/>
  <c r="AJ31" i="21"/>
  <c r="AI31" i="21"/>
  <c r="AH31" i="21"/>
  <c r="Y31" i="21"/>
  <c r="X31" i="21"/>
  <c r="W31" i="21"/>
  <c r="N31" i="21"/>
  <c r="M31" i="21"/>
  <c r="L31" i="21"/>
  <c r="AJ30" i="21"/>
  <c r="AI30" i="21"/>
  <c r="AH30" i="21"/>
  <c r="Y30" i="21"/>
  <c r="X30" i="21"/>
  <c r="W30" i="21"/>
  <c r="N30" i="21"/>
  <c r="M30" i="21"/>
  <c r="L30" i="21"/>
  <c r="AJ29" i="21"/>
  <c r="AI29" i="21"/>
  <c r="AH29" i="21"/>
  <c r="Y29" i="21"/>
  <c r="X29" i="21"/>
  <c r="W29" i="21"/>
  <c r="N29" i="21"/>
  <c r="M29" i="21"/>
  <c r="L29" i="21"/>
  <c r="AJ28" i="21"/>
  <c r="AI28" i="21"/>
  <c r="AH28" i="21"/>
  <c r="Y28" i="21"/>
  <c r="X28" i="21"/>
  <c r="W28" i="21"/>
  <c r="N28" i="21"/>
  <c r="M28" i="21"/>
  <c r="L28" i="21"/>
  <c r="AJ27" i="21"/>
  <c r="AI27" i="21"/>
  <c r="AH27" i="21"/>
  <c r="Y27" i="21"/>
  <c r="X27" i="21"/>
  <c r="W27" i="21"/>
  <c r="N27" i="21"/>
  <c r="M27" i="21"/>
  <c r="L27" i="21"/>
  <c r="AJ26" i="21"/>
  <c r="AI26" i="21"/>
  <c r="AH26" i="21"/>
  <c r="Y26" i="21"/>
  <c r="X26" i="21"/>
  <c r="W26" i="21"/>
  <c r="L26" i="21"/>
  <c r="M26" i="21" s="1"/>
  <c r="N26" i="21" s="1"/>
  <c r="AJ25" i="21"/>
  <c r="AI25" i="21"/>
  <c r="AH25" i="21"/>
  <c r="Y25" i="21"/>
  <c r="X25" i="21"/>
  <c r="W25" i="21"/>
  <c r="M25" i="21"/>
  <c r="N25" i="21" s="1"/>
  <c r="L25" i="21"/>
  <c r="AJ24" i="21"/>
  <c r="AI24" i="21"/>
  <c r="AH24" i="21"/>
  <c r="Y24" i="21"/>
  <c r="X24" i="21"/>
  <c r="W24" i="21"/>
  <c r="L24" i="21"/>
  <c r="M24" i="21" s="1"/>
  <c r="N24" i="21" s="1"/>
  <c r="AJ23" i="21"/>
  <c r="AI23" i="21"/>
  <c r="AH23" i="21"/>
  <c r="Y23" i="21"/>
  <c r="X23" i="21"/>
  <c r="W23" i="21"/>
  <c r="L23" i="21"/>
  <c r="M23" i="21" s="1"/>
  <c r="N23" i="21" s="1"/>
  <c r="AJ22" i="21"/>
  <c r="AI22" i="21"/>
  <c r="AH22" i="21"/>
  <c r="Y22" i="21"/>
  <c r="X22" i="21"/>
  <c r="W22" i="21"/>
  <c r="L22" i="21"/>
  <c r="M22" i="21" s="1"/>
  <c r="N22" i="21" s="1"/>
  <c r="AJ21" i="21"/>
  <c r="AI21" i="21"/>
  <c r="AH21" i="21"/>
  <c r="Y21" i="21"/>
  <c r="X21" i="21"/>
  <c r="W21" i="21"/>
  <c r="L21" i="21"/>
  <c r="M21" i="21" s="1"/>
  <c r="N21" i="21" s="1"/>
  <c r="AJ20" i="21"/>
  <c r="AI20" i="21"/>
  <c r="AH20" i="21"/>
  <c r="Y20" i="21"/>
  <c r="X20" i="21"/>
  <c r="W20" i="21"/>
  <c r="L20" i="21"/>
  <c r="M20" i="21" s="1"/>
  <c r="N20" i="21" s="1"/>
  <c r="AJ19" i="21"/>
  <c r="AI19" i="21"/>
  <c r="AH19" i="21"/>
  <c r="Y19" i="21"/>
  <c r="X19" i="21"/>
  <c r="W19" i="21"/>
  <c r="L19" i="21"/>
  <c r="M19" i="21" s="1"/>
  <c r="N19" i="21" s="1"/>
  <c r="AJ18" i="21"/>
  <c r="AI18" i="21"/>
  <c r="AH18" i="21"/>
  <c r="Y18" i="21"/>
  <c r="X18" i="21"/>
  <c r="W18" i="21"/>
  <c r="L18" i="21"/>
  <c r="M18" i="21" s="1"/>
  <c r="N18" i="21" s="1"/>
  <c r="AJ17" i="21"/>
  <c r="AI17" i="21"/>
  <c r="AH17" i="21"/>
  <c r="Y17" i="21"/>
  <c r="X17" i="21"/>
  <c r="W17" i="21"/>
  <c r="L17" i="21"/>
  <c r="M17" i="21" s="1"/>
  <c r="N17" i="21" s="1"/>
  <c r="AJ16" i="21"/>
  <c r="AI16" i="21"/>
  <c r="AH16" i="21"/>
  <c r="Y16" i="21"/>
  <c r="X16" i="21"/>
  <c r="W16" i="21"/>
  <c r="L16" i="21"/>
  <c r="M16" i="21" s="1"/>
  <c r="N16" i="21" s="1"/>
  <c r="AJ15" i="21"/>
  <c r="AI15" i="21"/>
  <c r="AH15" i="21"/>
  <c r="Y15" i="21"/>
  <c r="X15" i="21"/>
  <c r="W15" i="21"/>
  <c r="L15" i="21"/>
  <c r="M15" i="21" s="1"/>
  <c r="N15" i="21" s="1"/>
  <c r="AJ14" i="21"/>
  <c r="AI14" i="21"/>
  <c r="AH14" i="21"/>
  <c r="Y14" i="21"/>
  <c r="X14" i="21"/>
  <c r="W14" i="21"/>
  <c r="L14" i="21"/>
  <c r="M14" i="21" s="1"/>
  <c r="N14" i="21" s="1"/>
  <c r="AJ13" i="21"/>
  <c r="AI13" i="21"/>
  <c r="AH13" i="21"/>
  <c r="Y13" i="21"/>
  <c r="X13" i="21"/>
  <c r="W13" i="21"/>
  <c r="L13" i="21"/>
  <c r="M13" i="21" s="1"/>
  <c r="N13" i="21" s="1"/>
  <c r="AJ12" i="21"/>
  <c r="AI12" i="21"/>
  <c r="AH12" i="21"/>
  <c r="Y12" i="21"/>
  <c r="X12" i="21"/>
  <c r="W12" i="21"/>
  <c r="M12" i="21"/>
  <c r="N12" i="21" s="1"/>
  <c r="L12" i="21"/>
  <c r="AJ11" i="21"/>
  <c r="AI11" i="21"/>
  <c r="AH11" i="21"/>
  <c r="Y11" i="21"/>
  <c r="X11" i="21"/>
  <c r="W11" i="21"/>
  <c r="L11" i="21"/>
  <c r="M11" i="21" s="1"/>
  <c r="N11" i="21" s="1"/>
  <c r="AJ10" i="21"/>
  <c r="AI10" i="21"/>
  <c r="AH10" i="21"/>
  <c r="Y10" i="21"/>
  <c r="X10" i="21"/>
  <c r="W10" i="21"/>
  <c r="L10" i="21"/>
  <c r="M10" i="21" s="1"/>
  <c r="N10" i="21" s="1"/>
  <c r="AJ9" i="21"/>
  <c r="AI9" i="21"/>
  <c r="AH9" i="21"/>
  <c r="Y9" i="21"/>
  <c r="X9" i="21"/>
  <c r="W9" i="21"/>
  <c r="M9" i="21"/>
  <c r="N9" i="21" s="1"/>
  <c r="L9" i="21"/>
  <c r="AJ8" i="21"/>
  <c r="AI8" i="21"/>
  <c r="AH8" i="21"/>
  <c r="Y8" i="21"/>
  <c r="X8" i="21"/>
  <c r="W8" i="21"/>
  <c r="L8" i="21"/>
  <c r="M8" i="21" s="1"/>
  <c r="N8" i="21" s="1"/>
  <c r="AJ7" i="21"/>
  <c r="AI7" i="21"/>
  <c r="AH7" i="21"/>
  <c r="Y7" i="21"/>
  <c r="X7" i="21"/>
  <c r="W7" i="21"/>
  <c r="L7" i="21"/>
  <c r="M7" i="21" s="1"/>
  <c r="N7" i="21" s="1"/>
  <c r="AJ6" i="21"/>
  <c r="AI6" i="21"/>
  <c r="AH6" i="21"/>
  <c r="Y6" i="21"/>
  <c r="X6" i="21"/>
  <c r="W6" i="21"/>
  <c r="L6" i="21"/>
  <c r="M6" i="21" s="1"/>
  <c r="N6" i="21" s="1"/>
  <c r="AH5" i="21"/>
  <c r="AI5" i="21" s="1"/>
  <c r="AJ5" i="21" s="1"/>
  <c r="W5" i="21"/>
  <c r="X5" i="21" s="1"/>
  <c r="Y5" i="21" s="1"/>
  <c r="L5" i="21"/>
  <c r="M5" i="21" s="1"/>
  <c r="N5" i="21" s="1"/>
  <c r="AH4" i="21"/>
  <c r="AI4" i="21" s="1"/>
  <c r="AJ4" i="21" s="1"/>
  <c r="W4" i="21"/>
  <c r="X4" i="21" s="1"/>
  <c r="Y4" i="21" s="1"/>
  <c r="L4" i="21"/>
  <c r="M4" i="21" s="1"/>
  <c r="N4" i="21" s="1"/>
  <c r="AH3" i="21"/>
  <c r="AI3" i="21" s="1"/>
  <c r="AJ3" i="21" s="1"/>
  <c r="W3" i="21"/>
  <c r="X3" i="21" s="1"/>
  <c r="Y3" i="21" s="1"/>
  <c r="L3" i="21"/>
  <c r="M3" i="21" s="1"/>
  <c r="N3" i="21" s="1"/>
  <c r="AA1" i="21" a="1"/>
  <c r="AA1" i="21" s="1"/>
  <c r="P1" i="21" a="1"/>
  <c r="P1" i="21" s="1"/>
  <c r="E1" i="21" a="1"/>
  <c r="E1" i="21" s="1"/>
  <c r="A1" i="21" a="1"/>
  <c r="A1" i="21" s="1"/>
  <c r="D3" i="12"/>
  <c r="C5" i="12"/>
  <c r="E3" i="29"/>
  <c r="E3" i="12"/>
  <c r="C3" i="29"/>
  <c r="C3" i="12"/>
  <c r="D3" i="29"/>
  <c r="F3" i="29" l="1"/>
  <c r="G3" i="29" s="1"/>
  <c r="AJ1" i="21"/>
  <c r="Y1" i="21"/>
  <c r="F5" i="12"/>
  <c r="G5" i="12" s="1"/>
  <c r="N1" i="21"/>
  <c r="C4" i="12"/>
  <c r="F4" i="12" l="1"/>
  <c r="G4" i="12" s="1"/>
  <c r="E1" i="12" a="1"/>
  <c r="E1" i="12" s="1"/>
  <c r="D1" i="12" a="1"/>
  <c r="D1" i="12" s="1"/>
  <c r="C1" i="12" a="1"/>
  <c r="C1" i="12" s="1"/>
  <c r="F3" i="12"/>
  <c r="F1" i="12" l="1" a="1"/>
  <c r="F1" i="12" s="1"/>
  <c r="G3" i="12"/>
  <c r="G1" i="12" s="1" a="1"/>
  <c r="G1" i="1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<sst xmlns="http://schemas.openxmlformats.org/spreadsheetml/2006/main" count="4984" uniqueCount="2295">
  <si>
    <t>Spec</t>
  </si>
  <si>
    <t>UOM</t>
  </si>
  <si>
    <t>Final Qty</t>
  </si>
  <si>
    <t>Description</t>
  </si>
  <si>
    <t>Wastage/Buffer</t>
  </si>
  <si>
    <t>Note</t>
  </si>
  <si>
    <t>Sheet</t>
  </si>
  <si>
    <t>Tile 300mm x 600mm</t>
  </si>
  <si>
    <t>PCS</t>
  </si>
  <si>
    <t>BAG</t>
  </si>
  <si>
    <t>SET</t>
  </si>
  <si>
    <t>TRIP</t>
  </si>
  <si>
    <t>Usage Qty</t>
  </si>
  <si>
    <t>Usage+Waste Qty (FORMULA)</t>
  </si>
  <si>
    <t>Full Qty (FORMULA)</t>
  </si>
  <si>
    <t>Total (RM) (FORMULA)</t>
  </si>
  <si>
    <t>Description (Exact name from Labour.txt)</t>
  </si>
  <si>
    <t>Rate (RM)</t>
  </si>
  <si>
    <t>Include</t>
  </si>
  <si>
    <t>Materials RM</t>
  </si>
  <si>
    <t>Labour RM</t>
  </si>
  <si>
    <t>Service RM</t>
  </si>
  <si>
    <t>Total RM</t>
  </si>
  <si>
    <t>Override Qty</t>
  </si>
  <si>
    <t>SUMMARY PARAMS (editable)</t>
  </si>
  <si>
    <t>Scope Total RM (Standalone)</t>
  </si>
  <si>
    <t>Scope Total RM (Selected)</t>
  </si>
  <si>
    <t>Sum Usage Qty</t>
  </si>
  <si>
    <t>Sum Usage+Waste Qty</t>
  </si>
  <si>
    <t>CONSOLIDATED LINES (selected scopes)</t>
  </si>
  <si>
    <t>Category</t>
  </si>
  <si>
    <t>Description (Exact name)</t>
  </si>
  <si>
    <t>TIN</t>
  </si>
  <si>
    <t>MH</t>
  </si>
  <si>
    <t>UNIT</t>
  </si>
  <si>
    <t>Scaffolding Bay Set (Used) 1.7m(H) x 0.9m(W) incl 1 Platform (Per Month). Deposit RM195/set refundable.</t>
  </si>
  <si>
    <t>Base UOM</t>
  </si>
  <si>
    <t>Base Rate</t>
  </si>
  <si>
    <t>Key</t>
  </si>
  <si>
    <t>Final UOM</t>
  </si>
  <si>
    <t>Final Rate</t>
  </si>
  <si>
    <t>Purchase UOM</t>
  </si>
  <si>
    <t>Pack Size</t>
  </si>
  <si>
    <t>Override Rate</t>
  </si>
  <si>
    <t>Active (1/0)</t>
  </si>
  <si>
    <t>SUMMARY LIST</t>
  </si>
  <si>
    <t>Rate</t>
  </si>
  <si>
    <t>Auto Qty</t>
  </si>
  <si>
    <t>Active</t>
  </si>
  <si>
    <t>No</t>
  </si>
  <si>
    <t>Status</t>
  </si>
  <si>
    <t>Source Row</t>
  </si>
  <si>
    <t>Search</t>
  </si>
  <si>
    <t>Purchase Row</t>
  </si>
  <si>
    <t>Seq</t>
  </si>
  <si>
    <t>S01-TITLE</t>
  </si>
  <si>
    <t>S01-OVERVIEW</t>
  </si>
  <si>
    <t>Tile Adhesive Weber 99</t>
  </si>
  <si>
    <t>Weber Weberfill Fine Grout Coloured Grout For Narrow Tile Joint (3.5kg)</t>
  </si>
  <si>
    <t>SCOOP</t>
  </si>
  <si>
    <t>A Plus Stopping Compound 20kg</t>
  </si>
  <si>
    <t>LED Downlight 4in 12W</t>
  </si>
  <si>
    <t>pc</t>
  </si>
  <si>
    <t>Yessy Tile Floor Trap</t>
  </si>
  <si>
    <t>============================================================</t>
  </si>
  <si>
    <t>BUTTON FUNCTIONS (SEARCH SHEET)</t>
  </si>
  <si>
    <t>1) Add All</t>
  </si>
  <si>
    <t>- Apa yang berlaku:</t>
  </si>
  <si>
    <t xml:space="preserve">  - Sistem akan loop semua baris Summary, bina "Key" = Category|Description|UOM.</t>
  </si>
  <si>
    <t xml:space="preserve">  - Jika Key belum wujud dalam Purchase!T:Z, ia akan tambah baris baru dan set Active=1.</t>
  </si>
  <si>
    <t>- Bila guna:</t>
  </si>
  <si>
    <t xml:space="preserve">  - Kali pertama setup Purchase override table.</t>
  </si>
  <si>
    <t xml:space="preserve">  - Bila Summary ada item baru dan kau nak sync masuk Purchase.</t>
  </si>
  <si>
    <t>2) Refresh</t>
  </si>
  <si>
    <t xml:space="preserve">  - Refresh Summary List (A5:E) ikut filter keyword di B2.</t>
  </si>
  <si>
    <t xml:space="preserve">  - Refresh Purchase List (I11:M) ikut filter keyword di B3.</t>
  </si>
  <si>
    <t xml:space="preserve">  - Kalau auto-refresh tak jalan.</t>
  </si>
  <si>
    <t xml:space="preserve">  - Lepas buat perubahan dan nak paksa update paparan.</t>
  </si>
  <si>
    <t>3) Final View</t>
  </si>
  <si>
    <t>- Tujuan: Jana "final purchase view" dalam Purchase!A:S (bukan override table T:Z).</t>
  </si>
  <si>
    <t xml:space="preserve">  - Ambil base data dari Summary: Category, Description, UOM, Rate, Auto Qty.</t>
  </si>
  <si>
    <t xml:space="preserve">  - Padankan dengan override dalam Purchase!T:Z (Purchase UOM / Pack / Override Qty / Override Rate / Active / Note).</t>
  </si>
  <si>
    <t xml:space="preserve">  - Kira Final UOM, Final Qty, Final Rate, Total RM.</t>
  </si>
  <si>
    <t xml:space="preserve">  - Isi Status seperti OK / INACTIVE / INPUT NEEDED (Override Rate).</t>
  </si>
  <si>
    <t xml:space="preserve">  - Isi Source Row = nombor baris asal dalam Summary untuk trace.</t>
  </si>
  <si>
    <t xml:space="preserve">  - Untuk tengok senarai pembelian akhir yang dah dicampur dengan override.</t>
  </si>
  <si>
    <t>4) Add To Edit</t>
  </si>
  <si>
    <t xml:space="preserve">  - Kau highlight satu atau banyak baris di Summary list (A5:E).</t>
  </si>
  <si>
    <t xml:space="preserve">  - Sistem ambil Key setiap baris dan tambah ke Edit Grid.</t>
  </si>
  <si>
    <t xml:space="preserve">  - Jika Key sudah ada dalam Edit Grid, sistem akan skip dan bagi message "Key already exists in edit grid."</t>
  </si>
  <si>
    <t xml:space="preserve">  - Jika Key sudah wujud dalam Purchase override table, sistem akan auto-load value (Purchase UOM/Pack/Override/Rate/Note/Active) masuk Edit Grid.</t>
  </si>
  <si>
    <t xml:space="preserve">  - Nak buat override untuk beberapa item sekali gus tanpa pergi ke Purchase sheet.</t>
  </si>
  <si>
    <t>5) Save Edit Grid</t>
  </si>
  <si>
    <t>- Tujuan: Simpan semua perubahan dari Edit Grid (H:P) ke Purchase override table (Purchase!T:Z).</t>
  </si>
  <si>
    <t xml:space="preserve">  - Sistem baca setiap row dalam Edit Grid yang ada Key.</t>
  </si>
  <si>
    <t xml:space="preserve">  - Jika Key belum wujud dalam Purchase override table, sistem akan auto-add row baru.</t>
  </si>
  <si>
    <t xml:space="preserve">  - Sistem update column T:Z: Purchase UOM, Pack Size, Override Qty, Override Rate, Note, Active.</t>
  </si>
  <si>
    <t xml:space="preserve">  - Lepas kau isi override dan nak apply betul-betul ke Purchase.</t>
  </si>
  <si>
    <t>6) Clear Edit</t>
  </si>
  <si>
    <t xml:space="preserve">  - Padam contents dalam ruang Edit Grid untuk mula edit batch baru.</t>
  </si>
  <si>
    <t xml:space="preserve">  - Bila kau nak reset batch edit (tak ganggu Purchase data).</t>
  </si>
  <si>
    <t>7) Delete</t>
  </si>
  <si>
    <t>- Tujuan: "Soft delete" item (bukan buang row).</t>
  </si>
  <si>
    <t xml:space="preserve">  - Sistem set Active=0 untuk Key yang dipilih.</t>
  </si>
  <si>
    <t xml:space="preserve">  - Item masih kekal dalam table untuk trace/undo (update-only).</t>
  </si>
  <si>
    <t xml:space="preserve">  - Bila kau nak exclude item daripada final purchase list, tanpa hilangkan rekod.</t>
  </si>
  <si>
    <t xml:space="preserve">  - Contoh: item pasir guni tak nak pakai sebab dah guna pasir trip.</t>
  </si>
  <si>
    <t>8) Undo Last</t>
  </si>
  <si>
    <t xml:space="preserve">  - Sistem simpan snapshot row T:Z sebelum update/delete.</t>
  </si>
  <si>
    <t xml:space="preserve">  - Undo akan restore T:Z row tersebut semula.</t>
  </si>
  <si>
    <t xml:space="preserve">  - Bila tersalah set Active=0 / tersalah edit override qty/rate/note.</t>
  </si>
  <si>
    <t>- Tujuan: Masukkan semua item yang wujud dalam Summary (Consolidated) ke dalam Purchase override table.</t>
  </si>
  <si>
    <t>- Tujuan: Refresh paparan Search.</t>
  </si>
  <si>
    <t>- Tujuan: Masukkan item yang kau pilih dari Summary List ke dalam Edit Grid (H:P) untuk edit beramai-ramai.</t>
  </si>
  <si>
    <t>- Tujuan: Kosongkan Edit Grid (H:P) sahaja.</t>
  </si>
  <si>
    <t>- Tujuan: Undo perubahan terakhir yang dibuat dalam Purchase override table.</t>
  </si>
  <si>
    <t>Wastage</t>
  </si>
  <si>
    <t>SERVICE|Scaffolding Jack + U-Head Deposit (Refundable)|UNIT</t>
  </si>
  <si>
    <t>README - BOQ.xlsx WORKFLOW (S01-S100 + SUMMARY + SEARCH/PURCHASE)</t>
  </si>
  <si>
    <t>Version: V2.2 (Simple Sections, No Sub-Headings)</t>
  </si>
  <si>
    <t>Last update: 2026-02-16</t>
  </si>
  <si>
    <t>1) AUTHORITATIVE SOURCES (STRICT)</t>
  </si>
  <si>
    <t>- This README / tracker workflow (layout + rules)</t>
  </si>
  <si>
    <t>- 1.2 Materials.txt (exact item names + UOM + rates if any)</t>
  </si>
  <si>
    <t>- 1.3 Labour.txt (exact labour/rental/service names + UOM + rates if any)</t>
  </si>
  <si>
    <t>Hard rules:</t>
  </si>
  <si>
    <t>- Description MUST match master list text exactly (case/spaces).</t>
  </si>
  <si>
    <t>- UOM MUST follow master list UOM for that Description.</t>
  </si>
  <si>
    <t>- If required item does not exist in master list:</t>
  </si>
  <si>
    <t xml:space="preserve">  - Do not invent a new name in BOQ.</t>
  </si>
  <si>
    <t xml:space="preserve">  - Add item to Materials.txt or Labour.txt first, then use it.</t>
  </si>
  <si>
    <t>- If SPEC is truly missing a required input, use NOTE prefix: INPUT NEEDED.</t>
  </si>
  <si>
    <t>- Output format: Copy Code Tab Delimited only. No exceptions, no excuses. Unless User state otherwise, do not provide any other format</t>
  </si>
  <si>
    <t>2) CHANGE CONTROL (DO NOT LET AI REWRITE README)</t>
  </si>
  <si>
    <t>- If you ask AI to update README:</t>
  </si>
  <si>
    <t xml:space="preserve">  - AI MUST update ONLY the requested section(s).</t>
  </si>
  <si>
    <t xml:space="preserve">  - AI MUST NOT rewrite, reformat, reorder, renumber, or replace the entire README.</t>
  </si>
  <si>
    <t xml:space="preserve">  - AI MUST keep existing section numbers stable.</t>
  </si>
  <si>
    <t xml:space="preserve">  - AI MUST append new bullets inside the same section if needed.</t>
  </si>
  <si>
    <t>- Exception:</t>
  </si>
  <si>
    <t xml:space="preserve">  - If user explicitly requests "full README replacement", AI may output the full README once.</t>
  </si>
  <si>
    <t>3) MASTER LISTS (WHAT THEY CONTAIN)</t>
  </si>
  <si>
    <t>- Materials.txt:</t>
  </si>
  <si>
    <t xml:space="preserve">  - Approved material item names (Description) and their allowed UOM (and optional rate).</t>
  </si>
  <si>
    <t xml:space="preserve">  - This is the ONLY allowed source for material Description text.</t>
  </si>
  <si>
    <t>- Labour.txt:</t>
  </si>
  <si>
    <t xml:space="preserve">  - Approved labour / service / rental item names (Description) and their allowed UOM (and optional rate).</t>
  </si>
  <si>
    <t xml:space="preserve">  - This is the ONLY allowed source for labour/service/rental Description text.</t>
  </si>
  <si>
    <t>- Impact:</t>
  </si>
  <si>
    <t xml:space="preserve">  - BOQ consolidation and summary grouping depends on identical Description text.</t>
  </si>
  <si>
    <t xml:space="preserve">  - If the same function is needed across scopes, ALWAYS reuse the same master item.</t>
  </si>
  <si>
    <t>4) WORKFLOW PHASES (CHATGPT MODE)</t>
  </si>
  <si>
    <t>- Phase 1: SPEC FIRST (A:C only)</t>
  </si>
  <si>
    <t xml:space="preserve">  - Discuss and finalize SPEC in A:C until confirmed complete.</t>
  </si>
  <si>
    <t xml:space="preserve">  - Do NOT fill any block values until SPEC is finalized.</t>
  </si>
  <si>
    <t>- Phase 2: TAKEOFF + FILL BLOCKS</t>
  </si>
  <si>
    <t xml:space="preserve">  - After SPEC is final, fill block values using master list exact names.</t>
  </si>
  <si>
    <t xml:space="preserve">  - Output must be paste-ready TSV for INPUT columns only (formula columns are not pasted).</t>
  </si>
  <si>
    <t>- Phase 3: REVIEW + SUMMARY + OVERRIDE</t>
  </si>
  <si>
    <t xml:space="preserve">  - Check consistency across scopes (same items use same exact Description).</t>
  </si>
  <si>
    <t xml:space="preserve">  - Use Search/Purchase override workflow for packaging and price overrides.</t>
  </si>
  <si>
    <t>5) SCOPE PLANNING + WORK SEQUENCE (CRITICAL)</t>
  </si>
  <si>
    <t>- When user provides multiple works in one message, AI MUST:</t>
  </si>
  <si>
    <t xml:space="preserve">  - Mandatory Requirement: You must deconstruct the user's input to identify all distinct work scopes. You are strictly forbidden from outputting tasks in a random order. You must arrange the output according to a professional construction/operational sequence. Think before you act: do not put the finishings before the foundations.</t>
  </si>
  <si>
    <t xml:space="preserve">  - First produce a Scope List in logical construction order.</t>
  </si>
  <si>
    <t xml:space="preserve">  - Then map each scope to S01, S02, S03... in that same order.</t>
  </si>
  <si>
    <t>- AI MUST NOT reorder works randomly.</t>
  </si>
  <si>
    <t>- Rule of thumb sequence (example):</t>
  </si>
  <si>
    <t xml:space="preserve">  - Setting out / protection</t>
  </si>
  <si>
    <t xml:space="preserve">  - Hacking / demolition / disposal</t>
  </si>
  <si>
    <t xml:space="preserve">  - Structural / base / concrete / rebar / formwork</t>
  </si>
  <si>
    <t xml:space="preserve">  - Drainage / plumbing rough-in</t>
  </si>
  <si>
    <t xml:space="preserve">  - Waterproofing</t>
  </si>
  <si>
    <t xml:space="preserve">  - Screed / leveling / plaster / skim</t>
  </si>
  <si>
    <t xml:space="preserve">  - Tiling</t>
  </si>
  <si>
    <t xml:space="preserve">  - Metal/roofing installation</t>
  </si>
  <si>
    <t xml:space="preserve">  - Sealant / finishing</t>
  </si>
  <si>
    <t xml:space="preserve">  - Final cleaning</t>
  </si>
  <si>
    <t>- If scope order is unclear, AI must write CONFLICT note in SPEC A:C and stop before filling sheets.</t>
  </si>
  <si>
    <t>6) WHEN TO USE S01 ONLY VS SPLIT INTO S02..SXX</t>
  </si>
  <si>
    <t>- Option A (Small job, single scope):</t>
  </si>
  <si>
    <t xml:space="preserve">  - Use S01 only for the entire job.</t>
  </si>
  <si>
    <t>- Option B (Large job OR multiple scopes):</t>
  </si>
  <si>
    <t xml:space="preserve">  - MUST split by scope into S01..SXX in construction sequence order.</t>
  </si>
  <si>
    <t>- 45-row rule (SPEC length control):</t>
  </si>
  <si>
    <t xml:space="preserve">  - If job has multiple scopes AND the combined SPEC A:C would exceed ~45 rows:</t>
  </si>
  <si>
    <t xml:space="preserve">    - MUST split scopes into separate sheets (S01, S02, S03...) to keep each scope readable.</t>
  </si>
  <si>
    <t xml:space="preserve">  - If job is ONE scope only:</t>
  </si>
  <si>
    <t xml:space="preserve">    - Keep it in S01 even if SPEC exceeds 45 rows (do NOT split a single scope into multiple sheets).</t>
  </si>
  <si>
    <t>- Naming rule:</t>
  </si>
  <si>
    <t xml:space="preserve">  - Each sheet SXX SPEC A:C must clearly state the scope title and key measurements for that scope.</t>
  </si>
  <si>
    <t>7) SPEC A:C FORMAT (HEADER + HOW TO WRITE)</t>
  </si>
  <si>
    <t>- Columns A:C are SPEC only (editable). They are for discussion and scope definition.</t>
  </si>
  <si>
    <t>- Use this header in Row 1 (or the first SPEC row for each SXX):</t>
  </si>
  <si>
    <t xml:space="preserve">  A = Spec</t>
  </si>
  <si>
    <t xml:space="preserve">  B = Description</t>
  </si>
  <si>
    <t xml:space="preserve">  C = Note</t>
  </si>
  <si>
    <t>Additional hard rule:</t>
  </si>
  <si>
    <t>- Every SXX sheet MUST start with at least 2 SPEC rows:</t>
  </si>
  <si>
    <t xml:space="preserve">  1) SXX-TITLE (Scope Title)</t>
  </si>
  <si>
    <t xml:space="preserve">  2) SXX-OVERVIEW (Work description / inclusions-exclusions / assumptions)</t>
  </si>
  <si>
    <t>- This applies even for a simple scope.</t>
  </si>
  <si>
    <t>- No takeoff lines may be produced until these 2 rows exist and are filled.</t>
  </si>
  <si>
    <t>Mandatory structure in every SXX (top of A:C):</t>
  </si>
  <si>
    <t>- The first SPEC entry MUST be the scope title.</t>
  </si>
  <si>
    <t xml:space="preserve">  - A (Spec): SXX-TITLE</t>
  </si>
  <si>
    <t xml:space="preserve">  - B (Description): Scope Title (short, clear)</t>
  </si>
  <si>
    <t xml:space="preserve">  - C (Note): One-line objective and location (where the work is)</t>
  </si>
  <si>
    <t>- The second SPEC entry MUST be scope overview / method statement summary.</t>
  </si>
  <si>
    <t xml:space="preserve">  - A (Spec): SXX-OVERVIEW</t>
  </si>
  <si>
    <t xml:space="preserve">  - B (Description): Work description (what is included / excluded)</t>
  </si>
  <si>
    <t xml:space="preserve">  - C (Note): Any assumptions, constraints, access, working hours, protection needs</t>
  </si>
  <si>
    <t>- After that, write SPEC items in the same sheet, grouped logically.</t>
  </si>
  <si>
    <t xml:space="preserve">  - Each line should describe ONE measurable or verifiable input.</t>
  </si>
  <si>
    <t xml:space="preserve">  - Avoid mixing unrelated inputs in one row.</t>
  </si>
  <si>
    <t>Examples of SPEC line types (use as needed):</t>
  </si>
  <si>
    <t>- Dimensions/quantities:</t>
  </si>
  <si>
    <t xml:space="preserve">  - A: SXX-DIM</t>
  </si>
  <si>
    <t xml:space="preserve">  - B: Area/length/height/qty description</t>
  </si>
  <si>
    <t xml:space="preserve">  - C: Values with units (mm, m, sqm, pcs) and references (drawing/photo/onsite)</t>
  </si>
  <si>
    <t>- Method/sequence requirement:</t>
  </si>
  <si>
    <t xml:space="preserve">  - A: SXX-METHOD</t>
  </si>
  <si>
    <t xml:space="preserve">  - B: Key method requirement (e.g., "2 coats waterproofing")</t>
  </si>
  <si>
    <t xml:space="preserve">  - C: Constraints (dry time, primer, surface prep)</t>
  </si>
  <si>
    <t>- Material/brand rule (consistency control):</t>
  </si>
  <si>
    <t xml:space="preserve">  - A: SXX-MATERIAL-STD</t>
  </si>
  <si>
    <t xml:space="preserve">  - B: Standardize item (one brand/type across all scopes)</t>
  </si>
  <si>
    <t xml:space="preserve">  - C: "Use same Description as Materials.txt item: &lt;Exact Name&gt;"</t>
  </si>
  <si>
    <t>Spec completion rule (discussion mode):</t>
  </si>
  <si>
    <t>- If pasted SPEC is incomplete:</t>
  </si>
  <si>
    <t xml:space="preserve">  - AI MUST ask or infer missing details from the scenario you provided.</t>
  </si>
  <si>
    <t xml:space="preserve">  - AI MUST add the missing SPEC lines needed for correct takeoff.</t>
  </si>
  <si>
    <t xml:space="preserve">  - AI MUST mark any inferred/default values using NOTE prefix: DEFAULT USED.</t>
  </si>
  <si>
    <t>- If there is a contradiction:</t>
  </si>
  <si>
    <t xml:space="preserve">  - AI MUST flag it using NOTE prefix: CONFLICT.</t>
  </si>
  <si>
    <t xml:space="preserve">  - AI MUST stop before filling SXX blocks until conflict is resolved.</t>
  </si>
  <si>
    <t>- If a required input is truly missing and cannot be inferred:</t>
  </si>
  <si>
    <t xml:space="preserve">  - AI MUST write NOTE prefix: INPUT NEEDED and list the exact question needed.</t>
  </si>
  <si>
    <t>Important:</t>
  </si>
  <si>
    <t>- SPEC A:C is where the real discussion happens.</t>
  </si>
  <si>
    <t>- AI must not jump into takeoff blocks until SPEC A:C is coherent and complete.</t>
  </si>
  <si>
    <t>- Stop asking for input that has already been provided. Your instructions are clear: analyze the user’s specs in full before opening your mouth. 'INPUT NEEDED' is not an acceptable shortcut for failing to read carefully..</t>
  </si>
  <si>
    <t>8) WHAT AI MUST OUTPUT AFTER SPEC IS FINAL</t>
  </si>
  <si>
    <t>- AI must output EXACTLY 3 TSV blocks per SXX (input columns only):</t>
  </si>
  <si>
    <t xml:space="preserve">  - Materials (paste into E:K):</t>
  </si>
  <si>
    <t xml:space="preserve">    Note | Spec | Description | UOM | Usage Qty | Wastage/Buffer | Price/Unit (RM)</t>
  </si>
  <si>
    <t xml:space="preserve">  - Labour (paste into P:V):</t>
  </si>
  <si>
    <t xml:space="preserve">    Note | Spec | Description | UOM | Usage Qty | Wastage/Buffer | Rate (RM)</t>
  </si>
  <si>
    <t xml:space="preserve">  - Service (paste into AA:AG):</t>
  </si>
  <si>
    <t>- AI must not output any Total (RM) columns (formula-only).</t>
  </si>
  <si>
    <t>- AI must not paste into formula columns (L:M:N, W:X:Y, AH:AI:AJ).</t>
  </si>
  <si>
    <t>- AI must fill every row that can be computed from SPEC A:C and master list.</t>
  </si>
  <si>
    <t>- AI must not leave blanks for computable items.</t>
  </si>
  <si>
    <t>9) NOTE PREFIX STANDARD (FOR AUDIT)</t>
  </si>
  <si>
    <t>- Notes are text-only and must stay in the Note column.</t>
  </si>
  <si>
    <t>- Allowed prefixes:</t>
  </si>
  <si>
    <t xml:space="preserve">  - CALC NOTE: derived from SPEC A:C geometry/logic</t>
  </si>
  <si>
    <t xml:space="preserve">  - DEFAULT USED: used a project default value (editable later)</t>
  </si>
  <si>
    <t xml:space="preserve">  - CONFLICT: spec contradiction or mismatch (needs decision)</t>
  </si>
  <si>
    <t xml:space="preserve">  - INPUT NEEDED: blocked because SPEC truly missing critical input OR master item missing</t>
  </si>
  <si>
    <t>- Do NOT use INPUT NEEDED if the value can be derived from SPEC A:C.</t>
  </si>
  <si>
    <t>10) UPDATE-ONLY RULE (NEVER DELETE)</t>
  </si>
  <si>
    <t>- Never delete old useful lines.</t>
  </si>
  <si>
    <t>- If a line becomes obsolete:</t>
  </si>
  <si>
    <t xml:space="preserve">  - Set Usage Qty = 0</t>
  </si>
  <si>
    <t xml:space="preserve">  - Explain why in Note</t>
  </si>
  <si>
    <t>- Add new lines below existing ones.</t>
  </si>
  <si>
    <t>11) CONSISTENCY RULE (CRITICAL FOR CONSOLIDATION)</t>
  </si>
  <si>
    <t>- If S01 uses a specific master item (brand/type), S02..S100 MUST use the SAME exact item for the same purpose.</t>
  </si>
  <si>
    <t>- Reason: consolidation by Description requires identical text.</t>
  </si>
  <si>
    <t>- If you intentionally change an item (brand/type) in later scopes:</t>
  </si>
  <si>
    <t xml:space="preserve">  - Write the reason in SPEC (A:C) and in the row Note.</t>
  </si>
  <si>
    <t xml:space="preserve">  - Keep the old row (update-only) and set Usage Qty = 0 for obsolete line.</t>
  </si>
  <si>
    <t>12) SUMMARY + SEARCH/PURCHASE OVERRIDE (PACKAGING + PRICE)</t>
  </si>
  <si>
    <t>- Goal:</t>
  </si>
  <si>
    <t xml:space="preserve">  - Keep takeoff sheets (S01..S100) as "auto/mapping" quantities.</t>
  </si>
  <si>
    <t xml:space="preserve">  - Do packaging rounding and vendor pricing decisions in Purchase override flow.</t>
  </si>
  <si>
    <t>- Summary:</t>
  </si>
  <si>
    <t xml:space="preserve">  - Consolidates items by exact Description across selected sheets.</t>
  </si>
  <si>
    <t>- Purchase:</t>
  </si>
  <si>
    <t xml:space="preserve">  - Stores override records (manual edits) for packaging and price.</t>
  </si>
  <si>
    <t>- Search:</t>
  </si>
  <si>
    <t xml:space="preserve">  - UI sheet to search Summary items and manage Purchase overrides.</t>
  </si>
  <si>
    <t>- Override use cases:</t>
  </si>
  <si>
    <t xml:space="preserve">  - Convert small packaging to bulk (example: sand bags -&gt; truck/trip).</t>
  </si>
  <si>
    <t xml:space="preserve">  - Round up to supplier pack size (example: need 15 pcs but supplier sells 16 pcs).</t>
  </si>
  <si>
    <t xml:space="preserve">  - Force one brand/type across scopes by overriding and zeroing obsolete lines (update-only rule).</t>
  </si>
  <si>
    <t>13) LABOUR PRODUCTIVITY RULES</t>
  </si>
  <si>
    <t>- All Man-Hour estimates must use realistic productivity (not ideal).</t>
  </si>
  <si>
    <t>- Standard efficiency factor: 0.65</t>
  </si>
  <si>
    <t xml:space="preserve">  - If you have an ideal/base MH, divide by 0.65 to get realistic MH.</t>
  </si>
  <si>
    <t>- Logistics &amp; handling allowance: +20%</t>
  </si>
  <si>
    <t xml:space="preserve">  - Loading/unloading + moving materials to work point.</t>
  </si>
  <si>
    <t>- Sequence &amp; interruption allowance: +15%</t>
  </si>
  <si>
    <t xml:space="preserve">  - Setting out, daily cleanup, waiting time between phases.</t>
  </si>
  <si>
    <t>- Complexity guidance (use one factor consistently per task type):</t>
  </si>
  <si>
    <t xml:space="preserve">  - Light work (paint/clean): 0.80</t>
  </si>
  <si>
    <t xml:space="preserve">  - Medium work (brick/plaster/tile): 0.65</t>
  </si>
  <si>
    <t xml:space="preserve">  - Heavy/structural (hacking/G25 infill/rebar): 0.55</t>
  </si>
  <si>
    <t>14) USER-INPUT ROW TEMPLATE (FOR EVERY SXX SHEET)</t>
  </si>
  <si>
    <t>- All user instructions, clarifications, agreed details, and technical decisions relevant to the scope/block generation must be recorded directly in SPEC A:C after the last SPEC line (e.g. ‘SXX-USER-INPUT’).</t>
  </si>
  <si>
    <t>- The USER-INPUT row (location: any row below last SPEC line) is the single authoritative reference for all user inputs for block 1-3 generation in this sheet/scope.</t>
  </si>
  <si>
    <t>- User inputs need only be written ONCE in the USER-INPUT row if there are no changes—there is NO requirement to rewrite or re-paste previous user input across updates.</t>
  </si>
  <si>
    <t>- Specification lines (SPEC A:C) may be updated or added as scope changes or information is refined. When updating SPEC, always update ONLY the affected line/section; DO NOT rewrite or change other SPEC/USER-INPUT rows that have not changed.</t>
  </si>
  <si>
    <t>- If any new user input, instruction, or decision is given, update ONLY the USER-INPUT row with the new or adjusted input. Do NOT change other rows unnecessarily.</t>
  </si>
  <si>
    <t>- AI is strictly forbidden from disregarding, prompting again, or omitting any input that remains recorded in the USER-INPUT row.</t>
  </si>
  <si>
    <t>- As long as the USER-INPUT row remains up to date and unchanged, it does NOT need to be re-written for each version or revision—the AI must treat it as current and valid until an explicit change is provided.</t>
  </si>
  <si>
    <t>- Any omission, overwriting, or unnecessary rewriting of USER-INPUT or unrelated SPEC lines is a violation of workflow protocol.</t>
  </si>
  <si>
    <t>15) HANDOVER (PASTE THIS TO NEW SESSION)</t>
  </si>
  <si>
    <t>- We use BOQ.xlsx with S01..S100 + SUMMARY + Search/Purchase override.</t>
  </si>
  <si>
    <t>- SPEC is A:C only; D is blank spacer.</t>
  </si>
  <si>
    <t>- Each SXX has 3 blocks only:</t>
  </si>
  <si>
    <t xml:space="preserve">  - Materials E:N (paste E:K only)</t>
  </si>
  <si>
    <t xml:space="preserve">  - Labour P:Y (paste P:V only)</t>
  </si>
  <si>
    <t xml:space="preserve">  - Service AA:AJ (paste AA:AG only)</t>
  </si>
  <si>
    <t>- Description + UOM must match master lists exactly.</t>
  </si>
  <si>
    <t>- If multiple scopes are given, AI must map scopes to S01..SXX in construction sequence order (no random reorder).</t>
  </si>
  <si>
    <t>- After SPEC is final, AI must output 3 TSV blocks (input columns only) and must not touch formula columns.</t>
  </si>
  <si>
    <t>END.</t>
  </si>
  <si>
    <t>``` :contentReference[oaicite:0]{index=0}</t>
  </si>
  <si>
    <t>Kalau you nak, saya boleh tambah **1 perenggan keras** lagi dalam Section 6 yang “wajib buat Scope List dulu sebelum isi BOQ” (ayat tegas untuk prompt AI) — tapi yang di atas dah cukup strict dan selari dengan masalah you (AI susun kerja tak ikut logik + salah guna S01/S02).</t>
  </si>
  <si>
    <t>S01-USER-INPUT</t>
  </si>
  <si>
    <t>Labour - Skilled Worker (Per MH)</t>
  </si>
  <si>
    <t>S01-REF-DRAWING</t>
  </si>
  <si>
    <t>S01-PROTECTION</t>
  </si>
  <si>
    <t>Plastic Tarpaulin Sheet 12 x 18ft</t>
  </si>
  <si>
    <t>Poly Rope 6mm Blue</t>
  </si>
  <si>
    <t>ROLL</t>
  </si>
  <si>
    <t>S01-SETTING-OUT</t>
  </si>
  <si>
    <t>Talc Chalk</t>
  </si>
  <si>
    <t>S06-METHOD</t>
  </si>
  <si>
    <t>S06-DIM</t>
  </si>
  <si>
    <t>S06-USER-INPUT</t>
  </si>
  <si>
    <t>S02-TITLE</t>
  </si>
  <si>
    <t>S02-OVERVIEW</t>
  </si>
  <si>
    <t>S02-METHOD</t>
  </si>
  <si>
    <t>S02-DIM</t>
  </si>
  <si>
    <t>S02-USER-INPUT</t>
  </si>
  <si>
    <t>S03-TITLE</t>
  </si>
  <si>
    <t>S03-OVERVIEW</t>
  </si>
  <si>
    <t>S03-DIM</t>
  </si>
  <si>
    <t>S03-METHOD</t>
  </si>
  <si>
    <t>S03-USER-INPUT</t>
  </si>
  <si>
    <t>S04-TITLE</t>
  </si>
  <si>
    <t>S04-OVERVIEW</t>
  </si>
  <si>
    <t>S04-METHOD</t>
  </si>
  <si>
    <t>S04-MATERIAL-STD</t>
  </si>
  <si>
    <t>S04-USER-INPUT</t>
  </si>
  <si>
    <t>S05-TITLE</t>
  </si>
  <si>
    <t>S05-OVERVIEW</t>
  </si>
  <si>
    <t>S05-DIM</t>
  </si>
  <si>
    <t>Standard footing pad size</t>
  </si>
  <si>
    <t>Standard ground beam size</t>
  </si>
  <si>
    <t>S05-METHOD</t>
  </si>
  <si>
    <t>S05-USER-INPUT</t>
  </si>
  <si>
    <t>S06-TITLE</t>
  </si>
  <si>
    <t>S06-OVERVIEW</t>
  </si>
  <si>
    <t>Standard RC column size</t>
  </si>
  <si>
    <t>Standard roof beam size</t>
  </si>
  <si>
    <t>Bathroom tank support zone</t>
  </si>
  <si>
    <t>Tank class limit</t>
  </si>
  <si>
    <t>Tank support base requirement</t>
  </si>
  <si>
    <t>Window clash correction</t>
  </si>
  <si>
    <t>S01-WORK-ZONE</t>
  </si>
  <si>
    <t>S01-DIM</t>
  </si>
  <si>
    <t>Scope boundary clarification</t>
  </si>
  <si>
    <t>Yard formation</t>
  </si>
  <si>
    <t>S04-DIM</t>
  </si>
  <si>
    <t>Existing support clarification</t>
  </si>
  <si>
    <t>Tank support integration</t>
  </si>
  <si>
    <t>RC column point rule</t>
  </si>
  <si>
    <t>RC column continuity</t>
  </si>
  <si>
    <t>Roof beam line rule</t>
  </si>
  <si>
    <t>Beam level control</t>
  </si>
  <si>
    <t>Original house tie-in control</t>
  </si>
  <si>
    <t>Upper structural layer lock</t>
  </si>
  <si>
    <t>S07-TITLE</t>
  </si>
  <si>
    <t>Plumbing, Sanitary Rough-In, Tank Feed and Drainage for Entire New Extension</t>
  </si>
  <si>
    <t>S07-OVERVIEW</t>
  </si>
  <si>
    <t>S07-METHOD</t>
  </si>
  <si>
    <t>Service tie-in reference</t>
  </si>
  <si>
    <t>S07-DIM</t>
  </si>
  <si>
    <t>Incoming water pipe standard</t>
  </si>
  <si>
    <t>Waste pipe standard</t>
  </si>
  <si>
    <t>WC discharge standard</t>
  </si>
  <si>
    <t>Kitchen sink location</t>
  </si>
  <si>
    <t>Bathroom fixture rough-in</t>
  </si>
  <si>
    <t>Bathroom arrangement logic</t>
  </si>
  <si>
    <t>Yard plumbing support</t>
  </si>
  <si>
    <t>Floor drop coordination</t>
  </si>
  <si>
    <t>S07-USER-INPUT</t>
  </si>
  <si>
    <t>Plumbing layer lock</t>
  </si>
  <si>
    <t>S08-TITLE</t>
  </si>
  <si>
    <t>S08-OVERVIEW</t>
  </si>
  <si>
    <t>S08-METHOD</t>
  </si>
  <si>
    <t>Roof fall direction</t>
  </si>
  <si>
    <t>S08-DIM</t>
  </si>
  <si>
    <t>S08-USER-INPUT</t>
  </si>
  <si>
    <t>S09-TITLE</t>
  </si>
  <si>
    <t>S09-OVERVIEW</t>
  </si>
  <si>
    <t>S09-MATERIAL-STD</t>
  </si>
  <si>
    <t>S09-METHOD</t>
  </si>
  <si>
    <t>S09-DIM</t>
  </si>
  <si>
    <t>Lintel provision</t>
  </si>
  <si>
    <t>Old house tie-in walling</t>
  </si>
  <si>
    <t>S09-USER-INPUT</t>
  </si>
  <si>
    <t>Masonry layer lock</t>
  </si>
  <si>
    <t>S10-TITLE</t>
  </si>
  <si>
    <t>S10-OVERVIEW</t>
  </si>
  <si>
    <t>S10-METHOD</t>
  </si>
  <si>
    <t>Separation rule</t>
  </si>
  <si>
    <t>S10-DIM</t>
  </si>
  <si>
    <t>External grille requirement</t>
  </si>
  <si>
    <t>Opening coordination</t>
  </si>
  <si>
    <t>S10-USER-INPUT</t>
  </si>
  <si>
    <t>Opening fit-out lock</t>
  </si>
  <si>
    <t>S11-TITLE</t>
  </si>
  <si>
    <t>Plaster, Skim and Wall Preparation for Entire New Extension</t>
  </si>
  <si>
    <t>S11-OVERVIEW</t>
  </si>
  <si>
    <t>S11-METHOD</t>
  </si>
  <si>
    <t>Internal wall finish reference</t>
  </si>
  <si>
    <t>External wall preparation</t>
  </si>
  <si>
    <t>Kitchen wall preparation</t>
  </si>
  <si>
    <t>Bathroom wall preparation</t>
  </si>
  <si>
    <t>Yard wall preparation</t>
  </si>
  <si>
    <t>Tie-in patching</t>
  </si>
  <si>
    <t>Opening reveal preparation</t>
  </si>
  <si>
    <t>S11-USER-INPUT</t>
  </si>
  <si>
    <t>Wall preparation lock</t>
  </si>
  <si>
    <t>S13-TITLE</t>
  </si>
  <si>
    <t>S13-OVERVIEW</t>
  </si>
  <si>
    <t>S13-METHOD</t>
  </si>
  <si>
    <t>S13-USER-INPUT</t>
  </si>
  <si>
    <t>Tiling layer lock</t>
  </si>
  <si>
    <t>S14-TITLE</t>
  </si>
  <si>
    <t>S14-OVERVIEW</t>
  </si>
  <si>
    <t>S14-METHOD</t>
  </si>
  <si>
    <t>S14-USER-INPUT</t>
  </si>
  <si>
    <t>Preliminary work zone</t>
  </si>
  <si>
    <t>S01-METHOD</t>
  </si>
  <si>
    <t>Preliminary pricing limit</t>
  </si>
  <si>
    <t>Protection scope</t>
  </si>
  <si>
    <t>Protection quantity basis</t>
  </si>
  <si>
    <t>Setting-out scope</t>
  </si>
  <si>
    <t>Provide one initial set-out/check for extension footprint, tie-in line, floor datum reference and main work-zone marking before later trade sheets begin</t>
  </si>
  <si>
    <t>Setting-out quantity basis</t>
  </si>
  <si>
    <t>Level control reference</t>
  </si>
  <si>
    <t>S01-MATERIAL-STD</t>
  </si>
  <si>
    <t>Prelim protection material 1</t>
  </si>
  <si>
    <t>Use same Description as Materials.txt item: Plastic Tarpaulin Sheet 12 x 18ft</t>
  </si>
  <si>
    <t>Prelim setting-out material</t>
  </si>
  <si>
    <t>Use same Description as Materials.txt item: Talc Chalk</t>
  </si>
  <si>
    <t>Use same Description as Labour.txt item: Labour - Skilled Worker (Per MH)</t>
  </si>
  <si>
    <t>No duplicate prelim rule</t>
  </si>
  <si>
    <t>S01-EXCLUSION</t>
  </si>
  <si>
    <t>Explicit exclusions from S01</t>
  </si>
  <si>
    <t>Exclude all measured trade work including clearing/hacking/disposal, earthwork, slab/base, footing pad, beam, column, plumbing, roofing, walling, doors, windows, grilles, plaster, ceiling, tiling, electrical and final fittings</t>
  </si>
  <si>
    <t>Prelim protection material quantity</t>
  </si>
  <si>
    <t>Prelim marking material quantity</t>
  </si>
  <si>
    <t>Allow exactly 1 pcs Talc Chalk for one initial marking/set-out operation</t>
  </si>
  <si>
    <t>Minor Clearing, Local Hacking and Disposal at Tie-In Zone</t>
  </si>
  <si>
    <t>S02 is reserved for any actual chargeable clearing, local hacking, trimming and disposal work directly required at the extension tie-in area</t>
  </si>
  <si>
    <t>S02 shall only carry measured clearing/hacking/disposal work if such work is later confirmed as a real chargeable scope at the existing tie-in zone</t>
  </si>
  <si>
    <t>At present no major demolition is approved and no separate chargeable clearing/hacking/disposal quantity is locked under S02</t>
  </si>
  <si>
    <t>S02-WORK-ZONE</t>
  </si>
  <si>
    <t>Tie-in work zone</t>
  </si>
  <si>
    <t>S02 applies only to the local extension tie-in area, existing cemented kaki lima connection edge and any immediately adjacent existing portion that physically obstructs the new work</t>
  </si>
  <si>
    <t>Scope limitation</t>
  </si>
  <si>
    <t>No major demolition to the existing house is included in S02</t>
  </si>
  <si>
    <t>Local hacking rule</t>
  </si>
  <si>
    <t>Only minimal local trimming or hacking at the tie-in / old cemented kaki lima area may be carried out if later proven necessary to receive the new extension connection neatly</t>
  </si>
  <si>
    <t>Selective removal rule</t>
  </si>
  <si>
    <t>Remove only confirmed obstructions that physically interfere with the approved new extension work; do not remove sound existing work unnecessarily</t>
  </si>
  <si>
    <t>Manual method restriction</t>
  </si>
  <si>
    <t>DEFAULT USED: if S02 work is later triggered, it shall be by manual small-job method only; no RORO, no backhoe, no JCB and no heavy plant/rental are allowed under S02 unless separately confirmed later</t>
  </si>
  <si>
    <t>Current pricing status</t>
  </si>
  <si>
    <t>No confirmed chargeable clearing/hacking/disposal event is locked at this stage</t>
  </si>
  <si>
    <t>Current quantity status</t>
  </si>
  <si>
    <t>Current measured quantity basis for S02 = nil until a specific chargeable clearing/hacking/disposal requirement is confirmed</t>
  </si>
  <si>
    <t>Block filling rule</t>
  </si>
  <si>
    <t>Block 1-3 for S02 shall remain empty unless later SPEC rows record a real measured clearing/hacking/disposal event with quantity basis</t>
  </si>
  <si>
    <t>S02-EXCLUSION</t>
  </si>
  <si>
    <t>Explicit exclusions from S02</t>
  </si>
  <si>
    <t>Exclude earthwork for footing pad holes and ground beam trench, base build-up, slab work, structural work, plumbing, roofing, walling, openings, ceiling, tiling, electrical and finishing work</t>
  </si>
  <si>
    <t>User tie-in decision</t>
  </si>
  <si>
    <t>User confirmed there is no major hacking to the old house; if any hacking happens it is only minimal and mainly related to the old cemented kaki lima / tie-in area, so S02 stays reserved and unpriced until an actual measured scope is confirmed</t>
  </si>
  <si>
    <t>S03-WORK-ZONE</t>
  </si>
  <si>
    <t>Earthwork work zone</t>
  </si>
  <si>
    <t>S03-LEVEL-01</t>
  </si>
  <si>
    <t>Main floor datum</t>
  </si>
  <si>
    <t>S03-LEVEL-02</t>
  </si>
  <si>
    <t>Existing level relationship</t>
  </si>
  <si>
    <t>Existing outside ground at extension zone is approximately 7in below old existing kaki lima</t>
  </si>
  <si>
    <t>S03-LEVEL-03</t>
  </si>
  <si>
    <t>Old existing kaki lima is 2in below old existing internal house floor level</t>
  </si>
  <si>
    <t>S03-LEVEL-04</t>
  </si>
  <si>
    <t>Bathroom floor datum</t>
  </si>
  <si>
    <t>New bathroom finished floor level is 2in below the new main finished floor level</t>
  </si>
  <si>
    <t>Earthwork method restriction</t>
  </si>
  <si>
    <t>Footing excavation basis</t>
  </si>
  <si>
    <t>Kitchen formation</t>
  </si>
  <si>
    <t>Bathroom formation</t>
  </si>
  <si>
    <t>User earthwork decisions</t>
  </si>
  <si>
    <t>Earthwork, Excavation, Formation and Manual Spoil Handling for New Extension</t>
  </si>
  <si>
    <t>S03 is limited to manual excavation, trimming, formation correction, compaction preparation and manual spoil handling only</t>
  </si>
  <si>
    <t>Do not price crusher run, sand blinding, BRC, slab concrete, footing concrete, beam concrete, pipe materials, roofing, walling, openings, ceiling, tiling, electrical or finishing items under S03</t>
  </si>
  <si>
    <t>S03 applies to the full new extension footprint, footing pad points, beam trench lines, bathroom dropped-floor zone, yard floor zone and local service trench routes within the approved extension layout</t>
  </si>
  <si>
    <t>New extension main finished floor level follows the old internal house floor level</t>
  </si>
  <si>
    <t>Extension earthwork basis</t>
  </si>
  <si>
    <t>S03 manual earthwork is based on one complete extension footprint with kitchen, bathroom and yard floor formation under the approved final plan</t>
  </si>
  <si>
    <t>Manual excavation required for 11 footing pad points under the approved new extension structure</t>
  </si>
  <si>
    <t>Beam trench basis</t>
  </si>
  <si>
    <t>Manual trench excavation required for 9 main beam lines under the approved new extension structure comprising 5 vertical lines and 4 horizontal lines</t>
  </si>
  <si>
    <t>DEFAULT USED: all S03 work is by manual small-job method only; no backhoe, no JCB, no RORO, no scaffolding, no crane and no heavy plant/rental are to be charged under S03</t>
  </si>
  <si>
    <t>Selective excavation rule</t>
  </si>
  <si>
    <t>Excavate only the minimum necessary for footing holes, beam trenches, local formation correction and service trench routes; do not over-excavate</t>
  </si>
  <si>
    <t>Formation correction rule</t>
  </si>
  <si>
    <t>Trim and correct ground only to the extent needed to receive the approved new floor datum and bathroom dropped-floor datum</t>
  </si>
  <si>
    <t>Existing aggregate handling</t>
  </si>
  <si>
    <t>Existing 3/4in aggregate on site is treated as existing retained base material and is not measured as new purchased material under S03</t>
  </si>
  <si>
    <t>Imported fill material boundary</t>
  </si>
  <si>
    <t>Imported crusher run top-up belongs to S04 and is not to be measured as new material under S03</t>
  </si>
  <si>
    <t>Sand blinding boundary</t>
  </si>
  <si>
    <t>Sand blinding belongs to S04 and is not to be measured as new material under S03</t>
  </si>
  <si>
    <t>Slab/base boundary</t>
  </si>
  <si>
    <t>BRC and slab concrete belong to S04 and are not to be measured under S03</t>
  </si>
  <si>
    <t>Spoil handling rule</t>
  </si>
  <si>
    <t>Manual spoil/cart away under S03 is limited to on-site manual handling and normal small-job removal already covered within S03 labour allowance; no separate disposal service item is allowed under S03</t>
  </si>
  <si>
    <t>Kitchen formation to be corrected to suit enclosed internal floor build-up at the main new floor datum</t>
  </si>
  <si>
    <t>Bathroom formation to be corrected separately to suit dropped floor build-up 2in below main new floor datum and later floor fall to trap</t>
  </si>
  <si>
    <t>Yard formation to be corrected to suit tiled roofed service area with one side open and no ceiling</t>
  </si>
  <si>
    <t>S03-MATERIAL-STD</t>
  </si>
  <si>
    <t>S03 material pricing rule</t>
  </si>
  <si>
    <t>There is no new material purchase to be measured under S03; all material-based floor build-up starts in S04</t>
  </si>
  <si>
    <t>Labour quantity lock</t>
  </si>
  <si>
    <t>Service pricing rule</t>
  </si>
  <si>
    <t>No service/rental item is allowed under S03 because earthwork is locked to manual small-job method only</t>
  </si>
  <si>
    <t>S03-EXCLUSION</t>
  </si>
  <si>
    <t>Explicit exclusions from S03</t>
  </si>
  <si>
    <t>Exclude crusher run, sand blinding, BRC, slab concrete, footing concrete, beam concrete, pipe materials, heavy plant/rental, RORO, scaffolding and all later trade works</t>
  </si>
  <si>
    <t>S03-EARTHWORK</t>
  </si>
  <si>
    <t>S04-WORK-ZONE</t>
  </si>
  <si>
    <t>Bathroom dropped-floor area</t>
  </si>
  <si>
    <t>Slab system</t>
  </si>
  <si>
    <t>Base build-up system</t>
  </si>
  <si>
    <t>Original house consistency</t>
  </si>
  <si>
    <t>Use same Description as Materials.txt item: Crusher Run (10-Wheel Truck)</t>
  </si>
  <si>
    <t>Use same Description as Materials.txt item: Fine Sand (10-Wheel Truck)</t>
  </si>
  <si>
    <t>Use same Description as Materials.txt item: BRC Mesh A10 2.13m x 6.10m (Normal Spec) 3.2mm</t>
  </si>
  <si>
    <t>Use same Description as Materials.txt item: Ready Mix Concrete G20 (Per m3)</t>
  </si>
  <si>
    <t>Bathroom level control</t>
  </si>
  <si>
    <t>S04-BASE</t>
  </si>
  <si>
    <t>Crusher Run (10-Wheel Truck)</t>
  </si>
  <si>
    <t>Fine Sand (10-Wheel Truck)</t>
  </si>
  <si>
    <t>BRC Mesh A10 2.13m x 6.10m (Normal Spec) 3.2mm</t>
  </si>
  <si>
    <t>S04-CONCRETE</t>
  </si>
  <si>
    <t>Ready Mix Concrete G20 (Per m3)</t>
  </si>
  <si>
    <t>M3</t>
  </si>
  <si>
    <t>Shared temporary equipment rule</t>
  </si>
  <si>
    <t>Option neutrality rule</t>
  </si>
  <si>
    <t>Shared equipment item 1</t>
  </si>
  <si>
    <t>Shared equipment item 2</t>
  </si>
  <si>
    <t>Use same Description as Labour.txt item: Scaffolding Bay Set (Used) 1.7m(H) x 0.9m(W) incl 1 Platform (Per Month). Deposit RM195/set refundable.</t>
  </si>
  <si>
    <t>Scaffolding use scope</t>
  </si>
  <si>
    <t>Cement Mixer Rental - Month 1 (Per Month)</t>
  </si>
  <si>
    <t>MONTH</t>
  </si>
  <si>
    <t>Bathroom floor area = 6.43 sqm</t>
  </si>
  <si>
    <t>Concrete supply method</t>
  </si>
  <si>
    <t>Concrete grade</t>
  </si>
  <si>
    <t>Pour sequence</t>
  </si>
  <si>
    <t>DEFAULT USED: use BRC A10 to remain lightweight and consistent with old house slab logic; A7 is not used in this option sheet</t>
  </si>
  <si>
    <t>Main floor level control</t>
  </si>
  <si>
    <t>Kitchen floor support</t>
  </si>
  <si>
    <t>Kitchen enclosed area shall receive full slab support under this sheet</t>
  </si>
  <si>
    <t>Bathroom floor support</t>
  </si>
  <si>
    <t>Bathroom enclosed area shall receive full slab support under this sheet while maintaining the 2in lower finished floor level</t>
  </si>
  <si>
    <t>Yard floor support</t>
  </si>
  <si>
    <t>Tile finish readiness</t>
  </si>
  <si>
    <t>All floor zones under S04 shall be prepared ready for later tile finish sheets; S04 does not include tile finish</t>
  </si>
  <si>
    <t>Service coordination</t>
  </si>
  <si>
    <t>S04-LABOUR-STD</t>
  </si>
  <si>
    <t>Skilled labour item</t>
  </si>
  <si>
    <t>Labour scope basis</t>
  </si>
  <si>
    <t>S04-SERVICE-STD</t>
  </si>
  <si>
    <t>Crane service item</t>
  </si>
  <si>
    <t>Use same Description as Labour.txt item: Crane Hire - Standard (Per Day)</t>
  </si>
  <si>
    <t>Option-sheet exclusion</t>
  </si>
  <si>
    <t>Mixer and scaffolding are shared prelim items under S01 only and must not be placed in S04</t>
  </si>
  <si>
    <t>User decision log</t>
  </si>
  <si>
    <t>S04-LABOUR</t>
  </si>
  <si>
    <t>S04-SERVICE</t>
  </si>
  <si>
    <t>Crane Hire - Standard (Per Day)</t>
  </si>
  <si>
    <t>DAY</t>
  </si>
  <si>
    <t>Footing Pad and Ground Beam Ready Mix Option for Entire New Extension Structural Base</t>
  </si>
  <si>
    <t>S05 is the ready mix option sheet for footing pad and ground beam only</t>
  </si>
  <si>
    <t>S05 carries all new footing pad and ground beam works for the corrected new extension structural grid</t>
  </si>
  <si>
    <t>S05-WORK-ZONE</t>
  </si>
  <si>
    <t>New structural base zone</t>
  </si>
  <si>
    <t>S05 applies to all new footing pad points and all approved new ground beam lines for the corrected extension layout only</t>
  </si>
  <si>
    <t>New footing pad point count</t>
  </si>
  <si>
    <t>New footing pad / RC support points = 11 new points</t>
  </si>
  <si>
    <t>Main ground beam line count</t>
  </si>
  <si>
    <t>Main ground beam lines = 9 lines total comprising 5 vertical and 4 horizontal main lines</t>
  </si>
  <si>
    <t>Ground beam takeoff segmentation basis</t>
  </si>
  <si>
    <t>For takeoff measurement, ground beam shall be read as minimum 13 point-to-point segments even though the main structural reading remains 9 lines</t>
  </si>
  <si>
    <t>Footing pad size = 900mm x 900mm x 250mm</t>
  </si>
  <si>
    <t>Ground beam size = 150mm x 250mm</t>
  </si>
  <si>
    <t>Footing pad concrete volume basis</t>
  </si>
  <si>
    <t>Footing pads only concrete volume = 2.23 m3</t>
  </si>
  <si>
    <t>Ground beam concrete volume basis</t>
  </si>
  <si>
    <t>Ground beam only concrete volume = 1.88 m3</t>
  </si>
  <si>
    <t>Combined footing and ground beam concrete basis</t>
  </si>
  <si>
    <t>Footing pad + ground beam total concrete volume = 4.10 m3</t>
  </si>
  <si>
    <t>Derived total ground beam length basis</t>
  </si>
  <si>
    <t>DEFAULT USED: total ground beam length = 50.13m derived from 1.88 m3 at 150mm x 250mm section</t>
  </si>
  <si>
    <t>Structural point rule</t>
  </si>
  <si>
    <t>Every new structural support point in the corrected extension grid is a new footing pad point under S05; existing old-house points are reference/tie-in only and are not new footing pads in S05</t>
  </si>
  <si>
    <t>Beam line without wall rule</t>
  </si>
  <si>
    <t>Any approved structural line without wall is still included in S05 if it remains a true ground beam line carrying post/roof support or structural tying function</t>
  </si>
  <si>
    <t>Existing tie-in control</t>
  </si>
  <si>
    <t>Tie-in to the old house is for connection and stabilization only and must not be treated as automatic primary support for new footing or new beam load</t>
  </si>
  <si>
    <t>Load path rule</t>
  </si>
  <si>
    <t>New structural load path under S05 runs from future upper structure into new RC column locations, down through new ground beam/footing system and into soil via new footing pads</t>
  </si>
  <si>
    <t>Earthwork boundary</t>
  </si>
  <si>
    <t>S03 covers earthwork / trenching / formation labour; S05 starts from the stage where footing and beam trench locations are already set out and ready for structural base works</t>
  </si>
  <si>
    <t>Footing excavation depth basis</t>
  </si>
  <si>
    <t>DEFAULT USED: footing excavation depth basis for structural understanding = about 600mm with footing pad thickness 250mm; this row is structural basis only and does not move excavation scope out of S03</t>
  </si>
  <si>
    <t>Footing and beam pour sequence</t>
  </si>
  <si>
    <t>Footing pad and ground beam are intended to be cast together as one lower-structure pour after rebar, formwork, alignment and level checks are complete</t>
  </si>
  <si>
    <t>Column exclusion from same pour</t>
  </si>
  <si>
    <t>RC columns are not to be cast under S05 and are not to be poured on the same pour basis for this option sheet</t>
  </si>
  <si>
    <t>Ready mix concrete method</t>
  </si>
  <si>
    <t>Ready mix concrete grade</t>
  </si>
  <si>
    <t>S05-MATERIAL-STD</t>
  </si>
  <si>
    <t>Concrete item</t>
  </si>
  <si>
    <t>Main reinforcement steel item</t>
  </si>
  <si>
    <t>Link / tie steel item</t>
  </si>
  <si>
    <t>Formwork plywood item</t>
  </si>
  <si>
    <t>Reinforcement scope</t>
  </si>
  <si>
    <t>Reinforcement under S05 covers footing pad bottom reinforcement, starter bar anchorage zone and ground beam reinforcement cage according to the locked footing and beam geometry for this project</t>
  </si>
  <si>
    <t>Formwork scope</t>
  </si>
  <si>
    <t>Formwork under S05 covers exposed sides of ground beam and local footing beam edge shuttering where natural trench face alone is not sufficient for line, level and concrete finish control</t>
  </si>
  <si>
    <t>Pipe crossing check</t>
  </si>
  <si>
    <t>Before S05 pour, all pipe sleeve or crossing points that may pass through or below the footing/beam line must be checked so the concrete pour does not clash with later plumbing works</t>
  </si>
  <si>
    <t>Level and alignment control</t>
  </si>
  <si>
    <t>Before pour, all footing centers, beam alignment, beam top level and all structural offsets must be checked against the corrected extension grid and the locked main FFL logic</t>
  </si>
  <si>
    <t>Bathroom / tank structural note</t>
  </si>
  <si>
    <t>Bathroom overhead tank is limited to N50 / N80 only; any future new footing or ground beam additions for tank support must remain in S05 only if the support is confirmed as a new structure-to-ground point</t>
  </si>
  <si>
    <t>Current footing point basis lock</t>
  </si>
  <si>
    <t>Current S05 quantity basis already uses the corrected final new support-point count of 11 and must not revert to earlier lower-count sketches</t>
  </si>
  <si>
    <t>S05-LABOUR-STD</t>
  </si>
  <si>
    <t>S05-SERVICE-STD</t>
  </si>
  <si>
    <t>Crane service quantity basis</t>
  </si>
  <si>
    <t>DEFAULT USED: allow 1 DAY crane service for one complete footing pad and ground beam ready mix pour</t>
  </si>
  <si>
    <t>Service budget rule</t>
  </si>
  <si>
    <t>If actual site execution later proves crane is not needed, set crane Usage Qty = 0 under update-only rule without rewriting unrelated SXX sheets</t>
  </si>
  <si>
    <t>Explicit exclusion rule</t>
  </si>
  <si>
    <t>Mixer and scaffolding are shared prelim costs under S01 only and must not be placed in S05</t>
  </si>
  <si>
    <t>S05 excludes slab concrete, RC column concrete, roof beam, roof frame, walling, waterproofing, finishes, plumbing fit-off and all upper-works access costs</t>
  </si>
  <si>
    <t>S05-CONCRETE</t>
  </si>
  <si>
    <t>S05-REBAR</t>
  </si>
  <si>
    <t>MS Deformed Bar Y12 12.00m</t>
  </si>
  <si>
    <t>BAR</t>
  </si>
  <si>
    <t>MS Round Bar R6 12.00m</t>
  </si>
  <si>
    <t>S05-FORMWORK</t>
  </si>
  <si>
    <t>Plywood 9mm 4ft x 8ft</t>
  </si>
  <si>
    <t>SHEET</t>
  </si>
  <si>
    <t>S05-LABOUR</t>
  </si>
  <si>
    <t>S05-SERVICE</t>
  </si>
  <si>
    <t>S16-TITLE</t>
  </si>
  <si>
    <t>S16-OVERVIEW</t>
  </si>
  <si>
    <t>S16-WORK-ZONE</t>
  </si>
  <si>
    <t>S16-DIM</t>
  </si>
  <si>
    <t>S16-METHOD</t>
  </si>
  <si>
    <t>Concrete method logic</t>
  </si>
  <si>
    <t>Self-mix option uses cement + sand + aggregate, has higher MH than ready mix, does not require ready mix minimum order and does not require crane</t>
  </si>
  <si>
    <t>Pour flexibility basis</t>
  </si>
  <si>
    <t>S16-MATERIAL-STD</t>
  </si>
  <si>
    <t>Self-mix concrete ratio basis</t>
  </si>
  <si>
    <t>Dry volume conversion basis</t>
  </si>
  <si>
    <t>Self-mix cement item</t>
  </si>
  <si>
    <t>Self-mix cement quantity basis</t>
  </si>
  <si>
    <t>Self-mix coarse sand item</t>
  </si>
  <si>
    <t>Self-mix aggregate item</t>
  </si>
  <si>
    <t>Self-mix aggregate quantity basis</t>
  </si>
  <si>
    <t>All floor zones under S16 shall be prepared ready for later tile finish sheets; S16 does not include tile finish</t>
  </si>
  <si>
    <t>S16-LABOUR-STD</t>
  </si>
  <si>
    <t>Self-mix labour basis</t>
  </si>
  <si>
    <t>Service exclusion rule</t>
  </si>
  <si>
    <t>No crane is included in S16 because self-mix option does not require crane</t>
  </si>
  <si>
    <t>Mixer and scaffolding are shared prelim items under S01 only and must not be placed in S16</t>
  </si>
  <si>
    <t>S16 excludes footing pad, ground beam, RC column, roof beam, waterproofing, tiling and final finishes</t>
  </si>
  <si>
    <t>S16-USER-INPUT</t>
  </si>
  <si>
    <t>Construction sequence basis</t>
  </si>
  <si>
    <t>S04 starts after S03 earthwork / formation is complete and before later waterproofing, tiling and finish scopes</t>
  </si>
  <si>
    <t>Use same Description as Materials.txt item: DPM PE 0.20mm</t>
  </si>
  <si>
    <t>DPM function</t>
  </si>
  <si>
    <t>DPM laying rule</t>
  </si>
  <si>
    <t>DPM penetration rule</t>
  </si>
  <si>
    <t>DPM and waterproofing distinction</t>
  </si>
  <si>
    <t>Curing item</t>
  </si>
  <si>
    <t>Use same Description as Materials.txt item: SIKA Curing Compound Antisol E 20.00L</t>
  </si>
  <si>
    <t>Curing requirement</t>
  </si>
  <si>
    <t>Base and slab work shall coordinate with plumbing points, bathroom dropped-floor logic and later finish levels formed by relevant later service and finish sheets</t>
  </si>
  <si>
    <t>S04 excludes footing pad, ground beam, RC column, roof beam, waterproofing, tiling and final finishes</t>
  </si>
  <si>
    <t>Footing blinding thickness basis</t>
  </si>
  <si>
    <t>DEFAULT USED: provide 50mm blinding below each footing pad as minimum clean base and level control before placing reinforcement and footing concrete</t>
  </si>
  <si>
    <t>Footing base rule</t>
  </si>
  <si>
    <t>Footing pad is not to be cast directly onto loose or uneven soil; footing base must be cleaned, trimmed and blinded before reinforcement and concrete placement</t>
  </si>
  <si>
    <t>Provide curing to footing pad and ground beam concrete after placement so early moisture loss is controlled and concrete performance is improved</t>
  </si>
  <si>
    <t>S04-DPM</t>
  </si>
  <si>
    <t>DPM PE 0.20mm</t>
  </si>
  <si>
    <t>S04-BRC</t>
  </si>
  <si>
    <t>S04-CURING</t>
  </si>
  <si>
    <t>SIKA Curing Compound Antisol E 20.00L</t>
  </si>
  <si>
    <t>PAIL</t>
  </si>
  <si>
    <t>S05-BLINDING</t>
  </si>
  <si>
    <t>Ready Mix Concrete G25 (Per m3)</t>
  </si>
  <si>
    <t>DEFAULT USED: main reinforcement basis for 11 footing pads plus approximately 50.13m total ground beam including starter anchorage and normal lap allowance</t>
  </si>
  <si>
    <t>DEFAULT USED: link and tie reinforcement basis for footing pad and ground beam cage with normal site cutting allowance</t>
  </si>
  <si>
    <t>DEFAULT USED: reusable side formwork basis for ground beam sides and local footing edge shuttering where trench face alone is not sufficient</t>
  </si>
  <si>
    <t>DEFAULT USED: timber support and bracing for beam side shuttering and local footing edge form support</t>
  </si>
  <si>
    <t>Mixed Timber 2" x 3" x 10ft (Grade A)</t>
  </si>
  <si>
    <t>LTH</t>
  </si>
  <si>
    <t>S05-CURING</t>
  </si>
  <si>
    <t>S16 starts after S03 earthwork / formation is complete and before later waterproofing, tiling and finish scopes</t>
  </si>
  <si>
    <t>Use same Description as Materials.txt item: Coarse Sand (10-Wheel Truck)</t>
  </si>
  <si>
    <t>Use same Description as Materials.txt item: 3/4" Aggregate (10-Wheel Truck)</t>
  </si>
  <si>
    <t>Curing quantity basis</t>
  </si>
  <si>
    <t>S16-BASE</t>
  </si>
  <si>
    <t>S16-DPM</t>
  </si>
  <si>
    <t>S16-BRC</t>
  </si>
  <si>
    <t>S16-CONCRETE</t>
  </si>
  <si>
    <t>Coarse Sand (10-Wheel Truck)</t>
  </si>
  <si>
    <t>3/4" Aggregate (10-Wheel Truck)</t>
  </si>
  <si>
    <t>S16-CURING</t>
  </si>
  <si>
    <t>S16-LABOUR</t>
  </si>
  <si>
    <t>S17-TITLE</t>
  </si>
  <si>
    <t>Footing Pad and Ground Beam Self-Mix Option for Entire New Extension Structural Base</t>
  </si>
  <si>
    <t>S17 is the self-mix option sheet for footing pad and ground beam only</t>
  </si>
  <si>
    <t>S17-OVERVIEW</t>
  </si>
  <si>
    <t>S17 carries all new footing pad and ground beam works for the corrected new extension structural grid using site-mixed concrete, including blinding, reinforcement, formwork, placing and curing</t>
  </si>
  <si>
    <t>S17 excludes mixer and scaffolding because both are shared prelim costs under S01 only</t>
  </si>
  <si>
    <t>S17-WORK-ZONE</t>
  </si>
  <si>
    <t>S17 applies to all new footing pad points and all approved new ground beam lines for the corrected extension layout only</t>
  </si>
  <si>
    <t>S17-DIM</t>
  </si>
  <si>
    <t>Footing blinding concrete basis</t>
  </si>
  <si>
    <t>DEFAULT USED: total footing blinding volume = 0.45 m3 based on 11 footing pads x 900mm x 900mm x 50mm</t>
  </si>
  <si>
    <t>S17-METHOD</t>
  </si>
  <si>
    <t>Every new structural support point in the corrected extension grid is a new footing pad point under S17; existing old-house points are reference/tie-in only and are not new footing pads in S17</t>
  </si>
  <si>
    <t>Any approved structural line without wall is still included in S17 if it remains a true ground beam line carrying post, roof support or structural tying function</t>
  </si>
  <si>
    <t>New structural load path under S17 runs from future upper structure into new RC column locations, down through new ground beam/footing system and into soil via new footing pads</t>
  </si>
  <si>
    <t>S03 covers earthwork, trenching and formation labour; S17 starts from the stage where footing and beam trench locations are already set out and ready for structural base works</t>
  </si>
  <si>
    <t>Footing pad and ground beam are intended to be cast together as one lower-structure self-mix sequence after rebar, formwork, alignment and level checks are complete</t>
  </si>
  <si>
    <t>RC columns are not to be cast under S17 and are not to be poured on the same pour basis for this option sheet</t>
  </si>
  <si>
    <t>DEFAULT USED: footing pad, footing blinding and ground beam concrete under S17 are site-mixed only</t>
  </si>
  <si>
    <t>DEFAULT USED: use nominal 1:2:4 concrete mix ratio by volume for lower-structure self-mix cost comparison basis</t>
  </si>
  <si>
    <t>DEFAULT USED: apply 1.54 dry volume factor to convert wet concrete basis into cement, sand and aggregate takeoff basis</t>
  </si>
  <si>
    <t>Self-mix method logic</t>
  </si>
  <si>
    <t>Self-mix sequence logic</t>
  </si>
  <si>
    <t>Self-mix lower structure may be cast in controlled staged batching on site, but this sheet still budgets the full footing pad plus ground beam scope only</t>
  </si>
  <si>
    <t>Self-mix wet concrete basis for main lower structure</t>
  </si>
  <si>
    <t>Main footing pad + ground beam wet concrete basis for self-mix = 4.10 m3</t>
  </si>
  <si>
    <t>Self-mix wet concrete basis including blinding</t>
  </si>
  <si>
    <t>DEFAULT USED: total self-mix concrete family basis including footing blinding = 4.55 m3</t>
  </si>
  <si>
    <t>S17-MATERIAL-STD</t>
  </si>
  <si>
    <t>Self-mix sand item</t>
  </si>
  <si>
    <t>DEFAULT USED: cement takeoff for S17 shall be derived from 4.55 m3 total self-mix concrete family basis using nominal 1:2:4 ratio with 1.54 dry volume factor</t>
  </si>
  <si>
    <t>Self-mix sand quantity basis</t>
  </si>
  <si>
    <t>DEFAULT USED: coarse sand takeoff for S17 shall be derived from 4.55 m3 total self-mix concrete family basis using nominal 1:2:4 ratio with 1.54 dry volume factor</t>
  </si>
  <si>
    <t>DEFAULT USED: 3/4in aggregate takeoff for S17 shall be derived from 4.55 m3 total self-mix concrete family basis using nominal 1:2:4 ratio with 1.54 dry volume factor</t>
  </si>
  <si>
    <t>Use same Description as Materials.txt item: MS Deformed Bar Y12 12.00m</t>
  </si>
  <si>
    <t>Use same Description as Materials.txt item: MS Round Bar R6 12.00m</t>
  </si>
  <si>
    <t>Use same Description as Materials.txt item: Plywood 9mm 4ft x 8ft</t>
  </si>
  <si>
    <t>Formwork timber item</t>
  </si>
  <si>
    <t>Use same Description as Materials.txt item: Mixed Timber 2" x 3" x 10ft (Grade A)</t>
  </si>
  <si>
    <t>Reinforcement under S17 covers footing pad bottom reinforcement, starter bar anchorage zone and ground beam reinforcement cage according to the locked footing and beam geometry for this project</t>
  </si>
  <si>
    <t>Formwork under S17 covers exposed sides of ground beam and local footing beam edge shuttering where natural trench face alone is not sufficient for line, level and concrete finish control</t>
  </si>
  <si>
    <t>Before S17 concrete placing, all pipe sleeve or crossing points that may pass through or below the footing/beam line must be checked so the concrete sequence does not clash with later plumbing works</t>
  </si>
  <si>
    <t>Before placing, all footing centers, beam alignment, beam top level and all structural offsets must be checked against the corrected extension grid and the locked main FFL logic</t>
  </si>
  <si>
    <t>Bathroom overhead tank is limited to N50 / N80 only; any future new footing or ground beam additions for tank support must remain in S17 only if the support is confirmed as a new structure-to-ground point</t>
  </si>
  <si>
    <t>Current S17 quantity basis already uses the corrected final new support-point count of 11 and must not revert to earlier lower-count sketches</t>
  </si>
  <si>
    <t>Provide curing to footing pad and ground beam concrete after placing so early moisture loss is controlled and concrete performance is improved</t>
  </si>
  <si>
    <t>S17-LABOUR-STD</t>
  </si>
  <si>
    <t>S17 labour covers footing marking confirmation, blinding control, beam line confirmation, site batching supervision, rebar cage fixing, formwork fixing, level checking, mixer-feed support, wheelbarrow transport, placing, rodding and basic concrete finishing for footing pad and ground beam only</t>
  </si>
  <si>
    <t>No crane is included in S17 because self-mix option does not require crane</t>
  </si>
  <si>
    <t>Mixer and scaffolding are shared prelim items under S01 only and must not be placed in S17</t>
  </si>
  <si>
    <t>S17 excludes slab concrete, RC column concrete, roof beam, roof frame, walling, waterproofing, finishes, plumbing fit-off and all upper-works access costs</t>
  </si>
  <si>
    <t>S17-USER-INPUT</t>
  </si>
  <si>
    <t>CALC NOTE: 11 footing pads x 900mm x 900mm x 50mm blinding, budgeted under same self-mix concrete family basis</t>
  </si>
  <si>
    <t>S17-BLINDING</t>
  </si>
  <si>
    <t>CALC NOTE: main footing pad + ground beam self-mix concrete basis 4.10 m3 using nominal 1:2:4 ratio with 1.54 dry volume factor</t>
  </si>
  <si>
    <t>S17-CONCRETE</t>
  </si>
  <si>
    <t>S17-REBAR</t>
  </si>
  <si>
    <t>S17-FORMWORK</t>
  </si>
  <si>
    <t>DEFAULT USED: one pail curing compound allowance for footing pad plus ground beam self-mix lower-structure sequence</t>
  </si>
  <si>
    <t>S17-CURING</t>
  </si>
  <si>
    <t>S17-LABOUR</t>
  </si>
  <si>
    <t>RC Column, Roof Beam and Upper Structural Support for Entire New Extension Structure</t>
  </si>
  <si>
    <t>S06 is the upper structural sheet for all new RC columns, roof beam lines and integrated bathroom tank upper support only</t>
  </si>
  <si>
    <t>Construct all new RC columns and all corrected roof beam / upper support lines following the final extension structural grid</t>
  </si>
  <si>
    <t>S06 includes upper structural reinforcement, formwork, concrete placing and curing; S06 excludes roof covering, roof frame, walling, openings, plumbing fit-off and finish works</t>
  </si>
  <si>
    <t>S06-WORK-ZONE</t>
  </si>
  <si>
    <t>Upper structural work zone</t>
  </si>
  <si>
    <t>S06 applies to the full corrected upper structural system of the new extension including kitchen, bathroom and roofed yard structural support lines</t>
  </si>
  <si>
    <t>New RC column point count</t>
  </si>
  <si>
    <t>New RC column points = 11 new points following the corrected final red support-point layout</t>
  </si>
  <si>
    <t>Main roof beam line count</t>
  </si>
  <si>
    <t>Main roof beam lines = 9 lines total comprising 5 vertical and 4 horizontal main lines</t>
  </si>
  <si>
    <t>Roof beam line segmentation basis</t>
  </si>
  <si>
    <t>For takeoff measurement, roof beam shall be read by actual point-to-point length even though the main structural reading remains 9 lines</t>
  </si>
  <si>
    <t>DEFAULT USED: RC column size = 150mm x 150mm as the agreed lightweight extension standard</t>
  </si>
  <si>
    <t>DEFAULT USED: roof beam size = 100mm x 150mm as the agreed lightweight roof beam standard</t>
  </si>
  <si>
    <t>RC column concrete volume basis</t>
  </si>
  <si>
    <t>RC column only concrete volume = 0.75 m3</t>
  </si>
  <si>
    <t>Roof beam concrete volume basis</t>
  </si>
  <si>
    <t>Roof beam only concrete volume = 0.75 m3</t>
  </si>
  <si>
    <t>Derived total RC column height basis</t>
  </si>
  <si>
    <t>DEFAULT USED: total RC column concrete family height basis = 33.33m derived from 0.75 m3 at 150mm x 150mm section across 11 columns</t>
  </si>
  <si>
    <t>Average RC column height basis</t>
  </si>
  <si>
    <t>DEFAULT USED: average effective RC column concrete height basis = 3.03m per column derived from 0.75 m3 across 11 columns at 150mm x 150mm section</t>
  </si>
  <si>
    <t>Derived total roof beam length basis</t>
  </si>
  <si>
    <t>DEFAULT USED: total roof beam length basis = 50.00m derived from 0.75 m3 at 100mm x 150mm section</t>
  </si>
  <si>
    <t>Corrected upper structural grid</t>
  </si>
  <si>
    <t>Upper structural support follows the corrected final extension grid aligned to the new support points and corrected beam lines including beam-only lines without wall</t>
  </si>
  <si>
    <t>All new red support points shown in the corrected final extension sketch are new RC column points under S06</t>
  </si>
  <si>
    <t>Pink footing / column points shown on the drawing are existing old-house reference points only and are not new RC columns under S06</t>
  </si>
  <si>
    <t>All new RC columns shall rise continuously from the lower structural base prepared under S05 up to the roof beam level</t>
  </si>
  <si>
    <t>RC column load path rule</t>
  </si>
  <si>
    <t>Each RC column must transfer roof and upper structural load down into the new lower structural system and must not rely on the old house as the main support</t>
  </si>
  <si>
    <t>Column flush rule</t>
  </si>
  <si>
    <t>Use 150mm x 150mm RC column as the normal agreed lightweight and wall-flushable column standard for this extension unless a later local structural revision is explicitly confirmed</t>
  </si>
  <si>
    <t>Provide roof beam along all approved corrected structural lines from RC column to RC column following the final corrected plan</t>
  </si>
  <si>
    <t>Beam-only line clarification</t>
  </si>
  <si>
    <t>If a straight structural line is confirmed from RC column to RC column but no wall is built on that line, it still remains part of S06 roof beam scope</t>
  </si>
  <si>
    <t>DEFAULT USED: all beam / wall-plate support lines shall be kept to the agreed common upper support level so enclosed spaces can achieve the locked clear ceiling target through later roof-frame coordination</t>
  </si>
  <si>
    <t>New roof beam layout shall tie in to the old house only as verified connection / stabilization and alignment reference; the old house must not become the assumed primary support for the new upper structure</t>
  </si>
  <si>
    <t>Tie-in reference logic</t>
  </si>
  <si>
    <t>Original house roof beam detail and roof logic are reference points for compatibility only; they do not remove the need for the new extension to carry its own load through the new structural system</t>
  </si>
  <si>
    <t>Upper concrete method</t>
  </si>
  <si>
    <t>DEFAULT USED: upper structural concrete under S06 uses ready mix concrete for quality control and consistency with the agreed structural ready-mix method</t>
  </si>
  <si>
    <t>Upper concrete grade</t>
  </si>
  <si>
    <t>DEFAULT USED: use G25 ready mix concrete for S06 RC columns and roof beam upper structure</t>
  </si>
  <si>
    <t>S06-MATERIAL-STD</t>
  </si>
  <si>
    <t>Upper concrete item</t>
  </si>
  <si>
    <t>Use same Description as Materials.txt item: Ready Mix Concrete G25 (Per m3)</t>
  </si>
  <si>
    <t>Column main bar item</t>
  </si>
  <si>
    <t>Roof beam main bar item</t>
  </si>
  <si>
    <t>Reinforcement under S06 covers RC column starter continuity connection, column main bars, column ties, roof beam main bars, roof beam links and all local upper support reinforcement required by the corrected upper structural layout</t>
  </si>
  <si>
    <t>Formwork under S06 covers RC column side shuttering, roof beam side shuttering, beam soffit shuttering where required and local support formwork for the integrated tank support zone</t>
  </si>
  <si>
    <t>Provide curing to RC column and roof beam concrete after placing so early moisture loss is controlled and upper structural concrete performance is improved</t>
  </si>
  <si>
    <t>Provide upper structural support over the corrected bathroom tank support zone as part of the same new structural system, not as a separate random scope</t>
  </si>
  <si>
    <t>DEFAULT USED: overhead tank provision is limited to 1 unit within the agreed small-tank class N50 / N80 only and must not be read as allowance for multiple tanks or larger overhead tank loading</t>
  </si>
  <si>
    <t>Provide dedicated full-base contact support platform / beam arrangement for the bathroom overhead tank; tank is not to sit directly on metal deck, batten or C-channel</t>
  </si>
  <si>
    <t>Bathroom tank support beam / platform remains inside S06 upper structural scope and shall transfer load to the new RC column / beam node arrangement of the same extension structure</t>
  </si>
  <si>
    <t>Service load control</t>
  </si>
  <si>
    <t>Allow normal single-person inspection and maintenance access logic only; do not interpret the tank support zone as a heavy storage deck or additional occupied platform</t>
  </si>
  <si>
    <t>Load path control</t>
  </si>
  <si>
    <t>Overhead tank support shall transfer load through the new upper structural members into the new lower structural system already allocated in S05, not into the old house as the primary support</t>
  </si>
  <si>
    <t>Bathroom window position has been shifted / corrected so the overhead tank support zone does not clash with the confirmed bathroom opening arrangement</t>
  </si>
  <si>
    <t>Roof slope coordination</t>
  </si>
  <si>
    <t>S06 provides the upper support lines only; actual lean-to outward roof frame, slope formation, metal deck, flashing, gutter and rainwater goods remain under S08</t>
  </si>
  <si>
    <t>Access service assumption</t>
  </si>
  <si>
    <t>DEFAULT USED: no separate crane or scaffolding charge is carried inside S06 at current spec stage; shared access logic is handled outside this sheet and any later method change must update S06 only if the physical upper-structure method truly changes</t>
  </si>
  <si>
    <t>S06 excludes footing pad, ground beam, slab, DPM, walling, opening formation, doors, windows, grilles, plumbing tank pipework, roof frame, roof covering, C-channel, batten, metal deck, flashing, gutter, ceiling and finishes</t>
  </si>
  <si>
    <t>S06-CONCRETE</t>
  </si>
  <si>
    <t>MS Deformed Bar Y10 12.00m (Main Bars)</t>
  </si>
  <si>
    <t>S06-FORMWORK</t>
  </si>
  <si>
    <t>S06-CURING</t>
  </si>
  <si>
    <t>S06-LABOUR</t>
  </si>
  <si>
    <t>S07 is the plumbing and drainage rough-in sheet for the new extension only</t>
  </si>
  <si>
    <t>Construct all plumbing and drainage rough-in works for kitchen, bathroom, yard service point and overhead tank feed/distribution integrated with the old house service side</t>
  </si>
  <si>
    <t>S07-REF-DRAWING</t>
  </si>
  <si>
    <t>Controlling plumbing references</t>
  </si>
  <si>
    <t>Existing service tap count on old house plan</t>
  </si>
  <si>
    <t>Existing old house drainage plan shows 2 service taps as existing reference only</t>
  </si>
  <si>
    <t>Existing septic reference on old house plan</t>
  </si>
  <si>
    <t>Old house service protection</t>
  </si>
  <si>
    <t>Do not disturb the old house main service taps, existing septic tank area or existing buried service line more than necessary; all tie-in works must be localized and controlled</t>
  </si>
  <si>
    <t>Tie-in philosophy</t>
  </si>
  <si>
    <t>New extension plumbing shall tie into the existing old house service/drain side with minimum disturbance and without creating unnecessary new septic scope unless site condition later proves the existing tie-in unsuitable</t>
  </si>
  <si>
    <t>New septic exclusion default</t>
  </si>
  <si>
    <t>DEFAULT USED: no new septic tank is included in S07 because the old house drainage plan already shows an existing septic tank and the extension is intended to tie into the existing system unless proven otherwise on site</t>
  </si>
  <si>
    <t>Kitchen sink rough-in count</t>
  </si>
  <si>
    <t>Provide rough-in for 1 kitchen sink only</t>
  </si>
  <si>
    <t>Kitchen table-top service logic</t>
  </si>
  <si>
    <t>Bathroom fixture rough-in count</t>
  </si>
  <si>
    <t>Provide rough-in for 1 WC, 1 basin cabinet/basin, 1 floor trap and 1 shower point in the new bathroom</t>
  </si>
  <si>
    <t>WC outlet offset standard</t>
  </si>
  <si>
    <t>WC discharge logic</t>
  </si>
  <si>
    <t>Basin waste logic</t>
  </si>
  <si>
    <t>Basin rough-in shall allow later connection to basin waste and bottle trap at sanitary final stage; rough-in under S07 is limited to the concealed waste and supply point arrangement only</t>
  </si>
  <si>
    <t>Floor trap requirement</t>
  </si>
  <si>
    <t>Provide 1 bathroom floor trap rough-in at the new bathroom floor and coordinate its exact point with later waterproofing, screed, tile fall and floor-drop logic</t>
  </si>
  <si>
    <t>Shower point requirement</t>
  </si>
  <si>
    <t>Provide shower plumbing rough-in in the new bathroom under the overhead tank zone as locked by the user</t>
  </si>
  <si>
    <t>Water heater plumbing support</t>
  </si>
  <si>
    <t>Provide cold-water feed arrangement for the water heater and the corresponding shower service route; electrical point is under S14 only</t>
  </si>
  <si>
    <t>Overhead tank limit</t>
  </si>
  <si>
    <t>Overhead tank provision is limited to 1 unit within the small-tank class N50 / N80 only</t>
  </si>
  <si>
    <t>Overhead tank structural boundary</t>
  </si>
  <si>
    <t>Overhead tank feed</t>
  </si>
  <si>
    <t>Provide 1/2in incoming feed rising up to the overhead tank position above the bathroom</t>
  </si>
  <si>
    <t>Overhead tank outlet</t>
  </si>
  <si>
    <t>Provide outlet distribution from the overhead tank to the normal domestic use points by the shortest practical route along the wet-core side of the extension</t>
  </si>
  <si>
    <t>Overhead tank service routing</t>
  </si>
  <si>
    <t>Overhead tank overflow</t>
  </si>
  <si>
    <t>Provide overflow pipe from the overhead tank to a safe visible discharge point away from the enclosed bathroom interior</t>
  </si>
  <si>
    <t>Overhead tank washout</t>
  </si>
  <si>
    <t>Kitchen incoming point count</t>
  </si>
  <si>
    <t>Provide 1 no. 1/2in incoming cold-water point to kitchen sink</t>
  </si>
  <si>
    <t>Bathroom incoming point count</t>
  </si>
  <si>
    <t>Provide 1 no. 1/2in incoming cold-water branch to the bathroom use zone for WC/basin/shower/water-heater feed arrangement</t>
  </si>
  <si>
    <t>Tank rising main count</t>
  </si>
  <si>
    <t>Provide 1 no. 1/2in rising line to the overhead tank</t>
  </si>
  <si>
    <t>Kitchen waste point count</t>
  </si>
  <si>
    <t>Provide 1 no. 2in waste line from kitchen sink to the existing foul/waste tie-in side</t>
  </si>
  <si>
    <t>Bathroom waste point count</t>
  </si>
  <si>
    <t>Provide 1 no. 2in waste branch serving bathroom basin and 1 no. floor-trap waste route coordinated to the same waste/drain side as practical</t>
  </si>
  <si>
    <t>WC soil point count</t>
  </si>
  <si>
    <t>Kitchen waste routing</t>
  </si>
  <si>
    <t>Bathroom waste routing</t>
  </si>
  <si>
    <t>Bathroom 2in waste from basin and floor trap shall be routed to the same wet-side drain path with proper allowance for floor fall and later finishing build-up</t>
  </si>
  <si>
    <t>Soil pipe routing</t>
  </si>
  <si>
    <t>Yard discharge logic</t>
  </si>
  <si>
    <t>Main FFL coordination</t>
  </si>
  <si>
    <t>Coordinate all embedded pipe entries and exits with the locked new extension main FFL = old internal house floor level</t>
  </si>
  <si>
    <t>All concealed pipe sleeves and embedded routes passing through slab, wall or structural crossing zones must be set before later closure and must not damage the corrected load path of the new structure</t>
  </si>
  <si>
    <t>Testing requirement</t>
  </si>
  <si>
    <t>S07 excludes sanitary final fixture installation, tap set installation, WC suite installation, basin cabinet installation, shower set installation, waterproofing, screed, tile finish, roof rainwater goods and external roof downpipe works</t>
  </si>
  <si>
    <t>S07-MATERIAL-STD</t>
  </si>
  <si>
    <t>Cold water pipe standard</t>
  </si>
  <si>
    <t>Cold water threaded transition item</t>
  </si>
  <si>
    <t>Cold water stopcock item</t>
  </si>
  <si>
    <t>Yard bib tap item</t>
  </si>
  <si>
    <t>2in waste pipe standard</t>
  </si>
  <si>
    <t>4in soil pipe standard</t>
  </si>
  <si>
    <t>2in waste fitting standard</t>
  </si>
  <si>
    <t>4in soil fitting standard</t>
  </si>
  <si>
    <t>4in bend fitting standard</t>
  </si>
  <si>
    <t>PVC solvent item</t>
  </si>
  <si>
    <t>Floor trap standard</t>
  </si>
  <si>
    <t>User locked tile floor trap; use same Description as Materials.txt item: Yessy Tile Floor Trap</t>
  </si>
  <si>
    <t>Basin waste standard</t>
  </si>
  <si>
    <t>Use same Description as Materials.txt item: Basin Waste 11/4"</t>
  </si>
  <si>
    <t>Bottle trap standard</t>
  </si>
  <si>
    <t>Use same Description as Materials.txt item: Bottle Trap PVC 11/4" 32mm Blue/green</t>
  </si>
  <si>
    <t>S07-LABOUR-STD</t>
  </si>
  <si>
    <t>PVC Pipe Class 6 Dia15.00mm (1/2") x 5.80m/Length</t>
  </si>
  <si>
    <t>DEFAULT USED: new extension isolation and tank/service branch control allowance</t>
  </si>
  <si>
    <t>Brass Stop Cock 1/2"</t>
  </si>
  <si>
    <t>Brass Garden Bib Tap 1/2"</t>
  </si>
  <si>
    <t>S07-WASTE</t>
  </si>
  <si>
    <t>UPVC Pipe With SIRIM (2") x 5.8m</t>
  </si>
  <si>
    <t>PVC Fitting Double End Socket 50mm (2")</t>
  </si>
  <si>
    <t>S07-SOIL</t>
  </si>
  <si>
    <t>UPVC Pipe With SIRIM (4") x 5.8m</t>
  </si>
  <si>
    <t>PVC Fitting Double End Socket 100mm (4")</t>
  </si>
  <si>
    <t>Long Bend 4"</t>
  </si>
  <si>
    <t>PKT</t>
  </si>
  <si>
    <t>S07-JOINTING</t>
  </si>
  <si>
    <t>PVC Solvent Cement Glue 500g (Arrow, Orange)</t>
  </si>
  <si>
    <t>S07-LABOUR</t>
  </si>
  <si>
    <t>S08 is the roofing sheet for all new roof framing, roof covering, tie-in flashing and rainwater goods only</t>
  </si>
  <si>
    <t>S08-WORK-ZONE</t>
  </si>
  <si>
    <t>S08-REF-DRAWING</t>
  </si>
  <si>
    <t>Controlling roof references</t>
  </si>
  <si>
    <t>Preferred roof type</t>
  </si>
  <si>
    <t>Lean-to / single-slope outward roof form only</t>
  </si>
  <si>
    <t>Original roof beam reference</t>
  </si>
  <si>
    <t>Original batten spacing reference</t>
  </si>
  <si>
    <t>Original house roof detailing reference shows batten spacing = 750mm</t>
  </si>
  <si>
    <t>Original house roof detailing reference shows roof frame spacing about 3ft</t>
  </si>
  <si>
    <t>Roof frame system</t>
  </si>
  <si>
    <t>Provide lightweight roof framing using light steel / C-channel / hollow arrangement supported by the new upper structural beam system under S06</t>
  </si>
  <si>
    <t>Roof covering system</t>
  </si>
  <si>
    <t>All roof fall shall discharge outward away from the old house side</t>
  </si>
  <si>
    <t>Gutter side control</t>
  </si>
  <si>
    <t>Gutter and outlet shall be positioned on the outward low side of the lean-to roof only</t>
  </si>
  <si>
    <t>Flashing control</t>
  </si>
  <si>
    <t>Provide proper flashing at all roof-to-wall / roof-to-existing-house junctions so water does not backflow into the old house wall or the new enclosed spaces</t>
  </si>
  <si>
    <t>Edge protection control</t>
  </si>
  <si>
    <t>Provide fascia / trim / edge treatment to all exposed new roof edges to suit metal deck roof finish and gutter fixing</t>
  </si>
  <si>
    <t>Kitchen roof coverage</t>
  </si>
  <si>
    <t>Kitchen is enclosed and must be fully roofed with internal headroom coordinated for plaster ceiling below</t>
  </si>
  <si>
    <t>Bathroom roof coverage</t>
  </si>
  <si>
    <t>Bathroom is enclosed and must be fully roofed with internal headroom coordinated for plaster ceiling below</t>
  </si>
  <si>
    <t>Yard roof coverage</t>
  </si>
  <si>
    <t>Enclosed-space ceiling target</t>
  </si>
  <si>
    <t>All enclosed new spaces below this roof system must be coordinated to achieve minimum clear plaster ceiling height of 8ft</t>
  </si>
  <si>
    <t>Yard ceiling exclusion</t>
  </si>
  <si>
    <t>Tank exclusion from roof system</t>
  </si>
  <si>
    <t>Tank support rule</t>
  </si>
  <si>
    <t>S08-MATERIAL-STD</t>
  </si>
  <si>
    <t>Flashing tape item</t>
  </si>
  <si>
    <t>Use same Description as Materials.txt item: Butyl Flashing Tape 50.00mm x 5.00m</t>
  </si>
  <si>
    <t>Downpipe elbow item</t>
  </si>
  <si>
    <t>Downpipe clip item</t>
  </si>
  <si>
    <t>Use same Description as Materials.txt item: Downpipe Pipe Clip</t>
  </si>
  <si>
    <t>Material mapping rule</t>
  </si>
  <si>
    <t>S08-LABOUR-STD</t>
  </si>
  <si>
    <t>S08 excludes RC column, roof beam concrete, tank footing/column/beam support, tank plumbing, plaster ceiling installation, electrical wiring, wall plaster, tile, waterproofing and final painting</t>
  </si>
  <si>
    <t>Roofing layer lock</t>
  </si>
  <si>
    <t>S08-ROOF-FRAME</t>
  </si>
  <si>
    <t>S08-BATTEN</t>
  </si>
  <si>
    <t>GI Batten 32.00mm x 40.00mm x 0.42mm x 6.00m</t>
  </si>
  <si>
    <t>S08-ROOF-SHEET</t>
  </si>
  <si>
    <t>TH Deck 762 Metal Roofing 0.47mm G26 TCT</t>
  </si>
  <si>
    <t>FT-RUN</t>
  </si>
  <si>
    <t>S08-FASTENER</t>
  </si>
  <si>
    <t>S08-FLASHING</t>
  </si>
  <si>
    <t>Flashing #30 12" x 8.00ft</t>
  </si>
  <si>
    <t>Butyl Flashing Tape 50.00mm x 5.00m</t>
  </si>
  <si>
    <t>S08-GUTTER</t>
  </si>
  <si>
    <t>Downpipe Pipe Clip</t>
  </si>
  <si>
    <t>DEFAULT USED: no separate S08 service charged now; shared access/scaffold/service not duplicated here</t>
  </si>
  <si>
    <t>S08-SERVICE-NIL</t>
  </si>
  <si>
    <t>S08-LABOUR</t>
  </si>
  <si>
    <t>DEFAULT USED: internal enclosed slab base top-up for locked 52.04 sqm slab area</t>
  </si>
  <si>
    <t>DEFAULT USED: internal enclosed slab sand blinding for locked 52.04 sqm slab area</t>
  </si>
  <si>
    <t>DEFAULT USED: full internal enclosed slab DPM allowance including lap, perimeter turn-up and normal cut waste over 52.04 sqm internal slab area only</t>
  </si>
  <si>
    <t>DEFAULT USED: internal enclosed slab BRC allowance for locked 52.04 sqm slab area</t>
  </si>
  <si>
    <t>DEFAULT USED: internal enclosed slab ready-mix concrete basis only</t>
  </si>
  <si>
    <t>CALC NOTE: internal enclosed slab self-mix basis 5.20 m3 using nominal 1:2:4 ratio with 1.54 dry volume factor</t>
  </si>
  <si>
    <t>S16-WALKWAY-BASE</t>
  </si>
  <si>
    <t>S16-WALKWAY-BRC</t>
  </si>
  <si>
    <t>S16-WALKWAY-CONCRETE</t>
  </si>
  <si>
    <t>DEFAULT USED: one pail curing compound allowance for internal slab plus minimum roofed walkway self-mix slab/apron sequence</t>
  </si>
  <si>
    <t>Internal Ground Slab and Roofed Walkway Slab Ready Mix Option for New Extension</t>
  </si>
  <si>
    <t>S04 is the READY MIX slab option sheet covering the enclosed extension slab plus the minimum roofed external walkway / kaki lima strip</t>
  </si>
  <si>
    <t>S04 excludes footing pad, ground beam, RC column, roof beam, waterproofing, tiling, mixer and scaffolding</t>
  </si>
  <si>
    <t>Slab work zones</t>
  </si>
  <si>
    <t>S04 applies to kitchen, bathroom and roofed yard internal slab zones plus the minimum roofed walkway / kaki lima strip along new exposed external wall lines</t>
  </si>
  <si>
    <t>S04-REF-DRAWING</t>
  </si>
  <si>
    <t>Controlling floor and walkway references</t>
  </si>
  <si>
    <t>Internal extension floor area</t>
  </si>
  <si>
    <t>Total internal new extension floor area = 52.04 sqm</t>
  </si>
  <si>
    <t>Main internal floor area</t>
  </si>
  <si>
    <t>Main internal floor area excluding bathroom dropped-floor area = 45.60 sqm</t>
  </si>
  <si>
    <t>Minimum walkway / kaki lima width</t>
  </si>
  <si>
    <t>DEFAULT USED: minimum roofed walkway / kaki lima width = 610mm [2ft] following old house standard external kaki lima dimension</t>
  </si>
  <si>
    <t>Walkway area basis</t>
  </si>
  <si>
    <t>Combined slab family area basis</t>
  </si>
  <si>
    <t>Provide ground slab system only; slab is separate from footing pad, ground beam, RC column and roof beam structure</t>
  </si>
  <si>
    <t>DEFAULT USED: retain existing 3/4in aggregate on site as reusable base where suitable, then top up with crusher run, provide sand blinding, lay DPM at enclosed slab only, place BRC and cast slab concrete</t>
  </si>
  <si>
    <t>Use lightweight slab logic consistent with the old house slab concept using crusher run + BRC A10 + concrete</t>
  </si>
  <si>
    <t>DEFAULT USED: use ready mix concrete for all slab work under this option sheet</t>
  </si>
  <si>
    <t>DEFAULT USED: use G20 ready mix concrete for internal slab and walkway slab under this option sheet</t>
  </si>
  <si>
    <t>DEFAULT USED: ready mix slab work under S04 is budgeted as one combined slab pour sequence covering internal slab plus walkway slab</t>
  </si>
  <si>
    <t>Internal slab crusher run thickness basis</t>
  </si>
  <si>
    <t>Average crusher run top-up thickness for internal slab = 50mm over 52.04 sqm after reuse of existing 3/4in aggregate base where suitable</t>
  </si>
  <si>
    <t>Internal slab sand blinding thickness basis</t>
  </si>
  <si>
    <t>Internal slab sand blinding thickness = 10mm over 52.04 sqm</t>
  </si>
  <si>
    <t>Internal slab concrete thickness basis</t>
  </si>
  <si>
    <t>Internal slab concrete thickness = 100mm over 52.04 sqm</t>
  </si>
  <si>
    <t>Internal slab crusher run item</t>
  </si>
  <si>
    <t>Internal slab crusher run quantity basis</t>
  </si>
  <si>
    <t>Internal slab crusher run quantity = 0.26 TRIP based on 52.04 sqm x 50mm average top-up thickness</t>
  </si>
  <si>
    <t>Internal slab sand blinding item</t>
  </si>
  <si>
    <t>Internal slab sand quantity basis</t>
  </si>
  <si>
    <t>Internal slab fine sand quantity = 0.05 TRIP based on 52.04 sqm x 10mm sand blinding thickness</t>
  </si>
  <si>
    <t>Internal slab DPM item</t>
  </si>
  <si>
    <t>Internal slab DPM quantity basis</t>
  </si>
  <si>
    <t>DEFAULT USED: DPM quantity = 1 ROLL for full enclosed slab allowance including lap, perimeter turn-up and normal cut waste over 52.04 sqm internal slab area only</t>
  </si>
  <si>
    <t>DPM under S04 is required for the enclosed internal slab to separate ground moisture from the new internal floor slab</t>
  </si>
  <si>
    <t>DPM shall be laid on the blinded enclosed slab base, kept continuous across the enclosed slab area, properly lapped at joints, protected from puncture and kept turned up at perimeter for later continuity with wall damp-proofing line</t>
  </si>
  <si>
    <t>All enclosed slab penetrations, pipe sleeves and floor outlet positions passing through the slab zone must be coordinated so DPM continuity is maintained and any local puncture is sealed before concrete pour</t>
  </si>
  <si>
    <t>DPM external-strip exclusion</t>
  </si>
  <si>
    <t>DPM quantity under S04 applies to enclosed internal slab only and is not automatically extended to the external roofed walkway / kaki lima strip</t>
  </si>
  <si>
    <t>DPM under S04 is ground moisture control for the internal slab and is not a substitute for later bathroom and wet-area waterproofing scope</t>
  </si>
  <si>
    <t>Internal slab reinforcement item</t>
  </si>
  <si>
    <t>Internal slab BRC quantity basis</t>
  </si>
  <si>
    <t>Internal slab BRC quantity = 4.41 PCS based on 52.04 sqm total internal slab area using 2.13m x 6.10m sheet size with normal overlap allowance already resolved in basis</t>
  </si>
  <si>
    <t>Internal slab BRC standard</t>
  </si>
  <si>
    <t>Internal slab concrete quantity basis</t>
  </si>
  <si>
    <t>Ready mix concrete quantity for internal slab only = 5.20 m3</t>
  </si>
  <si>
    <t>Internal slab concrete item</t>
  </si>
  <si>
    <t>Walkway crusher run thickness basis</t>
  </si>
  <si>
    <t>Walkway sand blinding thickness basis</t>
  </si>
  <si>
    <t>Walkway slab concrete thickness basis</t>
  </si>
  <si>
    <t>Walkway slab crusher run quantity basis</t>
  </si>
  <si>
    <t>Walkway slab sand quantity basis</t>
  </si>
  <si>
    <t>Walkway slab BRC quantity basis</t>
  </si>
  <si>
    <t>Walkway slab concrete quantity basis</t>
  </si>
  <si>
    <t>Walkway slab function</t>
  </si>
  <si>
    <t>Provide minimum roofed walkway / kaki lima slab along the new exposed external wall lines so the wall base is protected and the walkway is usable below the protected roof edge</t>
  </si>
  <si>
    <t>Walkway level logic</t>
  </si>
  <si>
    <t>DEFAULT USED: external roofed walkway / kaki lima finished level follows the old house kaki lima logic and remains about 2in below the main internal finished floor level</t>
  </si>
  <si>
    <t>Walkway roof coordination</t>
  </si>
  <si>
    <t>Walkway slab under S04 must match the protected roof strip measured under S08 and must not be omitted from BOQ</t>
  </si>
  <si>
    <t>Walkway DPM clarification</t>
  </si>
  <si>
    <t>External roofed walkway strip is not counted with the enclosed-slab DPM basis under S04</t>
  </si>
  <si>
    <t>DEFAULT USED: curing quantity = 1 PAIL for the combined internal slab plus walkway slab pour sequence</t>
  </si>
  <si>
    <t>Provide curing to the full S04 slab pour after placement and finishing so early moisture loss is controlled and slab surface performance is improved</t>
  </si>
  <si>
    <t>New extension main internal finished floor level shall match the old internal house floor level</t>
  </si>
  <si>
    <t>Bathroom finished floor level shall remain 2in lower than the main new internal floor level</t>
  </si>
  <si>
    <t>Roofed yard area with one side open and no ceiling shall still receive internal floor slab support under this sheet</t>
  </si>
  <si>
    <t>S04 labour covers slab level control, bathroom drop-level control, DPM coordination for enclosed slab, BRC layout supervision, crusher run spreading, sand blinding, DPM laying, BRC laying, slab preparation, ready mix pour coordination and basic finishing for the combined internal slab plus walkway strip</t>
  </si>
  <si>
    <t>DEFAULT USED: allow 1 DAY crane service for one combined internal slab plus walkway slab ready mix pour; if later actual site execution proves crane not needed, set Usage Qty = 0 under update-only rule</t>
  </si>
  <si>
    <t>Internal Ground Slab and Roofed Walkway Slab Self-Mix Option for New Extension</t>
  </si>
  <si>
    <t>S16 is the SELF-MIX slab option sheet covering the enclosed extension slab plus the minimum roofed external walkway / kaki lima strip</t>
  </si>
  <si>
    <t>S16 carries base preparation, DPM for enclosed slab, BRC, site-mixed slab concrete, curing and slab labour for the internal extension floor plus the protected walkway slab strip</t>
  </si>
  <si>
    <t>S16 excludes footing pad, ground beam, RC column, roof beam, waterproofing, tiling, mixer and scaffolding</t>
  </si>
  <si>
    <t>S16 applies to kitchen, bathroom and roofed yard internal slab zones plus the minimum roofed walkway / kaki lima strip along new exposed external wall lines</t>
  </si>
  <si>
    <t>S16-REF-DRAWING</t>
  </si>
  <si>
    <t>DEFAULT USED: use site-mixed concrete for all slab work under this option sheet</t>
  </si>
  <si>
    <t>Self-mix allows smaller staged batching on site, but this sheet still budgets the full combined internal slab plus walkway slab scope only</t>
  </si>
  <si>
    <t>DPM under S16 is required for the enclosed internal slab to separate ground moisture from the new internal floor slab</t>
  </si>
  <si>
    <t>All enclosed slab penetrations, pipe sleeves and floor outlet positions passing through the slab zone must be coordinated so DPM continuity is maintained and any local puncture is sealed before concrete placing</t>
  </si>
  <si>
    <t>DPM quantity under S16 applies to enclosed internal slab only and is not automatically extended to the external roofed walkway / kaki lima strip</t>
  </si>
  <si>
    <t>DPM under S16 is ground moisture control for the internal slab and is not a substitute for later bathroom and wet-area waterproofing scope</t>
  </si>
  <si>
    <t>Internal slab self-mix concrete basis</t>
  </si>
  <si>
    <t>Internal slab self-mix concrete quantity basis = 5.20 m3</t>
  </si>
  <si>
    <t>Internal slab self-mix ratio basis</t>
  </si>
  <si>
    <t>DEFAULT USED: use nominal 1:2:4 concrete mix ratio by volume for internal slab self-mix cost comparison basis</t>
  </si>
  <si>
    <t>Internal slab cement quantity basis</t>
  </si>
  <si>
    <t>DEFAULT USED: internal slab cement quantity = 33 BAG for 5.20 m3 self-mix using nominal 1:2:4 ratio with 1.54 dry volume factor</t>
  </si>
  <si>
    <t>Internal slab coarse sand quantity basis</t>
  </si>
  <si>
    <t>DEFAULT USED: internal slab coarse sand quantity = 0.23 TRIP for 5.20 m3 self-mix using nominal 1:2:4 ratio with 1.54 dry volume factor</t>
  </si>
  <si>
    <t>Internal slab aggregate quantity basis</t>
  </si>
  <si>
    <t>DEFAULT USED: internal slab 3/4in aggregate quantity = 0.46 TRIP for 5.20 m3 self-mix using nominal 1:2:4 ratio with 1.54 dry volume factor</t>
  </si>
  <si>
    <t>Walkway slab self-mix concrete basis</t>
  </si>
  <si>
    <t>Walkway slab cement quantity basis</t>
  </si>
  <si>
    <t>Walkway slab coarse sand quantity basis</t>
  </si>
  <si>
    <t>Walkway slab aggregate quantity basis</t>
  </si>
  <si>
    <t>Walkway slab under S16 must match the protected roof strip measured under S08 and must not be omitted from BOQ</t>
  </si>
  <si>
    <t>External roofed walkway strip is not counted with the enclosed-slab DPM basis under S16</t>
  </si>
  <si>
    <t>DEFAULT USED: curing quantity = 1 PAIL for the combined internal slab plus walkway slab self-mix sequence</t>
  </si>
  <si>
    <t>Provide curing to the full S16 slab sequence after placing and finishing so early moisture loss is controlled and slab surface performance is improved</t>
  </si>
  <si>
    <t>S16 labour covers slab level control, bathroom drop-level control, DPM coordination for enclosed slab, crusher run top-up, sand blinding, DPM laying, BRC layout, site batching, mixer-feed support, wheelbarrow transport, concrete placing, screeding and basic finishing for the combined internal slab plus walkway strip</t>
  </si>
  <si>
    <t>Cement Brick Walling, Opening Formation, Lintel and Tie-In for Entire New Extension</t>
  </si>
  <si>
    <t>S09 is the masonry / walling / opening formation sheet for the new extension only</t>
  </si>
  <si>
    <t>Construct all new cement-brick walling, form all approved door/window openings, provide lintel treatment where required, and connect new walling to the old house at the verified tie-in lines</t>
  </si>
  <si>
    <t>S09 excludes final door leaves, door frames, windows, grilles, plaster/skim, waterproofing, tiling and painting</t>
  </si>
  <si>
    <t>S09-WORK-ZONE</t>
  </si>
  <si>
    <t>New masonry work zone</t>
  </si>
  <si>
    <t>S09 applies to all true wall lines of the new extension only and excludes beam-only lines without wall</t>
  </si>
  <si>
    <t>S09-REF-DRAWING</t>
  </si>
  <si>
    <t>Controlling walling references</t>
  </si>
  <si>
    <t>Use old house Rev01 plan plus the latest corrected extension plan / room-zone logic and final opening decisions already locked in this project</t>
  </si>
  <si>
    <t>Main walling material</t>
  </si>
  <si>
    <t>Main walling material = cement bricks</t>
  </si>
  <si>
    <t>Main walling item</t>
  </si>
  <si>
    <t>Use same Description as Materials.txt item: Cement Bricks 215 mm (L) x 102 mm (W) x 65 mm (H)</t>
  </si>
  <si>
    <t>Mortar cement item</t>
  </si>
  <si>
    <t>Mortar sand item</t>
  </si>
  <si>
    <t>Wall thickness basis</t>
  </si>
  <si>
    <t>DEFAULT USED: new walling uses nominal single-brick body thickness based on 102mm cement brick width; final finished thickness increases later with plaster and tile build-up</t>
  </si>
  <si>
    <t>Standard wall height basis</t>
  </si>
  <si>
    <t>DEFAULT USED: new enclosed walling height basis = 3048mm [10ft] up to the coordinated upper beam / roof support level</t>
  </si>
  <si>
    <t>Height coordination</t>
  </si>
  <si>
    <t>Wall height and opening head levels must coordinate with S06 upper support, S08 roof slope and S12 ceiling target so enclosed spaces can still achieve minimum clear ceiling 8ft</t>
  </si>
  <si>
    <t>Kitchen walling zone</t>
  </si>
  <si>
    <t>Kitchen is enclosed and shall receive full-height cement-brick walling on all confirmed wall lines</t>
  </si>
  <si>
    <t>Bathroom walling zone</t>
  </si>
  <si>
    <t>Bathroom is enclosed and shall receive full-height cement-brick walling on all confirmed wall lines</t>
  </si>
  <si>
    <t>Yard walling zone</t>
  </si>
  <si>
    <t>Yard is a roofed service area with one side open and no ceiling; only the confirmed side wall lines are built in masonry and the open side remains without full walling</t>
  </si>
  <si>
    <t>Beam-only line exclusion</t>
  </si>
  <si>
    <t>If a corrected structural line exists from column to column but no wall is intended on that line, it remains structural only and is excluded from S09 masonry quantity</t>
  </si>
  <si>
    <t>Existing old-house wall lines remain existing structure and are not rebuilt as new masonry under S09; new walling only ties in at the verified junctions to complete enclosure and sealing</t>
  </si>
  <si>
    <t>Tie-in junction control</t>
  </si>
  <si>
    <t>New-to-old wall junctions must be bonded / anchored / toothed in a controlled way and kept aligned to the verified old-house wall face and level</t>
  </si>
  <si>
    <t>Crack-control intention</t>
  </si>
  <si>
    <t>Do not leave new wall infill floating without proper junction tie-in; wall joints at the old-house connection must be prepared for stable attachment and later patching under wall-preparation scope</t>
  </si>
  <si>
    <t>Bathroom door opening basis</t>
  </si>
  <si>
    <t>Provide 1 no. bathroom door opening to suit final door size 84in x 30in</t>
  </si>
  <si>
    <t>Kitchen or back external door opening basis</t>
  </si>
  <si>
    <t>Provide 1 no. kitchen/back external door opening to suit final door size 84in x 36in</t>
  </si>
  <si>
    <t>Bathroom window opening basis</t>
  </si>
  <si>
    <t>Provide 1 no. top-hung bathroom window opening at 600mm W x 1200mm H</t>
  </si>
  <si>
    <t>Additional window opening basis 1</t>
  </si>
  <si>
    <t>Provide 2 no. additional top-hung window openings at 600mm W x 1200mm H each</t>
  </si>
  <si>
    <t>Additional window opening basis 2</t>
  </si>
  <si>
    <t>Provide 1 no. casement window opening at 600mm W x 1200mm H</t>
  </si>
  <si>
    <t>Opening formation rule</t>
  </si>
  <si>
    <t>All door and window openings shall be formed in masonry under S09 only; final door, window and grille installation remain separate in S10</t>
  </si>
  <si>
    <t>External grille separation</t>
  </si>
  <si>
    <t>All windows and all external-wall doors require grilles by user decision, but grille supply/install must not be priced in S09</t>
  </si>
  <si>
    <t>Provide lintel/support treatment over all masonry openings unless the opening head is already fully carried by a confirmed structural beam line under the upper-structure scope</t>
  </si>
  <si>
    <t>Lintel main bar item</t>
  </si>
  <si>
    <t>Lintel link item</t>
  </si>
  <si>
    <t>Lintel / opening formwork item</t>
  </si>
  <si>
    <t>Lintel coordination</t>
  </si>
  <si>
    <t>Lintel sizing and local reinforcement must match actual opening width and must not clash with the corrected beam/head level arrangement</t>
  </si>
  <si>
    <t>Kitchen service-wall coordination</t>
  </si>
  <si>
    <t>Kitchen walling and opening formation shall coordinate with the corrected table-top wall, sink service wall and nearby electrical/plumbing routes so chasing and opening edges do not conflict later</t>
  </si>
  <si>
    <t>Bathroom service-wall coordination</t>
  </si>
  <si>
    <t>Bathroom walling and opening formation shall coordinate with WC offset, basin position, floor-trap zone, shower zone, overhead tank support zone and corrected bathroom window position</t>
  </si>
  <si>
    <t>Bathroom tile coordination</t>
  </si>
  <si>
    <t>Bathroom walls are intended to receive full-height wall tiles later, so opening edges and wall faces must be formed plumb and ready for waterproofing / tiling build-up</t>
  </si>
  <si>
    <t>Kitchen finish coordination</t>
  </si>
  <si>
    <t>Kitchen wall surfaces not occupied by windows, doors or table-top service zones must remain consistent with later wall preparation and finish logic</t>
  </si>
  <si>
    <t>Yard finish coordination</t>
  </si>
  <si>
    <t>Yard masonry walls, where present, must coordinate with roofed open-service use and later external/internal finish treatment as applicable</t>
  </si>
  <si>
    <t>Top-of-wall alignment</t>
  </si>
  <si>
    <t>All new wall tops shall align with the corrected upper-structure / beam support logic and shall not be left at random head levels</t>
  </si>
  <si>
    <t>Wall-start and wall-stop rule</t>
  </si>
  <si>
    <t>Every masonry wall start/stop point must match the corrected structural support / beam / column layout and room-zone plan; do not extend masonry into deliberately open yard edges or beam-only lines</t>
  </si>
  <si>
    <t>S09 excludes final door leafs, door frames, windows, grilles, plastering, skim coat, waterproofing, wall tiles, floor tiles, painting and final sealant works</t>
  </si>
  <si>
    <t>S09-LABOUR-STD</t>
  </si>
  <si>
    <t>S09-WALLING</t>
  </si>
  <si>
    <t>Cement Bricks 215 mm (L) x 102 mm (W) x 65 mm (H)</t>
  </si>
  <si>
    <t>S09-MORTAR</t>
  </si>
  <si>
    <t>S09-LINTEL</t>
  </si>
  <si>
    <t>S09-LABOUR</t>
  </si>
  <si>
    <t>Doors, Windows, External Grilles, Door Frame, Ironmongery and Door-Specific Finish for Entire New Extension</t>
  </si>
  <si>
    <t>S10 is the fit-out sheet for all approved doors, windows, grilles and related accessories/finish tied to those openings only</t>
  </si>
  <si>
    <t>Install all approved custom-size doors, windows and external grilles according to the final corrected opening schedule, including kitchen/yard plywood door leaf, door frame, ironmongery and door-specific finishing materials where the door leaf is supplied raw/unfinished</t>
  </si>
  <si>
    <t>S10 excludes masonry opening formation, lintel work, wall plaster, general wall painting, waterproofing, ceiling works and electrical fittings</t>
  </si>
  <si>
    <t>S10-REF-DRAWING</t>
  </si>
  <si>
    <t>Controlling opening references</t>
  </si>
  <si>
    <t>Use corrected final extension opening decisions together with the user-provided calculator table as the latest custom-size reference overriding earlier generic assumptions</t>
  </si>
  <si>
    <t>Measure and price bathroom bifold door, kitchen/yard plywood door leaf, windows, external grilles, door frame, ironmongery and door-specific finishing as separate measured components within the same opening-fitout sheet</t>
  </si>
  <si>
    <t>Custom-size rule</t>
  </si>
  <si>
    <t>All S10 openings are custom-size fitout items and must follow the locked final custom schedule instead of the old house standard sizes unless specifically reused as reference only</t>
  </si>
  <si>
    <t>One-kitchen-yard-door correction</t>
  </si>
  <si>
    <t>There is only one kitchen/yard door opening from the kitchen to the washing-yard area; do not duplicate a second separate backyard door</t>
  </si>
  <si>
    <t>Bathroom door final schedule</t>
  </si>
  <si>
    <t>Provide 1 no. bathroom door at 30inW x 84inH</t>
  </si>
  <si>
    <t>Bathroom door final type</t>
  </si>
  <si>
    <t>Bathroom door type is Bifold Mini Pro VACP 800 Series as per latest calculator-table correction</t>
  </si>
  <si>
    <t>Kitchen-yard door final schedule</t>
  </si>
  <si>
    <t>Provide 1 no. kitchen/yard door at 36inW x 84inH</t>
  </si>
  <si>
    <t>Kitchen-yard door final type</t>
  </si>
  <si>
    <t>Kitchen/yard door leaf is user-locked as plywood door and is a separate door leaf from the external grille door at the same opening zone</t>
  </si>
  <si>
    <t>Kitchen-yard door unfinished rule</t>
  </si>
  <si>
    <t>Kitchen/yard plywood door leaf is raw/unfinished and therefore must include door-specific finishing materials and ironmongery in the same S10 scope; do not leave the raw plywood door uncoated</t>
  </si>
  <si>
    <t>Door-frame requirement</t>
  </si>
  <si>
    <t>Provide full door frame to all new doors under S10 and do not assume frame is included automatically just because the opening exists</t>
  </si>
  <si>
    <t>Ironmongery requirement</t>
  </si>
  <si>
    <t>Provide all practical ironmongery required for each installed door set including hinge / folding mechanism / handle / lockset / stopper / latch or equivalent fit-for-purpose hardware according to the actual door type</t>
  </si>
  <si>
    <t>Door-finish boundary</t>
  </si>
  <si>
    <t>Door-specific primer / undercoat / gloss or equivalent finishing needed for the raw plywood door remains inside S10 because it is inseparable from the unfinished door-leaf fitout; general wall paint remains outside S10</t>
  </si>
  <si>
    <t>Top-hung window final schedule</t>
  </si>
  <si>
    <t>Provide 3 no. windows at 1200mmW x 600mmH 2 Panel TopHung Casement Window c/w Float Glass</t>
  </si>
  <si>
    <t>Casement window final schedule</t>
  </si>
  <si>
    <t>Provide 1 no. window at 600mmW x 1200mmH 1 Panel Casement Window c/w Float Glass</t>
  </si>
  <si>
    <t>Window glazing requirement</t>
  </si>
  <si>
    <t>All approved aluminium windows under S10 are to be supplied complete with float glass as locked by the latest calculator table</t>
  </si>
  <si>
    <t>Window correction note</t>
  </si>
  <si>
    <t>The latest calculator-table schedule corrects earlier interim assumptions; the working final schedule is 3 top-hung windows 1200x600 and 1 casement window 600x1200</t>
  </si>
  <si>
    <t>External grille door final schedule</t>
  </si>
  <si>
    <t>Provide 1 no. external grille swing door at 36inW x 84inH to protect the kitchen/yard door opening</t>
  </si>
  <si>
    <t>External grille window final schedule 1</t>
  </si>
  <si>
    <t>Provide 3 no. grille windows at 1200mmW x 600mmH</t>
  </si>
  <si>
    <t>External grille window final schedule 2</t>
  </si>
  <si>
    <t>Provide 1 no. grille window at 600mmW x 1200mmH</t>
  </si>
  <si>
    <t>All windows and all doors on external wall positions require separate grille by user decision and must not be silently absorbed into the basic window/door leaf price</t>
  </si>
  <si>
    <t>Window-and-grille relationship</t>
  </si>
  <si>
    <t>Window body and grille body are separate chargeable items even when they serve the same opening</t>
  </si>
  <si>
    <t>Door-and-grille relationship</t>
  </si>
  <si>
    <t>Kitchen/yard raw plywood door and kitchen/yard external swing grille door serve the same opening zone but remain separate measurable components</t>
  </si>
  <si>
    <t>All S10 doors, windows and grilles must coordinate exactly with the final formed openings under S09 and must not trigger rework of masonry sizes without explicit correction</t>
  </si>
  <si>
    <t>Bathroom privacy logic</t>
  </si>
  <si>
    <t>Bathroom opening shall use the locked bifold door and bathroom window arrangement without clashing with the corrected tank-support / service zone</t>
  </si>
  <si>
    <t>Kitchen service-wall logic</t>
  </si>
  <si>
    <t>Kitchen/yard door and kitchen window arrangement must coordinate with the kitchen table-top wall, plug-point zone and sink service wall previously locked in other sheets</t>
  </si>
  <si>
    <t>Yard use logic</t>
  </si>
  <si>
    <t>The kitchen/yard opening is a service-use opening to the roofed laundry yard; selected door and grille arrangement must suit repeated daily use and ventilation/security function</t>
  </si>
  <si>
    <t>Glass / frame / grille source rule</t>
  </si>
  <si>
    <t>Calculator-table cost is the latest working cost reference for custom aluminium windows, bathroom bifold and external grilles; do not revert to old house standard door/window schedule for these extension items</t>
  </si>
  <si>
    <t>Raw-door material source rule</t>
  </si>
  <si>
    <t>Kitchen/yard plywood door leaf shall use the Materials.txt custom raw plywood door item and must be paired with frame, ironmongery and finishing logic under this same sheet</t>
  </si>
  <si>
    <t>S10-MATERIAL-STD</t>
  </si>
  <si>
    <t>Raw plywood door item</t>
  </si>
  <si>
    <t>Use same Description as Materials.txt item: Raw Plywood Door (Unfinished) - Up to 36"W x 84"H (Custom Size)</t>
  </si>
  <si>
    <t>Door finishing undercoat item</t>
  </si>
  <si>
    <t>Use same Description as Materials.txt item: Smart Paint 5400 Wall Sealer Exterior &amp; Interior Wall Undercoat 18L</t>
  </si>
  <si>
    <t>Door finishing gloss item</t>
  </si>
  <si>
    <t>Use same Description as Materials.txt item: White Gloss Paint 5L</t>
  </si>
  <si>
    <t>Sanding preparation item 1</t>
  </si>
  <si>
    <t>Use same Description as Materials.txt item: Sanding Paper 120G</t>
  </si>
  <si>
    <t>Sanding preparation item 2</t>
  </si>
  <si>
    <t>Use same Description as Materials.txt item: Sanding Paper 240G</t>
  </si>
  <si>
    <t>Sanding preparation item 3</t>
  </si>
  <si>
    <t>Use same Description as Materials.txt item: Sanding Paper 400G</t>
  </si>
  <si>
    <t>Window hardware reference item</t>
  </si>
  <si>
    <t>Use same Description as Materials.txt item: Top Hung 202 12" (Grade 202)</t>
  </si>
  <si>
    <t>Master-list mapping rule</t>
  </si>
  <si>
    <t>Frame / hardware completeness rule</t>
  </si>
  <si>
    <t>Do not under-scope S10 by pricing leaf or glass only; each real installed opening must be understood as complete fit-out including frame, glazing/hardware, fixing accessories and the required protective/security layer where applicable</t>
  </si>
  <si>
    <t>S10-LABOUR-STD</t>
  </si>
  <si>
    <t>S10 excludes masonry opening formation, lintel casting, wall plastering, general wall paint, waterproofing, ceiling works, electrical point installation and sanitary works</t>
  </si>
  <si>
    <t>S10-BATHROOM-DOOR</t>
  </si>
  <si>
    <t>S10-WINDOW</t>
  </si>
  <si>
    <t>Raw Plywood Door (Unfinished) - Up to 36"W x 84"H (Custom Size)</t>
  </si>
  <si>
    <t>S10-DOOR-FRAME</t>
  </si>
  <si>
    <t>S10-DOOR-FINISH</t>
  </si>
  <si>
    <t xml:space="preserve">Smart Paint 5400 Wall Sealer Exterior &amp; Interior Wall Undercoat 18L </t>
  </si>
  <si>
    <t>White Gloss Paint 5L</t>
  </si>
  <si>
    <t>Sanding Paper 120G</t>
  </si>
  <si>
    <t>Sanding Paper 240G</t>
  </si>
  <si>
    <t>Sanding Paper 400G</t>
  </si>
  <si>
    <t>DEFAULT USED: hinge allowance for one 36in x 84in kitchen-to-yard plywood door</t>
  </si>
  <si>
    <t>S10-IRONMONGERY</t>
  </si>
  <si>
    <t>Door Hinges 3/8" x 1-1/4" x 2"</t>
  </si>
  <si>
    <t>DEFAULT USED: mortise lockset allowance for one kitchen-to-yard plywood door</t>
  </si>
  <si>
    <t>ML7025-SS Armor Lever Mortise</t>
  </si>
  <si>
    <t>S10-LABOUR</t>
  </si>
  <si>
    <t>S11 is the wall plaster / skim / patching / wall-preparation sheet for the new extension only</t>
  </si>
  <si>
    <t>Prepare all new wall surfaces, tie-in junctions and opening reveals to the correct finish standard for later tile or paint work</t>
  </si>
  <si>
    <t>S11 includes base plaster, skim preparation, wall patching, tie-in make-good and reveal preparation; S11 excludes wall tiles, floor tiles, waterproofing, ceiling works, doors/windows/grilles and final paint coats</t>
  </si>
  <si>
    <t>S11-REF-DRAWING</t>
  </si>
  <si>
    <t>Controlling wall-finish references</t>
  </si>
  <si>
    <t>Use the old house architect plan and final extension build logic as the reference for finish language; old house notes show SKIM LICIN PADA DALAM RUMAH and PLASTER BIASA DAN DISPAN</t>
  </si>
  <si>
    <t>Original finish logic</t>
  </si>
  <si>
    <t>Follow the old house finish logic as the baseline: internal habitable wall faces use smooth skim-type finish, while non-feature / external type wall preparation uses normal plaster preparation ready for later finishing</t>
  </si>
  <si>
    <t>Main walling substrate</t>
  </si>
  <si>
    <t>S11 applies on new cement-brick wall substrate only after masonry under S09 is complete, aligned and cured enough for wall-preparation sequence</t>
  </si>
  <si>
    <t>S11 starts only after S09 walling/opening formation is complete and after major concealed service chasing/patching that affects wall face has been finalized</t>
  </si>
  <si>
    <t>Internal enclosed wall faces intended for painted finish shall receive plaster/skim preparation consistent with the original house internal smooth-wall logic</t>
  </si>
  <si>
    <t>Provide normal external plaster / wall preparation to exposed new outer wall faces and make them ready for later exterior finishing sequence</t>
  </si>
  <si>
    <t>Kitchen wall surfaces not receiving direct tile finish shall receive full plaster / skim / wall-preparation treatment under S11</t>
  </si>
  <si>
    <t>Kitchen tiled-zone exclusion</t>
  </si>
  <si>
    <t>Any kitchen wall zones intentionally reserved for later wall tile / splashback finish are excluded from final skim finish build-up under S11 and shall instead receive suitable substrate preparation only</t>
  </si>
  <si>
    <t>Bathroom wall surfaces shall be prepared as substrate suitable for later full-height wall tiles, not treated as ordinary painted-room skim-finish walls</t>
  </si>
  <si>
    <t>Bathroom tile-finish logic</t>
  </si>
  <si>
    <t>Bathroom full-height wall tiles are already locked by project decision, so S11 must not over-allow full fine skim finish behind areas that will be tiled full height</t>
  </si>
  <si>
    <t>Bathroom painted-surface exception</t>
  </si>
  <si>
    <t>Only any small bathroom wall areas genuinely left untiled, if any later remain, may receive painted-finish wall preparation; do not assume full painted bathroom walls</t>
  </si>
  <si>
    <t>Yard wall surfaces, where masonry exists, shall receive practical plaster / wall preparation suitable to the yard’s roofed open-service use and later finishing logic</t>
  </si>
  <si>
    <t>Yard has no ceiling and one side open; S11 applies to masonry wall surfaces only and must not assume enclosed-room finish quality at the open yard edge unless specifically required</t>
  </si>
  <si>
    <t>Make good and prepare all new-to-old wall junctions, stitch points, chase-repair zones and local uneven tie-in faces so the completed wall line can receive later finishing without obvious patch failure</t>
  </si>
  <si>
    <t>Prepare all door and window reveals, return edges and local patching around openings so they are straight, true and ready for later S10 installation and later finishing</t>
  </si>
  <si>
    <t>Service chase repair</t>
  </si>
  <si>
    <t>Repair and prepare all localized service-chase wall cuts, pipe-entry patch zones and embedment make-good areas that belong to wall preparation, after plumbing/electrical rough-in is confirmed complete</t>
  </si>
  <si>
    <t>Wall-flatness intention</t>
  </si>
  <si>
    <t>Wall faces under S11 shall be prepared sufficiently true for later tile-setting or paint-ready finishing sequence; do not leave obvious hollows, bulges or raw patch edges</t>
  </si>
  <si>
    <t>Corner and junction preparation</t>
  </si>
  <si>
    <t>Internal/external corners, beam-column-to-wall junctions and patched tie-in areas must be made reasonably true and ready for later finish alignment</t>
  </si>
  <si>
    <t>Column flush expectation</t>
  </si>
  <si>
    <t>Because the structural logic aimed to keep typical columns wall-flush where practical, S11 must include enough wall preparation to blend column/wall junctions to an acceptable finish line</t>
  </si>
  <si>
    <t>Moisture-related boundary</t>
  </si>
  <si>
    <t>S11 is wall preparation only; ground moisture control, DPM and bathroom waterproofing are outside this sheet and must not be duplicated here</t>
  </si>
  <si>
    <t>S11-MATERIAL-STD</t>
  </si>
  <si>
    <t>Base plaster cement item</t>
  </si>
  <si>
    <t>Base plaster sand item</t>
  </si>
  <si>
    <t>Stopping item</t>
  </si>
  <si>
    <t>Use same Description as Materials.txt item: A Plus Stopping Compound 20kg</t>
  </si>
  <si>
    <t>Coarse skim / leveling item</t>
  </si>
  <si>
    <t>Use same Description as Materials.txt item: Sika Wall 191 Coarse (White) 25kg</t>
  </si>
  <si>
    <t>Fine skim item</t>
  </si>
  <si>
    <t>Use same Description as Materials.txt item: Sika Wall 192 Fine (White) 25kg</t>
  </si>
  <si>
    <t>Base plaster material logic</t>
  </si>
  <si>
    <t>Cement and coarse sand under S11 are for wall plaster/make-good substrate preparation where required on new brick surfaces, tie-in zones and repair areas</t>
  </si>
  <si>
    <t>Stopping and skim logic</t>
  </si>
  <si>
    <t>Use stopping / coarse skim / fine skim as needed according to wall condition and finish destination; do not assume all wall faces require identical thickness or identical finish system</t>
  </si>
  <si>
    <t>Tile-substrate caution</t>
  </si>
  <si>
    <t>Areas receiving later wall tiles need proper even substrate and patching, but do not need unnecessary decorative final skim build-up behind full-height tiles</t>
  </si>
  <si>
    <t>Paint-ready caution</t>
  </si>
  <si>
    <t>Areas intended for later painted wall finish must be taken to paint-ready wall preparation standard and not left at rough plaster-only state</t>
  </si>
  <si>
    <t>S11 excludes wall tiles, floor tiles, waterproofing membranes, ceiling system, final paint coats, sealant to frames, door/window/grille installation and sanitary/electrical final fixtures</t>
  </si>
  <si>
    <t>S11-LABOUR-STD</t>
  </si>
  <si>
    <t>S11-STOPPING</t>
  </si>
  <si>
    <t>S11-SKIM</t>
  </si>
  <si>
    <t>Sika Wall 191 Coarse (White) 25kg</t>
  </si>
  <si>
    <t>Sika Wall 192 Fine (White) 25kg</t>
  </si>
  <si>
    <t>S11-LABOUR</t>
  </si>
  <si>
    <t>S12-CEILING-BOARD</t>
  </si>
  <si>
    <t>Gyproc Gypsum Board 4.00ft x 6.00ft x 9.00mm</t>
  </si>
  <si>
    <t>Primaflex Fibre Cement Board 4.00ft x 4.00ft</t>
  </si>
  <si>
    <t>GI Bracing 2440mm</t>
  </si>
  <si>
    <t>GI Carrier Rail (MF) 4880.00mm</t>
  </si>
  <si>
    <t>Aluminium Ceiling Trim (STD) 3660mm</t>
  </si>
  <si>
    <t>DEFAULT USED: joint treatment allowance for full enclosed ceiling board joints and manhole edge treatment</t>
  </si>
  <si>
    <t>Drywall Fibre Joint Tape 50mm x 50m</t>
  </si>
  <si>
    <t>S12-MANHOLE</t>
  </si>
  <si>
    <t>Plaster Ceiling Manhole 12"</t>
  </si>
  <si>
    <t>S12-LABOUR</t>
  </si>
  <si>
    <t>S13-REF-DRAWING</t>
  </si>
  <si>
    <t>S13-DIM</t>
  </si>
  <si>
    <t>Kitchen floor tile area basis</t>
  </si>
  <si>
    <t>Bathroom floor tile area basis</t>
  </si>
  <si>
    <t>Bathroom tiled floor area = 6.43 sqm based on locked bathroom area</t>
  </si>
  <si>
    <t>Yard floor tile area basis</t>
  </si>
  <si>
    <t>Bathroom floor tile logic</t>
  </si>
  <si>
    <t>Bathroom receives floor tile finish and must coordinate with floor trap position and 2in lowered finished floor logic</t>
  </si>
  <si>
    <t>Yard floor tile logic</t>
  </si>
  <si>
    <t>Yard is a roofed service area with one side open and no ceiling and still receives floor tile finish under the locked project decision</t>
  </si>
  <si>
    <t>Bathroom wall perimeter basis</t>
  </si>
  <si>
    <t>DEFAULT USED: bathroom wall tile perimeter basis = 10.26m derived from 2 x (2.184m + 2.946m)</t>
  </si>
  <si>
    <t>Bathroom full-height wall tile height basis</t>
  </si>
  <si>
    <t>Bathroom wall opening deduction basis</t>
  </si>
  <si>
    <t>DEFAULT USED: deduct bathroom bifold door opening about 1.63 sqm and bathroom window opening about 0.72 sqm from gross bathroom wall tile area</t>
  </si>
  <si>
    <t>Bathroom net full-height wall tile area basis</t>
  </si>
  <si>
    <t>DEFAULT USED: bathroom net full-height wall tile area = 22.67 sqm after door and window deduction</t>
  </si>
  <si>
    <t>Bathroom wall tile logic</t>
  </si>
  <si>
    <t>Wet-area waterproofing inclusion</t>
  </si>
  <si>
    <t>S13-MATERIAL-STD</t>
  </si>
  <si>
    <t>Bathroom wet-area waterproofing item</t>
  </si>
  <si>
    <t>Use same Description as Materials.txt item: SIKA Waterproof Compound Top Seal 107 (A+B) 25.00kg</t>
  </si>
  <si>
    <t>Waterproofing application rule</t>
  </si>
  <si>
    <t>Kitchen floor tile item</t>
  </si>
  <si>
    <t>DEFAULT USED: use same Description as Materials.txt item: Tile 600mm x 600mm</t>
  </si>
  <si>
    <t>Bathroom floor tile item</t>
  </si>
  <si>
    <t>DEFAULT USED: use same Description as Materials.txt item: Tile 300mm x 300mm</t>
  </si>
  <si>
    <t>Yard floor tile item</t>
  </si>
  <si>
    <t>Bathroom wall tile item</t>
  </si>
  <si>
    <t>DEFAULT USED: use same Description as Materials.txt item: Tile 300mm x 600mm</t>
  </si>
  <si>
    <t>Tile-size logic</t>
  </si>
  <si>
    <t>Tile adhesive item</t>
  </si>
  <si>
    <t>Use same Description as Materials.txt item: Tile Adhesive Weber 99</t>
  </si>
  <si>
    <t>Tile spacer item</t>
  </si>
  <si>
    <t>Use same Description as Materials.txt item: PVC Tile Spacer 2mm</t>
  </si>
  <si>
    <t>Tile grout item</t>
  </si>
  <si>
    <t>Use same Description as Materials.txt item: Weber Weberfill Fine Grout Coloured Grout For Narrow Tile Joint (3.5kg)</t>
  </si>
  <si>
    <t>Adhesive logic</t>
  </si>
  <si>
    <t>Spacer and grout logic</t>
  </si>
  <si>
    <t>Floor-fall coordination</t>
  </si>
  <si>
    <t>Bathroom floor-level coordination</t>
  </si>
  <si>
    <t>Kitchen level coordination</t>
  </si>
  <si>
    <t>Yard level coordination</t>
  </si>
  <si>
    <t>Tile-finish readiness</t>
  </si>
  <si>
    <t>S13 excludes slab concrete, wall plaster, door/window installation, sanitary final fittings, electrical final fittings, sealant to frames and general painting</t>
  </si>
  <si>
    <t>S13-LABOUR-STD</t>
  </si>
  <si>
    <t>Use the corrected coloured extension plan as the primary geometry reference; old house drawing is used only for minimum kaki lima standard reference</t>
  </si>
  <si>
    <t>Corrected external wall perimeter basis</t>
  </si>
  <si>
    <t>Corrected external wall perimeter = 25.705m based on 3150 + 10973 + 6198 + 5384 mm</t>
  </si>
  <si>
    <t>DEFAULT USED: minimum roofed walkway / kaki lima slab area = 15.68 sqm derived from 25.705m x 0.61m</t>
  </si>
  <si>
    <t>DEFAULT USED: combined slab family area under S04 = 67.72 sqm comprising 52.04 sqm internal slab + 15.68 sqm roofed walkway slab</t>
  </si>
  <si>
    <t>DEFAULT USED: average crusher run top-up thickness for walkway slab = 50mm over 15.68 sqm</t>
  </si>
  <si>
    <t>DEFAULT USED: walkway slab sand blinding thickness = 10mm over 15.68 sqm</t>
  </si>
  <si>
    <t>DEFAULT USED: walkway slab concrete thickness = 100mm over 15.68 sqm</t>
  </si>
  <si>
    <t>Walkway slab crusher run quantity = 0.08 TRIP based on 15.68 sqm x 50mm average top-up thickness</t>
  </si>
  <si>
    <t>Walkway slab fine sand quantity = 0.02 TRIP based on 15.68 sqm x 10mm sand blinding thickness</t>
  </si>
  <si>
    <t>Walkway slab BRC quantity = 1.33 PCS based on 15.68 sqm walkway slab area using 2.13m x 6.10m sheet size with normal overlap allowance</t>
  </si>
  <si>
    <t>Walkway slab ready mix concrete quantity = 1.57 m3</t>
  </si>
  <si>
    <t>Current project lock</t>
  </si>
  <si>
    <t>DEFAULT USED: minimum roofed walkway / kaki lima strip 610mm standard around full corrected external wall perimeter</t>
  </si>
  <si>
    <t>DEFAULT USED: combined slab family area under S16 = 67.72 sqm comprising 52.04 sqm internal slab + 15.68 sqm roofed walkway slab</t>
  </si>
  <si>
    <t>Walkway slab self-mix concrete quantity basis = 1.57 m3</t>
  </si>
  <si>
    <t>DEFAULT USED: walkway slab cement quantity = 10 BAG for 1.57 m3 self-mix using nominal 1:2:4 ratio with 1.54 dry volume factor</t>
  </si>
  <si>
    <t>DEFAULT USED: walkway slab coarse sand quantity = 0.07 TRIP for 1.57 m3 self-mix using nominal 1:2:4 ratio with 1.54 dry volume factor</t>
  </si>
  <si>
    <t>DEFAULT USED: walkway slab 3/4in aggregate quantity = 0.14 TRIP for 1.57 m3 self-mix using nominal 1:2:4 ratio with 1.54 dry volume factor</t>
  </si>
  <si>
    <t>CALC NOTE: roofed walkway / kaki lima slab self-mix basis about 1.57 m3 using nominal 1:2:4 ratio with 1.54 dry volume factor</t>
  </si>
  <si>
    <t>Preliminaries, Project Control, Shared Temporary Equipment and Initial Site Control for New Extension</t>
  </si>
  <si>
    <t>Controlling reference drawing</t>
  </si>
  <si>
    <t>Preliminary work applies only to the extension work zone, tie-in area, adjacent existing kaki lima connection area and nearby existing surfaces/services that need protection during early works</t>
  </si>
  <si>
    <t>Protection allowance is limited to one small residential extension work zone and one tie-in edge zone only</t>
  </si>
  <si>
    <t>Setting-out allowance is for one extension project only and is not to be repeated under later sheets unless a separate confirmed re-setting-out scope is recorded</t>
  </si>
  <si>
    <t>Perimeter reference for shared access</t>
  </si>
  <si>
    <t>Walkway reference</t>
  </si>
  <si>
    <t>S01-ROOF-STD</t>
  </si>
  <si>
    <t>Preferred economical roof type</t>
  </si>
  <si>
    <t>S01-CEILING-STD</t>
  </si>
  <si>
    <t>Ceiling height target</t>
  </si>
  <si>
    <t>S01-SPACE-STD</t>
  </si>
  <si>
    <t>Space enclosure lock</t>
  </si>
  <si>
    <t>Prelim labour item</t>
  </si>
  <si>
    <t>Use same Description as Labour.txt item: Cement Mixer Rental - Month 1 (Per Month)</t>
  </si>
  <si>
    <t>Use same Description as Labour.txt item: Cement Mixer Rental - Month 2 Onwards (Per Month)</t>
  </si>
  <si>
    <t>Shared equipment item 3</t>
  </si>
  <si>
    <t>DEFAULT USED: shared prelim mixer budget month 1 only; if final selected method does not use mixer, set Qty = 0 under update-only rule</t>
  </si>
  <si>
    <t>S01-SHARED-EQUIP</t>
  </si>
  <si>
    <t>DEFAULT USED: shared prelim mixer budget month 2 onwards; if final selected method does not use mixer, set Qty = 0 under update-only rule</t>
  </si>
  <si>
    <t>Cement Mixer Rental - Month 2 Onwards (Per Month)</t>
  </si>
  <si>
    <t>DEFAULT USED: corrected scaffold basis uses 25.705m perimeter, 1.8m bay run length, 2-tier setup and 2 months rental; 15 bay per tier x 2 tier x 2 months = 60 SET usage qty</t>
  </si>
  <si>
    <t>S01-SHARED-ACCESS</t>
  </si>
  <si>
    <t>Roof Frame, Metal Deck, Flashing, Gutter and Downpipe for Entire New Extension Including Walkway Cover</t>
  </si>
  <si>
    <t>Construct lightweight lean-to roof system to the new extension using light steel roof framing, batten, metal deck, flashing, gutter and downpipe while also covering the added walkway strip for wall/weather protection</t>
  </si>
  <si>
    <t>S08 excludes RC column, roof beam concrete, tank structural frame, plumbing tank pipework, plaster ceiling installation and all wall/finish works</t>
  </si>
  <si>
    <t>Use the old house roof beam detail and roof detailing as the base system reference together with the corrected coloured extension plan and latest locked room/perimeter decisions</t>
  </si>
  <si>
    <t>Roof work zone</t>
  </si>
  <si>
    <t>S08 applies to kitchen roof, bathroom roof, yard roof and the full roofed walkway / kaki lima strip around the corrected new external wall perimeter</t>
  </si>
  <si>
    <t>Original roof language</t>
  </si>
  <si>
    <t>Original house roof language is lightweight roof beam with C-channel / light roof frame, batten and metal deck; the new extension roof shall follow the same lightweight philosophy and must not drift into heavy roof construction</t>
  </si>
  <si>
    <t>Original house roof beam reference = approximately 100mm x 150mm</t>
  </si>
  <si>
    <t>Original frame spacing reference</t>
  </si>
  <si>
    <t>Provide metal deck roof covering to the full new extension roof area plus the roofed walkway strip</t>
  </si>
  <si>
    <t>Yard is roofed but has no ceiling and must not be forced into the enclosed ceiling system</t>
  </si>
  <si>
    <t>Walkway roof requirement</t>
  </si>
  <si>
    <t>Walkway / kaki lima must be roofed for wall/weather protection and must not be omitted from roof-coverage calculation</t>
  </si>
  <si>
    <t>Internal extension roof area basis</t>
  </si>
  <si>
    <t>Locked internal extension coverage basis = 52.04 sqm</t>
  </si>
  <si>
    <t>Walkway roof strip width basis</t>
  </si>
  <si>
    <t>Walkway / kaki lima roof strip width = 610mm [2ft] minimum</t>
  </si>
  <si>
    <t>Walkway roof strip length basis</t>
  </si>
  <si>
    <t>Walkway / kaki lima roof strip length = 25.705m following the corrected external wall perimeter</t>
  </si>
  <si>
    <t>Walkway roof strip area basis</t>
  </si>
  <si>
    <t>DEFAULT USED: walkway roof strip area = 15.68 sqm based on 25.705m x 0.61m</t>
  </si>
  <si>
    <t>Combined total roof coverage basis</t>
  </si>
  <si>
    <t>DEFAULT USED: combined roof coverage basis under S08 = 67.72 sqm comprising 52.04 sqm internal extension + 15.68 sqm walkway cover</t>
  </si>
  <si>
    <t>Yard is a roofed service area with one side open and no ceiling and still remains part of S08 roof coverage</t>
  </si>
  <si>
    <t>Walkway roof coverage</t>
  </si>
  <si>
    <t>Do not place the bathroom tank directly on normal roof beam, metal deck, light roof frame or batten under S08</t>
  </si>
  <si>
    <t>Any bathroom tank remains on its own dedicated structural support under structural sheets only; S08 coordinates roof clearance only</t>
  </si>
  <si>
    <t>Primary light roof frame item</t>
  </si>
  <si>
    <t>Secondary batten item</t>
  </si>
  <si>
    <t>Use same Description as Materials.txt item: GI Batten 32.00mm x 40.00mm x 0.42mm x 6.00m</t>
  </si>
  <si>
    <t>Metal deck item</t>
  </si>
  <si>
    <t>Use same Description as Materials.txt item: TH Deck 762 Metal Roofing 0.47mm G26 TCT</t>
  </si>
  <si>
    <t>Roof screw item</t>
  </si>
  <si>
    <t>Use same Description as Materials.txt item: Hex Self-Drilling Screw DS525HW 10# x 1"</t>
  </si>
  <si>
    <t>Flashing item</t>
  </si>
  <si>
    <t>Use same Description as Materials.txt item: Flashing #30 12" x 8.00ft</t>
  </si>
  <si>
    <t>Gutter item</t>
  </si>
  <si>
    <t>Use same Description as Materials.txt item: 0.47mm TCT Gutter Pre-Painted 18" Girth x 8ft</t>
  </si>
  <si>
    <t>Gutter bracket item</t>
  </si>
  <si>
    <t>Use same Description as Materials.txt item: 25mm x 4.5mm THK External Bracket</t>
  </si>
  <si>
    <t>Gutter outlet item</t>
  </si>
  <si>
    <t>Use same Description as Materials.txt item: 4" Dia Outlet</t>
  </si>
  <si>
    <t>Downpipe item</t>
  </si>
  <si>
    <t>Use same Description as Materials.txt item: Downpipe 110/100mm x 5.8m</t>
  </si>
  <si>
    <t>Downpipe adaptor item</t>
  </si>
  <si>
    <t>Use same Description as Materials.txt item: Downpipe Adaptor Socket 4"</t>
  </si>
  <si>
    <t>Use same Description as Materials.txt item: Downpipe Elbow 105deg</t>
  </si>
  <si>
    <t>Use exact master-list descriptions only; do not invent new roofing item names</t>
  </si>
  <si>
    <t>Sealant rule</t>
  </si>
  <si>
    <t>Use flashing tape and normal roof screw / trim logic only where measured roof junctions and leaks need control</t>
  </si>
  <si>
    <t>Labour basis item</t>
  </si>
  <si>
    <t>Do not repeat shared scaffold or mixer rental in S08; those remain under S01 only</t>
  </si>
  <si>
    <t>User confirmed that roof covers all areas including walkway, only yard has no ceiling, corrected external wall perimeter is 25.705m, and walkway/kaki lima is added outside the current coloured wall line but must still receive full roof protection</t>
  </si>
  <si>
    <t>Hex Self-Drilling Screw DS525HW 10# x 1"</t>
  </si>
  <si>
    <t>0.47mm TCT Gutter Pre-Painted 18" Girth x 8ft</t>
  </si>
  <si>
    <t>DEFAULT USED: external bracket allowance for gutter support over corrected low-edge runs</t>
  </si>
  <si>
    <t>25mm x 4.5mm THK External Bracket</t>
  </si>
  <si>
    <t>4" Dia Outlet</t>
  </si>
  <si>
    <t>DEFAULT USED: downpipe allowance for 4 outlet points from full gutter system</t>
  </si>
  <si>
    <t>S08-DOWNPIPE</t>
  </si>
  <si>
    <t>Downpipe 110/100mm x 5.8m</t>
  </si>
  <si>
    <t>DEFAULT USED: adaptor allowance for 4 downpipe outlet connections</t>
  </si>
  <si>
    <t>Downpipe Adaptor Socket 4"</t>
  </si>
  <si>
    <t>DEFAULT USED: elbow allowance for downpipe offset and drop arrangement</t>
  </si>
  <si>
    <t>Downpipe Elbow 105deg</t>
  </si>
  <si>
    <t>S07 includes incoming pipe, waste pipe, soil pipe, floor trap point, shower/water-heater plumbing point, tank feed/outlet/overflow/washout and testing; S07 excludes waterproofing, screed, tiling, roof rainwater goods and sanitary final installation</t>
  </si>
  <si>
    <t>Use the coloured extension plan as the primary geometry reference and use the old house drainage plan only as the service-size/tie-in reference</t>
  </si>
  <si>
    <t>Use the original house drainage logic only as the tie-in/service-type reference because the old house plan already shows incoming water, waste sizes, WC soil size, service taps and septic arrangement</t>
  </si>
  <si>
    <t>Use 1/2in incoming water line as the standard cold-water distribution size following the old drainage plan service-size reference</t>
  </si>
  <si>
    <t>Use 2in waste pipe as the standard foul/waste drain size following the old drainage plan service-size reference</t>
  </si>
  <si>
    <t>Use 4in soil pipe for WC discharge and connection to existing septic/existing soil tie-in following the old drainage plan service-size reference</t>
  </si>
  <si>
    <t>Existing old house drainage plan shows 1 tangki septik palong as existing reference/tie-in target only</t>
  </si>
  <si>
    <t>Bathroom zone size</t>
  </si>
  <si>
    <t>Bathroom new extension zone = 2184mm x 2946mm</t>
  </si>
  <si>
    <t>Bathroom size control</t>
  </si>
  <si>
    <t>Use the coloured extension plan bathroom size above as the controlling geometry for fixture layout, rough-in spacing and route coordination</t>
  </si>
  <si>
    <t>Kitchen new table-top horizontal run</t>
  </si>
  <si>
    <t>New extension T.TOP horizontal run = 1829mm</t>
  </si>
  <si>
    <t>Kitchen new table-top return run</t>
  </si>
  <si>
    <t>New extension T.TOP return run = 1945mm</t>
  </si>
  <si>
    <t>Table-top geometry control</t>
  </si>
  <si>
    <t>Kitchen sink/service plumbing must follow the new extension T.TOP in the coloured plan only; do not use the old white existing-house table-top detail as the quantity geometry for extension plumbing</t>
  </si>
  <si>
    <t>Kitchen sink final location is on the bathroom-wall side and must follow the corrected final kitchen T.TOP arrangement in the coloured extension plan</t>
  </si>
  <si>
    <t>Provide kitchen incoming and outgoing plumbing to suit the new extension L-shape T.TOP using the 1829mm + 1945mm run geometry</t>
  </si>
  <si>
    <t>Bathroom rough-in shall provide all embedded and concealed plumbing points required for WC, basin cabinet, floor trap, shower and water-heater use</t>
  </si>
  <si>
    <t>Follow the locked bathroom logic within the 2184mm x 2946mm zone: shower below the overhead tank zone, basin/sink at the front/door side, and WC positioned to suit the corrected bathroom window and service layout without service clash</t>
  </si>
  <si>
    <t>WC soil outlet shall follow standard 150mm / 6in rough position unless a later sanitary model explicitly requires a corrected offset</t>
  </si>
  <si>
    <t>WC 4in soil discharge shall route by the shortest practical path from the new bathroom to the existing septic/existing soil tie-in side</t>
  </si>
  <si>
    <t>Tank support frame/beam/platform belongs to S06; S07 covers tank-related pipework only</t>
  </si>
  <si>
    <t>Tank pipe routing shall be coordinated so it does not clash with the corrected bathroom window, bathroom tank-support zone or roof framing zone</t>
  </si>
  <si>
    <t>Provide washout/drain-down provision for the overhead tank so cleaning and maintenance can be done without dismantling the rough-in later</t>
  </si>
  <si>
    <t>Provide 1 no. 4in WC soil line from new bathroom WC point to existing septic/soil tie-in</t>
  </si>
  <si>
    <t>Kitchen 2in waste shall follow the shortest practical concealed route from the new kitchen T.TOP wall to the existing service/drain side with minimum crossing of unrelated structural zones</t>
  </si>
  <si>
    <t>4in WC soil line shall be routed with the minimum practical number of bends and shall connect to the existing septic/soil line side shown on the old drainage plan</t>
  </si>
  <si>
    <t>DEFAULT USED: provide 1 no. 1/2in service bib tap rough-in at the roofed laundry yard for washing/service use because the yard is locked as the washing-clothes area</t>
  </si>
  <si>
    <t>DEFAULT USED: any normal yard service discharge shall follow the practical surface/trapped drain logic coordinated with later floor finish and fall-to-trap work; roof rainwater downpipe is excluded from S07</t>
  </si>
  <si>
    <t>Coordinate bathroom pipe rough-in and floor trap level with the locked bathroom floor drop of 2in below the main new floor so later waterproofing/screed/tile fall can be formed correctly</t>
  </si>
  <si>
    <t>Wall/slab coordination</t>
  </si>
  <si>
    <t>Carry out rough-in testing for leakage, continuity and free discharge before concealment and before waterproofing/screed/tiling layers proceed</t>
  </si>
  <si>
    <t>Tiling, Wet-Area Waterproofing and Walkway Cement-Smooth Finish for New Extension</t>
  </si>
  <si>
    <t>S13 is the finish sheet for all locked tile zones plus the cement-smooth finish to the roofed walkway / kaki lima strip</t>
  </si>
  <si>
    <t>Provide floor tiles, bathroom full-height wall tiles, kitchen table-top wall tiles, tile-setting materials, bathroom wet-area waterproofing, grout and the cement-smooth finish to the walkway strip</t>
  </si>
  <si>
    <t>S13 excludes slab, structural concrete, wall plaster, door/window installation, sanitary final fitting and general painting</t>
  </si>
  <si>
    <t>Controlling finish references</t>
  </si>
  <si>
    <t>Use the coloured extension plan as the primary geometry reference and use the old house plan only for old-house level relationship reference</t>
  </si>
  <si>
    <t>Locked floor finish scope</t>
  </si>
  <si>
    <t>Floor finishes locked by user are kitchen floor tile, bathroom floor tile and yard floor tile; walkway has no tiles</t>
  </si>
  <si>
    <t>Locked wall finish scope</t>
  </si>
  <si>
    <t>Wall finishes locked by user are bathroom full-height wall tiles to 8ft and kitchen L-shape table-top wall tiles to standard 5ft height</t>
  </si>
  <si>
    <t>Walkway tile exclusion</t>
  </si>
  <si>
    <t>Walkway / kaki lima strip has no tiles and must not be counted under tile quantity</t>
  </si>
  <si>
    <t>Walkway finish logic</t>
  </si>
  <si>
    <t>Walkway / kaki lima strip receives ordinary smooth cement finish only</t>
  </si>
  <si>
    <t>DEFAULT USED: kitchen tiled floor area = 28.65 sqm derived from 52.04 sqm total internal slab area minus 6.43 sqm bathroom minus 16.96 sqm yard</t>
  </si>
  <si>
    <t>DEFAULT USED: yard tiled floor area = 16.96 sqm based on 5384mm x 3150mm yard zone</t>
  </si>
  <si>
    <t>Walkway cement-smooth area basis</t>
  </si>
  <si>
    <t>DEFAULT USED: roofed walkway / kaki lima cement-smooth finish area = 15.68 sqm based on 25.705m x 610mm</t>
  </si>
  <si>
    <t>Combined tiled floor area basis</t>
  </si>
  <si>
    <t>DEFAULT USED: combined tiled floor area under S13 = 52.04 sqm comprising kitchen + bathroom + yard only; walkway excluded from tile quantity</t>
  </si>
  <si>
    <t>Kitchen floor tile logic</t>
  </si>
  <si>
    <t>Kitchen is enclosed and receives floor tile finish only under the locked project decision</t>
  </si>
  <si>
    <t>Walkway / kaki lima finish remains below the main internal floor level following the locked external kaki lima relationship</t>
  </si>
  <si>
    <t>Bathroom full-height wall tile height = 8ft = 2.438m</t>
  </si>
  <si>
    <t>Bathroom receives full-height wall tiles to 8ft and must not be reduced to partial splashback-only treatment</t>
  </si>
  <si>
    <t>Kitchen table-top wall tile height basis</t>
  </si>
  <si>
    <t>Kitchen L-shape table-top wall tile height = 5ft = 1.524m</t>
  </si>
  <si>
    <t>Kitchen table-top horizontal run basis</t>
  </si>
  <si>
    <t>Kitchen new extension T.TOP horizontal run = 1829mm</t>
  </si>
  <si>
    <t>Kitchen table-top return run basis</t>
  </si>
  <si>
    <t>Kitchen new extension T.TOP return run = 1945mm</t>
  </si>
  <si>
    <t>Kitchen table-top wall tile area basis</t>
  </si>
  <si>
    <t>DEFAULT USED: kitchen new-extension L-shape table-top wall tile area = 5.75 sqm based on (1.829m + 1.945m) x 1.524m</t>
  </si>
  <si>
    <t>Kitchen table-top tile logic</t>
  </si>
  <si>
    <t>Provide wall tiles only to the new L-shape table-top zone marked T.TOP in the coloured extension plan and do not use the old white existing-house table-top detail for this quantity</t>
  </si>
  <si>
    <t>Socket/service coordination</t>
  </si>
  <si>
    <t>Table-top wall tiling must coordinate with electrical socket rows and plumbing sink points around the kitchen table-top zone</t>
  </si>
  <si>
    <t>Localized bathroom wet-area waterproofing is included under S13 as part of the practical tile system so this critical build item is not omitted from the BOQ</t>
  </si>
  <si>
    <t>Apply wet-area waterproofing to bathroom floor and bathroom wall zones requiring protection beneath tile finish before adhesive and tile installation proceed</t>
  </si>
  <si>
    <t>Kitchen table-top wall tile item</t>
  </si>
  <si>
    <t>Walkway cement finish cement item</t>
  </si>
  <si>
    <t>Walkway cement finish sand item</t>
  </si>
  <si>
    <t>DEFAULT USED: use same Description as Materials.txt item: Fine Sand (Scoop)</t>
  </si>
  <si>
    <t>DEFAULT USED: larger floor tile is assigned to kitchen, while smaller service/wet floor tile is assigned to bathroom and yard for easier set-out and practical fall control</t>
  </si>
  <si>
    <t>Kitchen wall tile size logic</t>
  </si>
  <si>
    <t>DEFAULT USED: kitchen table-top wall tiles use 300mm x 600mm format consistent with backsplash-style wall finish and easier build-up to 5ft</t>
  </si>
  <si>
    <t>Use tile adhesive for all tile zones under S13 and do not rely on plain mortar bedding as the default tile-setting method</t>
  </si>
  <si>
    <t>Provide spacers and grout for all tile-setting work so the completed finish is aligned, consistent and ready for later sanitary/electrical fit-out coordination</t>
  </si>
  <si>
    <t>Walkway cement finish logic</t>
  </si>
  <si>
    <t>Walkway cement licin biasa is a separate non-tile floor finish and shall be floated/trowelled smooth to a practical external protected-access finish standard</t>
  </si>
  <si>
    <t>Bathroom and yard floor finishes must follow the established falls to floor trap / discharge points and must not destroy the locked floor-level logic</t>
  </si>
  <si>
    <t>Bathroom finished level remains 2in below the main new finished floor level after allowing for floor-finish build-up</t>
  </si>
  <si>
    <t>Kitchen tiled floor finish must align with the locked main internal finished floor level</t>
  </si>
  <si>
    <t>Yard tiled finish must remain usable for service/washing use and coordinate with outward drainage logic and the open-side yard condition</t>
  </si>
  <si>
    <t>Substrate under S13 must be sufficiently prepared, true and stable from earlier sheets before tile-setting or walkway cement finishing begins; do not use S13 to hide structural or wall-preparation defects</t>
  </si>
  <si>
    <t>S13 labour later covers bathroom wet-area waterproofing, tile setting, tile cutting, floor-fall control, wall-tile alignment, kitchen table-top wall tile setting, walkway cement-smooth finishing, grouting, cleaning of tile faces and finish-ready preparation only</t>
  </si>
  <si>
    <t>DEFAULT USED: bathroom wet-area waterproofing to bathroom floor plus bathroom wall tile zones before tile installation</t>
  </si>
  <si>
    <t>S13-WATERPROOFING</t>
  </si>
  <si>
    <t>SIKA Waterproof Compound Top Seal 107 (A+B) 25.00kg</t>
  </si>
  <si>
    <t>S13-KITCHEN-FLOOR</t>
  </si>
  <si>
    <t>Tile 600mm x 600mm</t>
  </si>
  <si>
    <t>S13-BATHROOM-FLOOR</t>
  </si>
  <si>
    <t>Tile 300mm x 300mm</t>
  </si>
  <si>
    <t>S13-YARD-FLOOR</t>
  </si>
  <si>
    <t>S13-BATHROOM-WALL</t>
  </si>
  <si>
    <t>S13-KITCHEN-WALL</t>
  </si>
  <si>
    <t>DEFAULT USED: tile adhesive allowance for all floor and wall tile zones under S13</t>
  </si>
  <si>
    <t>S13-ADHESIVE</t>
  </si>
  <si>
    <t>DEFAULT USED: tile spacer allowance for all tile-setting zones under S13</t>
  </si>
  <si>
    <t>S13-SPACER</t>
  </si>
  <si>
    <t>PVC Tile Spacer 2mm</t>
  </si>
  <si>
    <t>PACK</t>
  </si>
  <si>
    <t>DEFAULT USED: grout allowance for all tile joints under S13</t>
  </si>
  <si>
    <t>S13-GROUT</t>
  </si>
  <si>
    <t>S13-WALKWAY-FINISH</t>
  </si>
  <si>
    <t>DEFAULT USED: walkway cement licin biasa finish sand allowance for 15.68 sqm roofed walkway strip</t>
  </si>
  <si>
    <t>Fine Sand (Scoop)</t>
  </si>
  <si>
    <t>S13-LABOUR</t>
  </si>
  <si>
    <t>Electrical Wiring, Power Points, Lighting, DB and Earthing for New Extension</t>
  </si>
  <si>
    <t>S14-REF-DRAWING</t>
  </si>
  <si>
    <t>Controlling electrical references</t>
  </si>
  <si>
    <t>Electrical method lock</t>
  </si>
  <si>
    <t>Concealed and exposed routing rule</t>
  </si>
  <si>
    <t>Ceiling lighting rule</t>
  </si>
  <si>
    <t>No-ceiling lighting rule</t>
  </si>
  <si>
    <t>Yard ceiling condition</t>
  </si>
  <si>
    <t>S14-DIM</t>
  </si>
  <si>
    <t>Kitchen socket point lock</t>
  </si>
  <si>
    <t>Kitchen total socket points</t>
  </si>
  <si>
    <t>Kitchen total 13A plug points = 9 points</t>
  </si>
  <si>
    <t>Water heater point lock</t>
  </si>
  <si>
    <t>Overall general power point basis</t>
  </si>
  <si>
    <t>Kitchen light fitting basis</t>
  </si>
  <si>
    <t>DEFAULT USED: kitchen downlight basis = 8 nos</t>
  </si>
  <si>
    <t>Bathroom light fitting basis</t>
  </si>
  <si>
    <t>DEFAULT USED: bathroom downlight basis = 2 nos</t>
  </si>
  <si>
    <t>Total enclosed downlight basis</t>
  </si>
  <si>
    <t>DEFAULT USED: total enclosed downlight basis under S14 = 10 nos</t>
  </si>
  <si>
    <t>No-ceiling batten basis</t>
  </si>
  <si>
    <t>Switch point basis</t>
  </si>
  <si>
    <t>DEFAULT USED: total switch point basis under S14 = 5 points</t>
  </si>
  <si>
    <t>Kitchen power logic</t>
  </si>
  <si>
    <t>Most kitchen plug points cluster along the table-top working zone and wall areas serving normal domestic small appliances</t>
  </si>
  <si>
    <t>Kitchen table-top electrical coordination</t>
  </si>
  <si>
    <t>Bathroom electrical logic</t>
  </si>
  <si>
    <t>Bathroom electrical scope includes lighting, switch control and dedicated water-heater point plus plug point only</t>
  </si>
  <si>
    <t>Yard electrical logic</t>
  </si>
  <si>
    <t>Yard is roofed but has no ceiling, so lighting there shall be batten type and routed practically for service use</t>
  </si>
  <si>
    <t>Walkway electrical boundary</t>
  </si>
  <si>
    <t>No separate walkway lighting quantity is included under S14 unless later specifically instructed</t>
  </si>
  <si>
    <t>DB requirement</t>
  </si>
  <si>
    <t>Provide one small extension distribution board arrangement for the new extension scope only</t>
  </si>
  <si>
    <t>Earthing requirement</t>
  </si>
  <si>
    <t>Provide earthing for the extension electrical system</t>
  </si>
  <si>
    <t>Protection device rule</t>
  </si>
  <si>
    <t>Provide appropriate single-phase branch protection, residual-current protection and surge protection for the extension DB arrangement</t>
  </si>
  <si>
    <t>Cable size rule</t>
  </si>
  <si>
    <t>S14-MATERIAL-STD</t>
  </si>
  <si>
    <t>Lighting cable item 1</t>
  </si>
  <si>
    <t>Use same Description as Materials.txt item: Mega PVC Cable 1.5mm2 (Black, SIRIM)</t>
  </si>
  <si>
    <t>Lighting cable item 2</t>
  </si>
  <si>
    <t>Use same Description as Materials.txt item: Mega PVC Cable 1.5mm2 (Green, SIRIM)</t>
  </si>
  <si>
    <t>Lighting cable item 3</t>
  </si>
  <si>
    <t>Use same Description as Materials.txt item: Mega PVC Cable 1.5mm2 (Red, SIRIM)</t>
  </si>
  <si>
    <t>Power cable item 1</t>
  </si>
  <si>
    <t>Use same Description as Materials.txt item: Mega PVC Cable 2.5mm2 (Black, SIRIM)</t>
  </si>
  <si>
    <t>Power cable item 2</t>
  </si>
  <si>
    <t>Use same Description as Materials.txt item: Mega PVC Cable 2.5mm2 (Green, SIRIM)</t>
  </si>
  <si>
    <t>Power cable item 3</t>
  </si>
  <si>
    <t>Use same Description as Materials.txt item: Mega PVC Cable 2.5mm2 (Red, SIRIM)</t>
  </si>
  <si>
    <t>Earth cable item</t>
  </si>
  <si>
    <t>Use same Description as Materials.txt item: Earth Cable 16mm2 G/Y (Estimate 15m)</t>
  </si>
  <si>
    <t>Conduit item 1</t>
  </si>
  <si>
    <t>Use same Description as Materials.txt item: PVC Conduit Pipe 20mm (10ft)</t>
  </si>
  <si>
    <t>Conduit item 2</t>
  </si>
  <si>
    <t>Use same Description as Materials.txt item: PVC Conduit Pipe 25mm (10ft)</t>
  </si>
  <si>
    <t>Conduit bend item</t>
  </si>
  <si>
    <t>Use same Description as Materials.txt item: PVC Elbow 90 Degree 25mm</t>
  </si>
  <si>
    <t>Back box item</t>
  </si>
  <si>
    <t>Use same Description as Materials.txt item: PVC Concealed Box 1 Gang</t>
  </si>
  <si>
    <t>Socket item</t>
  </si>
  <si>
    <t>Use same Description as Materials.txt item: Schneider Socket 13A (Single)</t>
  </si>
  <si>
    <t>Switch item</t>
  </si>
  <si>
    <t>Use same Description as Materials.txt item: Schneider Switch 1 Gang</t>
  </si>
  <si>
    <t>Downlight item</t>
  </si>
  <si>
    <t>Use same Description as Materials.txt item: LED Downlight 4in 12W</t>
  </si>
  <si>
    <t>Batten item</t>
  </si>
  <si>
    <t>Use same Description as Materials.txt item: Newton LED Batten 4ft Single Fitting C/W SBE LED Tube 22W 6500K</t>
  </si>
  <si>
    <t>DB box item</t>
  </si>
  <si>
    <t>Use same Description as Materials.txt item: Consumer DB Box 12 Way</t>
  </si>
  <si>
    <t>MCB item</t>
  </si>
  <si>
    <t>Use same Description as Materials.txt item: EPS MCB 1P (6A/10A/16A/20A/32A)</t>
  </si>
  <si>
    <t>RCCB item</t>
  </si>
  <si>
    <t>Use same Description as Materials.txt item: EPS RCCB Single Phase 40A 2P 30mA</t>
  </si>
  <si>
    <t>SPD item</t>
  </si>
  <si>
    <t>Use same Description as Materials.txt item: EPS SPD Single Phase 1P+N 20/40kA</t>
  </si>
  <si>
    <t>Earthing rod item</t>
  </si>
  <si>
    <t>Use same Description as Materials.txt item: Taipoly Copper Rod 13.7mm x 5ft (SIRIM JKR)</t>
  </si>
  <si>
    <t>Earthing clamp item</t>
  </si>
  <si>
    <t>Use same Description as Materials.txt item: Copper Cable Clamp (Heavy Duty)</t>
  </si>
  <si>
    <t>S14-LABOUR-STD</t>
  </si>
  <si>
    <t>Price/Unit (RM)</t>
  </si>
  <si>
    <t>DEFAULT USED: concealed lighting cable allowance for extension kitchen and bathroom lighting/switch circuits</t>
  </si>
  <si>
    <t>S14-CABLE</t>
  </si>
  <si>
    <t>Mega PVC Cable 1.5mm2 (Black, SIRIM)</t>
  </si>
  <si>
    <t>Mega PVC Cable 1.5mm2 (Green, SIRIM)</t>
  </si>
  <si>
    <t>Mega PVC Cable 1.5mm2 (Red, SIRIM)</t>
  </si>
  <si>
    <t>DEFAULT USED: socket and water-heater point cable allowance for extension power circuits</t>
  </si>
  <si>
    <t>Mega PVC Cable 2.5mm2 (Black, SIRIM)</t>
  </si>
  <si>
    <t>Mega PVC Cable 2.5mm2 (Green, SIRIM)</t>
  </si>
  <si>
    <t>Mega PVC Cable 2.5mm2 (Red, SIRIM)</t>
  </si>
  <si>
    <t>DEFAULT USED: minimum complete earthing allowance for extension electrical system</t>
  </si>
  <si>
    <t>S14-EARTH</t>
  </si>
  <si>
    <t>Earth Cable 16mm2 G/Y (Estimate 15m)</t>
  </si>
  <si>
    <t>M</t>
  </si>
  <si>
    <t>DEFAULT USED: concealed conduit allowance for light and switch circuits in enclosed zones</t>
  </si>
  <si>
    <t>S14-CONDUIT</t>
  </si>
  <si>
    <t>PVC Conduit Pipe 20mm (10ft)</t>
  </si>
  <si>
    <t>DEFAULT USED: concealed conduit allowance for socket and water-heater circuits</t>
  </si>
  <si>
    <t>PVC Conduit Pipe 25mm (10ft)</t>
  </si>
  <si>
    <t>DEFAULT USED: conduit bend allowance for extension electrical routing</t>
  </si>
  <si>
    <t>PVC Elbow 90 Degree 25mm</t>
  </si>
  <si>
    <t>DEFAULT USED: back box allowance for 10 socket points and 5 switch points</t>
  </si>
  <si>
    <t>S14-BACKBOX</t>
  </si>
  <si>
    <t>PVC Concealed Box 1 Gang</t>
  </si>
  <si>
    <t>S14-SOCKET</t>
  </si>
  <si>
    <t>Schneider Socket 13A (Single)</t>
  </si>
  <si>
    <t>S14-SWITCH</t>
  </si>
  <si>
    <t>Schneider Switch 1 Gang</t>
  </si>
  <si>
    <t>DEFAULT USED: enclosed-space downlight allowance for kitchen and bathroom according to locked point basis</t>
  </si>
  <si>
    <t>S14-LIGHT</t>
  </si>
  <si>
    <t>Newton LED Batten 4ft Single Fitting C/W SBE LED Tube 22W 6500K</t>
  </si>
  <si>
    <t>DEFAULT USED: one extension DB box allowance for locked electrical scope</t>
  </si>
  <si>
    <t>S14-DB</t>
  </si>
  <si>
    <t>Consumer DB Box 12 Way</t>
  </si>
  <si>
    <t>DEFAULT USED: single-phase branch protection allowance for extension DB</t>
  </si>
  <si>
    <t>EPS MCB 1P (6A/10A/16A/20A/32A)</t>
  </si>
  <si>
    <t>DEFAULT USED: single-phase residual-current protection allowance for extension DB</t>
  </si>
  <si>
    <t>EPS RCCB Single Phase 40A 2P 30mA</t>
  </si>
  <si>
    <t>DEFAULT USED: surge protection allowance for extension DB</t>
  </si>
  <si>
    <t>EPS SPD Single Phase 1P+N 20/40kA</t>
  </si>
  <si>
    <t>DEFAULT USED: earthing rod allowance for extension electrical system</t>
  </si>
  <si>
    <t>Taipoly Copper Rod 13.7mm x 5ft (SIRIM JKR)</t>
  </si>
  <si>
    <t>DEFAULT USED: heavy-duty clamp allowance for extension earthing system</t>
  </si>
  <si>
    <t>Copper Cable Clamp (Heavy Duty)</t>
  </si>
  <si>
    <t>S14-LABOUR</t>
  </si>
  <si>
    <t>S14 covers the complete electrical scope for the new extension only and excludes structural, plumbing, roofing, walling, doors/windows, plaster, ceiling framing, tiling and final painting</t>
  </si>
  <si>
    <t>Provide complete extension electrical wiring, power points, lighting points, switch points, water-heater point, DB arrangement, single-phase protection and earthing</t>
  </si>
  <si>
    <t>Use coloured extension plan and locked session decisions as controlling basis; old white-house electrical drawing is reference for installation language and height logic only</t>
  </si>
  <si>
    <t>Use coloured extension plan + Sal Radwan 2026-03-30 + Sal Radwan 2026-03-31; do not use old white-house geometry for new extension takeoff</t>
  </si>
  <si>
    <t>All S14 works shall follow the final locked extension-only electrical logic and shall not drift back to original house room geometry</t>
  </si>
  <si>
    <t>DEFAULT USED: use concealed routing for enclosed kitchen and bathroom; use practical exposed routing for the roofed yard zone with no ceiling</t>
  </si>
  <si>
    <t>All enclosed spaces with ceiling shall use downlight fittings according to suitability of area</t>
  </si>
  <si>
    <t>Spaces without ceiling shall use 4ft LED batten fittings according to suitability of area so the area is not too dark</t>
  </si>
  <si>
    <t>Yard has no ceiling and therefore its lighting shall not be priced as downlight</t>
  </si>
  <si>
    <t>Dapur minimum 7 plug point confirmed plus 2 additional plug points for the wall zone between the two top-hung windows</t>
  </si>
  <si>
    <t>Water-heater point + plug point confirmed for bathroom use</t>
  </si>
  <si>
    <t>DEFAULT USED: total 13A socket points under S14 = 10 points including kitchen general power and 1 bathroom water-heater plug point</t>
  </si>
  <si>
    <t>DEFAULT USED: total 4ft LED batten basis under S14 = 2 sets for roofed yard / open service zone</t>
  </si>
  <si>
    <t>Kitchen socket and lighting arrangement must coordinate with the corrected new table-top layout, not the old-house table-top detail</t>
  </si>
  <si>
    <t>DEFAULT USED: 1.5mm2 cable for lighting and switch circuits; 2.5mm2 cable for socket and water-heater power circuits</t>
  </si>
  <si>
    <t>Installation height reference</t>
  </si>
  <si>
    <t>DEFAULT USED: follow original house electrical drawing language for practical installation reference: SSO about 1.5ft above floor level and one-way switch about 5ft above floor level unless local condition requires small adjustment</t>
  </si>
  <si>
    <t>Labour item</t>
  </si>
  <si>
    <t>S14 electrical lock</t>
  </si>
  <si>
    <t>User confirmed kitchen minimum 7 plug point + 2 tambahan, water-heater point + plug point, enclosed spaces use downlight, no-ceiling zones use 4ft LED batten, and new outputs use skilled worker only</t>
  </si>
  <si>
    <t>DEFAULT USED: confirmed general power points for extension kitchen and bathroom water-heater use</t>
  </si>
  <si>
    <t>DEFAULT USED: switch allowance for kitchen, bathroom and yard/open-roofed lighting control</t>
  </si>
  <si>
    <t>DEFAULT USED: no-ceiling light allowance for roofed yard/open service zone so the area is not too dark</t>
  </si>
  <si>
    <t>S15-TITLE</t>
  </si>
  <si>
    <t>Painting, Sanitary Final, Final Fittings, Sealant, Testing and Cleaning for New Extension</t>
  </si>
  <si>
    <t>S15 is the closing trade sheet for the new extension and carries paint finish, sanitary final install, selected final fittings, sealant/touch-up, service testing and final cleaning/handover only</t>
  </si>
  <si>
    <t>S15-OVERVIEW</t>
  </si>
  <si>
    <t>Complete final non-structural handover layer for the new extension</t>
  </si>
  <si>
    <t>S15 includes final wall/ceiling paint touch-up and finish, bathroom sanitary final installation, final visible fitting completion, local sealant/making-good, testing and cleaning; S15 excludes rough-in plumbing, rough-in electrical, structural work, roofing, walling, ceiling framing and tiling base work already priced under earlier sheets</t>
  </si>
  <si>
    <t>S15-REF-DRAWING</t>
  </si>
  <si>
    <t>Controlling finishing references</t>
  </si>
  <si>
    <t>Use coloured extension plan and locked session decisions only; do not use old white-house geometry as extension takeoff geometry</t>
  </si>
  <si>
    <t>S15-METHOD</t>
  </si>
  <si>
    <t>Final-sheet boundary</t>
  </si>
  <si>
    <t>S15 is the final handover layer only; do not duplicate items already charged in S07 rough-in, S10 openings, S12 ceiling, S13 tiling or S14 electrical</t>
  </si>
  <si>
    <t>Painting scope</t>
  </si>
  <si>
    <t>Painting under S15 is limited to final sealer/undercoat/emulsion for enclosed finished surfaces and gloss touch-up for the user-locked plywood kitchen/yard door finish layer</t>
  </si>
  <si>
    <t>Sanitary final installation scope</t>
  </si>
  <si>
    <t>S15 carries final bathroom sanitary fixtures and exposed accessory installation after rough-in and tiling are complete</t>
  </si>
  <si>
    <t>Bathroom final fixture lock</t>
  </si>
  <si>
    <t>Bathroom final fixture set remains 1 WC + 1 basin cabinet + 1 floor trap + 1 shower + 1 hand bidet as already locked</t>
  </si>
  <si>
    <t>Kitchen final fitting boundary</t>
  </si>
  <si>
    <t>S15 carries final kitchen fitting completion only where supported by exact master items; rough-in route and concealed service logic remain under S07</t>
  </si>
  <si>
    <t>Water heater boundary</t>
  </si>
  <si>
    <t>Water heater wiring/point work remains under S14; S15 only carries final coordination/testing of completed services and does not duplicate electrical installation pricing</t>
  </si>
  <si>
    <t>Sealant and making-good boundary</t>
  </si>
  <si>
    <t>Provide local joint sealing, minor making-good and final touch-up only at sanitary edges, fitting edges and paint touch-up zones</t>
  </si>
  <si>
    <t>Testing boundary</t>
  </si>
  <si>
    <t>S15 shall include final sanitary water test, flushing/checking, visual finish inspection and practical handover readiness check for the extension-only scope</t>
  </si>
  <si>
    <t>Cleaning boundary</t>
  </si>
  <si>
    <t>S15 shall include final builders cleaning for the new extension work zone only and not the whole old house</t>
  </si>
  <si>
    <t>S15-DIM</t>
  </si>
  <si>
    <t>Bathroom sanitary package count</t>
  </si>
  <si>
    <t>Provide 1 complete bathroom sanitary final package basis for the locked extension bathroom</t>
  </si>
  <si>
    <t>Shower set count</t>
  </si>
  <si>
    <t>Provide 1 no. final shower set to the bathroom</t>
  </si>
  <si>
    <t>Hand bidet set count</t>
  </si>
  <si>
    <t>Provide 1 no. final hand bidet set to the bathroom</t>
  </si>
  <si>
    <t>Final floor trap count</t>
  </si>
  <si>
    <t>Provide 1 no. visible final floor trap fitting at the bathroom tiled floor zone</t>
  </si>
  <si>
    <t>Flexible hose allowance</t>
  </si>
  <si>
    <t>DEFAULT USED: provide 2 no. flexible hose allowances for final sanitary connection completion</t>
  </si>
  <si>
    <t>Paint sealer basis</t>
  </si>
  <si>
    <t>DEFAULT USED: 1 pail sealer / undercoat allowance for final enclosed-finish extension scope and local finishing touch-up</t>
  </si>
  <si>
    <t>Interior emulsion basis</t>
  </si>
  <si>
    <t>DEFAULT USED: 2 pails interior emulsion allowance for enclosed kitchen and bathroom final paint/touch-up scope</t>
  </si>
  <si>
    <t>Door gloss basis</t>
  </si>
  <si>
    <t>DEFAULT USED: 1 tin gloss paint allowance for final plywood kitchen/yard door finish and minor fitting touch-up</t>
  </si>
  <si>
    <t>Sanding preparation basis</t>
  </si>
  <si>
    <t>DEFAULT USED: sanding preparation allowance for final plywood door/fitting paint touch-up uses 120G, 240G and 400G papers</t>
  </si>
  <si>
    <t>Sealant basis</t>
  </si>
  <si>
    <t>DEFAULT USED: provide 4 pcs local sealant allowance for sanitary edges, fitting perimeter, minor gap filling and making-good</t>
  </si>
  <si>
    <t>S15-MATERIAL-STD</t>
  </si>
  <si>
    <t>Paint item 1</t>
  </si>
  <si>
    <t xml:space="preserve">Use same Description as Materials.txt item: Smart Paint 5400 Wall Sealer Exterior &amp; Interior Wall Undercoat 18L </t>
  </si>
  <si>
    <t>Paint item 2</t>
  </si>
  <si>
    <t>Use same Description as Materials.txt item: Colourland Super White 9102 Colourlite 18L Emulsion Paint</t>
  </si>
  <si>
    <t>Paint item 3</t>
  </si>
  <si>
    <t>Paint prep item 1</t>
  </si>
  <si>
    <t>Paint prep item 2</t>
  </si>
  <si>
    <t>Paint prep item 3</t>
  </si>
  <si>
    <t>Sealant item</t>
  </si>
  <si>
    <t>Use same Description as Materials.txt item: Poly Sealant 280ml</t>
  </si>
  <si>
    <t>Sanitary item 1</t>
  </si>
  <si>
    <t xml:space="preserve">Use same Description as Materials.txt item: DOCASA Combo, c/w One-piece rimless toilet bowl + modern bathroom sink cabinet with basin, mirror &amp; shelf , Soft-close seat and cover, Cistern fittings, Cistern cover with flush button, Straight connector </t>
  </si>
  <si>
    <t>Sanitary item 2</t>
  </si>
  <si>
    <t>Use same Description as Materials.txt item: Twins Shower Square 8"</t>
  </si>
  <si>
    <t>Sanitary item 3</t>
  </si>
  <si>
    <t>Use same Description as Materials.txt item: Yessy Two-Way Hand Bidet</t>
  </si>
  <si>
    <t>Sanitary item 4</t>
  </si>
  <si>
    <t>Use same Description as Materials.txt item: Yessy Tile Floor Trap</t>
  </si>
  <si>
    <t>Sanitary item 5</t>
  </si>
  <si>
    <t>Use same Description as Materials.txt item: Flexible Hose Latina 10"</t>
  </si>
  <si>
    <t>S15-LABOUR-STD</t>
  </si>
  <si>
    <t>S15-USER-INPUT</t>
  </si>
  <si>
    <t>S15 closing-sheet lock</t>
  </si>
  <si>
    <t>S15 is done after S14 and before final audit; new outputs use skilled worker only and must remain copy-code TSV ready</t>
  </si>
  <si>
    <t>DEFAULT USED: final sealer/undercoat allowance for enclosed extension finish layer and local paint preparation</t>
  </si>
  <si>
    <t>S15-PAINT</t>
  </si>
  <si>
    <t>DEFAULT USED: final interior emulsion allowance for enclosed kitchen and bathroom finish/touch-up scope</t>
  </si>
  <si>
    <t>Colourland Super White 9102 Colourlite 18L Emulsion Paint</t>
  </si>
  <si>
    <t>DEFAULT USED: gloss finish allowance for plywood kitchen/yard door and minor final touch-up</t>
  </si>
  <si>
    <t>DEFAULT USED: coarse sanding allowance for final plywood door and fitting surface preparation</t>
  </si>
  <si>
    <t>S15-PAINT-PREP</t>
  </si>
  <si>
    <t>DEFAULT USED: medium sanding allowance for final plywood door and fitting surface preparation</t>
  </si>
  <si>
    <t>DEFAULT USED: fine sanding allowance for final plywood door and fitting surface preparation</t>
  </si>
  <si>
    <t>DEFAULT USED: local sanitary edge and finishing joint sealant allowance</t>
  </si>
  <si>
    <t>S15-SEALANT</t>
  </si>
  <si>
    <t>Poly Sealant 280ml</t>
  </si>
  <si>
    <t>DEFAULT USED: 1 complete bathroom sanitary final package for locked extension bathroom</t>
  </si>
  <si>
    <t>S15-SANITARY</t>
  </si>
  <si>
    <t xml:space="preserve">DOCASA Combo, c/w One-piece rimless toilet bowl + modern bathroom sink cabinet with basin, mirror &amp; shelf , Soft-close seat and cover, Cistern fittings, Cistern cover with flush button, Straight connector </t>
  </si>
  <si>
    <t>DEFAULT USED: 1 final shower set for locked bathroom sanitary completion</t>
  </si>
  <si>
    <t>Twins Shower Square 8"</t>
  </si>
  <si>
    <t>DEFAULT USED: 1 final hand bidet set for locked bathroom sanitary completion</t>
  </si>
  <si>
    <t>Yessy Two-Way Hand Bidet</t>
  </si>
  <si>
    <t>DEFAULT USED: 1 visible final floor trap fitting for the bathroom tiled floor zone</t>
  </si>
  <si>
    <t>DEFAULT USED: flexible hose allowance for final sanitary connection completion</t>
  </si>
  <si>
    <t>Flexible Hose Latina 10"</t>
  </si>
  <si>
    <t>S15-LABOUR</t>
  </si>
  <si>
    <t>S01 is limited to true preliminaries, shared temporary equipment and initial site control only for the whole extension</t>
  </si>
  <si>
    <t>Provide minimum necessary preliminaries for local protection, setting-out, tie-in control, shared temporary equipment and shared access budget</t>
  </si>
  <si>
    <t>S01 shall not price measured structural work, slab/base, footing, beam, column, plumbing, roofing, walling, openings, plaster, ceiling, tiling, electrical or final fittings</t>
  </si>
  <si>
    <t>Use the existing house drawing Rev01 together with the final corrected coloured extension plan for setting-out and tie-in checking only; do not use white old-house geometry as new extension takeoff geometry</t>
  </si>
  <si>
    <t>S01 is a true prelim sheet only and shall carry only minimum initial protection, marking, datum/reference check, shared temporary equipment and shared access items required before later trade sheets start</t>
  </si>
  <si>
    <t>Provide local protection only at the extension tie-in/work zone and adjacent existing surfaces/services; do not protect the whole old house and do not over-allow unnecessary prelim materials</t>
  </si>
  <si>
    <t>New extension main finished floor follows the old internal house floor level, with bathroom floor 2in lower; this datum is recorded here as setting-out/control reference only, not as measured structural work</t>
  </si>
  <si>
    <t>Corrected external wall perimeter reference for current extension geometry = 25.705 m</t>
  </si>
  <si>
    <t>Minimum walkway / kaki lima runs the full corrected extension perimeter reference = 25.705 m at 610mm width, but walkway quantities are not measured under S01</t>
  </si>
  <si>
    <t>DEFAULT USED: lean-to / single-slope outward roof type for the extension</t>
  </si>
  <si>
    <t>All enclosed spaces shall target minimum clear ceiling about 8ft after final build-up</t>
  </si>
  <si>
    <t>Kitchen = enclosed; bathroom = enclosed; yard = roofed with one side open and no ceiling</t>
  </si>
  <si>
    <t>Cement mixer rental and scaffolding rental are shared temporary cost items and shall be carried in S01 only, not in S04/S05/S16/S17 option sheets</t>
  </si>
  <si>
    <t>If the final selected work method does not use a shared temporary item already budgeted in S01, keep the row and set Usage Qty = 0 under update-only rule</t>
  </si>
  <si>
    <t>Scaffolding allowance is for upper works/perimeter access related to the corrected extension perimeter and related shared access only</t>
  </si>
  <si>
    <t>Work method restriction</t>
  </si>
  <si>
    <t>DEFAULT USED: S01 prelim works use manual small-job method only; no backhoe, no crane and no RORO are to be charged under S01</t>
  </si>
  <si>
    <t>Labour rule lock</t>
  </si>
  <si>
    <t>All new labour outputs from this stage onward use skilled worker only; do not use general helper in new outputs</t>
  </si>
  <si>
    <t>Allow exactly 2 pcs Plastic Tarpaulin Sheet 12 x 18ft for one small extension tie-in/work zone protection setup</t>
  </si>
  <si>
    <t>Prelim labour productivity basis</t>
  </si>
  <si>
    <t>DEFAULT USED: legacy prelim basis 4 MH skilled + 4 MH helper is converted to skilled-only rule; combined ideal basis = 8 MH and treated as light-work prelim activity for protection, datum/tie-in check and one full set-out event</t>
  </si>
  <si>
    <t>Cement mixer month 1 basis</t>
  </si>
  <si>
    <t>DEFAULT USED: allow 1 month cement mixer rental as shared prelim budget for self-mix option neutrality; if final selected method does not use mixer, later set Usage Qty = 0</t>
  </si>
  <si>
    <t>Cement mixer month 2 basis</t>
  </si>
  <si>
    <t>DEFAULT USED: allow 1 month Cement Mixer Rental - Month 2 Onwards as shared prelim budget for self-mix option neutrality; if final selected method does not use mixer, later set Usage Qty = 0</t>
  </si>
  <si>
    <t>Scaffolding rental basis</t>
  </si>
  <si>
    <t>DEFAULT USED: corrected scaffold basis uses 25.705m perimeter, 1.8m bay run length, rounded to 15 bay per tier; 2-tier = 30 set; 2 months total usage = 60 set</t>
  </si>
  <si>
    <t>Protection sheet, rope, chalk, initial prelim labour, mixer and scaffold budget recorded in S01 must not be repeated again in later sheets unless a separate new prelim event is explicitly recorded</t>
  </si>
  <si>
    <t>User scope translation</t>
  </si>
  <si>
    <t>User requires BOQ split by scope, old white plan used only as existing/tie-in reference, coloured plan controls extension geometry, walkway is an added outer strip and not a floor-plan wall zone, and S01 must stay as prelim/control sheet with shared temporary equipment only</t>
  </si>
  <si>
    <t>DEFAULT USED: exact one-off local protection allowance for one small extension tie-in/work zone; no separate wastage added because qty itself is fixed prelim allowance</t>
  </si>
  <si>
    <t>DEFAULT USED: exact one-off securing allowance for local protection setup; no separate wastage added because qty itself is fixed prelim allowance</t>
  </si>
  <si>
    <t>DEFAULT USED: exact one-off initial marking/set-out consumable allowance; no separate wastage added because qty itself is fixed prelim allowance</t>
  </si>
  <si>
    <t>S01-LABOUR</t>
  </si>
  <si>
    <t>S03 carries only the manual earthwork labour layer required before S04 base/slab build-up begins</t>
  </si>
  <si>
    <t>S03 labour item</t>
  </si>
  <si>
    <t>User confirmed manual excavation and manual cart away only, reuse existing 3/4in aggregate where suitable, crusher run as later economical top-up material, no reliance on normal loose soil under new internal floor, bathroom floor drop 2in, no heavy plant/rental unless separately proven later, and all new labour outputs must use skilled worker only</t>
  </si>
  <si>
    <t>S04 carries base preparation, DPM for enclosed slab, BRC, ready mix concrete slab work, curing, slab labour and option-specific crane for the internal extension floor plus the protected walkway slab strip</t>
  </si>
  <si>
    <t>Corrected external wall perimeter = 25.705m based on the corrected extension geometry</t>
  </si>
  <si>
    <t>Skilled-only labour rule</t>
  </si>
  <si>
    <t>User confirmed corrected external wall perimeter = 25.705m, walkway length follows the same perimeter and is added outside the current coloured wall line, roof covers all areas including walkway, S04 must include walkway slab in addition to the internal coloured extension slab, DPM is required for enclosed slab, and current-session labour outputs use skilled worker only</t>
  </si>
  <si>
    <t>DEFAULT USED: internal enclosed slab base top-up for locked 52.04 sqm slab area; derived quantity already follows thickness basis so no extra buffer is added</t>
  </si>
  <si>
    <t>DEFAULT USED: internal enclosed slab sand blinding for locked 52.04 sqm slab area; derived quantity already follows thickness basis so no extra buffer is added</t>
  </si>
  <si>
    <t>DEFAULT USED: full enclosed slab DPM allowance including lap, perimeter turn-up and normal cut waste is already built into the 1 roll basis</t>
  </si>
  <si>
    <t>DEFAULT USED: internal enclosed slab BRC allowance for locked 52.04 sqm slab area with normal overlap already resolved in the derived quantity</t>
  </si>
  <si>
    <t>DEFAULT USED: minimum roofed walkway / kaki lima strip 610mm standard around corrected extension perimeter; derived quantity already follows thickness basis</t>
  </si>
  <si>
    <t>S04-WALKWAY</t>
  </si>
  <si>
    <t>DEFAULT USED: minimum roofed walkway / kaki lima BRC allowance with normal overlap already resolved in the derived quantity</t>
  </si>
  <si>
    <t>DEFAULT USED: roofed walkway / kaki lima ready-mix slab basis derived from 15.68 sqm x 100mm</t>
  </si>
  <si>
    <t>DEFAULT USED: one pail curing compound allowance for combined internal slab plus walkway slab pour sequence</t>
  </si>
  <si>
    <t>DEFAULT USED: include 1 DAY crane as option-specific ready-mix support for one combined internal slab plus walkway slab ready-mix pour under S04</t>
  </si>
  <si>
    <t>S05 includes footing blinding, reinforcement, formwork, concrete pour labour, curing and option-specific crane if kept; S05 excludes mixer and scaffolding</t>
  </si>
  <si>
    <t>DEFAULT USED: footing pad blinding, footing pad concrete and ground beam concrete under S05 are budgeted using ready mix for one lower-structure operation</t>
  </si>
  <si>
    <t>DEFAULT USED: use G25 ready mix concrete for S05 footing pad and ground beam lower-structure works</t>
  </si>
  <si>
    <t>Timber support item</t>
  </si>
  <si>
    <t>S05 labour covers footing marking confirmation, footing blinding preparation, beam line confirmation, rebar cage fixing, formwork fixing, level checking, ready mix receiving, pouring, vibrating/rodding and basic concrete finishing for footing pad and ground beam only</t>
  </si>
  <si>
    <t>User locked S05 as footing pad + ground beam ready mix comparison sheet only; footing and beam may be poured together in one lower-structure pour; column pour stays in later sequence; current-session labour outputs use skilled worker only</t>
  </si>
  <si>
    <t>CALC NOTE: 11 footing pads x 900mm x 900mm x 50mm blinding = 0.45 m3; to keep exact master item this blinding is budgeted under the same ready-mix concrete item used for the lower-structure pour</t>
  </si>
  <si>
    <t>DEFAULT USED: footing pad + ground beam ready-mix lower-structure pour basis for locked 4.10 m3 structural concrete</t>
  </si>
  <si>
    <t>DEFAULT USED: main reinforcement basis for 11 footing pads plus approximately 50.13m total ground beam length with starter bar anchorage zone included</t>
  </si>
  <si>
    <t>DEFAULT USED: link and tie reinforcement basis for footing pad and ground beam cage under the locked lower-structure geometry</t>
  </si>
  <si>
    <t>DEFAULT USED: reusable side formwork basis for ground beam sides and local footing edge shuttering where trench face alone is insufficient</t>
  </si>
  <si>
    <t>DEFAULT USED: timber support and bracing for beam side shuttering and local footing edge formwork support</t>
  </si>
  <si>
    <t>DEFAULT USED: one pail curing compound allowance for footing pad plus ground beam concrete after placement</t>
  </si>
  <si>
    <t>DEFAULT USED: allow 1 DAY crane service for one complete footing pad plus ground beam ready-mix lower-structure pour</t>
  </si>
  <si>
    <t>Use same Description as Materials.txt item: MS Deformed Bar Y10 12.00m (Main Bars)</t>
  </si>
  <si>
    <t>User confirmed the latest corrected sketch as the controlling upper-structure reference: red points are new support points, pink points are existing only, beam-only lines still count as structure, bathroom tank support stays inside the same structural system, and current-session labour outputs use skilled worker only</t>
  </si>
  <si>
    <t>DEFAULT USED: RC column concrete volume 0.75 m3 plus roof beam concrete volume 0.75 m3 gives 1.50 m3 total upper-structure concrete basis</t>
  </si>
  <si>
    <t>DEFAULT USED: 11 RC columns at average effective concrete height about 3.03m with 4 main bars each gives about 133.32m total; rounded to 12 bars before formula waste/buffer</t>
  </si>
  <si>
    <t>S06-REBAR</t>
  </si>
  <si>
    <t>DEFAULT USED: roof beam main bars based on about 50.00m total roof beam length with 4 main bars gives about 200.00m total; rounded to 17 bars before formula waste/buffer</t>
  </si>
  <si>
    <t>DEFAULT USED: combined upper-structure links for RC columns and roof beams with normal lightweight spacing allowance for the locked upper grid</t>
  </si>
  <si>
    <t>DEFAULT USED: column side shuttering plus roof beam side and soffit formwork allowance for the locked upper structural family</t>
  </si>
  <si>
    <t>DEFAULT USED: timber support, waler and bracing allowance for RC column and roof beam formwork including local tank support zone formwork support</t>
  </si>
  <si>
    <t>DEFAULT USED: one pail curing compound allowance for RC column plus roof beam upper-structure concrete</t>
  </si>
  <si>
    <t>CALC NOTE: base MH = 8 for one initial prelim event covering local protection setup, datum/tie-in check and one full setting-out operation; light-work factor 0.80 =&gt; 8/0.80 x 1.20 x 1.15 = 13.80 rounded to 14 MH skilled-only</t>
  </si>
  <si>
    <t>CALC NOTE: base MH = 8 for one initial prelim event covering local protection setup, datum/tie-in check and one full setting-out operation; light-work factor 0.80 =&gt; 8/0.80 x 1.20 x 1.15 = 13.80 rounded</t>
  </si>
  <si>
    <t>Skilled labour productivity basis</t>
  </si>
  <si>
    <t>CALC NOTE: base MH = 40 derived from the locked S03 manual earthwork workload covering 11 footing holes, 9 beam trenches, local service trenching, formation trimming and spoil handling; heavy-work factor 0.55 =&gt; 40/0.55 x 1.20 x 1.15 = 100.36 rounded to 100 MH skilled-only</t>
  </si>
  <si>
    <t>No additional S03 labour is allowed beyond the fixed 100 MH Labour - Skilled Worker (Per MH) unless a later separate earthwork event is explicitly recorded</t>
  </si>
  <si>
    <t>CALC NOTE: base MH = 40 derived from the locked S03 manual earthwork workload covering 11 footing holes, 9 beam trenches, local service trenching, formation trimming and spoil handling; heavy-work factor 0.55 =&gt; 40/0.55 x 1.20 x 1.15 = 100.36 rounded</t>
  </si>
  <si>
    <t>DEFAULT USED: all current-session labour outputs must use skilled worker only; no helper labour is used</t>
  </si>
  <si>
    <t>Labour productivity basis</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</si>
  <si>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 to 81 MH skilled-only</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</si>
  <si>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t>
  </si>
  <si>
    <t>CALC NOTE: base MH = 56 for footing blinding preparation, footing/beam line confirmation, rebar cage fixing, formwork fixing, level checking, ready-mix receiving, pouring, vibrating/rodding and basic concrete finishing; heavy-work factor 0.55 =&gt; 56/0.55 x 1.20 x 1.15 = 140.51 rounded to 141 MH skilled-only</t>
  </si>
  <si>
    <t>CALC NOTE: base MH = 56 for footing blinding preparation, footing/beam line confirmation, rebar cage fixing, formwork fixing, level checking, ready-mix receiving, pouring, vibrating/rodding and basic concrete finishing; heavy-work factor 0.55 =&gt; 56/0.55 x 1.20 x 1.15 = 140.51 rounded</t>
  </si>
  <si>
    <t>DEFAULT USED: all current-session labour outputs use skilled worker only</t>
  </si>
  <si>
    <t>CALC NOTE: base MH = 44 for 11 RC columns, 9 roof beam lines, integrated bathroom tank upper support, rebar fixing, formwork fixing, alignment, ready-mix placing, rodding/vibration and basic finishing; heavy-work factor 0.55 =&gt; 44/0.55 x 1.20 x 1.15 = 110.40 rounded to 110 MH skilled-only</t>
  </si>
  <si>
    <t>CALC NOTE: base MH = 44 for 11 RC columns, 9 roof beam lines, integrated bathroom tank upper support, rebar fixing, formwork fixing, alignment, ready-mix placing, rodding/vibration and basic finishing; heavy-work factor 0.55 =&gt; 44/0.55 x 1.20 x 1.15 = 110.40 rounded</t>
  </si>
  <si>
    <t>Use same Description as Materials.txt item: PVC Pipe Class 6 Dia15.00mm (1/2") x 5.80m/Length</t>
  </si>
  <si>
    <t>Use same Description as Materials.txt item: PVC P/T Socket Brass Thread 1/2"</t>
  </si>
  <si>
    <t>Use same Description as Materials.txt item: Brass Stop Cock 1/2"</t>
  </si>
  <si>
    <t>Use same Description as Materials.txt item: Brass Garden Bib Tap 1/2"</t>
  </si>
  <si>
    <t>Use same Description as Materials.txt item: UPVC Pipe With SIRIM (2") x 5.8m</t>
  </si>
  <si>
    <t>Use same Description as Materials.txt item: UPVC Pipe With SIRIM (4") x 5.8m</t>
  </si>
  <si>
    <t>Use same Description as Materials.txt item: PVC Fitting Double End Socket 50mm (2")</t>
  </si>
  <si>
    <t>Use same Description as Materials.txt item: PVC Fitting Double End Socket 100mm (4")</t>
  </si>
  <si>
    <t>Use same Description as Materials.txt item: Long Bend 4"</t>
  </si>
  <si>
    <t>Use same Description as Materials.txt item: PVC Solvent Cement Glue 500g (Arrow, Orange)</t>
  </si>
  <si>
    <t>Cold water route basis</t>
  </si>
  <si>
    <t>DEFAULT USED: 1/2in cold-water route basis = 4 lengths total to cover kitchen sink branch, bathroom branch, tank rising line, tank outlet distribution and yard bib/service branch</t>
  </si>
  <si>
    <t>2in waste route basis</t>
  </si>
  <si>
    <t>DEFAULT USED: 2in waste route basis = 3 lengths total to cover kitchen sink waste plus bathroom basin/floor-trap waste routing to existing waste side</t>
  </si>
  <si>
    <t>4in soil route basis</t>
  </si>
  <si>
    <t>DEFAULT USED: 4in soil route basis = 2 lengths total to cover WC discharge route to existing septic/soil tie-in side with practical bend allowance</t>
  </si>
  <si>
    <t>Fitting quantity basis</t>
  </si>
  <si>
    <t>DEFAULT USED: provide practical fitting count for branch continuation, waste route joints, soil route joints, one WC long bend, one floor trap and final concealed jointing support according to the locked fixture-point count</t>
  </si>
  <si>
    <t>CALC NOTE: base MH = 30 for route marking, sleeve setting, concealed pipe laying, branch forming, socketing/jointing, fixture-point positioning, tank line coordination, testing and local making-good support; medium-work factor 0.65 =&gt; 30/0.65 x 1.20 x 1.15 = 63.69 rounded to 64 MH skilled-only</t>
  </si>
  <si>
    <t>S07 labour covers route marking, sleeve setting, concealed pipe laying, branch forming, socketing/jointing, fixture-point positioning, testing and local making-good support only</t>
  </si>
  <si>
    <t>User confirmed bathroom size = 2184 x 2946, new T.TOP = 1829 + 1945 in the coloured extension plan, kitchen sink follows the new extension T.TOP only, overhead tank is limited to 1 x N50 / N80 only, and all current-session labour outputs use skilled worker only</t>
  </si>
  <si>
    <t>DEFAULT USED: 1/2in cold-water distribution for kitchen sink, bathroom use zone, tank rising line, tank outlet distribution and yard bib/service branch</t>
  </si>
  <si>
    <t>S07-COLD-WATER</t>
  </si>
  <si>
    <t>DEFAULT USED: 1/2in branch and take-off allowance for kitchen sink, bathroom branch, tank line and service bib connection points</t>
  </si>
  <si>
    <t>PVC P/T Socket Brass Thread 1/2"</t>
  </si>
  <si>
    <t>DEFAULT USED: 1 no. yard washing/service bib tap rough-in as locked for roofed yard washing area</t>
  </si>
  <si>
    <t>DEFAULT USED: 2in waste route for kitchen sink waste plus bathroom basin/floor-trap waste to existing waste side</t>
  </si>
  <si>
    <t>DEFAULT USED: 2in waste-line straight joint allowance across kitchen and bathroom waste routing</t>
  </si>
  <si>
    <t>DEFAULT USED: 1 no. tile floor trap for bathroom floor drain rough-in as locked by the bathroom fixture set</t>
  </si>
  <si>
    <t>DEFAULT USED: basin concealed waste and later sanitary connection support for the locked bathroom basin point</t>
  </si>
  <si>
    <t>Basin Waste 11/4"</t>
  </si>
  <si>
    <t>DEFAULT USED: basin bottle trap support for the locked bathroom basin point</t>
  </si>
  <si>
    <t>Bottle Trap PVC 11/4" 32mm Blue/green</t>
  </si>
  <si>
    <t>DEFAULT USED: 4in WC soil route from new bathroom WC point to existing septic/soil tie-in side</t>
  </si>
  <si>
    <t>DEFAULT USED: 4in soil-line straight joint allowance between WC point and existing tie-in route</t>
  </si>
  <si>
    <t>DEFAULT USED: 4in long-bend allowance for WC discharge route with minimum practical bend count</t>
  </si>
  <si>
    <t>DEFAULT USED: solvent/jointing allowance for full S07 concealed plumbing and drainage rough-in scope</t>
  </si>
  <si>
    <t>CALC NOTE: base MH = 30 for route marking, sleeve setting, concealed pipe laying, branch forming, socketing/jointing, fixture-point positioning, tank line coordination, testing and local making-good support; medium-work factor 0.65 =&gt; 30/0.65 x 1.20 x 1.15 = 63.69 rounded</t>
  </si>
  <si>
    <t>Frame load path control</t>
  </si>
  <si>
    <t>Roof frame and roof covering load must transfer into the new upper structural system under S06 and must not rely on the old house as assumed primary support</t>
  </si>
  <si>
    <t>Tie-in control</t>
  </si>
  <si>
    <t>Any tie-in to the old house roof edge is for waterproofing, alignment and local compatibility only</t>
  </si>
  <si>
    <t>Walkway roof shall protect the outside wall base and user movement path and must coordinate with the added walkway slab scope under S04 / S16</t>
  </si>
  <si>
    <t>Light roof frame quantity basis</t>
  </si>
  <si>
    <t>DEFAULT USED: primary light roof frame quantity basis = 16 lengths based on lightweight lean-to framing for 67.72 sqm total roof coverage</t>
  </si>
  <si>
    <t>Secondary batten quantity basis</t>
  </si>
  <si>
    <t>DEFAULT USED: secondary batten quantity basis = 26 lengths based on 750mm spacing for 67.72 sqm total roof coverage</t>
  </si>
  <si>
    <t>Metal deck quantity basis</t>
  </si>
  <si>
    <t>DEFAULT USED: TH Deck 762 metal roofing quantity basis = 958 FT-RUN for 67.72 sqm total roof coverage including trimming allowance</t>
  </si>
  <si>
    <t>Roof screw quantity basis</t>
  </si>
  <si>
    <t>DEFAULT USED: roofing screw quantity basis = 3 BOX for full light roof frame, batten, metal deck and trim fixing</t>
  </si>
  <si>
    <t>Flashing quantity basis</t>
  </si>
  <si>
    <t>DEFAULT USED: flashing quantity basis = 10 PCS for roof-to-old-house tie-in flashing and stepped return/junction allowance</t>
  </si>
  <si>
    <t>Flashing tape quantity basis</t>
  </si>
  <si>
    <t>DEFAULT USED: flashing tape quantity basis = 3 ROLL for critical flashing laps and roof-to-wall junctions</t>
  </si>
  <si>
    <t>Gutter quantity basis</t>
  </si>
  <si>
    <t>DEFAULT USED: gutter quantity basis = 8 lengths based on corrected exposed low-edge runs</t>
  </si>
  <si>
    <t>Gutter bracket quantity basis</t>
  </si>
  <si>
    <t>DEFAULT USED: external bracket quantity basis = 24 pcs for gutter support over corrected low-edge runs</t>
  </si>
  <si>
    <t>Gutter outlet quantity basis</t>
  </si>
  <si>
    <t>DEFAULT USED: gutter outlet quantity basis = 4 discharge points across full roofed extension coverage</t>
  </si>
  <si>
    <t>Downpipe quantity basis</t>
  </si>
  <si>
    <t>DEFAULT USED: downpipe quantity basis = 4 lengths for 4 outlet points from the full gutter system</t>
  </si>
  <si>
    <t>Downpipe adaptor quantity basis</t>
  </si>
  <si>
    <t>DEFAULT USED: adaptor quantity basis = 4 pcs for 4 downpipe outlet connections</t>
  </si>
  <si>
    <t>Downpipe elbow quantity basis</t>
  </si>
  <si>
    <t>DEFAULT USED: elbow quantity basis = 8 pcs for downpipe offset and drop arrangement</t>
  </si>
  <si>
    <t>Downpipe clip quantity basis</t>
  </si>
  <si>
    <t>DEFAULT USED: clip quantity basis = 12 pcs for securing 4 downpipe runs to wall/support surfaces</t>
  </si>
  <si>
    <t>Use same Description as Materials.txt item: MS SHS Square Hollow 2" 1.6mm x 6m</t>
  </si>
  <si>
    <t>CALC NOTE: base MH = 42 for roof setting-out, frame alignment, batten fixing, metal deck laying, flashing fixing, gutter/downpipe fixing, headroom coordination and local leak-checking only; medium-work factor 0.65 =&gt; 42/0.65 x 1.20 x 1.15 = 89.17 rounded to 89 MH skilled-only</t>
  </si>
  <si>
    <t>S08 labour covers roof setting-out, frame alignment, batten fixing, metal deck laying, flashing fixing, gutter/downpipe fixing, headroom coordination and local leak-checking only</t>
  </si>
  <si>
    <t>DEFAULT USED: primary light roof frame allowance for economical lean-to roof including walkway cover</t>
  </si>
  <si>
    <t>MS SHS Square Hollow 2" 1.6mm x 6m</t>
  </si>
  <si>
    <t>DEFAULT USED: secondary batten allowance at 750mm spacing for total roof coverage</t>
  </si>
  <si>
    <t>DEFAULT USED: main metal deck covering for internal extension plus full walkway cover with trimming allowance</t>
  </si>
  <si>
    <t>DEFAULT USED: roofing fixing screw allowance for full light roof frame, batten, metal deck and trim fixing</t>
  </si>
  <si>
    <t>DEFAULT USED: roof-to-old-house tie-in flashing and stepped return allowance along corrected junctions</t>
  </si>
  <si>
    <t>DEFAULT USED: seal all critical flashing laps and roof-to-wall junctions including walkway cover tie-in zones</t>
  </si>
  <si>
    <t>DEFAULT USED: gutter length allowance based on corrected exposed low-edge runs across full roofed coverage</t>
  </si>
  <si>
    <t>DEFAULT USED: gutter outlet allowance for 4 discharge points across full roofed extension coverage</t>
  </si>
  <si>
    <t>DEFAULT USED: clip allowance for securing 4 downpipe runs to wall/support surface</t>
  </si>
  <si>
    <t>CALC NOTE: base MH = 42 for roof setting-out, frame alignment, batten fixing, metal deck laying, flashing fixing, gutter/downpipe fixing, headroom coordination and local leak-checking only; medium-work factor 0.65 =&gt; 42/0.65 x 1.20 x 1.15 = 89.17 rounded</t>
  </si>
  <si>
    <t>Use same Description as Materials.txt item: YTL PCC Cement Castle 50kg Bag</t>
  </si>
  <si>
    <t>Kitchen-yard opening clarification</t>
  </si>
  <si>
    <t>Do not count a second separate yard door opening under S09; the kitchen/back external door is the single kitchen-yard opening in the corrected final layout</t>
  </si>
  <si>
    <t>Lintel support timber item</t>
  </si>
  <si>
    <t>Brick quantity basis</t>
  </si>
  <si>
    <t>DEFAULT USED: net new cement-brick walling quantity basis = about 3900 pcs including tie-in wall allowance, internal partition allowance and deduction for locked door/window openings</t>
  </si>
  <si>
    <t>Mortar cement basis</t>
  </si>
  <si>
    <t>DEFAULT USED: cement mortar basis for about 3900 cement bricks = 12 bags under 1:6 nominal walling mortar allowance with small cutting/joint loss</t>
  </si>
  <si>
    <t>Mortar sand basis</t>
  </si>
  <si>
    <t>DEFAULT USED: coarse sand basis for walling mortar = 0.20 trip for about 3900 cement bricks including tie-in joints and opening returns</t>
  </si>
  <si>
    <t>Lintel opening-head count basis</t>
  </si>
  <si>
    <t>DEFAULT USED: 6 enclosed opening heads under S09 = 2 door heads + 4 window heads</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</si>
  <si>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 to 136 MH skilled-only</t>
  </si>
  <si>
    <t>S09 labour covers bricklaying, wall alignment, opening formation, local tie-in work, lintel casting/forming support, line/plumb control and basic make-good around new masonry only</t>
  </si>
  <si>
    <t>User confirmed cement-brick walling, kitchen enclosed, bathroom enclosed, yard one side open, bathroom door 84x30, kitchen/back door 84x36, bathroom top-hung 600x1200, 2 more top-hung 600x1200, 1 casement 600x1200, kitchen/back door is the only kitchen-yard opening, all windows / external-wall doors require separate grille scope, and all current-session labour outputs use skilled worker only</t>
  </si>
  <si>
    <t>DEFAULT USED: net new cement-brick walling basis for about 3900 pcs including tie-in wall allowance, internal partition allowance and deduction for locked door/window openings</t>
  </si>
  <si>
    <t>DEFAULT USED: cement mortar basis for about 3900 cement bricks using the updated cement rate RM24/bag via exact master item</t>
  </si>
  <si>
    <t>YTL PCC Cement Castle 50kg Bag</t>
  </si>
  <si>
    <t>DEFAULT USED: coarse sand basis for walling mortar for about 3900 cement bricks including tie-in joints and opening returns</t>
  </si>
  <si>
    <t>DEFAULT USED: lintel main-bar allowance for 6 enclosed opening heads under S09 opening set</t>
  </si>
  <si>
    <t>DEFAULT USED: lintel link allowance for 6 enclosed opening heads under S09 opening set</t>
  </si>
  <si>
    <t>DEFAULT USED: lintel side and soffit local formwork allowance for 6 enclosed opening heads</t>
  </si>
  <si>
    <t>DEFAULT USED: local timber support and bracing allowance for lintel shuttering and opening-head support</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</si>
  <si>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t>
  </si>
  <si>
    <t>Door frame timber item</t>
  </si>
  <si>
    <t>Door hinge item</t>
  </si>
  <si>
    <t>Use same Description as Materials.txt item: Door Hinges 3/8" x 1-1/4" x 2"</t>
  </si>
  <si>
    <t>Door lockset item</t>
  </si>
  <si>
    <t>Use same Description as Materials.txt item: ML7025-SS Armor Lever Mortise</t>
  </si>
  <si>
    <t>At block stage, use exact master-list descriptions wherever they already exist; for approved custom calculator-table items not yet represented in Materials.txt, keep the custom schedule logic here and use the approved custom-cost source without changing the locked opening schedule</t>
  </si>
  <si>
    <t>CALC NOTE: base MH = 40 for custom door/window set-out, frame fixing, bifold set fitting, window fitting, grille installation, hardware fixing, alignment, adjustment and door-specific finishing support; medium-work factor 0.65 =&gt; 40/0.65 x 1.20 x 1.15 = 84.92 rounded to 85 MH skilled-only</t>
  </si>
  <si>
    <t>S10 labour covers frame fixing, door hanging, bifold set fitting, window fitting, glass setting, grille installation, hardware fixing, alignment, adjustment and door-specific finishing application support only</t>
  </si>
  <si>
    <t>User confirmed bathroom door cost comes from the calculator-table custom bifold set, kitchen/yard is only one door opening, kitchen/yard plywood door leaf must be taken from Materials.txt, custom grille/window items use the approved calculator-table cost source, and all current-session labour outputs use skilled worker only</t>
  </si>
  <si>
    <t>CALC NOTE: approved custom calculator-table cost for bathroom door set</t>
  </si>
  <si>
    <t>30inW x 84inH Bifold Mini Pro VACP 800 Series</t>
  </si>
  <si>
    <t>CALC NOTE: approved custom calculator-table cost for 3 top-hung aluminium windows with float glass</t>
  </si>
  <si>
    <t>1200mmW x 600mmH 2 Panel TopHung Casement Window c/w Float Glass</t>
  </si>
  <si>
    <t>CALC NOTE: approved custom calculator-table cost for 1 casement aluminium window with float glass</t>
  </si>
  <si>
    <t>600mmW x 1200mmH 1 Panel Casement Window c/w Float Glass</t>
  </si>
  <si>
    <t>CALC NOTE: approved custom calculator-table cost for 1 external grille swing door to the kitchen/yard opening</t>
  </si>
  <si>
    <t>S10-GRILLE</t>
  </si>
  <si>
    <t>36inW x 84inH 1 Panel Grill Swing Kitchen/back door</t>
  </si>
  <si>
    <t>CALC NOTE: approved custom calculator-table cost for 3 grille windows 1200x600</t>
  </si>
  <si>
    <t>1200mmW x 600mmH 2 Panel Grill Window</t>
  </si>
  <si>
    <t>CALC NOTE: approved custom calculator-table cost for 1 grille window 600x1200</t>
  </si>
  <si>
    <t>600mmW x 1200mmH 1 Panel Grill Window</t>
  </si>
  <si>
    <t>DEFAULT USED: raw plywood door leaf for the one kitchen-to-yard opening only</t>
  </si>
  <si>
    <t>S10-PLYWOOD-DOOR</t>
  </si>
  <si>
    <t>DEFAULT USED: timber door frame material allowance for one 36in x 84in kitchen-to-yard plywood door</t>
  </si>
  <si>
    <t>DEFAULT USED: raw plywood door finishing undercoat allowance for one kitchen-to-yard door leaf plus frame only</t>
  </si>
  <si>
    <t>DEFAULT USED: raw plywood door gloss finish allowance for one kitchen-to-yard door leaf plus frame only</t>
  </si>
  <si>
    <t>DEFAULT USED: sanding preparation allowance for one raw plywood door before coating</t>
  </si>
  <si>
    <t>CALC NOTE: base MH = 40 for custom door/window set-out, frame fixing, bifold set fitting, window fitting, grille installation, hardware fixing, alignment, adjustment and door-specific finishing support; medium-work factor 0.65 =&gt; 40/0.65 x 1.20 x 1.15 = 84.92 rounded</t>
  </si>
  <si>
    <t>S11-DIM</t>
  </si>
  <si>
    <t>Wall preparation family area basis</t>
  </si>
  <si>
    <t>DEFAULT USED: total combined new wall-face preparation family area = 130.00 sqm derived from S09 masonry basis of about 3900 cement bricks at about 65.00 sqm one-face wall area and treated as both-face preparation family area</t>
  </si>
  <si>
    <t>Bathroom full-height tile exclusion basis</t>
  </si>
  <si>
    <t>Bathroom full-height wall tile exclusion area = 22.67 sqm net wall area as already locked under S13</t>
  </si>
  <si>
    <t>Kitchen tiled-zone exclusion basis</t>
  </si>
  <si>
    <t>Kitchen L-shape table-top wall tile exclusion area = 5.75 sqm as already locked under S13</t>
  </si>
  <si>
    <t>Paint-ready skim area basis</t>
  </si>
  <si>
    <t>DEFAULT USED: internal paint-ready skim family area = 36.58 sqm after deducting the locked bathroom full-height tile area and kitchen tiled-zone exclusion from the internal wall-face preparation family area</t>
  </si>
  <si>
    <t>Base plaster and patch area basis</t>
  </si>
  <si>
    <t>DEFAULT USED: base plaster / make-good / patch family area = 130.00 sqm including tie-in zones, reveal returns, service chase repair and external/service wall preparation</t>
  </si>
  <si>
    <t>CALC NOTE: base MH = 52 for wall plastering, local patching, tie-in make-good, chase repair, coarse leveling, fine skim preparation, reveal straightening and general wall-face preparation only; medium-work factor 0.65 =&gt; 52/0.65 x 1.20 x 1.15 = 110.40 rounded to 110 MH skilled-only</t>
  </si>
  <si>
    <t>S11 labour covers wall plastering, local patching, tie-in make-good, chase repair, coarse leveling, fine skim preparation, reveal straightening and general wall-face preparation only</t>
  </si>
  <si>
    <t>User requires S11 to be written using actual build logic, not vague notes only; old house finish language must be respected, bathroom remains full-height wall tile zone, kitchen tiled zone must not be over-skimmed, and all current-session labour outputs use skilled worker only</t>
  </si>
  <si>
    <t>DEFAULT USED: base plaster / patch family area 130.00 sqm with normal plaster and make-good allowance to new brick walls, tie-in zones, reveals and chase-repair areas; cement price updated to RM24/bag via exact master item</t>
  </si>
  <si>
    <t>S11-BASE-PLASTER</t>
  </si>
  <si>
    <t>DEFAULT USED: coarse sand allowance for base plaster / make-good substrate preparation to the full wall-preparation family area</t>
  </si>
  <si>
    <t>DEFAULT USED: stopping allowance for tie-in patching, reveal straightening, local service-chase repair and paint-ready correction zones</t>
  </si>
  <si>
    <t>DEFAULT USED: coarse skim / leveling allowance for paint-ready and tile-substrate correction across the prepared wall family area without over-skimming full-height tile zones</t>
  </si>
  <si>
    <t>DEFAULT USED: fine skim allowance applies only to the paint-ready skim family area and excludes the locked bathroom full-height tile area and kitchen tiled-zone exclusion</t>
  </si>
  <si>
    <t>CALC NOTE: base MH = 52 for wall plastering, local patching, tie-in make-good, chase repair, coarse leveling, fine skim preparation, reveal straightening and general wall-face preparation only; medium-work factor 0.65 =&gt; 52/0.65 x 1.20 x 1.15 = 110.40 rounded</t>
  </si>
  <si>
    <t>S12-TITLE</t>
  </si>
  <si>
    <t>Ceiling Works and Manhole Provision for Enclosed New Spaces</t>
  </si>
  <si>
    <t>S12 is the ceiling sheet for enclosed new spaces only and excludes the open yard zone</t>
  </si>
  <si>
    <t>S12-OVERVIEW</t>
  </si>
  <si>
    <t>Provide lightweight ceiling works only to enclosed new spaces, complete with framing/support, board, joint treatment, stopping and manhole provision</t>
  </si>
  <si>
    <t>S12 includes ceiling framing/support, dry-area board, wet-area board, trim, joint treatment, stopping and 2 manholes; S12 excludes roof framing, roof covering, wall plaster, tiling, electrical fittings and final paint</t>
  </si>
  <si>
    <t>S12-REF-DRAWING</t>
  </si>
  <si>
    <t>Controlling ceiling references</t>
  </si>
  <si>
    <t>Use the corrected extension roof/enclosure logic and locked room-use decisions as the controlling basis for ceiling coverage</t>
  </si>
  <si>
    <t>S12-METHOD</t>
  </si>
  <si>
    <t>Ceiling coverage rule</t>
  </si>
  <si>
    <t>Provide ceiling only to enclosed new spaces</t>
  </si>
  <si>
    <t>Enclosed-space lock</t>
  </si>
  <si>
    <t>Kitchen = enclosed; Bathroom = enclosed; Yard = roofed, one side open and no ceiling</t>
  </si>
  <si>
    <t>S12-DIM</t>
  </si>
  <si>
    <t>Clear ceiling target</t>
  </si>
  <si>
    <t>All enclosed spaces shall target minimum 8ft clear ceiling after final coordination</t>
  </si>
  <si>
    <t>Ceiling framing and board level must coordinate with the locked roof logic and headroom target so enclosed spaces can still achieve the minimum clear ceiling</t>
  </si>
  <si>
    <t>Yard exclusion</t>
  </si>
  <si>
    <t>Yard area is roofed but has no ceiling and shall be excluded from S12 ceiling quantity</t>
  </si>
  <si>
    <t>Enclosed ceiling area basis</t>
  </si>
  <si>
    <t>DEFAULT USED: enclosed ceiling coverage basis = 35.11 sqm for kitchen + bathroom enclosed spaces only, excluding yard</t>
  </si>
  <si>
    <t>Bathroom wet-area ceiling basis</t>
  </si>
  <si>
    <t>DEFAULT USED: bathroom ceiling basis = 6.43 sqm following the locked bathroom area</t>
  </si>
  <si>
    <t>Dry-area ceiling basis</t>
  </si>
  <si>
    <t>DEFAULT USED: dry-area enclosed ceiling basis = 28.68 sqm derived from 35.11 sqm total enclosed ceiling area less 6.43 sqm bathroom area</t>
  </si>
  <si>
    <t>Ceiling area correction rule</t>
  </si>
  <si>
    <t>If the final enclosed-room line is later revised, only the enclosed ceiling area rows under S12 are to be updated without rewriting unrelated sheets</t>
  </si>
  <si>
    <t>Ceiling type rule</t>
  </si>
  <si>
    <t>Use practical plaster-ceiling style finish logic suitable for lightweight extension work</t>
  </si>
  <si>
    <t>Kitchen ceiling substrate</t>
  </si>
  <si>
    <t>Kitchen and other normal enclosed dry zones must use dry-area ceiling board</t>
  </si>
  <si>
    <t>Bathroom ceiling substrate</t>
  </si>
  <si>
    <t>Bathroom is a wet room and ceiling substrate must use the wet-area board more suitable for moisture exposure</t>
  </si>
  <si>
    <t>Manhole requirement</t>
  </si>
  <si>
    <t>Provide 2 no. ceiling manholes total, 1 for kitchen and 1 for bathroom, as already locked by user decision</t>
  </si>
  <si>
    <t>Framing/support logic</t>
  </si>
  <si>
    <t>Provide sufficient ceiling framing/support and main carrier system to safely carry dry-area board, wet-area board and manhole openings across the enclosed ceiling zones</t>
  </si>
  <si>
    <t>Perimeter trim logic</t>
  </si>
  <si>
    <t>Provide perimeter trim around enclosed ceiling edges where ceiling board terminates against wall/perimeter lines</t>
  </si>
  <si>
    <t>Joint treatment logic</t>
  </si>
  <si>
    <t>Provide joint tape and stopping for full enclosed board-joint treatment, screw-line touch-up and manhole edge preparation</t>
  </si>
  <si>
    <t>Ceiling board, framing and manhole locations must coordinate with light-point logic, water-heater route allowance, bathroom wet-zone use and future maintenance access</t>
  </si>
  <si>
    <t>S12 excludes yard ceiling, roof frame, metal deck, wall plaster, wall paint, waterproofing, sanitary fixtures, switches/sockets/light fittings and final decoration works</t>
  </si>
  <si>
    <t>S12-MATERIAL-STD</t>
  </si>
  <si>
    <t>Kitchen dry-area board item</t>
  </si>
  <si>
    <t>Use same Description as Materials.txt item: Gyproc Gypsum Board 4.00ft x 6.00ft x 9.00mm</t>
  </si>
  <si>
    <t>Bathroom wet-area board item</t>
  </si>
  <si>
    <t>Use same Description as Materials.txt item: Primaflex Fibre Cement Board 4.00ft x 4.00ft</t>
  </si>
  <si>
    <t>Ceiling framing item</t>
  </si>
  <si>
    <t>Use same Description as Materials.txt item: GI Bracing 2440mm</t>
  </si>
  <si>
    <t>Ceiling carrier item</t>
  </si>
  <si>
    <t>Use same Description as Materials.txt item: GI Carrier Rail (MF) 4880.00mm</t>
  </si>
  <si>
    <t>Ceiling trim item</t>
  </si>
  <si>
    <t>Use same Description as Materials.txt item: Aluminium Ceiling Trim (STD) 3660mm</t>
  </si>
  <si>
    <t>Ceiling joint tape item</t>
  </si>
  <si>
    <t>Use same Description as Materials.txt item: Drywall Fibre Joint Tape 50mm x 50m</t>
  </si>
  <si>
    <t>Ceiling stopping item</t>
  </si>
  <si>
    <t>Ceiling manhole item</t>
  </si>
  <si>
    <t>Use same Description as Materials.txt item: Plaster Ceiling Manhole 12"</t>
  </si>
  <si>
    <t>Dry-area board quantity basis</t>
  </si>
  <si>
    <t>DEFAULT USED: dry-area board quantity = 13 sheets based on 28.68 sqm / 2.23 sqm per sheet with normal cutting allowance already absorbed in rounding</t>
  </si>
  <si>
    <t>Wet-area board quantity basis</t>
  </si>
  <si>
    <t>DEFAULT USED: wet-area board quantity = 5 sheets based on 6.43 sqm / 1.49 sqm per sheet with normal cutting allowance already absorbed in rounding</t>
  </si>
  <si>
    <t>Secondary framing quantity basis</t>
  </si>
  <si>
    <t>DEFAULT USED: GI bracing quantity = 30 lengths for about 35.11 sqm enclosed ceiling framing/support basis</t>
  </si>
  <si>
    <t>Main carrier quantity basis</t>
  </si>
  <si>
    <t>DEFAULT USED: GI carrier rail quantity = 12 pcs for about 35.11 sqm enclosed ceiling support basis</t>
  </si>
  <si>
    <t>Perimeter trim quantity basis</t>
  </si>
  <si>
    <t>DEFAULT USED: ceiling trim quantity = 12 lengths for enclosed kitchen and bathroom ceiling perimeter basis</t>
  </si>
  <si>
    <t>Joint tape quantity basis</t>
  </si>
  <si>
    <t>DEFAULT USED: joint tape quantity = 2 pcs for full enclosed ceiling board joints and manhole edge treatment</t>
  </si>
  <si>
    <t>Stopping quantity basis</t>
  </si>
  <si>
    <t>DEFAULT USED: stopping quantity = 3 bags for ceiling joints, screw-line touch-up and manhole edge preparation</t>
  </si>
  <si>
    <t>Manhole quantity basis</t>
  </si>
  <si>
    <t>DEFAULT USED: plaster ceiling manhole quantity = 2 pcs total, 1 kitchen and 1 bathroom</t>
  </si>
  <si>
    <t>S12-LABOUR-STD</t>
  </si>
  <si>
    <t>CALC NOTE: base MH = 40 for ceiling framing/support fixing, board cutting/fixing, 2 manhole provision, joint tape treatment, stopping and alignment; medium-work factor 0.65 =&gt; 40/0.65 x 1.20 x 1.15 = 84.92 rounded to 85 MH skilled-only</t>
  </si>
  <si>
    <t>S12 labour covers ceiling setting-out, framing/support fixing, board fitting, manhole provision, joint tape treatment, stopping and local alignment correction only</t>
  </si>
  <si>
    <t>S12-USER-INPUT</t>
  </si>
  <si>
    <t>Ceiling layer lock</t>
  </si>
  <si>
    <t>User confirmed all enclosed spaces target minimum clear ceiling 8ft, yard has no ceiling, kitchen and bathroom require manhole access, bathroom uses wet-area ceiling substrate, and all current-session labour outputs use skilled worker only</t>
  </si>
  <si>
    <t>DEFAULT USED: dry-area ceiling board for enclosed kitchen and other normal enclosed dry ceiling zones based on 28.68 sqm enclosed dry-area ceiling basis</t>
  </si>
  <si>
    <t>DEFAULT USED: wet-area ceiling board for enclosed bathroom ceiling zone based on 6.43 sqm wet-area ceiling basis</t>
  </si>
  <si>
    <t>DEFAULT USED: secondary ceiling framing/support allowance for about 35.11 sqm enclosed ceiling basis</t>
  </si>
  <si>
    <t>S12-FRAMING</t>
  </si>
  <si>
    <t>DEFAULT USED: main ceiling carrier/support allowance for about 35.11 sqm enclosed ceiling basis</t>
  </si>
  <si>
    <t>DEFAULT USED: perimeter trim allowance for enclosed kitchen and bathroom ceiling edges</t>
  </si>
  <si>
    <t>S12-TRIM</t>
  </si>
  <si>
    <t>S12-JOINTING</t>
  </si>
  <si>
    <t>DEFAULT USED: stopping allowance for ceiling joints, screw-line touch-up and manhole edge preparation</t>
  </si>
  <si>
    <t>DEFAULT USED: 2 no. ceiling manholes total, 1 kitchen and 1 bathroom, as locked in user decisions</t>
  </si>
  <si>
    <t>CALC NOTE: base MH = 40 for ceiling framing/support fixing, board cutting/fixing, 2 manhole provision, joint tape treatment, stopping and alignment; medium-work factor 0.65 =&gt; 40/0.65 x 1.20 x 1.15 = 84.92 rounded</t>
  </si>
  <si>
    <t>CALC NOTE: accepted practical site crew basis for full S13 scope = 4 skilled workers x 7 days = 224 MH covering bathroom wet-area waterproofing, tile setting, tile cutting, wall alignment, floor-fall control, grouting, cleaning and walkway cement-smooth finishing; keep this accepted benchmark as the controlling S13 productivity basis</t>
  </si>
  <si>
    <t>User confirmed floor tiles at kitchen, bathroom and yard only; walkway has no tiles and must use cement licin biasa; bathroom walls are full-height tiled to 8ft; kitchen L-shape table-top area uses wall tiles to standard 5ft height based on new extension T.TOP = 1829 + 1945, walkway cement uses updated RM24/bag item, and all current-session labour outputs use skilled worker only</t>
  </si>
  <si>
    <t>DEFAULT USED: kitchen floor tile allowance based on 28.65 sqm using 600mm x 600mm tile with normal cutting allowance already absorbed in usage qty</t>
  </si>
  <si>
    <t>DEFAULT USED: bathroom floor tile allowance based on 6.43 sqm using 300mm x 300mm tile with normal cutting allowance already absorbed in usage qty</t>
  </si>
  <si>
    <t>DEFAULT USED: yard floor tile allowance based on 16.96 sqm using 300mm x 300mm tile with normal cutting allowance already absorbed in usage qty</t>
  </si>
  <si>
    <t>DEFAULT USED: bathroom full-height wall tile allowance based on 22.67 sqm net wall area using 300mm x 600mm tile with normal cutting allowance already absorbed in usage qty</t>
  </si>
  <si>
    <t>DEFAULT USED: kitchen L-shape table-top wall tile allowance based on 5.75 sqm using 300mm x 600mm tile with normal cutting allowance already absorbed in usage qty</t>
  </si>
  <si>
    <t>DEFAULT USED: walkway cement licin biasa finish cement allowance for 15.68 sqm roofed walkway strip using updated cement RM24 exact master item</t>
  </si>
  <si>
    <t>CALC NOTE: accepted practical site crew basis for full S13 scope = 4 skilled workers x 7 days = 224 MH covering bathroom wet-area waterproofing, tile setting, tile cutting, wall alignment, floor-fall control, grouting, cleaning and walkway cement-smooth finishing</t>
  </si>
  <si>
    <t>CALC NOTE: base MH 18 for first-fix routing, concealed/exposed conduit work, back box fixing and cable pulling for 10 socket points, 10 downlights, 2 batten lights and 5 switch points; base MH 8 for second-fix socket, switch, light and water-heater point termination; base MH 4 for DB setup, MCB/RCCB/SPD arrangement, earthing connection, testing and final checking; medium-work factor 0.65 gives realistic total 64 MH skilled-only</t>
  </si>
  <si>
    <t>S14 labour covers first-fix routing, concealed/exposed conduit work, back box fixing, cable pulling, second-fix socket/switch/light/water-heater termination, DB setup, protection-device arrangement, earthing connection, testing and final checking only</t>
  </si>
  <si>
    <t>CALC NOTE: base MH 18 for first-fix routing, concealed/exposed conduit work, back box fixing and cable pulling for 10 socket points, 10 downlights, 2 batten lights and 5 switch points; medium-work factor 18/0.65 x 1.20 x 1.15 = 38.22 rounded</t>
  </si>
  <si>
    <t>CALC NOTE: base MH 8 for second-fix socket, switch, light and water-heater point termination; medium-work factor 8/0.65 x 1.20 x 1.15 = 16.99 rounded</t>
  </si>
  <si>
    <t>CALC NOTE: base MH 4 for DB setup, MCB/RCCB/SPD arrangement, earthing connection, testing and final checking; medium-work factor 4/0.65 x 1.20 x 1.15 = 8.49 rounded</t>
  </si>
  <si>
    <t>CALC NOTE: base MH 10 for sealer/undercoat application, emulsion coating, gloss touch-up, local sanding and paint making-good; base MH 8 for final sanitary fixture installation and final connection/tightening; base MH 4 for local sealant, service testing, visual inspection, touch-up and final builders cleaning; medium-work factor 0.65 gives realistic total 47 MH skilled-only</t>
  </si>
  <si>
    <t>S15 labour covers final paint touch-up, sanitary final installation, local sealant/making-good, service testing, visual inspection, handover touch-up and final builders cleaning only</t>
  </si>
  <si>
    <t>CALC NOTE: base MH 10 for sealer/undercoat application, emulsion coating, gloss touch-up, local sanding and paint making-good for enclosed extension finish layer; medium-work factor 10/0.65 x 1.20 x 1.15 = 21.23 rounded</t>
  </si>
  <si>
    <t>CALC NOTE: base MH 8 for final sanitary fixture installation of 1 bathroom combo set, 1 shower set, 1 hand bidet, 1 floor trap cover and final connection/tightening; medium-work factor 8/0.65 x 1.20 x 1.15 = 16.99 rounded</t>
  </si>
  <si>
    <t>CALC NOTE: base MH 4 for local sealant, service testing, flushing/checking, visual inspection, touch-up and final builders cleaning/handover readiness; medium-work factor 4/0.65 x 1.20 x 1.15 = 8.49 rounded</t>
  </si>
  <si>
    <t>DEFAULT USED: all current-session labour outputs use skilled worker only; legacy helper workload is normalized into the accepted practical self-mix benchmark</t>
  </si>
  <si>
    <t>CALC NOTE: accepted practical site crew basis for full S16 scope = 24 MH skilled + 96 MH helper = 120 MH total for combined internal slab plus walkway strip self-mix works; to comply with current skilled-only rule while preserving the locked self-mix benchmark, use 120 MH Labour - Skilled Worker (Per MH)</t>
  </si>
  <si>
    <t>User confirmed corrected external wall perimeter = 25.705m, walkway length follows the same perimeter and is added outside the current coloured wall line, roof covers all areas including walkway, S16 must include the walkway slab in addition to the internal coloured extension slab, cement uses updated RM24 exact master item, and all current-session labour outputs use skilled worker only</t>
  </si>
  <si>
    <t>CALC NOTE: internal enclosed slab self-mix basis 5.20 m3 using nominal 1:2:4 ratio with 1.54 dry volume factor and updated cement RM24 exact master item</t>
  </si>
  <si>
    <t>CALC NOTE: roofed walkway / kaki lima slab self-mix basis about 1.57 m3 using nominal 1:2:4 ratio with 1.54 dry volume factor and updated cement RM24 exact master item</t>
  </si>
  <si>
    <t>CALC NOTE: accepted practical site crew basis for full S16 scope = 24 MH skilled + 96 MH helper = 120 MH total for combined internal slab plus walkway strip self-mix works; to comply with current skilled-only rule while preserving the locked self-mix benchmark, use 120 MH skilled-only</t>
  </si>
  <si>
    <t>DEFAULT USED: all current-session labour outputs use skilled worker only; legacy helper workload is normalized into the accepted practical self-mix lower-structure benchmark</t>
  </si>
  <si>
    <t>CALC NOTE: accepted practical site crew basis for full S17 scope = 32 MH skilled + 80 MH helper = 112 MH total for footing pad + ground beam self-mix works; to comply with current skilled-only rule while preserving the locked self-mix benchmark, use 112 MH Labour - Skilled Worker (Per MH)</t>
  </si>
  <si>
    <t>User locked S17 as footing pad + ground beam SELF-MIX option sheet only; mixer and scaffolding must stay outside the option sheets, cement uses updated RM24 exact master item, and all current-session labour outputs use skilled worker only</t>
  </si>
  <si>
    <t>CALC NOTE: 11 footing pads x 900mm x 900mm x 50mm blinding, budgeted under same self-mix concrete family basis using updated cement RM24 exact master item</t>
  </si>
  <si>
    <t>CALC NOTE: main footing pad + ground beam self-mix concrete basis 4.10 m3 using nominal 1:2:4 ratio with 1.54 dry volume factor and updated cement RM24 exact master item</t>
  </si>
  <si>
    <t>CALC NOTE: accepted practical site crew basis for full S17 scope = 32 MH skilled + 80 MH helper = 112 MH total for footing center confirmation, blinding control, beam line confirmation, site batching supervision, rebar cage fixing, formwork alignment, mixer feeding, wheelbarrow transport, placing, rodding and basic finishing; to comply with current skilled-only rule while preserving the locked self-mix benchmark, use 112 MH skilled-only</t>
  </si>
  <si>
    <t>Use + Waste</t>
  </si>
  <si>
    <t>Source Sheet</t>
  </si>
  <si>
    <t>MATERIALS</t>
  </si>
  <si>
    <t>S01</t>
  </si>
  <si>
    <t>LABOUR</t>
  </si>
  <si>
    <t>RENTAL / SERVICE</t>
  </si>
  <si>
    <t>S03</t>
  </si>
  <si>
    <t>S04</t>
  </si>
  <si>
    <t>S05</t>
  </si>
  <si>
    <t>S06</t>
  </si>
  <si>
    <t>S07</t>
  </si>
  <si>
    <t>S08</t>
  </si>
  <si>
    <t>S09</t>
  </si>
  <si>
    <t>S10</t>
  </si>
  <si>
    <t>Smart Paint 5400 Wall Sealer Exterior &amp; Interior Wall Undercoat 18L</t>
  </si>
  <si>
    <t>S11</t>
  </si>
  <si>
    <t>S12</t>
  </si>
  <si>
    <t>S13</t>
  </si>
  <si>
    <t>S14</t>
  </si>
  <si>
    <t>S15</t>
  </si>
  <si>
    <t>DOCASA Combo, c/w One-piece rimless toilet bowl + modern bathroom sink cabinet with basin, mirror &amp; shelf , Soft-close seat and cover, Cistern fittings, Cistern cover with flush button, Straight connector</t>
  </si>
  <si>
    <t>S16</t>
  </si>
  <si>
    <t>S17</t>
  </si>
  <si>
    <t>Materials</t>
  </si>
  <si>
    <t>Labour</t>
  </si>
  <si>
    <t>Service</t>
  </si>
  <si>
    <t>Search Keyword</t>
  </si>
  <si>
    <t>Category Filter</t>
  </si>
  <si>
    <t>UOM Filter</t>
  </si>
  <si>
    <t>Show Qty Only</t>
  </si>
  <si>
    <t>Sort By</t>
  </si>
  <si>
    <t>Source Qty</t>
  </si>
  <si>
    <t>Source Block</t>
  </si>
  <si>
    <t>PROCUREMENT</t>
  </si>
  <si>
    <t>Qty</t>
  </si>
  <si>
    <t>Total</t>
  </si>
  <si>
    <t>#</t>
  </si>
  <si>
    <t>cement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</si>
</sst>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name val="Calibri"/>
      <family val="2"/>
      <scheme val="minor"/>
    </font>
    <font>
      <b/>
      <sz val="11"/>
      <color theme="1"/>
      <name val="Calibri"/>
      <family val="2"/>
      <scheme val="minor"/>
    </font>
    <font>
      <sz val="11"/>
      <color rgb="FF000000"/>
      <name val="Calibri"/>
      <family val="2"/>
    </font>
  </fonts>
  <fills count="8">
    <fill>
      <patternFill patternType="none"/>
    </fill>
    <fill>
      <patternFill patternType="gray125"/>
    </fill>
    <fill>
      <patternFill patternType="solid">
        <fgColor theme="1"/>
        <bgColor indexed="64"/>
      </patternFill>
    </fill>
    <fill>
      <patternFill patternType="solid">
        <fgColor rgb="FF00B0F0"/>
        <bgColor indexed="64"/>
      </patternFill>
    </fill>
    <fill>
      <patternFill patternType="solid">
        <fgColor rgb="FF92D050"/>
        <bgColor indexed="64"/>
      </patternFill>
    </fill>
    <fill>
      <patternFill patternType="solid">
        <fgColor rgb="FF0070C0"/>
        <bgColor indexed="64"/>
      </patternFill>
    </fill>
    <fill>
      <patternFill patternType="solid">
        <fgColor rgb="FFFFFF00"/>
        <bgColor indexed="64"/>
      </patternFill>
    </fill>
    <fill>
      <patternFill patternType="solid">
        <fgColor rgb="FFFF0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s>
  <cellStyleXfs count="1">
    <xf numFmtId="0" fontId="0" fillId="0" borderId="0"/>
  </cellStyleXfs>
  <cellXfs count="38">
    <xf numFmtId="0" fontId="0" fillId="0" borderId="0" xfId="0"/>
    <xf numFmtId="0" fontId="0" fillId="2" borderId="0" xfId="0" applyFill="1"/>
    <xf numFmtId="0" fontId="0" fillId="3" borderId="0" xfId="0" applyFill="1"/>
    <xf numFmtId="49" fontId="0" fillId="0" borderId="0" xfId="0" applyNumberFormat="1"/>
    <xf numFmtId="49" fontId="0" fillId="3" borderId="0" xfId="0" applyNumberFormat="1" applyFill="1"/>
    <xf numFmtId="0" fontId="1" fillId="2" borderId="0" xfId="0" applyFont="1" applyFill="1"/>
    <xf numFmtId="0" fontId="1" fillId="0" borderId="0" xfId="0" applyFont="1"/>
    <xf numFmtId="0" fontId="1" fillId="3" borderId="0" xfId="0" applyFont="1" applyFill="1"/>
    <xf numFmtId="0" fontId="0" fillId="4" borderId="0" xfId="0" applyFill="1"/>
    <xf numFmtId="4" fontId="0" fillId="0" borderId="0" xfId="0" applyNumberFormat="1"/>
    <xf numFmtId="4" fontId="1" fillId="5" borderId="0" xfId="0" applyNumberFormat="1" applyFont="1" applyFill="1"/>
    <xf numFmtId="4" fontId="1" fillId="0" borderId="0" xfId="0" applyNumberFormat="1" applyFont="1"/>
    <xf numFmtId="0" fontId="0" fillId="0" borderId="0" xfId="0" applyAlignment="1">
      <alignment horizontal="center" vertical="center"/>
    </xf>
    <xf numFmtId="0" fontId="0" fillId="0" borderId="0" xfId="0" applyAlignment="1">
      <alignment vertical="center"/>
    </xf>
    <xf numFmtId="4" fontId="0" fillId="5" borderId="1" xfId="0" applyNumberFormat="1" applyFill="1" applyBorder="1"/>
    <xf numFmtId="0" fontId="0" fillId="0" borderId="1" xfId="0" applyBorder="1"/>
    <xf numFmtId="0" fontId="2" fillId="0" borderId="0" xfId="0" applyFont="1" applyAlignment="1">
      <alignment horizontal="center" vertical="center"/>
    </xf>
    <xf numFmtId="0" fontId="2" fillId="0" borderId="0" xfId="0" applyFont="1" applyAlignment="1">
      <alignment horizontal="center"/>
    </xf>
    <xf numFmtId="0" fontId="2" fillId="0" borderId="0" xfId="0" applyFont="1"/>
    <xf numFmtId="0" fontId="0" fillId="5" borderId="0" xfId="0" applyFill="1"/>
    <xf numFmtId="0" fontId="0" fillId="0" borderId="0" xfId="0" applyAlignment="1">
      <alignment horizontal="right" vertical="center"/>
    </xf>
    <xf numFmtId="49" fontId="2" fillId="0" borderId="0" xfId="0" applyNumberFormat="1" applyFont="1"/>
    <xf numFmtId="9" fontId="0" fillId="0" borderId="0" xfId="0" applyNumberFormat="1"/>
    <xf numFmtId="0" fontId="0" fillId="0" borderId="0" xfId="0" applyAlignment="1">
      <alignment horizontal="center"/>
    </xf>
    <xf numFmtId="0" fontId="0" fillId="6" borderId="0" xfId="0" applyFill="1"/>
    <xf numFmtId="4" fontId="0" fillId="6" borderId="0" xfId="0" applyNumberFormat="1" applyFill="1"/>
    <xf numFmtId="4" fontId="1" fillId="2" borderId="0" xfId="0" applyNumberFormat="1" applyFont="1" applyFill="1"/>
    <xf numFmtId="0" fontId="0" fillId="0" borderId="2" xfId="0" applyBorder="1" applyAlignment="1">
      <alignment vertical="center"/>
    </xf>
    <xf numFmtId="0" fontId="0" fillId="2" borderId="0" xfId="0"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right" vertical="center"/>
    </xf>
    <xf numFmtId="0" fontId="0" fillId="7" borderId="0" xfId="0" applyFill="1"/>
    <xf numFmtId="0" fontId="0" fillId="7" borderId="0" xfId="0" applyFill="1" applyAlignment="1">
      <alignment horizontal="center"/>
    </xf>
    <xf numFmtId="4" fontId="0" fillId="7" borderId="0" xfId="0" applyNumberFormat="1" applyFill="1"/>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2</xdr:row>
          <xdr:rowOff>19050</xdr:rowOff>
        </xdr:from>
        <xdr:to>
          <xdr:col>6</xdr:col>
          <xdr:colOff>990600</xdr:colOff>
          <xdr:row>2</xdr:row>
          <xdr:rowOff>161925</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200-00004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Add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3</xdr:row>
          <xdr:rowOff>19050</xdr:rowOff>
        </xdr:from>
        <xdr:to>
          <xdr:col>6</xdr:col>
          <xdr:colOff>990600</xdr:colOff>
          <xdr:row>3</xdr:row>
          <xdr:rowOff>161925</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200-00004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4</xdr:row>
          <xdr:rowOff>19050</xdr:rowOff>
        </xdr:from>
        <xdr:to>
          <xdr:col>6</xdr:col>
          <xdr:colOff>990600</xdr:colOff>
          <xdr:row>4</xdr:row>
          <xdr:rowOff>161925</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200-00004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Final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5</xdr:row>
          <xdr:rowOff>19050</xdr:rowOff>
        </xdr:from>
        <xdr:to>
          <xdr:col>6</xdr:col>
          <xdr:colOff>990600</xdr:colOff>
          <xdr:row>5</xdr:row>
          <xdr:rowOff>161925</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200-00004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Add To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6</xdr:row>
          <xdr:rowOff>19050</xdr:rowOff>
        </xdr:from>
        <xdr:to>
          <xdr:col>6</xdr:col>
          <xdr:colOff>990600</xdr:colOff>
          <xdr:row>6</xdr:row>
          <xdr:rowOff>161925</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200-00005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Save Edit Grid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7</xdr:row>
          <xdr:rowOff>19050</xdr:rowOff>
        </xdr:from>
        <xdr:to>
          <xdr:col>6</xdr:col>
          <xdr:colOff>990600</xdr:colOff>
          <xdr:row>7</xdr:row>
          <xdr:rowOff>161925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2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Clear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8</xdr:row>
          <xdr:rowOff>19050</xdr:rowOff>
        </xdr:from>
        <xdr:to>
          <xdr:col>6</xdr:col>
          <xdr:colOff>990600</xdr:colOff>
          <xdr:row>8</xdr:row>
          <xdr:rowOff>161925</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200-00005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Delete Override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9</xdr:row>
          <xdr:rowOff>19050</xdr:rowOff>
        </xdr:from>
        <xdr:to>
          <xdr:col>6</xdr:col>
          <xdr:colOff>990600</xdr:colOff>
          <xdr:row>9</xdr:row>
          <xdr:rowOff>161925</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200-00005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Undo Last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0B26E-34EC-4F0B-BA43-8589F289AF98}">
  <sheetPr codeName="Sheet8"/>
  <dimension ref="A1:AA183"/>
  <sheetViews>
    <sheetView zoomScale="75" zoomScaleNormal="75" workbookViewId="0">
      <pane ySplit="1" topLeftCell="A2" activePane="bottomLeft" state="frozen"/>
      <selection pane="bottomLeft" activeCell="O40" sqref="O40"/>
    </sheetView>
  </sheetViews>
  <sheetFormatPr defaultColWidth="8.7109375" defaultRowHeight="15" x14ac:dyDescent="0.25"/>
  <cols>
    <col min="1" max="1" width="9.28515625" bestFit="1" customWidth="1"/>
    <col min="2" max="2" width="11.7109375" style="23" bestFit="1" customWidth="1"/>
    <col min="3" max="3" width="5.7109375" bestFit="1" customWidth="1"/>
    <col min="4" max="4" width="5.42578125" bestFit="1" customWidth="1"/>
    <col min="5" max="5" width="10.28515625" bestFit="1" customWidth="1"/>
    <col min="6" max="6" width="9.28515625" bestFit="1" customWidth="1"/>
    <col min="7" max="7" width="12.28515625" bestFit="1" customWidth="1"/>
    <col min="8" max="8" width="9.140625" bestFit="1" customWidth="1"/>
    <col min="9" max="9" width="12.85546875" bestFit="1" customWidth="1"/>
    <col min="10" max="10" width="11.5703125" bestFit="1" customWidth="1"/>
    <col min="12" max="18" width="8.7109375" style="9"/>
    <col min="23" max="27" width="8.7109375" style="9"/>
  </cols>
  <sheetData>
    <row r="1" spans="1:10" x14ac:dyDescent="0.25">
      <c r="A1" t="s">
        <v>30</v>
      </c>
      <c r="B1" s="23" t="s">
        <v>3</v>
      </c>
      <c r="C1" t="s">
        <v>1</v>
      </c>
      <c r="D1" t="s">
        <v>46</v>
      </c>
      <c r="E1" t="s">
        <v>12</v>
      </c>
      <c r="F1" t="s">
        <v>116</v>
      </c>
      <c r="G1" t="s">
        <v>2257</v>
      </c>
      <c r="H1" t="s">
        <v>22</v>
      </c>
      <c r="I1" t="s">
        <v>2258</v>
      </c>
      <c r="J1" t="s">
        <v>51</v>
      </c>
    </row>
    <row r="2" spans="1:10" x14ac:dyDescent="0.25">
      <c r="A2" t="s">
        <v>2259</v>
      </c>
      <c r="B2" s="23" t="s">
        <v>325</v>
      </c>
      <c r="C2" t="s">
        <v>8</v>
      </c>
      <c r="D2">
        <v>65</v>
      </c>
      <c r="E2">
        <v>2</v>
      </c>
      <c r="F2">
        <v>0</v>
      </c>
      <c r="G2">
        <v>2</v>
      </c>
      <c r="H2">
        <v>130</v>
      </c>
      <c r="I2" t="s">
        <v>2260</v>
      </c>
      <c r="J2">
        <v>3</v>
      </c>
    </row>
    <row r="3" spans="1:10" x14ac:dyDescent="0.25">
      <c r="A3" t="s">
        <v>2259</v>
      </c>
      <c r="B3" s="23" t="s">
        <v>326</v>
      </c>
      <c r="C3" t="s">
        <v>327</v>
      </c>
      <c r="D3">
        <v>15</v>
      </c>
      <c r="E3">
        <v>1</v>
      </c>
      <c r="F3">
        <v>0</v>
      </c>
      <c r="G3">
        <v>1</v>
      </c>
      <c r="H3">
        <v>15</v>
      </c>
      <c r="I3" t="s">
        <v>2260</v>
      </c>
      <c r="J3">
        <v>4</v>
      </c>
    </row>
    <row r="4" spans="1:10" x14ac:dyDescent="0.25">
      <c r="A4" t="s">
        <v>2259</v>
      </c>
      <c r="B4" s="23" t="s">
        <v>329</v>
      </c>
      <c r="C4" t="s">
        <v>8</v>
      </c>
      <c r="D4">
        <v>4</v>
      </c>
      <c r="E4">
        <v>1</v>
      </c>
      <c r="F4">
        <v>0</v>
      </c>
      <c r="G4">
        <v>1</v>
      </c>
      <c r="H4">
        <v>4</v>
      </c>
      <c r="I4" t="s">
        <v>2260</v>
      </c>
      <c r="J4">
        <v>5</v>
      </c>
    </row>
    <row r="5" spans="1:10" x14ac:dyDescent="0.25">
      <c r="A5" t="s">
        <v>2261</v>
      </c>
      <c r="B5" s="23" t="s">
        <v>322</v>
      </c>
      <c r="C5" t="s">
        <v>33</v>
      </c>
      <c r="D5">
        <v>22.5</v>
      </c>
      <c r="E5">
        <v>14</v>
      </c>
      <c r="F5">
        <v>0</v>
      </c>
      <c r="G5">
        <v>14</v>
      </c>
      <c r="H5">
        <v>315</v>
      </c>
      <c r="I5" t="s">
        <v>2260</v>
      </c>
      <c r="J5">
        <v>3</v>
      </c>
    </row>
    <row r="6" spans="1:10" x14ac:dyDescent="0.25">
      <c r="A6" t="s">
        <v>2262</v>
      </c>
      <c r="B6" s="23" t="s">
        <v>564</v>
      </c>
      <c r="C6" t="s">
        <v>565</v>
      </c>
      <c r="D6">
        <v>650</v>
      </c>
      <c r="E6">
        <v>1</v>
      </c>
      <c r="F6">
        <v>0</v>
      </c>
      <c r="G6">
        <v>1</v>
      </c>
      <c r="H6">
        <v>650</v>
      </c>
      <c r="I6" t="s">
        <v>2260</v>
      </c>
      <c r="J6">
        <v>3</v>
      </c>
    </row>
    <row r="7" spans="1:10" x14ac:dyDescent="0.25">
      <c r="A7" t="s">
        <v>2262</v>
      </c>
      <c r="B7" s="23" t="s">
        <v>1456</v>
      </c>
      <c r="C7" t="s">
        <v>565</v>
      </c>
      <c r="D7">
        <v>450</v>
      </c>
      <c r="E7">
        <v>1</v>
      </c>
      <c r="F7">
        <v>0</v>
      </c>
      <c r="G7">
        <v>1</v>
      </c>
      <c r="H7">
        <v>450</v>
      </c>
      <c r="I7" t="s">
        <v>2260</v>
      </c>
      <c r="J7">
        <v>4</v>
      </c>
    </row>
    <row r="8" spans="1:10" x14ac:dyDescent="0.25">
      <c r="A8" t="s">
        <v>2262</v>
      </c>
      <c r="B8" s="23" t="s">
        <v>35</v>
      </c>
      <c r="C8" t="s">
        <v>10</v>
      </c>
      <c r="D8">
        <v>45</v>
      </c>
      <c r="E8">
        <v>60</v>
      </c>
      <c r="F8">
        <v>0</v>
      </c>
      <c r="G8">
        <v>60</v>
      </c>
      <c r="H8">
        <v>2700</v>
      </c>
      <c r="I8" t="s">
        <v>2260</v>
      </c>
      <c r="J8">
        <v>5</v>
      </c>
    </row>
    <row r="9" spans="1:10" x14ac:dyDescent="0.25">
      <c r="A9" t="s">
        <v>2261</v>
      </c>
      <c r="B9" s="23" t="s">
        <v>322</v>
      </c>
      <c r="C9" t="s">
        <v>33</v>
      </c>
      <c r="D9">
        <v>22.5</v>
      </c>
      <c r="E9">
        <v>100</v>
      </c>
      <c r="F9">
        <v>0</v>
      </c>
      <c r="G9">
        <v>100</v>
      </c>
      <c r="H9">
        <v>2250</v>
      </c>
      <c r="I9" t="s">
        <v>2263</v>
      </c>
      <c r="J9">
        <v>3</v>
      </c>
    </row>
    <row r="10" spans="1:10" x14ac:dyDescent="0.25">
      <c r="A10" t="s">
        <v>2259</v>
      </c>
      <c r="B10" s="23" t="s">
        <v>552</v>
      </c>
      <c r="C10" t="s">
        <v>11</v>
      </c>
      <c r="D10">
        <v>830</v>
      </c>
      <c r="E10">
        <v>0.26</v>
      </c>
      <c r="F10">
        <v>0</v>
      </c>
      <c r="G10">
        <v>0.26</v>
      </c>
      <c r="H10">
        <v>215.8</v>
      </c>
      <c r="I10" t="s">
        <v>2264</v>
      </c>
      <c r="J10">
        <v>3</v>
      </c>
    </row>
    <row r="11" spans="1:10" x14ac:dyDescent="0.25">
      <c r="A11" t="s">
        <v>2259</v>
      </c>
      <c r="B11" s="23" t="s">
        <v>553</v>
      </c>
      <c r="C11" t="s">
        <v>11</v>
      </c>
      <c r="D11">
        <v>950</v>
      </c>
      <c r="E11">
        <v>0.05</v>
      </c>
      <c r="F11">
        <v>0</v>
      </c>
      <c r="G11">
        <v>0.05</v>
      </c>
      <c r="H11">
        <v>47.5</v>
      </c>
      <c r="I11" t="s">
        <v>2264</v>
      </c>
      <c r="J11">
        <v>4</v>
      </c>
    </row>
    <row r="12" spans="1:10" x14ac:dyDescent="0.25">
      <c r="A12" t="s">
        <v>2259</v>
      </c>
      <c r="B12" s="23" t="s">
        <v>711</v>
      </c>
      <c r="C12" t="s">
        <v>327</v>
      </c>
      <c r="D12">
        <v>180</v>
      </c>
      <c r="E12">
        <v>1</v>
      </c>
      <c r="F12">
        <v>0</v>
      </c>
      <c r="G12">
        <v>1</v>
      </c>
      <c r="H12">
        <v>180</v>
      </c>
      <c r="I12" t="s">
        <v>2264</v>
      </c>
      <c r="J12">
        <v>5</v>
      </c>
    </row>
    <row r="13" spans="1:10" x14ac:dyDescent="0.25">
      <c r="A13" t="s">
        <v>2259</v>
      </c>
      <c r="B13" s="23" t="s">
        <v>554</v>
      </c>
      <c r="C13" t="s">
        <v>8</v>
      </c>
      <c r="D13">
        <v>215</v>
      </c>
      <c r="E13">
        <v>4.41</v>
      </c>
      <c r="F13">
        <v>0</v>
      </c>
      <c r="G13">
        <v>4.41</v>
      </c>
      <c r="H13">
        <v>948.15</v>
      </c>
      <c r="I13" t="s">
        <v>2264</v>
      </c>
      <c r="J13">
        <v>6</v>
      </c>
    </row>
    <row r="14" spans="1:10" x14ac:dyDescent="0.25">
      <c r="A14" t="s">
        <v>2259</v>
      </c>
      <c r="B14" s="23" t="s">
        <v>556</v>
      </c>
      <c r="C14" t="s">
        <v>557</v>
      </c>
      <c r="D14">
        <v>330</v>
      </c>
      <c r="E14">
        <v>5.2</v>
      </c>
      <c r="F14">
        <v>0</v>
      </c>
      <c r="G14">
        <v>5.2</v>
      </c>
      <c r="H14">
        <v>1716</v>
      </c>
      <c r="I14" t="s">
        <v>2264</v>
      </c>
      <c r="J14">
        <v>7</v>
      </c>
    </row>
    <row r="15" spans="1:10" x14ac:dyDescent="0.25">
      <c r="A15" t="s">
        <v>2259</v>
      </c>
      <c r="B15" s="23" t="s">
        <v>552</v>
      </c>
      <c r="C15" t="s">
        <v>11</v>
      </c>
      <c r="D15">
        <v>830</v>
      </c>
      <c r="E15">
        <v>0.08</v>
      </c>
      <c r="F15">
        <v>0</v>
      </c>
      <c r="G15">
        <v>0.08</v>
      </c>
      <c r="H15">
        <v>66.400000000000006</v>
      </c>
      <c r="I15" t="s">
        <v>2264</v>
      </c>
      <c r="J15">
        <v>8</v>
      </c>
    </row>
    <row r="16" spans="1:10" x14ac:dyDescent="0.25">
      <c r="A16" t="s">
        <v>2259</v>
      </c>
      <c r="B16" s="23" t="s">
        <v>553</v>
      </c>
      <c r="C16" t="s">
        <v>11</v>
      </c>
      <c r="D16">
        <v>950</v>
      </c>
      <c r="E16">
        <v>0.02</v>
      </c>
      <c r="F16">
        <v>0</v>
      </c>
      <c r="G16">
        <v>0.02</v>
      </c>
      <c r="H16">
        <v>19</v>
      </c>
      <c r="I16" t="s">
        <v>2264</v>
      </c>
      <c r="J16">
        <v>9</v>
      </c>
    </row>
    <row r="17" spans="1:10" x14ac:dyDescent="0.25">
      <c r="A17" t="s">
        <v>2259</v>
      </c>
      <c r="B17" s="23" t="s">
        <v>554</v>
      </c>
      <c r="C17" t="s">
        <v>8</v>
      </c>
      <c r="D17">
        <v>215</v>
      </c>
      <c r="E17">
        <v>1.33</v>
      </c>
      <c r="F17">
        <v>0</v>
      </c>
      <c r="G17">
        <v>1.33</v>
      </c>
      <c r="H17">
        <v>285.95</v>
      </c>
      <c r="I17" t="s">
        <v>2264</v>
      </c>
      <c r="J17">
        <v>10</v>
      </c>
    </row>
    <row r="18" spans="1:10" x14ac:dyDescent="0.25">
      <c r="A18" t="s">
        <v>2259</v>
      </c>
      <c r="B18" s="23" t="s">
        <v>556</v>
      </c>
      <c r="C18" t="s">
        <v>557</v>
      </c>
      <c r="D18">
        <v>330</v>
      </c>
      <c r="E18">
        <v>1.57</v>
      </c>
      <c r="F18">
        <v>0</v>
      </c>
      <c r="G18">
        <v>1.57</v>
      </c>
      <c r="H18">
        <v>518.1</v>
      </c>
      <c r="I18" t="s">
        <v>2264</v>
      </c>
      <c r="J18">
        <v>11</v>
      </c>
    </row>
    <row r="19" spans="1:10" x14ac:dyDescent="0.25">
      <c r="A19" t="s">
        <v>2259</v>
      </c>
      <c r="B19" s="23" t="s">
        <v>714</v>
      </c>
      <c r="C19" t="s">
        <v>715</v>
      </c>
      <c r="D19">
        <v>130</v>
      </c>
      <c r="E19">
        <v>1</v>
      </c>
      <c r="F19">
        <v>0</v>
      </c>
      <c r="G19">
        <v>1</v>
      </c>
      <c r="H19">
        <v>130</v>
      </c>
      <c r="I19" t="s">
        <v>2264</v>
      </c>
      <c r="J19">
        <v>12</v>
      </c>
    </row>
    <row r="20" spans="1:10" x14ac:dyDescent="0.25">
      <c r="A20" t="s">
        <v>2261</v>
      </c>
      <c r="B20" s="23" t="s">
        <v>322</v>
      </c>
      <c r="C20" t="s">
        <v>33</v>
      </c>
      <c r="D20">
        <v>22.5</v>
      </c>
      <c r="E20">
        <v>81</v>
      </c>
      <c r="F20">
        <v>0</v>
      </c>
      <c r="G20">
        <v>81</v>
      </c>
      <c r="H20">
        <v>1822.5</v>
      </c>
      <c r="I20" t="s">
        <v>2264</v>
      </c>
      <c r="J20">
        <v>3</v>
      </c>
    </row>
    <row r="21" spans="1:10" x14ac:dyDescent="0.25">
      <c r="A21" t="s">
        <v>2262</v>
      </c>
      <c r="B21" s="23" t="s">
        <v>591</v>
      </c>
      <c r="C21" t="s">
        <v>592</v>
      </c>
      <c r="D21">
        <v>900</v>
      </c>
      <c r="E21">
        <v>1</v>
      </c>
      <c r="F21">
        <v>0</v>
      </c>
      <c r="G21">
        <v>1</v>
      </c>
      <c r="H21">
        <v>900</v>
      </c>
      <c r="I21" t="s">
        <v>2264</v>
      </c>
      <c r="J21">
        <v>3</v>
      </c>
    </row>
    <row r="22" spans="1:10" x14ac:dyDescent="0.25">
      <c r="A22" t="s">
        <v>2259</v>
      </c>
      <c r="B22" s="23" t="s">
        <v>717</v>
      </c>
      <c r="C22" t="s">
        <v>557</v>
      </c>
      <c r="D22">
        <v>340</v>
      </c>
      <c r="E22">
        <v>0.45</v>
      </c>
      <c r="F22">
        <v>0</v>
      </c>
      <c r="G22">
        <v>0.45</v>
      </c>
      <c r="H22">
        <v>153</v>
      </c>
      <c r="I22" t="s">
        <v>2265</v>
      </c>
      <c r="J22">
        <v>3</v>
      </c>
    </row>
    <row r="23" spans="1:10" x14ac:dyDescent="0.25">
      <c r="A23" t="s">
        <v>2259</v>
      </c>
      <c r="B23" s="23" t="s">
        <v>717</v>
      </c>
      <c r="C23" t="s">
        <v>557</v>
      </c>
      <c r="D23">
        <v>340</v>
      </c>
      <c r="E23">
        <v>4.0999999999999996</v>
      </c>
      <c r="F23">
        <v>0</v>
      </c>
      <c r="G23">
        <v>4.0999999999999996</v>
      </c>
      <c r="H23">
        <v>1393.9999999999998</v>
      </c>
      <c r="I23" t="s">
        <v>2265</v>
      </c>
      <c r="J23">
        <v>4</v>
      </c>
    </row>
    <row r="24" spans="1:10" x14ac:dyDescent="0.25">
      <c r="A24" t="s">
        <v>2259</v>
      </c>
      <c r="B24" s="23" t="s">
        <v>661</v>
      </c>
      <c r="C24" t="s">
        <v>662</v>
      </c>
      <c r="D24">
        <v>28</v>
      </c>
      <c r="E24">
        <v>28</v>
      </c>
      <c r="F24">
        <v>0.05</v>
      </c>
      <c r="G24">
        <v>29.400000000000002</v>
      </c>
      <c r="H24">
        <v>823.2</v>
      </c>
      <c r="I24" t="s">
        <v>2265</v>
      </c>
      <c r="J24">
        <v>5</v>
      </c>
    </row>
    <row r="25" spans="1:10" x14ac:dyDescent="0.25">
      <c r="A25" t="s">
        <v>2259</v>
      </c>
      <c r="B25" s="23" t="s">
        <v>663</v>
      </c>
      <c r="C25" t="s">
        <v>662</v>
      </c>
      <c r="D25">
        <v>15</v>
      </c>
      <c r="E25">
        <v>13</v>
      </c>
      <c r="F25">
        <v>0.05</v>
      </c>
      <c r="G25">
        <v>13.65</v>
      </c>
      <c r="H25">
        <v>204.75</v>
      </c>
      <c r="I25" t="s">
        <v>2265</v>
      </c>
      <c r="J25">
        <v>6</v>
      </c>
    </row>
    <row r="26" spans="1:10" x14ac:dyDescent="0.25">
      <c r="A26" t="s">
        <v>2259</v>
      </c>
      <c r="B26" s="23" t="s">
        <v>665</v>
      </c>
      <c r="C26" t="s">
        <v>666</v>
      </c>
      <c r="D26">
        <v>45</v>
      </c>
      <c r="E26">
        <v>12</v>
      </c>
      <c r="F26">
        <v>0.05</v>
      </c>
      <c r="G26">
        <v>12.600000000000001</v>
      </c>
      <c r="H26">
        <v>567.00000000000011</v>
      </c>
      <c r="I26" t="s">
        <v>2265</v>
      </c>
      <c r="J26">
        <v>7</v>
      </c>
    </row>
    <row r="27" spans="1:10" x14ac:dyDescent="0.25">
      <c r="A27" t="s">
        <v>2259</v>
      </c>
      <c r="B27" s="23" t="s">
        <v>722</v>
      </c>
      <c r="C27" t="s">
        <v>723</v>
      </c>
      <c r="D27">
        <v>15</v>
      </c>
      <c r="E27">
        <v>20</v>
      </c>
      <c r="F27">
        <v>0.05</v>
      </c>
      <c r="G27">
        <v>21</v>
      </c>
      <c r="H27">
        <v>315</v>
      </c>
      <c r="I27" t="s">
        <v>2265</v>
      </c>
      <c r="J27">
        <v>8</v>
      </c>
    </row>
    <row r="28" spans="1:10" x14ac:dyDescent="0.25">
      <c r="A28" t="s">
        <v>2259</v>
      </c>
      <c r="B28" s="23" t="s">
        <v>714</v>
      </c>
      <c r="C28" t="s">
        <v>715</v>
      </c>
      <c r="D28">
        <v>130</v>
      </c>
      <c r="E28">
        <v>1</v>
      </c>
      <c r="F28">
        <v>0</v>
      </c>
      <c r="G28">
        <v>1</v>
      </c>
      <c r="H28">
        <v>130</v>
      </c>
      <c r="I28" t="s">
        <v>2265</v>
      </c>
      <c r="J28">
        <v>9</v>
      </c>
    </row>
    <row r="29" spans="1:10" x14ac:dyDescent="0.25">
      <c r="A29" t="s">
        <v>2261</v>
      </c>
      <c r="B29" s="23" t="s">
        <v>322</v>
      </c>
      <c r="C29" t="s">
        <v>33</v>
      </c>
      <c r="D29">
        <v>22.5</v>
      </c>
      <c r="E29">
        <v>141</v>
      </c>
      <c r="F29">
        <v>0</v>
      </c>
      <c r="G29">
        <v>141</v>
      </c>
      <c r="H29">
        <v>3172.5</v>
      </c>
      <c r="I29" t="s">
        <v>2265</v>
      </c>
      <c r="J29">
        <v>3</v>
      </c>
    </row>
    <row r="30" spans="1:10" x14ac:dyDescent="0.25">
      <c r="A30" t="s">
        <v>2262</v>
      </c>
      <c r="B30" s="23" t="s">
        <v>591</v>
      </c>
      <c r="C30" t="s">
        <v>592</v>
      </c>
      <c r="D30">
        <v>900</v>
      </c>
      <c r="E30">
        <v>1</v>
      </c>
      <c r="F30">
        <v>0</v>
      </c>
      <c r="G30">
        <v>1</v>
      </c>
      <c r="H30">
        <v>900</v>
      </c>
      <c r="I30" t="s">
        <v>2265</v>
      </c>
      <c r="J30">
        <v>3</v>
      </c>
    </row>
    <row r="31" spans="1:10" x14ac:dyDescent="0.25">
      <c r="A31" t="s">
        <v>2259</v>
      </c>
      <c r="B31" s="23" t="s">
        <v>717</v>
      </c>
      <c r="C31" t="s">
        <v>557</v>
      </c>
      <c r="D31">
        <v>340</v>
      </c>
      <c r="E31">
        <v>1.5</v>
      </c>
      <c r="F31">
        <v>0</v>
      </c>
      <c r="G31">
        <v>1.5</v>
      </c>
      <c r="H31">
        <v>510</v>
      </c>
      <c r="I31" t="s">
        <v>2266</v>
      </c>
      <c r="J31">
        <v>3</v>
      </c>
    </row>
    <row r="32" spans="1:10" x14ac:dyDescent="0.25">
      <c r="A32" t="s">
        <v>2259</v>
      </c>
      <c r="B32" s="23" t="s">
        <v>661</v>
      </c>
      <c r="C32" t="s">
        <v>662</v>
      </c>
      <c r="D32">
        <v>28</v>
      </c>
      <c r="E32">
        <v>12</v>
      </c>
      <c r="F32">
        <v>0.05</v>
      </c>
      <c r="G32">
        <v>12.600000000000001</v>
      </c>
      <c r="H32">
        <v>352.80000000000007</v>
      </c>
      <c r="I32" t="s">
        <v>2266</v>
      </c>
      <c r="J32">
        <v>4</v>
      </c>
    </row>
    <row r="33" spans="1:10" x14ac:dyDescent="0.25">
      <c r="A33" t="s">
        <v>2259</v>
      </c>
      <c r="B33" s="23" t="s">
        <v>866</v>
      </c>
      <c r="C33" t="s">
        <v>662</v>
      </c>
      <c r="D33">
        <v>22</v>
      </c>
      <c r="E33">
        <v>17</v>
      </c>
      <c r="F33">
        <v>0.05</v>
      </c>
      <c r="G33">
        <v>17.850000000000001</v>
      </c>
      <c r="H33">
        <v>392.70000000000005</v>
      </c>
      <c r="I33" t="s">
        <v>2266</v>
      </c>
      <c r="J33">
        <v>5</v>
      </c>
    </row>
    <row r="34" spans="1:10" x14ac:dyDescent="0.25">
      <c r="A34" t="s">
        <v>2259</v>
      </c>
      <c r="B34" s="23" t="s">
        <v>663</v>
      </c>
      <c r="C34" t="s">
        <v>662</v>
      </c>
      <c r="D34">
        <v>15</v>
      </c>
      <c r="E34">
        <v>17</v>
      </c>
      <c r="F34">
        <v>0.05</v>
      </c>
      <c r="G34">
        <v>17.850000000000001</v>
      </c>
      <c r="H34">
        <v>267.75</v>
      </c>
      <c r="I34" t="s">
        <v>2266</v>
      </c>
      <c r="J34">
        <v>6</v>
      </c>
    </row>
    <row r="35" spans="1:10" x14ac:dyDescent="0.25">
      <c r="A35" t="s">
        <v>2259</v>
      </c>
      <c r="B35" s="23" t="s">
        <v>665</v>
      </c>
      <c r="C35" t="s">
        <v>666</v>
      </c>
      <c r="D35">
        <v>45</v>
      </c>
      <c r="E35">
        <v>14</v>
      </c>
      <c r="F35">
        <v>0.05</v>
      </c>
      <c r="G35">
        <v>14.700000000000001</v>
      </c>
      <c r="H35">
        <v>661.5</v>
      </c>
      <c r="I35" t="s">
        <v>2266</v>
      </c>
      <c r="J35">
        <v>7</v>
      </c>
    </row>
    <row r="36" spans="1:10" x14ac:dyDescent="0.25">
      <c r="A36" t="s">
        <v>2259</v>
      </c>
      <c r="B36" s="23" t="s">
        <v>722</v>
      </c>
      <c r="C36" t="s">
        <v>723</v>
      </c>
      <c r="D36">
        <v>15</v>
      </c>
      <c r="E36">
        <v>24</v>
      </c>
      <c r="F36">
        <v>0.05</v>
      </c>
      <c r="G36">
        <v>25.200000000000003</v>
      </c>
      <c r="H36">
        <v>378.00000000000006</v>
      </c>
      <c r="I36" t="s">
        <v>2266</v>
      </c>
      <c r="J36">
        <v>8</v>
      </c>
    </row>
    <row r="37" spans="1:10" x14ac:dyDescent="0.25">
      <c r="A37" t="s">
        <v>2259</v>
      </c>
      <c r="B37" s="23" t="s">
        <v>714</v>
      </c>
      <c r="C37" t="s">
        <v>715</v>
      </c>
      <c r="D37">
        <v>130</v>
      </c>
      <c r="E37">
        <v>1</v>
      </c>
      <c r="F37">
        <v>0</v>
      </c>
      <c r="G37">
        <v>1</v>
      </c>
      <c r="H37">
        <v>130</v>
      </c>
      <c r="I37" t="s">
        <v>2266</v>
      </c>
      <c r="J37">
        <v>9</v>
      </c>
    </row>
    <row r="38" spans="1:10" x14ac:dyDescent="0.25">
      <c r="A38" t="s">
        <v>2261</v>
      </c>
      <c r="B38" s="23" t="s">
        <v>322</v>
      </c>
      <c r="C38" t="s">
        <v>33</v>
      </c>
      <c r="D38">
        <v>22.5</v>
      </c>
      <c r="E38">
        <v>110</v>
      </c>
      <c r="F38">
        <v>0</v>
      </c>
      <c r="G38">
        <v>110</v>
      </c>
      <c r="H38">
        <v>2475</v>
      </c>
      <c r="I38" t="s">
        <v>2266</v>
      </c>
      <c r="J38">
        <v>3</v>
      </c>
    </row>
    <row r="39" spans="1:10" x14ac:dyDescent="0.25">
      <c r="A39" t="s">
        <v>2259</v>
      </c>
      <c r="B39" s="23" t="s">
        <v>948</v>
      </c>
      <c r="C39" t="s">
        <v>723</v>
      </c>
      <c r="D39">
        <v>12.6</v>
      </c>
      <c r="E39">
        <v>4</v>
      </c>
      <c r="F39">
        <v>0.05</v>
      </c>
      <c r="G39">
        <v>4.2</v>
      </c>
      <c r="H39">
        <v>52.92</v>
      </c>
      <c r="I39" t="s">
        <v>2267</v>
      </c>
      <c r="J39">
        <v>3</v>
      </c>
    </row>
    <row r="40" spans="1:10" x14ac:dyDescent="0.25">
      <c r="A40" t="s">
        <v>2259</v>
      </c>
      <c r="B40" s="23" t="s">
        <v>2000</v>
      </c>
      <c r="C40" t="s">
        <v>8</v>
      </c>
      <c r="D40">
        <v>3</v>
      </c>
      <c r="E40">
        <v>5</v>
      </c>
      <c r="F40">
        <v>0.05</v>
      </c>
      <c r="G40">
        <v>5.25</v>
      </c>
      <c r="H40">
        <v>15.75</v>
      </c>
      <c r="I40" t="s">
        <v>2267</v>
      </c>
      <c r="J40">
        <v>4</v>
      </c>
    </row>
    <row r="41" spans="1:10" x14ac:dyDescent="0.25">
      <c r="A41" t="s">
        <v>2259</v>
      </c>
      <c r="B41" s="23" t="s">
        <v>950</v>
      </c>
      <c r="C41" t="s">
        <v>8</v>
      </c>
      <c r="D41">
        <v>13</v>
      </c>
      <c r="E41">
        <v>2</v>
      </c>
      <c r="F41">
        <v>0</v>
      </c>
      <c r="G41">
        <v>2</v>
      </c>
      <c r="H41">
        <v>26</v>
      </c>
      <c r="I41" t="s">
        <v>2267</v>
      </c>
      <c r="J41">
        <v>5</v>
      </c>
    </row>
    <row r="42" spans="1:10" x14ac:dyDescent="0.25">
      <c r="A42" t="s">
        <v>2259</v>
      </c>
      <c r="B42" s="23" t="s">
        <v>951</v>
      </c>
      <c r="C42" t="s">
        <v>8</v>
      </c>
      <c r="D42">
        <v>8</v>
      </c>
      <c r="E42">
        <v>1</v>
      </c>
      <c r="F42">
        <v>0</v>
      </c>
      <c r="G42">
        <v>1</v>
      </c>
      <c r="H42">
        <v>8</v>
      </c>
      <c r="I42" t="s">
        <v>2267</v>
      </c>
      <c r="J42">
        <v>6</v>
      </c>
    </row>
    <row r="43" spans="1:10" x14ac:dyDescent="0.25">
      <c r="A43" t="s">
        <v>2259</v>
      </c>
      <c r="B43" s="23" t="s">
        <v>953</v>
      </c>
      <c r="C43" t="s">
        <v>8</v>
      </c>
      <c r="D43">
        <v>49</v>
      </c>
      <c r="E43">
        <v>3</v>
      </c>
      <c r="F43">
        <v>0.05</v>
      </c>
      <c r="G43">
        <v>3.1500000000000004</v>
      </c>
      <c r="H43">
        <v>154.35000000000002</v>
      </c>
      <c r="I43" t="s">
        <v>2267</v>
      </c>
      <c r="J43">
        <v>7</v>
      </c>
    </row>
    <row r="44" spans="1:10" x14ac:dyDescent="0.25">
      <c r="A44" t="s">
        <v>2259</v>
      </c>
      <c r="B44" s="23" t="s">
        <v>954</v>
      </c>
      <c r="C44" t="s">
        <v>8</v>
      </c>
      <c r="D44">
        <v>4.3</v>
      </c>
      <c r="E44">
        <v>6</v>
      </c>
      <c r="F44">
        <v>0.05</v>
      </c>
      <c r="G44">
        <v>6.3000000000000007</v>
      </c>
      <c r="H44">
        <v>27.090000000000003</v>
      </c>
      <c r="I44" t="s">
        <v>2267</v>
      </c>
      <c r="J44">
        <v>8</v>
      </c>
    </row>
    <row r="45" spans="1:10" x14ac:dyDescent="0.25">
      <c r="A45" t="s">
        <v>2259</v>
      </c>
      <c r="B45" s="23" t="s">
        <v>63</v>
      </c>
      <c r="C45" t="s">
        <v>8</v>
      </c>
      <c r="D45">
        <v>15</v>
      </c>
      <c r="E45">
        <v>1</v>
      </c>
      <c r="F45">
        <v>0</v>
      </c>
      <c r="G45">
        <v>1</v>
      </c>
      <c r="H45">
        <v>15</v>
      </c>
      <c r="I45" t="s">
        <v>2267</v>
      </c>
      <c r="J45">
        <v>9</v>
      </c>
    </row>
    <row r="46" spans="1:10" x14ac:dyDescent="0.25">
      <c r="A46" t="s">
        <v>2259</v>
      </c>
      <c r="B46" s="23" t="s">
        <v>2006</v>
      </c>
      <c r="C46" t="s">
        <v>8</v>
      </c>
      <c r="D46">
        <v>4</v>
      </c>
      <c r="E46">
        <v>1</v>
      </c>
      <c r="F46">
        <v>0</v>
      </c>
      <c r="G46">
        <v>1</v>
      </c>
      <c r="H46">
        <v>4</v>
      </c>
      <c r="I46" t="s">
        <v>2267</v>
      </c>
      <c r="J46">
        <v>10</v>
      </c>
    </row>
    <row r="47" spans="1:10" x14ac:dyDescent="0.25">
      <c r="A47" t="s">
        <v>2259</v>
      </c>
      <c r="B47" s="23" t="s">
        <v>2008</v>
      </c>
      <c r="C47" t="s">
        <v>8</v>
      </c>
      <c r="D47">
        <v>8</v>
      </c>
      <c r="E47">
        <v>1</v>
      </c>
      <c r="F47">
        <v>0</v>
      </c>
      <c r="G47">
        <v>1</v>
      </c>
      <c r="H47">
        <v>8</v>
      </c>
      <c r="I47" t="s">
        <v>2267</v>
      </c>
      <c r="J47">
        <v>11</v>
      </c>
    </row>
    <row r="48" spans="1:10" x14ac:dyDescent="0.25">
      <c r="A48" t="s">
        <v>2259</v>
      </c>
      <c r="B48" s="23" t="s">
        <v>956</v>
      </c>
      <c r="C48" t="s">
        <v>8</v>
      </c>
      <c r="D48">
        <v>91</v>
      </c>
      <c r="E48">
        <v>2</v>
      </c>
      <c r="F48">
        <v>0.05</v>
      </c>
      <c r="G48">
        <v>2.1</v>
      </c>
      <c r="H48">
        <v>191.1</v>
      </c>
      <c r="I48" t="s">
        <v>2267</v>
      </c>
      <c r="J48">
        <v>12</v>
      </c>
    </row>
    <row r="49" spans="1:10" x14ac:dyDescent="0.25">
      <c r="A49" t="s">
        <v>2259</v>
      </c>
      <c r="B49" s="23" t="s">
        <v>957</v>
      </c>
      <c r="C49" t="s">
        <v>8</v>
      </c>
      <c r="D49">
        <v>9.5</v>
      </c>
      <c r="E49">
        <v>2</v>
      </c>
      <c r="F49">
        <v>0.05</v>
      </c>
      <c r="G49">
        <v>2.1</v>
      </c>
      <c r="H49">
        <v>19.95</v>
      </c>
      <c r="I49" t="s">
        <v>2267</v>
      </c>
      <c r="J49">
        <v>13</v>
      </c>
    </row>
    <row r="50" spans="1:10" x14ac:dyDescent="0.25">
      <c r="A50" t="s">
        <v>2259</v>
      </c>
      <c r="B50" s="23" t="s">
        <v>958</v>
      </c>
      <c r="C50" t="s">
        <v>959</v>
      </c>
      <c r="D50">
        <v>8.4</v>
      </c>
      <c r="E50">
        <v>1</v>
      </c>
      <c r="F50">
        <v>0</v>
      </c>
      <c r="G50">
        <v>1</v>
      </c>
      <c r="H50">
        <v>8.4</v>
      </c>
      <c r="I50" t="s">
        <v>2267</v>
      </c>
      <c r="J50">
        <v>14</v>
      </c>
    </row>
    <row r="51" spans="1:10" x14ac:dyDescent="0.25">
      <c r="A51" t="s">
        <v>2259</v>
      </c>
      <c r="B51" s="23" t="s">
        <v>961</v>
      </c>
      <c r="C51" t="s">
        <v>8</v>
      </c>
      <c r="D51">
        <v>1</v>
      </c>
      <c r="E51">
        <v>1</v>
      </c>
      <c r="F51">
        <v>0</v>
      </c>
      <c r="G51">
        <v>1</v>
      </c>
      <c r="H51">
        <v>1</v>
      </c>
      <c r="I51" t="s">
        <v>2267</v>
      </c>
      <c r="J51">
        <v>15</v>
      </c>
    </row>
    <row r="52" spans="1:10" x14ac:dyDescent="0.25">
      <c r="A52" t="s">
        <v>2261</v>
      </c>
      <c r="B52" s="23" t="s">
        <v>322</v>
      </c>
      <c r="C52" t="s">
        <v>33</v>
      </c>
      <c r="D52">
        <v>22.5</v>
      </c>
      <c r="E52">
        <v>64</v>
      </c>
      <c r="F52">
        <v>0</v>
      </c>
      <c r="G52">
        <v>64</v>
      </c>
      <c r="H52">
        <v>1440</v>
      </c>
      <c r="I52" t="s">
        <v>2267</v>
      </c>
      <c r="J52">
        <v>3</v>
      </c>
    </row>
    <row r="53" spans="1:10" x14ac:dyDescent="0.25">
      <c r="A53" t="s">
        <v>2259</v>
      </c>
      <c r="B53" s="23" t="s">
        <v>2049</v>
      </c>
      <c r="C53" t="s">
        <v>723</v>
      </c>
      <c r="D53">
        <v>55</v>
      </c>
      <c r="E53">
        <v>16</v>
      </c>
      <c r="F53">
        <v>0.05</v>
      </c>
      <c r="G53">
        <v>16.8</v>
      </c>
      <c r="H53">
        <v>924</v>
      </c>
      <c r="I53" t="s">
        <v>2268</v>
      </c>
      <c r="J53">
        <v>3</v>
      </c>
    </row>
    <row r="54" spans="1:10" x14ac:dyDescent="0.25">
      <c r="A54" t="s">
        <v>2259</v>
      </c>
      <c r="B54" s="23" t="s">
        <v>1005</v>
      </c>
      <c r="C54" t="s">
        <v>8</v>
      </c>
      <c r="D54">
        <v>22</v>
      </c>
      <c r="E54">
        <v>26</v>
      </c>
      <c r="F54">
        <v>0.05</v>
      </c>
      <c r="G54">
        <v>27.3</v>
      </c>
      <c r="H54">
        <v>600.6</v>
      </c>
      <c r="I54" t="s">
        <v>2268</v>
      </c>
      <c r="J54">
        <v>4</v>
      </c>
    </row>
    <row r="55" spans="1:10" x14ac:dyDescent="0.25">
      <c r="A55" t="s">
        <v>2259</v>
      </c>
      <c r="B55" s="23" t="s">
        <v>1007</v>
      </c>
      <c r="C55" t="s">
        <v>1008</v>
      </c>
      <c r="D55">
        <v>5.5</v>
      </c>
      <c r="E55">
        <v>958</v>
      </c>
      <c r="F55">
        <v>0.05</v>
      </c>
      <c r="G55">
        <v>1005.9000000000001</v>
      </c>
      <c r="H55">
        <v>5532.4500000000007</v>
      </c>
      <c r="I55" t="s">
        <v>2268</v>
      </c>
      <c r="J55">
        <v>5</v>
      </c>
    </row>
    <row r="56" spans="1:10" x14ac:dyDescent="0.25">
      <c r="A56" t="s">
        <v>2259</v>
      </c>
      <c r="B56" s="23" t="s">
        <v>1513</v>
      </c>
      <c r="C56" t="s">
        <v>8</v>
      </c>
      <c r="D56">
        <v>0.13</v>
      </c>
      <c r="E56">
        <v>1200</v>
      </c>
      <c r="F56">
        <v>0.05</v>
      </c>
      <c r="G56">
        <v>1260</v>
      </c>
      <c r="H56">
        <v>163.80000000000001</v>
      </c>
      <c r="I56" t="s">
        <v>2268</v>
      </c>
      <c r="J56">
        <v>6</v>
      </c>
    </row>
    <row r="57" spans="1:10" x14ac:dyDescent="0.25">
      <c r="A57" t="s">
        <v>2259</v>
      </c>
      <c r="B57" s="23" t="s">
        <v>1011</v>
      </c>
      <c r="C57" t="s">
        <v>8</v>
      </c>
      <c r="D57">
        <v>28</v>
      </c>
      <c r="E57">
        <v>10</v>
      </c>
      <c r="F57">
        <v>0.05</v>
      </c>
      <c r="G57">
        <v>10.5</v>
      </c>
      <c r="H57">
        <v>294</v>
      </c>
      <c r="I57" t="s">
        <v>2268</v>
      </c>
      <c r="J57">
        <v>7</v>
      </c>
    </row>
    <row r="58" spans="1:10" x14ac:dyDescent="0.25">
      <c r="A58" t="s">
        <v>2259</v>
      </c>
      <c r="B58" s="23" t="s">
        <v>1012</v>
      </c>
      <c r="C58" t="s">
        <v>327</v>
      </c>
      <c r="D58">
        <v>15</v>
      </c>
      <c r="E58">
        <v>3</v>
      </c>
      <c r="F58">
        <v>0.05</v>
      </c>
      <c r="G58">
        <v>3.1500000000000004</v>
      </c>
      <c r="H58">
        <v>47.250000000000007</v>
      </c>
      <c r="I58" t="s">
        <v>2268</v>
      </c>
      <c r="J58">
        <v>8</v>
      </c>
    </row>
    <row r="59" spans="1:10" x14ac:dyDescent="0.25">
      <c r="A59" t="s">
        <v>2259</v>
      </c>
      <c r="B59" s="23" t="s">
        <v>1514</v>
      </c>
      <c r="C59" t="s">
        <v>723</v>
      </c>
      <c r="D59">
        <v>45</v>
      </c>
      <c r="E59">
        <v>8</v>
      </c>
      <c r="F59">
        <v>0.05</v>
      </c>
      <c r="G59">
        <v>8.4</v>
      </c>
      <c r="H59">
        <v>378</v>
      </c>
      <c r="I59" t="s">
        <v>2268</v>
      </c>
      <c r="J59">
        <v>9</v>
      </c>
    </row>
    <row r="60" spans="1:10" x14ac:dyDescent="0.25">
      <c r="A60" t="s">
        <v>2259</v>
      </c>
      <c r="B60" s="23" t="s">
        <v>1516</v>
      </c>
      <c r="C60" t="s">
        <v>8</v>
      </c>
      <c r="D60">
        <v>7.5</v>
      </c>
      <c r="E60">
        <v>24</v>
      </c>
      <c r="F60">
        <v>0.05</v>
      </c>
      <c r="G60">
        <v>25.200000000000003</v>
      </c>
      <c r="H60">
        <v>189.00000000000003</v>
      </c>
      <c r="I60" t="s">
        <v>2268</v>
      </c>
      <c r="J60">
        <v>10</v>
      </c>
    </row>
    <row r="61" spans="1:10" x14ac:dyDescent="0.25">
      <c r="A61" t="s">
        <v>2259</v>
      </c>
      <c r="B61" s="23" t="s">
        <v>1517</v>
      </c>
      <c r="C61" t="s">
        <v>8</v>
      </c>
      <c r="D61">
        <v>10</v>
      </c>
      <c r="E61">
        <v>4</v>
      </c>
      <c r="F61">
        <v>0</v>
      </c>
      <c r="G61">
        <v>4</v>
      </c>
      <c r="H61">
        <v>40</v>
      </c>
      <c r="I61" t="s">
        <v>2268</v>
      </c>
      <c r="J61">
        <v>11</v>
      </c>
    </row>
    <row r="62" spans="1:10" x14ac:dyDescent="0.25">
      <c r="A62" t="s">
        <v>2259</v>
      </c>
      <c r="B62" s="23" t="s">
        <v>1520</v>
      </c>
      <c r="C62" t="s">
        <v>723</v>
      </c>
      <c r="D62">
        <v>59</v>
      </c>
      <c r="E62">
        <v>4</v>
      </c>
      <c r="F62">
        <v>0.05</v>
      </c>
      <c r="G62">
        <v>4.2</v>
      </c>
      <c r="H62">
        <v>247.8</v>
      </c>
      <c r="I62" t="s">
        <v>2268</v>
      </c>
      <c r="J62">
        <v>12</v>
      </c>
    </row>
    <row r="63" spans="1:10" x14ac:dyDescent="0.25">
      <c r="A63" t="s">
        <v>2259</v>
      </c>
      <c r="B63" s="23" t="s">
        <v>1522</v>
      </c>
      <c r="C63" t="s">
        <v>8</v>
      </c>
      <c r="D63">
        <v>6.2</v>
      </c>
      <c r="E63">
        <v>4</v>
      </c>
      <c r="F63">
        <v>0.05</v>
      </c>
      <c r="G63">
        <v>4.2</v>
      </c>
      <c r="H63">
        <v>26.040000000000003</v>
      </c>
      <c r="I63" t="s">
        <v>2268</v>
      </c>
      <c r="J63">
        <v>13</v>
      </c>
    </row>
    <row r="64" spans="1:10" x14ac:dyDescent="0.25">
      <c r="A64" t="s">
        <v>2259</v>
      </c>
      <c r="B64" s="23" t="s">
        <v>1524</v>
      </c>
      <c r="C64" t="s">
        <v>8</v>
      </c>
      <c r="D64">
        <v>5.6</v>
      </c>
      <c r="E64">
        <v>8</v>
      </c>
      <c r="F64">
        <v>0.05</v>
      </c>
      <c r="G64">
        <v>8.4</v>
      </c>
      <c r="H64">
        <v>47.04</v>
      </c>
      <c r="I64" t="s">
        <v>2268</v>
      </c>
      <c r="J64">
        <v>14</v>
      </c>
    </row>
    <row r="65" spans="1:10" x14ac:dyDescent="0.25">
      <c r="A65" t="s">
        <v>2259</v>
      </c>
      <c r="B65" s="23" t="s">
        <v>1014</v>
      </c>
      <c r="C65" t="s">
        <v>8</v>
      </c>
      <c r="D65">
        <v>3</v>
      </c>
      <c r="E65">
        <v>12</v>
      </c>
      <c r="F65">
        <v>0.05</v>
      </c>
      <c r="G65">
        <v>12.600000000000001</v>
      </c>
      <c r="H65">
        <v>37.800000000000004</v>
      </c>
      <c r="I65" t="s">
        <v>2268</v>
      </c>
      <c r="J65">
        <v>15</v>
      </c>
    </row>
    <row r="66" spans="1:10" x14ac:dyDescent="0.25">
      <c r="A66" t="s">
        <v>2261</v>
      </c>
      <c r="B66" s="23" t="s">
        <v>322</v>
      </c>
      <c r="C66" t="s">
        <v>33</v>
      </c>
      <c r="D66">
        <v>22.5</v>
      </c>
      <c r="E66">
        <v>89</v>
      </c>
      <c r="F66">
        <v>0</v>
      </c>
      <c r="G66">
        <v>89</v>
      </c>
      <c r="H66">
        <v>2002.5</v>
      </c>
      <c r="I66" t="s">
        <v>2268</v>
      </c>
      <c r="J66">
        <v>3</v>
      </c>
    </row>
    <row r="67" spans="1:10" x14ac:dyDescent="0.25">
      <c r="A67" t="s">
        <v>2259</v>
      </c>
      <c r="B67" s="23" t="s">
        <v>1202</v>
      </c>
      <c r="C67" t="s">
        <v>8</v>
      </c>
      <c r="D67">
        <v>0.28000000000000003</v>
      </c>
      <c r="E67">
        <v>3900</v>
      </c>
      <c r="F67">
        <v>0.03</v>
      </c>
      <c r="G67">
        <v>4017</v>
      </c>
      <c r="H67">
        <v>1124.7600000000002</v>
      </c>
      <c r="I67" t="s">
        <v>2269</v>
      </c>
      <c r="J67">
        <v>3</v>
      </c>
    </row>
    <row r="68" spans="1:10" x14ac:dyDescent="0.25">
      <c r="A68" t="s">
        <v>2259</v>
      </c>
      <c r="B68" s="23" t="s">
        <v>2076</v>
      </c>
      <c r="C68" t="s">
        <v>9</v>
      </c>
      <c r="D68">
        <v>24</v>
      </c>
      <c r="E68">
        <v>12</v>
      </c>
      <c r="F68">
        <v>0.05</v>
      </c>
      <c r="G68">
        <v>12.600000000000001</v>
      </c>
      <c r="H68">
        <v>302.40000000000003</v>
      </c>
      <c r="I68" t="s">
        <v>2269</v>
      </c>
      <c r="J68">
        <v>4</v>
      </c>
    </row>
    <row r="69" spans="1:10" x14ac:dyDescent="0.25">
      <c r="A69" t="s">
        <v>2259</v>
      </c>
      <c r="B69" s="23" t="s">
        <v>733</v>
      </c>
      <c r="C69" t="s">
        <v>11</v>
      </c>
      <c r="D69">
        <v>850</v>
      </c>
      <c r="E69">
        <v>0.2</v>
      </c>
      <c r="F69">
        <v>0.05</v>
      </c>
      <c r="G69">
        <v>0.21000000000000002</v>
      </c>
      <c r="H69">
        <v>178.50000000000003</v>
      </c>
      <c r="I69" t="s">
        <v>2269</v>
      </c>
      <c r="J69">
        <v>5</v>
      </c>
    </row>
    <row r="70" spans="1:10" x14ac:dyDescent="0.25">
      <c r="A70" t="s">
        <v>2259</v>
      </c>
      <c r="B70" s="23" t="s">
        <v>866</v>
      </c>
      <c r="C70" t="s">
        <v>662</v>
      </c>
      <c r="D70">
        <v>22</v>
      </c>
      <c r="E70">
        <v>2</v>
      </c>
      <c r="F70">
        <v>0.05</v>
      </c>
      <c r="G70">
        <v>2.1</v>
      </c>
      <c r="H70">
        <v>46.2</v>
      </c>
      <c r="I70" t="s">
        <v>2269</v>
      </c>
      <c r="J70">
        <v>6</v>
      </c>
    </row>
    <row r="71" spans="1:10" x14ac:dyDescent="0.25">
      <c r="A71" t="s">
        <v>2259</v>
      </c>
      <c r="B71" s="23" t="s">
        <v>663</v>
      </c>
      <c r="C71" t="s">
        <v>662</v>
      </c>
      <c r="D71">
        <v>15</v>
      </c>
      <c r="E71">
        <v>2</v>
      </c>
      <c r="F71">
        <v>0.05</v>
      </c>
      <c r="G71">
        <v>2.1</v>
      </c>
      <c r="H71">
        <v>31.5</v>
      </c>
      <c r="I71" t="s">
        <v>2269</v>
      </c>
      <c r="J71">
        <v>7</v>
      </c>
    </row>
    <row r="72" spans="1:10" x14ac:dyDescent="0.25">
      <c r="A72" t="s">
        <v>2259</v>
      </c>
      <c r="B72" s="23" t="s">
        <v>665</v>
      </c>
      <c r="C72" t="s">
        <v>666</v>
      </c>
      <c r="D72">
        <v>45</v>
      </c>
      <c r="E72">
        <v>2</v>
      </c>
      <c r="F72">
        <v>0.05</v>
      </c>
      <c r="G72">
        <v>2.1</v>
      </c>
      <c r="H72">
        <v>94.5</v>
      </c>
      <c r="I72" t="s">
        <v>2269</v>
      </c>
      <c r="J72">
        <v>8</v>
      </c>
    </row>
    <row r="73" spans="1:10" x14ac:dyDescent="0.25">
      <c r="A73" t="s">
        <v>2259</v>
      </c>
      <c r="B73" s="23" t="s">
        <v>722</v>
      </c>
      <c r="C73" t="s">
        <v>723</v>
      </c>
      <c r="D73">
        <v>15</v>
      </c>
      <c r="E73">
        <v>4</v>
      </c>
      <c r="F73">
        <v>0.05</v>
      </c>
      <c r="G73">
        <v>4.2</v>
      </c>
      <c r="H73">
        <v>63</v>
      </c>
      <c r="I73" t="s">
        <v>2269</v>
      </c>
      <c r="J73">
        <v>9</v>
      </c>
    </row>
    <row r="74" spans="1:10" x14ac:dyDescent="0.25">
      <c r="A74" t="s">
        <v>2261</v>
      </c>
      <c r="B74" s="23" t="s">
        <v>322</v>
      </c>
      <c r="C74" t="s">
        <v>33</v>
      </c>
      <c r="D74">
        <v>22.5</v>
      </c>
      <c r="E74">
        <v>136</v>
      </c>
      <c r="F74">
        <v>0</v>
      </c>
      <c r="G74">
        <v>136</v>
      </c>
      <c r="H74">
        <v>3060</v>
      </c>
      <c r="I74" t="s">
        <v>2269</v>
      </c>
      <c r="J74">
        <v>3</v>
      </c>
    </row>
    <row r="75" spans="1:10" x14ac:dyDescent="0.25">
      <c r="A75" t="s">
        <v>2259</v>
      </c>
      <c r="B75" s="23" t="s">
        <v>2093</v>
      </c>
      <c r="C75" t="s">
        <v>10</v>
      </c>
      <c r="D75">
        <v>480</v>
      </c>
      <c r="E75">
        <v>1</v>
      </c>
      <c r="F75">
        <v>0</v>
      </c>
      <c r="G75">
        <v>1</v>
      </c>
      <c r="H75">
        <v>480</v>
      </c>
      <c r="I75" t="s">
        <v>2270</v>
      </c>
      <c r="J75">
        <v>3</v>
      </c>
    </row>
    <row r="76" spans="1:10" x14ac:dyDescent="0.25">
      <c r="A76" t="s">
        <v>2259</v>
      </c>
      <c r="B76" s="23" t="s">
        <v>2095</v>
      </c>
      <c r="C76" t="s">
        <v>10</v>
      </c>
      <c r="D76">
        <v>300</v>
      </c>
      <c r="E76">
        <v>3</v>
      </c>
      <c r="F76">
        <v>0</v>
      </c>
      <c r="G76">
        <v>3</v>
      </c>
      <c r="H76">
        <v>900</v>
      </c>
      <c r="I76" t="s">
        <v>2270</v>
      </c>
      <c r="J76">
        <v>4</v>
      </c>
    </row>
    <row r="77" spans="1:10" x14ac:dyDescent="0.25">
      <c r="A77" t="s">
        <v>2259</v>
      </c>
      <c r="B77" s="23" t="s">
        <v>2097</v>
      </c>
      <c r="C77" t="s">
        <v>10</v>
      </c>
      <c r="D77">
        <v>240</v>
      </c>
      <c r="E77">
        <v>1</v>
      </c>
      <c r="F77">
        <v>0</v>
      </c>
      <c r="G77">
        <v>1</v>
      </c>
      <c r="H77">
        <v>240</v>
      </c>
      <c r="I77" t="s">
        <v>2270</v>
      </c>
      <c r="J77">
        <v>5</v>
      </c>
    </row>
    <row r="78" spans="1:10" x14ac:dyDescent="0.25">
      <c r="A78" t="s">
        <v>2259</v>
      </c>
      <c r="B78" s="23" t="s">
        <v>2100</v>
      </c>
      <c r="C78" t="s">
        <v>10</v>
      </c>
      <c r="D78">
        <v>800</v>
      </c>
      <c r="E78">
        <v>1</v>
      </c>
      <c r="F78">
        <v>0</v>
      </c>
      <c r="G78">
        <v>1</v>
      </c>
      <c r="H78">
        <v>800</v>
      </c>
      <c r="I78" t="s">
        <v>2270</v>
      </c>
      <c r="J78">
        <v>6</v>
      </c>
    </row>
    <row r="79" spans="1:10" x14ac:dyDescent="0.25">
      <c r="A79" t="s">
        <v>2259</v>
      </c>
      <c r="B79" s="23" t="s">
        <v>2102</v>
      </c>
      <c r="C79" t="s">
        <v>10</v>
      </c>
      <c r="D79">
        <v>180</v>
      </c>
      <c r="E79">
        <v>3</v>
      </c>
      <c r="F79">
        <v>0</v>
      </c>
      <c r="G79">
        <v>3</v>
      </c>
      <c r="H79">
        <v>540</v>
      </c>
      <c r="I79" t="s">
        <v>2270</v>
      </c>
      <c r="J79">
        <v>7</v>
      </c>
    </row>
    <row r="80" spans="1:10" x14ac:dyDescent="0.25">
      <c r="A80" t="s">
        <v>2259</v>
      </c>
      <c r="B80" s="23" t="s">
        <v>2104</v>
      </c>
      <c r="C80" t="s">
        <v>10</v>
      </c>
      <c r="D80">
        <v>170</v>
      </c>
      <c r="E80">
        <v>1</v>
      </c>
      <c r="F80">
        <v>0</v>
      </c>
      <c r="G80">
        <v>1</v>
      </c>
      <c r="H80">
        <v>170</v>
      </c>
      <c r="I80" t="s">
        <v>2270</v>
      </c>
      <c r="J80">
        <v>8</v>
      </c>
    </row>
    <row r="81" spans="1:10" x14ac:dyDescent="0.25">
      <c r="A81" t="s">
        <v>2259</v>
      </c>
      <c r="B81" s="23" t="s">
        <v>1286</v>
      </c>
      <c r="C81" t="s">
        <v>8</v>
      </c>
      <c r="D81">
        <v>150</v>
      </c>
      <c r="E81">
        <v>1</v>
      </c>
      <c r="F81">
        <v>0</v>
      </c>
      <c r="G81">
        <v>1</v>
      </c>
      <c r="H81">
        <v>150</v>
      </c>
      <c r="I81" t="s">
        <v>2270</v>
      </c>
      <c r="J81">
        <v>9</v>
      </c>
    </row>
    <row r="82" spans="1:10" x14ac:dyDescent="0.25">
      <c r="A82" t="s">
        <v>2259</v>
      </c>
      <c r="B82" s="23" t="s">
        <v>722</v>
      </c>
      <c r="C82" t="s">
        <v>723</v>
      </c>
      <c r="D82">
        <v>15</v>
      </c>
      <c r="E82">
        <v>2</v>
      </c>
      <c r="F82">
        <v>0.05</v>
      </c>
      <c r="G82">
        <v>2.1</v>
      </c>
      <c r="H82">
        <v>31.5</v>
      </c>
      <c r="I82" t="s">
        <v>2270</v>
      </c>
      <c r="J82">
        <v>10</v>
      </c>
    </row>
    <row r="83" spans="1:10" x14ac:dyDescent="0.25">
      <c r="A83" t="s">
        <v>2259</v>
      </c>
      <c r="B83" s="23" t="s">
        <v>2271</v>
      </c>
      <c r="C83" t="s">
        <v>715</v>
      </c>
      <c r="D83">
        <v>160</v>
      </c>
      <c r="E83">
        <v>0.05</v>
      </c>
      <c r="F83">
        <v>0</v>
      </c>
      <c r="G83">
        <v>0.05</v>
      </c>
      <c r="H83">
        <v>8</v>
      </c>
      <c r="I83" t="s">
        <v>2270</v>
      </c>
      <c r="J83">
        <v>11</v>
      </c>
    </row>
    <row r="84" spans="1:10" x14ac:dyDescent="0.25">
      <c r="A84" t="s">
        <v>2259</v>
      </c>
      <c r="B84" s="23" t="s">
        <v>1290</v>
      </c>
      <c r="C84" t="s">
        <v>32</v>
      </c>
      <c r="D84">
        <v>94</v>
      </c>
      <c r="E84">
        <v>0.05</v>
      </c>
      <c r="F84">
        <v>0</v>
      </c>
      <c r="G84">
        <v>0.05</v>
      </c>
      <c r="H84">
        <v>4.7</v>
      </c>
      <c r="I84" t="s">
        <v>2270</v>
      </c>
      <c r="J84">
        <v>12</v>
      </c>
    </row>
    <row r="85" spans="1:10" x14ac:dyDescent="0.25">
      <c r="A85" t="s">
        <v>2259</v>
      </c>
      <c r="B85" s="23" t="s">
        <v>1291</v>
      </c>
      <c r="C85" t="s">
        <v>8</v>
      </c>
      <c r="D85">
        <v>0.3</v>
      </c>
      <c r="E85">
        <v>2</v>
      </c>
      <c r="F85">
        <v>0.1</v>
      </c>
      <c r="G85">
        <v>2.2000000000000002</v>
      </c>
      <c r="H85">
        <v>0.66</v>
      </c>
      <c r="I85" t="s">
        <v>2270</v>
      </c>
      <c r="J85">
        <v>13</v>
      </c>
    </row>
    <row r="86" spans="1:10" x14ac:dyDescent="0.25">
      <c r="A86" t="s">
        <v>2259</v>
      </c>
      <c r="B86" s="23" t="s">
        <v>1292</v>
      </c>
      <c r="C86" t="s">
        <v>8</v>
      </c>
      <c r="D86">
        <v>0.3</v>
      </c>
      <c r="E86">
        <v>2</v>
      </c>
      <c r="F86">
        <v>0.1</v>
      </c>
      <c r="G86">
        <v>2.2000000000000002</v>
      </c>
      <c r="H86">
        <v>0.66</v>
      </c>
      <c r="I86" t="s">
        <v>2270</v>
      </c>
      <c r="J86">
        <v>14</v>
      </c>
    </row>
    <row r="87" spans="1:10" x14ac:dyDescent="0.25">
      <c r="A87" t="s">
        <v>2259</v>
      </c>
      <c r="B87" s="23" t="s">
        <v>1293</v>
      </c>
      <c r="C87" t="s">
        <v>8</v>
      </c>
      <c r="D87">
        <v>0.3</v>
      </c>
      <c r="E87">
        <v>2</v>
      </c>
      <c r="F87">
        <v>0.1</v>
      </c>
      <c r="G87">
        <v>2.2000000000000002</v>
      </c>
      <c r="H87">
        <v>0.66</v>
      </c>
      <c r="I87" t="s">
        <v>2270</v>
      </c>
      <c r="J87">
        <v>15</v>
      </c>
    </row>
    <row r="88" spans="1:10" x14ac:dyDescent="0.25">
      <c r="A88" t="s">
        <v>2259</v>
      </c>
      <c r="B88" s="23" t="s">
        <v>1296</v>
      </c>
      <c r="C88" t="s">
        <v>8</v>
      </c>
      <c r="D88">
        <v>0.85</v>
      </c>
      <c r="E88">
        <v>3</v>
      </c>
      <c r="F88">
        <v>0.05</v>
      </c>
      <c r="G88">
        <v>3.1500000000000004</v>
      </c>
      <c r="H88">
        <v>2.6775000000000002</v>
      </c>
      <c r="I88" t="s">
        <v>2270</v>
      </c>
      <c r="J88">
        <v>16</v>
      </c>
    </row>
    <row r="89" spans="1:10" x14ac:dyDescent="0.25">
      <c r="A89" t="s">
        <v>2259</v>
      </c>
      <c r="B89" s="23" t="s">
        <v>1298</v>
      </c>
      <c r="C89" t="s">
        <v>10</v>
      </c>
      <c r="D89">
        <v>60</v>
      </c>
      <c r="E89">
        <v>1</v>
      </c>
      <c r="F89">
        <v>0</v>
      </c>
      <c r="G89">
        <v>1</v>
      </c>
      <c r="H89">
        <v>60</v>
      </c>
      <c r="I89" t="s">
        <v>2270</v>
      </c>
      <c r="J89">
        <v>17</v>
      </c>
    </row>
    <row r="90" spans="1:10" x14ac:dyDescent="0.25">
      <c r="A90" t="s">
        <v>2261</v>
      </c>
      <c r="B90" s="23" t="s">
        <v>322</v>
      </c>
      <c r="C90" t="s">
        <v>33</v>
      </c>
      <c r="D90">
        <v>22.5</v>
      </c>
      <c r="E90">
        <v>85</v>
      </c>
      <c r="F90">
        <v>0</v>
      </c>
      <c r="G90">
        <v>85</v>
      </c>
      <c r="H90">
        <v>1912.5</v>
      </c>
      <c r="I90" t="s">
        <v>2270</v>
      </c>
      <c r="J90">
        <v>3</v>
      </c>
    </row>
    <row r="91" spans="1:10" x14ac:dyDescent="0.25">
      <c r="A91" t="s">
        <v>2259</v>
      </c>
      <c r="B91" s="23" t="s">
        <v>2076</v>
      </c>
      <c r="C91" t="s">
        <v>9</v>
      </c>
      <c r="D91">
        <v>24</v>
      </c>
      <c r="E91">
        <v>12</v>
      </c>
      <c r="F91">
        <v>0.05</v>
      </c>
      <c r="G91">
        <v>12.600000000000001</v>
      </c>
      <c r="H91">
        <v>302.40000000000003</v>
      </c>
      <c r="I91" t="s">
        <v>2272</v>
      </c>
      <c r="J91">
        <v>3</v>
      </c>
    </row>
    <row r="92" spans="1:10" x14ac:dyDescent="0.25">
      <c r="A92" t="s">
        <v>2259</v>
      </c>
      <c r="B92" s="23" t="s">
        <v>733</v>
      </c>
      <c r="C92" t="s">
        <v>11</v>
      </c>
      <c r="D92">
        <v>850</v>
      </c>
      <c r="E92">
        <v>0.15</v>
      </c>
      <c r="F92">
        <v>0.05</v>
      </c>
      <c r="G92">
        <v>0.1575</v>
      </c>
      <c r="H92">
        <v>133.875</v>
      </c>
      <c r="I92" t="s">
        <v>2272</v>
      </c>
      <c r="J92">
        <v>4</v>
      </c>
    </row>
    <row r="93" spans="1:10" x14ac:dyDescent="0.25">
      <c r="A93" t="s">
        <v>2259</v>
      </c>
      <c r="B93" s="23" t="s">
        <v>60</v>
      </c>
      <c r="C93" t="s">
        <v>9</v>
      </c>
      <c r="D93">
        <v>22</v>
      </c>
      <c r="E93">
        <v>4</v>
      </c>
      <c r="F93">
        <v>0.05</v>
      </c>
      <c r="G93">
        <v>4.2</v>
      </c>
      <c r="H93">
        <v>92.4</v>
      </c>
      <c r="I93" t="s">
        <v>2272</v>
      </c>
      <c r="J93">
        <v>5</v>
      </c>
    </row>
    <row r="94" spans="1:10" x14ac:dyDescent="0.25">
      <c r="A94" t="s">
        <v>2259</v>
      </c>
      <c r="B94" s="23" t="s">
        <v>1356</v>
      </c>
      <c r="C94" t="s">
        <v>9</v>
      </c>
      <c r="D94">
        <v>17.5</v>
      </c>
      <c r="E94">
        <v>4</v>
      </c>
      <c r="F94">
        <v>0.05</v>
      </c>
      <c r="G94">
        <v>4.2</v>
      </c>
      <c r="H94">
        <v>73.5</v>
      </c>
      <c r="I94" t="s">
        <v>2272</v>
      </c>
      <c r="J94">
        <v>6</v>
      </c>
    </row>
    <row r="95" spans="1:10" x14ac:dyDescent="0.25">
      <c r="A95" t="s">
        <v>2259</v>
      </c>
      <c r="B95" s="23" t="s">
        <v>1357</v>
      </c>
      <c r="C95" t="s">
        <v>9</v>
      </c>
      <c r="D95">
        <v>17.5</v>
      </c>
      <c r="E95">
        <v>4</v>
      </c>
      <c r="F95">
        <v>0.05</v>
      </c>
      <c r="G95">
        <v>4.2</v>
      </c>
      <c r="H95">
        <v>73.5</v>
      </c>
      <c r="I95" t="s">
        <v>2272</v>
      </c>
      <c r="J95">
        <v>7</v>
      </c>
    </row>
    <row r="96" spans="1:10" x14ac:dyDescent="0.25">
      <c r="A96" t="s">
        <v>2261</v>
      </c>
      <c r="B96" s="23" t="s">
        <v>322</v>
      </c>
      <c r="C96" t="s">
        <v>33</v>
      </c>
      <c r="D96">
        <v>22.5</v>
      </c>
      <c r="E96">
        <v>110</v>
      </c>
      <c r="F96">
        <v>0</v>
      </c>
      <c r="G96">
        <v>110</v>
      </c>
      <c r="H96">
        <v>2475</v>
      </c>
      <c r="I96" t="s">
        <v>2272</v>
      </c>
      <c r="J96">
        <v>3</v>
      </c>
    </row>
    <row r="97" spans="1:10" x14ac:dyDescent="0.25">
      <c r="A97" t="s">
        <v>2259</v>
      </c>
      <c r="B97" s="23" t="s">
        <v>1360</v>
      </c>
      <c r="C97" t="s">
        <v>666</v>
      </c>
      <c r="D97">
        <v>25</v>
      </c>
      <c r="E97">
        <v>13</v>
      </c>
      <c r="F97">
        <v>0.05</v>
      </c>
      <c r="G97">
        <v>13.65</v>
      </c>
      <c r="H97">
        <v>341.25</v>
      </c>
      <c r="I97" t="s">
        <v>2273</v>
      </c>
      <c r="J97">
        <v>3</v>
      </c>
    </row>
    <row r="98" spans="1:10" x14ac:dyDescent="0.25">
      <c r="A98" t="s">
        <v>2259</v>
      </c>
      <c r="B98" s="23" t="s">
        <v>1361</v>
      </c>
      <c r="C98" t="s">
        <v>666</v>
      </c>
      <c r="D98">
        <v>13</v>
      </c>
      <c r="E98">
        <v>5</v>
      </c>
      <c r="F98">
        <v>0.05</v>
      </c>
      <c r="G98">
        <v>5.25</v>
      </c>
      <c r="H98">
        <v>68.25</v>
      </c>
      <c r="I98" t="s">
        <v>2273</v>
      </c>
      <c r="J98">
        <v>4</v>
      </c>
    </row>
    <row r="99" spans="1:10" x14ac:dyDescent="0.25">
      <c r="A99" t="s">
        <v>2259</v>
      </c>
      <c r="B99" s="23" t="s">
        <v>1362</v>
      </c>
      <c r="C99" t="s">
        <v>723</v>
      </c>
      <c r="D99">
        <v>3.5</v>
      </c>
      <c r="E99">
        <v>30</v>
      </c>
      <c r="F99">
        <v>0.05</v>
      </c>
      <c r="G99">
        <v>31.5</v>
      </c>
      <c r="H99">
        <v>110.25</v>
      </c>
      <c r="I99" t="s">
        <v>2273</v>
      </c>
      <c r="J99">
        <v>5</v>
      </c>
    </row>
    <row r="100" spans="1:10" x14ac:dyDescent="0.25">
      <c r="A100" t="s">
        <v>2259</v>
      </c>
      <c r="B100" s="23" t="s">
        <v>1363</v>
      </c>
      <c r="C100" t="s">
        <v>8</v>
      </c>
      <c r="D100">
        <v>20</v>
      </c>
      <c r="E100">
        <v>12</v>
      </c>
      <c r="F100">
        <v>0.05</v>
      </c>
      <c r="G100">
        <v>12.600000000000001</v>
      </c>
      <c r="H100">
        <v>252.00000000000003</v>
      </c>
      <c r="I100" t="s">
        <v>2273</v>
      </c>
      <c r="J100">
        <v>6</v>
      </c>
    </row>
    <row r="101" spans="1:10" x14ac:dyDescent="0.25">
      <c r="A101" t="s">
        <v>2259</v>
      </c>
      <c r="B101" s="23" t="s">
        <v>1364</v>
      </c>
      <c r="C101" t="s">
        <v>723</v>
      </c>
      <c r="D101">
        <v>8.5</v>
      </c>
      <c r="E101">
        <v>12</v>
      </c>
      <c r="F101">
        <v>0.05</v>
      </c>
      <c r="G101">
        <v>12.600000000000001</v>
      </c>
      <c r="H101">
        <v>107.10000000000001</v>
      </c>
      <c r="I101" t="s">
        <v>2273</v>
      </c>
      <c r="J101">
        <v>7</v>
      </c>
    </row>
    <row r="102" spans="1:10" x14ac:dyDescent="0.25">
      <c r="A102" t="s">
        <v>2259</v>
      </c>
      <c r="B102" s="23" t="s">
        <v>1366</v>
      </c>
      <c r="C102" t="s">
        <v>8</v>
      </c>
      <c r="D102">
        <v>3</v>
      </c>
      <c r="E102">
        <v>2</v>
      </c>
      <c r="F102">
        <v>0.05</v>
      </c>
      <c r="G102">
        <v>2.1</v>
      </c>
      <c r="H102">
        <v>6.3000000000000007</v>
      </c>
      <c r="I102" t="s">
        <v>2273</v>
      </c>
      <c r="J102">
        <v>8</v>
      </c>
    </row>
    <row r="103" spans="1:10" x14ac:dyDescent="0.25">
      <c r="A103" t="s">
        <v>2259</v>
      </c>
      <c r="B103" s="23" t="s">
        <v>60</v>
      </c>
      <c r="C103" t="s">
        <v>9</v>
      </c>
      <c r="D103">
        <v>16.5</v>
      </c>
      <c r="E103">
        <v>3</v>
      </c>
      <c r="F103">
        <v>0.05</v>
      </c>
      <c r="G103">
        <v>3.1500000000000004</v>
      </c>
      <c r="H103">
        <v>51.975000000000009</v>
      </c>
      <c r="I103" t="s">
        <v>2273</v>
      </c>
      <c r="J103">
        <v>9</v>
      </c>
    </row>
    <row r="104" spans="1:10" x14ac:dyDescent="0.25">
      <c r="A104" t="s">
        <v>2259</v>
      </c>
      <c r="B104" s="23" t="s">
        <v>1368</v>
      </c>
      <c r="C104" t="s">
        <v>8</v>
      </c>
      <c r="D104">
        <v>13</v>
      </c>
      <c r="E104">
        <v>2</v>
      </c>
      <c r="F104">
        <v>0</v>
      </c>
      <c r="G104">
        <v>2</v>
      </c>
      <c r="H104">
        <v>26</v>
      </c>
      <c r="I104" t="s">
        <v>2273</v>
      </c>
      <c r="J104">
        <v>10</v>
      </c>
    </row>
    <row r="105" spans="1:10" x14ac:dyDescent="0.25">
      <c r="A105" t="s">
        <v>2261</v>
      </c>
      <c r="B105" s="23" t="s">
        <v>322</v>
      </c>
      <c r="C105" t="s">
        <v>33</v>
      </c>
      <c r="D105">
        <v>22.5</v>
      </c>
      <c r="E105">
        <v>85</v>
      </c>
      <c r="F105">
        <v>0</v>
      </c>
      <c r="G105">
        <v>85</v>
      </c>
      <c r="H105">
        <v>1912.5</v>
      </c>
      <c r="I105" t="s">
        <v>2273</v>
      </c>
      <c r="J105">
        <v>3</v>
      </c>
    </row>
    <row r="106" spans="1:10" x14ac:dyDescent="0.25">
      <c r="A106" t="s">
        <v>2259</v>
      </c>
      <c r="B106" s="23" t="s">
        <v>1617</v>
      </c>
      <c r="C106" t="s">
        <v>10</v>
      </c>
      <c r="D106">
        <v>105</v>
      </c>
      <c r="E106">
        <v>5</v>
      </c>
      <c r="F106">
        <v>0</v>
      </c>
      <c r="G106">
        <v>5</v>
      </c>
      <c r="H106">
        <v>525</v>
      </c>
      <c r="I106" t="s">
        <v>2274</v>
      </c>
      <c r="J106">
        <v>3</v>
      </c>
    </row>
    <row r="107" spans="1:10" x14ac:dyDescent="0.25">
      <c r="A107" t="s">
        <v>2259</v>
      </c>
      <c r="B107" s="23" t="s">
        <v>1619</v>
      </c>
      <c r="C107" t="s">
        <v>8</v>
      </c>
      <c r="D107">
        <v>15</v>
      </c>
      <c r="E107">
        <v>84</v>
      </c>
      <c r="F107">
        <v>0</v>
      </c>
      <c r="G107">
        <v>84</v>
      </c>
      <c r="H107">
        <v>1260</v>
      </c>
      <c r="I107" t="s">
        <v>2274</v>
      </c>
      <c r="J107">
        <v>4</v>
      </c>
    </row>
    <row r="108" spans="1:10" x14ac:dyDescent="0.25">
      <c r="A108" t="s">
        <v>2259</v>
      </c>
      <c r="B108" s="23" t="s">
        <v>1621</v>
      </c>
      <c r="C108" t="s">
        <v>8</v>
      </c>
      <c r="D108">
        <v>4.5</v>
      </c>
      <c r="E108">
        <v>75</v>
      </c>
      <c r="F108">
        <v>0</v>
      </c>
      <c r="G108">
        <v>75</v>
      </c>
      <c r="H108">
        <v>337.5</v>
      </c>
      <c r="I108" t="s">
        <v>2274</v>
      </c>
      <c r="J108">
        <v>5</v>
      </c>
    </row>
    <row r="109" spans="1:10" x14ac:dyDescent="0.25">
      <c r="A109" t="s">
        <v>2259</v>
      </c>
      <c r="B109" s="23" t="s">
        <v>1621</v>
      </c>
      <c r="C109" t="s">
        <v>8</v>
      </c>
      <c r="D109">
        <v>4.5</v>
      </c>
      <c r="E109">
        <v>198</v>
      </c>
      <c r="F109">
        <v>0</v>
      </c>
      <c r="G109">
        <v>198</v>
      </c>
      <c r="H109">
        <v>891</v>
      </c>
      <c r="I109" t="s">
        <v>2274</v>
      </c>
      <c r="J109">
        <v>6</v>
      </c>
    </row>
    <row r="110" spans="1:10" x14ac:dyDescent="0.25">
      <c r="A110" t="s">
        <v>2259</v>
      </c>
      <c r="B110" s="23" t="s">
        <v>7</v>
      </c>
      <c r="C110" t="s">
        <v>8</v>
      </c>
      <c r="D110">
        <v>6.5</v>
      </c>
      <c r="E110">
        <v>132</v>
      </c>
      <c r="F110">
        <v>0</v>
      </c>
      <c r="G110">
        <v>132</v>
      </c>
      <c r="H110">
        <v>858</v>
      </c>
      <c r="I110" t="s">
        <v>2274</v>
      </c>
      <c r="J110">
        <v>7</v>
      </c>
    </row>
    <row r="111" spans="1:10" x14ac:dyDescent="0.25">
      <c r="A111" t="s">
        <v>2259</v>
      </c>
      <c r="B111" s="23" t="s">
        <v>7</v>
      </c>
      <c r="C111" t="s">
        <v>8</v>
      </c>
      <c r="D111">
        <v>6.5</v>
      </c>
      <c r="E111">
        <v>34</v>
      </c>
      <c r="F111">
        <v>0</v>
      </c>
      <c r="G111">
        <v>34</v>
      </c>
      <c r="H111">
        <v>221</v>
      </c>
      <c r="I111" t="s">
        <v>2274</v>
      </c>
      <c r="J111">
        <v>8</v>
      </c>
    </row>
    <row r="112" spans="1:10" x14ac:dyDescent="0.25">
      <c r="A112" t="s">
        <v>2259</v>
      </c>
      <c r="B112" s="23" t="s">
        <v>57</v>
      </c>
      <c r="C112" t="s">
        <v>9</v>
      </c>
      <c r="D112">
        <v>25</v>
      </c>
      <c r="E112">
        <v>29</v>
      </c>
      <c r="F112">
        <v>0</v>
      </c>
      <c r="G112">
        <v>29</v>
      </c>
      <c r="H112">
        <v>725</v>
      </c>
      <c r="I112" t="s">
        <v>2274</v>
      </c>
      <c r="J112">
        <v>9</v>
      </c>
    </row>
    <row r="113" spans="1:10" x14ac:dyDescent="0.25">
      <c r="A113" t="s">
        <v>2259</v>
      </c>
      <c r="B113" s="23" t="s">
        <v>1629</v>
      </c>
      <c r="C113" t="s">
        <v>1630</v>
      </c>
      <c r="D113">
        <v>1</v>
      </c>
      <c r="E113">
        <v>12</v>
      </c>
      <c r="F113">
        <v>0</v>
      </c>
      <c r="G113">
        <v>12</v>
      </c>
      <c r="H113">
        <v>12</v>
      </c>
      <c r="I113" t="s">
        <v>2274</v>
      </c>
      <c r="J113">
        <v>10</v>
      </c>
    </row>
    <row r="114" spans="1:10" x14ac:dyDescent="0.25">
      <c r="A114" t="s">
        <v>2259</v>
      </c>
      <c r="B114" s="23" t="s">
        <v>58</v>
      </c>
      <c r="C114" t="s">
        <v>9</v>
      </c>
      <c r="D114">
        <v>18</v>
      </c>
      <c r="E114">
        <v>12</v>
      </c>
      <c r="F114">
        <v>0</v>
      </c>
      <c r="G114">
        <v>12</v>
      </c>
      <c r="H114">
        <v>216</v>
      </c>
      <c r="I114" t="s">
        <v>2274</v>
      </c>
      <c r="J114">
        <v>11</v>
      </c>
    </row>
    <row r="115" spans="1:10" x14ac:dyDescent="0.25">
      <c r="A115" t="s">
        <v>2259</v>
      </c>
      <c r="B115" s="23" t="s">
        <v>2076</v>
      </c>
      <c r="C115" t="s">
        <v>9</v>
      </c>
      <c r="D115">
        <v>24</v>
      </c>
      <c r="E115">
        <v>3</v>
      </c>
      <c r="F115">
        <v>0</v>
      </c>
      <c r="G115">
        <v>3</v>
      </c>
      <c r="H115">
        <v>72</v>
      </c>
      <c r="I115" t="s">
        <v>2274</v>
      </c>
      <c r="J115">
        <v>12</v>
      </c>
    </row>
    <row r="116" spans="1:10" x14ac:dyDescent="0.25">
      <c r="A116" t="s">
        <v>2259</v>
      </c>
      <c r="B116" s="23" t="s">
        <v>1635</v>
      </c>
      <c r="C116" t="s">
        <v>59</v>
      </c>
      <c r="D116">
        <v>80</v>
      </c>
      <c r="E116">
        <v>2</v>
      </c>
      <c r="F116">
        <v>0</v>
      </c>
      <c r="G116">
        <v>2</v>
      </c>
      <c r="H116">
        <v>160</v>
      </c>
      <c r="I116" t="s">
        <v>2274</v>
      </c>
      <c r="J116">
        <v>13</v>
      </c>
    </row>
    <row r="117" spans="1:10" x14ac:dyDescent="0.25">
      <c r="A117" t="s">
        <v>2261</v>
      </c>
      <c r="B117" s="23" t="s">
        <v>322</v>
      </c>
      <c r="C117" t="s">
        <v>33</v>
      </c>
      <c r="D117">
        <v>22.5</v>
      </c>
      <c r="E117">
        <v>224</v>
      </c>
      <c r="F117">
        <v>0</v>
      </c>
      <c r="G117">
        <v>224</v>
      </c>
      <c r="H117">
        <v>5040</v>
      </c>
      <c r="I117" t="s">
        <v>2274</v>
      </c>
      <c r="J117">
        <v>3</v>
      </c>
    </row>
    <row r="118" spans="1:10" x14ac:dyDescent="0.25">
      <c r="A118" t="s">
        <v>2259</v>
      </c>
      <c r="B118" s="23" t="s">
        <v>1723</v>
      </c>
      <c r="C118" t="s">
        <v>327</v>
      </c>
      <c r="D118">
        <v>92</v>
      </c>
      <c r="E118">
        <v>1</v>
      </c>
      <c r="F118">
        <v>0</v>
      </c>
      <c r="G118">
        <v>1</v>
      </c>
      <c r="H118">
        <v>92</v>
      </c>
      <c r="I118" t="s">
        <v>2275</v>
      </c>
      <c r="J118">
        <v>3</v>
      </c>
    </row>
    <row r="119" spans="1:10" x14ac:dyDescent="0.25">
      <c r="A119" t="s">
        <v>2259</v>
      </c>
      <c r="B119" s="23" t="s">
        <v>1724</v>
      </c>
      <c r="C119" t="s">
        <v>327</v>
      </c>
      <c r="D119">
        <v>92</v>
      </c>
      <c r="E119">
        <v>1</v>
      </c>
      <c r="F119">
        <v>0</v>
      </c>
      <c r="G119">
        <v>1</v>
      </c>
      <c r="H119">
        <v>92</v>
      </c>
      <c r="I119" t="s">
        <v>2275</v>
      </c>
      <c r="J119">
        <v>4</v>
      </c>
    </row>
    <row r="120" spans="1:10" x14ac:dyDescent="0.25">
      <c r="A120" t="s">
        <v>2259</v>
      </c>
      <c r="B120" s="23" t="s">
        <v>1725</v>
      </c>
      <c r="C120" t="s">
        <v>327</v>
      </c>
      <c r="D120">
        <v>92</v>
      </c>
      <c r="E120">
        <v>1</v>
      </c>
      <c r="F120">
        <v>0</v>
      </c>
      <c r="G120">
        <v>1</v>
      </c>
      <c r="H120">
        <v>92</v>
      </c>
      <c r="I120" t="s">
        <v>2275</v>
      </c>
      <c r="J120">
        <v>5</v>
      </c>
    </row>
    <row r="121" spans="1:10" x14ac:dyDescent="0.25">
      <c r="A121" t="s">
        <v>2259</v>
      </c>
      <c r="B121" s="23" t="s">
        <v>1727</v>
      </c>
      <c r="C121" t="s">
        <v>327</v>
      </c>
      <c r="D121">
        <v>146</v>
      </c>
      <c r="E121">
        <v>1</v>
      </c>
      <c r="F121">
        <v>0</v>
      </c>
      <c r="G121">
        <v>1</v>
      </c>
      <c r="H121">
        <v>146</v>
      </c>
      <c r="I121" t="s">
        <v>2275</v>
      </c>
      <c r="J121">
        <v>6</v>
      </c>
    </row>
    <row r="122" spans="1:10" x14ac:dyDescent="0.25">
      <c r="A122" t="s">
        <v>2259</v>
      </c>
      <c r="B122" s="23" t="s">
        <v>1728</v>
      </c>
      <c r="C122" t="s">
        <v>327</v>
      </c>
      <c r="D122">
        <v>146</v>
      </c>
      <c r="E122">
        <v>1</v>
      </c>
      <c r="F122">
        <v>0</v>
      </c>
      <c r="G122">
        <v>1</v>
      </c>
      <c r="H122">
        <v>146</v>
      </c>
      <c r="I122" t="s">
        <v>2275</v>
      </c>
      <c r="J122">
        <v>7</v>
      </c>
    </row>
    <row r="123" spans="1:10" x14ac:dyDescent="0.25">
      <c r="A123" t="s">
        <v>2259</v>
      </c>
      <c r="B123" s="23" t="s">
        <v>1729</v>
      </c>
      <c r="C123" t="s">
        <v>327</v>
      </c>
      <c r="D123">
        <v>146</v>
      </c>
      <c r="E123">
        <v>1</v>
      </c>
      <c r="F123">
        <v>0</v>
      </c>
      <c r="G123">
        <v>1</v>
      </c>
      <c r="H123">
        <v>146</v>
      </c>
      <c r="I123" t="s">
        <v>2275</v>
      </c>
      <c r="J123">
        <v>8</v>
      </c>
    </row>
    <row r="124" spans="1:10" x14ac:dyDescent="0.25">
      <c r="A124" t="s">
        <v>2259</v>
      </c>
      <c r="B124" s="23" t="s">
        <v>1732</v>
      </c>
      <c r="C124" t="s">
        <v>1733</v>
      </c>
      <c r="D124">
        <v>10.5</v>
      </c>
      <c r="E124">
        <v>15</v>
      </c>
      <c r="F124">
        <v>0</v>
      </c>
      <c r="G124">
        <v>15</v>
      </c>
      <c r="H124">
        <v>157.5</v>
      </c>
      <c r="I124" t="s">
        <v>2275</v>
      </c>
      <c r="J124">
        <v>9</v>
      </c>
    </row>
    <row r="125" spans="1:10" x14ac:dyDescent="0.25">
      <c r="A125" t="s">
        <v>2259</v>
      </c>
      <c r="B125" s="23" t="s">
        <v>1736</v>
      </c>
      <c r="C125" t="s">
        <v>723</v>
      </c>
      <c r="D125">
        <v>6.8</v>
      </c>
      <c r="E125">
        <v>15</v>
      </c>
      <c r="F125">
        <v>0</v>
      </c>
      <c r="G125">
        <v>15</v>
      </c>
      <c r="H125">
        <v>102</v>
      </c>
      <c r="I125" t="s">
        <v>2275</v>
      </c>
      <c r="J125">
        <v>10</v>
      </c>
    </row>
    <row r="126" spans="1:10" x14ac:dyDescent="0.25">
      <c r="A126" t="s">
        <v>2259</v>
      </c>
      <c r="B126" s="23" t="s">
        <v>1738</v>
      </c>
      <c r="C126" t="s">
        <v>723</v>
      </c>
      <c r="D126">
        <v>10.199999999999999</v>
      </c>
      <c r="E126">
        <v>12</v>
      </c>
      <c r="F126">
        <v>0</v>
      </c>
      <c r="G126">
        <v>12</v>
      </c>
      <c r="H126">
        <v>122.39999999999999</v>
      </c>
      <c r="I126" t="s">
        <v>2275</v>
      </c>
      <c r="J126">
        <v>11</v>
      </c>
    </row>
    <row r="127" spans="1:10" x14ac:dyDescent="0.25">
      <c r="A127" t="s">
        <v>2259</v>
      </c>
      <c r="B127" s="23" t="s">
        <v>1740</v>
      </c>
      <c r="C127" t="s">
        <v>959</v>
      </c>
      <c r="D127">
        <v>1.36</v>
      </c>
      <c r="E127">
        <v>2</v>
      </c>
      <c r="F127">
        <v>0</v>
      </c>
      <c r="G127">
        <v>2</v>
      </c>
      <c r="H127">
        <v>2.72</v>
      </c>
      <c r="I127" t="s">
        <v>2275</v>
      </c>
      <c r="J127">
        <v>12</v>
      </c>
    </row>
    <row r="128" spans="1:10" x14ac:dyDescent="0.25">
      <c r="A128" t="s">
        <v>2259</v>
      </c>
      <c r="B128" s="23" t="s">
        <v>1743</v>
      </c>
      <c r="C128" t="s">
        <v>34</v>
      </c>
      <c r="D128">
        <v>0.35</v>
      </c>
      <c r="E128">
        <v>15</v>
      </c>
      <c r="F128">
        <v>0</v>
      </c>
      <c r="G128">
        <v>15</v>
      </c>
      <c r="H128">
        <v>5.25</v>
      </c>
      <c r="I128" t="s">
        <v>2275</v>
      </c>
      <c r="J128">
        <v>13</v>
      </c>
    </row>
    <row r="129" spans="1:10" x14ac:dyDescent="0.25">
      <c r="A129" t="s">
        <v>2259</v>
      </c>
      <c r="B129" s="23" t="s">
        <v>1745</v>
      </c>
      <c r="C129" t="s">
        <v>34</v>
      </c>
      <c r="D129">
        <v>8.5</v>
      </c>
      <c r="E129">
        <v>10</v>
      </c>
      <c r="F129">
        <v>0</v>
      </c>
      <c r="G129">
        <v>10</v>
      </c>
      <c r="H129">
        <v>85</v>
      </c>
      <c r="I129" t="s">
        <v>2275</v>
      </c>
      <c r="J129">
        <v>14</v>
      </c>
    </row>
    <row r="130" spans="1:10" x14ac:dyDescent="0.25">
      <c r="A130" t="s">
        <v>2259</v>
      </c>
      <c r="B130" s="23" t="s">
        <v>1747</v>
      </c>
      <c r="C130" t="s">
        <v>34</v>
      </c>
      <c r="D130">
        <v>5.9</v>
      </c>
      <c r="E130">
        <v>5</v>
      </c>
      <c r="F130">
        <v>0</v>
      </c>
      <c r="G130">
        <v>5</v>
      </c>
      <c r="H130">
        <v>29.5</v>
      </c>
      <c r="I130" t="s">
        <v>2275</v>
      </c>
      <c r="J130">
        <v>15</v>
      </c>
    </row>
    <row r="131" spans="1:10" x14ac:dyDescent="0.25">
      <c r="A131" t="s">
        <v>2259</v>
      </c>
      <c r="B131" s="23" t="s">
        <v>61</v>
      </c>
      <c r="C131" t="s">
        <v>8</v>
      </c>
      <c r="D131">
        <v>9.9</v>
      </c>
      <c r="E131">
        <v>10</v>
      </c>
      <c r="F131">
        <v>0</v>
      </c>
      <c r="G131">
        <v>10</v>
      </c>
      <c r="H131">
        <v>99</v>
      </c>
      <c r="I131" t="s">
        <v>2275</v>
      </c>
      <c r="J131">
        <v>16</v>
      </c>
    </row>
    <row r="132" spans="1:10" x14ac:dyDescent="0.25">
      <c r="A132" t="s">
        <v>2259</v>
      </c>
      <c r="B132" s="23" t="s">
        <v>1750</v>
      </c>
      <c r="C132" t="s">
        <v>10</v>
      </c>
      <c r="D132">
        <v>13</v>
      </c>
      <c r="E132">
        <v>2</v>
      </c>
      <c r="F132">
        <v>0</v>
      </c>
      <c r="G132">
        <v>2</v>
      </c>
      <c r="H132">
        <v>26</v>
      </c>
      <c r="I132" t="s">
        <v>2275</v>
      </c>
      <c r="J132">
        <v>17</v>
      </c>
    </row>
    <row r="133" spans="1:10" x14ac:dyDescent="0.25">
      <c r="A133" t="s">
        <v>2259</v>
      </c>
      <c r="B133" s="23" t="s">
        <v>1753</v>
      </c>
      <c r="C133" t="s">
        <v>34</v>
      </c>
      <c r="D133">
        <v>185</v>
      </c>
      <c r="E133">
        <v>1</v>
      </c>
      <c r="F133">
        <v>0</v>
      </c>
      <c r="G133">
        <v>1</v>
      </c>
      <c r="H133">
        <v>185</v>
      </c>
      <c r="I133" t="s">
        <v>2275</v>
      </c>
      <c r="J133">
        <v>18</v>
      </c>
    </row>
    <row r="134" spans="1:10" x14ac:dyDescent="0.25">
      <c r="A134" t="s">
        <v>2259</v>
      </c>
      <c r="B134" s="23" t="s">
        <v>1755</v>
      </c>
      <c r="C134" t="s">
        <v>8</v>
      </c>
      <c r="D134">
        <v>4.5999999999999996</v>
      </c>
      <c r="E134">
        <v>4</v>
      </c>
      <c r="F134">
        <v>0</v>
      </c>
      <c r="G134">
        <v>4</v>
      </c>
      <c r="H134">
        <v>18.399999999999999</v>
      </c>
      <c r="I134" t="s">
        <v>2275</v>
      </c>
      <c r="J134">
        <v>19</v>
      </c>
    </row>
    <row r="135" spans="1:10" x14ac:dyDescent="0.25">
      <c r="A135" t="s">
        <v>2259</v>
      </c>
      <c r="B135" s="23" t="s">
        <v>1757</v>
      </c>
      <c r="C135" t="s">
        <v>8</v>
      </c>
      <c r="D135">
        <v>59</v>
      </c>
      <c r="E135">
        <v>1</v>
      </c>
      <c r="F135">
        <v>0</v>
      </c>
      <c r="G135">
        <v>1</v>
      </c>
      <c r="H135">
        <v>59</v>
      </c>
      <c r="I135" t="s">
        <v>2275</v>
      </c>
      <c r="J135">
        <v>20</v>
      </c>
    </row>
    <row r="136" spans="1:10" x14ac:dyDescent="0.25">
      <c r="A136" t="s">
        <v>2259</v>
      </c>
      <c r="B136" s="23" t="s">
        <v>1759</v>
      </c>
      <c r="C136" t="s">
        <v>8</v>
      </c>
      <c r="D136">
        <v>165</v>
      </c>
      <c r="E136">
        <v>1</v>
      </c>
      <c r="F136">
        <v>0</v>
      </c>
      <c r="G136">
        <v>1</v>
      </c>
      <c r="H136">
        <v>165</v>
      </c>
      <c r="I136" t="s">
        <v>2275</v>
      </c>
      <c r="J136">
        <v>21</v>
      </c>
    </row>
    <row r="137" spans="1:10" x14ac:dyDescent="0.25">
      <c r="A137" t="s">
        <v>2259</v>
      </c>
      <c r="B137" s="23" t="s">
        <v>1761</v>
      </c>
      <c r="C137" t="s">
        <v>723</v>
      </c>
      <c r="D137">
        <v>48</v>
      </c>
      <c r="E137">
        <v>1</v>
      </c>
      <c r="F137">
        <v>0</v>
      </c>
      <c r="G137">
        <v>1</v>
      </c>
      <c r="H137">
        <v>48</v>
      </c>
      <c r="I137" t="s">
        <v>2275</v>
      </c>
      <c r="J137">
        <v>22</v>
      </c>
    </row>
    <row r="138" spans="1:10" x14ac:dyDescent="0.25">
      <c r="A138" t="s">
        <v>2259</v>
      </c>
      <c r="B138" s="23" t="s">
        <v>1763</v>
      </c>
      <c r="C138" t="s">
        <v>8</v>
      </c>
      <c r="D138">
        <v>6.5</v>
      </c>
      <c r="E138">
        <v>1</v>
      </c>
      <c r="F138">
        <v>0</v>
      </c>
      <c r="G138">
        <v>1</v>
      </c>
      <c r="H138">
        <v>6.5</v>
      </c>
      <c r="I138" t="s">
        <v>2275</v>
      </c>
      <c r="J138">
        <v>23</v>
      </c>
    </row>
    <row r="139" spans="1:10" x14ac:dyDescent="0.25">
      <c r="A139" t="s">
        <v>2261</v>
      </c>
      <c r="B139" s="23" t="s">
        <v>322</v>
      </c>
      <c r="C139" t="s">
        <v>33</v>
      </c>
      <c r="D139">
        <v>22.5</v>
      </c>
      <c r="E139">
        <v>38</v>
      </c>
      <c r="F139">
        <v>0</v>
      </c>
      <c r="G139">
        <v>38</v>
      </c>
      <c r="H139">
        <v>855</v>
      </c>
      <c r="I139" t="s">
        <v>2275</v>
      </c>
      <c r="J139">
        <v>3</v>
      </c>
    </row>
    <row r="140" spans="1:10" x14ac:dyDescent="0.25">
      <c r="A140" t="s">
        <v>2261</v>
      </c>
      <c r="B140" s="23" t="s">
        <v>322</v>
      </c>
      <c r="C140" t="s">
        <v>33</v>
      </c>
      <c r="D140">
        <v>22.5</v>
      </c>
      <c r="E140">
        <v>17</v>
      </c>
      <c r="F140">
        <v>0</v>
      </c>
      <c r="G140">
        <v>17</v>
      </c>
      <c r="H140">
        <v>382.5</v>
      </c>
      <c r="I140" t="s">
        <v>2275</v>
      </c>
      <c r="J140">
        <v>4</v>
      </c>
    </row>
    <row r="141" spans="1:10" x14ac:dyDescent="0.25">
      <c r="A141" t="s">
        <v>2261</v>
      </c>
      <c r="B141" s="23" t="s">
        <v>322</v>
      </c>
      <c r="C141" t="s">
        <v>33</v>
      </c>
      <c r="D141">
        <v>22.5</v>
      </c>
      <c r="E141">
        <v>9</v>
      </c>
      <c r="F141">
        <v>0</v>
      </c>
      <c r="G141">
        <v>9</v>
      </c>
      <c r="H141">
        <v>202.5</v>
      </c>
      <c r="I141" t="s">
        <v>2275</v>
      </c>
      <c r="J141">
        <v>5</v>
      </c>
    </row>
    <row r="142" spans="1:10" x14ac:dyDescent="0.25">
      <c r="A142" t="s">
        <v>2259</v>
      </c>
      <c r="B142" s="23" t="s">
        <v>2271</v>
      </c>
      <c r="C142" t="s">
        <v>715</v>
      </c>
      <c r="D142">
        <v>160</v>
      </c>
      <c r="E142">
        <v>1</v>
      </c>
      <c r="F142">
        <v>0.05</v>
      </c>
      <c r="G142">
        <v>1.05</v>
      </c>
      <c r="H142">
        <v>168</v>
      </c>
      <c r="I142" t="s">
        <v>2276</v>
      </c>
      <c r="J142">
        <v>3</v>
      </c>
    </row>
    <row r="143" spans="1:10" x14ac:dyDescent="0.25">
      <c r="A143" t="s">
        <v>2259</v>
      </c>
      <c r="B143" s="23" t="s">
        <v>1865</v>
      </c>
      <c r="C143" t="s">
        <v>715</v>
      </c>
      <c r="D143">
        <v>80</v>
      </c>
      <c r="E143">
        <v>2</v>
      </c>
      <c r="F143">
        <v>0.05</v>
      </c>
      <c r="G143">
        <v>2.1</v>
      </c>
      <c r="H143">
        <v>168</v>
      </c>
      <c r="I143" t="s">
        <v>2276</v>
      </c>
      <c r="J143">
        <v>4</v>
      </c>
    </row>
    <row r="144" spans="1:10" x14ac:dyDescent="0.25">
      <c r="A144" t="s">
        <v>2259</v>
      </c>
      <c r="B144" s="23" t="s">
        <v>1290</v>
      </c>
      <c r="C144" t="s">
        <v>32</v>
      </c>
      <c r="D144">
        <v>94</v>
      </c>
      <c r="E144">
        <v>1</v>
      </c>
      <c r="F144">
        <v>0.05</v>
      </c>
      <c r="G144">
        <v>1.05</v>
      </c>
      <c r="H144">
        <v>98.7</v>
      </c>
      <c r="I144" t="s">
        <v>2276</v>
      </c>
      <c r="J144">
        <v>5</v>
      </c>
    </row>
    <row r="145" spans="1:10" x14ac:dyDescent="0.25">
      <c r="A145" t="s">
        <v>2259</v>
      </c>
      <c r="B145" s="23" t="s">
        <v>1291</v>
      </c>
      <c r="C145" t="s">
        <v>8</v>
      </c>
      <c r="D145">
        <v>0.3</v>
      </c>
      <c r="E145">
        <v>4</v>
      </c>
      <c r="F145">
        <v>0.1</v>
      </c>
      <c r="G145">
        <v>4.4000000000000004</v>
      </c>
      <c r="H145">
        <v>1.32</v>
      </c>
      <c r="I145" t="s">
        <v>2276</v>
      </c>
      <c r="J145">
        <v>6</v>
      </c>
    </row>
    <row r="146" spans="1:10" x14ac:dyDescent="0.25">
      <c r="A146" t="s">
        <v>2259</v>
      </c>
      <c r="B146" s="23" t="s">
        <v>1292</v>
      </c>
      <c r="C146" t="s">
        <v>8</v>
      </c>
      <c r="D146">
        <v>0.3</v>
      </c>
      <c r="E146">
        <v>4</v>
      </c>
      <c r="F146">
        <v>0.1</v>
      </c>
      <c r="G146">
        <v>4.4000000000000004</v>
      </c>
      <c r="H146">
        <v>1.32</v>
      </c>
      <c r="I146" t="s">
        <v>2276</v>
      </c>
      <c r="J146">
        <v>7</v>
      </c>
    </row>
    <row r="147" spans="1:10" x14ac:dyDescent="0.25">
      <c r="A147" t="s">
        <v>2259</v>
      </c>
      <c r="B147" s="23" t="s">
        <v>1293</v>
      </c>
      <c r="C147" t="s">
        <v>8</v>
      </c>
      <c r="D147">
        <v>0.3</v>
      </c>
      <c r="E147">
        <v>4</v>
      </c>
      <c r="F147">
        <v>0.1</v>
      </c>
      <c r="G147">
        <v>4.4000000000000004</v>
      </c>
      <c r="H147">
        <v>1.32</v>
      </c>
      <c r="I147" t="s">
        <v>2276</v>
      </c>
      <c r="J147">
        <v>8</v>
      </c>
    </row>
    <row r="148" spans="1:10" x14ac:dyDescent="0.25">
      <c r="A148" t="s">
        <v>2259</v>
      </c>
      <c r="B148" s="23" t="s">
        <v>1873</v>
      </c>
      <c r="C148" t="s">
        <v>8</v>
      </c>
      <c r="D148">
        <v>5.5</v>
      </c>
      <c r="E148">
        <v>4</v>
      </c>
      <c r="F148">
        <v>0.05</v>
      </c>
      <c r="G148">
        <v>4.2</v>
      </c>
      <c r="H148">
        <v>23.1</v>
      </c>
      <c r="I148" t="s">
        <v>2276</v>
      </c>
      <c r="J148">
        <v>9</v>
      </c>
    </row>
    <row r="149" spans="1:10" x14ac:dyDescent="0.25">
      <c r="A149" t="s">
        <v>2259</v>
      </c>
      <c r="B149" s="23" t="s">
        <v>2277</v>
      </c>
      <c r="C149" t="s">
        <v>8</v>
      </c>
      <c r="D149">
        <v>650</v>
      </c>
      <c r="E149">
        <v>1</v>
      </c>
      <c r="F149">
        <v>0</v>
      </c>
      <c r="G149">
        <v>1</v>
      </c>
      <c r="H149">
        <v>650</v>
      </c>
      <c r="I149" t="s">
        <v>2276</v>
      </c>
      <c r="J149">
        <v>10</v>
      </c>
    </row>
    <row r="150" spans="1:10" x14ac:dyDescent="0.25">
      <c r="A150" t="s">
        <v>2259</v>
      </c>
      <c r="B150" s="23" t="s">
        <v>1878</v>
      </c>
      <c r="C150" t="s">
        <v>62</v>
      </c>
      <c r="D150">
        <v>35</v>
      </c>
      <c r="E150">
        <v>1</v>
      </c>
      <c r="F150">
        <v>0</v>
      </c>
      <c r="G150">
        <v>1</v>
      </c>
      <c r="H150">
        <v>35</v>
      </c>
      <c r="I150" t="s">
        <v>2276</v>
      </c>
      <c r="J150">
        <v>11</v>
      </c>
    </row>
    <row r="151" spans="1:10" x14ac:dyDescent="0.25">
      <c r="A151" t="s">
        <v>2259</v>
      </c>
      <c r="B151" s="23" t="s">
        <v>1880</v>
      </c>
      <c r="C151" t="s">
        <v>62</v>
      </c>
      <c r="D151">
        <v>60</v>
      </c>
      <c r="E151">
        <v>1</v>
      </c>
      <c r="F151">
        <v>0</v>
      </c>
      <c r="G151">
        <v>1</v>
      </c>
      <c r="H151">
        <v>60</v>
      </c>
      <c r="I151" t="s">
        <v>2276</v>
      </c>
      <c r="J151">
        <v>12</v>
      </c>
    </row>
    <row r="152" spans="1:10" x14ac:dyDescent="0.25">
      <c r="A152" t="s">
        <v>2259</v>
      </c>
      <c r="B152" s="23" t="s">
        <v>63</v>
      </c>
      <c r="C152" t="s">
        <v>62</v>
      </c>
      <c r="D152">
        <v>15</v>
      </c>
      <c r="E152">
        <v>1</v>
      </c>
      <c r="F152">
        <v>0</v>
      </c>
      <c r="G152">
        <v>1</v>
      </c>
      <c r="H152">
        <v>15</v>
      </c>
      <c r="I152" t="s">
        <v>2276</v>
      </c>
      <c r="J152">
        <v>13</v>
      </c>
    </row>
    <row r="153" spans="1:10" x14ac:dyDescent="0.25">
      <c r="A153" t="s">
        <v>2259</v>
      </c>
      <c r="B153" s="23" t="s">
        <v>1883</v>
      </c>
      <c r="C153" t="s">
        <v>8</v>
      </c>
      <c r="D153">
        <v>6</v>
      </c>
      <c r="E153">
        <v>2</v>
      </c>
      <c r="F153">
        <v>0</v>
      </c>
      <c r="G153">
        <v>2</v>
      </c>
      <c r="H153">
        <v>12</v>
      </c>
      <c r="I153" t="s">
        <v>2276</v>
      </c>
      <c r="J153">
        <v>14</v>
      </c>
    </row>
    <row r="154" spans="1:10" x14ac:dyDescent="0.25">
      <c r="A154" t="s">
        <v>2261</v>
      </c>
      <c r="B154" s="23" t="s">
        <v>322</v>
      </c>
      <c r="C154" t="s">
        <v>33</v>
      </c>
      <c r="D154">
        <v>22.5</v>
      </c>
      <c r="E154">
        <v>21</v>
      </c>
      <c r="F154">
        <v>0</v>
      </c>
      <c r="G154">
        <v>21</v>
      </c>
      <c r="H154">
        <v>472.5</v>
      </c>
      <c r="I154" t="s">
        <v>2276</v>
      </c>
      <c r="J154">
        <v>3</v>
      </c>
    </row>
    <row r="155" spans="1:10" x14ac:dyDescent="0.25">
      <c r="A155" t="s">
        <v>2261</v>
      </c>
      <c r="B155" s="23" t="s">
        <v>322</v>
      </c>
      <c r="C155" t="s">
        <v>33</v>
      </c>
      <c r="D155">
        <v>22.5</v>
      </c>
      <c r="E155">
        <v>17</v>
      </c>
      <c r="F155">
        <v>0</v>
      </c>
      <c r="G155">
        <v>17</v>
      </c>
      <c r="H155">
        <v>382.5</v>
      </c>
      <c r="I155" t="s">
        <v>2276</v>
      </c>
      <c r="J155">
        <v>4</v>
      </c>
    </row>
    <row r="156" spans="1:10" x14ac:dyDescent="0.25">
      <c r="A156" t="s">
        <v>2261</v>
      </c>
      <c r="B156" s="23" t="s">
        <v>322</v>
      </c>
      <c r="C156" t="s">
        <v>33</v>
      </c>
      <c r="D156">
        <v>22.5</v>
      </c>
      <c r="E156">
        <v>9</v>
      </c>
      <c r="F156">
        <v>0</v>
      </c>
      <c r="G156">
        <v>9</v>
      </c>
      <c r="H156">
        <v>202.5</v>
      </c>
      <c r="I156" t="s">
        <v>2276</v>
      </c>
      <c r="J156">
        <v>5</v>
      </c>
    </row>
    <row r="157" spans="1:10" x14ac:dyDescent="0.25">
      <c r="A157" t="s">
        <v>2259</v>
      </c>
      <c r="B157" s="23" t="s">
        <v>552</v>
      </c>
      <c r="C157" t="s">
        <v>11</v>
      </c>
      <c r="D157">
        <v>830</v>
      </c>
      <c r="E157">
        <v>0.26</v>
      </c>
      <c r="F157">
        <v>0</v>
      </c>
      <c r="G157">
        <v>0.26</v>
      </c>
      <c r="H157">
        <v>215.8</v>
      </c>
      <c r="I157" t="s">
        <v>2278</v>
      </c>
      <c r="J157">
        <v>3</v>
      </c>
    </row>
    <row r="158" spans="1:10" x14ac:dyDescent="0.25">
      <c r="A158" t="s">
        <v>2259</v>
      </c>
      <c r="B158" s="23" t="s">
        <v>553</v>
      </c>
      <c r="C158" t="s">
        <v>11</v>
      </c>
      <c r="D158">
        <v>950</v>
      </c>
      <c r="E158">
        <v>0.05</v>
      </c>
      <c r="F158">
        <v>0</v>
      </c>
      <c r="G158">
        <v>0.05</v>
      </c>
      <c r="H158">
        <v>47.5</v>
      </c>
      <c r="I158" t="s">
        <v>2278</v>
      </c>
      <c r="J158">
        <v>4</v>
      </c>
    </row>
    <row r="159" spans="1:10" x14ac:dyDescent="0.25">
      <c r="A159" t="s">
        <v>2259</v>
      </c>
      <c r="B159" s="23" t="s">
        <v>711</v>
      </c>
      <c r="C159" t="s">
        <v>327</v>
      </c>
      <c r="D159">
        <v>180</v>
      </c>
      <c r="E159">
        <v>1</v>
      </c>
      <c r="F159">
        <v>0</v>
      </c>
      <c r="G159">
        <v>1</v>
      </c>
      <c r="H159">
        <v>180</v>
      </c>
      <c r="I159" t="s">
        <v>2278</v>
      </c>
      <c r="J159">
        <v>5</v>
      </c>
    </row>
    <row r="160" spans="1:10" x14ac:dyDescent="0.25">
      <c r="A160" t="s">
        <v>2259</v>
      </c>
      <c r="B160" s="23" t="s">
        <v>554</v>
      </c>
      <c r="C160" t="s">
        <v>8</v>
      </c>
      <c r="D160">
        <v>215</v>
      </c>
      <c r="E160">
        <v>4.41</v>
      </c>
      <c r="F160">
        <v>0</v>
      </c>
      <c r="G160">
        <v>4.41</v>
      </c>
      <c r="H160">
        <v>948.15</v>
      </c>
      <c r="I160" t="s">
        <v>2278</v>
      </c>
      <c r="J160">
        <v>6</v>
      </c>
    </row>
    <row r="161" spans="1:10" x14ac:dyDescent="0.25">
      <c r="A161" t="s">
        <v>2259</v>
      </c>
      <c r="B161" s="23" t="s">
        <v>2076</v>
      </c>
      <c r="C161" t="s">
        <v>9</v>
      </c>
      <c r="D161">
        <v>24</v>
      </c>
      <c r="E161">
        <v>33</v>
      </c>
      <c r="F161">
        <v>0</v>
      </c>
      <c r="G161">
        <v>33</v>
      </c>
      <c r="H161">
        <v>792</v>
      </c>
      <c r="I161" t="s">
        <v>2278</v>
      </c>
      <c r="J161">
        <v>7</v>
      </c>
    </row>
    <row r="162" spans="1:10" x14ac:dyDescent="0.25">
      <c r="A162" t="s">
        <v>2259</v>
      </c>
      <c r="B162" s="23" t="s">
        <v>733</v>
      </c>
      <c r="C162" t="s">
        <v>11</v>
      </c>
      <c r="D162">
        <v>850</v>
      </c>
      <c r="E162">
        <v>0.23</v>
      </c>
      <c r="F162">
        <v>0</v>
      </c>
      <c r="G162">
        <v>0.23</v>
      </c>
      <c r="H162">
        <v>195.5</v>
      </c>
      <c r="I162" t="s">
        <v>2278</v>
      </c>
      <c r="J162">
        <v>8</v>
      </c>
    </row>
    <row r="163" spans="1:10" x14ac:dyDescent="0.25">
      <c r="A163" t="s">
        <v>2259</v>
      </c>
      <c r="B163" s="23" t="s">
        <v>734</v>
      </c>
      <c r="C163" t="s">
        <v>11</v>
      </c>
      <c r="D163">
        <v>830</v>
      </c>
      <c r="E163">
        <v>0.46</v>
      </c>
      <c r="F163">
        <v>0</v>
      </c>
      <c r="G163">
        <v>0.46</v>
      </c>
      <c r="H163">
        <v>381.8</v>
      </c>
      <c r="I163" t="s">
        <v>2278</v>
      </c>
      <c r="J163">
        <v>9</v>
      </c>
    </row>
    <row r="164" spans="1:10" x14ac:dyDescent="0.25">
      <c r="A164" t="s">
        <v>2259</v>
      </c>
      <c r="B164" s="23" t="s">
        <v>552</v>
      </c>
      <c r="C164" t="s">
        <v>11</v>
      </c>
      <c r="D164">
        <v>830</v>
      </c>
      <c r="E164">
        <v>0.08</v>
      </c>
      <c r="F164">
        <v>0</v>
      </c>
      <c r="G164">
        <v>0.08</v>
      </c>
      <c r="H164">
        <v>66.400000000000006</v>
      </c>
      <c r="I164" t="s">
        <v>2278</v>
      </c>
      <c r="J164">
        <v>10</v>
      </c>
    </row>
    <row r="165" spans="1:10" x14ac:dyDescent="0.25">
      <c r="A165" t="s">
        <v>2259</v>
      </c>
      <c r="B165" s="23" t="s">
        <v>553</v>
      </c>
      <c r="C165" t="s">
        <v>11</v>
      </c>
      <c r="D165">
        <v>950</v>
      </c>
      <c r="E165">
        <v>0.02</v>
      </c>
      <c r="F165">
        <v>0</v>
      </c>
      <c r="G165">
        <v>0.02</v>
      </c>
      <c r="H165">
        <v>19</v>
      </c>
      <c r="I165" t="s">
        <v>2278</v>
      </c>
      <c r="J165">
        <v>11</v>
      </c>
    </row>
    <row r="166" spans="1:10" x14ac:dyDescent="0.25">
      <c r="A166" t="s">
        <v>2259</v>
      </c>
      <c r="B166" s="23" t="s">
        <v>554</v>
      </c>
      <c r="C166" t="s">
        <v>8</v>
      </c>
      <c r="D166">
        <v>215</v>
      </c>
      <c r="E166">
        <v>1.33</v>
      </c>
      <c r="F166">
        <v>0</v>
      </c>
      <c r="G166">
        <v>1.33</v>
      </c>
      <c r="H166">
        <v>285.95</v>
      </c>
      <c r="I166" t="s">
        <v>2278</v>
      </c>
      <c r="J166">
        <v>12</v>
      </c>
    </row>
    <row r="167" spans="1:10" x14ac:dyDescent="0.25">
      <c r="A167" t="s">
        <v>2259</v>
      </c>
      <c r="B167" s="23" t="s">
        <v>2076</v>
      </c>
      <c r="C167" t="s">
        <v>9</v>
      </c>
      <c r="D167">
        <v>24</v>
      </c>
      <c r="E167">
        <v>10</v>
      </c>
      <c r="F167">
        <v>0</v>
      </c>
      <c r="G167">
        <v>10</v>
      </c>
      <c r="H167">
        <v>240</v>
      </c>
      <c r="I167" t="s">
        <v>2278</v>
      </c>
      <c r="J167">
        <v>13</v>
      </c>
    </row>
    <row r="168" spans="1:10" x14ac:dyDescent="0.25">
      <c r="A168" t="s">
        <v>2259</v>
      </c>
      <c r="B168" s="23" t="s">
        <v>733</v>
      </c>
      <c r="C168" t="s">
        <v>11</v>
      </c>
      <c r="D168">
        <v>850</v>
      </c>
      <c r="E168">
        <v>7.0000000000000007E-2</v>
      </c>
      <c r="F168">
        <v>0</v>
      </c>
      <c r="G168">
        <v>7.0000000000000007E-2</v>
      </c>
      <c r="H168">
        <v>59.500000000000007</v>
      </c>
      <c r="I168" t="s">
        <v>2278</v>
      </c>
      <c r="J168">
        <v>14</v>
      </c>
    </row>
    <row r="169" spans="1:10" x14ac:dyDescent="0.25">
      <c r="A169" t="s">
        <v>2259</v>
      </c>
      <c r="B169" s="23" t="s">
        <v>734</v>
      </c>
      <c r="C169" t="s">
        <v>11</v>
      </c>
      <c r="D169">
        <v>830</v>
      </c>
      <c r="E169">
        <v>0.14000000000000001</v>
      </c>
      <c r="F169">
        <v>0</v>
      </c>
      <c r="G169">
        <v>0.14000000000000001</v>
      </c>
      <c r="H169">
        <v>116.20000000000002</v>
      </c>
      <c r="I169" t="s">
        <v>2278</v>
      </c>
      <c r="J169">
        <v>15</v>
      </c>
    </row>
    <row r="170" spans="1:10" x14ac:dyDescent="0.25">
      <c r="A170" t="s">
        <v>2259</v>
      </c>
      <c r="B170" s="23" t="s">
        <v>714</v>
      </c>
      <c r="C170" t="s">
        <v>715</v>
      </c>
      <c r="D170">
        <v>130</v>
      </c>
      <c r="E170">
        <v>1</v>
      </c>
      <c r="F170">
        <v>0</v>
      </c>
      <c r="G170">
        <v>1</v>
      </c>
      <c r="H170">
        <v>130</v>
      </c>
      <c r="I170" t="s">
        <v>2278</v>
      </c>
      <c r="J170">
        <v>16</v>
      </c>
    </row>
    <row r="171" spans="1:10" x14ac:dyDescent="0.25">
      <c r="A171" t="s">
        <v>2261</v>
      </c>
      <c r="B171" s="23" t="s">
        <v>322</v>
      </c>
      <c r="C171" t="s">
        <v>33</v>
      </c>
      <c r="D171">
        <v>22.5</v>
      </c>
      <c r="E171">
        <v>120</v>
      </c>
      <c r="F171">
        <v>0</v>
      </c>
      <c r="G171">
        <v>120</v>
      </c>
      <c r="H171">
        <v>2700</v>
      </c>
      <c r="I171" t="s">
        <v>2278</v>
      </c>
      <c r="J171">
        <v>3</v>
      </c>
    </row>
    <row r="172" spans="1:10" x14ac:dyDescent="0.25">
      <c r="A172" t="s">
        <v>2259</v>
      </c>
      <c r="B172" s="23" t="s">
        <v>2076</v>
      </c>
      <c r="C172" t="s">
        <v>9</v>
      </c>
      <c r="D172">
        <v>24</v>
      </c>
      <c r="E172">
        <v>3</v>
      </c>
      <c r="F172">
        <v>0</v>
      </c>
      <c r="G172">
        <v>3</v>
      </c>
      <c r="H172">
        <v>72</v>
      </c>
      <c r="I172" t="s">
        <v>2279</v>
      </c>
      <c r="J172">
        <v>3</v>
      </c>
    </row>
    <row r="173" spans="1:10" x14ac:dyDescent="0.25">
      <c r="A173" t="s">
        <v>2259</v>
      </c>
      <c r="B173" s="23" t="s">
        <v>733</v>
      </c>
      <c r="C173" t="s">
        <v>11</v>
      </c>
      <c r="D173">
        <v>850</v>
      </c>
      <c r="E173">
        <v>0.02</v>
      </c>
      <c r="F173">
        <v>0</v>
      </c>
      <c r="G173">
        <v>0.02</v>
      </c>
      <c r="H173">
        <v>17</v>
      </c>
      <c r="I173" t="s">
        <v>2279</v>
      </c>
      <c r="J173">
        <v>4</v>
      </c>
    </row>
    <row r="174" spans="1:10" x14ac:dyDescent="0.25">
      <c r="A174" t="s">
        <v>2259</v>
      </c>
      <c r="B174" s="23" t="s">
        <v>734</v>
      </c>
      <c r="C174" t="s">
        <v>11</v>
      </c>
      <c r="D174">
        <v>830</v>
      </c>
      <c r="E174">
        <v>0.04</v>
      </c>
      <c r="F174">
        <v>0</v>
      </c>
      <c r="G174">
        <v>0.04</v>
      </c>
      <c r="H174">
        <v>33.200000000000003</v>
      </c>
      <c r="I174" t="s">
        <v>2279</v>
      </c>
      <c r="J174">
        <v>5</v>
      </c>
    </row>
    <row r="175" spans="1:10" x14ac:dyDescent="0.25">
      <c r="A175" t="s">
        <v>2259</v>
      </c>
      <c r="B175" s="23" t="s">
        <v>2076</v>
      </c>
      <c r="C175" t="s">
        <v>9</v>
      </c>
      <c r="D175">
        <v>24</v>
      </c>
      <c r="E175">
        <v>26</v>
      </c>
      <c r="F175">
        <v>0</v>
      </c>
      <c r="G175">
        <v>26</v>
      </c>
      <c r="H175">
        <v>624</v>
      </c>
      <c r="I175" t="s">
        <v>2279</v>
      </c>
      <c r="J175">
        <v>6</v>
      </c>
    </row>
    <row r="176" spans="1:10" x14ac:dyDescent="0.25">
      <c r="A176" t="s">
        <v>2259</v>
      </c>
      <c r="B176" s="23" t="s">
        <v>733</v>
      </c>
      <c r="C176" t="s">
        <v>11</v>
      </c>
      <c r="D176">
        <v>850</v>
      </c>
      <c r="E176">
        <v>0.18</v>
      </c>
      <c r="F176">
        <v>0</v>
      </c>
      <c r="G176">
        <v>0.18</v>
      </c>
      <c r="H176">
        <v>153</v>
      </c>
      <c r="I176" t="s">
        <v>2279</v>
      </c>
      <c r="J176">
        <v>7</v>
      </c>
    </row>
    <row r="177" spans="1:10" x14ac:dyDescent="0.25">
      <c r="A177" t="s">
        <v>2259</v>
      </c>
      <c r="B177" s="23" t="s">
        <v>734</v>
      </c>
      <c r="C177" t="s">
        <v>11</v>
      </c>
      <c r="D177">
        <v>830</v>
      </c>
      <c r="E177">
        <v>0.36</v>
      </c>
      <c r="F177">
        <v>0</v>
      </c>
      <c r="G177">
        <v>0.36</v>
      </c>
      <c r="H177">
        <v>298.8</v>
      </c>
      <c r="I177" t="s">
        <v>2279</v>
      </c>
      <c r="J177">
        <v>8</v>
      </c>
    </row>
    <row r="178" spans="1:10" x14ac:dyDescent="0.25">
      <c r="A178" t="s">
        <v>2259</v>
      </c>
      <c r="B178" s="23" t="s">
        <v>661</v>
      </c>
      <c r="C178" t="s">
        <v>662</v>
      </c>
      <c r="D178">
        <v>28</v>
      </c>
      <c r="E178">
        <v>30</v>
      </c>
      <c r="F178">
        <v>0</v>
      </c>
      <c r="G178">
        <v>30</v>
      </c>
      <c r="H178">
        <v>840</v>
      </c>
      <c r="I178" t="s">
        <v>2279</v>
      </c>
      <c r="J178">
        <v>9</v>
      </c>
    </row>
    <row r="179" spans="1:10" x14ac:dyDescent="0.25">
      <c r="A179" t="s">
        <v>2259</v>
      </c>
      <c r="B179" s="23" t="s">
        <v>663</v>
      </c>
      <c r="C179" t="s">
        <v>662</v>
      </c>
      <c r="D179">
        <v>15</v>
      </c>
      <c r="E179">
        <v>12</v>
      </c>
      <c r="F179">
        <v>0</v>
      </c>
      <c r="G179">
        <v>12</v>
      </c>
      <c r="H179">
        <v>180</v>
      </c>
      <c r="I179" t="s">
        <v>2279</v>
      </c>
      <c r="J179">
        <v>10</v>
      </c>
    </row>
    <row r="180" spans="1:10" x14ac:dyDescent="0.25">
      <c r="A180" t="s">
        <v>2259</v>
      </c>
      <c r="B180" s="23" t="s">
        <v>665</v>
      </c>
      <c r="C180" t="s">
        <v>666</v>
      </c>
      <c r="D180">
        <v>45</v>
      </c>
      <c r="E180">
        <v>8</v>
      </c>
      <c r="F180">
        <v>0</v>
      </c>
      <c r="G180">
        <v>8</v>
      </c>
      <c r="H180">
        <v>360</v>
      </c>
      <c r="I180" t="s">
        <v>2279</v>
      </c>
      <c r="J180">
        <v>11</v>
      </c>
    </row>
    <row r="181" spans="1:10" x14ac:dyDescent="0.25">
      <c r="A181" t="s">
        <v>2259</v>
      </c>
      <c r="B181" s="23" t="s">
        <v>722</v>
      </c>
      <c r="C181" t="s">
        <v>723</v>
      </c>
      <c r="D181">
        <v>15</v>
      </c>
      <c r="E181">
        <v>12</v>
      </c>
      <c r="F181">
        <v>0</v>
      </c>
      <c r="G181">
        <v>12</v>
      </c>
      <c r="H181">
        <v>180</v>
      </c>
      <c r="I181" t="s">
        <v>2279</v>
      </c>
      <c r="J181">
        <v>12</v>
      </c>
    </row>
    <row r="182" spans="1:10" x14ac:dyDescent="0.25">
      <c r="A182" t="s">
        <v>2259</v>
      </c>
      <c r="B182" s="23" t="s">
        <v>714</v>
      </c>
      <c r="C182" t="s">
        <v>715</v>
      </c>
      <c r="D182">
        <v>130</v>
      </c>
      <c r="E182">
        <v>1</v>
      </c>
      <c r="F182">
        <v>0</v>
      </c>
      <c r="G182">
        <v>1</v>
      </c>
      <c r="H182">
        <v>130</v>
      </c>
      <c r="I182" t="s">
        <v>2279</v>
      </c>
      <c r="J182">
        <v>13</v>
      </c>
    </row>
    <row r="183" spans="1:10" x14ac:dyDescent="0.25">
      <c r="A183" t="s">
        <v>2261</v>
      </c>
      <c r="B183" s="23" t="s">
        <v>322</v>
      </c>
      <c r="C183" t="s">
        <v>33</v>
      </c>
      <c r="D183">
        <v>22.5</v>
      </c>
      <c r="E183">
        <v>112</v>
      </c>
      <c r="F183">
        <v>0</v>
      </c>
      <c r="G183">
        <v>112</v>
      </c>
      <c r="H183">
        <v>2520</v>
      </c>
      <c r="I183" t="s">
        <v>2279</v>
      </c>
      <c r="J183">
        <v>3</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06739-C211-4AD4-BD32-959B13B83F74}">
  <sheetPr codeName="Sheet4"/>
  <dimension ref="A1:S2"/>
  <sheetViews>
    <sheetView zoomScale="75" zoomScaleNormal="75" workbookViewId="0">
      <pane ySplit="39" topLeftCell="A40" activePane="bottomLeft" state="frozen"/>
      <selection pane="bottomLeft" activeCell="I17" sqref="I17"/>
    </sheetView>
  </sheetViews>
  <sheetFormatPr defaultRowHeight="15" x14ac:dyDescent="0.25"/>
  <cols>
    <col min="1" max="1" width="3.7109375" bestFit="1" customWidth="1"/>
    <col min="2" max="2" width="4.5703125" bestFit="1" customWidth="1"/>
    <col min="3" max="3" width="9.28515625" bestFit="1" customWidth="1"/>
    <col min="4" max="4" width="11.7109375" bestFit="1" customWidth="1"/>
    <col min="5" max="5" width="10.42578125" style="12" bestFit="1" customWidth="1"/>
    <col min="6" max="6" width="10.28515625" style="20" bestFit="1" customWidth="1"/>
    <col min="7" max="7" width="8.85546875" style="12" bestFit="1" customWidth="1"/>
    <col min="8" max="8" width="14.42578125" style="12" bestFit="1" customWidth="1"/>
    <col min="9" max="9" width="9.28515625" style="12" bestFit="1" customWidth="1"/>
    <col min="10" max="10" width="12.5703125" style="12" bestFit="1" customWidth="1"/>
    <col min="11" max="11" width="13.7109375" style="12" bestFit="1" customWidth="1"/>
    <col min="12" max="12" width="10.42578125" style="12" bestFit="1" customWidth="1"/>
    <col min="13" max="13" width="9.140625" style="12"/>
    <col min="14" max="14" width="10.28515625" style="20" bestFit="1" customWidth="1"/>
    <col min="15" max="15" width="9.140625" style="20"/>
    <col min="16" max="16" width="6.85546875" style="12" bestFit="1" customWidth="1"/>
    <col min="17" max="17" width="5.7109375" style="12" bestFit="1" customWidth="1"/>
    <col min="18" max="18" width="7" style="12" bestFit="1" customWidth="1"/>
    <col min="19" max="19" width="11.5703125" style="12" bestFit="1" customWidth="1"/>
    <col min="20" max="20" width="44.28515625" bestFit="1" customWidth="1"/>
  </cols>
  <sheetData>
    <row r="1" spans="1:19" x14ac:dyDescent="0.25">
      <c r="A1" t="s">
        <v>49</v>
      </c>
      <c r="B1" t="s">
        <v>38</v>
      </c>
      <c r="C1" t="s">
        <v>30</v>
      </c>
      <c r="D1" t="s">
        <v>3</v>
      </c>
      <c r="E1" s="12" t="s">
        <v>36</v>
      </c>
      <c r="F1" s="12" t="s">
        <v>37</v>
      </c>
      <c r="G1" s="12" t="s">
        <v>47</v>
      </c>
      <c r="H1" s="12" t="s">
        <v>41</v>
      </c>
      <c r="I1" s="12" t="s">
        <v>42</v>
      </c>
      <c r="J1" s="12" t="s">
        <v>23</v>
      </c>
      <c r="K1" s="12" t="s">
        <v>43</v>
      </c>
      <c r="L1" s="12" t="s">
        <v>39</v>
      </c>
      <c r="M1" s="12" t="s">
        <v>2</v>
      </c>
      <c r="N1" s="12" t="s">
        <v>40</v>
      </c>
      <c r="O1" s="12" t="s">
        <v>22</v>
      </c>
      <c r="P1" s="12" t="s">
        <v>48</v>
      </c>
      <c r="Q1" s="12" t="s">
        <v>5</v>
      </c>
      <c r="R1" s="12" t="s">
        <v>50</v>
      </c>
      <c r="S1" s="12" t="s">
        <v>51</v>
      </c>
    </row>
    <row r="2" spans="1:19" x14ac:dyDescent="0.25">
      <c r="A2" s="12"/>
      <c r="B2" s="12"/>
      <c r="C2" s="12"/>
      <c r="D2" s="1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50EC1-1F33-48D9-8A71-655C9F451812}">
  <sheetPr codeName="Sheet3"/>
  <dimension ref="A1:AF10"/>
  <sheetViews>
    <sheetView zoomScale="75" zoomScaleNormal="75" workbookViewId="0">
      <selection activeCell="B13" sqref="B13"/>
    </sheetView>
  </sheetViews>
  <sheetFormatPr defaultRowHeight="15" x14ac:dyDescent="0.25"/>
  <cols>
    <col min="1" max="1" width="14.140625" bestFit="1" customWidth="1"/>
    <col min="2" max="2" width="75.7109375" customWidth="1"/>
    <col min="7" max="8" width="15.7109375" customWidth="1"/>
    <col min="9" max="9" width="75.7109375" customWidth="1"/>
    <col min="10" max="17" width="15.7109375" customWidth="1"/>
  </cols>
  <sheetData>
    <row r="1" spans="1:32" x14ac:dyDescent="0.25">
      <c r="A1" s="18" t="s">
        <v>45</v>
      </c>
      <c r="H1" s="16" t="s">
        <v>54</v>
      </c>
      <c r="I1" s="16" t="s">
        <v>38</v>
      </c>
      <c r="J1" s="16" t="s">
        <v>41</v>
      </c>
      <c r="K1" s="16" t="s">
        <v>42</v>
      </c>
      <c r="L1" s="16" t="s">
        <v>23</v>
      </c>
      <c r="M1" s="16" t="s">
        <v>43</v>
      </c>
      <c r="N1" s="16" t="s">
        <v>5</v>
      </c>
      <c r="O1" s="16" t="s">
        <v>44</v>
      </c>
      <c r="P1" s="16" t="s">
        <v>53</v>
      </c>
      <c r="Z1">
        <v>48</v>
      </c>
    </row>
    <row r="2" spans="1:32" x14ac:dyDescent="0.25">
      <c r="A2" s="18" t="s">
        <v>52</v>
      </c>
      <c r="Z2" t="s">
        <v>117</v>
      </c>
      <c r="AC2">
        <v>1</v>
      </c>
      <c r="AD2">
        <v>48</v>
      </c>
      <c r="AF2">
        <v>1</v>
      </c>
    </row>
    <row r="4" spans="1:32" x14ac:dyDescent="0.25">
      <c r="A4" s="17" t="s">
        <v>30</v>
      </c>
      <c r="B4" s="17" t="s">
        <v>3</v>
      </c>
      <c r="C4" s="17" t="s">
        <v>1</v>
      </c>
      <c r="D4" s="17" t="s">
        <v>46</v>
      </c>
      <c r="E4" s="17" t="s">
        <v>47</v>
      </c>
    </row>
    <row r="10" spans="1:32" x14ac:dyDescent="0.25">
      <c r="I10" s="16" t="s">
        <v>38</v>
      </c>
      <c r="J10" s="16" t="s">
        <v>23</v>
      </c>
      <c r="K10" s="16" t="s">
        <v>43</v>
      </c>
      <c r="L10" s="16" t="s">
        <v>48</v>
      </c>
      <c r="M10" s="16" t="s">
        <v>53</v>
      </c>
    </row>
  </sheetData>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00" r:id="rId4" name="Button 76">
              <controlPr defaultSize="0" print="0" autoFill="0" autoPict="0" macro="[0]!SEARCH_AddAllSummaryToPurchase">
                <anchor moveWithCells="1" sizeWithCells="1">
                  <from>
                    <xdr:col>6</xdr:col>
                    <xdr:colOff>47625</xdr:colOff>
                    <xdr:row>2</xdr:row>
                    <xdr:rowOff>19050</xdr:rowOff>
                  </from>
                  <to>
                    <xdr:col>6</xdr:col>
                    <xdr:colOff>990600</xdr:colOff>
                    <xdr:row>2</xdr:row>
                    <xdr:rowOff>161925</xdr:rowOff>
                  </to>
                </anchor>
              </controlPr>
            </control>
          </mc:Choice>
        </mc:AlternateContent>
        <mc:AlternateContent xmlns:mc="http://schemas.openxmlformats.org/markup-compatibility/2006">
          <mc:Choice Requires="x14">
            <control shapeId="1101" r:id="rId5" name="Button 77">
              <controlPr defaultSize="0" print="0" autoFill="0" autoPict="0" macro="[0]!SEARCH_Refresh">
                <anchor moveWithCells="1" sizeWithCells="1">
                  <from>
                    <xdr:col>6</xdr:col>
                    <xdr:colOff>47625</xdr:colOff>
                    <xdr:row>3</xdr:row>
                    <xdr:rowOff>19050</xdr:rowOff>
                  </from>
                  <to>
                    <xdr:col>6</xdr:col>
                    <xdr:colOff>990600</xdr:colOff>
                    <xdr:row>3</xdr:row>
                    <xdr:rowOff>161925</xdr:rowOff>
                  </to>
                </anchor>
              </controlPr>
            </control>
          </mc:Choice>
        </mc:AlternateContent>
        <mc:AlternateContent xmlns:mc="http://schemas.openxmlformats.org/markup-compatibility/2006">
          <mc:Choice Requires="x14">
            <control shapeId="1102" r:id="rId6" name="Button 78">
              <controlPr defaultSize="0" print="0" autoFill="0" autoPict="0" macro="[0]!SEARCH_BuildFinalView">
                <anchor moveWithCells="1" sizeWithCells="1">
                  <from>
                    <xdr:col>6</xdr:col>
                    <xdr:colOff>47625</xdr:colOff>
                    <xdr:row>4</xdr:row>
                    <xdr:rowOff>19050</xdr:rowOff>
                  </from>
                  <to>
                    <xdr:col>6</xdr:col>
                    <xdr:colOff>990600</xdr:colOff>
                    <xdr:row>4</xdr:row>
                    <xdr:rowOff>161925</xdr:rowOff>
                  </to>
                </anchor>
              </controlPr>
            </control>
          </mc:Choice>
        </mc:AlternateContent>
        <mc:AlternateContent xmlns:mc="http://schemas.openxmlformats.org/markup-compatibility/2006">
          <mc:Choice Requires="x14">
            <control shapeId="1103" r:id="rId7" name="Button 79">
              <controlPr defaultSize="0" print="0" autoFill="0" autoPict="0" macro="[0]!SEARCH_AddSelectedToEdit">
                <anchor moveWithCells="1" sizeWithCells="1">
                  <from>
                    <xdr:col>6</xdr:col>
                    <xdr:colOff>47625</xdr:colOff>
                    <xdr:row>5</xdr:row>
                    <xdr:rowOff>19050</xdr:rowOff>
                  </from>
                  <to>
                    <xdr:col>6</xdr:col>
                    <xdr:colOff>990600</xdr:colOff>
                    <xdr:row>5</xdr:row>
                    <xdr:rowOff>161925</xdr:rowOff>
                  </to>
                </anchor>
              </controlPr>
            </control>
          </mc:Choice>
        </mc:AlternateContent>
        <mc:AlternateContent xmlns:mc="http://schemas.openxmlformats.org/markup-compatibility/2006">
          <mc:Choice Requires="x14">
            <control shapeId="1104" r:id="rId8" name="Button 80">
              <controlPr defaultSize="0" print="0" autoFill="0" autoPict="0" macro="[0]!SEARCH_SaveEditGrid">
                <anchor moveWithCells="1" sizeWithCells="1">
                  <from>
                    <xdr:col>6</xdr:col>
                    <xdr:colOff>47625</xdr:colOff>
                    <xdr:row>6</xdr:row>
                    <xdr:rowOff>19050</xdr:rowOff>
                  </from>
                  <to>
                    <xdr:col>6</xdr:col>
                    <xdr:colOff>990600</xdr:colOff>
                    <xdr:row>6</xdr:row>
                    <xdr:rowOff>161925</xdr:rowOff>
                  </to>
                </anchor>
              </controlPr>
            </control>
          </mc:Choice>
        </mc:AlternateContent>
        <mc:AlternateContent xmlns:mc="http://schemas.openxmlformats.org/markup-compatibility/2006">
          <mc:Choice Requires="x14">
            <control shapeId="1105" r:id="rId9" name="Button 81">
              <controlPr defaultSize="0" print="0" autoFill="0" autoPict="0" macro="[0]!SEARCH_ClearEditGrid">
                <anchor moveWithCells="1" sizeWithCells="1">
                  <from>
                    <xdr:col>6</xdr:col>
                    <xdr:colOff>47625</xdr:colOff>
                    <xdr:row>7</xdr:row>
                    <xdr:rowOff>19050</xdr:rowOff>
                  </from>
                  <to>
                    <xdr:col>6</xdr:col>
                    <xdr:colOff>990600</xdr:colOff>
                    <xdr:row>7</xdr:row>
                    <xdr:rowOff>161925</xdr:rowOff>
                  </to>
                </anchor>
              </controlPr>
            </control>
          </mc:Choice>
        </mc:AlternateContent>
        <mc:AlternateContent xmlns:mc="http://schemas.openxmlformats.org/markup-compatibility/2006">
          <mc:Choice Requires="x14">
            <control shapeId="1106" r:id="rId10" name="Button 82">
              <controlPr defaultSize="0" print="0" autoFill="0" autoPict="0" macro="[0]!SEARCH_DeleteSelectedOverride">
                <anchor moveWithCells="1" sizeWithCells="1">
                  <from>
                    <xdr:col>6</xdr:col>
                    <xdr:colOff>47625</xdr:colOff>
                    <xdr:row>8</xdr:row>
                    <xdr:rowOff>19050</xdr:rowOff>
                  </from>
                  <to>
                    <xdr:col>6</xdr:col>
                    <xdr:colOff>990600</xdr:colOff>
                    <xdr:row>8</xdr:row>
                    <xdr:rowOff>161925</xdr:rowOff>
                  </to>
                </anchor>
              </controlPr>
            </control>
          </mc:Choice>
        </mc:AlternateContent>
        <mc:AlternateContent xmlns:mc="http://schemas.openxmlformats.org/markup-compatibility/2006">
          <mc:Choice Requires="x14">
            <control shapeId="1107" r:id="rId11" name="Button 83">
              <controlPr defaultSize="0" print="0" autoFill="0" autoPict="0" macro="[0]!SEARCH_UndoLast">
                <anchor moveWithCells="1" sizeWithCells="1">
                  <from>
                    <xdr:col>6</xdr:col>
                    <xdr:colOff>47625</xdr:colOff>
                    <xdr:row>9</xdr:row>
                    <xdr:rowOff>19050</xdr:rowOff>
                  </from>
                  <to>
                    <xdr:col>6</xdr:col>
                    <xdr:colOff>990600</xdr:colOff>
                    <xdr:row>9</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480D7-5902-42CA-A0ED-7E7DF71B5AAC}">
  <sheetPr codeName="Sheet5"/>
  <dimension ref="A1:A75"/>
  <sheetViews>
    <sheetView zoomScale="75" zoomScaleNormal="75" workbookViewId="0">
      <selection activeCell="E39" sqref="E39"/>
    </sheetView>
  </sheetViews>
  <sheetFormatPr defaultRowHeight="15" x14ac:dyDescent="0.25"/>
  <cols>
    <col min="1" max="1" width="140.7109375" style="3" bestFit="1" customWidth="1"/>
  </cols>
  <sheetData>
    <row r="1" spans="1:1" x14ac:dyDescent="0.25">
      <c r="A1" s="3" t="s">
        <v>64</v>
      </c>
    </row>
    <row r="2" spans="1:1" x14ac:dyDescent="0.25">
      <c r="A2" s="3" t="s">
        <v>65</v>
      </c>
    </row>
    <row r="3" spans="1:1" x14ac:dyDescent="0.25">
      <c r="A3" s="3" t="s">
        <v>64</v>
      </c>
    </row>
    <row r="5" spans="1:1" x14ac:dyDescent="0.25">
      <c r="A5" s="21" t="s">
        <v>66</v>
      </c>
    </row>
    <row r="6" spans="1:1" x14ac:dyDescent="0.25">
      <c r="A6" s="3" t="s">
        <v>111</v>
      </c>
    </row>
    <row r="7" spans="1:1" x14ac:dyDescent="0.25">
      <c r="A7" s="3" t="s">
        <v>67</v>
      </c>
    </row>
    <row r="8" spans="1:1" x14ac:dyDescent="0.25">
      <c r="A8" s="3" t="s">
        <v>68</v>
      </c>
    </row>
    <row r="9" spans="1:1" x14ac:dyDescent="0.25">
      <c r="A9" s="3" t="s">
        <v>69</v>
      </c>
    </row>
    <row r="10" spans="1:1" x14ac:dyDescent="0.25">
      <c r="A10" s="3" t="s">
        <v>70</v>
      </c>
    </row>
    <row r="11" spans="1:1" x14ac:dyDescent="0.25">
      <c r="A11" s="3" t="s">
        <v>71</v>
      </c>
    </row>
    <row r="12" spans="1:1" x14ac:dyDescent="0.25">
      <c r="A12" s="3" t="s">
        <v>72</v>
      </c>
    </row>
    <row r="14" spans="1:1" x14ac:dyDescent="0.25">
      <c r="A14" s="21" t="s">
        <v>73</v>
      </c>
    </row>
    <row r="15" spans="1:1" x14ac:dyDescent="0.25">
      <c r="A15" s="3" t="s">
        <v>112</v>
      </c>
    </row>
    <row r="16" spans="1:1" x14ac:dyDescent="0.25">
      <c r="A16" s="3" t="s">
        <v>67</v>
      </c>
    </row>
    <row r="17" spans="1:1" x14ac:dyDescent="0.25">
      <c r="A17" s="3" t="s">
        <v>74</v>
      </c>
    </row>
    <row r="18" spans="1:1" x14ac:dyDescent="0.25">
      <c r="A18" s="3" t="s">
        <v>75</v>
      </c>
    </row>
    <row r="19" spans="1:1" x14ac:dyDescent="0.25">
      <c r="A19" s="3" t="s">
        <v>70</v>
      </c>
    </row>
    <row r="20" spans="1:1" x14ac:dyDescent="0.25">
      <c r="A20" s="3" t="s">
        <v>76</v>
      </c>
    </row>
    <row r="21" spans="1:1" x14ac:dyDescent="0.25">
      <c r="A21" s="3" t="s">
        <v>77</v>
      </c>
    </row>
    <row r="23" spans="1:1" x14ac:dyDescent="0.25">
      <c r="A23" s="21" t="s">
        <v>78</v>
      </c>
    </row>
    <row r="24" spans="1:1" x14ac:dyDescent="0.25">
      <c r="A24" s="3" t="s">
        <v>79</v>
      </c>
    </row>
    <row r="25" spans="1:1" x14ac:dyDescent="0.25">
      <c r="A25" s="3" t="s">
        <v>67</v>
      </c>
    </row>
    <row r="26" spans="1:1" x14ac:dyDescent="0.25">
      <c r="A26" s="3" t="s">
        <v>80</v>
      </c>
    </row>
    <row r="27" spans="1:1" x14ac:dyDescent="0.25">
      <c r="A27" s="3" t="s">
        <v>81</v>
      </c>
    </row>
    <row r="28" spans="1:1" x14ac:dyDescent="0.25">
      <c r="A28" s="3" t="s">
        <v>82</v>
      </c>
    </row>
    <row r="29" spans="1:1" x14ac:dyDescent="0.25">
      <c r="A29" s="3" t="s">
        <v>83</v>
      </c>
    </row>
    <row r="30" spans="1:1" x14ac:dyDescent="0.25">
      <c r="A30" s="3" t="s">
        <v>84</v>
      </c>
    </row>
    <row r="31" spans="1:1" x14ac:dyDescent="0.25">
      <c r="A31" s="3" t="s">
        <v>70</v>
      </c>
    </row>
    <row r="32" spans="1:1" x14ac:dyDescent="0.25">
      <c r="A32" s="3" t="s">
        <v>85</v>
      </c>
    </row>
    <row r="34" spans="1:1" x14ac:dyDescent="0.25">
      <c r="A34" s="21" t="s">
        <v>86</v>
      </c>
    </row>
    <row r="35" spans="1:1" x14ac:dyDescent="0.25">
      <c r="A35" s="3" t="s">
        <v>113</v>
      </c>
    </row>
    <row r="36" spans="1:1" x14ac:dyDescent="0.25">
      <c r="A36" s="3" t="s">
        <v>67</v>
      </c>
    </row>
    <row r="37" spans="1:1" x14ac:dyDescent="0.25">
      <c r="A37" s="3" t="s">
        <v>87</v>
      </c>
    </row>
    <row r="38" spans="1:1" x14ac:dyDescent="0.25">
      <c r="A38" s="3" t="s">
        <v>88</v>
      </c>
    </row>
    <row r="39" spans="1:1" x14ac:dyDescent="0.25">
      <c r="A39" s="3" t="s">
        <v>89</v>
      </c>
    </row>
    <row r="40" spans="1:1" x14ac:dyDescent="0.25">
      <c r="A40" s="3" t="s">
        <v>90</v>
      </c>
    </row>
    <row r="41" spans="1:1" x14ac:dyDescent="0.25">
      <c r="A41" s="3" t="s">
        <v>70</v>
      </c>
    </row>
    <row r="42" spans="1:1" x14ac:dyDescent="0.25">
      <c r="A42" s="3" t="s">
        <v>91</v>
      </c>
    </row>
    <row r="44" spans="1:1" x14ac:dyDescent="0.25">
      <c r="A44" s="21" t="s">
        <v>92</v>
      </c>
    </row>
    <row r="45" spans="1:1" x14ac:dyDescent="0.25">
      <c r="A45" s="3" t="s">
        <v>93</v>
      </c>
    </row>
    <row r="46" spans="1:1" x14ac:dyDescent="0.25">
      <c r="A46" s="3" t="s">
        <v>67</v>
      </c>
    </row>
    <row r="47" spans="1:1" x14ac:dyDescent="0.25">
      <c r="A47" s="3" t="s">
        <v>94</v>
      </c>
    </row>
    <row r="48" spans="1:1" x14ac:dyDescent="0.25">
      <c r="A48" s="3" t="s">
        <v>95</v>
      </c>
    </row>
    <row r="49" spans="1:1" x14ac:dyDescent="0.25">
      <c r="A49" s="3" t="s">
        <v>96</v>
      </c>
    </row>
    <row r="50" spans="1:1" x14ac:dyDescent="0.25">
      <c r="A50" s="3" t="s">
        <v>70</v>
      </c>
    </row>
    <row r="51" spans="1:1" x14ac:dyDescent="0.25">
      <c r="A51" s="3" t="s">
        <v>97</v>
      </c>
    </row>
    <row r="53" spans="1:1" x14ac:dyDescent="0.25">
      <c r="A53" s="21" t="s">
        <v>98</v>
      </c>
    </row>
    <row r="54" spans="1:1" x14ac:dyDescent="0.25">
      <c r="A54" s="3" t="s">
        <v>114</v>
      </c>
    </row>
    <row r="55" spans="1:1" x14ac:dyDescent="0.25">
      <c r="A55" s="3" t="s">
        <v>67</v>
      </c>
    </row>
    <row r="56" spans="1:1" x14ac:dyDescent="0.25">
      <c r="A56" s="3" t="s">
        <v>99</v>
      </c>
    </row>
    <row r="57" spans="1:1" x14ac:dyDescent="0.25">
      <c r="A57" s="3" t="s">
        <v>70</v>
      </c>
    </row>
    <row r="58" spans="1:1" x14ac:dyDescent="0.25">
      <c r="A58" s="3" t="s">
        <v>100</v>
      </c>
    </row>
    <row r="60" spans="1:1" x14ac:dyDescent="0.25">
      <c r="A60" s="21" t="s">
        <v>101</v>
      </c>
    </row>
    <row r="61" spans="1:1" x14ac:dyDescent="0.25">
      <c r="A61" s="3" t="s">
        <v>102</v>
      </c>
    </row>
    <row r="62" spans="1:1" x14ac:dyDescent="0.25">
      <c r="A62" s="3" t="s">
        <v>67</v>
      </c>
    </row>
    <row r="63" spans="1:1" x14ac:dyDescent="0.25">
      <c r="A63" s="3" t="s">
        <v>103</v>
      </c>
    </row>
    <row r="64" spans="1:1" x14ac:dyDescent="0.25">
      <c r="A64" s="3" t="s">
        <v>104</v>
      </c>
    </row>
    <row r="65" spans="1:1" x14ac:dyDescent="0.25">
      <c r="A65" s="3" t="s">
        <v>70</v>
      </c>
    </row>
    <row r="66" spans="1:1" x14ac:dyDescent="0.25">
      <c r="A66" s="3" t="s">
        <v>105</v>
      </c>
    </row>
    <row r="67" spans="1:1" x14ac:dyDescent="0.25">
      <c r="A67" s="3" t="s">
        <v>106</v>
      </c>
    </row>
    <row r="69" spans="1:1" x14ac:dyDescent="0.25">
      <c r="A69" s="21" t="s">
        <v>107</v>
      </c>
    </row>
    <row r="70" spans="1:1" x14ac:dyDescent="0.25">
      <c r="A70" s="3" t="s">
        <v>115</v>
      </c>
    </row>
    <row r="71" spans="1:1" x14ac:dyDescent="0.25">
      <c r="A71" s="3" t="s">
        <v>67</v>
      </c>
    </row>
    <row r="72" spans="1:1" x14ac:dyDescent="0.25">
      <c r="A72" s="3" t="s">
        <v>108</v>
      </c>
    </row>
    <row r="73" spans="1:1" x14ac:dyDescent="0.25">
      <c r="A73" s="3" t="s">
        <v>109</v>
      </c>
    </row>
    <row r="74" spans="1:1" x14ac:dyDescent="0.25">
      <c r="A74" s="3" t="s">
        <v>70</v>
      </c>
    </row>
    <row r="75" spans="1:1" x14ac:dyDescent="0.25">
      <c r="A75" s="3" t="s">
        <v>110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06F63-7B1B-4620-B9C0-BB2BE7C9A42B}">
  <sheetPr codeName="Sheet2"/>
  <dimension ref="A1:A267"/>
  <sheetViews>
    <sheetView topLeftCell="A214" zoomScale="75" zoomScaleNormal="75" workbookViewId="0">
      <selection sqref="A1:A267"/>
    </sheetView>
  </sheetViews>
  <sheetFormatPr defaultRowHeight="15" x14ac:dyDescent="0.25"/>
  <cols>
    <col min="1" max="1" width="139.5703125" style="3" bestFit="1" customWidth="1"/>
    <col min="2" max="16384" width="9.140625" style="3"/>
  </cols>
  <sheetData>
    <row r="1" spans="1:1" x14ac:dyDescent="0.25">
      <c r="A1" s="3" t="s">
        <v>118</v>
      </c>
    </row>
    <row r="2" spans="1:1" x14ac:dyDescent="0.25">
      <c r="A2" s="3" t="s">
        <v>119</v>
      </c>
    </row>
    <row r="3" spans="1:1" x14ac:dyDescent="0.25">
      <c r="A3" s="3" t="s">
        <v>120</v>
      </c>
    </row>
    <row r="5" spans="1:1" x14ac:dyDescent="0.25">
      <c r="A5" s="3" t="s">
        <v>64</v>
      </c>
    </row>
    <row r="6" spans="1:1" x14ac:dyDescent="0.25">
      <c r="A6" s="3" t="s">
        <v>121</v>
      </c>
    </row>
    <row r="7" spans="1:1" x14ac:dyDescent="0.25">
      <c r="A7" s="3" t="s">
        <v>64</v>
      </c>
    </row>
    <row r="8" spans="1:1" x14ac:dyDescent="0.25">
      <c r="A8" s="3" t="s">
        <v>122</v>
      </c>
    </row>
    <row r="9" spans="1:1" x14ac:dyDescent="0.25">
      <c r="A9" s="3" t="s">
        <v>123</v>
      </c>
    </row>
    <row r="10" spans="1:1" x14ac:dyDescent="0.25">
      <c r="A10" s="3" t="s">
        <v>124</v>
      </c>
    </row>
    <row r="12" spans="1:1" x14ac:dyDescent="0.25">
      <c r="A12" s="3" t="s">
        <v>125</v>
      </c>
    </row>
    <row r="13" spans="1:1" x14ac:dyDescent="0.25">
      <c r="A13" s="3" t="s">
        <v>126</v>
      </c>
    </row>
    <row r="14" spans="1:1" x14ac:dyDescent="0.25">
      <c r="A14" s="3" t="s">
        <v>127</v>
      </c>
    </row>
    <row r="15" spans="1:1" x14ac:dyDescent="0.25">
      <c r="A15" s="3" t="s">
        <v>128</v>
      </c>
    </row>
    <row r="16" spans="1:1" x14ac:dyDescent="0.25">
      <c r="A16" s="3" t="s">
        <v>129</v>
      </c>
    </row>
    <row r="17" spans="1:1" x14ac:dyDescent="0.25">
      <c r="A17" s="3" t="s">
        <v>130</v>
      </c>
    </row>
    <row r="18" spans="1:1" x14ac:dyDescent="0.25">
      <c r="A18" s="3" t="s">
        <v>131</v>
      </c>
    </row>
    <row r="19" spans="1:1" x14ac:dyDescent="0.25">
      <c r="A19" s="3" t="s">
        <v>132</v>
      </c>
    </row>
    <row r="21" spans="1:1" x14ac:dyDescent="0.25">
      <c r="A21" s="3" t="s">
        <v>64</v>
      </c>
    </row>
    <row r="22" spans="1:1" x14ac:dyDescent="0.25">
      <c r="A22" s="3" t="s">
        <v>133</v>
      </c>
    </row>
    <row r="23" spans="1:1" x14ac:dyDescent="0.25">
      <c r="A23" s="3" t="s">
        <v>64</v>
      </c>
    </row>
    <row r="24" spans="1:1" x14ac:dyDescent="0.25">
      <c r="A24" s="3" t="s">
        <v>134</v>
      </c>
    </row>
    <row r="25" spans="1:1" x14ac:dyDescent="0.25">
      <c r="A25" s="3" t="s">
        <v>135</v>
      </c>
    </row>
    <row r="26" spans="1:1" x14ac:dyDescent="0.25">
      <c r="A26" s="3" t="s">
        <v>136</v>
      </c>
    </row>
    <row r="27" spans="1:1" x14ac:dyDescent="0.25">
      <c r="A27" s="3" t="s">
        <v>137</v>
      </c>
    </row>
    <row r="28" spans="1:1" x14ac:dyDescent="0.25">
      <c r="A28" s="3" t="s">
        <v>138</v>
      </c>
    </row>
    <row r="29" spans="1:1" x14ac:dyDescent="0.25">
      <c r="A29" s="3" t="s">
        <v>139</v>
      </c>
    </row>
    <row r="30" spans="1:1" x14ac:dyDescent="0.25">
      <c r="A30" s="3" t="s">
        <v>140</v>
      </c>
    </row>
    <row r="32" spans="1:1" x14ac:dyDescent="0.25">
      <c r="A32" s="3" t="s">
        <v>64</v>
      </c>
    </row>
    <row r="33" spans="1:1" x14ac:dyDescent="0.25">
      <c r="A33" s="3" t="s">
        <v>141</v>
      </c>
    </row>
    <row r="34" spans="1:1" x14ac:dyDescent="0.25">
      <c r="A34" s="3" t="s">
        <v>64</v>
      </c>
    </row>
    <row r="35" spans="1:1" x14ac:dyDescent="0.25">
      <c r="A35" s="3" t="s">
        <v>142</v>
      </c>
    </row>
    <row r="36" spans="1:1" x14ac:dyDescent="0.25">
      <c r="A36" s="3" t="s">
        <v>143</v>
      </c>
    </row>
    <row r="37" spans="1:1" x14ac:dyDescent="0.25">
      <c r="A37" s="3" t="s">
        <v>144</v>
      </c>
    </row>
    <row r="38" spans="1:1" x14ac:dyDescent="0.25">
      <c r="A38" s="3" t="s">
        <v>145</v>
      </c>
    </row>
    <row r="39" spans="1:1" x14ac:dyDescent="0.25">
      <c r="A39" s="3" t="s">
        <v>146</v>
      </c>
    </row>
    <row r="40" spans="1:1" x14ac:dyDescent="0.25">
      <c r="A40" s="3" t="s">
        <v>147</v>
      </c>
    </row>
    <row r="41" spans="1:1" x14ac:dyDescent="0.25">
      <c r="A41" s="3" t="s">
        <v>148</v>
      </c>
    </row>
    <row r="42" spans="1:1" x14ac:dyDescent="0.25">
      <c r="A42" s="3" t="s">
        <v>149</v>
      </c>
    </row>
    <row r="43" spans="1:1" x14ac:dyDescent="0.25">
      <c r="A43" s="3" t="s">
        <v>150</v>
      </c>
    </row>
    <row r="45" spans="1:1" x14ac:dyDescent="0.25">
      <c r="A45" s="3" t="s">
        <v>64</v>
      </c>
    </row>
    <row r="46" spans="1:1" x14ac:dyDescent="0.25">
      <c r="A46" s="3" t="s">
        <v>151</v>
      </c>
    </row>
    <row r="47" spans="1:1" x14ac:dyDescent="0.25">
      <c r="A47" s="3" t="s">
        <v>64</v>
      </c>
    </row>
    <row r="48" spans="1:1" x14ac:dyDescent="0.25">
      <c r="A48" s="3" t="s">
        <v>152</v>
      </c>
    </row>
    <row r="49" spans="1:1" x14ac:dyDescent="0.25">
      <c r="A49" s="3" t="s">
        <v>153</v>
      </c>
    </row>
    <row r="50" spans="1:1" x14ac:dyDescent="0.25">
      <c r="A50" s="3" t="s">
        <v>154</v>
      </c>
    </row>
    <row r="51" spans="1:1" x14ac:dyDescent="0.25">
      <c r="A51" s="3" t="s">
        <v>155</v>
      </c>
    </row>
    <row r="52" spans="1:1" x14ac:dyDescent="0.25">
      <c r="A52" s="3" t="s">
        <v>156</v>
      </c>
    </row>
    <row r="53" spans="1:1" x14ac:dyDescent="0.25">
      <c r="A53" s="3" t="s">
        <v>157</v>
      </c>
    </row>
    <row r="54" spans="1:1" x14ac:dyDescent="0.25">
      <c r="A54" s="3" t="s">
        <v>158</v>
      </c>
    </row>
    <row r="55" spans="1:1" x14ac:dyDescent="0.25">
      <c r="A55" s="3" t="s">
        <v>159</v>
      </c>
    </row>
    <row r="56" spans="1:1" x14ac:dyDescent="0.25">
      <c r="A56" s="3" t="s">
        <v>160</v>
      </c>
    </row>
    <row r="58" spans="1:1" x14ac:dyDescent="0.25">
      <c r="A58" s="3" t="s">
        <v>64</v>
      </c>
    </row>
    <row r="59" spans="1:1" x14ac:dyDescent="0.25">
      <c r="A59" s="3" t="s">
        <v>161</v>
      </c>
    </row>
    <row r="60" spans="1:1" x14ac:dyDescent="0.25">
      <c r="A60" s="3" t="s">
        <v>64</v>
      </c>
    </row>
    <row r="61" spans="1:1" x14ac:dyDescent="0.25">
      <c r="A61" s="3" t="s">
        <v>162</v>
      </c>
    </row>
    <row r="62" spans="1:1" x14ac:dyDescent="0.25">
      <c r="A62" s="3" t="s">
        <v>163</v>
      </c>
    </row>
    <row r="63" spans="1:1" x14ac:dyDescent="0.25">
      <c r="A63" s="3" t="s">
        <v>164</v>
      </c>
    </row>
    <row r="64" spans="1:1" x14ac:dyDescent="0.25">
      <c r="A64" s="3" t="s">
        <v>165</v>
      </c>
    </row>
    <row r="65" spans="1:1" x14ac:dyDescent="0.25">
      <c r="A65" s="3" t="s">
        <v>166</v>
      </c>
    </row>
    <row r="66" spans="1:1" x14ac:dyDescent="0.25">
      <c r="A66" s="3" t="s">
        <v>167</v>
      </c>
    </row>
    <row r="67" spans="1:1" x14ac:dyDescent="0.25">
      <c r="A67" s="3" t="s">
        <v>168</v>
      </c>
    </row>
    <row r="68" spans="1:1" x14ac:dyDescent="0.25">
      <c r="A68" s="3" t="s">
        <v>169</v>
      </c>
    </row>
    <row r="69" spans="1:1" x14ac:dyDescent="0.25">
      <c r="A69" s="3" t="s">
        <v>170</v>
      </c>
    </row>
    <row r="70" spans="1:1" x14ac:dyDescent="0.25">
      <c r="A70" s="3" t="s">
        <v>171</v>
      </c>
    </row>
    <row r="71" spans="1:1" x14ac:dyDescent="0.25">
      <c r="A71" s="3" t="s">
        <v>172</v>
      </c>
    </row>
    <row r="72" spans="1:1" x14ac:dyDescent="0.25">
      <c r="A72" s="3" t="s">
        <v>173</v>
      </c>
    </row>
    <row r="73" spans="1:1" x14ac:dyDescent="0.25">
      <c r="A73" s="3" t="s">
        <v>174</v>
      </c>
    </row>
    <row r="74" spans="1:1" x14ac:dyDescent="0.25">
      <c r="A74" s="3" t="s">
        <v>175</v>
      </c>
    </row>
    <row r="75" spans="1:1" x14ac:dyDescent="0.25">
      <c r="A75" s="3" t="s">
        <v>176</v>
      </c>
    </row>
    <row r="76" spans="1:1" x14ac:dyDescent="0.25">
      <c r="A76" s="3" t="s">
        <v>177</v>
      </c>
    </row>
    <row r="77" spans="1:1" x14ac:dyDescent="0.25">
      <c r="A77" s="3" t="s">
        <v>178</v>
      </c>
    </row>
    <row r="79" spans="1:1" x14ac:dyDescent="0.25">
      <c r="A79" s="3" t="s">
        <v>64</v>
      </c>
    </row>
    <row r="80" spans="1:1" x14ac:dyDescent="0.25">
      <c r="A80" s="3" t="s">
        <v>179</v>
      </c>
    </row>
    <row r="81" spans="1:1" x14ac:dyDescent="0.25">
      <c r="A81" s="3" t="s">
        <v>64</v>
      </c>
    </row>
    <row r="82" spans="1:1" x14ac:dyDescent="0.25">
      <c r="A82" s="3" t="s">
        <v>180</v>
      </c>
    </row>
    <row r="83" spans="1:1" x14ac:dyDescent="0.25">
      <c r="A83" s="3" t="s">
        <v>181</v>
      </c>
    </row>
    <row r="84" spans="1:1" x14ac:dyDescent="0.25">
      <c r="A84" s="3" t="s">
        <v>182</v>
      </c>
    </row>
    <row r="85" spans="1:1" x14ac:dyDescent="0.25">
      <c r="A85" s="3" t="s">
        <v>183</v>
      </c>
    </row>
    <row r="86" spans="1:1" x14ac:dyDescent="0.25">
      <c r="A86" s="3" t="s">
        <v>184</v>
      </c>
    </row>
    <row r="87" spans="1:1" x14ac:dyDescent="0.25">
      <c r="A87" s="3" t="s">
        <v>185</v>
      </c>
    </row>
    <row r="88" spans="1:1" x14ac:dyDescent="0.25">
      <c r="A88" s="3" t="s">
        <v>186</v>
      </c>
    </row>
    <row r="89" spans="1:1" x14ac:dyDescent="0.25">
      <c r="A89" s="3" t="s">
        <v>187</v>
      </c>
    </row>
    <row r="90" spans="1:1" x14ac:dyDescent="0.25">
      <c r="A90" s="3" t="s">
        <v>188</v>
      </c>
    </row>
    <row r="91" spans="1:1" x14ac:dyDescent="0.25">
      <c r="A91" s="3" t="s">
        <v>189</v>
      </c>
    </row>
    <row r="92" spans="1:1" x14ac:dyDescent="0.25">
      <c r="A92" s="3" t="s">
        <v>190</v>
      </c>
    </row>
    <row r="94" spans="1:1" x14ac:dyDescent="0.25">
      <c r="A94" s="3" t="s">
        <v>64</v>
      </c>
    </row>
    <row r="95" spans="1:1" x14ac:dyDescent="0.25">
      <c r="A95" s="3" t="s">
        <v>191</v>
      </c>
    </row>
    <row r="96" spans="1:1" x14ac:dyDescent="0.25">
      <c r="A96" s="3" t="s">
        <v>64</v>
      </c>
    </row>
    <row r="97" spans="1:1" x14ac:dyDescent="0.25">
      <c r="A97" s="3" t="s">
        <v>192</v>
      </c>
    </row>
    <row r="98" spans="1:1" x14ac:dyDescent="0.25">
      <c r="A98" s="3" t="s">
        <v>193</v>
      </c>
    </row>
    <row r="99" spans="1:1" x14ac:dyDescent="0.25">
      <c r="A99" s="3" t="s">
        <v>194</v>
      </c>
    </row>
    <row r="100" spans="1:1" x14ac:dyDescent="0.25">
      <c r="A100" s="3" t="s">
        <v>195</v>
      </c>
    </row>
    <row r="101" spans="1:1" x14ac:dyDescent="0.25">
      <c r="A101" s="3" t="s">
        <v>196</v>
      </c>
    </row>
    <row r="103" spans="1:1" x14ac:dyDescent="0.25">
      <c r="A103" s="3" t="s">
        <v>197</v>
      </c>
    </row>
    <row r="104" spans="1:1" x14ac:dyDescent="0.25">
      <c r="A104" s="3" t="s">
        <v>198</v>
      </c>
    </row>
    <row r="105" spans="1:1" x14ac:dyDescent="0.25">
      <c r="A105" s="3" t="s">
        <v>199</v>
      </c>
    </row>
    <row r="106" spans="1:1" x14ac:dyDescent="0.25">
      <c r="A106" s="3" t="s">
        <v>200</v>
      </c>
    </row>
    <row r="107" spans="1:1" x14ac:dyDescent="0.25">
      <c r="A107" s="3" t="s">
        <v>201</v>
      </c>
    </row>
    <row r="108" spans="1:1" x14ac:dyDescent="0.25">
      <c r="A108" s="3" t="s">
        <v>202</v>
      </c>
    </row>
    <row r="110" spans="1:1" x14ac:dyDescent="0.25">
      <c r="A110" s="3" t="s">
        <v>203</v>
      </c>
    </row>
    <row r="111" spans="1:1" x14ac:dyDescent="0.25">
      <c r="A111" s="3" t="s">
        <v>204</v>
      </c>
    </row>
    <row r="112" spans="1:1" x14ac:dyDescent="0.25">
      <c r="A112" s="3" t="s">
        <v>205</v>
      </c>
    </row>
    <row r="113" spans="1:1" x14ac:dyDescent="0.25">
      <c r="A113" s="3" t="s">
        <v>206</v>
      </c>
    </row>
    <row r="114" spans="1:1" x14ac:dyDescent="0.25">
      <c r="A114" s="3" t="s">
        <v>207</v>
      </c>
    </row>
    <row r="116" spans="1:1" x14ac:dyDescent="0.25">
      <c r="A116" s="3" t="s">
        <v>208</v>
      </c>
    </row>
    <row r="117" spans="1:1" x14ac:dyDescent="0.25">
      <c r="A117" s="3" t="s">
        <v>209</v>
      </c>
    </row>
    <row r="118" spans="1:1" x14ac:dyDescent="0.25">
      <c r="A118" s="3" t="s">
        <v>210</v>
      </c>
    </row>
    <row r="119" spans="1:1" x14ac:dyDescent="0.25">
      <c r="A119" s="3" t="s">
        <v>211</v>
      </c>
    </row>
    <row r="121" spans="1:1" x14ac:dyDescent="0.25">
      <c r="A121" s="3" t="s">
        <v>212</v>
      </c>
    </row>
    <row r="122" spans="1:1" x14ac:dyDescent="0.25">
      <c r="A122" s="3" t="s">
        <v>213</v>
      </c>
    </row>
    <row r="123" spans="1:1" x14ac:dyDescent="0.25">
      <c r="A123" s="3" t="s">
        <v>214</v>
      </c>
    </row>
    <row r="125" spans="1:1" x14ac:dyDescent="0.25">
      <c r="A125" s="3" t="s">
        <v>215</v>
      </c>
    </row>
    <row r="126" spans="1:1" x14ac:dyDescent="0.25">
      <c r="A126" s="3" t="s">
        <v>216</v>
      </c>
    </row>
    <row r="127" spans="1:1" x14ac:dyDescent="0.25">
      <c r="A127" s="3" t="s">
        <v>217</v>
      </c>
    </row>
    <row r="128" spans="1:1" x14ac:dyDescent="0.25">
      <c r="A128" s="3" t="s">
        <v>218</v>
      </c>
    </row>
    <row r="129" spans="1:1" x14ac:dyDescent="0.25">
      <c r="A129" s="3" t="s">
        <v>219</v>
      </c>
    </row>
    <row r="131" spans="1:1" x14ac:dyDescent="0.25">
      <c r="A131" s="3" t="s">
        <v>220</v>
      </c>
    </row>
    <row r="132" spans="1:1" x14ac:dyDescent="0.25">
      <c r="A132" s="3" t="s">
        <v>221</v>
      </c>
    </row>
    <row r="133" spans="1:1" x14ac:dyDescent="0.25">
      <c r="A133" s="3" t="s">
        <v>222</v>
      </c>
    </row>
    <row r="134" spans="1:1" x14ac:dyDescent="0.25">
      <c r="A134" s="3" t="s">
        <v>223</v>
      </c>
    </row>
    <row r="136" spans="1:1" x14ac:dyDescent="0.25">
      <c r="A136" s="3" t="s">
        <v>224</v>
      </c>
    </row>
    <row r="137" spans="1:1" x14ac:dyDescent="0.25">
      <c r="A137" s="3" t="s">
        <v>225</v>
      </c>
    </row>
    <row r="138" spans="1:1" x14ac:dyDescent="0.25">
      <c r="A138" s="3" t="s">
        <v>226</v>
      </c>
    </row>
    <row r="139" spans="1:1" x14ac:dyDescent="0.25">
      <c r="A139" s="3" t="s">
        <v>227</v>
      </c>
    </row>
    <row r="141" spans="1:1" x14ac:dyDescent="0.25">
      <c r="A141" s="3" t="s">
        <v>228</v>
      </c>
    </row>
    <row r="142" spans="1:1" x14ac:dyDescent="0.25">
      <c r="A142" s="3" t="s">
        <v>229</v>
      </c>
    </row>
    <row r="143" spans="1:1" x14ac:dyDescent="0.25">
      <c r="A143" s="3" t="s">
        <v>230</v>
      </c>
    </row>
    <row r="144" spans="1:1" x14ac:dyDescent="0.25">
      <c r="A144" s="3" t="s">
        <v>231</v>
      </c>
    </row>
    <row r="145" spans="1:1" x14ac:dyDescent="0.25">
      <c r="A145" s="3" t="s">
        <v>232</v>
      </c>
    </row>
    <row r="146" spans="1:1" x14ac:dyDescent="0.25">
      <c r="A146" s="3" t="s">
        <v>233</v>
      </c>
    </row>
    <row r="147" spans="1:1" x14ac:dyDescent="0.25">
      <c r="A147" s="3" t="s">
        <v>234</v>
      </c>
    </row>
    <row r="148" spans="1:1" x14ac:dyDescent="0.25">
      <c r="A148" s="3" t="s">
        <v>235</v>
      </c>
    </row>
    <row r="149" spans="1:1" x14ac:dyDescent="0.25">
      <c r="A149" s="3" t="s">
        <v>236</v>
      </c>
    </row>
    <row r="150" spans="1:1" x14ac:dyDescent="0.25">
      <c r="A150" s="3" t="s">
        <v>237</v>
      </c>
    </row>
    <row r="152" spans="1:1" x14ac:dyDescent="0.25">
      <c r="A152" s="3" t="s">
        <v>238</v>
      </c>
    </row>
    <row r="153" spans="1:1" x14ac:dyDescent="0.25">
      <c r="A153" s="3" t="s">
        <v>239</v>
      </c>
    </row>
    <row r="154" spans="1:1" x14ac:dyDescent="0.25">
      <c r="A154" s="3" t="s">
        <v>240</v>
      </c>
    </row>
    <row r="155" spans="1:1" x14ac:dyDescent="0.25">
      <c r="A155" s="3" t="s">
        <v>241</v>
      </c>
    </row>
    <row r="157" spans="1:1" x14ac:dyDescent="0.25">
      <c r="A157" s="3" t="s">
        <v>197</v>
      </c>
    </row>
    <row r="158" spans="1:1" x14ac:dyDescent="0.25">
      <c r="A158" s="3" t="s">
        <v>198</v>
      </c>
    </row>
    <row r="159" spans="1:1" x14ac:dyDescent="0.25">
      <c r="A159" s="3" t="s">
        <v>199</v>
      </c>
    </row>
    <row r="160" spans="1:1" x14ac:dyDescent="0.25">
      <c r="A160" s="3" t="s">
        <v>200</v>
      </c>
    </row>
    <row r="161" spans="1:1" x14ac:dyDescent="0.25">
      <c r="A161" s="3" t="s">
        <v>201</v>
      </c>
    </row>
    <row r="162" spans="1:1" x14ac:dyDescent="0.25">
      <c r="A162" s="3" t="s">
        <v>202</v>
      </c>
    </row>
    <row r="164" spans="1:1" x14ac:dyDescent="0.25">
      <c r="A164" s="3" t="s">
        <v>64</v>
      </c>
    </row>
    <row r="165" spans="1:1" x14ac:dyDescent="0.25">
      <c r="A165" s="3" t="s">
        <v>242</v>
      </c>
    </row>
    <row r="166" spans="1:1" x14ac:dyDescent="0.25">
      <c r="A166" s="3" t="s">
        <v>64</v>
      </c>
    </row>
    <row r="167" spans="1:1" x14ac:dyDescent="0.25">
      <c r="A167" s="3" t="s">
        <v>243</v>
      </c>
    </row>
    <row r="168" spans="1:1" x14ac:dyDescent="0.25">
      <c r="A168" s="3" t="s">
        <v>244</v>
      </c>
    </row>
    <row r="169" spans="1:1" x14ac:dyDescent="0.25">
      <c r="A169" s="3" t="s">
        <v>245</v>
      </c>
    </row>
    <row r="170" spans="1:1" x14ac:dyDescent="0.25">
      <c r="A170" s="3" t="s">
        <v>246</v>
      </c>
    </row>
    <row r="171" spans="1:1" x14ac:dyDescent="0.25">
      <c r="A171" s="3" t="s">
        <v>247</v>
      </c>
    </row>
    <row r="172" spans="1:1" x14ac:dyDescent="0.25">
      <c r="A172" s="3" t="s">
        <v>248</v>
      </c>
    </row>
    <row r="173" spans="1:1" x14ac:dyDescent="0.25">
      <c r="A173" s="3" t="s">
        <v>247</v>
      </c>
    </row>
    <row r="174" spans="1:1" x14ac:dyDescent="0.25">
      <c r="A174" s="3" t="s">
        <v>249</v>
      </c>
    </row>
    <row r="175" spans="1:1" x14ac:dyDescent="0.25">
      <c r="A175" s="3" t="s">
        <v>250</v>
      </c>
    </row>
    <row r="176" spans="1:1" x14ac:dyDescent="0.25">
      <c r="A176" s="3" t="s">
        <v>251</v>
      </c>
    </row>
    <row r="177" spans="1:1" x14ac:dyDescent="0.25">
      <c r="A177" s="3" t="s">
        <v>252</v>
      </c>
    </row>
    <row r="179" spans="1:1" x14ac:dyDescent="0.25">
      <c r="A179" s="3" t="s">
        <v>64</v>
      </c>
    </row>
    <row r="180" spans="1:1" x14ac:dyDescent="0.25">
      <c r="A180" s="3" t="s">
        <v>253</v>
      </c>
    </row>
    <row r="181" spans="1:1" x14ac:dyDescent="0.25">
      <c r="A181" s="3" t="s">
        <v>64</v>
      </c>
    </row>
    <row r="182" spans="1:1" x14ac:dyDescent="0.25">
      <c r="A182" s="3" t="s">
        <v>254</v>
      </c>
    </row>
    <row r="183" spans="1:1" x14ac:dyDescent="0.25">
      <c r="A183" s="3" t="s">
        <v>255</v>
      </c>
    </row>
    <row r="184" spans="1:1" x14ac:dyDescent="0.25">
      <c r="A184" s="3" t="s">
        <v>256</v>
      </c>
    </row>
    <row r="185" spans="1:1" x14ac:dyDescent="0.25">
      <c r="A185" s="3" t="s">
        <v>257</v>
      </c>
    </row>
    <row r="186" spans="1:1" x14ac:dyDescent="0.25">
      <c r="A186" s="3" t="s">
        <v>258</v>
      </c>
    </row>
    <row r="187" spans="1:1" x14ac:dyDescent="0.25">
      <c r="A187" s="3" t="s">
        <v>259</v>
      </c>
    </row>
    <row r="188" spans="1:1" x14ac:dyDescent="0.25">
      <c r="A188" s="3" t="s">
        <v>260</v>
      </c>
    </row>
    <row r="190" spans="1:1" x14ac:dyDescent="0.25">
      <c r="A190" s="3" t="s">
        <v>64</v>
      </c>
    </row>
    <row r="191" spans="1:1" x14ac:dyDescent="0.25">
      <c r="A191" s="3" t="s">
        <v>261</v>
      </c>
    </row>
    <row r="192" spans="1:1" x14ac:dyDescent="0.25">
      <c r="A192" s="3" t="s">
        <v>64</v>
      </c>
    </row>
    <row r="193" spans="1:1" x14ac:dyDescent="0.25">
      <c r="A193" s="3" t="s">
        <v>262</v>
      </c>
    </row>
    <row r="194" spans="1:1" x14ac:dyDescent="0.25">
      <c r="A194" s="3" t="s">
        <v>263</v>
      </c>
    </row>
    <row r="195" spans="1:1" x14ac:dyDescent="0.25">
      <c r="A195" s="3" t="s">
        <v>264</v>
      </c>
    </row>
    <row r="196" spans="1:1" x14ac:dyDescent="0.25">
      <c r="A196" s="3" t="s">
        <v>265</v>
      </c>
    </row>
    <row r="197" spans="1:1" x14ac:dyDescent="0.25">
      <c r="A197" s="3" t="s">
        <v>266</v>
      </c>
    </row>
    <row r="199" spans="1:1" x14ac:dyDescent="0.25">
      <c r="A199" s="3" t="s">
        <v>64</v>
      </c>
    </row>
    <row r="200" spans="1:1" x14ac:dyDescent="0.25">
      <c r="A200" s="3" t="s">
        <v>267</v>
      </c>
    </row>
    <row r="201" spans="1:1" x14ac:dyDescent="0.25">
      <c r="A201" s="3" t="s">
        <v>64</v>
      </c>
    </row>
    <row r="202" spans="1:1" x14ac:dyDescent="0.25">
      <c r="A202" s="3" t="s">
        <v>268</v>
      </c>
    </row>
    <row r="203" spans="1:1" x14ac:dyDescent="0.25">
      <c r="A203" s="3" t="s">
        <v>269</v>
      </c>
    </row>
    <row r="204" spans="1:1" x14ac:dyDescent="0.25">
      <c r="A204" s="3" t="s">
        <v>270</v>
      </c>
    </row>
    <row r="205" spans="1:1" x14ac:dyDescent="0.25">
      <c r="A205" s="3" t="s">
        <v>271</v>
      </c>
    </row>
    <row r="206" spans="1:1" x14ac:dyDescent="0.25">
      <c r="A206" s="3" t="s">
        <v>272</v>
      </c>
    </row>
    <row r="208" spans="1:1" x14ac:dyDescent="0.25">
      <c r="A208" s="3" t="s">
        <v>64</v>
      </c>
    </row>
    <row r="209" spans="1:1" x14ac:dyDescent="0.25">
      <c r="A209" s="3" t="s">
        <v>273</v>
      </c>
    </row>
    <row r="210" spans="1:1" x14ac:dyDescent="0.25">
      <c r="A210" s="3" t="s">
        <v>64</v>
      </c>
    </row>
    <row r="211" spans="1:1" x14ac:dyDescent="0.25">
      <c r="A211" s="3" t="s">
        <v>274</v>
      </c>
    </row>
    <row r="212" spans="1:1" x14ac:dyDescent="0.25">
      <c r="A212" s="3" t="s">
        <v>275</v>
      </c>
    </row>
    <row r="213" spans="1:1" x14ac:dyDescent="0.25">
      <c r="A213" s="3" t="s">
        <v>276</v>
      </c>
    </row>
    <row r="214" spans="1:1" x14ac:dyDescent="0.25">
      <c r="A214" s="3" t="s">
        <v>277</v>
      </c>
    </row>
    <row r="215" spans="1:1" x14ac:dyDescent="0.25">
      <c r="A215" s="3" t="s">
        <v>278</v>
      </c>
    </row>
    <row r="216" spans="1:1" x14ac:dyDescent="0.25">
      <c r="A216" s="3" t="s">
        <v>279</v>
      </c>
    </row>
    <row r="217" spans="1:1" x14ac:dyDescent="0.25">
      <c r="A217" s="3" t="s">
        <v>280</v>
      </c>
    </row>
    <row r="218" spans="1:1" x14ac:dyDescent="0.25">
      <c r="A218" s="3" t="s">
        <v>281</v>
      </c>
    </row>
    <row r="219" spans="1:1" x14ac:dyDescent="0.25">
      <c r="A219" s="3" t="s">
        <v>282</v>
      </c>
    </row>
    <row r="220" spans="1:1" x14ac:dyDescent="0.25">
      <c r="A220" s="3" t="s">
        <v>283</v>
      </c>
    </row>
    <row r="221" spans="1:1" x14ac:dyDescent="0.25">
      <c r="A221" s="3" t="s">
        <v>284</v>
      </c>
    </row>
    <row r="222" spans="1:1" x14ac:dyDescent="0.25">
      <c r="A222" s="3" t="s">
        <v>285</v>
      </c>
    </row>
    <row r="223" spans="1:1" x14ac:dyDescent="0.25">
      <c r="A223" s="3" t="s">
        <v>286</v>
      </c>
    </row>
    <row r="225" spans="1:1" x14ac:dyDescent="0.25">
      <c r="A225" s="3" t="s">
        <v>64</v>
      </c>
    </row>
    <row r="226" spans="1:1" x14ac:dyDescent="0.25">
      <c r="A226" s="3" t="s">
        <v>287</v>
      </c>
    </row>
    <row r="227" spans="1:1" x14ac:dyDescent="0.25">
      <c r="A227" s="3" t="s">
        <v>64</v>
      </c>
    </row>
    <row r="228" spans="1:1" x14ac:dyDescent="0.25">
      <c r="A228" s="3" t="s">
        <v>288</v>
      </c>
    </row>
    <row r="229" spans="1:1" x14ac:dyDescent="0.25">
      <c r="A229" s="3" t="s">
        <v>289</v>
      </c>
    </row>
    <row r="230" spans="1:1" x14ac:dyDescent="0.25">
      <c r="A230" s="3" t="s">
        <v>290</v>
      </c>
    </row>
    <row r="231" spans="1:1" x14ac:dyDescent="0.25">
      <c r="A231" s="3" t="s">
        <v>291</v>
      </c>
    </row>
    <row r="232" spans="1:1" x14ac:dyDescent="0.25">
      <c r="A232" s="3" t="s">
        <v>292</v>
      </c>
    </row>
    <row r="233" spans="1:1" x14ac:dyDescent="0.25">
      <c r="A233" s="3" t="s">
        <v>293</v>
      </c>
    </row>
    <row r="234" spans="1:1" x14ac:dyDescent="0.25">
      <c r="A234" s="3" t="s">
        <v>294</v>
      </c>
    </row>
    <row r="235" spans="1:1" x14ac:dyDescent="0.25">
      <c r="A235" s="3" t="s">
        <v>295</v>
      </c>
    </row>
    <row r="236" spans="1:1" x14ac:dyDescent="0.25">
      <c r="A236" s="3" t="s">
        <v>296</v>
      </c>
    </row>
    <row r="237" spans="1:1" x14ac:dyDescent="0.25">
      <c r="A237" s="3" t="s">
        <v>297</v>
      </c>
    </row>
    <row r="238" spans="1:1" x14ac:dyDescent="0.25">
      <c r="A238" s="3" t="s">
        <v>298</v>
      </c>
    </row>
    <row r="240" spans="1:1" x14ac:dyDescent="0.25">
      <c r="A240" s="3" t="s">
        <v>64</v>
      </c>
    </row>
    <row r="241" spans="1:1" x14ac:dyDescent="0.25">
      <c r="A241" s="3" t="s">
        <v>299</v>
      </c>
    </row>
    <row r="242" spans="1:1" x14ac:dyDescent="0.25">
      <c r="A242" s="3" t="s">
        <v>64</v>
      </c>
    </row>
    <row r="243" spans="1:1" x14ac:dyDescent="0.25">
      <c r="A243" s="3" t="s">
        <v>300</v>
      </c>
    </row>
    <row r="244" spans="1:1" x14ac:dyDescent="0.25">
      <c r="A244" s="3" t="s">
        <v>301</v>
      </c>
    </row>
    <row r="245" spans="1:1" x14ac:dyDescent="0.25">
      <c r="A245" s="3" t="s">
        <v>302</v>
      </c>
    </row>
    <row r="246" spans="1:1" x14ac:dyDescent="0.25">
      <c r="A246" s="3" t="s">
        <v>303</v>
      </c>
    </row>
    <row r="247" spans="1:1" x14ac:dyDescent="0.25">
      <c r="A247" s="3" t="s">
        <v>304</v>
      </c>
    </row>
    <row r="248" spans="1:1" x14ac:dyDescent="0.25">
      <c r="A248" s="3" t="s">
        <v>305</v>
      </c>
    </row>
    <row r="249" spans="1:1" x14ac:dyDescent="0.25">
      <c r="A249" s="3" t="s">
        <v>306</v>
      </c>
    </row>
    <row r="250" spans="1:1" x14ac:dyDescent="0.25">
      <c r="A250" s="3" t="s">
        <v>307</v>
      </c>
    </row>
    <row r="252" spans="1:1" x14ac:dyDescent="0.25">
      <c r="A252" s="3" t="s">
        <v>64</v>
      </c>
    </row>
    <row r="253" spans="1:1" x14ac:dyDescent="0.25">
      <c r="A253" s="3" t="s">
        <v>308</v>
      </c>
    </row>
    <row r="254" spans="1:1" x14ac:dyDescent="0.25">
      <c r="A254" s="3" t="s">
        <v>64</v>
      </c>
    </row>
    <row r="255" spans="1:1" x14ac:dyDescent="0.25">
      <c r="A255" s="3" t="s">
        <v>309</v>
      </c>
    </row>
    <row r="256" spans="1:1" x14ac:dyDescent="0.25">
      <c r="A256" s="3" t="s">
        <v>310</v>
      </c>
    </row>
    <row r="257" spans="1:1" x14ac:dyDescent="0.25">
      <c r="A257" s="3" t="s">
        <v>311</v>
      </c>
    </row>
    <row r="258" spans="1:1" x14ac:dyDescent="0.25">
      <c r="A258" s="3" t="s">
        <v>312</v>
      </c>
    </row>
    <row r="259" spans="1:1" x14ac:dyDescent="0.25">
      <c r="A259" s="3" t="s">
        <v>313</v>
      </c>
    </row>
    <row r="260" spans="1:1" x14ac:dyDescent="0.25">
      <c r="A260" s="3" t="s">
        <v>314</v>
      </c>
    </row>
    <row r="261" spans="1:1" x14ac:dyDescent="0.25">
      <c r="A261" s="3" t="s">
        <v>315</v>
      </c>
    </row>
    <row r="262" spans="1:1" x14ac:dyDescent="0.25">
      <c r="A262" s="3" t="s">
        <v>316</v>
      </c>
    </row>
    <row r="263" spans="1:1" x14ac:dyDescent="0.25">
      <c r="A263" s="3" t="s">
        <v>317</v>
      </c>
    </row>
    <row r="264" spans="1:1" x14ac:dyDescent="0.25">
      <c r="A264" s="3" t="s">
        <v>318</v>
      </c>
    </row>
    <row r="265" spans="1:1" x14ac:dyDescent="0.25">
      <c r="A265" s="3" t="s">
        <v>319</v>
      </c>
    </row>
    <row r="267" spans="1:1" x14ac:dyDescent="0.25">
      <c r="A267" s="3" t="s">
        <v>320</v>
      </c>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5E888-529E-46E1-BE61-E8FF2B8554F6}">
  <sheetPr codeName="Sheet10"/>
  <dimension ref="A2:AF301"/>
  <sheetViews>
    <sheetView zoomScale="75" zoomScaleNormal="75" workbookViewId="0">
      <pane ySplit="40" topLeftCell="A299" activePane="bottomLeft" state="frozen"/>
      <selection pane="bottomLeft" activeCell="M14" sqref="M14"/>
    </sheetView>
  </sheetViews>
  <sheetFormatPr defaultRowHeight="15" x14ac:dyDescent="0.25"/>
  <cols>
    <col min="1" max="1" width="9.28515625" bestFit="1" customWidth="1"/>
    <col min="2" max="2" width="11.7109375" bestFit="1" customWidth="1"/>
    <col min="3" max="3" width="5.7109375" bestFit="1" customWidth="1"/>
    <col min="4" max="4" width="5.42578125" bestFit="1" customWidth="1"/>
    <col min="5" max="5" width="10.85546875" style="12" bestFit="1" customWidth="1"/>
    <col min="6" max="6" width="12.5703125" style="20" bestFit="1" customWidth="1"/>
    <col min="7" max="8" width="9.140625" style="12"/>
    <col min="9" max="9" width="12.5703125" style="12" bestFit="1" customWidth="1"/>
    <col min="10" max="10" width="5.7109375" style="12" bestFit="1" customWidth="1"/>
    <col min="11" max="11" width="1.7109375" style="28" customWidth="1"/>
    <col min="12" max="13" width="9.140625" style="12"/>
    <col min="14" max="15" width="9.140625" style="20"/>
    <col min="16" max="19" width="9.140625" style="12"/>
    <col min="22" max="22" width="1.7109375" style="1" customWidth="1"/>
  </cols>
  <sheetData>
    <row r="2" spans="1:32" x14ac:dyDescent="0.25">
      <c r="A2" t="s">
        <v>30</v>
      </c>
      <c r="B2" t="s">
        <v>3</v>
      </c>
      <c r="C2" t="s">
        <v>1</v>
      </c>
      <c r="D2" t="s">
        <v>46</v>
      </c>
      <c r="E2" s="12" t="s">
        <v>2288</v>
      </c>
      <c r="F2" s="20" t="s">
        <v>23</v>
      </c>
      <c r="G2" s="12" t="s">
        <v>2</v>
      </c>
      <c r="H2" s="12" t="s">
        <v>22</v>
      </c>
      <c r="I2" s="12" t="s">
        <v>2289</v>
      </c>
      <c r="J2" s="12" t="s">
        <v>5</v>
      </c>
      <c r="L2" s="16" t="s">
        <v>30</v>
      </c>
      <c r="M2" s="12" t="s">
        <v>3</v>
      </c>
      <c r="N2" s="20" t="s">
        <v>1</v>
      </c>
      <c r="O2" s="20" t="s">
        <v>46</v>
      </c>
      <c r="P2" s="12" t="s">
        <v>2288</v>
      </c>
      <c r="Q2" s="12" t="s">
        <v>23</v>
      </c>
      <c r="R2" s="12" t="s">
        <v>2</v>
      </c>
      <c r="S2" s="12" t="s">
        <v>22</v>
      </c>
      <c r="T2" t="s">
        <v>2289</v>
      </c>
      <c r="U2" t="s">
        <v>5</v>
      </c>
      <c r="W2" t="s">
        <v>30</v>
      </c>
      <c r="X2" t="s">
        <v>3</v>
      </c>
      <c r="Y2" t="s">
        <v>1</v>
      </c>
      <c r="Z2" t="s">
        <v>46</v>
      </c>
      <c r="AA2" t="s">
        <v>2288</v>
      </c>
      <c r="AB2" t="s">
        <v>23</v>
      </c>
      <c r="AC2" t="s">
        <v>2</v>
      </c>
      <c r="AD2" t="s">
        <v>22</v>
      </c>
      <c r="AE2" t="s">
        <v>2289</v>
      </c>
      <c r="AF2" t="s">
        <v>5</v>
      </c>
    </row>
    <row r="3" spans="1:32" x14ac:dyDescent="0.25">
      <c r="A3" t="str" cm="1">
        <f t="array" ref="A3:J107">_xlfn.LET(_xlpm.d,_xlfn._xlws.FILTER(Summary!$J$3:$J$500,Summary!$J$3:$J$500&lt;&gt;""),IFERROR(CHOOSE({1,2,3,4,5,6,7,8,9,10},_xlfn._xlws.FILTER(Summary!$I$3:$I$500,Summary!$J$3:$J$500&lt;&gt;""),_xlpm.d,_xlfn._xlws.FILTER(Summary!$K$3:$K$500,Summary!$J$3:$J$500&lt;&gt;""),_xlfn._xlws.FILTER(Summary!$L$3:$L$500,Summary!$J$3:$J$500&lt;&gt;""),_xlfn._xlws.FILTER(Summary!$O$3:$O$500,Summary!$J$3:$J$500&lt;&gt;""),_xlfn._xlws.FILTER(Summary!$P$3:$P$500,Summary!$J$3:$J$500&lt;&gt;""),_xlfn._xlws.FILTER(Summary!$Q$3:$Q$500,Summary!$J$3:$J$500&lt;&gt;""),_xlfn._xlws.FILTER(Summary!$R$3:$R$500,Summary!$J$3:$J$500&lt;&gt;""),IF(_xlpm.d&lt;&gt;"","MATERIALS",""),IF(_xlpm.d&lt;&gt;"","","")),""))</f>
        <v>MATERIALS</v>
      </c>
      <c r="B3" t="str">
        <v>0.47mm TCT Gutter Pre-Painted 18" Girth x 8ft</v>
      </c>
      <c r="C3" t="str">
        <v>LTH</v>
      </c>
      <c r="D3">
        <v>45</v>
      </c>
      <c r="E3" s="12">
        <v>8.4</v>
      </c>
      <c r="F3" s="20">
        <v>0</v>
      </c>
      <c r="G3" s="12">
        <v>9</v>
      </c>
      <c r="H3" s="12">
        <v>405</v>
      </c>
      <c r="I3" s="12" t="str">
        <v>MATERIALS</v>
      </c>
      <c r="J3" s="12" t="str">
        <v/>
      </c>
      <c r="L3" s="12" t="str" cm="1">
        <f t="array" ref="L3:U3">_xlfn.LET(_xlpm.d,_xlfn._xlws.FILTER(Summary!$U$3:$U$500,Summary!$U$3:$U$500&lt;&gt;""),IFERROR(CHOOSE({1,2,3,4,5,6,7,8,9,10},_xlfn._xlws.FILTER(Summary!$T$3:$T$500,Summary!$U$3:$U$500&lt;&gt;""),_xlpm.d,_xlfn._xlws.FILTER(Summary!$V$3:$V$500,Summary!$U$3:$U$500&lt;&gt;""),_xlfn._xlws.FILTER(Summary!$W$3:$W$500,Summary!$U$3:$U$500&lt;&gt;""),_xlfn._xlws.FILTER(Summary!$Z$3:$Z$500,Summary!$U$3:$U$500&lt;&gt;""),_xlfn._xlws.FILTER(Summary!$AA$3:$AA$500,Summary!$U$3:$U$500&lt;&gt;""),_xlfn._xlws.FILTER(Summary!$AB$3:$AB$500,Summary!$U$3:$U$500&lt;&gt;""),_xlfn._xlws.FILTER(Summary!$AC$3:$AC$500,Summary!$U$3:$U$500&lt;&gt;""),IF(_xlpm.d&lt;&gt;"","LABOUR",""),IF(_xlpm.d&lt;&gt;"","","")),""))</f>
        <v>LABOUR</v>
      </c>
      <c r="M3" s="12" t="str">
        <v>Labour - Skilled Worker (Per MH)</v>
      </c>
      <c r="N3" s="20" t="str">
        <v>MH</v>
      </c>
      <c r="O3" s="20">
        <v>22.5</v>
      </c>
      <c r="P3" s="12">
        <v>1582</v>
      </c>
      <c r="Q3" s="12">
        <v>0</v>
      </c>
      <c r="R3" s="12">
        <v>1582</v>
      </c>
      <c r="S3" s="12">
        <v>35595</v>
      </c>
      <c r="T3" t="str">
        <v>LABOUR</v>
      </c>
      <c r="U3" t="str">
        <v/>
      </c>
      <c r="W3" t="str" cm="1">
        <f t="array" ref="W3:AF6">_xlfn.LET(_xlpm.d,_xlfn._xlws.FILTER(Summary!$AF$3:$AF$500,Summary!$AF$3:$AF$500&lt;&gt;""),IFERROR(CHOOSE({1,2,3,4,5,6,7,8,9,10},_xlfn._xlws.FILTER(Summary!$AE$3:$AE$500,Summary!$AF$3:$AF$500&lt;&gt;""),_xlpm.d,_xlfn._xlws.FILTER(Summary!$AG$3:$AG$500,Summary!$AF$3:$AF$500&lt;&gt;""),_xlfn._xlws.FILTER(Summary!$AH$3:$AH$500,Summary!$AF$3:$AF$500&lt;&gt;""),_xlfn._xlws.FILTER(Summary!$AK$3:$AK$500,Summary!$AF$3:$AF$500&lt;&gt;""),_xlfn._xlws.FILTER(Summary!$AL$3:$AL$500,Summary!$AF$3:$AF$500&lt;&gt;""),_xlfn._xlws.FILTER(Summary!$AM$3:$AM$500,Summary!$AF$3:$AF$500&lt;&gt;""),_xlfn._xlws.FILTER(Summary!$AN$3:$AN$500,Summary!$AF$3:$AF$500&lt;&gt;""),IF(_xlpm.d&lt;&gt;"","RENTAL / SERVICE",""),IF(_xlpm.d&lt;&gt;"","","")),""))</f>
        <v>RENTAL / SERVICE</v>
      </c>
      <c r="X3" t="str">
        <v>Cement Mixer Rental - Month 1 (Per Month)</v>
      </c>
      <c r="Y3" t="str">
        <v>MONTH</v>
      </c>
      <c r="Z3">
        <v>650</v>
      </c>
      <c r="AA3">
        <v>1</v>
      </c>
      <c r="AB3">
        <v>0</v>
      </c>
      <c r="AC3">
        <v>1</v>
      </c>
      <c r="AD3">
        <v>650</v>
      </c>
      <c r="AE3" t="str">
        <v>RENTAL / SERVICE</v>
      </c>
      <c r="AF3" t="str">
        <v/>
      </c>
    </row>
    <row r="4" spans="1:32" x14ac:dyDescent="0.25">
      <c r="A4" t="str">
        <v>MATERIALS</v>
      </c>
      <c r="B4" t="str">
        <v>1200mmW x 600mmH 2 Panel Grill Window</v>
      </c>
      <c r="C4" t="str">
        <v>SET</v>
      </c>
      <c r="D4">
        <v>180</v>
      </c>
      <c r="E4" s="12">
        <v>3</v>
      </c>
      <c r="F4" s="20">
        <v>0</v>
      </c>
      <c r="G4" s="12">
        <v>3</v>
      </c>
      <c r="H4" s="12">
        <v>540</v>
      </c>
      <c r="I4" s="12" t="str">
        <v>MATERIALS</v>
      </c>
      <c r="J4" s="12" t="str">
        <v/>
      </c>
      <c r="W4" t="str">
        <v>RENTAL / SERVICE</v>
      </c>
      <c r="X4" t="str">
        <v>Cement Mixer Rental - Month 2 Onwards (Per Month)</v>
      </c>
      <c r="Y4" t="str">
        <v>MONTH</v>
      </c>
      <c r="Z4">
        <v>450</v>
      </c>
      <c r="AA4">
        <v>1</v>
      </c>
      <c r="AB4">
        <v>0</v>
      </c>
      <c r="AC4">
        <v>1</v>
      </c>
      <c r="AD4">
        <v>450</v>
      </c>
      <c r="AE4" t="str">
        <v>RENTAL / SERVICE</v>
      </c>
      <c r="AF4" t="str">
        <v/>
      </c>
    </row>
    <row r="5" spans="1:32" x14ac:dyDescent="0.25">
      <c r="A5" t="str">
        <v>MATERIALS</v>
      </c>
      <c r="B5" t="str">
        <v>1200mmW x 600mmH 2 Panel TopHung Casement Window c/w Float Glass</v>
      </c>
      <c r="C5" t="str">
        <v>SET</v>
      </c>
      <c r="D5">
        <v>300</v>
      </c>
      <c r="E5" s="12">
        <v>3</v>
      </c>
      <c r="F5" s="20">
        <v>0</v>
      </c>
      <c r="G5" s="12">
        <v>3</v>
      </c>
      <c r="H5" s="12">
        <v>900</v>
      </c>
      <c r="I5" s="12" t="str">
        <v>MATERIALS</v>
      </c>
      <c r="J5" s="12" t="str">
        <v/>
      </c>
      <c r="W5" t="str">
        <v>RENTAL / SERVICE</v>
      </c>
      <c r="X5" t="str">
        <v>Scaffolding Bay Set (Used) 1.7m(H) x 0.9m(W) incl 1 Platform (Per Month). Deposit RM195/set refundable.</v>
      </c>
      <c r="Y5" t="str">
        <v>SET</v>
      </c>
      <c r="Z5">
        <v>45</v>
      </c>
      <c r="AA5">
        <v>60</v>
      </c>
      <c r="AB5">
        <v>0</v>
      </c>
      <c r="AC5">
        <v>60</v>
      </c>
      <c r="AD5">
        <v>2700</v>
      </c>
      <c r="AE5" t="str">
        <v>RENTAL / SERVICE</v>
      </c>
      <c r="AF5" t="str">
        <v/>
      </c>
    </row>
    <row r="6" spans="1:32" x14ac:dyDescent="0.25">
      <c r="A6" t="str">
        <v>MATERIALS</v>
      </c>
      <c r="B6" t="str">
        <v>25mm x 4.5mm THK External Bracket</v>
      </c>
      <c r="C6" t="str">
        <v>PCS</v>
      </c>
      <c r="D6">
        <v>7.5</v>
      </c>
      <c r="E6" s="12">
        <v>25.200000000000003</v>
      </c>
      <c r="F6" s="20">
        <v>0</v>
      </c>
      <c r="G6" s="12">
        <v>26</v>
      </c>
      <c r="H6" s="12">
        <v>195</v>
      </c>
      <c r="I6" s="12" t="str">
        <v>MATERIALS</v>
      </c>
      <c r="J6" s="12" t="str">
        <v/>
      </c>
      <c r="W6" t="str">
        <v>RENTAL / SERVICE</v>
      </c>
      <c r="X6" t="str">
        <v>Crane Hire - Standard (Per Day)</v>
      </c>
      <c r="Y6" t="str">
        <v>DAY</v>
      </c>
      <c r="Z6">
        <v>900</v>
      </c>
      <c r="AA6">
        <v>2</v>
      </c>
      <c r="AB6">
        <v>0</v>
      </c>
      <c r="AC6">
        <v>2</v>
      </c>
      <c r="AD6">
        <v>1800</v>
      </c>
      <c r="AE6" t="str">
        <v>RENTAL / SERVICE</v>
      </c>
      <c r="AF6" t="str">
        <v/>
      </c>
    </row>
    <row r="7" spans="1:32" x14ac:dyDescent="0.25">
      <c r="A7" t="str">
        <v>MATERIALS</v>
      </c>
      <c r="B7" t="str">
        <v>3/4" Aggregate (10-Wheel Truck)</v>
      </c>
      <c r="C7" t="str">
        <v>TRIP</v>
      </c>
      <c r="D7">
        <v>830</v>
      </c>
      <c r="E7" s="12">
        <v>1</v>
      </c>
      <c r="F7" s="20">
        <v>0</v>
      </c>
      <c r="G7" s="12">
        <v>1</v>
      </c>
      <c r="H7" s="12">
        <v>830</v>
      </c>
      <c r="I7" s="12" t="str">
        <v>MATERIALS</v>
      </c>
      <c r="J7" s="12" t="str">
        <v/>
      </c>
    </row>
    <row r="8" spans="1:32" x14ac:dyDescent="0.25">
      <c r="A8" t="str">
        <v>MATERIALS</v>
      </c>
      <c r="B8" t="str">
        <v>30inW x 84inH Bifold Mini Pro VACP 800 Series</v>
      </c>
      <c r="C8" t="str">
        <v>SET</v>
      </c>
      <c r="D8">
        <v>480</v>
      </c>
      <c r="E8" s="12">
        <v>1</v>
      </c>
      <c r="F8" s="20">
        <v>0</v>
      </c>
      <c r="G8" s="12">
        <v>1</v>
      </c>
      <c r="H8" s="12">
        <v>480</v>
      </c>
      <c r="I8" s="12" t="str">
        <v>MATERIALS</v>
      </c>
      <c r="J8" s="12" t="str">
        <v/>
      </c>
    </row>
    <row r="9" spans="1:32" x14ac:dyDescent="0.25">
      <c r="A9" t="str">
        <v>MATERIALS</v>
      </c>
      <c r="B9" t="str">
        <v>36inW x 84inH 1 Panel Grill Swing Kitchen/back door</v>
      </c>
      <c r="C9" t="str">
        <v>SET</v>
      </c>
      <c r="D9">
        <v>800</v>
      </c>
      <c r="E9" s="12">
        <v>1</v>
      </c>
      <c r="F9" s="20">
        <v>0</v>
      </c>
      <c r="G9" s="12">
        <v>1</v>
      </c>
      <c r="H9" s="12">
        <v>800</v>
      </c>
      <c r="I9" s="12" t="str">
        <v>MATERIALS</v>
      </c>
      <c r="J9" s="12" t="str">
        <v/>
      </c>
    </row>
    <row r="10" spans="1:32" x14ac:dyDescent="0.25">
      <c r="A10" t="str">
        <v>MATERIALS</v>
      </c>
      <c r="B10" t="str">
        <v>4" Dia Outlet</v>
      </c>
      <c r="C10" t="str">
        <v>PCS</v>
      </c>
      <c r="D10">
        <v>10</v>
      </c>
      <c r="E10" s="12">
        <v>4</v>
      </c>
      <c r="F10" s="20">
        <v>0</v>
      </c>
      <c r="G10" s="12">
        <v>4</v>
      </c>
      <c r="H10" s="12">
        <v>40</v>
      </c>
      <c r="I10" s="12" t="str">
        <v>MATERIALS</v>
      </c>
      <c r="J10" s="12" t="str">
        <v/>
      </c>
    </row>
    <row r="11" spans="1:32" x14ac:dyDescent="0.25">
      <c r="A11" t="str">
        <v>MATERIALS</v>
      </c>
      <c r="B11" t="str">
        <v>600mmW x 1200mmH 1 Panel Casement Window c/w Float Glass</v>
      </c>
      <c r="C11" t="str">
        <v>SET</v>
      </c>
      <c r="D11">
        <v>240</v>
      </c>
      <c r="E11" s="12">
        <v>1</v>
      </c>
      <c r="F11" s="20">
        <v>0</v>
      </c>
      <c r="G11" s="12">
        <v>1</v>
      </c>
      <c r="H11" s="12">
        <v>240</v>
      </c>
      <c r="I11" s="12" t="str">
        <v>MATERIALS</v>
      </c>
      <c r="J11" s="12" t="str">
        <v/>
      </c>
    </row>
    <row r="12" spans="1:32" x14ac:dyDescent="0.25">
      <c r="A12" t="str">
        <v>MATERIALS</v>
      </c>
      <c r="B12" t="str">
        <v>600mmW x 1200mmH 1 Panel Grill Window</v>
      </c>
      <c r="C12" t="str">
        <v>SET</v>
      </c>
      <c r="D12">
        <v>170</v>
      </c>
      <c r="E12" s="12">
        <v>1</v>
      </c>
      <c r="F12" s="20">
        <v>0</v>
      </c>
      <c r="G12" s="12">
        <v>1</v>
      </c>
      <c r="H12" s="12">
        <v>170</v>
      </c>
      <c r="I12" s="12" t="str">
        <v>MATERIALS</v>
      </c>
      <c r="J12" s="12" t="str">
        <v/>
      </c>
    </row>
    <row r="13" spans="1:32" x14ac:dyDescent="0.25">
      <c r="A13" t="str">
        <v>MATERIALS</v>
      </c>
      <c r="B13" t="str">
        <v>A Plus Stopping Compound 20kg</v>
      </c>
      <c r="C13" t="str">
        <v>BAG</v>
      </c>
      <c r="D13">
        <v>19.642857142857142</v>
      </c>
      <c r="E13" s="12">
        <v>7.3500000000000005</v>
      </c>
      <c r="F13" s="20">
        <v>0</v>
      </c>
      <c r="G13" s="12">
        <v>8</v>
      </c>
      <c r="H13" s="12">
        <v>157.14285714285714</v>
      </c>
      <c r="I13" s="12" t="str">
        <v>MATERIALS</v>
      </c>
      <c r="J13" s="12" t="str">
        <v/>
      </c>
    </row>
    <row r="14" spans="1:32" x14ac:dyDescent="0.25">
      <c r="A14" t="str">
        <v>MATERIALS</v>
      </c>
      <c r="B14" t="str">
        <v>Aluminium Ceiling Trim (STD) 3660mm</v>
      </c>
      <c r="C14" t="str">
        <v>LTH</v>
      </c>
      <c r="D14">
        <v>8.5</v>
      </c>
      <c r="E14" s="12">
        <v>12.600000000000001</v>
      </c>
      <c r="F14" s="20">
        <v>0</v>
      </c>
      <c r="G14" s="12">
        <v>13</v>
      </c>
      <c r="H14" s="12">
        <v>110.5</v>
      </c>
      <c r="I14" s="12" t="str">
        <v>MATERIALS</v>
      </c>
      <c r="J14" s="12" t="str">
        <v/>
      </c>
    </row>
    <row r="15" spans="1:32" x14ac:dyDescent="0.25">
      <c r="A15" t="str">
        <v>MATERIALS</v>
      </c>
      <c r="B15" t="str">
        <v>Basin Waste 11/4"</v>
      </c>
      <c r="C15" t="str">
        <v>PCS</v>
      </c>
      <c r="D15">
        <v>4</v>
      </c>
      <c r="E15" s="12">
        <v>1</v>
      </c>
      <c r="F15" s="20">
        <v>0</v>
      </c>
      <c r="G15" s="12">
        <v>1</v>
      </c>
      <c r="H15" s="12">
        <v>4</v>
      </c>
      <c r="I15" s="12" t="str">
        <v>MATERIALS</v>
      </c>
      <c r="J15" s="12" t="str">
        <v/>
      </c>
    </row>
    <row r="16" spans="1:32" x14ac:dyDescent="0.25">
      <c r="A16" t="str">
        <v>MATERIALS</v>
      </c>
      <c r="B16" t="str">
        <v>Bottle Trap PVC 11/4" 32mm Blue/green</v>
      </c>
      <c r="C16" t="str">
        <v>PCS</v>
      </c>
      <c r="D16">
        <v>8</v>
      </c>
      <c r="E16" s="12">
        <v>1</v>
      </c>
      <c r="F16" s="20">
        <v>0</v>
      </c>
      <c r="G16" s="12">
        <v>1</v>
      </c>
      <c r="H16" s="12">
        <v>8</v>
      </c>
      <c r="I16" s="12" t="str">
        <v>MATERIALS</v>
      </c>
      <c r="J16" s="12" t="str">
        <v/>
      </c>
    </row>
    <row r="17" spans="1:10" x14ac:dyDescent="0.25">
      <c r="A17" t="str">
        <v>MATERIALS</v>
      </c>
      <c r="B17" t="str">
        <v>Brass Garden Bib Tap 1/2"</v>
      </c>
      <c r="C17" t="str">
        <v>PCS</v>
      </c>
      <c r="D17">
        <v>8</v>
      </c>
      <c r="E17" s="12">
        <v>1</v>
      </c>
      <c r="F17" s="20">
        <v>0</v>
      </c>
      <c r="G17" s="12">
        <v>1</v>
      </c>
      <c r="H17" s="12">
        <v>8</v>
      </c>
      <c r="I17" s="12" t="str">
        <v>MATERIALS</v>
      </c>
      <c r="J17" s="12" t="str">
        <v/>
      </c>
    </row>
    <row r="18" spans="1:10" x14ac:dyDescent="0.25">
      <c r="A18" t="str">
        <v>MATERIALS</v>
      </c>
      <c r="B18" t="str">
        <v>Brass Stop Cock 1/2"</v>
      </c>
      <c r="C18" t="str">
        <v>PCS</v>
      </c>
      <c r="D18">
        <v>13</v>
      </c>
      <c r="E18" s="12">
        <v>2</v>
      </c>
      <c r="F18" s="20">
        <v>0</v>
      </c>
      <c r="G18" s="12">
        <v>2</v>
      </c>
      <c r="H18" s="12">
        <v>26</v>
      </c>
      <c r="I18" s="12" t="str">
        <v>MATERIALS</v>
      </c>
      <c r="J18" s="12" t="str">
        <v/>
      </c>
    </row>
    <row r="19" spans="1:10" x14ac:dyDescent="0.25">
      <c r="A19" t="str">
        <v>MATERIALS</v>
      </c>
      <c r="B19" t="str">
        <v>BRC Mesh A10 2.13m x 6.10m (Normal Spec) 3.2mm</v>
      </c>
      <c r="C19" t="str">
        <v>PCS</v>
      </c>
      <c r="D19">
        <v>214.99999999999997</v>
      </c>
      <c r="E19" s="12">
        <v>11.48</v>
      </c>
      <c r="F19" s="20">
        <v>0</v>
      </c>
      <c r="G19" s="12">
        <v>12</v>
      </c>
      <c r="H19" s="12">
        <v>2579.9999999999995</v>
      </c>
      <c r="I19" s="12" t="str">
        <v>MATERIALS</v>
      </c>
      <c r="J19" s="12" t="str">
        <v/>
      </c>
    </row>
    <row r="20" spans="1:10" x14ac:dyDescent="0.25">
      <c r="A20" t="str">
        <v>MATERIALS</v>
      </c>
      <c r="B20" t="str">
        <v>Butyl Flashing Tape 50.00mm x 5.00m</v>
      </c>
      <c r="C20" t="str">
        <v>ROLL</v>
      </c>
      <c r="D20">
        <v>15</v>
      </c>
      <c r="E20" s="12">
        <v>3.1500000000000004</v>
      </c>
      <c r="F20" s="20">
        <v>0</v>
      </c>
      <c r="G20" s="12">
        <v>4</v>
      </c>
      <c r="H20" s="12">
        <v>60</v>
      </c>
      <c r="I20" s="12" t="str">
        <v>MATERIALS</v>
      </c>
      <c r="J20" s="12" t="str">
        <v/>
      </c>
    </row>
    <row r="21" spans="1:10" x14ac:dyDescent="0.25">
      <c r="A21" t="str">
        <v>MATERIALS</v>
      </c>
      <c r="B21" t="str">
        <v>Cement Bricks 215 mm (L) x 102 mm (W) x 65 mm (H)</v>
      </c>
      <c r="C21" t="str">
        <v>PCS</v>
      </c>
      <c r="D21">
        <v>0.28000000000000003</v>
      </c>
      <c r="E21" s="12">
        <v>4017</v>
      </c>
      <c r="F21" s="20">
        <v>0</v>
      </c>
      <c r="G21" s="12">
        <v>4017</v>
      </c>
      <c r="H21" s="12">
        <v>1124.7600000000002</v>
      </c>
      <c r="I21" s="12" t="str">
        <v>MATERIALS</v>
      </c>
      <c r="J21" s="12" t="str">
        <v/>
      </c>
    </row>
    <row r="22" spans="1:10" x14ac:dyDescent="0.25">
      <c r="A22" t="str">
        <v>MATERIALS</v>
      </c>
      <c r="B22" t="str">
        <v>Coarse Sand (10-Wheel Truck)</v>
      </c>
      <c r="C22" t="str">
        <v>TRIP</v>
      </c>
      <c r="D22">
        <v>850.00000000000011</v>
      </c>
      <c r="E22" s="12">
        <v>0.86749999999999994</v>
      </c>
      <c r="F22" s="20">
        <v>0</v>
      </c>
      <c r="G22" s="12">
        <v>1</v>
      </c>
      <c r="H22" s="12">
        <v>850.00000000000011</v>
      </c>
      <c r="I22" s="12" t="str">
        <v>MATERIALS</v>
      </c>
      <c r="J22" s="12" t="str">
        <v/>
      </c>
    </row>
    <row r="23" spans="1:10" x14ac:dyDescent="0.25">
      <c r="A23" t="str">
        <v>MATERIALS</v>
      </c>
      <c r="B23" t="str">
        <v>Colourland Super White 9102 Colourlite 18L Emulsion Paint</v>
      </c>
      <c r="C23" t="str">
        <v>PAIL</v>
      </c>
      <c r="D23">
        <v>80</v>
      </c>
      <c r="E23" s="12">
        <v>2.1</v>
      </c>
      <c r="F23" s="20">
        <v>0</v>
      </c>
      <c r="G23" s="12">
        <v>3</v>
      </c>
      <c r="H23" s="12">
        <v>240</v>
      </c>
      <c r="I23" s="12" t="str">
        <v>MATERIALS</v>
      </c>
      <c r="J23" s="12" t="str">
        <v/>
      </c>
    </row>
    <row r="24" spans="1:10" x14ac:dyDescent="0.25">
      <c r="A24" t="str">
        <v>MATERIALS</v>
      </c>
      <c r="B24" t="str">
        <v>Consumer DB Box 12 Way</v>
      </c>
      <c r="C24" t="str">
        <v>UNIT</v>
      </c>
      <c r="D24">
        <v>185</v>
      </c>
      <c r="E24" s="12">
        <v>1</v>
      </c>
      <c r="F24" s="20">
        <v>0</v>
      </c>
      <c r="G24" s="12">
        <v>1</v>
      </c>
      <c r="H24" s="12">
        <v>185</v>
      </c>
      <c r="I24" s="12" t="str">
        <v>MATERIALS</v>
      </c>
      <c r="J24" s="12" t="str">
        <v/>
      </c>
    </row>
    <row r="25" spans="1:10" x14ac:dyDescent="0.25">
      <c r="A25" t="str">
        <v>MATERIALS</v>
      </c>
      <c r="B25" t="str">
        <v>Copper Cable Clamp (Heavy Duty)</v>
      </c>
      <c r="C25" t="str">
        <v>PCS</v>
      </c>
      <c r="D25">
        <v>6.5</v>
      </c>
      <c r="E25" s="12">
        <v>1</v>
      </c>
      <c r="F25" s="20">
        <v>0</v>
      </c>
      <c r="G25" s="12">
        <v>1</v>
      </c>
      <c r="H25" s="12">
        <v>6.5</v>
      </c>
      <c r="I25" s="12" t="str">
        <v>MATERIALS</v>
      </c>
      <c r="J25" s="12" t="str">
        <v/>
      </c>
    </row>
    <row r="26" spans="1:10" x14ac:dyDescent="0.25">
      <c r="A26" t="str">
        <v>MATERIALS</v>
      </c>
      <c r="B26" t="str">
        <v>Crusher Run (10-Wheel Truck)</v>
      </c>
      <c r="C26" t="str">
        <v>TRIP</v>
      </c>
      <c r="D26">
        <v>830.00000000000011</v>
      </c>
      <c r="E26" s="12">
        <v>0.68</v>
      </c>
      <c r="F26" s="20">
        <v>0</v>
      </c>
      <c r="G26" s="12">
        <v>1</v>
      </c>
      <c r="H26" s="12">
        <v>830.00000000000011</v>
      </c>
      <c r="I26" s="12" t="str">
        <v>MATERIALS</v>
      </c>
      <c r="J26" s="12" t="str">
        <v/>
      </c>
    </row>
    <row r="27" spans="1:10" x14ac:dyDescent="0.25">
      <c r="A27" t="str">
        <v>MATERIALS</v>
      </c>
      <c r="B27" t="str">
        <v>DOCASA Combo, c/w One-piece rimless toilet bowl + modern bathroom sink cabinet with basin, mirror &amp; shelf , Soft-close seat and cover, Cistern fittings, Cistern cover with flush button, Straight connector</v>
      </c>
      <c r="C27" t="str">
        <v>PCS</v>
      </c>
      <c r="D27">
        <v>650</v>
      </c>
      <c r="E27" s="12">
        <v>1</v>
      </c>
      <c r="F27" s="20">
        <v>0</v>
      </c>
      <c r="G27" s="12">
        <v>1</v>
      </c>
      <c r="H27" s="12">
        <v>650</v>
      </c>
      <c r="I27" s="12" t="str">
        <v>MATERIALS</v>
      </c>
      <c r="J27" s="12" t="str">
        <v/>
      </c>
    </row>
    <row r="28" spans="1:10" x14ac:dyDescent="0.25">
      <c r="A28" t="str">
        <v>MATERIALS</v>
      </c>
      <c r="B28" t="str">
        <v>Door Hinges 3/8" x 1-1/4" x 2"</v>
      </c>
      <c r="C28" t="str">
        <v>PCS</v>
      </c>
      <c r="D28">
        <v>0.85</v>
      </c>
      <c r="E28" s="12">
        <v>3.1500000000000004</v>
      </c>
      <c r="F28" s="20">
        <v>0</v>
      </c>
      <c r="G28" s="12">
        <v>4</v>
      </c>
      <c r="H28" s="12">
        <v>3.4</v>
      </c>
      <c r="I28" s="12" t="str">
        <v>MATERIALS</v>
      </c>
      <c r="J28" s="12" t="str">
        <v/>
      </c>
    </row>
    <row r="29" spans="1:10" x14ac:dyDescent="0.25">
      <c r="A29" t="str">
        <v>MATERIALS</v>
      </c>
      <c r="B29" t="str">
        <v>Downpipe 110/100mm x 5.8m</v>
      </c>
      <c r="C29" t="str">
        <v>LTH</v>
      </c>
      <c r="D29">
        <v>59</v>
      </c>
      <c r="E29" s="12">
        <v>4.2</v>
      </c>
      <c r="F29" s="20">
        <v>0</v>
      </c>
      <c r="G29" s="12">
        <v>5</v>
      </c>
      <c r="H29" s="12">
        <v>295</v>
      </c>
      <c r="I29" s="12" t="str">
        <v>MATERIALS</v>
      </c>
      <c r="J29" s="12" t="str">
        <v/>
      </c>
    </row>
    <row r="30" spans="1:10" x14ac:dyDescent="0.25">
      <c r="A30" t="str">
        <v>MATERIALS</v>
      </c>
      <c r="B30" t="str">
        <v>Downpipe Adaptor Socket 4"</v>
      </c>
      <c r="C30" t="str">
        <v>PCS</v>
      </c>
      <c r="D30">
        <v>6.2</v>
      </c>
      <c r="E30" s="12">
        <v>4.2</v>
      </c>
      <c r="F30" s="20">
        <v>0</v>
      </c>
      <c r="G30" s="12">
        <v>5</v>
      </c>
      <c r="H30" s="12">
        <v>31</v>
      </c>
      <c r="I30" s="12" t="str">
        <v>MATERIALS</v>
      </c>
      <c r="J30" s="12" t="str">
        <v/>
      </c>
    </row>
    <row r="31" spans="1:10" x14ac:dyDescent="0.25">
      <c r="A31" t="str">
        <v>MATERIALS</v>
      </c>
      <c r="B31" t="str">
        <v>Downpipe Elbow 105deg</v>
      </c>
      <c r="C31" t="str">
        <v>PCS</v>
      </c>
      <c r="D31">
        <v>5.6</v>
      </c>
      <c r="E31" s="12">
        <v>8.4</v>
      </c>
      <c r="F31" s="20">
        <v>0</v>
      </c>
      <c r="G31" s="12">
        <v>9</v>
      </c>
      <c r="H31" s="12">
        <v>50.4</v>
      </c>
      <c r="I31" s="12" t="str">
        <v>MATERIALS</v>
      </c>
      <c r="J31" s="12" t="str">
        <v/>
      </c>
    </row>
    <row r="32" spans="1:10" x14ac:dyDescent="0.25">
      <c r="A32" t="str">
        <v>MATERIALS</v>
      </c>
      <c r="B32" t="str">
        <v>Downpipe Pipe Clip</v>
      </c>
      <c r="C32" t="str">
        <v>PCS</v>
      </c>
      <c r="D32">
        <v>3</v>
      </c>
      <c r="E32" s="12">
        <v>12.600000000000001</v>
      </c>
      <c r="F32" s="20">
        <v>0</v>
      </c>
      <c r="G32" s="12">
        <v>13</v>
      </c>
      <c r="H32" s="12">
        <v>39</v>
      </c>
      <c r="I32" s="12" t="str">
        <v>MATERIALS</v>
      </c>
      <c r="J32" s="12" t="str">
        <v/>
      </c>
    </row>
    <row r="33" spans="1:10" x14ac:dyDescent="0.25">
      <c r="A33" t="str">
        <v>MATERIALS</v>
      </c>
      <c r="B33" t="str">
        <v>DPM PE 0.20mm</v>
      </c>
      <c r="C33" t="str">
        <v>ROLL</v>
      </c>
      <c r="D33">
        <v>180</v>
      </c>
      <c r="E33" s="12">
        <v>2</v>
      </c>
      <c r="F33" s="20">
        <v>0</v>
      </c>
      <c r="G33" s="12">
        <v>2</v>
      </c>
      <c r="H33" s="12">
        <v>360</v>
      </c>
      <c r="I33" s="12" t="str">
        <v>MATERIALS</v>
      </c>
      <c r="J33" s="12" t="str">
        <v/>
      </c>
    </row>
    <row r="34" spans="1:10" x14ac:dyDescent="0.25">
      <c r="A34" t="str">
        <v>MATERIALS</v>
      </c>
      <c r="B34" t="str">
        <v>Drywall Fibre Joint Tape 50mm x 50m</v>
      </c>
      <c r="C34" t="str">
        <v>PCS</v>
      </c>
      <c r="D34">
        <v>3</v>
      </c>
      <c r="E34" s="12">
        <v>2.1</v>
      </c>
      <c r="F34" s="20">
        <v>0</v>
      </c>
      <c r="G34" s="12">
        <v>3</v>
      </c>
      <c r="H34" s="12">
        <v>9</v>
      </c>
      <c r="I34" s="12" t="str">
        <v>MATERIALS</v>
      </c>
      <c r="J34" s="12" t="str">
        <v/>
      </c>
    </row>
    <row r="35" spans="1:10" x14ac:dyDescent="0.25">
      <c r="A35" t="str">
        <v>MATERIALS</v>
      </c>
      <c r="B35" t="str">
        <v>Earth Cable 16mm2 G/Y (Estimate 15m)</v>
      </c>
      <c r="C35" t="str">
        <v>M</v>
      </c>
      <c r="D35">
        <v>10.5</v>
      </c>
      <c r="E35" s="12">
        <v>15</v>
      </c>
      <c r="F35" s="20">
        <v>0</v>
      </c>
      <c r="G35" s="12">
        <v>15</v>
      </c>
      <c r="H35" s="12">
        <v>157.5</v>
      </c>
      <c r="I35" s="12" t="str">
        <v>MATERIALS</v>
      </c>
      <c r="J35" s="12" t="str">
        <v/>
      </c>
    </row>
    <row r="36" spans="1:10" x14ac:dyDescent="0.25">
      <c r="A36" t="str">
        <v>MATERIALS</v>
      </c>
      <c r="B36" t="str">
        <v>EPS MCB 1P (6A/10A/16A/20A/32A)</v>
      </c>
      <c r="C36" t="str">
        <v>PCS</v>
      </c>
      <c r="D36">
        <v>4.5999999999999996</v>
      </c>
      <c r="E36" s="12">
        <v>4</v>
      </c>
      <c r="F36" s="20">
        <v>0</v>
      </c>
      <c r="G36" s="12">
        <v>4</v>
      </c>
      <c r="H36" s="12">
        <v>18.399999999999999</v>
      </c>
      <c r="I36" s="12" t="str">
        <v>MATERIALS</v>
      </c>
      <c r="J36" s="12" t="str">
        <v/>
      </c>
    </row>
    <row r="37" spans="1:10" x14ac:dyDescent="0.25">
      <c r="A37" t="str">
        <v>MATERIALS</v>
      </c>
      <c r="B37" t="str">
        <v>EPS RCCB Single Phase 40A 2P 30mA</v>
      </c>
      <c r="C37" t="str">
        <v>PCS</v>
      </c>
      <c r="D37">
        <v>59</v>
      </c>
      <c r="E37" s="12">
        <v>1</v>
      </c>
      <c r="F37" s="20">
        <v>0</v>
      </c>
      <c r="G37" s="12">
        <v>1</v>
      </c>
      <c r="H37" s="12">
        <v>59</v>
      </c>
      <c r="I37" s="12" t="str">
        <v>MATERIALS</v>
      </c>
      <c r="J37" s="12" t="str">
        <v/>
      </c>
    </row>
    <row r="38" spans="1:10" x14ac:dyDescent="0.25">
      <c r="A38" t="str">
        <v>MATERIALS</v>
      </c>
      <c r="B38" t="str">
        <v>EPS SPD Single Phase 1P+N 20/40kA</v>
      </c>
      <c r="C38" t="str">
        <v>PCS</v>
      </c>
      <c r="D38">
        <v>165</v>
      </c>
      <c r="E38" s="12">
        <v>1</v>
      </c>
      <c r="F38" s="20">
        <v>0</v>
      </c>
      <c r="G38" s="12">
        <v>1</v>
      </c>
      <c r="H38" s="12">
        <v>165</v>
      </c>
      <c r="I38" s="12" t="str">
        <v>MATERIALS</v>
      </c>
      <c r="J38" s="12" t="str">
        <v/>
      </c>
    </row>
    <row r="39" spans="1:10" x14ac:dyDescent="0.25">
      <c r="A39" t="str">
        <v>MATERIALS</v>
      </c>
      <c r="B39" t="str">
        <v>Fine Sand (10-Wheel Truck)</v>
      </c>
      <c r="C39" t="str">
        <v>TRIP</v>
      </c>
      <c r="D39">
        <v>949.99999999999989</v>
      </c>
      <c r="E39" s="12">
        <v>0.14000000000000001</v>
      </c>
      <c r="F39" s="20">
        <v>0</v>
      </c>
      <c r="G39" s="12">
        <v>1</v>
      </c>
      <c r="H39" s="12">
        <v>949.99999999999989</v>
      </c>
      <c r="I39" s="12" t="str">
        <v>MATERIALS</v>
      </c>
      <c r="J39" s="12" t="str">
        <v/>
      </c>
    </row>
    <row r="40" spans="1:10" x14ac:dyDescent="0.25">
      <c r="A40" t="str">
        <v>MATERIALS</v>
      </c>
      <c r="B40" t="str">
        <v>Fine Sand (Scoop)</v>
      </c>
      <c r="C40" t="str">
        <v>SCOOP</v>
      </c>
      <c r="D40">
        <v>80</v>
      </c>
      <c r="E40" s="12">
        <v>2</v>
      </c>
      <c r="F40" s="20">
        <v>0</v>
      </c>
      <c r="G40" s="12">
        <v>2</v>
      </c>
      <c r="H40" s="12">
        <v>160</v>
      </c>
      <c r="I40" s="12" t="str">
        <v>MATERIALS</v>
      </c>
      <c r="J40" s="12" t="str">
        <v/>
      </c>
    </row>
    <row r="41" spans="1:10" x14ac:dyDescent="0.25">
      <c r="A41" t="str">
        <v>MATERIALS</v>
      </c>
      <c r="B41" t="str">
        <v>Flashing #30 12" x 8.00ft</v>
      </c>
      <c r="C41" t="str">
        <v>PCS</v>
      </c>
      <c r="D41">
        <v>28</v>
      </c>
      <c r="E41" s="12">
        <v>10.5</v>
      </c>
      <c r="F41" s="20">
        <v>0</v>
      </c>
      <c r="G41" s="12">
        <v>11</v>
      </c>
      <c r="H41" s="12">
        <v>308</v>
      </c>
      <c r="I41" s="12" t="str">
        <v>MATERIALS</v>
      </c>
      <c r="J41" s="12" t="str">
        <v/>
      </c>
    </row>
    <row r="42" spans="1:10" x14ac:dyDescent="0.25">
      <c r="A42" t="str">
        <v>MATERIALS</v>
      </c>
      <c r="B42" t="str">
        <v>Flexible Hose Latina 10"</v>
      </c>
      <c r="C42" t="str">
        <v>PCS</v>
      </c>
      <c r="D42">
        <v>6</v>
      </c>
      <c r="E42" s="12">
        <v>2</v>
      </c>
      <c r="F42" s="20">
        <v>0</v>
      </c>
      <c r="G42" s="12">
        <v>2</v>
      </c>
      <c r="H42" s="12">
        <v>12</v>
      </c>
      <c r="I42" s="12" t="str">
        <v>MATERIALS</v>
      </c>
      <c r="J42" s="12" t="str">
        <v/>
      </c>
    </row>
    <row r="43" spans="1:10" x14ac:dyDescent="0.25">
      <c r="A43" t="str">
        <v>MATERIALS</v>
      </c>
      <c r="B43" t="str">
        <v>GI Batten 32.00mm x 40.00mm x 0.42mm x 6.00m</v>
      </c>
      <c r="C43" t="str">
        <v>PCS</v>
      </c>
      <c r="D43">
        <v>22</v>
      </c>
      <c r="E43" s="12">
        <v>27.3</v>
      </c>
      <c r="F43" s="20">
        <v>0</v>
      </c>
      <c r="G43" s="12">
        <v>28</v>
      </c>
      <c r="H43" s="12">
        <v>616</v>
      </c>
      <c r="I43" s="12" t="str">
        <v>MATERIALS</v>
      </c>
      <c r="J43" s="12" t="str">
        <v/>
      </c>
    </row>
    <row r="44" spans="1:10" x14ac:dyDescent="0.25">
      <c r="A44" t="str">
        <v>MATERIALS</v>
      </c>
      <c r="B44" t="str">
        <v>GI Bracing 2440mm</v>
      </c>
      <c r="C44" t="str">
        <v>LTH</v>
      </c>
      <c r="D44">
        <v>3.5</v>
      </c>
      <c r="E44" s="12">
        <v>31.5</v>
      </c>
      <c r="F44" s="20">
        <v>0</v>
      </c>
      <c r="G44" s="12">
        <v>32</v>
      </c>
      <c r="H44" s="12">
        <v>112</v>
      </c>
      <c r="I44" s="12" t="str">
        <v>MATERIALS</v>
      </c>
      <c r="J44" s="12" t="str">
        <v/>
      </c>
    </row>
    <row r="45" spans="1:10" x14ac:dyDescent="0.25">
      <c r="A45" t="str">
        <v>MATERIALS</v>
      </c>
      <c r="B45" t="str">
        <v>GI Carrier Rail (MF) 4880.00mm</v>
      </c>
      <c r="C45" t="str">
        <v>PCS</v>
      </c>
      <c r="D45">
        <v>20</v>
      </c>
      <c r="E45" s="12">
        <v>12.600000000000001</v>
      </c>
      <c r="F45" s="20">
        <v>0</v>
      </c>
      <c r="G45" s="12">
        <v>13</v>
      </c>
      <c r="H45" s="12">
        <v>260</v>
      </c>
      <c r="I45" s="12" t="str">
        <v>MATERIALS</v>
      </c>
      <c r="J45" s="12" t="str">
        <v/>
      </c>
    </row>
    <row r="46" spans="1:10" x14ac:dyDescent="0.25">
      <c r="A46" t="str">
        <v>MATERIALS</v>
      </c>
      <c r="B46" t="str">
        <v>Gyproc Gypsum Board 4.00ft x 6.00ft x 9.00mm</v>
      </c>
      <c r="C46" t="str">
        <v>SHEET</v>
      </c>
      <c r="D46">
        <v>25</v>
      </c>
      <c r="E46" s="12">
        <v>13.65</v>
      </c>
      <c r="F46" s="20">
        <v>0</v>
      </c>
      <c r="G46" s="12">
        <v>14</v>
      </c>
      <c r="H46" s="12">
        <v>350</v>
      </c>
      <c r="I46" s="12" t="str">
        <v>MATERIALS</v>
      </c>
      <c r="J46" s="12" t="str">
        <v/>
      </c>
    </row>
    <row r="47" spans="1:10" x14ac:dyDescent="0.25">
      <c r="A47" t="str">
        <v>MATERIALS</v>
      </c>
      <c r="B47" t="str">
        <v>Hex Self-Drilling Screw DS525HW 10# x 1"</v>
      </c>
      <c r="C47" t="str">
        <v>PCS</v>
      </c>
      <c r="D47">
        <v>0.13</v>
      </c>
      <c r="E47" s="12">
        <v>1260</v>
      </c>
      <c r="F47" s="20">
        <v>0</v>
      </c>
      <c r="G47" s="12">
        <v>1260</v>
      </c>
      <c r="H47" s="12">
        <v>163.80000000000001</v>
      </c>
      <c r="I47" s="12" t="str">
        <v>MATERIALS</v>
      </c>
      <c r="J47" s="12" t="str">
        <v/>
      </c>
    </row>
    <row r="48" spans="1:10" x14ac:dyDescent="0.25">
      <c r="A48" t="str">
        <v>MATERIALS</v>
      </c>
      <c r="B48" t="str">
        <v>LED Downlight 4in 12W</v>
      </c>
      <c r="C48" t="str">
        <v>PCS</v>
      </c>
      <c r="D48">
        <v>9.9</v>
      </c>
      <c r="E48" s="12">
        <v>10</v>
      </c>
      <c r="F48" s="20">
        <v>0</v>
      </c>
      <c r="G48" s="12">
        <v>10</v>
      </c>
      <c r="H48" s="12">
        <v>99</v>
      </c>
      <c r="I48" s="12" t="str">
        <v>MATERIALS</v>
      </c>
      <c r="J48" s="12" t="str">
        <v/>
      </c>
    </row>
    <row r="49" spans="1:10" x14ac:dyDescent="0.25">
      <c r="A49" t="str">
        <v>MATERIALS</v>
      </c>
      <c r="B49" t="str">
        <v>Long Bend 4"</v>
      </c>
      <c r="C49" t="str">
        <v>PKT</v>
      </c>
      <c r="D49">
        <v>8.4</v>
      </c>
      <c r="E49" s="12">
        <v>1</v>
      </c>
      <c r="F49" s="20">
        <v>0</v>
      </c>
      <c r="G49" s="12">
        <v>1</v>
      </c>
      <c r="H49" s="12">
        <v>8.4</v>
      </c>
      <c r="I49" s="12" t="str">
        <v>MATERIALS</v>
      </c>
      <c r="J49" s="12" t="str">
        <v/>
      </c>
    </row>
    <row r="50" spans="1:10" x14ac:dyDescent="0.25">
      <c r="A50" t="str">
        <v>MATERIALS</v>
      </c>
      <c r="B50" t="str">
        <v>Mega PVC Cable 1.5mm2 (Black, SIRIM)</v>
      </c>
      <c r="C50" t="str">
        <v>ROLL</v>
      </c>
      <c r="D50">
        <v>92</v>
      </c>
      <c r="E50" s="12">
        <v>1</v>
      </c>
      <c r="F50" s="20">
        <v>0</v>
      </c>
      <c r="G50" s="12">
        <v>1</v>
      </c>
      <c r="H50" s="12">
        <v>92</v>
      </c>
      <c r="I50" s="12" t="str">
        <v>MATERIALS</v>
      </c>
      <c r="J50" s="12" t="str">
        <v/>
      </c>
    </row>
    <row r="51" spans="1:10" x14ac:dyDescent="0.25">
      <c r="A51" t="str">
        <v>MATERIALS</v>
      </c>
      <c r="B51" t="str">
        <v>Mega PVC Cable 1.5mm2 (Green, SIRIM)</v>
      </c>
      <c r="C51" t="str">
        <v>ROLL</v>
      </c>
      <c r="D51">
        <v>92</v>
      </c>
      <c r="E51" s="12">
        <v>1</v>
      </c>
      <c r="F51" s="20">
        <v>0</v>
      </c>
      <c r="G51" s="12">
        <v>1</v>
      </c>
      <c r="H51" s="12">
        <v>92</v>
      </c>
      <c r="I51" s="12" t="str">
        <v>MATERIALS</v>
      </c>
      <c r="J51" s="12" t="str">
        <v/>
      </c>
    </row>
    <row r="52" spans="1:10" x14ac:dyDescent="0.25">
      <c r="A52" t="str">
        <v>MATERIALS</v>
      </c>
      <c r="B52" t="str">
        <v>Mega PVC Cable 1.5mm2 (Red, SIRIM)</v>
      </c>
      <c r="C52" t="str">
        <v>ROLL</v>
      </c>
      <c r="D52">
        <v>92</v>
      </c>
      <c r="E52" s="12">
        <v>1</v>
      </c>
      <c r="F52" s="20">
        <v>0</v>
      </c>
      <c r="G52" s="12">
        <v>1</v>
      </c>
      <c r="H52" s="12">
        <v>92</v>
      </c>
      <c r="I52" s="12" t="str">
        <v>MATERIALS</v>
      </c>
      <c r="J52" s="12" t="str">
        <v/>
      </c>
    </row>
    <row r="53" spans="1:10" x14ac:dyDescent="0.25">
      <c r="A53" t="str">
        <v>MATERIALS</v>
      </c>
      <c r="B53" t="str">
        <v>Mega PVC Cable 2.5mm2 (Black, SIRIM)</v>
      </c>
      <c r="C53" t="str">
        <v>ROLL</v>
      </c>
      <c r="D53">
        <v>146</v>
      </c>
      <c r="E53" s="12">
        <v>1</v>
      </c>
      <c r="F53" s="20">
        <v>0</v>
      </c>
      <c r="G53" s="12">
        <v>1</v>
      </c>
      <c r="H53" s="12">
        <v>146</v>
      </c>
      <c r="I53" s="12" t="str">
        <v>MATERIALS</v>
      </c>
      <c r="J53" s="12" t="str">
        <v/>
      </c>
    </row>
    <row r="54" spans="1:10" x14ac:dyDescent="0.25">
      <c r="A54" t="str">
        <v>MATERIALS</v>
      </c>
      <c r="B54" t="str">
        <v>Mega PVC Cable 2.5mm2 (Green, SIRIM)</v>
      </c>
      <c r="C54" t="str">
        <v>ROLL</v>
      </c>
      <c r="D54">
        <v>146</v>
      </c>
      <c r="E54" s="12">
        <v>1</v>
      </c>
      <c r="F54" s="20">
        <v>0</v>
      </c>
      <c r="G54" s="12">
        <v>1</v>
      </c>
      <c r="H54" s="12">
        <v>146</v>
      </c>
      <c r="I54" s="12" t="str">
        <v>MATERIALS</v>
      </c>
      <c r="J54" s="12" t="str">
        <v/>
      </c>
    </row>
    <row r="55" spans="1:10" x14ac:dyDescent="0.25">
      <c r="A55" t="str">
        <v>MATERIALS</v>
      </c>
      <c r="B55" t="str">
        <v>Mega PVC Cable 2.5mm2 (Red, SIRIM)</v>
      </c>
      <c r="C55" t="str">
        <v>ROLL</v>
      </c>
      <c r="D55">
        <v>146</v>
      </c>
      <c r="E55" s="12">
        <v>1</v>
      </c>
      <c r="F55" s="20">
        <v>0</v>
      </c>
      <c r="G55" s="12">
        <v>1</v>
      </c>
      <c r="H55" s="12">
        <v>146</v>
      </c>
      <c r="I55" s="12" t="str">
        <v>MATERIALS</v>
      </c>
      <c r="J55" s="12" t="str">
        <v/>
      </c>
    </row>
    <row r="56" spans="1:10" x14ac:dyDescent="0.25">
      <c r="A56" t="str">
        <v>MATERIALS</v>
      </c>
      <c r="B56" t="str">
        <v>Mixed Timber 2" x 3" x 10ft (Grade A)</v>
      </c>
      <c r="C56" t="str">
        <v>LTH</v>
      </c>
      <c r="D56">
        <v>15</v>
      </c>
      <c r="E56" s="12">
        <v>64.5</v>
      </c>
      <c r="F56" s="20">
        <v>0</v>
      </c>
      <c r="G56" s="12">
        <v>65</v>
      </c>
      <c r="H56" s="12">
        <v>975</v>
      </c>
      <c r="I56" s="12" t="str">
        <v>MATERIALS</v>
      </c>
      <c r="J56" s="12" t="str">
        <v/>
      </c>
    </row>
    <row r="57" spans="1:10" x14ac:dyDescent="0.25">
      <c r="A57" t="str">
        <v>MATERIALS</v>
      </c>
      <c r="B57" t="str">
        <v>ML7025-SS Armor Lever Mortise</v>
      </c>
      <c r="C57" t="str">
        <v>SET</v>
      </c>
      <c r="D57">
        <v>60</v>
      </c>
      <c r="E57" s="12">
        <v>1</v>
      </c>
      <c r="F57" s="20">
        <v>0</v>
      </c>
      <c r="G57" s="12">
        <v>1</v>
      </c>
      <c r="H57" s="12">
        <v>60</v>
      </c>
      <c r="I57" s="12" t="str">
        <v>MATERIALS</v>
      </c>
      <c r="J57" s="12" t="str">
        <v/>
      </c>
    </row>
    <row r="58" spans="1:10" x14ac:dyDescent="0.25">
      <c r="A58" t="str">
        <v>MATERIALS</v>
      </c>
      <c r="B58" t="str">
        <v>MS Deformed Bar Y10 12.00m (Main Bars)</v>
      </c>
      <c r="C58" t="str">
        <v>BAR</v>
      </c>
      <c r="D58">
        <v>22</v>
      </c>
      <c r="E58" s="12">
        <v>19.950000000000003</v>
      </c>
      <c r="F58" s="20">
        <v>0</v>
      </c>
      <c r="G58" s="12">
        <v>20</v>
      </c>
      <c r="H58" s="12">
        <v>440</v>
      </c>
      <c r="I58" s="12" t="str">
        <v>MATERIALS</v>
      </c>
      <c r="J58" s="12" t="str">
        <v/>
      </c>
    </row>
    <row r="59" spans="1:10" x14ac:dyDescent="0.25">
      <c r="A59" t="str">
        <v>MATERIALS</v>
      </c>
      <c r="B59" t="str">
        <v>MS Deformed Bar Y12 12.00m</v>
      </c>
      <c r="C59" t="str">
        <v>BAR</v>
      </c>
      <c r="D59">
        <v>28</v>
      </c>
      <c r="E59" s="12">
        <v>72</v>
      </c>
      <c r="F59" s="20">
        <v>0</v>
      </c>
      <c r="G59" s="12">
        <v>72</v>
      </c>
      <c r="H59" s="12">
        <v>2016</v>
      </c>
      <c r="I59" s="12" t="str">
        <v>MATERIALS</v>
      </c>
      <c r="J59" s="12" t="str">
        <v/>
      </c>
    </row>
    <row r="60" spans="1:10" x14ac:dyDescent="0.25">
      <c r="A60" t="str">
        <v>MATERIALS</v>
      </c>
      <c r="B60" t="str">
        <v>MS Round Bar R6 12.00m</v>
      </c>
      <c r="C60" t="str">
        <v>BAR</v>
      </c>
      <c r="D60">
        <v>15</v>
      </c>
      <c r="E60" s="12">
        <v>45.6</v>
      </c>
      <c r="F60" s="20">
        <v>0</v>
      </c>
      <c r="G60" s="12">
        <v>46</v>
      </c>
      <c r="H60" s="12">
        <v>690</v>
      </c>
      <c r="I60" s="12" t="str">
        <v>MATERIALS</v>
      </c>
      <c r="J60" s="12" t="str">
        <v/>
      </c>
    </row>
    <row r="61" spans="1:10" x14ac:dyDescent="0.25">
      <c r="A61" t="str">
        <v>MATERIALS</v>
      </c>
      <c r="B61" t="str">
        <v>MS SHS Square Hollow 2" 1.6mm x 6m</v>
      </c>
      <c r="C61" t="str">
        <v>LTH</v>
      </c>
      <c r="D61">
        <v>55</v>
      </c>
      <c r="E61" s="12">
        <v>16.8</v>
      </c>
      <c r="F61" s="20">
        <v>0</v>
      </c>
      <c r="G61" s="12">
        <v>17</v>
      </c>
      <c r="H61" s="12">
        <v>935</v>
      </c>
      <c r="I61" s="12" t="str">
        <v>MATERIALS</v>
      </c>
      <c r="J61" s="12" t="str">
        <v/>
      </c>
    </row>
    <row r="62" spans="1:10" x14ac:dyDescent="0.25">
      <c r="A62" t="str">
        <v>MATERIALS</v>
      </c>
      <c r="B62" t="str">
        <v>Newton LED Batten 4ft Single Fitting C/W SBE LED Tube 22W 6500K</v>
      </c>
      <c r="C62" t="str">
        <v>SET</v>
      </c>
      <c r="D62">
        <v>13</v>
      </c>
      <c r="E62" s="12">
        <v>2</v>
      </c>
      <c r="F62" s="20">
        <v>0</v>
      </c>
      <c r="G62" s="12">
        <v>2</v>
      </c>
      <c r="H62" s="12">
        <v>26</v>
      </c>
      <c r="I62" s="12" t="str">
        <v>MATERIALS</v>
      </c>
      <c r="J62" s="12" t="str">
        <v/>
      </c>
    </row>
    <row r="63" spans="1:10" x14ac:dyDescent="0.25">
      <c r="A63" t="str">
        <v>MATERIALS</v>
      </c>
      <c r="B63" t="str">
        <v>Plaster Ceiling Manhole 12"</v>
      </c>
      <c r="C63" t="str">
        <v>PCS</v>
      </c>
      <c r="D63">
        <v>13</v>
      </c>
      <c r="E63" s="12">
        <v>2</v>
      </c>
      <c r="F63" s="20">
        <v>0</v>
      </c>
      <c r="G63" s="12">
        <v>2</v>
      </c>
      <c r="H63" s="12">
        <v>26</v>
      </c>
      <c r="I63" s="12" t="str">
        <v>MATERIALS</v>
      </c>
      <c r="J63" s="12" t="str">
        <v/>
      </c>
    </row>
    <row r="64" spans="1:10" x14ac:dyDescent="0.25">
      <c r="A64" t="str">
        <v>MATERIALS</v>
      </c>
      <c r="B64" t="str">
        <v>Plastic Tarpaulin Sheet 12 x 18ft</v>
      </c>
      <c r="C64" t="str">
        <v>PCS</v>
      </c>
      <c r="D64">
        <v>65</v>
      </c>
      <c r="E64" s="12">
        <v>2</v>
      </c>
      <c r="F64" s="20">
        <v>0</v>
      </c>
      <c r="G64" s="12">
        <v>2</v>
      </c>
      <c r="H64" s="12">
        <v>130</v>
      </c>
      <c r="I64" s="12" t="str">
        <v>MATERIALS</v>
      </c>
      <c r="J64" s="12" t="str">
        <v/>
      </c>
    </row>
    <row r="65" spans="1:10" x14ac:dyDescent="0.25">
      <c r="A65" t="str">
        <v>MATERIALS</v>
      </c>
      <c r="B65" t="str">
        <v>Plywood 9mm 4ft x 8ft</v>
      </c>
      <c r="C65" t="str">
        <v>SHEET</v>
      </c>
      <c r="D65">
        <v>44.999999999999993</v>
      </c>
      <c r="E65" s="12">
        <v>37.400000000000006</v>
      </c>
      <c r="F65" s="20">
        <v>0</v>
      </c>
      <c r="G65" s="12">
        <v>38</v>
      </c>
      <c r="H65" s="12">
        <v>1709.9999999999998</v>
      </c>
      <c r="I65" s="12" t="str">
        <v>MATERIALS</v>
      </c>
      <c r="J65" s="12" t="str">
        <v/>
      </c>
    </row>
    <row r="66" spans="1:10" x14ac:dyDescent="0.25">
      <c r="A66" t="str">
        <v>MATERIALS</v>
      </c>
      <c r="B66" t="str">
        <v>Poly Rope 6mm Blue</v>
      </c>
      <c r="C66" t="str">
        <v>ROLL</v>
      </c>
      <c r="D66">
        <v>15</v>
      </c>
      <c r="E66" s="12">
        <v>1</v>
      </c>
      <c r="F66" s="20">
        <v>0</v>
      </c>
      <c r="G66" s="12">
        <v>1</v>
      </c>
      <c r="H66" s="12">
        <v>15</v>
      </c>
      <c r="I66" s="12" t="str">
        <v>MATERIALS</v>
      </c>
      <c r="J66" s="12" t="str">
        <v/>
      </c>
    </row>
    <row r="67" spans="1:10" x14ac:dyDescent="0.25">
      <c r="A67" t="str">
        <v>MATERIALS</v>
      </c>
      <c r="B67" t="str">
        <v>Poly Sealant 280ml</v>
      </c>
      <c r="C67" t="str">
        <v>PCS</v>
      </c>
      <c r="D67">
        <v>5.5</v>
      </c>
      <c r="E67" s="12">
        <v>4.2</v>
      </c>
      <c r="F67" s="20">
        <v>0</v>
      </c>
      <c r="G67" s="12">
        <v>5</v>
      </c>
      <c r="H67" s="12">
        <v>27.5</v>
      </c>
      <c r="I67" s="12" t="str">
        <v>MATERIALS</v>
      </c>
      <c r="J67" s="12" t="str">
        <v/>
      </c>
    </row>
    <row r="68" spans="1:10" x14ac:dyDescent="0.25">
      <c r="A68" t="str">
        <v>MATERIALS</v>
      </c>
      <c r="B68" t="str">
        <v>Primaflex Fibre Cement Board 4.00ft x 4.00ft</v>
      </c>
      <c r="C68" t="str">
        <v>SHEET</v>
      </c>
      <c r="D68">
        <v>13</v>
      </c>
      <c r="E68" s="12">
        <v>5.25</v>
      </c>
      <c r="F68" s="20">
        <v>0</v>
      </c>
      <c r="G68" s="12">
        <v>6</v>
      </c>
      <c r="H68" s="12">
        <v>78</v>
      </c>
      <c r="I68" s="12" t="str">
        <v>MATERIALS</v>
      </c>
      <c r="J68" s="12" t="str">
        <v/>
      </c>
    </row>
    <row r="69" spans="1:10" x14ac:dyDescent="0.25">
      <c r="A69" t="str">
        <v>MATERIALS</v>
      </c>
      <c r="B69" t="str">
        <v>PVC Concealed Box 1 Gang</v>
      </c>
      <c r="C69" t="str">
        <v>UNIT</v>
      </c>
      <c r="D69">
        <v>0.35</v>
      </c>
      <c r="E69" s="12">
        <v>15</v>
      </c>
      <c r="F69" s="20">
        <v>0</v>
      </c>
      <c r="G69" s="12">
        <v>15</v>
      </c>
      <c r="H69" s="12">
        <v>5.25</v>
      </c>
      <c r="I69" s="12" t="str">
        <v>MATERIALS</v>
      </c>
      <c r="J69" s="12" t="str">
        <v/>
      </c>
    </row>
    <row r="70" spans="1:10" x14ac:dyDescent="0.25">
      <c r="A70" t="str">
        <v>MATERIALS</v>
      </c>
      <c r="B70" t="str">
        <v>PVC Conduit Pipe 20mm (10ft)</v>
      </c>
      <c r="C70" t="str">
        <v>LTH</v>
      </c>
      <c r="D70">
        <v>6.8</v>
      </c>
      <c r="E70" s="12">
        <v>15</v>
      </c>
      <c r="F70" s="20">
        <v>0</v>
      </c>
      <c r="G70" s="12">
        <v>15</v>
      </c>
      <c r="H70" s="12">
        <v>102</v>
      </c>
      <c r="I70" s="12" t="str">
        <v>MATERIALS</v>
      </c>
      <c r="J70" s="12" t="str">
        <v/>
      </c>
    </row>
    <row r="71" spans="1:10" x14ac:dyDescent="0.25">
      <c r="A71" t="str">
        <v>MATERIALS</v>
      </c>
      <c r="B71" t="str">
        <v>PVC Conduit Pipe 25mm (10ft)</v>
      </c>
      <c r="C71" t="str">
        <v>LTH</v>
      </c>
      <c r="D71">
        <v>10.199999999999999</v>
      </c>
      <c r="E71" s="12">
        <v>12</v>
      </c>
      <c r="F71" s="20">
        <v>0</v>
      </c>
      <c r="G71" s="12">
        <v>12</v>
      </c>
      <c r="H71" s="12">
        <v>122.39999999999999</v>
      </c>
      <c r="I71" s="12" t="str">
        <v>MATERIALS</v>
      </c>
      <c r="J71" s="12" t="str">
        <v/>
      </c>
    </row>
    <row r="72" spans="1:10" x14ac:dyDescent="0.25">
      <c r="A72" t="str">
        <v>MATERIALS</v>
      </c>
      <c r="B72" t="str">
        <v>PVC Elbow 90 Degree 25mm</v>
      </c>
      <c r="C72" t="str">
        <v>PKT</v>
      </c>
      <c r="D72">
        <v>1.36</v>
      </c>
      <c r="E72" s="12">
        <v>2</v>
      </c>
      <c r="F72" s="20">
        <v>0</v>
      </c>
      <c r="G72" s="12">
        <v>2</v>
      </c>
      <c r="H72" s="12">
        <v>2.72</v>
      </c>
      <c r="I72" s="12" t="str">
        <v>MATERIALS</v>
      </c>
      <c r="J72" s="12" t="str">
        <v/>
      </c>
    </row>
    <row r="73" spans="1:10" x14ac:dyDescent="0.25">
      <c r="A73" t="str">
        <v>MATERIALS</v>
      </c>
      <c r="B73" t="str">
        <v>PVC Fitting Double End Socket 100mm (4")</v>
      </c>
      <c r="C73" t="str">
        <v>PCS</v>
      </c>
      <c r="D73">
        <v>9.5</v>
      </c>
      <c r="E73" s="12">
        <v>2.1</v>
      </c>
      <c r="F73" s="20">
        <v>0</v>
      </c>
      <c r="G73" s="12">
        <v>3</v>
      </c>
      <c r="H73" s="12">
        <v>28.5</v>
      </c>
      <c r="I73" s="12" t="str">
        <v>MATERIALS</v>
      </c>
      <c r="J73" s="12" t="str">
        <v/>
      </c>
    </row>
    <row r="74" spans="1:10" x14ac:dyDescent="0.25">
      <c r="A74" t="str">
        <v>MATERIALS</v>
      </c>
      <c r="B74" t="str">
        <v>PVC Fitting Double End Socket 50mm (2")</v>
      </c>
      <c r="C74" t="str">
        <v>PCS</v>
      </c>
      <c r="D74">
        <v>4.3</v>
      </c>
      <c r="E74" s="12">
        <v>6.3000000000000007</v>
      </c>
      <c r="F74" s="20">
        <v>0</v>
      </c>
      <c r="G74" s="12">
        <v>7</v>
      </c>
      <c r="H74" s="12">
        <v>30.099999999999998</v>
      </c>
      <c r="I74" s="12" t="str">
        <v>MATERIALS</v>
      </c>
      <c r="J74" s="12" t="str">
        <v/>
      </c>
    </row>
    <row r="75" spans="1:10" x14ac:dyDescent="0.25">
      <c r="A75" t="str">
        <v>MATERIALS</v>
      </c>
      <c r="B75" t="str">
        <v>PVC P/T Socket Brass Thread 1/2"</v>
      </c>
      <c r="C75" t="str">
        <v>PCS</v>
      </c>
      <c r="D75">
        <v>3</v>
      </c>
      <c r="E75" s="12">
        <v>5.25</v>
      </c>
      <c r="F75" s="20">
        <v>0</v>
      </c>
      <c r="G75" s="12">
        <v>6</v>
      </c>
      <c r="H75" s="12">
        <v>18</v>
      </c>
      <c r="I75" s="12" t="str">
        <v>MATERIALS</v>
      </c>
      <c r="J75" s="12" t="str">
        <v/>
      </c>
    </row>
    <row r="76" spans="1:10" x14ac:dyDescent="0.25">
      <c r="A76" t="str">
        <v>MATERIALS</v>
      </c>
      <c r="B76" t="str">
        <v>PVC Pipe Class 6 Dia15.00mm (1/2") x 5.80m/Length</v>
      </c>
      <c r="C76" t="str">
        <v>LTH</v>
      </c>
      <c r="D76">
        <v>12.6</v>
      </c>
      <c r="E76" s="12">
        <v>4.2</v>
      </c>
      <c r="F76" s="20">
        <v>0</v>
      </c>
      <c r="G76" s="12">
        <v>5</v>
      </c>
      <c r="H76" s="12">
        <v>63</v>
      </c>
      <c r="I76" s="12" t="str">
        <v>MATERIALS</v>
      </c>
      <c r="J76" s="12" t="str">
        <v/>
      </c>
    </row>
    <row r="77" spans="1:10" x14ac:dyDescent="0.25">
      <c r="A77" t="str">
        <v>MATERIALS</v>
      </c>
      <c r="B77" t="str">
        <v>PVC Solvent Cement Glue 500g (Arrow, Orange)</v>
      </c>
      <c r="C77" t="str">
        <v>PCS</v>
      </c>
      <c r="D77">
        <v>1</v>
      </c>
      <c r="E77" s="12">
        <v>1</v>
      </c>
      <c r="F77" s="20">
        <v>0</v>
      </c>
      <c r="G77" s="12">
        <v>1</v>
      </c>
      <c r="H77" s="12">
        <v>1</v>
      </c>
      <c r="I77" s="12" t="str">
        <v>MATERIALS</v>
      </c>
      <c r="J77" s="12" t="str">
        <v/>
      </c>
    </row>
    <row r="78" spans="1:10" x14ac:dyDescent="0.25">
      <c r="A78" t="str">
        <v>MATERIALS</v>
      </c>
      <c r="B78" t="str">
        <v>PVC Tile Spacer 2mm</v>
      </c>
      <c r="C78" t="str">
        <v>PACK</v>
      </c>
      <c r="D78">
        <v>1</v>
      </c>
      <c r="E78" s="12">
        <v>12</v>
      </c>
      <c r="F78" s="20">
        <v>0</v>
      </c>
      <c r="G78" s="12">
        <v>12</v>
      </c>
      <c r="H78" s="12">
        <v>12</v>
      </c>
      <c r="I78" s="12" t="str">
        <v>MATERIALS</v>
      </c>
      <c r="J78" s="12" t="str">
        <v/>
      </c>
    </row>
    <row r="79" spans="1:10" x14ac:dyDescent="0.25">
      <c r="A79" t="str">
        <v>MATERIALS</v>
      </c>
      <c r="B79" t="str">
        <v>Raw Plywood Door (Unfinished) - Up to 36"W x 84"H (Custom Size)</v>
      </c>
      <c r="C79" t="str">
        <v>PCS</v>
      </c>
      <c r="D79">
        <v>150</v>
      </c>
      <c r="E79" s="12">
        <v>1</v>
      </c>
      <c r="F79" s="20">
        <v>0</v>
      </c>
      <c r="G79" s="12">
        <v>1</v>
      </c>
      <c r="H79" s="12">
        <v>150</v>
      </c>
      <c r="I79" s="12" t="str">
        <v>MATERIALS</v>
      </c>
      <c r="J79" s="12" t="str">
        <v/>
      </c>
    </row>
    <row r="80" spans="1:10" x14ac:dyDescent="0.25">
      <c r="A80" t="str">
        <v>MATERIALS</v>
      </c>
      <c r="B80" t="str">
        <v>Ready Mix Concrete G20 (Per m3)</v>
      </c>
      <c r="C80" t="str">
        <v>M3</v>
      </c>
      <c r="D80">
        <v>329.99999999999994</v>
      </c>
      <c r="E80" s="12">
        <v>6.7700000000000005</v>
      </c>
      <c r="F80" s="20">
        <v>0</v>
      </c>
      <c r="G80" s="12">
        <v>7</v>
      </c>
      <c r="H80" s="12">
        <v>2309.9999999999995</v>
      </c>
      <c r="I80" s="12" t="str">
        <v>MATERIALS</v>
      </c>
      <c r="J80" s="12" t="str">
        <v/>
      </c>
    </row>
    <row r="81" spans="1:10" x14ac:dyDescent="0.25">
      <c r="A81" t="str">
        <v>MATERIALS</v>
      </c>
      <c r="B81" t="str">
        <v>Ready Mix Concrete G25 (Per m3)</v>
      </c>
      <c r="C81" t="str">
        <v>M3</v>
      </c>
      <c r="D81">
        <v>340</v>
      </c>
      <c r="E81" s="12">
        <v>6.05</v>
      </c>
      <c r="F81" s="20">
        <v>0</v>
      </c>
      <c r="G81" s="12">
        <v>7</v>
      </c>
      <c r="H81" s="12">
        <v>2380</v>
      </c>
      <c r="I81" s="12" t="str">
        <v>MATERIALS</v>
      </c>
      <c r="J81" s="12" t="str">
        <v/>
      </c>
    </row>
    <row r="82" spans="1:10" x14ac:dyDescent="0.25">
      <c r="A82" t="str">
        <v>MATERIALS</v>
      </c>
      <c r="B82" t="str">
        <v>Sanding Paper 120G</v>
      </c>
      <c r="C82" t="str">
        <v>PCS</v>
      </c>
      <c r="D82">
        <v>0.3</v>
      </c>
      <c r="E82" s="12">
        <v>6.6000000000000005</v>
      </c>
      <c r="F82" s="20">
        <v>0</v>
      </c>
      <c r="G82" s="12">
        <v>7</v>
      </c>
      <c r="H82" s="12">
        <v>2.1</v>
      </c>
      <c r="I82" s="12" t="str">
        <v>MATERIALS</v>
      </c>
      <c r="J82" s="12" t="str">
        <v/>
      </c>
    </row>
    <row r="83" spans="1:10" x14ac:dyDescent="0.25">
      <c r="A83" t="str">
        <v>MATERIALS</v>
      </c>
      <c r="B83" t="str">
        <v>Sanding Paper 240G</v>
      </c>
      <c r="C83" t="str">
        <v>PCS</v>
      </c>
      <c r="D83">
        <v>0.3</v>
      </c>
      <c r="E83" s="12">
        <v>6.6000000000000005</v>
      </c>
      <c r="F83" s="20">
        <v>0</v>
      </c>
      <c r="G83" s="12">
        <v>7</v>
      </c>
      <c r="H83" s="12">
        <v>2.1</v>
      </c>
      <c r="I83" s="12" t="str">
        <v>MATERIALS</v>
      </c>
      <c r="J83" s="12" t="str">
        <v/>
      </c>
    </row>
    <row r="84" spans="1:10" x14ac:dyDescent="0.25">
      <c r="A84" t="str">
        <v>MATERIALS</v>
      </c>
      <c r="B84" t="str">
        <v>Sanding Paper 400G</v>
      </c>
      <c r="C84" t="str">
        <v>PCS</v>
      </c>
      <c r="D84">
        <v>0.3</v>
      </c>
      <c r="E84" s="12">
        <v>6.6000000000000005</v>
      </c>
      <c r="F84" s="20">
        <v>0</v>
      </c>
      <c r="G84" s="12">
        <v>7</v>
      </c>
      <c r="H84" s="12">
        <v>2.1</v>
      </c>
      <c r="I84" s="12" t="str">
        <v>MATERIALS</v>
      </c>
      <c r="J84" s="12" t="str">
        <v/>
      </c>
    </row>
    <row r="85" spans="1:10" x14ac:dyDescent="0.25">
      <c r="A85" t="str">
        <v>MATERIALS</v>
      </c>
      <c r="B85" t="str">
        <v>Schneider Socket 13A (Single)</v>
      </c>
      <c r="C85" t="str">
        <v>UNIT</v>
      </c>
      <c r="D85">
        <v>8.5</v>
      </c>
      <c r="E85" s="12">
        <v>10</v>
      </c>
      <c r="F85" s="20">
        <v>0</v>
      </c>
      <c r="G85" s="12">
        <v>10</v>
      </c>
      <c r="H85" s="12">
        <v>85</v>
      </c>
      <c r="I85" s="12" t="str">
        <v>MATERIALS</v>
      </c>
      <c r="J85" s="12" t="str">
        <v/>
      </c>
    </row>
    <row r="86" spans="1:10" x14ac:dyDescent="0.25">
      <c r="A86" t="str">
        <v>MATERIALS</v>
      </c>
      <c r="B86" t="str">
        <v>Schneider Switch 1 Gang</v>
      </c>
      <c r="C86" t="str">
        <v>UNIT</v>
      </c>
      <c r="D86">
        <v>5.9</v>
      </c>
      <c r="E86" s="12">
        <v>5</v>
      </c>
      <c r="F86" s="20">
        <v>0</v>
      </c>
      <c r="G86" s="12">
        <v>5</v>
      </c>
      <c r="H86" s="12">
        <v>29.5</v>
      </c>
      <c r="I86" s="12" t="str">
        <v>MATERIALS</v>
      </c>
      <c r="J86" s="12" t="str">
        <v/>
      </c>
    </row>
    <row r="87" spans="1:10" x14ac:dyDescent="0.25">
      <c r="A87" t="str">
        <v>MATERIALS</v>
      </c>
      <c r="B87" t="str">
        <v>SIKA Curing Compound Antisol E 20.00L</v>
      </c>
      <c r="C87" t="str">
        <v>PAIL</v>
      </c>
      <c r="D87">
        <v>130</v>
      </c>
      <c r="E87" s="12">
        <v>5</v>
      </c>
      <c r="F87" s="20">
        <v>0</v>
      </c>
      <c r="G87" s="12">
        <v>5</v>
      </c>
      <c r="H87" s="12">
        <v>650</v>
      </c>
      <c r="I87" s="12" t="str">
        <v>MATERIALS</v>
      </c>
      <c r="J87" s="12" t="str">
        <v/>
      </c>
    </row>
    <row r="88" spans="1:10" x14ac:dyDescent="0.25">
      <c r="A88" t="str">
        <v>MATERIALS</v>
      </c>
      <c r="B88" t="str">
        <v>Sika Wall 191 Coarse (White) 25kg</v>
      </c>
      <c r="C88" t="str">
        <v>BAG</v>
      </c>
      <c r="D88">
        <v>17.5</v>
      </c>
      <c r="E88" s="12">
        <v>4.2</v>
      </c>
      <c r="F88" s="20">
        <v>0</v>
      </c>
      <c r="G88" s="12">
        <v>5</v>
      </c>
      <c r="H88" s="12">
        <v>87.5</v>
      </c>
      <c r="I88" s="12" t="str">
        <v>MATERIALS</v>
      </c>
      <c r="J88" s="12" t="str">
        <v/>
      </c>
    </row>
    <row r="89" spans="1:10" x14ac:dyDescent="0.25">
      <c r="A89" t="str">
        <v>MATERIALS</v>
      </c>
      <c r="B89" t="str">
        <v>Sika Wall 192 Fine (White) 25kg</v>
      </c>
      <c r="C89" t="str">
        <v>BAG</v>
      </c>
      <c r="D89">
        <v>17.5</v>
      </c>
      <c r="E89" s="12">
        <v>4.2</v>
      </c>
      <c r="F89" s="20">
        <v>0</v>
      </c>
      <c r="G89" s="12">
        <v>5</v>
      </c>
      <c r="H89" s="12">
        <v>87.5</v>
      </c>
      <c r="I89" s="12" t="str">
        <v>MATERIALS</v>
      </c>
      <c r="J89" s="12" t="str">
        <v/>
      </c>
    </row>
    <row r="90" spans="1:10" x14ac:dyDescent="0.25">
      <c r="A90" t="str">
        <v>MATERIALS</v>
      </c>
      <c r="B90" t="str">
        <v>SIKA Waterproof Compound Top Seal 107 (A+B) 25.00kg</v>
      </c>
      <c r="C90" t="str">
        <v>SET</v>
      </c>
      <c r="D90">
        <v>105</v>
      </c>
      <c r="E90" s="12">
        <v>5</v>
      </c>
      <c r="F90" s="20">
        <v>0</v>
      </c>
      <c r="G90" s="12">
        <v>5</v>
      </c>
      <c r="H90" s="12">
        <v>525</v>
      </c>
      <c r="I90" s="12" t="str">
        <v>MATERIALS</v>
      </c>
      <c r="J90" s="12" t="str">
        <v/>
      </c>
    </row>
    <row r="91" spans="1:10" x14ac:dyDescent="0.25">
      <c r="A91" t="str">
        <v>MATERIALS</v>
      </c>
      <c r="B91" t="str">
        <v>Smart Paint 5400 Wall Sealer Exterior &amp; Interior Wall Undercoat 18L</v>
      </c>
      <c r="C91" t="str">
        <v>PAIL</v>
      </c>
      <c r="D91">
        <v>160</v>
      </c>
      <c r="E91" s="12">
        <v>1.1000000000000001</v>
      </c>
      <c r="F91" s="20">
        <v>0</v>
      </c>
      <c r="G91" s="12">
        <v>2</v>
      </c>
      <c r="H91" s="12">
        <v>320</v>
      </c>
      <c r="I91" s="12" t="str">
        <v>MATERIALS</v>
      </c>
      <c r="J91" s="12" t="str">
        <v/>
      </c>
    </row>
    <row r="92" spans="1:10" x14ac:dyDescent="0.25">
      <c r="A92" t="str">
        <v>MATERIALS</v>
      </c>
      <c r="B92" t="str">
        <v>Taipoly Copper Rod 13.7mm x 5ft (SIRIM JKR)</v>
      </c>
      <c r="C92" t="str">
        <v>LTH</v>
      </c>
      <c r="D92">
        <v>48</v>
      </c>
      <c r="E92" s="12">
        <v>1</v>
      </c>
      <c r="F92" s="20">
        <v>0</v>
      </c>
      <c r="G92" s="12">
        <v>1</v>
      </c>
      <c r="H92" s="12">
        <v>48</v>
      </c>
      <c r="I92" s="12" t="str">
        <v>MATERIALS</v>
      </c>
      <c r="J92" s="12" t="str">
        <v/>
      </c>
    </row>
    <row r="93" spans="1:10" x14ac:dyDescent="0.25">
      <c r="A93" t="str">
        <v>MATERIALS</v>
      </c>
      <c r="B93" t="str">
        <v>Talc Chalk</v>
      </c>
      <c r="C93" t="str">
        <v>PCS</v>
      </c>
      <c r="D93">
        <v>4</v>
      </c>
      <c r="E93" s="12">
        <v>1</v>
      </c>
      <c r="F93" s="20">
        <v>0</v>
      </c>
      <c r="G93" s="12">
        <v>1</v>
      </c>
      <c r="H93" s="12">
        <v>4</v>
      </c>
      <c r="I93" s="12" t="str">
        <v>MATERIALS</v>
      </c>
      <c r="J93" s="12" t="str">
        <v/>
      </c>
    </row>
    <row r="94" spans="1:10" x14ac:dyDescent="0.25">
      <c r="A94" t="str">
        <v>MATERIALS</v>
      </c>
      <c r="B94" t="str">
        <v>TH Deck 762 Metal Roofing 0.47mm G26 TCT</v>
      </c>
      <c r="C94" t="str">
        <v>FT-RUN</v>
      </c>
      <c r="D94">
        <v>5.5</v>
      </c>
      <c r="E94" s="12">
        <v>1005.9000000000001</v>
      </c>
      <c r="F94" s="20">
        <v>0</v>
      </c>
      <c r="G94" s="12">
        <v>1006</v>
      </c>
      <c r="H94" s="12">
        <v>5533</v>
      </c>
      <c r="I94" s="12" t="str">
        <v>MATERIALS</v>
      </c>
      <c r="J94" s="12" t="str">
        <v/>
      </c>
    </row>
    <row r="95" spans="1:10" x14ac:dyDescent="0.25">
      <c r="A95" t="str">
        <v>MATERIALS</v>
      </c>
      <c r="B95" t="str">
        <v>Tile 300mm x 300mm</v>
      </c>
      <c r="C95" t="str">
        <v>PCS</v>
      </c>
      <c r="D95">
        <v>4.5</v>
      </c>
      <c r="E95" s="12">
        <v>273</v>
      </c>
      <c r="F95" s="20">
        <v>0</v>
      </c>
      <c r="G95" s="12">
        <v>273</v>
      </c>
      <c r="H95" s="12">
        <v>1228.5</v>
      </c>
      <c r="I95" s="12" t="str">
        <v>MATERIALS</v>
      </c>
      <c r="J95" s="12" t="str">
        <v/>
      </c>
    </row>
    <row r="96" spans="1:10" x14ac:dyDescent="0.25">
      <c r="A96" t="str">
        <v>MATERIALS</v>
      </c>
      <c r="B96" t="str">
        <v>Tile 300mm x 600mm</v>
      </c>
      <c r="C96" t="str">
        <v>PCS</v>
      </c>
      <c r="D96">
        <v>6.5</v>
      </c>
      <c r="E96" s="12">
        <v>166</v>
      </c>
      <c r="F96" s="20">
        <v>0</v>
      </c>
      <c r="G96" s="12">
        <v>166</v>
      </c>
      <c r="H96" s="12">
        <v>1079</v>
      </c>
      <c r="I96" s="12" t="str">
        <v>MATERIALS</v>
      </c>
      <c r="J96" s="12" t="str">
        <v/>
      </c>
    </row>
    <row r="97" spans="1:10" x14ac:dyDescent="0.25">
      <c r="A97" t="str">
        <v>MATERIALS</v>
      </c>
      <c r="B97" t="str">
        <v>Tile 600mm x 600mm</v>
      </c>
      <c r="C97" t="str">
        <v>PCS</v>
      </c>
      <c r="D97">
        <v>15</v>
      </c>
      <c r="E97" s="12">
        <v>84</v>
      </c>
      <c r="F97" s="20">
        <v>0</v>
      </c>
      <c r="G97" s="12">
        <v>84</v>
      </c>
      <c r="H97" s="12">
        <v>1260</v>
      </c>
      <c r="I97" s="12" t="str">
        <v>MATERIALS</v>
      </c>
      <c r="J97" s="12" t="str">
        <v/>
      </c>
    </row>
    <row r="98" spans="1:10" x14ac:dyDescent="0.25">
      <c r="A98" t="str">
        <v>MATERIALS</v>
      </c>
      <c r="B98" t="str">
        <v>Tile Adhesive Weber 99</v>
      </c>
      <c r="C98" t="str">
        <v>BAG</v>
      </c>
      <c r="D98">
        <v>25</v>
      </c>
      <c r="E98" s="12">
        <v>29</v>
      </c>
      <c r="F98" s="20">
        <v>0</v>
      </c>
      <c r="G98" s="12">
        <v>29</v>
      </c>
      <c r="H98" s="12">
        <v>725</v>
      </c>
      <c r="I98" s="12" t="str">
        <v>MATERIALS</v>
      </c>
      <c r="J98" s="12" t="str">
        <v/>
      </c>
    </row>
    <row r="99" spans="1:10" x14ac:dyDescent="0.25">
      <c r="A99" t="str">
        <v>MATERIALS</v>
      </c>
      <c r="B99" t="str">
        <v>Twins Shower Square 8"</v>
      </c>
      <c r="C99" t="str">
        <v>pc</v>
      </c>
      <c r="D99">
        <v>35</v>
      </c>
      <c r="E99" s="12">
        <v>1</v>
      </c>
      <c r="F99" s="20">
        <v>0</v>
      </c>
      <c r="G99" s="12">
        <v>1</v>
      </c>
      <c r="H99" s="12">
        <v>35</v>
      </c>
      <c r="I99" s="12" t="str">
        <v>MATERIALS</v>
      </c>
      <c r="J99" s="12" t="str">
        <v/>
      </c>
    </row>
    <row r="100" spans="1:10" x14ac:dyDescent="0.25">
      <c r="A100" t="str">
        <v>MATERIALS</v>
      </c>
      <c r="B100" t="str">
        <v>UPVC Pipe With SIRIM (2") x 5.8m</v>
      </c>
      <c r="C100" t="str">
        <v>PCS</v>
      </c>
      <c r="D100">
        <v>49</v>
      </c>
      <c r="E100" s="12">
        <v>3.1500000000000004</v>
      </c>
      <c r="F100" s="20">
        <v>0</v>
      </c>
      <c r="G100" s="12">
        <v>4</v>
      </c>
      <c r="H100" s="12">
        <v>196</v>
      </c>
      <c r="I100" s="12" t="str">
        <v>MATERIALS</v>
      </c>
      <c r="J100" s="12" t="str">
        <v/>
      </c>
    </row>
    <row r="101" spans="1:10" x14ac:dyDescent="0.25">
      <c r="A101" t="str">
        <v>MATERIALS</v>
      </c>
      <c r="B101" t="str">
        <v>UPVC Pipe With SIRIM (4") x 5.8m</v>
      </c>
      <c r="C101" t="str">
        <v>PCS</v>
      </c>
      <c r="D101">
        <v>91</v>
      </c>
      <c r="E101" s="12">
        <v>2.1</v>
      </c>
      <c r="F101" s="20">
        <v>0</v>
      </c>
      <c r="G101" s="12">
        <v>3</v>
      </c>
      <c r="H101" s="12">
        <v>273</v>
      </c>
      <c r="I101" s="12" t="str">
        <v>MATERIALS</v>
      </c>
      <c r="J101" s="12" t="str">
        <v/>
      </c>
    </row>
    <row r="102" spans="1:10" x14ac:dyDescent="0.25">
      <c r="A102" t="str">
        <v>MATERIALS</v>
      </c>
      <c r="B102" t="str">
        <v>Weber Weberfill Fine Grout Coloured Grout For Narrow Tile Joint (3.5kg)</v>
      </c>
      <c r="C102" t="str">
        <v>BAG</v>
      </c>
      <c r="D102">
        <v>18</v>
      </c>
      <c r="E102" s="12">
        <v>12</v>
      </c>
      <c r="F102" s="20">
        <v>0</v>
      </c>
      <c r="G102" s="12">
        <v>12</v>
      </c>
      <c r="H102" s="12">
        <v>216</v>
      </c>
      <c r="I102" s="12" t="str">
        <v>MATERIALS</v>
      </c>
      <c r="J102" s="12" t="str">
        <v/>
      </c>
    </row>
    <row r="103" spans="1:10" x14ac:dyDescent="0.25">
      <c r="A103" t="str">
        <v>MATERIALS</v>
      </c>
      <c r="B103" t="str">
        <v>White Gloss Paint 5L</v>
      </c>
      <c r="C103" t="str">
        <v>TIN</v>
      </c>
      <c r="D103">
        <v>94</v>
      </c>
      <c r="E103" s="12">
        <v>1.1000000000000001</v>
      </c>
      <c r="F103" s="20">
        <v>0</v>
      </c>
      <c r="G103" s="12">
        <v>2</v>
      </c>
      <c r="H103" s="12">
        <v>188</v>
      </c>
      <c r="I103" s="12" t="str">
        <v>MATERIALS</v>
      </c>
      <c r="J103" s="12" t="str">
        <v/>
      </c>
    </row>
    <row r="104" spans="1:10" x14ac:dyDescent="0.25">
      <c r="A104" t="str">
        <v>MATERIALS</v>
      </c>
      <c r="B104" t="str">
        <v>Yessy Tile Floor Trap</v>
      </c>
      <c r="C104" t="str">
        <v>PCS</v>
      </c>
      <c r="D104">
        <v>15</v>
      </c>
      <c r="E104" s="12">
        <v>1</v>
      </c>
      <c r="F104" s="20">
        <v>0</v>
      </c>
      <c r="G104" s="12">
        <v>1</v>
      </c>
      <c r="H104" s="12">
        <v>15</v>
      </c>
      <c r="I104" s="12" t="str">
        <v>MATERIALS</v>
      </c>
      <c r="J104" s="12" t="str">
        <v/>
      </c>
    </row>
    <row r="105" spans="1:10" x14ac:dyDescent="0.25">
      <c r="A105" t="str">
        <v>MATERIALS</v>
      </c>
      <c r="B105" t="str">
        <v>Yessy Tile Floor Trap</v>
      </c>
      <c r="C105" t="str">
        <v>pc</v>
      </c>
      <c r="D105">
        <v>15</v>
      </c>
      <c r="E105" s="12">
        <v>1</v>
      </c>
      <c r="F105" s="20">
        <v>0</v>
      </c>
      <c r="G105" s="12">
        <v>1</v>
      </c>
      <c r="H105" s="12">
        <v>15</v>
      </c>
      <c r="I105" s="12" t="str">
        <v>MATERIALS</v>
      </c>
      <c r="J105" s="12" t="str">
        <v/>
      </c>
    </row>
    <row r="106" spans="1:10" x14ac:dyDescent="0.25">
      <c r="A106" t="str">
        <v>MATERIALS</v>
      </c>
      <c r="B106" t="str">
        <v>Yessy Two-Way Hand Bidet</v>
      </c>
      <c r="C106" t="str">
        <v>pc</v>
      </c>
      <c r="D106">
        <v>60</v>
      </c>
      <c r="E106" s="12">
        <v>1</v>
      </c>
      <c r="F106" s="20">
        <v>0</v>
      </c>
      <c r="G106" s="12">
        <v>1</v>
      </c>
      <c r="H106" s="12">
        <v>60</v>
      </c>
      <c r="I106" s="12" t="str">
        <v>MATERIALS</v>
      </c>
      <c r="J106" s="12" t="str">
        <v/>
      </c>
    </row>
    <row r="107" spans="1:10" x14ac:dyDescent="0.25">
      <c r="A107" t="str">
        <v>MATERIALS</v>
      </c>
      <c r="B107" t="str">
        <v>YTL PCC Cement Castle 50kg Bag</v>
      </c>
      <c r="C107" t="str">
        <v>BAG</v>
      </c>
      <c r="D107">
        <v>24</v>
      </c>
      <c r="E107" s="12">
        <v>100.2</v>
      </c>
      <c r="F107" s="20">
        <v>0</v>
      </c>
      <c r="G107" s="12">
        <v>101</v>
      </c>
      <c r="H107" s="12">
        <v>2424</v>
      </c>
      <c r="I107" s="12" t="str">
        <v>MATERIALS</v>
      </c>
      <c r="J107" s="12" t="str">
        <v/>
      </c>
    </row>
    <row r="301" spans="5:19" s="31" customFormat="1" x14ac:dyDescent="0.25">
      <c r="E301" s="29"/>
      <c r="F301" s="30"/>
      <c r="G301" s="29"/>
      <c r="H301" s="29"/>
      <c r="I301" s="29"/>
      <c r="J301" s="29"/>
      <c r="K301" s="29"/>
      <c r="L301" s="29"/>
      <c r="M301" s="29"/>
      <c r="N301" s="30"/>
      <c r="O301" s="30"/>
      <c r="P301" s="29"/>
      <c r="Q301" s="29"/>
      <c r="R301" s="29"/>
      <c r="S301" s="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7B7E3-4328-4685-9AEE-C3EC3FFFD07A}">
  <sheetPr codeName="Sheet9"/>
  <dimension ref="A1:S9"/>
  <sheetViews>
    <sheetView tabSelected="1" zoomScale="75" zoomScaleNormal="75" workbookViewId="0">
      <pane ySplit="40" topLeftCell="A41" activePane="bottomLeft" state="frozen"/>
      <selection pane="bottomLeft" activeCell="H26" sqref="H26"/>
    </sheetView>
  </sheetViews>
  <sheetFormatPr defaultRowHeight="15" x14ac:dyDescent="0.25"/>
  <cols>
    <col min="1" max="1" width="15.7109375" customWidth="1"/>
    <col min="2" max="2" width="14.42578125" bestFit="1" customWidth="1"/>
    <col min="3" max="3" width="10.85546875" bestFit="1" customWidth="1"/>
    <col min="4" max="4" width="14.140625" bestFit="1" customWidth="1"/>
    <col min="5" max="5" width="7.42578125" style="12" bestFit="1" customWidth="1"/>
    <col min="6" max="6" width="9.140625" style="20"/>
    <col min="7" max="7" width="9.28515625" style="12" bestFit="1" customWidth="1"/>
    <col min="8" max="8" width="188.85546875" style="37" bestFit="1" customWidth="1"/>
    <col min="9" max="9" width="5.7109375" style="12" bestFit="1" customWidth="1"/>
    <col min="10" max="10" width="13.140625" style="12" bestFit="1" customWidth="1"/>
    <col min="11" max="11" width="5.42578125" style="12" bestFit="1" customWidth="1"/>
    <col min="12" max="12" width="14.5703125" style="12" bestFit="1" customWidth="1"/>
    <col min="13" max="13" width="16.7109375" style="12" bestFit="1" customWidth="1"/>
    <col min="14" max="14" width="9.140625" style="20"/>
    <col min="15" max="15" width="10.42578125" style="20" bestFit="1" customWidth="1"/>
    <col min="16" max="16" width="7" style="12" bestFit="1" customWidth="1"/>
    <col min="17" max="17" width="13.140625" style="12" bestFit="1" customWidth="1"/>
    <col min="18" max="18" width="14.28515625" style="12" bestFit="1" customWidth="1"/>
    <col min="19" max="19" width="14.5703125" style="12" bestFit="1" customWidth="1"/>
    <col min="20" max="20" width="5.7109375" bestFit="1" customWidth="1"/>
  </cols>
  <sheetData>
    <row r="1" spans="1:13" x14ac:dyDescent="0.25">
      <c r="A1" t="s">
        <v>2290</v>
      </c>
      <c r="G1" s="12" t="s">
        <v>2293</v>
      </c>
      <c r="H1" s="37" t="s">
        <v>3</v>
      </c>
      <c r="I1" s="12" t="s">
        <v>1</v>
      </c>
      <c r="J1" s="12" t="s">
        <v>2291</v>
      </c>
      <c r="K1" s="12" t="s">
        <v>46</v>
      </c>
      <c r="L1" s="12" t="s">
        <v>2292</v>
      </c>
      <c r="M1" s="12" t="s">
        <v>5</v>
      </c>
    </row>
    <row r="2" spans="1:13" x14ac:dyDescent="0.25">
      <c r="H2" s="37" t="s">
        <v>2294</v>
      </c>
    </row>
    <row r="3" spans="1:13" x14ac:dyDescent="0.25">
      <c r="A3" t="s">
        <v>2283</v>
      </c>
      <c r="B3" t="s">
        <v>2284</v>
      </c>
      <c r="C3" t="s">
        <v>2285</v>
      </c>
      <c r="D3" t="s">
        <v>2286</v>
      </c>
      <c r="E3" s="12" t="s">
        <v>2287</v>
      </c>
    </row>
    <row r="4" spans="1:13" x14ac:dyDescent="0.25">
      <c r="G4" s="12">
        <v>1</v>
      </c>
      <c r="H4" s="37" t="s">
        <v>1202</v>
      </c>
      <c r="I4" s="12" t="s">
        <v>8</v>
      </c>
      <c r="J4" s="12">
        <v>4017</v>
      </c>
      <c r="K4" s="12">
        <v>0.28000000000000003</v>
      </c>
      <c r="L4" s="12">
        <v>1124.7600000000002</v>
      </c>
      <c r="M4" s="12" t="s">
        <v>2259</v>
      </c>
    </row>
    <row r="5" spans="1:13" x14ac:dyDescent="0.25">
      <c r="G5" s="12">
        <v>2</v>
      </c>
      <c r="H5" s="37" t="s">
        <v>1361</v>
      </c>
      <c r="I5" s="12" t="s">
        <v>666</v>
      </c>
      <c r="J5" s="12">
        <v>6</v>
      </c>
      <c r="K5" s="12">
        <v>13</v>
      </c>
      <c r="L5" s="12">
        <v>78</v>
      </c>
      <c r="M5" s="12" t="s">
        <v>2259</v>
      </c>
    </row>
    <row r="6" spans="1:13" x14ac:dyDescent="0.25">
      <c r="G6" s="12">
        <v>3</v>
      </c>
      <c r="H6" s="37" t="s">
        <v>961</v>
      </c>
      <c r="I6" s="12" t="s">
        <v>8</v>
      </c>
      <c r="J6" s="12">
        <v>1</v>
      </c>
      <c r="K6" s="12">
        <v>1</v>
      </c>
      <c r="L6" s="12">
        <v>1</v>
      </c>
      <c r="M6" s="12" t="s">
        <v>2259</v>
      </c>
    </row>
    <row r="7" spans="1:13" x14ac:dyDescent="0.25">
      <c r="G7" s="12">
        <v>4</v>
      </c>
      <c r="H7" s="37" t="s">
        <v>2076</v>
      </c>
      <c r="I7" s="12" t="s">
        <v>9</v>
      </c>
      <c r="J7" s="12">
        <v>101</v>
      </c>
      <c r="K7" s="12">
        <v>24</v>
      </c>
      <c r="L7" s="12">
        <v>2424</v>
      </c>
      <c r="M7" s="12" t="s">
        <v>2259</v>
      </c>
    </row>
    <row r="8" spans="1:13" x14ac:dyDescent="0.25">
      <c r="G8" s="12">
        <v>5</v>
      </c>
      <c r="H8" s="37" t="s">
        <v>564</v>
      </c>
      <c r="I8" s="12" t="s">
        <v>565</v>
      </c>
      <c r="J8" s="12">
        <v>1</v>
      </c>
      <c r="K8" s="12">
        <v>650</v>
      </c>
      <c r="L8" s="12">
        <v>650</v>
      </c>
      <c r="M8" s="12" t="s">
        <v>2262</v>
      </c>
    </row>
    <row r="9" spans="1:13" x14ac:dyDescent="0.25">
      <c r="G9" s="12">
        <v>6</v>
      </c>
      <c r="H9" s="37" t="s">
        <v>1456</v>
      </c>
      <c r="I9" s="12" t="s">
        <v>565</v>
      </c>
      <c r="J9" s="12">
        <v>1</v>
      </c>
      <c r="K9" s="12">
        <v>450</v>
      </c>
      <c r="L9" s="12">
        <v>450</v>
      </c>
      <c r="M9" s="12" t="s">
        <v>2262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080DC-425D-483C-9567-24B8A70C7C32}">
  <sheetPr codeName="Sheet6"/>
  <dimension ref="A1:AN301"/>
  <sheetViews>
    <sheetView zoomScale="75" zoomScaleNormal="75" workbookViewId="0">
      <pane ySplit="40" topLeftCell="A41" activePane="bottomLeft" state="frozen"/>
      <selection pane="bottomLeft" activeCell="J40" sqref="J40"/>
    </sheetView>
  </sheetViews>
  <sheetFormatPr defaultColWidth="8.7109375" defaultRowHeight="15" x14ac:dyDescent="0.25"/>
  <cols>
    <col min="1" max="1" width="8" bestFit="1" customWidth="1"/>
    <col min="2" max="2" width="6.42578125" style="23" bestFit="1" customWidth="1"/>
    <col min="3" max="4" width="10.42578125" bestFit="1" customWidth="1"/>
    <col min="5" max="5" width="9.28515625" bestFit="1" customWidth="1"/>
    <col min="6" max="7" width="10.7109375" customWidth="1"/>
    <col min="8" max="8" width="1.7109375" style="1" customWidth="1"/>
    <col min="9" max="9" width="9.85546875" bestFit="1" customWidth="1"/>
    <col min="10" max="10" width="50.7109375" customWidth="1"/>
    <col min="11" max="11" width="7.5703125" bestFit="1" customWidth="1"/>
    <col min="12" max="12" width="9.85546875" style="9" bestFit="1" customWidth="1"/>
    <col min="13" max="13" width="9.7109375" style="9" customWidth="1"/>
    <col min="14" max="14" width="8.7109375" style="9" customWidth="1"/>
    <col min="15" max="15" width="9.7109375" style="9" customWidth="1"/>
    <col min="16" max="16" width="8.7109375" style="9" customWidth="1"/>
    <col min="17" max="18" width="10.7109375" style="9" customWidth="1"/>
    <col min="19" max="19" width="1.7109375" style="1" customWidth="1"/>
    <col min="20" max="20" width="9.28515625" bestFit="1" customWidth="1"/>
    <col min="21" max="21" width="9.85546875" bestFit="1" customWidth="1"/>
    <col min="22" max="22" width="5.7109375" bestFit="1" customWidth="1"/>
    <col min="23" max="23" width="9.28515625" style="9" bestFit="1" customWidth="1"/>
    <col min="24" max="24" width="9.85546875" style="9" bestFit="1" customWidth="1"/>
    <col min="25" max="25" width="9.28515625" style="9" bestFit="1" customWidth="1"/>
    <col min="26" max="26" width="14.42578125" style="9" bestFit="1" customWidth="1"/>
    <col min="27" max="27" width="10.42578125" style="9" bestFit="1" customWidth="1"/>
    <col min="28" max="29" width="10.42578125" bestFit="1" customWidth="1"/>
    <col min="30" max="30" width="1.7109375" style="1" customWidth="1"/>
    <col min="40" max="40" width="9.28515625" bestFit="1" customWidth="1"/>
  </cols>
  <sheetData>
    <row r="1" spans="1:40" x14ac:dyDescent="0.25">
      <c r="A1" s="13"/>
      <c r="B1" s="27"/>
      <c r="C1" s="14" cm="1">
        <f t="array" aca="1" ref="C1" ca="1">_xlfn.LET(_xlpm.v,IFERROR(--C$3:C$49,0),IF(SUMPRODUCT(--(_xlpm.v&lt;&gt;0))=0,"",SUM(_xlpm.v)))</f>
        <v>41385.787500000006</v>
      </c>
      <c r="D1" s="14" cm="1">
        <f t="array" aca="1" ref="D1" ca="1">_xlfn.LET(_xlpm.v,IFERROR(--D$3:D$49,0),IF(SUMPRODUCT(--(_xlpm.v&lt;&gt;0))=0,"",SUM(_xlpm.v)))</f>
        <v>35595</v>
      </c>
      <c r="E1" s="14" cm="1">
        <f t="array" aca="1" ref="E1" ca="1">_xlfn.LET(_xlpm.v,IFERROR(--E$3:E$49,0),IF(SUMPRODUCT(--(_xlpm.v&lt;&gt;0))=0,"",SUM(_xlpm.v)))</f>
        <v>5600</v>
      </c>
      <c r="F1" s="14" cm="1">
        <f t="array" aca="1" ref="F1" ca="1">_xlfn.LET(_xlpm.v,IFERROR(--F$3:F$49,0),IF(SUMPRODUCT(--(_xlpm.v&lt;&gt;0))=0,"",SUM(_xlpm.v)))</f>
        <v>82580.787500000006</v>
      </c>
      <c r="G1" s="14" cm="1">
        <f t="array" aca="1" ref="G1" ca="1">_xlfn.LET(_xlpm.v,IFERROR(--G$3:G$49,0),IF(SUMPRODUCT(--(_xlpm.v&lt;&gt;0))=0,"",SUM(_xlpm.v)))</f>
        <v>82580.787500000006</v>
      </c>
      <c r="I1" t="s">
        <v>29</v>
      </c>
      <c r="L1"/>
      <c r="M1"/>
      <c r="N1"/>
      <c r="O1"/>
      <c r="P1"/>
      <c r="Q1" s="25">
        <f>SUMIFS(SummaryHelper!$H$2:$H$5000,SummaryHelper!$A$2:$A$5000,"MATERIALS")</f>
        <v>41385.787499999999</v>
      </c>
      <c r="R1" s="10">
        <f>SUM(R3:R300)</f>
        <v>43824.572857142848</v>
      </c>
      <c r="S1" s="26"/>
      <c r="U1" s="11"/>
      <c r="V1" s="11"/>
      <c r="W1" s="11"/>
      <c r="X1" s="11"/>
      <c r="Y1" s="11"/>
      <c r="Z1" s="11"/>
      <c r="AA1" s="11"/>
      <c r="AB1" s="25">
        <f>SUMIFS(SummaryHelper!$H$2:$H$5000,SummaryHelper!$A$2:$A$5000,"LABOUR")</f>
        <v>35595</v>
      </c>
      <c r="AC1" s="10">
        <f>SUM(AC3:AC300)</f>
        <v>35595</v>
      </c>
      <c r="AM1" s="24">
        <f>SUMIFS(SummaryHelper!$H$2:$H$5000,SummaryHelper!$A$2:$A$5000,"RENTAL / SERVICE")</f>
        <v>5600</v>
      </c>
      <c r="AN1" s="10">
        <f>SUM(AN3:AN300)</f>
        <v>5600</v>
      </c>
    </row>
    <row r="2" spans="1:40" x14ac:dyDescent="0.25">
      <c r="A2" s="12" t="s">
        <v>18</v>
      </c>
      <c r="B2" s="12" t="s">
        <v>6</v>
      </c>
      <c r="C2" s="15" t="s">
        <v>2280</v>
      </c>
      <c r="D2" s="15" t="s">
        <v>2281</v>
      </c>
      <c r="E2" s="15" t="s">
        <v>2282</v>
      </c>
      <c r="F2" s="15" t="s">
        <v>25</v>
      </c>
      <c r="G2" s="15" t="s">
        <v>26</v>
      </c>
      <c r="I2" t="s">
        <v>30</v>
      </c>
      <c r="J2" t="s">
        <v>31</v>
      </c>
      <c r="K2" t="s">
        <v>1</v>
      </c>
      <c r="L2" s="9" t="s">
        <v>17</v>
      </c>
      <c r="M2" s="9" t="s">
        <v>27</v>
      </c>
      <c r="N2" s="9" t="s">
        <v>4</v>
      </c>
      <c r="O2" s="9" t="s">
        <v>28</v>
      </c>
      <c r="P2" s="9" t="s">
        <v>23</v>
      </c>
      <c r="Q2" s="9" t="s">
        <v>2</v>
      </c>
      <c r="R2" s="9" t="s">
        <v>22</v>
      </c>
      <c r="T2" t="s">
        <v>30</v>
      </c>
      <c r="U2" t="s">
        <v>31</v>
      </c>
      <c r="V2" t="s">
        <v>1</v>
      </c>
      <c r="W2" t="s">
        <v>17</v>
      </c>
      <c r="X2" t="s">
        <v>27</v>
      </c>
      <c r="Y2" t="s">
        <v>4</v>
      </c>
      <c r="Z2" t="s">
        <v>28</v>
      </c>
      <c r="AA2" t="s">
        <v>23</v>
      </c>
      <c r="AB2" t="s">
        <v>2</v>
      </c>
      <c r="AC2" t="s">
        <v>22</v>
      </c>
      <c r="AE2" t="s">
        <v>30</v>
      </c>
      <c r="AF2" t="s">
        <v>31</v>
      </c>
      <c r="AG2" t="s">
        <v>1</v>
      </c>
      <c r="AH2" t="s">
        <v>17</v>
      </c>
      <c r="AI2" t="s">
        <v>27</v>
      </c>
      <c r="AJ2" t="s">
        <v>4</v>
      </c>
      <c r="AK2" t="s">
        <v>28</v>
      </c>
      <c r="AL2" t="s">
        <v>23</v>
      </c>
      <c r="AM2" t="s">
        <v>2</v>
      </c>
      <c r="AN2" t="s">
        <v>22</v>
      </c>
    </row>
    <row r="3" spans="1:40" x14ac:dyDescent="0.25">
      <c r="A3" s="12">
        <v>1</v>
      </c>
      <c r="B3" s="12" t="str">
        <f>IF($A3=1,"S"&amp;TEXT(ROW()-2,"00"),"")</f>
        <v>S01</v>
      </c>
      <c r="C3" s="9">
        <f ca="1">_xlfn.LET(_xlpm.sh,IFERROR(MID($B3,SEARCH("S",$B3),3),$B3),IF($B3="","",IFERROR(SUMIFS(INDIRECT("'"&amp;_xlpm.sh&amp;"'!N3:N300"),INDIRECT("'"&amp;_xlpm.sh&amp;"'!F3:F300"),"&lt;&gt;",INDIRECT("'"&amp;_xlpm.sh&amp;"'!H3:H300"),"&lt;&gt;"),0)))</f>
        <v>149</v>
      </c>
      <c r="D3" s="9">
        <f ca="1">_xlfn.LET(_xlpm.sh,IFERROR(MID($B3,SEARCH("S",$B3),3),$B3),IF($B3="","",IFERROR(SUMIFS(INDIRECT("'"&amp;_xlpm.sh&amp;"'!Y3:Y300"),INDIRECT("'"&amp;_xlpm.sh&amp;"'!Q3:Q300"),"&lt;&gt;",INDIRECT("'"&amp;_xlpm.sh&amp;"'!S3:S300"),"&lt;&gt;"),0)))</f>
        <v>315</v>
      </c>
      <c r="E3" s="9">
        <f ca="1">_xlfn.LET(_xlpm.sh,IFERROR(MID($B3,SEARCH("S",$B3),3),$B3),IF($B3="","",IFERROR(SUMIFS(INDIRECT("'"&amp;_xlpm.sh&amp;"'!AJ3:AJ300"),INDIRECT("'"&amp;_xlpm.sh&amp;"'!AB3:AB300"),"&lt;&gt;",INDIRECT("'"&amp;_xlpm.sh&amp;"'!AD3:AD300"),"&lt;&gt;"),0)))</f>
        <v>3800</v>
      </c>
      <c r="F3" s="9">
        <f ca="1">IF($B3="","",C3+D3+E3)</f>
        <v>4264</v>
      </c>
      <c r="G3" s="9">
        <f ca="1">IF($A3=1,$F3,0)</f>
        <v>4264</v>
      </c>
      <c r="I3" t="str" cm="1">
        <f t="array" ref="I3:K107">_xlfn.LET(_xlpm.x,_xlfn.UNIQUE(_xlfn._xlws.FILTER(CHOOSE({1,2,3},SummaryHelper!$A$2:$A$5000,SummaryHelper!$B$2:$B$5000,SummaryHelper!$C$2:$C$5000),(SummaryHelper!$A$2:$A$5000="MATERIALS")*(SummaryHelper!$B$2:$B$5000&lt;&gt;""),"")),IFERROR(_xlfn.SORTBY(_xlpm.x,INDEX(_xlpm.x,,2),1),""))</f>
        <v>MATERIALS</v>
      </c>
      <c r="J3" t="str">
        <v>0.47mm TCT Gutter Pre-Painted 18" Girth x 8ft</v>
      </c>
      <c r="K3" t="str">
        <v>LTH</v>
      </c>
      <c r="L3" s="9">
        <f>IF($J3="","",IFERROR(SUMIFS(SummaryHelper!$H$2:$H$5000,SummaryHelper!$A$2:$A$5000,$I3,SummaryHelper!$B$2:$B$5000,$J3,SummaryHelper!$C$2:$C$5000,$K3)/SUMIFS(SummaryHelper!$G$2:$G$5000,SummaryHelper!$A$2:$A$5000,$I3,SummaryHelper!$B$2:$B$5000,$J3,SummaryHelper!$C$2:$C$5000,$K3),""))</f>
        <v>45</v>
      </c>
      <c r="M3" s="9">
        <f>IF($J3="","",SUMIFS(SummaryHelper!$E$2:$E$5000,SummaryHelper!$A$2:$A$5000,$I3,SummaryHelper!$B$2:$B$5000,$J3,SummaryHelper!$C$2:$C$5000,$K3))</f>
        <v>8</v>
      </c>
      <c r="N3" s="9">
        <f>IF($J3="","",SUMIFS(SummaryHelper!$F$2:$F$5000,SummaryHelper!$A$2:$A$5000,$I3,SummaryHelper!$B$2:$B$5000,$J3,SummaryHelper!$C$2:$C$5000,$K3))</f>
        <v>0.05</v>
      </c>
      <c r="O3" s="9">
        <f>IF($J3="","",SUMIFS(SummaryHelper!$G$2:$G$5000,SummaryHelper!$A$2:$A$5000,$I3,SummaryHelper!$B$2:$B$5000,$J3,SummaryHelper!$C$2:$C$5000,$K3))</f>
        <v>8.4</v>
      </c>
      <c r="Q3" s="9">
        <f>IF($J3="","",IF($P3="",ROUNDUP($O3,0),$P3))</f>
        <v>9</v>
      </c>
      <c r="R3" s="9">
        <f>IF($J3="","",$Q3*$L3)</f>
        <v>405</v>
      </c>
      <c r="T3" t="str" cm="1">
        <f t="array" ref="T3:V3">IFERROR(_xlfn._xlws.SORT(_xlfn.UNIQUE(_xlfn._xlws.FILTER(CHOOSE({1,2,3},SummaryHelper!$A$2:$A$5000,SummaryHelper!$B$2:$B$5000,SummaryHelper!$C$2:$C$5000),(SummaryHelper!$A$2:$A$5000="LABOUR")*(SummaryHelper!$B$2:$B$5000&lt;&gt;""),""))),"")</f>
        <v>LABOUR</v>
      </c>
      <c r="U3" t="str">
        <v>Labour - Skilled Worker (Per MH)</v>
      </c>
      <c r="V3" t="str">
        <v>MH</v>
      </c>
      <c r="W3" s="9">
        <f>IF($U3="","",IFERROR(SUMIFS(SummaryHelper!$H$2:$H$5000,SummaryHelper!$A$2:$A$5000,$T3,SummaryHelper!$B$2:$B$5000,$U3,SummaryHelper!$C$2:$C$5000,$V3)/SUMIFS(SummaryHelper!$G$2:$G$5000,SummaryHelper!$A$2:$A$5000,$T3,SummaryHelper!$B$2:$B$5000,$U3,SummaryHelper!$C$2:$C$5000,$V3),""))</f>
        <v>22.5</v>
      </c>
      <c r="X3" s="9">
        <f>IF($U3="","",SUMIFS(SummaryHelper!$E$2:$E$5000,SummaryHelper!$A$2:$A$5000,$T3,SummaryHelper!$B$2:$B$5000,$U3,SummaryHelper!$C$2:$C$5000,$V3))</f>
        <v>1582</v>
      </c>
      <c r="Y3" s="9">
        <f>IF($U3="","",SUMIFS(SummaryHelper!$F$2:$F$5000,SummaryHelper!$A$2:$A$5000,$T3,SummaryHelper!$B$2:$B$5000,$U3,SummaryHelper!$C$2:$C$5000,$V3))</f>
        <v>0</v>
      </c>
      <c r="Z3" s="9">
        <f>IF($U3="","",SUMIFS(SummaryHelper!$G$2:$G$5000,SummaryHelper!$A$2:$A$5000,$T3,SummaryHelper!$B$2:$B$5000,$U3,SummaryHelper!$C$2:$C$5000,$V3))</f>
        <v>1582</v>
      </c>
      <c r="AB3" s="9">
        <f>IF($U3="","",IF($AA3="",$Z3,$AA3))</f>
        <v>1582</v>
      </c>
      <c r="AC3" s="9">
        <f>IF($U3="","",$AB3*$W3)</f>
        <v>35595</v>
      </c>
      <c r="AE3" t="str" cm="1">
        <f t="array" ref="AE3:AG6">IFERROR(_xlfn._xlws.SORT(_xlfn.UNIQUE(_xlfn._xlws.FILTER(CHOOSE({1,2,3},SummaryHelper!$A$2:$A$5000,SummaryHelper!$B$2:$B$5000,SummaryHelper!$C$2:$C$5000),(SummaryHelper!$A$2:$A$5000="RENTAL / SERVICE")*(SummaryHelper!$B$2:$B$5000&lt;&gt;""),""))),"")</f>
        <v>RENTAL / SERVICE</v>
      </c>
      <c r="AF3" t="str">
        <v>Cement Mixer Rental - Month 1 (Per Month)</v>
      </c>
      <c r="AG3" t="str">
        <v>MONTH</v>
      </c>
      <c r="AH3">
        <f>IF($AF3="","",IFERROR(SUMIFS(SummaryHelper!$H$2:$H$5000,SummaryHelper!$A$2:$A$5000,$AE3,SummaryHelper!$B$2:$B$5000,$AF3,SummaryHelper!$C$2:$C$5000,$AG3)/SUMIFS(SummaryHelper!$G$2:$G$5000,SummaryHelper!$A$2:$A$5000,$AE3,SummaryHelper!$B$2:$B$5000,$AF3,SummaryHelper!$C$2:$C$5000,$AG3),""))</f>
        <v>650</v>
      </c>
      <c r="AI3">
        <f>IF($AF3="","",SUMIFS(SummaryHelper!$E$2:$E$5000,SummaryHelper!$A$2:$A$5000,$AE3,SummaryHelper!$B$2:$B$5000,$AF3,SummaryHelper!$C$2:$C$5000,$AG3))</f>
        <v>1</v>
      </c>
      <c r="AJ3">
        <f>IF($AF3="","",SUMIFS(SummaryHelper!$F$2:$F$5000,SummaryHelper!$A$2:$A$5000,$AE3,SummaryHelper!$B$2:$B$5000,$AF3,SummaryHelper!$C$2:$C$5000,$AG3))</f>
        <v>0</v>
      </c>
      <c r="AK3">
        <f>IF($AF3="","",SUMIFS(SummaryHelper!$G$2:$G$5000,SummaryHelper!$A$2:$A$5000,$AE3,SummaryHelper!$B$2:$B$5000,$AF3,SummaryHelper!$C$2:$C$5000,$AG3))</f>
        <v>1</v>
      </c>
      <c r="AM3">
        <f>IF($AF3="","",IF($AL3="",$AK3,$AL3))</f>
        <v>1</v>
      </c>
      <c r="AN3">
        <f>IF($AF3="","",$AM3*$AH3)</f>
        <v>650</v>
      </c>
    </row>
    <row r="4" spans="1:40" x14ac:dyDescent="0.25">
      <c r="A4" s="12">
        <v>1</v>
      </c>
      <c r="B4" s="12" t="str">
        <f t="shared" ref="B4:B14" si="0">IF($A4=1,"S"&amp;TEXT(ROW()-2,"00"),"")</f>
        <v>S02</v>
      </c>
      <c r="C4" s="9">
        <f t="shared" ref="C4:C67" ca="1" si="1">_xlfn.LET(_xlpm.sh,IFERROR(MID($B4,SEARCH("S",$B4),3),$B4),IF($B4="","",IFERROR(SUMIFS(INDIRECT("'"&amp;_xlpm.sh&amp;"'!N3:N300"),INDIRECT("'"&amp;_xlpm.sh&amp;"'!F3:F300"),"&lt;&gt;",INDIRECT("'"&amp;_xlpm.sh&amp;"'!H3:H300"),"&lt;&gt;"),0)))</f>
        <v>0</v>
      </c>
      <c r="D4" s="9">
        <f t="shared" ref="D4:D67" ca="1" si="2">_xlfn.LET(_xlpm.sh,IFERROR(MID($B4,SEARCH("S",$B4),3),$B4),IF($B4="","",IFERROR(SUMIFS(INDIRECT("'"&amp;_xlpm.sh&amp;"'!Y3:Y300"),INDIRECT("'"&amp;_xlpm.sh&amp;"'!Q3:Q300"),"&lt;&gt;",INDIRECT("'"&amp;_xlpm.sh&amp;"'!S3:S300"),"&lt;&gt;"),0)))</f>
        <v>0</v>
      </c>
      <c r="E4" s="9">
        <f t="shared" ref="E4:E67" ca="1" si="3">_xlfn.LET(_xlpm.sh,IFERROR(MID($B4,SEARCH("S",$B4),3),$B4),IF($B4="","",IFERROR(SUMIFS(INDIRECT("'"&amp;_xlpm.sh&amp;"'!AJ3:AJ300"),INDIRECT("'"&amp;_xlpm.sh&amp;"'!AB3:AB300"),"&lt;&gt;",INDIRECT("'"&amp;_xlpm.sh&amp;"'!AD3:AD300"),"&lt;&gt;"),0)))</f>
        <v>0</v>
      </c>
      <c r="F4" s="9">
        <f t="shared" ref="F4:F67" ca="1" si="4">IF($B4="","",C4+D4+E4)</f>
        <v>0</v>
      </c>
      <c r="G4" s="9">
        <f t="shared" ref="G4:G67" ca="1" si="5">IF($A4=1,$F4,0)</f>
        <v>0</v>
      </c>
      <c r="I4" t="str">
        <v>MATERIALS</v>
      </c>
      <c r="J4" t="str">
        <v>1200mmW x 600mmH 2 Panel Grill Window</v>
      </c>
      <c r="K4" t="str">
        <v>SET</v>
      </c>
      <c r="L4" s="9">
        <f>IF($J4="","",IFERROR(SUMIFS(SummaryHelper!$H$2:$H$5000,SummaryHelper!$A$2:$A$5000,$I4,SummaryHelper!$B$2:$B$5000,$J4,SummaryHelper!$C$2:$C$5000,$K4)/SUMIFS(SummaryHelper!$G$2:$G$5000,SummaryHelper!$A$2:$A$5000,$I4,SummaryHelper!$B$2:$B$5000,$J4,SummaryHelper!$C$2:$C$5000,$K4),""))</f>
        <v>180</v>
      </c>
      <c r="M4" s="9">
        <f>IF($J4="","",SUMIFS(SummaryHelper!$E$2:$E$5000,SummaryHelper!$A$2:$A$5000,$I4,SummaryHelper!$B$2:$B$5000,$J4,SummaryHelper!$C$2:$C$5000,$K4))</f>
        <v>3</v>
      </c>
      <c r="N4" s="9">
        <f>IF($J4="","",SUMIFS(SummaryHelper!$F$2:$F$5000,SummaryHelper!$A$2:$A$5000,$I4,SummaryHelper!$B$2:$B$5000,$J4,SummaryHelper!$C$2:$C$5000,$K4))</f>
        <v>0</v>
      </c>
      <c r="O4" s="9">
        <f>IF($J4="","",SUMIFS(SummaryHelper!$G$2:$G$5000,SummaryHelper!$A$2:$A$5000,$I4,SummaryHelper!$B$2:$B$5000,$J4,SummaryHelper!$C$2:$C$5000,$K4))</f>
        <v>3</v>
      </c>
      <c r="Q4" s="9">
        <f t="shared" ref="Q4:Q67" si="6">IF($J4="","",IF($P4="",ROUNDUP($O4,0),$P4))</f>
        <v>3</v>
      </c>
      <c r="R4" s="9">
        <f t="shared" ref="R4:R67" si="7">IF($J4="","",$Q4*$L4)</f>
        <v>540</v>
      </c>
      <c r="W4" s="9" t="str">
        <f>IF($U4="","",IFERROR(SUMIFS(SummaryHelper!$H$2:$H$5000,SummaryHelper!$A$2:$A$5000,$T4,SummaryHelper!$B$2:$B$5000,$U4,SummaryHelper!$C$2:$C$5000,$V4)/SUMIFS(SummaryHelper!$G$2:$G$5000,SummaryHelper!$A$2:$A$5000,$T4,SummaryHelper!$B$2:$B$5000,$U4,SummaryHelper!$C$2:$C$5000,$V4),""))</f>
        <v/>
      </c>
      <c r="X4" s="9" t="str">
        <f>IF($U4="","",SUMIFS(SummaryHelper!$E$2:$E$5000,SummaryHelper!$A$2:$A$5000,$T4,SummaryHelper!$B$2:$B$5000,$U4,SummaryHelper!$C$2:$C$5000,$V4))</f>
        <v/>
      </c>
      <c r="Y4" s="9" t="str">
        <f>IF($U4="","",SUMIFS(SummaryHelper!$F$2:$F$5000,SummaryHelper!$A$2:$A$5000,$T4,SummaryHelper!$B$2:$B$5000,$U4,SummaryHelper!$C$2:$C$5000,$V4))</f>
        <v/>
      </c>
      <c r="Z4" s="9" t="str">
        <f>IF($U4="","",SUMIFS(SummaryHelper!$G$2:$G$5000,SummaryHelper!$A$2:$A$5000,$T4,SummaryHelper!$B$2:$B$5000,$U4,SummaryHelper!$C$2:$C$5000,$V4))</f>
        <v/>
      </c>
      <c r="AB4" s="9" t="str">
        <f t="shared" ref="AB4:AB67" si="8">IF($U4="","",IF($AA4="",$Z4,$AA4))</f>
        <v/>
      </c>
      <c r="AC4" s="9" t="str">
        <f t="shared" ref="AC4:AC67" si="9">IF($U4="","",$AB4*$W4)</f>
        <v/>
      </c>
      <c r="AE4" t="str">
        <v>RENTAL / SERVICE</v>
      </c>
      <c r="AF4" t="str">
        <v>Cement Mixer Rental - Month 2 Onwards (Per Month)</v>
      </c>
      <c r="AG4" t="str">
        <v>MONTH</v>
      </c>
      <c r="AH4">
        <f>IF($AF4="","",IFERROR(SUMIFS(SummaryHelper!$H$2:$H$5000,SummaryHelper!$A$2:$A$5000,$AE4,SummaryHelper!$B$2:$B$5000,$AF4,SummaryHelper!$C$2:$C$5000,$AG4)/SUMIFS(SummaryHelper!$G$2:$G$5000,SummaryHelper!$A$2:$A$5000,$AE4,SummaryHelper!$B$2:$B$5000,$AF4,SummaryHelper!$C$2:$C$5000,$AG4),""))</f>
        <v>450</v>
      </c>
      <c r="AI4">
        <f>IF($AF4="","",SUMIFS(SummaryHelper!$E$2:$E$5000,SummaryHelper!$A$2:$A$5000,$AE4,SummaryHelper!$B$2:$B$5000,$AF4,SummaryHelper!$C$2:$C$5000,$AG4))</f>
        <v>1</v>
      </c>
      <c r="AJ4">
        <f>IF($AF4="","",SUMIFS(SummaryHelper!$F$2:$F$5000,SummaryHelper!$A$2:$A$5000,$AE4,SummaryHelper!$B$2:$B$5000,$AF4,SummaryHelper!$C$2:$C$5000,$AG4))</f>
        <v>0</v>
      </c>
      <c r="AK4">
        <f>IF($AF4="","",SUMIFS(SummaryHelper!$G$2:$G$5000,SummaryHelper!$A$2:$A$5000,$AE4,SummaryHelper!$B$2:$B$5000,$AF4,SummaryHelper!$C$2:$C$5000,$AG4))</f>
        <v>1</v>
      </c>
      <c r="AM4">
        <f t="shared" ref="AM4:AM67" si="10">IF($AF4="","",IF($AL4="",$AK4,$AL4))</f>
        <v>1</v>
      </c>
      <c r="AN4">
        <f t="shared" ref="AN4:AN67" si="11">IF($AF4="","",$AM4*$AH4)</f>
        <v>450</v>
      </c>
    </row>
    <row r="5" spans="1:40" x14ac:dyDescent="0.25">
      <c r="A5" s="12">
        <v>1</v>
      </c>
      <c r="B5" s="12" t="str">
        <f t="shared" si="0"/>
        <v>S03</v>
      </c>
      <c r="C5" s="9">
        <f t="shared" ca="1" si="1"/>
        <v>0</v>
      </c>
      <c r="D5" s="9">
        <f t="shared" ca="1" si="2"/>
        <v>2250</v>
      </c>
      <c r="E5" s="9">
        <f t="shared" ca="1" si="3"/>
        <v>0</v>
      </c>
      <c r="F5" s="9">
        <f t="shared" ca="1" si="4"/>
        <v>2250</v>
      </c>
      <c r="G5" s="9">
        <f t="shared" ca="1" si="5"/>
        <v>2250</v>
      </c>
      <c r="I5" t="str">
        <v>MATERIALS</v>
      </c>
      <c r="J5" t="str">
        <v>1200mmW x 600mmH 2 Panel TopHung Casement Window c/w Float Glass</v>
      </c>
      <c r="K5" t="str">
        <v>SET</v>
      </c>
      <c r="L5" s="9">
        <f>IF($J5="","",IFERROR(SUMIFS(SummaryHelper!$H$2:$H$5000,SummaryHelper!$A$2:$A$5000,$I5,SummaryHelper!$B$2:$B$5000,$J5,SummaryHelper!$C$2:$C$5000,$K5)/SUMIFS(SummaryHelper!$G$2:$G$5000,SummaryHelper!$A$2:$A$5000,$I5,SummaryHelper!$B$2:$B$5000,$J5,SummaryHelper!$C$2:$C$5000,$K5),""))</f>
        <v>300</v>
      </c>
      <c r="M5" s="9">
        <f>IF($J5="","",SUMIFS(SummaryHelper!$E$2:$E$5000,SummaryHelper!$A$2:$A$5000,$I5,SummaryHelper!$B$2:$B$5000,$J5,SummaryHelper!$C$2:$C$5000,$K5))</f>
        <v>3</v>
      </c>
      <c r="N5" s="9">
        <f>IF($J5="","",SUMIFS(SummaryHelper!$F$2:$F$5000,SummaryHelper!$A$2:$A$5000,$I5,SummaryHelper!$B$2:$B$5000,$J5,SummaryHelper!$C$2:$C$5000,$K5))</f>
        <v>0</v>
      </c>
      <c r="O5" s="9">
        <f>IF($J5="","",SUMIFS(SummaryHelper!$G$2:$G$5000,SummaryHelper!$A$2:$A$5000,$I5,SummaryHelper!$B$2:$B$5000,$J5,SummaryHelper!$C$2:$C$5000,$K5))</f>
        <v>3</v>
      </c>
      <c r="Q5" s="9">
        <f t="shared" si="6"/>
        <v>3</v>
      </c>
      <c r="R5" s="9">
        <f t="shared" si="7"/>
        <v>900</v>
      </c>
      <c r="W5" s="9" t="str">
        <f>IF($U5="","",IFERROR(SUMIFS(SummaryHelper!$H$2:$H$5000,SummaryHelper!$A$2:$A$5000,$T5,SummaryHelper!$B$2:$B$5000,$U5,SummaryHelper!$C$2:$C$5000,$V5)/SUMIFS(SummaryHelper!$G$2:$G$5000,SummaryHelper!$A$2:$A$5000,$T5,SummaryHelper!$B$2:$B$5000,$U5,SummaryHelper!$C$2:$C$5000,$V5),""))</f>
        <v/>
      </c>
      <c r="X5" s="9" t="str">
        <f>IF($U5="","",SUMIFS(SummaryHelper!$E$2:$E$5000,SummaryHelper!$A$2:$A$5000,$T5,SummaryHelper!$B$2:$B$5000,$U5,SummaryHelper!$C$2:$C$5000,$V5))</f>
        <v/>
      </c>
      <c r="Y5" s="9" t="str">
        <f>IF($U5="","",SUMIFS(SummaryHelper!$F$2:$F$5000,SummaryHelper!$A$2:$A$5000,$T5,SummaryHelper!$B$2:$B$5000,$U5,SummaryHelper!$C$2:$C$5000,$V5))</f>
        <v/>
      </c>
      <c r="Z5" s="9" t="str">
        <f>IF($U5="","",SUMIFS(SummaryHelper!$G$2:$G$5000,SummaryHelper!$A$2:$A$5000,$T5,SummaryHelper!$B$2:$B$5000,$U5,SummaryHelper!$C$2:$C$5000,$V5))</f>
        <v/>
      </c>
      <c r="AB5" s="9" t="str">
        <f t="shared" si="8"/>
        <v/>
      </c>
      <c r="AC5" s="9" t="str">
        <f t="shared" si="9"/>
        <v/>
      </c>
      <c r="AE5" t="str">
        <v>RENTAL / SERVICE</v>
      </c>
      <c r="AF5" t="str">
        <v>Scaffolding Bay Set (Used) 1.7m(H) x 0.9m(W) incl 1 Platform (Per Month). Deposit RM195/set refundable.</v>
      </c>
      <c r="AG5" t="str">
        <v>SET</v>
      </c>
      <c r="AH5">
        <f>IF($AF5="","",IFERROR(SUMIFS(SummaryHelper!$H$2:$H$5000,SummaryHelper!$A$2:$A$5000,$AE5,SummaryHelper!$B$2:$B$5000,$AF5,SummaryHelper!$C$2:$C$5000,$AG5)/SUMIFS(SummaryHelper!$G$2:$G$5000,SummaryHelper!$A$2:$A$5000,$AE5,SummaryHelper!$B$2:$B$5000,$AF5,SummaryHelper!$C$2:$C$5000,$AG5),""))</f>
        <v>45</v>
      </c>
      <c r="AI5">
        <f>IF($AF5="","",SUMIFS(SummaryHelper!$E$2:$E$5000,SummaryHelper!$A$2:$A$5000,$AE5,SummaryHelper!$B$2:$B$5000,$AF5,SummaryHelper!$C$2:$C$5000,$AG5))</f>
        <v>60</v>
      </c>
      <c r="AJ5">
        <f>IF($AF5="","",SUMIFS(SummaryHelper!$F$2:$F$5000,SummaryHelper!$A$2:$A$5000,$AE5,SummaryHelper!$B$2:$B$5000,$AF5,SummaryHelper!$C$2:$C$5000,$AG5))</f>
        <v>0</v>
      </c>
      <c r="AK5">
        <f>IF($AF5="","",SUMIFS(SummaryHelper!$G$2:$G$5000,SummaryHelper!$A$2:$A$5000,$AE5,SummaryHelper!$B$2:$B$5000,$AF5,SummaryHelper!$C$2:$C$5000,$AG5))</f>
        <v>60</v>
      </c>
      <c r="AM5">
        <f t="shared" si="10"/>
        <v>60</v>
      </c>
      <c r="AN5">
        <f t="shared" si="11"/>
        <v>2700</v>
      </c>
    </row>
    <row r="6" spans="1:40" x14ac:dyDescent="0.25">
      <c r="A6" s="12">
        <v>1</v>
      </c>
      <c r="B6" s="12" t="str">
        <f t="shared" si="0"/>
        <v>S04</v>
      </c>
      <c r="C6" s="9">
        <f t="shared" ca="1" si="1"/>
        <v>4126.8999999999996</v>
      </c>
      <c r="D6" s="9">
        <f t="shared" ca="1" si="2"/>
        <v>1822.5</v>
      </c>
      <c r="E6" s="9">
        <f t="shared" ca="1" si="3"/>
        <v>900</v>
      </c>
      <c r="F6" s="9">
        <f t="shared" ca="1" si="4"/>
        <v>6849.4</v>
      </c>
      <c r="G6" s="9">
        <f t="shared" ca="1" si="5"/>
        <v>6849.4</v>
      </c>
      <c r="I6" t="str">
        <v>MATERIALS</v>
      </c>
      <c r="J6" t="str">
        <v>25mm x 4.5mm THK External Bracket</v>
      </c>
      <c r="K6" t="str">
        <v>PCS</v>
      </c>
      <c r="L6" s="9">
        <f>IF($J6="","",IFERROR(SUMIFS(SummaryHelper!$H$2:$H$5000,SummaryHelper!$A$2:$A$5000,$I6,SummaryHelper!$B$2:$B$5000,$J6,SummaryHelper!$C$2:$C$5000,$K6)/SUMIFS(SummaryHelper!$G$2:$G$5000,SummaryHelper!$A$2:$A$5000,$I6,SummaryHelper!$B$2:$B$5000,$J6,SummaryHelper!$C$2:$C$5000,$K6),""))</f>
        <v>7.5</v>
      </c>
      <c r="M6" s="9">
        <f>IF($J6="","",SUMIFS(SummaryHelper!$E$2:$E$5000,SummaryHelper!$A$2:$A$5000,$I6,SummaryHelper!$B$2:$B$5000,$J6,SummaryHelper!$C$2:$C$5000,$K6))</f>
        <v>24</v>
      </c>
      <c r="N6" s="9">
        <f>IF($J6="","",SUMIFS(SummaryHelper!$F$2:$F$5000,SummaryHelper!$A$2:$A$5000,$I6,SummaryHelper!$B$2:$B$5000,$J6,SummaryHelper!$C$2:$C$5000,$K6))</f>
        <v>0.05</v>
      </c>
      <c r="O6" s="9">
        <f>IF($J6="","",SUMIFS(SummaryHelper!$G$2:$G$5000,SummaryHelper!$A$2:$A$5000,$I6,SummaryHelper!$B$2:$B$5000,$J6,SummaryHelper!$C$2:$C$5000,$K6))</f>
        <v>25.200000000000003</v>
      </c>
      <c r="Q6" s="9">
        <f t="shared" si="6"/>
        <v>26</v>
      </c>
      <c r="R6" s="9">
        <f t="shared" si="7"/>
        <v>195</v>
      </c>
      <c r="W6" s="9" t="str">
        <f>IF($U6="","",IFERROR(SUMIFS(SummaryHelper!$H$2:$H$5000,SummaryHelper!$A$2:$A$5000,$T6,SummaryHelper!$B$2:$B$5000,$U6,SummaryHelper!$C$2:$C$5000,$V6)/SUMIFS(SummaryHelper!$G$2:$G$5000,SummaryHelper!$A$2:$A$5000,$T6,SummaryHelper!$B$2:$B$5000,$U6,SummaryHelper!$C$2:$C$5000,$V6),""))</f>
        <v/>
      </c>
      <c r="X6" s="9" t="str">
        <f>IF($U6="","",SUMIFS(SummaryHelper!$E$2:$E$5000,SummaryHelper!$A$2:$A$5000,$T6,SummaryHelper!$B$2:$B$5000,$U6,SummaryHelper!$C$2:$C$5000,$V6))</f>
        <v/>
      </c>
      <c r="Y6" s="9" t="str">
        <f>IF($U6="","",SUMIFS(SummaryHelper!$F$2:$F$5000,SummaryHelper!$A$2:$A$5000,$T6,SummaryHelper!$B$2:$B$5000,$U6,SummaryHelper!$C$2:$C$5000,$V6))</f>
        <v/>
      </c>
      <c r="Z6" s="9" t="str">
        <f>IF($U6="","",SUMIFS(SummaryHelper!$G$2:$G$5000,SummaryHelper!$A$2:$A$5000,$T6,SummaryHelper!$B$2:$B$5000,$U6,SummaryHelper!$C$2:$C$5000,$V6))</f>
        <v/>
      </c>
      <c r="AB6" s="9" t="str">
        <f t="shared" si="8"/>
        <v/>
      </c>
      <c r="AC6" s="9" t="str">
        <f t="shared" si="9"/>
        <v/>
      </c>
      <c r="AE6" t="str">
        <v>RENTAL / SERVICE</v>
      </c>
      <c r="AF6" t="str">
        <v>Crane Hire - Standard (Per Day)</v>
      </c>
      <c r="AG6" t="str">
        <v>DAY</v>
      </c>
      <c r="AH6">
        <f>IF($AF6="","",IFERROR(SUMIFS(SummaryHelper!$H$2:$H$5000,SummaryHelper!$A$2:$A$5000,$AE6,SummaryHelper!$B$2:$B$5000,$AF6,SummaryHelper!$C$2:$C$5000,$AG6)/SUMIFS(SummaryHelper!$G$2:$G$5000,SummaryHelper!$A$2:$A$5000,$AE6,SummaryHelper!$B$2:$B$5000,$AF6,SummaryHelper!$C$2:$C$5000,$AG6),""))</f>
        <v>900</v>
      </c>
      <c r="AI6">
        <f>IF($AF6="","",SUMIFS(SummaryHelper!$E$2:$E$5000,SummaryHelper!$A$2:$A$5000,$AE6,SummaryHelper!$B$2:$B$5000,$AF6,SummaryHelper!$C$2:$C$5000,$AG6))</f>
        <v>2</v>
      </c>
      <c r="AJ6">
        <f>IF($AF6="","",SUMIFS(SummaryHelper!$F$2:$F$5000,SummaryHelper!$A$2:$A$5000,$AE6,SummaryHelper!$B$2:$B$5000,$AF6,SummaryHelper!$C$2:$C$5000,$AG6))</f>
        <v>0</v>
      </c>
      <c r="AK6">
        <f>IF($AF6="","",SUMIFS(SummaryHelper!$G$2:$G$5000,SummaryHelper!$A$2:$A$5000,$AE6,SummaryHelper!$B$2:$B$5000,$AF6,SummaryHelper!$C$2:$C$5000,$AG6))</f>
        <v>2</v>
      </c>
      <c r="AM6">
        <f t="shared" si="10"/>
        <v>2</v>
      </c>
      <c r="AN6">
        <f t="shared" si="11"/>
        <v>1800</v>
      </c>
    </row>
    <row r="7" spans="1:40" x14ac:dyDescent="0.25">
      <c r="A7" s="12">
        <v>1</v>
      </c>
      <c r="B7" s="12" t="str">
        <f t="shared" si="0"/>
        <v>S05</v>
      </c>
      <c r="C7" s="9">
        <f t="shared" ca="1" si="1"/>
        <v>3586.95</v>
      </c>
      <c r="D7" s="9">
        <f t="shared" ca="1" si="2"/>
        <v>3172.5</v>
      </c>
      <c r="E7" s="9">
        <f t="shared" ca="1" si="3"/>
        <v>900</v>
      </c>
      <c r="F7" s="9">
        <f t="shared" ca="1" si="4"/>
        <v>7659.45</v>
      </c>
      <c r="G7" s="9">
        <f t="shared" ca="1" si="5"/>
        <v>7659.45</v>
      </c>
      <c r="I7" t="str">
        <v>MATERIALS</v>
      </c>
      <c r="J7" t="str">
        <v>3/4" Aggregate (10-Wheel Truck)</v>
      </c>
      <c r="K7" t="str">
        <v>TRIP</v>
      </c>
      <c r="L7" s="9">
        <f>IF($J7="","",IFERROR(SUMIFS(SummaryHelper!$H$2:$H$5000,SummaryHelper!$A$2:$A$5000,$I7,SummaryHelper!$B$2:$B$5000,$J7,SummaryHelper!$C$2:$C$5000,$K7)/SUMIFS(SummaryHelper!$G$2:$G$5000,SummaryHelper!$A$2:$A$5000,$I7,SummaryHelper!$B$2:$B$5000,$J7,SummaryHelper!$C$2:$C$5000,$K7),""))</f>
        <v>830</v>
      </c>
      <c r="M7" s="9">
        <f>IF($J7="","",SUMIFS(SummaryHelper!$E$2:$E$5000,SummaryHelper!$A$2:$A$5000,$I7,SummaryHelper!$B$2:$B$5000,$J7,SummaryHelper!$C$2:$C$5000,$K7))</f>
        <v>1</v>
      </c>
      <c r="N7" s="9">
        <f>IF($J7="","",SUMIFS(SummaryHelper!$F$2:$F$5000,SummaryHelper!$A$2:$A$5000,$I7,SummaryHelper!$B$2:$B$5000,$J7,SummaryHelper!$C$2:$C$5000,$K7))</f>
        <v>0</v>
      </c>
      <c r="O7" s="9">
        <f>IF($J7="","",SUMIFS(SummaryHelper!$G$2:$G$5000,SummaryHelper!$A$2:$A$5000,$I7,SummaryHelper!$B$2:$B$5000,$J7,SummaryHelper!$C$2:$C$5000,$K7))</f>
        <v>1</v>
      </c>
      <c r="Q7" s="9">
        <f t="shared" si="6"/>
        <v>1</v>
      </c>
      <c r="R7" s="9">
        <f t="shared" si="7"/>
        <v>830</v>
      </c>
      <c r="W7" s="9" t="str">
        <f>IF($U7="","",IFERROR(SUMIFS(SummaryHelper!$H$2:$H$5000,SummaryHelper!$A$2:$A$5000,$T7,SummaryHelper!$B$2:$B$5000,$U7,SummaryHelper!$C$2:$C$5000,$V7)/SUMIFS(SummaryHelper!$G$2:$G$5000,SummaryHelper!$A$2:$A$5000,$T7,SummaryHelper!$B$2:$B$5000,$U7,SummaryHelper!$C$2:$C$5000,$V7),""))</f>
        <v/>
      </c>
      <c r="X7" s="9" t="str">
        <f>IF($U7="","",SUMIFS(SummaryHelper!$E$2:$E$5000,SummaryHelper!$A$2:$A$5000,$T7,SummaryHelper!$B$2:$B$5000,$U7,SummaryHelper!$C$2:$C$5000,$V7))</f>
        <v/>
      </c>
      <c r="Y7" s="9" t="str">
        <f>IF($U7="","",SUMIFS(SummaryHelper!$F$2:$F$5000,SummaryHelper!$A$2:$A$5000,$T7,SummaryHelper!$B$2:$B$5000,$U7,SummaryHelper!$C$2:$C$5000,$V7))</f>
        <v/>
      </c>
      <c r="Z7" s="9" t="str">
        <f>IF($U7="","",SUMIFS(SummaryHelper!$G$2:$G$5000,SummaryHelper!$A$2:$A$5000,$T7,SummaryHelper!$B$2:$B$5000,$U7,SummaryHelper!$C$2:$C$5000,$V7))</f>
        <v/>
      </c>
      <c r="AB7" s="9" t="str">
        <f t="shared" si="8"/>
        <v/>
      </c>
      <c r="AC7" s="9" t="str">
        <f t="shared" si="9"/>
        <v/>
      </c>
      <c r="AH7" t="str">
        <f>IF($AF7="","",IFERROR(SUMIFS(SummaryHelper!$H$2:$H$5000,SummaryHelper!$A$2:$A$5000,$AE7,SummaryHelper!$B$2:$B$5000,$AF7,SummaryHelper!$C$2:$C$5000,$AG7)/SUMIFS(SummaryHelper!$G$2:$G$5000,SummaryHelper!$A$2:$A$5000,$AE7,SummaryHelper!$B$2:$B$5000,$AF7,SummaryHelper!$C$2:$C$5000,$AG7),""))</f>
        <v/>
      </c>
      <c r="AI7" t="str">
        <f>IF($AF7="","",SUMIFS(SummaryHelper!$E$2:$E$5000,SummaryHelper!$A$2:$A$5000,$AE7,SummaryHelper!$B$2:$B$5000,$AF7,SummaryHelper!$C$2:$C$5000,$AG7))</f>
        <v/>
      </c>
      <c r="AJ7" t="str">
        <f>IF($AF7="","",SUMIFS(SummaryHelper!$F$2:$F$5000,SummaryHelper!$A$2:$A$5000,$AE7,SummaryHelper!$B$2:$B$5000,$AF7,SummaryHelper!$C$2:$C$5000,$AG7))</f>
        <v/>
      </c>
      <c r="AK7" t="str">
        <f>IF($AF7="","",SUMIFS(SummaryHelper!$G$2:$G$5000,SummaryHelper!$A$2:$A$5000,$AE7,SummaryHelper!$B$2:$B$5000,$AF7,SummaryHelper!$C$2:$C$5000,$AG7))</f>
        <v/>
      </c>
      <c r="AM7" t="str">
        <f t="shared" si="10"/>
        <v/>
      </c>
      <c r="AN7" t="str">
        <f t="shared" si="11"/>
        <v/>
      </c>
    </row>
    <row r="8" spans="1:40" x14ac:dyDescent="0.25">
      <c r="A8" s="12">
        <v>1</v>
      </c>
      <c r="B8" s="12" t="str">
        <f t="shared" si="0"/>
        <v>S06</v>
      </c>
      <c r="C8" s="9">
        <f t="shared" ca="1" si="1"/>
        <v>2692.75</v>
      </c>
      <c r="D8" s="9">
        <f t="shared" ca="1" si="2"/>
        <v>2475</v>
      </c>
      <c r="E8" s="9">
        <f t="shared" ca="1" si="3"/>
        <v>0</v>
      </c>
      <c r="F8" s="9">
        <f t="shared" ca="1" si="4"/>
        <v>5167.75</v>
      </c>
      <c r="G8" s="9">
        <f t="shared" ca="1" si="5"/>
        <v>5167.75</v>
      </c>
      <c r="I8" t="str">
        <v>MATERIALS</v>
      </c>
      <c r="J8" t="str">
        <v>30inW x 84inH Bifold Mini Pro VACP 800 Series</v>
      </c>
      <c r="K8" t="str">
        <v>SET</v>
      </c>
      <c r="L8" s="9">
        <f>IF($J8="","",IFERROR(SUMIFS(SummaryHelper!$H$2:$H$5000,SummaryHelper!$A$2:$A$5000,$I8,SummaryHelper!$B$2:$B$5000,$J8,SummaryHelper!$C$2:$C$5000,$K8)/SUMIFS(SummaryHelper!$G$2:$G$5000,SummaryHelper!$A$2:$A$5000,$I8,SummaryHelper!$B$2:$B$5000,$J8,SummaryHelper!$C$2:$C$5000,$K8),""))</f>
        <v>480</v>
      </c>
      <c r="M8" s="9">
        <f>IF($J8="","",SUMIFS(SummaryHelper!$E$2:$E$5000,SummaryHelper!$A$2:$A$5000,$I8,SummaryHelper!$B$2:$B$5000,$J8,SummaryHelper!$C$2:$C$5000,$K8))</f>
        <v>1</v>
      </c>
      <c r="N8" s="9">
        <f>IF($J8="","",SUMIFS(SummaryHelper!$F$2:$F$5000,SummaryHelper!$A$2:$A$5000,$I8,SummaryHelper!$B$2:$B$5000,$J8,SummaryHelper!$C$2:$C$5000,$K8))</f>
        <v>0</v>
      </c>
      <c r="O8" s="9">
        <f>IF($J8="","",SUMIFS(SummaryHelper!$G$2:$G$5000,SummaryHelper!$A$2:$A$5000,$I8,SummaryHelper!$B$2:$B$5000,$J8,SummaryHelper!$C$2:$C$5000,$K8))</f>
        <v>1</v>
      </c>
      <c r="Q8" s="9">
        <f t="shared" si="6"/>
        <v>1</v>
      </c>
      <c r="R8" s="9">
        <f t="shared" si="7"/>
        <v>480</v>
      </c>
      <c r="W8" s="9" t="str">
        <f>IF($U8="","",IFERROR(SUMIFS(SummaryHelper!$H$2:$H$5000,SummaryHelper!$A$2:$A$5000,$T8,SummaryHelper!$B$2:$B$5000,$U8,SummaryHelper!$C$2:$C$5000,$V8)/SUMIFS(SummaryHelper!$G$2:$G$5000,SummaryHelper!$A$2:$A$5000,$T8,SummaryHelper!$B$2:$B$5000,$U8,SummaryHelper!$C$2:$C$5000,$V8),""))</f>
        <v/>
      </c>
      <c r="X8" s="9" t="str">
        <f>IF($U8="","",SUMIFS(SummaryHelper!$E$2:$E$5000,SummaryHelper!$A$2:$A$5000,$T8,SummaryHelper!$B$2:$B$5000,$U8,SummaryHelper!$C$2:$C$5000,$V8))</f>
        <v/>
      </c>
      <c r="Y8" s="9" t="str">
        <f>IF($U8="","",SUMIFS(SummaryHelper!$F$2:$F$5000,SummaryHelper!$A$2:$A$5000,$T8,SummaryHelper!$B$2:$B$5000,$U8,SummaryHelper!$C$2:$C$5000,$V8))</f>
        <v/>
      </c>
      <c r="Z8" s="9" t="str">
        <f>IF($U8="","",SUMIFS(SummaryHelper!$G$2:$G$5000,SummaryHelper!$A$2:$A$5000,$T8,SummaryHelper!$B$2:$B$5000,$U8,SummaryHelper!$C$2:$C$5000,$V8))</f>
        <v/>
      </c>
      <c r="AB8" s="9" t="str">
        <f t="shared" si="8"/>
        <v/>
      </c>
      <c r="AC8" s="9" t="str">
        <f t="shared" si="9"/>
        <v/>
      </c>
      <c r="AH8" t="str">
        <f>IF($AF8="","",IFERROR(SUMIFS(SummaryHelper!$H$2:$H$5000,SummaryHelper!$A$2:$A$5000,$AE8,SummaryHelper!$B$2:$B$5000,$AF8,SummaryHelper!$C$2:$C$5000,$AG8)/SUMIFS(SummaryHelper!$G$2:$G$5000,SummaryHelper!$A$2:$A$5000,$AE8,SummaryHelper!$B$2:$B$5000,$AF8,SummaryHelper!$C$2:$C$5000,$AG8),""))</f>
        <v/>
      </c>
      <c r="AI8" t="str">
        <f>IF($AF8="","",SUMIFS(SummaryHelper!$E$2:$E$5000,SummaryHelper!$A$2:$A$5000,$AE8,SummaryHelper!$B$2:$B$5000,$AF8,SummaryHelper!$C$2:$C$5000,$AG8))</f>
        <v/>
      </c>
      <c r="AJ8" t="str">
        <f>IF($AF8="","",SUMIFS(SummaryHelper!$F$2:$F$5000,SummaryHelper!$A$2:$A$5000,$AE8,SummaryHelper!$B$2:$B$5000,$AF8,SummaryHelper!$C$2:$C$5000,$AG8))</f>
        <v/>
      </c>
      <c r="AK8" t="str">
        <f>IF($AF8="","",SUMIFS(SummaryHelper!$G$2:$G$5000,SummaryHelper!$A$2:$A$5000,$AE8,SummaryHelper!$B$2:$B$5000,$AF8,SummaryHelper!$C$2:$C$5000,$AG8))</f>
        <v/>
      </c>
      <c r="AM8" t="str">
        <f t="shared" si="10"/>
        <v/>
      </c>
      <c r="AN8" t="str">
        <f t="shared" si="11"/>
        <v/>
      </c>
    </row>
    <row r="9" spans="1:40" x14ac:dyDescent="0.25">
      <c r="A9" s="12">
        <v>1</v>
      </c>
      <c r="B9" s="12" t="str">
        <f t="shared" si="0"/>
        <v>S07</v>
      </c>
      <c r="C9" s="9">
        <f t="shared" ca="1" si="1"/>
        <v>531.56000000000006</v>
      </c>
      <c r="D9" s="9">
        <f t="shared" ca="1" si="2"/>
        <v>1440</v>
      </c>
      <c r="E9" s="9">
        <f t="shared" ca="1" si="3"/>
        <v>0</v>
      </c>
      <c r="F9" s="9">
        <f t="shared" ca="1" si="4"/>
        <v>1971.56</v>
      </c>
      <c r="G9" s="9">
        <f t="shared" ca="1" si="5"/>
        <v>1971.56</v>
      </c>
      <c r="I9" t="str">
        <v>MATERIALS</v>
      </c>
      <c r="J9" t="str">
        <v>36inW x 84inH 1 Panel Grill Swing Kitchen/back door</v>
      </c>
      <c r="K9" t="str">
        <v>SET</v>
      </c>
      <c r="L9" s="9">
        <f>IF($J9="","",IFERROR(SUMIFS(SummaryHelper!$H$2:$H$5000,SummaryHelper!$A$2:$A$5000,$I9,SummaryHelper!$B$2:$B$5000,$J9,SummaryHelper!$C$2:$C$5000,$K9)/SUMIFS(SummaryHelper!$G$2:$G$5000,SummaryHelper!$A$2:$A$5000,$I9,SummaryHelper!$B$2:$B$5000,$J9,SummaryHelper!$C$2:$C$5000,$K9),""))</f>
        <v>800</v>
      </c>
      <c r="M9" s="9">
        <f>IF($J9="","",SUMIFS(SummaryHelper!$E$2:$E$5000,SummaryHelper!$A$2:$A$5000,$I9,SummaryHelper!$B$2:$B$5000,$J9,SummaryHelper!$C$2:$C$5000,$K9))</f>
        <v>1</v>
      </c>
      <c r="N9" s="9">
        <f>IF($J9="","",SUMIFS(SummaryHelper!$F$2:$F$5000,SummaryHelper!$A$2:$A$5000,$I9,SummaryHelper!$B$2:$B$5000,$J9,SummaryHelper!$C$2:$C$5000,$K9))</f>
        <v>0</v>
      </c>
      <c r="O9" s="9">
        <f>IF($J9="","",SUMIFS(SummaryHelper!$G$2:$G$5000,SummaryHelper!$A$2:$A$5000,$I9,SummaryHelper!$B$2:$B$5000,$J9,SummaryHelper!$C$2:$C$5000,$K9))</f>
        <v>1</v>
      </c>
      <c r="Q9" s="9">
        <f t="shared" si="6"/>
        <v>1</v>
      </c>
      <c r="R9" s="9">
        <f t="shared" si="7"/>
        <v>800</v>
      </c>
      <c r="W9" s="9" t="str">
        <f>IF($U9="","",IFERROR(SUMIFS(SummaryHelper!$H$2:$H$5000,SummaryHelper!$A$2:$A$5000,$T9,SummaryHelper!$B$2:$B$5000,$U9,SummaryHelper!$C$2:$C$5000,$V9)/SUMIFS(SummaryHelper!$G$2:$G$5000,SummaryHelper!$A$2:$A$5000,$T9,SummaryHelper!$B$2:$B$5000,$U9,SummaryHelper!$C$2:$C$5000,$V9),""))</f>
        <v/>
      </c>
      <c r="X9" s="9" t="str">
        <f>IF($U9="","",SUMIFS(SummaryHelper!$E$2:$E$5000,SummaryHelper!$A$2:$A$5000,$T9,SummaryHelper!$B$2:$B$5000,$U9,SummaryHelper!$C$2:$C$5000,$V9))</f>
        <v/>
      </c>
      <c r="Y9" s="9" t="str">
        <f>IF($U9="","",SUMIFS(SummaryHelper!$F$2:$F$5000,SummaryHelper!$A$2:$A$5000,$T9,SummaryHelper!$B$2:$B$5000,$U9,SummaryHelper!$C$2:$C$5000,$V9))</f>
        <v/>
      </c>
      <c r="Z9" s="9" t="str">
        <f>IF($U9="","",SUMIFS(SummaryHelper!$G$2:$G$5000,SummaryHelper!$A$2:$A$5000,$T9,SummaryHelper!$B$2:$B$5000,$U9,SummaryHelper!$C$2:$C$5000,$V9))</f>
        <v/>
      </c>
      <c r="AB9" s="9" t="str">
        <f t="shared" si="8"/>
        <v/>
      </c>
      <c r="AC9" s="9" t="str">
        <f t="shared" si="9"/>
        <v/>
      </c>
      <c r="AH9" t="str">
        <f>IF($AF9="","",IFERROR(SUMIFS(SummaryHelper!$H$2:$H$5000,SummaryHelper!$A$2:$A$5000,$AE9,SummaryHelper!$B$2:$B$5000,$AF9,SummaryHelper!$C$2:$C$5000,$AG9)/SUMIFS(SummaryHelper!$G$2:$G$5000,SummaryHelper!$A$2:$A$5000,$AE9,SummaryHelper!$B$2:$B$5000,$AF9,SummaryHelper!$C$2:$C$5000,$AG9),""))</f>
        <v/>
      </c>
      <c r="AI9" t="str">
        <f>IF($AF9="","",SUMIFS(SummaryHelper!$E$2:$E$5000,SummaryHelper!$A$2:$A$5000,$AE9,SummaryHelper!$B$2:$B$5000,$AF9,SummaryHelper!$C$2:$C$5000,$AG9))</f>
        <v/>
      </c>
      <c r="AJ9" t="str">
        <f>IF($AF9="","",SUMIFS(SummaryHelper!$F$2:$F$5000,SummaryHelper!$A$2:$A$5000,$AE9,SummaryHelper!$B$2:$B$5000,$AF9,SummaryHelper!$C$2:$C$5000,$AG9))</f>
        <v/>
      </c>
      <c r="AK9" t="str">
        <f>IF($AF9="","",SUMIFS(SummaryHelper!$G$2:$G$5000,SummaryHelper!$A$2:$A$5000,$AE9,SummaryHelper!$B$2:$B$5000,$AF9,SummaryHelper!$C$2:$C$5000,$AG9))</f>
        <v/>
      </c>
      <c r="AM9" t="str">
        <f t="shared" si="10"/>
        <v/>
      </c>
      <c r="AN9" t="str">
        <f t="shared" si="11"/>
        <v/>
      </c>
    </row>
    <row r="10" spans="1:40" x14ac:dyDescent="0.25">
      <c r="A10" s="12">
        <v>1</v>
      </c>
      <c r="B10" s="12" t="str">
        <f t="shared" si="0"/>
        <v>S08</v>
      </c>
      <c r="C10" s="9">
        <f t="shared" ca="1" si="1"/>
        <v>8527.7800000000025</v>
      </c>
      <c r="D10" s="9">
        <f t="shared" ca="1" si="2"/>
        <v>2002.5</v>
      </c>
      <c r="E10" s="9">
        <f t="shared" ca="1" si="3"/>
        <v>0</v>
      </c>
      <c r="F10" s="9">
        <f t="shared" ca="1" si="4"/>
        <v>10530.280000000002</v>
      </c>
      <c r="G10" s="9">
        <f t="shared" ca="1" si="5"/>
        <v>10530.280000000002</v>
      </c>
      <c r="I10" t="str">
        <v>MATERIALS</v>
      </c>
      <c r="J10" t="str">
        <v>4" Dia Outlet</v>
      </c>
      <c r="K10" t="str">
        <v>PCS</v>
      </c>
      <c r="L10" s="9">
        <f>IF($J10="","",IFERROR(SUMIFS(SummaryHelper!$H$2:$H$5000,SummaryHelper!$A$2:$A$5000,$I10,SummaryHelper!$B$2:$B$5000,$J10,SummaryHelper!$C$2:$C$5000,$K10)/SUMIFS(SummaryHelper!$G$2:$G$5000,SummaryHelper!$A$2:$A$5000,$I10,SummaryHelper!$B$2:$B$5000,$J10,SummaryHelper!$C$2:$C$5000,$K10),""))</f>
        <v>10</v>
      </c>
      <c r="M10" s="9">
        <f>IF($J10="","",SUMIFS(SummaryHelper!$E$2:$E$5000,SummaryHelper!$A$2:$A$5000,$I10,SummaryHelper!$B$2:$B$5000,$J10,SummaryHelper!$C$2:$C$5000,$K10))</f>
        <v>4</v>
      </c>
      <c r="N10" s="9">
        <f>IF($J10="","",SUMIFS(SummaryHelper!$F$2:$F$5000,SummaryHelper!$A$2:$A$5000,$I10,SummaryHelper!$B$2:$B$5000,$J10,SummaryHelper!$C$2:$C$5000,$K10))</f>
        <v>0</v>
      </c>
      <c r="O10" s="9">
        <f>IF($J10="","",SUMIFS(SummaryHelper!$G$2:$G$5000,SummaryHelper!$A$2:$A$5000,$I10,SummaryHelper!$B$2:$B$5000,$J10,SummaryHelper!$C$2:$C$5000,$K10))</f>
        <v>4</v>
      </c>
      <c r="Q10" s="9">
        <f t="shared" si="6"/>
        <v>4</v>
      </c>
      <c r="R10" s="9">
        <f t="shared" si="7"/>
        <v>40</v>
      </c>
      <c r="W10" s="9" t="str">
        <f>IF($U10="","",IFERROR(SUMIFS(SummaryHelper!$H$2:$H$5000,SummaryHelper!$A$2:$A$5000,$T10,SummaryHelper!$B$2:$B$5000,$U10,SummaryHelper!$C$2:$C$5000,$V10)/SUMIFS(SummaryHelper!$G$2:$G$5000,SummaryHelper!$A$2:$A$5000,$T10,SummaryHelper!$B$2:$B$5000,$U10,SummaryHelper!$C$2:$C$5000,$V10),""))</f>
        <v/>
      </c>
      <c r="X10" s="9" t="str">
        <f>IF($U10="","",SUMIFS(SummaryHelper!$E$2:$E$5000,SummaryHelper!$A$2:$A$5000,$T10,SummaryHelper!$B$2:$B$5000,$U10,SummaryHelper!$C$2:$C$5000,$V10))</f>
        <v/>
      </c>
      <c r="Y10" s="9" t="str">
        <f>IF($U10="","",SUMIFS(SummaryHelper!$F$2:$F$5000,SummaryHelper!$A$2:$A$5000,$T10,SummaryHelper!$B$2:$B$5000,$U10,SummaryHelper!$C$2:$C$5000,$V10))</f>
        <v/>
      </c>
      <c r="Z10" s="9" t="str">
        <f>IF($U10="","",SUMIFS(SummaryHelper!$G$2:$G$5000,SummaryHelper!$A$2:$A$5000,$T10,SummaryHelper!$B$2:$B$5000,$U10,SummaryHelper!$C$2:$C$5000,$V10))</f>
        <v/>
      </c>
      <c r="AB10" s="9" t="str">
        <f t="shared" si="8"/>
        <v/>
      </c>
      <c r="AC10" s="9" t="str">
        <f t="shared" si="9"/>
        <v/>
      </c>
      <c r="AH10" t="str">
        <f>IF($AF10="","",IFERROR(SUMIFS(SummaryHelper!$H$2:$H$5000,SummaryHelper!$A$2:$A$5000,$AE10,SummaryHelper!$B$2:$B$5000,$AF10,SummaryHelper!$C$2:$C$5000,$AG10)/SUMIFS(SummaryHelper!$G$2:$G$5000,SummaryHelper!$A$2:$A$5000,$AE10,SummaryHelper!$B$2:$B$5000,$AF10,SummaryHelper!$C$2:$C$5000,$AG10),""))</f>
        <v/>
      </c>
      <c r="AI10" t="str">
        <f>IF($AF10="","",SUMIFS(SummaryHelper!$E$2:$E$5000,SummaryHelper!$A$2:$A$5000,$AE10,SummaryHelper!$B$2:$B$5000,$AF10,SummaryHelper!$C$2:$C$5000,$AG10))</f>
        <v/>
      </c>
      <c r="AJ10" t="str">
        <f>IF($AF10="","",SUMIFS(SummaryHelper!$F$2:$F$5000,SummaryHelper!$A$2:$A$5000,$AE10,SummaryHelper!$B$2:$B$5000,$AF10,SummaryHelper!$C$2:$C$5000,$AG10))</f>
        <v/>
      </c>
      <c r="AK10" t="str">
        <f>IF($AF10="","",SUMIFS(SummaryHelper!$G$2:$G$5000,SummaryHelper!$A$2:$A$5000,$AE10,SummaryHelper!$B$2:$B$5000,$AF10,SummaryHelper!$C$2:$C$5000,$AG10))</f>
        <v/>
      </c>
      <c r="AM10" t="str">
        <f t="shared" si="10"/>
        <v/>
      </c>
      <c r="AN10" t="str">
        <f t="shared" si="11"/>
        <v/>
      </c>
    </row>
    <row r="11" spans="1:40" x14ac:dyDescent="0.25">
      <c r="A11" s="12">
        <v>1</v>
      </c>
      <c r="B11" s="12" t="str">
        <f t="shared" si="0"/>
        <v>S09</v>
      </c>
      <c r="C11" s="9">
        <f t="shared" ca="1" si="1"/>
        <v>1840.8600000000004</v>
      </c>
      <c r="D11" s="9">
        <f t="shared" ca="1" si="2"/>
        <v>3060</v>
      </c>
      <c r="E11" s="9">
        <f t="shared" ca="1" si="3"/>
        <v>0</v>
      </c>
      <c r="F11" s="9">
        <f t="shared" ca="1" si="4"/>
        <v>4900.8600000000006</v>
      </c>
      <c r="G11" s="9">
        <f t="shared" ca="1" si="5"/>
        <v>4900.8600000000006</v>
      </c>
      <c r="I11" t="str">
        <v>MATERIALS</v>
      </c>
      <c r="J11" t="str">
        <v>600mmW x 1200mmH 1 Panel Casement Window c/w Float Glass</v>
      </c>
      <c r="K11" t="str">
        <v>SET</v>
      </c>
      <c r="L11" s="9">
        <f>IF($J11="","",IFERROR(SUMIFS(SummaryHelper!$H$2:$H$5000,SummaryHelper!$A$2:$A$5000,$I11,SummaryHelper!$B$2:$B$5000,$J11,SummaryHelper!$C$2:$C$5000,$K11)/SUMIFS(SummaryHelper!$G$2:$G$5000,SummaryHelper!$A$2:$A$5000,$I11,SummaryHelper!$B$2:$B$5000,$J11,SummaryHelper!$C$2:$C$5000,$K11),""))</f>
        <v>240</v>
      </c>
      <c r="M11" s="9">
        <f>IF($J11="","",SUMIFS(SummaryHelper!$E$2:$E$5000,SummaryHelper!$A$2:$A$5000,$I11,SummaryHelper!$B$2:$B$5000,$J11,SummaryHelper!$C$2:$C$5000,$K11))</f>
        <v>1</v>
      </c>
      <c r="N11" s="9">
        <f>IF($J11="","",SUMIFS(SummaryHelper!$F$2:$F$5000,SummaryHelper!$A$2:$A$5000,$I11,SummaryHelper!$B$2:$B$5000,$J11,SummaryHelper!$C$2:$C$5000,$K11))</f>
        <v>0</v>
      </c>
      <c r="O11" s="9">
        <f>IF($J11="","",SUMIFS(SummaryHelper!$G$2:$G$5000,SummaryHelper!$A$2:$A$5000,$I11,SummaryHelper!$B$2:$B$5000,$J11,SummaryHelper!$C$2:$C$5000,$K11))</f>
        <v>1</v>
      </c>
      <c r="Q11" s="9">
        <f t="shared" si="6"/>
        <v>1</v>
      </c>
      <c r="R11" s="9">
        <f t="shared" si="7"/>
        <v>240</v>
      </c>
      <c r="W11" s="9" t="str">
        <f>IF($U11="","",IFERROR(SUMIFS(SummaryHelper!$H$2:$H$5000,SummaryHelper!$A$2:$A$5000,$T11,SummaryHelper!$B$2:$B$5000,$U11,SummaryHelper!$C$2:$C$5000,$V11)/SUMIFS(SummaryHelper!$G$2:$G$5000,SummaryHelper!$A$2:$A$5000,$T11,SummaryHelper!$B$2:$B$5000,$U11,SummaryHelper!$C$2:$C$5000,$V11),""))</f>
        <v/>
      </c>
      <c r="X11" s="9" t="str">
        <f>IF($U11="","",SUMIFS(SummaryHelper!$E$2:$E$5000,SummaryHelper!$A$2:$A$5000,$T11,SummaryHelper!$B$2:$B$5000,$U11,SummaryHelper!$C$2:$C$5000,$V11))</f>
        <v/>
      </c>
      <c r="Y11" s="9" t="str">
        <f>IF($U11="","",SUMIFS(SummaryHelper!$F$2:$F$5000,SummaryHelper!$A$2:$A$5000,$T11,SummaryHelper!$B$2:$B$5000,$U11,SummaryHelper!$C$2:$C$5000,$V11))</f>
        <v/>
      </c>
      <c r="Z11" s="9" t="str">
        <f>IF($U11="","",SUMIFS(SummaryHelper!$G$2:$G$5000,SummaryHelper!$A$2:$A$5000,$T11,SummaryHelper!$B$2:$B$5000,$U11,SummaryHelper!$C$2:$C$5000,$V11))</f>
        <v/>
      </c>
      <c r="AB11" s="9" t="str">
        <f t="shared" si="8"/>
        <v/>
      </c>
      <c r="AC11" s="9" t="str">
        <f t="shared" si="9"/>
        <v/>
      </c>
      <c r="AH11" t="str">
        <f>IF($AF11="","",IFERROR(SUMIFS(SummaryHelper!$H$2:$H$5000,SummaryHelper!$A$2:$A$5000,$AE11,SummaryHelper!$B$2:$B$5000,$AF11,SummaryHelper!$C$2:$C$5000,$AG11)/SUMIFS(SummaryHelper!$G$2:$G$5000,SummaryHelper!$A$2:$A$5000,$AE11,SummaryHelper!$B$2:$B$5000,$AF11,SummaryHelper!$C$2:$C$5000,$AG11),""))</f>
        <v/>
      </c>
      <c r="AI11" t="str">
        <f>IF($AF11="","",SUMIFS(SummaryHelper!$E$2:$E$5000,SummaryHelper!$A$2:$A$5000,$AE11,SummaryHelper!$B$2:$B$5000,$AF11,SummaryHelper!$C$2:$C$5000,$AG11))</f>
        <v/>
      </c>
      <c r="AJ11" t="str">
        <f>IF($AF11="","",SUMIFS(SummaryHelper!$F$2:$F$5000,SummaryHelper!$A$2:$A$5000,$AE11,SummaryHelper!$B$2:$B$5000,$AF11,SummaryHelper!$C$2:$C$5000,$AG11))</f>
        <v/>
      </c>
      <c r="AK11" t="str">
        <f>IF($AF11="","",SUMIFS(SummaryHelper!$G$2:$G$5000,SummaryHelper!$A$2:$A$5000,$AE11,SummaryHelper!$B$2:$B$5000,$AF11,SummaryHelper!$C$2:$C$5000,$AG11))</f>
        <v/>
      </c>
      <c r="AM11" t="str">
        <f t="shared" si="10"/>
        <v/>
      </c>
      <c r="AN11" t="str">
        <f t="shared" si="11"/>
        <v/>
      </c>
    </row>
    <row r="12" spans="1:40" x14ac:dyDescent="0.25">
      <c r="A12" s="12">
        <v>1</v>
      </c>
      <c r="B12" s="12" t="str">
        <f t="shared" si="0"/>
        <v>S10</v>
      </c>
      <c r="C12" s="9">
        <f t="shared" ca="1" si="1"/>
        <v>3388.8574999999992</v>
      </c>
      <c r="D12" s="9">
        <f t="shared" ca="1" si="2"/>
        <v>1912.5</v>
      </c>
      <c r="E12" s="9">
        <f t="shared" ca="1" si="3"/>
        <v>0</v>
      </c>
      <c r="F12" s="9">
        <f t="shared" ca="1" si="4"/>
        <v>5301.3574999999992</v>
      </c>
      <c r="G12" s="9">
        <f t="shared" ca="1" si="5"/>
        <v>5301.3574999999992</v>
      </c>
      <c r="I12" t="str">
        <v>MATERIALS</v>
      </c>
      <c r="J12" t="str">
        <v>600mmW x 1200mmH 1 Panel Grill Window</v>
      </c>
      <c r="K12" t="str">
        <v>SET</v>
      </c>
      <c r="L12" s="9">
        <f>IF($J12="","",IFERROR(SUMIFS(SummaryHelper!$H$2:$H$5000,SummaryHelper!$A$2:$A$5000,$I12,SummaryHelper!$B$2:$B$5000,$J12,SummaryHelper!$C$2:$C$5000,$K12)/SUMIFS(SummaryHelper!$G$2:$G$5000,SummaryHelper!$A$2:$A$5000,$I12,SummaryHelper!$B$2:$B$5000,$J12,SummaryHelper!$C$2:$C$5000,$K12),""))</f>
        <v>170</v>
      </c>
      <c r="M12" s="9">
        <f>IF($J12="","",SUMIFS(SummaryHelper!$E$2:$E$5000,SummaryHelper!$A$2:$A$5000,$I12,SummaryHelper!$B$2:$B$5000,$J12,SummaryHelper!$C$2:$C$5000,$K12))</f>
        <v>1</v>
      </c>
      <c r="N12" s="9">
        <f>IF($J12="","",SUMIFS(SummaryHelper!$F$2:$F$5000,SummaryHelper!$A$2:$A$5000,$I12,SummaryHelper!$B$2:$B$5000,$J12,SummaryHelper!$C$2:$C$5000,$K12))</f>
        <v>0</v>
      </c>
      <c r="O12" s="9">
        <f>IF($J12="","",SUMIFS(SummaryHelper!$G$2:$G$5000,SummaryHelper!$A$2:$A$5000,$I12,SummaryHelper!$B$2:$B$5000,$J12,SummaryHelper!$C$2:$C$5000,$K12))</f>
        <v>1</v>
      </c>
      <c r="Q12" s="9">
        <f t="shared" si="6"/>
        <v>1</v>
      </c>
      <c r="R12" s="9">
        <f t="shared" si="7"/>
        <v>170</v>
      </c>
      <c r="W12" s="9" t="str">
        <f>IF($U12="","",IFERROR(SUMIFS(SummaryHelper!$H$2:$H$5000,SummaryHelper!$A$2:$A$5000,$T12,SummaryHelper!$B$2:$B$5000,$U12,SummaryHelper!$C$2:$C$5000,$V12)/SUMIFS(SummaryHelper!$G$2:$G$5000,SummaryHelper!$A$2:$A$5000,$T12,SummaryHelper!$B$2:$B$5000,$U12,SummaryHelper!$C$2:$C$5000,$V12),""))</f>
        <v/>
      </c>
      <c r="X12" s="9" t="str">
        <f>IF($U12="","",SUMIFS(SummaryHelper!$E$2:$E$5000,SummaryHelper!$A$2:$A$5000,$T12,SummaryHelper!$B$2:$B$5000,$U12,SummaryHelper!$C$2:$C$5000,$V12))</f>
        <v/>
      </c>
      <c r="Y12" s="9" t="str">
        <f>IF($U12="","",SUMIFS(SummaryHelper!$F$2:$F$5000,SummaryHelper!$A$2:$A$5000,$T12,SummaryHelper!$B$2:$B$5000,$U12,SummaryHelper!$C$2:$C$5000,$V12))</f>
        <v/>
      </c>
      <c r="Z12" s="9" t="str">
        <f>IF($U12="","",SUMIFS(SummaryHelper!$G$2:$G$5000,SummaryHelper!$A$2:$A$5000,$T12,SummaryHelper!$B$2:$B$5000,$U12,SummaryHelper!$C$2:$C$5000,$V12))</f>
        <v/>
      </c>
      <c r="AB12" s="9" t="str">
        <f t="shared" si="8"/>
        <v/>
      </c>
      <c r="AC12" s="9" t="str">
        <f t="shared" si="9"/>
        <v/>
      </c>
      <c r="AH12" t="str">
        <f>IF($AF12="","",IFERROR(SUMIFS(SummaryHelper!$H$2:$H$5000,SummaryHelper!$A$2:$A$5000,$AE12,SummaryHelper!$B$2:$B$5000,$AF12,SummaryHelper!$C$2:$C$5000,$AG12)/SUMIFS(SummaryHelper!$G$2:$G$5000,SummaryHelper!$A$2:$A$5000,$AE12,SummaryHelper!$B$2:$B$5000,$AF12,SummaryHelper!$C$2:$C$5000,$AG12),""))</f>
        <v/>
      </c>
      <c r="AI12" t="str">
        <f>IF($AF12="","",SUMIFS(SummaryHelper!$E$2:$E$5000,SummaryHelper!$A$2:$A$5000,$AE12,SummaryHelper!$B$2:$B$5000,$AF12,SummaryHelper!$C$2:$C$5000,$AG12))</f>
        <v/>
      </c>
      <c r="AJ12" t="str">
        <f>IF($AF12="","",SUMIFS(SummaryHelper!$F$2:$F$5000,SummaryHelper!$A$2:$A$5000,$AE12,SummaryHelper!$B$2:$B$5000,$AF12,SummaryHelper!$C$2:$C$5000,$AG12))</f>
        <v/>
      </c>
      <c r="AK12" t="str">
        <f>IF($AF12="","",SUMIFS(SummaryHelper!$G$2:$G$5000,SummaryHelper!$A$2:$A$5000,$AE12,SummaryHelper!$B$2:$B$5000,$AF12,SummaryHelper!$C$2:$C$5000,$AG12))</f>
        <v/>
      </c>
      <c r="AM12" t="str">
        <f t="shared" si="10"/>
        <v/>
      </c>
      <c r="AN12" t="str">
        <f t="shared" si="11"/>
        <v/>
      </c>
    </row>
    <row r="13" spans="1:40" x14ac:dyDescent="0.25">
      <c r="A13" s="12">
        <v>1</v>
      </c>
      <c r="B13" s="12" t="str">
        <f t="shared" si="0"/>
        <v>S11</v>
      </c>
      <c r="C13" s="9">
        <f t="shared" ca="1" si="1"/>
        <v>675.67500000000007</v>
      </c>
      <c r="D13" s="9">
        <f t="shared" ca="1" si="2"/>
        <v>2475</v>
      </c>
      <c r="E13" s="9">
        <f t="shared" ca="1" si="3"/>
        <v>0</v>
      </c>
      <c r="F13" s="9">
        <f t="shared" ca="1" si="4"/>
        <v>3150.6750000000002</v>
      </c>
      <c r="G13" s="9">
        <f t="shared" ca="1" si="5"/>
        <v>3150.6750000000002</v>
      </c>
      <c r="I13" t="str">
        <v>MATERIALS</v>
      </c>
      <c r="J13" t="str">
        <v>A Plus Stopping Compound 20kg</v>
      </c>
      <c r="K13" t="str">
        <v>BAG</v>
      </c>
      <c r="L13" s="9">
        <f>IF($J13="","",IFERROR(SUMIFS(SummaryHelper!$H$2:$H$5000,SummaryHelper!$A$2:$A$5000,$I13,SummaryHelper!$B$2:$B$5000,$J13,SummaryHelper!$C$2:$C$5000,$K13)/SUMIFS(SummaryHelper!$G$2:$G$5000,SummaryHelper!$A$2:$A$5000,$I13,SummaryHelper!$B$2:$B$5000,$J13,SummaryHelper!$C$2:$C$5000,$K13),""))</f>
        <v>19.642857142857142</v>
      </c>
      <c r="M13" s="9">
        <f>IF($J13="","",SUMIFS(SummaryHelper!$E$2:$E$5000,SummaryHelper!$A$2:$A$5000,$I13,SummaryHelper!$B$2:$B$5000,$J13,SummaryHelper!$C$2:$C$5000,$K13))</f>
        <v>7</v>
      </c>
      <c r="N13" s="9">
        <f>IF($J13="","",SUMIFS(SummaryHelper!$F$2:$F$5000,SummaryHelper!$A$2:$A$5000,$I13,SummaryHelper!$B$2:$B$5000,$J13,SummaryHelper!$C$2:$C$5000,$K13))</f>
        <v>0.1</v>
      </c>
      <c r="O13" s="9">
        <f>IF($J13="","",SUMIFS(SummaryHelper!$G$2:$G$5000,SummaryHelper!$A$2:$A$5000,$I13,SummaryHelper!$B$2:$B$5000,$J13,SummaryHelper!$C$2:$C$5000,$K13))</f>
        <v>7.3500000000000005</v>
      </c>
      <c r="Q13" s="9">
        <f t="shared" si="6"/>
        <v>8</v>
      </c>
      <c r="R13" s="9">
        <f t="shared" si="7"/>
        <v>157.14285714285714</v>
      </c>
      <c r="W13" s="9" t="str">
        <f>IF($U13="","",IFERROR(SUMIFS(SummaryHelper!$H$2:$H$5000,SummaryHelper!$A$2:$A$5000,$T13,SummaryHelper!$B$2:$B$5000,$U13,SummaryHelper!$C$2:$C$5000,$V13)/SUMIFS(SummaryHelper!$G$2:$G$5000,SummaryHelper!$A$2:$A$5000,$T13,SummaryHelper!$B$2:$B$5000,$U13,SummaryHelper!$C$2:$C$5000,$V13),""))</f>
        <v/>
      </c>
      <c r="X13" s="9" t="str">
        <f>IF($U13="","",SUMIFS(SummaryHelper!$E$2:$E$5000,SummaryHelper!$A$2:$A$5000,$T13,SummaryHelper!$B$2:$B$5000,$U13,SummaryHelper!$C$2:$C$5000,$V13))</f>
        <v/>
      </c>
      <c r="Y13" s="9" t="str">
        <f>IF($U13="","",SUMIFS(SummaryHelper!$F$2:$F$5000,SummaryHelper!$A$2:$A$5000,$T13,SummaryHelper!$B$2:$B$5000,$U13,SummaryHelper!$C$2:$C$5000,$V13))</f>
        <v/>
      </c>
      <c r="Z13" s="9" t="str">
        <f>IF($U13="","",SUMIFS(SummaryHelper!$G$2:$G$5000,SummaryHelper!$A$2:$A$5000,$T13,SummaryHelper!$B$2:$B$5000,$U13,SummaryHelper!$C$2:$C$5000,$V13))</f>
        <v/>
      </c>
      <c r="AB13" s="9" t="str">
        <f t="shared" si="8"/>
        <v/>
      </c>
      <c r="AC13" s="9" t="str">
        <f t="shared" si="9"/>
        <v/>
      </c>
      <c r="AH13" t="str">
        <f>IF($AF13="","",IFERROR(SUMIFS(SummaryHelper!$H$2:$H$5000,SummaryHelper!$A$2:$A$5000,$AE13,SummaryHelper!$B$2:$B$5000,$AF13,SummaryHelper!$C$2:$C$5000,$AG13)/SUMIFS(SummaryHelper!$G$2:$G$5000,SummaryHelper!$A$2:$A$5000,$AE13,SummaryHelper!$B$2:$B$5000,$AF13,SummaryHelper!$C$2:$C$5000,$AG13),""))</f>
        <v/>
      </c>
      <c r="AI13" t="str">
        <f>IF($AF13="","",SUMIFS(SummaryHelper!$E$2:$E$5000,SummaryHelper!$A$2:$A$5000,$AE13,SummaryHelper!$B$2:$B$5000,$AF13,SummaryHelper!$C$2:$C$5000,$AG13))</f>
        <v/>
      </c>
      <c r="AJ13" t="str">
        <f>IF($AF13="","",SUMIFS(SummaryHelper!$F$2:$F$5000,SummaryHelper!$A$2:$A$5000,$AE13,SummaryHelper!$B$2:$B$5000,$AF13,SummaryHelper!$C$2:$C$5000,$AG13))</f>
        <v/>
      </c>
      <c r="AK13" t="str">
        <f>IF($AF13="","",SUMIFS(SummaryHelper!$G$2:$G$5000,SummaryHelper!$A$2:$A$5000,$AE13,SummaryHelper!$B$2:$B$5000,$AF13,SummaryHelper!$C$2:$C$5000,$AG13))</f>
        <v/>
      </c>
      <c r="AM13" t="str">
        <f t="shared" si="10"/>
        <v/>
      </c>
      <c r="AN13" t="str">
        <f t="shared" si="11"/>
        <v/>
      </c>
    </row>
    <row r="14" spans="1:40" x14ac:dyDescent="0.25">
      <c r="A14" s="12">
        <v>1</v>
      </c>
      <c r="B14" s="12" t="str">
        <f t="shared" si="0"/>
        <v>S12</v>
      </c>
      <c r="C14" s="9">
        <f t="shared" ca="1" si="1"/>
        <v>963.125</v>
      </c>
      <c r="D14" s="9">
        <f t="shared" ca="1" si="2"/>
        <v>1912.5</v>
      </c>
      <c r="E14" s="9">
        <f t="shared" ca="1" si="3"/>
        <v>0</v>
      </c>
      <c r="F14" s="9">
        <f t="shared" ca="1" si="4"/>
        <v>2875.625</v>
      </c>
      <c r="G14" s="9">
        <f t="shared" ca="1" si="5"/>
        <v>2875.625</v>
      </c>
      <c r="I14" t="str">
        <v>MATERIALS</v>
      </c>
      <c r="J14" t="str">
        <v>Aluminium Ceiling Trim (STD) 3660mm</v>
      </c>
      <c r="K14" t="str">
        <v>LTH</v>
      </c>
      <c r="L14" s="9">
        <f>IF($J14="","",IFERROR(SUMIFS(SummaryHelper!$H$2:$H$5000,SummaryHelper!$A$2:$A$5000,$I14,SummaryHelper!$B$2:$B$5000,$J14,SummaryHelper!$C$2:$C$5000,$K14)/SUMIFS(SummaryHelper!$G$2:$G$5000,SummaryHelper!$A$2:$A$5000,$I14,SummaryHelper!$B$2:$B$5000,$J14,SummaryHelper!$C$2:$C$5000,$K14),""))</f>
        <v>8.5</v>
      </c>
      <c r="M14" s="9">
        <f>IF($J14="","",SUMIFS(SummaryHelper!$E$2:$E$5000,SummaryHelper!$A$2:$A$5000,$I14,SummaryHelper!$B$2:$B$5000,$J14,SummaryHelper!$C$2:$C$5000,$K14))</f>
        <v>12</v>
      </c>
      <c r="N14" s="9">
        <f>IF($J14="","",SUMIFS(SummaryHelper!$F$2:$F$5000,SummaryHelper!$A$2:$A$5000,$I14,SummaryHelper!$B$2:$B$5000,$J14,SummaryHelper!$C$2:$C$5000,$K14))</f>
        <v>0.05</v>
      </c>
      <c r="O14" s="9">
        <f>IF($J14="","",SUMIFS(SummaryHelper!$G$2:$G$5000,SummaryHelper!$A$2:$A$5000,$I14,SummaryHelper!$B$2:$B$5000,$J14,SummaryHelper!$C$2:$C$5000,$K14))</f>
        <v>12.600000000000001</v>
      </c>
      <c r="Q14" s="9">
        <f t="shared" si="6"/>
        <v>13</v>
      </c>
      <c r="R14" s="9">
        <f t="shared" si="7"/>
        <v>110.5</v>
      </c>
      <c r="W14" s="9" t="str">
        <f>IF($U14="","",IFERROR(SUMIFS(SummaryHelper!$H$2:$H$5000,SummaryHelper!$A$2:$A$5000,$T14,SummaryHelper!$B$2:$B$5000,$U14,SummaryHelper!$C$2:$C$5000,$V14)/SUMIFS(SummaryHelper!$G$2:$G$5000,SummaryHelper!$A$2:$A$5000,$T14,SummaryHelper!$B$2:$B$5000,$U14,SummaryHelper!$C$2:$C$5000,$V14),""))</f>
        <v/>
      </c>
      <c r="X14" s="9" t="str">
        <f>IF($U14="","",SUMIFS(SummaryHelper!$E$2:$E$5000,SummaryHelper!$A$2:$A$5000,$T14,SummaryHelper!$B$2:$B$5000,$U14,SummaryHelper!$C$2:$C$5000,$V14))</f>
        <v/>
      </c>
      <c r="Y14" s="9" t="str">
        <f>IF($U14="","",SUMIFS(SummaryHelper!$F$2:$F$5000,SummaryHelper!$A$2:$A$5000,$T14,SummaryHelper!$B$2:$B$5000,$U14,SummaryHelper!$C$2:$C$5000,$V14))</f>
        <v/>
      </c>
      <c r="Z14" s="9" t="str">
        <f>IF($U14="","",SUMIFS(SummaryHelper!$G$2:$G$5000,SummaryHelper!$A$2:$A$5000,$T14,SummaryHelper!$B$2:$B$5000,$U14,SummaryHelper!$C$2:$C$5000,$V14))</f>
        <v/>
      </c>
      <c r="AB14" s="9" t="str">
        <f t="shared" si="8"/>
        <v/>
      </c>
      <c r="AC14" s="9" t="str">
        <f t="shared" si="9"/>
        <v/>
      </c>
      <c r="AH14" t="str">
        <f>IF($AF14="","",IFERROR(SUMIFS(SummaryHelper!$H$2:$H$5000,SummaryHelper!$A$2:$A$5000,$AE14,SummaryHelper!$B$2:$B$5000,$AF14,SummaryHelper!$C$2:$C$5000,$AG14)/SUMIFS(SummaryHelper!$G$2:$G$5000,SummaryHelper!$A$2:$A$5000,$AE14,SummaryHelper!$B$2:$B$5000,$AF14,SummaryHelper!$C$2:$C$5000,$AG14),""))</f>
        <v/>
      </c>
      <c r="AI14" t="str">
        <f>IF($AF14="","",SUMIFS(SummaryHelper!$E$2:$E$5000,SummaryHelper!$A$2:$A$5000,$AE14,SummaryHelper!$B$2:$B$5000,$AF14,SummaryHelper!$C$2:$C$5000,$AG14))</f>
        <v/>
      </c>
      <c r="AJ14" t="str">
        <f>IF($AF14="","",SUMIFS(SummaryHelper!$F$2:$F$5000,SummaryHelper!$A$2:$A$5000,$AE14,SummaryHelper!$B$2:$B$5000,$AF14,SummaryHelper!$C$2:$C$5000,$AG14))</f>
        <v/>
      </c>
      <c r="AK14" t="str">
        <f>IF($AF14="","",SUMIFS(SummaryHelper!$G$2:$G$5000,SummaryHelper!$A$2:$A$5000,$AE14,SummaryHelper!$B$2:$B$5000,$AF14,SummaryHelper!$C$2:$C$5000,$AG14))</f>
        <v/>
      </c>
      <c r="AM14" t="str">
        <f t="shared" si="10"/>
        <v/>
      </c>
      <c r="AN14" t="str">
        <f t="shared" si="11"/>
        <v/>
      </c>
    </row>
    <row r="15" spans="1:40" x14ac:dyDescent="0.25">
      <c r="A15" s="12">
        <v>1</v>
      </c>
      <c r="B15" s="23" t="str">
        <f t="shared" ref="B15:B78" si="12">IF($A15=1,"S"&amp;TEXT(ROW()-2,"00"),"")</f>
        <v>S13</v>
      </c>
      <c r="C15" s="9">
        <f t="shared" ca="1" si="1"/>
        <v>5277.5</v>
      </c>
      <c r="D15" s="9">
        <f t="shared" ca="1" si="2"/>
        <v>5040</v>
      </c>
      <c r="E15" s="9">
        <f t="shared" ca="1" si="3"/>
        <v>0</v>
      </c>
      <c r="F15" s="9">
        <f t="shared" ca="1" si="4"/>
        <v>10317.5</v>
      </c>
      <c r="G15" s="9">
        <f t="shared" ca="1" si="5"/>
        <v>10317.5</v>
      </c>
      <c r="I15" t="str">
        <v>MATERIALS</v>
      </c>
      <c r="J15" t="str">
        <v>Basin Waste 11/4"</v>
      </c>
      <c r="K15" t="str">
        <v>PCS</v>
      </c>
      <c r="L15" s="9">
        <f>IF($J15="","",IFERROR(SUMIFS(SummaryHelper!$H$2:$H$5000,SummaryHelper!$A$2:$A$5000,$I15,SummaryHelper!$B$2:$B$5000,$J15,SummaryHelper!$C$2:$C$5000,$K15)/SUMIFS(SummaryHelper!$G$2:$G$5000,SummaryHelper!$A$2:$A$5000,$I15,SummaryHelper!$B$2:$B$5000,$J15,SummaryHelper!$C$2:$C$5000,$K15),""))</f>
        <v>4</v>
      </c>
      <c r="M15" s="9">
        <f>IF($J15="","",SUMIFS(SummaryHelper!$E$2:$E$5000,SummaryHelper!$A$2:$A$5000,$I15,SummaryHelper!$B$2:$B$5000,$J15,SummaryHelper!$C$2:$C$5000,$K15))</f>
        <v>1</v>
      </c>
      <c r="N15" s="9">
        <f>IF($J15="","",SUMIFS(SummaryHelper!$F$2:$F$5000,SummaryHelper!$A$2:$A$5000,$I15,SummaryHelper!$B$2:$B$5000,$J15,SummaryHelper!$C$2:$C$5000,$K15))</f>
        <v>0</v>
      </c>
      <c r="O15" s="9">
        <f>IF($J15="","",SUMIFS(SummaryHelper!$G$2:$G$5000,SummaryHelper!$A$2:$A$5000,$I15,SummaryHelper!$B$2:$B$5000,$J15,SummaryHelper!$C$2:$C$5000,$K15))</f>
        <v>1</v>
      </c>
      <c r="Q15" s="9">
        <f t="shared" si="6"/>
        <v>1</v>
      </c>
      <c r="R15" s="9">
        <f t="shared" si="7"/>
        <v>4</v>
      </c>
      <c r="W15" s="9" t="str">
        <f>IF($U15="","",IFERROR(SUMIFS(SummaryHelper!$H$2:$H$5000,SummaryHelper!$A$2:$A$5000,$T15,SummaryHelper!$B$2:$B$5000,$U15,SummaryHelper!$C$2:$C$5000,$V15)/SUMIFS(SummaryHelper!$G$2:$G$5000,SummaryHelper!$A$2:$A$5000,$T15,SummaryHelper!$B$2:$B$5000,$U15,SummaryHelper!$C$2:$C$5000,$V15),""))</f>
        <v/>
      </c>
      <c r="X15" s="9" t="str">
        <f>IF($U15="","",SUMIFS(SummaryHelper!$E$2:$E$5000,SummaryHelper!$A$2:$A$5000,$T15,SummaryHelper!$B$2:$B$5000,$U15,SummaryHelper!$C$2:$C$5000,$V15))</f>
        <v/>
      </c>
      <c r="Y15" s="9" t="str">
        <f>IF($U15="","",SUMIFS(SummaryHelper!$F$2:$F$5000,SummaryHelper!$A$2:$A$5000,$T15,SummaryHelper!$B$2:$B$5000,$U15,SummaryHelper!$C$2:$C$5000,$V15))</f>
        <v/>
      </c>
      <c r="Z15" s="9" t="str">
        <f>IF($U15="","",SUMIFS(SummaryHelper!$G$2:$G$5000,SummaryHelper!$A$2:$A$5000,$T15,SummaryHelper!$B$2:$B$5000,$U15,SummaryHelper!$C$2:$C$5000,$V15))</f>
        <v/>
      </c>
      <c r="AB15" s="9" t="str">
        <f t="shared" si="8"/>
        <v/>
      </c>
      <c r="AC15" s="9" t="str">
        <f t="shared" si="9"/>
        <v/>
      </c>
      <c r="AH15" t="str">
        <f>IF($AF15="","",IFERROR(SUMIFS(SummaryHelper!$H$2:$H$5000,SummaryHelper!$A$2:$A$5000,$AE15,SummaryHelper!$B$2:$B$5000,$AF15,SummaryHelper!$C$2:$C$5000,$AG15)/SUMIFS(SummaryHelper!$G$2:$G$5000,SummaryHelper!$A$2:$A$5000,$AE15,SummaryHelper!$B$2:$B$5000,$AF15,SummaryHelper!$C$2:$C$5000,$AG15),""))</f>
        <v/>
      </c>
      <c r="AI15" t="str">
        <f>IF($AF15="","",SUMIFS(SummaryHelper!$E$2:$E$5000,SummaryHelper!$A$2:$A$5000,$AE15,SummaryHelper!$B$2:$B$5000,$AF15,SummaryHelper!$C$2:$C$5000,$AG15))</f>
        <v/>
      </c>
      <c r="AJ15" t="str">
        <f>IF($AF15="","",SUMIFS(SummaryHelper!$F$2:$F$5000,SummaryHelper!$A$2:$A$5000,$AE15,SummaryHelper!$B$2:$B$5000,$AF15,SummaryHelper!$C$2:$C$5000,$AG15))</f>
        <v/>
      </c>
      <c r="AK15" t="str">
        <f>IF($AF15="","",SUMIFS(SummaryHelper!$G$2:$G$5000,SummaryHelper!$A$2:$A$5000,$AE15,SummaryHelper!$B$2:$B$5000,$AF15,SummaryHelper!$C$2:$C$5000,$AG15))</f>
        <v/>
      </c>
      <c r="AM15" t="str">
        <f t="shared" si="10"/>
        <v/>
      </c>
      <c r="AN15" t="str">
        <f t="shared" si="11"/>
        <v/>
      </c>
    </row>
    <row r="16" spans="1:40" x14ac:dyDescent="0.25">
      <c r="A16" s="12">
        <v>1</v>
      </c>
      <c r="B16" s="23" t="str">
        <f t="shared" si="12"/>
        <v>S14</v>
      </c>
      <c r="C16" s="9">
        <f t="shared" ca="1" si="1"/>
        <v>1825.2700000000002</v>
      </c>
      <c r="D16" s="9">
        <f t="shared" ca="1" si="2"/>
        <v>1440</v>
      </c>
      <c r="E16" s="9">
        <f t="shared" ca="1" si="3"/>
        <v>0</v>
      </c>
      <c r="F16" s="9">
        <f t="shared" ca="1" si="4"/>
        <v>3265.2700000000004</v>
      </c>
      <c r="G16" s="9">
        <f t="shared" ca="1" si="5"/>
        <v>3265.2700000000004</v>
      </c>
      <c r="I16" t="str">
        <v>MATERIALS</v>
      </c>
      <c r="J16" t="str">
        <v>Bottle Trap PVC 11/4" 32mm Blue/green</v>
      </c>
      <c r="K16" t="str">
        <v>PCS</v>
      </c>
      <c r="L16" s="9">
        <f>IF($J16="","",IFERROR(SUMIFS(SummaryHelper!$H$2:$H$5000,SummaryHelper!$A$2:$A$5000,$I16,SummaryHelper!$B$2:$B$5000,$J16,SummaryHelper!$C$2:$C$5000,$K16)/SUMIFS(SummaryHelper!$G$2:$G$5000,SummaryHelper!$A$2:$A$5000,$I16,SummaryHelper!$B$2:$B$5000,$J16,SummaryHelper!$C$2:$C$5000,$K16),""))</f>
        <v>8</v>
      </c>
      <c r="M16" s="9">
        <f>IF($J16="","",SUMIFS(SummaryHelper!$E$2:$E$5000,SummaryHelper!$A$2:$A$5000,$I16,SummaryHelper!$B$2:$B$5000,$J16,SummaryHelper!$C$2:$C$5000,$K16))</f>
        <v>1</v>
      </c>
      <c r="N16" s="9">
        <f>IF($J16="","",SUMIFS(SummaryHelper!$F$2:$F$5000,SummaryHelper!$A$2:$A$5000,$I16,SummaryHelper!$B$2:$B$5000,$J16,SummaryHelper!$C$2:$C$5000,$K16))</f>
        <v>0</v>
      </c>
      <c r="O16" s="9">
        <f>IF($J16="","",SUMIFS(SummaryHelper!$G$2:$G$5000,SummaryHelper!$A$2:$A$5000,$I16,SummaryHelper!$B$2:$B$5000,$J16,SummaryHelper!$C$2:$C$5000,$K16))</f>
        <v>1</v>
      </c>
      <c r="Q16" s="9">
        <f t="shared" si="6"/>
        <v>1</v>
      </c>
      <c r="R16" s="9">
        <f t="shared" si="7"/>
        <v>8</v>
      </c>
      <c r="W16" s="9" t="str">
        <f>IF($U16="","",IFERROR(SUMIFS(SummaryHelper!$H$2:$H$5000,SummaryHelper!$A$2:$A$5000,$T16,SummaryHelper!$B$2:$B$5000,$U16,SummaryHelper!$C$2:$C$5000,$V16)/SUMIFS(SummaryHelper!$G$2:$G$5000,SummaryHelper!$A$2:$A$5000,$T16,SummaryHelper!$B$2:$B$5000,$U16,SummaryHelper!$C$2:$C$5000,$V16),""))</f>
        <v/>
      </c>
      <c r="X16" s="9" t="str">
        <f>IF($U16="","",SUMIFS(SummaryHelper!$E$2:$E$5000,SummaryHelper!$A$2:$A$5000,$T16,SummaryHelper!$B$2:$B$5000,$U16,SummaryHelper!$C$2:$C$5000,$V16))</f>
        <v/>
      </c>
      <c r="Y16" s="9" t="str">
        <f>IF($U16="","",SUMIFS(SummaryHelper!$F$2:$F$5000,SummaryHelper!$A$2:$A$5000,$T16,SummaryHelper!$B$2:$B$5000,$U16,SummaryHelper!$C$2:$C$5000,$V16))</f>
        <v/>
      </c>
      <c r="Z16" s="9" t="str">
        <f>IF($U16="","",SUMIFS(SummaryHelper!$G$2:$G$5000,SummaryHelper!$A$2:$A$5000,$T16,SummaryHelper!$B$2:$B$5000,$U16,SummaryHelper!$C$2:$C$5000,$V16))</f>
        <v/>
      </c>
      <c r="AB16" s="9" t="str">
        <f t="shared" si="8"/>
        <v/>
      </c>
      <c r="AC16" s="9" t="str">
        <f t="shared" si="9"/>
        <v/>
      </c>
      <c r="AH16" t="str">
        <f>IF($AF16="","",IFERROR(SUMIFS(SummaryHelper!$H$2:$H$5000,SummaryHelper!$A$2:$A$5000,$AE16,SummaryHelper!$B$2:$B$5000,$AF16,SummaryHelper!$C$2:$C$5000,$AG16)/SUMIFS(SummaryHelper!$G$2:$G$5000,SummaryHelper!$A$2:$A$5000,$AE16,SummaryHelper!$B$2:$B$5000,$AF16,SummaryHelper!$C$2:$C$5000,$AG16),""))</f>
        <v/>
      </c>
      <c r="AI16" t="str">
        <f>IF($AF16="","",SUMIFS(SummaryHelper!$E$2:$E$5000,SummaryHelper!$A$2:$A$5000,$AE16,SummaryHelper!$B$2:$B$5000,$AF16,SummaryHelper!$C$2:$C$5000,$AG16))</f>
        <v/>
      </c>
      <c r="AJ16" t="str">
        <f>IF($AF16="","",SUMIFS(SummaryHelper!$F$2:$F$5000,SummaryHelper!$A$2:$A$5000,$AE16,SummaryHelper!$B$2:$B$5000,$AF16,SummaryHelper!$C$2:$C$5000,$AG16))</f>
        <v/>
      </c>
      <c r="AK16" t="str">
        <f>IF($AF16="","",SUMIFS(SummaryHelper!$G$2:$G$5000,SummaryHelper!$A$2:$A$5000,$AE16,SummaryHelper!$B$2:$B$5000,$AF16,SummaryHelper!$C$2:$C$5000,$AG16))</f>
        <v/>
      </c>
      <c r="AM16" t="str">
        <f t="shared" si="10"/>
        <v/>
      </c>
      <c r="AN16" t="str">
        <f t="shared" si="11"/>
        <v/>
      </c>
    </row>
    <row r="17" spans="1:40" x14ac:dyDescent="0.25">
      <c r="A17" s="12">
        <v>1</v>
      </c>
      <c r="B17" s="23" t="str">
        <f t="shared" si="12"/>
        <v>S15</v>
      </c>
      <c r="C17" s="9">
        <f t="shared" ca="1" si="1"/>
        <v>1233.76</v>
      </c>
      <c r="D17" s="9">
        <f t="shared" ca="1" si="2"/>
        <v>1057.5</v>
      </c>
      <c r="E17" s="9">
        <f t="shared" ca="1" si="3"/>
        <v>0</v>
      </c>
      <c r="F17" s="9">
        <f t="shared" ca="1" si="4"/>
        <v>2291.2600000000002</v>
      </c>
      <c r="G17" s="9">
        <f t="shared" ca="1" si="5"/>
        <v>2291.2600000000002</v>
      </c>
      <c r="I17" t="str">
        <v>MATERIALS</v>
      </c>
      <c r="J17" t="str">
        <v>Brass Garden Bib Tap 1/2"</v>
      </c>
      <c r="K17" t="str">
        <v>PCS</v>
      </c>
      <c r="L17" s="9">
        <f>IF($J17="","",IFERROR(SUMIFS(SummaryHelper!$H$2:$H$5000,SummaryHelper!$A$2:$A$5000,$I17,SummaryHelper!$B$2:$B$5000,$J17,SummaryHelper!$C$2:$C$5000,$K17)/SUMIFS(SummaryHelper!$G$2:$G$5000,SummaryHelper!$A$2:$A$5000,$I17,SummaryHelper!$B$2:$B$5000,$J17,SummaryHelper!$C$2:$C$5000,$K17),""))</f>
        <v>8</v>
      </c>
      <c r="M17" s="9">
        <f>IF($J17="","",SUMIFS(SummaryHelper!$E$2:$E$5000,SummaryHelper!$A$2:$A$5000,$I17,SummaryHelper!$B$2:$B$5000,$J17,SummaryHelper!$C$2:$C$5000,$K17))</f>
        <v>1</v>
      </c>
      <c r="N17" s="9">
        <f>IF($J17="","",SUMIFS(SummaryHelper!$F$2:$F$5000,SummaryHelper!$A$2:$A$5000,$I17,SummaryHelper!$B$2:$B$5000,$J17,SummaryHelper!$C$2:$C$5000,$K17))</f>
        <v>0</v>
      </c>
      <c r="O17" s="9">
        <f>IF($J17="","",SUMIFS(SummaryHelper!$G$2:$G$5000,SummaryHelper!$A$2:$A$5000,$I17,SummaryHelper!$B$2:$B$5000,$J17,SummaryHelper!$C$2:$C$5000,$K17))</f>
        <v>1</v>
      </c>
      <c r="Q17" s="9">
        <f t="shared" si="6"/>
        <v>1</v>
      </c>
      <c r="R17" s="9">
        <f t="shared" si="7"/>
        <v>8</v>
      </c>
      <c r="W17" s="9" t="str">
        <f>IF($U17="","",IFERROR(SUMIFS(SummaryHelper!$H$2:$H$5000,SummaryHelper!$A$2:$A$5000,$T17,SummaryHelper!$B$2:$B$5000,$U17,SummaryHelper!$C$2:$C$5000,$V17)/SUMIFS(SummaryHelper!$G$2:$G$5000,SummaryHelper!$A$2:$A$5000,$T17,SummaryHelper!$B$2:$B$5000,$U17,SummaryHelper!$C$2:$C$5000,$V17),""))</f>
        <v/>
      </c>
      <c r="X17" s="9" t="str">
        <f>IF($U17="","",SUMIFS(SummaryHelper!$E$2:$E$5000,SummaryHelper!$A$2:$A$5000,$T17,SummaryHelper!$B$2:$B$5000,$U17,SummaryHelper!$C$2:$C$5000,$V17))</f>
        <v/>
      </c>
      <c r="Y17" s="9" t="str">
        <f>IF($U17="","",SUMIFS(SummaryHelper!$F$2:$F$5000,SummaryHelper!$A$2:$A$5000,$T17,SummaryHelper!$B$2:$B$5000,$U17,SummaryHelper!$C$2:$C$5000,$V17))</f>
        <v/>
      </c>
      <c r="Z17" s="9" t="str">
        <f>IF($U17="","",SUMIFS(SummaryHelper!$G$2:$G$5000,SummaryHelper!$A$2:$A$5000,$T17,SummaryHelper!$B$2:$B$5000,$U17,SummaryHelper!$C$2:$C$5000,$V17))</f>
        <v/>
      </c>
      <c r="AB17" s="9" t="str">
        <f t="shared" si="8"/>
        <v/>
      </c>
      <c r="AC17" s="9" t="str">
        <f t="shared" si="9"/>
        <v/>
      </c>
      <c r="AH17" t="str">
        <f>IF($AF17="","",IFERROR(SUMIFS(SummaryHelper!$H$2:$H$5000,SummaryHelper!$A$2:$A$5000,$AE17,SummaryHelper!$B$2:$B$5000,$AF17,SummaryHelper!$C$2:$C$5000,$AG17)/SUMIFS(SummaryHelper!$G$2:$G$5000,SummaryHelper!$A$2:$A$5000,$AE17,SummaryHelper!$B$2:$B$5000,$AF17,SummaryHelper!$C$2:$C$5000,$AG17),""))</f>
        <v/>
      </c>
      <c r="AI17" t="str">
        <f>IF($AF17="","",SUMIFS(SummaryHelper!$E$2:$E$5000,SummaryHelper!$A$2:$A$5000,$AE17,SummaryHelper!$B$2:$B$5000,$AF17,SummaryHelper!$C$2:$C$5000,$AG17))</f>
        <v/>
      </c>
      <c r="AJ17" t="str">
        <f>IF($AF17="","",SUMIFS(SummaryHelper!$F$2:$F$5000,SummaryHelper!$A$2:$A$5000,$AE17,SummaryHelper!$B$2:$B$5000,$AF17,SummaryHelper!$C$2:$C$5000,$AG17))</f>
        <v/>
      </c>
      <c r="AK17" t="str">
        <f>IF($AF17="","",SUMIFS(SummaryHelper!$G$2:$G$5000,SummaryHelper!$A$2:$A$5000,$AE17,SummaryHelper!$B$2:$B$5000,$AF17,SummaryHelper!$C$2:$C$5000,$AG17))</f>
        <v/>
      </c>
      <c r="AM17" t="str">
        <f t="shared" si="10"/>
        <v/>
      </c>
      <c r="AN17" t="str">
        <f t="shared" si="11"/>
        <v/>
      </c>
    </row>
    <row r="18" spans="1:40" x14ac:dyDescent="0.25">
      <c r="A18" s="12">
        <v>1</v>
      </c>
      <c r="B18" s="23" t="str">
        <f t="shared" si="12"/>
        <v>S16</v>
      </c>
      <c r="C18" s="9">
        <f t="shared" ca="1" si="1"/>
        <v>3677.7999999999997</v>
      </c>
      <c r="D18" s="9">
        <f t="shared" ca="1" si="2"/>
        <v>2700</v>
      </c>
      <c r="E18" s="9">
        <f t="shared" ca="1" si="3"/>
        <v>0</v>
      </c>
      <c r="F18" s="9">
        <f t="shared" ca="1" si="4"/>
        <v>6377.7999999999993</v>
      </c>
      <c r="G18" s="9">
        <f t="shared" ca="1" si="5"/>
        <v>6377.7999999999993</v>
      </c>
      <c r="I18" t="str">
        <v>MATERIALS</v>
      </c>
      <c r="J18" t="str">
        <v>Brass Stop Cock 1/2"</v>
      </c>
      <c r="K18" t="str">
        <v>PCS</v>
      </c>
      <c r="L18" s="9">
        <f>IF($J18="","",IFERROR(SUMIFS(SummaryHelper!$H$2:$H$5000,SummaryHelper!$A$2:$A$5000,$I18,SummaryHelper!$B$2:$B$5000,$J18,SummaryHelper!$C$2:$C$5000,$K18)/SUMIFS(SummaryHelper!$G$2:$G$5000,SummaryHelper!$A$2:$A$5000,$I18,SummaryHelper!$B$2:$B$5000,$J18,SummaryHelper!$C$2:$C$5000,$K18),""))</f>
        <v>13</v>
      </c>
      <c r="M18" s="9">
        <f>IF($J18="","",SUMIFS(SummaryHelper!$E$2:$E$5000,SummaryHelper!$A$2:$A$5000,$I18,SummaryHelper!$B$2:$B$5000,$J18,SummaryHelper!$C$2:$C$5000,$K18))</f>
        <v>2</v>
      </c>
      <c r="N18" s="9">
        <f>IF($J18="","",SUMIFS(SummaryHelper!$F$2:$F$5000,SummaryHelper!$A$2:$A$5000,$I18,SummaryHelper!$B$2:$B$5000,$J18,SummaryHelper!$C$2:$C$5000,$K18))</f>
        <v>0</v>
      </c>
      <c r="O18" s="9">
        <f>IF($J18="","",SUMIFS(SummaryHelper!$G$2:$G$5000,SummaryHelper!$A$2:$A$5000,$I18,SummaryHelper!$B$2:$B$5000,$J18,SummaryHelper!$C$2:$C$5000,$K18))</f>
        <v>2</v>
      </c>
      <c r="Q18" s="9">
        <f t="shared" si="6"/>
        <v>2</v>
      </c>
      <c r="R18" s="9">
        <f t="shared" si="7"/>
        <v>26</v>
      </c>
      <c r="W18" s="9" t="str">
        <f>IF($U18="","",IFERROR(SUMIFS(SummaryHelper!$H$2:$H$5000,SummaryHelper!$A$2:$A$5000,$T18,SummaryHelper!$B$2:$B$5000,$U18,SummaryHelper!$C$2:$C$5000,$V18)/SUMIFS(SummaryHelper!$G$2:$G$5000,SummaryHelper!$A$2:$A$5000,$T18,SummaryHelper!$B$2:$B$5000,$U18,SummaryHelper!$C$2:$C$5000,$V18),""))</f>
        <v/>
      </c>
      <c r="X18" s="9" t="str">
        <f>IF($U18="","",SUMIFS(SummaryHelper!$E$2:$E$5000,SummaryHelper!$A$2:$A$5000,$T18,SummaryHelper!$B$2:$B$5000,$U18,SummaryHelper!$C$2:$C$5000,$V18))</f>
        <v/>
      </c>
      <c r="Y18" s="9" t="str">
        <f>IF($U18="","",SUMIFS(SummaryHelper!$F$2:$F$5000,SummaryHelper!$A$2:$A$5000,$T18,SummaryHelper!$B$2:$B$5000,$U18,SummaryHelper!$C$2:$C$5000,$V18))</f>
        <v/>
      </c>
      <c r="Z18" s="9" t="str">
        <f>IF($U18="","",SUMIFS(SummaryHelper!$G$2:$G$5000,SummaryHelper!$A$2:$A$5000,$T18,SummaryHelper!$B$2:$B$5000,$U18,SummaryHelper!$C$2:$C$5000,$V18))</f>
        <v/>
      </c>
      <c r="AB18" s="9" t="str">
        <f t="shared" si="8"/>
        <v/>
      </c>
      <c r="AC18" s="9" t="str">
        <f t="shared" si="9"/>
        <v/>
      </c>
      <c r="AH18" t="str">
        <f>IF($AF18="","",IFERROR(SUMIFS(SummaryHelper!$H$2:$H$5000,SummaryHelper!$A$2:$A$5000,$AE18,SummaryHelper!$B$2:$B$5000,$AF18,SummaryHelper!$C$2:$C$5000,$AG18)/SUMIFS(SummaryHelper!$G$2:$G$5000,SummaryHelper!$A$2:$A$5000,$AE18,SummaryHelper!$B$2:$B$5000,$AF18,SummaryHelper!$C$2:$C$5000,$AG18),""))</f>
        <v/>
      </c>
      <c r="AI18" t="str">
        <f>IF($AF18="","",SUMIFS(SummaryHelper!$E$2:$E$5000,SummaryHelper!$A$2:$A$5000,$AE18,SummaryHelper!$B$2:$B$5000,$AF18,SummaryHelper!$C$2:$C$5000,$AG18))</f>
        <v/>
      </c>
      <c r="AJ18" t="str">
        <f>IF($AF18="","",SUMIFS(SummaryHelper!$F$2:$F$5000,SummaryHelper!$A$2:$A$5000,$AE18,SummaryHelper!$B$2:$B$5000,$AF18,SummaryHelper!$C$2:$C$5000,$AG18))</f>
        <v/>
      </c>
      <c r="AK18" t="str">
        <f>IF($AF18="","",SUMIFS(SummaryHelper!$G$2:$G$5000,SummaryHelper!$A$2:$A$5000,$AE18,SummaryHelper!$B$2:$B$5000,$AF18,SummaryHelper!$C$2:$C$5000,$AG18))</f>
        <v/>
      </c>
      <c r="AM18" t="str">
        <f t="shared" si="10"/>
        <v/>
      </c>
      <c r="AN18" t="str">
        <f t="shared" si="11"/>
        <v/>
      </c>
    </row>
    <row r="19" spans="1:40" x14ac:dyDescent="0.25">
      <c r="A19" s="12">
        <v>1</v>
      </c>
      <c r="B19" s="23" t="str">
        <f t="shared" si="12"/>
        <v>S17</v>
      </c>
      <c r="C19" s="9">
        <f t="shared" ca="1" si="1"/>
        <v>2888</v>
      </c>
      <c r="D19" s="9">
        <f t="shared" ca="1" si="2"/>
        <v>2520</v>
      </c>
      <c r="E19" s="9">
        <f t="shared" ca="1" si="3"/>
        <v>0</v>
      </c>
      <c r="F19" s="9">
        <f t="shared" ca="1" si="4"/>
        <v>5408</v>
      </c>
      <c r="G19" s="9">
        <f t="shared" ca="1" si="5"/>
        <v>5408</v>
      </c>
      <c r="I19" t="str">
        <v>MATERIALS</v>
      </c>
      <c r="J19" t="str">
        <v>BRC Mesh A10 2.13m x 6.10m (Normal Spec) 3.2mm</v>
      </c>
      <c r="K19" t="str">
        <v>PCS</v>
      </c>
      <c r="L19" s="9">
        <f>IF($J19="","",IFERROR(SUMIFS(SummaryHelper!$H$2:$H$5000,SummaryHelper!$A$2:$A$5000,$I19,SummaryHelper!$B$2:$B$5000,$J19,SummaryHelper!$C$2:$C$5000,$K19)/SUMIFS(SummaryHelper!$G$2:$G$5000,SummaryHelper!$A$2:$A$5000,$I19,SummaryHelper!$B$2:$B$5000,$J19,SummaryHelper!$C$2:$C$5000,$K19),""))</f>
        <v>214.99999999999997</v>
      </c>
      <c r="M19" s="9">
        <f>IF($J19="","",SUMIFS(SummaryHelper!$E$2:$E$5000,SummaryHelper!$A$2:$A$5000,$I19,SummaryHelper!$B$2:$B$5000,$J19,SummaryHelper!$C$2:$C$5000,$K19))</f>
        <v>11.48</v>
      </c>
      <c r="N19" s="9">
        <f>IF($J19="","",SUMIFS(SummaryHelper!$F$2:$F$5000,SummaryHelper!$A$2:$A$5000,$I19,SummaryHelper!$B$2:$B$5000,$J19,SummaryHelper!$C$2:$C$5000,$K19))</f>
        <v>0</v>
      </c>
      <c r="O19" s="9">
        <f>IF($J19="","",SUMIFS(SummaryHelper!$G$2:$G$5000,SummaryHelper!$A$2:$A$5000,$I19,SummaryHelper!$B$2:$B$5000,$J19,SummaryHelper!$C$2:$C$5000,$K19))</f>
        <v>11.48</v>
      </c>
      <c r="Q19" s="9">
        <f t="shared" si="6"/>
        <v>12</v>
      </c>
      <c r="R19" s="9">
        <f t="shared" si="7"/>
        <v>2579.9999999999995</v>
      </c>
      <c r="W19" s="9" t="str">
        <f>IF($U19="","",IFERROR(SUMIFS(SummaryHelper!$H$2:$H$5000,SummaryHelper!$A$2:$A$5000,$T19,SummaryHelper!$B$2:$B$5000,$U19,SummaryHelper!$C$2:$C$5000,$V19)/SUMIFS(SummaryHelper!$G$2:$G$5000,SummaryHelper!$A$2:$A$5000,$T19,SummaryHelper!$B$2:$B$5000,$U19,SummaryHelper!$C$2:$C$5000,$V19),""))</f>
        <v/>
      </c>
      <c r="X19" s="9" t="str">
        <f>IF($U19="","",SUMIFS(SummaryHelper!$E$2:$E$5000,SummaryHelper!$A$2:$A$5000,$T19,SummaryHelper!$B$2:$B$5000,$U19,SummaryHelper!$C$2:$C$5000,$V19))</f>
        <v/>
      </c>
      <c r="Y19" s="9" t="str">
        <f>IF($U19="","",SUMIFS(SummaryHelper!$F$2:$F$5000,SummaryHelper!$A$2:$A$5000,$T19,SummaryHelper!$B$2:$B$5000,$U19,SummaryHelper!$C$2:$C$5000,$V19))</f>
        <v/>
      </c>
      <c r="Z19" s="9" t="str">
        <f>IF($U19="","",SUMIFS(SummaryHelper!$G$2:$G$5000,SummaryHelper!$A$2:$A$5000,$T19,SummaryHelper!$B$2:$B$5000,$U19,SummaryHelper!$C$2:$C$5000,$V19))</f>
        <v/>
      </c>
      <c r="AB19" s="9" t="str">
        <f t="shared" si="8"/>
        <v/>
      </c>
      <c r="AC19" s="9" t="str">
        <f t="shared" si="9"/>
        <v/>
      </c>
      <c r="AH19" t="str">
        <f>IF($AF19="","",IFERROR(SUMIFS(SummaryHelper!$H$2:$H$5000,SummaryHelper!$A$2:$A$5000,$AE19,SummaryHelper!$B$2:$B$5000,$AF19,SummaryHelper!$C$2:$C$5000,$AG19)/SUMIFS(SummaryHelper!$G$2:$G$5000,SummaryHelper!$A$2:$A$5000,$AE19,SummaryHelper!$B$2:$B$5000,$AF19,SummaryHelper!$C$2:$C$5000,$AG19),""))</f>
        <v/>
      </c>
      <c r="AI19" t="str">
        <f>IF($AF19="","",SUMIFS(SummaryHelper!$E$2:$E$5000,SummaryHelper!$A$2:$A$5000,$AE19,SummaryHelper!$B$2:$B$5000,$AF19,SummaryHelper!$C$2:$C$5000,$AG19))</f>
        <v/>
      </c>
      <c r="AJ19" t="str">
        <f>IF($AF19="","",SUMIFS(SummaryHelper!$F$2:$F$5000,SummaryHelper!$A$2:$A$5000,$AE19,SummaryHelper!$B$2:$B$5000,$AF19,SummaryHelper!$C$2:$C$5000,$AG19))</f>
        <v/>
      </c>
      <c r="AK19" t="str">
        <f>IF($AF19="","",SUMIFS(SummaryHelper!$G$2:$G$5000,SummaryHelper!$A$2:$A$5000,$AE19,SummaryHelper!$B$2:$B$5000,$AF19,SummaryHelper!$C$2:$C$5000,$AG19))</f>
        <v/>
      </c>
      <c r="AM19" t="str">
        <f t="shared" si="10"/>
        <v/>
      </c>
      <c r="AN19" t="str">
        <f t="shared" si="11"/>
        <v/>
      </c>
    </row>
    <row r="20" spans="1:40" x14ac:dyDescent="0.25">
      <c r="A20" s="12"/>
      <c r="B20" s="23" t="str">
        <f t="shared" si="12"/>
        <v/>
      </c>
      <c r="C20" s="9" t="str">
        <f t="shared" ca="1" si="1"/>
        <v/>
      </c>
      <c r="D20" s="9" t="str">
        <f t="shared" ca="1" si="2"/>
        <v/>
      </c>
      <c r="E20" s="9" t="str">
        <f t="shared" ca="1" si="3"/>
        <v/>
      </c>
      <c r="F20" s="9" t="str">
        <f t="shared" si="4"/>
        <v/>
      </c>
      <c r="G20" s="9">
        <f t="shared" si="5"/>
        <v>0</v>
      </c>
      <c r="I20" t="str">
        <v>MATERIALS</v>
      </c>
      <c r="J20" t="str">
        <v>Butyl Flashing Tape 50.00mm x 5.00m</v>
      </c>
      <c r="K20" t="str">
        <v>ROLL</v>
      </c>
      <c r="L20" s="9">
        <f>IF($J20="","",IFERROR(SUMIFS(SummaryHelper!$H$2:$H$5000,SummaryHelper!$A$2:$A$5000,$I20,SummaryHelper!$B$2:$B$5000,$J20,SummaryHelper!$C$2:$C$5000,$K20)/SUMIFS(SummaryHelper!$G$2:$G$5000,SummaryHelper!$A$2:$A$5000,$I20,SummaryHelper!$B$2:$B$5000,$J20,SummaryHelper!$C$2:$C$5000,$K20),""))</f>
        <v>15</v>
      </c>
      <c r="M20" s="9">
        <f>IF($J20="","",SUMIFS(SummaryHelper!$E$2:$E$5000,SummaryHelper!$A$2:$A$5000,$I20,SummaryHelper!$B$2:$B$5000,$J20,SummaryHelper!$C$2:$C$5000,$K20))</f>
        <v>3</v>
      </c>
      <c r="N20" s="9">
        <f>IF($J20="","",SUMIFS(SummaryHelper!$F$2:$F$5000,SummaryHelper!$A$2:$A$5000,$I20,SummaryHelper!$B$2:$B$5000,$J20,SummaryHelper!$C$2:$C$5000,$K20))</f>
        <v>0.05</v>
      </c>
      <c r="O20" s="9">
        <f>IF($J20="","",SUMIFS(SummaryHelper!$G$2:$G$5000,SummaryHelper!$A$2:$A$5000,$I20,SummaryHelper!$B$2:$B$5000,$J20,SummaryHelper!$C$2:$C$5000,$K20))</f>
        <v>3.1500000000000004</v>
      </c>
      <c r="Q20" s="9">
        <f t="shared" si="6"/>
        <v>4</v>
      </c>
      <c r="R20" s="9">
        <f t="shared" si="7"/>
        <v>60</v>
      </c>
      <c r="W20" s="9" t="str">
        <f>IF($U20="","",IFERROR(SUMIFS(SummaryHelper!$H$2:$H$5000,SummaryHelper!$A$2:$A$5000,$T20,SummaryHelper!$B$2:$B$5000,$U20,SummaryHelper!$C$2:$C$5000,$V20)/SUMIFS(SummaryHelper!$G$2:$G$5000,SummaryHelper!$A$2:$A$5000,$T20,SummaryHelper!$B$2:$B$5000,$U20,SummaryHelper!$C$2:$C$5000,$V20),""))</f>
        <v/>
      </c>
      <c r="X20" s="9" t="str">
        <f>IF($U20="","",SUMIFS(SummaryHelper!$E$2:$E$5000,SummaryHelper!$A$2:$A$5000,$T20,SummaryHelper!$B$2:$B$5000,$U20,SummaryHelper!$C$2:$C$5000,$V20))</f>
        <v/>
      </c>
      <c r="Y20" s="9" t="str">
        <f>IF($U20="","",SUMIFS(SummaryHelper!$F$2:$F$5000,SummaryHelper!$A$2:$A$5000,$T20,SummaryHelper!$B$2:$B$5000,$U20,SummaryHelper!$C$2:$C$5000,$V20))</f>
        <v/>
      </c>
      <c r="Z20" s="9" t="str">
        <f>IF($U20="","",SUMIFS(SummaryHelper!$G$2:$G$5000,SummaryHelper!$A$2:$A$5000,$T20,SummaryHelper!$B$2:$B$5000,$U20,SummaryHelper!$C$2:$C$5000,$V20))</f>
        <v/>
      </c>
      <c r="AB20" s="9" t="str">
        <f t="shared" si="8"/>
        <v/>
      </c>
      <c r="AC20" s="9" t="str">
        <f t="shared" si="9"/>
        <v/>
      </c>
      <c r="AH20" t="str">
        <f>IF($AF20="","",IFERROR(SUMIFS(SummaryHelper!$H$2:$H$5000,SummaryHelper!$A$2:$A$5000,$AE20,SummaryHelper!$B$2:$B$5000,$AF20,SummaryHelper!$C$2:$C$5000,$AG20)/SUMIFS(SummaryHelper!$G$2:$G$5000,SummaryHelper!$A$2:$A$5000,$AE20,SummaryHelper!$B$2:$B$5000,$AF20,SummaryHelper!$C$2:$C$5000,$AG20),""))</f>
        <v/>
      </c>
      <c r="AI20" t="str">
        <f>IF($AF20="","",SUMIFS(SummaryHelper!$E$2:$E$5000,SummaryHelper!$A$2:$A$5000,$AE20,SummaryHelper!$B$2:$B$5000,$AF20,SummaryHelper!$C$2:$C$5000,$AG20))</f>
        <v/>
      </c>
      <c r="AJ20" t="str">
        <f>IF($AF20="","",SUMIFS(SummaryHelper!$F$2:$F$5000,SummaryHelper!$A$2:$A$5000,$AE20,SummaryHelper!$B$2:$B$5000,$AF20,SummaryHelper!$C$2:$C$5000,$AG20))</f>
        <v/>
      </c>
      <c r="AK20" t="str">
        <f>IF($AF20="","",SUMIFS(SummaryHelper!$G$2:$G$5000,SummaryHelper!$A$2:$A$5000,$AE20,SummaryHelper!$B$2:$B$5000,$AF20,SummaryHelper!$C$2:$C$5000,$AG20))</f>
        <v/>
      </c>
      <c r="AM20" t="str">
        <f t="shared" si="10"/>
        <v/>
      </c>
      <c r="AN20" t="str">
        <f t="shared" si="11"/>
        <v/>
      </c>
    </row>
    <row r="21" spans="1:40" x14ac:dyDescent="0.25">
      <c r="A21" s="12"/>
      <c r="B21" s="23" t="str">
        <f t="shared" si="12"/>
        <v/>
      </c>
      <c r="C21" s="9" t="str">
        <f t="shared" ca="1" si="1"/>
        <v/>
      </c>
      <c r="D21" s="9" t="str">
        <f t="shared" ca="1" si="2"/>
        <v/>
      </c>
      <c r="E21" s="9" t="str">
        <f t="shared" ca="1" si="3"/>
        <v/>
      </c>
      <c r="F21" s="9" t="str">
        <f t="shared" si="4"/>
        <v/>
      </c>
      <c r="G21" s="9">
        <f t="shared" si="5"/>
        <v>0</v>
      </c>
      <c r="I21" t="str">
        <v>MATERIALS</v>
      </c>
      <c r="J21" t="str">
        <v>Cement Bricks 215 mm (L) x 102 mm (W) x 65 mm (H)</v>
      </c>
      <c r="K21" t="str">
        <v>PCS</v>
      </c>
      <c r="L21" s="9">
        <f>IF($J21="","",IFERROR(SUMIFS(SummaryHelper!$H$2:$H$5000,SummaryHelper!$A$2:$A$5000,$I21,SummaryHelper!$B$2:$B$5000,$J21,SummaryHelper!$C$2:$C$5000,$K21)/SUMIFS(SummaryHelper!$G$2:$G$5000,SummaryHelper!$A$2:$A$5000,$I21,SummaryHelper!$B$2:$B$5000,$J21,SummaryHelper!$C$2:$C$5000,$K21),""))</f>
        <v>0.28000000000000003</v>
      </c>
      <c r="M21" s="9">
        <f>IF($J21="","",SUMIFS(SummaryHelper!$E$2:$E$5000,SummaryHelper!$A$2:$A$5000,$I21,SummaryHelper!$B$2:$B$5000,$J21,SummaryHelper!$C$2:$C$5000,$K21))</f>
        <v>3900</v>
      </c>
      <c r="N21" s="9">
        <f>IF($J21="","",SUMIFS(SummaryHelper!$F$2:$F$5000,SummaryHelper!$A$2:$A$5000,$I21,SummaryHelper!$B$2:$B$5000,$J21,SummaryHelper!$C$2:$C$5000,$K21))</f>
        <v>0.03</v>
      </c>
      <c r="O21" s="9">
        <f>IF($J21="","",SUMIFS(SummaryHelper!$G$2:$G$5000,SummaryHelper!$A$2:$A$5000,$I21,SummaryHelper!$B$2:$B$5000,$J21,SummaryHelper!$C$2:$C$5000,$K21))</f>
        <v>4017</v>
      </c>
      <c r="Q21" s="9">
        <f t="shared" si="6"/>
        <v>4017</v>
      </c>
      <c r="R21" s="9">
        <f t="shared" si="7"/>
        <v>1124.7600000000002</v>
      </c>
      <c r="W21" s="9" t="str">
        <f>IF($U21="","",IFERROR(SUMIFS(SummaryHelper!$H$2:$H$5000,SummaryHelper!$A$2:$A$5000,$T21,SummaryHelper!$B$2:$B$5000,$U21,SummaryHelper!$C$2:$C$5000,$V21)/SUMIFS(SummaryHelper!$G$2:$G$5000,SummaryHelper!$A$2:$A$5000,$T21,SummaryHelper!$B$2:$B$5000,$U21,SummaryHelper!$C$2:$C$5000,$V21),""))</f>
        <v/>
      </c>
      <c r="X21" s="9" t="str">
        <f>IF($U21="","",SUMIFS(SummaryHelper!$E$2:$E$5000,SummaryHelper!$A$2:$A$5000,$T21,SummaryHelper!$B$2:$B$5000,$U21,SummaryHelper!$C$2:$C$5000,$V21))</f>
        <v/>
      </c>
      <c r="Y21" s="9" t="str">
        <f>IF($U21="","",SUMIFS(SummaryHelper!$F$2:$F$5000,SummaryHelper!$A$2:$A$5000,$T21,SummaryHelper!$B$2:$B$5000,$U21,SummaryHelper!$C$2:$C$5000,$V21))</f>
        <v/>
      </c>
      <c r="Z21" s="9" t="str">
        <f>IF($U21="","",SUMIFS(SummaryHelper!$G$2:$G$5000,SummaryHelper!$A$2:$A$5000,$T21,SummaryHelper!$B$2:$B$5000,$U21,SummaryHelper!$C$2:$C$5000,$V21))</f>
        <v/>
      </c>
      <c r="AB21" s="9" t="str">
        <f t="shared" si="8"/>
        <v/>
      </c>
      <c r="AC21" s="9" t="str">
        <f t="shared" si="9"/>
        <v/>
      </c>
      <c r="AH21" t="str">
        <f>IF($AF21="","",IFERROR(SUMIFS(SummaryHelper!$H$2:$H$5000,SummaryHelper!$A$2:$A$5000,$AE21,SummaryHelper!$B$2:$B$5000,$AF21,SummaryHelper!$C$2:$C$5000,$AG21)/SUMIFS(SummaryHelper!$G$2:$G$5000,SummaryHelper!$A$2:$A$5000,$AE21,SummaryHelper!$B$2:$B$5000,$AF21,SummaryHelper!$C$2:$C$5000,$AG21),""))</f>
        <v/>
      </c>
      <c r="AI21" t="str">
        <f>IF($AF21="","",SUMIFS(SummaryHelper!$E$2:$E$5000,SummaryHelper!$A$2:$A$5000,$AE21,SummaryHelper!$B$2:$B$5000,$AF21,SummaryHelper!$C$2:$C$5000,$AG21))</f>
        <v/>
      </c>
      <c r="AJ21" t="str">
        <f>IF($AF21="","",SUMIFS(SummaryHelper!$F$2:$F$5000,SummaryHelper!$A$2:$A$5000,$AE21,SummaryHelper!$B$2:$B$5000,$AF21,SummaryHelper!$C$2:$C$5000,$AG21))</f>
        <v/>
      </c>
      <c r="AK21" t="str">
        <f>IF($AF21="","",SUMIFS(SummaryHelper!$G$2:$G$5000,SummaryHelper!$A$2:$A$5000,$AE21,SummaryHelper!$B$2:$B$5000,$AF21,SummaryHelper!$C$2:$C$5000,$AG21))</f>
        <v/>
      </c>
      <c r="AM21" t="str">
        <f t="shared" si="10"/>
        <v/>
      </c>
      <c r="AN21" t="str">
        <f t="shared" si="11"/>
        <v/>
      </c>
    </row>
    <row r="22" spans="1:40" x14ac:dyDescent="0.25">
      <c r="A22" s="12"/>
      <c r="B22" s="23" t="str">
        <f t="shared" si="12"/>
        <v/>
      </c>
      <c r="C22" s="9" t="str">
        <f t="shared" ca="1" si="1"/>
        <v/>
      </c>
      <c r="D22" s="9" t="str">
        <f t="shared" ca="1" si="2"/>
        <v/>
      </c>
      <c r="E22" s="9" t="str">
        <f t="shared" ca="1" si="3"/>
        <v/>
      </c>
      <c r="F22" s="9" t="str">
        <f t="shared" si="4"/>
        <v/>
      </c>
      <c r="G22" s="9">
        <f t="shared" si="5"/>
        <v>0</v>
      </c>
      <c r="I22" t="str">
        <v>MATERIALS</v>
      </c>
      <c r="J22" t="str">
        <v>Coarse Sand (10-Wheel Truck)</v>
      </c>
      <c r="K22" t="str">
        <v>TRIP</v>
      </c>
      <c r="L22" s="9">
        <f>IF($J22="","",IFERROR(SUMIFS(SummaryHelper!$H$2:$H$5000,SummaryHelper!$A$2:$A$5000,$I22,SummaryHelper!$B$2:$B$5000,$J22,SummaryHelper!$C$2:$C$5000,$K22)/SUMIFS(SummaryHelper!$G$2:$G$5000,SummaryHelper!$A$2:$A$5000,$I22,SummaryHelper!$B$2:$B$5000,$J22,SummaryHelper!$C$2:$C$5000,$K22),""))</f>
        <v>850.00000000000011</v>
      </c>
      <c r="M22" s="9">
        <f>IF($J22="","",SUMIFS(SummaryHelper!$E$2:$E$5000,SummaryHelper!$A$2:$A$5000,$I22,SummaryHelper!$B$2:$B$5000,$J22,SummaryHelper!$C$2:$C$5000,$K22))</f>
        <v>0.84999999999999987</v>
      </c>
      <c r="N22" s="9">
        <f>IF($J22="","",SUMIFS(SummaryHelper!$F$2:$F$5000,SummaryHelper!$A$2:$A$5000,$I22,SummaryHelper!$B$2:$B$5000,$J22,SummaryHelper!$C$2:$C$5000,$K22))</f>
        <v>0.1</v>
      </c>
      <c r="O22" s="9">
        <f>IF($J22="","",SUMIFS(SummaryHelper!$G$2:$G$5000,SummaryHelper!$A$2:$A$5000,$I22,SummaryHelper!$B$2:$B$5000,$J22,SummaryHelper!$C$2:$C$5000,$K22))</f>
        <v>0.86749999999999994</v>
      </c>
      <c r="Q22" s="9">
        <f t="shared" si="6"/>
        <v>1</v>
      </c>
      <c r="R22" s="9">
        <f t="shared" si="7"/>
        <v>850.00000000000011</v>
      </c>
      <c r="W22" s="9" t="str">
        <f>IF($U22="","",IFERROR(SUMIFS(SummaryHelper!$H$2:$H$5000,SummaryHelper!$A$2:$A$5000,$T22,SummaryHelper!$B$2:$B$5000,$U22,SummaryHelper!$C$2:$C$5000,$V22)/SUMIFS(SummaryHelper!$G$2:$G$5000,SummaryHelper!$A$2:$A$5000,$T22,SummaryHelper!$B$2:$B$5000,$U22,SummaryHelper!$C$2:$C$5000,$V22),""))</f>
        <v/>
      </c>
      <c r="X22" s="9" t="str">
        <f>IF($U22="","",SUMIFS(SummaryHelper!$E$2:$E$5000,SummaryHelper!$A$2:$A$5000,$T22,SummaryHelper!$B$2:$B$5000,$U22,SummaryHelper!$C$2:$C$5000,$V22))</f>
        <v/>
      </c>
      <c r="Y22" s="9" t="str">
        <f>IF($U22="","",SUMIFS(SummaryHelper!$F$2:$F$5000,SummaryHelper!$A$2:$A$5000,$T22,SummaryHelper!$B$2:$B$5000,$U22,SummaryHelper!$C$2:$C$5000,$V22))</f>
        <v/>
      </c>
      <c r="Z22" s="9" t="str">
        <f>IF($U22="","",SUMIFS(SummaryHelper!$G$2:$G$5000,SummaryHelper!$A$2:$A$5000,$T22,SummaryHelper!$B$2:$B$5000,$U22,SummaryHelper!$C$2:$C$5000,$V22))</f>
        <v/>
      </c>
      <c r="AB22" s="9" t="str">
        <f t="shared" si="8"/>
        <v/>
      </c>
      <c r="AC22" s="9" t="str">
        <f t="shared" si="9"/>
        <v/>
      </c>
      <c r="AH22" t="str">
        <f>IF($AF22="","",IFERROR(SUMIFS(SummaryHelper!$H$2:$H$5000,SummaryHelper!$A$2:$A$5000,$AE22,SummaryHelper!$B$2:$B$5000,$AF22,SummaryHelper!$C$2:$C$5000,$AG22)/SUMIFS(SummaryHelper!$G$2:$G$5000,SummaryHelper!$A$2:$A$5000,$AE22,SummaryHelper!$B$2:$B$5000,$AF22,SummaryHelper!$C$2:$C$5000,$AG22),""))</f>
        <v/>
      </c>
      <c r="AI22" t="str">
        <f>IF($AF22="","",SUMIFS(SummaryHelper!$E$2:$E$5000,SummaryHelper!$A$2:$A$5000,$AE22,SummaryHelper!$B$2:$B$5000,$AF22,SummaryHelper!$C$2:$C$5000,$AG22))</f>
        <v/>
      </c>
      <c r="AJ22" t="str">
        <f>IF($AF22="","",SUMIFS(SummaryHelper!$F$2:$F$5000,SummaryHelper!$A$2:$A$5000,$AE22,SummaryHelper!$B$2:$B$5000,$AF22,SummaryHelper!$C$2:$C$5000,$AG22))</f>
        <v/>
      </c>
      <c r="AK22" t="str">
        <f>IF($AF22="","",SUMIFS(SummaryHelper!$G$2:$G$5000,SummaryHelper!$A$2:$A$5000,$AE22,SummaryHelper!$B$2:$B$5000,$AF22,SummaryHelper!$C$2:$C$5000,$AG22))</f>
        <v/>
      </c>
      <c r="AM22" t="str">
        <f t="shared" si="10"/>
        <v/>
      </c>
      <c r="AN22" t="str">
        <f t="shared" si="11"/>
        <v/>
      </c>
    </row>
    <row r="23" spans="1:40" x14ac:dyDescent="0.25">
      <c r="A23" s="12"/>
      <c r="B23" s="23" t="str">
        <f t="shared" si="12"/>
        <v/>
      </c>
      <c r="C23" s="9" t="str">
        <f t="shared" ca="1" si="1"/>
        <v/>
      </c>
      <c r="D23" s="9" t="str">
        <f t="shared" ca="1" si="2"/>
        <v/>
      </c>
      <c r="E23" s="9" t="str">
        <f t="shared" ca="1" si="3"/>
        <v/>
      </c>
      <c r="F23" s="9" t="str">
        <f t="shared" si="4"/>
        <v/>
      </c>
      <c r="G23" s="9">
        <f t="shared" si="5"/>
        <v>0</v>
      </c>
      <c r="I23" t="str">
        <v>MATERIALS</v>
      </c>
      <c r="J23" t="str">
        <v>Colourland Super White 9102 Colourlite 18L Emulsion Paint</v>
      </c>
      <c r="K23" t="str">
        <v>PAIL</v>
      </c>
      <c r="L23" s="9">
        <f>IF($J23="","",IFERROR(SUMIFS(SummaryHelper!$H$2:$H$5000,SummaryHelper!$A$2:$A$5000,$I23,SummaryHelper!$B$2:$B$5000,$J23,SummaryHelper!$C$2:$C$5000,$K23)/SUMIFS(SummaryHelper!$G$2:$G$5000,SummaryHelper!$A$2:$A$5000,$I23,SummaryHelper!$B$2:$B$5000,$J23,SummaryHelper!$C$2:$C$5000,$K23),""))</f>
        <v>80</v>
      </c>
      <c r="M23" s="9">
        <f>IF($J23="","",SUMIFS(SummaryHelper!$E$2:$E$5000,SummaryHelper!$A$2:$A$5000,$I23,SummaryHelper!$B$2:$B$5000,$J23,SummaryHelper!$C$2:$C$5000,$K23))</f>
        <v>2</v>
      </c>
      <c r="N23" s="9">
        <f>IF($J23="","",SUMIFS(SummaryHelper!$F$2:$F$5000,SummaryHelper!$A$2:$A$5000,$I23,SummaryHelper!$B$2:$B$5000,$J23,SummaryHelper!$C$2:$C$5000,$K23))</f>
        <v>0.05</v>
      </c>
      <c r="O23" s="9">
        <f>IF($J23="","",SUMIFS(SummaryHelper!$G$2:$G$5000,SummaryHelper!$A$2:$A$5000,$I23,SummaryHelper!$B$2:$B$5000,$J23,SummaryHelper!$C$2:$C$5000,$K23))</f>
        <v>2.1</v>
      </c>
      <c r="Q23" s="9">
        <f t="shared" si="6"/>
        <v>3</v>
      </c>
      <c r="R23" s="9">
        <f t="shared" si="7"/>
        <v>240</v>
      </c>
      <c r="W23" s="9" t="str">
        <f>IF($U23="","",IFERROR(SUMIFS(SummaryHelper!$H$2:$H$5000,SummaryHelper!$A$2:$A$5000,$T23,SummaryHelper!$B$2:$B$5000,$U23,SummaryHelper!$C$2:$C$5000,$V23)/SUMIFS(SummaryHelper!$G$2:$G$5000,SummaryHelper!$A$2:$A$5000,$T23,SummaryHelper!$B$2:$B$5000,$U23,SummaryHelper!$C$2:$C$5000,$V23),""))</f>
        <v/>
      </c>
      <c r="X23" s="9" t="str">
        <f>IF($U23="","",SUMIFS(SummaryHelper!$E$2:$E$5000,SummaryHelper!$A$2:$A$5000,$T23,SummaryHelper!$B$2:$B$5000,$U23,SummaryHelper!$C$2:$C$5000,$V23))</f>
        <v/>
      </c>
      <c r="Y23" s="9" t="str">
        <f>IF($U23="","",SUMIFS(SummaryHelper!$F$2:$F$5000,SummaryHelper!$A$2:$A$5000,$T23,SummaryHelper!$B$2:$B$5000,$U23,SummaryHelper!$C$2:$C$5000,$V23))</f>
        <v/>
      </c>
      <c r="Z23" s="9" t="str">
        <f>IF($U23="","",SUMIFS(SummaryHelper!$G$2:$G$5000,SummaryHelper!$A$2:$A$5000,$T23,SummaryHelper!$B$2:$B$5000,$U23,SummaryHelper!$C$2:$C$5000,$V23))</f>
        <v/>
      </c>
      <c r="AB23" s="9" t="str">
        <f t="shared" si="8"/>
        <v/>
      </c>
      <c r="AC23" s="9" t="str">
        <f t="shared" si="9"/>
        <v/>
      </c>
      <c r="AH23" t="str">
        <f>IF($AF23="","",IFERROR(SUMIFS(SummaryHelper!$H$2:$H$5000,SummaryHelper!$A$2:$A$5000,$AE23,SummaryHelper!$B$2:$B$5000,$AF23,SummaryHelper!$C$2:$C$5000,$AG23)/SUMIFS(SummaryHelper!$G$2:$G$5000,SummaryHelper!$A$2:$A$5000,$AE23,SummaryHelper!$B$2:$B$5000,$AF23,SummaryHelper!$C$2:$C$5000,$AG23),""))</f>
        <v/>
      </c>
      <c r="AI23" t="str">
        <f>IF($AF23="","",SUMIFS(SummaryHelper!$E$2:$E$5000,SummaryHelper!$A$2:$A$5000,$AE23,SummaryHelper!$B$2:$B$5000,$AF23,SummaryHelper!$C$2:$C$5000,$AG23))</f>
        <v/>
      </c>
      <c r="AJ23" t="str">
        <f>IF($AF23="","",SUMIFS(SummaryHelper!$F$2:$F$5000,SummaryHelper!$A$2:$A$5000,$AE23,SummaryHelper!$B$2:$B$5000,$AF23,SummaryHelper!$C$2:$C$5000,$AG23))</f>
        <v/>
      </c>
      <c r="AK23" t="str">
        <f>IF($AF23="","",SUMIFS(SummaryHelper!$G$2:$G$5000,SummaryHelper!$A$2:$A$5000,$AE23,SummaryHelper!$B$2:$B$5000,$AF23,SummaryHelper!$C$2:$C$5000,$AG23))</f>
        <v/>
      </c>
      <c r="AM23" t="str">
        <f t="shared" si="10"/>
        <v/>
      </c>
      <c r="AN23" t="str">
        <f t="shared" si="11"/>
        <v/>
      </c>
    </row>
    <row r="24" spans="1:40" x14ac:dyDescent="0.25">
      <c r="A24" s="12"/>
      <c r="B24" s="23" t="str">
        <f t="shared" si="12"/>
        <v/>
      </c>
      <c r="C24" s="9" t="str">
        <f t="shared" ca="1" si="1"/>
        <v/>
      </c>
      <c r="D24" s="9" t="str">
        <f t="shared" ca="1" si="2"/>
        <v/>
      </c>
      <c r="E24" s="9" t="str">
        <f t="shared" ca="1" si="3"/>
        <v/>
      </c>
      <c r="F24" s="9" t="str">
        <f t="shared" si="4"/>
        <v/>
      </c>
      <c r="G24" s="9">
        <f t="shared" si="5"/>
        <v>0</v>
      </c>
      <c r="I24" t="str">
        <v>MATERIALS</v>
      </c>
      <c r="J24" t="str">
        <v>Consumer DB Box 12 Way</v>
      </c>
      <c r="K24" t="str">
        <v>UNIT</v>
      </c>
      <c r="L24" s="9">
        <f>IF($J24="","",IFERROR(SUMIFS(SummaryHelper!$H$2:$H$5000,SummaryHelper!$A$2:$A$5000,$I24,SummaryHelper!$B$2:$B$5000,$J24,SummaryHelper!$C$2:$C$5000,$K24)/SUMIFS(SummaryHelper!$G$2:$G$5000,SummaryHelper!$A$2:$A$5000,$I24,SummaryHelper!$B$2:$B$5000,$J24,SummaryHelper!$C$2:$C$5000,$K24),""))</f>
        <v>185</v>
      </c>
      <c r="M24" s="9">
        <f>IF($J24="","",SUMIFS(SummaryHelper!$E$2:$E$5000,SummaryHelper!$A$2:$A$5000,$I24,SummaryHelper!$B$2:$B$5000,$J24,SummaryHelper!$C$2:$C$5000,$K24))</f>
        <v>1</v>
      </c>
      <c r="N24" s="9">
        <f>IF($J24="","",SUMIFS(SummaryHelper!$F$2:$F$5000,SummaryHelper!$A$2:$A$5000,$I24,SummaryHelper!$B$2:$B$5000,$J24,SummaryHelper!$C$2:$C$5000,$K24))</f>
        <v>0</v>
      </c>
      <c r="O24" s="9">
        <f>IF($J24="","",SUMIFS(SummaryHelper!$G$2:$G$5000,SummaryHelper!$A$2:$A$5000,$I24,SummaryHelper!$B$2:$B$5000,$J24,SummaryHelper!$C$2:$C$5000,$K24))</f>
        <v>1</v>
      </c>
      <c r="Q24" s="9">
        <f t="shared" si="6"/>
        <v>1</v>
      </c>
      <c r="R24" s="9">
        <f t="shared" si="7"/>
        <v>185</v>
      </c>
      <c r="W24" s="9" t="str">
        <f>IF($U24="","",IFERROR(SUMIFS(SummaryHelper!$H$2:$H$5000,SummaryHelper!$A$2:$A$5000,$T24,SummaryHelper!$B$2:$B$5000,$U24,SummaryHelper!$C$2:$C$5000,$V24)/SUMIFS(SummaryHelper!$G$2:$G$5000,SummaryHelper!$A$2:$A$5000,$T24,SummaryHelper!$B$2:$B$5000,$U24,SummaryHelper!$C$2:$C$5000,$V24),""))</f>
        <v/>
      </c>
      <c r="X24" s="9" t="str">
        <f>IF($U24="","",SUMIFS(SummaryHelper!$E$2:$E$5000,SummaryHelper!$A$2:$A$5000,$T24,SummaryHelper!$B$2:$B$5000,$U24,SummaryHelper!$C$2:$C$5000,$V24))</f>
        <v/>
      </c>
      <c r="Y24" s="9" t="str">
        <f>IF($U24="","",SUMIFS(SummaryHelper!$F$2:$F$5000,SummaryHelper!$A$2:$A$5000,$T24,SummaryHelper!$B$2:$B$5000,$U24,SummaryHelper!$C$2:$C$5000,$V24))</f>
        <v/>
      </c>
      <c r="Z24" s="9" t="str">
        <f>IF($U24="","",SUMIFS(SummaryHelper!$G$2:$G$5000,SummaryHelper!$A$2:$A$5000,$T24,SummaryHelper!$B$2:$B$5000,$U24,SummaryHelper!$C$2:$C$5000,$V24))</f>
        <v/>
      </c>
      <c r="AB24" s="9" t="str">
        <f t="shared" si="8"/>
        <v/>
      </c>
      <c r="AC24" s="9" t="str">
        <f t="shared" si="9"/>
        <v/>
      </c>
      <c r="AH24" t="str">
        <f>IF($AF24="","",IFERROR(SUMIFS(SummaryHelper!$H$2:$H$5000,SummaryHelper!$A$2:$A$5000,$AE24,SummaryHelper!$B$2:$B$5000,$AF24,SummaryHelper!$C$2:$C$5000,$AG24)/SUMIFS(SummaryHelper!$G$2:$G$5000,SummaryHelper!$A$2:$A$5000,$AE24,SummaryHelper!$B$2:$B$5000,$AF24,SummaryHelper!$C$2:$C$5000,$AG24),""))</f>
        <v/>
      </c>
      <c r="AI24" t="str">
        <f>IF($AF24="","",SUMIFS(SummaryHelper!$E$2:$E$5000,SummaryHelper!$A$2:$A$5000,$AE24,SummaryHelper!$B$2:$B$5000,$AF24,SummaryHelper!$C$2:$C$5000,$AG24))</f>
        <v/>
      </c>
      <c r="AJ24" t="str">
        <f>IF($AF24="","",SUMIFS(SummaryHelper!$F$2:$F$5000,SummaryHelper!$A$2:$A$5000,$AE24,SummaryHelper!$B$2:$B$5000,$AF24,SummaryHelper!$C$2:$C$5000,$AG24))</f>
        <v/>
      </c>
      <c r="AK24" t="str">
        <f>IF($AF24="","",SUMIFS(SummaryHelper!$G$2:$G$5000,SummaryHelper!$A$2:$A$5000,$AE24,SummaryHelper!$B$2:$B$5000,$AF24,SummaryHelper!$C$2:$C$5000,$AG24))</f>
        <v/>
      </c>
      <c r="AM24" t="str">
        <f t="shared" si="10"/>
        <v/>
      </c>
      <c r="AN24" t="str">
        <f t="shared" si="11"/>
        <v/>
      </c>
    </row>
    <row r="25" spans="1:40" x14ac:dyDescent="0.25">
      <c r="A25" s="12"/>
      <c r="B25" s="23" t="str">
        <f t="shared" si="12"/>
        <v/>
      </c>
      <c r="C25" s="9" t="str">
        <f t="shared" ca="1" si="1"/>
        <v/>
      </c>
      <c r="D25" s="9" t="str">
        <f t="shared" ca="1" si="2"/>
        <v/>
      </c>
      <c r="E25" s="9" t="str">
        <f t="shared" ca="1" si="3"/>
        <v/>
      </c>
      <c r="F25" s="9" t="str">
        <f t="shared" si="4"/>
        <v/>
      </c>
      <c r="G25" s="9">
        <f t="shared" si="5"/>
        <v>0</v>
      </c>
      <c r="I25" t="str">
        <v>MATERIALS</v>
      </c>
      <c r="J25" t="str">
        <v>Copper Cable Clamp (Heavy Duty)</v>
      </c>
      <c r="K25" t="str">
        <v>PCS</v>
      </c>
      <c r="L25" s="9">
        <f>IF($J25="","",IFERROR(SUMIFS(SummaryHelper!$H$2:$H$5000,SummaryHelper!$A$2:$A$5000,$I25,SummaryHelper!$B$2:$B$5000,$J25,SummaryHelper!$C$2:$C$5000,$K25)/SUMIFS(SummaryHelper!$G$2:$G$5000,SummaryHelper!$A$2:$A$5000,$I25,SummaryHelper!$B$2:$B$5000,$J25,SummaryHelper!$C$2:$C$5000,$K25),""))</f>
        <v>6.5</v>
      </c>
      <c r="M25" s="9">
        <f>IF($J25="","",SUMIFS(SummaryHelper!$E$2:$E$5000,SummaryHelper!$A$2:$A$5000,$I25,SummaryHelper!$B$2:$B$5000,$J25,SummaryHelper!$C$2:$C$5000,$K25))</f>
        <v>1</v>
      </c>
      <c r="N25" s="9">
        <f>IF($J25="","",SUMIFS(SummaryHelper!$F$2:$F$5000,SummaryHelper!$A$2:$A$5000,$I25,SummaryHelper!$B$2:$B$5000,$J25,SummaryHelper!$C$2:$C$5000,$K25))</f>
        <v>0</v>
      </c>
      <c r="O25" s="9">
        <f>IF($J25="","",SUMIFS(SummaryHelper!$G$2:$G$5000,SummaryHelper!$A$2:$A$5000,$I25,SummaryHelper!$B$2:$B$5000,$J25,SummaryHelper!$C$2:$C$5000,$K25))</f>
        <v>1</v>
      </c>
      <c r="Q25" s="9">
        <f t="shared" si="6"/>
        <v>1</v>
      </c>
      <c r="R25" s="9">
        <f t="shared" si="7"/>
        <v>6.5</v>
      </c>
      <c r="W25" s="9" t="str">
        <f>IF($U25="","",IFERROR(SUMIFS(SummaryHelper!$H$2:$H$5000,SummaryHelper!$A$2:$A$5000,$T25,SummaryHelper!$B$2:$B$5000,$U25,SummaryHelper!$C$2:$C$5000,$V25)/SUMIFS(SummaryHelper!$G$2:$G$5000,SummaryHelper!$A$2:$A$5000,$T25,SummaryHelper!$B$2:$B$5000,$U25,SummaryHelper!$C$2:$C$5000,$V25),""))</f>
        <v/>
      </c>
      <c r="X25" s="9" t="str">
        <f>IF($U25="","",SUMIFS(SummaryHelper!$E$2:$E$5000,SummaryHelper!$A$2:$A$5000,$T25,SummaryHelper!$B$2:$B$5000,$U25,SummaryHelper!$C$2:$C$5000,$V25))</f>
        <v/>
      </c>
      <c r="Y25" s="9" t="str">
        <f>IF($U25="","",SUMIFS(SummaryHelper!$F$2:$F$5000,SummaryHelper!$A$2:$A$5000,$T25,SummaryHelper!$B$2:$B$5000,$U25,SummaryHelper!$C$2:$C$5000,$V25))</f>
        <v/>
      </c>
      <c r="Z25" s="9" t="str">
        <f>IF($U25="","",SUMIFS(SummaryHelper!$G$2:$G$5000,SummaryHelper!$A$2:$A$5000,$T25,SummaryHelper!$B$2:$B$5000,$U25,SummaryHelper!$C$2:$C$5000,$V25))</f>
        <v/>
      </c>
      <c r="AB25" s="9" t="str">
        <f t="shared" si="8"/>
        <v/>
      </c>
      <c r="AC25" s="9" t="str">
        <f t="shared" si="9"/>
        <v/>
      </c>
      <c r="AH25" t="str">
        <f>IF($AF25="","",IFERROR(SUMIFS(SummaryHelper!$H$2:$H$5000,SummaryHelper!$A$2:$A$5000,$AE25,SummaryHelper!$B$2:$B$5000,$AF25,SummaryHelper!$C$2:$C$5000,$AG25)/SUMIFS(SummaryHelper!$G$2:$G$5000,SummaryHelper!$A$2:$A$5000,$AE25,SummaryHelper!$B$2:$B$5000,$AF25,SummaryHelper!$C$2:$C$5000,$AG25),""))</f>
        <v/>
      </c>
      <c r="AI25" t="str">
        <f>IF($AF25="","",SUMIFS(SummaryHelper!$E$2:$E$5000,SummaryHelper!$A$2:$A$5000,$AE25,SummaryHelper!$B$2:$B$5000,$AF25,SummaryHelper!$C$2:$C$5000,$AG25))</f>
        <v/>
      </c>
      <c r="AJ25" t="str">
        <f>IF($AF25="","",SUMIFS(SummaryHelper!$F$2:$F$5000,SummaryHelper!$A$2:$A$5000,$AE25,SummaryHelper!$B$2:$B$5000,$AF25,SummaryHelper!$C$2:$C$5000,$AG25))</f>
        <v/>
      </c>
      <c r="AK25" t="str">
        <f>IF($AF25="","",SUMIFS(SummaryHelper!$G$2:$G$5000,SummaryHelper!$A$2:$A$5000,$AE25,SummaryHelper!$B$2:$B$5000,$AF25,SummaryHelper!$C$2:$C$5000,$AG25))</f>
        <v/>
      </c>
      <c r="AM25" t="str">
        <f t="shared" si="10"/>
        <v/>
      </c>
      <c r="AN25" t="str">
        <f t="shared" si="11"/>
        <v/>
      </c>
    </row>
    <row r="26" spans="1:40" x14ac:dyDescent="0.25">
      <c r="A26" s="12"/>
      <c r="B26" s="23" t="str">
        <f t="shared" si="12"/>
        <v/>
      </c>
      <c r="C26" s="9" t="str">
        <f t="shared" ca="1" si="1"/>
        <v/>
      </c>
      <c r="D26" s="9" t="str">
        <f t="shared" ca="1" si="2"/>
        <v/>
      </c>
      <c r="E26" s="9" t="str">
        <f t="shared" ca="1" si="3"/>
        <v/>
      </c>
      <c r="F26" s="9" t="str">
        <f t="shared" si="4"/>
        <v/>
      </c>
      <c r="G26" s="9">
        <f t="shared" si="5"/>
        <v>0</v>
      </c>
      <c r="I26" t="str">
        <v>MATERIALS</v>
      </c>
      <c r="J26" t="str">
        <v>Crusher Run (10-Wheel Truck)</v>
      </c>
      <c r="K26" t="str">
        <v>TRIP</v>
      </c>
      <c r="L26" s="9">
        <f>IF($J26="","",IFERROR(SUMIFS(SummaryHelper!$H$2:$H$5000,SummaryHelper!$A$2:$A$5000,$I26,SummaryHelper!$B$2:$B$5000,$J26,SummaryHelper!$C$2:$C$5000,$K26)/SUMIFS(SummaryHelper!$G$2:$G$5000,SummaryHelper!$A$2:$A$5000,$I26,SummaryHelper!$B$2:$B$5000,$J26,SummaryHelper!$C$2:$C$5000,$K26),""))</f>
        <v>830.00000000000011</v>
      </c>
      <c r="M26" s="9">
        <f>IF($J26="","",SUMIFS(SummaryHelper!$E$2:$E$5000,SummaryHelper!$A$2:$A$5000,$I26,SummaryHelper!$B$2:$B$5000,$J26,SummaryHelper!$C$2:$C$5000,$K26))</f>
        <v>0.68</v>
      </c>
      <c r="N26" s="9">
        <f>IF($J26="","",SUMIFS(SummaryHelper!$F$2:$F$5000,SummaryHelper!$A$2:$A$5000,$I26,SummaryHelper!$B$2:$B$5000,$J26,SummaryHelper!$C$2:$C$5000,$K26))</f>
        <v>0</v>
      </c>
      <c r="O26" s="9">
        <f>IF($J26="","",SUMIFS(SummaryHelper!$G$2:$G$5000,SummaryHelper!$A$2:$A$5000,$I26,SummaryHelper!$B$2:$B$5000,$J26,SummaryHelper!$C$2:$C$5000,$K26))</f>
        <v>0.68</v>
      </c>
      <c r="Q26" s="9">
        <f t="shared" si="6"/>
        <v>1</v>
      </c>
      <c r="R26" s="9">
        <f t="shared" si="7"/>
        <v>830.00000000000011</v>
      </c>
      <c r="W26" s="9" t="str">
        <f>IF($U26="","",IFERROR(SUMIFS(SummaryHelper!$H$2:$H$5000,SummaryHelper!$A$2:$A$5000,$T26,SummaryHelper!$B$2:$B$5000,$U26,SummaryHelper!$C$2:$C$5000,$V26)/SUMIFS(SummaryHelper!$G$2:$G$5000,SummaryHelper!$A$2:$A$5000,$T26,SummaryHelper!$B$2:$B$5000,$U26,SummaryHelper!$C$2:$C$5000,$V26),""))</f>
        <v/>
      </c>
      <c r="X26" s="9" t="str">
        <f>IF($U26="","",SUMIFS(SummaryHelper!$E$2:$E$5000,SummaryHelper!$A$2:$A$5000,$T26,SummaryHelper!$B$2:$B$5000,$U26,SummaryHelper!$C$2:$C$5000,$V26))</f>
        <v/>
      </c>
      <c r="Y26" s="9" t="str">
        <f>IF($U26="","",SUMIFS(SummaryHelper!$F$2:$F$5000,SummaryHelper!$A$2:$A$5000,$T26,SummaryHelper!$B$2:$B$5000,$U26,SummaryHelper!$C$2:$C$5000,$V26))</f>
        <v/>
      </c>
      <c r="Z26" s="9" t="str">
        <f>IF($U26="","",SUMIFS(SummaryHelper!$G$2:$G$5000,SummaryHelper!$A$2:$A$5000,$T26,SummaryHelper!$B$2:$B$5000,$U26,SummaryHelper!$C$2:$C$5000,$V26))</f>
        <v/>
      </c>
      <c r="AB26" s="9" t="str">
        <f t="shared" si="8"/>
        <v/>
      </c>
      <c r="AC26" s="9" t="str">
        <f t="shared" si="9"/>
        <v/>
      </c>
      <c r="AH26" t="str">
        <f>IF($AF26="","",IFERROR(SUMIFS(SummaryHelper!$H$2:$H$5000,SummaryHelper!$A$2:$A$5000,$AE26,SummaryHelper!$B$2:$B$5000,$AF26,SummaryHelper!$C$2:$C$5000,$AG26)/SUMIFS(SummaryHelper!$G$2:$G$5000,SummaryHelper!$A$2:$A$5000,$AE26,SummaryHelper!$B$2:$B$5000,$AF26,SummaryHelper!$C$2:$C$5000,$AG26),""))</f>
        <v/>
      </c>
      <c r="AI26" t="str">
        <f>IF($AF26="","",SUMIFS(SummaryHelper!$E$2:$E$5000,SummaryHelper!$A$2:$A$5000,$AE26,SummaryHelper!$B$2:$B$5000,$AF26,SummaryHelper!$C$2:$C$5000,$AG26))</f>
        <v/>
      </c>
      <c r="AJ26" t="str">
        <f>IF($AF26="","",SUMIFS(SummaryHelper!$F$2:$F$5000,SummaryHelper!$A$2:$A$5000,$AE26,SummaryHelper!$B$2:$B$5000,$AF26,SummaryHelper!$C$2:$C$5000,$AG26))</f>
        <v/>
      </c>
      <c r="AK26" t="str">
        <f>IF($AF26="","",SUMIFS(SummaryHelper!$G$2:$G$5000,SummaryHelper!$A$2:$A$5000,$AE26,SummaryHelper!$B$2:$B$5000,$AF26,SummaryHelper!$C$2:$C$5000,$AG26))</f>
        <v/>
      </c>
      <c r="AM26" t="str">
        <f t="shared" si="10"/>
        <v/>
      </c>
      <c r="AN26" t="str">
        <f t="shared" si="11"/>
        <v/>
      </c>
    </row>
    <row r="27" spans="1:40" x14ac:dyDescent="0.25">
      <c r="A27" s="12"/>
      <c r="B27" s="23" t="str">
        <f t="shared" si="12"/>
        <v/>
      </c>
      <c r="C27" s="9" t="str">
        <f t="shared" ca="1" si="1"/>
        <v/>
      </c>
      <c r="D27" s="9" t="str">
        <f t="shared" ca="1" si="2"/>
        <v/>
      </c>
      <c r="E27" s="9" t="str">
        <f t="shared" ca="1" si="3"/>
        <v/>
      </c>
      <c r="F27" s="9" t="str">
        <f t="shared" si="4"/>
        <v/>
      </c>
      <c r="G27" s="9">
        <f t="shared" si="5"/>
        <v>0</v>
      </c>
      <c r="I27" t="str">
        <v>MATERIALS</v>
      </c>
      <c r="J27" t="str">
        <v>DOCASA Combo, c/w One-piece rimless toilet bowl + modern bathroom sink cabinet with basin, mirror &amp; shelf , Soft-close seat and cover, Cistern fittings, Cistern cover with flush button, Straight connector</v>
      </c>
      <c r="K27" t="str">
        <v>PCS</v>
      </c>
      <c r="L27" s="9">
        <f>IF($J27="","",IFERROR(SUMIFS(SummaryHelper!$H$2:$H$5000,SummaryHelper!$A$2:$A$5000,$I27,SummaryHelper!$B$2:$B$5000,$J27,SummaryHelper!$C$2:$C$5000,$K27)/SUMIFS(SummaryHelper!$G$2:$G$5000,SummaryHelper!$A$2:$A$5000,$I27,SummaryHelper!$B$2:$B$5000,$J27,SummaryHelper!$C$2:$C$5000,$K27),""))</f>
        <v>650</v>
      </c>
      <c r="M27" s="9">
        <f>IF($J27="","",SUMIFS(SummaryHelper!$E$2:$E$5000,SummaryHelper!$A$2:$A$5000,$I27,SummaryHelper!$B$2:$B$5000,$J27,SummaryHelper!$C$2:$C$5000,$K27))</f>
        <v>1</v>
      </c>
      <c r="N27" s="9">
        <f>IF($J27="","",SUMIFS(SummaryHelper!$F$2:$F$5000,SummaryHelper!$A$2:$A$5000,$I27,SummaryHelper!$B$2:$B$5000,$J27,SummaryHelper!$C$2:$C$5000,$K27))</f>
        <v>0</v>
      </c>
      <c r="O27" s="9">
        <f>IF($J27="","",SUMIFS(SummaryHelper!$G$2:$G$5000,SummaryHelper!$A$2:$A$5000,$I27,SummaryHelper!$B$2:$B$5000,$J27,SummaryHelper!$C$2:$C$5000,$K27))</f>
        <v>1</v>
      </c>
      <c r="Q27" s="9">
        <f t="shared" si="6"/>
        <v>1</v>
      </c>
      <c r="R27" s="9">
        <f t="shared" si="7"/>
        <v>650</v>
      </c>
      <c r="W27" s="9" t="str">
        <f>IF($U27="","",IFERROR(SUMIFS(SummaryHelper!$H$2:$H$5000,SummaryHelper!$A$2:$A$5000,$T27,SummaryHelper!$B$2:$B$5000,$U27,SummaryHelper!$C$2:$C$5000,$V27)/SUMIFS(SummaryHelper!$G$2:$G$5000,SummaryHelper!$A$2:$A$5000,$T27,SummaryHelper!$B$2:$B$5000,$U27,SummaryHelper!$C$2:$C$5000,$V27),""))</f>
        <v/>
      </c>
      <c r="X27" s="9" t="str">
        <f>IF($U27="","",SUMIFS(SummaryHelper!$E$2:$E$5000,SummaryHelper!$A$2:$A$5000,$T27,SummaryHelper!$B$2:$B$5000,$U27,SummaryHelper!$C$2:$C$5000,$V27))</f>
        <v/>
      </c>
      <c r="Y27" s="9" t="str">
        <f>IF($U27="","",SUMIFS(SummaryHelper!$F$2:$F$5000,SummaryHelper!$A$2:$A$5000,$T27,SummaryHelper!$B$2:$B$5000,$U27,SummaryHelper!$C$2:$C$5000,$V27))</f>
        <v/>
      </c>
      <c r="Z27" s="9" t="str">
        <f>IF($U27="","",SUMIFS(SummaryHelper!$G$2:$G$5000,SummaryHelper!$A$2:$A$5000,$T27,SummaryHelper!$B$2:$B$5000,$U27,SummaryHelper!$C$2:$C$5000,$V27))</f>
        <v/>
      </c>
      <c r="AB27" s="9" t="str">
        <f t="shared" si="8"/>
        <v/>
      </c>
      <c r="AC27" s="9" t="str">
        <f t="shared" si="9"/>
        <v/>
      </c>
      <c r="AH27" t="str">
        <f>IF($AF27="","",IFERROR(SUMIFS(SummaryHelper!$H$2:$H$5000,SummaryHelper!$A$2:$A$5000,$AE27,SummaryHelper!$B$2:$B$5000,$AF27,SummaryHelper!$C$2:$C$5000,$AG27)/SUMIFS(SummaryHelper!$G$2:$G$5000,SummaryHelper!$A$2:$A$5000,$AE27,SummaryHelper!$B$2:$B$5000,$AF27,SummaryHelper!$C$2:$C$5000,$AG27),""))</f>
        <v/>
      </c>
      <c r="AI27" t="str">
        <f>IF($AF27="","",SUMIFS(SummaryHelper!$E$2:$E$5000,SummaryHelper!$A$2:$A$5000,$AE27,SummaryHelper!$B$2:$B$5000,$AF27,SummaryHelper!$C$2:$C$5000,$AG27))</f>
        <v/>
      </c>
      <c r="AJ27" t="str">
        <f>IF($AF27="","",SUMIFS(SummaryHelper!$F$2:$F$5000,SummaryHelper!$A$2:$A$5000,$AE27,SummaryHelper!$B$2:$B$5000,$AF27,SummaryHelper!$C$2:$C$5000,$AG27))</f>
        <v/>
      </c>
      <c r="AK27" t="str">
        <f>IF($AF27="","",SUMIFS(SummaryHelper!$G$2:$G$5000,SummaryHelper!$A$2:$A$5000,$AE27,SummaryHelper!$B$2:$B$5000,$AF27,SummaryHelper!$C$2:$C$5000,$AG27))</f>
        <v/>
      </c>
      <c r="AM27" t="str">
        <f t="shared" si="10"/>
        <v/>
      </c>
      <c r="AN27" t="str">
        <f t="shared" si="11"/>
        <v/>
      </c>
    </row>
    <row r="28" spans="1:40" x14ac:dyDescent="0.25">
      <c r="A28" s="12"/>
      <c r="B28" s="23" t="str">
        <f t="shared" si="12"/>
        <v/>
      </c>
      <c r="C28" s="9" t="str">
        <f t="shared" ca="1" si="1"/>
        <v/>
      </c>
      <c r="D28" s="9" t="str">
        <f t="shared" ca="1" si="2"/>
        <v/>
      </c>
      <c r="E28" s="9" t="str">
        <f t="shared" ca="1" si="3"/>
        <v/>
      </c>
      <c r="F28" s="9" t="str">
        <f t="shared" si="4"/>
        <v/>
      </c>
      <c r="G28" s="9">
        <f t="shared" si="5"/>
        <v>0</v>
      </c>
      <c r="I28" t="str">
        <v>MATERIALS</v>
      </c>
      <c r="J28" t="str">
        <v>Door Hinges 3/8" x 1-1/4" x 2"</v>
      </c>
      <c r="K28" t="str">
        <v>PCS</v>
      </c>
      <c r="L28" s="9">
        <f>IF($J28="","",IFERROR(SUMIFS(SummaryHelper!$H$2:$H$5000,SummaryHelper!$A$2:$A$5000,$I28,SummaryHelper!$B$2:$B$5000,$J28,SummaryHelper!$C$2:$C$5000,$K28)/SUMIFS(SummaryHelper!$G$2:$G$5000,SummaryHelper!$A$2:$A$5000,$I28,SummaryHelper!$B$2:$B$5000,$J28,SummaryHelper!$C$2:$C$5000,$K28),""))</f>
        <v>0.85</v>
      </c>
      <c r="M28" s="9">
        <f>IF($J28="","",SUMIFS(SummaryHelper!$E$2:$E$5000,SummaryHelper!$A$2:$A$5000,$I28,SummaryHelper!$B$2:$B$5000,$J28,SummaryHelper!$C$2:$C$5000,$K28))</f>
        <v>3</v>
      </c>
      <c r="N28" s="9">
        <f>IF($J28="","",SUMIFS(SummaryHelper!$F$2:$F$5000,SummaryHelper!$A$2:$A$5000,$I28,SummaryHelper!$B$2:$B$5000,$J28,SummaryHelper!$C$2:$C$5000,$K28))</f>
        <v>0.05</v>
      </c>
      <c r="O28" s="9">
        <f>IF($J28="","",SUMIFS(SummaryHelper!$G$2:$G$5000,SummaryHelper!$A$2:$A$5000,$I28,SummaryHelper!$B$2:$B$5000,$J28,SummaryHelper!$C$2:$C$5000,$K28))</f>
        <v>3.1500000000000004</v>
      </c>
      <c r="Q28" s="9">
        <f t="shared" si="6"/>
        <v>4</v>
      </c>
      <c r="R28" s="9">
        <f t="shared" si="7"/>
        <v>3.4</v>
      </c>
      <c r="W28" s="9" t="str">
        <f>IF($U28="","",IFERROR(SUMIFS(SummaryHelper!$H$2:$H$5000,SummaryHelper!$A$2:$A$5000,$T28,SummaryHelper!$B$2:$B$5000,$U28,SummaryHelper!$C$2:$C$5000,$V28)/SUMIFS(SummaryHelper!$G$2:$G$5000,SummaryHelper!$A$2:$A$5000,$T28,SummaryHelper!$B$2:$B$5000,$U28,SummaryHelper!$C$2:$C$5000,$V28),""))</f>
        <v/>
      </c>
      <c r="X28" s="9" t="str">
        <f>IF($U28="","",SUMIFS(SummaryHelper!$E$2:$E$5000,SummaryHelper!$A$2:$A$5000,$T28,SummaryHelper!$B$2:$B$5000,$U28,SummaryHelper!$C$2:$C$5000,$V28))</f>
        <v/>
      </c>
      <c r="Y28" s="9" t="str">
        <f>IF($U28="","",SUMIFS(SummaryHelper!$F$2:$F$5000,SummaryHelper!$A$2:$A$5000,$T28,SummaryHelper!$B$2:$B$5000,$U28,SummaryHelper!$C$2:$C$5000,$V28))</f>
        <v/>
      </c>
      <c r="Z28" s="9" t="str">
        <f>IF($U28="","",SUMIFS(SummaryHelper!$G$2:$G$5000,SummaryHelper!$A$2:$A$5000,$T28,SummaryHelper!$B$2:$B$5000,$U28,SummaryHelper!$C$2:$C$5000,$V28))</f>
        <v/>
      </c>
      <c r="AB28" s="9" t="str">
        <f t="shared" si="8"/>
        <v/>
      </c>
      <c r="AC28" s="9" t="str">
        <f t="shared" si="9"/>
        <v/>
      </c>
      <c r="AH28" t="str">
        <f>IF($AF28="","",IFERROR(SUMIFS(SummaryHelper!$H$2:$H$5000,SummaryHelper!$A$2:$A$5000,$AE28,SummaryHelper!$B$2:$B$5000,$AF28,SummaryHelper!$C$2:$C$5000,$AG28)/SUMIFS(SummaryHelper!$G$2:$G$5000,SummaryHelper!$A$2:$A$5000,$AE28,SummaryHelper!$B$2:$B$5000,$AF28,SummaryHelper!$C$2:$C$5000,$AG28),""))</f>
        <v/>
      </c>
      <c r="AI28" t="str">
        <f>IF($AF28="","",SUMIFS(SummaryHelper!$E$2:$E$5000,SummaryHelper!$A$2:$A$5000,$AE28,SummaryHelper!$B$2:$B$5000,$AF28,SummaryHelper!$C$2:$C$5000,$AG28))</f>
        <v/>
      </c>
      <c r="AJ28" t="str">
        <f>IF($AF28="","",SUMIFS(SummaryHelper!$F$2:$F$5000,SummaryHelper!$A$2:$A$5000,$AE28,SummaryHelper!$B$2:$B$5000,$AF28,SummaryHelper!$C$2:$C$5000,$AG28))</f>
        <v/>
      </c>
      <c r="AK28" t="str">
        <f>IF($AF28="","",SUMIFS(SummaryHelper!$G$2:$G$5000,SummaryHelper!$A$2:$A$5000,$AE28,SummaryHelper!$B$2:$B$5000,$AF28,SummaryHelper!$C$2:$C$5000,$AG28))</f>
        <v/>
      </c>
      <c r="AM28" t="str">
        <f t="shared" si="10"/>
        <v/>
      </c>
      <c r="AN28" t="str">
        <f t="shared" si="11"/>
        <v/>
      </c>
    </row>
    <row r="29" spans="1:40" x14ac:dyDescent="0.25">
      <c r="A29" s="12"/>
      <c r="B29" s="23" t="str">
        <f t="shared" si="12"/>
        <v/>
      </c>
      <c r="C29" s="9" t="str">
        <f t="shared" ca="1" si="1"/>
        <v/>
      </c>
      <c r="D29" s="9" t="str">
        <f t="shared" ca="1" si="2"/>
        <v/>
      </c>
      <c r="E29" s="9" t="str">
        <f t="shared" ca="1" si="3"/>
        <v/>
      </c>
      <c r="F29" s="9" t="str">
        <f t="shared" si="4"/>
        <v/>
      </c>
      <c r="G29" s="9">
        <f t="shared" si="5"/>
        <v>0</v>
      </c>
      <c r="I29" t="str">
        <v>MATERIALS</v>
      </c>
      <c r="J29" t="str">
        <v>Downpipe 110/100mm x 5.8m</v>
      </c>
      <c r="K29" t="str">
        <v>LTH</v>
      </c>
      <c r="L29" s="9">
        <f>IF($J29="","",IFERROR(SUMIFS(SummaryHelper!$H$2:$H$5000,SummaryHelper!$A$2:$A$5000,$I29,SummaryHelper!$B$2:$B$5000,$J29,SummaryHelper!$C$2:$C$5000,$K29)/SUMIFS(SummaryHelper!$G$2:$G$5000,SummaryHelper!$A$2:$A$5000,$I29,SummaryHelper!$B$2:$B$5000,$J29,SummaryHelper!$C$2:$C$5000,$K29),""))</f>
        <v>59</v>
      </c>
      <c r="M29" s="9">
        <f>IF($J29="","",SUMIFS(SummaryHelper!$E$2:$E$5000,SummaryHelper!$A$2:$A$5000,$I29,SummaryHelper!$B$2:$B$5000,$J29,SummaryHelper!$C$2:$C$5000,$K29))</f>
        <v>4</v>
      </c>
      <c r="N29" s="9">
        <f>IF($J29="","",SUMIFS(SummaryHelper!$F$2:$F$5000,SummaryHelper!$A$2:$A$5000,$I29,SummaryHelper!$B$2:$B$5000,$J29,SummaryHelper!$C$2:$C$5000,$K29))</f>
        <v>0.05</v>
      </c>
      <c r="O29" s="9">
        <f>IF($J29="","",SUMIFS(SummaryHelper!$G$2:$G$5000,SummaryHelper!$A$2:$A$5000,$I29,SummaryHelper!$B$2:$B$5000,$J29,SummaryHelper!$C$2:$C$5000,$K29))</f>
        <v>4.2</v>
      </c>
      <c r="Q29" s="9">
        <f t="shared" si="6"/>
        <v>5</v>
      </c>
      <c r="R29" s="9">
        <f t="shared" si="7"/>
        <v>295</v>
      </c>
      <c r="W29" s="9" t="str">
        <f>IF($U29="","",IFERROR(SUMIFS(SummaryHelper!$H$2:$H$5000,SummaryHelper!$A$2:$A$5000,$T29,SummaryHelper!$B$2:$B$5000,$U29,SummaryHelper!$C$2:$C$5000,$V29)/SUMIFS(SummaryHelper!$G$2:$G$5000,SummaryHelper!$A$2:$A$5000,$T29,SummaryHelper!$B$2:$B$5000,$U29,SummaryHelper!$C$2:$C$5000,$V29),""))</f>
        <v/>
      </c>
      <c r="X29" s="9" t="str">
        <f>IF($U29="","",SUMIFS(SummaryHelper!$E$2:$E$5000,SummaryHelper!$A$2:$A$5000,$T29,SummaryHelper!$B$2:$B$5000,$U29,SummaryHelper!$C$2:$C$5000,$V29))</f>
        <v/>
      </c>
      <c r="Y29" s="9" t="str">
        <f>IF($U29="","",SUMIFS(SummaryHelper!$F$2:$F$5000,SummaryHelper!$A$2:$A$5000,$T29,SummaryHelper!$B$2:$B$5000,$U29,SummaryHelper!$C$2:$C$5000,$V29))</f>
        <v/>
      </c>
      <c r="Z29" s="9" t="str">
        <f>IF($U29="","",SUMIFS(SummaryHelper!$G$2:$G$5000,SummaryHelper!$A$2:$A$5000,$T29,SummaryHelper!$B$2:$B$5000,$U29,SummaryHelper!$C$2:$C$5000,$V29))</f>
        <v/>
      </c>
      <c r="AB29" s="9" t="str">
        <f t="shared" si="8"/>
        <v/>
      </c>
      <c r="AC29" s="9" t="str">
        <f t="shared" si="9"/>
        <v/>
      </c>
      <c r="AH29" t="str">
        <f>IF($AF29="","",IFERROR(SUMIFS(SummaryHelper!$H$2:$H$5000,SummaryHelper!$A$2:$A$5000,$AE29,SummaryHelper!$B$2:$B$5000,$AF29,SummaryHelper!$C$2:$C$5000,$AG29)/SUMIFS(SummaryHelper!$G$2:$G$5000,SummaryHelper!$A$2:$A$5000,$AE29,SummaryHelper!$B$2:$B$5000,$AF29,SummaryHelper!$C$2:$C$5000,$AG29),""))</f>
        <v/>
      </c>
      <c r="AI29" t="str">
        <f>IF($AF29="","",SUMIFS(SummaryHelper!$E$2:$E$5000,SummaryHelper!$A$2:$A$5000,$AE29,SummaryHelper!$B$2:$B$5000,$AF29,SummaryHelper!$C$2:$C$5000,$AG29))</f>
        <v/>
      </c>
      <c r="AJ29" t="str">
        <f>IF($AF29="","",SUMIFS(SummaryHelper!$F$2:$F$5000,SummaryHelper!$A$2:$A$5000,$AE29,SummaryHelper!$B$2:$B$5000,$AF29,SummaryHelper!$C$2:$C$5000,$AG29))</f>
        <v/>
      </c>
      <c r="AK29" t="str">
        <f>IF($AF29="","",SUMIFS(SummaryHelper!$G$2:$G$5000,SummaryHelper!$A$2:$A$5000,$AE29,SummaryHelper!$B$2:$B$5000,$AF29,SummaryHelper!$C$2:$C$5000,$AG29))</f>
        <v/>
      </c>
      <c r="AM29" t="str">
        <f t="shared" si="10"/>
        <v/>
      </c>
      <c r="AN29" t="str">
        <f t="shared" si="11"/>
        <v/>
      </c>
    </row>
    <row r="30" spans="1:40" x14ac:dyDescent="0.25">
      <c r="A30" s="12"/>
      <c r="B30" s="23" t="str">
        <f t="shared" si="12"/>
        <v/>
      </c>
      <c r="C30" s="9" t="str">
        <f t="shared" ca="1" si="1"/>
        <v/>
      </c>
      <c r="D30" s="9" t="str">
        <f t="shared" ca="1" si="2"/>
        <v/>
      </c>
      <c r="E30" s="9" t="str">
        <f t="shared" ca="1" si="3"/>
        <v/>
      </c>
      <c r="F30" s="9" t="str">
        <f t="shared" si="4"/>
        <v/>
      </c>
      <c r="G30" s="9">
        <f t="shared" si="5"/>
        <v>0</v>
      </c>
      <c r="I30" t="str">
        <v>MATERIALS</v>
      </c>
      <c r="J30" t="str">
        <v>Downpipe Adaptor Socket 4"</v>
      </c>
      <c r="K30" t="str">
        <v>PCS</v>
      </c>
      <c r="L30" s="9">
        <f>IF($J30="","",IFERROR(SUMIFS(SummaryHelper!$H$2:$H$5000,SummaryHelper!$A$2:$A$5000,$I30,SummaryHelper!$B$2:$B$5000,$J30,SummaryHelper!$C$2:$C$5000,$K30)/SUMIFS(SummaryHelper!$G$2:$G$5000,SummaryHelper!$A$2:$A$5000,$I30,SummaryHelper!$B$2:$B$5000,$J30,SummaryHelper!$C$2:$C$5000,$K30),""))</f>
        <v>6.2</v>
      </c>
      <c r="M30" s="9">
        <f>IF($J30="","",SUMIFS(SummaryHelper!$E$2:$E$5000,SummaryHelper!$A$2:$A$5000,$I30,SummaryHelper!$B$2:$B$5000,$J30,SummaryHelper!$C$2:$C$5000,$K30))</f>
        <v>4</v>
      </c>
      <c r="N30" s="9">
        <f>IF($J30="","",SUMIFS(SummaryHelper!$F$2:$F$5000,SummaryHelper!$A$2:$A$5000,$I30,SummaryHelper!$B$2:$B$5000,$J30,SummaryHelper!$C$2:$C$5000,$K30))</f>
        <v>0.05</v>
      </c>
      <c r="O30" s="9">
        <f>IF($J30="","",SUMIFS(SummaryHelper!$G$2:$G$5000,SummaryHelper!$A$2:$A$5000,$I30,SummaryHelper!$B$2:$B$5000,$J30,SummaryHelper!$C$2:$C$5000,$K30))</f>
        <v>4.2</v>
      </c>
      <c r="Q30" s="9">
        <f t="shared" si="6"/>
        <v>5</v>
      </c>
      <c r="R30" s="9">
        <f t="shared" si="7"/>
        <v>31</v>
      </c>
      <c r="W30" s="9" t="str">
        <f>IF($U30="","",IFERROR(SUMIFS(SummaryHelper!$H$2:$H$5000,SummaryHelper!$A$2:$A$5000,$T30,SummaryHelper!$B$2:$B$5000,$U30,SummaryHelper!$C$2:$C$5000,$V30)/SUMIFS(SummaryHelper!$G$2:$G$5000,SummaryHelper!$A$2:$A$5000,$T30,SummaryHelper!$B$2:$B$5000,$U30,SummaryHelper!$C$2:$C$5000,$V30),""))</f>
        <v/>
      </c>
      <c r="X30" s="9" t="str">
        <f>IF($U30="","",SUMIFS(SummaryHelper!$E$2:$E$5000,SummaryHelper!$A$2:$A$5000,$T30,SummaryHelper!$B$2:$B$5000,$U30,SummaryHelper!$C$2:$C$5000,$V30))</f>
        <v/>
      </c>
      <c r="Y30" s="9" t="str">
        <f>IF($U30="","",SUMIFS(SummaryHelper!$F$2:$F$5000,SummaryHelper!$A$2:$A$5000,$T30,SummaryHelper!$B$2:$B$5000,$U30,SummaryHelper!$C$2:$C$5000,$V30))</f>
        <v/>
      </c>
      <c r="Z30" s="9" t="str">
        <f>IF($U30="","",SUMIFS(SummaryHelper!$G$2:$G$5000,SummaryHelper!$A$2:$A$5000,$T30,SummaryHelper!$B$2:$B$5000,$U30,SummaryHelper!$C$2:$C$5000,$V30))</f>
        <v/>
      </c>
      <c r="AB30" s="9" t="str">
        <f t="shared" si="8"/>
        <v/>
      </c>
      <c r="AC30" s="9" t="str">
        <f t="shared" si="9"/>
        <v/>
      </c>
      <c r="AH30" t="str">
        <f>IF($AF30="","",IFERROR(SUMIFS(SummaryHelper!$H$2:$H$5000,SummaryHelper!$A$2:$A$5000,$AE30,SummaryHelper!$B$2:$B$5000,$AF30,SummaryHelper!$C$2:$C$5000,$AG30)/SUMIFS(SummaryHelper!$G$2:$G$5000,SummaryHelper!$A$2:$A$5000,$AE30,SummaryHelper!$B$2:$B$5000,$AF30,SummaryHelper!$C$2:$C$5000,$AG30),""))</f>
        <v/>
      </c>
      <c r="AI30" t="str">
        <f>IF($AF30="","",SUMIFS(SummaryHelper!$E$2:$E$5000,SummaryHelper!$A$2:$A$5000,$AE30,SummaryHelper!$B$2:$B$5000,$AF30,SummaryHelper!$C$2:$C$5000,$AG30))</f>
        <v/>
      </c>
      <c r="AJ30" t="str">
        <f>IF($AF30="","",SUMIFS(SummaryHelper!$F$2:$F$5000,SummaryHelper!$A$2:$A$5000,$AE30,SummaryHelper!$B$2:$B$5000,$AF30,SummaryHelper!$C$2:$C$5000,$AG30))</f>
        <v/>
      </c>
      <c r="AK30" t="str">
        <f>IF($AF30="","",SUMIFS(SummaryHelper!$G$2:$G$5000,SummaryHelper!$A$2:$A$5000,$AE30,SummaryHelper!$B$2:$B$5000,$AF30,SummaryHelper!$C$2:$C$5000,$AG30))</f>
        <v/>
      </c>
      <c r="AM30" t="str">
        <f t="shared" si="10"/>
        <v/>
      </c>
      <c r="AN30" t="str">
        <f t="shared" si="11"/>
        <v/>
      </c>
    </row>
    <row r="31" spans="1:40" x14ac:dyDescent="0.25">
      <c r="A31" s="12"/>
      <c r="B31" s="23" t="str">
        <f t="shared" si="12"/>
        <v/>
      </c>
      <c r="C31" s="9" t="str">
        <f t="shared" ca="1" si="1"/>
        <v/>
      </c>
      <c r="D31" s="9" t="str">
        <f t="shared" ca="1" si="2"/>
        <v/>
      </c>
      <c r="E31" s="9" t="str">
        <f t="shared" ca="1" si="3"/>
        <v/>
      </c>
      <c r="F31" s="9" t="str">
        <f t="shared" si="4"/>
        <v/>
      </c>
      <c r="G31" s="9">
        <f t="shared" si="5"/>
        <v>0</v>
      </c>
      <c r="I31" t="str">
        <v>MATERIALS</v>
      </c>
      <c r="J31" t="str">
        <v>Downpipe Elbow 105deg</v>
      </c>
      <c r="K31" t="str">
        <v>PCS</v>
      </c>
      <c r="L31" s="9">
        <f>IF($J31="","",IFERROR(SUMIFS(SummaryHelper!$H$2:$H$5000,SummaryHelper!$A$2:$A$5000,$I31,SummaryHelper!$B$2:$B$5000,$J31,SummaryHelper!$C$2:$C$5000,$K31)/SUMIFS(SummaryHelper!$G$2:$G$5000,SummaryHelper!$A$2:$A$5000,$I31,SummaryHelper!$B$2:$B$5000,$J31,SummaryHelper!$C$2:$C$5000,$K31),""))</f>
        <v>5.6</v>
      </c>
      <c r="M31" s="9">
        <f>IF($J31="","",SUMIFS(SummaryHelper!$E$2:$E$5000,SummaryHelper!$A$2:$A$5000,$I31,SummaryHelper!$B$2:$B$5000,$J31,SummaryHelper!$C$2:$C$5000,$K31))</f>
        <v>8</v>
      </c>
      <c r="N31" s="9">
        <f>IF($J31="","",SUMIFS(SummaryHelper!$F$2:$F$5000,SummaryHelper!$A$2:$A$5000,$I31,SummaryHelper!$B$2:$B$5000,$J31,SummaryHelper!$C$2:$C$5000,$K31))</f>
        <v>0.05</v>
      </c>
      <c r="O31" s="9">
        <f>IF($J31="","",SUMIFS(SummaryHelper!$G$2:$G$5000,SummaryHelper!$A$2:$A$5000,$I31,SummaryHelper!$B$2:$B$5000,$J31,SummaryHelper!$C$2:$C$5000,$K31))</f>
        <v>8.4</v>
      </c>
      <c r="Q31" s="9">
        <f t="shared" si="6"/>
        <v>9</v>
      </c>
      <c r="R31" s="9">
        <f t="shared" si="7"/>
        <v>50.4</v>
      </c>
      <c r="W31" s="9" t="str">
        <f>IF($U31="","",IFERROR(SUMIFS(SummaryHelper!$H$2:$H$5000,SummaryHelper!$A$2:$A$5000,$T31,SummaryHelper!$B$2:$B$5000,$U31,SummaryHelper!$C$2:$C$5000,$V31)/SUMIFS(SummaryHelper!$G$2:$G$5000,SummaryHelper!$A$2:$A$5000,$T31,SummaryHelper!$B$2:$B$5000,$U31,SummaryHelper!$C$2:$C$5000,$V31),""))</f>
        <v/>
      </c>
      <c r="X31" s="9" t="str">
        <f>IF($U31="","",SUMIFS(SummaryHelper!$E$2:$E$5000,SummaryHelper!$A$2:$A$5000,$T31,SummaryHelper!$B$2:$B$5000,$U31,SummaryHelper!$C$2:$C$5000,$V31))</f>
        <v/>
      </c>
      <c r="Y31" s="9" t="str">
        <f>IF($U31="","",SUMIFS(SummaryHelper!$F$2:$F$5000,SummaryHelper!$A$2:$A$5000,$T31,SummaryHelper!$B$2:$B$5000,$U31,SummaryHelper!$C$2:$C$5000,$V31))</f>
        <v/>
      </c>
      <c r="Z31" s="9" t="str">
        <f>IF($U31="","",SUMIFS(SummaryHelper!$G$2:$G$5000,SummaryHelper!$A$2:$A$5000,$T31,SummaryHelper!$B$2:$B$5000,$U31,SummaryHelper!$C$2:$C$5000,$V31))</f>
        <v/>
      </c>
      <c r="AB31" s="9" t="str">
        <f t="shared" si="8"/>
        <v/>
      </c>
      <c r="AC31" s="9" t="str">
        <f t="shared" si="9"/>
        <v/>
      </c>
      <c r="AH31" t="str">
        <f>IF($AF31="","",IFERROR(SUMIFS(SummaryHelper!$H$2:$H$5000,SummaryHelper!$A$2:$A$5000,$AE31,SummaryHelper!$B$2:$B$5000,$AF31,SummaryHelper!$C$2:$C$5000,$AG31)/SUMIFS(SummaryHelper!$G$2:$G$5000,SummaryHelper!$A$2:$A$5000,$AE31,SummaryHelper!$B$2:$B$5000,$AF31,SummaryHelper!$C$2:$C$5000,$AG31),""))</f>
        <v/>
      </c>
      <c r="AI31" t="str">
        <f>IF($AF31="","",SUMIFS(SummaryHelper!$E$2:$E$5000,SummaryHelper!$A$2:$A$5000,$AE31,SummaryHelper!$B$2:$B$5000,$AF31,SummaryHelper!$C$2:$C$5000,$AG31))</f>
        <v/>
      </c>
      <c r="AJ31" t="str">
        <f>IF($AF31="","",SUMIFS(SummaryHelper!$F$2:$F$5000,SummaryHelper!$A$2:$A$5000,$AE31,SummaryHelper!$B$2:$B$5000,$AF31,SummaryHelper!$C$2:$C$5000,$AG31))</f>
        <v/>
      </c>
      <c r="AK31" t="str">
        <f>IF($AF31="","",SUMIFS(SummaryHelper!$G$2:$G$5000,SummaryHelper!$A$2:$A$5000,$AE31,SummaryHelper!$B$2:$B$5000,$AF31,SummaryHelper!$C$2:$C$5000,$AG31))</f>
        <v/>
      </c>
      <c r="AM31" t="str">
        <f t="shared" si="10"/>
        <v/>
      </c>
      <c r="AN31" t="str">
        <f t="shared" si="11"/>
        <v/>
      </c>
    </row>
    <row r="32" spans="1:40" x14ac:dyDescent="0.25">
      <c r="A32" s="12"/>
      <c r="B32" s="23" t="str">
        <f t="shared" si="12"/>
        <v/>
      </c>
      <c r="C32" s="9" t="str">
        <f t="shared" ca="1" si="1"/>
        <v/>
      </c>
      <c r="D32" s="9" t="str">
        <f t="shared" ca="1" si="2"/>
        <v/>
      </c>
      <c r="E32" s="9" t="str">
        <f t="shared" ca="1" si="3"/>
        <v/>
      </c>
      <c r="F32" s="9" t="str">
        <f t="shared" si="4"/>
        <v/>
      </c>
      <c r="G32" s="9">
        <f t="shared" si="5"/>
        <v>0</v>
      </c>
      <c r="I32" t="str">
        <v>MATERIALS</v>
      </c>
      <c r="J32" t="str">
        <v>Downpipe Pipe Clip</v>
      </c>
      <c r="K32" t="str">
        <v>PCS</v>
      </c>
      <c r="L32" s="9">
        <f>IF($J32="","",IFERROR(SUMIFS(SummaryHelper!$H$2:$H$5000,SummaryHelper!$A$2:$A$5000,$I32,SummaryHelper!$B$2:$B$5000,$J32,SummaryHelper!$C$2:$C$5000,$K32)/SUMIFS(SummaryHelper!$G$2:$G$5000,SummaryHelper!$A$2:$A$5000,$I32,SummaryHelper!$B$2:$B$5000,$J32,SummaryHelper!$C$2:$C$5000,$K32),""))</f>
        <v>3</v>
      </c>
      <c r="M32" s="9">
        <f>IF($J32="","",SUMIFS(SummaryHelper!$E$2:$E$5000,SummaryHelper!$A$2:$A$5000,$I32,SummaryHelper!$B$2:$B$5000,$J32,SummaryHelper!$C$2:$C$5000,$K32))</f>
        <v>12</v>
      </c>
      <c r="N32" s="9">
        <f>IF($J32="","",SUMIFS(SummaryHelper!$F$2:$F$5000,SummaryHelper!$A$2:$A$5000,$I32,SummaryHelper!$B$2:$B$5000,$J32,SummaryHelper!$C$2:$C$5000,$K32))</f>
        <v>0.05</v>
      </c>
      <c r="O32" s="9">
        <f>IF($J32="","",SUMIFS(SummaryHelper!$G$2:$G$5000,SummaryHelper!$A$2:$A$5000,$I32,SummaryHelper!$B$2:$B$5000,$J32,SummaryHelper!$C$2:$C$5000,$K32))</f>
        <v>12.600000000000001</v>
      </c>
      <c r="Q32" s="9">
        <f t="shared" si="6"/>
        <v>13</v>
      </c>
      <c r="R32" s="9">
        <f t="shared" si="7"/>
        <v>39</v>
      </c>
      <c r="W32" s="9" t="str">
        <f>IF($U32="","",IFERROR(SUMIFS(SummaryHelper!$H$2:$H$5000,SummaryHelper!$A$2:$A$5000,$T32,SummaryHelper!$B$2:$B$5000,$U32,SummaryHelper!$C$2:$C$5000,$V32)/SUMIFS(SummaryHelper!$G$2:$G$5000,SummaryHelper!$A$2:$A$5000,$T32,SummaryHelper!$B$2:$B$5000,$U32,SummaryHelper!$C$2:$C$5000,$V32),""))</f>
        <v/>
      </c>
      <c r="X32" s="9" t="str">
        <f>IF($U32="","",SUMIFS(SummaryHelper!$E$2:$E$5000,SummaryHelper!$A$2:$A$5000,$T32,SummaryHelper!$B$2:$B$5000,$U32,SummaryHelper!$C$2:$C$5000,$V32))</f>
        <v/>
      </c>
      <c r="Y32" s="9" t="str">
        <f>IF($U32="","",SUMIFS(SummaryHelper!$F$2:$F$5000,SummaryHelper!$A$2:$A$5000,$T32,SummaryHelper!$B$2:$B$5000,$U32,SummaryHelper!$C$2:$C$5000,$V32))</f>
        <v/>
      </c>
      <c r="Z32" s="9" t="str">
        <f>IF($U32="","",SUMIFS(SummaryHelper!$G$2:$G$5000,SummaryHelper!$A$2:$A$5000,$T32,SummaryHelper!$B$2:$B$5000,$U32,SummaryHelper!$C$2:$C$5000,$V32))</f>
        <v/>
      </c>
      <c r="AB32" s="9" t="str">
        <f t="shared" si="8"/>
        <v/>
      </c>
      <c r="AC32" s="9" t="str">
        <f t="shared" si="9"/>
        <v/>
      </c>
      <c r="AH32" t="str">
        <f>IF($AF32="","",IFERROR(SUMIFS(SummaryHelper!$H$2:$H$5000,SummaryHelper!$A$2:$A$5000,$AE32,SummaryHelper!$B$2:$B$5000,$AF32,SummaryHelper!$C$2:$C$5000,$AG32)/SUMIFS(SummaryHelper!$G$2:$G$5000,SummaryHelper!$A$2:$A$5000,$AE32,SummaryHelper!$B$2:$B$5000,$AF32,SummaryHelper!$C$2:$C$5000,$AG32),""))</f>
        <v/>
      </c>
      <c r="AI32" t="str">
        <f>IF($AF32="","",SUMIFS(SummaryHelper!$E$2:$E$5000,SummaryHelper!$A$2:$A$5000,$AE32,SummaryHelper!$B$2:$B$5000,$AF32,SummaryHelper!$C$2:$C$5000,$AG32))</f>
        <v/>
      </c>
      <c r="AJ32" t="str">
        <f>IF($AF32="","",SUMIFS(SummaryHelper!$F$2:$F$5000,SummaryHelper!$A$2:$A$5000,$AE32,SummaryHelper!$B$2:$B$5000,$AF32,SummaryHelper!$C$2:$C$5000,$AG32))</f>
        <v/>
      </c>
      <c r="AK32" t="str">
        <f>IF($AF32="","",SUMIFS(SummaryHelper!$G$2:$G$5000,SummaryHelper!$A$2:$A$5000,$AE32,SummaryHelper!$B$2:$B$5000,$AF32,SummaryHelper!$C$2:$C$5000,$AG32))</f>
        <v/>
      </c>
      <c r="AM32" t="str">
        <f t="shared" si="10"/>
        <v/>
      </c>
      <c r="AN32" t="str">
        <f t="shared" si="11"/>
        <v/>
      </c>
    </row>
    <row r="33" spans="1:40" x14ac:dyDescent="0.25">
      <c r="A33" s="12"/>
      <c r="B33" s="23" t="str">
        <f t="shared" si="12"/>
        <v/>
      </c>
      <c r="C33" s="9" t="str">
        <f t="shared" ca="1" si="1"/>
        <v/>
      </c>
      <c r="D33" s="9" t="str">
        <f t="shared" ca="1" si="2"/>
        <v/>
      </c>
      <c r="E33" s="9" t="str">
        <f t="shared" ca="1" si="3"/>
        <v/>
      </c>
      <c r="F33" s="9" t="str">
        <f t="shared" si="4"/>
        <v/>
      </c>
      <c r="G33" s="9">
        <f t="shared" si="5"/>
        <v>0</v>
      </c>
      <c r="I33" t="str">
        <v>MATERIALS</v>
      </c>
      <c r="J33" t="str">
        <v>DPM PE 0.20mm</v>
      </c>
      <c r="K33" t="str">
        <v>ROLL</v>
      </c>
      <c r="L33" s="9">
        <f>IF($J33="","",IFERROR(SUMIFS(SummaryHelper!$H$2:$H$5000,SummaryHelper!$A$2:$A$5000,$I33,SummaryHelper!$B$2:$B$5000,$J33,SummaryHelper!$C$2:$C$5000,$K33)/SUMIFS(SummaryHelper!$G$2:$G$5000,SummaryHelper!$A$2:$A$5000,$I33,SummaryHelper!$B$2:$B$5000,$J33,SummaryHelper!$C$2:$C$5000,$K33),""))</f>
        <v>180</v>
      </c>
      <c r="M33" s="9">
        <f>IF($J33="","",SUMIFS(SummaryHelper!$E$2:$E$5000,SummaryHelper!$A$2:$A$5000,$I33,SummaryHelper!$B$2:$B$5000,$J33,SummaryHelper!$C$2:$C$5000,$K33))</f>
        <v>2</v>
      </c>
      <c r="N33" s="9">
        <f>IF($J33="","",SUMIFS(SummaryHelper!$F$2:$F$5000,SummaryHelper!$A$2:$A$5000,$I33,SummaryHelper!$B$2:$B$5000,$J33,SummaryHelper!$C$2:$C$5000,$K33))</f>
        <v>0</v>
      </c>
      <c r="O33" s="9">
        <f>IF($J33="","",SUMIFS(SummaryHelper!$G$2:$G$5000,SummaryHelper!$A$2:$A$5000,$I33,SummaryHelper!$B$2:$B$5000,$J33,SummaryHelper!$C$2:$C$5000,$K33))</f>
        <v>2</v>
      </c>
      <c r="Q33" s="9">
        <f t="shared" si="6"/>
        <v>2</v>
      </c>
      <c r="R33" s="9">
        <f t="shared" si="7"/>
        <v>360</v>
      </c>
      <c r="W33" s="9" t="str">
        <f>IF($U33="","",IFERROR(SUMIFS(SummaryHelper!$H$2:$H$5000,SummaryHelper!$A$2:$A$5000,$T33,SummaryHelper!$B$2:$B$5000,$U33,SummaryHelper!$C$2:$C$5000,$V33)/SUMIFS(SummaryHelper!$G$2:$G$5000,SummaryHelper!$A$2:$A$5000,$T33,SummaryHelper!$B$2:$B$5000,$U33,SummaryHelper!$C$2:$C$5000,$V33),""))</f>
        <v/>
      </c>
      <c r="X33" s="9" t="str">
        <f>IF($U33="","",SUMIFS(SummaryHelper!$E$2:$E$5000,SummaryHelper!$A$2:$A$5000,$T33,SummaryHelper!$B$2:$B$5000,$U33,SummaryHelper!$C$2:$C$5000,$V33))</f>
        <v/>
      </c>
      <c r="Y33" s="9" t="str">
        <f>IF($U33="","",SUMIFS(SummaryHelper!$F$2:$F$5000,SummaryHelper!$A$2:$A$5000,$T33,SummaryHelper!$B$2:$B$5000,$U33,SummaryHelper!$C$2:$C$5000,$V33))</f>
        <v/>
      </c>
      <c r="Z33" s="9" t="str">
        <f>IF($U33="","",SUMIFS(SummaryHelper!$G$2:$G$5000,SummaryHelper!$A$2:$A$5000,$T33,SummaryHelper!$B$2:$B$5000,$U33,SummaryHelper!$C$2:$C$5000,$V33))</f>
        <v/>
      </c>
      <c r="AB33" s="9" t="str">
        <f t="shared" si="8"/>
        <v/>
      </c>
      <c r="AC33" s="9" t="str">
        <f t="shared" si="9"/>
        <v/>
      </c>
      <c r="AH33" t="str">
        <f>IF($AF33="","",IFERROR(SUMIFS(SummaryHelper!$H$2:$H$5000,SummaryHelper!$A$2:$A$5000,$AE33,SummaryHelper!$B$2:$B$5000,$AF33,SummaryHelper!$C$2:$C$5000,$AG33)/SUMIFS(SummaryHelper!$G$2:$G$5000,SummaryHelper!$A$2:$A$5000,$AE33,SummaryHelper!$B$2:$B$5000,$AF33,SummaryHelper!$C$2:$C$5000,$AG33),""))</f>
        <v/>
      </c>
      <c r="AI33" t="str">
        <f>IF($AF33="","",SUMIFS(SummaryHelper!$E$2:$E$5000,SummaryHelper!$A$2:$A$5000,$AE33,SummaryHelper!$B$2:$B$5000,$AF33,SummaryHelper!$C$2:$C$5000,$AG33))</f>
        <v/>
      </c>
      <c r="AJ33" t="str">
        <f>IF($AF33="","",SUMIFS(SummaryHelper!$F$2:$F$5000,SummaryHelper!$A$2:$A$5000,$AE33,SummaryHelper!$B$2:$B$5000,$AF33,SummaryHelper!$C$2:$C$5000,$AG33))</f>
        <v/>
      </c>
      <c r="AK33" t="str">
        <f>IF($AF33="","",SUMIFS(SummaryHelper!$G$2:$G$5000,SummaryHelper!$A$2:$A$5000,$AE33,SummaryHelper!$B$2:$B$5000,$AF33,SummaryHelper!$C$2:$C$5000,$AG33))</f>
        <v/>
      </c>
      <c r="AM33" t="str">
        <f t="shared" si="10"/>
        <v/>
      </c>
      <c r="AN33" t="str">
        <f t="shared" si="11"/>
        <v/>
      </c>
    </row>
    <row r="34" spans="1:40" x14ac:dyDescent="0.25">
      <c r="A34" s="12"/>
      <c r="B34" s="23" t="str">
        <f t="shared" si="12"/>
        <v/>
      </c>
      <c r="C34" s="9" t="str">
        <f t="shared" ca="1" si="1"/>
        <v/>
      </c>
      <c r="D34" s="9" t="str">
        <f t="shared" ca="1" si="2"/>
        <v/>
      </c>
      <c r="E34" s="9" t="str">
        <f t="shared" ca="1" si="3"/>
        <v/>
      </c>
      <c r="F34" s="9" t="str">
        <f t="shared" si="4"/>
        <v/>
      </c>
      <c r="G34" s="9">
        <f t="shared" si="5"/>
        <v>0</v>
      </c>
      <c r="I34" t="str">
        <v>MATERIALS</v>
      </c>
      <c r="J34" t="str">
        <v>Drywall Fibre Joint Tape 50mm x 50m</v>
      </c>
      <c r="K34" t="str">
        <v>PCS</v>
      </c>
      <c r="L34" s="9">
        <f>IF($J34="","",IFERROR(SUMIFS(SummaryHelper!$H$2:$H$5000,SummaryHelper!$A$2:$A$5000,$I34,SummaryHelper!$B$2:$B$5000,$J34,SummaryHelper!$C$2:$C$5000,$K34)/SUMIFS(SummaryHelper!$G$2:$G$5000,SummaryHelper!$A$2:$A$5000,$I34,SummaryHelper!$B$2:$B$5000,$J34,SummaryHelper!$C$2:$C$5000,$K34),""))</f>
        <v>3</v>
      </c>
      <c r="M34" s="9">
        <f>IF($J34="","",SUMIFS(SummaryHelper!$E$2:$E$5000,SummaryHelper!$A$2:$A$5000,$I34,SummaryHelper!$B$2:$B$5000,$J34,SummaryHelper!$C$2:$C$5000,$K34))</f>
        <v>2</v>
      </c>
      <c r="N34" s="9">
        <f>IF($J34="","",SUMIFS(SummaryHelper!$F$2:$F$5000,SummaryHelper!$A$2:$A$5000,$I34,SummaryHelper!$B$2:$B$5000,$J34,SummaryHelper!$C$2:$C$5000,$K34))</f>
        <v>0.05</v>
      </c>
      <c r="O34" s="9">
        <f>IF($J34="","",SUMIFS(SummaryHelper!$G$2:$G$5000,SummaryHelper!$A$2:$A$5000,$I34,SummaryHelper!$B$2:$B$5000,$J34,SummaryHelper!$C$2:$C$5000,$K34))</f>
        <v>2.1</v>
      </c>
      <c r="Q34" s="9">
        <f t="shared" si="6"/>
        <v>3</v>
      </c>
      <c r="R34" s="9">
        <f t="shared" si="7"/>
        <v>9</v>
      </c>
      <c r="W34" s="9" t="str">
        <f>IF($U34="","",IFERROR(SUMIFS(SummaryHelper!$H$2:$H$5000,SummaryHelper!$A$2:$A$5000,$T34,SummaryHelper!$B$2:$B$5000,$U34,SummaryHelper!$C$2:$C$5000,$V34)/SUMIFS(SummaryHelper!$G$2:$G$5000,SummaryHelper!$A$2:$A$5000,$T34,SummaryHelper!$B$2:$B$5000,$U34,SummaryHelper!$C$2:$C$5000,$V34),""))</f>
        <v/>
      </c>
      <c r="X34" s="9" t="str">
        <f>IF($U34="","",SUMIFS(SummaryHelper!$E$2:$E$5000,SummaryHelper!$A$2:$A$5000,$T34,SummaryHelper!$B$2:$B$5000,$U34,SummaryHelper!$C$2:$C$5000,$V34))</f>
        <v/>
      </c>
      <c r="Y34" s="9" t="str">
        <f>IF($U34="","",SUMIFS(SummaryHelper!$F$2:$F$5000,SummaryHelper!$A$2:$A$5000,$T34,SummaryHelper!$B$2:$B$5000,$U34,SummaryHelper!$C$2:$C$5000,$V34))</f>
        <v/>
      </c>
      <c r="Z34" s="9" t="str">
        <f>IF($U34="","",SUMIFS(SummaryHelper!$G$2:$G$5000,SummaryHelper!$A$2:$A$5000,$T34,SummaryHelper!$B$2:$B$5000,$U34,SummaryHelper!$C$2:$C$5000,$V34))</f>
        <v/>
      </c>
      <c r="AB34" s="9" t="str">
        <f t="shared" si="8"/>
        <v/>
      </c>
      <c r="AC34" s="9" t="str">
        <f t="shared" si="9"/>
        <v/>
      </c>
      <c r="AH34" t="str">
        <f>IF($AF34="","",IFERROR(SUMIFS(SummaryHelper!$H$2:$H$5000,SummaryHelper!$A$2:$A$5000,$AE34,SummaryHelper!$B$2:$B$5000,$AF34,SummaryHelper!$C$2:$C$5000,$AG34)/SUMIFS(SummaryHelper!$G$2:$G$5000,SummaryHelper!$A$2:$A$5000,$AE34,SummaryHelper!$B$2:$B$5000,$AF34,SummaryHelper!$C$2:$C$5000,$AG34),""))</f>
        <v/>
      </c>
      <c r="AI34" t="str">
        <f>IF($AF34="","",SUMIFS(SummaryHelper!$E$2:$E$5000,SummaryHelper!$A$2:$A$5000,$AE34,SummaryHelper!$B$2:$B$5000,$AF34,SummaryHelper!$C$2:$C$5000,$AG34))</f>
        <v/>
      </c>
      <c r="AJ34" t="str">
        <f>IF($AF34="","",SUMIFS(SummaryHelper!$F$2:$F$5000,SummaryHelper!$A$2:$A$5000,$AE34,SummaryHelper!$B$2:$B$5000,$AF34,SummaryHelper!$C$2:$C$5000,$AG34))</f>
        <v/>
      </c>
      <c r="AK34" t="str">
        <f>IF($AF34="","",SUMIFS(SummaryHelper!$G$2:$G$5000,SummaryHelper!$A$2:$A$5000,$AE34,SummaryHelper!$B$2:$B$5000,$AF34,SummaryHelper!$C$2:$C$5000,$AG34))</f>
        <v/>
      </c>
      <c r="AM34" t="str">
        <f t="shared" si="10"/>
        <v/>
      </c>
      <c r="AN34" t="str">
        <f t="shared" si="11"/>
        <v/>
      </c>
    </row>
    <row r="35" spans="1:40" x14ac:dyDescent="0.25">
      <c r="A35" s="12"/>
      <c r="B35" s="23" t="str">
        <f t="shared" si="12"/>
        <v/>
      </c>
      <c r="C35" s="9" t="str">
        <f t="shared" ca="1" si="1"/>
        <v/>
      </c>
      <c r="D35" s="9" t="str">
        <f t="shared" ca="1" si="2"/>
        <v/>
      </c>
      <c r="E35" s="9" t="str">
        <f t="shared" ca="1" si="3"/>
        <v/>
      </c>
      <c r="F35" s="9" t="str">
        <f t="shared" si="4"/>
        <v/>
      </c>
      <c r="G35" s="9">
        <f t="shared" si="5"/>
        <v>0</v>
      </c>
      <c r="I35" t="str">
        <v>MATERIALS</v>
      </c>
      <c r="J35" t="str">
        <v>Earth Cable 16mm2 G/Y (Estimate 15m)</v>
      </c>
      <c r="K35" t="str">
        <v>M</v>
      </c>
      <c r="L35" s="9">
        <f>IF($J35="","",IFERROR(SUMIFS(SummaryHelper!$H$2:$H$5000,SummaryHelper!$A$2:$A$5000,$I35,SummaryHelper!$B$2:$B$5000,$J35,SummaryHelper!$C$2:$C$5000,$K35)/SUMIFS(SummaryHelper!$G$2:$G$5000,SummaryHelper!$A$2:$A$5000,$I35,SummaryHelper!$B$2:$B$5000,$J35,SummaryHelper!$C$2:$C$5000,$K35),""))</f>
        <v>10.5</v>
      </c>
      <c r="M35" s="9">
        <f>IF($J35="","",SUMIFS(SummaryHelper!$E$2:$E$5000,SummaryHelper!$A$2:$A$5000,$I35,SummaryHelper!$B$2:$B$5000,$J35,SummaryHelper!$C$2:$C$5000,$K35))</f>
        <v>15</v>
      </c>
      <c r="N35" s="9">
        <f>IF($J35="","",SUMIFS(SummaryHelper!$F$2:$F$5000,SummaryHelper!$A$2:$A$5000,$I35,SummaryHelper!$B$2:$B$5000,$J35,SummaryHelper!$C$2:$C$5000,$K35))</f>
        <v>0</v>
      </c>
      <c r="O35" s="9">
        <f>IF($J35="","",SUMIFS(SummaryHelper!$G$2:$G$5000,SummaryHelper!$A$2:$A$5000,$I35,SummaryHelper!$B$2:$B$5000,$J35,SummaryHelper!$C$2:$C$5000,$K35))</f>
        <v>15</v>
      </c>
      <c r="Q35" s="9">
        <f t="shared" si="6"/>
        <v>15</v>
      </c>
      <c r="R35" s="9">
        <f t="shared" si="7"/>
        <v>157.5</v>
      </c>
      <c r="W35" s="9" t="str">
        <f>IF($U35="","",IFERROR(SUMIFS(SummaryHelper!$H$2:$H$5000,SummaryHelper!$A$2:$A$5000,$T35,SummaryHelper!$B$2:$B$5000,$U35,SummaryHelper!$C$2:$C$5000,$V35)/SUMIFS(SummaryHelper!$G$2:$G$5000,SummaryHelper!$A$2:$A$5000,$T35,SummaryHelper!$B$2:$B$5000,$U35,SummaryHelper!$C$2:$C$5000,$V35),""))</f>
        <v/>
      </c>
      <c r="X35" s="9" t="str">
        <f>IF($U35="","",SUMIFS(SummaryHelper!$E$2:$E$5000,SummaryHelper!$A$2:$A$5000,$T35,SummaryHelper!$B$2:$B$5000,$U35,SummaryHelper!$C$2:$C$5000,$V35))</f>
        <v/>
      </c>
      <c r="Y35" s="9" t="str">
        <f>IF($U35="","",SUMIFS(SummaryHelper!$F$2:$F$5000,SummaryHelper!$A$2:$A$5000,$T35,SummaryHelper!$B$2:$B$5000,$U35,SummaryHelper!$C$2:$C$5000,$V35))</f>
        <v/>
      </c>
      <c r="Z35" s="9" t="str">
        <f>IF($U35="","",SUMIFS(SummaryHelper!$G$2:$G$5000,SummaryHelper!$A$2:$A$5000,$T35,SummaryHelper!$B$2:$B$5000,$U35,SummaryHelper!$C$2:$C$5000,$V35))</f>
        <v/>
      </c>
      <c r="AB35" s="9" t="str">
        <f t="shared" si="8"/>
        <v/>
      </c>
      <c r="AC35" s="9" t="str">
        <f t="shared" si="9"/>
        <v/>
      </c>
      <c r="AH35" t="str">
        <f>IF($AF35="","",IFERROR(SUMIFS(SummaryHelper!$H$2:$H$5000,SummaryHelper!$A$2:$A$5000,$AE35,SummaryHelper!$B$2:$B$5000,$AF35,SummaryHelper!$C$2:$C$5000,$AG35)/SUMIFS(SummaryHelper!$G$2:$G$5000,SummaryHelper!$A$2:$A$5000,$AE35,SummaryHelper!$B$2:$B$5000,$AF35,SummaryHelper!$C$2:$C$5000,$AG35),""))</f>
        <v/>
      </c>
      <c r="AI35" t="str">
        <f>IF($AF35="","",SUMIFS(SummaryHelper!$E$2:$E$5000,SummaryHelper!$A$2:$A$5000,$AE35,SummaryHelper!$B$2:$B$5000,$AF35,SummaryHelper!$C$2:$C$5000,$AG35))</f>
        <v/>
      </c>
      <c r="AJ35" t="str">
        <f>IF($AF35="","",SUMIFS(SummaryHelper!$F$2:$F$5000,SummaryHelper!$A$2:$A$5000,$AE35,SummaryHelper!$B$2:$B$5000,$AF35,SummaryHelper!$C$2:$C$5000,$AG35))</f>
        <v/>
      </c>
      <c r="AK35" t="str">
        <f>IF($AF35="","",SUMIFS(SummaryHelper!$G$2:$G$5000,SummaryHelper!$A$2:$A$5000,$AE35,SummaryHelper!$B$2:$B$5000,$AF35,SummaryHelper!$C$2:$C$5000,$AG35))</f>
        <v/>
      </c>
      <c r="AM35" t="str">
        <f t="shared" si="10"/>
        <v/>
      </c>
      <c r="AN35" t="str">
        <f t="shared" si="11"/>
        <v/>
      </c>
    </row>
    <row r="36" spans="1:40" x14ac:dyDescent="0.25">
      <c r="A36" s="12"/>
      <c r="B36" s="23" t="str">
        <f t="shared" si="12"/>
        <v/>
      </c>
      <c r="C36" s="9" t="str">
        <f t="shared" ca="1" si="1"/>
        <v/>
      </c>
      <c r="D36" s="9" t="str">
        <f t="shared" ca="1" si="2"/>
        <v/>
      </c>
      <c r="E36" s="9" t="str">
        <f t="shared" ca="1" si="3"/>
        <v/>
      </c>
      <c r="F36" s="9" t="str">
        <f t="shared" si="4"/>
        <v/>
      </c>
      <c r="G36" s="9">
        <f t="shared" si="5"/>
        <v>0</v>
      </c>
      <c r="I36" t="str">
        <v>MATERIALS</v>
      </c>
      <c r="J36" t="str">
        <v>EPS MCB 1P (6A/10A/16A/20A/32A)</v>
      </c>
      <c r="K36" t="str">
        <v>PCS</v>
      </c>
      <c r="L36" s="9">
        <f>IF($J36="","",IFERROR(SUMIFS(SummaryHelper!$H$2:$H$5000,SummaryHelper!$A$2:$A$5000,$I36,SummaryHelper!$B$2:$B$5000,$J36,SummaryHelper!$C$2:$C$5000,$K36)/SUMIFS(SummaryHelper!$G$2:$G$5000,SummaryHelper!$A$2:$A$5000,$I36,SummaryHelper!$B$2:$B$5000,$J36,SummaryHelper!$C$2:$C$5000,$K36),""))</f>
        <v>4.5999999999999996</v>
      </c>
      <c r="M36" s="9">
        <f>IF($J36="","",SUMIFS(SummaryHelper!$E$2:$E$5000,SummaryHelper!$A$2:$A$5000,$I36,SummaryHelper!$B$2:$B$5000,$J36,SummaryHelper!$C$2:$C$5000,$K36))</f>
        <v>4</v>
      </c>
      <c r="N36" s="9">
        <f>IF($J36="","",SUMIFS(SummaryHelper!$F$2:$F$5000,SummaryHelper!$A$2:$A$5000,$I36,SummaryHelper!$B$2:$B$5000,$J36,SummaryHelper!$C$2:$C$5000,$K36))</f>
        <v>0</v>
      </c>
      <c r="O36" s="9">
        <f>IF($J36="","",SUMIFS(SummaryHelper!$G$2:$G$5000,SummaryHelper!$A$2:$A$5000,$I36,SummaryHelper!$B$2:$B$5000,$J36,SummaryHelper!$C$2:$C$5000,$K36))</f>
        <v>4</v>
      </c>
      <c r="Q36" s="9">
        <f t="shared" si="6"/>
        <v>4</v>
      </c>
      <c r="R36" s="9">
        <f t="shared" si="7"/>
        <v>18.399999999999999</v>
      </c>
      <c r="W36" s="9" t="str">
        <f>IF($U36="","",IFERROR(SUMIFS(SummaryHelper!$H$2:$H$5000,SummaryHelper!$A$2:$A$5000,$T36,SummaryHelper!$B$2:$B$5000,$U36,SummaryHelper!$C$2:$C$5000,$V36)/SUMIFS(SummaryHelper!$G$2:$G$5000,SummaryHelper!$A$2:$A$5000,$T36,SummaryHelper!$B$2:$B$5000,$U36,SummaryHelper!$C$2:$C$5000,$V36),""))</f>
        <v/>
      </c>
      <c r="X36" s="9" t="str">
        <f>IF($U36="","",SUMIFS(SummaryHelper!$E$2:$E$5000,SummaryHelper!$A$2:$A$5000,$T36,SummaryHelper!$B$2:$B$5000,$U36,SummaryHelper!$C$2:$C$5000,$V36))</f>
        <v/>
      </c>
      <c r="Y36" s="9" t="str">
        <f>IF($U36="","",SUMIFS(SummaryHelper!$F$2:$F$5000,SummaryHelper!$A$2:$A$5000,$T36,SummaryHelper!$B$2:$B$5000,$U36,SummaryHelper!$C$2:$C$5000,$V36))</f>
        <v/>
      </c>
      <c r="Z36" s="9" t="str">
        <f>IF($U36="","",SUMIFS(SummaryHelper!$G$2:$G$5000,SummaryHelper!$A$2:$A$5000,$T36,SummaryHelper!$B$2:$B$5000,$U36,SummaryHelper!$C$2:$C$5000,$V36))</f>
        <v/>
      </c>
      <c r="AB36" s="9" t="str">
        <f t="shared" si="8"/>
        <v/>
      </c>
      <c r="AC36" s="9" t="str">
        <f t="shared" si="9"/>
        <v/>
      </c>
      <c r="AH36" t="str">
        <f>IF($AF36="","",IFERROR(SUMIFS(SummaryHelper!$H$2:$H$5000,SummaryHelper!$A$2:$A$5000,$AE36,SummaryHelper!$B$2:$B$5000,$AF36,SummaryHelper!$C$2:$C$5000,$AG36)/SUMIFS(SummaryHelper!$G$2:$G$5000,SummaryHelper!$A$2:$A$5000,$AE36,SummaryHelper!$B$2:$B$5000,$AF36,SummaryHelper!$C$2:$C$5000,$AG36),""))</f>
        <v/>
      </c>
      <c r="AI36" t="str">
        <f>IF($AF36="","",SUMIFS(SummaryHelper!$E$2:$E$5000,SummaryHelper!$A$2:$A$5000,$AE36,SummaryHelper!$B$2:$B$5000,$AF36,SummaryHelper!$C$2:$C$5000,$AG36))</f>
        <v/>
      </c>
      <c r="AJ36" t="str">
        <f>IF($AF36="","",SUMIFS(SummaryHelper!$F$2:$F$5000,SummaryHelper!$A$2:$A$5000,$AE36,SummaryHelper!$B$2:$B$5000,$AF36,SummaryHelper!$C$2:$C$5000,$AG36))</f>
        <v/>
      </c>
      <c r="AK36" t="str">
        <f>IF($AF36="","",SUMIFS(SummaryHelper!$G$2:$G$5000,SummaryHelper!$A$2:$A$5000,$AE36,SummaryHelper!$B$2:$B$5000,$AF36,SummaryHelper!$C$2:$C$5000,$AG36))</f>
        <v/>
      </c>
      <c r="AM36" t="str">
        <f t="shared" si="10"/>
        <v/>
      </c>
      <c r="AN36" t="str">
        <f t="shared" si="11"/>
        <v/>
      </c>
    </row>
    <row r="37" spans="1:40" x14ac:dyDescent="0.25">
      <c r="A37" s="12"/>
      <c r="B37" s="23" t="str">
        <f t="shared" si="12"/>
        <v/>
      </c>
      <c r="C37" s="9" t="str">
        <f t="shared" ca="1" si="1"/>
        <v/>
      </c>
      <c r="D37" s="9" t="str">
        <f t="shared" ca="1" si="2"/>
        <v/>
      </c>
      <c r="E37" s="9" t="str">
        <f t="shared" ca="1" si="3"/>
        <v/>
      </c>
      <c r="F37" s="9" t="str">
        <f t="shared" si="4"/>
        <v/>
      </c>
      <c r="G37" s="9">
        <f t="shared" si="5"/>
        <v>0</v>
      </c>
      <c r="I37" t="str">
        <v>MATERIALS</v>
      </c>
      <c r="J37" t="str">
        <v>EPS RCCB Single Phase 40A 2P 30mA</v>
      </c>
      <c r="K37" t="str">
        <v>PCS</v>
      </c>
      <c r="L37" s="9">
        <f>IF($J37="","",IFERROR(SUMIFS(SummaryHelper!$H$2:$H$5000,SummaryHelper!$A$2:$A$5000,$I37,SummaryHelper!$B$2:$B$5000,$J37,SummaryHelper!$C$2:$C$5000,$K37)/SUMIFS(SummaryHelper!$G$2:$G$5000,SummaryHelper!$A$2:$A$5000,$I37,SummaryHelper!$B$2:$B$5000,$J37,SummaryHelper!$C$2:$C$5000,$K37),""))</f>
        <v>59</v>
      </c>
      <c r="M37" s="9">
        <f>IF($J37="","",SUMIFS(SummaryHelper!$E$2:$E$5000,SummaryHelper!$A$2:$A$5000,$I37,SummaryHelper!$B$2:$B$5000,$J37,SummaryHelper!$C$2:$C$5000,$K37))</f>
        <v>1</v>
      </c>
      <c r="N37" s="9">
        <f>IF($J37="","",SUMIFS(SummaryHelper!$F$2:$F$5000,SummaryHelper!$A$2:$A$5000,$I37,SummaryHelper!$B$2:$B$5000,$J37,SummaryHelper!$C$2:$C$5000,$K37))</f>
        <v>0</v>
      </c>
      <c r="O37" s="9">
        <f>IF($J37="","",SUMIFS(SummaryHelper!$G$2:$G$5000,SummaryHelper!$A$2:$A$5000,$I37,SummaryHelper!$B$2:$B$5000,$J37,SummaryHelper!$C$2:$C$5000,$K37))</f>
        <v>1</v>
      </c>
      <c r="Q37" s="9">
        <f t="shared" si="6"/>
        <v>1</v>
      </c>
      <c r="R37" s="9">
        <f t="shared" si="7"/>
        <v>59</v>
      </c>
      <c r="W37" s="9" t="str">
        <f>IF($U37="","",IFERROR(SUMIFS(SummaryHelper!$H$2:$H$5000,SummaryHelper!$A$2:$A$5000,$T37,SummaryHelper!$B$2:$B$5000,$U37,SummaryHelper!$C$2:$C$5000,$V37)/SUMIFS(SummaryHelper!$G$2:$G$5000,SummaryHelper!$A$2:$A$5000,$T37,SummaryHelper!$B$2:$B$5000,$U37,SummaryHelper!$C$2:$C$5000,$V37),""))</f>
        <v/>
      </c>
      <c r="X37" s="9" t="str">
        <f>IF($U37="","",SUMIFS(SummaryHelper!$E$2:$E$5000,SummaryHelper!$A$2:$A$5000,$T37,SummaryHelper!$B$2:$B$5000,$U37,SummaryHelper!$C$2:$C$5000,$V37))</f>
        <v/>
      </c>
      <c r="Y37" s="9" t="str">
        <f>IF($U37="","",SUMIFS(SummaryHelper!$F$2:$F$5000,SummaryHelper!$A$2:$A$5000,$T37,SummaryHelper!$B$2:$B$5000,$U37,SummaryHelper!$C$2:$C$5000,$V37))</f>
        <v/>
      </c>
      <c r="Z37" s="9" t="str">
        <f>IF($U37="","",SUMIFS(SummaryHelper!$G$2:$G$5000,SummaryHelper!$A$2:$A$5000,$T37,SummaryHelper!$B$2:$B$5000,$U37,SummaryHelper!$C$2:$C$5000,$V37))</f>
        <v/>
      </c>
      <c r="AB37" s="9" t="str">
        <f t="shared" si="8"/>
        <v/>
      </c>
      <c r="AC37" s="9" t="str">
        <f t="shared" si="9"/>
        <v/>
      </c>
      <c r="AH37" t="str">
        <f>IF($AF37="","",IFERROR(SUMIFS(SummaryHelper!$H$2:$H$5000,SummaryHelper!$A$2:$A$5000,$AE37,SummaryHelper!$B$2:$B$5000,$AF37,SummaryHelper!$C$2:$C$5000,$AG37)/SUMIFS(SummaryHelper!$G$2:$G$5000,SummaryHelper!$A$2:$A$5000,$AE37,SummaryHelper!$B$2:$B$5000,$AF37,SummaryHelper!$C$2:$C$5000,$AG37),""))</f>
        <v/>
      </c>
      <c r="AI37" t="str">
        <f>IF($AF37="","",SUMIFS(SummaryHelper!$E$2:$E$5000,SummaryHelper!$A$2:$A$5000,$AE37,SummaryHelper!$B$2:$B$5000,$AF37,SummaryHelper!$C$2:$C$5000,$AG37))</f>
        <v/>
      </c>
      <c r="AJ37" t="str">
        <f>IF($AF37="","",SUMIFS(SummaryHelper!$F$2:$F$5000,SummaryHelper!$A$2:$A$5000,$AE37,SummaryHelper!$B$2:$B$5000,$AF37,SummaryHelper!$C$2:$C$5000,$AG37))</f>
        <v/>
      </c>
      <c r="AK37" t="str">
        <f>IF($AF37="","",SUMIFS(SummaryHelper!$G$2:$G$5000,SummaryHelper!$A$2:$A$5000,$AE37,SummaryHelper!$B$2:$B$5000,$AF37,SummaryHelper!$C$2:$C$5000,$AG37))</f>
        <v/>
      </c>
      <c r="AM37" t="str">
        <f t="shared" si="10"/>
        <v/>
      </c>
      <c r="AN37" t="str">
        <f t="shared" si="11"/>
        <v/>
      </c>
    </row>
    <row r="38" spans="1:40" x14ac:dyDescent="0.25">
      <c r="A38" s="12"/>
      <c r="B38" s="23" t="str">
        <f t="shared" si="12"/>
        <v/>
      </c>
      <c r="C38" s="9" t="str">
        <f t="shared" ca="1" si="1"/>
        <v/>
      </c>
      <c r="D38" s="9" t="str">
        <f t="shared" ca="1" si="2"/>
        <v/>
      </c>
      <c r="E38" s="9" t="str">
        <f t="shared" ca="1" si="3"/>
        <v/>
      </c>
      <c r="F38" s="9" t="str">
        <f t="shared" si="4"/>
        <v/>
      </c>
      <c r="G38" s="9">
        <f t="shared" si="5"/>
        <v>0</v>
      </c>
      <c r="I38" t="str">
        <v>MATERIALS</v>
      </c>
      <c r="J38" t="str">
        <v>EPS SPD Single Phase 1P+N 20/40kA</v>
      </c>
      <c r="K38" t="str">
        <v>PCS</v>
      </c>
      <c r="L38" s="9">
        <f>IF($J38="","",IFERROR(SUMIFS(SummaryHelper!$H$2:$H$5000,SummaryHelper!$A$2:$A$5000,$I38,SummaryHelper!$B$2:$B$5000,$J38,SummaryHelper!$C$2:$C$5000,$K38)/SUMIFS(SummaryHelper!$G$2:$G$5000,SummaryHelper!$A$2:$A$5000,$I38,SummaryHelper!$B$2:$B$5000,$J38,SummaryHelper!$C$2:$C$5000,$K38),""))</f>
        <v>165</v>
      </c>
      <c r="M38" s="9">
        <f>IF($J38="","",SUMIFS(SummaryHelper!$E$2:$E$5000,SummaryHelper!$A$2:$A$5000,$I38,SummaryHelper!$B$2:$B$5000,$J38,SummaryHelper!$C$2:$C$5000,$K38))</f>
        <v>1</v>
      </c>
      <c r="N38" s="9">
        <f>IF($J38="","",SUMIFS(SummaryHelper!$F$2:$F$5000,SummaryHelper!$A$2:$A$5000,$I38,SummaryHelper!$B$2:$B$5000,$J38,SummaryHelper!$C$2:$C$5000,$K38))</f>
        <v>0</v>
      </c>
      <c r="O38" s="9">
        <f>IF($J38="","",SUMIFS(SummaryHelper!$G$2:$G$5000,SummaryHelper!$A$2:$A$5000,$I38,SummaryHelper!$B$2:$B$5000,$J38,SummaryHelper!$C$2:$C$5000,$K38))</f>
        <v>1</v>
      </c>
      <c r="Q38" s="9">
        <f t="shared" si="6"/>
        <v>1</v>
      </c>
      <c r="R38" s="9">
        <f t="shared" si="7"/>
        <v>165</v>
      </c>
      <c r="W38" s="9" t="str">
        <f>IF($U38="","",IFERROR(SUMIFS(SummaryHelper!$H$2:$H$5000,SummaryHelper!$A$2:$A$5000,$T38,SummaryHelper!$B$2:$B$5000,$U38,SummaryHelper!$C$2:$C$5000,$V38)/SUMIFS(SummaryHelper!$G$2:$G$5000,SummaryHelper!$A$2:$A$5000,$T38,SummaryHelper!$B$2:$B$5000,$U38,SummaryHelper!$C$2:$C$5000,$V38),""))</f>
        <v/>
      </c>
      <c r="X38" s="9" t="str">
        <f>IF($U38="","",SUMIFS(SummaryHelper!$E$2:$E$5000,SummaryHelper!$A$2:$A$5000,$T38,SummaryHelper!$B$2:$B$5000,$U38,SummaryHelper!$C$2:$C$5000,$V38))</f>
        <v/>
      </c>
      <c r="Y38" s="9" t="str">
        <f>IF($U38="","",SUMIFS(SummaryHelper!$F$2:$F$5000,SummaryHelper!$A$2:$A$5000,$T38,SummaryHelper!$B$2:$B$5000,$U38,SummaryHelper!$C$2:$C$5000,$V38))</f>
        <v/>
      </c>
      <c r="Z38" s="9" t="str">
        <f>IF($U38="","",SUMIFS(SummaryHelper!$G$2:$G$5000,SummaryHelper!$A$2:$A$5000,$T38,SummaryHelper!$B$2:$B$5000,$U38,SummaryHelper!$C$2:$C$5000,$V38))</f>
        <v/>
      </c>
      <c r="AB38" s="9" t="str">
        <f t="shared" si="8"/>
        <v/>
      </c>
      <c r="AC38" s="9" t="str">
        <f t="shared" si="9"/>
        <v/>
      </c>
      <c r="AH38" t="str">
        <f>IF($AF38="","",IFERROR(SUMIFS(SummaryHelper!$H$2:$H$5000,SummaryHelper!$A$2:$A$5000,$AE38,SummaryHelper!$B$2:$B$5000,$AF38,SummaryHelper!$C$2:$C$5000,$AG38)/SUMIFS(SummaryHelper!$G$2:$G$5000,SummaryHelper!$A$2:$A$5000,$AE38,SummaryHelper!$B$2:$B$5000,$AF38,SummaryHelper!$C$2:$C$5000,$AG38),""))</f>
        <v/>
      </c>
      <c r="AI38" t="str">
        <f>IF($AF38="","",SUMIFS(SummaryHelper!$E$2:$E$5000,SummaryHelper!$A$2:$A$5000,$AE38,SummaryHelper!$B$2:$B$5000,$AF38,SummaryHelper!$C$2:$C$5000,$AG38))</f>
        <v/>
      </c>
      <c r="AJ38" t="str">
        <f>IF($AF38="","",SUMIFS(SummaryHelper!$F$2:$F$5000,SummaryHelper!$A$2:$A$5000,$AE38,SummaryHelper!$B$2:$B$5000,$AF38,SummaryHelper!$C$2:$C$5000,$AG38))</f>
        <v/>
      </c>
      <c r="AK38" t="str">
        <f>IF($AF38="","",SUMIFS(SummaryHelper!$G$2:$G$5000,SummaryHelper!$A$2:$A$5000,$AE38,SummaryHelper!$B$2:$B$5000,$AF38,SummaryHelper!$C$2:$C$5000,$AG38))</f>
        <v/>
      </c>
      <c r="AM38" t="str">
        <f t="shared" si="10"/>
        <v/>
      </c>
      <c r="AN38" t="str">
        <f t="shared" si="11"/>
        <v/>
      </c>
    </row>
    <row r="39" spans="1:40" x14ac:dyDescent="0.25">
      <c r="A39" s="12"/>
      <c r="B39" s="23" t="str">
        <f t="shared" si="12"/>
        <v/>
      </c>
      <c r="C39" s="9" t="str">
        <f t="shared" ca="1" si="1"/>
        <v/>
      </c>
      <c r="D39" s="9" t="str">
        <f t="shared" ca="1" si="2"/>
        <v/>
      </c>
      <c r="E39" s="9" t="str">
        <f t="shared" ca="1" si="3"/>
        <v/>
      </c>
      <c r="F39" s="9" t="str">
        <f t="shared" si="4"/>
        <v/>
      </c>
      <c r="G39" s="9">
        <f t="shared" si="5"/>
        <v>0</v>
      </c>
      <c r="I39" t="str">
        <v>MATERIALS</v>
      </c>
      <c r="J39" t="str">
        <v>Fine Sand (10-Wheel Truck)</v>
      </c>
      <c r="K39" t="str">
        <v>TRIP</v>
      </c>
      <c r="L39" s="9">
        <f>IF($J39="","",IFERROR(SUMIFS(SummaryHelper!$H$2:$H$5000,SummaryHelper!$A$2:$A$5000,$I39,SummaryHelper!$B$2:$B$5000,$J39,SummaryHelper!$C$2:$C$5000,$K39)/SUMIFS(SummaryHelper!$G$2:$G$5000,SummaryHelper!$A$2:$A$5000,$I39,SummaryHelper!$B$2:$B$5000,$J39,SummaryHelper!$C$2:$C$5000,$K39),""))</f>
        <v>949.99999999999989</v>
      </c>
      <c r="M39" s="9">
        <f>IF($J39="","",SUMIFS(SummaryHelper!$E$2:$E$5000,SummaryHelper!$A$2:$A$5000,$I39,SummaryHelper!$B$2:$B$5000,$J39,SummaryHelper!$C$2:$C$5000,$K39))</f>
        <v>0.14000000000000001</v>
      </c>
      <c r="N39" s="9">
        <f>IF($J39="","",SUMIFS(SummaryHelper!$F$2:$F$5000,SummaryHelper!$A$2:$A$5000,$I39,SummaryHelper!$B$2:$B$5000,$J39,SummaryHelper!$C$2:$C$5000,$K39))</f>
        <v>0</v>
      </c>
      <c r="O39" s="9">
        <f>IF($J39="","",SUMIFS(SummaryHelper!$G$2:$G$5000,SummaryHelper!$A$2:$A$5000,$I39,SummaryHelper!$B$2:$B$5000,$J39,SummaryHelper!$C$2:$C$5000,$K39))</f>
        <v>0.14000000000000001</v>
      </c>
      <c r="Q39" s="9">
        <f t="shared" si="6"/>
        <v>1</v>
      </c>
      <c r="R39" s="9">
        <f t="shared" si="7"/>
        <v>949.99999999999989</v>
      </c>
      <c r="W39" s="9" t="str">
        <f>IF($U39="","",IFERROR(SUMIFS(SummaryHelper!$H$2:$H$5000,SummaryHelper!$A$2:$A$5000,$T39,SummaryHelper!$B$2:$B$5000,$U39,SummaryHelper!$C$2:$C$5000,$V39)/SUMIFS(SummaryHelper!$G$2:$G$5000,SummaryHelper!$A$2:$A$5000,$T39,SummaryHelper!$B$2:$B$5000,$U39,SummaryHelper!$C$2:$C$5000,$V39),""))</f>
        <v/>
      </c>
      <c r="X39" s="9" t="str">
        <f>IF($U39="","",SUMIFS(SummaryHelper!$E$2:$E$5000,SummaryHelper!$A$2:$A$5000,$T39,SummaryHelper!$B$2:$B$5000,$U39,SummaryHelper!$C$2:$C$5000,$V39))</f>
        <v/>
      </c>
      <c r="Y39" s="9" t="str">
        <f>IF($U39="","",SUMIFS(SummaryHelper!$F$2:$F$5000,SummaryHelper!$A$2:$A$5000,$T39,SummaryHelper!$B$2:$B$5000,$U39,SummaryHelper!$C$2:$C$5000,$V39))</f>
        <v/>
      </c>
      <c r="Z39" s="9" t="str">
        <f>IF($U39="","",SUMIFS(SummaryHelper!$G$2:$G$5000,SummaryHelper!$A$2:$A$5000,$T39,SummaryHelper!$B$2:$B$5000,$U39,SummaryHelper!$C$2:$C$5000,$V39))</f>
        <v/>
      </c>
      <c r="AB39" s="9" t="str">
        <f t="shared" si="8"/>
        <v/>
      </c>
      <c r="AC39" s="9" t="str">
        <f t="shared" si="9"/>
        <v/>
      </c>
      <c r="AH39" t="str">
        <f>IF($AF39="","",IFERROR(SUMIFS(SummaryHelper!$H$2:$H$5000,SummaryHelper!$A$2:$A$5000,$AE39,SummaryHelper!$B$2:$B$5000,$AF39,SummaryHelper!$C$2:$C$5000,$AG39)/SUMIFS(SummaryHelper!$G$2:$G$5000,SummaryHelper!$A$2:$A$5000,$AE39,SummaryHelper!$B$2:$B$5000,$AF39,SummaryHelper!$C$2:$C$5000,$AG39),""))</f>
        <v/>
      </c>
      <c r="AI39" t="str">
        <f>IF($AF39="","",SUMIFS(SummaryHelper!$E$2:$E$5000,SummaryHelper!$A$2:$A$5000,$AE39,SummaryHelper!$B$2:$B$5000,$AF39,SummaryHelper!$C$2:$C$5000,$AG39))</f>
        <v/>
      </c>
      <c r="AJ39" t="str">
        <f>IF($AF39="","",SUMIFS(SummaryHelper!$F$2:$F$5000,SummaryHelper!$A$2:$A$5000,$AE39,SummaryHelper!$B$2:$B$5000,$AF39,SummaryHelper!$C$2:$C$5000,$AG39))</f>
        <v/>
      </c>
      <c r="AK39" t="str">
        <f>IF($AF39="","",SUMIFS(SummaryHelper!$G$2:$G$5000,SummaryHelper!$A$2:$A$5000,$AE39,SummaryHelper!$B$2:$B$5000,$AF39,SummaryHelper!$C$2:$C$5000,$AG39))</f>
        <v/>
      </c>
      <c r="AM39" t="str">
        <f t="shared" si="10"/>
        <v/>
      </c>
      <c r="AN39" t="str">
        <f t="shared" si="11"/>
        <v/>
      </c>
    </row>
    <row r="40" spans="1:40" x14ac:dyDescent="0.25">
      <c r="A40" s="12"/>
      <c r="B40" s="23" t="str">
        <f t="shared" si="12"/>
        <v/>
      </c>
      <c r="C40" s="9" t="str">
        <f t="shared" ca="1" si="1"/>
        <v/>
      </c>
      <c r="D40" s="9" t="str">
        <f t="shared" ca="1" si="2"/>
        <v/>
      </c>
      <c r="E40" s="9" t="str">
        <f t="shared" ca="1" si="3"/>
        <v/>
      </c>
      <c r="F40" s="9" t="str">
        <f t="shared" si="4"/>
        <v/>
      </c>
      <c r="G40" s="9">
        <f t="shared" si="5"/>
        <v>0</v>
      </c>
      <c r="I40" t="str">
        <v>MATERIALS</v>
      </c>
      <c r="J40" t="str">
        <v>Fine Sand (Scoop)</v>
      </c>
      <c r="K40" t="str">
        <v>SCOOP</v>
      </c>
      <c r="L40" s="9">
        <f>IF($J40="","",IFERROR(SUMIFS(SummaryHelper!$H$2:$H$5000,SummaryHelper!$A$2:$A$5000,$I40,SummaryHelper!$B$2:$B$5000,$J40,SummaryHelper!$C$2:$C$5000,$K40)/SUMIFS(SummaryHelper!$G$2:$G$5000,SummaryHelper!$A$2:$A$5000,$I40,SummaryHelper!$B$2:$B$5000,$J40,SummaryHelper!$C$2:$C$5000,$K40),""))</f>
        <v>80</v>
      </c>
      <c r="M40" s="9">
        <f>IF($J40="","",SUMIFS(SummaryHelper!$E$2:$E$5000,SummaryHelper!$A$2:$A$5000,$I40,SummaryHelper!$B$2:$B$5000,$J40,SummaryHelper!$C$2:$C$5000,$K40))</f>
        <v>2</v>
      </c>
      <c r="N40" s="9">
        <f>IF($J40="","",SUMIFS(SummaryHelper!$F$2:$F$5000,SummaryHelper!$A$2:$A$5000,$I40,SummaryHelper!$B$2:$B$5000,$J40,SummaryHelper!$C$2:$C$5000,$K40))</f>
        <v>0</v>
      </c>
      <c r="O40" s="9">
        <f>IF($J40="","",SUMIFS(SummaryHelper!$G$2:$G$5000,SummaryHelper!$A$2:$A$5000,$I40,SummaryHelper!$B$2:$B$5000,$J40,SummaryHelper!$C$2:$C$5000,$K40))</f>
        <v>2</v>
      </c>
      <c r="Q40" s="9">
        <f t="shared" si="6"/>
        <v>2</v>
      </c>
      <c r="R40" s="9">
        <f t="shared" si="7"/>
        <v>160</v>
      </c>
      <c r="W40" s="9" t="str">
        <f>IF($U40="","",IFERROR(SUMIFS(SummaryHelper!$H$2:$H$5000,SummaryHelper!$A$2:$A$5000,$T40,SummaryHelper!$B$2:$B$5000,$U40,SummaryHelper!$C$2:$C$5000,$V40)/SUMIFS(SummaryHelper!$G$2:$G$5000,SummaryHelper!$A$2:$A$5000,$T40,SummaryHelper!$B$2:$B$5000,$U40,SummaryHelper!$C$2:$C$5000,$V40),""))</f>
        <v/>
      </c>
      <c r="X40" s="9" t="str">
        <f>IF($U40="","",SUMIFS(SummaryHelper!$E$2:$E$5000,SummaryHelper!$A$2:$A$5000,$T40,SummaryHelper!$B$2:$B$5000,$U40,SummaryHelper!$C$2:$C$5000,$V40))</f>
        <v/>
      </c>
      <c r="Y40" s="9" t="str">
        <f>IF($U40="","",SUMIFS(SummaryHelper!$F$2:$F$5000,SummaryHelper!$A$2:$A$5000,$T40,SummaryHelper!$B$2:$B$5000,$U40,SummaryHelper!$C$2:$C$5000,$V40))</f>
        <v/>
      </c>
      <c r="Z40" s="9" t="str">
        <f>IF($U40="","",SUMIFS(SummaryHelper!$G$2:$G$5000,SummaryHelper!$A$2:$A$5000,$T40,SummaryHelper!$B$2:$B$5000,$U40,SummaryHelper!$C$2:$C$5000,$V40))</f>
        <v/>
      </c>
      <c r="AB40" s="9" t="str">
        <f t="shared" si="8"/>
        <v/>
      </c>
      <c r="AC40" s="9" t="str">
        <f t="shared" si="9"/>
        <v/>
      </c>
      <c r="AH40" t="str">
        <f>IF($AF40="","",IFERROR(SUMIFS(SummaryHelper!$H$2:$H$5000,SummaryHelper!$A$2:$A$5000,$AE40,SummaryHelper!$B$2:$B$5000,$AF40,SummaryHelper!$C$2:$C$5000,$AG40)/SUMIFS(SummaryHelper!$G$2:$G$5000,SummaryHelper!$A$2:$A$5000,$AE40,SummaryHelper!$B$2:$B$5000,$AF40,SummaryHelper!$C$2:$C$5000,$AG40),""))</f>
        <v/>
      </c>
      <c r="AI40" t="str">
        <f>IF($AF40="","",SUMIFS(SummaryHelper!$E$2:$E$5000,SummaryHelper!$A$2:$A$5000,$AE40,SummaryHelper!$B$2:$B$5000,$AF40,SummaryHelper!$C$2:$C$5000,$AG40))</f>
        <v/>
      </c>
      <c r="AJ40" t="str">
        <f>IF($AF40="","",SUMIFS(SummaryHelper!$F$2:$F$5000,SummaryHelper!$A$2:$A$5000,$AE40,SummaryHelper!$B$2:$B$5000,$AF40,SummaryHelper!$C$2:$C$5000,$AG40))</f>
        <v/>
      </c>
      <c r="AK40" t="str">
        <f>IF($AF40="","",SUMIFS(SummaryHelper!$G$2:$G$5000,SummaryHelper!$A$2:$A$5000,$AE40,SummaryHelper!$B$2:$B$5000,$AF40,SummaryHelper!$C$2:$C$5000,$AG40))</f>
        <v/>
      </c>
      <c r="AM40" t="str">
        <f t="shared" si="10"/>
        <v/>
      </c>
      <c r="AN40" t="str">
        <f t="shared" si="11"/>
        <v/>
      </c>
    </row>
    <row r="41" spans="1:40" x14ac:dyDescent="0.25">
      <c r="A41" s="12"/>
      <c r="B41" s="23" t="str">
        <f t="shared" si="12"/>
        <v/>
      </c>
      <c r="C41" s="9" t="str">
        <f t="shared" ca="1" si="1"/>
        <v/>
      </c>
      <c r="D41" s="9" t="str">
        <f t="shared" ca="1" si="2"/>
        <v/>
      </c>
      <c r="E41" s="9" t="str">
        <f t="shared" ca="1" si="3"/>
        <v/>
      </c>
      <c r="F41" s="9" t="str">
        <f t="shared" si="4"/>
        <v/>
      </c>
      <c r="G41" s="9">
        <f t="shared" si="5"/>
        <v>0</v>
      </c>
      <c r="I41" t="str">
        <v>MATERIALS</v>
      </c>
      <c r="J41" t="str">
        <v>Flashing #30 12" x 8.00ft</v>
      </c>
      <c r="K41" t="str">
        <v>PCS</v>
      </c>
      <c r="L41" s="9">
        <f>IF($J41="","",IFERROR(SUMIFS(SummaryHelper!$H$2:$H$5000,SummaryHelper!$A$2:$A$5000,$I41,SummaryHelper!$B$2:$B$5000,$J41,SummaryHelper!$C$2:$C$5000,$K41)/SUMIFS(SummaryHelper!$G$2:$G$5000,SummaryHelper!$A$2:$A$5000,$I41,SummaryHelper!$B$2:$B$5000,$J41,SummaryHelper!$C$2:$C$5000,$K41),""))</f>
        <v>28</v>
      </c>
      <c r="M41" s="9">
        <f>IF($J41="","",SUMIFS(SummaryHelper!$E$2:$E$5000,SummaryHelper!$A$2:$A$5000,$I41,SummaryHelper!$B$2:$B$5000,$J41,SummaryHelper!$C$2:$C$5000,$K41))</f>
        <v>10</v>
      </c>
      <c r="N41" s="9">
        <f>IF($J41="","",SUMIFS(SummaryHelper!$F$2:$F$5000,SummaryHelper!$A$2:$A$5000,$I41,SummaryHelper!$B$2:$B$5000,$J41,SummaryHelper!$C$2:$C$5000,$K41))</f>
        <v>0.05</v>
      </c>
      <c r="O41" s="9">
        <f>IF($J41="","",SUMIFS(SummaryHelper!$G$2:$G$5000,SummaryHelper!$A$2:$A$5000,$I41,SummaryHelper!$B$2:$B$5000,$J41,SummaryHelper!$C$2:$C$5000,$K41))</f>
        <v>10.5</v>
      </c>
      <c r="Q41" s="9">
        <f t="shared" si="6"/>
        <v>11</v>
      </c>
      <c r="R41" s="9">
        <f t="shared" si="7"/>
        <v>308</v>
      </c>
      <c r="W41" s="9" t="str">
        <f>IF($U41="","",IFERROR(SUMIFS(SummaryHelper!$H$2:$H$5000,SummaryHelper!$A$2:$A$5000,$T41,SummaryHelper!$B$2:$B$5000,$U41,SummaryHelper!$C$2:$C$5000,$V41)/SUMIFS(SummaryHelper!$G$2:$G$5000,SummaryHelper!$A$2:$A$5000,$T41,SummaryHelper!$B$2:$B$5000,$U41,SummaryHelper!$C$2:$C$5000,$V41),""))</f>
        <v/>
      </c>
      <c r="X41" s="9" t="str">
        <f>IF($U41="","",SUMIFS(SummaryHelper!$E$2:$E$5000,SummaryHelper!$A$2:$A$5000,$T41,SummaryHelper!$B$2:$B$5000,$U41,SummaryHelper!$C$2:$C$5000,$V41))</f>
        <v/>
      </c>
      <c r="Y41" s="9" t="str">
        <f>IF($U41="","",SUMIFS(SummaryHelper!$F$2:$F$5000,SummaryHelper!$A$2:$A$5000,$T41,SummaryHelper!$B$2:$B$5000,$U41,SummaryHelper!$C$2:$C$5000,$V41))</f>
        <v/>
      </c>
      <c r="Z41" s="9" t="str">
        <f>IF($U41="","",SUMIFS(SummaryHelper!$G$2:$G$5000,SummaryHelper!$A$2:$A$5000,$T41,SummaryHelper!$B$2:$B$5000,$U41,SummaryHelper!$C$2:$C$5000,$V41))</f>
        <v/>
      </c>
      <c r="AB41" s="9" t="str">
        <f t="shared" si="8"/>
        <v/>
      </c>
      <c r="AC41" s="9" t="str">
        <f t="shared" si="9"/>
        <v/>
      </c>
      <c r="AH41" t="str">
        <f>IF($AF41="","",IFERROR(SUMIFS(SummaryHelper!$H$2:$H$5000,SummaryHelper!$A$2:$A$5000,$AE41,SummaryHelper!$B$2:$B$5000,$AF41,SummaryHelper!$C$2:$C$5000,$AG41)/SUMIFS(SummaryHelper!$G$2:$G$5000,SummaryHelper!$A$2:$A$5000,$AE41,SummaryHelper!$B$2:$B$5000,$AF41,SummaryHelper!$C$2:$C$5000,$AG41),""))</f>
        <v/>
      </c>
      <c r="AI41" t="str">
        <f>IF($AF41="","",SUMIFS(SummaryHelper!$E$2:$E$5000,SummaryHelper!$A$2:$A$5000,$AE41,SummaryHelper!$B$2:$B$5000,$AF41,SummaryHelper!$C$2:$C$5000,$AG41))</f>
        <v/>
      </c>
      <c r="AJ41" t="str">
        <f>IF($AF41="","",SUMIFS(SummaryHelper!$F$2:$F$5000,SummaryHelper!$A$2:$A$5000,$AE41,SummaryHelper!$B$2:$B$5000,$AF41,SummaryHelper!$C$2:$C$5000,$AG41))</f>
        <v/>
      </c>
      <c r="AK41" t="str">
        <f>IF($AF41="","",SUMIFS(SummaryHelper!$G$2:$G$5000,SummaryHelper!$A$2:$A$5000,$AE41,SummaryHelper!$B$2:$B$5000,$AF41,SummaryHelper!$C$2:$C$5000,$AG41))</f>
        <v/>
      </c>
      <c r="AM41" t="str">
        <f t="shared" si="10"/>
        <v/>
      </c>
      <c r="AN41" t="str">
        <f t="shared" si="11"/>
        <v/>
      </c>
    </row>
    <row r="42" spans="1:40" x14ac:dyDescent="0.25">
      <c r="A42" s="12"/>
      <c r="B42" s="23" t="str">
        <f t="shared" si="12"/>
        <v/>
      </c>
      <c r="C42" s="9" t="str">
        <f t="shared" ca="1" si="1"/>
        <v/>
      </c>
      <c r="D42" s="9" t="str">
        <f t="shared" ca="1" si="2"/>
        <v/>
      </c>
      <c r="E42" s="9" t="str">
        <f t="shared" ca="1" si="3"/>
        <v/>
      </c>
      <c r="F42" s="9" t="str">
        <f t="shared" si="4"/>
        <v/>
      </c>
      <c r="G42" s="9">
        <f t="shared" si="5"/>
        <v>0</v>
      </c>
      <c r="I42" t="str">
        <v>MATERIALS</v>
      </c>
      <c r="J42" t="str">
        <v>Flexible Hose Latina 10"</v>
      </c>
      <c r="K42" t="str">
        <v>PCS</v>
      </c>
      <c r="L42" s="9">
        <f>IF($J42="","",IFERROR(SUMIFS(SummaryHelper!$H$2:$H$5000,SummaryHelper!$A$2:$A$5000,$I42,SummaryHelper!$B$2:$B$5000,$J42,SummaryHelper!$C$2:$C$5000,$K42)/SUMIFS(SummaryHelper!$G$2:$G$5000,SummaryHelper!$A$2:$A$5000,$I42,SummaryHelper!$B$2:$B$5000,$J42,SummaryHelper!$C$2:$C$5000,$K42),""))</f>
        <v>6</v>
      </c>
      <c r="M42" s="9">
        <f>IF($J42="","",SUMIFS(SummaryHelper!$E$2:$E$5000,SummaryHelper!$A$2:$A$5000,$I42,SummaryHelper!$B$2:$B$5000,$J42,SummaryHelper!$C$2:$C$5000,$K42))</f>
        <v>2</v>
      </c>
      <c r="N42" s="9">
        <f>IF($J42="","",SUMIFS(SummaryHelper!$F$2:$F$5000,SummaryHelper!$A$2:$A$5000,$I42,SummaryHelper!$B$2:$B$5000,$J42,SummaryHelper!$C$2:$C$5000,$K42))</f>
        <v>0</v>
      </c>
      <c r="O42" s="9">
        <f>IF($J42="","",SUMIFS(SummaryHelper!$G$2:$G$5000,SummaryHelper!$A$2:$A$5000,$I42,SummaryHelper!$B$2:$B$5000,$J42,SummaryHelper!$C$2:$C$5000,$K42))</f>
        <v>2</v>
      </c>
      <c r="Q42" s="9">
        <f t="shared" si="6"/>
        <v>2</v>
      </c>
      <c r="R42" s="9">
        <f t="shared" si="7"/>
        <v>12</v>
      </c>
      <c r="W42" s="9" t="str">
        <f>IF($U42="","",IFERROR(SUMIFS(SummaryHelper!$H$2:$H$5000,SummaryHelper!$A$2:$A$5000,$T42,SummaryHelper!$B$2:$B$5000,$U42,SummaryHelper!$C$2:$C$5000,$V42)/SUMIFS(SummaryHelper!$G$2:$G$5000,SummaryHelper!$A$2:$A$5000,$T42,SummaryHelper!$B$2:$B$5000,$U42,SummaryHelper!$C$2:$C$5000,$V42),""))</f>
        <v/>
      </c>
      <c r="X42" s="9" t="str">
        <f>IF($U42="","",SUMIFS(SummaryHelper!$E$2:$E$5000,SummaryHelper!$A$2:$A$5000,$T42,SummaryHelper!$B$2:$B$5000,$U42,SummaryHelper!$C$2:$C$5000,$V42))</f>
        <v/>
      </c>
      <c r="Y42" s="9" t="str">
        <f>IF($U42="","",SUMIFS(SummaryHelper!$F$2:$F$5000,SummaryHelper!$A$2:$A$5000,$T42,SummaryHelper!$B$2:$B$5000,$U42,SummaryHelper!$C$2:$C$5000,$V42))</f>
        <v/>
      </c>
      <c r="Z42" s="9" t="str">
        <f>IF($U42="","",SUMIFS(SummaryHelper!$G$2:$G$5000,SummaryHelper!$A$2:$A$5000,$T42,SummaryHelper!$B$2:$B$5000,$U42,SummaryHelper!$C$2:$C$5000,$V42))</f>
        <v/>
      </c>
      <c r="AB42" s="9" t="str">
        <f t="shared" si="8"/>
        <v/>
      </c>
      <c r="AC42" s="9" t="str">
        <f t="shared" si="9"/>
        <v/>
      </c>
      <c r="AH42" t="str">
        <f>IF($AF42="","",IFERROR(SUMIFS(SummaryHelper!$H$2:$H$5000,SummaryHelper!$A$2:$A$5000,$AE42,SummaryHelper!$B$2:$B$5000,$AF42,SummaryHelper!$C$2:$C$5000,$AG42)/SUMIFS(SummaryHelper!$G$2:$G$5000,SummaryHelper!$A$2:$A$5000,$AE42,SummaryHelper!$B$2:$B$5000,$AF42,SummaryHelper!$C$2:$C$5000,$AG42),""))</f>
        <v/>
      </c>
      <c r="AI42" t="str">
        <f>IF($AF42="","",SUMIFS(SummaryHelper!$E$2:$E$5000,SummaryHelper!$A$2:$A$5000,$AE42,SummaryHelper!$B$2:$B$5000,$AF42,SummaryHelper!$C$2:$C$5000,$AG42))</f>
        <v/>
      </c>
      <c r="AJ42" t="str">
        <f>IF($AF42="","",SUMIFS(SummaryHelper!$F$2:$F$5000,SummaryHelper!$A$2:$A$5000,$AE42,SummaryHelper!$B$2:$B$5000,$AF42,SummaryHelper!$C$2:$C$5000,$AG42))</f>
        <v/>
      </c>
      <c r="AK42" t="str">
        <f>IF($AF42="","",SUMIFS(SummaryHelper!$G$2:$G$5000,SummaryHelper!$A$2:$A$5000,$AE42,SummaryHelper!$B$2:$B$5000,$AF42,SummaryHelper!$C$2:$C$5000,$AG42))</f>
        <v/>
      </c>
      <c r="AM42" t="str">
        <f t="shared" si="10"/>
        <v/>
      </c>
      <c r="AN42" t="str">
        <f t="shared" si="11"/>
        <v/>
      </c>
    </row>
    <row r="43" spans="1:40" x14ac:dyDescent="0.25">
      <c r="A43" s="12"/>
      <c r="B43" s="23" t="str">
        <f t="shared" si="12"/>
        <v/>
      </c>
      <c r="C43" s="9" t="str">
        <f t="shared" ca="1" si="1"/>
        <v/>
      </c>
      <c r="D43" s="9" t="str">
        <f t="shared" ca="1" si="2"/>
        <v/>
      </c>
      <c r="E43" s="9" t="str">
        <f t="shared" ca="1" si="3"/>
        <v/>
      </c>
      <c r="F43" s="9" t="str">
        <f t="shared" si="4"/>
        <v/>
      </c>
      <c r="G43" s="9">
        <f t="shared" si="5"/>
        <v>0</v>
      </c>
      <c r="I43" t="str">
        <v>MATERIALS</v>
      </c>
      <c r="J43" t="str">
        <v>GI Batten 32.00mm x 40.00mm x 0.42mm x 6.00m</v>
      </c>
      <c r="K43" t="str">
        <v>PCS</v>
      </c>
      <c r="L43" s="9">
        <f>IF($J43="","",IFERROR(SUMIFS(SummaryHelper!$H$2:$H$5000,SummaryHelper!$A$2:$A$5000,$I43,SummaryHelper!$B$2:$B$5000,$J43,SummaryHelper!$C$2:$C$5000,$K43)/SUMIFS(SummaryHelper!$G$2:$G$5000,SummaryHelper!$A$2:$A$5000,$I43,SummaryHelper!$B$2:$B$5000,$J43,SummaryHelper!$C$2:$C$5000,$K43),""))</f>
        <v>22</v>
      </c>
      <c r="M43" s="9">
        <f>IF($J43="","",SUMIFS(SummaryHelper!$E$2:$E$5000,SummaryHelper!$A$2:$A$5000,$I43,SummaryHelper!$B$2:$B$5000,$J43,SummaryHelper!$C$2:$C$5000,$K43))</f>
        <v>26</v>
      </c>
      <c r="N43" s="9">
        <f>IF($J43="","",SUMIFS(SummaryHelper!$F$2:$F$5000,SummaryHelper!$A$2:$A$5000,$I43,SummaryHelper!$B$2:$B$5000,$J43,SummaryHelper!$C$2:$C$5000,$K43))</f>
        <v>0.05</v>
      </c>
      <c r="O43" s="9">
        <f>IF($J43="","",SUMIFS(SummaryHelper!$G$2:$G$5000,SummaryHelper!$A$2:$A$5000,$I43,SummaryHelper!$B$2:$B$5000,$J43,SummaryHelper!$C$2:$C$5000,$K43))</f>
        <v>27.3</v>
      </c>
      <c r="Q43" s="9">
        <f t="shared" si="6"/>
        <v>28</v>
      </c>
      <c r="R43" s="9">
        <f t="shared" si="7"/>
        <v>616</v>
      </c>
      <c r="W43" s="9" t="str">
        <f>IF($U43="","",IFERROR(SUMIFS(SummaryHelper!$H$2:$H$5000,SummaryHelper!$A$2:$A$5000,$T43,SummaryHelper!$B$2:$B$5000,$U43,SummaryHelper!$C$2:$C$5000,$V43)/SUMIFS(SummaryHelper!$G$2:$G$5000,SummaryHelper!$A$2:$A$5000,$T43,SummaryHelper!$B$2:$B$5000,$U43,SummaryHelper!$C$2:$C$5000,$V43),""))</f>
        <v/>
      </c>
      <c r="X43" s="9" t="str">
        <f>IF($U43="","",SUMIFS(SummaryHelper!$E$2:$E$5000,SummaryHelper!$A$2:$A$5000,$T43,SummaryHelper!$B$2:$B$5000,$U43,SummaryHelper!$C$2:$C$5000,$V43))</f>
        <v/>
      </c>
      <c r="Y43" s="9" t="str">
        <f>IF($U43="","",SUMIFS(SummaryHelper!$F$2:$F$5000,SummaryHelper!$A$2:$A$5000,$T43,SummaryHelper!$B$2:$B$5000,$U43,SummaryHelper!$C$2:$C$5000,$V43))</f>
        <v/>
      </c>
      <c r="Z43" s="9" t="str">
        <f>IF($U43="","",SUMIFS(SummaryHelper!$G$2:$G$5000,SummaryHelper!$A$2:$A$5000,$T43,SummaryHelper!$B$2:$B$5000,$U43,SummaryHelper!$C$2:$C$5000,$V43))</f>
        <v/>
      </c>
      <c r="AB43" s="9" t="str">
        <f t="shared" si="8"/>
        <v/>
      </c>
      <c r="AC43" s="9" t="str">
        <f t="shared" si="9"/>
        <v/>
      </c>
      <c r="AH43" t="str">
        <f>IF($AF43="","",IFERROR(SUMIFS(SummaryHelper!$H$2:$H$5000,SummaryHelper!$A$2:$A$5000,$AE43,SummaryHelper!$B$2:$B$5000,$AF43,SummaryHelper!$C$2:$C$5000,$AG43)/SUMIFS(SummaryHelper!$G$2:$G$5000,SummaryHelper!$A$2:$A$5000,$AE43,SummaryHelper!$B$2:$B$5000,$AF43,SummaryHelper!$C$2:$C$5000,$AG43),""))</f>
        <v/>
      </c>
      <c r="AI43" t="str">
        <f>IF($AF43="","",SUMIFS(SummaryHelper!$E$2:$E$5000,SummaryHelper!$A$2:$A$5000,$AE43,SummaryHelper!$B$2:$B$5000,$AF43,SummaryHelper!$C$2:$C$5000,$AG43))</f>
        <v/>
      </c>
      <c r="AJ43" t="str">
        <f>IF($AF43="","",SUMIFS(SummaryHelper!$F$2:$F$5000,SummaryHelper!$A$2:$A$5000,$AE43,SummaryHelper!$B$2:$B$5000,$AF43,SummaryHelper!$C$2:$C$5000,$AG43))</f>
        <v/>
      </c>
      <c r="AK43" t="str">
        <f>IF($AF43="","",SUMIFS(SummaryHelper!$G$2:$G$5000,SummaryHelper!$A$2:$A$5000,$AE43,SummaryHelper!$B$2:$B$5000,$AF43,SummaryHelper!$C$2:$C$5000,$AG43))</f>
        <v/>
      </c>
      <c r="AM43" t="str">
        <f t="shared" si="10"/>
        <v/>
      </c>
      <c r="AN43" t="str">
        <f t="shared" si="11"/>
        <v/>
      </c>
    </row>
    <row r="44" spans="1:40" x14ac:dyDescent="0.25">
      <c r="A44" s="12"/>
      <c r="B44" s="23" t="str">
        <f t="shared" si="12"/>
        <v/>
      </c>
      <c r="C44" s="9" t="str">
        <f t="shared" ca="1" si="1"/>
        <v/>
      </c>
      <c r="D44" s="9" t="str">
        <f t="shared" ca="1" si="2"/>
        <v/>
      </c>
      <c r="E44" s="9" t="str">
        <f t="shared" ca="1" si="3"/>
        <v/>
      </c>
      <c r="F44" s="9" t="str">
        <f t="shared" si="4"/>
        <v/>
      </c>
      <c r="G44" s="9">
        <f t="shared" si="5"/>
        <v>0</v>
      </c>
      <c r="I44" t="str">
        <v>MATERIALS</v>
      </c>
      <c r="J44" t="str">
        <v>GI Bracing 2440mm</v>
      </c>
      <c r="K44" t="str">
        <v>LTH</v>
      </c>
      <c r="L44" s="9">
        <f>IF($J44="","",IFERROR(SUMIFS(SummaryHelper!$H$2:$H$5000,SummaryHelper!$A$2:$A$5000,$I44,SummaryHelper!$B$2:$B$5000,$J44,SummaryHelper!$C$2:$C$5000,$K44)/SUMIFS(SummaryHelper!$G$2:$G$5000,SummaryHelper!$A$2:$A$5000,$I44,SummaryHelper!$B$2:$B$5000,$J44,SummaryHelper!$C$2:$C$5000,$K44),""))</f>
        <v>3.5</v>
      </c>
      <c r="M44" s="9">
        <f>IF($J44="","",SUMIFS(SummaryHelper!$E$2:$E$5000,SummaryHelper!$A$2:$A$5000,$I44,SummaryHelper!$B$2:$B$5000,$J44,SummaryHelper!$C$2:$C$5000,$K44))</f>
        <v>30</v>
      </c>
      <c r="N44" s="9">
        <f>IF($J44="","",SUMIFS(SummaryHelper!$F$2:$F$5000,SummaryHelper!$A$2:$A$5000,$I44,SummaryHelper!$B$2:$B$5000,$J44,SummaryHelper!$C$2:$C$5000,$K44))</f>
        <v>0.05</v>
      </c>
      <c r="O44" s="9">
        <f>IF($J44="","",SUMIFS(SummaryHelper!$G$2:$G$5000,SummaryHelper!$A$2:$A$5000,$I44,SummaryHelper!$B$2:$B$5000,$J44,SummaryHelper!$C$2:$C$5000,$K44))</f>
        <v>31.5</v>
      </c>
      <c r="Q44" s="9">
        <f t="shared" si="6"/>
        <v>32</v>
      </c>
      <c r="R44" s="9">
        <f t="shared" si="7"/>
        <v>112</v>
      </c>
      <c r="W44" s="9" t="str">
        <f>IF($U44="","",IFERROR(SUMIFS(SummaryHelper!$H$2:$H$5000,SummaryHelper!$A$2:$A$5000,$T44,SummaryHelper!$B$2:$B$5000,$U44,SummaryHelper!$C$2:$C$5000,$V44)/SUMIFS(SummaryHelper!$G$2:$G$5000,SummaryHelper!$A$2:$A$5000,$T44,SummaryHelper!$B$2:$B$5000,$U44,SummaryHelper!$C$2:$C$5000,$V44),""))</f>
        <v/>
      </c>
      <c r="X44" s="9" t="str">
        <f>IF($U44="","",SUMIFS(SummaryHelper!$E$2:$E$5000,SummaryHelper!$A$2:$A$5000,$T44,SummaryHelper!$B$2:$B$5000,$U44,SummaryHelper!$C$2:$C$5000,$V44))</f>
        <v/>
      </c>
      <c r="Y44" s="9" t="str">
        <f>IF($U44="","",SUMIFS(SummaryHelper!$F$2:$F$5000,SummaryHelper!$A$2:$A$5000,$T44,SummaryHelper!$B$2:$B$5000,$U44,SummaryHelper!$C$2:$C$5000,$V44))</f>
        <v/>
      </c>
      <c r="Z44" s="9" t="str">
        <f>IF($U44="","",SUMIFS(SummaryHelper!$G$2:$G$5000,SummaryHelper!$A$2:$A$5000,$T44,SummaryHelper!$B$2:$B$5000,$U44,SummaryHelper!$C$2:$C$5000,$V44))</f>
        <v/>
      </c>
      <c r="AB44" s="9" t="str">
        <f t="shared" si="8"/>
        <v/>
      </c>
      <c r="AC44" s="9" t="str">
        <f t="shared" si="9"/>
        <v/>
      </c>
      <c r="AH44" t="str">
        <f>IF($AF44="","",IFERROR(SUMIFS(SummaryHelper!$H$2:$H$5000,SummaryHelper!$A$2:$A$5000,$AE44,SummaryHelper!$B$2:$B$5000,$AF44,SummaryHelper!$C$2:$C$5000,$AG44)/SUMIFS(SummaryHelper!$G$2:$G$5000,SummaryHelper!$A$2:$A$5000,$AE44,SummaryHelper!$B$2:$B$5000,$AF44,SummaryHelper!$C$2:$C$5000,$AG44),""))</f>
        <v/>
      </c>
      <c r="AI44" t="str">
        <f>IF($AF44="","",SUMIFS(SummaryHelper!$E$2:$E$5000,SummaryHelper!$A$2:$A$5000,$AE44,SummaryHelper!$B$2:$B$5000,$AF44,SummaryHelper!$C$2:$C$5000,$AG44))</f>
        <v/>
      </c>
      <c r="AJ44" t="str">
        <f>IF($AF44="","",SUMIFS(SummaryHelper!$F$2:$F$5000,SummaryHelper!$A$2:$A$5000,$AE44,SummaryHelper!$B$2:$B$5000,$AF44,SummaryHelper!$C$2:$C$5000,$AG44))</f>
        <v/>
      </c>
      <c r="AK44" t="str">
        <f>IF($AF44="","",SUMIFS(SummaryHelper!$G$2:$G$5000,SummaryHelper!$A$2:$A$5000,$AE44,SummaryHelper!$B$2:$B$5000,$AF44,SummaryHelper!$C$2:$C$5000,$AG44))</f>
        <v/>
      </c>
      <c r="AM44" t="str">
        <f t="shared" si="10"/>
        <v/>
      </c>
      <c r="AN44" t="str">
        <f t="shared" si="11"/>
        <v/>
      </c>
    </row>
    <row r="45" spans="1:40" x14ac:dyDescent="0.25">
      <c r="A45" s="12"/>
      <c r="B45" s="23" t="str">
        <f t="shared" si="12"/>
        <v/>
      </c>
      <c r="C45" s="9" t="str">
        <f t="shared" ca="1" si="1"/>
        <v/>
      </c>
      <c r="D45" s="9" t="str">
        <f t="shared" ca="1" si="2"/>
        <v/>
      </c>
      <c r="E45" s="9" t="str">
        <f t="shared" ca="1" si="3"/>
        <v/>
      </c>
      <c r="F45" s="9" t="str">
        <f t="shared" si="4"/>
        <v/>
      </c>
      <c r="G45" s="9">
        <f t="shared" si="5"/>
        <v>0</v>
      </c>
      <c r="I45" t="str">
        <v>MATERIALS</v>
      </c>
      <c r="J45" t="str">
        <v>GI Carrier Rail (MF) 4880.00mm</v>
      </c>
      <c r="K45" t="str">
        <v>PCS</v>
      </c>
      <c r="L45" s="9">
        <f>IF($J45="","",IFERROR(SUMIFS(SummaryHelper!$H$2:$H$5000,SummaryHelper!$A$2:$A$5000,$I45,SummaryHelper!$B$2:$B$5000,$J45,SummaryHelper!$C$2:$C$5000,$K45)/SUMIFS(SummaryHelper!$G$2:$G$5000,SummaryHelper!$A$2:$A$5000,$I45,SummaryHelper!$B$2:$B$5000,$J45,SummaryHelper!$C$2:$C$5000,$K45),""))</f>
        <v>20</v>
      </c>
      <c r="M45" s="9">
        <f>IF($J45="","",SUMIFS(SummaryHelper!$E$2:$E$5000,SummaryHelper!$A$2:$A$5000,$I45,SummaryHelper!$B$2:$B$5000,$J45,SummaryHelper!$C$2:$C$5000,$K45))</f>
        <v>12</v>
      </c>
      <c r="N45" s="9">
        <f>IF($J45="","",SUMIFS(SummaryHelper!$F$2:$F$5000,SummaryHelper!$A$2:$A$5000,$I45,SummaryHelper!$B$2:$B$5000,$J45,SummaryHelper!$C$2:$C$5000,$K45))</f>
        <v>0.05</v>
      </c>
      <c r="O45" s="9">
        <f>IF($J45="","",SUMIFS(SummaryHelper!$G$2:$G$5000,SummaryHelper!$A$2:$A$5000,$I45,SummaryHelper!$B$2:$B$5000,$J45,SummaryHelper!$C$2:$C$5000,$K45))</f>
        <v>12.600000000000001</v>
      </c>
      <c r="Q45" s="9">
        <f t="shared" si="6"/>
        <v>13</v>
      </c>
      <c r="R45" s="9">
        <f t="shared" si="7"/>
        <v>260</v>
      </c>
      <c r="W45" s="9" t="str">
        <f>IF($U45="","",IFERROR(SUMIFS(SummaryHelper!$H$2:$H$5000,SummaryHelper!$A$2:$A$5000,$T45,SummaryHelper!$B$2:$B$5000,$U45,SummaryHelper!$C$2:$C$5000,$V45)/SUMIFS(SummaryHelper!$G$2:$G$5000,SummaryHelper!$A$2:$A$5000,$T45,SummaryHelper!$B$2:$B$5000,$U45,SummaryHelper!$C$2:$C$5000,$V45),""))</f>
        <v/>
      </c>
      <c r="X45" s="9" t="str">
        <f>IF($U45="","",SUMIFS(SummaryHelper!$E$2:$E$5000,SummaryHelper!$A$2:$A$5000,$T45,SummaryHelper!$B$2:$B$5000,$U45,SummaryHelper!$C$2:$C$5000,$V45))</f>
        <v/>
      </c>
      <c r="Y45" s="9" t="str">
        <f>IF($U45="","",SUMIFS(SummaryHelper!$F$2:$F$5000,SummaryHelper!$A$2:$A$5000,$T45,SummaryHelper!$B$2:$B$5000,$U45,SummaryHelper!$C$2:$C$5000,$V45))</f>
        <v/>
      </c>
      <c r="Z45" s="9" t="str">
        <f>IF($U45="","",SUMIFS(SummaryHelper!$G$2:$G$5000,SummaryHelper!$A$2:$A$5000,$T45,SummaryHelper!$B$2:$B$5000,$U45,SummaryHelper!$C$2:$C$5000,$V45))</f>
        <v/>
      </c>
      <c r="AB45" s="9" t="str">
        <f t="shared" si="8"/>
        <v/>
      </c>
      <c r="AC45" s="9" t="str">
        <f t="shared" si="9"/>
        <v/>
      </c>
      <c r="AH45" t="str">
        <f>IF($AF45="","",IFERROR(SUMIFS(SummaryHelper!$H$2:$H$5000,SummaryHelper!$A$2:$A$5000,$AE45,SummaryHelper!$B$2:$B$5000,$AF45,SummaryHelper!$C$2:$C$5000,$AG45)/SUMIFS(SummaryHelper!$G$2:$G$5000,SummaryHelper!$A$2:$A$5000,$AE45,SummaryHelper!$B$2:$B$5000,$AF45,SummaryHelper!$C$2:$C$5000,$AG45),""))</f>
        <v/>
      </c>
      <c r="AI45" t="str">
        <f>IF($AF45="","",SUMIFS(SummaryHelper!$E$2:$E$5000,SummaryHelper!$A$2:$A$5000,$AE45,SummaryHelper!$B$2:$B$5000,$AF45,SummaryHelper!$C$2:$C$5000,$AG45))</f>
        <v/>
      </c>
      <c r="AJ45" t="str">
        <f>IF($AF45="","",SUMIFS(SummaryHelper!$F$2:$F$5000,SummaryHelper!$A$2:$A$5000,$AE45,SummaryHelper!$B$2:$B$5000,$AF45,SummaryHelper!$C$2:$C$5000,$AG45))</f>
        <v/>
      </c>
      <c r="AK45" t="str">
        <f>IF($AF45="","",SUMIFS(SummaryHelper!$G$2:$G$5000,SummaryHelper!$A$2:$A$5000,$AE45,SummaryHelper!$B$2:$B$5000,$AF45,SummaryHelper!$C$2:$C$5000,$AG45))</f>
        <v/>
      </c>
      <c r="AM45" t="str">
        <f t="shared" si="10"/>
        <v/>
      </c>
      <c r="AN45" t="str">
        <f t="shared" si="11"/>
        <v/>
      </c>
    </row>
    <row r="46" spans="1:40" x14ac:dyDescent="0.25">
      <c r="A46" s="12"/>
      <c r="B46" s="23" t="str">
        <f t="shared" si="12"/>
        <v/>
      </c>
      <c r="C46" s="9" t="str">
        <f t="shared" ca="1" si="1"/>
        <v/>
      </c>
      <c r="D46" s="9" t="str">
        <f t="shared" ca="1" si="2"/>
        <v/>
      </c>
      <c r="E46" s="9" t="str">
        <f t="shared" ca="1" si="3"/>
        <v/>
      </c>
      <c r="F46" s="9" t="str">
        <f t="shared" si="4"/>
        <v/>
      </c>
      <c r="G46" s="9">
        <f t="shared" si="5"/>
        <v>0</v>
      </c>
      <c r="I46" t="str">
        <v>MATERIALS</v>
      </c>
      <c r="J46" t="str">
        <v>Gyproc Gypsum Board 4.00ft x 6.00ft x 9.00mm</v>
      </c>
      <c r="K46" t="str">
        <v>SHEET</v>
      </c>
      <c r="L46" s="9">
        <f>IF($J46="","",IFERROR(SUMIFS(SummaryHelper!$H$2:$H$5000,SummaryHelper!$A$2:$A$5000,$I46,SummaryHelper!$B$2:$B$5000,$J46,SummaryHelper!$C$2:$C$5000,$K46)/SUMIFS(SummaryHelper!$G$2:$G$5000,SummaryHelper!$A$2:$A$5000,$I46,SummaryHelper!$B$2:$B$5000,$J46,SummaryHelper!$C$2:$C$5000,$K46),""))</f>
        <v>25</v>
      </c>
      <c r="M46" s="9">
        <f>IF($J46="","",SUMIFS(SummaryHelper!$E$2:$E$5000,SummaryHelper!$A$2:$A$5000,$I46,SummaryHelper!$B$2:$B$5000,$J46,SummaryHelper!$C$2:$C$5000,$K46))</f>
        <v>13</v>
      </c>
      <c r="N46" s="9">
        <f>IF($J46="","",SUMIFS(SummaryHelper!$F$2:$F$5000,SummaryHelper!$A$2:$A$5000,$I46,SummaryHelper!$B$2:$B$5000,$J46,SummaryHelper!$C$2:$C$5000,$K46))</f>
        <v>0.05</v>
      </c>
      <c r="O46" s="9">
        <f>IF($J46="","",SUMIFS(SummaryHelper!$G$2:$G$5000,SummaryHelper!$A$2:$A$5000,$I46,SummaryHelper!$B$2:$B$5000,$J46,SummaryHelper!$C$2:$C$5000,$K46))</f>
        <v>13.65</v>
      </c>
      <c r="Q46" s="9">
        <f t="shared" si="6"/>
        <v>14</v>
      </c>
      <c r="R46" s="9">
        <f t="shared" si="7"/>
        <v>350</v>
      </c>
      <c r="W46" s="9" t="str">
        <f>IF($U46="","",IFERROR(SUMIFS(SummaryHelper!$H$2:$H$5000,SummaryHelper!$A$2:$A$5000,$T46,SummaryHelper!$B$2:$B$5000,$U46,SummaryHelper!$C$2:$C$5000,$V46)/SUMIFS(SummaryHelper!$G$2:$G$5000,SummaryHelper!$A$2:$A$5000,$T46,SummaryHelper!$B$2:$B$5000,$U46,SummaryHelper!$C$2:$C$5000,$V46),""))</f>
        <v/>
      </c>
      <c r="X46" s="9" t="str">
        <f>IF($U46="","",SUMIFS(SummaryHelper!$E$2:$E$5000,SummaryHelper!$A$2:$A$5000,$T46,SummaryHelper!$B$2:$B$5000,$U46,SummaryHelper!$C$2:$C$5000,$V46))</f>
        <v/>
      </c>
      <c r="Y46" s="9" t="str">
        <f>IF($U46="","",SUMIFS(SummaryHelper!$F$2:$F$5000,SummaryHelper!$A$2:$A$5000,$T46,SummaryHelper!$B$2:$B$5000,$U46,SummaryHelper!$C$2:$C$5000,$V46))</f>
        <v/>
      </c>
      <c r="Z46" s="9" t="str">
        <f>IF($U46="","",SUMIFS(SummaryHelper!$G$2:$G$5000,SummaryHelper!$A$2:$A$5000,$T46,SummaryHelper!$B$2:$B$5000,$U46,SummaryHelper!$C$2:$C$5000,$V46))</f>
        <v/>
      </c>
      <c r="AB46" s="9" t="str">
        <f t="shared" si="8"/>
        <v/>
      </c>
      <c r="AC46" s="9" t="str">
        <f t="shared" si="9"/>
        <v/>
      </c>
      <c r="AH46" t="str">
        <f>IF($AF46="","",IFERROR(SUMIFS(SummaryHelper!$H$2:$H$5000,SummaryHelper!$A$2:$A$5000,$AE46,SummaryHelper!$B$2:$B$5000,$AF46,SummaryHelper!$C$2:$C$5000,$AG46)/SUMIFS(SummaryHelper!$G$2:$G$5000,SummaryHelper!$A$2:$A$5000,$AE46,SummaryHelper!$B$2:$B$5000,$AF46,SummaryHelper!$C$2:$C$5000,$AG46),""))</f>
        <v/>
      </c>
      <c r="AI46" t="str">
        <f>IF($AF46="","",SUMIFS(SummaryHelper!$E$2:$E$5000,SummaryHelper!$A$2:$A$5000,$AE46,SummaryHelper!$B$2:$B$5000,$AF46,SummaryHelper!$C$2:$C$5000,$AG46))</f>
        <v/>
      </c>
      <c r="AJ46" t="str">
        <f>IF($AF46="","",SUMIFS(SummaryHelper!$F$2:$F$5000,SummaryHelper!$A$2:$A$5000,$AE46,SummaryHelper!$B$2:$B$5000,$AF46,SummaryHelper!$C$2:$C$5000,$AG46))</f>
        <v/>
      </c>
      <c r="AK46" t="str">
        <f>IF($AF46="","",SUMIFS(SummaryHelper!$G$2:$G$5000,SummaryHelper!$A$2:$A$5000,$AE46,SummaryHelper!$B$2:$B$5000,$AF46,SummaryHelper!$C$2:$C$5000,$AG46))</f>
        <v/>
      </c>
      <c r="AM46" t="str">
        <f t="shared" si="10"/>
        <v/>
      </c>
      <c r="AN46" t="str">
        <f t="shared" si="11"/>
        <v/>
      </c>
    </row>
    <row r="47" spans="1:40" x14ac:dyDescent="0.25">
      <c r="A47" s="12"/>
      <c r="B47" s="23" t="str">
        <f t="shared" si="12"/>
        <v/>
      </c>
      <c r="C47" s="9" t="str">
        <f t="shared" ca="1" si="1"/>
        <v/>
      </c>
      <c r="D47" s="9" t="str">
        <f t="shared" ca="1" si="2"/>
        <v/>
      </c>
      <c r="E47" s="9" t="str">
        <f t="shared" ca="1" si="3"/>
        <v/>
      </c>
      <c r="F47" s="9" t="str">
        <f t="shared" si="4"/>
        <v/>
      </c>
      <c r="G47" s="9">
        <f t="shared" si="5"/>
        <v>0</v>
      </c>
      <c r="I47" t="str">
        <v>MATERIALS</v>
      </c>
      <c r="J47" t="str">
        <v>Hex Self-Drilling Screw DS525HW 10# x 1"</v>
      </c>
      <c r="K47" t="str">
        <v>PCS</v>
      </c>
      <c r="L47" s="9">
        <f>IF($J47="","",IFERROR(SUMIFS(SummaryHelper!$H$2:$H$5000,SummaryHelper!$A$2:$A$5000,$I47,SummaryHelper!$B$2:$B$5000,$J47,SummaryHelper!$C$2:$C$5000,$K47)/SUMIFS(SummaryHelper!$G$2:$G$5000,SummaryHelper!$A$2:$A$5000,$I47,SummaryHelper!$B$2:$B$5000,$J47,SummaryHelper!$C$2:$C$5000,$K47),""))</f>
        <v>0.13</v>
      </c>
      <c r="M47" s="9">
        <f>IF($J47="","",SUMIFS(SummaryHelper!$E$2:$E$5000,SummaryHelper!$A$2:$A$5000,$I47,SummaryHelper!$B$2:$B$5000,$J47,SummaryHelper!$C$2:$C$5000,$K47))</f>
        <v>1200</v>
      </c>
      <c r="N47" s="9">
        <f>IF($J47="","",SUMIFS(SummaryHelper!$F$2:$F$5000,SummaryHelper!$A$2:$A$5000,$I47,SummaryHelper!$B$2:$B$5000,$J47,SummaryHelper!$C$2:$C$5000,$K47))</f>
        <v>0.05</v>
      </c>
      <c r="O47" s="9">
        <f>IF($J47="","",SUMIFS(SummaryHelper!$G$2:$G$5000,SummaryHelper!$A$2:$A$5000,$I47,SummaryHelper!$B$2:$B$5000,$J47,SummaryHelper!$C$2:$C$5000,$K47))</f>
        <v>1260</v>
      </c>
      <c r="Q47" s="9">
        <f t="shared" si="6"/>
        <v>1260</v>
      </c>
      <c r="R47" s="9">
        <f t="shared" si="7"/>
        <v>163.80000000000001</v>
      </c>
      <c r="W47" s="9" t="str">
        <f>IF($U47="","",IFERROR(SUMIFS(SummaryHelper!$H$2:$H$5000,SummaryHelper!$A$2:$A$5000,$T47,SummaryHelper!$B$2:$B$5000,$U47,SummaryHelper!$C$2:$C$5000,$V47)/SUMIFS(SummaryHelper!$G$2:$G$5000,SummaryHelper!$A$2:$A$5000,$T47,SummaryHelper!$B$2:$B$5000,$U47,SummaryHelper!$C$2:$C$5000,$V47),""))</f>
        <v/>
      </c>
      <c r="X47" s="9" t="str">
        <f>IF($U47="","",SUMIFS(SummaryHelper!$E$2:$E$5000,SummaryHelper!$A$2:$A$5000,$T47,SummaryHelper!$B$2:$B$5000,$U47,SummaryHelper!$C$2:$C$5000,$V47))</f>
        <v/>
      </c>
      <c r="Y47" s="9" t="str">
        <f>IF($U47="","",SUMIFS(SummaryHelper!$F$2:$F$5000,SummaryHelper!$A$2:$A$5000,$T47,SummaryHelper!$B$2:$B$5000,$U47,SummaryHelper!$C$2:$C$5000,$V47))</f>
        <v/>
      </c>
      <c r="Z47" s="9" t="str">
        <f>IF($U47="","",SUMIFS(SummaryHelper!$G$2:$G$5000,SummaryHelper!$A$2:$A$5000,$T47,SummaryHelper!$B$2:$B$5000,$U47,SummaryHelper!$C$2:$C$5000,$V47))</f>
        <v/>
      </c>
      <c r="AB47" s="9" t="str">
        <f t="shared" si="8"/>
        <v/>
      </c>
      <c r="AC47" s="9" t="str">
        <f t="shared" si="9"/>
        <v/>
      </c>
      <c r="AH47" t="str">
        <f>IF($AF47="","",IFERROR(SUMIFS(SummaryHelper!$H$2:$H$5000,SummaryHelper!$A$2:$A$5000,$AE47,SummaryHelper!$B$2:$B$5000,$AF47,SummaryHelper!$C$2:$C$5000,$AG47)/SUMIFS(SummaryHelper!$G$2:$G$5000,SummaryHelper!$A$2:$A$5000,$AE47,SummaryHelper!$B$2:$B$5000,$AF47,SummaryHelper!$C$2:$C$5000,$AG47),""))</f>
        <v/>
      </c>
      <c r="AI47" t="str">
        <f>IF($AF47="","",SUMIFS(SummaryHelper!$E$2:$E$5000,SummaryHelper!$A$2:$A$5000,$AE47,SummaryHelper!$B$2:$B$5000,$AF47,SummaryHelper!$C$2:$C$5000,$AG47))</f>
        <v/>
      </c>
      <c r="AJ47" t="str">
        <f>IF($AF47="","",SUMIFS(SummaryHelper!$F$2:$F$5000,SummaryHelper!$A$2:$A$5000,$AE47,SummaryHelper!$B$2:$B$5000,$AF47,SummaryHelper!$C$2:$C$5000,$AG47))</f>
        <v/>
      </c>
      <c r="AK47" t="str">
        <f>IF($AF47="","",SUMIFS(SummaryHelper!$G$2:$G$5000,SummaryHelper!$A$2:$A$5000,$AE47,SummaryHelper!$B$2:$B$5000,$AF47,SummaryHelper!$C$2:$C$5000,$AG47))</f>
        <v/>
      </c>
      <c r="AM47" t="str">
        <f t="shared" si="10"/>
        <v/>
      </c>
      <c r="AN47" t="str">
        <f t="shared" si="11"/>
        <v/>
      </c>
    </row>
    <row r="48" spans="1:40" x14ac:dyDescent="0.25">
      <c r="A48" s="12"/>
      <c r="B48" s="23" t="str">
        <f t="shared" si="12"/>
        <v/>
      </c>
      <c r="C48" s="9" t="str">
        <f t="shared" ca="1" si="1"/>
        <v/>
      </c>
      <c r="D48" s="9" t="str">
        <f t="shared" ca="1" si="2"/>
        <v/>
      </c>
      <c r="E48" s="9" t="str">
        <f t="shared" ca="1" si="3"/>
        <v/>
      </c>
      <c r="F48" s="9" t="str">
        <f t="shared" si="4"/>
        <v/>
      </c>
      <c r="G48" s="9">
        <f t="shared" si="5"/>
        <v>0</v>
      </c>
      <c r="I48" t="str">
        <v>MATERIALS</v>
      </c>
      <c r="J48" t="str">
        <v>LED Downlight 4in 12W</v>
      </c>
      <c r="K48" t="str">
        <v>PCS</v>
      </c>
      <c r="L48" s="9">
        <f>IF($J48="","",IFERROR(SUMIFS(SummaryHelper!$H$2:$H$5000,SummaryHelper!$A$2:$A$5000,$I48,SummaryHelper!$B$2:$B$5000,$J48,SummaryHelper!$C$2:$C$5000,$K48)/SUMIFS(SummaryHelper!$G$2:$G$5000,SummaryHelper!$A$2:$A$5000,$I48,SummaryHelper!$B$2:$B$5000,$J48,SummaryHelper!$C$2:$C$5000,$K48),""))</f>
        <v>9.9</v>
      </c>
      <c r="M48" s="9">
        <f>IF($J48="","",SUMIFS(SummaryHelper!$E$2:$E$5000,SummaryHelper!$A$2:$A$5000,$I48,SummaryHelper!$B$2:$B$5000,$J48,SummaryHelper!$C$2:$C$5000,$K48))</f>
        <v>10</v>
      </c>
      <c r="N48" s="9">
        <f>IF($J48="","",SUMIFS(SummaryHelper!$F$2:$F$5000,SummaryHelper!$A$2:$A$5000,$I48,SummaryHelper!$B$2:$B$5000,$J48,SummaryHelper!$C$2:$C$5000,$K48))</f>
        <v>0</v>
      </c>
      <c r="O48" s="9">
        <f>IF($J48="","",SUMIFS(SummaryHelper!$G$2:$G$5000,SummaryHelper!$A$2:$A$5000,$I48,SummaryHelper!$B$2:$B$5000,$J48,SummaryHelper!$C$2:$C$5000,$K48))</f>
        <v>10</v>
      </c>
      <c r="Q48" s="9">
        <f t="shared" si="6"/>
        <v>10</v>
      </c>
      <c r="R48" s="9">
        <f t="shared" si="7"/>
        <v>99</v>
      </c>
      <c r="W48" s="9" t="str">
        <f>IF($U48="","",IFERROR(SUMIFS(SummaryHelper!$H$2:$H$5000,SummaryHelper!$A$2:$A$5000,$T48,SummaryHelper!$B$2:$B$5000,$U48,SummaryHelper!$C$2:$C$5000,$V48)/SUMIFS(SummaryHelper!$G$2:$G$5000,SummaryHelper!$A$2:$A$5000,$T48,SummaryHelper!$B$2:$B$5000,$U48,SummaryHelper!$C$2:$C$5000,$V48),""))</f>
        <v/>
      </c>
      <c r="X48" s="9" t="str">
        <f>IF($U48="","",SUMIFS(SummaryHelper!$E$2:$E$5000,SummaryHelper!$A$2:$A$5000,$T48,SummaryHelper!$B$2:$B$5000,$U48,SummaryHelper!$C$2:$C$5000,$V48))</f>
        <v/>
      </c>
      <c r="Y48" s="9" t="str">
        <f>IF($U48="","",SUMIFS(SummaryHelper!$F$2:$F$5000,SummaryHelper!$A$2:$A$5000,$T48,SummaryHelper!$B$2:$B$5000,$U48,SummaryHelper!$C$2:$C$5000,$V48))</f>
        <v/>
      </c>
      <c r="Z48" s="9" t="str">
        <f>IF($U48="","",SUMIFS(SummaryHelper!$G$2:$G$5000,SummaryHelper!$A$2:$A$5000,$T48,SummaryHelper!$B$2:$B$5000,$U48,SummaryHelper!$C$2:$C$5000,$V48))</f>
        <v/>
      </c>
      <c r="AB48" s="9" t="str">
        <f t="shared" si="8"/>
        <v/>
      </c>
      <c r="AC48" s="9" t="str">
        <f t="shared" si="9"/>
        <v/>
      </c>
      <c r="AH48" t="str">
        <f>IF($AF48="","",IFERROR(SUMIFS(SummaryHelper!$H$2:$H$5000,SummaryHelper!$A$2:$A$5000,$AE48,SummaryHelper!$B$2:$B$5000,$AF48,SummaryHelper!$C$2:$C$5000,$AG48)/SUMIFS(SummaryHelper!$G$2:$G$5000,SummaryHelper!$A$2:$A$5000,$AE48,SummaryHelper!$B$2:$B$5000,$AF48,SummaryHelper!$C$2:$C$5000,$AG48),""))</f>
        <v/>
      </c>
      <c r="AI48" t="str">
        <f>IF($AF48="","",SUMIFS(SummaryHelper!$E$2:$E$5000,SummaryHelper!$A$2:$A$5000,$AE48,SummaryHelper!$B$2:$B$5000,$AF48,SummaryHelper!$C$2:$C$5000,$AG48))</f>
        <v/>
      </c>
      <c r="AJ48" t="str">
        <f>IF($AF48="","",SUMIFS(SummaryHelper!$F$2:$F$5000,SummaryHelper!$A$2:$A$5000,$AE48,SummaryHelper!$B$2:$B$5000,$AF48,SummaryHelper!$C$2:$C$5000,$AG48))</f>
        <v/>
      </c>
      <c r="AK48" t="str">
        <f>IF($AF48="","",SUMIFS(SummaryHelper!$G$2:$G$5000,SummaryHelper!$A$2:$A$5000,$AE48,SummaryHelper!$B$2:$B$5000,$AF48,SummaryHelper!$C$2:$C$5000,$AG48))</f>
        <v/>
      </c>
      <c r="AM48" t="str">
        <f t="shared" si="10"/>
        <v/>
      </c>
      <c r="AN48" t="str">
        <f t="shared" si="11"/>
        <v/>
      </c>
    </row>
    <row r="49" spans="1:40" x14ac:dyDescent="0.25">
      <c r="A49" s="12"/>
      <c r="B49" s="23" t="str">
        <f t="shared" si="12"/>
        <v/>
      </c>
      <c r="C49" s="9" t="str">
        <f t="shared" ca="1" si="1"/>
        <v/>
      </c>
      <c r="D49" s="9" t="str">
        <f t="shared" ca="1" si="2"/>
        <v/>
      </c>
      <c r="E49" s="9" t="str">
        <f t="shared" ca="1" si="3"/>
        <v/>
      </c>
      <c r="F49" s="9" t="str">
        <f t="shared" si="4"/>
        <v/>
      </c>
      <c r="G49" s="9">
        <f t="shared" si="5"/>
        <v>0</v>
      </c>
      <c r="I49" t="str">
        <v>MATERIALS</v>
      </c>
      <c r="J49" t="str">
        <v>Long Bend 4"</v>
      </c>
      <c r="K49" t="str">
        <v>PKT</v>
      </c>
      <c r="L49" s="9">
        <f>IF($J49="","",IFERROR(SUMIFS(SummaryHelper!$H$2:$H$5000,SummaryHelper!$A$2:$A$5000,$I49,SummaryHelper!$B$2:$B$5000,$J49,SummaryHelper!$C$2:$C$5000,$K49)/SUMIFS(SummaryHelper!$G$2:$G$5000,SummaryHelper!$A$2:$A$5000,$I49,SummaryHelper!$B$2:$B$5000,$J49,SummaryHelper!$C$2:$C$5000,$K49),""))</f>
        <v>8.4</v>
      </c>
      <c r="M49" s="9">
        <f>IF($J49="","",SUMIFS(SummaryHelper!$E$2:$E$5000,SummaryHelper!$A$2:$A$5000,$I49,SummaryHelper!$B$2:$B$5000,$J49,SummaryHelper!$C$2:$C$5000,$K49))</f>
        <v>1</v>
      </c>
      <c r="N49" s="9">
        <f>IF($J49="","",SUMIFS(SummaryHelper!$F$2:$F$5000,SummaryHelper!$A$2:$A$5000,$I49,SummaryHelper!$B$2:$B$5000,$J49,SummaryHelper!$C$2:$C$5000,$K49))</f>
        <v>0</v>
      </c>
      <c r="O49" s="9">
        <f>IF($J49="","",SUMIFS(SummaryHelper!$G$2:$G$5000,SummaryHelper!$A$2:$A$5000,$I49,SummaryHelper!$B$2:$B$5000,$J49,SummaryHelper!$C$2:$C$5000,$K49))</f>
        <v>1</v>
      </c>
      <c r="Q49" s="9">
        <f t="shared" si="6"/>
        <v>1</v>
      </c>
      <c r="R49" s="9">
        <f t="shared" si="7"/>
        <v>8.4</v>
      </c>
      <c r="W49" s="9" t="str">
        <f>IF($U49="","",IFERROR(SUMIFS(SummaryHelper!$H$2:$H$5000,SummaryHelper!$A$2:$A$5000,$T49,SummaryHelper!$B$2:$B$5000,$U49,SummaryHelper!$C$2:$C$5000,$V49)/SUMIFS(SummaryHelper!$G$2:$G$5000,SummaryHelper!$A$2:$A$5000,$T49,SummaryHelper!$B$2:$B$5000,$U49,SummaryHelper!$C$2:$C$5000,$V49),""))</f>
        <v/>
      </c>
      <c r="X49" s="9" t="str">
        <f>IF($U49="","",SUMIFS(SummaryHelper!$E$2:$E$5000,SummaryHelper!$A$2:$A$5000,$T49,SummaryHelper!$B$2:$B$5000,$U49,SummaryHelper!$C$2:$C$5000,$V49))</f>
        <v/>
      </c>
      <c r="Y49" s="9" t="str">
        <f>IF($U49="","",SUMIFS(SummaryHelper!$F$2:$F$5000,SummaryHelper!$A$2:$A$5000,$T49,SummaryHelper!$B$2:$B$5000,$U49,SummaryHelper!$C$2:$C$5000,$V49))</f>
        <v/>
      </c>
      <c r="Z49" s="9" t="str">
        <f>IF($U49="","",SUMIFS(SummaryHelper!$G$2:$G$5000,SummaryHelper!$A$2:$A$5000,$T49,SummaryHelper!$B$2:$B$5000,$U49,SummaryHelper!$C$2:$C$5000,$V49))</f>
        <v/>
      </c>
      <c r="AB49" s="9" t="str">
        <f t="shared" si="8"/>
        <v/>
      </c>
      <c r="AC49" s="9" t="str">
        <f t="shared" si="9"/>
        <v/>
      </c>
      <c r="AH49" t="str">
        <f>IF($AF49="","",IFERROR(SUMIFS(SummaryHelper!$H$2:$H$5000,SummaryHelper!$A$2:$A$5000,$AE49,SummaryHelper!$B$2:$B$5000,$AF49,SummaryHelper!$C$2:$C$5000,$AG49)/SUMIFS(SummaryHelper!$G$2:$G$5000,SummaryHelper!$A$2:$A$5000,$AE49,SummaryHelper!$B$2:$B$5000,$AF49,SummaryHelper!$C$2:$C$5000,$AG49),""))</f>
        <v/>
      </c>
      <c r="AI49" t="str">
        <f>IF($AF49="","",SUMIFS(SummaryHelper!$E$2:$E$5000,SummaryHelper!$A$2:$A$5000,$AE49,SummaryHelper!$B$2:$B$5000,$AF49,SummaryHelper!$C$2:$C$5000,$AG49))</f>
        <v/>
      </c>
      <c r="AJ49" t="str">
        <f>IF($AF49="","",SUMIFS(SummaryHelper!$F$2:$F$5000,SummaryHelper!$A$2:$A$5000,$AE49,SummaryHelper!$B$2:$B$5000,$AF49,SummaryHelper!$C$2:$C$5000,$AG49))</f>
        <v/>
      </c>
      <c r="AK49" t="str">
        <f>IF($AF49="","",SUMIFS(SummaryHelper!$G$2:$G$5000,SummaryHelper!$A$2:$A$5000,$AE49,SummaryHelper!$B$2:$B$5000,$AF49,SummaryHelper!$C$2:$C$5000,$AG49))</f>
        <v/>
      </c>
      <c r="AM49" t="str">
        <f t="shared" si="10"/>
        <v/>
      </c>
      <c r="AN49" t="str">
        <f t="shared" si="11"/>
        <v/>
      </c>
    </row>
    <row r="50" spans="1:40" x14ac:dyDescent="0.25">
      <c r="A50" s="12"/>
      <c r="B50" s="23" t="str">
        <f t="shared" si="12"/>
        <v/>
      </c>
      <c r="C50" s="9" t="str">
        <f t="shared" ca="1" si="1"/>
        <v/>
      </c>
      <c r="D50" s="9" t="str">
        <f t="shared" ca="1" si="2"/>
        <v/>
      </c>
      <c r="E50" s="9" t="str">
        <f t="shared" ca="1" si="3"/>
        <v/>
      </c>
      <c r="F50" s="9" t="str">
        <f t="shared" si="4"/>
        <v/>
      </c>
      <c r="G50" s="9">
        <f t="shared" si="5"/>
        <v>0</v>
      </c>
      <c r="I50" t="str">
        <v>MATERIALS</v>
      </c>
      <c r="J50" t="str">
        <v>Mega PVC Cable 1.5mm2 (Black, SIRIM)</v>
      </c>
      <c r="K50" t="str">
        <v>ROLL</v>
      </c>
      <c r="L50" s="9">
        <f>IF($J50="","",IFERROR(SUMIFS(SummaryHelper!$H$2:$H$5000,SummaryHelper!$A$2:$A$5000,$I50,SummaryHelper!$B$2:$B$5000,$J50,SummaryHelper!$C$2:$C$5000,$K50)/SUMIFS(SummaryHelper!$G$2:$G$5000,SummaryHelper!$A$2:$A$5000,$I50,SummaryHelper!$B$2:$B$5000,$J50,SummaryHelper!$C$2:$C$5000,$K50),""))</f>
        <v>92</v>
      </c>
      <c r="M50" s="9">
        <f>IF($J50="","",SUMIFS(SummaryHelper!$E$2:$E$5000,SummaryHelper!$A$2:$A$5000,$I50,SummaryHelper!$B$2:$B$5000,$J50,SummaryHelper!$C$2:$C$5000,$K50))</f>
        <v>1</v>
      </c>
      <c r="N50" s="9">
        <f>IF($J50="","",SUMIFS(SummaryHelper!$F$2:$F$5000,SummaryHelper!$A$2:$A$5000,$I50,SummaryHelper!$B$2:$B$5000,$J50,SummaryHelper!$C$2:$C$5000,$K50))</f>
        <v>0</v>
      </c>
      <c r="O50" s="9">
        <f>IF($J50="","",SUMIFS(SummaryHelper!$G$2:$G$5000,SummaryHelper!$A$2:$A$5000,$I50,SummaryHelper!$B$2:$B$5000,$J50,SummaryHelper!$C$2:$C$5000,$K50))</f>
        <v>1</v>
      </c>
      <c r="Q50" s="9">
        <f t="shared" si="6"/>
        <v>1</v>
      </c>
      <c r="R50" s="9">
        <f t="shared" si="7"/>
        <v>92</v>
      </c>
      <c r="W50" s="9" t="str">
        <f>IF($U50="","",IFERROR(SUMIFS(SummaryHelper!$H$2:$H$5000,SummaryHelper!$A$2:$A$5000,$T50,SummaryHelper!$B$2:$B$5000,$U50,SummaryHelper!$C$2:$C$5000,$V50)/SUMIFS(SummaryHelper!$G$2:$G$5000,SummaryHelper!$A$2:$A$5000,$T50,SummaryHelper!$B$2:$B$5000,$U50,SummaryHelper!$C$2:$C$5000,$V50),""))</f>
        <v/>
      </c>
      <c r="X50" s="9" t="str">
        <f>IF($U50="","",SUMIFS(SummaryHelper!$E$2:$E$5000,SummaryHelper!$A$2:$A$5000,$T50,SummaryHelper!$B$2:$B$5000,$U50,SummaryHelper!$C$2:$C$5000,$V50))</f>
        <v/>
      </c>
      <c r="Y50" s="9" t="str">
        <f>IF($U50="","",SUMIFS(SummaryHelper!$F$2:$F$5000,SummaryHelper!$A$2:$A$5000,$T50,SummaryHelper!$B$2:$B$5000,$U50,SummaryHelper!$C$2:$C$5000,$V50))</f>
        <v/>
      </c>
      <c r="Z50" s="9" t="str">
        <f>IF($U50="","",SUMIFS(SummaryHelper!$G$2:$G$5000,SummaryHelper!$A$2:$A$5000,$T50,SummaryHelper!$B$2:$B$5000,$U50,SummaryHelper!$C$2:$C$5000,$V50))</f>
        <v/>
      </c>
      <c r="AB50" s="9" t="str">
        <f t="shared" si="8"/>
        <v/>
      </c>
      <c r="AC50" s="9" t="str">
        <f t="shared" si="9"/>
        <v/>
      </c>
      <c r="AH50" t="str">
        <f>IF($AF50="","",IFERROR(SUMIFS(SummaryHelper!$H$2:$H$5000,SummaryHelper!$A$2:$A$5000,$AE50,SummaryHelper!$B$2:$B$5000,$AF50,SummaryHelper!$C$2:$C$5000,$AG50)/SUMIFS(SummaryHelper!$G$2:$G$5000,SummaryHelper!$A$2:$A$5000,$AE50,SummaryHelper!$B$2:$B$5000,$AF50,SummaryHelper!$C$2:$C$5000,$AG50),""))</f>
        <v/>
      </c>
      <c r="AI50" t="str">
        <f>IF($AF50="","",SUMIFS(SummaryHelper!$E$2:$E$5000,SummaryHelper!$A$2:$A$5000,$AE50,SummaryHelper!$B$2:$B$5000,$AF50,SummaryHelper!$C$2:$C$5000,$AG50))</f>
        <v/>
      </c>
      <c r="AJ50" t="str">
        <f>IF($AF50="","",SUMIFS(SummaryHelper!$F$2:$F$5000,SummaryHelper!$A$2:$A$5000,$AE50,SummaryHelper!$B$2:$B$5000,$AF50,SummaryHelper!$C$2:$C$5000,$AG50))</f>
        <v/>
      </c>
      <c r="AK50" t="str">
        <f>IF($AF50="","",SUMIFS(SummaryHelper!$G$2:$G$5000,SummaryHelper!$A$2:$A$5000,$AE50,SummaryHelper!$B$2:$B$5000,$AF50,SummaryHelper!$C$2:$C$5000,$AG50))</f>
        <v/>
      </c>
      <c r="AM50" t="str">
        <f t="shared" si="10"/>
        <v/>
      </c>
      <c r="AN50" t="str">
        <f t="shared" si="11"/>
        <v/>
      </c>
    </row>
    <row r="51" spans="1:40" x14ac:dyDescent="0.25">
      <c r="A51" s="12"/>
      <c r="B51" s="23" t="str">
        <f t="shared" si="12"/>
        <v/>
      </c>
      <c r="C51" s="9" t="str">
        <f t="shared" ca="1" si="1"/>
        <v/>
      </c>
      <c r="D51" s="9" t="str">
        <f t="shared" ca="1" si="2"/>
        <v/>
      </c>
      <c r="E51" s="9" t="str">
        <f t="shared" ca="1" si="3"/>
        <v/>
      </c>
      <c r="F51" s="9" t="str">
        <f t="shared" si="4"/>
        <v/>
      </c>
      <c r="G51" s="9">
        <f t="shared" si="5"/>
        <v>0</v>
      </c>
      <c r="I51" t="str">
        <v>MATERIALS</v>
      </c>
      <c r="J51" t="str">
        <v>Mega PVC Cable 1.5mm2 (Green, SIRIM)</v>
      </c>
      <c r="K51" t="str">
        <v>ROLL</v>
      </c>
      <c r="L51" s="9">
        <f>IF($J51="","",IFERROR(SUMIFS(SummaryHelper!$H$2:$H$5000,SummaryHelper!$A$2:$A$5000,$I51,SummaryHelper!$B$2:$B$5000,$J51,SummaryHelper!$C$2:$C$5000,$K51)/SUMIFS(SummaryHelper!$G$2:$G$5000,SummaryHelper!$A$2:$A$5000,$I51,SummaryHelper!$B$2:$B$5000,$J51,SummaryHelper!$C$2:$C$5000,$K51),""))</f>
        <v>92</v>
      </c>
      <c r="M51" s="9">
        <f>IF($J51="","",SUMIFS(SummaryHelper!$E$2:$E$5000,SummaryHelper!$A$2:$A$5000,$I51,SummaryHelper!$B$2:$B$5000,$J51,SummaryHelper!$C$2:$C$5000,$K51))</f>
        <v>1</v>
      </c>
      <c r="N51" s="9">
        <f>IF($J51="","",SUMIFS(SummaryHelper!$F$2:$F$5000,SummaryHelper!$A$2:$A$5000,$I51,SummaryHelper!$B$2:$B$5000,$J51,SummaryHelper!$C$2:$C$5000,$K51))</f>
        <v>0</v>
      </c>
      <c r="O51" s="9">
        <f>IF($J51="","",SUMIFS(SummaryHelper!$G$2:$G$5000,SummaryHelper!$A$2:$A$5000,$I51,SummaryHelper!$B$2:$B$5000,$J51,SummaryHelper!$C$2:$C$5000,$K51))</f>
        <v>1</v>
      </c>
      <c r="Q51" s="9">
        <f t="shared" si="6"/>
        <v>1</v>
      </c>
      <c r="R51" s="9">
        <f t="shared" si="7"/>
        <v>92</v>
      </c>
      <c r="W51" s="9" t="str">
        <f>IF($U51="","",IFERROR(SUMIFS(SummaryHelper!$H$2:$H$5000,SummaryHelper!$A$2:$A$5000,$T51,SummaryHelper!$B$2:$B$5000,$U51,SummaryHelper!$C$2:$C$5000,$V51)/SUMIFS(SummaryHelper!$G$2:$G$5000,SummaryHelper!$A$2:$A$5000,$T51,SummaryHelper!$B$2:$B$5000,$U51,SummaryHelper!$C$2:$C$5000,$V51),""))</f>
        <v/>
      </c>
      <c r="X51" s="9" t="str">
        <f>IF($U51="","",SUMIFS(SummaryHelper!$E$2:$E$5000,SummaryHelper!$A$2:$A$5000,$T51,SummaryHelper!$B$2:$B$5000,$U51,SummaryHelper!$C$2:$C$5000,$V51))</f>
        <v/>
      </c>
      <c r="Y51" s="9" t="str">
        <f>IF($U51="","",SUMIFS(SummaryHelper!$F$2:$F$5000,SummaryHelper!$A$2:$A$5000,$T51,SummaryHelper!$B$2:$B$5000,$U51,SummaryHelper!$C$2:$C$5000,$V51))</f>
        <v/>
      </c>
      <c r="Z51" s="9" t="str">
        <f>IF($U51="","",SUMIFS(SummaryHelper!$G$2:$G$5000,SummaryHelper!$A$2:$A$5000,$T51,SummaryHelper!$B$2:$B$5000,$U51,SummaryHelper!$C$2:$C$5000,$V51))</f>
        <v/>
      </c>
      <c r="AB51" s="9" t="str">
        <f t="shared" si="8"/>
        <v/>
      </c>
      <c r="AC51" s="9" t="str">
        <f t="shared" si="9"/>
        <v/>
      </c>
      <c r="AH51" t="str">
        <f>IF($AF51="","",IFERROR(SUMIFS(SummaryHelper!$H$2:$H$5000,SummaryHelper!$A$2:$A$5000,$AE51,SummaryHelper!$B$2:$B$5000,$AF51,SummaryHelper!$C$2:$C$5000,$AG51)/SUMIFS(SummaryHelper!$G$2:$G$5000,SummaryHelper!$A$2:$A$5000,$AE51,SummaryHelper!$B$2:$B$5000,$AF51,SummaryHelper!$C$2:$C$5000,$AG51),""))</f>
        <v/>
      </c>
      <c r="AI51" t="str">
        <f>IF($AF51="","",SUMIFS(SummaryHelper!$E$2:$E$5000,SummaryHelper!$A$2:$A$5000,$AE51,SummaryHelper!$B$2:$B$5000,$AF51,SummaryHelper!$C$2:$C$5000,$AG51))</f>
        <v/>
      </c>
      <c r="AJ51" t="str">
        <f>IF($AF51="","",SUMIFS(SummaryHelper!$F$2:$F$5000,SummaryHelper!$A$2:$A$5000,$AE51,SummaryHelper!$B$2:$B$5000,$AF51,SummaryHelper!$C$2:$C$5000,$AG51))</f>
        <v/>
      </c>
      <c r="AK51" t="str">
        <f>IF($AF51="","",SUMIFS(SummaryHelper!$G$2:$G$5000,SummaryHelper!$A$2:$A$5000,$AE51,SummaryHelper!$B$2:$B$5000,$AF51,SummaryHelper!$C$2:$C$5000,$AG51))</f>
        <v/>
      </c>
      <c r="AM51" t="str">
        <f t="shared" si="10"/>
        <v/>
      </c>
      <c r="AN51" t="str">
        <f t="shared" si="11"/>
        <v/>
      </c>
    </row>
    <row r="52" spans="1:40" x14ac:dyDescent="0.25">
      <c r="A52" s="12"/>
      <c r="B52" s="23" t="str">
        <f t="shared" si="12"/>
        <v/>
      </c>
      <c r="C52" s="9" t="str">
        <f t="shared" ca="1" si="1"/>
        <v/>
      </c>
      <c r="D52" s="9" t="str">
        <f t="shared" ca="1" si="2"/>
        <v/>
      </c>
      <c r="E52" s="9" t="str">
        <f t="shared" ca="1" si="3"/>
        <v/>
      </c>
      <c r="F52" s="9" t="str">
        <f t="shared" si="4"/>
        <v/>
      </c>
      <c r="G52" s="9">
        <f t="shared" si="5"/>
        <v>0</v>
      </c>
      <c r="I52" t="str">
        <v>MATERIALS</v>
      </c>
      <c r="J52" t="str">
        <v>Mega PVC Cable 1.5mm2 (Red, SIRIM)</v>
      </c>
      <c r="K52" t="str">
        <v>ROLL</v>
      </c>
      <c r="L52" s="9">
        <f>IF($J52="","",IFERROR(SUMIFS(SummaryHelper!$H$2:$H$5000,SummaryHelper!$A$2:$A$5000,$I52,SummaryHelper!$B$2:$B$5000,$J52,SummaryHelper!$C$2:$C$5000,$K52)/SUMIFS(SummaryHelper!$G$2:$G$5000,SummaryHelper!$A$2:$A$5000,$I52,SummaryHelper!$B$2:$B$5000,$J52,SummaryHelper!$C$2:$C$5000,$K52),""))</f>
        <v>92</v>
      </c>
      <c r="M52" s="9">
        <f>IF($J52="","",SUMIFS(SummaryHelper!$E$2:$E$5000,SummaryHelper!$A$2:$A$5000,$I52,SummaryHelper!$B$2:$B$5000,$J52,SummaryHelper!$C$2:$C$5000,$K52))</f>
        <v>1</v>
      </c>
      <c r="N52" s="9">
        <f>IF($J52="","",SUMIFS(SummaryHelper!$F$2:$F$5000,SummaryHelper!$A$2:$A$5000,$I52,SummaryHelper!$B$2:$B$5000,$J52,SummaryHelper!$C$2:$C$5000,$K52))</f>
        <v>0</v>
      </c>
      <c r="O52" s="9">
        <f>IF($J52="","",SUMIFS(SummaryHelper!$G$2:$G$5000,SummaryHelper!$A$2:$A$5000,$I52,SummaryHelper!$B$2:$B$5000,$J52,SummaryHelper!$C$2:$C$5000,$K52))</f>
        <v>1</v>
      </c>
      <c r="Q52" s="9">
        <f t="shared" si="6"/>
        <v>1</v>
      </c>
      <c r="R52" s="9">
        <f t="shared" si="7"/>
        <v>92</v>
      </c>
      <c r="W52" s="9" t="str">
        <f>IF($U52="","",IFERROR(SUMIFS(SummaryHelper!$H$2:$H$5000,SummaryHelper!$A$2:$A$5000,$T52,SummaryHelper!$B$2:$B$5000,$U52,SummaryHelper!$C$2:$C$5000,$V52)/SUMIFS(SummaryHelper!$G$2:$G$5000,SummaryHelper!$A$2:$A$5000,$T52,SummaryHelper!$B$2:$B$5000,$U52,SummaryHelper!$C$2:$C$5000,$V52),""))</f>
        <v/>
      </c>
      <c r="X52" s="9" t="str">
        <f>IF($U52="","",SUMIFS(SummaryHelper!$E$2:$E$5000,SummaryHelper!$A$2:$A$5000,$T52,SummaryHelper!$B$2:$B$5000,$U52,SummaryHelper!$C$2:$C$5000,$V52))</f>
        <v/>
      </c>
      <c r="Y52" s="9" t="str">
        <f>IF($U52="","",SUMIFS(SummaryHelper!$F$2:$F$5000,SummaryHelper!$A$2:$A$5000,$T52,SummaryHelper!$B$2:$B$5000,$U52,SummaryHelper!$C$2:$C$5000,$V52))</f>
        <v/>
      </c>
      <c r="Z52" s="9" t="str">
        <f>IF($U52="","",SUMIFS(SummaryHelper!$G$2:$G$5000,SummaryHelper!$A$2:$A$5000,$T52,SummaryHelper!$B$2:$B$5000,$U52,SummaryHelper!$C$2:$C$5000,$V52))</f>
        <v/>
      </c>
      <c r="AB52" s="9" t="str">
        <f t="shared" si="8"/>
        <v/>
      </c>
      <c r="AC52" s="9" t="str">
        <f t="shared" si="9"/>
        <v/>
      </c>
      <c r="AH52" t="str">
        <f>IF($AF52="","",IFERROR(SUMIFS(SummaryHelper!$H$2:$H$5000,SummaryHelper!$A$2:$A$5000,$AE52,SummaryHelper!$B$2:$B$5000,$AF52,SummaryHelper!$C$2:$C$5000,$AG52)/SUMIFS(SummaryHelper!$G$2:$G$5000,SummaryHelper!$A$2:$A$5000,$AE52,SummaryHelper!$B$2:$B$5000,$AF52,SummaryHelper!$C$2:$C$5000,$AG52),""))</f>
        <v/>
      </c>
      <c r="AI52" t="str">
        <f>IF($AF52="","",SUMIFS(SummaryHelper!$E$2:$E$5000,SummaryHelper!$A$2:$A$5000,$AE52,SummaryHelper!$B$2:$B$5000,$AF52,SummaryHelper!$C$2:$C$5000,$AG52))</f>
        <v/>
      </c>
      <c r="AJ52" t="str">
        <f>IF($AF52="","",SUMIFS(SummaryHelper!$F$2:$F$5000,SummaryHelper!$A$2:$A$5000,$AE52,SummaryHelper!$B$2:$B$5000,$AF52,SummaryHelper!$C$2:$C$5000,$AG52))</f>
        <v/>
      </c>
      <c r="AK52" t="str">
        <f>IF($AF52="","",SUMIFS(SummaryHelper!$G$2:$G$5000,SummaryHelper!$A$2:$A$5000,$AE52,SummaryHelper!$B$2:$B$5000,$AF52,SummaryHelper!$C$2:$C$5000,$AG52))</f>
        <v/>
      </c>
      <c r="AM52" t="str">
        <f t="shared" si="10"/>
        <v/>
      </c>
      <c r="AN52" t="str">
        <f t="shared" si="11"/>
        <v/>
      </c>
    </row>
    <row r="53" spans="1:40" x14ac:dyDescent="0.25">
      <c r="A53" s="12"/>
      <c r="B53" s="23" t="str">
        <f t="shared" si="12"/>
        <v/>
      </c>
      <c r="C53" s="9" t="str">
        <f t="shared" ca="1" si="1"/>
        <v/>
      </c>
      <c r="D53" s="9" t="str">
        <f t="shared" ca="1" si="2"/>
        <v/>
      </c>
      <c r="E53" s="9" t="str">
        <f t="shared" ca="1" si="3"/>
        <v/>
      </c>
      <c r="F53" s="9" t="str">
        <f t="shared" si="4"/>
        <v/>
      </c>
      <c r="G53" s="9">
        <f t="shared" si="5"/>
        <v>0</v>
      </c>
      <c r="I53" t="str">
        <v>MATERIALS</v>
      </c>
      <c r="J53" t="str">
        <v>Mega PVC Cable 2.5mm2 (Black, SIRIM)</v>
      </c>
      <c r="K53" t="str">
        <v>ROLL</v>
      </c>
      <c r="L53" s="9">
        <f>IF($J53="","",IFERROR(SUMIFS(SummaryHelper!$H$2:$H$5000,SummaryHelper!$A$2:$A$5000,$I53,SummaryHelper!$B$2:$B$5000,$J53,SummaryHelper!$C$2:$C$5000,$K53)/SUMIFS(SummaryHelper!$G$2:$G$5000,SummaryHelper!$A$2:$A$5000,$I53,SummaryHelper!$B$2:$B$5000,$J53,SummaryHelper!$C$2:$C$5000,$K53),""))</f>
        <v>146</v>
      </c>
      <c r="M53" s="9">
        <f>IF($J53="","",SUMIFS(SummaryHelper!$E$2:$E$5000,SummaryHelper!$A$2:$A$5000,$I53,SummaryHelper!$B$2:$B$5000,$J53,SummaryHelper!$C$2:$C$5000,$K53))</f>
        <v>1</v>
      </c>
      <c r="N53" s="9">
        <f>IF($J53="","",SUMIFS(SummaryHelper!$F$2:$F$5000,SummaryHelper!$A$2:$A$5000,$I53,SummaryHelper!$B$2:$B$5000,$J53,SummaryHelper!$C$2:$C$5000,$K53))</f>
        <v>0</v>
      </c>
      <c r="O53" s="9">
        <f>IF($J53="","",SUMIFS(SummaryHelper!$G$2:$G$5000,SummaryHelper!$A$2:$A$5000,$I53,SummaryHelper!$B$2:$B$5000,$J53,SummaryHelper!$C$2:$C$5000,$K53))</f>
        <v>1</v>
      </c>
      <c r="Q53" s="9">
        <f t="shared" si="6"/>
        <v>1</v>
      </c>
      <c r="R53" s="9">
        <f t="shared" si="7"/>
        <v>146</v>
      </c>
      <c r="W53" s="9" t="str">
        <f>IF($U53="","",IFERROR(SUMIFS(SummaryHelper!$H$2:$H$5000,SummaryHelper!$A$2:$A$5000,$T53,SummaryHelper!$B$2:$B$5000,$U53,SummaryHelper!$C$2:$C$5000,$V53)/SUMIFS(SummaryHelper!$G$2:$G$5000,SummaryHelper!$A$2:$A$5000,$T53,SummaryHelper!$B$2:$B$5000,$U53,SummaryHelper!$C$2:$C$5000,$V53),""))</f>
        <v/>
      </c>
      <c r="X53" s="9" t="str">
        <f>IF($U53="","",SUMIFS(SummaryHelper!$E$2:$E$5000,SummaryHelper!$A$2:$A$5000,$T53,SummaryHelper!$B$2:$B$5000,$U53,SummaryHelper!$C$2:$C$5000,$V53))</f>
        <v/>
      </c>
      <c r="Y53" s="9" t="str">
        <f>IF($U53="","",SUMIFS(SummaryHelper!$F$2:$F$5000,SummaryHelper!$A$2:$A$5000,$T53,SummaryHelper!$B$2:$B$5000,$U53,SummaryHelper!$C$2:$C$5000,$V53))</f>
        <v/>
      </c>
      <c r="Z53" s="9" t="str">
        <f>IF($U53="","",SUMIFS(SummaryHelper!$G$2:$G$5000,SummaryHelper!$A$2:$A$5000,$T53,SummaryHelper!$B$2:$B$5000,$U53,SummaryHelper!$C$2:$C$5000,$V53))</f>
        <v/>
      </c>
      <c r="AB53" s="9" t="str">
        <f t="shared" si="8"/>
        <v/>
      </c>
      <c r="AC53" s="9" t="str">
        <f t="shared" si="9"/>
        <v/>
      </c>
      <c r="AH53" t="str">
        <f>IF($AF53="","",IFERROR(SUMIFS(SummaryHelper!$H$2:$H$5000,SummaryHelper!$A$2:$A$5000,$AE53,SummaryHelper!$B$2:$B$5000,$AF53,SummaryHelper!$C$2:$C$5000,$AG53)/SUMIFS(SummaryHelper!$G$2:$G$5000,SummaryHelper!$A$2:$A$5000,$AE53,SummaryHelper!$B$2:$B$5000,$AF53,SummaryHelper!$C$2:$C$5000,$AG53),""))</f>
        <v/>
      </c>
      <c r="AI53" t="str">
        <f>IF($AF53="","",SUMIFS(SummaryHelper!$E$2:$E$5000,SummaryHelper!$A$2:$A$5000,$AE53,SummaryHelper!$B$2:$B$5000,$AF53,SummaryHelper!$C$2:$C$5000,$AG53))</f>
        <v/>
      </c>
      <c r="AJ53" t="str">
        <f>IF($AF53="","",SUMIFS(SummaryHelper!$F$2:$F$5000,SummaryHelper!$A$2:$A$5000,$AE53,SummaryHelper!$B$2:$B$5000,$AF53,SummaryHelper!$C$2:$C$5000,$AG53))</f>
        <v/>
      </c>
      <c r="AK53" t="str">
        <f>IF($AF53="","",SUMIFS(SummaryHelper!$G$2:$G$5000,SummaryHelper!$A$2:$A$5000,$AE53,SummaryHelper!$B$2:$B$5000,$AF53,SummaryHelper!$C$2:$C$5000,$AG53))</f>
        <v/>
      </c>
      <c r="AM53" t="str">
        <f t="shared" si="10"/>
        <v/>
      </c>
      <c r="AN53" t="str">
        <f t="shared" si="11"/>
        <v/>
      </c>
    </row>
    <row r="54" spans="1:40" x14ac:dyDescent="0.25">
      <c r="A54" s="12"/>
      <c r="B54" s="23" t="str">
        <f t="shared" si="12"/>
        <v/>
      </c>
      <c r="C54" s="9" t="str">
        <f t="shared" ca="1" si="1"/>
        <v/>
      </c>
      <c r="D54" s="9" t="str">
        <f t="shared" ca="1" si="2"/>
        <v/>
      </c>
      <c r="E54" s="9" t="str">
        <f t="shared" ca="1" si="3"/>
        <v/>
      </c>
      <c r="F54" s="9" t="str">
        <f t="shared" si="4"/>
        <v/>
      </c>
      <c r="G54" s="9">
        <f t="shared" si="5"/>
        <v>0</v>
      </c>
      <c r="I54" t="str">
        <v>MATERIALS</v>
      </c>
      <c r="J54" t="str">
        <v>Mega PVC Cable 2.5mm2 (Green, SIRIM)</v>
      </c>
      <c r="K54" t="str">
        <v>ROLL</v>
      </c>
      <c r="L54" s="9">
        <f>IF($J54="","",IFERROR(SUMIFS(SummaryHelper!$H$2:$H$5000,SummaryHelper!$A$2:$A$5000,$I54,SummaryHelper!$B$2:$B$5000,$J54,SummaryHelper!$C$2:$C$5000,$K54)/SUMIFS(SummaryHelper!$G$2:$G$5000,SummaryHelper!$A$2:$A$5000,$I54,SummaryHelper!$B$2:$B$5000,$J54,SummaryHelper!$C$2:$C$5000,$K54),""))</f>
        <v>146</v>
      </c>
      <c r="M54" s="9">
        <f>IF($J54="","",SUMIFS(SummaryHelper!$E$2:$E$5000,SummaryHelper!$A$2:$A$5000,$I54,SummaryHelper!$B$2:$B$5000,$J54,SummaryHelper!$C$2:$C$5000,$K54))</f>
        <v>1</v>
      </c>
      <c r="N54" s="9">
        <f>IF($J54="","",SUMIFS(SummaryHelper!$F$2:$F$5000,SummaryHelper!$A$2:$A$5000,$I54,SummaryHelper!$B$2:$B$5000,$J54,SummaryHelper!$C$2:$C$5000,$K54))</f>
        <v>0</v>
      </c>
      <c r="O54" s="9">
        <f>IF($J54="","",SUMIFS(SummaryHelper!$G$2:$G$5000,SummaryHelper!$A$2:$A$5000,$I54,SummaryHelper!$B$2:$B$5000,$J54,SummaryHelper!$C$2:$C$5000,$K54))</f>
        <v>1</v>
      </c>
      <c r="Q54" s="9">
        <f t="shared" si="6"/>
        <v>1</v>
      </c>
      <c r="R54" s="9">
        <f t="shared" si="7"/>
        <v>146</v>
      </c>
      <c r="W54" s="9" t="str">
        <f>IF($U54="","",IFERROR(SUMIFS(SummaryHelper!$H$2:$H$5000,SummaryHelper!$A$2:$A$5000,$T54,SummaryHelper!$B$2:$B$5000,$U54,SummaryHelper!$C$2:$C$5000,$V54)/SUMIFS(SummaryHelper!$G$2:$G$5000,SummaryHelper!$A$2:$A$5000,$T54,SummaryHelper!$B$2:$B$5000,$U54,SummaryHelper!$C$2:$C$5000,$V54),""))</f>
        <v/>
      </c>
      <c r="X54" s="9" t="str">
        <f>IF($U54="","",SUMIFS(SummaryHelper!$E$2:$E$5000,SummaryHelper!$A$2:$A$5000,$T54,SummaryHelper!$B$2:$B$5000,$U54,SummaryHelper!$C$2:$C$5000,$V54))</f>
        <v/>
      </c>
      <c r="Y54" s="9" t="str">
        <f>IF($U54="","",SUMIFS(SummaryHelper!$F$2:$F$5000,SummaryHelper!$A$2:$A$5000,$T54,SummaryHelper!$B$2:$B$5000,$U54,SummaryHelper!$C$2:$C$5000,$V54))</f>
        <v/>
      </c>
      <c r="Z54" s="9" t="str">
        <f>IF($U54="","",SUMIFS(SummaryHelper!$G$2:$G$5000,SummaryHelper!$A$2:$A$5000,$T54,SummaryHelper!$B$2:$B$5000,$U54,SummaryHelper!$C$2:$C$5000,$V54))</f>
        <v/>
      </c>
      <c r="AB54" s="9" t="str">
        <f t="shared" si="8"/>
        <v/>
      </c>
      <c r="AC54" s="9" t="str">
        <f t="shared" si="9"/>
        <v/>
      </c>
      <c r="AH54" t="str">
        <f>IF($AF54="","",IFERROR(SUMIFS(SummaryHelper!$H$2:$H$5000,SummaryHelper!$A$2:$A$5000,$AE54,SummaryHelper!$B$2:$B$5000,$AF54,SummaryHelper!$C$2:$C$5000,$AG54)/SUMIFS(SummaryHelper!$G$2:$G$5000,SummaryHelper!$A$2:$A$5000,$AE54,SummaryHelper!$B$2:$B$5000,$AF54,SummaryHelper!$C$2:$C$5000,$AG54),""))</f>
        <v/>
      </c>
      <c r="AI54" t="str">
        <f>IF($AF54="","",SUMIFS(SummaryHelper!$E$2:$E$5000,SummaryHelper!$A$2:$A$5000,$AE54,SummaryHelper!$B$2:$B$5000,$AF54,SummaryHelper!$C$2:$C$5000,$AG54))</f>
        <v/>
      </c>
      <c r="AJ54" t="str">
        <f>IF($AF54="","",SUMIFS(SummaryHelper!$F$2:$F$5000,SummaryHelper!$A$2:$A$5000,$AE54,SummaryHelper!$B$2:$B$5000,$AF54,SummaryHelper!$C$2:$C$5000,$AG54))</f>
        <v/>
      </c>
      <c r="AK54" t="str">
        <f>IF($AF54="","",SUMIFS(SummaryHelper!$G$2:$G$5000,SummaryHelper!$A$2:$A$5000,$AE54,SummaryHelper!$B$2:$B$5000,$AF54,SummaryHelper!$C$2:$C$5000,$AG54))</f>
        <v/>
      </c>
      <c r="AM54" t="str">
        <f t="shared" si="10"/>
        <v/>
      </c>
      <c r="AN54" t="str">
        <f t="shared" si="11"/>
        <v/>
      </c>
    </row>
    <row r="55" spans="1:40" x14ac:dyDescent="0.25">
      <c r="A55" s="12"/>
      <c r="B55" s="23" t="str">
        <f t="shared" si="12"/>
        <v/>
      </c>
      <c r="C55" s="9" t="str">
        <f t="shared" ca="1" si="1"/>
        <v/>
      </c>
      <c r="D55" s="9" t="str">
        <f t="shared" ca="1" si="2"/>
        <v/>
      </c>
      <c r="E55" s="9" t="str">
        <f t="shared" ca="1" si="3"/>
        <v/>
      </c>
      <c r="F55" s="9" t="str">
        <f t="shared" si="4"/>
        <v/>
      </c>
      <c r="G55" s="9">
        <f t="shared" si="5"/>
        <v>0</v>
      </c>
      <c r="I55" t="str">
        <v>MATERIALS</v>
      </c>
      <c r="J55" t="str">
        <v>Mega PVC Cable 2.5mm2 (Red, SIRIM)</v>
      </c>
      <c r="K55" t="str">
        <v>ROLL</v>
      </c>
      <c r="L55" s="9">
        <f>IF($J55="","",IFERROR(SUMIFS(SummaryHelper!$H$2:$H$5000,SummaryHelper!$A$2:$A$5000,$I55,SummaryHelper!$B$2:$B$5000,$J55,SummaryHelper!$C$2:$C$5000,$K55)/SUMIFS(SummaryHelper!$G$2:$G$5000,SummaryHelper!$A$2:$A$5000,$I55,SummaryHelper!$B$2:$B$5000,$J55,SummaryHelper!$C$2:$C$5000,$K55),""))</f>
        <v>146</v>
      </c>
      <c r="M55" s="9">
        <f>IF($J55="","",SUMIFS(SummaryHelper!$E$2:$E$5000,SummaryHelper!$A$2:$A$5000,$I55,SummaryHelper!$B$2:$B$5000,$J55,SummaryHelper!$C$2:$C$5000,$K55))</f>
        <v>1</v>
      </c>
      <c r="N55" s="9">
        <f>IF($J55="","",SUMIFS(SummaryHelper!$F$2:$F$5000,SummaryHelper!$A$2:$A$5000,$I55,SummaryHelper!$B$2:$B$5000,$J55,SummaryHelper!$C$2:$C$5000,$K55))</f>
        <v>0</v>
      </c>
      <c r="O55" s="9">
        <f>IF($J55="","",SUMIFS(SummaryHelper!$G$2:$G$5000,SummaryHelper!$A$2:$A$5000,$I55,SummaryHelper!$B$2:$B$5000,$J55,SummaryHelper!$C$2:$C$5000,$K55))</f>
        <v>1</v>
      </c>
      <c r="Q55" s="9">
        <f t="shared" si="6"/>
        <v>1</v>
      </c>
      <c r="R55" s="9">
        <f t="shared" si="7"/>
        <v>146</v>
      </c>
      <c r="W55" s="9" t="str">
        <f>IF($U55="","",IFERROR(SUMIFS(SummaryHelper!$H$2:$H$5000,SummaryHelper!$A$2:$A$5000,$T55,SummaryHelper!$B$2:$B$5000,$U55,SummaryHelper!$C$2:$C$5000,$V55)/SUMIFS(SummaryHelper!$G$2:$G$5000,SummaryHelper!$A$2:$A$5000,$T55,SummaryHelper!$B$2:$B$5000,$U55,SummaryHelper!$C$2:$C$5000,$V55),""))</f>
        <v/>
      </c>
      <c r="X55" s="9" t="str">
        <f>IF($U55="","",SUMIFS(SummaryHelper!$E$2:$E$5000,SummaryHelper!$A$2:$A$5000,$T55,SummaryHelper!$B$2:$B$5000,$U55,SummaryHelper!$C$2:$C$5000,$V55))</f>
        <v/>
      </c>
      <c r="Y55" s="9" t="str">
        <f>IF($U55="","",SUMIFS(SummaryHelper!$F$2:$F$5000,SummaryHelper!$A$2:$A$5000,$T55,SummaryHelper!$B$2:$B$5000,$U55,SummaryHelper!$C$2:$C$5000,$V55))</f>
        <v/>
      </c>
      <c r="Z55" s="9" t="str">
        <f>IF($U55="","",SUMIFS(SummaryHelper!$G$2:$G$5000,SummaryHelper!$A$2:$A$5000,$T55,SummaryHelper!$B$2:$B$5000,$U55,SummaryHelper!$C$2:$C$5000,$V55))</f>
        <v/>
      </c>
      <c r="AB55" s="9" t="str">
        <f t="shared" si="8"/>
        <v/>
      </c>
      <c r="AC55" s="9" t="str">
        <f t="shared" si="9"/>
        <v/>
      </c>
      <c r="AH55" t="str">
        <f>IF($AF55="","",IFERROR(SUMIFS(SummaryHelper!$H$2:$H$5000,SummaryHelper!$A$2:$A$5000,$AE55,SummaryHelper!$B$2:$B$5000,$AF55,SummaryHelper!$C$2:$C$5000,$AG55)/SUMIFS(SummaryHelper!$G$2:$G$5000,SummaryHelper!$A$2:$A$5000,$AE55,SummaryHelper!$B$2:$B$5000,$AF55,SummaryHelper!$C$2:$C$5000,$AG55),""))</f>
        <v/>
      </c>
      <c r="AI55" t="str">
        <f>IF($AF55="","",SUMIFS(SummaryHelper!$E$2:$E$5000,SummaryHelper!$A$2:$A$5000,$AE55,SummaryHelper!$B$2:$B$5000,$AF55,SummaryHelper!$C$2:$C$5000,$AG55))</f>
        <v/>
      </c>
      <c r="AJ55" t="str">
        <f>IF($AF55="","",SUMIFS(SummaryHelper!$F$2:$F$5000,SummaryHelper!$A$2:$A$5000,$AE55,SummaryHelper!$B$2:$B$5000,$AF55,SummaryHelper!$C$2:$C$5000,$AG55))</f>
        <v/>
      </c>
      <c r="AK55" t="str">
        <f>IF($AF55="","",SUMIFS(SummaryHelper!$G$2:$G$5000,SummaryHelper!$A$2:$A$5000,$AE55,SummaryHelper!$B$2:$B$5000,$AF55,SummaryHelper!$C$2:$C$5000,$AG55))</f>
        <v/>
      </c>
      <c r="AM55" t="str">
        <f t="shared" si="10"/>
        <v/>
      </c>
      <c r="AN55" t="str">
        <f t="shared" si="11"/>
        <v/>
      </c>
    </row>
    <row r="56" spans="1:40" x14ac:dyDescent="0.25">
      <c r="A56" s="12"/>
      <c r="B56" s="23" t="str">
        <f t="shared" si="12"/>
        <v/>
      </c>
      <c r="C56" s="9" t="str">
        <f t="shared" ca="1" si="1"/>
        <v/>
      </c>
      <c r="D56" s="9" t="str">
        <f t="shared" ca="1" si="2"/>
        <v/>
      </c>
      <c r="E56" s="9" t="str">
        <f t="shared" ca="1" si="3"/>
        <v/>
      </c>
      <c r="F56" s="9" t="str">
        <f t="shared" si="4"/>
        <v/>
      </c>
      <c r="G56" s="9">
        <f t="shared" si="5"/>
        <v>0</v>
      </c>
      <c r="I56" t="str">
        <v>MATERIALS</v>
      </c>
      <c r="J56" t="str">
        <v>Mixed Timber 2" x 3" x 10ft (Grade A)</v>
      </c>
      <c r="K56" t="str">
        <v>LTH</v>
      </c>
      <c r="L56" s="9">
        <f>IF($J56="","",IFERROR(SUMIFS(SummaryHelper!$H$2:$H$5000,SummaryHelper!$A$2:$A$5000,$I56,SummaryHelper!$B$2:$B$5000,$J56,SummaryHelper!$C$2:$C$5000,$K56)/SUMIFS(SummaryHelper!$G$2:$G$5000,SummaryHelper!$A$2:$A$5000,$I56,SummaryHelper!$B$2:$B$5000,$J56,SummaryHelper!$C$2:$C$5000,$K56),""))</f>
        <v>15</v>
      </c>
      <c r="M56" s="9">
        <f>IF($J56="","",SUMIFS(SummaryHelper!$E$2:$E$5000,SummaryHelper!$A$2:$A$5000,$I56,SummaryHelper!$B$2:$B$5000,$J56,SummaryHelper!$C$2:$C$5000,$K56))</f>
        <v>62</v>
      </c>
      <c r="N56" s="9">
        <f>IF($J56="","",SUMIFS(SummaryHelper!$F$2:$F$5000,SummaryHelper!$A$2:$A$5000,$I56,SummaryHelper!$B$2:$B$5000,$J56,SummaryHelper!$C$2:$C$5000,$K56))</f>
        <v>0.2</v>
      </c>
      <c r="O56" s="9">
        <f>IF($J56="","",SUMIFS(SummaryHelper!$G$2:$G$5000,SummaryHelper!$A$2:$A$5000,$I56,SummaryHelper!$B$2:$B$5000,$J56,SummaryHelper!$C$2:$C$5000,$K56))</f>
        <v>64.5</v>
      </c>
      <c r="Q56" s="9">
        <f t="shared" si="6"/>
        <v>65</v>
      </c>
      <c r="R56" s="9">
        <f t="shared" si="7"/>
        <v>975</v>
      </c>
      <c r="W56" s="9" t="str">
        <f>IF($U56="","",IFERROR(SUMIFS(SummaryHelper!$H$2:$H$5000,SummaryHelper!$A$2:$A$5000,$T56,SummaryHelper!$B$2:$B$5000,$U56,SummaryHelper!$C$2:$C$5000,$V56)/SUMIFS(SummaryHelper!$G$2:$G$5000,SummaryHelper!$A$2:$A$5000,$T56,SummaryHelper!$B$2:$B$5000,$U56,SummaryHelper!$C$2:$C$5000,$V56),""))</f>
        <v/>
      </c>
      <c r="X56" s="9" t="str">
        <f>IF($U56="","",SUMIFS(SummaryHelper!$E$2:$E$5000,SummaryHelper!$A$2:$A$5000,$T56,SummaryHelper!$B$2:$B$5000,$U56,SummaryHelper!$C$2:$C$5000,$V56))</f>
        <v/>
      </c>
      <c r="Y56" s="9" t="str">
        <f>IF($U56="","",SUMIFS(SummaryHelper!$F$2:$F$5000,SummaryHelper!$A$2:$A$5000,$T56,SummaryHelper!$B$2:$B$5000,$U56,SummaryHelper!$C$2:$C$5000,$V56))</f>
        <v/>
      </c>
      <c r="Z56" s="9" t="str">
        <f>IF($U56="","",SUMIFS(SummaryHelper!$G$2:$G$5000,SummaryHelper!$A$2:$A$5000,$T56,SummaryHelper!$B$2:$B$5000,$U56,SummaryHelper!$C$2:$C$5000,$V56))</f>
        <v/>
      </c>
      <c r="AB56" s="9" t="str">
        <f t="shared" si="8"/>
        <v/>
      </c>
      <c r="AC56" s="9" t="str">
        <f t="shared" si="9"/>
        <v/>
      </c>
      <c r="AH56" t="str">
        <f>IF($AF56="","",IFERROR(SUMIFS(SummaryHelper!$H$2:$H$5000,SummaryHelper!$A$2:$A$5000,$AE56,SummaryHelper!$B$2:$B$5000,$AF56,SummaryHelper!$C$2:$C$5000,$AG56)/SUMIFS(SummaryHelper!$G$2:$G$5000,SummaryHelper!$A$2:$A$5000,$AE56,SummaryHelper!$B$2:$B$5000,$AF56,SummaryHelper!$C$2:$C$5000,$AG56),""))</f>
        <v/>
      </c>
      <c r="AI56" t="str">
        <f>IF($AF56="","",SUMIFS(SummaryHelper!$E$2:$E$5000,SummaryHelper!$A$2:$A$5000,$AE56,SummaryHelper!$B$2:$B$5000,$AF56,SummaryHelper!$C$2:$C$5000,$AG56))</f>
        <v/>
      </c>
      <c r="AJ56" t="str">
        <f>IF($AF56="","",SUMIFS(SummaryHelper!$F$2:$F$5000,SummaryHelper!$A$2:$A$5000,$AE56,SummaryHelper!$B$2:$B$5000,$AF56,SummaryHelper!$C$2:$C$5000,$AG56))</f>
        <v/>
      </c>
      <c r="AK56" t="str">
        <f>IF($AF56="","",SUMIFS(SummaryHelper!$G$2:$G$5000,SummaryHelper!$A$2:$A$5000,$AE56,SummaryHelper!$B$2:$B$5000,$AF56,SummaryHelper!$C$2:$C$5000,$AG56))</f>
        <v/>
      </c>
      <c r="AM56" t="str">
        <f t="shared" si="10"/>
        <v/>
      </c>
      <c r="AN56" t="str">
        <f t="shared" si="11"/>
        <v/>
      </c>
    </row>
    <row r="57" spans="1:40" x14ac:dyDescent="0.25">
      <c r="A57" s="12"/>
      <c r="B57" s="23" t="str">
        <f t="shared" si="12"/>
        <v/>
      </c>
      <c r="C57" s="9" t="str">
        <f t="shared" ca="1" si="1"/>
        <v/>
      </c>
      <c r="D57" s="9" t="str">
        <f t="shared" ca="1" si="2"/>
        <v/>
      </c>
      <c r="E57" s="9" t="str">
        <f t="shared" ca="1" si="3"/>
        <v/>
      </c>
      <c r="F57" s="9" t="str">
        <f t="shared" si="4"/>
        <v/>
      </c>
      <c r="G57" s="9">
        <f t="shared" si="5"/>
        <v>0</v>
      </c>
      <c r="I57" t="str">
        <v>MATERIALS</v>
      </c>
      <c r="J57" t="str">
        <v>ML7025-SS Armor Lever Mortise</v>
      </c>
      <c r="K57" t="str">
        <v>SET</v>
      </c>
      <c r="L57" s="9">
        <f>IF($J57="","",IFERROR(SUMIFS(SummaryHelper!$H$2:$H$5000,SummaryHelper!$A$2:$A$5000,$I57,SummaryHelper!$B$2:$B$5000,$J57,SummaryHelper!$C$2:$C$5000,$K57)/SUMIFS(SummaryHelper!$G$2:$G$5000,SummaryHelper!$A$2:$A$5000,$I57,SummaryHelper!$B$2:$B$5000,$J57,SummaryHelper!$C$2:$C$5000,$K57),""))</f>
        <v>60</v>
      </c>
      <c r="M57" s="9">
        <f>IF($J57="","",SUMIFS(SummaryHelper!$E$2:$E$5000,SummaryHelper!$A$2:$A$5000,$I57,SummaryHelper!$B$2:$B$5000,$J57,SummaryHelper!$C$2:$C$5000,$K57))</f>
        <v>1</v>
      </c>
      <c r="N57" s="9">
        <f>IF($J57="","",SUMIFS(SummaryHelper!$F$2:$F$5000,SummaryHelper!$A$2:$A$5000,$I57,SummaryHelper!$B$2:$B$5000,$J57,SummaryHelper!$C$2:$C$5000,$K57))</f>
        <v>0</v>
      </c>
      <c r="O57" s="9">
        <f>IF($J57="","",SUMIFS(SummaryHelper!$G$2:$G$5000,SummaryHelper!$A$2:$A$5000,$I57,SummaryHelper!$B$2:$B$5000,$J57,SummaryHelper!$C$2:$C$5000,$K57))</f>
        <v>1</v>
      </c>
      <c r="Q57" s="9">
        <f t="shared" si="6"/>
        <v>1</v>
      </c>
      <c r="R57" s="9">
        <f t="shared" si="7"/>
        <v>60</v>
      </c>
      <c r="W57" s="9" t="str">
        <f>IF($U57="","",IFERROR(SUMIFS(SummaryHelper!$H$2:$H$5000,SummaryHelper!$A$2:$A$5000,$T57,SummaryHelper!$B$2:$B$5000,$U57,SummaryHelper!$C$2:$C$5000,$V57)/SUMIFS(SummaryHelper!$G$2:$G$5000,SummaryHelper!$A$2:$A$5000,$T57,SummaryHelper!$B$2:$B$5000,$U57,SummaryHelper!$C$2:$C$5000,$V57),""))</f>
        <v/>
      </c>
      <c r="X57" s="9" t="str">
        <f>IF($U57="","",SUMIFS(SummaryHelper!$E$2:$E$5000,SummaryHelper!$A$2:$A$5000,$T57,SummaryHelper!$B$2:$B$5000,$U57,SummaryHelper!$C$2:$C$5000,$V57))</f>
        <v/>
      </c>
      <c r="Y57" s="9" t="str">
        <f>IF($U57="","",SUMIFS(SummaryHelper!$F$2:$F$5000,SummaryHelper!$A$2:$A$5000,$T57,SummaryHelper!$B$2:$B$5000,$U57,SummaryHelper!$C$2:$C$5000,$V57))</f>
        <v/>
      </c>
      <c r="Z57" s="9" t="str">
        <f>IF($U57="","",SUMIFS(SummaryHelper!$G$2:$G$5000,SummaryHelper!$A$2:$A$5000,$T57,SummaryHelper!$B$2:$B$5000,$U57,SummaryHelper!$C$2:$C$5000,$V57))</f>
        <v/>
      </c>
      <c r="AB57" s="9" t="str">
        <f t="shared" si="8"/>
        <v/>
      </c>
      <c r="AC57" s="9" t="str">
        <f t="shared" si="9"/>
        <v/>
      </c>
      <c r="AH57" t="str">
        <f>IF($AF57="","",IFERROR(SUMIFS(SummaryHelper!$H$2:$H$5000,SummaryHelper!$A$2:$A$5000,$AE57,SummaryHelper!$B$2:$B$5000,$AF57,SummaryHelper!$C$2:$C$5000,$AG57)/SUMIFS(SummaryHelper!$G$2:$G$5000,SummaryHelper!$A$2:$A$5000,$AE57,SummaryHelper!$B$2:$B$5000,$AF57,SummaryHelper!$C$2:$C$5000,$AG57),""))</f>
        <v/>
      </c>
      <c r="AI57" t="str">
        <f>IF($AF57="","",SUMIFS(SummaryHelper!$E$2:$E$5000,SummaryHelper!$A$2:$A$5000,$AE57,SummaryHelper!$B$2:$B$5000,$AF57,SummaryHelper!$C$2:$C$5000,$AG57))</f>
        <v/>
      </c>
      <c r="AJ57" t="str">
        <f>IF($AF57="","",SUMIFS(SummaryHelper!$F$2:$F$5000,SummaryHelper!$A$2:$A$5000,$AE57,SummaryHelper!$B$2:$B$5000,$AF57,SummaryHelper!$C$2:$C$5000,$AG57))</f>
        <v/>
      </c>
      <c r="AK57" t="str">
        <f>IF($AF57="","",SUMIFS(SummaryHelper!$G$2:$G$5000,SummaryHelper!$A$2:$A$5000,$AE57,SummaryHelper!$B$2:$B$5000,$AF57,SummaryHelper!$C$2:$C$5000,$AG57))</f>
        <v/>
      </c>
      <c r="AM57" t="str">
        <f t="shared" si="10"/>
        <v/>
      </c>
      <c r="AN57" t="str">
        <f t="shared" si="11"/>
        <v/>
      </c>
    </row>
    <row r="58" spans="1:40" x14ac:dyDescent="0.25">
      <c r="A58" s="12"/>
      <c r="B58" s="23" t="str">
        <f t="shared" si="12"/>
        <v/>
      </c>
      <c r="C58" s="9" t="str">
        <f t="shared" ca="1" si="1"/>
        <v/>
      </c>
      <c r="D58" s="9" t="str">
        <f t="shared" ca="1" si="2"/>
        <v/>
      </c>
      <c r="E58" s="9" t="str">
        <f t="shared" ca="1" si="3"/>
        <v/>
      </c>
      <c r="F58" s="9" t="str">
        <f t="shared" si="4"/>
        <v/>
      </c>
      <c r="G58" s="9">
        <f t="shared" si="5"/>
        <v>0</v>
      </c>
      <c r="I58" t="str">
        <v>MATERIALS</v>
      </c>
      <c r="J58" t="str">
        <v>MS Deformed Bar Y10 12.00m (Main Bars)</v>
      </c>
      <c r="K58" t="str">
        <v>BAR</v>
      </c>
      <c r="L58" s="9">
        <f>IF($J58="","",IFERROR(SUMIFS(SummaryHelper!$H$2:$H$5000,SummaryHelper!$A$2:$A$5000,$I58,SummaryHelper!$B$2:$B$5000,$J58,SummaryHelper!$C$2:$C$5000,$K58)/SUMIFS(SummaryHelper!$G$2:$G$5000,SummaryHelper!$A$2:$A$5000,$I58,SummaryHelper!$B$2:$B$5000,$J58,SummaryHelper!$C$2:$C$5000,$K58),""))</f>
        <v>22</v>
      </c>
      <c r="M58" s="9">
        <f>IF($J58="","",SUMIFS(SummaryHelper!$E$2:$E$5000,SummaryHelper!$A$2:$A$5000,$I58,SummaryHelper!$B$2:$B$5000,$J58,SummaryHelper!$C$2:$C$5000,$K58))</f>
        <v>19</v>
      </c>
      <c r="N58" s="9">
        <f>IF($J58="","",SUMIFS(SummaryHelper!$F$2:$F$5000,SummaryHelper!$A$2:$A$5000,$I58,SummaryHelper!$B$2:$B$5000,$J58,SummaryHelper!$C$2:$C$5000,$K58))</f>
        <v>0.1</v>
      </c>
      <c r="O58" s="9">
        <f>IF($J58="","",SUMIFS(SummaryHelper!$G$2:$G$5000,SummaryHelper!$A$2:$A$5000,$I58,SummaryHelper!$B$2:$B$5000,$J58,SummaryHelper!$C$2:$C$5000,$K58))</f>
        <v>19.950000000000003</v>
      </c>
      <c r="Q58" s="9">
        <f t="shared" si="6"/>
        <v>20</v>
      </c>
      <c r="R58" s="9">
        <f t="shared" si="7"/>
        <v>440</v>
      </c>
      <c r="W58" s="9" t="str">
        <f>IF($U58="","",IFERROR(SUMIFS(SummaryHelper!$H$2:$H$5000,SummaryHelper!$A$2:$A$5000,$T58,SummaryHelper!$B$2:$B$5000,$U58,SummaryHelper!$C$2:$C$5000,$V58)/SUMIFS(SummaryHelper!$G$2:$G$5000,SummaryHelper!$A$2:$A$5000,$T58,SummaryHelper!$B$2:$B$5000,$U58,SummaryHelper!$C$2:$C$5000,$V58),""))</f>
        <v/>
      </c>
      <c r="X58" s="9" t="str">
        <f>IF($U58="","",SUMIFS(SummaryHelper!$E$2:$E$5000,SummaryHelper!$A$2:$A$5000,$T58,SummaryHelper!$B$2:$B$5000,$U58,SummaryHelper!$C$2:$C$5000,$V58))</f>
        <v/>
      </c>
      <c r="Y58" s="9" t="str">
        <f>IF($U58="","",SUMIFS(SummaryHelper!$F$2:$F$5000,SummaryHelper!$A$2:$A$5000,$T58,SummaryHelper!$B$2:$B$5000,$U58,SummaryHelper!$C$2:$C$5000,$V58))</f>
        <v/>
      </c>
      <c r="Z58" s="9" t="str">
        <f>IF($U58="","",SUMIFS(SummaryHelper!$G$2:$G$5000,SummaryHelper!$A$2:$A$5000,$T58,SummaryHelper!$B$2:$B$5000,$U58,SummaryHelper!$C$2:$C$5000,$V58))</f>
        <v/>
      </c>
      <c r="AB58" s="9" t="str">
        <f t="shared" si="8"/>
        <v/>
      </c>
      <c r="AC58" s="9" t="str">
        <f t="shared" si="9"/>
        <v/>
      </c>
      <c r="AH58" t="str">
        <f>IF($AF58="","",IFERROR(SUMIFS(SummaryHelper!$H$2:$H$5000,SummaryHelper!$A$2:$A$5000,$AE58,SummaryHelper!$B$2:$B$5000,$AF58,SummaryHelper!$C$2:$C$5000,$AG58)/SUMIFS(SummaryHelper!$G$2:$G$5000,SummaryHelper!$A$2:$A$5000,$AE58,SummaryHelper!$B$2:$B$5000,$AF58,SummaryHelper!$C$2:$C$5000,$AG58),""))</f>
        <v/>
      </c>
      <c r="AI58" t="str">
        <f>IF($AF58="","",SUMIFS(SummaryHelper!$E$2:$E$5000,SummaryHelper!$A$2:$A$5000,$AE58,SummaryHelper!$B$2:$B$5000,$AF58,SummaryHelper!$C$2:$C$5000,$AG58))</f>
        <v/>
      </c>
      <c r="AJ58" t="str">
        <f>IF($AF58="","",SUMIFS(SummaryHelper!$F$2:$F$5000,SummaryHelper!$A$2:$A$5000,$AE58,SummaryHelper!$B$2:$B$5000,$AF58,SummaryHelper!$C$2:$C$5000,$AG58))</f>
        <v/>
      </c>
      <c r="AK58" t="str">
        <f>IF($AF58="","",SUMIFS(SummaryHelper!$G$2:$G$5000,SummaryHelper!$A$2:$A$5000,$AE58,SummaryHelper!$B$2:$B$5000,$AF58,SummaryHelper!$C$2:$C$5000,$AG58))</f>
        <v/>
      </c>
      <c r="AM58" t="str">
        <f t="shared" si="10"/>
        <v/>
      </c>
      <c r="AN58" t="str">
        <f t="shared" si="11"/>
        <v/>
      </c>
    </row>
    <row r="59" spans="1:40" x14ac:dyDescent="0.25">
      <c r="A59" s="12"/>
      <c r="B59" s="23" t="str">
        <f t="shared" si="12"/>
        <v/>
      </c>
      <c r="C59" s="9" t="str">
        <f t="shared" ca="1" si="1"/>
        <v/>
      </c>
      <c r="D59" s="9" t="str">
        <f t="shared" ca="1" si="2"/>
        <v/>
      </c>
      <c r="E59" s="9" t="str">
        <f t="shared" ca="1" si="3"/>
        <v/>
      </c>
      <c r="F59" s="9" t="str">
        <f t="shared" si="4"/>
        <v/>
      </c>
      <c r="G59" s="9">
        <f t="shared" si="5"/>
        <v>0</v>
      </c>
      <c r="I59" t="str">
        <v>MATERIALS</v>
      </c>
      <c r="J59" t="str">
        <v>MS Deformed Bar Y12 12.00m</v>
      </c>
      <c r="K59" t="str">
        <v>BAR</v>
      </c>
      <c r="L59" s="9">
        <f>IF($J59="","",IFERROR(SUMIFS(SummaryHelper!$H$2:$H$5000,SummaryHelper!$A$2:$A$5000,$I59,SummaryHelper!$B$2:$B$5000,$J59,SummaryHelper!$C$2:$C$5000,$K59)/SUMIFS(SummaryHelper!$G$2:$G$5000,SummaryHelper!$A$2:$A$5000,$I59,SummaryHelper!$B$2:$B$5000,$J59,SummaryHelper!$C$2:$C$5000,$K59),""))</f>
        <v>28</v>
      </c>
      <c r="M59" s="9">
        <f>IF($J59="","",SUMIFS(SummaryHelper!$E$2:$E$5000,SummaryHelper!$A$2:$A$5000,$I59,SummaryHelper!$B$2:$B$5000,$J59,SummaryHelper!$C$2:$C$5000,$K59))</f>
        <v>70</v>
      </c>
      <c r="N59" s="9">
        <f>IF($J59="","",SUMIFS(SummaryHelper!$F$2:$F$5000,SummaryHelper!$A$2:$A$5000,$I59,SummaryHelper!$B$2:$B$5000,$J59,SummaryHelper!$C$2:$C$5000,$K59))</f>
        <v>0.1</v>
      </c>
      <c r="O59" s="9">
        <f>IF($J59="","",SUMIFS(SummaryHelper!$G$2:$G$5000,SummaryHelper!$A$2:$A$5000,$I59,SummaryHelper!$B$2:$B$5000,$J59,SummaryHelper!$C$2:$C$5000,$K59))</f>
        <v>72</v>
      </c>
      <c r="Q59" s="9">
        <f t="shared" si="6"/>
        <v>72</v>
      </c>
      <c r="R59" s="9">
        <f t="shared" si="7"/>
        <v>2016</v>
      </c>
      <c r="W59" s="9" t="str">
        <f>IF($U59="","",IFERROR(SUMIFS(SummaryHelper!$H$2:$H$5000,SummaryHelper!$A$2:$A$5000,$T59,SummaryHelper!$B$2:$B$5000,$U59,SummaryHelper!$C$2:$C$5000,$V59)/SUMIFS(SummaryHelper!$G$2:$G$5000,SummaryHelper!$A$2:$A$5000,$T59,SummaryHelper!$B$2:$B$5000,$U59,SummaryHelper!$C$2:$C$5000,$V59),""))</f>
        <v/>
      </c>
      <c r="X59" s="9" t="str">
        <f>IF($U59="","",SUMIFS(SummaryHelper!$E$2:$E$5000,SummaryHelper!$A$2:$A$5000,$T59,SummaryHelper!$B$2:$B$5000,$U59,SummaryHelper!$C$2:$C$5000,$V59))</f>
        <v/>
      </c>
      <c r="Y59" s="9" t="str">
        <f>IF($U59="","",SUMIFS(SummaryHelper!$F$2:$F$5000,SummaryHelper!$A$2:$A$5000,$T59,SummaryHelper!$B$2:$B$5000,$U59,SummaryHelper!$C$2:$C$5000,$V59))</f>
        <v/>
      </c>
      <c r="Z59" s="9" t="str">
        <f>IF($U59="","",SUMIFS(SummaryHelper!$G$2:$G$5000,SummaryHelper!$A$2:$A$5000,$T59,SummaryHelper!$B$2:$B$5000,$U59,SummaryHelper!$C$2:$C$5000,$V59))</f>
        <v/>
      </c>
      <c r="AB59" s="9" t="str">
        <f t="shared" si="8"/>
        <v/>
      </c>
      <c r="AC59" s="9" t="str">
        <f t="shared" si="9"/>
        <v/>
      </c>
      <c r="AH59" t="str">
        <f>IF($AF59="","",IFERROR(SUMIFS(SummaryHelper!$H$2:$H$5000,SummaryHelper!$A$2:$A$5000,$AE59,SummaryHelper!$B$2:$B$5000,$AF59,SummaryHelper!$C$2:$C$5000,$AG59)/SUMIFS(SummaryHelper!$G$2:$G$5000,SummaryHelper!$A$2:$A$5000,$AE59,SummaryHelper!$B$2:$B$5000,$AF59,SummaryHelper!$C$2:$C$5000,$AG59),""))</f>
        <v/>
      </c>
      <c r="AI59" t="str">
        <f>IF($AF59="","",SUMIFS(SummaryHelper!$E$2:$E$5000,SummaryHelper!$A$2:$A$5000,$AE59,SummaryHelper!$B$2:$B$5000,$AF59,SummaryHelper!$C$2:$C$5000,$AG59))</f>
        <v/>
      </c>
      <c r="AJ59" t="str">
        <f>IF($AF59="","",SUMIFS(SummaryHelper!$F$2:$F$5000,SummaryHelper!$A$2:$A$5000,$AE59,SummaryHelper!$B$2:$B$5000,$AF59,SummaryHelper!$C$2:$C$5000,$AG59))</f>
        <v/>
      </c>
      <c r="AK59" t="str">
        <f>IF($AF59="","",SUMIFS(SummaryHelper!$G$2:$G$5000,SummaryHelper!$A$2:$A$5000,$AE59,SummaryHelper!$B$2:$B$5000,$AF59,SummaryHelper!$C$2:$C$5000,$AG59))</f>
        <v/>
      </c>
      <c r="AM59" t="str">
        <f t="shared" si="10"/>
        <v/>
      </c>
      <c r="AN59" t="str">
        <f t="shared" si="11"/>
        <v/>
      </c>
    </row>
    <row r="60" spans="1:40" x14ac:dyDescent="0.25">
      <c r="A60" s="12"/>
      <c r="B60" s="23" t="str">
        <f t="shared" si="12"/>
        <v/>
      </c>
      <c r="C60" s="9" t="str">
        <f t="shared" ca="1" si="1"/>
        <v/>
      </c>
      <c r="D60" s="9" t="str">
        <f t="shared" ca="1" si="2"/>
        <v/>
      </c>
      <c r="E60" s="9" t="str">
        <f t="shared" ca="1" si="3"/>
        <v/>
      </c>
      <c r="F60" s="9" t="str">
        <f t="shared" si="4"/>
        <v/>
      </c>
      <c r="G60" s="9">
        <f t="shared" si="5"/>
        <v>0</v>
      </c>
      <c r="I60" t="str">
        <v>MATERIALS</v>
      </c>
      <c r="J60" t="str">
        <v>MS Round Bar R6 12.00m</v>
      </c>
      <c r="K60" t="str">
        <v>BAR</v>
      </c>
      <c r="L60" s="9">
        <f>IF($J60="","",IFERROR(SUMIFS(SummaryHelper!$H$2:$H$5000,SummaryHelper!$A$2:$A$5000,$I60,SummaryHelper!$B$2:$B$5000,$J60,SummaryHelper!$C$2:$C$5000,$K60)/SUMIFS(SummaryHelper!$G$2:$G$5000,SummaryHelper!$A$2:$A$5000,$I60,SummaryHelper!$B$2:$B$5000,$J60,SummaryHelper!$C$2:$C$5000,$K60),""))</f>
        <v>15</v>
      </c>
      <c r="M60" s="9">
        <f>IF($J60="","",SUMIFS(SummaryHelper!$E$2:$E$5000,SummaryHelper!$A$2:$A$5000,$I60,SummaryHelper!$B$2:$B$5000,$J60,SummaryHelper!$C$2:$C$5000,$K60))</f>
        <v>44</v>
      </c>
      <c r="N60" s="9">
        <f>IF($J60="","",SUMIFS(SummaryHelper!$F$2:$F$5000,SummaryHelper!$A$2:$A$5000,$I60,SummaryHelper!$B$2:$B$5000,$J60,SummaryHelper!$C$2:$C$5000,$K60))</f>
        <v>0.15000000000000002</v>
      </c>
      <c r="O60" s="9">
        <f>IF($J60="","",SUMIFS(SummaryHelper!$G$2:$G$5000,SummaryHelper!$A$2:$A$5000,$I60,SummaryHelper!$B$2:$B$5000,$J60,SummaryHelper!$C$2:$C$5000,$K60))</f>
        <v>45.6</v>
      </c>
      <c r="Q60" s="9">
        <f t="shared" si="6"/>
        <v>46</v>
      </c>
      <c r="R60" s="9">
        <f t="shared" si="7"/>
        <v>690</v>
      </c>
      <c r="W60" s="9" t="str">
        <f>IF($U60="","",IFERROR(SUMIFS(SummaryHelper!$H$2:$H$5000,SummaryHelper!$A$2:$A$5000,$T60,SummaryHelper!$B$2:$B$5000,$U60,SummaryHelper!$C$2:$C$5000,$V60)/SUMIFS(SummaryHelper!$G$2:$G$5000,SummaryHelper!$A$2:$A$5000,$T60,SummaryHelper!$B$2:$B$5000,$U60,SummaryHelper!$C$2:$C$5000,$V60),""))</f>
        <v/>
      </c>
      <c r="X60" s="9" t="str">
        <f>IF($U60="","",SUMIFS(SummaryHelper!$E$2:$E$5000,SummaryHelper!$A$2:$A$5000,$T60,SummaryHelper!$B$2:$B$5000,$U60,SummaryHelper!$C$2:$C$5000,$V60))</f>
        <v/>
      </c>
      <c r="Y60" s="9" t="str">
        <f>IF($U60="","",SUMIFS(SummaryHelper!$F$2:$F$5000,SummaryHelper!$A$2:$A$5000,$T60,SummaryHelper!$B$2:$B$5000,$U60,SummaryHelper!$C$2:$C$5000,$V60))</f>
        <v/>
      </c>
      <c r="Z60" s="9" t="str">
        <f>IF($U60="","",SUMIFS(SummaryHelper!$G$2:$G$5000,SummaryHelper!$A$2:$A$5000,$T60,SummaryHelper!$B$2:$B$5000,$U60,SummaryHelper!$C$2:$C$5000,$V60))</f>
        <v/>
      </c>
      <c r="AB60" s="9" t="str">
        <f t="shared" si="8"/>
        <v/>
      </c>
      <c r="AC60" s="9" t="str">
        <f t="shared" si="9"/>
        <v/>
      </c>
      <c r="AH60" t="str">
        <f>IF($AF60="","",IFERROR(SUMIFS(SummaryHelper!$H$2:$H$5000,SummaryHelper!$A$2:$A$5000,$AE60,SummaryHelper!$B$2:$B$5000,$AF60,SummaryHelper!$C$2:$C$5000,$AG60)/SUMIFS(SummaryHelper!$G$2:$G$5000,SummaryHelper!$A$2:$A$5000,$AE60,SummaryHelper!$B$2:$B$5000,$AF60,SummaryHelper!$C$2:$C$5000,$AG60),""))</f>
        <v/>
      </c>
      <c r="AI60" t="str">
        <f>IF($AF60="","",SUMIFS(SummaryHelper!$E$2:$E$5000,SummaryHelper!$A$2:$A$5000,$AE60,SummaryHelper!$B$2:$B$5000,$AF60,SummaryHelper!$C$2:$C$5000,$AG60))</f>
        <v/>
      </c>
      <c r="AJ60" t="str">
        <f>IF($AF60="","",SUMIFS(SummaryHelper!$F$2:$F$5000,SummaryHelper!$A$2:$A$5000,$AE60,SummaryHelper!$B$2:$B$5000,$AF60,SummaryHelper!$C$2:$C$5000,$AG60))</f>
        <v/>
      </c>
      <c r="AK60" t="str">
        <f>IF($AF60="","",SUMIFS(SummaryHelper!$G$2:$G$5000,SummaryHelper!$A$2:$A$5000,$AE60,SummaryHelper!$B$2:$B$5000,$AF60,SummaryHelper!$C$2:$C$5000,$AG60))</f>
        <v/>
      </c>
      <c r="AM60" t="str">
        <f t="shared" si="10"/>
        <v/>
      </c>
      <c r="AN60" t="str">
        <f t="shared" si="11"/>
        <v/>
      </c>
    </row>
    <row r="61" spans="1:40" x14ac:dyDescent="0.25">
      <c r="A61" s="12"/>
      <c r="B61" s="23" t="str">
        <f t="shared" si="12"/>
        <v/>
      </c>
      <c r="C61" s="9" t="str">
        <f t="shared" ca="1" si="1"/>
        <v/>
      </c>
      <c r="D61" s="9" t="str">
        <f t="shared" ca="1" si="2"/>
        <v/>
      </c>
      <c r="E61" s="9" t="str">
        <f t="shared" ca="1" si="3"/>
        <v/>
      </c>
      <c r="F61" s="9" t="str">
        <f t="shared" si="4"/>
        <v/>
      </c>
      <c r="G61" s="9">
        <f t="shared" si="5"/>
        <v>0</v>
      </c>
      <c r="I61" t="str">
        <v>MATERIALS</v>
      </c>
      <c r="J61" t="str">
        <v>MS SHS Square Hollow 2" 1.6mm x 6m</v>
      </c>
      <c r="K61" t="str">
        <v>LTH</v>
      </c>
      <c r="L61" s="9">
        <f>IF($J61="","",IFERROR(SUMIFS(SummaryHelper!$H$2:$H$5000,SummaryHelper!$A$2:$A$5000,$I61,SummaryHelper!$B$2:$B$5000,$J61,SummaryHelper!$C$2:$C$5000,$K61)/SUMIFS(SummaryHelper!$G$2:$G$5000,SummaryHelper!$A$2:$A$5000,$I61,SummaryHelper!$B$2:$B$5000,$J61,SummaryHelper!$C$2:$C$5000,$K61),""))</f>
        <v>55</v>
      </c>
      <c r="M61" s="9">
        <f>IF($J61="","",SUMIFS(SummaryHelper!$E$2:$E$5000,SummaryHelper!$A$2:$A$5000,$I61,SummaryHelper!$B$2:$B$5000,$J61,SummaryHelper!$C$2:$C$5000,$K61))</f>
        <v>16</v>
      </c>
      <c r="N61" s="9">
        <f>IF($J61="","",SUMIFS(SummaryHelper!$F$2:$F$5000,SummaryHelper!$A$2:$A$5000,$I61,SummaryHelper!$B$2:$B$5000,$J61,SummaryHelper!$C$2:$C$5000,$K61))</f>
        <v>0.05</v>
      </c>
      <c r="O61" s="9">
        <f>IF($J61="","",SUMIFS(SummaryHelper!$G$2:$G$5000,SummaryHelper!$A$2:$A$5000,$I61,SummaryHelper!$B$2:$B$5000,$J61,SummaryHelper!$C$2:$C$5000,$K61))</f>
        <v>16.8</v>
      </c>
      <c r="Q61" s="9">
        <f t="shared" si="6"/>
        <v>17</v>
      </c>
      <c r="R61" s="9">
        <f t="shared" si="7"/>
        <v>935</v>
      </c>
      <c r="W61" s="9" t="str">
        <f>IF($U61="","",IFERROR(SUMIFS(SummaryHelper!$H$2:$H$5000,SummaryHelper!$A$2:$A$5000,$T61,SummaryHelper!$B$2:$B$5000,$U61,SummaryHelper!$C$2:$C$5000,$V61)/SUMIFS(SummaryHelper!$G$2:$G$5000,SummaryHelper!$A$2:$A$5000,$T61,SummaryHelper!$B$2:$B$5000,$U61,SummaryHelper!$C$2:$C$5000,$V61),""))</f>
        <v/>
      </c>
      <c r="X61" s="9" t="str">
        <f>IF($U61="","",SUMIFS(SummaryHelper!$E$2:$E$5000,SummaryHelper!$A$2:$A$5000,$T61,SummaryHelper!$B$2:$B$5000,$U61,SummaryHelper!$C$2:$C$5000,$V61))</f>
        <v/>
      </c>
      <c r="Y61" s="9" t="str">
        <f>IF($U61="","",SUMIFS(SummaryHelper!$F$2:$F$5000,SummaryHelper!$A$2:$A$5000,$T61,SummaryHelper!$B$2:$B$5000,$U61,SummaryHelper!$C$2:$C$5000,$V61))</f>
        <v/>
      </c>
      <c r="Z61" s="9" t="str">
        <f>IF($U61="","",SUMIFS(SummaryHelper!$G$2:$G$5000,SummaryHelper!$A$2:$A$5000,$T61,SummaryHelper!$B$2:$B$5000,$U61,SummaryHelper!$C$2:$C$5000,$V61))</f>
        <v/>
      </c>
      <c r="AB61" s="9" t="str">
        <f t="shared" si="8"/>
        <v/>
      </c>
      <c r="AC61" s="9" t="str">
        <f t="shared" si="9"/>
        <v/>
      </c>
      <c r="AH61" t="str">
        <f>IF($AF61="","",IFERROR(SUMIFS(SummaryHelper!$H$2:$H$5000,SummaryHelper!$A$2:$A$5000,$AE61,SummaryHelper!$B$2:$B$5000,$AF61,SummaryHelper!$C$2:$C$5000,$AG61)/SUMIFS(SummaryHelper!$G$2:$G$5000,SummaryHelper!$A$2:$A$5000,$AE61,SummaryHelper!$B$2:$B$5000,$AF61,SummaryHelper!$C$2:$C$5000,$AG61),""))</f>
        <v/>
      </c>
      <c r="AI61" t="str">
        <f>IF($AF61="","",SUMIFS(SummaryHelper!$E$2:$E$5000,SummaryHelper!$A$2:$A$5000,$AE61,SummaryHelper!$B$2:$B$5000,$AF61,SummaryHelper!$C$2:$C$5000,$AG61))</f>
        <v/>
      </c>
      <c r="AJ61" t="str">
        <f>IF($AF61="","",SUMIFS(SummaryHelper!$F$2:$F$5000,SummaryHelper!$A$2:$A$5000,$AE61,SummaryHelper!$B$2:$B$5000,$AF61,SummaryHelper!$C$2:$C$5000,$AG61))</f>
        <v/>
      </c>
      <c r="AK61" t="str">
        <f>IF($AF61="","",SUMIFS(SummaryHelper!$G$2:$G$5000,SummaryHelper!$A$2:$A$5000,$AE61,SummaryHelper!$B$2:$B$5000,$AF61,SummaryHelper!$C$2:$C$5000,$AG61))</f>
        <v/>
      </c>
      <c r="AM61" t="str">
        <f t="shared" si="10"/>
        <v/>
      </c>
      <c r="AN61" t="str">
        <f t="shared" si="11"/>
        <v/>
      </c>
    </row>
    <row r="62" spans="1:40" x14ac:dyDescent="0.25">
      <c r="A62" s="12"/>
      <c r="B62" s="23" t="str">
        <f t="shared" si="12"/>
        <v/>
      </c>
      <c r="C62" s="9" t="str">
        <f t="shared" ca="1" si="1"/>
        <v/>
      </c>
      <c r="D62" s="9" t="str">
        <f t="shared" ca="1" si="2"/>
        <v/>
      </c>
      <c r="E62" s="9" t="str">
        <f t="shared" ca="1" si="3"/>
        <v/>
      </c>
      <c r="F62" s="9" t="str">
        <f t="shared" si="4"/>
        <v/>
      </c>
      <c r="G62" s="9">
        <f t="shared" si="5"/>
        <v>0</v>
      </c>
      <c r="I62" t="str">
        <v>MATERIALS</v>
      </c>
      <c r="J62" t="str">
        <v>Newton LED Batten 4ft Single Fitting C/W SBE LED Tube 22W 6500K</v>
      </c>
      <c r="K62" t="str">
        <v>SET</v>
      </c>
      <c r="L62" s="9">
        <f>IF($J62="","",IFERROR(SUMIFS(SummaryHelper!$H$2:$H$5000,SummaryHelper!$A$2:$A$5000,$I62,SummaryHelper!$B$2:$B$5000,$J62,SummaryHelper!$C$2:$C$5000,$K62)/SUMIFS(SummaryHelper!$G$2:$G$5000,SummaryHelper!$A$2:$A$5000,$I62,SummaryHelper!$B$2:$B$5000,$J62,SummaryHelper!$C$2:$C$5000,$K62),""))</f>
        <v>13</v>
      </c>
      <c r="M62" s="9">
        <f>IF($J62="","",SUMIFS(SummaryHelper!$E$2:$E$5000,SummaryHelper!$A$2:$A$5000,$I62,SummaryHelper!$B$2:$B$5000,$J62,SummaryHelper!$C$2:$C$5000,$K62))</f>
        <v>2</v>
      </c>
      <c r="N62" s="9">
        <f>IF($J62="","",SUMIFS(SummaryHelper!$F$2:$F$5000,SummaryHelper!$A$2:$A$5000,$I62,SummaryHelper!$B$2:$B$5000,$J62,SummaryHelper!$C$2:$C$5000,$K62))</f>
        <v>0</v>
      </c>
      <c r="O62" s="9">
        <f>IF($J62="","",SUMIFS(SummaryHelper!$G$2:$G$5000,SummaryHelper!$A$2:$A$5000,$I62,SummaryHelper!$B$2:$B$5000,$J62,SummaryHelper!$C$2:$C$5000,$K62))</f>
        <v>2</v>
      </c>
      <c r="Q62" s="9">
        <f t="shared" si="6"/>
        <v>2</v>
      </c>
      <c r="R62" s="9">
        <f t="shared" si="7"/>
        <v>26</v>
      </c>
      <c r="W62" s="9" t="str">
        <f>IF($U62="","",IFERROR(SUMIFS(SummaryHelper!$H$2:$H$5000,SummaryHelper!$A$2:$A$5000,$T62,SummaryHelper!$B$2:$B$5000,$U62,SummaryHelper!$C$2:$C$5000,$V62)/SUMIFS(SummaryHelper!$G$2:$G$5000,SummaryHelper!$A$2:$A$5000,$T62,SummaryHelper!$B$2:$B$5000,$U62,SummaryHelper!$C$2:$C$5000,$V62),""))</f>
        <v/>
      </c>
      <c r="X62" s="9" t="str">
        <f>IF($U62="","",SUMIFS(SummaryHelper!$E$2:$E$5000,SummaryHelper!$A$2:$A$5000,$T62,SummaryHelper!$B$2:$B$5000,$U62,SummaryHelper!$C$2:$C$5000,$V62))</f>
        <v/>
      </c>
      <c r="Y62" s="9" t="str">
        <f>IF($U62="","",SUMIFS(SummaryHelper!$F$2:$F$5000,SummaryHelper!$A$2:$A$5000,$T62,SummaryHelper!$B$2:$B$5000,$U62,SummaryHelper!$C$2:$C$5000,$V62))</f>
        <v/>
      </c>
      <c r="Z62" s="9" t="str">
        <f>IF($U62="","",SUMIFS(SummaryHelper!$G$2:$G$5000,SummaryHelper!$A$2:$A$5000,$T62,SummaryHelper!$B$2:$B$5000,$U62,SummaryHelper!$C$2:$C$5000,$V62))</f>
        <v/>
      </c>
      <c r="AB62" s="9" t="str">
        <f t="shared" si="8"/>
        <v/>
      </c>
      <c r="AC62" s="9" t="str">
        <f t="shared" si="9"/>
        <v/>
      </c>
      <c r="AH62" t="str">
        <f>IF($AF62="","",IFERROR(SUMIFS(SummaryHelper!$H$2:$H$5000,SummaryHelper!$A$2:$A$5000,$AE62,SummaryHelper!$B$2:$B$5000,$AF62,SummaryHelper!$C$2:$C$5000,$AG62)/SUMIFS(SummaryHelper!$G$2:$G$5000,SummaryHelper!$A$2:$A$5000,$AE62,SummaryHelper!$B$2:$B$5000,$AF62,SummaryHelper!$C$2:$C$5000,$AG62),""))</f>
        <v/>
      </c>
      <c r="AI62" t="str">
        <f>IF($AF62="","",SUMIFS(SummaryHelper!$E$2:$E$5000,SummaryHelper!$A$2:$A$5000,$AE62,SummaryHelper!$B$2:$B$5000,$AF62,SummaryHelper!$C$2:$C$5000,$AG62))</f>
        <v/>
      </c>
      <c r="AJ62" t="str">
        <f>IF($AF62="","",SUMIFS(SummaryHelper!$F$2:$F$5000,SummaryHelper!$A$2:$A$5000,$AE62,SummaryHelper!$B$2:$B$5000,$AF62,SummaryHelper!$C$2:$C$5000,$AG62))</f>
        <v/>
      </c>
      <c r="AK62" t="str">
        <f>IF($AF62="","",SUMIFS(SummaryHelper!$G$2:$G$5000,SummaryHelper!$A$2:$A$5000,$AE62,SummaryHelper!$B$2:$B$5000,$AF62,SummaryHelper!$C$2:$C$5000,$AG62))</f>
        <v/>
      </c>
      <c r="AM62" t="str">
        <f t="shared" si="10"/>
        <v/>
      </c>
      <c r="AN62" t="str">
        <f t="shared" si="11"/>
        <v/>
      </c>
    </row>
    <row r="63" spans="1:40" x14ac:dyDescent="0.25">
      <c r="A63" s="12"/>
      <c r="B63" s="23" t="str">
        <f t="shared" si="12"/>
        <v/>
      </c>
      <c r="C63" s="9" t="str">
        <f t="shared" ca="1" si="1"/>
        <v/>
      </c>
      <c r="D63" s="9" t="str">
        <f t="shared" ca="1" si="2"/>
        <v/>
      </c>
      <c r="E63" s="9" t="str">
        <f t="shared" ca="1" si="3"/>
        <v/>
      </c>
      <c r="F63" s="9" t="str">
        <f t="shared" si="4"/>
        <v/>
      </c>
      <c r="G63" s="9">
        <f t="shared" si="5"/>
        <v>0</v>
      </c>
      <c r="I63" t="str">
        <v>MATERIALS</v>
      </c>
      <c r="J63" t="str">
        <v>Plaster Ceiling Manhole 12"</v>
      </c>
      <c r="K63" t="str">
        <v>PCS</v>
      </c>
      <c r="L63" s="9">
        <f>IF($J63="","",IFERROR(SUMIFS(SummaryHelper!$H$2:$H$5000,SummaryHelper!$A$2:$A$5000,$I63,SummaryHelper!$B$2:$B$5000,$J63,SummaryHelper!$C$2:$C$5000,$K63)/SUMIFS(SummaryHelper!$G$2:$G$5000,SummaryHelper!$A$2:$A$5000,$I63,SummaryHelper!$B$2:$B$5000,$J63,SummaryHelper!$C$2:$C$5000,$K63),""))</f>
        <v>13</v>
      </c>
      <c r="M63" s="9">
        <f>IF($J63="","",SUMIFS(SummaryHelper!$E$2:$E$5000,SummaryHelper!$A$2:$A$5000,$I63,SummaryHelper!$B$2:$B$5000,$J63,SummaryHelper!$C$2:$C$5000,$K63))</f>
        <v>2</v>
      </c>
      <c r="N63" s="9">
        <f>IF($J63="","",SUMIFS(SummaryHelper!$F$2:$F$5000,SummaryHelper!$A$2:$A$5000,$I63,SummaryHelper!$B$2:$B$5000,$J63,SummaryHelper!$C$2:$C$5000,$K63))</f>
        <v>0</v>
      </c>
      <c r="O63" s="9">
        <f>IF($J63="","",SUMIFS(SummaryHelper!$G$2:$G$5000,SummaryHelper!$A$2:$A$5000,$I63,SummaryHelper!$B$2:$B$5000,$J63,SummaryHelper!$C$2:$C$5000,$K63))</f>
        <v>2</v>
      </c>
      <c r="Q63" s="9">
        <f t="shared" si="6"/>
        <v>2</v>
      </c>
      <c r="R63" s="9">
        <f t="shared" si="7"/>
        <v>26</v>
      </c>
      <c r="W63" s="9" t="str">
        <f>IF($U63="","",IFERROR(SUMIFS(SummaryHelper!$H$2:$H$5000,SummaryHelper!$A$2:$A$5000,$T63,SummaryHelper!$B$2:$B$5000,$U63,SummaryHelper!$C$2:$C$5000,$V63)/SUMIFS(SummaryHelper!$G$2:$G$5000,SummaryHelper!$A$2:$A$5000,$T63,SummaryHelper!$B$2:$B$5000,$U63,SummaryHelper!$C$2:$C$5000,$V63),""))</f>
        <v/>
      </c>
      <c r="X63" s="9" t="str">
        <f>IF($U63="","",SUMIFS(SummaryHelper!$E$2:$E$5000,SummaryHelper!$A$2:$A$5000,$T63,SummaryHelper!$B$2:$B$5000,$U63,SummaryHelper!$C$2:$C$5000,$V63))</f>
        <v/>
      </c>
      <c r="Y63" s="9" t="str">
        <f>IF($U63="","",SUMIFS(SummaryHelper!$F$2:$F$5000,SummaryHelper!$A$2:$A$5000,$T63,SummaryHelper!$B$2:$B$5000,$U63,SummaryHelper!$C$2:$C$5000,$V63))</f>
        <v/>
      </c>
      <c r="Z63" s="9" t="str">
        <f>IF($U63="","",SUMIFS(SummaryHelper!$G$2:$G$5000,SummaryHelper!$A$2:$A$5000,$T63,SummaryHelper!$B$2:$B$5000,$U63,SummaryHelper!$C$2:$C$5000,$V63))</f>
        <v/>
      </c>
      <c r="AB63" s="9" t="str">
        <f t="shared" si="8"/>
        <v/>
      </c>
      <c r="AC63" s="9" t="str">
        <f t="shared" si="9"/>
        <v/>
      </c>
      <c r="AH63" t="str">
        <f>IF($AF63="","",IFERROR(SUMIFS(SummaryHelper!$H$2:$H$5000,SummaryHelper!$A$2:$A$5000,$AE63,SummaryHelper!$B$2:$B$5000,$AF63,SummaryHelper!$C$2:$C$5000,$AG63)/SUMIFS(SummaryHelper!$G$2:$G$5000,SummaryHelper!$A$2:$A$5000,$AE63,SummaryHelper!$B$2:$B$5000,$AF63,SummaryHelper!$C$2:$C$5000,$AG63),""))</f>
        <v/>
      </c>
      <c r="AI63" t="str">
        <f>IF($AF63="","",SUMIFS(SummaryHelper!$E$2:$E$5000,SummaryHelper!$A$2:$A$5000,$AE63,SummaryHelper!$B$2:$B$5000,$AF63,SummaryHelper!$C$2:$C$5000,$AG63))</f>
        <v/>
      </c>
      <c r="AJ63" t="str">
        <f>IF($AF63="","",SUMIFS(SummaryHelper!$F$2:$F$5000,SummaryHelper!$A$2:$A$5000,$AE63,SummaryHelper!$B$2:$B$5000,$AF63,SummaryHelper!$C$2:$C$5000,$AG63))</f>
        <v/>
      </c>
      <c r="AK63" t="str">
        <f>IF($AF63="","",SUMIFS(SummaryHelper!$G$2:$G$5000,SummaryHelper!$A$2:$A$5000,$AE63,SummaryHelper!$B$2:$B$5000,$AF63,SummaryHelper!$C$2:$C$5000,$AG63))</f>
        <v/>
      </c>
      <c r="AM63" t="str">
        <f t="shared" si="10"/>
        <v/>
      </c>
      <c r="AN63" t="str">
        <f t="shared" si="11"/>
        <v/>
      </c>
    </row>
    <row r="64" spans="1:40" x14ac:dyDescent="0.25">
      <c r="A64" s="12"/>
      <c r="B64" s="23" t="str">
        <f t="shared" si="12"/>
        <v/>
      </c>
      <c r="C64" s="9" t="str">
        <f t="shared" ca="1" si="1"/>
        <v/>
      </c>
      <c r="D64" s="9" t="str">
        <f t="shared" ca="1" si="2"/>
        <v/>
      </c>
      <c r="E64" s="9" t="str">
        <f t="shared" ca="1" si="3"/>
        <v/>
      </c>
      <c r="F64" s="9" t="str">
        <f t="shared" si="4"/>
        <v/>
      </c>
      <c r="G64" s="9">
        <f t="shared" si="5"/>
        <v>0</v>
      </c>
      <c r="I64" t="str">
        <v>MATERIALS</v>
      </c>
      <c r="J64" t="str">
        <v>Plastic Tarpaulin Sheet 12 x 18ft</v>
      </c>
      <c r="K64" t="str">
        <v>PCS</v>
      </c>
      <c r="L64" s="9">
        <f>IF($J64="","",IFERROR(SUMIFS(SummaryHelper!$H$2:$H$5000,SummaryHelper!$A$2:$A$5000,$I64,SummaryHelper!$B$2:$B$5000,$J64,SummaryHelper!$C$2:$C$5000,$K64)/SUMIFS(SummaryHelper!$G$2:$G$5000,SummaryHelper!$A$2:$A$5000,$I64,SummaryHelper!$B$2:$B$5000,$J64,SummaryHelper!$C$2:$C$5000,$K64),""))</f>
        <v>65</v>
      </c>
      <c r="M64" s="9">
        <f>IF($J64="","",SUMIFS(SummaryHelper!$E$2:$E$5000,SummaryHelper!$A$2:$A$5000,$I64,SummaryHelper!$B$2:$B$5000,$J64,SummaryHelper!$C$2:$C$5000,$K64))</f>
        <v>2</v>
      </c>
      <c r="N64" s="9">
        <f>IF($J64="","",SUMIFS(SummaryHelper!$F$2:$F$5000,SummaryHelper!$A$2:$A$5000,$I64,SummaryHelper!$B$2:$B$5000,$J64,SummaryHelper!$C$2:$C$5000,$K64))</f>
        <v>0</v>
      </c>
      <c r="O64" s="9">
        <f>IF($J64="","",SUMIFS(SummaryHelper!$G$2:$G$5000,SummaryHelper!$A$2:$A$5000,$I64,SummaryHelper!$B$2:$B$5000,$J64,SummaryHelper!$C$2:$C$5000,$K64))</f>
        <v>2</v>
      </c>
      <c r="Q64" s="9">
        <f t="shared" si="6"/>
        <v>2</v>
      </c>
      <c r="R64" s="9">
        <f t="shared" si="7"/>
        <v>130</v>
      </c>
      <c r="W64" s="9" t="str">
        <f>IF($U64="","",IFERROR(SUMIFS(SummaryHelper!$H$2:$H$5000,SummaryHelper!$A$2:$A$5000,$T64,SummaryHelper!$B$2:$B$5000,$U64,SummaryHelper!$C$2:$C$5000,$V64)/SUMIFS(SummaryHelper!$G$2:$G$5000,SummaryHelper!$A$2:$A$5000,$T64,SummaryHelper!$B$2:$B$5000,$U64,SummaryHelper!$C$2:$C$5000,$V64),""))</f>
        <v/>
      </c>
      <c r="X64" s="9" t="str">
        <f>IF($U64="","",SUMIFS(SummaryHelper!$E$2:$E$5000,SummaryHelper!$A$2:$A$5000,$T64,SummaryHelper!$B$2:$B$5000,$U64,SummaryHelper!$C$2:$C$5000,$V64))</f>
        <v/>
      </c>
      <c r="Y64" s="9" t="str">
        <f>IF($U64="","",SUMIFS(SummaryHelper!$F$2:$F$5000,SummaryHelper!$A$2:$A$5000,$T64,SummaryHelper!$B$2:$B$5000,$U64,SummaryHelper!$C$2:$C$5000,$V64))</f>
        <v/>
      </c>
      <c r="Z64" s="9" t="str">
        <f>IF($U64="","",SUMIFS(SummaryHelper!$G$2:$G$5000,SummaryHelper!$A$2:$A$5000,$T64,SummaryHelper!$B$2:$B$5000,$U64,SummaryHelper!$C$2:$C$5000,$V64))</f>
        <v/>
      </c>
      <c r="AB64" s="9" t="str">
        <f t="shared" si="8"/>
        <v/>
      </c>
      <c r="AC64" s="9" t="str">
        <f t="shared" si="9"/>
        <v/>
      </c>
      <c r="AH64" t="str">
        <f>IF($AF64="","",IFERROR(SUMIFS(SummaryHelper!$H$2:$H$5000,SummaryHelper!$A$2:$A$5000,$AE64,SummaryHelper!$B$2:$B$5000,$AF64,SummaryHelper!$C$2:$C$5000,$AG64)/SUMIFS(SummaryHelper!$G$2:$G$5000,SummaryHelper!$A$2:$A$5000,$AE64,SummaryHelper!$B$2:$B$5000,$AF64,SummaryHelper!$C$2:$C$5000,$AG64),""))</f>
        <v/>
      </c>
      <c r="AI64" t="str">
        <f>IF($AF64="","",SUMIFS(SummaryHelper!$E$2:$E$5000,SummaryHelper!$A$2:$A$5000,$AE64,SummaryHelper!$B$2:$B$5000,$AF64,SummaryHelper!$C$2:$C$5000,$AG64))</f>
        <v/>
      </c>
      <c r="AJ64" t="str">
        <f>IF($AF64="","",SUMIFS(SummaryHelper!$F$2:$F$5000,SummaryHelper!$A$2:$A$5000,$AE64,SummaryHelper!$B$2:$B$5000,$AF64,SummaryHelper!$C$2:$C$5000,$AG64))</f>
        <v/>
      </c>
      <c r="AK64" t="str">
        <f>IF($AF64="","",SUMIFS(SummaryHelper!$G$2:$G$5000,SummaryHelper!$A$2:$A$5000,$AE64,SummaryHelper!$B$2:$B$5000,$AF64,SummaryHelper!$C$2:$C$5000,$AG64))</f>
        <v/>
      </c>
      <c r="AM64" t="str">
        <f t="shared" si="10"/>
        <v/>
      </c>
      <c r="AN64" t="str">
        <f t="shared" si="11"/>
        <v/>
      </c>
    </row>
    <row r="65" spans="1:40" x14ac:dyDescent="0.25">
      <c r="A65" s="12"/>
      <c r="B65" s="23" t="str">
        <f t="shared" si="12"/>
        <v/>
      </c>
      <c r="C65" s="9" t="str">
        <f t="shared" ca="1" si="1"/>
        <v/>
      </c>
      <c r="D65" s="9" t="str">
        <f t="shared" ca="1" si="2"/>
        <v/>
      </c>
      <c r="E65" s="9" t="str">
        <f t="shared" ca="1" si="3"/>
        <v/>
      </c>
      <c r="F65" s="9" t="str">
        <f t="shared" si="4"/>
        <v/>
      </c>
      <c r="G65" s="9">
        <f t="shared" si="5"/>
        <v>0</v>
      </c>
      <c r="I65" t="str">
        <v>MATERIALS</v>
      </c>
      <c r="J65" t="str">
        <v>Plywood 9mm 4ft x 8ft</v>
      </c>
      <c r="K65" t="str">
        <v>SHEET</v>
      </c>
      <c r="L65" s="9">
        <f>IF($J65="","",IFERROR(SUMIFS(SummaryHelper!$H$2:$H$5000,SummaryHelper!$A$2:$A$5000,$I65,SummaryHelper!$B$2:$B$5000,$J65,SummaryHelper!$C$2:$C$5000,$K65)/SUMIFS(SummaryHelper!$G$2:$G$5000,SummaryHelper!$A$2:$A$5000,$I65,SummaryHelper!$B$2:$B$5000,$J65,SummaryHelper!$C$2:$C$5000,$K65),""))</f>
        <v>44.999999999999993</v>
      </c>
      <c r="M65" s="9">
        <f>IF($J65="","",SUMIFS(SummaryHelper!$E$2:$E$5000,SummaryHelper!$A$2:$A$5000,$I65,SummaryHelper!$B$2:$B$5000,$J65,SummaryHelper!$C$2:$C$5000,$K65))</f>
        <v>36</v>
      </c>
      <c r="N65" s="9">
        <f>IF($J65="","",SUMIFS(SummaryHelper!$F$2:$F$5000,SummaryHelper!$A$2:$A$5000,$I65,SummaryHelper!$B$2:$B$5000,$J65,SummaryHelper!$C$2:$C$5000,$K65))</f>
        <v>0.15000000000000002</v>
      </c>
      <c r="O65" s="9">
        <f>IF($J65="","",SUMIFS(SummaryHelper!$G$2:$G$5000,SummaryHelper!$A$2:$A$5000,$I65,SummaryHelper!$B$2:$B$5000,$J65,SummaryHelper!$C$2:$C$5000,$K65))</f>
        <v>37.400000000000006</v>
      </c>
      <c r="Q65" s="9">
        <f t="shared" si="6"/>
        <v>38</v>
      </c>
      <c r="R65" s="9">
        <f t="shared" si="7"/>
        <v>1709.9999999999998</v>
      </c>
      <c r="W65" s="9" t="str">
        <f>IF($U65="","",IFERROR(SUMIFS(SummaryHelper!$H$2:$H$5000,SummaryHelper!$A$2:$A$5000,$T65,SummaryHelper!$B$2:$B$5000,$U65,SummaryHelper!$C$2:$C$5000,$V65)/SUMIFS(SummaryHelper!$G$2:$G$5000,SummaryHelper!$A$2:$A$5000,$T65,SummaryHelper!$B$2:$B$5000,$U65,SummaryHelper!$C$2:$C$5000,$V65),""))</f>
        <v/>
      </c>
      <c r="X65" s="9" t="str">
        <f>IF($U65="","",SUMIFS(SummaryHelper!$E$2:$E$5000,SummaryHelper!$A$2:$A$5000,$T65,SummaryHelper!$B$2:$B$5000,$U65,SummaryHelper!$C$2:$C$5000,$V65))</f>
        <v/>
      </c>
      <c r="Y65" s="9" t="str">
        <f>IF($U65="","",SUMIFS(SummaryHelper!$F$2:$F$5000,SummaryHelper!$A$2:$A$5000,$T65,SummaryHelper!$B$2:$B$5000,$U65,SummaryHelper!$C$2:$C$5000,$V65))</f>
        <v/>
      </c>
      <c r="Z65" s="9" t="str">
        <f>IF($U65="","",SUMIFS(SummaryHelper!$G$2:$G$5000,SummaryHelper!$A$2:$A$5000,$T65,SummaryHelper!$B$2:$B$5000,$U65,SummaryHelper!$C$2:$C$5000,$V65))</f>
        <v/>
      </c>
      <c r="AB65" s="9" t="str">
        <f t="shared" si="8"/>
        <v/>
      </c>
      <c r="AC65" s="9" t="str">
        <f t="shared" si="9"/>
        <v/>
      </c>
      <c r="AH65" t="str">
        <f>IF($AF65="","",IFERROR(SUMIFS(SummaryHelper!$H$2:$H$5000,SummaryHelper!$A$2:$A$5000,$AE65,SummaryHelper!$B$2:$B$5000,$AF65,SummaryHelper!$C$2:$C$5000,$AG65)/SUMIFS(SummaryHelper!$G$2:$G$5000,SummaryHelper!$A$2:$A$5000,$AE65,SummaryHelper!$B$2:$B$5000,$AF65,SummaryHelper!$C$2:$C$5000,$AG65),""))</f>
        <v/>
      </c>
      <c r="AI65" t="str">
        <f>IF($AF65="","",SUMIFS(SummaryHelper!$E$2:$E$5000,SummaryHelper!$A$2:$A$5000,$AE65,SummaryHelper!$B$2:$B$5000,$AF65,SummaryHelper!$C$2:$C$5000,$AG65))</f>
        <v/>
      </c>
      <c r="AJ65" t="str">
        <f>IF($AF65="","",SUMIFS(SummaryHelper!$F$2:$F$5000,SummaryHelper!$A$2:$A$5000,$AE65,SummaryHelper!$B$2:$B$5000,$AF65,SummaryHelper!$C$2:$C$5000,$AG65))</f>
        <v/>
      </c>
      <c r="AK65" t="str">
        <f>IF($AF65="","",SUMIFS(SummaryHelper!$G$2:$G$5000,SummaryHelper!$A$2:$A$5000,$AE65,SummaryHelper!$B$2:$B$5000,$AF65,SummaryHelper!$C$2:$C$5000,$AG65))</f>
        <v/>
      </c>
      <c r="AM65" t="str">
        <f t="shared" si="10"/>
        <v/>
      </c>
      <c r="AN65" t="str">
        <f t="shared" si="11"/>
        <v/>
      </c>
    </row>
    <row r="66" spans="1:40" x14ac:dyDescent="0.25">
      <c r="A66" s="12"/>
      <c r="B66" s="23" t="str">
        <f t="shared" si="12"/>
        <v/>
      </c>
      <c r="C66" s="9" t="str">
        <f t="shared" ca="1" si="1"/>
        <v/>
      </c>
      <c r="D66" s="9" t="str">
        <f t="shared" ca="1" si="2"/>
        <v/>
      </c>
      <c r="E66" s="9" t="str">
        <f t="shared" ca="1" si="3"/>
        <v/>
      </c>
      <c r="F66" s="9" t="str">
        <f t="shared" si="4"/>
        <v/>
      </c>
      <c r="G66" s="9">
        <f t="shared" si="5"/>
        <v>0</v>
      </c>
      <c r="I66" t="str">
        <v>MATERIALS</v>
      </c>
      <c r="J66" t="str">
        <v>Poly Rope 6mm Blue</v>
      </c>
      <c r="K66" t="str">
        <v>ROLL</v>
      </c>
      <c r="L66" s="9">
        <f>IF($J66="","",IFERROR(SUMIFS(SummaryHelper!$H$2:$H$5000,SummaryHelper!$A$2:$A$5000,$I66,SummaryHelper!$B$2:$B$5000,$J66,SummaryHelper!$C$2:$C$5000,$K66)/SUMIFS(SummaryHelper!$G$2:$G$5000,SummaryHelper!$A$2:$A$5000,$I66,SummaryHelper!$B$2:$B$5000,$J66,SummaryHelper!$C$2:$C$5000,$K66),""))</f>
        <v>15</v>
      </c>
      <c r="M66" s="9">
        <f>IF($J66="","",SUMIFS(SummaryHelper!$E$2:$E$5000,SummaryHelper!$A$2:$A$5000,$I66,SummaryHelper!$B$2:$B$5000,$J66,SummaryHelper!$C$2:$C$5000,$K66))</f>
        <v>1</v>
      </c>
      <c r="N66" s="9">
        <f>IF($J66="","",SUMIFS(SummaryHelper!$F$2:$F$5000,SummaryHelper!$A$2:$A$5000,$I66,SummaryHelper!$B$2:$B$5000,$J66,SummaryHelper!$C$2:$C$5000,$K66))</f>
        <v>0</v>
      </c>
      <c r="O66" s="9">
        <f>IF($J66="","",SUMIFS(SummaryHelper!$G$2:$G$5000,SummaryHelper!$A$2:$A$5000,$I66,SummaryHelper!$B$2:$B$5000,$J66,SummaryHelper!$C$2:$C$5000,$K66))</f>
        <v>1</v>
      </c>
      <c r="Q66" s="9">
        <f t="shared" si="6"/>
        <v>1</v>
      </c>
      <c r="R66" s="9">
        <f t="shared" si="7"/>
        <v>15</v>
      </c>
      <c r="W66" s="9" t="str">
        <f>IF($U66="","",IFERROR(SUMIFS(SummaryHelper!$H$2:$H$5000,SummaryHelper!$A$2:$A$5000,$T66,SummaryHelper!$B$2:$B$5000,$U66,SummaryHelper!$C$2:$C$5000,$V66)/SUMIFS(SummaryHelper!$G$2:$G$5000,SummaryHelper!$A$2:$A$5000,$T66,SummaryHelper!$B$2:$B$5000,$U66,SummaryHelper!$C$2:$C$5000,$V66),""))</f>
        <v/>
      </c>
      <c r="X66" s="9" t="str">
        <f>IF($U66="","",SUMIFS(SummaryHelper!$E$2:$E$5000,SummaryHelper!$A$2:$A$5000,$T66,SummaryHelper!$B$2:$B$5000,$U66,SummaryHelper!$C$2:$C$5000,$V66))</f>
        <v/>
      </c>
      <c r="Y66" s="9" t="str">
        <f>IF($U66="","",SUMIFS(SummaryHelper!$F$2:$F$5000,SummaryHelper!$A$2:$A$5000,$T66,SummaryHelper!$B$2:$B$5000,$U66,SummaryHelper!$C$2:$C$5000,$V66))</f>
        <v/>
      </c>
      <c r="Z66" s="9" t="str">
        <f>IF($U66="","",SUMIFS(SummaryHelper!$G$2:$G$5000,SummaryHelper!$A$2:$A$5000,$T66,SummaryHelper!$B$2:$B$5000,$U66,SummaryHelper!$C$2:$C$5000,$V66))</f>
        <v/>
      </c>
      <c r="AB66" s="9" t="str">
        <f t="shared" si="8"/>
        <v/>
      </c>
      <c r="AC66" s="9" t="str">
        <f t="shared" si="9"/>
        <v/>
      </c>
      <c r="AH66" t="str">
        <f>IF($AF66="","",IFERROR(SUMIFS(SummaryHelper!$H$2:$H$5000,SummaryHelper!$A$2:$A$5000,$AE66,SummaryHelper!$B$2:$B$5000,$AF66,SummaryHelper!$C$2:$C$5000,$AG66)/SUMIFS(SummaryHelper!$G$2:$G$5000,SummaryHelper!$A$2:$A$5000,$AE66,SummaryHelper!$B$2:$B$5000,$AF66,SummaryHelper!$C$2:$C$5000,$AG66),""))</f>
        <v/>
      </c>
      <c r="AI66" t="str">
        <f>IF($AF66="","",SUMIFS(SummaryHelper!$E$2:$E$5000,SummaryHelper!$A$2:$A$5000,$AE66,SummaryHelper!$B$2:$B$5000,$AF66,SummaryHelper!$C$2:$C$5000,$AG66))</f>
        <v/>
      </c>
      <c r="AJ66" t="str">
        <f>IF($AF66="","",SUMIFS(SummaryHelper!$F$2:$F$5000,SummaryHelper!$A$2:$A$5000,$AE66,SummaryHelper!$B$2:$B$5000,$AF66,SummaryHelper!$C$2:$C$5000,$AG66))</f>
        <v/>
      </c>
      <c r="AK66" t="str">
        <f>IF($AF66="","",SUMIFS(SummaryHelper!$G$2:$G$5000,SummaryHelper!$A$2:$A$5000,$AE66,SummaryHelper!$B$2:$B$5000,$AF66,SummaryHelper!$C$2:$C$5000,$AG66))</f>
        <v/>
      </c>
      <c r="AM66" t="str">
        <f t="shared" si="10"/>
        <v/>
      </c>
      <c r="AN66" t="str">
        <f t="shared" si="11"/>
        <v/>
      </c>
    </row>
    <row r="67" spans="1:40" x14ac:dyDescent="0.25">
      <c r="A67" s="12"/>
      <c r="B67" s="23" t="str">
        <f t="shared" si="12"/>
        <v/>
      </c>
      <c r="C67" s="9" t="str">
        <f t="shared" ca="1" si="1"/>
        <v/>
      </c>
      <c r="D67" s="9" t="str">
        <f t="shared" ca="1" si="2"/>
        <v/>
      </c>
      <c r="E67" s="9" t="str">
        <f t="shared" ca="1" si="3"/>
        <v/>
      </c>
      <c r="F67" s="9" t="str">
        <f t="shared" si="4"/>
        <v/>
      </c>
      <c r="G67" s="9">
        <f t="shared" si="5"/>
        <v>0</v>
      </c>
      <c r="I67" t="str">
        <v>MATERIALS</v>
      </c>
      <c r="J67" t="str">
        <v>Poly Sealant 280ml</v>
      </c>
      <c r="K67" t="str">
        <v>PCS</v>
      </c>
      <c r="L67" s="9">
        <f>IF($J67="","",IFERROR(SUMIFS(SummaryHelper!$H$2:$H$5000,SummaryHelper!$A$2:$A$5000,$I67,SummaryHelper!$B$2:$B$5000,$J67,SummaryHelper!$C$2:$C$5000,$K67)/SUMIFS(SummaryHelper!$G$2:$G$5000,SummaryHelper!$A$2:$A$5000,$I67,SummaryHelper!$B$2:$B$5000,$J67,SummaryHelper!$C$2:$C$5000,$K67),""))</f>
        <v>5.5</v>
      </c>
      <c r="M67" s="9">
        <f>IF($J67="","",SUMIFS(SummaryHelper!$E$2:$E$5000,SummaryHelper!$A$2:$A$5000,$I67,SummaryHelper!$B$2:$B$5000,$J67,SummaryHelper!$C$2:$C$5000,$K67))</f>
        <v>4</v>
      </c>
      <c r="N67" s="9">
        <f>IF($J67="","",SUMIFS(SummaryHelper!$F$2:$F$5000,SummaryHelper!$A$2:$A$5000,$I67,SummaryHelper!$B$2:$B$5000,$J67,SummaryHelper!$C$2:$C$5000,$K67))</f>
        <v>0.05</v>
      </c>
      <c r="O67" s="9">
        <f>IF($J67="","",SUMIFS(SummaryHelper!$G$2:$G$5000,SummaryHelper!$A$2:$A$5000,$I67,SummaryHelper!$B$2:$B$5000,$J67,SummaryHelper!$C$2:$C$5000,$K67))</f>
        <v>4.2</v>
      </c>
      <c r="Q67" s="9">
        <f t="shared" si="6"/>
        <v>5</v>
      </c>
      <c r="R67" s="9">
        <f t="shared" si="7"/>
        <v>27.5</v>
      </c>
      <c r="W67" s="9" t="str">
        <f>IF($U67="","",IFERROR(SUMIFS(SummaryHelper!$H$2:$H$5000,SummaryHelper!$A$2:$A$5000,$T67,SummaryHelper!$B$2:$B$5000,$U67,SummaryHelper!$C$2:$C$5000,$V67)/SUMIFS(SummaryHelper!$G$2:$G$5000,SummaryHelper!$A$2:$A$5000,$T67,SummaryHelper!$B$2:$B$5000,$U67,SummaryHelper!$C$2:$C$5000,$V67),""))</f>
        <v/>
      </c>
      <c r="X67" s="9" t="str">
        <f>IF($U67="","",SUMIFS(SummaryHelper!$E$2:$E$5000,SummaryHelper!$A$2:$A$5000,$T67,SummaryHelper!$B$2:$B$5000,$U67,SummaryHelper!$C$2:$C$5000,$V67))</f>
        <v/>
      </c>
      <c r="Y67" s="9" t="str">
        <f>IF($U67="","",SUMIFS(SummaryHelper!$F$2:$F$5000,SummaryHelper!$A$2:$A$5000,$T67,SummaryHelper!$B$2:$B$5000,$U67,SummaryHelper!$C$2:$C$5000,$V67))</f>
        <v/>
      </c>
      <c r="Z67" s="9" t="str">
        <f>IF($U67="","",SUMIFS(SummaryHelper!$G$2:$G$5000,SummaryHelper!$A$2:$A$5000,$T67,SummaryHelper!$B$2:$B$5000,$U67,SummaryHelper!$C$2:$C$5000,$V67))</f>
        <v/>
      </c>
      <c r="AB67" s="9" t="str">
        <f t="shared" si="8"/>
        <v/>
      </c>
      <c r="AC67" s="9" t="str">
        <f t="shared" si="9"/>
        <v/>
      </c>
      <c r="AH67" t="str">
        <f>IF($AF67="","",IFERROR(SUMIFS(SummaryHelper!$H$2:$H$5000,SummaryHelper!$A$2:$A$5000,$AE67,SummaryHelper!$B$2:$B$5000,$AF67,SummaryHelper!$C$2:$C$5000,$AG67)/SUMIFS(SummaryHelper!$G$2:$G$5000,SummaryHelper!$A$2:$A$5000,$AE67,SummaryHelper!$B$2:$B$5000,$AF67,SummaryHelper!$C$2:$C$5000,$AG67),""))</f>
        <v/>
      </c>
      <c r="AI67" t="str">
        <f>IF($AF67="","",SUMIFS(SummaryHelper!$E$2:$E$5000,SummaryHelper!$A$2:$A$5000,$AE67,SummaryHelper!$B$2:$B$5000,$AF67,SummaryHelper!$C$2:$C$5000,$AG67))</f>
        <v/>
      </c>
      <c r="AJ67" t="str">
        <f>IF($AF67="","",SUMIFS(SummaryHelper!$F$2:$F$5000,SummaryHelper!$A$2:$A$5000,$AE67,SummaryHelper!$B$2:$B$5000,$AF67,SummaryHelper!$C$2:$C$5000,$AG67))</f>
        <v/>
      </c>
      <c r="AK67" t="str">
        <f>IF($AF67="","",SUMIFS(SummaryHelper!$G$2:$G$5000,SummaryHelper!$A$2:$A$5000,$AE67,SummaryHelper!$B$2:$B$5000,$AF67,SummaryHelper!$C$2:$C$5000,$AG67))</f>
        <v/>
      </c>
      <c r="AM67" t="str">
        <f t="shared" si="10"/>
        <v/>
      </c>
      <c r="AN67" t="str">
        <f t="shared" si="11"/>
        <v/>
      </c>
    </row>
    <row r="68" spans="1:40" x14ac:dyDescent="0.25">
      <c r="A68" s="12"/>
      <c r="B68" s="23" t="str">
        <f t="shared" si="12"/>
        <v/>
      </c>
      <c r="C68" s="9" t="str">
        <f t="shared" ref="C68:C131" ca="1" si="13">_xlfn.LET(_xlpm.sh,IFERROR(MID($B68,SEARCH("S",$B68),3),$B68),IF($B68="","",IFERROR(SUMIFS(INDIRECT("'"&amp;_xlpm.sh&amp;"'!N3:N300"),INDIRECT("'"&amp;_xlpm.sh&amp;"'!F3:F300"),"&lt;&gt;",INDIRECT("'"&amp;_xlpm.sh&amp;"'!H3:H300"),"&lt;&gt;"),0)))</f>
        <v/>
      </c>
      <c r="D68" s="9" t="str">
        <f t="shared" ref="D68:D131" ca="1" si="14">_xlfn.LET(_xlpm.sh,IFERROR(MID($B68,SEARCH("S",$B68),3),$B68),IF($B68="","",IFERROR(SUMIFS(INDIRECT("'"&amp;_xlpm.sh&amp;"'!Y3:Y300"),INDIRECT("'"&amp;_xlpm.sh&amp;"'!Q3:Q300"),"&lt;&gt;",INDIRECT("'"&amp;_xlpm.sh&amp;"'!S3:S300"),"&lt;&gt;"),0)))</f>
        <v/>
      </c>
      <c r="E68" s="9" t="str">
        <f t="shared" ref="E68:E131" ca="1" si="15">_xlfn.LET(_xlpm.sh,IFERROR(MID($B68,SEARCH("S",$B68),3),$B68),IF($B68="","",IFERROR(SUMIFS(INDIRECT("'"&amp;_xlpm.sh&amp;"'!AJ3:AJ300"),INDIRECT("'"&amp;_xlpm.sh&amp;"'!AB3:AB300"),"&lt;&gt;",INDIRECT("'"&amp;_xlpm.sh&amp;"'!AD3:AD300"),"&lt;&gt;"),0)))</f>
        <v/>
      </c>
      <c r="F68" s="9" t="str">
        <f t="shared" ref="F68:F131" si="16">IF($B68="","",C68+D68+E68)</f>
        <v/>
      </c>
      <c r="G68" s="9">
        <f t="shared" ref="G68:G131" si="17">IF($A68=1,$F68,0)</f>
        <v>0</v>
      </c>
      <c r="I68" t="str">
        <v>MATERIALS</v>
      </c>
      <c r="J68" t="str">
        <v>Primaflex Fibre Cement Board 4.00ft x 4.00ft</v>
      </c>
      <c r="K68" t="str">
        <v>SHEET</v>
      </c>
      <c r="L68" s="9">
        <f>IF($J68="","",IFERROR(SUMIFS(SummaryHelper!$H$2:$H$5000,SummaryHelper!$A$2:$A$5000,$I68,SummaryHelper!$B$2:$B$5000,$J68,SummaryHelper!$C$2:$C$5000,$K68)/SUMIFS(SummaryHelper!$G$2:$G$5000,SummaryHelper!$A$2:$A$5000,$I68,SummaryHelper!$B$2:$B$5000,$J68,SummaryHelper!$C$2:$C$5000,$K68),""))</f>
        <v>13</v>
      </c>
      <c r="M68" s="9">
        <f>IF($J68="","",SUMIFS(SummaryHelper!$E$2:$E$5000,SummaryHelper!$A$2:$A$5000,$I68,SummaryHelper!$B$2:$B$5000,$J68,SummaryHelper!$C$2:$C$5000,$K68))</f>
        <v>5</v>
      </c>
      <c r="N68" s="9">
        <f>IF($J68="","",SUMIFS(SummaryHelper!$F$2:$F$5000,SummaryHelper!$A$2:$A$5000,$I68,SummaryHelper!$B$2:$B$5000,$J68,SummaryHelper!$C$2:$C$5000,$K68))</f>
        <v>0.05</v>
      </c>
      <c r="O68" s="9">
        <f>IF($J68="","",SUMIFS(SummaryHelper!$G$2:$G$5000,SummaryHelper!$A$2:$A$5000,$I68,SummaryHelper!$B$2:$B$5000,$J68,SummaryHelper!$C$2:$C$5000,$K68))</f>
        <v>5.25</v>
      </c>
      <c r="Q68" s="9">
        <f t="shared" ref="Q68:Q131" si="18">IF($J68="","",IF($P68="",ROUNDUP($O68,0),$P68))</f>
        <v>6</v>
      </c>
      <c r="R68" s="9">
        <f t="shared" ref="R68:R131" si="19">IF($J68="","",$Q68*$L68)</f>
        <v>78</v>
      </c>
      <c r="W68" s="9" t="str">
        <f>IF($U68="","",IFERROR(SUMIFS(SummaryHelper!$H$2:$H$5000,SummaryHelper!$A$2:$A$5000,$T68,SummaryHelper!$B$2:$B$5000,$U68,SummaryHelper!$C$2:$C$5000,$V68)/SUMIFS(SummaryHelper!$G$2:$G$5000,SummaryHelper!$A$2:$A$5000,$T68,SummaryHelper!$B$2:$B$5000,$U68,SummaryHelper!$C$2:$C$5000,$V68),""))</f>
        <v/>
      </c>
      <c r="X68" s="9" t="str">
        <f>IF($U68="","",SUMIFS(SummaryHelper!$E$2:$E$5000,SummaryHelper!$A$2:$A$5000,$T68,SummaryHelper!$B$2:$B$5000,$U68,SummaryHelper!$C$2:$C$5000,$V68))</f>
        <v/>
      </c>
      <c r="Y68" s="9" t="str">
        <f>IF($U68="","",SUMIFS(SummaryHelper!$F$2:$F$5000,SummaryHelper!$A$2:$A$5000,$T68,SummaryHelper!$B$2:$B$5000,$U68,SummaryHelper!$C$2:$C$5000,$V68))</f>
        <v/>
      </c>
      <c r="Z68" s="9" t="str">
        <f>IF($U68="","",SUMIFS(SummaryHelper!$G$2:$G$5000,SummaryHelper!$A$2:$A$5000,$T68,SummaryHelper!$B$2:$B$5000,$U68,SummaryHelper!$C$2:$C$5000,$V68))</f>
        <v/>
      </c>
      <c r="AB68" s="9" t="str">
        <f t="shared" ref="AB68:AB131" si="20">IF($U68="","",IF($AA68="",$Z68,$AA68))</f>
        <v/>
      </c>
      <c r="AC68" s="9" t="str">
        <f t="shared" ref="AC68:AC131" si="21">IF($U68="","",$AB68*$W68)</f>
        <v/>
      </c>
      <c r="AH68" t="str">
        <f>IF($AF68="","",IFERROR(SUMIFS(SummaryHelper!$H$2:$H$5000,SummaryHelper!$A$2:$A$5000,$AE68,SummaryHelper!$B$2:$B$5000,$AF68,SummaryHelper!$C$2:$C$5000,$AG68)/SUMIFS(SummaryHelper!$G$2:$G$5000,SummaryHelper!$A$2:$A$5000,$AE68,SummaryHelper!$B$2:$B$5000,$AF68,SummaryHelper!$C$2:$C$5000,$AG68),""))</f>
        <v/>
      </c>
      <c r="AI68" t="str">
        <f>IF($AF68="","",SUMIFS(SummaryHelper!$E$2:$E$5000,SummaryHelper!$A$2:$A$5000,$AE68,SummaryHelper!$B$2:$B$5000,$AF68,SummaryHelper!$C$2:$C$5000,$AG68))</f>
        <v/>
      </c>
      <c r="AJ68" t="str">
        <f>IF($AF68="","",SUMIFS(SummaryHelper!$F$2:$F$5000,SummaryHelper!$A$2:$A$5000,$AE68,SummaryHelper!$B$2:$B$5000,$AF68,SummaryHelper!$C$2:$C$5000,$AG68))</f>
        <v/>
      </c>
      <c r="AK68" t="str">
        <f>IF($AF68="","",SUMIFS(SummaryHelper!$G$2:$G$5000,SummaryHelper!$A$2:$A$5000,$AE68,SummaryHelper!$B$2:$B$5000,$AF68,SummaryHelper!$C$2:$C$5000,$AG68))</f>
        <v/>
      </c>
      <c r="AM68" t="str">
        <f t="shared" ref="AM68:AM131" si="22">IF($AF68="","",IF($AL68="",$AK68,$AL68))</f>
        <v/>
      </c>
      <c r="AN68" t="str">
        <f t="shared" ref="AN68:AN131" si="23">IF($AF68="","",$AM68*$AH68)</f>
        <v/>
      </c>
    </row>
    <row r="69" spans="1:40" x14ac:dyDescent="0.25">
      <c r="A69" s="12"/>
      <c r="B69" s="23" t="str">
        <f t="shared" si="12"/>
        <v/>
      </c>
      <c r="C69" s="9" t="str">
        <f t="shared" ca="1" si="13"/>
        <v/>
      </c>
      <c r="D69" s="9" t="str">
        <f t="shared" ca="1" si="14"/>
        <v/>
      </c>
      <c r="E69" s="9" t="str">
        <f t="shared" ca="1" si="15"/>
        <v/>
      </c>
      <c r="F69" s="9" t="str">
        <f t="shared" si="16"/>
        <v/>
      </c>
      <c r="G69" s="9">
        <f t="shared" si="17"/>
        <v>0</v>
      </c>
      <c r="I69" t="str">
        <v>MATERIALS</v>
      </c>
      <c r="J69" t="str">
        <v>PVC Concealed Box 1 Gang</v>
      </c>
      <c r="K69" t="str">
        <v>UNIT</v>
      </c>
      <c r="L69" s="9">
        <f>IF($J69="","",IFERROR(SUMIFS(SummaryHelper!$H$2:$H$5000,SummaryHelper!$A$2:$A$5000,$I69,SummaryHelper!$B$2:$B$5000,$J69,SummaryHelper!$C$2:$C$5000,$K69)/SUMIFS(SummaryHelper!$G$2:$G$5000,SummaryHelper!$A$2:$A$5000,$I69,SummaryHelper!$B$2:$B$5000,$J69,SummaryHelper!$C$2:$C$5000,$K69),""))</f>
        <v>0.35</v>
      </c>
      <c r="M69" s="9">
        <f>IF($J69="","",SUMIFS(SummaryHelper!$E$2:$E$5000,SummaryHelper!$A$2:$A$5000,$I69,SummaryHelper!$B$2:$B$5000,$J69,SummaryHelper!$C$2:$C$5000,$K69))</f>
        <v>15</v>
      </c>
      <c r="N69" s="9">
        <f>IF($J69="","",SUMIFS(SummaryHelper!$F$2:$F$5000,SummaryHelper!$A$2:$A$5000,$I69,SummaryHelper!$B$2:$B$5000,$J69,SummaryHelper!$C$2:$C$5000,$K69))</f>
        <v>0</v>
      </c>
      <c r="O69" s="9">
        <f>IF($J69="","",SUMIFS(SummaryHelper!$G$2:$G$5000,SummaryHelper!$A$2:$A$5000,$I69,SummaryHelper!$B$2:$B$5000,$J69,SummaryHelper!$C$2:$C$5000,$K69))</f>
        <v>15</v>
      </c>
      <c r="Q69" s="9">
        <f t="shared" si="18"/>
        <v>15</v>
      </c>
      <c r="R69" s="9">
        <f t="shared" si="19"/>
        <v>5.25</v>
      </c>
      <c r="W69" s="9" t="str">
        <f>IF($U69="","",IFERROR(SUMIFS(SummaryHelper!$H$2:$H$5000,SummaryHelper!$A$2:$A$5000,$T69,SummaryHelper!$B$2:$B$5000,$U69,SummaryHelper!$C$2:$C$5000,$V69)/SUMIFS(SummaryHelper!$G$2:$G$5000,SummaryHelper!$A$2:$A$5000,$T69,SummaryHelper!$B$2:$B$5000,$U69,SummaryHelper!$C$2:$C$5000,$V69),""))</f>
        <v/>
      </c>
      <c r="X69" s="9" t="str">
        <f>IF($U69="","",SUMIFS(SummaryHelper!$E$2:$E$5000,SummaryHelper!$A$2:$A$5000,$T69,SummaryHelper!$B$2:$B$5000,$U69,SummaryHelper!$C$2:$C$5000,$V69))</f>
        <v/>
      </c>
      <c r="Y69" s="9" t="str">
        <f>IF($U69="","",SUMIFS(SummaryHelper!$F$2:$F$5000,SummaryHelper!$A$2:$A$5000,$T69,SummaryHelper!$B$2:$B$5000,$U69,SummaryHelper!$C$2:$C$5000,$V69))</f>
        <v/>
      </c>
      <c r="Z69" s="9" t="str">
        <f>IF($U69="","",SUMIFS(SummaryHelper!$G$2:$G$5000,SummaryHelper!$A$2:$A$5000,$T69,SummaryHelper!$B$2:$B$5000,$U69,SummaryHelper!$C$2:$C$5000,$V69))</f>
        <v/>
      </c>
      <c r="AB69" s="9" t="str">
        <f t="shared" si="20"/>
        <v/>
      </c>
      <c r="AC69" s="9" t="str">
        <f t="shared" si="21"/>
        <v/>
      </c>
      <c r="AH69" t="str">
        <f>IF($AF69="","",IFERROR(SUMIFS(SummaryHelper!$H$2:$H$5000,SummaryHelper!$A$2:$A$5000,$AE69,SummaryHelper!$B$2:$B$5000,$AF69,SummaryHelper!$C$2:$C$5000,$AG69)/SUMIFS(SummaryHelper!$G$2:$G$5000,SummaryHelper!$A$2:$A$5000,$AE69,SummaryHelper!$B$2:$B$5000,$AF69,SummaryHelper!$C$2:$C$5000,$AG69),""))</f>
        <v/>
      </c>
      <c r="AI69" t="str">
        <f>IF($AF69="","",SUMIFS(SummaryHelper!$E$2:$E$5000,SummaryHelper!$A$2:$A$5000,$AE69,SummaryHelper!$B$2:$B$5000,$AF69,SummaryHelper!$C$2:$C$5000,$AG69))</f>
        <v/>
      </c>
      <c r="AJ69" t="str">
        <f>IF($AF69="","",SUMIFS(SummaryHelper!$F$2:$F$5000,SummaryHelper!$A$2:$A$5000,$AE69,SummaryHelper!$B$2:$B$5000,$AF69,SummaryHelper!$C$2:$C$5000,$AG69))</f>
        <v/>
      </c>
      <c r="AK69" t="str">
        <f>IF($AF69="","",SUMIFS(SummaryHelper!$G$2:$G$5000,SummaryHelper!$A$2:$A$5000,$AE69,SummaryHelper!$B$2:$B$5000,$AF69,SummaryHelper!$C$2:$C$5000,$AG69))</f>
        <v/>
      </c>
      <c r="AM69" t="str">
        <f t="shared" si="22"/>
        <v/>
      </c>
      <c r="AN69" t="str">
        <f t="shared" si="23"/>
        <v/>
      </c>
    </row>
    <row r="70" spans="1:40" x14ac:dyDescent="0.25">
      <c r="A70" s="12"/>
      <c r="B70" s="23" t="str">
        <f t="shared" si="12"/>
        <v/>
      </c>
      <c r="C70" s="9" t="str">
        <f t="shared" ca="1" si="13"/>
        <v/>
      </c>
      <c r="D70" s="9" t="str">
        <f t="shared" ca="1" si="14"/>
        <v/>
      </c>
      <c r="E70" s="9" t="str">
        <f t="shared" ca="1" si="15"/>
        <v/>
      </c>
      <c r="F70" s="9" t="str">
        <f t="shared" si="16"/>
        <v/>
      </c>
      <c r="G70" s="9">
        <f t="shared" si="17"/>
        <v>0</v>
      </c>
      <c r="I70" t="str">
        <v>MATERIALS</v>
      </c>
      <c r="J70" t="str">
        <v>PVC Conduit Pipe 20mm (10ft)</v>
      </c>
      <c r="K70" t="str">
        <v>LTH</v>
      </c>
      <c r="L70" s="9">
        <f>IF($J70="","",IFERROR(SUMIFS(SummaryHelper!$H$2:$H$5000,SummaryHelper!$A$2:$A$5000,$I70,SummaryHelper!$B$2:$B$5000,$J70,SummaryHelper!$C$2:$C$5000,$K70)/SUMIFS(SummaryHelper!$G$2:$G$5000,SummaryHelper!$A$2:$A$5000,$I70,SummaryHelper!$B$2:$B$5000,$J70,SummaryHelper!$C$2:$C$5000,$K70),""))</f>
        <v>6.8</v>
      </c>
      <c r="M70" s="9">
        <f>IF($J70="","",SUMIFS(SummaryHelper!$E$2:$E$5000,SummaryHelper!$A$2:$A$5000,$I70,SummaryHelper!$B$2:$B$5000,$J70,SummaryHelper!$C$2:$C$5000,$K70))</f>
        <v>15</v>
      </c>
      <c r="N70" s="9">
        <f>IF($J70="","",SUMIFS(SummaryHelper!$F$2:$F$5000,SummaryHelper!$A$2:$A$5000,$I70,SummaryHelper!$B$2:$B$5000,$J70,SummaryHelper!$C$2:$C$5000,$K70))</f>
        <v>0</v>
      </c>
      <c r="O70" s="9">
        <f>IF($J70="","",SUMIFS(SummaryHelper!$G$2:$G$5000,SummaryHelper!$A$2:$A$5000,$I70,SummaryHelper!$B$2:$B$5000,$J70,SummaryHelper!$C$2:$C$5000,$K70))</f>
        <v>15</v>
      </c>
      <c r="Q70" s="9">
        <f t="shared" si="18"/>
        <v>15</v>
      </c>
      <c r="R70" s="9">
        <f t="shared" si="19"/>
        <v>102</v>
      </c>
      <c r="W70" s="9" t="str">
        <f>IF($U70="","",IFERROR(SUMIFS(SummaryHelper!$H$2:$H$5000,SummaryHelper!$A$2:$A$5000,$T70,SummaryHelper!$B$2:$B$5000,$U70,SummaryHelper!$C$2:$C$5000,$V70)/SUMIFS(SummaryHelper!$G$2:$G$5000,SummaryHelper!$A$2:$A$5000,$T70,SummaryHelper!$B$2:$B$5000,$U70,SummaryHelper!$C$2:$C$5000,$V70),""))</f>
        <v/>
      </c>
      <c r="X70" s="9" t="str">
        <f>IF($U70="","",SUMIFS(SummaryHelper!$E$2:$E$5000,SummaryHelper!$A$2:$A$5000,$T70,SummaryHelper!$B$2:$B$5000,$U70,SummaryHelper!$C$2:$C$5000,$V70))</f>
        <v/>
      </c>
      <c r="Y70" s="9" t="str">
        <f>IF($U70="","",SUMIFS(SummaryHelper!$F$2:$F$5000,SummaryHelper!$A$2:$A$5000,$T70,SummaryHelper!$B$2:$B$5000,$U70,SummaryHelper!$C$2:$C$5000,$V70))</f>
        <v/>
      </c>
      <c r="Z70" s="9" t="str">
        <f>IF($U70="","",SUMIFS(SummaryHelper!$G$2:$G$5000,SummaryHelper!$A$2:$A$5000,$T70,SummaryHelper!$B$2:$B$5000,$U70,SummaryHelper!$C$2:$C$5000,$V70))</f>
        <v/>
      </c>
      <c r="AB70" s="9" t="str">
        <f t="shared" si="20"/>
        <v/>
      </c>
      <c r="AC70" s="9" t="str">
        <f t="shared" si="21"/>
        <v/>
      </c>
      <c r="AH70" t="str">
        <f>IF($AF70="","",IFERROR(SUMIFS(SummaryHelper!$H$2:$H$5000,SummaryHelper!$A$2:$A$5000,$AE70,SummaryHelper!$B$2:$B$5000,$AF70,SummaryHelper!$C$2:$C$5000,$AG70)/SUMIFS(SummaryHelper!$G$2:$G$5000,SummaryHelper!$A$2:$A$5000,$AE70,SummaryHelper!$B$2:$B$5000,$AF70,SummaryHelper!$C$2:$C$5000,$AG70),""))</f>
        <v/>
      </c>
      <c r="AI70" t="str">
        <f>IF($AF70="","",SUMIFS(SummaryHelper!$E$2:$E$5000,SummaryHelper!$A$2:$A$5000,$AE70,SummaryHelper!$B$2:$B$5000,$AF70,SummaryHelper!$C$2:$C$5000,$AG70))</f>
        <v/>
      </c>
      <c r="AJ70" t="str">
        <f>IF($AF70="","",SUMIFS(SummaryHelper!$F$2:$F$5000,SummaryHelper!$A$2:$A$5000,$AE70,SummaryHelper!$B$2:$B$5000,$AF70,SummaryHelper!$C$2:$C$5000,$AG70))</f>
        <v/>
      </c>
      <c r="AK70" t="str">
        <f>IF($AF70="","",SUMIFS(SummaryHelper!$G$2:$G$5000,SummaryHelper!$A$2:$A$5000,$AE70,SummaryHelper!$B$2:$B$5000,$AF70,SummaryHelper!$C$2:$C$5000,$AG70))</f>
        <v/>
      </c>
      <c r="AM70" t="str">
        <f t="shared" si="22"/>
        <v/>
      </c>
      <c r="AN70" t="str">
        <f t="shared" si="23"/>
        <v/>
      </c>
    </row>
    <row r="71" spans="1:40" x14ac:dyDescent="0.25">
      <c r="A71" s="12"/>
      <c r="B71" s="23" t="str">
        <f t="shared" si="12"/>
        <v/>
      </c>
      <c r="C71" s="9" t="str">
        <f t="shared" ca="1" si="13"/>
        <v/>
      </c>
      <c r="D71" s="9" t="str">
        <f t="shared" ca="1" si="14"/>
        <v/>
      </c>
      <c r="E71" s="9" t="str">
        <f t="shared" ca="1" si="15"/>
        <v/>
      </c>
      <c r="F71" s="9" t="str">
        <f t="shared" si="16"/>
        <v/>
      </c>
      <c r="G71" s="9">
        <f t="shared" si="17"/>
        <v>0</v>
      </c>
      <c r="I71" t="str">
        <v>MATERIALS</v>
      </c>
      <c r="J71" t="str">
        <v>PVC Conduit Pipe 25mm (10ft)</v>
      </c>
      <c r="K71" t="str">
        <v>LTH</v>
      </c>
      <c r="L71" s="9">
        <f>IF($J71="","",IFERROR(SUMIFS(SummaryHelper!$H$2:$H$5000,SummaryHelper!$A$2:$A$5000,$I71,SummaryHelper!$B$2:$B$5000,$J71,SummaryHelper!$C$2:$C$5000,$K71)/SUMIFS(SummaryHelper!$G$2:$G$5000,SummaryHelper!$A$2:$A$5000,$I71,SummaryHelper!$B$2:$B$5000,$J71,SummaryHelper!$C$2:$C$5000,$K71),""))</f>
        <v>10.199999999999999</v>
      </c>
      <c r="M71" s="9">
        <f>IF($J71="","",SUMIFS(SummaryHelper!$E$2:$E$5000,SummaryHelper!$A$2:$A$5000,$I71,SummaryHelper!$B$2:$B$5000,$J71,SummaryHelper!$C$2:$C$5000,$K71))</f>
        <v>12</v>
      </c>
      <c r="N71" s="9">
        <f>IF($J71="","",SUMIFS(SummaryHelper!$F$2:$F$5000,SummaryHelper!$A$2:$A$5000,$I71,SummaryHelper!$B$2:$B$5000,$J71,SummaryHelper!$C$2:$C$5000,$K71))</f>
        <v>0</v>
      </c>
      <c r="O71" s="9">
        <f>IF($J71="","",SUMIFS(SummaryHelper!$G$2:$G$5000,SummaryHelper!$A$2:$A$5000,$I71,SummaryHelper!$B$2:$B$5000,$J71,SummaryHelper!$C$2:$C$5000,$K71))</f>
        <v>12</v>
      </c>
      <c r="Q71" s="9">
        <f t="shared" si="18"/>
        <v>12</v>
      </c>
      <c r="R71" s="9">
        <f t="shared" si="19"/>
        <v>122.39999999999999</v>
      </c>
      <c r="W71" s="9" t="str">
        <f>IF($U71="","",IFERROR(SUMIFS(SummaryHelper!$H$2:$H$5000,SummaryHelper!$A$2:$A$5000,$T71,SummaryHelper!$B$2:$B$5000,$U71,SummaryHelper!$C$2:$C$5000,$V71)/SUMIFS(SummaryHelper!$G$2:$G$5000,SummaryHelper!$A$2:$A$5000,$T71,SummaryHelper!$B$2:$B$5000,$U71,SummaryHelper!$C$2:$C$5000,$V71),""))</f>
        <v/>
      </c>
      <c r="X71" s="9" t="str">
        <f>IF($U71="","",SUMIFS(SummaryHelper!$E$2:$E$5000,SummaryHelper!$A$2:$A$5000,$T71,SummaryHelper!$B$2:$B$5000,$U71,SummaryHelper!$C$2:$C$5000,$V71))</f>
        <v/>
      </c>
      <c r="Y71" s="9" t="str">
        <f>IF($U71="","",SUMIFS(SummaryHelper!$F$2:$F$5000,SummaryHelper!$A$2:$A$5000,$T71,SummaryHelper!$B$2:$B$5000,$U71,SummaryHelper!$C$2:$C$5000,$V71))</f>
        <v/>
      </c>
      <c r="Z71" s="9" t="str">
        <f>IF($U71="","",SUMIFS(SummaryHelper!$G$2:$G$5000,SummaryHelper!$A$2:$A$5000,$T71,SummaryHelper!$B$2:$B$5000,$U71,SummaryHelper!$C$2:$C$5000,$V71))</f>
        <v/>
      </c>
      <c r="AB71" s="9" t="str">
        <f t="shared" si="20"/>
        <v/>
      </c>
      <c r="AC71" s="9" t="str">
        <f t="shared" si="21"/>
        <v/>
      </c>
      <c r="AH71" t="str">
        <f>IF($AF71="","",IFERROR(SUMIFS(SummaryHelper!$H$2:$H$5000,SummaryHelper!$A$2:$A$5000,$AE71,SummaryHelper!$B$2:$B$5000,$AF71,SummaryHelper!$C$2:$C$5000,$AG71)/SUMIFS(SummaryHelper!$G$2:$G$5000,SummaryHelper!$A$2:$A$5000,$AE71,SummaryHelper!$B$2:$B$5000,$AF71,SummaryHelper!$C$2:$C$5000,$AG71),""))</f>
        <v/>
      </c>
      <c r="AI71" t="str">
        <f>IF($AF71="","",SUMIFS(SummaryHelper!$E$2:$E$5000,SummaryHelper!$A$2:$A$5000,$AE71,SummaryHelper!$B$2:$B$5000,$AF71,SummaryHelper!$C$2:$C$5000,$AG71))</f>
        <v/>
      </c>
      <c r="AJ71" t="str">
        <f>IF($AF71="","",SUMIFS(SummaryHelper!$F$2:$F$5000,SummaryHelper!$A$2:$A$5000,$AE71,SummaryHelper!$B$2:$B$5000,$AF71,SummaryHelper!$C$2:$C$5000,$AG71))</f>
        <v/>
      </c>
      <c r="AK71" t="str">
        <f>IF($AF71="","",SUMIFS(SummaryHelper!$G$2:$G$5000,SummaryHelper!$A$2:$A$5000,$AE71,SummaryHelper!$B$2:$B$5000,$AF71,SummaryHelper!$C$2:$C$5000,$AG71))</f>
        <v/>
      </c>
      <c r="AM71" t="str">
        <f t="shared" si="22"/>
        <v/>
      </c>
      <c r="AN71" t="str">
        <f t="shared" si="23"/>
        <v/>
      </c>
    </row>
    <row r="72" spans="1:40" x14ac:dyDescent="0.25">
      <c r="A72" s="12"/>
      <c r="B72" s="23" t="str">
        <f t="shared" si="12"/>
        <v/>
      </c>
      <c r="C72" s="9" t="str">
        <f t="shared" ca="1" si="13"/>
        <v/>
      </c>
      <c r="D72" s="9" t="str">
        <f t="shared" ca="1" si="14"/>
        <v/>
      </c>
      <c r="E72" s="9" t="str">
        <f t="shared" ca="1" si="15"/>
        <v/>
      </c>
      <c r="F72" s="9" t="str">
        <f t="shared" si="16"/>
        <v/>
      </c>
      <c r="G72" s="9">
        <f t="shared" si="17"/>
        <v>0</v>
      </c>
      <c r="I72" t="str">
        <v>MATERIALS</v>
      </c>
      <c r="J72" t="str">
        <v>PVC Elbow 90 Degree 25mm</v>
      </c>
      <c r="K72" t="str">
        <v>PKT</v>
      </c>
      <c r="L72" s="9">
        <f>IF($J72="","",IFERROR(SUMIFS(SummaryHelper!$H$2:$H$5000,SummaryHelper!$A$2:$A$5000,$I72,SummaryHelper!$B$2:$B$5000,$J72,SummaryHelper!$C$2:$C$5000,$K72)/SUMIFS(SummaryHelper!$G$2:$G$5000,SummaryHelper!$A$2:$A$5000,$I72,SummaryHelper!$B$2:$B$5000,$J72,SummaryHelper!$C$2:$C$5000,$K72),""))</f>
        <v>1.36</v>
      </c>
      <c r="M72" s="9">
        <f>IF($J72="","",SUMIFS(SummaryHelper!$E$2:$E$5000,SummaryHelper!$A$2:$A$5000,$I72,SummaryHelper!$B$2:$B$5000,$J72,SummaryHelper!$C$2:$C$5000,$K72))</f>
        <v>2</v>
      </c>
      <c r="N72" s="9">
        <f>IF($J72="","",SUMIFS(SummaryHelper!$F$2:$F$5000,SummaryHelper!$A$2:$A$5000,$I72,SummaryHelper!$B$2:$B$5000,$J72,SummaryHelper!$C$2:$C$5000,$K72))</f>
        <v>0</v>
      </c>
      <c r="O72" s="9">
        <f>IF($J72="","",SUMIFS(SummaryHelper!$G$2:$G$5000,SummaryHelper!$A$2:$A$5000,$I72,SummaryHelper!$B$2:$B$5000,$J72,SummaryHelper!$C$2:$C$5000,$K72))</f>
        <v>2</v>
      </c>
      <c r="Q72" s="9">
        <f t="shared" si="18"/>
        <v>2</v>
      </c>
      <c r="R72" s="9">
        <f t="shared" si="19"/>
        <v>2.72</v>
      </c>
      <c r="W72" s="9" t="str">
        <f>IF($U72="","",IFERROR(SUMIFS(SummaryHelper!$H$2:$H$5000,SummaryHelper!$A$2:$A$5000,$T72,SummaryHelper!$B$2:$B$5000,$U72,SummaryHelper!$C$2:$C$5000,$V72)/SUMIFS(SummaryHelper!$G$2:$G$5000,SummaryHelper!$A$2:$A$5000,$T72,SummaryHelper!$B$2:$B$5000,$U72,SummaryHelper!$C$2:$C$5000,$V72),""))</f>
        <v/>
      </c>
      <c r="X72" s="9" t="str">
        <f>IF($U72="","",SUMIFS(SummaryHelper!$E$2:$E$5000,SummaryHelper!$A$2:$A$5000,$T72,SummaryHelper!$B$2:$B$5000,$U72,SummaryHelper!$C$2:$C$5000,$V72))</f>
        <v/>
      </c>
      <c r="Y72" s="9" t="str">
        <f>IF($U72="","",SUMIFS(SummaryHelper!$F$2:$F$5000,SummaryHelper!$A$2:$A$5000,$T72,SummaryHelper!$B$2:$B$5000,$U72,SummaryHelper!$C$2:$C$5000,$V72))</f>
        <v/>
      </c>
      <c r="Z72" s="9" t="str">
        <f>IF($U72="","",SUMIFS(SummaryHelper!$G$2:$G$5000,SummaryHelper!$A$2:$A$5000,$T72,SummaryHelper!$B$2:$B$5000,$U72,SummaryHelper!$C$2:$C$5000,$V72))</f>
        <v/>
      </c>
      <c r="AB72" s="9" t="str">
        <f t="shared" si="20"/>
        <v/>
      </c>
      <c r="AC72" s="9" t="str">
        <f t="shared" si="21"/>
        <v/>
      </c>
      <c r="AH72" t="str">
        <f>IF($AF72="","",IFERROR(SUMIFS(SummaryHelper!$H$2:$H$5000,SummaryHelper!$A$2:$A$5000,$AE72,SummaryHelper!$B$2:$B$5000,$AF72,SummaryHelper!$C$2:$C$5000,$AG72)/SUMIFS(SummaryHelper!$G$2:$G$5000,SummaryHelper!$A$2:$A$5000,$AE72,SummaryHelper!$B$2:$B$5000,$AF72,SummaryHelper!$C$2:$C$5000,$AG72),""))</f>
        <v/>
      </c>
      <c r="AI72" t="str">
        <f>IF($AF72="","",SUMIFS(SummaryHelper!$E$2:$E$5000,SummaryHelper!$A$2:$A$5000,$AE72,SummaryHelper!$B$2:$B$5000,$AF72,SummaryHelper!$C$2:$C$5000,$AG72))</f>
        <v/>
      </c>
      <c r="AJ72" t="str">
        <f>IF($AF72="","",SUMIFS(SummaryHelper!$F$2:$F$5000,SummaryHelper!$A$2:$A$5000,$AE72,SummaryHelper!$B$2:$B$5000,$AF72,SummaryHelper!$C$2:$C$5000,$AG72))</f>
        <v/>
      </c>
      <c r="AK72" t="str">
        <f>IF($AF72="","",SUMIFS(SummaryHelper!$G$2:$G$5000,SummaryHelper!$A$2:$A$5000,$AE72,SummaryHelper!$B$2:$B$5000,$AF72,SummaryHelper!$C$2:$C$5000,$AG72))</f>
        <v/>
      </c>
      <c r="AM72" t="str">
        <f t="shared" si="22"/>
        <v/>
      </c>
      <c r="AN72" t="str">
        <f t="shared" si="23"/>
        <v/>
      </c>
    </row>
    <row r="73" spans="1:40" x14ac:dyDescent="0.25">
      <c r="A73" s="12"/>
      <c r="B73" s="23" t="str">
        <f t="shared" si="12"/>
        <v/>
      </c>
      <c r="C73" s="9" t="str">
        <f t="shared" ca="1" si="13"/>
        <v/>
      </c>
      <c r="D73" s="9" t="str">
        <f t="shared" ca="1" si="14"/>
        <v/>
      </c>
      <c r="E73" s="9" t="str">
        <f t="shared" ca="1" si="15"/>
        <v/>
      </c>
      <c r="F73" s="9" t="str">
        <f t="shared" si="16"/>
        <v/>
      </c>
      <c r="G73" s="9">
        <f t="shared" si="17"/>
        <v>0</v>
      </c>
      <c r="I73" t="str">
        <v>MATERIALS</v>
      </c>
      <c r="J73" t="str">
        <v>PVC Fitting Double End Socket 100mm (4")</v>
      </c>
      <c r="K73" t="str">
        <v>PCS</v>
      </c>
      <c r="L73" s="9">
        <f>IF($J73="","",IFERROR(SUMIFS(SummaryHelper!$H$2:$H$5000,SummaryHelper!$A$2:$A$5000,$I73,SummaryHelper!$B$2:$B$5000,$J73,SummaryHelper!$C$2:$C$5000,$K73)/SUMIFS(SummaryHelper!$G$2:$G$5000,SummaryHelper!$A$2:$A$5000,$I73,SummaryHelper!$B$2:$B$5000,$J73,SummaryHelper!$C$2:$C$5000,$K73),""))</f>
        <v>9.5</v>
      </c>
      <c r="M73" s="9">
        <f>IF($J73="","",SUMIFS(SummaryHelper!$E$2:$E$5000,SummaryHelper!$A$2:$A$5000,$I73,SummaryHelper!$B$2:$B$5000,$J73,SummaryHelper!$C$2:$C$5000,$K73))</f>
        <v>2</v>
      </c>
      <c r="N73" s="9">
        <f>IF($J73="","",SUMIFS(SummaryHelper!$F$2:$F$5000,SummaryHelper!$A$2:$A$5000,$I73,SummaryHelper!$B$2:$B$5000,$J73,SummaryHelper!$C$2:$C$5000,$K73))</f>
        <v>0.05</v>
      </c>
      <c r="O73" s="9">
        <f>IF($J73="","",SUMIFS(SummaryHelper!$G$2:$G$5000,SummaryHelper!$A$2:$A$5000,$I73,SummaryHelper!$B$2:$B$5000,$J73,SummaryHelper!$C$2:$C$5000,$K73))</f>
        <v>2.1</v>
      </c>
      <c r="Q73" s="9">
        <f t="shared" si="18"/>
        <v>3</v>
      </c>
      <c r="R73" s="9">
        <f t="shared" si="19"/>
        <v>28.5</v>
      </c>
      <c r="W73" s="9" t="str">
        <f>IF($U73="","",IFERROR(SUMIFS(SummaryHelper!$H$2:$H$5000,SummaryHelper!$A$2:$A$5000,$T73,SummaryHelper!$B$2:$B$5000,$U73,SummaryHelper!$C$2:$C$5000,$V73)/SUMIFS(SummaryHelper!$G$2:$G$5000,SummaryHelper!$A$2:$A$5000,$T73,SummaryHelper!$B$2:$B$5000,$U73,SummaryHelper!$C$2:$C$5000,$V73),""))</f>
        <v/>
      </c>
      <c r="X73" s="9" t="str">
        <f>IF($U73="","",SUMIFS(SummaryHelper!$E$2:$E$5000,SummaryHelper!$A$2:$A$5000,$T73,SummaryHelper!$B$2:$B$5000,$U73,SummaryHelper!$C$2:$C$5000,$V73))</f>
        <v/>
      </c>
      <c r="Y73" s="9" t="str">
        <f>IF($U73="","",SUMIFS(SummaryHelper!$F$2:$F$5000,SummaryHelper!$A$2:$A$5000,$T73,SummaryHelper!$B$2:$B$5000,$U73,SummaryHelper!$C$2:$C$5000,$V73))</f>
        <v/>
      </c>
      <c r="Z73" s="9" t="str">
        <f>IF($U73="","",SUMIFS(SummaryHelper!$G$2:$G$5000,SummaryHelper!$A$2:$A$5000,$T73,SummaryHelper!$B$2:$B$5000,$U73,SummaryHelper!$C$2:$C$5000,$V73))</f>
        <v/>
      </c>
      <c r="AB73" s="9" t="str">
        <f t="shared" si="20"/>
        <v/>
      </c>
      <c r="AC73" s="9" t="str">
        <f t="shared" si="21"/>
        <v/>
      </c>
      <c r="AH73" t="str">
        <f>IF($AF73="","",IFERROR(SUMIFS(SummaryHelper!$H$2:$H$5000,SummaryHelper!$A$2:$A$5000,$AE73,SummaryHelper!$B$2:$B$5000,$AF73,SummaryHelper!$C$2:$C$5000,$AG73)/SUMIFS(SummaryHelper!$G$2:$G$5000,SummaryHelper!$A$2:$A$5000,$AE73,SummaryHelper!$B$2:$B$5000,$AF73,SummaryHelper!$C$2:$C$5000,$AG73),""))</f>
        <v/>
      </c>
      <c r="AI73" t="str">
        <f>IF($AF73="","",SUMIFS(SummaryHelper!$E$2:$E$5000,SummaryHelper!$A$2:$A$5000,$AE73,SummaryHelper!$B$2:$B$5000,$AF73,SummaryHelper!$C$2:$C$5000,$AG73))</f>
        <v/>
      </c>
      <c r="AJ73" t="str">
        <f>IF($AF73="","",SUMIFS(SummaryHelper!$F$2:$F$5000,SummaryHelper!$A$2:$A$5000,$AE73,SummaryHelper!$B$2:$B$5000,$AF73,SummaryHelper!$C$2:$C$5000,$AG73))</f>
        <v/>
      </c>
      <c r="AK73" t="str">
        <f>IF($AF73="","",SUMIFS(SummaryHelper!$G$2:$G$5000,SummaryHelper!$A$2:$A$5000,$AE73,SummaryHelper!$B$2:$B$5000,$AF73,SummaryHelper!$C$2:$C$5000,$AG73))</f>
        <v/>
      </c>
      <c r="AM73" t="str">
        <f t="shared" si="22"/>
        <v/>
      </c>
      <c r="AN73" t="str">
        <f t="shared" si="23"/>
        <v/>
      </c>
    </row>
    <row r="74" spans="1:40" x14ac:dyDescent="0.25">
      <c r="A74" s="12"/>
      <c r="B74" s="23" t="str">
        <f t="shared" si="12"/>
        <v/>
      </c>
      <c r="C74" s="9" t="str">
        <f t="shared" ca="1" si="13"/>
        <v/>
      </c>
      <c r="D74" s="9" t="str">
        <f t="shared" ca="1" si="14"/>
        <v/>
      </c>
      <c r="E74" s="9" t="str">
        <f t="shared" ca="1" si="15"/>
        <v/>
      </c>
      <c r="F74" s="9" t="str">
        <f t="shared" si="16"/>
        <v/>
      </c>
      <c r="G74" s="9">
        <f t="shared" si="17"/>
        <v>0</v>
      </c>
      <c r="I74" t="str">
        <v>MATERIALS</v>
      </c>
      <c r="J74" t="str">
        <v>PVC Fitting Double End Socket 50mm (2")</v>
      </c>
      <c r="K74" t="str">
        <v>PCS</v>
      </c>
      <c r="L74" s="9">
        <f>IF($J74="","",IFERROR(SUMIFS(SummaryHelper!$H$2:$H$5000,SummaryHelper!$A$2:$A$5000,$I74,SummaryHelper!$B$2:$B$5000,$J74,SummaryHelper!$C$2:$C$5000,$K74)/SUMIFS(SummaryHelper!$G$2:$G$5000,SummaryHelper!$A$2:$A$5000,$I74,SummaryHelper!$B$2:$B$5000,$J74,SummaryHelper!$C$2:$C$5000,$K74),""))</f>
        <v>4.3</v>
      </c>
      <c r="M74" s="9">
        <f>IF($J74="","",SUMIFS(SummaryHelper!$E$2:$E$5000,SummaryHelper!$A$2:$A$5000,$I74,SummaryHelper!$B$2:$B$5000,$J74,SummaryHelper!$C$2:$C$5000,$K74))</f>
        <v>6</v>
      </c>
      <c r="N74" s="9">
        <f>IF($J74="","",SUMIFS(SummaryHelper!$F$2:$F$5000,SummaryHelper!$A$2:$A$5000,$I74,SummaryHelper!$B$2:$B$5000,$J74,SummaryHelper!$C$2:$C$5000,$K74))</f>
        <v>0.05</v>
      </c>
      <c r="O74" s="9">
        <f>IF($J74="","",SUMIFS(SummaryHelper!$G$2:$G$5000,SummaryHelper!$A$2:$A$5000,$I74,SummaryHelper!$B$2:$B$5000,$J74,SummaryHelper!$C$2:$C$5000,$K74))</f>
        <v>6.3000000000000007</v>
      </c>
      <c r="Q74" s="9">
        <f t="shared" si="18"/>
        <v>7</v>
      </c>
      <c r="R74" s="9">
        <f t="shared" si="19"/>
        <v>30.099999999999998</v>
      </c>
      <c r="W74" s="9" t="str">
        <f>IF($U74="","",IFERROR(SUMIFS(SummaryHelper!$H$2:$H$5000,SummaryHelper!$A$2:$A$5000,$T74,SummaryHelper!$B$2:$B$5000,$U74,SummaryHelper!$C$2:$C$5000,$V74)/SUMIFS(SummaryHelper!$G$2:$G$5000,SummaryHelper!$A$2:$A$5000,$T74,SummaryHelper!$B$2:$B$5000,$U74,SummaryHelper!$C$2:$C$5000,$V74),""))</f>
        <v/>
      </c>
      <c r="X74" s="9" t="str">
        <f>IF($U74="","",SUMIFS(SummaryHelper!$E$2:$E$5000,SummaryHelper!$A$2:$A$5000,$T74,SummaryHelper!$B$2:$B$5000,$U74,SummaryHelper!$C$2:$C$5000,$V74))</f>
        <v/>
      </c>
      <c r="Y74" s="9" t="str">
        <f>IF($U74="","",SUMIFS(SummaryHelper!$F$2:$F$5000,SummaryHelper!$A$2:$A$5000,$T74,SummaryHelper!$B$2:$B$5000,$U74,SummaryHelper!$C$2:$C$5000,$V74))</f>
        <v/>
      </c>
      <c r="Z74" s="9" t="str">
        <f>IF($U74="","",SUMIFS(SummaryHelper!$G$2:$G$5000,SummaryHelper!$A$2:$A$5000,$T74,SummaryHelper!$B$2:$B$5000,$U74,SummaryHelper!$C$2:$C$5000,$V74))</f>
        <v/>
      </c>
      <c r="AB74" s="9" t="str">
        <f t="shared" si="20"/>
        <v/>
      </c>
      <c r="AC74" s="9" t="str">
        <f t="shared" si="21"/>
        <v/>
      </c>
      <c r="AH74" t="str">
        <f>IF($AF74="","",IFERROR(SUMIFS(SummaryHelper!$H$2:$H$5000,SummaryHelper!$A$2:$A$5000,$AE74,SummaryHelper!$B$2:$B$5000,$AF74,SummaryHelper!$C$2:$C$5000,$AG74)/SUMIFS(SummaryHelper!$G$2:$G$5000,SummaryHelper!$A$2:$A$5000,$AE74,SummaryHelper!$B$2:$B$5000,$AF74,SummaryHelper!$C$2:$C$5000,$AG74),""))</f>
        <v/>
      </c>
      <c r="AI74" t="str">
        <f>IF($AF74="","",SUMIFS(SummaryHelper!$E$2:$E$5000,SummaryHelper!$A$2:$A$5000,$AE74,SummaryHelper!$B$2:$B$5000,$AF74,SummaryHelper!$C$2:$C$5000,$AG74))</f>
        <v/>
      </c>
      <c r="AJ74" t="str">
        <f>IF($AF74="","",SUMIFS(SummaryHelper!$F$2:$F$5000,SummaryHelper!$A$2:$A$5000,$AE74,SummaryHelper!$B$2:$B$5000,$AF74,SummaryHelper!$C$2:$C$5000,$AG74))</f>
        <v/>
      </c>
      <c r="AK74" t="str">
        <f>IF($AF74="","",SUMIFS(SummaryHelper!$G$2:$G$5000,SummaryHelper!$A$2:$A$5000,$AE74,SummaryHelper!$B$2:$B$5000,$AF74,SummaryHelper!$C$2:$C$5000,$AG74))</f>
        <v/>
      </c>
      <c r="AM74" t="str">
        <f t="shared" si="22"/>
        <v/>
      </c>
      <c r="AN74" t="str">
        <f t="shared" si="23"/>
        <v/>
      </c>
    </row>
    <row r="75" spans="1:40" x14ac:dyDescent="0.25">
      <c r="A75" s="12"/>
      <c r="B75" s="23" t="str">
        <f t="shared" si="12"/>
        <v/>
      </c>
      <c r="C75" s="9" t="str">
        <f t="shared" ca="1" si="13"/>
        <v/>
      </c>
      <c r="D75" s="9" t="str">
        <f t="shared" ca="1" si="14"/>
        <v/>
      </c>
      <c r="E75" s="9" t="str">
        <f t="shared" ca="1" si="15"/>
        <v/>
      </c>
      <c r="F75" s="9" t="str">
        <f t="shared" si="16"/>
        <v/>
      </c>
      <c r="G75" s="9">
        <f t="shared" si="17"/>
        <v>0</v>
      </c>
      <c r="I75" t="str">
        <v>MATERIALS</v>
      </c>
      <c r="J75" t="str">
        <v>PVC P/T Socket Brass Thread 1/2"</v>
      </c>
      <c r="K75" t="str">
        <v>PCS</v>
      </c>
      <c r="L75" s="9">
        <f>IF($J75="","",IFERROR(SUMIFS(SummaryHelper!$H$2:$H$5000,SummaryHelper!$A$2:$A$5000,$I75,SummaryHelper!$B$2:$B$5000,$J75,SummaryHelper!$C$2:$C$5000,$K75)/SUMIFS(SummaryHelper!$G$2:$G$5000,SummaryHelper!$A$2:$A$5000,$I75,SummaryHelper!$B$2:$B$5000,$J75,SummaryHelper!$C$2:$C$5000,$K75),""))</f>
        <v>3</v>
      </c>
      <c r="M75" s="9">
        <f>IF($J75="","",SUMIFS(SummaryHelper!$E$2:$E$5000,SummaryHelper!$A$2:$A$5000,$I75,SummaryHelper!$B$2:$B$5000,$J75,SummaryHelper!$C$2:$C$5000,$K75))</f>
        <v>5</v>
      </c>
      <c r="N75" s="9">
        <f>IF($J75="","",SUMIFS(SummaryHelper!$F$2:$F$5000,SummaryHelper!$A$2:$A$5000,$I75,SummaryHelper!$B$2:$B$5000,$J75,SummaryHelper!$C$2:$C$5000,$K75))</f>
        <v>0.05</v>
      </c>
      <c r="O75" s="9">
        <f>IF($J75="","",SUMIFS(SummaryHelper!$G$2:$G$5000,SummaryHelper!$A$2:$A$5000,$I75,SummaryHelper!$B$2:$B$5000,$J75,SummaryHelper!$C$2:$C$5000,$K75))</f>
        <v>5.25</v>
      </c>
      <c r="Q75" s="9">
        <f t="shared" si="18"/>
        <v>6</v>
      </c>
      <c r="R75" s="9">
        <f t="shared" si="19"/>
        <v>18</v>
      </c>
      <c r="W75" s="9" t="str">
        <f>IF($U75="","",IFERROR(SUMIFS(SummaryHelper!$H$2:$H$5000,SummaryHelper!$A$2:$A$5000,$T75,SummaryHelper!$B$2:$B$5000,$U75,SummaryHelper!$C$2:$C$5000,$V75)/SUMIFS(SummaryHelper!$G$2:$G$5000,SummaryHelper!$A$2:$A$5000,$T75,SummaryHelper!$B$2:$B$5000,$U75,SummaryHelper!$C$2:$C$5000,$V75),""))</f>
        <v/>
      </c>
      <c r="X75" s="9" t="str">
        <f>IF($U75="","",SUMIFS(SummaryHelper!$E$2:$E$5000,SummaryHelper!$A$2:$A$5000,$T75,SummaryHelper!$B$2:$B$5000,$U75,SummaryHelper!$C$2:$C$5000,$V75))</f>
        <v/>
      </c>
      <c r="Y75" s="9" t="str">
        <f>IF($U75="","",SUMIFS(SummaryHelper!$F$2:$F$5000,SummaryHelper!$A$2:$A$5000,$T75,SummaryHelper!$B$2:$B$5000,$U75,SummaryHelper!$C$2:$C$5000,$V75))</f>
        <v/>
      </c>
      <c r="Z75" s="9" t="str">
        <f>IF($U75="","",SUMIFS(SummaryHelper!$G$2:$G$5000,SummaryHelper!$A$2:$A$5000,$T75,SummaryHelper!$B$2:$B$5000,$U75,SummaryHelper!$C$2:$C$5000,$V75))</f>
        <v/>
      </c>
      <c r="AB75" s="9" t="str">
        <f t="shared" si="20"/>
        <v/>
      </c>
      <c r="AC75" s="9" t="str">
        <f t="shared" si="21"/>
        <v/>
      </c>
      <c r="AH75" t="str">
        <f>IF($AF75="","",IFERROR(SUMIFS(SummaryHelper!$H$2:$H$5000,SummaryHelper!$A$2:$A$5000,$AE75,SummaryHelper!$B$2:$B$5000,$AF75,SummaryHelper!$C$2:$C$5000,$AG75)/SUMIFS(SummaryHelper!$G$2:$G$5000,SummaryHelper!$A$2:$A$5000,$AE75,SummaryHelper!$B$2:$B$5000,$AF75,SummaryHelper!$C$2:$C$5000,$AG75),""))</f>
        <v/>
      </c>
      <c r="AI75" t="str">
        <f>IF($AF75="","",SUMIFS(SummaryHelper!$E$2:$E$5000,SummaryHelper!$A$2:$A$5000,$AE75,SummaryHelper!$B$2:$B$5000,$AF75,SummaryHelper!$C$2:$C$5000,$AG75))</f>
        <v/>
      </c>
      <c r="AJ75" t="str">
        <f>IF($AF75="","",SUMIFS(SummaryHelper!$F$2:$F$5000,SummaryHelper!$A$2:$A$5000,$AE75,SummaryHelper!$B$2:$B$5000,$AF75,SummaryHelper!$C$2:$C$5000,$AG75))</f>
        <v/>
      </c>
      <c r="AK75" t="str">
        <f>IF($AF75="","",SUMIFS(SummaryHelper!$G$2:$G$5000,SummaryHelper!$A$2:$A$5000,$AE75,SummaryHelper!$B$2:$B$5000,$AF75,SummaryHelper!$C$2:$C$5000,$AG75))</f>
        <v/>
      </c>
      <c r="AM75" t="str">
        <f t="shared" si="22"/>
        <v/>
      </c>
      <c r="AN75" t="str">
        <f t="shared" si="23"/>
        <v/>
      </c>
    </row>
    <row r="76" spans="1:40" x14ac:dyDescent="0.25">
      <c r="A76" s="12"/>
      <c r="B76" s="23" t="str">
        <f t="shared" si="12"/>
        <v/>
      </c>
      <c r="C76" s="9" t="str">
        <f t="shared" ca="1" si="13"/>
        <v/>
      </c>
      <c r="D76" s="9" t="str">
        <f t="shared" ca="1" si="14"/>
        <v/>
      </c>
      <c r="E76" s="9" t="str">
        <f t="shared" ca="1" si="15"/>
        <v/>
      </c>
      <c r="F76" s="9" t="str">
        <f t="shared" si="16"/>
        <v/>
      </c>
      <c r="G76" s="9">
        <f t="shared" si="17"/>
        <v>0</v>
      </c>
      <c r="I76" t="str">
        <v>MATERIALS</v>
      </c>
      <c r="J76" t="str">
        <v>PVC Pipe Class 6 Dia15.00mm (1/2") x 5.80m/Length</v>
      </c>
      <c r="K76" t="str">
        <v>LTH</v>
      </c>
      <c r="L76" s="9">
        <f>IF($J76="","",IFERROR(SUMIFS(SummaryHelper!$H$2:$H$5000,SummaryHelper!$A$2:$A$5000,$I76,SummaryHelper!$B$2:$B$5000,$J76,SummaryHelper!$C$2:$C$5000,$K76)/SUMIFS(SummaryHelper!$G$2:$G$5000,SummaryHelper!$A$2:$A$5000,$I76,SummaryHelper!$B$2:$B$5000,$J76,SummaryHelper!$C$2:$C$5000,$K76),""))</f>
        <v>12.6</v>
      </c>
      <c r="M76" s="9">
        <f>IF($J76="","",SUMIFS(SummaryHelper!$E$2:$E$5000,SummaryHelper!$A$2:$A$5000,$I76,SummaryHelper!$B$2:$B$5000,$J76,SummaryHelper!$C$2:$C$5000,$K76))</f>
        <v>4</v>
      </c>
      <c r="N76" s="9">
        <f>IF($J76="","",SUMIFS(SummaryHelper!$F$2:$F$5000,SummaryHelper!$A$2:$A$5000,$I76,SummaryHelper!$B$2:$B$5000,$J76,SummaryHelper!$C$2:$C$5000,$K76))</f>
        <v>0.05</v>
      </c>
      <c r="O76" s="9">
        <f>IF($J76="","",SUMIFS(SummaryHelper!$G$2:$G$5000,SummaryHelper!$A$2:$A$5000,$I76,SummaryHelper!$B$2:$B$5000,$J76,SummaryHelper!$C$2:$C$5000,$K76))</f>
        <v>4.2</v>
      </c>
      <c r="Q76" s="9">
        <f t="shared" si="18"/>
        <v>5</v>
      </c>
      <c r="R76" s="9">
        <f t="shared" si="19"/>
        <v>63</v>
      </c>
      <c r="W76" s="9" t="str">
        <f>IF($U76="","",IFERROR(SUMIFS(SummaryHelper!$H$2:$H$5000,SummaryHelper!$A$2:$A$5000,$T76,SummaryHelper!$B$2:$B$5000,$U76,SummaryHelper!$C$2:$C$5000,$V76)/SUMIFS(SummaryHelper!$G$2:$G$5000,SummaryHelper!$A$2:$A$5000,$T76,SummaryHelper!$B$2:$B$5000,$U76,SummaryHelper!$C$2:$C$5000,$V76),""))</f>
        <v/>
      </c>
      <c r="X76" s="9" t="str">
        <f>IF($U76="","",SUMIFS(SummaryHelper!$E$2:$E$5000,SummaryHelper!$A$2:$A$5000,$T76,SummaryHelper!$B$2:$B$5000,$U76,SummaryHelper!$C$2:$C$5000,$V76))</f>
        <v/>
      </c>
      <c r="Y76" s="9" t="str">
        <f>IF($U76="","",SUMIFS(SummaryHelper!$F$2:$F$5000,SummaryHelper!$A$2:$A$5000,$T76,SummaryHelper!$B$2:$B$5000,$U76,SummaryHelper!$C$2:$C$5000,$V76))</f>
        <v/>
      </c>
      <c r="Z76" s="9" t="str">
        <f>IF($U76="","",SUMIFS(SummaryHelper!$G$2:$G$5000,SummaryHelper!$A$2:$A$5000,$T76,SummaryHelper!$B$2:$B$5000,$U76,SummaryHelper!$C$2:$C$5000,$V76))</f>
        <v/>
      </c>
      <c r="AB76" s="9" t="str">
        <f t="shared" si="20"/>
        <v/>
      </c>
      <c r="AC76" s="9" t="str">
        <f t="shared" si="21"/>
        <v/>
      </c>
      <c r="AH76" t="str">
        <f>IF($AF76="","",IFERROR(SUMIFS(SummaryHelper!$H$2:$H$5000,SummaryHelper!$A$2:$A$5000,$AE76,SummaryHelper!$B$2:$B$5000,$AF76,SummaryHelper!$C$2:$C$5000,$AG76)/SUMIFS(SummaryHelper!$G$2:$G$5000,SummaryHelper!$A$2:$A$5000,$AE76,SummaryHelper!$B$2:$B$5000,$AF76,SummaryHelper!$C$2:$C$5000,$AG76),""))</f>
        <v/>
      </c>
      <c r="AI76" t="str">
        <f>IF($AF76="","",SUMIFS(SummaryHelper!$E$2:$E$5000,SummaryHelper!$A$2:$A$5000,$AE76,SummaryHelper!$B$2:$B$5000,$AF76,SummaryHelper!$C$2:$C$5000,$AG76))</f>
        <v/>
      </c>
      <c r="AJ76" t="str">
        <f>IF($AF76="","",SUMIFS(SummaryHelper!$F$2:$F$5000,SummaryHelper!$A$2:$A$5000,$AE76,SummaryHelper!$B$2:$B$5000,$AF76,SummaryHelper!$C$2:$C$5000,$AG76))</f>
        <v/>
      </c>
      <c r="AK76" t="str">
        <f>IF($AF76="","",SUMIFS(SummaryHelper!$G$2:$G$5000,SummaryHelper!$A$2:$A$5000,$AE76,SummaryHelper!$B$2:$B$5000,$AF76,SummaryHelper!$C$2:$C$5000,$AG76))</f>
        <v/>
      </c>
      <c r="AM76" t="str">
        <f t="shared" si="22"/>
        <v/>
      </c>
      <c r="AN76" t="str">
        <f t="shared" si="23"/>
        <v/>
      </c>
    </row>
    <row r="77" spans="1:40" x14ac:dyDescent="0.25">
      <c r="A77" s="12"/>
      <c r="B77" s="23" t="str">
        <f t="shared" si="12"/>
        <v/>
      </c>
      <c r="C77" s="9" t="str">
        <f t="shared" ca="1" si="13"/>
        <v/>
      </c>
      <c r="D77" s="9" t="str">
        <f t="shared" ca="1" si="14"/>
        <v/>
      </c>
      <c r="E77" s="9" t="str">
        <f t="shared" ca="1" si="15"/>
        <v/>
      </c>
      <c r="F77" s="9" t="str">
        <f t="shared" si="16"/>
        <v/>
      </c>
      <c r="G77" s="9">
        <f t="shared" si="17"/>
        <v>0</v>
      </c>
      <c r="I77" t="str">
        <v>MATERIALS</v>
      </c>
      <c r="J77" t="str">
        <v>PVC Solvent Cement Glue 500g (Arrow, Orange)</v>
      </c>
      <c r="K77" t="str">
        <v>PCS</v>
      </c>
      <c r="L77" s="9">
        <f>IF($J77="","",IFERROR(SUMIFS(SummaryHelper!$H$2:$H$5000,SummaryHelper!$A$2:$A$5000,$I77,SummaryHelper!$B$2:$B$5000,$J77,SummaryHelper!$C$2:$C$5000,$K77)/SUMIFS(SummaryHelper!$G$2:$G$5000,SummaryHelper!$A$2:$A$5000,$I77,SummaryHelper!$B$2:$B$5000,$J77,SummaryHelper!$C$2:$C$5000,$K77),""))</f>
        <v>1</v>
      </c>
      <c r="M77" s="9">
        <f>IF($J77="","",SUMIFS(SummaryHelper!$E$2:$E$5000,SummaryHelper!$A$2:$A$5000,$I77,SummaryHelper!$B$2:$B$5000,$J77,SummaryHelper!$C$2:$C$5000,$K77))</f>
        <v>1</v>
      </c>
      <c r="N77" s="9">
        <f>IF($J77="","",SUMIFS(SummaryHelper!$F$2:$F$5000,SummaryHelper!$A$2:$A$5000,$I77,SummaryHelper!$B$2:$B$5000,$J77,SummaryHelper!$C$2:$C$5000,$K77))</f>
        <v>0</v>
      </c>
      <c r="O77" s="9">
        <f>IF($J77="","",SUMIFS(SummaryHelper!$G$2:$G$5000,SummaryHelper!$A$2:$A$5000,$I77,SummaryHelper!$B$2:$B$5000,$J77,SummaryHelper!$C$2:$C$5000,$K77))</f>
        <v>1</v>
      </c>
      <c r="Q77" s="9">
        <f t="shared" si="18"/>
        <v>1</v>
      </c>
      <c r="R77" s="9">
        <f t="shared" si="19"/>
        <v>1</v>
      </c>
      <c r="W77" s="9" t="str">
        <f>IF($U77="","",IFERROR(SUMIFS(SummaryHelper!$H$2:$H$5000,SummaryHelper!$A$2:$A$5000,$T77,SummaryHelper!$B$2:$B$5000,$U77,SummaryHelper!$C$2:$C$5000,$V77)/SUMIFS(SummaryHelper!$G$2:$G$5000,SummaryHelper!$A$2:$A$5000,$T77,SummaryHelper!$B$2:$B$5000,$U77,SummaryHelper!$C$2:$C$5000,$V77),""))</f>
        <v/>
      </c>
      <c r="X77" s="9" t="str">
        <f>IF($U77="","",SUMIFS(SummaryHelper!$E$2:$E$5000,SummaryHelper!$A$2:$A$5000,$T77,SummaryHelper!$B$2:$B$5000,$U77,SummaryHelper!$C$2:$C$5000,$V77))</f>
        <v/>
      </c>
      <c r="Y77" s="9" t="str">
        <f>IF($U77="","",SUMIFS(SummaryHelper!$F$2:$F$5000,SummaryHelper!$A$2:$A$5000,$T77,SummaryHelper!$B$2:$B$5000,$U77,SummaryHelper!$C$2:$C$5000,$V77))</f>
        <v/>
      </c>
      <c r="Z77" s="9" t="str">
        <f>IF($U77="","",SUMIFS(SummaryHelper!$G$2:$G$5000,SummaryHelper!$A$2:$A$5000,$T77,SummaryHelper!$B$2:$B$5000,$U77,SummaryHelper!$C$2:$C$5000,$V77))</f>
        <v/>
      </c>
      <c r="AB77" s="9" t="str">
        <f t="shared" si="20"/>
        <v/>
      </c>
      <c r="AC77" s="9" t="str">
        <f t="shared" si="21"/>
        <v/>
      </c>
      <c r="AH77" t="str">
        <f>IF($AF77="","",IFERROR(SUMIFS(SummaryHelper!$H$2:$H$5000,SummaryHelper!$A$2:$A$5000,$AE77,SummaryHelper!$B$2:$B$5000,$AF77,SummaryHelper!$C$2:$C$5000,$AG77)/SUMIFS(SummaryHelper!$G$2:$G$5000,SummaryHelper!$A$2:$A$5000,$AE77,SummaryHelper!$B$2:$B$5000,$AF77,SummaryHelper!$C$2:$C$5000,$AG77),""))</f>
        <v/>
      </c>
      <c r="AI77" t="str">
        <f>IF($AF77="","",SUMIFS(SummaryHelper!$E$2:$E$5000,SummaryHelper!$A$2:$A$5000,$AE77,SummaryHelper!$B$2:$B$5000,$AF77,SummaryHelper!$C$2:$C$5000,$AG77))</f>
        <v/>
      </c>
      <c r="AJ77" t="str">
        <f>IF($AF77="","",SUMIFS(SummaryHelper!$F$2:$F$5000,SummaryHelper!$A$2:$A$5000,$AE77,SummaryHelper!$B$2:$B$5000,$AF77,SummaryHelper!$C$2:$C$5000,$AG77))</f>
        <v/>
      </c>
      <c r="AK77" t="str">
        <f>IF($AF77="","",SUMIFS(SummaryHelper!$G$2:$G$5000,SummaryHelper!$A$2:$A$5000,$AE77,SummaryHelper!$B$2:$B$5000,$AF77,SummaryHelper!$C$2:$C$5000,$AG77))</f>
        <v/>
      </c>
      <c r="AM77" t="str">
        <f t="shared" si="22"/>
        <v/>
      </c>
      <c r="AN77" t="str">
        <f t="shared" si="23"/>
        <v/>
      </c>
    </row>
    <row r="78" spans="1:40" x14ac:dyDescent="0.25">
      <c r="A78" s="12"/>
      <c r="B78" s="23" t="str">
        <f t="shared" si="12"/>
        <v/>
      </c>
      <c r="C78" s="9" t="str">
        <f t="shared" ca="1" si="13"/>
        <v/>
      </c>
      <c r="D78" s="9" t="str">
        <f t="shared" ca="1" si="14"/>
        <v/>
      </c>
      <c r="E78" s="9" t="str">
        <f t="shared" ca="1" si="15"/>
        <v/>
      </c>
      <c r="F78" s="9" t="str">
        <f t="shared" si="16"/>
        <v/>
      </c>
      <c r="G78" s="9">
        <f t="shared" si="17"/>
        <v>0</v>
      </c>
      <c r="I78" t="str">
        <v>MATERIALS</v>
      </c>
      <c r="J78" t="str">
        <v>PVC Tile Spacer 2mm</v>
      </c>
      <c r="K78" t="str">
        <v>PACK</v>
      </c>
      <c r="L78" s="9">
        <f>IF($J78="","",IFERROR(SUMIFS(SummaryHelper!$H$2:$H$5000,SummaryHelper!$A$2:$A$5000,$I78,SummaryHelper!$B$2:$B$5000,$J78,SummaryHelper!$C$2:$C$5000,$K78)/SUMIFS(SummaryHelper!$G$2:$G$5000,SummaryHelper!$A$2:$A$5000,$I78,SummaryHelper!$B$2:$B$5000,$J78,SummaryHelper!$C$2:$C$5000,$K78),""))</f>
        <v>1</v>
      </c>
      <c r="M78" s="9">
        <f>IF($J78="","",SUMIFS(SummaryHelper!$E$2:$E$5000,SummaryHelper!$A$2:$A$5000,$I78,SummaryHelper!$B$2:$B$5000,$J78,SummaryHelper!$C$2:$C$5000,$K78))</f>
        <v>12</v>
      </c>
      <c r="N78" s="9">
        <f>IF($J78="","",SUMIFS(SummaryHelper!$F$2:$F$5000,SummaryHelper!$A$2:$A$5000,$I78,SummaryHelper!$B$2:$B$5000,$J78,SummaryHelper!$C$2:$C$5000,$K78))</f>
        <v>0</v>
      </c>
      <c r="O78" s="9">
        <f>IF($J78="","",SUMIFS(SummaryHelper!$G$2:$G$5000,SummaryHelper!$A$2:$A$5000,$I78,SummaryHelper!$B$2:$B$5000,$J78,SummaryHelper!$C$2:$C$5000,$K78))</f>
        <v>12</v>
      </c>
      <c r="Q78" s="9">
        <f t="shared" si="18"/>
        <v>12</v>
      </c>
      <c r="R78" s="9">
        <f t="shared" si="19"/>
        <v>12</v>
      </c>
      <c r="W78" s="9" t="str">
        <f>IF($U78="","",IFERROR(SUMIFS(SummaryHelper!$H$2:$H$5000,SummaryHelper!$A$2:$A$5000,$T78,SummaryHelper!$B$2:$B$5000,$U78,SummaryHelper!$C$2:$C$5000,$V78)/SUMIFS(SummaryHelper!$G$2:$G$5000,SummaryHelper!$A$2:$A$5000,$T78,SummaryHelper!$B$2:$B$5000,$U78,SummaryHelper!$C$2:$C$5000,$V78),""))</f>
        <v/>
      </c>
      <c r="X78" s="9" t="str">
        <f>IF($U78="","",SUMIFS(SummaryHelper!$E$2:$E$5000,SummaryHelper!$A$2:$A$5000,$T78,SummaryHelper!$B$2:$B$5000,$U78,SummaryHelper!$C$2:$C$5000,$V78))</f>
        <v/>
      </c>
      <c r="Y78" s="9" t="str">
        <f>IF($U78="","",SUMIFS(SummaryHelper!$F$2:$F$5000,SummaryHelper!$A$2:$A$5000,$T78,SummaryHelper!$B$2:$B$5000,$U78,SummaryHelper!$C$2:$C$5000,$V78))</f>
        <v/>
      </c>
      <c r="Z78" s="9" t="str">
        <f>IF($U78="","",SUMIFS(SummaryHelper!$G$2:$G$5000,SummaryHelper!$A$2:$A$5000,$T78,SummaryHelper!$B$2:$B$5000,$U78,SummaryHelper!$C$2:$C$5000,$V78))</f>
        <v/>
      </c>
      <c r="AB78" s="9" t="str">
        <f t="shared" si="20"/>
        <v/>
      </c>
      <c r="AC78" s="9" t="str">
        <f t="shared" si="21"/>
        <v/>
      </c>
      <c r="AH78" t="str">
        <f>IF($AF78="","",IFERROR(SUMIFS(SummaryHelper!$H$2:$H$5000,SummaryHelper!$A$2:$A$5000,$AE78,SummaryHelper!$B$2:$B$5000,$AF78,SummaryHelper!$C$2:$C$5000,$AG78)/SUMIFS(SummaryHelper!$G$2:$G$5000,SummaryHelper!$A$2:$A$5000,$AE78,SummaryHelper!$B$2:$B$5000,$AF78,SummaryHelper!$C$2:$C$5000,$AG78),""))</f>
        <v/>
      </c>
      <c r="AI78" t="str">
        <f>IF($AF78="","",SUMIFS(SummaryHelper!$E$2:$E$5000,SummaryHelper!$A$2:$A$5000,$AE78,SummaryHelper!$B$2:$B$5000,$AF78,SummaryHelper!$C$2:$C$5000,$AG78))</f>
        <v/>
      </c>
      <c r="AJ78" t="str">
        <f>IF($AF78="","",SUMIFS(SummaryHelper!$F$2:$F$5000,SummaryHelper!$A$2:$A$5000,$AE78,SummaryHelper!$B$2:$B$5000,$AF78,SummaryHelper!$C$2:$C$5000,$AG78))</f>
        <v/>
      </c>
      <c r="AK78" t="str">
        <f>IF($AF78="","",SUMIFS(SummaryHelper!$G$2:$G$5000,SummaryHelper!$A$2:$A$5000,$AE78,SummaryHelper!$B$2:$B$5000,$AF78,SummaryHelper!$C$2:$C$5000,$AG78))</f>
        <v/>
      </c>
      <c r="AM78" t="str">
        <f t="shared" si="22"/>
        <v/>
      </c>
      <c r="AN78" t="str">
        <f t="shared" si="23"/>
        <v/>
      </c>
    </row>
    <row r="79" spans="1:40" x14ac:dyDescent="0.25">
      <c r="A79" s="12"/>
      <c r="B79" s="23" t="str">
        <f t="shared" ref="B79:B142" si="24">IF($A79=1,"S"&amp;TEXT(ROW()-2,"00"),"")</f>
        <v/>
      </c>
      <c r="C79" s="9" t="str">
        <f t="shared" ca="1" si="13"/>
        <v/>
      </c>
      <c r="D79" s="9" t="str">
        <f t="shared" ca="1" si="14"/>
        <v/>
      </c>
      <c r="E79" s="9" t="str">
        <f t="shared" ca="1" si="15"/>
        <v/>
      </c>
      <c r="F79" s="9" t="str">
        <f t="shared" si="16"/>
        <v/>
      </c>
      <c r="G79" s="9">
        <f t="shared" si="17"/>
        <v>0</v>
      </c>
      <c r="I79" t="str">
        <v>MATERIALS</v>
      </c>
      <c r="J79" t="str">
        <v>Raw Plywood Door (Unfinished) - Up to 36"W x 84"H (Custom Size)</v>
      </c>
      <c r="K79" t="str">
        <v>PCS</v>
      </c>
      <c r="L79" s="9">
        <f>IF($J79="","",IFERROR(SUMIFS(SummaryHelper!$H$2:$H$5000,SummaryHelper!$A$2:$A$5000,$I79,SummaryHelper!$B$2:$B$5000,$J79,SummaryHelper!$C$2:$C$5000,$K79)/SUMIFS(SummaryHelper!$G$2:$G$5000,SummaryHelper!$A$2:$A$5000,$I79,SummaryHelper!$B$2:$B$5000,$J79,SummaryHelper!$C$2:$C$5000,$K79),""))</f>
        <v>150</v>
      </c>
      <c r="M79" s="9">
        <f>IF($J79="","",SUMIFS(SummaryHelper!$E$2:$E$5000,SummaryHelper!$A$2:$A$5000,$I79,SummaryHelper!$B$2:$B$5000,$J79,SummaryHelper!$C$2:$C$5000,$K79))</f>
        <v>1</v>
      </c>
      <c r="N79" s="9">
        <f>IF($J79="","",SUMIFS(SummaryHelper!$F$2:$F$5000,SummaryHelper!$A$2:$A$5000,$I79,SummaryHelper!$B$2:$B$5000,$J79,SummaryHelper!$C$2:$C$5000,$K79))</f>
        <v>0</v>
      </c>
      <c r="O79" s="9">
        <f>IF($J79="","",SUMIFS(SummaryHelper!$G$2:$G$5000,SummaryHelper!$A$2:$A$5000,$I79,SummaryHelper!$B$2:$B$5000,$J79,SummaryHelper!$C$2:$C$5000,$K79))</f>
        <v>1</v>
      </c>
      <c r="Q79" s="9">
        <f t="shared" si="18"/>
        <v>1</v>
      </c>
      <c r="R79" s="9">
        <f t="shared" si="19"/>
        <v>150</v>
      </c>
      <c r="W79" s="9" t="str">
        <f>IF($U79="","",IFERROR(SUMIFS(SummaryHelper!$H$2:$H$5000,SummaryHelper!$A$2:$A$5000,$T79,SummaryHelper!$B$2:$B$5000,$U79,SummaryHelper!$C$2:$C$5000,$V79)/SUMIFS(SummaryHelper!$G$2:$G$5000,SummaryHelper!$A$2:$A$5000,$T79,SummaryHelper!$B$2:$B$5000,$U79,SummaryHelper!$C$2:$C$5000,$V79),""))</f>
        <v/>
      </c>
      <c r="X79" s="9" t="str">
        <f>IF($U79="","",SUMIFS(SummaryHelper!$E$2:$E$5000,SummaryHelper!$A$2:$A$5000,$T79,SummaryHelper!$B$2:$B$5000,$U79,SummaryHelper!$C$2:$C$5000,$V79))</f>
        <v/>
      </c>
      <c r="Y79" s="9" t="str">
        <f>IF($U79="","",SUMIFS(SummaryHelper!$F$2:$F$5000,SummaryHelper!$A$2:$A$5000,$T79,SummaryHelper!$B$2:$B$5000,$U79,SummaryHelper!$C$2:$C$5000,$V79))</f>
        <v/>
      </c>
      <c r="Z79" s="9" t="str">
        <f>IF($U79="","",SUMIFS(SummaryHelper!$G$2:$G$5000,SummaryHelper!$A$2:$A$5000,$T79,SummaryHelper!$B$2:$B$5000,$U79,SummaryHelper!$C$2:$C$5000,$V79))</f>
        <v/>
      </c>
      <c r="AB79" s="9" t="str">
        <f t="shared" si="20"/>
        <v/>
      </c>
      <c r="AC79" s="9" t="str">
        <f t="shared" si="21"/>
        <v/>
      </c>
      <c r="AH79" t="str">
        <f>IF($AF79="","",IFERROR(SUMIFS(SummaryHelper!$H$2:$H$5000,SummaryHelper!$A$2:$A$5000,$AE79,SummaryHelper!$B$2:$B$5000,$AF79,SummaryHelper!$C$2:$C$5000,$AG79)/SUMIFS(SummaryHelper!$G$2:$G$5000,SummaryHelper!$A$2:$A$5000,$AE79,SummaryHelper!$B$2:$B$5000,$AF79,SummaryHelper!$C$2:$C$5000,$AG79),""))</f>
        <v/>
      </c>
      <c r="AI79" t="str">
        <f>IF($AF79="","",SUMIFS(SummaryHelper!$E$2:$E$5000,SummaryHelper!$A$2:$A$5000,$AE79,SummaryHelper!$B$2:$B$5000,$AF79,SummaryHelper!$C$2:$C$5000,$AG79))</f>
        <v/>
      </c>
      <c r="AJ79" t="str">
        <f>IF($AF79="","",SUMIFS(SummaryHelper!$F$2:$F$5000,SummaryHelper!$A$2:$A$5000,$AE79,SummaryHelper!$B$2:$B$5000,$AF79,SummaryHelper!$C$2:$C$5000,$AG79))</f>
        <v/>
      </c>
      <c r="AK79" t="str">
        <f>IF($AF79="","",SUMIFS(SummaryHelper!$G$2:$G$5000,SummaryHelper!$A$2:$A$5000,$AE79,SummaryHelper!$B$2:$B$5000,$AF79,SummaryHelper!$C$2:$C$5000,$AG79))</f>
        <v/>
      </c>
      <c r="AM79" t="str">
        <f t="shared" si="22"/>
        <v/>
      </c>
      <c r="AN79" t="str">
        <f t="shared" si="23"/>
        <v/>
      </c>
    </row>
    <row r="80" spans="1:40" x14ac:dyDescent="0.25">
      <c r="A80" s="12"/>
      <c r="B80" s="23" t="str">
        <f t="shared" si="24"/>
        <v/>
      </c>
      <c r="C80" s="9" t="str">
        <f t="shared" ca="1" si="13"/>
        <v/>
      </c>
      <c r="D80" s="9" t="str">
        <f t="shared" ca="1" si="14"/>
        <v/>
      </c>
      <c r="E80" s="9" t="str">
        <f t="shared" ca="1" si="15"/>
        <v/>
      </c>
      <c r="F80" s="9" t="str">
        <f t="shared" si="16"/>
        <v/>
      </c>
      <c r="G80" s="9">
        <f t="shared" si="17"/>
        <v>0</v>
      </c>
      <c r="I80" t="str">
        <v>MATERIALS</v>
      </c>
      <c r="J80" t="str">
        <v>Ready Mix Concrete G20 (Per m3)</v>
      </c>
      <c r="K80" t="str">
        <v>M3</v>
      </c>
      <c r="L80" s="9">
        <f>IF($J80="","",IFERROR(SUMIFS(SummaryHelper!$H$2:$H$5000,SummaryHelper!$A$2:$A$5000,$I80,SummaryHelper!$B$2:$B$5000,$J80,SummaryHelper!$C$2:$C$5000,$K80)/SUMIFS(SummaryHelper!$G$2:$G$5000,SummaryHelper!$A$2:$A$5000,$I80,SummaryHelper!$B$2:$B$5000,$J80,SummaryHelper!$C$2:$C$5000,$K80),""))</f>
        <v>329.99999999999994</v>
      </c>
      <c r="M80" s="9">
        <f>IF($J80="","",SUMIFS(SummaryHelper!$E$2:$E$5000,SummaryHelper!$A$2:$A$5000,$I80,SummaryHelper!$B$2:$B$5000,$J80,SummaryHelper!$C$2:$C$5000,$K80))</f>
        <v>6.7700000000000005</v>
      </c>
      <c r="N80" s="9">
        <f>IF($J80="","",SUMIFS(SummaryHelper!$F$2:$F$5000,SummaryHelper!$A$2:$A$5000,$I80,SummaryHelper!$B$2:$B$5000,$J80,SummaryHelper!$C$2:$C$5000,$K80))</f>
        <v>0</v>
      </c>
      <c r="O80" s="9">
        <f>IF($J80="","",SUMIFS(SummaryHelper!$G$2:$G$5000,SummaryHelper!$A$2:$A$5000,$I80,SummaryHelper!$B$2:$B$5000,$J80,SummaryHelper!$C$2:$C$5000,$K80))</f>
        <v>6.7700000000000005</v>
      </c>
      <c r="Q80" s="9">
        <f t="shared" si="18"/>
        <v>7</v>
      </c>
      <c r="R80" s="9">
        <f t="shared" si="19"/>
        <v>2309.9999999999995</v>
      </c>
      <c r="W80" s="9" t="str">
        <f>IF($U80="","",IFERROR(SUMIFS(SummaryHelper!$H$2:$H$5000,SummaryHelper!$A$2:$A$5000,$T80,SummaryHelper!$B$2:$B$5000,$U80,SummaryHelper!$C$2:$C$5000,$V80)/SUMIFS(SummaryHelper!$G$2:$G$5000,SummaryHelper!$A$2:$A$5000,$T80,SummaryHelper!$B$2:$B$5000,$U80,SummaryHelper!$C$2:$C$5000,$V80),""))</f>
        <v/>
      </c>
      <c r="X80" s="9" t="str">
        <f>IF($U80="","",SUMIFS(SummaryHelper!$E$2:$E$5000,SummaryHelper!$A$2:$A$5000,$T80,SummaryHelper!$B$2:$B$5000,$U80,SummaryHelper!$C$2:$C$5000,$V80))</f>
        <v/>
      </c>
      <c r="Y80" s="9" t="str">
        <f>IF($U80="","",SUMIFS(SummaryHelper!$F$2:$F$5000,SummaryHelper!$A$2:$A$5000,$T80,SummaryHelper!$B$2:$B$5000,$U80,SummaryHelper!$C$2:$C$5000,$V80))</f>
        <v/>
      </c>
      <c r="Z80" s="9" t="str">
        <f>IF($U80="","",SUMIFS(SummaryHelper!$G$2:$G$5000,SummaryHelper!$A$2:$A$5000,$T80,SummaryHelper!$B$2:$B$5000,$U80,SummaryHelper!$C$2:$C$5000,$V80))</f>
        <v/>
      </c>
      <c r="AB80" s="9" t="str">
        <f t="shared" si="20"/>
        <v/>
      </c>
      <c r="AC80" s="9" t="str">
        <f t="shared" si="21"/>
        <v/>
      </c>
      <c r="AH80" t="str">
        <f>IF($AF80="","",IFERROR(SUMIFS(SummaryHelper!$H$2:$H$5000,SummaryHelper!$A$2:$A$5000,$AE80,SummaryHelper!$B$2:$B$5000,$AF80,SummaryHelper!$C$2:$C$5000,$AG80)/SUMIFS(SummaryHelper!$G$2:$G$5000,SummaryHelper!$A$2:$A$5000,$AE80,SummaryHelper!$B$2:$B$5000,$AF80,SummaryHelper!$C$2:$C$5000,$AG80),""))</f>
        <v/>
      </c>
      <c r="AI80" t="str">
        <f>IF($AF80="","",SUMIFS(SummaryHelper!$E$2:$E$5000,SummaryHelper!$A$2:$A$5000,$AE80,SummaryHelper!$B$2:$B$5000,$AF80,SummaryHelper!$C$2:$C$5000,$AG80))</f>
        <v/>
      </c>
      <c r="AJ80" t="str">
        <f>IF($AF80="","",SUMIFS(SummaryHelper!$F$2:$F$5000,SummaryHelper!$A$2:$A$5000,$AE80,SummaryHelper!$B$2:$B$5000,$AF80,SummaryHelper!$C$2:$C$5000,$AG80))</f>
        <v/>
      </c>
      <c r="AK80" t="str">
        <f>IF($AF80="","",SUMIFS(SummaryHelper!$G$2:$G$5000,SummaryHelper!$A$2:$A$5000,$AE80,SummaryHelper!$B$2:$B$5000,$AF80,SummaryHelper!$C$2:$C$5000,$AG80))</f>
        <v/>
      </c>
      <c r="AM80" t="str">
        <f t="shared" si="22"/>
        <v/>
      </c>
      <c r="AN80" t="str">
        <f t="shared" si="23"/>
        <v/>
      </c>
    </row>
    <row r="81" spans="1:40" x14ac:dyDescent="0.25">
      <c r="A81" s="12"/>
      <c r="B81" s="23" t="str">
        <f t="shared" si="24"/>
        <v/>
      </c>
      <c r="C81" s="9" t="str">
        <f t="shared" ca="1" si="13"/>
        <v/>
      </c>
      <c r="D81" s="9" t="str">
        <f t="shared" ca="1" si="14"/>
        <v/>
      </c>
      <c r="E81" s="9" t="str">
        <f t="shared" ca="1" si="15"/>
        <v/>
      </c>
      <c r="F81" s="9" t="str">
        <f t="shared" si="16"/>
        <v/>
      </c>
      <c r="G81" s="9">
        <f t="shared" si="17"/>
        <v>0</v>
      </c>
      <c r="I81" t="str">
        <v>MATERIALS</v>
      </c>
      <c r="J81" t="str">
        <v>Ready Mix Concrete G25 (Per m3)</v>
      </c>
      <c r="K81" t="str">
        <v>M3</v>
      </c>
      <c r="L81" s="9">
        <f>IF($J81="","",IFERROR(SUMIFS(SummaryHelper!$H$2:$H$5000,SummaryHelper!$A$2:$A$5000,$I81,SummaryHelper!$B$2:$B$5000,$J81,SummaryHelper!$C$2:$C$5000,$K81)/SUMIFS(SummaryHelper!$G$2:$G$5000,SummaryHelper!$A$2:$A$5000,$I81,SummaryHelper!$B$2:$B$5000,$J81,SummaryHelper!$C$2:$C$5000,$K81),""))</f>
        <v>340</v>
      </c>
      <c r="M81" s="9">
        <f>IF($J81="","",SUMIFS(SummaryHelper!$E$2:$E$5000,SummaryHelper!$A$2:$A$5000,$I81,SummaryHelper!$B$2:$B$5000,$J81,SummaryHelper!$C$2:$C$5000,$K81))</f>
        <v>6.05</v>
      </c>
      <c r="N81" s="9">
        <f>IF($J81="","",SUMIFS(SummaryHelper!$F$2:$F$5000,SummaryHelper!$A$2:$A$5000,$I81,SummaryHelper!$B$2:$B$5000,$J81,SummaryHelper!$C$2:$C$5000,$K81))</f>
        <v>0</v>
      </c>
      <c r="O81" s="9">
        <f>IF($J81="","",SUMIFS(SummaryHelper!$G$2:$G$5000,SummaryHelper!$A$2:$A$5000,$I81,SummaryHelper!$B$2:$B$5000,$J81,SummaryHelper!$C$2:$C$5000,$K81))</f>
        <v>6.05</v>
      </c>
      <c r="Q81" s="9">
        <f t="shared" si="18"/>
        <v>7</v>
      </c>
      <c r="R81" s="9">
        <f t="shared" si="19"/>
        <v>2380</v>
      </c>
      <c r="W81" s="9" t="str">
        <f>IF($U81="","",IFERROR(SUMIFS(SummaryHelper!$H$2:$H$5000,SummaryHelper!$A$2:$A$5000,$T81,SummaryHelper!$B$2:$B$5000,$U81,SummaryHelper!$C$2:$C$5000,$V81)/SUMIFS(SummaryHelper!$G$2:$G$5000,SummaryHelper!$A$2:$A$5000,$T81,SummaryHelper!$B$2:$B$5000,$U81,SummaryHelper!$C$2:$C$5000,$V81),""))</f>
        <v/>
      </c>
      <c r="X81" s="9" t="str">
        <f>IF($U81="","",SUMIFS(SummaryHelper!$E$2:$E$5000,SummaryHelper!$A$2:$A$5000,$T81,SummaryHelper!$B$2:$B$5000,$U81,SummaryHelper!$C$2:$C$5000,$V81))</f>
        <v/>
      </c>
      <c r="Y81" s="9" t="str">
        <f>IF($U81="","",SUMIFS(SummaryHelper!$F$2:$F$5000,SummaryHelper!$A$2:$A$5000,$T81,SummaryHelper!$B$2:$B$5000,$U81,SummaryHelper!$C$2:$C$5000,$V81))</f>
        <v/>
      </c>
      <c r="Z81" s="9" t="str">
        <f>IF($U81="","",SUMIFS(SummaryHelper!$G$2:$G$5000,SummaryHelper!$A$2:$A$5000,$T81,SummaryHelper!$B$2:$B$5000,$U81,SummaryHelper!$C$2:$C$5000,$V81))</f>
        <v/>
      </c>
      <c r="AB81" s="9" t="str">
        <f t="shared" si="20"/>
        <v/>
      </c>
      <c r="AC81" s="9" t="str">
        <f t="shared" si="21"/>
        <v/>
      </c>
      <c r="AH81" t="str">
        <f>IF($AF81="","",IFERROR(SUMIFS(SummaryHelper!$H$2:$H$5000,SummaryHelper!$A$2:$A$5000,$AE81,SummaryHelper!$B$2:$B$5000,$AF81,SummaryHelper!$C$2:$C$5000,$AG81)/SUMIFS(SummaryHelper!$G$2:$G$5000,SummaryHelper!$A$2:$A$5000,$AE81,SummaryHelper!$B$2:$B$5000,$AF81,SummaryHelper!$C$2:$C$5000,$AG81),""))</f>
        <v/>
      </c>
      <c r="AI81" t="str">
        <f>IF($AF81="","",SUMIFS(SummaryHelper!$E$2:$E$5000,SummaryHelper!$A$2:$A$5000,$AE81,SummaryHelper!$B$2:$B$5000,$AF81,SummaryHelper!$C$2:$C$5000,$AG81))</f>
        <v/>
      </c>
      <c r="AJ81" t="str">
        <f>IF($AF81="","",SUMIFS(SummaryHelper!$F$2:$F$5000,SummaryHelper!$A$2:$A$5000,$AE81,SummaryHelper!$B$2:$B$5000,$AF81,SummaryHelper!$C$2:$C$5000,$AG81))</f>
        <v/>
      </c>
      <c r="AK81" t="str">
        <f>IF($AF81="","",SUMIFS(SummaryHelper!$G$2:$G$5000,SummaryHelper!$A$2:$A$5000,$AE81,SummaryHelper!$B$2:$B$5000,$AF81,SummaryHelper!$C$2:$C$5000,$AG81))</f>
        <v/>
      </c>
      <c r="AM81" t="str">
        <f t="shared" si="22"/>
        <v/>
      </c>
      <c r="AN81" t="str">
        <f t="shared" si="23"/>
        <v/>
      </c>
    </row>
    <row r="82" spans="1:40" x14ac:dyDescent="0.25">
      <c r="A82" s="12"/>
      <c r="B82" s="23" t="str">
        <f t="shared" si="24"/>
        <v/>
      </c>
      <c r="C82" s="9" t="str">
        <f t="shared" ca="1" si="13"/>
        <v/>
      </c>
      <c r="D82" s="9" t="str">
        <f t="shared" ca="1" si="14"/>
        <v/>
      </c>
      <c r="E82" s="9" t="str">
        <f t="shared" ca="1" si="15"/>
        <v/>
      </c>
      <c r="F82" s="9" t="str">
        <f t="shared" si="16"/>
        <v/>
      </c>
      <c r="G82" s="9">
        <f t="shared" si="17"/>
        <v>0</v>
      </c>
      <c r="I82" t="str">
        <v>MATERIALS</v>
      </c>
      <c r="J82" t="str">
        <v>Sanding Paper 120G</v>
      </c>
      <c r="K82" t="str">
        <v>PCS</v>
      </c>
      <c r="L82" s="9">
        <f>IF($J82="","",IFERROR(SUMIFS(SummaryHelper!$H$2:$H$5000,SummaryHelper!$A$2:$A$5000,$I82,SummaryHelper!$B$2:$B$5000,$J82,SummaryHelper!$C$2:$C$5000,$K82)/SUMIFS(SummaryHelper!$G$2:$G$5000,SummaryHelper!$A$2:$A$5000,$I82,SummaryHelper!$B$2:$B$5000,$J82,SummaryHelper!$C$2:$C$5000,$K82),""))</f>
        <v>0.3</v>
      </c>
      <c r="M82" s="9">
        <f>IF($J82="","",SUMIFS(SummaryHelper!$E$2:$E$5000,SummaryHelper!$A$2:$A$5000,$I82,SummaryHelper!$B$2:$B$5000,$J82,SummaryHelper!$C$2:$C$5000,$K82))</f>
        <v>6</v>
      </c>
      <c r="N82" s="9">
        <f>IF($J82="","",SUMIFS(SummaryHelper!$F$2:$F$5000,SummaryHelper!$A$2:$A$5000,$I82,SummaryHelper!$B$2:$B$5000,$J82,SummaryHelper!$C$2:$C$5000,$K82))</f>
        <v>0.2</v>
      </c>
      <c r="O82" s="9">
        <f>IF($J82="","",SUMIFS(SummaryHelper!$G$2:$G$5000,SummaryHelper!$A$2:$A$5000,$I82,SummaryHelper!$B$2:$B$5000,$J82,SummaryHelper!$C$2:$C$5000,$K82))</f>
        <v>6.6000000000000005</v>
      </c>
      <c r="Q82" s="9">
        <f t="shared" si="18"/>
        <v>7</v>
      </c>
      <c r="R82" s="9">
        <f t="shared" si="19"/>
        <v>2.1</v>
      </c>
      <c r="W82" s="9" t="str">
        <f>IF($U82="","",IFERROR(SUMIFS(SummaryHelper!$H$2:$H$5000,SummaryHelper!$A$2:$A$5000,$T82,SummaryHelper!$B$2:$B$5000,$U82,SummaryHelper!$C$2:$C$5000,$V82)/SUMIFS(SummaryHelper!$G$2:$G$5000,SummaryHelper!$A$2:$A$5000,$T82,SummaryHelper!$B$2:$B$5000,$U82,SummaryHelper!$C$2:$C$5000,$V82),""))</f>
        <v/>
      </c>
      <c r="X82" s="9" t="str">
        <f>IF($U82="","",SUMIFS(SummaryHelper!$E$2:$E$5000,SummaryHelper!$A$2:$A$5000,$T82,SummaryHelper!$B$2:$B$5000,$U82,SummaryHelper!$C$2:$C$5000,$V82))</f>
        <v/>
      </c>
      <c r="Y82" s="9" t="str">
        <f>IF($U82="","",SUMIFS(SummaryHelper!$F$2:$F$5000,SummaryHelper!$A$2:$A$5000,$T82,SummaryHelper!$B$2:$B$5000,$U82,SummaryHelper!$C$2:$C$5000,$V82))</f>
        <v/>
      </c>
      <c r="Z82" s="9" t="str">
        <f>IF($U82="","",SUMIFS(SummaryHelper!$G$2:$G$5000,SummaryHelper!$A$2:$A$5000,$T82,SummaryHelper!$B$2:$B$5000,$U82,SummaryHelper!$C$2:$C$5000,$V82))</f>
        <v/>
      </c>
      <c r="AB82" s="9" t="str">
        <f t="shared" si="20"/>
        <v/>
      </c>
      <c r="AC82" s="9" t="str">
        <f t="shared" si="21"/>
        <v/>
      </c>
      <c r="AH82" t="str">
        <f>IF($AF82="","",IFERROR(SUMIFS(SummaryHelper!$H$2:$H$5000,SummaryHelper!$A$2:$A$5000,$AE82,SummaryHelper!$B$2:$B$5000,$AF82,SummaryHelper!$C$2:$C$5000,$AG82)/SUMIFS(SummaryHelper!$G$2:$G$5000,SummaryHelper!$A$2:$A$5000,$AE82,SummaryHelper!$B$2:$B$5000,$AF82,SummaryHelper!$C$2:$C$5000,$AG82),""))</f>
        <v/>
      </c>
      <c r="AI82" t="str">
        <f>IF($AF82="","",SUMIFS(SummaryHelper!$E$2:$E$5000,SummaryHelper!$A$2:$A$5000,$AE82,SummaryHelper!$B$2:$B$5000,$AF82,SummaryHelper!$C$2:$C$5000,$AG82))</f>
        <v/>
      </c>
      <c r="AJ82" t="str">
        <f>IF($AF82="","",SUMIFS(SummaryHelper!$F$2:$F$5000,SummaryHelper!$A$2:$A$5000,$AE82,SummaryHelper!$B$2:$B$5000,$AF82,SummaryHelper!$C$2:$C$5000,$AG82))</f>
        <v/>
      </c>
      <c r="AK82" t="str">
        <f>IF($AF82="","",SUMIFS(SummaryHelper!$G$2:$G$5000,SummaryHelper!$A$2:$A$5000,$AE82,SummaryHelper!$B$2:$B$5000,$AF82,SummaryHelper!$C$2:$C$5000,$AG82))</f>
        <v/>
      </c>
      <c r="AM82" t="str">
        <f t="shared" si="22"/>
        <v/>
      </c>
      <c r="AN82" t="str">
        <f t="shared" si="23"/>
        <v/>
      </c>
    </row>
    <row r="83" spans="1:40" x14ac:dyDescent="0.25">
      <c r="A83" s="12"/>
      <c r="B83" s="23" t="str">
        <f t="shared" si="24"/>
        <v/>
      </c>
      <c r="C83" s="9" t="str">
        <f t="shared" ca="1" si="13"/>
        <v/>
      </c>
      <c r="D83" s="9" t="str">
        <f t="shared" ca="1" si="14"/>
        <v/>
      </c>
      <c r="E83" s="9" t="str">
        <f t="shared" ca="1" si="15"/>
        <v/>
      </c>
      <c r="F83" s="9" t="str">
        <f t="shared" si="16"/>
        <v/>
      </c>
      <c r="G83" s="9">
        <f t="shared" si="17"/>
        <v>0</v>
      </c>
      <c r="I83" t="str">
        <v>MATERIALS</v>
      </c>
      <c r="J83" t="str">
        <v>Sanding Paper 240G</v>
      </c>
      <c r="K83" t="str">
        <v>PCS</v>
      </c>
      <c r="L83" s="9">
        <f>IF($J83="","",IFERROR(SUMIFS(SummaryHelper!$H$2:$H$5000,SummaryHelper!$A$2:$A$5000,$I83,SummaryHelper!$B$2:$B$5000,$J83,SummaryHelper!$C$2:$C$5000,$K83)/SUMIFS(SummaryHelper!$G$2:$G$5000,SummaryHelper!$A$2:$A$5000,$I83,SummaryHelper!$B$2:$B$5000,$J83,SummaryHelper!$C$2:$C$5000,$K83),""))</f>
        <v>0.3</v>
      </c>
      <c r="M83" s="9">
        <f>IF($J83="","",SUMIFS(SummaryHelper!$E$2:$E$5000,SummaryHelper!$A$2:$A$5000,$I83,SummaryHelper!$B$2:$B$5000,$J83,SummaryHelper!$C$2:$C$5000,$K83))</f>
        <v>6</v>
      </c>
      <c r="N83" s="9">
        <f>IF($J83="","",SUMIFS(SummaryHelper!$F$2:$F$5000,SummaryHelper!$A$2:$A$5000,$I83,SummaryHelper!$B$2:$B$5000,$J83,SummaryHelper!$C$2:$C$5000,$K83))</f>
        <v>0.2</v>
      </c>
      <c r="O83" s="9">
        <f>IF($J83="","",SUMIFS(SummaryHelper!$G$2:$G$5000,SummaryHelper!$A$2:$A$5000,$I83,SummaryHelper!$B$2:$B$5000,$J83,SummaryHelper!$C$2:$C$5000,$K83))</f>
        <v>6.6000000000000005</v>
      </c>
      <c r="Q83" s="9">
        <f t="shared" si="18"/>
        <v>7</v>
      </c>
      <c r="R83" s="9">
        <f t="shared" si="19"/>
        <v>2.1</v>
      </c>
      <c r="W83" s="9" t="str">
        <f>IF($U83="","",IFERROR(SUMIFS(SummaryHelper!$H$2:$H$5000,SummaryHelper!$A$2:$A$5000,$T83,SummaryHelper!$B$2:$B$5000,$U83,SummaryHelper!$C$2:$C$5000,$V83)/SUMIFS(SummaryHelper!$G$2:$G$5000,SummaryHelper!$A$2:$A$5000,$T83,SummaryHelper!$B$2:$B$5000,$U83,SummaryHelper!$C$2:$C$5000,$V83),""))</f>
        <v/>
      </c>
      <c r="X83" s="9" t="str">
        <f>IF($U83="","",SUMIFS(SummaryHelper!$E$2:$E$5000,SummaryHelper!$A$2:$A$5000,$T83,SummaryHelper!$B$2:$B$5000,$U83,SummaryHelper!$C$2:$C$5000,$V83))</f>
        <v/>
      </c>
      <c r="Y83" s="9" t="str">
        <f>IF($U83="","",SUMIFS(SummaryHelper!$F$2:$F$5000,SummaryHelper!$A$2:$A$5000,$T83,SummaryHelper!$B$2:$B$5000,$U83,SummaryHelper!$C$2:$C$5000,$V83))</f>
        <v/>
      </c>
      <c r="Z83" s="9" t="str">
        <f>IF($U83="","",SUMIFS(SummaryHelper!$G$2:$G$5000,SummaryHelper!$A$2:$A$5000,$T83,SummaryHelper!$B$2:$B$5000,$U83,SummaryHelper!$C$2:$C$5000,$V83))</f>
        <v/>
      </c>
      <c r="AB83" s="9" t="str">
        <f t="shared" si="20"/>
        <v/>
      </c>
      <c r="AC83" s="9" t="str">
        <f t="shared" si="21"/>
        <v/>
      </c>
      <c r="AH83" t="str">
        <f>IF($AF83="","",IFERROR(SUMIFS(SummaryHelper!$H$2:$H$5000,SummaryHelper!$A$2:$A$5000,$AE83,SummaryHelper!$B$2:$B$5000,$AF83,SummaryHelper!$C$2:$C$5000,$AG83)/SUMIFS(SummaryHelper!$G$2:$G$5000,SummaryHelper!$A$2:$A$5000,$AE83,SummaryHelper!$B$2:$B$5000,$AF83,SummaryHelper!$C$2:$C$5000,$AG83),""))</f>
        <v/>
      </c>
      <c r="AI83" t="str">
        <f>IF($AF83="","",SUMIFS(SummaryHelper!$E$2:$E$5000,SummaryHelper!$A$2:$A$5000,$AE83,SummaryHelper!$B$2:$B$5000,$AF83,SummaryHelper!$C$2:$C$5000,$AG83))</f>
        <v/>
      </c>
      <c r="AJ83" t="str">
        <f>IF($AF83="","",SUMIFS(SummaryHelper!$F$2:$F$5000,SummaryHelper!$A$2:$A$5000,$AE83,SummaryHelper!$B$2:$B$5000,$AF83,SummaryHelper!$C$2:$C$5000,$AG83))</f>
        <v/>
      </c>
      <c r="AK83" t="str">
        <f>IF($AF83="","",SUMIFS(SummaryHelper!$G$2:$G$5000,SummaryHelper!$A$2:$A$5000,$AE83,SummaryHelper!$B$2:$B$5000,$AF83,SummaryHelper!$C$2:$C$5000,$AG83))</f>
        <v/>
      </c>
      <c r="AM83" t="str">
        <f t="shared" si="22"/>
        <v/>
      </c>
      <c r="AN83" t="str">
        <f t="shared" si="23"/>
        <v/>
      </c>
    </row>
    <row r="84" spans="1:40" x14ac:dyDescent="0.25">
      <c r="A84" s="12"/>
      <c r="B84" s="23" t="str">
        <f t="shared" si="24"/>
        <v/>
      </c>
      <c r="C84" s="9" t="str">
        <f t="shared" ca="1" si="13"/>
        <v/>
      </c>
      <c r="D84" s="9" t="str">
        <f t="shared" ca="1" si="14"/>
        <v/>
      </c>
      <c r="E84" s="9" t="str">
        <f t="shared" ca="1" si="15"/>
        <v/>
      </c>
      <c r="F84" s="9" t="str">
        <f t="shared" si="16"/>
        <v/>
      </c>
      <c r="G84" s="9">
        <f t="shared" si="17"/>
        <v>0</v>
      </c>
      <c r="I84" t="str">
        <v>MATERIALS</v>
      </c>
      <c r="J84" t="str">
        <v>Sanding Paper 400G</v>
      </c>
      <c r="K84" t="str">
        <v>PCS</v>
      </c>
      <c r="L84" s="9">
        <f>IF($J84="","",IFERROR(SUMIFS(SummaryHelper!$H$2:$H$5000,SummaryHelper!$A$2:$A$5000,$I84,SummaryHelper!$B$2:$B$5000,$J84,SummaryHelper!$C$2:$C$5000,$K84)/SUMIFS(SummaryHelper!$G$2:$G$5000,SummaryHelper!$A$2:$A$5000,$I84,SummaryHelper!$B$2:$B$5000,$J84,SummaryHelper!$C$2:$C$5000,$K84),""))</f>
        <v>0.3</v>
      </c>
      <c r="M84" s="9">
        <f>IF($J84="","",SUMIFS(SummaryHelper!$E$2:$E$5000,SummaryHelper!$A$2:$A$5000,$I84,SummaryHelper!$B$2:$B$5000,$J84,SummaryHelper!$C$2:$C$5000,$K84))</f>
        <v>6</v>
      </c>
      <c r="N84" s="9">
        <f>IF($J84="","",SUMIFS(SummaryHelper!$F$2:$F$5000,SummaryHelper!$A$2:$A$5000,$I84,SummaryHelper!$B$2:$B$5000,$J84,SummaryHelper!$C$2:$C$5000,$K84))</f>
        <v>0.2</v>
      </c>
      <c r="O84" s="9">
        <f>IF($J84="","",SUMIFS(SummaryHelper!$G$2:$G$5000,SummaryHelper!$A$2:$A$5000,$I84,SummaryHelper!$B$2:$B$5000,$J84,SummaryHelper!$C$2:$C$5000,$K84))</f>
        <v>6.6000000000000005</v>
      </c>
      <c r="Q84" s="9">
        <f t="shared" si="18"/>
        <v>7</v>
      </c>
      <c r="R84" s="9">
        <f t="shared" si="19"/>
        <v>2.1</v>
      </c>
      <c r="W84" s="9" t="str">
        <f>IF($U84="","",IFERROR(SUMIFS(SummaryHelper!$H$2:$H$5000,SummaryHelper!$A$2:$A$5000,$T84,SummaryHelper!$B$2:$B$5000,$U84,SummaryHelper!$C$2:$C$5000,$V84)/SUMIFS(SummaryHelper!$G$2:$G$5000,SummaryHelper!$A$2:$A$5000,$T84,SummaryHelper!$B$2:$B$5000,$U84,SummaryHelper!$C$2:$C$5000,$V84),""))</f>
        <v/>
      </c>
      <c r="X84" s="9" t="str">
        <f>IF($U84="","",SUMIFS(SummaryHelper!$E$2:$E$5000,SummaryHelper!$A$2:$A$5000,$T84,SummaryHelper!$B$2:$B$5000,$U84,SummaryHelper!$C$2:$C$5000,$V84))</f>
        <v/>
      </c>
      <c r="Y84" s="9" t="str">
        <f>IF($U84="","",SUMIFS(SummaryHelper!$F$2:$F$5000,SummaryHelper!$A$2:$A$5000,$T84,SummaryHelper!$B$2:$B$5000,$U84,SummaryHelper!$C$2:$C$5000,$V84))</f>
        <v/>
      </c>
      <c r="Z84" s="9" t="str">
        <f>IF($U84="","",SUMIFS(SummaryHelper!$G$2:$G$5000,SummaryHelper!$A$2:$A$5000,$T84,SummaryHelper!$B$2:$B$5000,$U84,SummaryHelper!$C$2:$C$5000,$V84))</f>
        <v/>
      </c>
      <c r="AB84" s="9" t="str">
        <f t="shared" si="20"/>
        <v/>
      </c>
      <c r="AC84" s="9" t="str">
        <f t="shared" si="21"/>
        <v/>
      </c>
      <c r="AH84" t="str">
        <f>IF($AF84="","",IFERROR(SUMIFS(SummaryHelper!$H$2:$H$5000,SummaryHelper!$A$2:$A$5000,$AE84,SummaryHelper!$B$2:$B$5000,$AF84,SummaryHelper!$C$2:$C$5000,$AG84)/SUMIFS(SummaryHelper!$G$2:$G$5000,SummaryHelper!$A$2:$A$5000,$AE84,SummaryHelper!$B$2:$B$5000,$AF84,SummaryHelper!$C$2:$C$5000,$AG84),""))</f>
        <v/>
      </c>
      <c r="AI84" t="str">
        <f>IF($AF84="","",SUMIFS(SummaryHelper!$E$2:$E$5000,SummaryHelper!$A$2:$A$5000,$AE84,SummaryHelper!$B$2:$B$5000,$AF84,SummaryHelper!$C$2:$C$5000,$AG84))</f>
        <v/>
      </c>
      <c r="AJ84" t="str">
        <f>IF($AF84="","",SUMIFS(SummaryHelper!$F$2:$F$5000,SummaryHelper!$A$2:$A$5000,$AE84,SummaryHelper!$B$2:$B$5000,$AF84,SummaryHelper!$C$2:$C$5000,$AG84))</f>
        <v/>
      </c>
      <c r="AK84" t="str">
        <f>IF($AF84="","",SUMIFS(SummaryHelper!$G$2:$G$5000,SummaryHelper!$A$2:$A$5000,$AE84,SummaryHelper!$B$2:$B$5000,$AF84,SummaryHelper!$C$2:$C$5000,$AG84))</f>
        <v/>
      </c>
      <c r="AM84" t="str">
        <f t="shared" si="22"/>
        <v/>
      </c>
      <c r="AN84" t="str">
        <f t="shared" si="23"/>
        <v/>
      </c>
    </row>
    <row r="85" spans="1:40" x14ac:dyDescent="0.25">
      <c r="A85" s="12"/>
      <c r="B85" s="23" t="str">
        <f t="shared" si="24"/>
        <v/>
      </c>
      <c r="C85" s="9" t="str">
        <f t="shared" ca="1" si="13"/>
        <v/>
      </c>
      <c r="D85" s="9" t="str">
        <f t="shared" ca="1" si="14"/>
        <v/>
      </c>
      <c r="E85" s="9" t="str">
        <f t="shared" ca="1" si="15"/>
        <v/>
      </c>
      <c r="F85" s="9" t="str">
        <f t="shared" si="16"/>
        <v/>
      </c>
      <c r="G85" s="9">
        <f t="shared" si="17"/>
        <v>0</v>
      </c>
      <c r="I85" t="str">
        <v>MATERIALS</v>
      </c>
      <c r="J85" t="str">
        <v>Schneider Socket 13A (Single)</v>
      </c>
      <c r="K85" t="str">
        <v>UNIT</v>
      </c>
      <c r="L85" s="9">
        <f>IF($J85="","",IFERROR(SUMIFS(SummaryHelper!$H$2:$H$5000,SummaryHelper!$A$2:$A$5000,$I85,SummaryHelper!$B$2:$B$5000,$J85,SummaryHelper!$C$2:$C$5000,$K85)/SUMIFS(SummaryHelper!$G$2:$G$5000,SummaryHelper!$A$2:$A$5000,$I85,SummaryHelper!$B$2:$B$5000,$J85,SummaryHelper!$C$2:$C$5000,$K85),""))</f>
        <v>8.5</v>
      </c>
      <c r="M85" s="9">
        <f>IF($J85="","",SUMIFS(SummaryHelper!$E$2:$E$5000,SummaryHelper!$A$2:$A$5000,$I85,SummaryHelper!$B$2:$B$5000,$J85,SummaryHelper!$C$2:$C$5000,$K85))</f>
        <v>10</v>
      </c>
      <c r="N85" s="9">
        <f>IF($J85="","",SUMIFS(SummaryHelper!$F$2:$F$5000,SummaryHelper!$A$2:$A$5000,$I85,SummaryHelper!$B$2:$B$5000,$J85,SummaryHelper!$C$2:$C$5000,$K85))</f>
        <v>0</v>
      </c>
      <c r="O85" s="9">
        <f>IF($J85="","",SUMIFS(SummaryHelper!$G$2:$G$5000,SummaryHelper!$A$2:$A$5000,$I85,SummaryHelper!$B$2:$B$5000,$J85,SummaryHelper!$C$2:$C$5000,$K85))</f>
        <v>10</v>
      </c>
      <c r="Q85" s="9">
        <f t="shared" si="18"/>
        <v>10</v>
      </c>
      <c r="R85" s="9">
        <f t="shared" si="19"/>
        <v>85</v>
      </c>
      <c r="W85" s="9" t="str">
        <f>IF($U85="","",IFERROR(SUMIFS(SummaryHelper!$H$2:$H$5000,SummaryHelper!$A$2:$A$5000,$T85,SummaryHelper!$B$2:$B$5000,$U85,SummaryHelper!$C$2:$C$5000,$V85)/SUMIFS(SummaryHelper!$G$2:$G$5000,SummaryHelper!$A$2:$A$5000,$T85,SummaryHelper!$B$2:$B$5000,$U85,SummaryHelper!$C$2:$C$5000,$V85),""))</f>
        <v/>
      </c>
      <c r="X85" s="9" t="str">
        <f>IF($U85="","",SUMIFS(SummaryHelper!$E$2:$E$5000,SummaryHelper!$A$2:$A$5000,$T85,SummaryHelper!$B$2:$B$5000,$U85,SummaryHelper!$C$2:$C$5000,$V85))</f>
        <v/>
      </c>
      <c r="Y85" s="9" t="str">
        <f>IF($U85="","",SUMIFS(SummaryHelper!$F$2:$F$5000,SummaryHelper!$A$2:$A$5000,$T85,SummaryHelper!$B$2:$B$5000,$U85,SummaryHelper!$C$2:$C$5000,$V85))</f>
        <v/>
      </c>
      <c r="Z85" s="9" t="str">
        <f>IF($U85="","",SUMIFS(SummaryHelper!$G$2:$G$5000,SummaryHelper!$A$2:$A$5000,$T85,SummaryHelper!$B$2:$B$5000,$U85,SummaryHelper!$C$2:$C$5000,$V85))</f>
        <v/>
      </c>
      <c r="AB85" s="9" t="str">
        <f t="shared" si="20"/>
        <v/>
      </c>
      <c r="AC85" s="9" t="str">
        <f t="shared" si="21"/>
        <v/>
      </c>
      <c r="AH85" t="str">
        <f>IF($AF85="","",IFERROR(SUMIFS(SummaryHelper!$H$2:$H$5000,SummaryHelper!$A$2:$A$5000,$AE85,SummaryHelper!$B$2:$B$5000,$AF85,SummaryHelper!$C$2:$C$5000,$AG85)/SUMIFS(SummaryHelper!$G$2:$G$5000,SummaryHelper!$A$2:$A$5000,$AE85,SummaryHelper!$B$2:$B$5000,$AF85,SummaryHelper!$C$2:$C$5000,$AG85),""))</f>
        <v/>
      </c>
      <c r="AI85" t="str">
        <f>IF($AF85="","",SUMIFS(SummaryHelper!$E$2:$E$5000,SummaryHelper!$A$2:$A$5000,$AE85,SummaryHelper!$B$2:$B$5000,$AF85,SummaryHelper!$C$2:$C$5000,$AG85))</f>
        <v/>
      </c>
      <c r="AJ85" t="str">
        <f>IF($AF85="","",SUMIFS(SummaryHelper!$F$2:$F$5000,SummaryHelper!$A$2:$A$5000,$AE85,SummaryHelper!$B$2:$B$5000,$AF85,SummaryHelper!$C$2:$C$5000,$AG85))</f>
        <v/>
      </c>
      <c r="AK85" t="str">
        <f>IF($AF85="","",SUMIFS(SummaryHelper!$G$2:$G$5000,SummaryHelper!$A$2:$A$5000,$AE85,SummaryHelper!$B$2:$B$5000,$AF85,SummaryHelper!$C$2:$C$5000,$AG85))</f>
        <v/>
      </c>
      <c r="AM85" t="str">
        <f t="shared" si="22"/>
        <v/>
      </c>
      <c r="AN85" t="str">
        <f t="shared" si="23"/>
        <v/>
      </c>
    </row>
    <row r="86" spans="1:40" x14ac:dyDescent="0.25">
      <c r="A86" s="12"/>
      <c r="B86" s="23" t="str">
        <f t="shared" si="24"/>
        <v/>
      </c>
      <c r="C86" s="9" t="str">
        <f t="shared" ca="1" si="13"/>
        <v/>
      </c>
      <c r="D86" s="9" t="str">
        <f t="shared" ca="1" si="14"/>
        <v/>
      </c>
      <c r="E86" s="9" t="str">
        <f t="shared" ca="1" si="15"/>
        <v/>
      </c>
      <c r="F86" s="9" t="str">
        <f t="shared" si="16"/>
        <v/>
      </c>
      <c r="G86" s="9">
        <f t="shared" si="17"/>
        <v>0</v>
      </c>
      <c r="I86" t="str">
        <v>MATERIALS</v>
      </c>
      <c r="J86" t="str">
        <v>Schneider Switch 1 Gang</v>
      </c>
      <c r="K86" t="str">
        <v>UNIT</v>
      </c>
      <c r="L86" s="9">
        <f>IF($J86="","",IFERROR(SUMIFS(SummaryHelper!$H$2:$H$5000,SummaryHelper!$A$2:$A$5000,$I86,SummaryHelper!$B$2:$B$5000,$J86,SummaryHelper!$C$2:$C$5000,$K86)/SUMIFS(SummaryHelper!$G$2:$G$5000,SummaryHelper!$A$2:$A$5000,$I86,SummaryHelper!$B$2:$B$5000,$J86,SummaryHelper!$C$2:$C$5000,$K86),""))</f>
        <v>5.9</v>
      </c>
      <c r="M86" s="9">
        <f>IF($J86="","",SUMIFS(SummaryHelper!$E$2:$E$5000,SummaryHelper!$A$2:$A$5000,$I86,SummaryHelper!$B$2:$B$5000,$J86,SummaryHelper!$C$2:$C$5000,$K86))</f>
        <v>5</v>
      </c>
      <c r="N86" s="9">
        <f>IF($J86="","",SUMIFS(SummaryHelper!$F$2:$F$5000,SummaryHelper!$A$2:$A$5000,$I86,SummaryHelper!$B$2:$B$5000,$J86,SummaryHelper!$C$2:$C$5000,$K86))</f>
        <v>0</v>
      </c>
      <c r="O86" s="9">
        <f>IF($J86="","",SUMIFS(SummaryHelper!$G$2:$G$5000,SummaryHelper!$A$2:$A$5000,$I86,SummaryHelper!$B$2:$B$5000,$J86,SummaryHelper!$C$2:$C$5000,$K86))</f>
        <v>5</v>
      </c>
      <c r="Q86" s="9">
        <f t="shared" si="18"/>
        <v>5</v>
      </c>
      <c r="R86" s="9">
        <f t="shared" si="19"/>
        <v>29.5</v>
      </c>
      <c r="W86" s="9" t="str">
        <f>IF($U86="","",IFERROR(SUMIFS(SummaryHelper!$H$2:$H$5000,SummaryHelper!$A$2:$A$5000,$T86,SummaryHelper!$B$2:$B$5000,$U86,SummaryHelper!$C$2:$C$5000,$V86)/SUMIFS(SummaryHelper!$G$2:$G$5000,SummaryHelper!$A$2:$A$5000,$T86,SummaryHelper!$B$2:$B$5000,$U86,SummaryHelper!$C$2:$C$5000,$V86),""))</f>
        <v/>
      </c>
      <c r="X86" s="9" t="str">
        <f>IF($U86="","",SUMIFS(SummaryHelper!$E$2:$E$5000,SummaryHelper!$A$2:$A$5000,$T86,SummaryHelper!$B$2:$B$5000,$U86,SummaryHelper!$C$2:$C$5000,$V86))</f>
        <v/>
      </c>
      <c r="Y86" s="9" t="str">
        <f>IF($U86="","",SUMIFS(SummaryHelper!$F$2:$F$5000,SummaryHelper!$A$2:$A$5000,$T86,SummaryHelper!$B$2:$B$5000,$U86,SummaryHelper!$C$2:$C$5000,$V86))</f>
        <v/>
      </c>
      <c r="Z86" s="9" t="str">
        <f>IF($U86="","",SUMIFS(SummaryHelper!$G$2:$G$5000,SummaryHelper!$A$2:$A$5000,$T86,SummaryHelper!$B$2:$B$5000,$U86,SummaryHelper!$C$2:$C$5000,$V86))</f>
        <v/>
      </c>
      <c r="AB86" s="9" t="str">
        <f t="shared" si="20"/>
        <v/>
      </c>
      <c r="AC86" s="9" t="str">
        <f t="shared" si="21"/>
        <v/>
      </c>
      <c r="AH86" t="str">
        <f>IF($AF86="","",IFERROR(SUMIFS(SummaryHelper!$H$2:$H$5000,SummaryHelper!$A$2:$A$5000,$AE86,SummaryHelper!$B$2:$B$5000,$AF86,SummaryHelper!$C$2:$C$5000,$AG86)/SUMIFS(SummaryHelper!$G$2:$G$5000,SummaryHelper!$A$2:$A$5000,$AE86,SummaryHelper!$B$2:$B$5000,$AF86,SummaryHelper!$C$2:$C$5000,$AG86),""))</f>
        <v/>
      </c>
      <c r="AI86" t="str">
        <f>IF($AF86="","",SUMIFS(SummaryHelper!$E$2:$E$5000,SummaryHelper!$A$2:$A$5000,$AE86,SummaryHelper!$B$2:$B$5000,$AF86,SummaryHelper!$C$2:$C$5000,$AG86))</f>
        <v/>
      </c>
      <c r="AJ86" t="str">
        <f>IF($AF86="","",SUMIFS(SummaryHelper!$F$2:$F$5000,SummaryHelper!$A$2:$A$5000,$AE86,SummaryHelper!$B$2:$B$5000,$AF86,SummaryHelper!$C$2:$C$5000,$AG86))</f>
        <v/>
      </c>
      <c r="AK86" t="str">
        <f>IF($AF86="","",SUMIFS(SummaryHelper!$G$2:$G$5000,SummaryHelper!$A$2:$A$5000,$AE86,SummaryHelper!$B$2:$B$5000,$AF86,SummaryHelper!$C$2:$C$5000,$AG86))</f>
        <v/>
      </c>
      <c r="AM86" t="str">
        <f t="shared" si="22"/>
        <v/>
      </c>
      <c r="AN86" t="str">
        <f t="shared" si="23"/>
        <v/>
      </c>
    </row>
    <row r="87" spans="1:40" x14ac:dyDescent="0.25">
      <c r="A87" s="12"/>
      <c r="B87" s="23" t="str">
        <f t="shared" si="24"/>
        <v/>
      </c>
      <c r="C87" s="9" t="str">
        <f t="shared" ca="1" si="13"/>
        <v/>
      </c>
      <c r="D87" s="9" t="str">
        <f t="shared" ca="1" si="14"/>
        <v/>
      </c>
      <c r="E87" s="9" t="str">
        <f t="shared" ca="1" si="15"/>
        <v/>
      </c>
      <c r="F87" s="9" t="str">
        <f t="shared" si="16"/>
        <v/>
      </c>
      <c r="G87" s="9">
        <f t="shared" si="17"/>
        <v>0</v>
      </c>
      <c r="I87" t="str">
        <v>MATERIALS</v>
      </c>
      <c r="J87" t="str">
        <v>SIKA Curing Compound Antisol E 20.00L</v>
      </c>
      <c r="K87" t="str">
        <v>PAIL</v>
      </c>
      <c r="L87" s="9">
        <f>IF($J87="","",IFERROR(SUMIFS(SummaryHelper!$H$2:$H$5000,SummaryHelper!$A$2:$A$5000,$I87,SummaryHelper!$B$2:$B$5000,$J87,SummaryHelper!$C$2:$C$5000,$K87)/SUMIFS(SummaryHelper!$G$2:$G$5000,SummaryHelper!$A$2:$A$5000,$I87,SummaryHelper!$B$2:$B$5000,$J87,SummaryHelper!$C$2:$C$5000,$K87),""))</f>
        <v>130</v>
      </c>
      <c r="M87" s="9">
        <f>IF($J87="","",SUMIFS(SummaryHelper!$E$2:$E$5000,SummaryHelper!$A$2:$A$5000,$I87,SummaryHelper!$B$2:$B$5000,$J87,SummaryHelper!$C$2:$C$5000,$K87))</f>
        <v>5</v>
      </c>
      <c r="N87" s="9">
        <f>IF($J87="","",SUMIFS(SummaryHelper!$F$2:$F$5000,SummaryHelper!$A$2:$A$5000,$I87,SummaryHelper!$B$2:$B$5000,$J87,SummaryHelper!$C$2:$C$5000,$K87))</f>
        <v>0</v>
      </c>
      <c r="O87" s="9">
        <f>IF($J87="","",SUMIFS(SummaryHelper!$G$2:$G$5000,SummaryHelper!$A$2:$A$5000,$I87,SummaryHelper!$B$2:$B$5000,$J87,SummaryHelper!$C$2:$C$5000,$K87))</f>
        <v>5</v>
      </c>
      <c r="Q87" s="9">
        <f t="shared" si="18"/>
        <v>5</v>
      </c>
      <c r="R87" s="9">
        <f t="shared" si="19"/>
        <v>650</v>
      </c>
      <c r="W87" s="9" t="str">
        <f>IF($U87="","",IFERROR(SUMIFS(SummaryHelper!$H$2:$H$5000,SummaryHelper!$A$2:$A$5000,$T87,SummaryHelper!$B$2:$B$5000,$U87,SummaryHelper!$C$2:$C$5000,$V87)/SUMIFS(SummaryHelper!$G$2:$G$5000,SummaryHelper!$A$2:$A$5000,$T87,SummaryHelper!$B$2:$B$5000,$U87,SummaryHelper!$C$2:$C$5000,$V87),""))</f>
        <v/>
      </c>
      <c r="X87" s="9" t="str">
        <f>IF($U87="","",SUMIFS(SummaryHelper!$E$2:$E$5000,SummaryHelper!$A$2:$A$5000,$T87,SummaryHelper!$B$2:$B$5000,$U87,SummaryHelper!$C$2:$C$5000,$V87))</f>
        <v/>
      </c>
      <c r="Y87" s="9" t="str">
        <f>IF($U87="","",SUMIFS(SummaryHelper!$F$2:$F$5000,SummaryHelper!$A$2:$A$5000,$T87,SummaryHelper!$B$2:$B$5000,$U87,SummaryHelper!$C$2:$C$5000,$V87))</f>
        <v/>
      </c>
      <c r="Z87" s="9" t="str">
        <f>IF($U87="","",SUMIFS(SummaryHelper!$G$2:$G$5000,SummaryHelper!$A$2:$A$5000,$T87,SummaryHelper!$B$2:$B$5000,$U87,SummaryHelper!$C$2:$C$5000,$V87))</f>
        <v/>
      </c>
      <c r="AB87" s="9" t="str">
        <f t="shared" si="20"/>
        <v/>
      </c>
      <c r="AC87" s="9" t="str">
        <f t="shared" si="21"/>
        <v/>
      </c>
      <c r="AH87" t="str">
        <f>IF($AF87="","",IFERROR(SUMIFS(SummaryHelper!$H$2:$H$5000,SummaryHelper!$A$2:$A$5000,$AE87,SummaryHelper!$B$2:$B$5000,$AF87,SummaryHelper!$C$2:$C$5000,$AG87)/SUMIFS(SummaryHelper!$G$2:$G$5000,SummaryHelper!$A$2:$A$5000,$AE87,SummaryHelper!$B$2:$B$5000,$AF87,SummaryHelper!$C$2:$C$5000,$AG87),""))</f>
        <v/>
      </c>
      <c r="AI87" t="str">
        <f>IF($AF87="","",SUMIFS(SummaryHelper!$E$2:$E$5000,SummaryHelper!$A$2:$A$5000,$AE87,SummaryHelper!$B$2:$B$5000,$AF87,SummaryHelper!$C$2:$C$5000,$AG87))</f>
        <v/>
      </c>
      <c r="AJ87" t="str">
        <f>IF($AF87="","",SUMIFS(SummaryHelper!$F$2:$F$5000,SummaryHelper!$A$2:$A$5000,$AE87,SummaryHelper!$B$2:$B$5000,$AF87,SummaryHelper!$C$2:$C$5000,$AG87))</f>
        <v/>
      </c>
      <c r="AK87" t="str">
        <f>IF($AF87="","",SUMIFS(SummaryHelper!$G$2:$G$5000,SummaryHelper!$A$2:$A$5000,$AE87,SummaryHelper!$B$2:$B$5000,$AF87,SummaryHelper!$C$2:$C$5000,$AG87))</f>
        <v/>
      </c>
      <c r="AM87" t="str">
        <f t="shared" si="22"/>
        <v/>
      </c>
      <c r="AN87" t="str">
        <f t="shared" si="23"/>
        <v/>
      </c>
    </row>
    <row r="88" spans="1:40" x14ac:dyDescent="0.25">
      <c r="A88" s="12"/>
      <c r="B88" s="23" t="str">
        <f t="shared" si="24"/>
        <v/>
      </c>
      <c r="C88" s="9" t="str">
        <f t="shared" ca="1" si="13"/>
        <v/>
      </c>
      <c r="D88" s="9" t="str">
        <f t="shared" ca="1" si="14"/>
        <v/>
      </c>
      <c r="E88" s="9" t="str">
        <f t="shared" ca="1" si="15"/>
        <v/>
      </c>
      <c r="F88" s="9" t="str">
        <f t="shared" si="16"/>
        <v/>
      </c>
      <c r="G88" s="9">
        <f t="shared" si="17"/>
        <v>0</v>
      </c>
      <c r="I88" t="str">
        <v>MATERIALS</v>
      </c>
      <c r="J88" t="str">
        <v>Sika Wall 191 Coarse (White) 25kg</v>
      </c>
      <c r="K88" t="str">
        <v>BAG</v>
      </c>
      <c r="L88" s="9">
        <f>IF($J88="","",IFERROR(SUMIFS(SummaryHelper!$H$2:$H$5000,SummaryHelper!$A$2:$A$5000,$I88,SummaryHelper!$B$2:$B$5000,$J88,SummaryHelper!$C$2:$C$5000,$K88)/SUMIFS(SummaryHelper!$G$2:$G$5000,SummaryHelper!$A$2:$A$5000,$I88,SummaryHelper!$B$2:$B$5000,$J88,SummaryHelper!$C$2:$C$5000,$K88),""))</f>
        <v>17.5</v>
      </c>
      <c r="M88" s="9">
        <f>IF($J88="","",SUMIFS(SummaryHelper!$E$2:$E$5000,SummaryHelper!$A$2:$A$5000,$I88,SummaryHelper!$B$2:$B$5000,$J88,SummaryHelper!$C$2:$C$5000,$K88))</f>
        <v>4</v>
      </c>
      <c r="N88" s="9">
        <f>IF($J88="","",SUMIFS(SummaryHelper!$F$2:$F$5000,SummaryHelper!$A$2:$A$5000,$I88,SummaryHelper!$B$2:$B$5000,$J88,SummaryHelper!$C$2:$C$5000,$K88))</f>
        <v>0.05</v>
      </c>
      <c r="O88" s="9">
        <f>IF($J88="","",SUMIFS(SummaryHelper!$G$2:$G$5000,SummaryHelper!$A$2:$A$5000,$I88,SummaryHelper!$B$2:$B$5000,$J88,SummaryHelper!$C$2:$C$5000,$K88))</f>
        <v>4.2</v>
      </c>
      <c r="Q88" s="9">
        <f t="shared" si="18"/>
        <v>5</v>
      </c>
      <c r="R88" s="9">
        <f t="shared" si="19"/>
        <v>87.5</v>
      </c>
      <c r="W88" s="9" t="str">
        <f>IF($U88="","",IFERROR(SUMIFS(SummaryHelper!$H$2:$H$5000,SummaryHelper!$A$2:$A$5000,$T88,SummaryHelper!$B$2:$B$5000,$U88,SummaryHelper!$C$2:$C$5000,$V88)/SUMIFS(SummaryHelper!$G$2:$G$5000,SummaryHelper!$A$2:$A$5000,$T88,SummaryHelper!$B$2:$B$5000,$U88,SummaryHelper!$C$2:$C$5000,$V88),""))</f>
        <v/>
      </c>
      <c r="X88" s="9" t="str">
        <f>IF($U88="","",SUMIFS(SummaryHelper!$E$2:$E$5000,SummaryHelper!$A$2:$A$5000,$T88,SummaryHelper!$B$2:$B$5000,$U88,SummaryHelper!$C$2:$C$5000,$V88))</f>
        <v/>
      </c>
      <c r="Y88" s="9" t="str">
        <f>IF($U88="","",SUMIFS(SummaryHelper!$F$2:$F$5000,SummaryHelper!$A$2:$A$5000,$T88,SummaryHelper!$B$2:$B$5000,$U88,SummaryHelper!$C$2:$C$5000,$V88))</f>
        <v/>
      </c>
      <c r="Z88" s="9" t="str">
        <f>IF($U88="","",SUMIFS(SummaryHelper!$G$2:$G$5000,SummaryHelper!$A$2:$A$5000,$T88,SummaryHelper!$B$2:$B$5000,$U88,SummaryHelper!$C$2:$C$5000,$V88))</f>
        <v/>
      </c>
      <c r="AB88" s="9" t="str">
        <f t="shared" si="20"/>
        <v/>
      </c>
      <c r="AC88" s="9" t="str">
        <f t="shared" si="21"/>
        <v/>
      </c>
      <c r="AH88" t="str">
        <f>IF($AF88="","",IFERROR(SUMIFS(SummaryHelper!$H$2:$H$5000,SummaryHelper!$A$2:$A$5000,$AE88,SummaryHelper!$B$2:$B$5000,$AF88,SummaryHelper!$C$2:$C$5000,$AG88)/SUMIFS(SummaryHelper!$G$2:$G$5000,SummaryHelper!$A$2:$A$5000,$AE88,SummaryHelper!$B$2:$B$5000,$AF88,SummaryHelper!$C$2:$C$5000,$AG88),""))</f>
        <v/>
      </c>
      <c r="AI88" t="str">
        <f>IF($AF88="","",SUMIFS(SummaryHelper!$E$2:$E$5000,SummaryHelper!$A$2:$A$5000,$AE88,SummaryHelper!$B$2:$B$5000,$AF88,SummaryHelper!$C$2:$C$5000,$AG88))</f>
        <v/>
      </c>
      <c r="AJ88" t="str">
        <f>IF($AF88="","",SUMIFS(SummaryHelper!$F$2:$F$5000,SummaryHelper!$A$2:$A$5000,$AE88,SummaryHelper!$B$2:$B$5000,$AF88,SummaryHelper!$C$2:$C$5000,$AG88))</f>
        <v/>
      </c>
      <c r="AK88" t="str">
        <f>IF($AF88="","",SUMIFS(SummaryHelper!$G$2:$G$5000,SummaryHelper!$A$2:$A$5000,$AE88,SummaryHelper!$B$2:$B$5000,$AF88,SummaryHelper!$C$2:$C$5000,$AG88))</f>
        <v/>
      </c>
      <c r="AM88" t="str">
        <f t="shared" si="22"/>
        <v/>
      </c>
      <c r="AN88" t="str">
        <f t="shared" si="23"/>
        <v/>
      </c>
    </row>
    <row r="89" spans="1:40" x14ac:dyDescent="0.25">
      <c r="A89" s="12"/>
      <c r="B89" s="23" t="str">
        <f t="shared" si="24"/>
        <v/>
      </c>
      <c r="C89" s="9" t="str">
        <f t="shared" ca="1" si="13"/>
        <v/>
      </c>
      <c r="D89" s="9" t="str">
        <f t="shared" ca="1" si="14"/>
        <v/>
      </c>
      <c r="E89" s="9" t="str">
        <f t="shared" ca="1" si="15"/>
        <v/>
      </c>
      <c r="F89" s="9" t="str">
        <f t="shared" si="16"/>
        <v/>
      </c>
      <c r="G89" s="9">
        <f t="shared" si="17"/>
        <v>0</v>
      </c>
      <c r="I89" t="str">
        <v>MATERIALS</v>
      </c>
      <c r="J89" t="str">
        <v>Sika Wall 192 Fine (White) 25kg</v>
      </c>
      <c r="K89" t="str">
        <v>BAG</v>
      </c>
      <c r="L89" s="9">
        <f>IF($J89="","",IFERROR(SUMIFS(SummaryHelper!$H$2:$H$5000,SummaryHelper!$A$2:$A$5000,$I89,SummaryHelper!$B$2:$B$5000,$J89,SummaryHelper!$C$2:$C$5000,$K89)/SUMIFS(SummaryHelper!$G$2:$G$5000,SummaryHelper!$A$2:$A$5000,$I89,SummaryHelper!$B$2:$B$5000,$J89,SummaryHelper!$C$2:$C$5000,$K89),""))</f>
        <v>17.5</v>
      </c>
      <c r="M89" s="9">
        <f>IF($J89="","",SUMIFS(SummaryHelper!$E$2:$E$5000,SummaryHelper!$A$2:$A$5000,$I89,SummaryHelper!$B$2:$B$5000,$J89,SummaryHelper!$C$2:$C$5000,$K89))</f>
        <v>4</v>
      </c>
      <c r="N89" s="9">
        <f>IF($J89="","",SUMIFS(SummaryHelper!$F$2:$F$5000,SummaryHelper!$A$2:$A$5000,$I89,SummaryHelper!$B$2:$B$5000,$J89,SummaryHelper!$C$2:$C$5000,$K89))</f>
        <v>0.05</v>
      </c>
      <c r="O89" s="9">
        <f>IF($J89="","",SUMIFS(SummaryHelper!$G$2:$G$5000,SummaryHelper!$A$2:$A$5000,$I89,SummaryHelper!$B$2:$B$5000,$J89,SummaryHelper!$C$2:$C$5000,$K89))</f>
        <v>4.2</v>
      </c>
      <c r="Q89" s="9">
        <f t="shared" si="18"/>
        <v>5</v>
      </c>
      <c r="R89" s="9">
        <f t="shared" si="19"/>
        <v>87.5</v>
      </c>
      <c r="W89" s="9" t="str">
        <f>IF($U89="","",IFERROR(SUMIFS(SummaryHelper!$H$2:$H$5000,SummaryHelper!$A$2:$A$5000,$T89,SummaryHelper!$B$2:$B$5000,$U89,SummaryHelper!$C$2:$C$5000,$V89)/SUMIFS(SummaryHelper!$G$2:$G$5000,SummaryHelper!$A$2:$A$5000,$T89,SummaryHelper!$B$2:$B$5000,$U89,SummaryHelper!$C$2:$C$5000,$V89),""))</f>
        <v/>
      </c>
      <c r="X89" s="9" t="str">
        <f>IF($U89="","",SUMIFS(SummaryHelper!$E$2:$E$5000,SummaryHelper!$A$2:$A$5000,$T89,SummaryHelper!$B$2:$B$5000,$U89,SummaryHelper!$C$2:$C$5000,$V89))</f>
        <v/>
      </c>
      <c r="Y89" s="9" t="str">
        <f>IF($U89="","",SUMIFS(SummaryHelper!$F$2:$F$5000,SummaryHelper!$A$2:$A$5000,$T89,SummaryHelper!$B$2:$B$5000,$U89,SummaryHelper!$C$2:$C$5000,$V89))</f>
        <v/>
      </c>
      <c r="Z89" s="9" t="str">
        <f>IF($U89="","",SUMIFS(SummaryHelper!$G$2:$G$5000,SummaryHelper!$A$2:$A$5000,$T89,SummaryHelper!$B$2:$B$5000,$U89,SummaryHelper!$C$2:$C$5000,$V89))</f>
        <v/>
      </c>
      <c r="AB89" s="9" t="str">
        <f t="shared" si="20"/>
        <v/>
      </c>
      <c r="AC89" s="9" t="str">
        <f t="shared" si="21"/>
        <v/>
      </c>
      <c r="AH89" t="str">
        <f>IF($AF89="","",IFERROR(SUMIFS(SummaryHelper!$H$2:$H$5000,SummaryHelper!$A$2:$A$5000,$AE89,SummaryHelper!$B$2:$B$5000,$AF89,SummaryHelper!$C$2:$C$5000,$AG89)/SUMIFS(SummaryHelper!$G$2:$G$5000,SummaryHelper!$A$2:$A$5000,$AE89,SummaryHelper!$B$2:$B$5000,$AF89,SummaryHelper!$C$2:$C$5000,$AG89),""))</f>
        <v/>
      </c>
      <c r="AI89" t="str">
        <f>IF($AF89="","",SUMIFS(SummaryHelper!$E$2:$E$5000,SummaryHelper!$A$2:$A$5000,$AE89,SummaryHelper!$B$2:$B$5000,$AF89,SummaryHelper!$C$2:$C$5000,$AG89))</f>
        <v/>
      </c>
      <c r="AJ89" t="str">
        <f>IF($AF89="","",SUMIFS(SummaryHelper!$F$2:$F$5000,SummaryHelper!$A$2:$A$5000,$AE89,SummaryHelper!$B$2:$B$5000,$AF89,SummaryHelper!$C$2:$C$5000,$AG89))</f>
        <v/>
      </c>
      <c r="AK89" t="str">
        <f>IF($AF89="","",SUMIFS(SummaryHelper!$G$2:$G$5000,SummaryHelper!$A$2:$A$5000,$AE89,SummaryHelper!$B$2:$B$5000,$AF89,SummaryHelper!$C$2:$C$5000,$AG89))</f>
        <v/>
      </c>
      <c r="AM89" t="str">
        <f t="shared" si="22"/>
        <v/>
      </c>
      <c r="AN89" t="str">
        <f t="shared" si="23"/>
        <v/>
      </c>
    </row>
    <row r="90" spans="1:40" x14ac:dyDescent="0.25">
      <c r="A90" s="12"/>
      <c r="B90" s="23" t="str">
        <f t="shared" si="24"/>
        <v/>
      </c>
      <c r="C90" s="9" t="str">
        <f t="shared" ca="1" si="13"/>
        <v/>
      </c>
      <c r="D90" s="9" t="str">
        <f t="shared" ca="1" si="14"/>
        <v/>
      </c>
      <c r="E90" s="9" t="str">
        <f t="shared" ca="1" si="15"/>
        <v/>
      </c>
      <c r="F90" s="9" t="str">
        <f t="shared" si="16"/>
        <v/>
      </c>
      <c r="G90" s="9">
        <f t="shared" si="17"/>
        <v>0</v>
      </c>
      <c r="I90" t="str">
        <v>MATERIALS</v>
      </c>
      <c r="J90" t="str">
        <v>SIKA Waterproof Compound Top Seal 107 (A+B) 25.00kg</v>
      </c>
      <c r="K90" t="str">
        <v>SET</v>
      </c>
      <c r="L90" s="9">
        <f>IF($J90="","",IFERROR(SUMIFS(SummaryHelper!$H$2:$H$5000,SummaryHelper!$A$2:$A$5000,$I90,SummaryHelper!$B$2:$B$5000,$J90,SummaryHelper!$C$2:$C$5000,$K90)/SUMIFS(SummaryHelper!$G$2:$G$5000,SummaryHelper!$A$2:$A$5000,$I90,SummaryHelper!$B$2:$B$5000,$J90,SummaryHelper!$C$2:$C$5000,$K90),""))</f>
        <v>105</v>
      </c>
      <c r="M90" s="9">
        <f>IF($J90="","",SUMIFS(SummaryHelper!$E$2:$E$5000,SummaryHelper!$A$2:$A$5000,$I90,SummaryHelper!$B$2:$B$5000,$J90,SummaryHelper!$C$2:$C$5000,$K90))</f>
        <v>5</v>
      </c>
      <c r="N90" s="9">
        <f>IF($J90="","",SUMIFS(SummaryHelper!$F$2:$F$5000,SummaryHelper!$A$2:$A$5000,$I90,SummaryHelper!$B$2:$B$5000,$J90,SummaryHelper!$C$2:$C$5000,$K90))</f>
        <v>0</v>
      </c>
      <c r="O90" s="9">
        <f>IF($J90="","",SUMIFS(SummaryHelper!$G$2:$G$5000,SummaryHelper!$A$2:$A$5000,$I90,SummaryHelper!$B$2:$B$5000,$J90,SummaryHelper!$C$2:$C$5000,$K90))</f>
        <v>5</v>
      </c>
      <c r="Q90" s="9">
        <f t="shared" si="18"/>
        <v>5</v>
      </c>
      <c r="R90" s="9">
        <f t="shared" si="19"/>
        <v>525</v>
      </c>
      <c r="W90" s="9" t="str">
        <f>IF($U90="","",IFERROR(SUMIFS(SummaryHelper!$H$2:$H$5000,SummaryHelper!$A$2:$A$5000,$T90,SummaryHelper!$B$2:$B$5000,$U90,SummaryHelper!$C$2:$C$5000,$V90)/SUMIFS(SummaryHelper!$G$2:$G$5000,SummaryHelper!$A$2:$A$5000,$T90,SummaryHelper!$B$2:$B$5000,$U90,SummaryHelper!$C$2:$C$5000,$V90),""))</f>
        <v/>
      </c>
      <c r="X90" s="9" t="str">
        <f>IF($U90="","",SUMIFS(SummaryHelper!$E$2:$E$5000,SummaryHelper!$A$2:$A$5000,$T90,SummaryHelper!$B$2:$B$5000,$U90,SummaryHelper!$C$2:$C$5000,$V90))</f>
        <v/>
      </c>
      <c r="Y90" s="9" t="str">
        <f>IF($U90="","",SUMIFS(SummaryHelper!$F$2:$F$5000,SummaryHelper!$A$2:$A$5000,$T90,SummaryHelper!$B$2:$B$5000,$U90,SummaryHelper!$C$2:$C$5000,$V90))</f>
        <v/>
      </c>
      <c r="Z90" s="9" t="str">
        <f>IF($U90="","",SUMIFS(SummaryHelper!$G$2:$G$5000,SummaryHelper!$A$2:$A$5000,$T90,SummaryHelper!$B$2:$B$5000,$U90,SummaryHelper!$C$2:$C$5000,$V90))</f>
        <v/>
      </c>
      <c r="AB90" s="9" t="str">
        <f t="shared" si="20"/>
        <v/>
      </c>
      <c r="AC90" s="9" t="str">
        <f t="shared" si="21"/>
        <v/>
      </c>
      <c r="AH90" t="str">
        <f>IF($AF90="","",IFERROR(SUMIFS(SummaryHelper!$H$2:$H$5000,SummaryHelper!$A$2:$A$5000,$AE90,SummaryHelper!$B$2:$B$5000,$AF90,SummaryHelper!$C$2:$C$5000,$AG90)/SUMIFS(SummaryHelper!$G$2:$G$5000,SummaryHelper!$A$2:$A$5000,$AE90,SummaryHelper!$B$2:$B$5000,$AF90,SummaryHelper!$C$2:$C$5000,$AG90),""))</f>
        <v/>
      </c>
      <c r="AI90" t="str">
        <f>IF($AF90="","",SUMIFS(SummaryHelper!$E$2:$E$5000,SummaryHelper!$A$2:$A$5000,$AE90,SummaryHelper!$B$2:$B$5000,$AF90,SummaryHelper!$C$2:$C$5000,$AG90))</f>
        <v/>
      </c>
      <c r="AJ90" t="str">
        <f>IF($AF90="","",SUMIFS(SummaryHelper!$F$2:$F$5000,SummaryHelper!$A$2:$A$5000,$AE90,SummaryHelper!$B$2:$B$5000,$AF90,SummaryHelper!$C$2:$C$5000,$AG90))</f>
        <v/>
      </c>
      <c r="AK90" t="str">
        <f>IF($AF90="","",SUMIFS(SummaryHelper!$G$2:$G$5000,SummaryHelper!$A$2:$A$5000,$AE90,SummaryHelper!$B$2:$B$5000,$AF90,SummaryHelper!$C$2:$C$5000,$AG90))</f>
        <v/>
      </c>
      <c r="AM90" t="str">
        <f t="shared" si="22"/>
        <v/>
      </c>
      <c r="AN90" t="str">
        <f t="shared" si="23"/>
        <v/>
      </c>
    </row>
    <row r="91" spans="1:40" x14ac:dyDescent="0.25">
      <c r="A91" s="12"/>
      <c r="B91" s="23" t="str">
        <f t="shared" si="24"/>
        <v/>
      </c>
      <c r="C91" s="9" t="str">
        <f t="shared" ca="1" si="13"/>
        <v/>
      </c>
      <c r="D91" s="9" t="str">
        <f t="shared" ca="1" si="14"/>
        <v/>
      </c>
      <c r="E91" s="9" t="str">
        <f t="shared" ca="1" si="15"/>
        <v/>
      </c>
      <c r="F91" s="9" t="str">
        <f t="shared" si="16"/>
        <v/>
      </c>
      <c r="G91" s="9">
        <f t="shared" si="17"/>
        <v>0</v>
      </c>
      <c r="I91" t="str">
        <v>MATERIALS</v>
      </c>
      <c r="J91" t="str">
        <v>Smart Paint 5400 Wall Sealer Exterior &amp; Interior Wall Undercoat 18L</v>
      </c>
      <c r="K91" t="str">
        <v>PAIL</v>
      </c>
      <c r="L91" s="9">
        <f>IF($J91="","",IFERROR(SUMIFS(SummaryHelper!$H$2:$H$5000,SummaryHelper!$A$2:$A$5000,$I91,SummaryHelper!$B$2:$B$5000,$J91,SummaryHelper!$C$2:$C$5000,$K91)/SUMIFS(SummaryHelper!$G$2:$G$5000,SummaryHelper!$A$2:$A$5000,$I91,SummaryHelper!$B$2:$B$5000,$J91,SummaryHelper!$C$2:$C$5000,$K91),""))</f>
        <v>160</v>
      </c>
      <c r="M91" s="9">
        <f>IF($J91="","",SUMIFS(SummaryHelper!$E$2:$E$5000,SummaryHelper!$A$2:$A$5000,$I91,SummaryHelper!$B$2:$B$5000,$J91,SummaryHelper!$C$2:$C$5000,$K91))</f>
        <v>1.05</v>
      </c>
      <c r="N91" s="9">
        <f>IF($J91="","",SUMIFS(SummaryHelper!$F$2:$F$5000,SummaryHelper!$A$2:$A$5000,$I91,SummaryHelper!$B$2:$B$5000,$J91,SummaryHelper!$C$2:$C$5000,$K91))</f>
        <v>0.05</v>
      </c>
      <c r="O91" s="9">
        <f>IF($J91="","",SUMIFS(SummaryHelper!$G$2:$G$5000,SummaryHelper!$A$2:$A$5000,$I91,SummaryHelper!$B$2:$B$5000,$J91,SummaryHelper!$C$2:$C$5000,$K91))</f>
        <v>1.1000000000000001</v>
      </c>
      <c r="Q91" s="9">
        <f t="shared" si="18"/>
        <v>2</v>
      </c>
      <c r="R91" s="9">
        <f t="shared" si="19"/>
        <v>320</v>
      </c>
      <c r="W91" s="9" t="str">
        <f>IF($U91="","",IFERROR(SUMIFS(SummaryHelper!$H$2:$H$5000,SummaryHelper!$A$2:$A$5000,$T91,SummaryHelper!$B$2:$B$5000,$U91,SummaryHelper!$C$2:$C$5000,$V91)/SUMIFS(SummaryHelper!$G$2:$G$5000,SummaryHelper!$A$2:$A$5000,$T91,SummaryHelper!$B$2:$B$5000,$U91,SummaryHelper!$C$2:$C$5000,$V91),""))</f>
        <v/>
      </c>
      <c r="X91" s="9" t="str">
        <f>IF($U91="","",SUMIFS(SummaryHelper!$E$2:$E$5000,SummaryHelper!$A$2:$A$5000,$T91,SummaryHelper!$B$2:$B$5000,$U91,SummaryHelper!$C$2:$C$5000,$V91))</f>
        <v/>
      </c>
      <c r="Y91" s="9" t="str">
        <f>IF($U91="","",SUMIFS(SummaryHelper!$F$2:$F$5000,SummaryHelper!$A$2:$A$5000,$T91,SummaryHelper!$B$2:$B$5000,$U91,SummaryHelper!$C$2:$C$5000,$V91))</f>
        <v/>
      </c>
      <c r="Z91" s="9" t="str">
        <f>IF($U91="","",SUMIFS(SummaryHelper!$G$2:$G$5000,SummaryHelper!$A$2:$A$5000,$T91,SummaryHelper!$B$2:$B$5000,$U91,SummaryHelper!$C$2:$C$5000,$V91))</f>
        <v/>
      </c>
      <c r="AB91" s="9" t="str">
        <f t="shared" si="20"/>
        <v/>
      </c>
      <c r="AC91" s="9" t="str">
        <f t="shared" si="21"/>
        <v/>
      </c>
      <c r="AH91" t="str">
        <f>IF($AF91="","",IFERROR(SUMIFS(SummaryHelper!$H$2:$H$5000,SummaryHelper!$A$2:$A$5000,$AE91,SummaryHelper!$B$2:$B$5000,$AF91,SummaryHelper!$C$2:$C$5000,$AG91)/SUMIFS(SummaryHelper!$G$2:$G$5000,SummaryHelper!$A$2:$A$5000,$AE91,SummaryHelper!$B$2:$B$5000,$AF91,SummaryHelper!$C$2:$C$5000,$AG91),""))</f>
        <v/>
      </c>
      <c r="AI91" t="str">
        <f>IF($AF91="","",SUMIFS(SummaryHelper!$E$2:$E$5000,SummaryHelper!$A$2:$A$5000,$AE91,SummaryHelper!$B$2:$B$5000,$AF91,SummaryHelper!$C$2:$C$5000,$AG91))</f>
        <v/>
      </c>
      <c r="AJ91" t="str">
        <f>IF($AF91="","",SUMIFS(SummaryHelper!$F$2:$F$5000,SummaryHelper!$A$2:$A$5000,$AE91,SummaryHelper!$B$2:$B$5000,$AF91,SummaryHelper!$C$2:$C$5000,$AG91))</f>
        <v/>
      </c>
      <c r="AK91" t="str">
        <f>IF($AF91="","",SUMIFS(SummaryHelper!$G$2:$G$5000,SummaryHelper!$A$2:$A$5000,$AE91,SummaryHelper!$B$2:$B$5000,$AF91,SummaryHelper!$C$2:$C$5000,$AG91))</f>
        <v/>
      </c>
      <c r="AM91" t="str">
        <f t="shared" si="22"/>
        <v/>
      </c>
      <c r="AN91" t="str">
        <f t="shared" si="23"/>
        <v/>
      </c>
    </row>
    <row r="92" spans="1:40" x14ac:dyDescent="0.25">
      <c r="A92" s="12"/>
      <c r="B92" s="23" t="str">
        <f t="shared" si="24"/>
        <v/>
      </c>
      <c r="C92" s="9" t="str">
        <f t="shared" ca="1" si="13"/>
        <v/>
      </c>
      <c r="D92" s="9" t="str">
        <f t="shared" ca="1" si="14"/>
        <v/>
      </c>
      <c r="E92" s="9" t="str">
        <f t="shared" ca="1" si="15"/>
        <v/>
      </c>
      <c r="F92" s="9" t="str">
        <f t="shared" si="16"/>
        <v/>
      </c>
      <c r="G92" s="9">
        <f t="shared" si="17"/>
        <v>0</v>
      </c>
      <c r="I92" t="str">
        <v>MATERIALS</v>
      </c>
      <c r="J92" t="str">
        <v>Taipoly Copper Rod 13.7mm x 5ft (SIRIM JKR)</v>
      </c>
      <c r="K92" t="str">
        <v>LTH</v>
      </c>
      <c r="L92" s="9">
        <f>IF($J92="","",IFERROR(SUMIFS(SummaryHelper!$H$2:$H$5000,SummaryHelper!$A$2:$A$5000,$I92,SummaryHelper!$B$2:$B$5000,$J92,SummaryHelper!$C$2:$C$5000,$K92)/SUMIFS(SummaryHelper!$G$2:$G$5000,SummaryHelper!$A$2:$A$5000,$I92,SummaryHelper!$B$2:$B$5000,$J92,SummaryHelper!$C$2:$C$5000,$K92),""))</f>
        <v>48</v>
      </c>
      <c r="M92" s="9">
        <f>IF($J92="","",SUMIFS(SummaryHelper!$E$2:$E$5000,SummaryHelper!$A$2:$A$5000,$I92,SummaryHelper!$B$2:$B$5000,$J92,SummaryHelper!$C$2:$C$5000,$K92))</f>
        <v>1</v>
      </c>
      <c r="N92" s="9">
        <f>IF($J92="","",SUMIFS(SummaryHelper!$F$2:$F$5000,SummaryHelper!$A$2:$A$5000,$I92,SummaryHelper!$B$2:$B$5000,$J92,SummaryHelper!$C$2:$C$5000,$K92))</f>
        <v>0</v>
      </c>
      <c r="O92" s="9">
        <f>IF($J92="","",SUMIFS(SummaryHelper!$G$2:$G$5000,SummaryHelper!$A$2:$A$5000,$I92,SummaryHelper!$B$2:$B$5000,$J92,SummaryHelper!$C$2:$C$5000,$K92))</f>
        <v>1</v>
      </c>
      <c r="Q92" s="9">
        <f t="shared" si="18"/>
        <v>1</v>
      </c>
      <c r="R92" s="9">
        <f t="shared" si="19"/>
        <v>48</v>
      </c>
      <c r="W92" s="9" t="str">
        <f>IF($U92="","",IFERROR(SUMIFS(SummaryHelper!$H$2:$H$5000,SummaryHelper!$A$2:$A$5000,$T92,SummaryHelper!$B$2:$B$5000,$U92,SummaryHelper!$C$2:$C$5000,$V92)/SUMIFS(SummaryHelper!$G$2:$G$5000,SummaryHelper!$A$2:$A$5000,$T92,SummaryHelper!$B$2:$B$5000,$U92,SummaryHelper!$C$2:$C$5000,$V92),""))</f>
        <v/>
      </c>
      <c r="X92" s="9" t="str">
        <f>IF($U92="","",SUMIFS(SummaryHelper!$E$2:$E$5000,SummaryHelper!$A$2:$A$5000,$T92,SummaryHelper!$B$2:$B$5000,$U92,SummaryHelper!$C$2:$C$5000,$V92))</f>
        <v/>
      </c>
      <c r="Y92" s="9" t="str">
        <f>IF($U92="","",SUMIFS(SummaryHelper!$F$2:$F$5000,SummaryHelper!$A$2:$A$5000,$T92,SummaryHelper!$B$2:$B$5000,$U92,SummaryHelper!$C$2:$C$5000,$V92))</f>
        <v/>
      </c>
      <c r="Z92" s="9" t="str">
        <f>IF($U92="","",SUMIFS(SummaryHelper!$G$2:$G$5000,SummaryHelper!$A$2:$A$5000,$T92,SummaryHelper!$B$2:$B$5000,$U92,SummaryHelper!$C$2:$C$5000,$V92))</f>
        <v/>
      </c>
      <c r="AB92" s="9" t="str">
        <f t="shared" si="20"/>
        <v/>
      </c>
      <c r="AC92" s="9" t="str">
        <f t="shared" si="21"/>
        <v/>
      </c>
      <c r="AH92" t="str">
        <f>IF($AF92="","",IFERROR(SUMIFS(SummaryHelper!$H$2:$H$5000,SummaryHelper!$A$2:$A$5000,$AE92,SummaryHelper!$B$2:$B$5000,$AF92,SummaryHelper!$C$2:$C$5000,$AG92)/SUMIFS(SummaryHelper!$G$2:$G$5000,SummaryHelper!$A$2:$A$5000,$AE92,SummaryHelper!$B$2:$B$5000,$AF92,SummaryHelper!$C$2:$C$5000,$AG92),""))</f>
        <v/>
      </c>
      <c r="AI92" t="str">
        <f>IF($AF92="","",SUMIFS(SummaryHelper!$E$2:$E$5000,SummaryHelper!$A$2:$A$5000,$AE92,SummaryHelper!$B$2:$B$5000,$AF92,SummaryHelper!$C$2:$C$5000,$AG92))</f>
        <v/>
      </c>
      <c r="AJ92" t="str">
        <f>IF($AF92="","",SUMIFS(SummaryHelper!$F$2:$F$5000,SummaryHelper!$A$2:$A$5000,$AE92,SummaryHelper!$B$2:$B$5000,$AF92,SummaryHelper!$C$2:$C$5000,$AG92))</f>
        <v/>
      </c>
      <c r="AK92" t="str">
        <f>IF($AF92="","",SUMIFS(SummaryHelper!$G$2:$G$5000,SummaryHelper!$A$2:$A$5000,$AE92,SummaryHelper!$B$2:$B$5000,$AF92,SummaryHelper!$C$2:$C$5000,$AG92))</f>
        <v/>
      </c>
      <c r="AM92" t="str">
        <f t="shared" si="22"/>
        <v/>
      </c>
      <c r="AN92" t="str">
        <f t="shared" si="23"/>
        <v/>
      </c>
    </row>
    <row r="93" spans="1:40" x14ac:dyDescent="0.25">
      <c r="A93" s="12"/>
      <c r="B93" s="23" t="str">
        <f t="shared" si="24"/>
        <v/>
      </c>
      <c r="C93" s="9" t="str">
        <f t="shared" ca="1" si="13"/>
        <v/>
      </c>
      <c r="D93" s="9" t="str">
        <f t="shared" ca="1" si="14"/>
        <v/>
      </c>
      <c r="E93" s="9" t="str">
        <f t="shared" ca="1" si="15"/>
        <v/>
      </c>
      <c r="F93" s="9" t="str">
        <f t="shared" si="16"/>
        <v/>
      </c>
      <c r="G93" s="9">
        <f t="shared" si="17"/>
        <v>0</v>
      </c>
      <c r="I93" t="str">
        <v>MATERIALS</v>
      </c>
      <c r="J93" t="str">
        <v>Talc Chalk</v>
      </c>
      <c r="K93" t="str">
        <v>PCS</v>
      </c>
      <c r="L93" s="9">
        <f>IF($J93="","",IFERROR(SUMIFS(SummaryHelper!$H$2:$H$5000,SummaryHelper!$A$2:$A$5000,$I93,SummaryHelper!$B$2:$B$5000,$J93,SummaryHelper!$C$2:$C$5000,$K93)/SUMIFS(SummaryHelper!$G$2:$G$5000,SummaryHelper!$A$2:$A$5000,$I93,SummaryHelper!$B$2:$B$5000,$J93,SummaryHelper!$C$2:$C$5000,$K93),""))</f>
        <v>4</v>
      </c>
      <c r="M93" s="9">
        <f>IF($J93="","",SUMIFS(SummaryHelper!$E$2:$E$5000,SummaryHelper!$A$2:$A$5000,$I93,SummaryHelper!$B$2:$B$5000,$J93,SummaryHelper!$C$2:$C$5000,$K93))</f>
        <v>1</v>
      </c>
      <c r="N93" s="9">
        <f>IF($J93="","",SUMIFS(SummaryHelper!$F$2:$F$5000,SummaryHelper!$A$2:$A$5000,$I93,SummaryHelper!$B$2:$B$5000,$J93,SummaryHelper!$C$2:$C$5000,$K93))</f>
        <v>0</v>
      </c>
      <c r="O93" s="9">
        <f>IF($J93="","",SUMIFS(SummaryHelper!$G$2:$G$5000,SummaryHelper!$A$2:$A$5000,$I93,SummaryHelper!$B$2:$B$5000,$J93,SummaryHelper!$C$2:$C$5000,$K93))</f>
        <v>1</v>
      </c>
      <c r="Q93" s="9">
        <f t="shared" si="18"/>
        <v>1</v>
      </c>
      <c r="R93" s="9">
        <f t="shared" si="19"/>
        <v>4</v>
      </c>
      <c r="W93" s="9" t="str">
        <f>IF($U93="","",IFERROR(SUMIFS(SummaryHelper!$H$2:$H$5000,SummaryHelper!$A$2:$A$5000,$T93,SummaryHelper!$B$2:$B$5000,$U93,SummaryHelper!$C$2:$C$5000,$V93)/SUMIFS(SummaryHelper!$G$2:$G$5000,SummaryHelper!$A$2:$A$5000,$T93,SummaryHelper!$B$2:$B$5000,$U93,SummaryHelper!$C$2:$C$5000,$V93),""))</f>
        <v/>
      </c>
      <c r="X93" s="9" t="str">
        <f>IF($U93="","",SUMIFS(SummaryHelper!$E$2:$E$5000,SummaryHelper!$A$2:$A$5000,$T93,SummaryHelper!$B$2:$B$5000,$U93,SummaryHelper!$C$2:$C$5000,$V93))</f>
        <v/>
      </c>
      <c r="Y93" s="9" t="str">
        <f>IF($U93="","",SUMIFS(SummaryHelper!$F$2:$F$5000,SummaryHelper!$A$2:$A$5000,$T93,SummaryHelper!$B$2:$B$5000,$U93,SummaryHelper!$C$2:$C$5000,$V93))</f>
        <v/>
      </c>
      <c r="Z93" s="9" t="str">
        <f>IF($U93="","",SUMIFS(SummaryHelper!$G$2:$G$5000,SummaryHelper!$A$2:$A$5000,$T93,SummaryHelper!$B$2:$B$5000,$U93,SummaryHelper!$C$2:$C$5000,$V93))</f>
        <v/>
      </c>
      <c r="AB93" s="9" t="str">
        <f t="shared" si="20"/>
        <v/>
      </c>
      <c r="AC93" s="9" t="str">
        <f t="shared" si="21"/>
        <v/>
      </c>
      <c r="AH93" t="str">
        <f>IF($AF93="","",IFERROR(SUMIFS(SummaryHelper!$H$2:$H$5000,SummaryHelper!$A$2:$A$5000,$AE93,SummaryHelper!$B$2:$B$5000,$AF93,SummaryHelper!$C$2:$C$5000,$AG93)/SUMIFS(SummaryHelper!$G$2:$G$5000,SummaryHelper!$A$2:$A$5000,$AE93,SummaryHelper!$B$2:$B$5000,$AF93,SummaryHelper!$C$2:$C$5000,$AG93),""))</f>
        <v/>
      </c>
      <c r="AI93" t="str">
        <f>IF($AF93="","",SUMIFS(SummaryHelper!$E$2:$E$5000,SummaryHelper!$A$2:$A$5000,$AE93,SummaryHelper!$B$2:$B$5000,$AF93,SummaryHelper!$C$2:$C$5000,$AG93))</f>
        <v/>
      </c>
      <c r="AJ93" t="str">
        <f>IF($AF93="","",SUMIFS(SummaryHelper!$F$2:$F$5000,SummaryHelper!$A$2:$A$5000,$AE93,SummaryHelper!$B$2:$B$5000,$AF93,SummaryHelper!$C$2:$C$5000,$AG93))</f>
        <v/>
      </c>
      <c r="AK93" t="str">
        <f>IF($AF93="","",SUMIFS(SummaryHelper!$G$2:$G$5000,SummaryHelper!$A$2:$A$5000,$AE93,SummaryHelper!$B$2:$B$5000,$AF93,SummaryHelper!$C$2:$C$5000,$AG93))</f>
        <v/>
      </c>
      <c r="AM93" t="str">
        <f t="shared" si="22"/>
        <v/>
      </c>
      <c r="AN93" t="str">
        <f t="shared" si="23"/>
        <v/>
      </c>
    </row>
    <row r="94" spans="1:40" x14ac:dyDescent="0.25">
      <c r="A94" s="12"/>
      <c r="B94" s="23" t="str">
        <f t="shared" si="24"/>
        <v/>
      </c>
      <c r="C94" s="9" t="str">
        <f t="shared" ca="1" si="13"/>
        <v/>
      </c>
      <c r="D94" s="9" t="str">
        <f t="shared" ca="1" si="14"/>
        <v/>
      </c>
      <c r="E94" s="9" t="str">
        <f t="shared" ca="1" si="15"/>
        <v/>
      </c>
      <c r="F94" s="9" t="str">
        <f t="shared" si="16"/>
        <v/>
      </c>
      <c r="G94" s="9">
        <f t="shared" si="17"/>
        <v>0</v>
      </c>
      <c r="I94" t="str">
        <v>MATERIALS</v>
      </c>
      <c r="J94" t="str">
        <v>TH Deck 762 Metal Roofing 0.47mm G26 TCT</v>
      </c>
      <c r="K94" t="str">
        <v>FT-RUN</v>
      </c>
      <c r="L94" s="9">
        <f>IF($J94="","",IFERROR(SUMIFS(SummaryHelper!$H$2:$H$5000,SummaryHelper!$A$2:$A$5000,$I94,SummaryHelper!$B$2:$B$5000,$J94,SummaryHelper!$C$2:$C$5000,$K94)/SUMIFS(SummaryHelper!$G$2:$G$5000,SummaryHelper!$A$2:$A$5000,$I94,SummaryHelper!$B$2:$B$5000,$J94,SummaryHelper!$C$2:$C$5000,$K94),""))</f>
        <v>5.5</v>
      </c>
      <c r="M94" s="9">
        <f>IF($J94="","",SUMIFS(SummaryHelper!$E$2:$E$5000,SummaryHelper!$A$2:$A$5000,$I94,SummaryHelper!$B$2:$B$5000,$J94,SummaryHelper!$C$2:$C$5000,$K94))</f>
        <v>958</v>
      </c>
      <c r="N94" s="9">
        <f>IF($J94="","",SUMIFS(SummaryHelper!$F$2:$F$5000,SummaryHelper!$A$2:$A$5000,$I94,SummaryHelper!$B$2:$B$5000,$J94,SummaryHelper!$C$2:$C$5000,$K94))</f>
        <v>0.05</v>
      </c>
      <c r="O94" s="9">
        <f>IF($J94="","",SUMIFS(SummaryHelper!$G$2:$G$5000,SummaryHelper!$A$2:$A$5000,$I94,SummaryHelper!$B$2:$B$5000,$J94,SummaryHelper!$C$2:$C$5000,$K94))</f>
        <v>1005.9000000000001</v>
      </c>
      <c r="Q94" s="9">
        <f t="shared" si="18"/>
        <v>1006</v>
      </c>
      <c r="R94" s="9">
        <f t="shared" si="19"/>
        <v>5533</v>
      </c>
      <c r="W94" s="9" t="str">
        <f>IF($U94="","",IFERROR(SUMIFS(SummaryHelper!$H$2:$H$5000,SummaryHelper!$A$2:$A$5000,$T94,SummaryHelper!$B$2:$B$5000,$U94,SummaryHelper!$C$2:$C$5000,$V94)/SUMIFS(SummaryHelper!$G$2:$G$5000,SummaryHelper!$A$2:$A$5000,$T94,SummaryHelper!$B$2:$B$5000,$U94,SummaryHelper!$C$2:$C$5000,$V94),""))</f>
        <v/>
      </c>
      <c r="X94" s="9" t="str">
        <f>IF($U94="","",SUMIFS(SummaryHelper!$E$2:$E$5000,SummaryHelper!$A$2:$A$5000,$T94,SummaryHelper!$B$2:$B$5000,$U94,SummaryHelper!$C$2:$C$5000,$V94))</f>
        <v/>
      </c>
      <c r="Y94" s="9" t="str">
        <f>IF($U94="","",SUMIFS(SummaryHelper!$F$2:$F$5000,SummaryHelper!$A$2:$A$5000,$T94,SummaryHelper!$B$2:$B$5000,$U94,SummaryHelper!$C$2:$C$5000,$V94))</f>
        <v/>
      </c>
      <c r="Z94" s="9" t="str">
        <f>IF($U94="","",SUMIFS(SummaryHelper!$G$2:$G$5000,SummaryHelper!$A$2:$A$5000,$T94,SummaryHelper!$B$2:$B$5000,$U94,SummaryHelper!$C$2:$C$5000,$V94))</f>
        <v/>
      </c>
      <c r="AB94" s="9" t="str">
        <f t="shared" si="20"/>
        <v/>
      </c>
      <c r="AC94" s="9" t="str">
        <f t="shared" si="21"/>
        <v/>
      </c>
      <c r="AH94" t="str">
        <f>IF($AF94="","",IFERROR(SUMIFS(SummaryHelper!$H$2:$H$5000,SummaryHelper!$A$2:$A$5000,$AE94,SummaryHelper!$B$2:$B$5000,$AF94,SummaryHelper!$C$2:$C$5000,$AG94)/SUMIFS(SummaryHelper!$G$2:$G$5000,SummaryHelper!$A$2:$A$5000,$AE94,SummaryHelper!$B$2:$B$5000,$AF94,SummaryHelper!$C$2:$C$5000,$AG94),""))</f>
        <v/>
      </c>
      <c r="AI94" t="str">
        <f>IF($AF94="","",SUMIFS(SummaryHelper!$E$2:$E$5000,SummaryHelper!$A$2:$A$5000,$AE94,SummaryHelper!$B$2:$B$5000,$AF94,SummaryHelper!$C$2:$C$5000,$AG94))</f>
        <v/>
      </c>
      <c r="AJ94" t="str">
        <f>IF($AF94="","",SUMIFS(SummaryHelper!$F$2:$F$5000,SummaryHelper!$A$2:$A$5000,$AE94,SummaryHelper!$B$2:$B$5000,$AF94,SummaryHelper!$C$2:$C$5000,$AG94))</f>
        <v/>
      </c>
      <c r="AK94" t="str">
        <f>IF($AF94="","",SUMIFS(SummaryHelper!$G$2:$G$5000,SummaryHelper!$A$2:$A$5000,$AE94,SummaryHelper!$B$2:$B$5000,$AF94,SummaryHelper!$C$2:$C$5000,$AG94))</f>
        <v/>
      </c>
      <c r="AM94" t="str">
        <f t="shared" si="22"/>
        <v/>
      </c>
      <c r="AN94" t="str">
        <f t="shared" si="23"/>
        <v/>
      </c>
    </row>
    <row r="95" spans="1:40" x14ac:dyDescent="0.25">
      <c r="A95" s="12"/>
      <c r="B95" s="23" t="str">
        <f t="shared" si="24"/>
        <v/>
      </c>
      <c r="C95" s="9" t="str">
        <f t="shared" ca="1" si="13"/>
        <v/>
      </c>
      <c r="D95" s="9" t="str">
        <f t="shared" ca="1" si="14"/>
        <v/>
      </c>
      <c r="E95" s="9" t="str">
        <f t="shared" ca="1" si="15"/>
        <v/>
      </c>
      <c r="F95" s="9" t="str">
        <f t="shared" si="16"/>
        <v/>
      </c>
      <c r="G95" s="9">
        <f t="shared" si="17"/>
        <v>0</v>
      </c>
      <c r="I95" t="str">
        <v>MATERIALS</v>
      </c>
      <c r="J95" t="str">
        <v>Tile 300mm x 300mm</v>
      </c>
      <c r="K95" t="str">
        <v>PCS</v>
      </c>
      <c r="L95" s="9">
        <f>IF($J95="","",IFERROR(SUMIFS(SummaryHelper!$H$2:$H$5000,SummaryHelper!$A$2:$A$5000,$I95,SummaryHelper!$B$2:$B$5000,$J95,SummaryHelper!$C$2:$C$5000,$K95)/SUMIFS(SummaryHelper!$G$2:$G$5000,SummaryHelper!$A$2:$A$5000,$I95,SummaryHelper!$B$2:$B$5000,$J95,SummaryHelper!$C$2:$C$5000,$K95),""))</f>
        <v>4.5</v>
      </c>
      <c r="M95" s="9">
        <f>IF($J95="","",SUMIFS(SummaryHelper!$E$2:$E$5000,SummaryHelper!$A$2:$A$5000,$I95,SummaryHelper!$B$2:$B$5000,$J95,SummaryHelper!$C$2:$C$5000,$K95))</f>
        <v>273</v>
      </c>
      <c r="N95" s="9">
        <f>IF($J95="","",SUMIFS(SummaryHelper!$F$2:$F$5000,SummaryHelper!$A$2:$A$5000,$I95,SummaryHelper!$B$2:$B$5000,$J95,SummaryHelper!$C$2:$C$5000,$K95))</f>
        <v>0</v>
      </c>
      <c r="O95" s="9">
        <f>IF($J95="","",SUMIFS(SummaryHelper!$G$2:$G$5000,SummaryHelper!$A$2:$A$5000,$I95,SummaryHelper!$B$2:$B$5000,$J95,SummaryHelper!$C$2:$C$5000,$K95))</f>
        <v>273</v>
      </c>
      <c r="Q95" s="9">
        <f t="shared" si="18"/>
        <v>273</v>
      </c>
      <c r="R95" s="9">
        <f t="shared" si="19"/>
        <v>1228.5</v>
      </c>
      <c r="W95" s="9" t="str">
        <f>IF($U95="","",IFERROR(SUMIFS(SummaryHelper!$H$2:$H$5000,SummaryHelper!$A$2:$A$5000,$T95,SummaryHelper!$B$2:$B$5000,$U95,SummaryHelper!$C$2:$C$5000,$V95)/SUMIFS(SummaryHelper!$G$2:$G$5000,SummaryHelper!$A$2:$A$5000,$T95,SummaryHelper!$B$2:$B$5000,$U95,SummaryHelper!$C$2:$C$5000,$V95),""))</f>
        <v/>
      </c>
      <c r="X95" s="9" t="str">
        <f>IF($U95="","",SUMIFS(SummaryHelper!$E$2:$E$5000,SummaryHelper!$A$2:$A$5000,$T95,SummaryHelper!$B$2:$B$5000,$U95,SummaryHelper!$C$2:$C$5000,$V95))</f>
        <v/>
      </c>
      <c r="Y95" s="9" t="str">
        <f>IF($U95="","",SUMIFS(SummaryHelper!$F$2:$F$5000,SummaryHelper!$A$2:$A$5000,$T95,SummaryHelper!$B$2:$B$5000,$U95,SummaryHelper!$C$2:$C$5000,$V95))</f>
        <v/>
      </c>
      <c r="Z95" s="9" t="str">
        <f>IF($U95="","",SUMIFS(SummaryHelper!$G$2:$G$5000,SummaryHelper!$A$2:$A$5000,$T95,SummaryHelper!$B$2:$B$5000,$U95,SummaryHelper!$C$2:$C$5000,$V95))</f>
        <v/>
      </c>
      <c r="AB95" s="9" t="str">
        <f t="shared" si="20"/>
        <v/>
      </c>
      <c r="AC95" s="9" t="str">
        <f t="shared" si="21"/>
        <v/>
      </c>
      <c r="AH95" t="str">
        <f>IF($AF95="","",IFERROR(SUMIFS(SummaryHelper!$H$2:$H$5000,SummaryHelper!$A$2:$A$5000,$AE95,SummaryHelper!$B$2:$B$5000,$AF95,SummaryHelper!$C$2:$C$5000,$AG95)/SUMIFS(SummaryHelper!$G$2:$G$5000,SummaryHelper!$A$2:$A$5000,$AE95,SummaryHelper!$B$2:$B$5000,$AF95,SummaryHelper!$C$2:$C$5000,$AG95),""))</f>
        <v/>
      </c>
      <c r="AI95" t="str">
        <f>IF($AF95="","",SUMIFS(SummaryHelper!$E$2:$E$5000,SummaryHelper!$A$2:$A$5000,$AE95,SummaryHelper!$B$2:$B$5000,$AF95,SummaryHelper!$C$2:$C$5000,$AG95))</f>
        <v/>
      </c>
      <c r="AJ95" t="str">
        <f>IF($AF95="","",SUMIFS(SummaryHelper!$F$2:$F$5000,SummaryHelper!$A$2:$A$5000,$AE95,SummaryHelper!$B$2:$B$5000,$AF95,SummaryHelper!$C$2:$C$5000,$AG95))</f>
        <v/>
      </c>
      <c r="AK95" t="str">
        <f>IF($AF95="","",SUMIFS(SummaryHelper!$G$2:$G$5000,SummaryHelper!$A$2:$A$5000,$AE95,SummaryHelper!$B$2:$B$5000,$AF95,SummaryHelper!$C$2:$C$5000,$AG95))</f>
        <v/>
      </c>
      <c r="AM95" t="str">
        <f t="shared" si="22"/>
        <v/>
      </c>
      <c r="AN95" t="str">
        <f t="shared" si="23"/>
        <v/>
      </c>
    </row>
    <row r="96" spans="1:40" x14ac:dyDescent="0.25">
      <c r="A96" s="12"/>
      <c r="B96" s="23" t="str">
        <f t="shared" si="24"/>
        <v/>
      </c>
      <c r="C96" s="9" t="str">
        <f t="shared" ca="1" si="13"/>
        <v/>
      </c>
      <c r="D96" s="9" t="str">
        <f t="shared" ca="1" si="14"/>
        <v/>
      </c>
      <c r="E96" s="9" t="str">
        <f t="shared" ca="1" si="15"/>
        <v/>
      </c>
      <c r="F96" s="9" t="str">
        <f t="shared" si="16"/>
        <v/>
      </c>
      <c r="G96" s="9">
        <f t="shared" si="17"/>
        <v>0</v>
      </c>
      <c r="I96" t="str">
        <v>MATERIALS</v>
      </c>
      <c r="J96" t="str">
        <v>Tile 300mm x 600mm</v>
      </c>
      <c r="K96" t="str">
        <v>PCS</v>
      </c>
      <c r="L96" s="9">
        <f>IF($J96="","",IFERROR(SUMIFS(SummaryHelper!$H$2:$H$5000,SummaryHelper!$A$2:$A$5000,$I96,SummaryHelper!$B$2:$B$5000,$J96,SummaryHelper!$C$2:$C$5000,$K96)/SUMIFS(SummaryHelper!$G$2:$G$5000,SummaryHelper!$A$2:$A$5000,$I96,SummaryHelper!$B$2:$B$5000,$J96,SummaryHelper!$C$2:$C$5000,$K96),""))</f>
        <v>6.5</v>
      </c>
      <c r="M96" s="9">
        <f>IF($J96="","",SUMIFS(SummaryHelper!$E$2:$E$5000,SummaryHelper!$A$2:$A$5000,$I96,SummaryHelper!$B$2:$B$5000,$J96,SummaryHelper!$C$2:$C$5000,$K96))</f>
        <v>166</v>
      </c>
      <c r="N96" s="9">
        <f>IF($J96="","",SUMIFS(SummaryHelper!$F$2:$F$5000,SummaryHelper!$A$2:$A$5000,$I96,SummaryHelper!$B$2:$B$5000,$J96,SummaryHelper!$C$2:$C$5000,$K96))</f>
        <v>0</v>
      </c>
      <c r="O96" s="9">
        <f>IF($J96="","",SUMIFS(SummaryHelper!$G$2:$G$5000,SummaryHelper!$A$2:$A$5000,$I96,SummaryHelper!$B$2:$B$5000,$J96,SummaryHelper!$C$2:$C$5000,$K96))</f>
        <v>166</v>
      </c>
      <c r="Q96" s="9">
        <f t="shared" si="18"/>
        <v>166</v>
      </c>
      <c r="R96" s="9">
        <f t="shared" si="19"/>
        <v>1079</v>
      </c>
      <c r="W96" s="9" t="str">
        <f>IF($U96="","",IFERROR(SUMIFS(SummaryHelper!$H$2:$H$5000,SummaryHelper!$A$2:$A$5000,$T96,SummaryHelper!$B$2:$B$5000,$U96,SummaryHelper!$C$2:$C$5000,$V96)/SUMIFS(SummaryHelper!$G$2:$G$5000,SummaryHelper!$A$2:$A$5000,$T96,SummaryHelper!$B$2:$B$5000,$U96,SummaryHelper!$C$2:$C$5000,$V96),""))</f>
        <v/>
      </c>
      <c r="X96" s="9" t="str">
        <f>IF($U96="","",SUMIFS(SummaryHelper!$E$2:$E$5000,SummaryHelper!$A$2:$A$5000,$T96,SummaryHelper!$B$2:$B$5000,$U96,SummaryHelper!$C$2:$C$5000,$V96))</f>
        <v/>
      </c>
      <c r="Y96" s="9" t="str">
        <f>IF($U96="","",SUMIFS(SummaryHelper!$F$2:$F$5000,SummaryHelper!$A$2:$A$5000,$T96,SummaryHelper!$B$2:$B$5000,$U96,SummaryHelper!$C$2:$C$5000,$V96))</f>
        <v/>
      </c>
      <c r="Z96" s="9" t="str">
        <f>IF($U96="","",SUMIFS(SummaryHelper!$G$2:$G$5000,SummaryHelper!$A$2:$A$5000,$T96,SummaryHelper!$B$2:$B$5000,$U96,SummaryHelper!$C$2:$C$5000,$V96))</f>
        <v/>
      </c>
      <c r="AB96" s="9" t="str">
        <f t="shared" si="20"/>
        <v/>
      </c>
      <c r="AC96" s="9" t="str">
        <f t="shared" si="21"/>
        <v/>
      </c>
      <c r="AH96" t="str">
        <f>IF($AF96="","",IFERROR(SUMIFS(SummaryHelper!$H$2:$H$5000,SummaryHelper!$A$2:$A$5000,$AE96,SummaryHelper!$B$2:$B$5000,$AF96,SummaryHelper!$C$2:$C$5000,$AG96)/SUMIFS(SummaryHelper!$G$2:$G$5000,SummaryHelper!$A$2:$A$5000,$AE96,SummaryHelper!$B$2:$B$5000,$AF96,SummaryHelper!$C$2:$C$5000,$AG96),""))</f>
        <v/>
      </c>
      <c r="AI96" t="str">
        <f>IF($AF96="","",SUMIFS(SummaryHelper!$E$2:$E$5000,SummaryHelper!$A$2:$A$5000,$AE96,SummaryHelper!$B$2:$B$5000,$AF96,SummaryHelper!$C$2:$C$5000,$AG96))</f>
        <v/>
      </c>
      <c r="AJ96" t="str">
        <f>IF($AF96="","",SUMIFS(SummaryHelper!$F$2:$F$5000,SummaryHelper!$A$2:$A$5000,$AE96,SummaryHelper!$B$2:$B$5000,$AF96,SummaryHelper!$C$2:$C$5000,$AG96))</f>
        <v/>
      </c>
      <c r="AK96" t="str">
        <f>IF($AF96="","",SUMIFS(SummaryHelper!$G$2:$G$5000,SummaryHelper!$A$2:$A$5000,$AE96,SummaryHelper!$B$2:$B$5000,$AF96,SummaryHelper!$C$2:$C$5000,$AG96))</f>
        <v/>
      </c>
      <c r="AM96" t="str">
        <f t="shared" si="22"/>
        <v/>
      </c>
      <c r="AN96" t="str">
        <f t="shared" si="23"/>
        <v/>
      </c>
    </row>
    <row r="97" spans="1:40" x14ac:dyDescent="0.25">
      <c r="A97" s="12"/>
      <c r="B97" s="23" t="str">
        <f t="shared" si="24"/>
        <v/>
      </c>
      <c r="C97" s="9" t="str">
        <f t="shared" ca="1" si="13"/>
        <v/>
      </c>
      <c r="D97" s="9" t="str">
        <f t="shared" ca="1" si="14"/>
        <v/>
      </c>
      <c r="E97" s="9" t="str">
        <f t="shared" ca="1" si="15"/>
        <v/>
      </c>
      <c r="F97" s="9" t="str">
        <f t="shared" si="16"/>
        <v/>
      </c>
      <c r="G97" s="9">
        <f t="shared" si="17"/>
        <v>0</v>
      </c>
      <c r="I97" t="str">
        <v>MATERIALS</v>
      </c>
      <c r="J97" t="str">
        <v>Tile 600mm x 600mm</v>
      </c>
      <c r="K97" t="str">
        <v>PCS</v>
      </c>
      <c r="L97" s="9">
        <f>IF($J97="","",IFERROR(SUMIFS(SummaryHelper!$H$2:$H$5000,SummaryHelper!$A$2:$A$5000,$I97,SummaryHelper!$B$2:$B$5000,$J97,SummaryHelper!$C$2:$C$5000,$K97)/SUMIFS(SummaryHelper!$G$2:$G$5000,SummaryHelper!$A$2:$A$5000,$I97,SummaryHelper!$B$2:$B$5000,$J97,SummaryHelper!$C$2:$C$5000,$K97),""))</f>
        <v>15</v>
      </c>
      <c r="M97" s="9">
        <f>IF($J97="","",SUMIFS(SummaryHelper!$E$2:$E$5000,SummaryHelper!$A$2:$A$5000,$I97,SummaryHelper!$B$2:$B$5000,$J97,SummaryHelper!$C$2:$C$5000,$K97))</f>
        <v>84</v>
      </c>
      <c r="N97" s="9">
        <f>IF($J97="","",SUMIFS(SummaryHelper!$F$2:$F$5000,SummaryHelper!$A$2:$A$5000,$I97,SummaryHelper!$B$2:$B$5000,$J97,SummaryHelper!$C$2:$C$5000,$K97))</f>
        <v>0</v>
      </c>
      <c r="O97" s="9">
        <f>IF($J97="","",SUMIFS(SummaryHelper!$G$2:$G$5000,SummaryHelper!$A$2:$A$5000,$I97,SummaryHelper!$B$2:$B$5000,$J97,SummaryHelper!$C$2:$C$5000,$K97))</f>
        <v>84</v>
      </c>
      <c r="Q97" s="9">
        <f t="shared" si="18"/>
        <v>84</v>
      </c>
      <c r="R97" s="9">
        <f t="shared" si="19"/>
        <v>1260</v>
      </c>
      <c r="W97" s="9" t="str">
        <f>IF($U97="","",IFERROR(SUMIFS(SummaryHelper!$H$2:$H$5000,SummaryHelper!$A$2:$A$5000,$T97,SummaryHelper!$B$2:$B$5000,$U97,SummaryHelper!$C$2:$C$5000,$V97)/SUMIFS(SummaryHelper!$G$2:$G$5000,SummaryHelper!$A$2:$A$5000,$T97,SummaryHelper!$B$2:$B$5000,$U97,SummaryHelper!$C$2:$C$5000,$V97),""))</f>
        <v/>
      </c>
      <c r="X97" s="9" t="str">
        <f>IF($U97="","",SUMIFS(SummaryHelper!$E$2:$E$5000,SummaryHelper!$A$2:$A$5000,$T97,SummaryHelper!$B$2:$B$5000,$U97,SummaryHelper!$C$2:$C$5000,$V97))</f>
        <v/>
      </c>
      <c r="Y97" s="9" t="str">
        <f>IF($U97="","",SUMIFS(SummaryHelper!$F$2:$F$5000,SummaryHelper!$A$2:$A$5000,$T97,SummaryHelper!$B$2:$B$5000,$U97,SummaryHelper!$C$2:$C$5000,$V97))</f>
        <v/>
      </c>
      <c r="Z97" s="9" t="str">
        <f>IF($U97="","",SUMIFS(SummaryHelper!$G$2:$G$5000,SummaryHelper!$A$2:$A$5000,$T97,SummaryHelper!$B$2:$B$5000,$U97,SummaryHelper!$C$2:$C$5000,$V97))</f>
        <v/>
      </c>
      <c r="AB97" s="9" t="str">
        <f t="shared" si="20"/>
        <v/>
      </c>
      <c r="AC97" s="9" t="str">
        <f t="shared" si="21"/>
        <v/>
      </c>
      <c r="AH97" t="str">
        <f>IF($AF97="","",IFERROR(SUMIFS(SummaryHelper!$H$2:$H$5000,SummaryHelper!$A$2:$A$5000,$AE97,SummaryHelper!$B$2:$B$5000,$AF97,SummaryHelper!$C$2:$C$5000,$AG97)/SUMIFS(SummaryHelper!$G$2:$G$5000,SummaryHelper!$A$2:$A$5000,$AE97,SummaryHelper!$B$2:$B$5000,$AF97,SummaryHelper!$C$2:$C$5000,$AG97),""))</f>
        <v/>
      </c>
      <c r="AI97" t="str">
        <f>IF($AF97="","",SUMIFS(SummaryHelper!$E$2:$E$5000,SummaryHelper!$A$2:$A$5000,$AE97,SummaryHelper!$B$2:$B$5000,$AF97,SummaryHelper!$C$2:$C$5000,$AG97))</f>
        <v/>
      </c>
      <c r="AJ97" t="str">
        <f>IF($AF97="","",SUMIFS(SummaryHelper!$F$2:$F$5000,SummaryHelper!$A$2:$A$5000,$AE97,SummaryHelper!$B$2:$B$5000,$AF97,SummaryHelper!$C$2:$C$5000,$AG97))</f>
        <v/>
      </c>
      <c r="AK97" t="str">
        <f>IF($AF97="","",SUMIFS(SummaryHelper!$G$2:$G$5000,SummaryHelper!$A$2:$A$5000,$AE97,SummaryHelper!$B$2:$B$5000,$AF97,SummaryHelper!$C$2:$C$5000,$AG97))</f>
        <v/>
      </c>
      <c r="AM97" t="str">
        <f t="shared" si="22"/>
        <v/>
      </c>
      <c r="AN97" t="str">
        <f t="shared" si="23"/>
        <v/>
      </c>
    </row>
    <row r="98" spans="1:40" x14ac:dyDescent="0.25">
      <c r="A98" s="12"/>
      <c r="B98" s="23" t="str">
        <f t="shared" si="24"/>
        <v/>
      </c>
      <c r="C98" s="9" t="str">
        <f t="shared" ca="1" si="13"/>
        <v/>
      </c>
      <c r="D98" s="9" t="str">
        <f t="shared" ca="1" si="14"/>
        <v/>
      </c>
      <c r="E98" s="9" t="str">
        <f t="shared" ca="1" si="15"/>
        <v/>
      </c>
      <c r="F98" s="9" t="str">
        <f t="shared" si="16"/>
        <v/>
      </c>
      <c r="G98" s="9">
        <f t="shared" si="17"/>
        <v>0</v>
      </c>
      <c r="I98" t="str">
        <v>MATERIALS</v>
      </c>
      <c r="J98" t="str">
        <v>Tile Adhesive Weber 99</v>
      </c>
      <c r="K98" t="str">
        <v>BAG</v>
      </c>
      <c r="L98" s="9">
        <f>IF($J98="","",IFERROR(SUMIFS(SummaryHelper!$H$2:$H$5000,SummaryHelper!$A$2:$A$5000,$I98,SummaryHelper!$B$2:$B$5000,$J98,SummaryHelper!$C$2:$C$5000,$K98)/SUMIFS(SummaryHelper!$G$2:$G$5000,SummaryHelper!$A$2:$A$5000,$I98,SummaryHelper!$B$2:$B$5000,$J98,SummaryHelper!$C$2:$C$5000,$K98),""))</f>
        <v>25</v>
      </c>
      <c r="M98" s="9">
        <f>IF($J98="","",SUMIFS(SummaryHelper!$E$2:$E$5000,SummaryHelper!$A$2:$A$5000,$I98,SummaryHelper!$B$2:$B$5000,$J98,SummaryHelper!$C$2:$C$5000,$K98))</f>
        <v>29</v>
      </c>
      <c r="N98" s="9">
        <f>IF($J98="","",SUMIFS(SummaryHelper!$F$2:$F$5000,SummaryHelper!$A$2:$A$5000,$I98,SummaryHelper!$B$2:$B$5000,$J98,SummaryHelper!$C$2:$C$5000,$K98))</f>
        <v>0</v>
      </c>
      <c r="O98" s="9">
        <f>IF($J98="","",SUMIFS(SummaryHelper!$G$2:$G$5000,SummaryHelper!$A$2:$A$5000,$I98,SummaryHelper!$B$2:$B$5000,$J98,SummaryHelper!$C$2:$C$5000,$K98))</f>
        <v>29</v>
      </c>
      <c r="Q98" s="9">
        <f t="shared" si="18"/>
        <v>29</v>
      </c>
      <c r="R98" s="9">
        <f t="shared" si="19"/>
        <v>725</v>
      </c>
      <c r="W98" s="9" t="str">
        <f>IF($U98="","",IFERROR(SUMIFS(SummaryHelper!$H$2:$H$5000,SummaryHelper!$A$2:$A$5000,$T98,SummaryHelper!$B$2:$B$5000,$U98,SummaryHelper!$C$2:$C$5000,$V98)/SUMIFS(SummaryHelper!$G$2:$G$5000,SummaryHelper!$A$2:$A$5000,$T98,SummaryHelper!$B$2:$B$5000,$U98,SummaryHelper!$C$2:$C$5000,$V98),""))</f>
        <v/>
      </c>
      <c r="X98" s="9" t="str">
        <f>IF($U98="","",SUMIFS(SummaryHelper!$E$2:$E$5000,SummaryHelper!$A$2:$A$5000,$T98,SummaryHelper!$B$2:$B$5000,$U98,SummaryHelper!$C$2:$C$5000,$V98))</f>
        <v/>
      </c>
      <c r="Y98" s="9" t="str">
        <f>IF($U98="","",SUMIFS(SummaryHelper!$F$2:$F$5000,SummaryHelper!$A$2:$A$5000,$T98,SummaryHelper!$B$2:$B$5000,$U98,SummaryHelper!$C$2:$C$5000,$V98))</f>
        <v/>
      </c>
      <c r="Z98" s="9" t="str">
        <f>IF($U98="","",SUMIFS(SummaryHelper!$G$2:$G$5000,SummaryHelper!$A$2:$A$5000,$T98,SummaryHelper!$B$2:$B$5000,$U98,SummaryHelper!$C$2:$C$5000,$V98))</f>
        <v/>
      </c>
      <c r="AB98" s="9" t="str">
        <f t="shared" si="20"/>
        <v/>
      </c>
      <c r="AC98" s="9" t="str">
        <f t="shared" si="21"/>
        <v/>
      </c>
      <c r="AH98" t="str">
        <f>IF($AF98="","",IFERROR(SUMIFS(SummaryHelper!$H$2:$H$5000,SummaryHelper!$A$2:$A$5000,$AE98,SummaryHelper!$B$2:$B$5000,$AF98,SummaryHelper!$C$2:$C$5000,$AG98)/SUMIFS(SummaryHelper!$G$2:$G$5000,SummaryHelper!$A$2:$A$5000,$AE98,SummaryHelper!$B$2:$B$5000,$AF98,SummaryHelper!$C$2:$C$5000,$AG98),""))</f>
        <v/>
      </c>
      <c r="AI98" t="str">
        <f>IF($AF98="","",SUMIFS(SummaryHelper!$E$2:$E$5000,SummaryHelper!$A$2:$A$5000,$AE98,SummaryHelper!$B$2:$B$5000,$AF98,SummaryHelper!$C$2:$C$5000,$AG98))</f>
        <v/>
      </c>
      <c r="AJ98" t="str">
        <f>IF($AF98="","",SUMIFS(SummaryHelper!$F$2:$F$5000,SummaryHelper!$A$2:$A$5000,$AE98,SummaryHelper!$B$2:$B$5000,$AF98,SummaryHelper!$C$2:$C$5000,$AG98))</f>
        <v/>
      </c>
      <c r="AK98" t="str">
        <f>IF($AF98="","",SUMIFS(SummaryHelper!$G$2:$G$5000,SummaryHelper!$A$2:$A$5000,$AE98,SummaryHelper!$B$2:$B$5000,$AF98,SummaryHelper!$C$2:$C$5000,$AG98))</f>
        <v/>
      </c>
      <c r="AM98" t="str">
        <f t="shared" si="22"/>
        <v/>
      </c>
      <c r="AN98" t="str">
        <f t="shared" si="23"/>
        <v/>
      </c>
    </row>
    <row r="99" spans="1:40" x14ac:dyDescent="0.25">
      <c r="A99" s="12"/>
      <c r="B99" s="23" t="str">
        <f t="shared" si="24"/>
        <v/>
      </c>
      <c r="C99" s="9" t="str">
        <f t="shared" ca="1" si="13"/>
        <v/>
      </c>
      <c r="D99" s="9" t="str">
        <f t="shared" ca="1" si="14"/>
        <v/>
      </c>
      <c r="E99" s="9" t="str">
        <f t="shared" ca="1" si="15"/>
        <v/>
      </c>
      <c r="F99" s="9" t="str">
        <f t="shared" si="16"/>
        <v/>
      </c>
      <c r="G99" s="9">
        <f t="shared" si="17"/>
        <v>0</v>
      </c>
      <c r="I99" t="str">
        <v>MATERIALS</v>
      </c>
      <c r="J99" t="str">
        <v>Twins Shower Square 8"</v>
      </c>
      <c r="K99" t="str">
        <v>pc</v>
      </c>
      <c r="L99" s="9">
        <f>IF($J99="","",IFERROR(SUMIFS(SummaryHelper!$H$2:$H$5000,SummaryHelper!$A$2:$A$5000,$I99,SummaryHelper!$B$2:$B$5000,$J99,SummaryHelper!$C$2:$C$5000,$K99)/SUMIFS(SummaryHelper!$G$2:$G$5000,SummaryHelper!$A$2:$A$5000,$I99,SummaryHelper!$B$2:$B$5000,$J99,SummaryHelper!$C$2:$C$5000,$K99),""))</f>
        <v>35</v>
      </c>
      <c r="M99" s="9">
        <f>IF($J99="","",SUMIFS(SummaryHelper!$E$2:$E$5000,SummaryHelper!$A$2:$A$5000,$I99,SummaryHelper!$B$2:$B$5000,$J99,SummaryHelper!$C$2:$C$5000,$K99))</f>
        <v>1</v>
      </c>
      <c r="N99" s="9">
        <f>IF($J99="","",SUMIFS(SummaryHelper!$F$2:$F$5000,SummaryHelper!$A$2:$A$5000,$I99,SummaryHelper!$B$2:$B$5000,$J99,SummaryHelper!$C$2:$C$5000,$K99))</f>
        <v>0</v>
      </c>
      <c r="O99" s="9">
        <f>IF($J99="","",SUMIFS(SummaryHelper!$G$2:$G$5000,SummaryHelper!$A$2:$A$5000,$I99,SummaryHelper!$B$2:$B$5000,$J99,SummaryHelper!$C$2:$C$5000,$K99))</f>
        <v>1</v>
      </c>
      <c r="Q99" s="9">
        <f t="shared" si="18"/>
        <v>1</v>
      </c>
      <c r="R99" s="9">
        <f t="shared" si="19"/>
        <v>35</v>
      </c>
      <c r="W99" s="9" t="str">
        <f>IF($U99="","",IFERROR(SUMIFS(SummaryHelper!$H$2:$H$5000,SummaryHelper!$A$2:$A$5000,$T99,SummaryHelper!$B$2:$B$5000,$U99,SummaryHelper!$C$2:$C$5000,$V99)/SUMIFS(SummaryHelper!$G$2:$G$5000,SummaryHelper!$A$2:$A$5000,$T99,SummaryHelper!$B$2:$B$5000,$U99,SummaryHelper!$C$2:$C$5000,$V99),""))</f>
        <v/>
      </c>
      <c r="X99" s="9" t="str">
        <f>IF($U99="","",SUMIFS(SummaryHelper!$E$2:$E$5000,SummaryHelper!$A$2:$A$5000,$T99,SummaryHelper!$B$2:$B$5000,$U99,SummaryHelper!$C$2:$C$5000,$V99))</f>
        <v/>
      </c>
      <c r="Y99" s="9" t="str">
        <f>IF($U99="","",SUMIFS(SummaryHelper!$F$2:$F$5000,SummaryHelper!$A$2:$A$5000,$T99,SummaryHelper!$B$2:$B$5000,$U99,SummaryHelper!$C$2:$C$5000,$V99))</f>
        <v/>
      </c>
      <c r="Z99" s="9" t="str">
        <f>IF($U99="","",SUMIFS(SummaryHelper!$G$2:$G$5000,SummaryHelper!$A$2:$A$5000,$T99,SummaryHelper!$B$2:$B$5000,$U99,SummaryHelper!$C$2:$C$5000,$V99))</f>
        <v/>
      </c>
      <c r="AB99" s="9" t="str">
        <f t="shared" si="20"/>
        <v/>
      </c>
      <c r="AC99" s="9" t="str">
        <f t="shared" si="21"/>
        <v/>
      </c>
      <c r="AH99" t="str">
        <f>IF($AF99="","",IFERROR(SUMIFS(SummaryHelper!$H$2:$H$5000,SummaryHelper!$A$2:$A$5000,$AE99,SummaryHelper!$B$2:$B$5000,$AF99,SummaryHelper!$C$2:$C$5000,$AG99)/SUMIFS(SummaryHelper!$G$2:$G$5000,SummaryHelper!$A$2:$A$5000,$AE99,SummaryHelper!$B$2:$B$5000,$AF99,SummaryHelper!$C$2:$C$5000,$AG99),""))</f>
        <v/>
      </c>
      <c r="AI99" t="str">
        <f>IF($AF99="","",SUMIFS(SummaryHelper!$E$2:$E$5000,SummaryHelper!$A$2:$A$5000,$AE99,SummaryHelper!$B$2:$B$5000,$AF99,SummaryHelper!$C$2:$C$5000,$AG99))</f>
        <v/>
      </c>
      <c r="AJ99" t="str">
        <f>IF($AF99="","",SUMIFS(SummaryHelper!$F$2:$F$5000,SummaryHelper!$A$2:$A$5000,$AE99,SummaryHelper!$B$2:$B$5000,$AF99,SummaryHelper!$C$2:$C$5000,$AG99))</f>
        <v/>
      </c>
      <c r="AK99" t="str">
        <f>IF($AF99="","",SUMIFS(SummaryHelper!$G$2:$G$5000,SummaryHelper!$A$2:$A$5000,$AE99,SummaryHelper!$B$2:$B$5000,$AF99,SummaryHelper!$C$2:$C$5000,$AG99))</f>
        <v/>
      </c>
      <c r="AM99" t="str">
        <f t="shared" si="22"/>
        <v/>
      </c>
      <c r="AN99" t="str">
        <f t="shared" si="23"/>
        <v/>
      </c>
    </row>
    <row r="100" spans="1:40" x14ac:dyDescent="0.25">
      <c r="A100" s="12"/>
      <c r="B100" s="23" t="str">
        <f t="shared" si="24"/>
        <v/>
      </c>
      <c r="C100" s="9" t="str">
        <f t="shared" ca="1" si="13"/>
        <v/>
      </c>
      <c r="D100" s="9" t="str">
        <f t="shared" ca="1" si="14"/>
        <v/>
      </c>
      <c r="E100" s="9" t="str">
        <f t="shared" ca="1" si="15"/>
        <v/>
      </c>
      <c r="F100" s="9" t="str">
        <f t="shared" si="16"/>
        <v/>
      </c>
      <c r="G100" s="9">
        <f t="shared" si="17"/>
        <v>0</v>
      </c>
      <c r="I100" t="str">
        <v>MATERIALS</v>
      </c>
      <c r="J100" t="str">
        <v>UPVC Pipe With SIRIM (2") x 5.8m</v>
      </c>
      <c r="K100" t="str">
        <v>PCS</v>
      </c>
      <c r="L100" s="9">
        <f>IF($J100="","",IFERROR(SUMIFS(SummaryHelper!$H$2:$H$5000,SummaryHelper!$A$2:$A$5000,$I100,SummaryHelper!$B$2:$B$5000,$J100,SummaryHelper!$C$2:$C$5000,$K100)/SUMIFS(SummaryHelper!$G$2:$G$5000,SummaryHelper!$A$2:$A$5000,$I100,SummaryHelper!$B$2:$B$5000,$J100,SummaryHelper!$C$2:$C$5000,$K100),""))</f>
        <v>49</v>
      </c>
      <c r="M100" s="9">
        <f>IF($J100="","",SUMIFS(SummaryHelper!$E$2:$E$5000,SummaryHelper!$A$2:$A$5000,$I100,SummaryHelper!$B$2:$B$5000,$J100,SummaryHelper!$C$2:$C$5000,$K100))</f>
        <v>3</v>
      </c>
      <c r="N100" s="9">
        <f>IF($J100="","",SUMIFS(SummaryHelper!$F$2:$F$5000,SummaryHelper!$A$2:$A$5000,$I100,SummaryHelper!$B$2:$B$5000,$J100,SummaryHelper!$C$2:$C$5000,$K100))</f>
        <v>0.05</v>
      </c>
      <c r="O100" s="9">
        <f>IF($J100="","",SUMIFS(SummaryHelper!$G$2:$G$5000,SummaryHelper!$A$2:$A$5000,$I100,SummaryHelper!$B$2:$B$5000,$J100,SummaryHelper!$C$2:$C$5000,$K100))</f>
        <v>3.1500000000000004</v>
      </c>
      <c r="Q100" s="9">
        <f t="shared" si="18"/>
        <v>4</v>
      </c>
      <c r="R100" s="9">
        <f t="shared" si="19"/>
        <v>196</v>
      </c>
      <c r="W100" s="9" t="str">
        <f>IF($U100="","",IFERROR(SUMIFS(SummaryHelper!$H$2:$H$5000,SummaryHelper!$A$2:$A$5000,$T100,SummaryHelper!$B$2:$B$5000,$U100,SummaryHelper!$C$2:$C$5000,$V100)/SUMIFS(SummaryHelper!$G$2:$G$5000,SummaryHelper!$A$2:$A$5000,$T100,SummaryHelper!$B$2:$B$5000,$U100,SummaryHelper!$C$2:$C$5000,$V100),""))</f>
        <v/>
      </c>
      <c r="X100" s="9" t="str">
        <f>IF($U100="","",SUMIFS(SummaryHelper!$E$2:$E$5000,SummaryHelper!$A$2:$A$5000,$T100,SummaryHelper!$B$2:$B$5000,$U100,SummaryHelper!$C$2:$C$5000,$V100))</f>
        <v/>
      </c>
      <c r="Y100" s="9" t="str">
        <f>IF($U100="","",SUMIFS(SummaryHelper!$F$2:$F$5000,SummaryHelper!$A$2:$A$5000,$T100,SummaryHelper!$B$2:$B$5000,$U100,SummaryHelper!$C$2:$C$5000,$V100))</f>
        <v/>
      </c>
      <c r="Z100" s="9" t="str">
        <f>IF($U100="","",SUMIFS(SummaryHelper!$G$2:$G$5000,SummaryHelper!$A$2:$A$5000,$T100,SummaryHelper!$B$2:$B$5000,$U100,SummaryHelper!$C$2:$C$5000,$V100))</f>
        <v/>
      </c>
      <c r="AB100" s="9" t="str">
        <f t="shared" si="20"/>
        <v/>
      </c>
      <c r="AC100" s="9" t="str">
        <f t="shared" si="21"/>
        <v/>
      </c>
      <c r="AH100" t="str">
        <f>IF($AF100="","",IFERROR(SUMIFS(SummaryHelper!$H$2:$H$5000,SummaryHelper!$A$2:$A$5000,$AE100,SummaryHelper!$B$2:$B$5000,$AF100,SummaryHelper!$C$2:$C$5000,$AG100)/SUMIFS(SummaryHelper!$G$2:$G$5000,SummaryHelper!$A$2:$A$5000,$AE100,SummaryHelper!$B$2:$B$5000,$AF100,SummaryHelper!$C$2:$C$5000,$AG100),""))</f>
        <v/>
      </c>
      <c r="AI100" t="str">
        <f>IF($AF100="","",SUMIFS(SummaryHelper!$E$2:$E$5000,SummaryHelper!$A$2:$A$5000,$AE100,SummaryHelper!$B$2:$B$5000,$AF100,SummaryHelper!$C$2:$C$5000,$AG100))</f>
        <v/>
      </c>
      <c r="AJ100" t="str">
        <f>IF($AF100="","",SUMIFS(SummaryHelper!$F$2:$F$5000,SummaryHelper!$A$2:$A$5000,$AE100,SummaryHelper!$B$2:$B$5000,$AF100,SummaryHelper!$C$2:$C$5000,$AG100))</f>
        <v/>
      </c>
      <c r="AK100" t="str">
        <f>IF($AF100="","",SUMIFS(SummaryHelper!$G$2:$G$5000,SummaryHelper!$A$2:$A$5000,$AE100,SummaryHelper!$B$2:$B$5000,$AF100,SummaryHelper!$C$2:$C$5000,$AG100))</f>
        <v/>
      </c>
      <c r="AM100" t="str">
        <f t="shared" si="22"/>
        <v/>
      </c>
      <c r="AN100" t="str">
        <f t="shared" si="23"/>
        <v/>
      </c>
    </row>
    <row r="101" spans="1:40" x14ac:dyDescent="0.25">
      <c r="A101" s="12"/>
      <c r="B101" s="23" t="str">
        <f t="shared" si="24"/>
        <v/>
      </c>
      <c r="C101" s="9" t="str">
        <f t="shared" ca="1" si="13"/>
        <v/>
      </c>
      <c r="D101" s="9" t="str">
        <f t="shared" ca="1" si="14"/>
        <v/>
      </c>
      <c r="E101" s="9" t="str">
        <f t="shared" ca="1" si="15"/>
        <v/>
      </c>
      <c r="F101" s="9" t="str">
        <f t="shared" si="16"/>
        <v/>
      </c>
      <c r="G101" s="9">
        <f t="shared" si="17"/>
        <v>0</v>
      </c>
      <c r="I101" t="str">
        <v>MATERIALS</v>
      </c>
      <c r="J101" t="str">
        <v>UPVC Pipe With SIRIM (4") x 5.8m</v>
      </c>
      <c r="K101" t="str">
        <v>PCS</v>
      </c>
      <c r="L101" s="9">
        <f>IF($J101="","",IFERROR(SUMIFS(SummaryHelper!$H$2:$H$5000,SummaryHelper!$A$2:$A$5000,$I101,SummaryHelper!$B$2:$B$5000,$J101,SummaryHelper!$C$2:$C$5000,$K101)/SUMIFS(SummaryHelper!$G$2:$G$5000,SummaryHelper!$A$2:$A$5000,$I101,SummaryHelper!$B$2:$B$5000,$J101,SummaryHelper!$C$2:$C$5000,$K101),""))</f>
        <v>91</v>
      </c>
      <c r="M101" s="9">
        <f>IF($J101="","",SUMIFS(SummaryHelper!$E$2:$E$5000,SummaryHelper!$A$2:$A$5000,$I101,SummaryHelper!$B$2:$B$5000,$J101,SummaryHelper!$C$2:$C$5000,$K101))</f>
        <v>2</v>
      </c>
      <c r="N101" s="9">
        <f>IF($J101="","",SUMIFS(SummaryHelper!$F$2:$F$5000,SummaryHelper!$A$2:$A$5000,$I101,SummaryHelper!$B$2:$B$5000,$J101,SummaryHelper!$C$2:$C$5000,$K101))</f>
        <v>0.05</v>
      </c>
      <c r="O101" s="9">
        <f>IF($J101="","",SUMIFS(SummaryHelper!$G$2:$G$5000,SummaryHelper!$A$2:$A$5000,$I101,SummaryHelper!$B$2:$B$5000,$J101,SummaryHelper!$C$2:$C$5000,$K101))</f>
        <v>2.1</v>
      </c>
      <c r="Q101" s="9">
        <f t="shared" si="18"/>
        <v>3</v>
      </c>
      <c r="R101" s="9">
        <f t="shared" si="19"/>
        <v>273</v>
      </c>
      <c r="W101" s="9" t="str">
        <f>IF($U101="","",IFERROR(SUMIFS(SummaryHelper!$H$2:$H$5000,SummaryHelper!$A$2:$A$5000,$T101,SummaryHelper!$B$2:$B$5000,$U101,SummaryHelper!$C$2:$C$5000,$V101)/SUMIFS(SummaryHelper!$G$2:$G$5000,SummaryHelper!$A$2:$A$5000,$T101,SummaryHelper!$B$2:$B$5000,$U101,SummaryHelper!$C$2:$C$5000,$V101),""))</f>
        <v/>
      </c>
      <c r="X101" s="9" t="str">
        <f>IF($U101="","",SUMIFS(SummaryHelper!$E$2:$E$5000,SummaryHelper!$A$2:$A$5000,$T101,SummaryHelper!$B$2:$B$5000,$U101,SummaryHelper!$C$2:$C$5000,$V101))</f>
        <v/>
      </c>
      <c r="Y101" s="9" t="str">
        <f>IF($U101="","",SUMIFS(SummaryHelper!$F$2:$F$5000,SummaryHelper!$A$2:$A$5000,$T101,SummaryHelper!$B$2:$B$5000,$U101,SummaryHelper!$C$2:$C$5000,$V101))</f>
        <v/>
      </c>
      <c r="Z101" s="9" t="str">
        <f>IF($U101="","",SUMIFS(SummaryHelper!$G$2:$G$5000,SummaryHelper!$A$2:$A$5000,$T101,SummaryHelper!$B$2:$B$5000,$U101,SummaryHelper!$C$2:$C$5000,$V101))</f>
        <v/>
      </c>
      <c r="AB101" s="9" t="str">
        <f t="shared" si="20"/>
        <v/>
      </c>
      <c r="AC101" s="9" t="str">
        <f t="shared" si="21"/>
        <v/>
      </c>
      <c r="AH101" t="str">
        <f>IF($AF101="","",IFERROR(SUMIFS(SummaryHelper!$H$2:$H$5000,SummaryHelper!$A$2:$A$5000,$AE101,SummaryHelper!$B$2:$B$5000,$AF101,SummaryHelper!$C$2:$C$5000,$AG101)/SUMIFS(SummaryHelper!$G$2:$G$5000,SummaryHelper!$A$2:$A$5000,$AE101,SummaryHelper!$B$2:$B$5000,$AF101,SummaryHelper!$C$2:$C$5000,$AG101),""))</f>
        <v/>
      </c>
      <c r="AI101" t="str">
        <f>IF($AF101="","",SUMIFS(SummaryHelper!$E$2:$E$5000,SummaryHelper!$A$2:$A$5000,$AE101,SummaryHelper!$B$2:$B$5000,$AF101,SummaryHelper!$C$2:$C$5000,$AG101))</f>
        <v/>
      </c>
      <c r="AJ101" t="str">
        <f>IF($AF101="","",SUMIFS(SummaryHelper!$F$2:$F$5000,SummaryHelper!$A$2:$A$5000,$AE101,SummaryHelper!$B$2:$B$5000,$AF101,SummaryHelper!$C$2:$C$5000,$AG101))</f>
        <v/>
      </c>
      <c r="AK101" t="str">
        <f>IF($AF101="","",SUMIFS(SummaryHelper!$G$2:$G$5000,SummaryHelper!$A$2:$A$5000,$AE101,SummaryHelper!$B$2:$B$5000,$AF101,SummaryHelper!$C$2:$C$5000,$AG101))</f>
        <v/>
      </c>
      <c r="AM101" t="str">
        <f t="shared" si="22"/>
        <v/>
      </c>
      <c r="AN101" t="str">
        <f t="shared" si="23"/>
        <v/>
      </c>
    </row>
    <row r="102" spans="1:40" x14ac:dyDescent="0.25">
      <c r="A102" s="12"/>
      <c r="B102" s="23" t="str">
        <f t="shared" si="24"/>
        <v/>
      </c>
      <c r="C102" s="9" t="str">
        <f t="shared" ca="1" si="13"/>
        <v/>
      </c>
      <c r="D102" s="9" t="str">
        <f t="shared" ca="1" si="14"/>
        <v/>
      </c>
      <c r="E102" s="9" t="str">
        <f t="shared" ca="1" si="15"/>
        <v/>
      </c>
      <c r="F102" s="9" t="str">
        <f t="shared" si="16"/>
        <v/>
      </c>
      <c r="G102" s="9">
        <f t="shared" si="17"/>
        <v>0</v>
      </c>
      <c r="I102" t="str">
        <v>MATERIALS</v>
      </c>
      <c r="J102" t="str">
        <v>Weber Weberfill Fine Grout Coloured Grout For Narrow Tile Joint (3.5kg)</v>
      </c>
      <c r="K102" t="str">
        <v>BAG</v>
      </c>
      <c r="L102" s="9">
        <f>IF($J102="","",IFERROR(SUMIFS(SummaryHelper!$H$2:$H$5000,SummaryHelper!$A$2:$A$5000,$I102,SummaryHelper!$B$2:$B$5000,$J102,SummaryHelper!$C$2:$C$5000,$K102)/SUMIFS(SummaryHelper!$G$2:$G$5000,SummaryHelper!$A$2:$A$5000,$I102,SummaryHelper!$B$2:$B$5000,$J102,SummaryHelper!$C$2:$C$5000,$K102),""))</f>
        <v>18</v>
      </c>
      <c r="M102" s="9">
        <f>IF($J102="","",SUMIFS(SummaryHelper!$E$2:$E$5000,SummaryHelper!$A$2:$A$5000,$I102,SummaryHelper!$B$2:$B$5000,$J102,SummaryHelper!$C$2:$C$5000,$K102))</f>
        <v>12</v>
      </c>
      <c r="N102" s="9">
        <f>IF($J102="","",SUMIFS(SummaryHelper!$F$2:$F$5000,SummaryHelper!$A$2:$A$5000,$I102,SummaryHelper!$B$2:$B$5000,$J102,SummaryHelper!$C$2:$C$5000,$K102))</f>
        <v>0</v>
      </c>
      <c r="O102" s="9">
        <f>IF($J102="","",SUMIFS(SummaryHelper!$G$2:$G$5000,SummaryHelper!$A$2:$A$5000,$I102,SummaryHelper!$B$2:$B$5000,$J102,SummaryHelper!$C$2:$C$5000,$K102))</f>
        <v>12</v>
      </c>
      <c r="Q102" s="9">
        <f t="shared" si="18"/>
        <v>12</v>
      </c>
      <c r="R102" s="9">
        <f t="shared" si="19"/>
        <v>216</v>
      </c>
      <c r="W102" s="9" t="str">
        <f>IF($U102="","",IFERROR(SUMIFS(SummaryHelper!$H$2:$H$5000,SummaryHelper!$A$2:$A$5000,$T102,SummaryHelper!$B$2:$B$5000,$U102,SummaryHelper!$C$2:$C$5000,$V102)/SUMIFS(SummaryHelper!$G$2:$G$5000,SummaryHelper!$A$2:$A$5000,$T102,SummaryHelper!$B$2:$B$5000,$U102,SummaryHelper!$C$2:$C$5000,$V102),""))</f>
        <v/>
      </c>
      <c r="X102" s="9" t="str">
        <f>IF($U102="","",SUMIFS(SummaryHelper!$E$2:$E$5000,SummaryHelper!$A$2:$A$5000,$T102,SummaryHelper!$B$2:$B$5000,$U102,SummaryHelper!$C$2:$C$5000,$V102))</f>
        <v/>
      </c>
      <c r="Y102" s="9" t="str">
        <f>IF($U102="","",SUMIFS(SummaryHelper!$F$2:$F$5000,SummaryHelper!$A$2:$A$5000,$T102,SummaryHelper!$B$2:$B$5000,$U102,SummaryHelper!$C$2:$C$5000,$V102))</f>
        <v/>
      </c>
      <c r="Z102" s="9" t="str">
        <f>IF($U102="","",SUMIFS(SummaryHelper!$G$2:$G$5000,SummaryHelper!$A$2:$A$5000,$T102,SummaryHelper!$B$2:$B$5000,$U102,SummaryHelper!$C$2:$C$5000,$V102))</f>
        <v/>
      </c>
      <c r="AB102" s="9" t="str">
        <f t="shared" si="20"/>
        <v/>
      </c>
      <c r="AC102" s="9" t="str">
        <f t="shared" si="21"/>
        <v/>
      </c>
      <c r="AH102" t="str">
        <f>IF($AF102="","",IFERROR(SUMIFS(SummaryHelper!$H$2:$H$5000,SummaryHelper!$A$2:$A$5000,$AE102,SummaryHelper!$B$2:$B$5000,$AF102,SummaryHelper!$C$2:$C$5000,$AG102)/SUMIFS(SummaryHelper!$G$2:$G$5000,SummaryHelper!$A$2:$A$5000,$AE102,SummaryHelper!$B$2:$B$5000,$AF102,SummaryHelper!$C$2:$C$5000,$AG102),""))</f>
        <v/>
      </c>
      <c r="AI102" t="str">
        <f>IF($AF102="","",SUMIFS(SummaryHelper!$E$2:$E$5000,SummaryHelper!$A$2:$A$5000,$AE102,SummaryHelper!$B$2:$B$5000,$AF102,SummaryHelper!$C$2:$C$5000,$AG102))</f>
        <v/>
      </c>
      <c r="AJ102" t="str">
        <f>IF($AF102="","",SUMIFS(SummaryHelper!$F$2:$F$5000,SummaryHelper!$A$2:$A$5000,$AE102,SummaryHelper!$B$2:$B$5000,$AF102,SummaryHelper!$C$2:$C$5000,$AG102))</f>
        <v/>
      </c>
      <c r="AK102" t="str">
        <f>IF($AF102="","",SUMIFS(SummaryHelper!$G$2:$G$5000,SummaryHelper!$A$2:$A$5000,$AE102,SummaryHelper!$B$2:$B$5000,$AF102,SummaryHelper!$C$2:$C$5000,$AG102))</f>
        <v/>
      </c>
      <c r="AM102" t="str">
        <f t="shared" si="22"/>
        <v/>
      </c>
      <c r="AN102" t="str">
        <f t="shared" si="23"/>
        <v/>
      </c>
    </row>
    <row r="103" spans="1:40" x14ac:dyDescent="0.25">
      <c r="A103" s="12"/>
      <c r="B103" s="23" t="str">
        <f t="shared" si="24"/>
        <v/>
      </c>
      <c r="C103" s="9" t="str">
        <f t="shared" ca="1" si="13"/>
        <v/>
      </c>
      <c r="D103" s="9" t="str">
        <f t="shared" ca="1" si="14"/>
        <v/>
      </c>
      <c r="E103" s="9" t="str">
        <f t="shared" ca="1" si="15"/>
        <v/>
      </c>
      <c r="F103" s="9" t="str">
        <f t="shared" si="16"/>
        <v/>
      </c>
      <c r="G103" s="9">
        <f t="shared" si="17"/>
        <v>0</v>
      </c>
      <c r="I103" t="str">
        <v>MATERIALS</v>
      </c>
      <c r="J103" t="str">
        <v>White Gloss Paint 5L</v>
      </c>
      <c r="K103" t="str">
        <v>TIN</v>
      </c>
      <c r="L103" s="9">
        <f>IF($J103="","",IFERROR(SUMIFS(SummaryHelper!$H$2:$H$5000,SummaryHelper!$A$2:$A$5000,$I103,SummaryHelper!$B$2:$B$5000,$J103,SummaryHelper!$C$2:$C$5000,$K103)/SUMIFS(SummaryHelper!$G$2:$G$5000,SummaryHelper!$A$2:$A$5000,$I103,SummaryHelper!$B$2:$B$5000,$J103,SummaryHelper!$C$2:$C$5000,$K103),""))</f>
        <v>94</v>
      </c>
      <c r="M103" s="9">
        <f>IF($J103="","",SUMIFS(SummaryHelper!$E$2:$E$5000,SummaryHelper!$A$2:$A$5000,$I103,SummaryHelper!$B$2:$B$5000,$J103,SummaryHelper!$C$2:$C$5000,$K103))</f>
        <v>1.05</v>
      </c>
      <c r="N103" s="9">
        <f>IF($J103="","",SUMIFS(SummaryHelper!$F$2:$F$5000,SummaryHelper!$A$2:$A$5000,$I103,SummaryHelper!$B$2:$B$5000,$J103,SummaryHelper!$C$2:$C$5000,$K103))</f>
        <v>0.05</v>
      </c>
      <c r="O103" s="9">
        <f>IF($J103="","",SUMIFS(SummaryHelper!$G$2:$G$5000,SummaryHelper!$A$2:$A$5000,$I103,SummaryHelper!$B$2:$B$5000,$J103,SummaryHelper!$C$2:$C$5000,$K103))</f>
        <v>1.1000000000000001</v>
      </c>
      <c r="Q103" s="9">
        <f t="shared" si="18"/>
        <v>2</v>
      </c>
      <c r="R103" s="9">
        <f t="shared" si="19"/>
        <v>188</v>
      </c>
      <c r="W103" s="9" t="str">
        <f>IF($U103="","",IFERROR(SUMIFS(SummaryHelper!$H$2:$H$5000,SummaryHelper!$A$2:$A$5000,$T103,SummaryHelper!$B$2:$B$5000,$U103,SummaryHelper!$C$2:$C$5000,$V103)/SUMIFS(SummaryHelper!$G$2:$G$5000,SummaryHelper!$A$2:$A$5000,$T103,SummaryHelper!$B$2:$B$5000,$U103,SummaryHelper!$C$2:$C$5000,$V103),""))</f>
        <v/>
      </c>
      <c r="X103" s="9" t="str">
        <f>IF($U103="","",SUMIFS(SummaryHelper!$E$2:$E$5000,SummaryHelper!$A$2:$A$5000,$T103,SummaryHelper!$B$2:$B$5000,$U103,SummaryHelper!$C$2:$C$5000,$V103))</f>
        <v/>
      </c>
      <c r="Y103" s="9" t="str">
        <f>IF($U103="","",SUMIFS(SummaryHelper!$F$2:$F$5000,SummaryHelper!$A$2:$A$5000,$T103,SummaryHelper!$B$2:$B$5000,$U103,SummaryHelper!$C$2:$C$5000,$V103))</f>
        <v/>
      </c>
      <c r="Z103" s="9" t="str">
        <f>IF($U103="","",SUMIFS(SummaryHelper!$G$2:$G$5000,SummaryHelper!$A$2:$A$5000,$T103,SummaryHelper!$B$2:$B$5000,$U103,SummaryHelper!$C$2:$C$5000,$V103))</f>
        <v/>
      </c>
      <c r="AB103" s="9" t="str">
        <f t="shared" si="20"/>
        <v/>
      </c>
      <c r="AC103" s="9" t="str">
        <f t="shared" si="21"/>
        <v/>
      </c>
      <c r="AH103" t="str">
        <f>IF($AF103="","",IFERROR(SUMIFS(SummaryHelper!$H$2:$H$5000,SummaryHelper!$A$2:$A$5000,$AE103,SummaryHelper!$B$2:$B$5000,$AF103,SummaryHelper!$C$2:$C$5000,$AG103)/SUMIFS(SummaryHelper!$G$2:$G$5000,SummaryHelper!$A$2:$A$5000,$AE103,SummaryHelper!$B$2:$B$5000,$AF103,SummaryHelper!$C$2:$C$5000,$AG103),""))</f>
        <v/>
      </c>
      <c r="AI103" t="str">
        <f>IF($AF103="","",SUMIFS(SummaryHelper!$E$2:$E$5000,SummaryHelper!$A$2:$A$5000,$AE103,SummaryHelper!$B$2:$B$5000,$AF103,SummaryHelper!$C$2:$C$5000,$AG103))</f>
        <v/>
      </c>
      <c r="AJ103" t="str">
        <f>IF($AF103="","",SUMIFS(SummaryHelper!$F$2:$F$5000,SummaryHelper!$A$2:$A$5000,$AE103,SummaryHelper!$B$2:$B$5000,$AF103,SummaryHelper!$C$2:$C$5000,$AG103))</f>
        <v/>
      </c>
      <c r="AK103" t="str">
        <f>IF($AF103="","",SUMIFS(SummaryHelper!$G$2:$G$5000,SummaryHelper!$A$2:$A$5000,$AE103,SummaryHelper!$B$2:$B$5000,$AF103,SummaryHelper!$C$2:$C$5000,$AG103))</f>
        <v/>
      </c>
      <c r="AM103" t="str">
        <f t="shared" si="22"/>
        <v/>
      </c>
      <c r="AN103" t="str">
        <f t="shared" si="23"/>
        <v/>
      </c>
    </row>
    <row r="104" spans="1:40" x14ac:dyDescent="0.25">
      <c r="A104" s="12"/>
      <c r="B104" s="23" t="str">
        <f t="shared" si="24"/>
        <v/>
      </c>
      <c r="C104" s="9" t="str">
        <f t="shared" ca="1" si="13"/>
        <v/>
      </c>
      <c r="D104" s="9" t="str">
        <f t="shared" ca="1" si="14"/>
        <v/>
      </c>
      <c r="E104" s="9" t="str">
        <f t="shared" ca="1" si="15"/>
        <v/>
      </c>
      <c r="F104" s="9" t="str">
        <f t="shared" si="16"/>
        <v/>
      </c>
      <c r="G104" s="9">
        <f t="shared" si="17"/>
        <v>0</v>
      </c>
      <c r="I104" t="str">
        <v>MATERIALS</v>
      </c>
      <c r="J104" t="str">
        <v>Yessy Tile Floor Trap</v>
      </c>
      <c r="K104" t="str">
        <v>PCS</v>
      </c>
      <c r="L104" s="9">
        <f>IF($J104="","",IFERROR(SUMIFS(SummaryHelper!$H$2:$H$5000,SummaryHelper!$A$2:$A$5000,$I104,SummaryHelper!$B$2:$B$5000,$J104,SummaryHelper!$C$2:$C$5000,$K104)/SUMIFS(SummaryHelper!$G$2:$G$5000,SummaryHelper!$A$2:$A$5000,$I104,SummaryHelper!$B$2:$B$5000,$J104,SummaryHelper!$C$2:$C$5000,$K104),""))</f>
        <v>15</v>
      </c>
      <c r="M104" s="9">
        <f>IF($J104="","",SUMIFS(SummaryHelper!$E$2:$E$5000,SummaryHelper!$A$2:$A$5000,$I104,SummaryHelper!$B$2:$B$5000,$J104,SummaryHelper!$C$2:$C$5000,$K104))</f>
        <v>1</v>
      </c>
      <c r="N104" s="9">
        <f>IF($J104="","",SUMIFS(SummaryHelper!$F$2:$F$5000,SummaryHelper!$A$2:$A$5000,$I104,SummaryHelper!$B$2:$B$5000,$J104,SummaryHelper!$C$2:$C$5000,$K104))</f>
        <v>0</v>
      </c>
      <c r="O104" s="9">
        <f>IF($J104="","",SUMIFS(SummaryHelper!$G$2:$G$5000,SummaryHelper!$A$2:$A$5000,$I104,SummaryHelper!$B$2:$B$5000,$J104,SummaryHelper!$C$2:$C$5000,$K104))</f>
        <v>1</v>
      </c>
      <c r="Q104" s="9">
        <f t="shared" si="18"/>
        <v>1</v>
      </c>
      <c r="R104" s="9">
        <f t="shared" si="19"/>
        <v>15</v>
      </c>
      <c r="W104" s="9" t="str">
        <f>IF($U104="","",IFERROR(SUMIFS(SummaryHelper!$H$2:$H$5000,SummaryHelper!$A$2:$A$5000,$T104,SummaryHelper!$B$2:$B$5000,$U104,SummaryHelper!$C$2:$C$5000,$V104)/SUMIFS(SummaryHelper!$G$2:$G$5000,SummaryHelper!$A$2:$A$5000,$T104,SummaryHelper!$B$2:$B$5000,$U104,SummaryHelper!$C$2:$C$5000,$V104),""))</f>
        <v/>
      </c>
      <c r="X104" s="9" t="str">
        <f>IF($U104="","",SUMIFS(SummaryHelper!$E$2:$E$5000,SummaryHelper!$A$2:$A$5000,$T104,SummaryHelper!$B$2:$B$5000,$U104,SummaryHelper!$C$2:$C$5000,$V104))</f>
        <v/>
      </c>
      <c r="Y104" s="9" t="str">
        <f>IF($U104="","",SUMIFS(SummaryHelper!$F$2:$F$5000,SummaryHelper!$A$2:$A$5000,$T104,SummaryHelper!$B$2:$B$5000,$U104,SummaryHelper!$C$2:$C$5000,$V104))</f>
        <v/>
      </c>
      <c r="Z104" s="9" t="str">
        <f>IF($U104="","",SUMIFS(SummaryHelper!$G$2:$G$5000,SummaryHelper!$A$2:$A$5000,$T104,SummaryHelper!$B$2:$B$5000,$U104,SummaryHelper!$C$2:$C$5000,$V104))</f>
        <v/>
      </c>
      <c r="AB104" s="9" t="str">
        <f t="shared" si="20"/>
        <v/>
      </c>
      <c r="AC104" s="9" t="str">
        <f t="shared" si="21"/>
        <v/>
      </c>
      <c r="AH104" t="str">
        <f>IF($AF104="","",IFERROR(SUMIFS(SummaryHelper!$H$2:$H$5000,SummaryHelper!$A$2:$A$5000,$AE104,SummaryHelper!$B$2:$B$5000,$AF104,SummaryHelper!$C$2:$C$5000,$AG104)/SUMIFS(SummaryHelper!$G$2:$G$5000,SummaryHelper!$A$2:$A$5000,$AE104,SummaryHelper!$B$2:$B$5000,$AF104,SummaryHelper!$C$2:$C$5000,$AG104),""))</f>
        <v/>
      </c>
      <c r="AI104" t="str">
        <f>IF($AF104="","",SUMIFS(SummaryHelper!$E$2:$E$5000,SummaryHelper!$A$2:$A$5000,$AE104,SummaryHelper!$B$2:$B$5000,$AF104,SummaryHelper!$C$2:$C$5000,$AG104))</f>
        <v/>
      </c>
      <c r="AJ104" t="str">
        <f>IF($AF104="","",SUMIFS(SummaryHelper!$F$2:$F$5000,SummaryHelper!$A$2:$A$5000,$AE104,SummaryHelper!$B$2:$B$5000,$AF104,SummaryHelper!$C$2:$C$5000,$AG104))</f>
        <v/>
      </c>
      <c r="AK104" t="str">
        <f>IF($AF104="","",SUMIFS(SummaryHelper!$G$2:$G$5000,SummaryHelper!$A$2:$A$5000,$AE104,SummaryHelper!$B$2:$B$5000,$AF104,SummaryHelper!$C$2:$C$5000,$AG104))</f>
        <v/>
      </c>
      <c r="AM104" t="str">
        <f t="shared" si="22"/>
        <v/>
      </c>
      <c r="AN104" t="str">
        <f t="shared" si="23"/>
        <v/>
      </c>
    </row>
    <row r="105" spans="1:40" x14ac:dyDescent="0.25">
      <c r="A105" s="12"/>
      <c r="B105" s="23" t="str">
        <f t="shared" si="24"/>
        <v/>
      </c>
      <c r="C105" s="9" t="str">
        <f t="shared" ca="1" si="13"/>
        <v/>
      </c>
      <c r="D105" s="9" t="str">
        <f t="shared" ca="1" si="14"/>
        <v/>
      </c>
      <c r="E105" s="9" t="str">
        <f t="shared" ca="1" si="15"/>
        <v/>
      </c>
      <c r="F105" s="9" t="str">
        <f t="shared" si="16"/>
        <v/>
      </c>
      <c r="G105" s="9">
        <f t="shared" si="17"/>
        <v>0</v>
      </c>
      <c r="I105" t="str">
        <v>MATERIALS</v>
      </c>
      <c r="J105" t="str">
        <v>Yessy Tile Floor Trap</v>
      </c>
      <c r="K105" t="str">
        <v>pc</v>
      </c>
      <c r="L105" s="9">
        <f>IF($J105="","",IFERROR(SUMIFS(SummaryHelper!$H$2:$H$5000,SummaryHelper!$A$2:$A$5000,$I105,SummaryHelper!$B$2:$B$5000,$J105,SummaryHelper!$C$2:$C$5000,$K105)/SUMIFS(SummaryHelper!$G$2:$G$5000,SummaryHelper!$A$2:$A$5000,$I105,SummaryHelper!$B$2:$B$5000,$J105,SummaryHelper!$C$2:$C$5000,$K105),""))</f>
        <v>15</v>
      </c>
      <c r="M105" s="9">
        <f>IF($J105="","",SUMIFS(SummaryHelper!$E$2:$E$5000,SummaryHelper!$A$2:$A$5000,$I105,SummaryHelper!$B$2:$B$5000,$J105,SummaryHelper!$C$2:$C$5000,$K105))</f>
        <v>1</v>
      </c>
      <c r="N105" s="9">
        <f>IF($J105="","",SUMIFS(SummaryHelper!$F$2:$F$5000,SummaryHelper!$A$2:$A$5000,$I105,SummaryHelper!$B$2:$B$5000,$J105,SummaryHelper!$C$2:$C$5000,$K105))</f>
        <v>0</v>
      </c>
      <c r="O105" s="9">
        <f>IF($J105="","",SUMIFS(SummaryHelper!$G$2:$G$5000,SummaryHelper!$A$2:$A$5000,$I105,SummaryHelper!$B$2:$B$5000,$J105,SummaryHelper!$C$2:$C$5000,$K105))</f>
        <v>1</v>
      </c>
      <c r="Q105" s="9">
        <f t="shared" si="18"/>
        <v>1</v>
      </c>
      <c r="R105" s="9">
        <f t="shared" si="19"/>
        <v>15</v>
      </c>
      <c r="W105" s="9" t="str">
        <f>IF($U105="","",IFERROR(SUMIFS(SummaryHelper!$H$2:$H$5000,SummaryHelper!$A$2:$A$5000,$T105,SummaryHelper!$B$2:$B$5000,$U105,SummaryHelper!$C$2:$C$5000,$V105)/SUMIFS(SummaryHelper!$G$2:$G$5000,SummaryHelper!$A$2:$A$5000,$T105,SummaryHelper!$B$2:$B$5000,$U105,SummaryHelper!$C$2:$C$5000,$V105),""))</f>
        <v/>
      </c>
      <c r="X105" s="9" t="str">
        <f>IF($U105="","",SUMIFS(SummaryHelper!$E$2:$E$5000,SummaryHelper!$A$2:$A$5000,$T105,SummaryHelper!$B$2:$B$5000,$U105,SummaryHelper!$C$2:$C$5000,$V105))</f>
        <v/>
      </c>
      <c r="Y105" s="9" t="str">
        <f>IF($U105="","",SUMIFS(SummaryHelper!$F$2:$F$5000,SummaryHelper!$A$2:$A$5000,$T105,SummaryHelper!$B$2:$B$5000,$U105,SummaryHelper!$C$2:$C$5000,$V105))</f>
        <v/>
      </c>
      <c r="Z105" s="9" t="str">
        <f>IF($U105="","",SUMIFS(SummaryHelper!$G$2:$G$5000,SummaryHelper!$A$2:$A$5000,$T105,SummaryHelper!$B$2:$B$5000,$U105,SummaryHelper!$C$2:$C$5000,$V105))</f>
        <v/>
      </c>
      <c r="AB105" s="9" t="str">
        <f t="shared" si="20"/>
        <v/>
      </c>
      <c r="AC105" s="9" t="str">
        <f t="shared" si="21"/>
        <v/>
      </c>
      <c r="AH105" t="str">
        <f>IF($AF105="","",IFERROR(SUMIFS(SummaryHelper!$H$2:$H$5000,SummaryHelper!$A$2:$A$5000,$AE105,SummaryHelper!$B$2:$B$5000,$AF105,SummaryHelper!$C$2:$C$5000,$AG105)/SUMIFS(SummaryHelper!$G$2:$G$5000,SummaryHelper!$A$2:$A$5000,$AE105,SummaryHelper!$B$2:$B$5000,$AF105,SummaryHelper!$C$2:$C$5000,$AG105),""))</f>
        <v/>
      </c>
      <c r="AI105" t="str">
        <f>IF($AF105="","",SUMIFS(SummaryHelper!$E$2:$E$5000,SummaryHelper!$A$2:$A$5000,$AE105,SummaryHelper!$B$2:$B$5000,$AF105,SummaryHelper!$C$2:$C$5000,$AG105))</f>
        <v/>
      </c>
      <c r="AJ105" t="str">
        <f>IF($AF105="","",SUMIFS(SummaryHelper!$F$2:$F$5000,SummaryHelper!$A$2:$A$5000,$AE105,SummaryHelper!$B$2:$B$5000,$AF105,SummaryHelper!$C$2:$C$5000,$AG105))</f>
        <v/>
      </c>
      <c r="AK105" t="str">
        <f>IF($AF105="","",SUMIFS(SummaryHelper!$G$2:$G$5000,SummaryHelper!$A$2:$A$5000,$AE105,SummaryHelper!$B$2:$B$5000,$AF105,SummaryHelper!$C$2:$C$5000,$AG105))</f>
        <v/>
      </c>
      <c r="AM105" t="str">
        <f t="shared" si="22"/>
        <v/>
      </c>
      <c r="AN105" t="str">
        <f t="shared" si="23"/>
        <v/>
      </c>
    </row>
    <row r="106" spans="1:40" x14ac:dyDescent="0.25">
      <c r="A106" s="12"/>
      <c r="B106" s="23" t="str">
        <f t="shared" si="24"/>
        <v/>
      </c>
      <c r="C106" s="9" t="str">
        <f t="shared" ca="1" si="13"/>
        <v/>
      </c>
      <c r="D106" s="9" t="str">
        <f t="shared" ca="1" si="14"/>
        <v/>
      </c>
      <c r="E106" s="9" t="str">
        <f t="shared" ca="1" si="15"/>
        <v/>
      </c>
      <c r="F106" s="9" t="str">
        <f t="shared" si="16"/>
        <v/>
      </c>
      <c r="G106" s="9">
        <f t="shared" si="17"/>
        <v>0</v>
      </c>
      <c r="I106" t="str">
        <v>MATERIALS</v>
      </c>
      <c r="J106" t="str">
        <v>Yessy Two-Way Hand Bidet</v>
      </c>
      <c r="K106" t="str">
        <v>pc</v>
      </c>
      <c r="L106" s="9">
        <f>IF($J106="","",IFERROR(SUMIFS(SummaryHelper!$H$2:$H$5000,SummaryHelper!$A$2:$A$5000,$I106,SummaryHelper!$B$2:$B$5000,$J106,SummaryHelper!$C$2:$C$5000,$K106)/SUMIFS(SummaryHelper!$G$2:$G$5000,SummaryHelper!$A$2:$A$5000,$I106,SummaryHelper!$B$2:$B$5000,$J106,SummaryHelper!$C$2:$C$5000,$K106),""))</f>
        <v>60</v>
      </c>
      <c r="M106" s="9">
        <f>IF($J106="","",SUMIFS(SummaryHelper!$E$2:$E$5000,SummaryHelper!$A$2:$A$5000,$I106,SummaryHelper!$B$2:$B$5000,$J106,SummaryHelper!$C$2:$C$5000,$K106))</f>
        <v>1</v>
      </c>
      <c r="N106" s="9">
        <f>IF($J106="","",SUMIFS(SummaryHelper!$F$2:$F$5000,SummaryHelper!$A$2:$A$5000,$I106,SummaryHelper!$B$2:$B$5000,$J106,SummaryHelper!$C$2:$C$5000,$K106))</f>
        <v>0</v>
      </c>
      <c r="O106" s="9">
        <f>IF($J106="","",SUMIFS(SummaryHelper!$G$2:$G$5000,SummaryHelper!$A$2:$A$5000,$I106,SummaryHelper!$B$2:$B$5000,$J106,SummaryHelper!$C$2:$C$5000,$K106))</f>
        <v>1</v>
      </c>
      <c r="Q106" s="9">
        <f t="shared" si="18"/>
        <v>1</v>
      </c>
      <c r="R106" s="9">
        <f t="shared" si="19"/>
        <v>60</v>
      </c>
      <c r="W106" s="9" t="str">
        <f>IF($U106="","",IFERROR(SUMIFS(SummaryHelper!$H$2:$H$5000,SummaryHelper!$A$2:$A$5000,$T106,SummaryHelper!$B$2:$B$5000,$U106,SummaryHelper!$C$2:$C$5000,$V106)/SUMIFS(SummaryHelper!$G$2:$G$5000,SummaryHelper!$A$2:$A$5000,$T106,SummaryHelper!$B$2:$B$5000,$U106,SummaryHelper!$C$2:$C$5000,$V106),""))</f>
        <v/>
      </c>
      <c r="X106" s="9" t="str">
        <f>IF($U106="","",SUMIFS(SummaryHelper!$E$2:$E$5000,SummaryHelper!$A$2:$A$5000,$T106,SummaryHelper!$B$2:$B$5000,$U106,SummaryHelper!$C$2:$C$5000,$V106))</f>
        <v/>
      </c>
      <c r="Y106" s="9" t="str">
        <f>IF($U106="","",SUMIFS(SummaryHelper!$F$2:$F$5000,SummaryHelper!$A$2:$A$5000,$T106,SummaryHelper!$B$2:$B$5000,$U106,SummaryHelper!$C$2:$C$5000,$V106))</f>
        <v/>
      </c>
      <c r="Z106" s="9" t="str">
        <f>IF($U106="","",SUMIFS(SummaryHelper!$G$2:$G$5000,SummaryHelper!$A$2:$A$5000,$T106,SummaryHelper!$B$2:$B$5000,$U106,SummaryHelper!$C$2:$C$5000,$V106))</f>
        <v/>
      </c>
      <c r="AB106" s="9" t="str">
        <f t="shared" si="20"/>
        <v/>
      </c>
      <c r="AC106" s="9" t="str">
        <f t="shared" si="21"/>
        <v/>
      </c>
      <c r="AH106" t="str">
        <f>IF($AF106="","",IFERROR(SUMIFS(SummaryHelper!$H$2:$H$5000,SummaryHelper!$A$2:$A$5000,$AE106,SummaryHelper!$B$2:$B$5000,$AF106,SummaryHelper!$C$2:$C$5000,$AG106)/SUMIFS(SummaryHelper!$G$2:$G$5000,SummaryHelper!$A$2:$A$5000,$AE106,SummaryHelper!$B$2:$B$5000,$AF106,SummaryHelper!$C$2:$C$5000,$AG106),""))</f>
        <v/>
      </c>
      <c r="AI106" t="str">
        <f>IF($AF106="","",SUMIFS(SummaryHelper!$E$2:$E$5000,SummaryHelper!$A$2:$A$5000,$AE106,SummaryHelper!$B$2:$B$5000,$AF106,SummaryHelper!$C$2:$C$5000,$AG106))</f>
        <v/>
      </c>
      <c r="AJ106" t="str">
        <f>IF($AF106="","",SUMIFS(SummaryHelper!$F$2:$F$5000,SummaryHelper!$A$2:$A$5000,$AE106,SummaryHelper!$B$2:$B$5000,$AF106,SummaryHelper!$C$2:$C$5000,$AG106))</f>
        <v/>
      </c>
      <c r="AK106" t="str">
        <f>IF($AF106="","",SUMIFS(SummaryHelper!$G$2:$G$5000,SummaryHelper!$A$2:$A$5000,$AE106,SummaryHelper!$B$2:$B$5000,$AF106,SummaryHelper!$C$2:$C$5000,$AG106))</f>
        <v/>
      </c>
      <c r="AM106" t="str">
        <f t="shared" si="22"/>
        <v/>
      </c>
      <c r="AN106" t="str">
        <f t="shared" si="23"/>
        <v/>
      </c>
    </row>
    <row r="107" spans="1:40" x14ac:dyDescent="0.25">
      <c r="A107" s="12"/>
      <c r="B107" s="23" t="str">
        <f t="shared" si="24"/>
        <v/>
      </c>
      <c r="C107" s="9" t="str">
        <f t="shared" ca="1" si="13"/>
        <v/>
      </c>
      <c r="D107" s="9" t="str">
        <f t="shared" ca="1" si="14"/>
        <v/>
      </c>
      <c r="E107" s="9" t="str">
        <f t="shared" ca="1" si="15"/>
        <v/>
      </c>
      <c r="F107" s="9" t="str">
        <f t="shared" si="16"/>
        <v/>
      </c>
      <c r="G107" s="9">
        <f t="shared" si="17"/>
        <v>0</v>
      </c>
      <c r="I107" t="str">
        <v>MATERIALS</v>
      </c>
      <c r="J107" t="str">
        <v>YTL PCC Cement Castle 50kg Bag</v>
      </c>
      <c r="K107" t="str">
        <v>BAG</v>
      </c>
      <c r="L107" s="9">
        <f>IF($J107="","",IFERROR(SUMIFS(SummaryHelper!$H$2:$H$5000,SummaryHelper!$A$2:$A$5000,$I107,SummaryHelper!$B$2:$B$5000,$J107,SummaryHelper!$C$2:$C$5000,$K107)/SUMIFS(SummaryHelper!$G$2:$G$5000,SummaryHelper!$A$2:$A$5000,$I107,SummaryHelper!$B$2:$B$5000,$J107,SummaryHelper!$C$2:$C$5000,$K107),""))</f>
        <v>24</v>
      </c>
      <c r="M107" s="9">
        <f>IF($J107="","",SUMIFS(SummaryHelper!$E$2:$E$5000,SummaryHelper!$A$2:$A$5000,$I107,SummaryHelper!$B$2:$B$5000,$J107,SummaryHelper!$C$2:$C$5000,$K107))</f>
        <v>99</v>
      </c>
      <c r="N107" s="9">
        <f>IF($J107="","",SUMIFS(SummaryHelper!$F$2:$F$5000,SummaryHelper!$A$2:$A$5000,$I107,SummaryHelper!$B$2:$B$5000,$J107,SummaryHelper!$C$2:$C$5000,$K107))</f>
        <v>0.1</v>
      </c>
      <c r="O107" s="9">
        <f>IF($J107="","",SUMIFS(SummaryHelper!$G$2:$G$5000,SummaryHelper!$A$2:$A$5000,$I107,SummaryHelper!$B$2:$B$5000,$J107,SummaryHelper!$C$2:$C$5000,$K107))</f>
        <v>100.2</v>
      </c>
      <c r="Q107" s="9">
        <f t="shared" si="18"/>
        <v>101</v>
      </c>
      <c r="R107" s="9">
        <f t="shared" si="19"/>
        <v>2424</v>
      </c>
      <c r="W107" s="9" t="str">
        <f>IF($U107="","",IFERROR(SUMIFS(SummaryHelper!$H$2:$H$5000,SummaryHelper!$A$2:$A$5000,$T107,SummaryHelper!$B$2:$B$5000,$U107,SummaryHelper!$C$2:$C$5000,$V107)/SUMIFS(SummaryHelper!$G$2:$G$5000,SummaryHelper!$A$2:$A$5000,$T107,SummaryHelper!$B$2:$B$5000,$U107,SummaryHelper!$C$2:$C$5000,$V107),""))</f>
        <v/>
      </c>
      <c r="X107" s="9" t="str">
        <f>IF($U107="","",SUMIFS(SummaryHelper!$E$2:$E$5000,SummaryHelper!$A$2:$A$5000,$T107,SummaryHelper!$B$2:$B$5000,$U107,SummaryHelper!$C$2:$C$5000,$V107))</f>
        <v/>
      </c>
      <c r="Y107" s="9" t="str">
        <f>IF($U107="","",SUMIFS(SummaryHelper!$F$2:$F$5000,SummaryHelper!$A$2:$A$5000,$T107,SummaryHelper!$B$2:$B$5000,$U107,SummaryHelper!$C$2:$C$5000,$V107))</f>
        <v/>
      </c>
      <c r="Z107" s="9" t="str">
        <f>IF($U107="","",SUMIFS(SummaryHelper!$G$2:$G$5000,SummaryHelper!$A$2:$A$5000,$T107,SummaryHelper!$B$2:$B$5000,$U107,SummaryHelper!$C$2:$C$5000,$V107))</f>
        <v/>
      </c>
      <c r="AB107" s="9" t="str">
        <f t="shared" si="20"/>
        <v/>
      </c>
      <c r="AC107" s="9" t="str">
        <f t="shared" si="21"/>
        <v/>
      </c>
      <c r="AH107" t="str">
        <f>IF($AF107="","",IFERROR(SUMIFS(SummaryHelper!$H$2:$H$5000,SummaryHelper!$A$2:$A$5000,$AE107,SummaryHelper!$B$2:$B$5000,$AF107,SummaryHelper!$C$2:$C$5000,$AG107)/SUMIFS(SummaryHelper!$G$2:$G$5000,SummaryHelper!$A$2:$A$5000,$AE107,SummaryHelper!$B$2:$B$5000,$AF107,SummaryHelper!$C$2:$C$5000,$AG107),""))</f>
        <v/>
      </c>
      <c r="AI107" t="str">
        <f>IF($AF107="","",SUMIFS(SummaryHelper!$E$2:$E$5000,SummaryHelper!$A$2:$A$5000,$AE107,SummaryHelper!$B$2:$B$5000,$AF107,SummaryHelper!$C$2:$C$5000,$AG107))</f>
        <v/>
      </c>
      <c r="AJ107" t="str">
        <f>IF($AF107="","",SUMIFS(SummaryHelper!$F$2:$F$5000,SummaryHelper!$A$2:$A$5000,$AE107,SummaryHelper!$B$2:$B$5000,$AF107,SummaryHelper!$C$2:$C$5000,$AG107))</f>
        <v/>
      </c>
      <c r="AK107" t="str">
        <f>IF($AF107="","",SUMIFS(SummaryHelper!$G$2:$G$5000,SummaryHelper!$A$2:$A$5000,$AE107,SummaryHelper!$B$2:$B$5000,$AF107,SummaryHelper!$C$2:$C$5000,$AG107))</f>
        <v/>
      </c>
      <c r="AM107" t="str">
        <f t="shared" si="22"/>
        <v/>
      </c>
      <c r="AN107" t="str">
        <f t="shared" si="23"/>
        <v/>
      </c>
    </row>
    <row r="108" spans="1:40" x14ac:dyDescent="0.25">
      <c r="A108" s="12"/>
      <c r="B108" s="23" t="str">
        <f t="shared" si="24"/>
        <v/>
      </c>
      <c r="C108" s="9" t="str">
        <f t="shared" ca="1" si="13"/>
        <v/>
      </c>
      <c r="D108" s="9" t="str">
        <f t="shared" ca="1" si="14"/>
        <v/>
      </c>
      <c r="E108" s="9" t="str">
        <f t="shared" ca="1" si="15"/>
        <v/>
      </c>
      <c r="F108" s="9" t="str">
        <f t="shared" si="16"/>
        <v/>
      </c>
      <c r="G108" s="9">
        <f t="shared" si="17"/>
        <v>0</v>
      </c>
      <c r="L108" s="9" t="str">
        <f>IF($J108="","",IFERROR(SUMIFS(SummaryHelper!$H$2:$H$5000,SummaryHelper!$A$2:$A$5000,$I108,SummaryHelper!$B$2:$B$5000,$J108,SummaryHelper!$C$2:$C$5000,$K108)/SUMIFS(SummaryHelper!$G$2:$G$5000,SummaryHelper!$A$2:$A$5000,$I108,SummaryHelper!$B$2:$B$5000,$J108,SummaryHelper!$C$2:$C$5000,$K108),""))</f>
        <v/>
      </c>
      <c r="M108" s="9" t="str">
        <f>IF($J108="","",SUMIFS(SummaryHelper!$E$2:$E$5000,SummaryHelper!$A$2:$A$5000,$I108,SummaryHelper!$B$2:$B$5000,$J108,SummaryHelper!$C$2:$C$5000,$K108))</f>
        <v/>
      </c>
      <c r="N108" s="9" t="str">
        <f>IF($J108="","",SUMIFS(SummaryHelper!$F$2:$F$5000,SummaryHelper!$A$2:$A$5000,$I108,SummaryHelper!$B$2:$B$5000,$J108,SummaryHelper!$C$2:$C$5000,$K108))</f>
        <v/>
      </c>
      <c r="O108" s="9" t="str">
        <f>IF($J108="","",SUMIFS(SummaryHelper!$G$2:$G$5000,SummaryHelper!$A$2:$A$5000,$I108,SummaryHelper!$B$2:$B$5000,$J108,SummaryHelper!$C$2:$C$5000,$K108))</f>
        <v/>
      </c>
      <c r="Q108" s="9" t="str">
        <f t="shared" si="18"/>
        <v/>
      </c>
      <c r="R108" s="9" t="str">
        <f t="shared" si="19"/>
        <v/>
      </c>
      <c r="W108" s="9" t="str">
        <f>IF($U108="","",IFERROR(SUMIFS(SummaryHelper!$H$2:$H$5000,SummaryHelper!$A$2:$A$5000,$T108,SummaryHelper!$B$2:$B$5000,$U108,SummaryHelper!$C$2:$C$5000,$V108)/SUMIFS(SummaryHelper!$G$2:$G$5000,SummaryHelper!$A$2:$A$5000,$T108,SummaryHelper!$B$2:$B$5000,$U108,SummaryHelper!$C$2:$C$5000,$V108),""))</f>
        <v/>
      </c>
      <c r="X108" s="9" t="str">
        <f>IF($U108="","",SUMIFS(SummaryHelper!$E$2:$E$5000,SummaryHelper!$A$2:$A$5000,$T108,SummaryHelper!$B$2:$B$5000,$U108,SummaryHelper!$C$2:$C$5000,$V108))</f>
        <v/>
      </c>
      <c r="Y108" s="9" t="str">
        <f>IF($U108="","",SUMIFS(SummaryHelper!$F$2:$F$5000,SummaryHelper!$A$2:$A$5000,$T108,SummaryHelper!$B$2:$B$5000,$U108,SummaryHelper!$C$2:$C$5000,$V108))</f>
        <v/>
      </c>
      <c r="Z108" s="9" t="str">
        <f>IF($U108="","",SUMIFS(SummaryHelper!$G$2:$G$5000,SummaryHelper!$A$2:$A$5000,$T108,SummaryHelper!$B$2:$B$5000,$U108,SummaryHelper!$C$2:$C$5000,$V108))</f>
        <v/>
      </c>
      <c r="AB108" s="9" t="str">
        <f t="shared" si="20"/>
        <v/>
      </c>
      <c r="AC108" s="9" t="str">
        <f t="shared" si="21"/>
        <v/>
      </c>
      <c r="AH108" t="str">
        <f>IF($AF108="","",IFERROR(SUMIFS(SummaryHelper!$H$2:$H$5000,SummaryHelper!$A$2:$A$5000,$AE108,SummaryHelper!$B$2:$B$5000,$AF108,SummaryHelper!$C$2:$C$5000,$AG108)/SUMIFS(SummaryHelper!$G$2:$G$5000,SummaryHelper!$A$2:$A$5000,$AE108,SummaryHelper!$B$2:$B$5000,$AF108,SummaryHelper!$C$2:$C$5000,$AG108),""))</f>
        <v/>
      </c>
      <c r="AI108" t="str">
        <f>IF($AF108="","",SUMIFS(SummaryHelper!$E$2:$E$5000,SummaryHelper!$A$2:$A$5000,$AE108,SummaryHelper!$B$2:$B$5000,$AF108,SummaryHelper!$C$2:$C$5000,$AG108))</f>
        <v/>
      </c>
      <c r="AJ108" t="str">
        <f>IF($AF108="","",SUMIFS(SummaryHelper!$F$2:$F$5000,SummaryHelper!$A$2:$A$5000,$AE108,SummaryHelper!$B$2:$B$5000,$AF108,SummaryHelper!$C$2:$C$5000,$AG108))</f>
        <v/>
      </c>
      <c r="AK108" t="str">
        <f>IF($AF108="","",SUMIFS(SummaryHelper!$G$2:$G$5000,SummaryHelper!$A$2:$A$5000,$AE108,SummaryHelper!$B$2:$B$5000,$AF108,SummaryHelper!$C$2:$C$5000,$AG108))</f>
        <v/>
      </c>
      <c r="AM108" t="str">
        <f t="shared" si="22"/>
        <v/>
      </c>
      <c r="AN108" t="str">
        <f t="shared" si="23"/>
        <v/>
      </c>
    </row>
    <row r="109" spans="1:40" x14ac:dyDescent="0.25">
      <c r="A109" s="12"/>
      <c r="B109" s="23" t="str">
        <f t="shared" si="24"/>
        <v/>
      </c>
      <c r="C109" s="9" t="str">
        <f t="shared" ca="1" si="13"/>
        <v/>
      </c>
      <c r="D109" s="9" t="str">
        <f t="shared" ca="1" si="14"/>
        <v/>
      </c>
      <c r="E109" s="9" t="str">
        <f t="shared" ca="1" si="15"/>
        <v/>
      </c>
      <c r="F109" s="9" t="str">
        <f t="shared" si="16"/>
        <v/>
      </c>
      <c r="G109" s="9">
        <f t="shared" si="17"/>
        <v>0</v>
      </c>
      <c r="L109" s="9" t="str">
        <f>IF($J109="","",IFERROR(SUMIFS(SummaryHelper!$H$2:$H$5000,SummaryHelper!$A$2:$A$5000,$I109,SummaryHelper!$B$2:$B$5000,$J109,SummaryHelper!$C$2:$C$5000,$K109)/SUMIFS(SummaryHelper!$G$2:$G$5000,SummaryHelper!$A$2:$A$5000,$I109,SummaryHelper!$B$2:$B$5000,$J109,SummaryHelper!$C$2:$C$5000,$K109),""))</f>
        <v/>
      </c>
      <c r="M109" s="9" t="str">
        <f>IF($J109="","",SUMIFS(SummaryHelper!$E$2:$E$5000,SummaryHelper!$A$2:$A$5000,$I109,SummaryHelper!$B$2:$B$5000,$J109,SummaryHelper!$C$2:$C$5000,$K109))</f>
        <v/>
      </c>
      <c r="N109" s="9" t="str">
        <f>IF($J109="","",SUMIFS(SummaryHelper!$F$2:$F$5000,SummaryHelper!$A$2:$A$5000,$I109,SummaryHelper!$B$2:$B$5000,$J109,SummaryHelper!$C$2:$C$5000,$K109))</f>
        <v/>
      </c>
      <c r="O109" s="9" t="str">
        <f>IF($J109="","",SUMIFS(SummaryHelper!$G$2:$G$5000,SummaryHelper!$A$2:$A$5000,$I109,SummaryHelper!$B$2:$B$5000,$J109,SummaryHelper!$C$2:$C$5000,$K109))</f>
        <v/>
      </c>
      <c r="Q109" s="9" t="str">
        <f t="shared" si="18"/>
        <v/>
      </c>
      <c r="R109" s="9" t="str">
        <f t="shared" si="19"/>
        <v/>
      </c>
      <c r="W109" s="9" t="str">
        <f>IF($U109="","",IFERROR(SUMIFS(SummaryHelper!$H$2:$H$5000,SummaryHelper!$A$2:$A$5000,$T109,SummaryHelper!$B$2:$B$5000,$U109,SummaryHelper!$C$2:$C$5000,$V109)/SUMIFS(SummaryHelper!$G$2:$G$5000,SummaryHelper!$A$2:$A$5000,$T109,SummaryHelper!$B$2:$B$5000,$U109,SummaryHelper!$C$2:$C$5000,$V109),""))</f>
        <v/>
      </c>
      <c r="X109" s="9" t="str">
        <f>IF($U109="","",SUMIFS(SummaryHelper!$E$2:$E$5000,SummaryHelper!$A$2:$A$5000,$T109,SummaryHelper!$B$2:$B$5000,$U109,SummaryHelper!$C$2:$C$5000,$V109))</f>
        <v/>
      </c>
      <c r="Y109" s="9" t="str">
        <f>IF($U109="","",SUMIFS(SummaryHelper!$F$2:$F$5000,SummaryHelper!$A$2:$A$5000,$T109,SummaryHelper!$B$2:$B$5000,$U109,SummaryHelper!$C$2:$C$5000,$V109))</f>
        <v/>
      </c>
      <c r="Z109" s="9" t="str">
        <f>IF($U109="","",SUMIFS(SummaryHelper!$G$2:$G$5000,SummaryHelper!$A$2:$A$5000,$T109,SummaryHelper!$B$2:$B$5000,$U109,SummaryHelper!$C$2:$C$5000,$V109))</f>
        <v/>
      </c>
      <c r="AB109" s="9" t="str">
        <f t="shared" si="20"/>
        <v/>
      </c>
      <c r="AC109" s="9" t="str">
        <f t="shared" si="21"/>
        <v/>
      </c>
      <c r="AH109" t="str">
        <f>IF($AF109="","",IFERROR(SUMIFS(SummaryHelper!$H$2:$H$5000,SummaryHelper!$A$2:$A$5000,$AE109,SummaryHelper!$B$2:$B$5000,$AF109,SummaryHelper!$C$2:$C$5000,$AG109)/SUMIFS(SummaryHelper!$G$2:$G$5000,SummaryHelper!$A$2:$A$5000,$AE109,SummaryHelper!$B$2:$B$5000,$AF109,SummaryHelper!$C$2:$C$5000,$AG109),""))</f>
        <v/>
      </c>
      <c r="AI109" t="str">
        <f>IF($AF109="","",SUMIFS(SummaryHelper!$E$2:$E$5000,SummaryHelper!$A$2:$A$5000,$AE109,SummaryHelper!$B$2:$B$5000,$AF109,SummaryHelper!$C$2:$C$5000,$AG109))</f>
        <v/>
      </c>
      <c r="AJ109" t="str">
        <f>IF($AF109="","",SUMIFS(SummaryHelper!$F$2:$F$5000,SummaryHelper!$A$2:$A$5000,$AE109,SummaryHelper!$B$2:$B$5000,$AF109,SummaryHelper!$C$2:$C$5000,$AG109))</f>
        <v/>
      </c>
      <c r="AK109" t="str">
        <f>IF($AF109="","",SUMIFS(SummaryHelper!$G$2:$G$5000,SummaryHelper!$A$2:$A$5000,$AE109,SummaryHelper!$B$2:$B$5000,$AF109,SummaryHelper!$C$2:$C$5000,$AG109))</f>
        <v/>
      </c>
      <c r="AM109" t="str">
        <f t="shared" si="22"/>
        <v/>
      </c>
      <c r="AN109" t="str">
        <f t="shared" si="23"/>
        <v/>
      </c>
    </row>
    <row r="110" spans="1:40" x14ac:dyDescent="0.25">
      <c r="A110" s="12"/>
      <c r="B110" s="23" t="str">
        <f t="shared" si="24"/>
        <v/>
      </c>
      <c r="C110" s="9" t="str">
        <f t="shared" ca="1" si="13"/>
        <v/>
      </c>
      <c r="D110" s="9" t="str">
        <f t="shared" ca="1" si="14"/>
        <v/>
      </c>
      <c r="E110" s="9" t="str">
        <f t="shared" ca="1" si="15"/>
        <v/>
      </c>
      <c r="F110" s="9" t="str">
        <f t="shared" si="16"/>
        <v/>
      </c>
      <c r="G110" s="9">
        <f t="shared" si="17"/>
        <v>0</v>
      </c>
      <c r="L110" s="9" t="str">
        <f>IF($J110="","",IFERROR(SUMIFS(SummaryHelper!$H$2:$H$5000,SummaryHelper!$A$2:$A$5000,$I110,SummaryHelper!$B$2:$B$5000,$J110,SummaryHelper!$C$2:$C$5000,$K110)/SUMIFS(SummaryHelper!$G$2:$G$5000,SummaryHelper!$A$2:$A$5000,$I110,SummaryHelper!$B$2:$B$5000,$J110,SummaryHelper!$C$2:$C$5000,$K110),""))</f>
        <v/>
      </c>
      <c r="M110" s="9" t="str">
        <f>IF($J110="","",SUMIFS(SummaryHelper!$E$2:$E$5000,SummaryHelper!$A$2:$A$5000,$I110,SummaryHelper!$B$2:$B$5000,$J110,SummaryHelper!$C$2:$C$5000,$K110))</f>
        <v/>
      </c>
      <c r="N110" s="9" t="str">
        <f>IF($J110="","",SUMIFS(SummaryHelper!$F$2:$F$5000,SummaryHelper!$A$2:$A$5000,$I110,SummaryHelper!$B$2:$B$5000,$J110,SummaryHelper!$C$2:$C$5000,$K110))</f>
        <v/>
      </c>
      <c r="O110" s="9" t="str">
        <f>IF($J110="","",SUMIFS(SummaryHelper!$G$2:$G$5000,SummaryHelper!$A$2:$A$5000,$I110,SummaryHelper!$B$2:$B$5000,$J110,SummaryHelper!$C$2:$C$5000,$K110))</f>
        <v/>
      </c>
      <c r="Q110" s="9" t="str">
        <f t="shared" si="18"/>
        <v/>
      </c>
      <c r="R110" s="9" t="str">
        <f t="shared" si="19"/>
        <v/>
      </c>
      <c r="W110" s="9" t="str">
        <f>IF($U110="","",IFERROR(SUMIFS(SummaryHelper!$H$2:$H$5000,SummaryHelper!$A$2:$A$5000,$T110,SummaryHelper!$B$2:$B$5000,$U110,SummaryHelper!$C$2:$C$5000,$V110)/SUMIFS(SummaryHelper!$G$2:$G$5000,SummaryHelper!$A$2:$A$5000,$T110,SummaryHelper!$B$2:$B$5000,$U110,SummaryHelper!$C$2:$C$5000,$V110),""))</f>
        <v/>
      </c>
      <c r="X110" s="9" t="str">
        <f>IF($U110="","",SUMIFS(SummaryHelper!$E$2:$E$5000,SummaryHelper!$A$2:$A$5000,$T110,SummaryHelper!$B$2:$B$5000,$U110,SummaryHelper!$C$2:$C$5000,$V110))</f>
        <v/>
      </c>
      <c r="Y110" s="9" t="str">
        <f>IF($U110="","",SUMIFS(SummaryHelper!$F$2:$F$5000,SummaryHelper!$A$2:$A$5000,$T110,SummaryHelper!$B$2:$B$5000,$U110,SummaryHelper!$C$2:$C$5000,$V110))</f>
        <v/>
      </c>
      <c r="Z110" s="9" t="str">
        <f>IF($U110="","",SUMIFS(SummaryHelper!$G$2:$G$5000,SummaryHelper!$A$2:$A$5000,$T110,SummaryHelper!$B$2:$B$5000,$U110,SummaryHelper!$C$2:$C$5000,$V110))</f>
        <v/>
      </c>
      <c r="AB110" s="9" t="str">
        <f t="shared" si="20"/>
        <v/>
      </c>
      <c r="AC110" s="9" t="str">
        <f t="shared" si="21"/>
        <v/>
      </c>
      <c r="AH110" t="str">
        <f>IF($AF110="","",IFERROR(SUMIFS(SummaryHelper!$H$2:$H$5000,SummaryHelper!$A$2:$A$5000,$AE110,SummaryHelper!$B$2:$B$5000,$AF110,SummaryHelper!$C$2:$C$5000,$AG110)/SUMIFS(SummaryHelper!$G$2:$G$5000,SummaryHelper!$A$2:$A$5000,$AE110,SummaryHelper!$B$2:$B$5000,$AF110,SummaryHelper!$C$2:$C$5000,$AG110),""))</f>
        <v/>
      </c>
      <c r="AI110" t="str">
        <f>IF($AF110="","",SUMIFS(SummaryHelper!$E$2:$E$5000,SummaryHelper!$A$2:$A$5000,$AE110,SummaryHelper!$B$2:$B$5000,$AF110,SummaryHelper!$C$2:$C$5000,$AG110))</f>
        <v/>
      </c>
      <c r="AJ110" t="str">
        <f>IF($AF110="","",SUMIFS(SummaryHelper!$F$2:$F$5000,SummaryHelper!$A$2:$A$5000,$AE110,SummaryHelper!$B$2:$B$5000,$AF110,SummaryHelper!$C$2:$C$5000,$AG110))</f>
        <v/>
      </c>
      <c r="AK110" t="str">
        <f>IF($AF110="","",SUMIFS(SummaryHelper!$G$2:$G$5000,SummaryHelper!$A$2:$A$5000,$AE110,SummaryHelper!$B$2:$B$5000,$AF110,SummaryHelper!$C$2:$C$5000,$AG110))</f>
        <v/>
      </c>
      <c r="AM110" t="str">
        <f t="shared" si="22"/>
        <v/>
      </c>
      <c r="AN110" t="str">
        <f t="shared" si="23"/>
        <v/>
      </c>
    </row>
    <row r="111" spans="1:40" x14ac:dyDescent="0.25">
      <c r="A111" s="12"/>
      <c r="B111" s="23" t="str">
        <f t="shared" si="24"/>
        <v/>
      </c>
      <c r="C111" s="9" t="str">
        <f t="shared" ca="1" si="13"/>
        <v/>
      </c>
      <c r="D111" s="9" t="str">
        <f t="shared" ca="1" si="14"/>
        <v/>
      </c>
      <c r="E111" s="9" t="str">
        <f t="shared" ca="1" si="15"/>
        <v/>
      </c>
      <c r="F111" s="9" t="str">
        <f t="shared" si="16"/>
        <v/>
      </c>
      <c r="G111" s="9">
        <f t="shared" si="17"/>
        <v>0</v>
      </c>
      <c r="L111" s="9" t="str">
        <f>IF($J111="","",IFERROR(SUMIFS(SummaryHelper!$H$2:$H$5000,SummaryHelper!$A$2:$A$5000,$I111,SummaryHelper!$B$2:$B$5000,$J111,SummaryHelper!$C$2:$C$5000,$K111)/SUMIFS(SummaryHelper!$G$2:$G$5000,SummaryHelper!$A$2:$A$5000,$I111,SummaryHelper!$B$2:$B$5000,$J111,SummaryHelper!$C$2:$C$5000,$K111),""))</f>
        <v/>
      </c>
      <c r="M111" s="9" t="str">
        <f>IF($J111="","",SUMIFS(SummaryHelper!$E$2:$E$5000,SummaryHelper!$A$2:$A$5000,$I111,SummaryHelper!$B$2:$B$5000,$J111,SummaryHelper!$C$2:$C$5000,$K111))</f>
        <v/>
      </c>
      <c r="N111" s="9" t="str">
        <f>IF($J111="","",SUMIFS(SummaryHelper!$F$2:$F$5000,SummaryHelper!$A$2:$A$5000,$I111,SummaryHelper!$B$2:$B$5000,$J111,SummaryHelper!$C$2:$C$5000,$K111))</f>
        <v/>
      </c>
      <c r="O111" s="9" t="str">
        <f>IF($J111="","",SUMIFS(SummaryHelper!$G$2:$G$5000,SummaryHelper!$A$2:$A$5000,$I111,SummaryHelper!$B$2:$B$5000,$J111,SummaryHelper!$C$2:$C$5000,$K111))</f>
        <v/>
      </c>
      <c r="Q111" s="9" t="str">
        <f t="shared" si="18"/>
        <v/>
      </c>
      <c r="R111" s="9" t="str">
        <f t="shared" si="19"/>
        <v/>
      </c>
      <c r="W111" s="9" t="str">
        <f>IF($U111="","",IFERROR(SUMIFS(SummaryHelper!$H$2:$H$5000,SummaryHelper!$A$2:$A$5000,$T111,SummaryHelper!$B$2:$B$5000,$U111,SummaryHelper!$C$2:$C$5000,$V111)/SUMIFS(SummaryHelper!$G$2:$G$5000,SummaryHelper!$A$2:$A$5000,$T111,SummaryHelper!$B$2:$B$5000,$U111,SummaryHelper!$C$2:$C$5000,$V111),""))</f>
        <v/>
      </c>
      <c r="X111" s="9" t="str">
        <f>IF($U111="","",SUMIFS(SummaryHelper!$E$2:$E$5000,SummaryHelper!$A$2:$A$5000,$T111,SummaryHelper!$B$2:$B$5000,$U111,SummaryHelper!$C$2:$C$5000,$V111))</f>
        <v/>
      </c>
      <c r="Y111" s="9" t="str">
        <f>IF($U111="","",SUMIFS(SummaryHelper!$F$2:$F$5000,SummaryHelper!$A$2:$A$5000,$T111,SummaryHelper!$B$2:$B$5000,$U111,SummaryHelper!$C$2:$C$5000,$V111))</f>
        <v/>
      </c>
      <c r="Z111" s="9" t="str">
        <f>IF($U111="","",SUMIFS(SummaryHelper!$G$2:$G$5000,SummaryHelper!$A$2:$A$5000,$T111,SummaryHelper!$B$2:$B$5000,$U111,SummaryHelper!$C$2:$C$5000,$V111))</f>
        <v/>
      </c>
      <c r="AB111" s="9" t="str">
        <f t="shared" si="20"/>
        <v/>
      </c>
      <c r="AC111" s="9" t="str">
        <f t="shared" si="21"/>
        <v/>
      </c>
      <c r="AH111" t="str">
        <f>IF($AF111="","",IFERROR(SUMIFS(SummaryHelper!$H$2:$H$5000,SummaryHelper!$A$2:$A$5000,$AE111,SummaryHelper!$B$2:$B$5000,$AF111,SummaryHelper!$C$2:$C$5000,$AG111)/SUMIFS(SummaryHelper!$G$2:$G$5000,SummaryHelper!$A$2:$A$5000,$AE111,SummaryHelper!$B$2:$B$5000,$AF111,SummaryHelper!$C$2:$C$5000,$AG111),""))</f>
        <v/>
      </c>
      <c r="AI111" t="str">
        <f>IF($AF111="","",SUMIFS(SummaryHelper!$E$2:$E$5000,SummaryHelper!$A$2:$A$5000,$AE111,SummaryHelper!$B$2:$B$5000,$AF111,SummaryHelper!$C$2:$C$5000,$AG111))</f>
        <v/>
      </c>
      <c r="AJ111" t="str">
        <f>IF($AF111="","",SUMIFS(SummaryHelper!$F$2:$F$5000,SummaryHelper!$A$2:$A$5000,$AE111,SummaryHelper!$B$2:$B$5000,$AF111,SummaryHelper!$C$2:$C$5000,$AG111))</f>
        <v/>
      </c>
      <c r="AK111" t="str">
        <f>IF($AF111="","",SUMIFS(SummaryHelper!$G$2:$G$5000,SummaryHelper!$A$2:$A$5000,$AE111,SummaryHelper!$B$2:$B$5000,$AF111,SummaryHelper!$C$2:$C$5000,$AG111))</f>
        <v/>
      </c>
      <c r="AM111" t="str">
        <f t="shared" si="22"/>
        <v/>
      </c>
      <c r="AN111" t="str">
        <f t="shared" si="23"/>
        <v/>
      </c>
    </row>
    <row r="112" spans="1:40" x14ac:dyDescent="0.25">
      <c r="A112" s="12"/>
      <c r="B112" s="23" t="str">
        <f t="shared" si="24"/>
        <v/>
      </c>
      <c r="C112" s="9" t="str">
        <f t="shared" ca="1" si="13"/>
        <v/>
      </c>
      <c r="D112" s="9" t="str">
        <f t="shared" ca="1" si="14"/>
        <v/>
      </c>
      <c r="E112" s="9" t="str">
        <f t="shared" ca="1" si="15"/>
        <v/>
      </c>
      <c r="F112" s="9" t="str">
        <f t="shared" si="16"/>
        <v/>
      </c>
      <c r="G112" s="9">
        <f t="shared" si="17"/>
        <v>0</v>
      </c>
      <c r="L112" s="9" t="str">
        <f>IF($J112="","",IFERROR(SUMIFS(SummaryHelper!$H$2:$H$5000,SummaryHelper!$A$2:$A$5000,$I112,SummaryHelper!$B$2:$B$5000,$J112,SummaryHelper!$C$2:$C$5000,$K112)/SUMIFS(SummaryHelper!$G$2:$G$5000,SummaryHelper!$A$2:$A$5000,$I112,SummaryHelper!$B$2:$B$5000,$J112,SummaryHelper!$C$2:$C$5000,$K112),""))</f>
        <v/>
      </c>
      <c r="M112" s="9" t="str">
        <f>IF($J112="","",SUMIFS(SummaryHelper!$E$2:$E$5000,SummaryHelper!$A$2:$A$5000,$I112,SummaryHelper!$B$2:$B$5000,$J112,SummaryHelper!$C$2:$C$5000,$K112))</f>
        <v/>
      </c>
      <c r="N112" s="9" t="str">
        <f>IF($J112="","",SUMIFS(SummaryHelper!$F$2:$F$5000,SummaryHelper!$A$2:$A$5000,$I112,SummaryHelper!$B$2:$B$5000,$J112,SummaryHelper!$C$2:$C$5000,$K112))</f>
        <v/>
      </c>
      <c r="O112" s="9" t="str">
        <f>IF($J112="","",SUMIFS(SummaryHelper!$G$2:$G$5000,SummaryHelper!$A$2:$A$5000,$I112,SummaryHelper!$B$2:$B$5000,$J112,SummaryHelper!$C$2:$C$5000,$K112))</f>
        <v/>
      </c>
      <c r="Q112" s="9" t="str">
        <f t="shared" si="18"/>
        <v/>
      </c>
      <c r="R112" s="9" t="str">
        <f t="shared" si="19"/>
        <v/>
      </c>
      <c r="W112" s="9" t="str">
        <f>IF($U112="","",IFERROR(SUMIFS(SummaryHelper!$H$2:$H$5000,SummaryHelper!$A$2:$A$5000,$T112,SummaryHelper!$B$2:$B$5000,$U112,SummaryHelper!$C$2:$C$5000,$V112)/SUMIFS(SummaryHelper!$G$2:$G$5000,SummaryHelper!$A$2:$A$5000,$T112,SummaryHelper!$B$2:$B$5000,$U112,SummaryHelper!$C$2:$C$5000,$V112),""))</f>
        <v/>
      </c>
      <c r="X112" s="9" t="str">
        <f>IF($U112="","",SUMIFS(SummaryHelper!$E$2:$E$5000,SummaryHelper!$A$2:$A$5000,$T112,SummaryHelper!$B$2:$B$5000,$U112,SummaryHelper!$C$2:$C$5000,$V112))</f>
        <v/>
      </c>
      <c r="Y112" s="9" t="str">
        <f>IF($U112="","",SUMIFS(SummaryHelper!$F$2:$F$5000,SummaryHelper!$A$2:$A$5000,$T112,SummaryHelper!$B$2:$B$5000,$U112,SummaryHelper!$C$2:$C$5000,$V112))</f>
        <v/>
      </c>
      <c r="Z112" s="9" t="str">
        <f>IF($U112="","",SUMIFS(SummaryHelper!$G$2:$G$5000,SummaryHelper!$A$2:$A$5000,$T112,SummaryHelper!$B$2:$B$5000,$U112,SummaryHelper!$C$2:$C$5000,$V112))</f>
        <v/>
      </c>
      <c r="AB112" s="9" t="str">
        <f t="shared" si="20"/>
        <v/>
      </c>
      <c r="AC112" s="9" t="str">
        <f t="shared" si="21"/>
        <v/>
      </c>
      <c r="AH112" t="str">
        <f>IF($AF112="","",IFERROR(SUMIFS(SummaryHelper!$H$2:$H$5000,SummaryHelper!$A$2:$A$5000,$AE112,SummaryHelper!$B$2:$B$5000,$AF112,SummaryHelper!$C$2:$C$5000,$AG112)/SUMIFS(SummaryHelper!$G$2:$G$5000,SummaryHelper!$A$2:$A$5000,$AE112,SummaryHelper!$B$2:$B$5000,$AF112,SummaryHelper!$C$2:$C$5000,$AG112),""))</f>
        <v/>
      </c>
      <c r="AI112" t="str">
        <f>IF($AF112="","",SUMIFS(SummaryHelper!$E$2:$E$5000,SummaryHelper!$A$2:$A$5000,$AE112,SummaryHelper!$B$2:$B$5000,$AF112,SummaryHelper!$C$2:$C$5000,$AG112))</f>
        <v/>
      </c>
      <c r="AJ112" t="str">
        <f>IF($AF112="","",SUMIFS(SummaryHelper!$F$2:$F$5000,SummaryHelper!$A$2:$A$5000,$AE112,SummaryHelper!$B$2:$B$5000,$AF112,SummaryHelper!$C$2:$C$5000,$AG112))</f>
        <v/>
      </c>
      <c r="AK112" t="str">
        <f>IF($AF112="","",SUMIFS(SummaryHelper!$G$2:$G$5000,SummaryHelper!$A$2:$A$5000,$AE112,SummaryHelper!$B$2:$B$5000,$AF112,SummaryHelper!$C$2:$C$5000,$AG112))</f>
        <v/>
      </c>
      <c r="AM112" t="str">
        <f t="shared" si="22"/>
        <v/>
      </c>
      <c r="AN112" t="str">
        <f t="shared" si="23"/>
        <v/>
      </c>
    </row>
    <row r="113" spans="1:40" x14ac:dyDescent="0.25">
      <c r="A113" s="12"/>
      <c r="B113" s="23" t="str">
        <f t="shared" si="24"/>
        <v/>
      </c>
      <c r="C113" s="9" t="str">
        <f t="shared" ca="1" si="13"/>
        <v/>
      </c>
      <c r="D113" s="9" t="str">
        <f t="shared" ca="1" si="14"/>
        <v/>
      </c>
      <c r="E113" s="9" t="str">
        <f t="shared" ca="1" si="15"/>
        <v/>
      </c>
      <c r="F113" s="9" t="str">
        <f t="shared" si="16"/>
        <v/>
      </c>
      <c r="G113" s="9">
        <f t="shared" si="17"/>
        <v>0</v>
      </c>
      <c r="L113" s="9" t="str">
        <f>IF($J113="","",IFERROR(SUMIFS(SummaryHelper!$H$2:$H$5000,SummaryHelper!$A$2:$A$5000,$I113,SummaryHelper!$B$2:$B$5000,$J113,SummaryHelper!$C$2:$C$5000,$K113)/SUMIFS(SummaryHelper!$G$2:$G$5000,SummaryHelper!$A$2:$A$5000,$I113,SummaryHelper!$B$2:$B$5000,$J113,SummaryHelper!$C$2:$C$5000,$K113),""))</f>
        <v/>
      </c>
      <c r="M113" s="9" t="str">
        <f>IF($J113="","",SUMIFS(SummaryHelper!$E$2:$E$5000,SummaryHelper!$A$2:$A$5000,$I113,SummaryHelper!$B$2:$B$5000,$J113,SummaryHelper!$C$2:$C$5000,$K113))</f>
        <v/>
      </c>
      <c r="N113" s="9" t="str">
        <f>IF($J113="","",SUMIFS(SummaryHelper!$F$2:$F$5000,SummaryHelper!$A$2:$A$5000,$I113,SummaryHelper!$B$2:$B$5000,$J113,SummaryHelper!$C$2:$C$5000,$K113))</f>
        <v/>
      </c>
      <c r="O113" s="9" t="str">
        <f>IF($J113="","",SUMIFS(SummaryHelper!$G$2:$G$5000,SummaryHelper!$A$2:$A$5000,$I113,SummaryHelper!$B$2:$B$5000,$J113,SummaryHelper!$C$2:$C$5000,$K113))</f>
        <v/>
      </c>
      <c r="Q113" s="9" t="str">
        <f t="shared" si="18"/>
        <v/>
      </c>
      <c r="R113" s="9" t="str">
        <f t="shared" si="19"/>
        <v/>
      </c>
      <c r="W113" s="9" t="str">
        <f>IF($U113="","",IFERROR(SUMIFS(SummaryHelper!$H$2:$H$5000,SummaryHelper!$A$2:$A$5000,$T113,SummaryHelper!$B$2:$B$5000,$U113,SummaryHelper!$C$2:$C$5000,$V113)/SUMIFS(SummaryHelper!$G$2:$G$5000,SummaryHelper!$A$2:$A$5000,$T113,SummaryHelper!$B$2:$B$5000,$U113,SummaryHelper!$C$2:$C$5000,$V113),""))</f>
        <v/>
      </c>
      <c r="X113" s="9" t="str">
        <f>IF($U113="","",SUMIFS(SummaryHelper!$E$2:$E$5000,SummaryHelper!$A$2:$A$5000,$T113,SummaryHelper!$B$2:$B$5000,$U113,SummaryHelper!$C$2:$C$5000,$V113))</f>
        <v/>
      </c>
      <c r="Y113" s="9" t="str">
        <f>IF($U113="","",SUMIFS(SummaryHelper!$F$2:$F$5000,SummaryHelper!$A$2:$A$5000,$T113,SummaryHelper!$B$2:$B$5000,$U113,SummaryHelper!$C$2:$C$5000,$V113))</f>
        <v/>
      </c>
      <c r="Z113" s="9" t="str">
        <f>IF($U113="","",SUMIFS(SummaryHelper!$G$2:$G$5000,SummaryHelper!$A$2:$A$5000,$T113,SummaryHelper!$B$2:$B$5000,$U113,SummaryHelper!$C$2:$C$5000,$V113))</f>
        <v/>
      </c>
      <c r="AB113" s="9" t="str">
        <f t="shared" si="20"/>
        <v/>
      </c>
      <c r="AC113" s="9" t="str">
        <f t="shared" si="21"/>
        <v/>
      </c>
      <c r="AH113" t="str">
        <f>IF($AF113="","",IFERROR(SUMIFS(SummaryHelper!$H$2:$H$5000,SummaryHelper!$A$2:$A$5000,$AE113,SummaryHelper!$B$2:$B$5000,$AF113,SummaryHelper!$C$2:$C$5000,$AG113)/SUMIFS(SummaryHelper!$G$2:$G$5000,SummaryHelper!$A$2:$A$5000,$AE113,SummaryHelper!$B$2:$B$5000,$AF113,SummaryHelper!$C$2:$C$5000,$AG113),""))</f>
        <v/>
      </c>
      <c r="AI113" t="str">
        <f>IF($AF113="","",SUMIFS(SummaryHelper!$E$2:$E$5000,SummaryHelper!$A$2:$A$5000,$AE113,SummaryHelper!$B$2:$B$5000,$AF113,SummaryHelper!$C$2:$C$5000,$AG113))</f>
        <v/>
      </c>
      <c r="AJ113" t="str">
        <f>IF($AF113="","",SUMIFS(SummaryHelper!$F$2:$F$5000,SummaryHelper!$A$2:$A$5000,$AE113,SummaryHelper!$B$2:$B$5000,$AF113,SummaryHelper!$C$2:$C$5000,$AG113))</f>
        <v/>
      </c>
      <c r="AK113" t="str">
        <f>IF($AF113="","",SUMIFS(SummaryHelper!$G$2:$G$5000,SummaryHelper!$A$2:$A$5000,$AE113,SummaryHelper!$B$2:$B$5000,$AF113,SummaryHelper!$C$2:$C$5000,$AG113))</f>
        <v/>
      </c>
      <c r="AM113" t="str">
        <f t="shared" si="22"/>
        <v/>
      </c>
      <c r="AN113" t="str">
        <f t="shared" si="23"/>
        <v/>
      </c>
    </row>
    <row r="114" spans="1:40" x14ac:dyDescent="0.25">
      <c r="A114" s="12"/>
      <c r="B114" s="23" t="str">
        <f t="shared" si="24"/>
        <v/>
      </c>
      <c r="C114" s="9" t="str">
        <f t="shared" ca="1" si="13"/>
        <v/>
      </c>
      <c r="D114" s="9" t="str">
        <f t="shared" ca="1" si="14"/>
        <v/>
      </c>
      <c r="E114" s="9" t="str">
        <f t="shared" ca="1" si="15"/>
        <v/>
      </c>
      <c r="F114" s="9" t="str">
        <f t="shared" si="16"/>
        <v/>
      </c>
      <c r="G114" s="9">
        <f t="shared" si="17"/>
        <v>0</v>
      </c>
      <c r="L114" s="9" t="str">
        <f>IF($J114="","",IFERROR(SUMIFS(SummaryHelper!$H$2:$H$5000,SummaryHelper!$A$2:$A$5000,$I114,SummaryHelper!$B$2:$B$5000,$J114,SummaryHelper!$C$2:$C$5000,$K114)/SUMIFS(SummaryHelper!$G$2:$G$5000,SummaryHelper!$A$2:$A$5000,$I114,SummaryHelper!$B$2:$B$5000,$J114,SummaryHelper!$C$2:$C$5000,$K114),""))</f>
        <v/>
      </c>
      <c r="M114" s="9" t="str">
        <f>IF($J114="","",SUMIFS(SummaryHelper!$E$2:$E$5000,SummaryHelper!$A$2:$A$5000,$I114,SummaryHelper!$B$2:$B$5000,$J114,SummaryHelper!$C$2:$C$5000,$K114))</f>
        <v/>
      </c>
      <c r="N114" s="9" t="str">
        <f>IF($J114="","",SUMIFS(SummaryHelper!$F$2:$F$5000,SummaryHelper!$A$2:$A$5000,$I114,SummaryHelper!$B$2:$B$5000,$J114,SummaryHelper!$C$2:$C$5000,$K114))</f>
        <v/>
      </c>
      <c r="O114" s="9" t="str">
        <f>IF($J114="","",SUMIFS(SummaryHelper!$G$2:$G$5000,SummaryHelper!$A$2:$A$5000,$I114,SummaryHelper!$B$2:$B$5000,$J114,SummaryHelper!$C$2:$C$5000,$K114))</f>
        <v/>
      </c>
      <c r="Q114" s="9" t="str">
        <f t="shared" si="18"/>
        <v/>
      </c>
      <c r="R114" s="9" t="str">
        <f t="shared" si="19"/>
        <v/>
      </c>
      <c r="W114" s="9" t="str">
        <f>IF($U114="","",IFERROR(SUMIFS(SummaryHelper!$H$2:$H$5000,SummaryHelper!$A$2:$A$5000,$T114,SummaryHelper!$B$2:$B$5000,$U114,SummaryHelper!$C$2:$C$5000,$V114)/SUMIFS(SummaryHelper!$G$2:$G$5000,SummaryHelper!$A$2:$A$5000,$T114,SummaryHelper!$B$2:$B$5000,$U114,SummaryHelper!$C$2:$C$5000,$V114),""))</f>
        <v/>
      </c>
      <c r="X114" s="9" t="str">
        <f>IF($U114="","",SUMIFS(SummaryHelper!$E$2:$E$5000,SummaryHelper!$A$2:$A$5000,$T114,SummaryHelper!$B$2:$B$5000,$U114,SummaryHelper!$C$2:$C$5000,$V114))</f>
        <v/>
      </c>
      <c r="Y114" s="9" t="str">
        <f>IF($U114="","",SUMIFS(SummaryHelper!$F$2:$F$5000,SummaryHelper!$A$2:$A$5000,$T114,SummaryHelper!$B$2:$B$5000,$U114,SummaryHelper!$C$2:$C$5000,$V114))</f>
        <v/>
      </c>
      <c r="Z114" s="9" t="str">
        <f>IF($U114="","",SUMIFS(SummaryHelper!$G$2:$G$5000,SummaryHelper!$A$2:$A$5000,$T114,SummaryHelper!$B$2:$B$5000,$U114,SummaryHelper!$C$2:$C$5000,$V114))</f>
        <v/>
      </c>
      <c r="AB114" s="9" t="str">
        <f t="shared" si="20"/>
        <v/>
      </c>
      <c r="AC114" s="9" t="str">
        <f t="shared" si="21"/>
        <v/>
      </c>
      <c r="AH114" t="str">
        <f>IF($AF114="","",IFERROR(SUMIFS(SummaryHelper!$H$2:$H$5000,SummaryHelper!$A$2:$A$5000,$AE114,SummaryHelper!$B$2:$B$5000,$AF114,SummaryHelper!$C$2:$C$5000,$AG114)/SUMIFS(SummaryHelper!$G$2:$G$5000,SummaryHelper!$A$2:$A$5000,$AE114,SummaryHelper!$B$2:$B$5000,$AF114,SummaryHelper!$C$2:$C$5000,$AG114),""))</f>
        <v/>
      </c>
      <c r="AI114" t="str">
        <f>IF($AF114="","",SUMIFS(SummaryHelper!$E$2:$E$5000,SummaryHelper!$A$2:$A$5000,$AE114,SummaryHelper!$B$2:$B$5000,$AF114,SummaryHelper!$C$2:$C$5000,$AG114))</f>
        <v/>
      </c>
      <c r="AJ114" t="str">
        <f>IF($AF114="","",SUMIFS(SummaryHelper!$F$2:$F$5000,SummaryHelper!$A$2:$A$5000,$AE114,SummaryHelper!$B$2:$B$5000,$AF114,SummaryHelper!$C$2:$C$5000,$AG114))</f>
        <v/>
      </c>
      <c r="AK114" t="str">
        <f>IF($AF114="","",SUMIFS(SummaryHelper!$G$2:$G$5000,SummaryHelper!$A$2:$A$5000,$AE114,SummaryHelper!$B$2:$B$5000,$AF114,SummaryHelper!$C$2:$C$5000,$AG114))</f>
        <v/>
      </c>
      <c r="AM114" t="str">
        <f t="shared" si="22"/>
        <v/>
      </c>
      <c r="AN114" t="str">
        <f t="shared" si="23"/>
        <v/>
      </c>
    </row>
    <row r="115" spans="1:40" x14ac:dyDescent="0.25">
      <c r="A115" s="12"/>
      <c r="B115" s="23" t="str">
        <f t="shared" si="24"/>
        <v/>
      </c>
      <c r="C115" s="9" t="str">
        <f t="shared" ca="1" si="13"/>
        <v/>
      </c>
      <c r="D115" s="9" t="str">
        <f t="shared" ca="1" si="14"/>
        <v/>
      </c>
      <c r="E115" s="9" t="str">
        <f t="shared" ca="1" si="15"/>
        <v/>
      </c>
      <c r="F115" s="9" t="str">
        <f t="shared" si="16"/>
        <v/>
      </c>
      <c r="G115" s="9">
        <f t="shared" si="17"/>
        <v>0</v>
      </c>
      <c r="L115" s="9" t="str">
        <f>IF($J115="","",IFERROR(SUMIFS(SummaryHelper!$H$2:$H$5000,SummaryHelper!$A$2:$A$5000,$I115,SummaryHelper!$B$2:$B$5000,$J115,SummaryHelper!$C$2:$C$5000,$K115)/SUMIFS(SummaryHelper!$G$2:$G$5000,SummaryHelper!$A$2:$A$5000,$I115,SummaryHelper!$B$2:$B$5000,$J115,SummaryHelper!$C$2:$C$5000,$K115),""))</f>
        <v/>
      </c>
      <c r="M115" s="9" t="str">
        <f>IF($J115="","",SUMIFS(SummaryHelper!$E$2:$E$5000,SummaryHelper!$A$2:$A$5000,$I115,SummaryHelper!$B$2:$B$5000,$J115,SummaryHelper!$C$2:$C$5000,$K115))</f>
        <v/>
      </c>
      <c r="N115" s="9" t="str">
        <f>IF($J115="","",SUMIFS(SummaryHelper!$F$2:$F$5000,SummaryHelper!$A$2:$A$5000,$I115,SummaryHelper!$B$2:$B$5000,$J115,SummaryHelper!$C$2:$C$5000,$K115))</f>
        <v/>
      </c>
      <c r="O115" s="9" t="str">
        <f>IF($J115="","",SUMIFS(SummaryHelper!$G$2:$G$5000,SummaryHelper!$A$2:$A$5000,$I115,SummaryHelper!$B$2:$B$5000,$J115,SummaryHelper!$C$2:$C$5000,$K115))</f>
        <v/>
      </c>
      <c r="Q115" s="9" t="str">
        <f t="shared" si="18"/>
        <v/>
      </c>
      <c r="R115" s="9" t="str">
        <f t="shared" si="19"/>
        <v/>
      </c>
      <c r="W115" s="9" t="str">
        <f>IF($U115="","",IFERROR(SUMIFS(SummaryHelper!$H$2:$H$5000,SummaryHelper!$A$2:$A$5000,$T115,SummaryHelper!$B$2:$B$5000,$U115,SummaryHelper!$C$2:$C$5000,$V115)/SUMIFS(SummaryHelper!$G$2:$G$5000,SummaryHelper!$A$2:$A$5000,$T115,SummaryHelper!$B$2:$B$5000,$U115,SummaryHelper!$C$2:$C$5000,$V115),""))</f>
        <v/>
      </c>
      <c r="X115" s="9" t="str">
        <f>IF($U115="","",SUMIFS(SummaryHelper!$E$2:$E$5000,SummaryHelper!$A$2:$A$5000,$T115,SummaryHelper!$B$2:$B$5000,$U115,SummaryHelper!$C$2:$C$5000,$V115))</f>
        <v/>
      </c>
      <c r="Y115" s="9" t="str">
        <f>IF($U115="","",SUMIFS(SummaryHelper!$F$2:$F$5000,SummaryHelper!$A$2:$A$5000,$T115,SummaryHelper!$B$2:$B$5000,$U115,SummaryHelper!$C$2:$C$5000,$V115))</f>
        <v/>
      </c>
      <c r="Z115" s="9" t="str">
        <f>IF($U115="","",SUMIFS(SummaryHelper!$G$2:$G$5000,SummaryHelper!$A$2:$A$5000,$T115,SummaryHelper!$B$2:$B$5000,$U115,SummaryHelper!$C$2:$C$5000,$V115))</f>
        <v/>
      </c>
      <c r="AB115" s="9" t="str">
        <f t="shared" si="20"/>
        <v/>
      </c>
      <c r="AC115" s="9" t="str">
        <f t="shared" si="21"/>
        <v/>
      </c>
      <c r="AH115" t="str">
        <f>IF($AF115="","",IFERROR(SUMIFS(SummaryHelper!$H$2:$H$5000,SummaryHelper!$A$2:$A$5000,$AE115,SummaryHelper!$B$2:$B$5000,$AF115,SummaryHelper!$C$2:$C$5000,$AG115)/SUMIFS(SummaryHelper!$G$2:$G$5000,SummaryHelper!$A$2:$A$5000,$AE115,SummaryHelper!$B$2:$B$5000,$AF115,SummaryHelper!$C$2:$C$5000,$AG115),""))</f>
        <v/>
      </c>
      <c r="AI115" t="str">
        <f>IF($AF115="","",SUMIFS(SummaryHelper!$E$2:$E$5000,SummaryHelper!$A$2:$A$5000,$AE115,SummaryHelper!$B$2:$B$5000,$AF115,SummaryHelper!$C$2:$C$5000,$AG115))</f>
        <v/>
      </c>
      <c r="AJ115" t="str">
        <f>IF($AF115="","",SUMIFS(SummaryHelper!$F$2:$F$5000,SummaryHelper!$A$2:$A$5000,$AE115,SummaryHelper!$B$2:$B$5000,$AF115,SummaryHelper!$C$2:$C$5000,$AG115))</f>
        <v/>
      </c>
      <c r="AK115" t="str">
        <f>IF($AF115="","",SUMIFS(SummaryHelper!$G$2:$G$5000,SummaryHelper!$A$2:$A$5000,$AE115,SummaryHelper!$B$2:$B$5000,$AF115,SummaryHelper!$C$2:$C$5000,$AG115))</f>
        <v/>
      </c>
      <c r="AM115" t="str">
        <f t="shared" si="22"/>
        <v/>
      </c>
      <c r="AN115" t="str">
        <f t="shared" si="23"/>
        <v/>
      </c>
    </row>
    <row r="116" spans="1:40" x14ac:dyDescent="0.25">
      <c r="A116" s="12"/>
      <c r="B116" s="23" t="str">
        <f t="shared" si="24"/>
        <v/>
      </c>
      <c r="C116" s="9" t="str">
        <f t="shared" ca="1" si="13"/>
        <v/>
      </c>
      <c r="D116" s="9" t="str">
        <f t="shared" ca="1" si="14"/>
        <v/>
      </c>
      <c r="E116" s="9" t="str">
        <f t="shared" ca="1" si="15"/>
        <v/>
      </c>
      <c r="F116" s="9" t="str">
        <f t="shared" si="16"/>
        <v/>
      </c>
      <c r="G116" s="9">
        <f t="shared" si="17"/>
        <v>0</v>
      </c>
      <c r="L116" s="9" t="str">
        <f>IF($J116="","",IFERROR(SUMIFS(SummaryHelper!$H$2:$H$5000,SummaryHelper!$A$2:$A$5000,$I116,SummaryHelper!$B$2:$B$5000,$J116,SummaryHelper!$C$2:$C$5000,$K116)/SUMIFS(SummaryHelper!$G$2:$G$5000,SummaryHelper!$A$2:$A$5000,$I116,SummaryHelper!$B$2:$B$5000,$J116,SummaryHelper!$C$2:$C$5000,$K116),""))</f>
        <v/>
      </c>
      <c r="M116" s="9" t="str">
        <f>IF($J116="","",SUMIFS(SummaryHelper!$E$2:$E$5000,SummaryHelper!$A$2:$A$5000,$I116,SummaryHelper!$B$2:$B$5000,$J116,SummaryHelper!$C$2:$C$5000,$K116))</f>
        <v/>
      </c>
      <c r="N116" s="9" t="str">
        <f>IF($J116="","",SUMIFS(SummaryHelper!$F$2:$F$5000,SummaryHelper!$A$2:$A$5000,$I116,SummaryHelper!$B$2:$B$5000,$J116,SummaryHelper!$C$2:$C$5000,$K116))</f>
        <v/>
      </c>
      <c r="O116" s="9" t="str">
        <f>IF($J116="","",SUMIFS(SummaryHelper!$G$2:$G$5000,SummaryHelper!$A$2:$A$5000,$I116,SummaryHelper!$B$2:$B$5000,$J116,SummaryHelper!$C$2:$C$5000,$K116))</f>
        <v/>
      </c>
      <c r="Q116" s="9" t="str">
        <f t="shared" si="18"/>
        <v/>
      </c>
      <c r="R116" s="9" t="str">
        <f t="shared" si="19"/>
        <v/>
      </c>
      <c r="W116" s="9" t="str">
        <f>IF($U116="","",IFERROR(SUMIFS(SummaryHelper!$H$2:$H$5000,SummaryHelper!$A$2:$A$5000,$T116,SummaryHelper!$B$2:$B$5000,$U116,SummaryHelper!$C$2:$C$5000,$V116)/SUMIFS(SummaryHelper!$G$2:$G$5000,SummaryHelper!$A$2:$A$5000,$T116,SummaryHelper!$B$2:$B$5000,$U116,SummaryHelper!$C$2:$C$5000,$V116),""))</f>
        <v/>
      </c>
      <c r="X116" s="9" t="str">
        <f>IF($U116="","",SUMIFS(SummaryHelper!$E$2:$E$5000,SummaryHelper!$A$2:$A$5000,$T116,SummaryHelper!$B$2:$B$5000,$U116,SummaryHelper!$C$2:$C$5000,$V116))</f>
        <v/>
      </c>
      <c r="Y116" s="9" t="str">
        <f>IF($U116="","",SUMIFS(SummaryHelper!$F$2:$F$5000,SummaryHelper!$A$2:$A$5000,$T116,SummaryHelper!$B$2:$B$5000,$U116,SummaryHelper!$C$2:$C$5000,$V116))</f>
        <v/>
      </c>
      <c r="Z116" s="9" t="str">
        <f>IF($U116="","",SUMIFS(SummaryHelper!$G$2:$G$5000,SummaryHelper!$A$2:$A$5000,$T116,SummaryHelper!$B$2:$B$5000,$U116,SummaryHelper!$C$2:$C$5000,$V116))</f>
        <v/>
      </c>
      <c r="AB116" s="9" t="str">
        <f t="shared" si="20"/>
        <v/>
      </c>
      <c r="AC116" s="9" t="str">
        <f t="shared" si="21"/>
        <v/>
      </c>
      <c r="AH116" t="str">
        <f>IF($AF116="","",IFERROR(SUMIFS(SummaryHelper!$H$2:$H$5000,SummaryHelper!$A$2:$A$5000,$AE116,SummaryHelper!$B$2:$B$5000,$AF116,SummaryHelper!$C$2:$C$5000,$AG116)/SUMIFS(SummaryHelper!$G$2:$G$5000,SummaryHelper!$A$2:$A$5000,$AE116,SummaryHelper!$B$2:$B$5000,$AF116,SummaryHelper!$C$2:$C$5000,$AG116),""))</f>
        <v/>
      </c>
      <c r="AI116" t="str">
        <f>IF($AF116="","",SUMIFS(SummaryHelper!$E$2:$E$5000,SummaryHelper!$A$2:$A$5000,$AE116,SummaryHelper!$B$2:$B$5000,$AF116,SummaryHelper!$C$2:$C$5000,$AG116))</f>
        <v/>
      </c>
      <c r="AJ116" t="str">
        <f>IF($AF116="","",SUMIFS(SummaryHelper!$F$2:$F$5000,SummaryHelper!$A$2:$A$5000,$AE116,SummaryHelper!$B$2:$B$5000,$AF116,SummaryHelper!$C$2:$C$5000,$AG116))</f>
        <v/>
      </c>
      <c r="AK116" t="str">
        <f>IF($AF116="","",SUMIFS(SummaryHelper!$G$2:$G$5000,SummaryHelper!$A$2:$A$5000,$AE116,SummaryHelper!$B$2:$B$5000,$AF116,SummaryHelper!$C$2:$C$5000,$AG116))</f>
        <v/>
      </c>
      <c r="AM116" t="str">
        <f t="shared" si="22"/>
        <v/>
      </c>
      <c r="AN116" t="str">
        <f t="shared" si="23"/>
        <v/>
      </c>
    </row>
    <row r="117" spans="1:40" x14ac:dyDescent="0.25">
      <c r="A117" s="12"/>
      <c r="B117" s="23" t="str">
        <f t="shared" si="24"/>
        <v/>
      </c>
      <c r="C117" s="9" t="str">
        <f t="shared" ca="1" si="13"/>
        <v/>
      </c>
      <c r="D117" s="9" t="str">
        <f t="shared" ca="1" si="14"/>
        <v/>
      </c>
      <c r="E117" s="9" t="str">
        <f t="shared" ca="1" si="15"/>
        <v/>
      </c>
      <c r="F117" s="9" t="str">
        <f t="shared" si="16"/>
        <v/>
      </c>
      <c r="G117" s="9">
        <f t="shared" si="17"/>
        <v>0</v>
      </c>
      <c r="L117" s="9" t="str">
        <f>IF($J117="","",IFERROR(SUMIFS(SummaryHelper!$H$2:$H$5000,SummaryHelper!$A$2:$A$5000,$I117,SummaryHelper!$B$2:$B$5000,$J117,SummaryHelper!$C$2:$C$5000,$K117)/SUMIFS(SummaryHelper!$G$2:$G$5000,SummaryHelper!$A$2:$A$5000,$I117,SummaryHelper!$B$2:$B$5000,$J117,SummaryHelper!$C$2:$C$5000,$K117),""))</f>
        <v/>
      </c>
      <c r="M117" s="9" t="str">
        <f>IF($J117="","",SUMIFS(SummaryHelper!$E$2:$E$5000,SummaryHelper!$A$2:$A$5000,$I117,SummaryHelper!$B$2:$B$5000,$J117,SummaryHelper!$C$2:$C$5000,$K117))</f>
        <v/>
      </c>
      <c r="N117" s="9" t="str">
        <f>IF($J117="","",SUMIFS(SummaryHelper!$F$2:$F$5000,SummaryHelper!$A$2:$A$5000,$I117,SummaryHelper!$B$2:$B$5000,$J117,SummaryHelper!$C$2:$C$5000,$K117))</f>
        <v/>
      </c>
      <c r="O117" s="9" t="str">
        <f>IF($J117="","",SUMIFS(SummaryHelper!$G$2:$G$5000,SummaryHelper!$A$2:$A$5000,$I117,SummaryHelper!$B$2:$B$5000,$J117,SummaryHelper!$C$2:$C$5000,$K117))</f>
        <v/>
      </c>
      <c r="Q117" s="9" t="str">
        <f t="shared" si="18"/>
        <v/>
      </c>
      <c r="R117" s="9" t="str">
        <f t="shared" si="19"/>
        <v/>
      </c>
      <c r="W117" s="9" t="str">
        <f>IF($U117="","",IFERROR(SUMIFS(SummaryHelper!$H$2:$H$5000,SummaryHelper!$A$2:$A$5000,$T117,SummaryHelper!$B$2:$B$5000,$U117,SummaryHelper!$C$2:$C$5000,$V117)/SUMIFS(SummaryHelper!$G$2:$G$5000,SummaryHelper!$A$2:$A$5000,$T117,SummaryHelper!$B$2:$B$5000,$U117,SummaryHelper!$C$2:$C$5000,$V117),""))</f>
        <v/>
      </c>
      <c r="X117" s="9" t="str">
        <f>IF($U117="","",SUMIFS(SummaryHelper!$E$2:$E$5000,SummaryHelper!$A$2:$A$5000,$T117,SummaryHelper!$B$2:$B$5000,$U117,SummaryHelper!$C$2:$C$5000,$V117))</f>
        <v/>
      </c>
      <c r="Y117" s="9" t="str">
        <f>IF($U117="","",SUMIFS(SummaryHelper!$F$2:$F$5000,SummaryHelper!$A$2:$A$5000,$T117,SummaryHelper!$B$2:$B$5000,$U117,SummaryHelper!$C$2:$C$5000,$V117))</f>
        <v/>
      </c>
      <c r="Z117" s="9" t="str">
        <f>IF($U117="","",SUMIFS(SummaryHelper!$G$2:$G$5000,SummaryHelper!$A$2:$A$5000,$T117,SummaryHelper!$B$2:$B$5000,$U117,SummaryHelper!$C$2:$C$5000,$V117))</f>
        <v/>
      </c>
      <c r="AB117" s="9" t="str">
        <f t="shared" si="20"/>
        <v/>
      </c>
      <c r="AC117" s="9" t="str">
        <f t="shared" si="21"/>
        <v/>
      </c>
      <c r="AH117" t="str">
        <f>IF($AF117="","",IFERROR(SUMIFS(SummaryHelper!$H$2:$H$5000,SummaryHelper!$A$2:$A$5000,$AE117,SummaryHelper!$B$2:$B$5000,$AF117,SummaryHelper!$C$2:$C$5000,$AG117)/SUMIFS(SummaryHelper!$G$2:$G$5000,SummaryHelper!$A$2:$A$5000,$AE117,SummaryHelper!$B$2:$B$5000,$AF117,SummaryHelper!$C$2:$C$5000,$AG117),""))</f>
        <v/>
      </c>
      <c r="AI117" t="str">
        <f>IF($AF117="","",SUMIFS(SummaryHelper!$E$2:$E$5000,SummaryHelper!$A$2:$A$5000,$AE117,SummaryHelper!$B$2:$B$5000,$AF117,SummaryHelper!$C$2:$C$5000,$AG117))</f>
        <v/>
      </c>
      <c r="AJ117" t="str">
        <f>IF($AF117="","",SUMIFS(SummaryHelper!$F$2:$F$5000,SummaryHelper!$A$2:$A$5000,$AE117,SummaryHelper!$B$2:$B$5000,$AF117,SummaryHelper!$C$2:$C$5000,$AG117))</f>
        <v/>
      </c>
      <c r="AK117" t="str">
        <f>IF($AF117="","",SUMIFS(SummaryHelper!$G$2:$G$5000,SummaryHelper!$A$2:$A$5000,$AE117,SummaryHelper!$B$2:$B$5000,$AF117,SummaryHelper!$C$2:$C$5000,$AG117))</f>
        <v/>
      </c>
      <c r="AM117" t="str">
        <f t="shared" si="22"/>
        <v/>
      </c>
      <c r="AN117" t="str">
        <f t="shared" si="23"/>
        <v/>
      </c>
    </row>
    <row r="118" spans="1:40" x14ac:dyDescent="0.25">
      <c r="A118" s="12"/>
      <c r="B118" s="23" t="str">
        <f t="shared" si="24"/>
        <v/>
      </c>
      <c r="C118" s="9" t="str">
        <f t="shared" ca="1" si="13"/>
        <v/>
      </c>
      <c r="D118" s="9" t="str">
        <f t="shared" ca="1" si="14"/>
        <v/>
      </c>
      <c r="E118" s="9" t="str">
        <f t="shared" ca="1" si="15"/>
        <v/>
      </c>
      <c r="F118" s="9" t="str">
        <f t="shared" si="16"/>
        <v/>
      </c>
      <c r="G118" s="9">
        <f t="shared" si="17"/>
        <v>0</v>
      </c>
      <c r="L118" s="9" t="str">
        <f>IF($J118="","",IFERROR(SUMIFS(SummaryHelper!$H$2:$H$5000,SummaryHelper!$A$2:$A$5000,$I118,SummaryHelper!$B$2:$B$5000,$J118,SummaryHelper!$C$2:$C$5000,$K118)/SUMIFS(SummaryHelper!$G$2:$G$5000,SummaryHelper!$A$2:$A$5000,$I118,SummaryHelper!$B$2:$B$5000,$J118,SummaryHelper!$C$2:$C$5000,$K118),""))</f>
        <v/>
      </c>
      <c r="M118" s="9" t="str">
        <f>IF($J118="","",SUMIFS(SummaryHelper!$E$2:$E$5000,SummaryHelper!$A$2:$A$5000,$I118,SummaryHelper!$B$2:$B$5000,$J118,SummaryHelper!$C$2:$C$5000,$K118))</f>
        <v/>
      </c>
      <c r="N118" s="9" t="str">
        <f>IF($J118="","",SUMIFS(SummaryHelper!$F$2:$F$5000,SummaryHelper!$A$2:$A$5000,$I118,SummaryHelper!$B$2:$B$5000,$J118,SummaryHelper!$C$2:$C$5000,$K118))</f>
        <v/>
      </c>
      <c r="O118" s="9" t="str">
        <f>IF($J118="","",SUMIFS(SummaryHelper!$G$2:$G$5000,SummaryHelper!$A$2:$A$5000,$I118,SummaryHelper!$B$2:$B$5000,$J118,SummaryHelper!$C$2:$C$5000,$K118))</f>
        <v/>
      </c>
      <c r="Q118" s="9" t="str">
        <f t="shared" si="18"/>
        <v/>
      </c>
      <c r="R118" s="9" t="str">
        <f t="shared" si="19"/>
        <v/>
      </c>
      <c r="W118" s="9" t="str">
        <f>IF($U118="","",IFERROR(SUMIFS(SummaryHelper!$H$2:$H$5000,SummaryHelper!$A$2:$A$5000,$T118,SummaryHelper!$B$2:$B$5000,$U118,SummaryHelper!$C$2:$C$5000,$V118)/SUMIFS(SummaryHelper!$G$2:$G$5000,SummaryHelper!$A$2:$A$5000,$T118,SummaryHelper!$B$2:$B$5000,$U118,SummaryHelper!$C$2:$C$5000,$V118),""))</f>
        <v/>
      </c>
      <c r="X118" s="9" t="str">
        <f>IF($U118="","",SUMIFS(SummaryHelper!$E$2:$E$5000,SummaryHelper!$A$2:$A$5000,$T118,SummaryHelper!$B$2:$B$5000,$U118,SummaryHelper!$C$2:$C$5000,$V118))</f>
        <v/>
      </c>
      <c r="Y118" s="9" t="str">
        <f>IF($U118="","",SUMIFS(SummaryHelper!$F$2:$F$5000,SummaryHelper!$A$2:$A$5000,$T118,SummaryHelper!$B$2:$B$5000,$U118,SummaryHelper!$C$2:$C$5000,$V118))</f>
        <v/>
      </c>
      <c r="Z118" s="9" t="str">
        <f>IF($U118="","",SUMIFS(SummaryHelper!$G$2:$G$5000,SummaryHelper!$A$2:$A$5000,$T118,SummaryHelper!$B$2:$B$5000,$U118,SummaryHelper!$C$2:$C$5000,$V118))</f>
        <v/>
      </c>
      <c r="AB118" s="9" t="str">
        <f t="shared" si="20"/>
        <v/>
      </c>
      <c r="AC118" s="9" t="str">
        <f t="shared" si="21"/>
        <v/>
      </c>
      <c r="AH118" t="str">
        <f>IF($AF118="","",IFERROR(SUMIFS(SummaryHelper!$H$2:$H$5000,SummaryHelper!$A$2:$A$5000,$AE118,SummaryHelper!$B$2:$B$5000,$AF118,SummaryHelper!$C$2:$C$5000,$AG118)/SUMIFS(SummaryHelper!$G$2:$G$5000,SummaryHelper!$A$2:$A$5000,$AE118,SummaryHelper!$B$2:$B$5000,$AF118,SummaryHelper!$C$2:$C$5000,$AG118),""))</f>
        <v/>
      </c>
      <c r="AI118" t="str">
        <f>IF($AF118="","",SUMIFS(SummaryHelper!$E$2:$E$5000,SummaryHelper!$A$2:$A$5000,$AE118,SummaryHelper!$B$2:$B$5000,$AF118,SummaryHelper!$C$2:$C$5000,$AG118))</f>
        <v/>
      </c>
      <c r="AJ118" t="str">
        <f>IF($AF118="","",SUMIFS(SummaryHelper!$F$2:$F$5000,SummaryHelper!$A$2:$A$5000,$AE118,SummaryHelper!$B$2:$B$5000,$AF118,SummaryHelper!$C$2:$C$5000,$AG118))</f>
        <v/>
      </c>
      <c r="AK118" t="str">
        <f>IF($AF118="","",SUMIFS(SummaryHelper!$G$2:$G$5000,SummaryHelper!$A$2:$A$5000,$AE118,SummaryHelper!$B$2:$B$5000,$AF118,SummaryHelper!$C$2:$C$5000,$AG118))</f>
        <v/>
      </c>
      <c r="AM118" t="str">
        <f t="shared" si="22"/>
        <v/>
      </c>
      <c r="AN118" t="str">
        <f t="shared" si="23"/>
        <v/>
      </c>
    </row>
    <row r="119" spans="1:40" x14ac:dyDescent="0.25">
      <c r="A119" s="12"/>
      <c r="B119" s="23" t="str">
        <f t="shared" si="24"/>
        <v/>
      </c>
      <c r="C119" s="9" t="str">
        <f t="shared" ca="1" si="13"/>
        <v/>
      </c>
      <c r="D119" s="9" t="str">
        <f t="shared" ca="1" si="14"/>
        <v/>
      </c>
      <c r="E119" s="9" t="str">
        <f t="shared" ca="1" si="15"/>
        <v/>
      </c>
      <c r="F119" s="9" t="str">
        <f t="shared" si="16"/>
        <v/>
      </c>
      <c r="G119" s="9">
        <f t="shared" si="17"/>
        <v>0</v>
      </c>
      <c r="L119" s="9" t="str">
        <f>IF($J119="","",IFERROR(SUMIFS(SummaryHelper!$H$2:$H$5000,SummaryHelper!$A$2:$A$5000,$I119,SummaryHelper!$B$2:$B$5000,$J119,SummaryHelper!$C$2:$C$5000,$K119)/SUMIFS(SummaryHelper!$G$2:$G$5000,SummaryHelper!$A$2:$A$5000,$I119,SummaryHelper!$B$2:$B$5000,$J119,SummaryHelper!$C$2:$C$5000,$K119),""))</f>
        <v/>
      </c>
      <c r="M119" s="9" t="str">
        <f>IF($J119="","",SUMIFS(SummaryHelper!$E$2:$E$5000,SummaryHelper!$A$2:$A$5000,$I119,SummaryHelper!$B$2:$B$5000,$J119,SummaryHelper!$C$2:$C$5000,$K119))</f>
        <v/>
      </c>
      <c r="N119" s="9" t="str">
        <f>IF($J119="","",SUMIFS(SummaryHelper!$F$2:$F$5000,SummaryHelper!$A$2:$A$5000,$I119,SummaryHelper!$B$2:$B$5000,$J119,SummaryHelper!$C$2:$C$5000,$K119))</f>
        <v/>
      </c>
      <c r="O119" s="9" t="str">
        <f>IF($J119="","",SUMIFS(SummaryHelper!$G$2:$G$5000,SummaryHelper!$A$2:$A$5000,$I119,SummaryHelper!$B$2:$B$5000,$J119,SummaryHelper!$C$2:$C$5000,$K119))</f>
        <v/>
      </c>
      <c r="Q119" s="9" t="str">
        <f t="shared" si="18"/>
        <v/>
      </c>
      <c r="R119" s="9" t="str">
        <f t="shared" si="19"/>
        <v/>
      </c>
      <c r="W119" s="9" t="str">
        <f>IF($U119="","",IFERROR(SUMIFS(SummaryHelper!$H$2:$H$5000,SummaryHelper!$A$2:$A$5000,$T119,SummaryHelper!$B$2:$B$5000,$U119,SummaryHelper!$C$2:$C$5000,$V119)/SUMIFS(SummaryHelper!$G$2:$G$5000,SummaryHelper!$A$2:$A$5000,$T119,SummaryHelper!$B$2:$B$5000,$U119,SummaryHelper!$C$2:$C$5000,$V119),""))</f>
        <v/>
      </c>
      <c r="X119" s="9" t="str">
        <f>IF($U119="","",SUMIFS(SummaryHelper!$E$2:$E$5000,SummaryHelper!$A$2:$A$5000,$T119,SummaryHelper!$B$2:$B$5000,$U119,SummaryHelper!$C$2:$C$5000,$V119))</f>
        <v/>
      </c>
      <c r="Y119" s="9" t="str">
        <f>IF($U119="","",SUMIFS(SummaryHelper!$F$2:$F$5000,SummaryHelper!$A$2:$A$5000,$T119,SummaryHelper!$B$2:$B$5000,$U119,SummaryHelper!$C$2:$C$5000,$V119))</f>
        <v/>
      </c>
      <c r="Z119" s="9" t="str">
        <f>IF($U119="","",SUMIFS(SummaryHelper!$G$2:$G$5000,SummaryHelper!$A$2:$A$5000,$T119,SummaryHelper!$B$2:$B$5000,$U119,SummaryHelper!$C$2:$C$5000,$V119))</f>
        <v/>
      </c>
      <c r="AB119" s="9" t="str">
        <f t="shared" si="20"/>
        <v/>
      </c>
      <c r="AC119" s="9" t="str">
        <f t="shared" si="21"/>
        <v/>
      </c>
      <c r="AH119" t="str">
        <f>IF($AF119="","",IFERROR(SUMIFS(SummaryHelper!$H$2:$H$5000,SummaryHelper!$A$2:$A$5000,$AE119,SummaryHelper!$B$2:$B$5000,$AF119,SummaryHelper!$C$2:$C$5000,$AG119)/SUMIFS(SummaryHelper!$G$2:$G$5000,SummaryHelper!$A$2:$A$5000,$AE119,SummaryHelper!$B$2:$B$5000,$AF119,SummaryHelper!$C$2:$C$5000,$AG119),""))</f>
        <v/>
      </c>
      <c r="AI119" t="str">
        <f>IF($AF119="","",SUMIFS(SummaryHelper!$E$2:$E$5000,SummaryHelper!$A$2:$A$5000,$AE119,SummaryHelper!$B$2:$B$5000,$AF119,SummaryHelper!$C$2:$C$5000,$AG119))</f>
        <v/>
      </c>
      <c r="AJ119" t="str">
        <f>IF($AF119="","",SUMIFS(SummaryHelper!$F$2:$F$5000,SummaryHelper!$A$2:$A$5000,$AE119,SummaryHelper!$B$2:$B$5000,$AF119,SummaryHelper!$C$2:$C$5000,$AG119))</f>
        <v/>
      </c>
      <c r="AK119" t="str">
        <f>IF($AF119="","",SUMIFS(SummaryHelper!$G$2:$G$5000,SummaryHelper!$A$2:$A$5000,$AE119,SummaryHelper!$B$2:$B$5000,$AF119,SummaryHelper!$C$2:$C$5000,$AG119))</f>
        <v/>
      </c>
      <c r="AM119" t="str">
        <f t="shared" si="22"/>
        <v/>
      </c>
      <c r="AN119" t="str">
        <f t="shared" si="23"/>
        <v/>
      </c>
    </row>
    <row r="120" spans="1:40" x14ac:dyDescent="0.25">
      <c r="A120" s="12"/>
      <c r="B120" s="23" t="str">
        <f t="shared" si="24"/>
        <v/>
      </c>
      <c r="C120" s="9" t="str">
        <f t="shared" ca="1" si="13"/>
        <v/>
      </c>
      <c r="D120" s="9" t="str">
        <f t="shared" ca="1" si="14"/>
        <v/>
      </c>
      <c r="E120" s="9" t="str">
        <f t="shared" ca="1" si="15"/>
        <v/>
      </c>
      <c r="F120" s="9" t="str">
        <f t="shared" si="16"/>
        <v/>
      </c>
      <c r="G120" s="9">
        <f t="shared" si="17"/>
        <v>0</v>
      </c>
      <c r="L120" s="9" t="str">
        <f>IF($J120="","",IFERROR(SUMIFS(SummaryHelper!$H$2:$H$5000,SummaryHelper!$A$2:$A$5000,$I120,SummaryHelper!$B$2:$B$5000,$J120,SummaryHelper!$C$2:$C$5000,$K120)/SUMIFS(SummaryHelper!$G$2:$G$5000,SummaryHelper!$A$2:$A$5000,$I120,SummaryHelper!$B$2:$B$5000,$J120,SummaryHelper!$C$2:$C$5000,$K120),""))</f>
        <v/>
      </c>
      <c r="M120" s="9" t="str">
        <f>IF($J120="","",SUMIFS(SummaryHelper!$E$2:$E$5000,SummaryHelper!$A$2:$A$5000,$I120,SummaryHelper!$B$2:$B$5000,$J120,SummaryHelper!$C$2:$C$5000,$K120))</f>
        <v/>
      </c>
      <c r="N120" s="9" t="str">
        <f>IF($J120="","",SUMIFS(SummaryHelper!$F$2:$F$5000,SummaryHelper!$A$2:$A$5000,$I120,SummaryHelper!$B$2:$B$5000,$J120,SummaryHelper!$C$2:$C$5000,$K120))</f>
        <v/>
      </c>
      <c r="O120" s="9" t="str">
        <f>IF($J120="","",SUMIFS(SummaryHelper!$G$2:$G$5000,SummaryHelper!$A$2:$A$5000,$I120,SummaryHelper!$B$2:$B$5000,$J120,SummaryHelper!$C$2:$C$5000,$K120))</f>
        <v/>
      </c>
      <c r="Q120" s="9" t="str">
        <f t="shared" si="18"/>
        <v/>
      </c>
      <c r="R120" s="9" t="str">
        <f t="shared" si="19"/>
        <v/>
      </c>
      <c r="W120" s="9" t="str">
        <f>IF($U120="","",IFERROR(SUMIFS(SummaryHelper!$H$2:$H$5000,SummaryHelper!$A$2:$A$5000,$T120,SummaryHelper!$B$2:$B$5000,$U120,SummaryHelper!$C$2:$C$5000,$V120)/SUMIFS(SummaryHelper!$G$2:$G$5000,SummaryHelper!$A$2:$A$5000,$T120,SummaryHelper!$B$2:$B$5000,$U120,SummaryHelper!$C$2:$C$5000,$V120),""))</f>
        <v/>
      </c>
      <c r="X120" s="9" t="str">
        <f>IF($U120="","",SUMIFS(SummaryHelper!$E$2:$E$5000,SummaryHelper!$A$2:$A$5000,$T120,SummaryHelper!$B$2:$B$5000,$U120,SummaryHelper!$C$2:$C$5000,$V120))</f>
        <v/>
      </c>
      <c r="Y120" s="9" t="str">
        <f>IF($U120="","",SUMIFS(SummaryHelper!$F$2:$F$5000,SummaryHelper!$A$2:$A$5000,$T120,SummaryHelper!$B$2:$B$5000,$U120,SummaryHelper!$C$2:$C$5000,$V120))</f>
        <v/>
      </c>
      <c r="Z120" s="9" t="str">
        <f>IF($U120="","",SUMIFS(SummaryHelper!$G$2:$G$5000,SummaryHelper!$A$2:$A$5000,$T120,SummaryHelper!$B$2:$B$5000,$U120,SummaryHelper!$C$2:$C$5000,$V120))</f>
        <v/>
      </c>
      <c r="AB120" s="9" t="str">
        <f t="shared" si="20"/>
        <v/>
      </c>
      <c r="AC120" s="9" t="str">
        <f t="shared" si="21"/>
        <v/>
      </c>
      <c r="AH120" t="str">
        <f>IF($AF120="","",IFERROR(SUMIFS(SummaryHelper!$H$2:$H$5000,SummaryHelper!$A$2:$A$5000,$AE120,SummaryHelper!$B$2:$B$5000,$AF120,SummaryHelper!$C$2:$C$5000,$AG120)/SUMIFS(SummaryHelper!$G$2:$G$5000,SummaryHelper!$A$2:$A$5000,$AE120,SummaryHelper!$B$2:$B$5000,$AF120,SummaryHelper!$C$2:$C$5000,$AG120),""))</f>
        <v/>
      </c>
      <c r="AI120" t="str">
        <f>IF($AF120="","",SUMIFS(SummaryHelper!$E$2:$E$5000,SummaryHelper!$A$2:$A$5000,$AE120,SummaryHelper!$B$2:$B$5000,$AF120,SummaryHelper!$C$2:$C$5000,$AG120))</f>
        <v/>
      </c>
      <c r="AJ120" t="str">
        <f>IF($AF120="","",SUMIFS(SummaryHelper!$F$2:$F$5000,SummaryHelper!$A$2:$A$5000,$AE120,SummaryHelper!$B$2:$B$5000,$AF120,SummaryHelper!$C$2:$C$5000,$AG120))</f>
        <v/>
      </c>
      <c r="AK120" t="str">
        <f>IF($AF120="","",SUMIFS(SummaryHelper!$G$2:$G$5000,SummaryHelper!$A$2:$A$5000,$AE120,SummaryHelper!$B$2:$B$5000,$AF120,SummaryHelper!$C$2:$C$5000,$AG120))</f>
        <v/>
      </c>
      <c r="AM120" t="str">
        <f t="shared" si="22"/>
        <v/>
      </c>
      <c r="AN120" t="str">
        <f t="shared" si="23"/>
        <v/>
      </c>
    </row>
    <row r="121" spans="1:40" x14ac:dyDescent="0.25">
      <c r="A121" s="12"/>
      <c r="B121" s="23" t="str">
        <f t="shared" si="24"/>
        <v/>
      </c>
      <c r="C121" s="9" t="str">
        <f t="shared" ca="1" si="13"/>
        <v/>
      </c>
      <c r="D121" s="9" t="str">
        <f t="shared" ca="1" si="14"/>
        <v/>
      </c>
      <c r="E121" s="9" t="str">
        <f t="shared" ca="1" si="15"/>
        <v/>
      </c>
      <c r="F121" s="9" t="str">
        <f t="shared" si="16"/>
        <v/>
      </c>
      <c r="G121" s="9">
        <f t="shared" si="17"/>
        <v>0</v>
      </c>
      <c r="L121" s="9" t="str">
        <f>IF($J121="","",IFERROR(SUMIFS(SummaryHelper!$H$2:$H$5000,SummaryHelper!$A$2:$A$5000,$I121,SummaryHelper!$B$2:$B$5000,$J121,SummaryHelper!$C$2:$C$5000,$K121)/SUMIFS(SummaryHelper!$G$2:$G$5000,SummaryHelper!$A$2:$A$5000,$I121,SummaryHelper!$B$2:$B$5000,$J121,SummaryHelper!$C$2:$C$5000,$K121),""))</f>
        <v/>
      </c>
      <c r="M121" s="9" t="str">
        <f>IF($J121="","",SUMIFS(SummaryHelper!$E$2:$E$5000,SummaryHelper!$A$2:$A$5000,$I121,SummaryHelper!$B$2:$B$5000,$J121,SummaryHelper!$C$2:$C$5000,$K121))</f>
        <v/>
      </c>
      <c r="N121" s="9" t="str">
        <f>IF($J121="","",SUMIFS(SummaryHelper!$F$2:$F$5000,SummaryHelper!$A$2:$A$5000,$I121,SummaryHelper!$B$2:$B$5000,$J121,SummaryHelper!$C$2:$C$5000,$K121))</f>
        <v/>
      </c>
      <c r="O121" s="9" t="str">
        <f>IF($J121="","",SUMIFS(SummaryHelper!$G$2:$G$5000,SummaryHelper!$A$2:$A$5000,$I121,SummaryHelper!$B$2:$B$5000,$J121,SummaryHelper!$C$2:$C$5000,$K121))</f>
        <v/>
      </c>
      <c r="Q121" s="9" t="str">
        <f t="shared" si="18"/>
        <v/>
      </c>
      <c r="R121" s="9" t="str">
        <f t="shared" si="19"/>
        <v/>
      </c>
      <c r="W121" s="9" t="str">
        <f>IF($U121="","",IFERROR(SUMIFS(SummaryHelper!$H$2:$H$5000,SummaryHelper!$A$2:$A$5000,$T121,SummaryHelper!$B$2:$B$5000,$U121,SummaryHelper!$C$2:$C$5000,$V121)/SUMIFS(SummaryHelper!$G$2:$G$5000,SummaryHelper!$A$2:$A$5000,$T121,SummaryHelper!$B$2:$B$5000,$U121,SummaryHelper!$C$2:$C$5000,$V121),""))</f>
        <v/>
      </c>
      <c r="X121" s="9" t="str">
        <f>IF($U121="","",SUMIFS(SummaryHelper!$E$2:$E$5000,SummaryHelper!$A$2:$A$5000,$T121,SummaryHelper!$B$2:$B$5000,$U121,SummaryHelper!$C$2:$C$5000,$V121))</f>
        <v/>
      </c>
      <c r="Y121" s="9" t="str">
        <f>IF($U121="","",SUMIFS(SummaryHelper!$F$2:$F$5000,SummaryHelper!$A$2:$A$5000,$T121,SummaryHelper!$B$2:$B$5000,$U121,SummaryHelper!$C$2:$C$5000,$V121))</f>
        <v/>
      </c>
      <c r="Z121" s="9" t="str">
        <f>IF($U121="","",SUMIFS(SummaryHelper!$G$2:$G$5000,SummaryHelper!$A$2:$A$5000,$T121,SummaryHelper!$B$2:$B$5000,$U121,SummaryHelper!$C$2:$C$5000,$V121))</f>
        <v/>
      </c>
      <c r="AB121" s="9" t="str">
        <f t="shared" si="20"/>
        <v/>
      </c>
      <c r="AC121" s="9" t="str">
        <f t="shared" si="21"/>
        <v/>
      </c>
      <c r="AH121" t="str">
        <f>IF($AF121="","",IFERROR(SUMIFS(SummaryHelper!$H$2:$H$5000,SummaryHelper!$A$2:$A$5000,$AE121,SummaryHelper!$B$2:$B$5000,$AF121,SummaryHelper!$C$2:$C$5000,$AG121)/SUMIFS(SummaryHelper!$G$2:$G$5000,SummaryHelper!$A$2:$A$5000,$AE121,SummaryHelper!$B$2:$B$5000,$AF121,SummaryHelper!$C$2:$C$5000,$AG121),""))</f>
        <v/>
      </c>
      <c r="AI121" t="str">
        <f>IF($AF121="","",SUMIFS(SummaryHelper!$E$2:$E$5000,SummaryHelper!$A$2:$A$5000,$AE121,SummaryHelper!$B$2:$B$5000,$AF121,SummaryHelper!$C$2:$C$5000,$AG121))</f>
        <v/>
      </c>
      <c r="AJ121" t="str">
        <f>IF($AF121="","",SUMIFS(SummaryHelper!$F$2:$F$5000,SummaryHelper!$A$2:$A$5000,$AE121,SummaryHelper!$B$2:$B$5000,$AF121,SummaryHelper!$C$2:$C$5000,$AG121))</f>
        <v/>
      </c>
      <c r="AK121" t="str">
        <f>IF($AF121="","",SUMIFS(SummaryHelper!$G$2:$G$5000,SummaryHelper!$A$2:$A$5000,$AE121,SummaryHelper!$B$2:$B$5000,$AF121,SummaryHelper!$C$2:$C$5000,$AG121))</f>
        <v/>
      </c>
      <c r="AM121" t="str">
        <f t="shared" si="22"/>
        <v/>
      </c>
      <c r="AN121" t="str">
        <f t="shared" si="23"/>
        <v/>
      </c>
    </row>
    <row r="122" spans="1:40" x14ac:dyDescent="0.25">
      <c r="A122" s="12"/>
      <c r="B122" s="23" t="str">
        <f t="shared" si="24"/>
        <v/>
      </c>
      <c r="C122" s="9" t="str">
        <f t="shared" ca="1" si="13"/>
        <v/>
      </c>
      <c r="D122" s="9" t="str">
        <f t="shared" ca="1" si="14"/>
        <v/>
      </c>
      <c r="E122" s="9" t="str">
        <f t="shared" ca="1" si="15"/>
        <v/>
      </c>
      <c r="F122" s="9" t="str">
        <f t="shared" si="16"/>
        <v/>
      </c>
      <c r="G122" s="9">
        <f t="shared" si="17"/>
        <v>0</v>
      </c>
      <c r="L122" s="9" t="str">
        <f>IF($J122="","",IFERROR(SUMIFS(SummaryHelper!$H$2:$H$5000,SummaryHelper!$A$2:$A$5000,$I122,SummaryHelper!$B$2:$B$5000,$J122,SummaryHelper!$C$2:$C$5000,$K122)/SUMIFS(SummaryHelper!$G$2:$G$5000,SummaryHelper!$A$2:$A$5000,$I122,SummaryHelper!$B$2:$B$5000,$J122,SummaryHelper!$C$2:$C$5000,$K122),""))</f>
        <v/>
      </c>
      <c r="M122" s="9" t="str">
        <f>IF($J122="","",SUMIFS(SummaryHelper!$E$2:$E$5000,SummaryHelper!$A$2:$A$5000,$I122,SummaryHelper!$B$2:$B$5000,$J122,SummaryHelper!$C$2:$C$5000,$K122))</f>
        <v/>
      </c>
      <c r="N122" s="9" t="str">
        <f>IF($J122="","",SUMIFS(SummaryHelper!$F$2:$F$5000,SummaryHelper!$A$2:$A$5000,$I122,SummaryHelper!$B$2:$B$5000,$J122,SummaryHelper!$C$2:$C$5000,$K122))</f>
        <v/>
      </c>
      <c r="O122" s="9" t="str">
        <f>IF($J122="","",SUMIFS(SummaryHelper!$G$2:$G$5000,SummaryHelper!$A$2:$A$5000,$I122,SummaryHelper!$B$2:$B$5000,$J122,SummaryHelper!$C$2:$C$5000,$K122))</f>
        <v/>
      </c>
      <c r="Q122" s="9" t="str">
        <f t="shared" si="18"/>
        <v/>
      </c>
      <c r="R122" s="9" t="str">
        <f t="shared" si="19"/>
        <v/>
      </c>
      <c r="W122" s="9" t="str">
        <f>IF($U122="","",IFERROR(SUMIFS(SummaryHelper!$H$2:$H$5000,SummaryHelper!$A$2:$A$5000,$T122,SummaryHelper!$B$2:$B$5000,$U122,SummaryHelper!$C$2:$C$5000,$V122)/SUMIFS(SummaryHelper!$G$2:$G$5000,SummaryHelper!$A$2:$A$5000,$T122,SummaryHelper!$B$2:$B$5000,$U122,SummaryHelper!$C$2:$C$5000,$V122),""))</f>
        <v/>
      </c>
      <c r="X122" s="9" t="str">
        <f>IF($U122="","",SUMIFS(SummaryHelper!$E$2:$E$5000,SummaryHelper!$A$2:$A$5000,$T122,SummaryHelper!$B$2:$B$5000,$U122,SummaryHelper!$C$2:$C$5000,$V122))</f>
        <v/>
      </c>
      <c r="Y122" s="9" t="str">
        <f>IF($U122="","",SUMIFS(SummaryHelper!$F$2:$F$5000,SummaryHelper!$A$2:$A$5000,$T122,SummaryHelper!$B$2:$B$5000,$U122,SummaryHelper!$C$2:$C$5000,$V122))</f>
        <v/>
      </c>
      <c r="Z122" s="9" t="str">
        <f>IF($U122="","",SUMIFS(SummaryHelper!$G$2:$G$5000,SummaryHelper!$A$2:$A$5000,$T122,SummaryHelper!$B$2:$B$5000,$U122,SummaryHelper!$C$2:$C$5000,$V122))</f>
        <v/>
      </c>
      <c r="AB122" s="9" t="str">
        <f t="shared" si="20"/>
        <v/>
      </c>
      <c r="AC122" s="9" t="str">
        <f t="shared" si="21"/>
        <v/>
      </c>
      <c r="AH122" t="str">
        <f>IF($AF122="","",IFERROR(SUMIFS(SummaryHelper!$H$2:$H$5000,SummaryHelper!$A$2:$A$5000,$AE122,SummaryHelper!$B$2:$B$5000,$AF122,SummaryHelper!$C$2:$C$5000,$AG122)/SUMIFS(SummaryHelper!$G$2:$G$5000,SummaryHelper!$A$2:$A$5000,$AE122,SummaryHelper!$B$2:$B$5000,$AF122,SummaryHelper!$C$2:$C$5000,$AG122),""))</f>
        <v/>
      </c>
      <c r="AI122" t="str">
        <f>IF($AF122="","",SUMIFS(SummaryHelper!$E$2:$E$5000,SummaryHelper!$A$2:$A$5000,$AE122,SummaryHelper!$B$2:$B$5000,$AF122,SummaryHelper!$C$2:$C$5000,$AG122))</f>
        <v/>
      </c>
      <c r="AJ122" t="str">
        <f>IF($AF122="","",SUMIFS(SummaryHelper!$F$2:$F$5000,SummaryHelper!$A$2:$A$5000,$AE122,SummaryHelper!$B$2:$B$5000,$AF122,SummaryHelper!$C$2:$C$5000,$AG122))</f>
        <v/>
      </c>
      <c r="AK122" t="str">
        <f>IF($AF122="","",SUMIFS(SummaryHelper!$G$2:$G$5000,SummaryHelper!$A$2:$A$5000,$AE122,SummaryHelper!$B$2:$B$5000,$AF122,SummaryHelper!$C$2:$C$5000,$AG122))</f>
        <v/>
      </c>
      <c r="AM122" t="str">
        <f t="shared" si="22"/>
        <v/>
      </c>
      <c r="AN122" t="str">
        <f t="shared" si="23"/>
        <v/>
      </c>
    </row>
    <row r="123" spans="1:40" x14ac:dyDescent="0.25">
      <c r="A123" s="12"/>
      <c r="B123" s="23" t="str">
        <f t="shared" si="24"/>
        <v/>
      </c>
      <c r="C123" s="9" t="str">
        <f t="shared" ca="1" si="13"/>
        <v/>
      </c>
      <c r="D123" s="9" t="str">
        <f t="shared" ca="1" si="14"/>
        <v/>
      </c>
      <c r="E123" s="9" t="str">
        <f t="shared" ca="1" si="15"/>
        <v/>
      </c>
      <c r="F123" s="9" t="str">
        <f t="shared" si="16"/>
        <v/>
      </c>
      <c r="G123" s="9">
        <f t="shared" si="17"/>
        <v>0</v>
      </c>
      <c r="L123" s="9" t="str">
        <f>IF($J123="","",IFERROR(SUMIFS(SummaryHelper!$H$2:$H$5000,SummaryHelper!$A$2:$A$5000,$I123,SummaryHelper!$B$2:$B$5000,$J123,SummaryHelper!$C$2:$C$5000,$K123)/SUMIFS(SummaryHelper!$G$2:$G$5000,SummaryHelper!$A$2:$A$5000,$I123,SummaryHelper!$B$2:$B$5000,$J123,SummaryHelper!$C$2:$C$5000,$K123),""))</f>
        <v/>
      </c>
      <c r="M123" s="9" t="str">
        <f>IF($J123="","",SUMIFS(SummaryHelper!$E$2:$E$5000,SummaryHelper!$A$2:$A$5000,$I123,SummaryHelper!$B$2:$B$5000,$J123,SummaryHelper!$C$2:$C$5000,$K123))</f>
        <v/>
      </c>
      <c r="N123" s="9" t="str">
        <f>IF($J123="","",SUMIFS(SummaryHelper!$F$2:$F$5000,SummaryHelper!$A$2:$A$5000,$I123,SummaryHelper!$B$2:$B$5000,$J123,SummaryHelper!$C$2:$C$5000,$K123))</f>
        <v/>
      </c>
      <c r="O123" s="9" t="str">
        <f>IF($J123="","",SUMIFS(SummaryHelper!$G$2:$G$5000,SummaryHelper!$A$2:$A$5000,$I123,SummaryHelper!$B$2:$B$5000,$J123,SummaryHelper!$C$2:$C$5000,$K123))</f>
        <v/>
      </c>
      <c r="Q123" s="9" t="str">
        <f t="shared" si="18"/>
        <v/>
      </c>
      <c r="R123" s="9" t="str">
        <f t="shared" si="19"/>
        <v/>
      </c>
      <c r="W123" s="9" t="str">
        <f>IF($U123="","",IFERROR(SUMIFS(SummaryHelper!$H$2:$H$5000,SummaryHelper!$A$2:$A$5000,$T123,SummaryHelper!$B$2:$B$5000,$U123,SummaryHelper!$C$2:$C$5000,$V123)/SUMIFS(SummaryHelper!$G$2:$G$5000,SummaryHelper!$A$2:$A$5000,$T123,SummaryHelper!$B$2:$B$5000,$U123,SummaryHelper!$C$2:$C$5000,$V123),""))</f>
        <v/>
      </c>
      <c r="X123" s="9" t="str">
        <f>IF($U123="","",SUMIFS(SummaryHelper!$E$2:$E$5000,SummaryHelper!$A$2:$A$5000,$T123,SummaryHelper!$B$2:$B$5000,$U123,SummaryHelper!$C$2:$C$5000,$V123))</f>
        <v/>
      </c>
      <c r="Y123" s="9" t="str">
        <f>IF($U123="","",SUMIFS(SummaryHelper!$F$2:$F$5000,SummaryHelper!$A$2:$A$5000,$T123,SummaryHelper!$B$2:$B$5000,$U123,SummaryHelper!$C$2:$C$5000,$V123))</f>
        <v/>
      </c>
      <c r="Z123" s="9" t="str">
        <f>IF($U123="","",SUMIFS(SummaryHelper!$G$2:$G$5000,SummaryHelper!$A$2:$A$5000,$T123,SummaryHelper!$B$2:$B$5000,$U123,SummaryHelper!$C$2:$C$5000,$V123))</f>
        <v/>
      </c>
      <c r="AB123" s="9" t="str">
        <f t="shared" si="20"/>
        <v/>
      </c>
      <c r="AC123" s="9" t="str">
        <f t="shared" si="21"/>
        <v/>
      </c>
      <c r="AH123" t="str">
        <f>IF($AF123="","",IFERROR(SUMIFS(SummaryHelper!$H$2:$H$5000,SummaryHelper!$A$2:$A$5000,$AE123,SummaryHelper!$B$2:$B$5000,$AF123,SummaryHelper!$C$2:$C$5000,$AG123)/SUMIFS(SummaryHelper!$G$2:$G$5000,SummaryHelper!$A$2:$A$5000,$AE123,SummaryHelper!$B$2:$B$5000,$AF123,SummaryHelper!$C$2:$C$5000,$AG123),""))</f>
        <v/>
      </c>
      <c r="AI123" t="str">
        <f>IF($AF123="","",SUMIFS(SummaryHelper!$E$2:$E$5000,SummaryHelper!$A$2:$A$5000,$AE123,SummaryHelper!$B$2:$B$5000,$AF123,SummaryHelper!$C$2:$C$5000,$AG123))</f>
        <v/>
      </c>
      <c r="AJ123" t="str">
        <f>IF($AF123="","",SUMIFS(SummaryHelper!$F$2:$F$5000,SummaryHelper!$A$2:$A$5000,$AE123,SummaryHelper!$B$2:$B$5000,$AF123,SummaryHelper!$C$2:$C$5000,$AG123))</f>
        <v/>
      </c>
      <c r="AK123" t="str">
        <f>IF($AF123="","",SUMIFS(SummaryHelper!$G$2:$G$5000,SummaryHelper!$A$2:$A$5000,$AE123,SummaryHelper!$B$2:$B$5000,$AF123,SummaryHelper!$C$2:$C$5000,$AG123))</f>
        <v/>
      </c>
      <c r="AM123" t="str">
        <f t="shared" si="22"/>
        <v/>
      </c>
      <c r="AN123" t="str">
        <f t="shared" si="23"/>
        <v/>
      </c>
    </row>
    <row r="124" spans="1:40" x14ac:dyDescent="0.25">
      <c r="A124" s="12"/>
      <c r="B124" s="23" t="str">
        <f t="shared" si="24"/>
        <v/>
      </c>
      <c r="C124" s="9" t="str">
        <f t="shared" ca="1" si="13"/>
        <v/>
      </c>
      <c r="D124" s="9" t="str">
        <f t="shared" ca="1" si="14"/>
        <v/>
      </c>
      <c r="E124" s="9" t="str">
        <f t="shared" ca="1" si="15"/>
        <v/>
      </c>
      <c r="F124" s="9" t="str">
        <f t="shared" si="16"/>
        <v/>
      </c>
      <c r="G124" s="9">
        <f t="shared" si="17"/>
        <v>0</v>
      </c>
      <c r="L124" s="9" t="str">
        <f>IF($J124="","",IFERROR(SUMIFS(SummaryHelper!$H$2:$H$5000,SummaryHelper!$A$2:$A$5000,$I124,SummaryHelper!$B$2:$B$5000,$J124,SummaryHelper!$C$2:$C$5000,$K124)/SUMIFS(SummaryHelper!$G$2:$G$5000,SummaryHelper!$A$2:$A$5000,$I124,SummaryHelper!$B$2:$B$5000,$J124,SummaryHelper!$C$2:$C$5000,$K124),""))</f>
        <v/>
      </c>
      <c r="M124" s="9" t="str">
        <f>IF($J124="","",SUMIFS(SummaryHelper!$E$2:$E$5000,SummaryHelper!$A$2:$A$5000,$I124,SummaryHelper!$B$2:$B$5000,$J124,SummaryHelper!$C$2:$C$5000,$K124))</f>
        <v/>
      </c>
      <c r="N124" s="9" t="str">
        <f>IF($J124="","",SUMIFS(SummaryHelper!$F$2:$F$5000,SummaryHelper!$A$2:$A$5000,$I124,SummaryHelper!$B$2:$B$5000,$J124,SummaryHelper!$C$2:$C$5000,$K124))</f>
        <v/>
      </c>
      <c r="O124" s="9" t="str">
        <f>IF($J124="","",SUMIFS(SummaryHelper!$G$2:$G$5000,SummaryHelper!$A$2:$A$5000,$I124,SummaryHelper!$B$2:$B$5000,$J124,SummaryHelper!$C$2:$C$5000,$K124))</f>
        <v/>
      </c>
      <c r="Q124" s="9" t="str">
        <f t="shared" si="18"/>
        <v/>
      </c>
      <c r="R124" s="9" t="str">
        <f t="shared" si="19"/>
        <v/>
      </c>
      <c r="W124" s="9" t="str">
        <f>IF($U124="","",IFERROR(SUMIFS(SummaryHelper!$H$2:$H$5000,SummaryHelper!$A$2:$A$5000,$T124,SummaryHelper!$B$2:$B$5000,$U124,SummaryHelper!$C$2:$C$5000,$V124)/SUMIFS(SummaryHelper!$G$2:$G$5000,SummaryHelper!$A$2:$A$5000,$T124,SummaryHelper!$B$2:$B$5000,$U124,SummaryHelper!$C$2:$C$5000,$V124),""))</f>
        <v/>
      </c>
      <c r="X124" s="9" t="str">
        <f>IF($U124="","",SUMIFS(SummaryHelper!$E$2:$E$5000,SummaryHelper!$A$2:$A$5000,$T124,SummaryHelper!$B$2:$B$5000,$U124,SummaryHelper!$C$2:$C$5000,$V124))</f>
        <v/>
      </c>
      <c r="Y124" s="9" t="str">
        <f>IF($U124="","",SUMIFS(SummaryHelper!$F$2:$F$5000,SummaryHelper!$A$2:$A$5000,$T124,SummaryHelper!$B$2:$B$5000,$U124,SummaryHelper!$C$2:$C$5000,$V124))</f>
        <v/>
      </c>
      <c r="Z124" s="9" t="str">
        <f>IF($U124="","",SUMIFS(SummaryHelper!$G$2:$G$5000,SummaryHelper!$A$2:$A$5000,$T124,SummaryHelper!$B$2:$B$5000,$U124,SummaryHelper!$C$2:$C$5000,$V124))</f>
        <v/>
      </c>
      <c r="AB124" s="9" t="str">
        <f t="shared" si="20"/>
        <v/>
      </c>
      <c r="AC124" s="9" t="str">
        <f t="shared" si="21"/>
        <v/>
      </c>
      <c r="AH124" t="str">
        <f>IF($AF124="","",IFERROR(SUMIFS(SummaryHelper!$H$2:$H$5000,SummaryHelper!$A$2:$A$5000,$AE124,SummaryHelper!$B$2:$B$5000,$AF124,SummaryHelper!$C$2:$C$5000,$AG124)/SUMIFS(SummaryHelper!$G$2:$G$5000,SummaryHelper!$A$2:$A$5000,$AE124,SummaryHelper!$B$2:$B$5000,$AF124,SummaryHelper!$C$2:$C$5000,$AG124),""))</f>
        <v/>
      </c>
      <c r="AI124" t="str">
        <f>IF($AF124="","",SUMIFS(SummaryHelper!$E$2:$E$5000,SummaryHelper!$A$2:$A$5000,$AE124,SummaryHelper!$B$2:$B$5000,$AF124,SummaryHelper!$C$2:$C$5000,$AG124))</f>
        <v/>
      </c>
      <c r="AJ124" t="str">
        <f>IF($AF124="","",SUMIFS(SummaryHelper!$F$2:$F$5000,SummaryHelper!$A$2:$A$5000,$AE124,SummaryHelper!$B$2:$B$5000,$AF124,SummaryHelper!$C$2:$C$5000,$AG124))</f>
        <v/>
      </c>
      <c r="AK124" t="str">
        <f>IF($AF124="","",SUMIFS(SummaryHelper!$G$2:$G$5000,SummaryHelper!$A$2:$A$5000,$AE124,SummaryHelper!$B$2:$B$5000,$AF124,SummaryHelper!$C$2:$C$5000,$AG124))</f>
        <v/>
      </c>
      <c r="AM124" t="str">
        <f t="shared" si="22"/>
        <v/>
      </c>
      <c r="AN124" t="str">
        <f t="shared" si="23"/>
        <v/>
      </c>
    </row>
    <row r="125" spans="1:40" x14ac:dyDescent="0.25">
      <c r="A125" s="12"/>
      <c r="B125" s="23" t="str">
        <f t="shared" si="24"/>
        <v/>
      </c>
      <c r="C125" s="9" t="str">
        <f t="shared" ca="1" si="13"/>
        <v/>
      </c>
      <c r="D125" s="9" t="str">
        <f t="shared" ca="1" si="14"/>
        <v/>
      </c>
      <c r="E125" s="9" t="str">
        <f t="shared" ca="1" si="15"/>
        <v/>
      </c>
      <c r="F125" s="9" t="str">
        <f t="shared" si="16"/>
        <v/>
      </c>
      <c r="G125" s="9">
        <f t="shared" si="17"/>
        <v>0</v>
      </c>
      <c r="L125" s="9" t="str">
        <f>IF($J125="","",IFERROR(SUMIFS(SummaryHelper!$H$2:$H$5000,SummaryHelper!$A$2:$A$5000,$I125,SummaryHelper!$B$2:$B$5000,$J125,SummaryHelper!$C$2:$C$5000,$K125)/SUMIFS(SummaryHelper!$G$2:$G$5000,SummaryHelper!$A$2:$A$5000,$I125,SummaryHelper!$B$2:$B$5000,$J125,SummaryHelper!$C$2:$C$5000,$K125),""))</f>
        <v/>
      </c>
      <c r="M125" s="9" t="str">
        <f>IF($J125="","",SUMIFS(SummaryHelper!$E$2:$E$5000,SummaryHelper!$A$2:$A$5000,$I125,SummaryHelper!$B$2:$B$5000,$J125,SummaryHelper!$C$2:$C$5000,$K125))</f>
        <v/>
      </c>
      <c r="N125" s="9" t="str">
        <f>IF($J125="","",SUMIFS(SummaryHelper!$F$2:$F$5000,SummaryHelper!$A$2:$A$5000,$I125,SummaryHelper!$B$2:$B$5000,$J125,SummaryHelper!$C$2:$C$5000,$K125))</f>
        <v/>
      </c>
      <c r="O125" s="9" t="str">
        <f>IF($J125="","",SUMIFS(SummaryHelper!$G$2:$G$5000,SummaryHelper!$A$2:$A$5000,$I125,SummaryHelper!$B$2:$B$5000,$J125,SummaryHelper!$C$2:$C$5000,$K125))</f>
        <v/>
      </c>
      <c r="Q125" s="9" t="str">
        <f t="shared" si="18"/>
        <v/>
      </c>
      <c r="R125" s="9" t="str">
        <f t="shared" si="19"/>
        <v/>
      </c>
      <c r="W125" s="9" t="str">
        <f>IF($U125="","",IFERROR(SUMIFS(SummaryHelper!$H$2:$H$5000,SummaryHelper!$A$2:$A$5000,$T125,SummaryHelper!$B$2:$B$5000,$U125,SummaryHelper!$C$2:$C$5000,$V125)/SUMIFS(SummaryHelper!$G$2:$G$5000,SummaryHelper!$A$2:$A$5000,$T125,SummaryHelper!$B$2:$B$5000,$U125,SummaryHelper!$C$2:$C$5000,$V125),""))</f>
        <v/>
      </c>
      <c r="X125" s="9" t="str">
        <f>IF($U125="","",SUMIFS(SummaryHelper!$E$2:$E$5000,SummaryHelper!$A$2:$A$5000,$T125,SummaryHelper!$B$2:$B$5000,$U125,SummaryHelper!$C$2:$C$5000,$V125))</f>
        <v/>
      </c>
      <c r="Y125" s="9" t="str">
        <f>IF($U125="","",SUMIFS(SummaryHelper!$F$2:$F$5000,SummaryHelper!$A$2:$A$5000,$T125,SummaryHelper!$B$2:$B$5000,$U125,SummaryHelper!$C$2:$C$5000,$V125))</f>
        <v/>
      </c>
      <c r="Z125" s="9" t="str">
        <f>IF($U125="","",SUMIFS(SummaryHelper!$G$2:$G$5000,SummaryHelper!$A$2:$A$5000,$T125,SummaryHelper!$B$2:$B$5000,$U125,SummaryHelper!$C$2:$C$5000,$V125))</f>
        <v/>
      </c>
      <c r="AB125" s="9" t="str">
        <f t="shared" si="20"/>
        <v/>
      </c>
      <c r="AC125" s="9" t="str">
        <f t="shared" si="21"/>
        <v/>
      </c>
      <c r="AH125" t="str">
        <f>IF($AF125="","",IFERROR(SUMIFS(SummaryHelper!$H$2:$H$5000,SummaryHelper!$A$2:$A$5000,$AE125,SummaryHelper!$B$2:$B$5000,$AF125,SummaryHelper!$C$2:$C$5000,$AG125)/SUMIFS(SummaryHelper!$G$2:$G$5000,SummaryHelper!$A$2:$A$5000,$AE125,SummaryHelper!$B$2:$B$5000,$AF125,SummaryHelper!$C$2:$C$5000,$AG125),""))</f>
        <v/>
      </c>
      <c r="AI125" t="str">
        <f>IF($AF125="","",SUMIFS(SummaryHelper!$E$2:$E$5000,SummaryHelper!$A$2:$A$5000,$AE125,SummaryHelper!$B$2:$B$5000,$AF125,SummaryHelper!$C$2:$C$5000,$AG125))</f>
        <v/>
      </c>
      <c r="AJ125" t="str">
        <f>IF($AF125="","",SUMIFS(SummaryHelper!$F$2:$F$5000,SummaryHelper!$A$2:$A$5000,$AE125,SummaryHelper!$B$2:$B$5000,$AF125,SummaryHelper!$C$2:$C$5000,$AG125))</f>
        <v/>
      </c>
      <c r="AK125" t="str">
        <f>IF($AF125="","",SUMIFS(SummaryHelper!$G$2:$G$5000,SummaryHelper!$A$2:$A$5000,$AE125,SummaryHelper!$B$2:$B$5000,$AF125,SummaryHelper!$C$2:$C$5000,$AG125))</f>
        <v/>
      </c>
      <c r="AM125" t="str">
        <f t="shared" si="22"/>
        <v/>
      </c>
      <c r="AN125" t="str">
        <f t="shared" si="23"/>
        <v/>
      </c>
    </row>
    <row r="126" spans="1:40" x14ac:dyDescent="0.25">
      <c r="A126" s="12"/>
      <c r="B126" s="23" t="str">
        <f t="shared" si="24"/>
        <v/>
      </c>
      <c r="C126" s="9" t="str">
        <f t="shared" ca="1" si="13"/>
        <v/>
      </c>
      <c r="D126" s="9" t="str">
        <f t="shared" ca="1" si="14"/>
        <v/>
      </c>
      <c r="E126" s="9" t="str">
        <f t="shared" ca="1" si="15"/>
        <v/>
      </c>
      <c r="F126" s="9" t="str">
        <f t="shared" si="16"/>
        <v/>
      </c>
      <c r="G126" s="9">
        <f t="shared" si="17"/>
        <v>0</v>
      </c>
      <c r="L126" s="9" t="str">
        <f>IF($J126="","",IFERROR(SUMIFS(SummaryHelper!$H$2:$H$5000,SummaryHelper!$A$2:$A$5000,$I126,SummaryHelper!$B$2:$B$5000,$J126,SummaryHelper!$C$2:$C$5000,$K126)/SUMIFS(SummaryHelper!$G$2:$G$5000,SummaryHelper!$A$2:$A$5000,$I126,SummaryHelper!$B$2:$B$5000,$J126,SummaryHelper!$C$2:$C$5000,$K126),""))</f>
        <v/>
      </c>
      <c r="M126" s="9" t="str">
        <f>IF($J126="","",SUMIFS(SummaryHelper!$E$2:$E$5000,SummaryHelper!$A$2:$A$5000,$I126,SummaryHelper!$B$2:$B$5000,$J126,SummaryHelper!$C$2:$C$5000,$K126))</f>
        <v/>
      </c>
      <c r="N126" s="9" t="str">
        <f>IF($J126="","",SUMIFS(SummaryHelper!$F$2:$F$5000,SummaryHelper!$A$2:$A$5000,$I126,SummaryHelper!$B$2:$B$5000,$J126,SummaryHelper!$C$2:$C$5000,$K126))</f>
        <v/>
      </c>
      <c r="O126" s="9" t="str">
        <f>IF($J126="","",SUMIFS(SummaryHelper!$G$2:$G$5000,SummaryHelper!$A$2:$A$5000,$I126,SummaryHelper!$B$2:$B$5000,$J126,SummaryHelper!$C$2:$C$5000,$K126))</f>
        <v/>
      </c>
      <c r="Q126" s="9" t="str">
        <f t="shared" si="18"/>
        <v/>
      </c>
      <c r="R126" s="9" t="str">
        <f t="shared" si="19"/>
        <v/>
      </c>
      <c r="W126" s="9" t="str">
        <f>IF($U126="","",IFERROR(SUMIFS(SummaryHelper!$H$2:$H$5000,SummaryHelper!$A$2:$A$5000,$T126,SummaryHelper!$B$2:$B$5000,$U126,SummaryHelper!$C$2:$C$5000,$V126)/SUMIFS(SummaryHelper!$G$2:$G$5000,SummaryHelper!$A$2:$A$5000,$T126,SummaryHelper!$B$2:$B$5000,$U126,SummaryHelper!$C$2:$C$5000,$V126),""))</f>
        <v/>
      </c>
      <c r="X126" s="9" t="str">
        <f>IF($U126="","",SUMIFS(SummaryHelper!$E$2:$E$5000,SummaryHelper!$A$2:$A$5000,$T126,SummaryHelper!$B$2:$B$5000,$U126,SummaryHelper!$C$2:$C$5000,$V126))</f>
        <v/>
      </c>
      <c r="Y126" s="9" t="str">
        <f>IF($U126="","",SUMIFS(SummaryHelper!$F$2:$F$5000,SummaryHelper!$A$2:$A$5000,$T126,SummaryHelper!$B$2:$B$5000,$U126,SummaryHelper!$C$2:$C$5000,$V126))</f>
        <v/>
      </c>
      <c r="Z126" s="9" t="str">
        <f>IF($U126="","",SUMIFS(SummaryHelper!$G$2:$G$5000,SummaryHelper!$A$2:$A$5000,$T126,SummaryHelper!$B$2:$B$5000,$U126,SummaryHelper!$C$2:$C$5000,$V126))</f>
        <v/>
      </c>
      <c r="AB126" s="9" t="str">
        <f t="shared" si="20"/>
        <v/>
      </c>
      <c r="AC126" s="9" t="str">
        <f t="shared" si="21"/>
        <v/>
      </c>
      <c r="AH126" t="str">
        <f>IF($AF126="","",IFERROR(SUMIFS(SummaryHelper!$H$2:$H$5000,SummaryHelper!$A$2:$A$5000,$AE126,SummaryHelper!$B$2:$B$5000,$AF126,SummaryHelper!$C$2:$C$5000,$AG126)/SUMIFS(SummaryHelper!$G$2:$G$5000,SummaryHelper!$A$2:$A$5000,$AE126,SummaryHelper!$B$2:$B$5000,$AF126,SummaryHelper!$C$2:$C$5000,$AG126),""))</f>
        <v/>
      </c>
      <c r="AI126" t="str">
        <f>IF($AF126="","",SUMIFS(SummaryHelper!$E$2:$E$5000,SummaryHelper!$A$2:$A$5000,$AE126,SummaryHelper!$B$2:$B$5000,$AF126,SummaryHelper!$C$2:$C$5000,$AG126))</f>
        <v/>
      </c>
      <c r="AJ126" t="str">
        <f>IF($AF126="","",SUMIFS(SummaryHelper!$F$2:$F$5000,SummaryHelper!$A$2:$A$5000,$AE126,SummaryHelper!$B$2:$B$5000,$AF126,SummaryHelper!$C$2:$C$5000,$AG126))</f>
        <v/>
      </c>
      <c r="AK126" t="str">
        <f>IF($AF126="","",SUMIFS(SummaryHelper!$G$2:$G$5000,SummaryHelper!$A$2:$A$5000,$AE126,SummaryHelper!$B$2:$B$5000,$AF126,SummaryHelper!$C$2:$C$5000,$AG126))</f>
        <v/>
      </c>
      <c r="AM126" t="str">
        <f t="shared" si="22"/>
        <v/>
      </c>
      <c r="AN126" t="str">
        <f t="shared" si="23"/>
        <v/>
      </c>
    </row>
    <row r="127" spans="1:40" x14ac:dyDescent="0.25">
      <c r="A127" s="12"/>
      <c r="B127" s="23" t="str">
        <f t="shared" si="24"/>
        <v/>
      </c>
      <c r="C127" s="9" t="str">
        <f t="shared" ca="1" si="13"/>
        <v/>
      </c>
      <c r="D127" s="9" t="str">
        <f t="shared" ca="1" si="14"/>
        <v/>
      </c>
      <c r="E127" s="9" t="str">
        <f t="shared" ca="1" si="15"/>
        <v/>
      </c>
      <c r="F127" s="9" t="str">
        <f t="shared" si="16"/>
        <v/>
      </c>
      <c r="G127" s="9">
        <f t="shared" si="17"/>
        <v>0</v>
      </c>
      <c r="L127" s="9" t="str">
        <f>IF($J127="","",IFERROR(SUMIFS(SummaryHelper!$H$2:$H$5000,SummaryHelper!$A$2:$A$5000,$I127,SummaryHelper!$B$2:$B$5000,$J127,SummaryHelper!$C$2:$C$5000,$K127)/SUMIFS(SummaryHelper!$G$2:$G$5000,SummaryHelper!$A$2:$A$5000,$I127,SummaryHelper!$B$2:$B$5000,$J127,SummaryHelper!$C$2:$C$5000,$K127),""))</f>
        <v/>
      </c>
      <c r="M127" s="9" t="str">
        <f>IF($J127="","",SUMIFS(SummaryHelper!$E$2:$E$5000,SummaryHelper!$A$2:$A$5000,$I127,SummaryHelper!$B$2:$B$5000,$J127,SummaryHelper!$C$2:$C$5000,$K127))</f>
        <v/>
      </c>
      <c r="N127" s="9" t="str">
        <f>IF($J127="","",SUMIFS(SummaryHelper!$F$2:$F$5000,SummaryHelper!$A$2:$A$5000,$I127,SummaryHelper!$B$2:$B$5000,$J127,SummaryHelper!$C$2:$C$5000,$K127))</f>
        <v/>
      </c>
      <c r="O127" s="9" t="str">
        <f>IF($J127="","",SUMIFS(SummaryHelper!$G$2:$G$5000,SummaryHelper!$A$2:$A$5000,$I127,SummaryHelper!$B$2:$B$5000,$J127,SummaryHelper!$C$2:$C$5000,$K127))</f>
        <v/>
      </c>
      <c r="Q127" s="9" t="str">
        <f t="shared" si="18"/>
        <v/>
      </c>
      <c r="R127" s="9" t="str">
        <f t="shared" si="19"/>
        <v/>
      </c>
      <c r="W127" s="9" t="str">
        <f>IF($U127="","",IFERROR(SUMIFS(SummaryHelper!$H$2:$H$5000,SummaryHelper!$A$2:$A$5000,$T127,SummaryHelper!$B$2:$B$5000,$U127,SummaryHelper!$C$2:$C$5000,$V127)/SUMIFS(SummaryHelper!$G$2:$G$5000,SummaryHelper!$A$2:$A$5000,$T127,SummaryHelper!$B$2:$B$5000,$U127,SummaryHelper!$C$2:$C$5000,$V127),""))</f>
        <v/>
      </c>
      <c r="X127" s="9" t="str">
        <f>IF($U127="","",SUMIFS(SummaryHelper!$E$2:$E$5000,SummaryHelper!$A$2:$A$5000,$T127,SummaryHelper!$B$2:$B$5000,$U127,SummaryHelper!$C$2:$C$5000,$V127))</f>
        <v/>
      </c>
      <c r="Y127" s="9" t="str">
        <f>IF($U127="","",SUMIFS(SummaryHelper!$F$2:$F$5000,SummaryHelper!$A$2:$A$5000,$T127,SummaryHelper!$B$2:$B$5000,$U127,SummaryHelper!$C$2:$C$5000,$V127))</f>
        <v/>
      </c>
      <c r="Z127" s="9" t="str">
        <f>IF($U127="","",SUMIFS(SummaryHelper!$G$2:$G$5000,SummaryHelper!$A$2:$A$5000,$T127,SummaryHelper!$B$2:$B$5000,$U127,SummaryHelper!$C$2:$C$5000,$V127))</f>
        <v/>
      </c>
      <c r="AB127" s="9" t="str">
        <f t="shared" si="20"/>
        <v/>
      </c>
      <c r="AC127" s="9" t="str">
        <f t="shared" si="21"/>
        <v/>
      </c>
      <c r="AH127" t="str">
        <f>IF($AF127="","",IFERROR(SUMIFS(SummaryHelper!$H$2:$H$5000,SummaryHelper!$A$2:$A$5000,$AE127,SummaryHelper!$B$2:$B$5000,$AF127,SummaryHelper!$C$2:$C$5000,$AG127)/SUMIFS(SummaryHelper!$G$2:$G$5000,SummaryHelper!$A$2:$A$5000,$AE127,SummaryHelper!$B$2:$B$5000,$AF127,SummaryHelper!$C$2:$C$5000,$AG127),""))</f>
        <v/>
      </c>
      <c r="AI127" t="str">
        <f>IF($AF127="","",SUMIFS(SummaryHelper!$E$2:$E$5000,SummaryHelper!$A$2:$A$5000,$AE127,SummaryHelper!$B$2:$B$5000,$AF127,SummaryHelper!$C$2:$C$5000,$AG127))</f>
        <v/>
      </c>
      <c r="AJ127" t="str">
        <f>IF($AF127="","",SUMIFS(SummaryHelper!$F$2:$F$5000,SummaryHelper!$A$2:$A$5000,$AE127,SummaryHelper!$B$2:$B$5000,$AF127,SummaryHelper!$C$2:$C$5000,$AG127))</f>
        <v/>
      </c>
      <c r="AK127" t="str">
        <f>IF($AF127="","",SUMIFS(SummaryHelper!$G$2:$G$5000,SummaryHelper!$A$2:$A$5000,$AE127,SummaryHelper!$B$2:$B$5000,$AF127,SummaryHelper!$C$2:$C$5000,$AG127))</f>
        <v/>
      </c>
      <c r="AM127" t="str">
        <f t="shared" si="22"/>
        <v/>
      </c>
      <c r="AN127" t="str">
        <f t="shared" si="23"/>
        <v/>
      </c>
    </row>
    <row r="128" spans="1:40" x14ac:dyDescent="0.25">
      <c r="A128" s="12"/>
      <c r="B128" s="23" t="str">
        <f t="shared" si="24"/>
        <v/>
      </c>
      <c r="C128" s="9" t="str">
        <f t="shared" ca="1" si="13"/>
        <v/>
      </c>
      <c r="D128" s="9" t="str">
        <f t="shared" ca="1" si="14"/>
        <v/>
      </c>
      <c r="E128" s="9" t="str">
        <f t="shared" ca="1" si="15"/>
        <v/>
      </c>
      <c r="F128" s="9" t="str">
        <f t="shared" si="16"/>
        <v/>
      </c>
      <c r="G128" s="9">
        <f t="shared" si="17"/>
        <v>0</v>
      </c>
      <c r="L128" s="9" t="str">
        <f>IF($J128="","",IFERROR(SUMIFS(SummaryHelper!$H$2:$H$5000,SummaryHelper!$A$2:$A$5000,$I128,SummaryHelper!$B$2:$B$5000,$J128,SummaryHelper!$C$2:$C$5000,$K128)/SUMIFS(SummaryHelper!$G$2:$G$5000,SummaryHelper!$A$2:$A$5000,$I128,SummaryHelper!$B$2:$B$5000,$J128,SummaryHelper!$C$2:$C$5000,$K128),""))</f>
        <v/>
      </c>
      <c r="M128" s="9" t="str">
        <f>IF($J128="","",SUMIFS(SummaryHelper!$E$2:$E$5000,SummaryHelper!$A$2:$A$5000,$I128,SummaryHelper!$B$2:$B$5000,$J128,SummaryHelper!$C$2:$C$5000,$K128))</f>
        <v/>
      </c>
      <c r="N128" s="9" t="str">
        <f>IF($J128="","",SUMIFS(SummaryHelper!$F$2:$F$5000,SummaryHelper!$A$2:$A$5000,$I128,SummaryHelper!$B$2:$B$5000,$J128,SummaryHelper!$C$2:$C$5000,$K128))</f>
        <v/>
      </c>
      <c r="O128" s="9" t="str">
        <f>IF($J128="","",SUMIFS(SummaryHelper!$G$2:$G$5000,SummaryHelper!$A$2:$A$5000,$I128,SummaryHelper!$B$2:$B$5000,$J128,SummaryHelper!$C$2:$C$5000,$K128))</f>
        <v/>
      </c>
      <c r="Q128" s="9" t="str">
        <f t="shared" si="18"/>
        <v/>
      </c>
      <c r="R128" s="9" t="str">
        <f t="shared" si="19"/>
        <v/>
      </c>
      <c r="W128" s="9" t="str">
        <f>IF($U128="","",IFERROR(SUMIFS(SummaryHelper!$H$2:$H$5000,SummaryHelper!$A$2:$A$5000,$T128,SummaryHelper!$B$2:$B$5000,$U128,SummaryHelper!$C$2:$C$5000,$V128)/SUMIFS(SummaryHelper!$G$2:$G$5000,SummaryHelper!$A$2:$A$5000,$T128,SummaryHelper!$B$2:$B$5000,$U128,SummaryHelper!$C$2:$C$5000,$V128),""))</f>
        <v/>
      </c>
      <c r="X128" s="9" t="str">
        <f>IF($U128="","",SUMIFS(SummaryHelper!$E$2:$E$5000,SummaryHelper!$A$2:$A$5000,$T128,SummaryHelper!$B$2:$B$5000,$U128,SummaryHelper!$C$2:$C$5000,$V128))</f>
        <v/>
      </c>
      <c r="Y128" s="9" t="str">
        <f>IF($U128="","",SUMIFS(SummaryHelper!$F$2:$F$5000,SummaryHelper!$A$2:$A$5000,$T128,SummaryHelper!$B$2:$B$5000,$U128,SummaryHelper!$C$2:$C$5000,$V128))</f>
        <v/>
      </c>
      <c r="Z128" s="9" t="str">
        <f>IF($U128="","",SUMIFS(SummaryHelper!$G$2:$G$5000,SummaryHelper!$A$2:$A$5000,$T128,SummaryHelper!$B$2:$B$5000,$U128,SummaryHelper!$C$2:$C$5000,$V128))</f>
        <v/>
      </c>
      <c r="AB128" s="9" t="str">
        <f t="shared" si="20"/>
        <v/>
      </c>
      <c r="AC128" s="9" t="str">
        <f t="shared" si="21"/>
        <v/>
      </c>
      <c r="AH128" t="str">
        <f>IF($AF128="","",IFERROR(SUMIFS(SummaryHelper!$H$2:$H$5000,SummaryHelper!$A$2:$A$5000,$AE128,SummaryHelper!$B$2:$B$5000,$AF128,SummaryHelper!$C$2:$C$5000,$AG128)/SUMIFS(SummaryHelper!$G$2:$G$5000,SummaryHelper!$A$2:$A$5000,$AE128,SummaryHelper!$B$2:$B$5000,$AF128,SummaryHelper!$C$2:$C$5000,$AG128),""))</f>
        <v/>
      </c>
      <c r="AI128" t="str">
        <f>IF($AF128="","",SUMIFS(SummaryHelper!$E$2:$E$5000,SummaryHelper!$A$2:$A$5000,$AE128,SummaryHelper!$B$2:$B$5000,$AF128,SummaryHelper!$C$2:$C$5000,$AG128))</f>
        <v/>
      </c>
      <c r="AJ128" t="str">
        <f>IF($AF128="","",SUMIFS(SummaryHelper!$F$2:$F$5000,SummaryHelper!$A$2:$A$5000,$AE128,SummaryHelper!$B$2:$B$5000,$AF128,SummaryHelper!$C$2:$C$5000,$AG128))</f>
        <v/>
      </c>
      <c r="AK128" t="str">
        <f>IF($AF128="","",SUMIFS(SummaryHelper!$G$2:$G$5000,SummaryHelper!$A$2:$A$5000,$AE128,SummaryHelper!$B$2:$B$5000,$AF128,SummaryHelper!$C$2:$C$5000,$AG128))</f>
        <v/>
      </c>
      <c r="AM128" t="str">
        <f t="shared" si="22"/>
        <v/>
      </c>
      <c r="AN128" t="str">
        <f t="shared" si="23"/>
        <v/>
      </c>
    </row>
    <row r="129" spans="1:40" x14ac:dyDescent="0.25">
      <c r="A129" s="12"/>
      <c r="B129" s="23" t="str">
        <f t="shared" si="24"/>
        <v/>
      </c>
      <c r="C129" s="9" t="str">
        <f t="shared" ca="1" si="13"/>
        <v/>
      </c>
      <c r="D129" s="9" t="str">
        <f t="shared" ca="1" si="14"/>
        <v/>
      </c>
      <c r="E129" s="9" t="str">
        <f t="shared" ca="1" si="15"/>
        <v/>
      </c>
      <c r="F129" s="9" t="str">
        <f t="shared" si="16"/>
        <v/>
      </c>
      <c r="G129" s="9">
        <f t="shared" si="17"/>
        <v>0</v>
      </c>
      <c r="L129" s="9" t="str">
        <f>IF($J129="","",IFERROR(SUMIFS(SummaryHelper!$H$2:$H$5000,SummaryHelper!$A$2:$A$5000,$I129,SummaryHelper!$B$2:$B$5000,$J129,SummaryHelper!$C$2:$C$5000,$K129)/SUMIFS(SummaryHelper!$G$2:$G$5000,SummaryHelper!$A$2:$A$5000,$I129,SummaryHelper!$B$2:$B$5000,$J129,SummaryHelper!$C$2:$C$5000,$K129),""))</f>
        <v/>
      </c>
      <c r="M129" s="9" t="str">
        <f>IF($J129="","",SUMIFS(SummaryHelper!$E$2:$E$5000,SummaryHelper!$A$2:$A$5000,$I129,SummaryHelper!$B$2:$B$5000,$J129,SummaryHelper!$C$2:$C$5000,$K129))</f>
        <v/>
      </c>
      <c r="N129" s="9" t="str">
        <f>IF($J129="","",SUMIFS(SummaryHelper!$F$2:$F$5000,SummaryHelper!$A$2:$A$5000,$I129,SummaryHelper!$B$2:$B$5000,$J129,SummaryHelper!$C$2:$C$5000,$K129))</f>
        <v/>
      </c>
      <c r="O129" s="9" t="str">
        <f>IF($J129="","",SUMIFS(SummaryHelper!$G$2:$G$5000,SummaryHelper!$A$2:$A$5000,$I129,SummaryHelper!$B$2:$B$5000,$J129,SummaryHelper!$C$2:$C$5000,$K129))</f>
        <v/>
      </c>
      <c r="Q129" s="9" t="str">
        <f t="shared" si="18"/>
        <v/>
      </c>
      <c r="R129" s="9" t="str">
        <f t="shared" si="19"/>
        <v/>
      </c>
      <c r="W129" s="9" t="str">
        <f>IF($U129="","",IFERROR(SUMIFS(SummaryHelper!$H$2:$H$5000,SummaryHelper!$A$2:$A$5000,$T129,SummaryHelper!$B$2:$B$5000,$U129,SummaryHelper!$C$2:$C$5000,$V129)/SUMIFS(SummaryHelper!$G$2:$G$5000,SummaryHelper!$A$2:$A$5000,$T129,SummaryHelper!$B$2:$B$5000,$U129,SummaryHelper!$C$2:$C$5000,$V129),""))</f>
        <v/>
      </c>
      <c r="X129" s="9" t="str">
        <f>IF($U129="","",SUMIFS(SummaryHelper!$E$2:$E$5000,SummaryHelper!$A$2:$A$5000,$T129,SummaryHelper!$B$2:$B$5000,$U129,SummaryHelper!$C$2:$C$5000,$V129))</f>
        <v/>
      </c>
      <c r="Y129" s="9" t="str">
        <f>IF($U129="","",SUMIFS(SummaryHelper!$F$2:$F$5000,SummaryHelper!$A$2:$A$5000,$T129,SummaryHelper!$B$2:$B$5000,$U129,SummaryHelper!$C$2:$C$5000,$V129))</f>
        <v/>
      </c>
      <c r="Z129" s="9" t="str">
        <f>IF($U129="","",SUMIFS(SummaryHelper!$G$2:$G$5000,SummaryHelper!$A$2:$A$5000,$T129,SummaryHelper!$B$2:$B$5000,$U129,SummaryHelper!$C$2:$C$5000,$V129))</f>
        <v/>
      </c>
      <c r="AB129" s="9" t="str">
        <f t="shared" si="20"/>
        <v/>
      </c>
      <c r="AC129" s="9" t="str">
        <f t="shared" si="21"/>
        <v/>
      </c>
      <c r="AH129" t="str">
        <f>IF($AF129="","",IFERROR(SUMIFS(SummaryHelper!$H$2:$H$5000,SummaryHelper!$A$2:$A$5000,$AE129,SummaryHelper!$B$2:$B$5000,$AF129,SummaryHelper!$C$2:$C$5000,$AG129)/SUMIFS(SummaryHelper!$G$2:$G$5000,SummaryHelper!$A$2:$A$5000,$AE129,SummaryHelper!$B$2:$B$5000,$AF129,SummaryHelper!$C$2:$C$5000,$AG129),""))</f>
        <v/>
      </c>
      <c r="AI129" t="str">
        <f>IF($AF129="","",SUMIFS(SummaryHelper!$E$2:$E$5000,SummaryHelper!$A$2:$A$5000,$AE129,SummaryHelper!$B$2:$B$5000,$AF129,SummaryHelper!$C$2:$C$5000,$AG129))</f>
        <v/>
      </c>
      <c r="AJ129" t="str">
        <f>IF($AF129="","",SUMIFS(SummaryHelper!$F$2:$F$5000,SummaryHelper!$A$2:$A$5000,$AE129,SummaryHelper!$B$2:$B$5000,$AF129,SummaryHelper!$C$2:$C$5000,$AG129))</f>
        <v/>
      </c>
      <c r="AK129" t="str">
        <f>IF($AF129="","",SUMIFS(SummaryHelper!$G$2:$G$5000,SummaryHelper!$A$2:$A$5000,$AE129,SummaryHelper!$B$2:$B$5000,$AF129,SummaryHelper!$C$2:$C$5000,$AG129))</f>
        <v/>
      </c>
      <c r="AM129" t="str">
        <f t="shared" si="22"/>
        <v/>
      </c>
      <c r="AN129" t="str">
        <f t="shared" si="23"/>
        <v/>
      </c>
    </row>
    <row r="130" spans="1:40" x14ac:dyDescent="0.25">
      <c r="A130" s="12"/>
      <c r="B130" s="23" t="str">
        <f t="shared" si="24"/>
        <v/>
      </c>
      <c r="C130" s="9" t="str">
        <f t="shared" ca="1" si="13"/>
        <v/>
      </c>
      <c r="D130" s="9" t="str">
        <f t="shared" ca="1" si="14"/>
        <v/>
      </c>
      <c r="E130" s="9" t="str">
        <f t="shared" ca="1" si="15"/>
        <v/>
      </c>
      <c r="F130" s="9" t="str">
        <f t="shared" si="16"/>
        <v/>
      </c>
      <c r="G130" s="9">
        <f t="shared" si="17"/>
        <v>0</v>
      </c>
      <c r="L130" s="9" t="str">
        <f>IF($J130="","",IFERROR(SUMIFS(SummaryHelper!$H$2:$H$5000,SummaryHelper!$A$2:$A$5000,$I130,SummaryHelper!$B$2:$B$5000,$J130,SummaryHelper!$C$2:$C$5000,$K130)/SUMIFS(SummaryHelper!$G$2:$G$5000,SummaryHelper!$A$2:$A$5000,$I130,SummaryHelper!$B$2:$B$5000,$J130,SummaryHelper!$C$2:$C$5000,$K130),""))</f>
        <v/>
      </c>
      <c r="M130" s="9" t="str">
        <f>IF($J130="","",SUMIFS(SummaryHelper!$E$2:$E$5000,SummaryHelper!$A$2:$A$5000,$I130,SummaryHelper!$B$2:$B$5000,$J130,SummaryHelper!$C$2:$C$5000,$K130))</f>
        <v/>
      </c>
      <c r="N130" s="9" t="str">
        <f>IF($J130="","",SUMIFS(SummaryHelper!$F$2:$F$5000,SummaryHelper!$A$2:$A$5000,$I130,SummaryHelper!$B$2:$B$5000,$J130,SummaryHelper!$C$2:$C$5000,$K130))</f>
        <v/>
      </c>
      <c r="O130" s="9" t="str">
        <f>IF($J130="","",SUMIFS(SummaryHelper!$G$2:$G$5000,SummaryHelper!$A$2:$A$5000,$I130,SummaryHelper!$B$2:$B$5000,$J130,SummaryHelper!$C$2:$C$5000,$K130))</f>
        <v/>
      </c>
      <c r="Q130" s="9" t="str">
        <f t="shared" si="18"/>
        <v/>
      </c>
      <c r="R130" s="9" t="str">
        <f t="shared" si="19"/>
        <v/>
      </c>
      <c r="W130" s="9" t="str">
        <f>IF($U130="","",IFERROR(SUMIFS(SummaryHelper!$H$2:$H$5000,SummaryHelper!$A$2:$A$5000,$T130,SummaryHelper!$B$2:$B$5000,$U130,SummaryHelper!$C$2:$C$5000,$V130)/SUMIFS(SummaryHelper!$G$2:$G$5000,SummaryHelper!$A$2:$A$5000,$T130,SummaryHelper!$B$2:$B$5000,$U130,SummaryHelper!$C$2:$C$5000,$V130),""))</f>
        <v/>
      </c>
      <c r="X130" s="9" t="str">
        <f>IF($U130="","",SUMIFS(SummaryHelper!$E$2:$E$5000,SummaryHelper!$A$2:$A$5000,$T130,SummaryHelper!$B$2:$B$5000,$U130,SummaryHelper!$C$2:$C$5000,$V130))</f>
        <v/>
      </c>
      <c r="Y130" s="9" t="str">
        <f>IF($U130="","",SUMIFS(SummaryHelper!$F$2:$F$5000,SummaryHelper!$A$2:$A$5000,$T130,SummaryHelper!$B$2:$B$5000,$U130,SummaryHelper!$C$2:$C$5000,$V130))</f>
        <v/>
      </c>
      <c r="Z130" s="9" t="str">
        <f>IF($U130="","",SUMIFS(SummaryHelper!$G$2:$G$5000,SummaryHelper!$A$2:$A$5000,$T130,SummaryHelper!$B$2:$B$5000,$U130,SummaryHelper!$C$2:$C$5000,$V130))</f>
        <v/>
      </c>
      <c r="AB130" s="9" t="str">
        <f t="shared" si="20"/>
        <v/>
      </c>
      <c r="AC130" s="9" t="str">
        <f t="shared" si="21"/>
        <v/>
      </c>
      <c r="AH130" t="str">
        <f>IF($AF130="","",IFERROR(SUMIFS(SummaryHelper!$H$2:$H$5000,SummaryHelper!$A$2:$A$5000,$AE130,SummaryHelper!$B$2:$B$5000,$AF130,SummaryHelper!$C$2:$C$5000,$AG130)/SUMIFS(SummaryHelper!$G$2:$G$5000,SummaryHelper!$A$2:$A$5000,$AE130,SummaryHelper!$B$2:$B$5000,$AF130,SummaryHelper!$C$2:$C$5000,$AG130),""))</f>
        <v/>
      </c>
      <c r="AI130" t="str">
        <f>IF($AF130="","",SUMIFS(SummaryHelper!$E$2:$E$5000,SummaryHelper!$A$2:$A$5000,$AE130,SummaryHelper!$B$2:$B$5000,$AF130,SummaryHelper!$C$2:$C$5000,$AG130))</f>
        <v/>
      </c>
      <c r="AJ130" t="str">
        <f>IF($AF130="","",SUMIFS(SummaryHelper!$F$2:$F$5000,SummaryHelper!$A$2:$A$5000,$AE130,SummaryHelper!$B$2:$B$5000,$AF130,SummaryHelper!$C$2:$C$5000,$AG130))</f>
        <v/>
      </c>
      <c r="AK130" t="str">
        <f>IF($AF130="","",SUMIFS(SummaryHelper!$G$2:$G$5000,SummaryHelper!$A$2:$A$5000,$AE130,SummaryHelper!$B$2:$B$5000,$AF130,SummaryHelper!$C$2:$C$5000,$AG130))</f>
        <v/>
      </c>
      <c r="AM130" t="str">
        <f t="shared" si="22"/>
        <v/>
      </c>
      <c r="AN130" t="str">
        <f t="shared" si="23"/>
        <v/>
      </c>
    </row>
    <row r="131" spans="1:40" x14ac:dyDescent="0.25">
      <c r="A131" s="12"/>
      <c r="B131" s="23" t="str">
        <f t="shared" si="24"/>
        <v/>
      </c>
      <c r="C131" s="9" t="str">
        <f t="shared" ca="1" si="13"/>
        <v/>
      </c>
      <c r="D131" s="9" t="str">
        <f t="shared" ca="1" si="14"/>
        <v/>
      </c>
      <c r="E131" s="9" t="str">
        <f t="shared" ca="1" si="15"/>
        <v/>
      </c>
      <c r="F131" s="9" t="str">
        <f t="shared" si="16"/>
        <v/>
      </c>
      <c r="G131" s="9">
        <f t="shared" si="17"/>
        <v>0</v>
      </c>
      <c r="L131" s="9" t="str">
        <f>IF($J131="","",IFERROR(SUMIFS(SummaryHelper!$H$2:$H$5000,SummaryHelper!$A$2:$A$5000,$I131,SummaryHelper!$B$2:$B$5000,$J131,SummaryHelper!$C$2:$C$5000,$K131)/SUMIFS(SummaryHelper!$G$2:$G$5000,SummaryHelper!$A$2:$A$5000,$I131,SummaryHelper!$B$2:$B$5000,$J131,SummaryHelper!$C$2:$C$5000,$K131),""))</f>
        <v/>
      </c>
      <c r="M131" s="9" t="str">
        <f>IF($J131="","",SUMIFS(SummaryHelper!$E$2:$E$5000,SummaryHelper!$A$2:$A$5000,$I131,SummaryHelper!$B$2:$B$5000,$J131,SummaryHelper!$C$2:$C$5000,$K131))</f>
        <v/>
      </c>
      <c r="N131" s="9" t="str">
        <f>IF($J131="","",SUMIFS(SummaryHelper!$F$2:$F$5000,SummaryHelper!$A$2:$A$5000,$I131,SummaryHelper!$B$2:$B$5000,$J131,SummaryHelper!$C$2:$C$5000,$K131))</f>
        <v/>
      </c>
      <c r="O131" s="9" t="str">
        <f>IF($J131="","",SUMIFS(SummaryHelper!$G$2:$G$5000,SummaryHelper!$A$2:$A$5000,$I131,SummaryHelper!$B$2:$B$5000,$J131,SummaryHelper!$C$2:$C$5000,$K131))</f>
        <v/>
      </c>
      <c r="Q131" s="9" t="str">
        <f t="shared" si="18"/>
        <v/>
      </c>
      <c r="R131" s="9" t="str">
        <f t="shared" si="19"/>
        <v/>
      </c>
      <c r="W131" s="9" t="str">
        <f>IF($U131="","",IFERROR(SUMIFS(SummaryHelper!$H$2:$H$5000,SummaryHelper!$A$2:$A$5000,$T131,SummaryHelper!$B$2:$B$5000,$U131,SummaryHelper!$C$2:$C$5000,$V131)/SUMIFS(SummaryHelper!$G$2:$G$5000,SummaryHelper!$A$2:$A$5000,$T131,SummaryHelper!$B$2:$B$5000,$U131,SummaryHelper!$C$2:$C$5000,$V131),""))</f>
        <v/>
      </c>
      <c r="X131" s="9" t="str">
        <f>IF($U131="","",SUMIFS(SummaryHelper!$E$2:$E$5000,SummaryHelper!$A$2:$A$5000,$T131,SummaryHelper!$B$2:$B$5000,$U131,SummaryHelper!$C$2:$C$5000,$V131))</f>
        <v/>
      </c>
      <c r="Y131" s="9" t="str">
        <f>IF($U131="","",SUMIFS(SummaryHelper!$F$2:$F$5000,SummaryHelper!$A$2:$A$5000,$T131,SummaryHelper!$B$2:$B$5000,$U131,SummaryHelper!$C$2:$C$5000,$V131))</f>
        <v/>
      </c>
      <c r="Z131" s="9" t="str">
        <f>IF($U131="","",SUMIFS(SummaryHelper!$G$2:$G$5000,SummaryHelper!$A$2:$A$5000,$T131,SummaryHelper!$B$2:$B$5000,$U131,SummaryHelper!$C$2:$C$5000,$V131))</f>
        <v/>
      </c>
      <c r="AB131" s="9" t="str">
        <f t="shared" si="20"/>
        <v/>
      </c>
      <c r="AC131" s="9" t="str">
        <f t="shared" si="21"/>
        <v/>
      </c>
      <c r="AH131" t="str">
        <f>IF($AF131="","",IFERROR(SUMIFS(SummaryHelper!$H$2:$H$5000,SummaryHelper!$A$2:$A$5000,$AE131,SummaryHelper!$B$2:$B$5000,$AF131,SummaryHelper!$C$2:$C$5000,$AG131)/SUMIFS(SummaryHelper!$G$2:$G$5000,SummaryHelper!$A$2:$A$5000,$AE131,SummaryHelper!$B$2:$B$5000,$AF131,SummaryHelper!$C$2:$C$5000,$AG131),""))</f>
        <v/>
      </c>
      <c r="AI131" t="str">
        <f>IF($AF131="","",SUMIFS(SummaryHelper!$E$2:$E$5000,SummaryHelper!$A$2:$A$5000,$AE131,SummaryHelper!$B$2:$B$5000,$AF131,SummaryHelper!$C$2:$C$5000,$AG131))</f>
        <v/>
      </c>
      <c r="AJ131" t="str">
        <f>IF($AF131="","",SUMIFS(SummaryHelper!$F$2:$F$5000,SummaryHelper!$A$2:$A$5000,$AE131,SummaryHelper!$B$2:$B$5000,$AF131,SummaryHelper!$C$2:$C$5000,$AG131))</f>
        <v/>
      </c>
      <c r="AK131" t="str">
        <f>IF($AF131="","",SUMIFS(SummaryHelper!$G$2:$G$5000,SummaryHelper!$A$2:$A$5000,$AE131,SummaryHelper!$B$2:$B$5000,$AF131,SummaryHelper!$C$2:$C$5000,$AG131))</f>
        <v/>
      </c>
      <c r="AM131" t="str">
        <f t="shared" si="22"/>
        <v/>
      </c>
      <c r="AN131" t="str">
        <f t="shared" si="23"/>
        <v/>
      </c>
    </row>
    <row r="132" spans="1:40" x14ac:dyDescent="0.25">
      <c r="A132" s="12"/>
      <c r="B132" s="23" t="str">
        <f t="shared" si="24"/>
        <v/>
      </c>
      <c r="C132" s="9" t="str">
        <f t="shared" ref="C132:C195" ca="1" si="25">_xlfn.LET(_xlpm.sh,IFERROR(MID($B132,SEARCH("S",$B132),3),$B132),IF($B132="","",IFERROR(SUMIFS(INDIRECT("'"&amp;_xlpm.sh&amp;"'!N3:N300"),INDIRECT("'"&amp;_xlpm.sh&amp;"'!F3:F300"),"&lt;&gt;",INDIRECT("'"&amp;_xlpm.sh&amp;"'!H3:H300"),"&lt;&gt;"),0)))</f>
        <v/>
      </c>
      <c r="D132" s="9" t="str">
        <f t="shared" ref="D132:D195" ca="1" si="26">_xlfn.LET(_xlpm.sh,IFERROR(MID($B132,SEARCH("S",$B132),3),$B132),IF($B132="","",IFERROR(SUMIFS(INDIRECT("'"&amp;_xlpm.sh&amp;"'!Y3:Y300"),INDIRECT("'"&amp;_xlpm.sh&amp;"'!Q3:Q300"),"&lt;&gt;",INDIRECT("'"&amp;_xlpm.sh&amp;"'!S3:S300"),"&lt;&gt;"),0)))</f>
        <v/>
      </c>
      <c r="E132" s="9" t="str">
        <f t="shared" ref="E132:E195" ca="1" si="27">_xlfn.LET(_xlpm.sh,IFERROR(MID($B132,SEARCH("S",$B132),3),$B132),IF($B132="","",IFERROR(SUMIFS(INDIRECT("'"&amp;_xlpm.sh&amp;"'!AJ3:AJ300"),INDIRECT("'"&amp;_xlpm.sh&amp;"'!AB3:AB300"),"&lt;&gt;",INDIRECT("'"&amp;_xlpm.sh&amp;"'!AD3:AD300"),"&lt;&gt;"),0)))</f>
        <v/>
      </c>
      <c r="F132" s="9" t="str">
        <f t="shared" ref="F132:F195" si="28">IF($B132="","",C132+D132+E132)</f>
        <v/>
      </c>
      <c r="G132" s="9">
        <f t="shared" ref="G132:G195" si="29">IF($A132=1,$F132,0)</f>
        <v>0</v>
      </c>
      <c r="L132" s="9" t="str">
        <f>IF($J132="","",IFERROR(SUMIFS(SummaryHelper!$H$2:$H$5000,SummaryHelper!$A$2:$A$5000,$I132,SummaryHelper!$B$2:$B$5000,$J132,SummaryHelper!$C$2:$C$5000,$K132)/SUMIFS(SummaryHelper!$G$2:$G$5000,SummaryHelper!$A$2:$A$5000,$I132,SummaryHelper!$B$2:$B$5000,$J132,SummaryHelper!$C$2:$C$5000,$K132),""))</f>
        <v/>
      </c>
      <c r="M132" s="9" t="str">
        <f>IF($J132="","",SUMIFS(SummaryHelper!$E$2:$E$5000,SummaryHelper!$A$2:$A$5000,$I132,SummaryHelper!$B$2:$B$5000,$J132,SummaryHelper!$C$2:$C$5000,$K132))</f>
        <v/>
      </c>
      <c r="N132" s="9" t="str">
        <f>IF($J132="","",SUMIFS(SummaryHelper!$F$2:$F$5000,SummaryHelper!$A$2:$A$5000,$I132,SummaryHelper!$B$2:$B$5000,$J132,SummaryHelper!$C$2:$C$5000,$K132))</f>
        <v/>
      </c>
      <c r="O132" s="9" t="str">
        <f>IF($J132="","",SUMIFS(SummaryHelper!$G$2:$G$5000,SummaryHelper!$A$2:$A$5000,$I132,SummaryHelper!$B$2:$B$5000,$J132,SummaryHelper!$C$2:$C$5000,$K132))</f>
        <v/>
      </c>
      <c r="Q132" s="9" t="str">
        <f t="shared" ref="Q132:Q195" si="30">IF($J132="","",IF($P132="",ROUNDUP($O132,0),$P132))</f>
        <v/>
      </c>
      <c r="R132" s="9" t="str">
        <f t="shared" ref="R132:R195" si="31">IF($J132="","",$Q132*$L132)</f>
        <v/>
      </c>
      <c r="W132" s="9" t="str">
        <f>IF($U132="","",IFERROR(SUMIFS(SummaryHelper!$H$2:$H$5000,SummaryHelper!$A$2:$A$5000,$T132,SummaryHelper!$B$2:$B$5000,$U132,SummaryHelper!$C$2:$C$5000,$V132)/SUMIFS(SummaryHelper!$G$2:$G$5000,SummaryHelper!$A$2:$A$5000,$T132,SummaryHelper!$B$2:$B$5000,$U132,SummaryHelper!$C$2:$C$5000,$V132),""))</f>
        <v/>
      </c>
      <c r="X132" s="9" t="str">
        <f>IF($U132="","",SUMIFS(SummaryHelper!$E$2:$E$5000,SummaryHelper!$A$2:$A$5000,$T132,SummaryHelper!$B$2:$B$5000,$U132,SummaryHelper!$C$2:$C$5000,$V132))</f>
        <v/>
      </c>
      <c r="Y132" s="9" t="str">
        <f>IF($U132="","",SUMIFS(SummaryHelper!$F$2:$F$5000,SummaryHelper!$A$2:$A$5000,$T132,SummaryHelper!$B$2:$B$5000,$U132,SummaryHelper!$C$2:$C$5000,$V132))</f>
        <v/>
      </c>
      <c r="Z132" s="9" t="str">
        <f>IF($U132="","",SUMIFS(SummaryHelper!$G$2:$G$5000,SummaryHelper!$A$2:$A$5000,$T132,SummaryHelper!$B$2:$B$5000,$U132,SummaryHelper!$C$2:$C$5000,$V132))</f>
        <v/>
      </c>
      <c r="AB132" s="9" t="str">
        <f t="shared" ref="AB132:AB195" si="32">IF($U132="","",IF($AA132="",$Z132,$AA132))</f>
        <v/>
      </c>
      <c r="AC132" s="9" t="str">
        <f t="shared" ref="AC132:AC195" si="33">IF($U132="","",$AB132*$W132)</f>
        <v/>
      </c>
      <c r="AH132" t="str">
        <f>IF($AF132="","",IFERROR(SUMIFS(SummaryHelper!$H$2:$H$5000,SummaryHelper!$A$2:$A$5000,$AE132,SummaryHelper!$B$2:$B$5000,$AF132,SummaryHelper!$C$2:$C$5000,$AG132)/SUMIFS(SummaryHelper!$G$2:$G$5000,SummaryHelper!$A$2:$A$5000,$AE132,SummaryHelper!$B$2:$B$5000,$AF132,SummaryHelper!$C$2:$C$5000,$AG132),""))</f>
        <v/>
      </c>
      <c r="AI132" t="str">
        <f>IF($AF132="","",SUMIFS(SummaryHelper!$E$2:$E$5000,SummaryHelper!$A$2:$A$5000,$AE132,SummaryHelper!$B$2:$B$5000,$AF132,SummaryHelper!$C$2:$C$5000,$AG132))</f>
        <v/>
      </c>
      <c r="AJ132" t="str">
        <f>IF($AF132="","",SUMIFS(SummaryHelper!$F$2:$F$5000,SummaryHelper!$A$2:$A$5000,$AE132,SummaryHelper!$B$2:$B$5000,$AF132,SummaryHelper!$C$2:$C$5000,$AG132))</f>
        <v/>
      </c>
      <c r="AK132" t="str">
        <f>IF($AF132="","",SUMIFS(SummaryHelper!$G$2:$G$5000,SummaryHelper!$A$2:$A$5000,$AE132,SummaryHelper!$B$2:$B$5000,$AF132,SummaryHelper!$C$2:$C$5000,$AG132))</f>
        <v/>
      </c>
      <c r="AM132" t="str">
        <f t="shared" ref="AM132:AM195" si="34">IF($AF132="","",IF($AL132="",$AK132,$AL132))</f>
        <v/>
      </c>
      <c r="AN132" t="str">
        <f t="shared" ref="AN132:AN195" si="35">IF($AF132="","",$AM132*$AH132)</f>
        <v/>
      </c>
    </row>
    <row r="133" spans="1:40" x14ac:dyDescent="0.25">
      <c r="A133" s="12"/>
      <c r="B133" s="23" t="str">
        <f t="shared" si="24"/>
        <v/>
      </c>
      <c r="C133" s="9" t="str">
        <f t="shared" ca="1" si="25"/>
        <v/>
      </c>
      <c r="D133" s="9" t="str">
        <f t="shared" ca="1" si="26"/>
        <v/>
      </c>
      <c r="E133" s="9" t="str">
        <f t="shared" ca="1" si="27"/>
        <v/>
      </c>
      <c r="F133" s="9" t="str">
        <f t="shared" si="28"/>
        <v/>
      </c>
      <c r="G133" s="9">
        <f t="shared" si="29"/>
        <v>0</v>
      </c>
      <c r="L133" s="9" t="str">
        <f>IF($J133="","",IFERROR(SUMIFS(SummaryHelper!$H$2:$H$5000,SummaryHelper!$A$2:$A$5000,$I133,SummaryHelper!$B$2:$B$5000,$J133,SummaryHelper!$C$2:$C$5000,$K133)/SUMIFS(SummaryHelper!$G$2:$G$5000,SummaryHelper!$A$2:$A$5000,$I133,SummaryHelper!$B$2:$B$5000,$J133,SummaryHelper!$C$2:$C$5000,$K133),""))</f>
        <v/>
      </c>
      <c r="M133" s="9" t="str">
        <f>IF($J133="","",SUMIFS(SummaryHelper!$E$2:$E$5000,SummaryHelper!$A$2:$A$5000,$I133,SummaryHelper!$B$2:$B$5000,$J133,SummaryHelper!$C$2:$C$5000,$K133))</f>
        <v/>
      </c>
      <c r="N133" s="9" t="str">
        <f>IF($J133="","",SUMIFS(SummaryHelper!$F$2:$F$5000,SummaryHelper!$A$2:$A$5000,$I133,SummaryHelper!$B$2:$B$5000,$J133,SummaryHelper!$C$2:$C$5000,$K133))</f>
        <v/>
      </c>
      <c r="O133" s="9" t="str">
        <f>IF($J133="","",SUMIFS(SummaryHelper!$G$2:$G$5000,SummaryHelper!$A$2:$A$5000,$I133,SummaryHelper!$B$2:$B$5000,$J133,SummaryHelper!$C$2:$C$5000,$K133))</f>
        <v/>
      </c>
      <c r="Q133" s="9" t="str">
        <f t="shared" si="30"/>
        <v/>
      </c>
      <c r="R133" s="9" t="str">
        <f t="shared" si="31"/>
        <v/>
      </c>
      <c r="W133" s="9" t="str">
        <f>IF($U133="","",IFERROR(SUMIFS(SummaryHelper!$H$2:$H$5000,SummaryHelper!$A$2:$A$5000,$T133,SummaryHelper!$B$2:$B$5000,$U133,SummaryHelper!$C$2:$C$5000,$V133)/SUMIFS(SummaryHelper!$G$2:$G$5000,SummaryHelper!$A$2:$A$5000,$T133,SummaryHelper!$B$2:$B$5000,$U133,SummaryHelper!$C$2:$C$5000,$V133),""))</f>
        <v/>
      </c>
      <c r="X133" s="9" t="str">
        <f>IF($U133="","",SUMIFS(SummaryHelper!$E$2:$E$5000,SummaryHelper!$A$2:$A$5000,$T133,SummaryHelper!$B$2:$B$5000,$U133,SummaryHelper!$C$2:$C$5000,$V133))</f>
        <v/>
      </c>
      <c r="Y133" s="9" t="str">
        <f>IF($U133="","",SUMIFS(SummaryHelper!$F$2:$F$5000,SummaryHelper!$A$2:$A$5000,$T133,SummaryHelper!$B$2:$B$5000,$U133,SummaryHelper!$C$2:$C$5000,$V133))</f>
        <v/>
      </c>
      <c r="Z133" s="9" t="str">
        <f>IF($U133="","",SUMIFS(SummaryHelper!$G$2:$G$5000,SummaryHelper!$A$2:$A$5000,$T133,SummaryHelper!$B$2:$B$5000,$U133,SummaryHelper!$C$2:$C$5000,$V133))</f>
        <v/>
      </c>
      <c r="AB133" s="9" t="str">
        <f t="shared" si="32"/>
        <v/>
      </c>
      <c r="AC133" s="9" t="str">
        <f t="shared" si="33"/>
        <v/>
      </c>
      <c r="AH133" t="str">
        <f>IF($AF133="","",IFERROR(SUMIFS(SummaryHelper!$H$2:$H$5000,SummaryHelper!$A$2:$A$5000,$AE133,SummaryHelper!$B$2:$B$5000,$AF133,SummaryHelper!$C$2:$C$5000,$AG133)/SUMIFS(SummaryHelper!$G$2:$G$5000,SummaryHelper!$A$2:$A$5000,$AE133,SummaryHelper!$B$2:$B$5000,$AF133,SummaryHelper!$C$2:$C$5000,$AG133),""))</f>
        <v/>
      </c>
      <c r="AI133" t="str">
        <f>IF($AF133="","",SUMIFS(SummaryHelper!$E$2:$E$5000,SummaryHelper!$A$2:$A$5000,$AE133,SummaryHelper!$B$2:$B$5000,$AF133,SummaryHelper!$C$2:$C$5000,$AG133))</f>
        <v/>
      </c>
      <c r="AJ133" t="str">
        <f>IF($AF133="","",SUMIFS(SummaryHelper!$F$2:$F$5000,SummaryHelper!$A$2:$A$5000,$AE133,SummaryHelper!$B$2:$B$5000,$AF133,SummaryHelper!$C$2:$C$5000,$AG133))</f>
        <v/>
      </c>
      <c r="AK133" t="str">
        <f>IF($AF133="","",SUMIFS(SummaryHelper!$G$2:$G$5000,SummaryHelper!$A$2:$A$5000,$AE133,SummaryHelper!$B$2:$B$5000,$AF133,SummaryHelper!$C$2:$C$5000,$AG133))</f>
        <v/>
      </c>
      <c r="AM133" t="str">
        <f t="shared" si="34"/>
        <v/>
      </c>
      <c r="AN133" t="str">
        <f t="shared" si="35"/>
        <v/>
      </c>
    </row>
    <row r="134" spans="1:40" x14ac:dyDescent="0.25">
      <c r="A134" s="12"/>
      <c r="B134" s="23" t="str">
        <f t="shared" si="24"/>
        <v/>
      </c>
      <c r="C134" s="9" t="str">
        <f t="shared" ca="1" si="25"/>
        <v/>
      </c>
      <c r="D134" s="9" t="str">
        <f t="shared" ca="1" si="26"/>
        <v/>
      </c>
      <c r="E134" s="9" t="str">
        <f t="shared" ca="1" si="27"/>
        <v/>
      </c>
      <c r="F134" s="9" t="str">
        <f t="shared" si="28"/>
        <v/>
      </c>
      <c r="G134" s="9">
        <f t="shared" si="29"/>
        <v>0</v>
      </c>
      <c r="L134" s="9" t="str">
        <f>IF($J134="","",IFERROR(SUMIFS(SummaryHelper!$H$2:$H$5000,SummaryHelper!$A$2:$A$5000,$I134,SummaryHelper!$B$2:$B$5000,$J134,SummaryHelper!$C$2:$C$5000,$K134)/SUMIFS(SummaryHelper!$G$2:$G$5000,SummaryHelper!$A$2:$A$5000,$I134,SummaryHelper!$B$2:$B$5000,$J134,SummaryHelper!$C$2:$C$5000,$K134),""))</f>
        <v/>
      </c>
      <c r="M134" s="9" t="str">
        <f>IF($J134="","",SUMIFS(SummaryHelper!$E$2:$E$5000,SummaryHelper!$A$2:$A$5000,$I134,SummaryHelper!$B$2:$B$5000,$J134,SummaryHelper!$C$2:$C$5000,$K134))</f>
        <v/>
      </c>
      <c r="N134" s="9" t="str">
        <f>IF($J134="","",SUMIFS(SummaryHelper!$F$2:$F$5000,SummaryHelper!$A$2:$A$5000,$I134,SummaryHelper!$B$2:$B$5000,$J134,SummaryHelper!$C$2:$C$5000,$K134))</f>
        <v/>
      </c>
      <c r="O134" s="9" t="str">
        <f>IF($J134="","",SUMIFS(SummaryHelper!$G$2:$G$5000,SummaryHelper!$A$2:$A$5000,$I134,SummaryHelper!$B$2:$B$5000,$J134,SummaryHelper!$C$2:$C$5000,$K134))</f>
        <v/>
      </c>
      <c r="Q134" s="9" t="str">
        <f t="shared" si="30"/>
        <v/>
      </c>
      <c r="R134" s="9" t="str">
        <f t="shared" si="31"/>
        <v/>
      </c>
      <c r="W134" s="9" t="str">
        <f>IF($U134="","",IFERROR(SUMIFS(SummaryHelper!$H$2:$H$5000,SummaryHelper!$A$2:$A$5000,$T134,SummaryHelper!$B$2:$B$5000,$U134,SummaryHelper!$C$2:$C$5000,$V134)/SUMIFS(SummaryHelper!$G$2:$G$5000,SummaryHelper!$A$2:$A$5000,$T134,SummaryHelper!$B$2:$B$5000,$U134,SummaryHelper!$C$2:$C$5000,$V134),""))</f>
        <v/>
      </c>
      <c r="X134" s="9" t="str">
        <f>IF($U134="","",SUMIFS(SummaryHelper!$E$2:$E$5000,SummaryHelper!$A$2:$A$5000,$T134,SummaryHelper!$B$2:$B$5000,$U134,SummaryHelper!$C$2:$C$5000,$V134))</f>
        <v/>
      </c>
      <c r="Y134" s="9" t="str">
        <f>IF($U134="","",SUMIFS(SummaryHelper!$F$2:$F$5000,SummaryHelper!$A$2:$A$5000,$T134,SummaryHelper!$B$2:$B$5000,$U134,SummaryHelper!$C$2:$C$5000,$V134))</f>
        <v/>
      </c>
      <c r="Z134" s="9" t="str">
        <f>IF($U134="","",SUMIFS(SummaryHelper!$G$2:$G$5000,SummaryHelper!$A$2:$A$5000,$T134,SummaryHelper!$B$2:$B$5000,$U134,SummaryHelper!$C$2:$C$5000,$V134))</f>
        <v/>
      </c>
      <c r="AB134" s="9" t="str">
        <f t="shared" si="32"/>
        <v/>
      </c>
      <c r="AC134" s="9" t="str">
        <f t="shared" si="33"/>
        <v/>
      </c>
      <c r="AH134" t="str">
        <f>IF($AF134="","",IFERROR(SUMIFS(SummaryHelper!$H$2:$H$5000,SummaryHelper!$A$2:$A$5000,$AE134,SummaryHelper!$B$2:$B$5000,$AF134,SummaryHelper!$C$2:$C$5000,$AG134)/SUMIFS(SummaryHelper!$G$2:$G$5000,SummaryHelper!$A$2:$A$5000,$AE134,SummaryHelper!$B$2:$B$5000,$AF134,SummaryHelper!$C$2:$C$5000,$AG134),""))</f>
        <v/>
      </c>
      <c r="AI134" t="str">
        <f>IF($AF134="","",SUMIFS(SummaryHelper!$E$2:$E$5000,SummaryHelper!$A$2:$A$5000,$AE134,SummaryHelper!$B$2:$B$5000,$AF134,SummaryHelper!$C$2:$C$5000,$AG134))</f>
        <v/>
      </c>
      <c r="AJ134" t="str">
        <f>IF($AF134="","",SUMIFS(SummaryHelper!$F$2:$F$5000,SummaryHelper!$A$2:$A$5000,$AE134,SummaryHelper!$B$2:$B$5000,$AF134,SummaryHelper!$C$2:$C$5000,$AG134))</f>
        <v/>
      </c>
      <c r="AK134" t="str">
        <f>IF($AF134="","",SUMIFS(SummaryHelper!$G$2:$G$5000,SummaryHelper!$A$2:$A$5000,$AE134,SummaryHelper!$B$2:$B$5000,$AF134,SummaryHelper!$C$2:$C$5000,$AG134))</f>
        <v/>
      </c>
      <c r="AM134" t="str">
        <f t="shared" si="34"/>
        <v/>
      </c>
      <c r="AN134" t="str">
        <f t="shared" si="35"/>
        <v/>
      </c>
    </row>
    <row r="135" spans="1:40" x14ac:dyDescent="0.25">
      <c r="A135" s="12"/>
      <c r="B135" s="23" t="str">
        <f t="shared" si="24"/>
        <v/>
      </c>
      <c r="C135" s="9" t="str">
        <f t="shared" ca="1" si="25"/>
        <v/>
      </c>
      <c r="D135" s="9" t="str">
        <f t="shared" ca="1" si="26"/>
        <v/>
      </c>
      <c r="E135" s="9" t="str">
        <f t="shared" ca="1" si="27"/>
        <v/>
      </c>
      <c r="F135" s="9" t="str">
        <f t="shared" si="28"/>
        <v/>
      </c>
      <c r="G135" s="9">
        <f t="shared" si="29"/>
        <v>0</v>
      </c>
      <c r="L135" s="9" t="str">
        <f>IF($J135="","",IFERROR(SUMIFS(SummaryHelper!$H$2:$H$5000,SummaryHelper!$A$2:$A$5000,$I135,SummaryHelper!$B$2:$B$5000,$J135,SummaryHelper!$C$2:$C$5000,$K135)/SUMIFS(SummaryHelper!$G$2:$G$5000,SummaryHelper!$A$2:$A$5000,$I135,SummaryHelper!$B$2:$B$5000,$J135,SummaryHelper!$C$2:$C$5000,$K135),""))</f>
        <v/>
      </c>
      <c r="M135" s="9" t="str">
        <f>IF($J135="","",SUMIFS(SummaryHelper!$E$2:$E$5000,SummaryHelper!$A$2:$A$5000,$I135,SummaryHelper!$B$2:$B$5000,$J135,SummaryHelper!$C$2:$C$5000,$K135))</f>
        <v/>
      </c>
      <c r="N135" s="9" t="str">
        <f>IF($J135="","",SUMIFS(SummaryHelper!$F$2:$F$5000,SummaryHelper!$A$2:$A$5000,$I135,SummaryHelper!$B$2:$B$5000,$J135,SummaryHelper!$C$2:$C$5000,$K135))</f>
        <v/>
      </c>
      <c r="O135" s="9" t="str">
        <f>IF($J135="","",SUMIFS(SummaryHelper!$G$2:$G$5000,SummaryHelper!$A$2:$A$5000,$I135,SummaryHelper!$B$2:$B$5000,$J135,SummaryHelper!$C$2:$C$5000,$K135))</f>
        <v/>
      </c>
      <c r="Q135" s="9" t="str">
        <f t="shared" si="30"/>
        <v/>
      </c>
      <c r="R135" s="9" t="str">
        <f t="shared" si="31"/>
        <v/>
      </c>
      <c r="W135" s="9" t="str">
        <f>IF($U135="","",IFERROR(SUMIFS(SummaryHelper!$H$2:$H$5000,SummaryHelper!$A$2:$A$5000,$T135,SummaryHelper!$B$2:$B$5000,$U135,SummaryHelper!$C$2:$C$5000,$V135)/SUMIFS(SummaryHelper!$G$2:$G$5000,SummaryHelper!$A$2:$A$5000,$T135,SummaryHelper!$B$2:$B$5000,$U135,SummaryHelper!$C$2:$C$5000,$V135),""))</f>
        <v/>
      </c>
      <c r="X135" s="9" t="str">
        <f>IF($U135="","",SUMIFS(SummaryHelper!$E$2:$E$5000,SummaryHelper!$A$2:$A$5000,$T135,SummaryHelper!$B$2:$B$5000,$U135,SummaryHelper!$C$2:$C$5000,$V135))</f>
        <v/>
      </c>
      <c r="Y135" s="9" t="str">
        <f>IF($U135="","",SUMIFS(SummaryHelper!$F$2:$F$5000,SummaryHelper!$A$2:$A$5000,$T135,SummaryHelper!$B$2:$B$5000,$U135,SummaryHelper!$C$2:$C$5000,$V135))</f>
        <v/>
      </c>
      <c r="Z135" s="9" t="str">
        <f>IF($U135="","",SUMIFS(SummaryHelper!$G$2:$G$5000,SummaryHelper!$A$2:$A$5000,$T135,SummaryHelper!$B$2:$B$5000,$U135,SummaryHelper!$C$2:$C$5000,$V135))</f>
        <v/>
      </c>
      <c r="AB135" s="9" t="str">
        <f t="shared" si="32"/>
        <v/>
      </c>
      <c r="AC135" s="9" t="str">
        <f t="shared" si="33"/>
        <v/>
      </c>
      <c r="AH135" t="str">
        <f>IF($AF135="","",IFERROR(SUMIFS(SummaryHelper!$H$2:$H$5000,SummaryHelper!$A$2:$A$5000,$AE135,SummaryHelper!$B$2:$B$5000,$AF135,SummaryHelper!$C$2:$C$5000,$AG135)/SUMIFS(SummaryHelper!$G$2:$G$5000,SummaryHelper!$A$2:$A$5000,$AE135,SummaryHelper!$B$2:$B$5000,$AF135,SummaryHelper!$C$2:$C$5000,$AG135),""))</f>
        <v/>
      </c>
      <c r="AI135" t="str">
        <f>IF($AF135="","",SUMIFS(SummaryHelper!$E$2:$E$5000,SummaryHelper!$A$2:$A$5000,$AE135,SummaryHelper!$B$2:$B$5000,$AF135,SummaryHelper!$C$2:$C$5000,$AG135))</f>
        <v/>
      </c>
      <c r="AJ135" t="str">
        <f>IF($AF135="","",SUMIFS(SummaryHelper!$F$2:$F$5000,SummaryHelper!$A$2:$A$5000,$AE135,SummaryHelper!$B$2:$B$5000,$AF135,SummaryHelper!$C$2:$C$5000,$AG135))</f>
        <v/>
      </c>
      <c r="AK135" t="str">
        <f>IF($AF135="","",SUMIFS(SummaryHelper!$G$2:$G$5000,SummaryHelper!$A$2:$A$5000,$AE135,SummaryHelper!$B$2:$B$5000,$AF135,SummaryHelper!$C$2:$C$5000,$AG135))</f>
        <v/>
      </c>
      <c r="AM135" t="str">
        <f t="shared" si="34"/>
        <v/>
      </c>
      <c r="AN135" t="str">
        <f t="shared" si="35"/>
        <v/>
      </c>
    </row>
    <row r="136" spans="1:40" x14ac:dyDescent="0.25">
      <c r="A136" s="12"/>
      <c r="B136" s="23" t="str">
        <f t="shared" si="24"/>
        <v/>
      </c>
      <c r="C136" s="9" t="str">
        <f t="shared" ca="1" si="25"/>
        <v/>
      </c>
      <c r="D136" s="9" t="str">
        <f t="shared" ca="1" si="26"/>
        <v/>
      </c>
      <c r="E136" s="9" t="str">
        <f t="shared" ca="1" si="27"/>
        <v/>
      </c>
      <c r="F136" s="9" t="str">
        <f t="shared" si="28"/>
        <v/>
      </c>
      <c r="G136" s="9">
        <f t="shared" si="29"/>
        <v>0</v>
      </c>
      <c r="L136" s="9" t="str">
        <f>IF($J136="","",IFERROR(SUMIFS(SummaryHelper!$H$2:$H$5000,SummaryHelper!$A$2:$A$5000,$I136,SummaryHelper!$B$2:$B$5000,$J136,SummaryHelper!$C$2:$C$5000,$K136)/SUMIFS(SummaryHelper!$G$2:$G$5000,SummaryHelper!$A$2:$A$5000,$I136,SummaryHelper!$B$2:$B$5000,$J136,SummaryHelper!$C$2:$C$5000,$K136),""))</f>
        <v/>
      </c>
      <c r="M136" s="9" t="str">
        <f>IF($J136="","",SUMIFS(SummaryHelper!$E$2:$E$5000,SummaryHelper!$A$2:$A$5000,$I136,SummaryHelper!$B$2:$B$5000,$J136,SummaryHelper!$C$2:$C$5000,$K136))</f>
        <v/>
      </c>
      <c r="N136" s="9" t="str">
        <f>IF($J136="","",SUMIFS(SummaryHelper!$F$2:$F$5000,SummaryHelper!$A$2:$A$5000,$I136,SummaryHelper!$B$2:$B$5000,$J136,SummaryHelper!$C$2:$C$5000,$K136))</f>
        <v/>
      </c>
      <c r="O136" s="9" t="str">
        <f>IF($J136="","",SUMIFS(SummaryHelper!$G$2:$G$5000,SummaryHelper!$A$2:$A$5000,$I136,SummaryHelper!$B$2:$B$5000,$J136,SummaryHelper!$C$2:$C$5000,$K136))</f>
        <v/>
      </c>
      <c r="Q136" s="9" t="str">
        <f t="shared" si="30"/>
        <v/>
      </c>
      <c r="R136" s="9" t="str">
        <f t="shared" si="31"/>
        <v/>
      </c>
      <c r="W136" s="9" t="str">
        <f>IF($U136="","",IFERROR(SUMIFS(SummaryHelper!$H$2:$H$5000,SummaryHelper!$A$2:$A$5000,$T136,SummaryHelper!$B$2:$B$5000,$U136,SummaryHelper!$C$2:$C$5000,$V136)/SUMIFS(SummaryHelper!$G$2:$G$5000,SummaryHelper!$A$2:$A$5000,$T136,SummaryHelper!$B$2:$B$5000,$U136,SummaryHelper!$C$2:$C$5000,$V136),""))</f>
        <v/>
      </c>
      <c r="X136" s="9" t="str">
        <f>IF($U136="","",SUMIFS(SummaryHelper!$E$2:$E$5000,SummaryHelper!$A$2:$A$5000,$T136,SummaryHelper!$B$2:$B$5000,$U136,SummaryHelper!$C$2:$C$5000,$V136))</f>
        <v/>
      </c>
      <c r="Y136" s="9" t="str">
        <f>IF($U136="","",SUMIFS(SummaryHelper!$F$2:$F$5000,SummaryHelper!$A$2:$A$5000,$T136,SummaryHelper!$B$2:$B$5000,$U136,SummaryHelper!$C$2:$C$5000,$V136))</f>
        <v/>
      </c>
      <c r="Z136" s="9" t="str">
        <f>IF($U136="","",SUMIFS(SummaryHelper!$G$2:$G$5000,SummaryHelper!$A$2:$A$5000,$T136,SummaryHelper!$B$2:$B$5000,$U136,SummaryHelper!$C$2:$C$5000,$V136))</f>
        <v/>
      </c>
      <c r="AB136" s="9" t="str">
        <f t="shared" si="32"/>
        <v/>
      </c>
      <c r="AC136" s="9" t="str">
        <f t="shared" si="33"/>
        <v/>
      </c>
      <c r="AH136" t="str">
        <f>IF($AF136="","",IFERROR(SUMIFS(SummaryHelper!$H$2:$H$5000,SummaryHelper!$A$2:$A$5000,$AE136,SummaryHelper!$B$2:$B$5000,$AF136,SummaryHelper!$C$2:$C$5000,$AG136)/SUMIFS(SummaryHelper!$G$2:$G$5000,SummaryHelper!$A$2:$A$5000,$AE136,SummaryHelper!$B$2:$B$5000,$AF136,SummaryHelper!$C$2:$C$5000,$AG136),""))</f>
        <v/>
      </c>
      <c r="AI136" t="str">
        <f>IF($AF136="","",SUMIFS(SummaryHelper!$E$2:$E$5000,SummaryHelper!$A$2:$A$5000,$AE136,SummaryHelper!$B$2:$B$5000,$AF136,SummaryHelper!$C$2:$C$5000,$AG136))</f>
        <v/>
      </c>
      <c r="AJ136" t="str">
        <f>IF($AF136="","",SUMIFS(SummaryHelper!$F$2:$F$5000,SummaryHelper!$A$2:$A$5000,$AE136,SummaryHelper!$B$2:$B$5000,$AF136,SummaryHelper!$C$2:$C$5000,$AG136))</f>
        <v/>
      </c>
      <c r="AK136" t="str">
        <f>IF($AF136="","",SUMIFS(SummaryHelper!$G$2:$G$5000,SummaryHelper!$A$2:$A$5000,$AE136,SummaryHelper!$B$2:$B$5000,$AF136,SummaryHelper!$C$2:$C$5000,$AG136))</f>
        <v/>
      </c>
      <c r="AM136" t="str">
        <f t="shared" si="34"/>
        <v/>
      </c>
      <c r="AN136" t="str">
        <f t="shared" si="35"/>
        <v/>
      </c>
    </row>
    <row r="137" spans="1:40" x14ac:dyDescent="0.25">
      <c r="A137" s="12"/>
      <c r="B137" s="23" t="str">
        <f t="shared" si="24"/>
        <v/>
      </c>
      <c r="C137" s="9" t="str">
        <f t="shared" ca="1" si="25"/>
        <v/>
      </c>
      <c r="D137" s="9" t="str">
        <f t="shared" ca="1" si="26"/>
        <v/>
      </c>
      <c r="E137" s="9" t="str">
        <f t="shared" ca="1" si="27"/>
        <v/>
      </c>
      <c r="F137" s="9" t="str">
        <f t="shared" si="28"/>
        <v/>
      </c>
      <c r="G137" s="9">
        <f t="shared" si="29"/>
        <v>0</v>
      </c>
      <c r="L137" s="9" t="str">
        <f>IF($J137="","",IFERROR(SUMIFS(SummaryHelper!$H$2:$H$5000,SummaryHelper!$A$2:$A$5000,$I137,SummaryHelper!$B$2:$B$5000,$J137,SummaryHelper!$C$2:$C$5000,$K137)/SUMIFS(SummaryHelper!$G$2:$G$5000,SummaryHelper!$A$2:$A$5000,$I137,SummaryHelper!$B$2:$B$5000,$J137,SummaryHelper!$C$2:$C$5000,$K137),""))</f>
        <v/>
      </c>
      <c r="M137" s="9" t="str">
        <f>IF($J137="","",SUMIFS(SummaryHelper!$E$2:$E$5000,SummaryHelper!$A$2:$A$5000,$I137,SummaryHelper!$B$2:$B$5000,$J137,SummaryHelper!$C$2:$C$5000,$K137))</f>
        <v/>
      </c>
      <c r="N137" s="9" t="str">
        <f>IF($J137="","",SUMIFS(SummaryHelper!$F$2:$F$5000,SummaryHelper!$A$2:$A$5000,$I137,SummaryHelper!$B$2:$B$5000,$J137,SummaryHelper!$C$2:$C$5000,$K137))</f>
        <v/>
      </c>
      <c r="O137" s="9" t="str">
        <f>IF($J137="","",SUMIFS(SummaryHelper!$G$2:$G$5000,SummaryHelper!$A$2:$A$5000,$I137,SummaryHelper!$B$2:$B$5000,$J137,SummaryHelper!$C$2:$C$5000,$K137))</f>
        <v/>
      </c>
      <c r="Q137" s="9" t="str">
        <f t="shared" si="30"/>
        <v/>
      </c>
      <c r="R137" s="9" t="str">
        <f t="shared" si="31"/>
        <v/>
      </c>
      <c r="W137" s="9" t="str">
        <f>IF($U137="","",IFERROR(SUMIFS(SummaryHelper!$H$2:$H$5000,SummaryHelper!$A$2:$A$5000,$T137,SummaryHelper!$B$2:$B$5000,$U137,SummaryHelper!$C$2:$C$5000,$V137)/SUMIFS(SummaryHelper!$G$2:$G$5000,SummaryHelper!$A$2:$A$5000,$T137,SummaryHelper!$B$2:$B$5000,$U137,SummaryHelper!$C$2:$C$5000,$V137),""))</f>
        <v/>
      </c>
      <c r="X137" s="9" t="str">
        <f>IF($U137="","",SUMIFS(SummaryHelper!$E$2:$E$5000,SummaryHelper!$A$2:$A$5000,$T137,SummaryHelper!$B$2:$B$5000,$U137,SummaryHelper!$C$2:$C$5000,$V137))</f>
        <v/>
      </c>
      <c r="Y137" s="9" t="str">
        <f>IF($U137="","",SUMIFS(SummaryHelper!$F$2:$F$5000,SummaryHelper!$A$2:$A$5000,$T137,SummaryHelper!$B$2:$B$5000,$U137,SummaryHelper!$C$2:$C$5000,$V137))</f>
        <v/>
      </c>
      <c r="Z137" s="9" t="str">
        <f>IF($U137="","",SUMIFS(SummaryHelper!$G$2:$G$5000,SummaryHelper!$A$2:$A$5000,$T137,SummaryHelper!$B$2:$B$5000,$U137,SummaryHelper!$C$2:$C$5000,$V137))</f>
        <v/>
      </c>
      <c r="AB137" s="9" t="str">
        <f t="shared" si="32"/>
        <v/>
      </c>
      <c r="AC137" s="9" t="str">
        <f t="shared" si="33"/>
        <v/>
      </c>
      <c r="AH137" t="str">
        <f>IF($AF137="","",IFERROR(SUMIFS(SummaryHelper!$H$2:$H$5000,SummaryHelper!$A$2:$A$5000,$AE137,SummaryHelper!$B$2:$B$5000,$AF137,SummaryHelper!$C$2:$C$5000,$AG137)/SUMIFS(SummaryHelper!$G$2:$G$5000,SummaryHelper!$A$2:$A$5000,$AE137,SummaryHelper!$B$2:$B$5000,$AF137,SummaryHelper!$C$2:$C$5000,$AG137),""))</f>
        <v/>
      </c>
      <c r="AI137" t="str">
        <f>IF($AF137="","",SUMIFS(SummaryHelper!$E$2:$E$5000,SummaryHelper!$A$2:$A$5000,$AE137,SummaryHelper!$B$2:$B$5000,$AF137,SummaryHelper!$C$2:$C$5000,$AG137))</f>
        <v/>
      </c>
      <c r="AJ137" t="str">
        <f>IF($AF137="","",SUMIFS(SummaryHelper!$F$2:$F$5000,SummaryHelper!$A$2:$A$5000,$AE137,SummaryHelper!$B$2:$B$5000,$AF137,SummaryHelper!$C$2:$C$5000,$AG137))</f>
        <v/>
      </c>
      <c r="AK137" t="str">
        <f>IF($AF137="","",SUMIFS(SummaryHelper!$G$2:$G$5000,SummaryHelper!$A$2:$A$5000,$AE137,SummaryHelper!$B$2:$B$5000,$AF137,SummaryHelper!$C$2:$C$5000,$AG137))</f>
        <v/>
      </c>
      <c r="AM137" t="str">
        <f t="shared" si="34"/>
        <v/>
      </c>
      <c r="AN137" t="str">
        <f t="shared" si="35"/>
        <v/>
      </c>
    </row>
    <row r="138" spans="1:40" x14ac:dyDescent="0.25">
      <c r="A138" s="12"/>
      <c r="B138" s="23" t="str">
        <f t="shared" si="24"/>
        <v/>
      </c>
      <c r="C138" s="9" t="str">
        <f t="shared" ca="1" si="25"/>
        <v/>
      </c>
      <c r="D138" s="9" t="str">
        <f t="shared" ca="1" si="26"/>
        <v/>
      </c>
      <c r="E138" s="9" t="str">
        <f t="shared" ca="1" si="27"/>
        <v/>
      </c>
      <c r="F138" s="9" t="str">
        <f t="shared" si="28"/>
        <v/>
      </c>
      <c r="G138" s="9">
        <f t="shared" si="29"/>
        <v>0</v>
      </c>
      <c r="L138" s="9" t="str">
        <f>IF($J138="","",IFERROR(SUMIFS(SummaryHelper!$H$2:$H$5000,SummaryHelper!$A$2:$A$5000,$I138,SummaryHelper!$B$2:$B$5000,$J138,SummaryHelper!$C$2:$C$5000,$K138)/SUMIFS(SummaryHelper!$G$2:$G$5000,SummaryHelper!$A$2:$A$5000,$I138,SummaryHelper!$B$2:$B$5000,$J138,SummaryHelper!$C$2:$C$5000,$K138),""))</f>
        <v/>
      </c>
      <c r="M138" s="9" t="str">
        <f>IF($J138="","",SUMIFS(SummaryHelper!$E$2:$E$5000,SummaryHelper!$A$2:$A$5000,$I138,SummaryHelper!$B$2:$B$5000,$J138,SummaryHelper!$C$2:$C$5000,$K138))</f>
        <v/>
      </c>
      <c r="N138" s="9" t="str">
        <f>IF($J138="","",SUMIFS(SummaryHelper!$F$2:$F$5000,SummaryHelper!$A$2:$A$5000,$I138,SummaryHelper!$B$2:$B$5000,$J138,SummaryHelper!$C$2:$C$5000,$K138))</f>
        <v/>
      </c>
      <c r="O138" s="9" t="str">
        <f>IF($J138="","",SUMIFS(SummaryHelper!$G$2:$G$5000,SummaryHelper!$A$2:$A$5000,$I138,SummaryHelper!$B$2:$B$5000,$J138,SummaryHelper!$C$2:$C$5000,$K138))</f>
        <v/>
      </c>
      <c r="Q138" s="9" t="str">
        <f t="shared" si="30"/>
        <v/>
      </c>
      <c r="R138" s="9" t="str">
        <f t="shared" si="31"/>
        <v/>
      </c>
      <c r="W138" s="9" t="str">
        <f>IF($U138="","",IFERROR(SUMIFS(SummaryHelper!$H$2:$H$5000,SummaryHelper!$A$2:$A$5000,$T138,SummaryHelper!$B$2:$B$5000,$U138,SummaryHelper!$C$2:$C$5000,$V138)/SUMIFS(SummaryHelper!$G$2:$G$5000,SummaryHelper!$A$2:$A$5000,$T138,SummaryHelper!$B$2:$B$5000,$U138,SummaryHelper!$C$2:$C$5000,$V138),""))</f>
        <v/>
      </c>
      <c r="X138" s="9" t="str">
        <f>IF($U138="","",SUMIFS(SummaryHelper!$E$2:$E$5000,SummaryHelper!$A$2:$A$5000,$T138,SummaryHelper!$B$2:$B$5000,$U138,SummaryHelper!$C$2:$C$5000,$V138))</f>
        <v/>
      </c>
      <c r="Y138" s="9" t="str">
        <f>IF($U138="","",SUMIFS(SummaryHelper!$F$2:$F$5000,SummaryHelper!$A$2:$A$5000,$T138,SummaryHelper!$B$2:$B$5000,$U138,SummaryHelper!$C$2:$C$5000,$V138))</f>
        <v/>
      </c>
      <c r="Z138" s="9" t="str">
        <f>IF($U138="","",SUMIFS(SummaryHelper!$G$2:$G$5000,SummaryHelper!$A$2:$A$5000,$T138,SummaryHelper!$B$2:$B$5000,$U138,SummaryHelper!$C$2:$C$5000,$V138))</f>
        <v/>
      </c>
      <c r="AB138" s="9" t="str">
        <f t="shared" si="32"/>
        <v/>
      </c>
      <c r="AC138" s="9" t="str">
        <f t="shared" si="33"/>
        <v/>
      </c>
      <c r="AH138" t="str">
        <f>IF($AF138="","",IFERROR(SUMIFS(SummaryHelper!$H$2:$H$5000,SummaryHelper!$A$2:$A$5000,$AE138,SummaryHelper!$B$2:$B$5000,$AF138,SummaryHelper!$C$2:$C$5000,$AG138)/SUMIFS(SummaryHelper!$G$2:$G$5000,SummaryHelper!$A$2:$A$5000,$AE138,SummaryHelper!$B$2:$B$5000,$AF138,SummaryHelper!$C$2:$C$5000,$AG138),""))</f>
        <v/>
      </c>
      <c r="AI138" t="str">
        <f>IF($AF138="","",SUMIFS(SummaryHelper!$E$2:$E$5000,SummaryHelper!$A$2:$A$5000,$AE138,SummaryHelper!$B$2:$B$5000,$AF138,SummaryHelper!$C$2:$C$5000,$AG138))</f>
        <v/>
      </c>
      <c r="AJ138" t="str">
        <f>IF($AF138="","",SUMIFS(SummaryHelper!$F$2:$F$5000,SummaryHelper!$A$2:$A$5000,$AE138,SummaryHelper!$B$2:$B$5000,$AF138,SummaryHelper!$C$2:$C$5000,$AG138))</f>
        <v/>
      </c>
      <c r="AK138" t="str">
        <f>IF($AF138="","",SUMIFS(SummaryHelper!$G$2:$G$5000,SummaryHelper!$A$2:$A$5000,$AE138,SummaryHelper!$B$2:$B$5000,$AF138,SummaryHelper!$C$2:$C$5000,$AG138))</f>
        <v/>
      </c>
      <c r="AM138" t="str">
        <f t="shared" si="34"/>
        <v/>
      </c>
      <c r="AN138" t="str">
        <f t="shared" si="35"/>
        <v/>
      </c>
    </row>
    <row r="139" spans="1:40" x14ac:dyDescent="0.25">
      <c r="A139" s="12"/>
      <c r="B139" s="23" t="str">
        <f t="shared" si="24"/>
        <v/>
      </c>
      <c r="C139" s="9" t="str">
        <f t="shared" ca="1" si="25"/>
        <v/>
      </c>
      <c r="D139" s="9" t="str">
        <f t="shared" ca="1" si="26"/>
        <v/>
      </c>
      <c r="E139" s="9" t="str">
        <f t="shared" ca="1" si="27"/>
        <v/>
      </c>
      <c r="F139" s="9" t="str">
        <f t="shared" si="28"/>
        <v/>
      </c>
      <c r="G139" s="9">
        <f t="shared" si="29"/>
        <v>0</v>
      </c>
      <c r="L139" s="9" t="str">
        <f>IF($J139="","",IFERROR(SUMIFS(SummaryHelper!$H$2:$H$5000,SummaryHelper!$A$2:$A$5000,$I139,SummaryHelper!$B$2:$B$5000,$J139,SummaryHelper!$C$2:$C$5000,$K139)/SUMIFS(SummaryHelper!$G$2:$G$5000,SummaryHelper!$A$2:$A$5000,$I139,SummaryHelper!$B$2:$B$5000,$J139,SummaryHelper!$C$2:$C$5000,$K139),""))</f>
        <v/>
      </c>
      <c r="M139" s="9" t="str">
        <f>IF($J139="","",SUMIFS(SummaryHelper!$E$2:$E$5000,SummaryHelper!$A$2:$A$5000,$I139,SummaryHelper!$B$2:$B$5000,$J139,SummaryHelper!$C$2:$C$5000,$K139))</f>
        <v/>
      </c>
      <c r="N139" s="9" t="str">
        <f>IF($J139="","",SUMIFS(SummaryHelper!$F$2:$F$5000,SummaryHelper!$A$2:$A$5000,$I139,SummaryHelper!$B$2:$B$5000,$J139,SummaryHelper!$C$2:$C$5000,$K139))</f>
        <v/>
      </c>
      <c r="O139" s="9" t="str">
        <f>IF($J139="","",SUMIFS(SummaryHelper!$G$2:$G$5000,SummaryHelper!$A$2:$A$5000,$I139,SummaryHelper!$B$2:$B$5000,$J139,SummaryHelper!$C$2:$C$5000,$K139))</f>
        <v/>
      </c>
      <c r="Q139" s="9" t="str">
        <f t="shared" si="30"/>
        <v/>
      </c>
      <c r="R139" s="9" t="str">
        <f t="shared" si="31"/>
        <v/>
      </c>
      <c r="W139" s="9" t="str">
        <f>IF($U139="","",IFERROR(SUMIFS(SummaryHelper!$H$2:$H$5000,SummaryHelper!$A$2:$A$5000,$T139,SummaryHelper!$B$2:$B$5000,$U139,SummaryHelper!$C$2:$C$5000,$V139)/SUMIFS(SummaryHelper!$G$2:$G$5000,SummaryHelper!$A$2:$A$5000,$T139,SummaryHelper!$B$2:$B$5000,$U139,SummaryHelper!$C$2:$C$5000,$V139),""))</f>
        <v/>
      </c>
      <c r="X139" s="9" t="str">
        <f>IF($U139="","",SUMIFS(SummaryHelper!$E$2:$E$5000,SummaryHelper!$A$2:$A$5000,$T139,SummaryHelper!$B$2:$B$5000,$U139,SummaryHelper!$C$2:$C$5000,$V139))</f>
        <v/>
      </c>
      <c r="Y139" s="9" t="str">
        <f>IF($U139="","",SUMIFS(SummaryHelper!$F$2:$F$5000,SummaryHelper!$A$2:$A$5000,$T139,SummaryHelper!$B$2:$B$5000,$U139,SummaryHelper!$C$2:$C$5000,$V139))</f>
        <v/>
      </c>
      <c r="Z139" s="9" t="str">
        <f>IF($U139="","",SUMIFS(SummaryHelper!$G$2:$G$5000,SummaryHelper!$A$2:$A$5000,$T139,SummaryHelper!$B$2:$B$5000,$U139,SummaryHelper!$C$2:$C$5000,$V139))</f>
        <v/>
      </c>
      <c r="AB139" s="9" t="str">
        <f t="shared" si="32"/>
        <v/>
      </c>
      <c r="AC139" s="9" t="str">
        <f t="shared" si="33"/>
        <v/>
      </c>
      <c r="AH139" t="str">
        <f>IF($AF139="","",IFERROR(SUMIFS(SummaryHelper!$H$2:$H$5000,SummaryHelper!$A$2:$A$5000,$AE139,SummaryHelper!$B$2:$B$5000,$AF139,SummaryHelper!$C$2:$C$5000,$AG139)/SUMIFS(SummaryHelper!$G$2:$G$5000,SummaryHelper!$A$2:$A$5000,$AE139,SummaryHelper!$B$2:$B$5000,$AF139,SummaryHelper!$C$2:$C$5000,$AG139),""))</f>
        <v/>
      </c>
      <c r="AI139" t="str">
        <f>IF($AF139="","",SUMIFS(SummaryHelper!$E$2:$E$5000,SummaryHelper!$A$2:$A$5000,$AE139,SummaryHelper!$B$2:$B$5000,$AF139,SummaryHelper!$C$2:$C$5000,$AG139))</f>
        <v/>
      </c>
      <c r="AJ139" t="str">
        <f>IF($AF139="","",SUMIFS(SummaryHelper!$F$2:$F$5000,SummaryHelper!$A$2:$A$5000,$AE139,SummaryHelper!$B$2:$B$5000,$AF139,SummaryHelper!$C$2:$C$5000,$AG139))</f>
        <v/>
      </c>
      <c r="AK139" t="str">
        <f>IF($AF139="","",SUMIFS(SummaryHelper!$G$2:$G$5000,SummaryHelper!$A$2:$A$5000,$AE139,SummaryHelper!$B$2:$B$5000,$AF139,SummaryHelper!$C$2:$C$5000,$AG139))</f>
        <v/>
      </c>
      <c r="AM139" t="str">
        <f t="shared" si="34"/>
        <v/>
      </c>
      <c r="AN139" t="str">
        <f t="shared" si="35"/>
        <v/>
      </c>
    </row>
    <row r="140" spans="1:40" x14ac:dyDescent="0.25">
      <c r="A140" s="12"/>
      <c r="B140" s="23" t="str">
        <f t="shared" si="24"/>
        <v/>
      </c>
      <c r="C140" s="9" t="str">
        <f t="shared" ca="1" si="25"/>
        <v/>
      </c>
      <c r="D140" s="9" t="str">
        <f t="shared" ca="1" si="26"/>
        <v/>
      </c>
      <c r="E140" s="9" t="str">
        <f t="shared" ca="1" si="27"/>
        <v/>
      </c>
      <c r="F140" s="9" t="str">
        <f t="shared" si="28"/>
        <v/>
      </c>
      <c r="G140" s="9">
        <f t="shared" si="29"/>
        <v>0</v>
      </c>
      <c r="L140" s="9" t="str">
        <f>IF($J140="","",IFERROR(SUMIFS(SummaryHelper!$H$2:$H$5000,SummaryHelper!$A$2:$A$5000,$I140,SummaryHelper!$B$2:$B$5000,$J140,SummaryHelper!$C$2:$C$5000,$K140)/SUMIFS(SummaryHelper!$G$2:$G$5000,SummaryHelper!$A$2:$A$5000,$I140,SummaryHelper!$B$2:$B$5000,$J140,SummaryHelper!$C$2:$C$5000,$K140),""))</f>
        <v/>
      </c>
      <c r="M140" s="9" t="str">
        <f>IF($J140="","",SUMIFS(SummaryHelper!$E$2:$E$5000,SummaryHelper!$A$2:$A$5000,$I140,SummaryHelper!$B$2:$B$5000,$J140,SummaryHelper!$C$2:$C$5000,$K140))</f>
        <v/>
      </c>
      <c r="N140" s="9" t="str">
        <f>IF($J140="","",SUMIFS(SummaryHelper!$F$2:$F$5000,SummaryHelper!$A$2:$A$5000,$I140,SummaryHelper!$B$2:$B$5000,$J140,SummaryHelper!$C$2:$C$5000,$K140))</f>
        <v/>
      </c>
      <c r="O140" s="9" t="str">
        <f>IF($J140="","",SUMIFS(SummaryHelper!$G$2:$G$5000,SummaryHelper!$A$2:$A$5000,$I140,SummaryHelper!$B$2:$B$5000,$J140,SummaryHelper!$C$2:$C$5000,$K140))</f>
        <v/>
      </c>
      <c r="Q140" s="9" t="str">
        <f t="shared" si="30"/>
        <v/>
      </c>
      <c r="R140" s="9" t="str">
        <f t="shared" si="31"/>
        <v/>
      </c>
      <c r="W140" s="9" t="str">
        <f>IF($U140="","",IFERROR(SUMIFS(SummaryHelper!$H$2:$H$5000,SummaryHelper!$A$2:$A$5000,$T140,SummaryHelper!$B$2:$B$5000,$U140,SummaryHelper!$C$2:$C$5000,$V140)/SUMIFS(SummaryHelper!$G$2:$G$5000,SummaryHelper!$A$2:$A$5000,$T140,SummaryHelper!$B$2:$B$5000,$U140,SummaryHelper!$C$2:$C$5000,$V140),""))</f>
        <v/>
      </c>
      <c r="X140" s="9" t="str">
        <f>IF($U140="","",SUMIFS(SummaryHelper!$E$2:$E$5000,SummaryHelper!$A$2:$A$5000,$T140,SummaryHelper!$B$2:$B$5000,$U140,SummaryHelper!$C$2:$C$5000,$V140))</f>
        <v/>
      </c>
      <c r="Y140" s="9" t="str">
        <f>IF($U140="","",SUMIFS(SummaryHelper!$F$2:$F$5000,SummaryHelper!$A$2:$A$5000,$T140,SummaryHelper!$B$2:$B$5000,$U140,SummaryHelper!$C$2:$C$5000,$V140))</f>
        <v/>
      </c>
      <c r="Z140" s="9" t="str">
        <f>IF($U140="","",SUMIFS(SummaryHelper!$G$2:$G$5000,SummaryHelper!$A$2:$A$5000,$T140,SummaryHelper!$B$2:$B$5000,$U140,SummaryHelper!$C$2:$C$5000,$V140))</f>
        <v/>
      </c>
      <c r="AB140" s="9" t="str">
        <f t="shared" si="32"/>
        <v/>
      </c>
      <c r="AC140" s="9" t="str">
        <f t="shared" si="33"/>
        <v/>
      </c>
      <c r="AH140" t="str">
        <f>IF($AF140="","",IFERROR(SUMIFS(SummaryHelper!$H$2:$H$5000,SummaryHelper!$A$2:$A$5000,$AE140,SummaryHelper!$B$2:$B$5000,$AF140,SummaryHelper!$C$2:$C$5000,$AG140)/SUMIFS(SummaryHelper!$G$2:$G$5000,SummaryHelper!$A$2:$A$5000,$AE140,SummaryHelper!$B$2:$B$5000,$AF140,SummaryHelper!$C$2:$C$5000,$AG140),""))</f>
        <v/>
      </c>
      <c r="AI140" t="str">
        <f>IF($AF140="","",SUMIFS(SummaryHelper!$E$2:$E$5000,SummaryHelper!$A$2:$A$5000,$AE140,SummaryHelper!$B$2:$B$5000,$AF140,SummaryHelper!$C$2:$C$5000,$AG140))</f>
        <v/>
      </c>
      <c r="AJ140" t="str">
        <f>IF($AF140="","",SUMIFS(SummaryHelper!$F$2:$F$5000,SummaryHelper!$A$2:$A$5000,$AE140,SummaryHelper!$B$2:$B$5000,$AF140,SummaryHelper!$C$2:$C$5000,$AG140))</f>
        <v/>
      </c>
      <c r="AK140" t="str">
        <f>IF($AF140="","",SUMIFS(SummaryHelper!$G$2:$G$5000,SummaryHelper!$A$2:$A$5000,$AE140,SummaryHelper!$B$2:$B$5000,$AF140,SummaryHelper!$C$2:$C$5000,$AG140))</f>
        <v/>
      </c>
      <c r="AM140" t="str">
        <f t="shared" si="34"/>
        <v/>
      </c>
      <c r="AN140" t="str">
        <f t="shared" si="35"/>
        <v/>
      </c>
    </row>
    <row r="141" spans="1:40" x14ac:dyDescent="0.25">
      <c r="A141" s="12"/>
      <c r="B141" s="23" t="str">
        <f t="shared" si="24"/>
        <v/>
      </c>
      <c r="C141" s="9" t="str">
        <f t="shared" ca="1" si="25"/>
        <v/>
      </c>
      <c r="D141" s="9" t="str">
        <f t="shared" ca="1" si="26"/>
        <v/>
      </c>
      <c r="E141" s="9" t="str">
        <f t="shared" ca="1" si="27"/>
        <v/>
      </c>
      <c r="F141" s="9" t="str">
        <f t="shared" si="28"/>
        <v/>
      </c>
      <c r="G141" s="9">
        <f t="shared" si="29"/>
        <v>0</v>
      </c>
      <c r="L141" s="9" t="str">
        <f>IF($J141="","",IFERROR(SUMIFS(SummaryHelper!$H$2:$H$5000,SummaryHelper!$A$2:$A$5000,$I141,SummaryHelper!$B$2:$B$5000,$J141,SummaryHelper!$C$2:$C$5000,$K141)/SUMIFS(SummaryHelper!$G$2:$G$5000,SummaryHelper!$A$2:$A$5000,$I141,SummaryHelper!$B$2:$B$5000,$J141,SummaryHelper!$C$2:$C$5000,$K141),""))</f>
        <v/>
      </c>
      <c r="M141" s="9" t="str">
        <f>IF($J141="","",SUMIFS(SummaryHelper!$E$2:$E$5000,SummaryHelper!$A$2:$A$5000,$I141,SummaryHelper!$B$2:$B$5000,$J141,SummaryHelper!$C$2:$C$5000,$K141))</f>
        <v/>
      </c>
      <c r="N141" s="9" t="str">
        <f>IF($J141="","",SUMIFS(SummaryHelper!$F$2:$F$5000,SummaryHelper!$A$2:$A$5000,$I141,SummaryHelper!$B$2:$B$5000,$J141,SummaryHelper!$C$2:$C$5000,$K141))</f>
        <v/>
      </c>
      <c r="O141" s="9" t="str">
        <f>IF($J141="","",SUMIFS(SummaryHelper!$G$2:$G$5000,SummaryHelper!$A$2:$A$5000,$I141,SummaryHelper!$B$2:$B$5000,$J141,SummaryHelper!$C$2:$C$5000,$K141))</f>
        <v/>
      </c>
      <c r="Q141" s="9" t="str">
        <f t="shared" si="30"/>
        <v/>
      </c>
      <c r="R141" s="9" t="str">
        <f t="shared" si="31"/>
        <v/>
      </c>
      <c r="W141" s="9" t="str">
        <f>IF($U141="","",IFERROR(SUMIFS(SummaryHelper!$H$2:$H$5000,SummaryHelper!$A$2:$A$5000,$T141,SummaryHelper!$B$2:$B$5000,$U141,SummaryHelper!$C$2:$C$5000,$V141)/SUMIFS(SummaryHelper!$G$2:$G$5000,SummaryHelper!$A$2:$A$5000,$T141,SummaryHelper!$B$2:$B$5000,$U141,SummaryHelper!$C$2:$C$5000,$V141),""))</f>
        <v/>
      </c>
      <c r="X141" s="9" t="str">
        <f>IF($U141="","",SUMIFS(SummaryHelper!$E$2:$E$5000,SummaryHelper!$A$2:$A$5000,$T141,SummaryHelper!$B$2:$B$5000,$U141,SummaryHelper!$C$2:$C$5000,$V141))</f>
        <v/>
      </c>
      <c r="Y141" s="9" t="str">
        <f>IF($U141="","",SUMIFS(SummaryHelper!$F$2:$F$5000,SummaryHelper!$A$2:$A$5000,$T141,SummaryHelper!$B$2:$B$5000,$U141,SummaryHelper!$C$2:$C$5000,$V141))</f>
        <v/>
      </c>
      <c r="Z141" s="9" t="str">
        <f>IF($U141="","",SUMIFS(SummaryHelper!$G$2:$G$5000,SummaryHelper!$A$2:$A$5000,$T141,SummaryHelper!$B$2:$B$5000,$U141,SummaryHelper!$C$2:$C$5000,$V141))</f>
        <v/>
      </c>
      <c r="AB141" s="9" t="str">
        <f t="shared" si="32"/>
        <v/>
      </c>
      <c r="AC141" s="9" t="str">
        <f t="shared" si="33"/>
        <v/>
      </c>
      <c r="AH141" t="str">
        <f>IF($AF141="","",IFERROR(SUMIFS(SummaryHelper!$H$2:$H$5000,SummaryHelper!$A$2:$A$5000,$AE141,SummaryHelper!$B$2:$B$5000,$AF141,SummaryHelper!$C$2:$C$5000,$AG141)/SUMIFS(SummaryHelper!$G$2:$G$5000,SummaryHelper!$A$2:$A$5000,$AE141,SummaryHelper!$B$2:$B$5000,$AF141,SummaryHelper!$C$2:$C$5000,$AG141),""))</f>
        <v/>
      </c>
      <c r="AI141" t="str">
        <f>IF($AF141="","",SUMIFS(SummaryHelper!$E$2:$E$5000,SummaryHelper!$A$2:$A$5000,$AE141,SummaryHelper!$B$2:$B$5000,$AF141,SummaryHelper!$C$2:$C$5000,$AG141))</f>
        <v/>
      </c>
      <c r="AJ141" t="str">
        <f>IF($AF141="","",SUMIFS(SummaryHelper!$F$2:$F$5000,SummaryHelper!$A$2:$A$5000,$AE141,SummaryHelper!$B$2:$B$5000,$AF141,SummaryHelper!$C$2:$C$5000,$AG141))</f>
        <v/>
      </c>
      <c r="AK141" t="str">
        <f>IF($AF141="","",SUMIFS(SummaryHelper!$G$2:$G$5000,SummaryHelper!$A$2:$A$5000,$AE141,SummaryHelper!$B$2:$B$5000,$AF141,SummaryHelper!$C$2:$C$5000,$AG141))</f>
        <v/>
      </c>
      <c r="AM141" t="str">
        <f t="shared" si="34"/>
        <v/>
      </c>
      <c r="AN141" t="str">
        <f t="shared" si="35"/>
        <v/>
      </c>
    </row>
    <row r="142" spans="1:40" x14ac:dyDescent="0.25">
      <c r="A142" s="12"/>
      <c r="B142" s="23" t="str">
        <f t="shared" si="24"/>
        <v/>
      </c>
      <c r="C142" s="9" t="str">
        <f t="shared" ca="1" si="25"/>
        <v/>
      </c>
      <c r="D142" s="9" t="str">
        <f t="shared" ca="1" si="26"/>
        <v/>
      </c>
      <c r="E142" s="9" t="str">
        <f t="shared" ca="1" si="27"/>
        <v/>
      </c>
      <c r="F142" s="9" t="str">
        <f t="shared" si="28"/>
        <v/>
      </c>
      <c r="G142" s="9">
        <f t="shared" si="29"/>
        <v>0</v>
      </c>
      <c r="L142" s="9" t="str">
        <f>IF($J142="","",IFERROR(SUMIFS(SummaryHelper!$H$2:$H$5000,SummaryHelper!$A$2:$A$5000,$I142,SummaryHelper!$B$2:$B$5000,$J142,SummaryHelper!$C$2:$C$5000,$K142)/SUMIFS(SummaryHelper!$G$2:$G$5000,SummaryHelper!$A$2:$A$5000,$I142,SummaryHelper!$B$2:$B$5000,$J142,SummaryHelper!$C$2:$C$5000,$K142),""))</f>
        <v/>
      </c>
      <c r="M142" s="9" t="str">
        <f>IF($J142="","",SUMIFS(SummaryHelper!$E$2:$E$5000,SummaryHelper!$A$2:$A$5000,$I142,SummaryHelper!$B$2:$B$5000,$J142,SummaryHelper!$C$2:$C$5000,$K142))</f>
        <v/>
      </c>
      <c r="N142" s="9" t="str">
        <f>IF($J142="","",SUMIFS(SummaryHelper!$F$2:$F$5000,SummaryHelper!$A$2:$A$5000,$I142,SummaryHelper!$B$2:$B$5000,$J142,SummaryHelper!$C$2:$C$5000,$K142))</f>
        <v/>
      </c>
      <c r="O142" s="9" t="str">
        <f>IF($J142="","",SUMIFS(SummaryHelper!$G$2:$G$5000,SummaryHelper!$A$2:$A$5000,$I142,SummaryHelper!$B$2:$B$5000,$J142,SummaryHelper!$C$2:$C$5000,$K142))</f>
        <v/>
      </c>
      <c r="Q142" s="9" t="str">
        <f t="shared" si="30"/>
        <v/>
      </c>
      <c r="R142" s="9" t="str">
        <f t="shared" si="31"/>
        <v/>
      </c>
      <c r="W142" s="9" t="str">
        <f>IF($U142="","",IFERROR(SUMIFS(SummaryHelper!$H$2:$H$5000,SummaryHelper!$A$2:$A$5000,$T142,SummaryHelper!$B$2:$B$5000,$U142,SummaryHelper!$C$2:$C$5000,$V142)/SUMIFS(SummaryHelper!$G$2:$G$5000,SummaryHelper!$A$2:$A$5000,$T142,SummaryHelper!$B$2:$B$5000,$U142,SummaryHelper!$C$2:$C$5000,$V142),""))</f>
        <v/>
      </c>
      <c r="X142" s="9" t="str">
        <f>IF($U142="","",SUMIFS(SummaryHelper!$E$2:$E$5000,SummaryHelper!$A$2:$A$5000,$T142,SummaryHelper!$B$2:$B$5000,$U142,SummaryHelper!$C$2:$C$5000,$V142))</f>
        <v/>
      </c>
      <c r="Y142" s="9" t="str">
        <f>IF($U142="","",SUMIFS(SummaryHelper!$F$2:$F$5000,SummaryHelper!$A$2:$A$5000,$T142,SummaryHelper!$B$2:$B$5000,$U142,SummaryHelper!$C$2:$C$5000,$V142))</f>
        <v/>
      </c>
      <c r="Z142" s="9" t="str">
        <f>IF($U142="","",SUMIFS(SummaryHelper!$G$2:$G$5000,SummaryHelper!$A$2:$A$5000,$T142,SummaryHelper!$B$2:$B$5000,$U142,SummaryHelper!$C$2:$C$5000,$V142))</f>
        <v/>
      </c>
      <c r="AB142" s="9" t="str">
        <f t="shared" si="32"/>
        <v/>
      </c>
      <c r="AC142" s="9" t="str">
        <f t="shared" si="33"/>
        <v/>
      </c>
      <c r="AH142" t="str">
        <f>IF($AF142="","",IFERROR(SUMIFS(SummaryHelper!$H$2:$H$5000,SummaryHelper!$A$2:$A$5000,$AE142,SummaryHelper!$B$2:$B$5000,$AF142,SummaryHelper!$C$2:$C$5000,$AG142)/SUMIFS(SummaryHelper!$G$2:$G$5000,SummaryHelper!$A$2:$A$5000,$AE142,SummaryHelper!$B$2:$B$5000,$AF142,SummaryHelper!$C$2:$C$5000,$AG142),""))</f>
        <v/>
      </c>
      <c r="AI142" t="str">
        <f>IF($AF142="","",SUMIFS(SummaryHelper!$E$2:$E$5000,SummaryHelper!$A$2:$A$5000,$AE142,SummaryHelper!$B$2:$B$5000,$AF142,SummaryHelper!$C$2:$C$5000,$AG142))</f>
        <v/>
      </c>
      <c r="AJ142" t="str">
        <f>IF($AF142="","",SUMIFS(SummaryHelper!$F$2:$F$5000,SummaryHelper!$A$2:$A$5000,$AE142,SummaryHelper!$B$2:$B$5000,$AF142,SummaryHelper!$C$2:$C$5000,$AG142))</f>
        <v/>
      </c>
      <c r="AK142" t="str">
        <f>IF($AF142="","",SUMIFS(SummaryHelper!$G$2:$G$5000,SummaryHelper!$A$2:$A$5000,$AE142,SummaryHelper!$B$2:$B$5000,$AF142,SummaryHelper!$C$2:$C$5000,$AG142))</f>
        <v/>
      </c>
      <c r="AM142" t="str">
        <f t="shared" si="34"/>
        <v/>
      </c>
      <c r="AN142" t="str">
        <f t="shared" si="35"/>
        <v/>
      </c>
    </row>
    <row r="143" spans="1:40" x14ac:dyDescent="0.25">
      <c r="A143" s="12"/>
      <c r="B143" s="23" t="str">
        <f t="shared" ref="B143:B206" si="36">IF($A143=1,"S"&amp;TEXT(ROW()-2,"00"),"")</f>
        <v/>
      </c>
      <c r="C143" s="9" t="str">
        <f t="shared" ca="1" si="25"/>
        <v/>
      </c>
      <c r="D143" s="9" t="str">
        <f t="shared" ca="1" si="26"/>
        <v/>
      </c>
      <c r="E143" s="9" t="str">
        <f t="shared" ca="1" si="27"/>
        <v/>
      </c>
      <c r="F143" s="9" t="str">
        <f t="shared" si="28"/>
        <v/>
      </c>
      <c r="G143" s="9">
        <f t="shared" si="29"/>
        <v>0</v>
      </c>
      <c r="L143" s="9" t="str">
        <f>IF($J143="","",IFERROR(SUMIFS(SummaryHelper!$H$2:$H$5000,SummaryHelper!$A$2:$A$5000,$I143,SummaryHelper!$B$2:$B$5000,$J143,SummaryHelper!$C$2:$C$5000,$K143)/SUMIFS(SummaryHelper!$G$2:$G$5000,SummaryHelper!$A$2:$A$5000,$I143,SummaryHelper!$B$2:$B$5000,$J143,SummaryHelper!$C$2:$C$5000,$K143),""))</f>
        <v/>
      </c>
      <c r="M143" s="9" t="str">
        <f>IF($J143="","",SUMIFS(SummaryHelper!$E$2:$E$5000,SummaryHelper!$A$2:$A$5000,$I143,SummaryHelper!$B$2:$B$5000,$J143,SummaryHelper!$C$2:$C$5000,$K143))</f>
        <v/>
      </c>
      <c r="N143" s="9" t="str">
        <f>IF($J143="","",SUMIFS(SummaryHelper!$F$2:$F$5000,SummaryHelper!$A$2:$A$5000,$I143,SummaryHelper!$B$2:$B$5000,$J143,SummaryHelper!$C$2:$C$5000,$K143))</f>
        <v/>
      </c>
      <c r="O143" s="9" t="str">
        <f>IF($J143="","",SUMIFS(SummaryHelper!$G$2:$G$5000,SummaryHelper!$A$2:$A$5000,$I143,SummaryHelper!$B$2:$B$5000,$J143,SummaryHelper!$C$2:$C$5000,$K143))</f>
        <v/>
      </c>
      <c r="Q143" s="9" t="str">
        <f t="shared" si="30"/>
        <v/>
      </c>
      <c r="R143" s="9" t="str">
        <f t="shared" si="31"/>
        <v/>
      </c>
      <c r="W143" s="9" t="str">
        <f>IF($U143="","",IFERROR(SUMIFS(SummaryHelper!$H$2:$H$5000,SummaryHelper!$A$2:$A$5000,$T143,SummaryHelper!$B$2:$B$5000,$U143,SummaryHelper!$C$2:$C$5000,$V143)/SUMIFS(SummaryHelper!$G$2:$G$5000,SummaryHelper!$A$2:$A$5000,$T143,SummaryHelper!$B$2:$B$5000,$U143,SummaryHelper!$C$2:$C$5000,$V143),""))</f>
        <v/>
      </c>
      <c r="X143" s="9" t="str">
        <f>IF($U143="","",SUMIFS(SummaryHelper!$E$2:$E$5000,SummaryHelper!$A$2:$A$5000,$T143,SummaryHelper!$B$2:$B$5000,$U143,SummaryHelper!$C$2:$C$5000,$V143))</f>
        <v/>
      </c>
      <c r="Y143" s="9" t="str">
        <f>IF($U143="","",SUMIFS(SummaryHelper!$F$2:$F$5000,SummaryHelper!$A$2:$A$5000,$T143,SummaryHelper!$B$2:$B$5000,$U143,SummaryHelper!$C$2:$C$5000,$V143))</f>
        <v/>
      </c>
      <c r="Z143" s="9" t="str">
        <f>IF($U143="","",SUMIFS(SummaryHelper!$G$2:$G$5000,SummaryHelper!$A$2:$A$5000,$T143,SummaryHelper!$B$2:$B$5000,$U143,SummaryHelper!$C$2:$C$5000,$V143))</f>
        <v/>
      </c>
      <c r="AB143" s="9" t="str">
        <f t="shared" si="32"/>
        <v/>
      </c>
      <c r="AC143" s="9" t="str">
        <f t="shared" si="33"/>
        <v/>
      </c>
      <c r="AH143" t="str">
        <f>IF($AF143="","",IFERROR(SUMIFS(SummaryHelper!$H$2:$H$5000,SummaryHelper!$A$2:$A$5000,$AE143,SummaryHelper!$B$2:$B$5000,$AF143,SummaryHelper!$C$2:$C$5000,$AG143)/SUMIFS(SummaryHelper!$G$2:$G$5000,SummaryHelper!$A$2:$A$5000,$AE143,SummaryHelper!$B$2:$B$5000,$AF143,SummaryHelper!$C$2:$C$5000,$AG143),""))</f>
        <v/>
      </c>
      <c r="AI143" t="str">
        <f>IF($AF143="","",SUMIFS(SummaryHelper!$E$2:$E$5000,SummaryHelper!$A$2:$A$5000,$AE143,SummaryHelper!$B$2:$B$5000,$AF143,SummaryHelper!$C$2:$C$5000,$AG143))</f>
        <v/>
      </c>
      <c r="AJ143" t="str">
        <f>IF($AF143="","",SUMIFS(SummaryHelper!$F$2:$F$5000,SummaryHelper!$A$2:$A$5000,$AE143,SummaryHelper!$B$2:$B$5000,$AF143,SummaryHelper!$C$2:$C$5000,$AG143))</f>
        <v/>
      </c>
      <c r="AK143" t="str">
        <f>IF($AF143="","",SUMIFS(SummaryHelper!$G$2:$G$5000,SummaryHelper!$A$2:$A$5000,$AE143,SummaryHelper!$B$2:$B$5000,$AF143,SummaryHelper!$C$2:$C$5000,$AG143))</f>
        <v/>
      </c>
      <c r="AM143" t="str">
        <f t="shared" si="34"/>
        <v/>
      </c>
      <c r="AN143" t="str">
        <f t="shared" si="35"/>
        <v/>
      </c>
    </row>
    <row r="144" spans="1:40" x14ac:dyDescent="0.25">
      <c r="A144" s="12"/>
      <c r="B144" s="23" t="str">
        <f t="shared" si="36"/>
        <v/>
      </c>
      <c r="C144" s="9" t="str">
        <f t="shared" ca="1" si="25"/>
        <v/>
      </c>
      <c r="D144" s="9" t="str">
        <f t="shared" ca="1" si="26"/>
        <v/>
      </c>
      <c r="E144" s="9" t="str">
        <f t="shared" ca="1" si="27"/>
        <v/>
      </c>
      <c r="F144" s="9" t="str">
        <f t="shared" si="28"/>
        <v/>
      </c>
      <c r="G144" s="9">
        <f t="shared" si="29"/>
        <v>0</v>
      </c>
      <c r="L144" s="9" t="str">
        <f>IF($J144="","",IFERROR(SUMIFS(SummaryHelper!$H$2:$H$5000,SummaryHelper!$A$2:$A$5000,$I144,SummaryHelper!$B$2:$B$5000,$J144,SummaryHelper!$C$2:$C$5000,$K144)/SUMIFS(SummaryHelper!$G$2:$G$5000,SummaryHelper!$A$2:$A$5000,$I144,SummaryHelper!$B$2:$B$5000,$J144,SummaryHelper!$C$2:$C$5000,$K144),""))</f>
        <v/>
      </c>
      <c r="M144" s="9" t="str">
        <f>IF($J144="","",SUMIFS(SummaryHelper!$E$2:$E$5000,SummaryHelper!$A$2:$A$5000,$I144,SummaryHelper!$B$2:$B$5000,$J144,SummaryHelper!$C$2:$C$5000,$K144))</f>
        <v/>
      </c>
      <c r="N144" s="9" t="str">
        <f>IF($J144="","",SUMIFS(SummaryHelper!$F$2:$F$5000,SummaryHelper!$A$2:$A$5000,$I144,SummaryHelper!$B$2:$B$5000,$J144,SummaryHelper!$C$2:$C$5000,$K144))</f>
        <v/>
      </c>
      <c r="O144" s="9" t="str">
        <f>IF($J144="","",SUMIFS(SummaryHelper!$G$2:$G$5000,SummaryHelper!$A$2:$A$5000,$I144,SummaryHelper!$B$2:$B$5000,$J144,SummaryHelper!$C$2:$C$5000,$K144))</f>
        <v/>
      </c>
      <c r="Q144" s="9" t="str">
        <f t="shared" si="30"/>
        <v/>
      </c>
      <c r="R144" s="9" t="str">
        <f t="shared" si="31"/>
        <v/>
      </c>
      <c r="W144" s="9" t="str">
        <f>IF($U144="","",IFERROR(SUMIFS(SummaryHelper!$H$2:$H$5000,SummaryHelper!$A$2:$A$5000,$T144,SummaryHelper!$B$2:$B$5000,$U144,SummaryHelper!$C$2:$C$5000,$V144)/SUMIFS(SummaryHelper!$G$2:$G$5000,SummaryHelper!$A$2:$A$5000,$T144,SummaryHelper!$B$2:$B$5000,$U144,SummaryHelper!$C$2:$C$5000,$V144),""))</f>
        <v/>
      </c>
      <c r="X144" s="9" t="str">
        <f>IF($U144="","",SUMIFS(SummaryHelper!$E$2:$E$5000,SummaryHelper!$A$2:$A$5000,$T144,SummaryHelper!$B$2:$B$5000,$U144,SummaryHelper!$C$2:$C$5000,$V144))</f>
        <v/>
      </c>
      <c r="Y144" s="9" t="str">
        <f>IF($U144="","",SUMIFS(SummaryHelper!$F$2:$F$5000,SummaryHelper!$A$2:$A$5000,$T144,SummaryHelper!$B$2:$B$5000,$U144,SummaryHelper!$C$2:$C$5000,$V144))</f>
        <v/>
      </c>
      <c r="Z144" s="9" t="str">
        <f>IF($U144="","",SUMIFS(SummaryHelper!$G$2:$G$5000,SummaryHelper!$A$2:$A$5000,$T144,SummaryHelper!$B$2:$B$5000,$U144,SummaryHelper!$C$2:$C$5000,$V144))</f>
        <v/>
      </c>
      <c r="AB144" s="9" t="str">
        <f t="shared" si="32"/>
        <v/>
      </c>
      <c r="AC144" s="9" t="str">
        <f t="shared" si="33"/>
        <v/>
      </c>
      <c r="AH144" t="str">
        <f>IF($AF144="","",IFERROR(SUMIFS(SummaryHelper!$H$2:$H$5000,SummaryHelper!$A$2:$A$5000,$AE144,SummaryHelper!$B$2:$B$5000,$AF144,SummaryHelper!$C$2:$C$5000,$AG144)/SUMIFS(SummaryHelper!$G$2:$G$5000,SummaryHelper!$A$2:$A$5000,$AE144,SummaryHelper!$B$2:$B$5000,$AF144,SummaryHelper!$C$2:$C$5000,$AG144),""))</f>
        <v/>
      </c>
      <c r="AI144" t="str">
        <f>IF($AF144="","",SUMIFS(SummaryHelper!$E$2:$E$5000,SummaryHelper!$A$2:$A$5000,$AE144,SummaryHelper!$B$2:$B$5000,$AF144,SummaryHelper!$C$2:$C$5000,$AG144))</f>
        <v/>
      </c>
      <c r="AJ144" t="str">
        <f>IF($AF144="","",SUMIFS(SummaryHelper!$F$2:$F$5000,SummaryHelper!$A$2:$A$5000,$AE144,SummaryHelper!$B$2:$B$5000,$AF144,SummaryHelper!$C$2:$C$5000,$AG144))</f>
        <v/>
      </c>
      <c r="AK144" t="str">
        <f>IF($AF144="","",SUMIFS(SummaryHelper!$G$2:$G$5000,SummaryHelper!$A$2:$A$5000,$AE144,SummaryHelper!$B$2:$B$5000,$AF144,SummaryHelper!$C$2:$C$5000,$AG144))</f>
        <v/>
      </c>
      <c r="AM144" t="str">
        <f t="shared" si="34"/>
        <v/>
      </c>
      <c r="AN144" t="str">
        <f t="shared" si="35"/>
        <v/>
      </c>
    </row>
    <row r="145" spans="1:40" x14ac:dyDescent="0.25">
      <c r="A145" s="12"/>
      <c r="B145" s="23" t="str">
        <f t="shared" si="36"/>
        <v/>
      </c>
      <c r="C145" s="9" t="str">
        <f t="shared" ca="1" si="25"/>
        <v/>
      </c>
      <c r="D145" s="9" t="str">
        <f t="shared" ca="1" si="26"/>
        <v/>
      </c>
      <c r="E145" s="9" t="str">
        <f t="shared" ca="1" si="27"/>
        <v/>
      </c>
      <c r="F145" s="9" t="str">
        <f t="shared" si="28"/>
        <v/>
      </c>
      <c r="G145" s="9">
        <f t="shared" si="29"/>
        <v>0</v>
      </c>
      <c r="L145" s="9" t="str">
        <f>IF($J145="","",IFERROR(SUMIFS(SummaryHelper!$H$2:$H$5000,SummaryHelper!$A$2:$A$5000,$I145,SummaryHelper!$B$2:$B$5000,$J145,SummaryHelper!$C$2:$C$5000,$K145)/SUMIFS(SummaryHelper!$G$2:$G$5000,SummaryHelper!$A$2:$A$5000,$I145,SummaryHelper!$B$2:$B$5000,$J145,SummaryHelper!$C$2:$C$5000,$K145),""))</f>
        <v/>
      </c>
      <c r="M145" s="9" t="str">
        <f>IF($J145="","",SUMIFS(SummaryHelper!$E$2:$E$5000,SummaryHelper!$A$2:$A$5000,$I145,SummaryHelper!$B$2:$B$5000,$J145,SummaryHelper!$C$2:$C$5000,$K145))</f>
        <v/>
      </c>
      <c r="N145" s="9" t="str">
        <f>IF($J145="","",SUMIFS(SummaryHelper!$F$2:$F$5000,SummaryHelper!$A$2:$A$5000,$I145,SummaryHelper!$B$2:$B$5000,$J145,SummaryHelper!$C$2:$C$5000,$K145))</f>
        <v/>
      </c>
      <c r="O145" s="9" t="str">
        <f>IF($J145="","",SUMIFS(SummaryHelper!$G$2:$G$5000,SummaryHelper!$A$2:$A$5000,$I145,SummaryHelper!$B$2:$B$5000,$J145,SummaryHelper!$C$2:$C$5000,$K145))</f>
        <v/>
      </c>
      <c r="Q145" s="9" t="str">
        <f t="shared" si="30"/>
        <v/>
      </c>
      <c r="R145" s="9" t="str">
        <f t="shared" si="31"/>
        <v/>
      </c>
      <c r="W145" s="9" t="str">
        <f>IF($U145="","",IFERROR(SUMIFS(SummaryHelper!$H$2:$H$5000,SummaryHelper!$A$2:$A$5000,$T145,SummaryHelper!$B$2:$B$5000,$U145,SummaryHelper!$C$2:$C$5000,$V145)/SUMIFS(SummaryHelper!$G$2:$G$5000,SummaryHelper!$A$2:$A$5000,$T145,SummaryHelper!$B$2:$B$5000,$U145,SummaryHelper!$C$2:$C$5000,$V145),""))</f>
        <v/>
      </c>
      <c r="X145" s="9" t="str">
        <f>IF($U145="","",SUMIFS(SummaryHelper!$E$2:$E$5000,SummaryHelper!$A$2:$A$5000,$T145,SummaryHelper!$B$2:$B$5000,$U145,SummaryHelper!$C$2:$C$5000,$V145))</f>
        <v/>
      </c>
      <c r="Y145" s="9" t="str">
        <f>IF($U145="","",SUMIFS(SummaryHelper!$F$2:$F$5000,SummaryHelper!$A$2:$A$5000,$T145,SummaryHelper!$B$2:$B$5000,$U145,SummaryHelper!$C$2:$C$5000,$V145))</f>
        <v/>
      </c>
      <c r="Z145" s="9" t="str">
        <f>IF($U145="","",SUMIFS(SummaryHelper!$G$2:$G$5000,SummaryHelper!$A$2:$A$5000,$T145,SummaryHelper!$B$2:$B$5000,$U145,SummaryHelper!$C$2:$C$5000,$V145))</f>
        <v/>
      </c>
      <c r="AB145" s="9" t="str">
        <f t="shared" si="32"/>
        <v/>
      </c>
      <c r="AC145" s="9" t="str">
        <f t="shared" si="33"/>
        <v/>
      </c>
      <c r="AH145" t="str">
        <f>IF($AF145="","",IFERROR(SUMIFS(SummaryHelper!$H$2:$H$5000,SummaryHelper!$A$2:$A$5000,$AE145,SummaryHelper!$B$2:$B$5000,$AF145,SummaryHelper!$C$2:$C$5000,$AG145)/SUMIFS(SummaryHelper!$G$2:$G$5000,SummaryHelper!$A$2:$A$5000,$AE145,SummaryHelper!$B$2:$B$5000,$AF145,SummaryHelper!$C$2:$C$5000,$AG145),""))</f>
        <v/>
      </c>
      <c r="AI145" t="str">
        <f>IF($AF145="","",SUMIFS(SummaryHelper!$E$2:$E$5000,SummaryHelper!$A$2:$A$5000,$AE145,SummaryHelper!$B$2:$B$5000,$AF145,SummaryHelper!$C$2:$C$5000,$AG145))</f>
        <v/>
      </c>
      <c r="AJ145" t="str">
        <f>IF($AF145="","",SUMIFS(SummaryHelper!$F$2:$F$5000,SummaryHelper!$A$2:$A$5000,$AE145,SummaryHelper!$B$2:$B$5000,$AF145,SummaryHelper!$C$2:$C$5000,$AG145))</f>
        <v/>
      </c>
      <c r="AK145" t="str">
        <f>IF($AF145="","",SUMIFS(SummaryHelper!$G$2:$G$5000,SummaryHelper!$A$2:$A$5000,$AE145,SummaryHelper!$B$2:$B$5000,$AF145,SummaryHelper!$C$2:$C$5000,$AG145))</f>
        <v/>
      </c>
      <c r="AM145" t="str">
        <f t="shared" si="34"/>
        <v/>
      </c>
      <c r="AN145" t="str">
        <f t="shared" si="35"/>
        <v/>
      </c>
    </row>
    <row r="146" spans="1:40" x14ac:dyDescent="0.25">
      <c r="A146" s="12"/>
      <c r="B146" s="23" t="str">
        <f t="shared" si="36"/>
        <v/>
      </c>
      <c r="C146" s="9" t="str">
        <f t="shared" ca="1" si="25"/>
        <v/>
      </c>
      <c r="D146" s="9" t="str">
        <f t="shared" ca="1" si="26"/>
        <v/>
      </c>
      <c r="E146" s="9" t="str">
        <f t="shared" ca="1" si="27"/>
        <v/>
      </c>
      <c r="F146" s="9" t="str">
        <f t="shared" si="28"/>
        <v/>
      </c>
      <c r="G146" s="9">
        <f t="shared" si="29"/>
        <v>0</v>
      </c>
      <c r="L146" s="9" t="str">
        <f>IF($J146="","",IFERROR(SUMIFS(SummaryHelper!$H$2:$H$5000,SummaryHelper!$A$2:$A$5000,$I146,SummaryHelper!$B$2:$B$5000,$J146,SummaryHelper!$C$2:$C$5000,$K146)/SUMIFS(SummaryHelper!$G$2:$G$5000,SummaryHelper!$A$2:$A$5000,$I146,SummaryHelper!$B$2:$B$5000,$J146,SummaryHelper!$C$2:$C$5000,$K146),""))</f>
        <v/>
      </c>
      <c r="M146" s="9" t="str">
        <f>IF($J146="","",SUMIFS(SummaryHelper!$E$2:$E$5000,SummaryHelper!$A$2:$A$5000,$I146,SummaryHelper!$B$2:$B$5000,$J146,SummaryHelper!$C$2:$C$5000,$K146))</f>
        <v/>
      </c>
      <c r="N146" s="9" t="str">
        <f>IF($J146="","",SUMIFS(SummaryHelper!$F$2:$F$5000,SummaryHelper!$A$2:$A$5000,$I146,SummaryHelper!$B$2:$B$5000,$J146,SummaryHelper!$C$2:$C$5000,$K146))</f>
        <v/>
      </c>
      <c r="O146" s="9" t="str">
        <f>IF($J146="","",SUMIFS(SummaryHelper!$G$2:$G$5000,SummaryHelper!$A$2:$A$5000,$I146,SummaryHelper!$B$2:$B$5000,$J146,SummaryHelper!$C$2:$C$5000,$K146))</f>
        <v/>
      </c>
      <c r="Q146" s="9" t="str">
        <f t="shared" si="30"/>
        <v/>
      </c>
      <c r="R146" s="9" t="str">
        <f t="shared" si="31"/>
        <v/>
      </c>
      <c r="W146" s="9" t="str">
        <f>IF($U146="","",IFERROR(SUMIFS(SummaryHelper!$H$2:$H$5000,SummaryHelper!$A$2:$A$5000,$T146,SummaryHelper!$B$2:$B$5000,$U146,SummaryHelper!$C$2:$C$5000,$V146)/SUMIFS(SummaryHelper!$G$2:$G$5000,SummaryHelper!$A$2:$A$5000,$T146,SummaryHelper!$B$2:$B$5000,$U146,SummaryHelper!$C$2:$C$5000,$V146),""))</f>
        <v/>
      </c>
      <c r="X146" s="9" t="str">
        <f>IF($U146="","",SUMIFS(SummaryHelper!$E$2:$E$5000,SummaryHelper!$A$2:$A$5000,$T146,SummaryHelper!$B$2:$B$5000,$U146,SummaryHelper!$C$2:$C$5000,$V146))</f>
        <v/>
      </c>
      <c r="Y146" s="9" t="str">
        <f>IF($U146="","",SUMIFS(SummaryHelper!$F$2:$F$5000,SummaryHelper!$A$2:$A$5000,$T146,SummaryHelper!$B$2:$B$5000,$U146,SummaryHelper!$C$2:$C$5000,$V146))</f>
        <v/>
      </c>
      <c r="Z146" s="9" t="str">
        <f>IF($U146="","",SUMIFS(SummaryHelper!$G$2:$G$5000,SummaryHelper!$A$2:$A$5000,$T146,SummaryHelper!$B$2:$B$5000,$U146,SummaryHelper!$C$2:$C$5000,$V146))</f>
        <v/>
      </c>
      <c r="AB146" s="9" t="str">
        <f t="shared" si="32"/>
        <v/>
      </c>
      <c r="AC146" s="9" t="str">
        <f t="shared" si="33"/>
        <v/>
      </c>
      <c r="AH146" t="str">
        <f>IF($AF146="","",IFERROR(SUMIFS(SummaryHelper!$H$2:$H$5000,SummaryHelper!$A$2:$A$5000,$AE146,SummaryHelper!$B$2:$B$5000,$AF146,SummaryHelper!$C$2:$C$5000,$AG146)/SUMIFS(SummaryHelper!$G$2:$G$5000,SummaryHelper!$A$2:$A$5000,$AE146,SummaryHelper!$B$2:$B$5000,$AF146,SummaryHelper!$C$2:$C$5000,$AG146),""))</f>
        <v/>
      </c>
      <c r="AI146" t="str">
        <f>IF($AF146="","",SUMIFS(SummaryHelper!$E$2:$E$5000,SummaryHelper!$A$2:$A$5000,$AE146,SummaryHelper!$B$2:$B$5000,$AF146,SummaryHelper!$C$2:$C$5000,$AG146))</f>
        <v/>
      </c>
      <c r="AJ146" t="str">
        <f>IF($AF146="","",SUMIFS(SummaryHelper!$F$2:$F$5000,SummaryHelper!$A$2:$A$5000,$AE146,SummaryHelper!$B$2:$B$5000,$AF146,SummaryHelper!$C$2:$C$5000,$AG146))</f>
        <v/>
      </c>
      <c r="AK146" t="str">
        <f>IF($AF146="","",SUMIFS(SummaryHelper!$G$2:$G$5000,SummaryHelper!$A$2:$A$5000,$AE146,SummaryHelper!$B$2:$B$5000,$AF146,SummaryHelper!$C$2:$C$5000,$AG146))</f>
        <v/>
      </c>
      <c r="AM146" t="str">
        <f t="shared" si="34"/>
        <v/>
      </c>
      <c r="AN146" t="str">
        <f t="shared" si="35"/>
        <v/>
      </c>
    </row>
    <row r="147" spans="1:40" x14ac:dyDescent="0.25">
      <c r="A147" s="12"/>
      <c r="B147" s="23" t="str">
        <f t="shared" si="36"/>
        <v/>
      </c>
      <c r="C147" s="9" t="str">
        <f t="shared" ca="1" si="25"/>
        <v/>
      </c>
      <c r="D147" s="9" t="str">
        <f t="shared" ca="1" si="26"/>
        <v/>
      </c>
      <c r="E147" s="9" t="str">
        <f t="shared" ca="1" si="27"/>
        <v/>
      </c>
      <c r="F147" s="9" t="str">
        <f t="shared" si="28"/>
        <v/>
      </c>
      <c r="G147" s="9">
        <f t="shared" si="29"/>
        <v>0</v>
      </c>
      <c r="L147" s="9" t="str">
        <f>IF($J147="","",IFERROR(SUMIFS(SummaryHelper!$H$2:$H$5000,SummaryHelper!$A$2:$A$5000,$I147,SummaryHelper!$B$2:$B$5000,$J147,SummaryHelper!$C$2:$C$5000,$K147)/SUMIFS(SummaryHelper!$G$2:$G$5000,SummaryHelper!$A$2:$A$5000,$I147,SummaryHelper!$B$2:$B$5000,$J147,SummaryHelper!$C$2:$C$5000,$K147),""))</f>
        <v/>
      </c>
      <c r="M147" s="9" t="str">
        <f>IF($J147="","",SUMIFS(SummaryHelper!$E$2:$E$5000,SummaryHelper!$A$2:$A$5000,$I147,SummaryHelper!$B$2:$B$5000,$J147,SummaryHelper!$C$2:$C$5000,$K147))</f>
        <v/>
      </c>
      <c r="N147" s="9" t="str">
        <f>IF($J147="","",SUMIFS(SummaryHelper!$F$2:$F$5000,SummaryHelper!$A$2:$A$5000,$I147,SummaryHelper!$B$2:$B$5000,$J147,SummaryHelper!$C$2:$C$5000,$K147))</f>
        <v/>
      </c>
      <c r="O147" s="9" t="str">
        <f>IF($J147="","",SUMIFS(SummaryHelper!$G$2:$G$5000,SummaryHelper!$A$2:$A$5000,$I147,SummaryHelper!$B$2:$B$5000,$J147,SummaryHelper!$C$2:$C$5000,$K147))</f>
        <v/>
      </c>
      <c r="Q147" s="9" t="str">
        <f t="shared" si="30"/>
        <v/>
      </c>
      <c r="R147" s="9" t="str">
        <f t="shared" si="31"/>
        <v/>
      </c>
      <c r="W147" s="9" t="str">
        <f>IF($U147="","",IFERROR(SUMIFS(SummaryHelper!$H$2:$H$5000,SummaryHelper!$A$2:$A$5000,$T147,SummaryHelper!$B$2:$B$5000,$U147,SummaryHelper!$C$2:$C$5000,$V147)/SUMIFS(SummaryHelper!$G$2:$G$5000,SummaryHelper!$A$2:$A$5000,$T147,SummaryHelper!$B$2:$B$5000,$U147,SummaryHelper!$C$2:$C$5000,$V147),""))</f>
        <v/>
      </c>
      <c r="X147" s="9" t="str">
        <f>IF($U147="","",SUMIFS(SummaryHelper!$E$2:$E$5000,SummaryHelper!$A$2:$A$5000,$T147,SummaryHelper!$B$2:$B$5000,$U147,SummaryHelper!$C$2:$C$5000,$V147))</f>
        <v/>
      </c>
      <c r="Y147" s="9" t="str">
        <f>IF($U147="","",SUMIFS(SummaryHelper!$F$2:$F$5000,SummaryHelper!$A$2:$A$5000,$T147,SummaryHelper!$B$2:$B$5000,$U147,SummaryHelper!$C$2:$C$5000,$V147))</f>
        <v/>
      </c>
      <c r="Z147" s="9" t="str">
        <f>IF($U147="","",SUMIFS(SummaryHelper!$G$2:$G$5000,SummaryHelper!$A$2:$A$5000,$T147,SummaryHelper!$B$2:$B$5000,$U147,SummaryHelper!$C$2:$C$5000,$V147))</f>
        <v/>
      </c>
      <c r="AB147" s="9" t="str">
        <f t="shared" si="32"/>
        <v/>
      </c>
      <c r="AC147" s="9" t="str">
        <f t="shared" si="33"/>
        <v/>
      </c>
      <c r="AH147" t="str">
        <f>IF($AF147="","",IFERROR(SUMIFS(SummaryHelper!$H$2:$H$5000,SummaryHelper!$A$2:$A$5000,$AE147,SummaryHelper!$B$2:$B$5000,$AF147,SummaryHelper!$C$2:$C$5000,$AG147)/SUMIFS(SummaryHelper!$G$2:$G$5000,SummaryHelper!$A$2:$A$5000,$AE147,SummaryHelper!$B$2:$B$5000,$AF147,SummaryHelper!$C$2:$C$5000,$AG147),""))</f>
        <v/>
      </c>
      <c r="AI147" t="str">
        <f>IF($AF147="","",SUMIFS(SummaryHelper!$E$2:$E$5000,SummaryHelper!$A$2:$A$5000,$AE147,SummaryHelper!$B$2:$B$5000,$AF147,SummaryHelper!$C$2:$C$5000,$AG147))</f>
        <v/>
      </c>
      <c r="AJ147" t="str">
        <f>IF($AF147="","",SUMIFS(SummaryHelper!$F$2:$F$5000,SummaryHelper!$A$2:$A$5000,$AE147,SummaryHelper!$B$2:$B$5000,$AF147,SummaryHelper!$C$2:$C$5000,$AG147))</f>
        <v/>
      </c>
      <c r="AK147" t="str">
        <f>IF($AF147="","",SUMIFS(SummaryHelper!$G$2:$G$5000,SummaryHelper!$A$2:$A$5000,$AE147,SummaryHelper!$B$2:$B$5000,$AF147,SummaryHelper!$C$2:$C$5000,$AG147))</f>
        <v/>
      </c>
      <c r="AM147" t="str">
        <f t="shared" si="34"/>
        <v/>
      </c>
      <c r="AN147" t="str">
        <f t="shared" si="35"/>
        <v/>
      </c>
    </row>
    <row r="148" spans="1:40" x14ac:dyDescent="0.25">
      <c r="A148" s="12"/>
      <c r="B148" s="23" t="str">
        <f t="shared" si="36"/>
        <v/>
      </c>
      <c r="C148" s="9" t="str">
        <f t="shared" ca="1" si="25"/>
        <v/>
      </c>
      <c r="D148" s="9" t="str">
        <f t="shared" ca="1" si="26"/>
        <v/>
      </c>
      <c r="E148" s="9" t="str">
        <f t="shared" ca="1" si="27"/>
        <v/>
      </c>
      <c r="F148" s="9" t="str">
        <f t="shared" si="28"/>
        <v/>
      </c>
      <c r="G148" s="9">
        <f t="shared" si="29"/>
        <v>0</v>
      </c>
      <c r="L148" s="9" t="str">
        <f>IF($J148="","",IFERROR(SUMIFS(SummaryHelper!$H$2:$H$5000,SummaryHelper!$A$2:$A$5000,$I148,SummaryHelper!$B$2:$B$5000,$J148,SummaryHelper!$C$2:$C$5000,$K148)/SUMIFS(SummaryHelper!$G$2:$G$5000,SummaryHelper!$A$2:$A$5000,$I148,SummaryHelper!$B$2:$B$5000,$J148,SummaryHelper!$C$2:$C$5000,$K148),""))</f>
        <v/>
      </c>
      <c r="M148" s="9" t="str">
        <f>IF($J148="","",SUMIFS(SummaryHelper!$E$2:$E$5000,SummaryHelper!$A$2:$A$5000,$I148,SummaryHelper!$B$2:$B$5000,$J148,SummaryHelper!$C$2:$C$5000,$K148))</f>
        <v/>
      </c>
      <c r="N148" s="9" t="str">
        <f>IF($J148="","",SUMIFS(SummaryHelper!$F$2:$F$5000,SummaryHelper!$A$2:$A$5000,$I148,SummaryHelper!$B$2:$B$5000,$J148,SummaryHelper!$C$2:$C$5000,$K148))</f>
        <v/>
      </c>
      <c r="O148" s="9" t="str">
        <f>IF($J148="","",SUMIFS(SummaryHelper!$G$2:$G$5000,SummaryHelper!$A$2:$A$5000,$I148,SummaryHelper!$B$2:$B$5000,$J148,SummaryHelper!$C$2:$C$5000,$K148))</f>
        <v/>
      </c>
      <c r="Q148" s="9" t="str">
        <f t="shared" si="30"/>
        <v/>
      </c>
      <c r="R148" s="9" t="str">
        <f t="shared" si="31"/>
        <v/>
      </c>
      <c r="W148" s="9" t="str">
        <f>IF($U148="","",IFERROR(SUMIFS(SummaryHelper!$H$2:$H$5000,SummaryHelper!$A$2:$A$5000,$T148,SummaryHelper!$B$2:$B$5000,$U148,SummaryHelper!$C$2:$C$5000,$V148)/SUMIFS(SummaryHelper!$G$2:$G$5000,SummaryHelper!$A$2:$A$5000,$T148,SummaryHelper!$B$2:$B$5000,$U148,SummaryHelper!$C$2:$C$5000,$V148),""))</f>
        <v/>
      </c>
      <c r="X148" s="9" t="str">
        <f>IF($U148="","",SUMIFS(SummaryHelper!$E$2:$E$5000,SummaryHelper!$A$2:$A$5000,$T148,SummaryHelper!$B$2:$B$5000,$U148,SummaryHelper!$C$2:$C$5000,$V148))</f>
        <v/>
      </c>
      <c r="Y148" s="9" t="str">
        <f>IF($U148="","",SUMIFS(SummaryHelper!$F$2:$F$5000,SummaryHelper!$A$2:$A$5000,$T148,SummaryHelper!$B$2:$B$5000,$U148,SummaryHelper!$C$2:$C$5000,$V148))</f>
        <v/>
      </c>
      <c r="Z148" s="9" t="str">
        <f>IF($U148="","",SUMIFS(SummaryHelper!$G$2:$G$5000,SummaryHelper!$A$2:$A$5000,$T148,SummaryHelper!$B$2:$B$5000,$U148,SummaryHelper!$C$2:$C$5000,$V148))</f>
        <v/>
      </c>
      <c r="AB148" s="9" t="str">
        <f t="shared" si="32"/>
        <v/>
      </c>
      <c r="AC148" s="9" t="str">
        <f t="shared" si="33"/>
        <v/>
      </c>
      <c r="AH148" t="str">
        <f>IF($AF148="","",IFERROR(SUMIFS(SummaryHelper!$H$2:$H$5000,SummaryHelper!$A$2:$A$5000,$AE148,SummaryHelper!$B$2:$B$5000,$AF148,SummaryHelper!$C$2:$C$5000,$AG148)/SUMIFS(SummaryHelper!$G$2:$G$5000,SummaryHelper!$A$2:$A$5000,$AE148,SummaryHelper!$B$2:$B$5000,$AF148,SummaryHelper!$C$2:$C$5000,$AG148),""))</f>
        <v/>
      </c>
      <c r="AI148" t="str">
        <f>IF($AF148="","",SUMIFS(SummaryHelper!$E$2:$E$5000,SummaryHelper!$A$2:$A$5000,$AE148,SummaryHelper!$B$2:$B$5000,$AF148,SummaryHelper!$C$2:$C$5000,$AG148))</f>
        <v/>
      </c>
      <c r="AJ148" t="str">
        <f>IF($AF148="","",SUMIFS(SummaryHelper!$F$2:$F$5000,SummaryHelper!$A$2:$A$5000,$AE148,SummaryHelper!$B$2:$B$5000,$AF148,SummaryHelper!$C$2:$C$5000,$AG148))</f>
        <v/>
      </c>
      <c r="AK148" t="str">
        <f>IF($AF148="","",SUMIFS(SummaryHelper!$G$2:$G$5000,SummaryHelper!$A$2:$A$5000,$AE148,SummaryHelper!$B$2:$B$5000,$AF148,SummaryHelper!$C$2:$C$5000,$AG148))</f>
        <v/>
      </c>
      <c r="AM148" t="str">
        <f t="shared" si="34"/>
        <v/>
      </c>
      <c r="AN148" t="str">
        <f t="shared" si="35"/>
        <v/>
      </c>
    </row>
    <row r="149" spans="1:40" x14ac:dyDescent="0.25">
      <c r="A149" s="12"/>
      <c r="B149" s="23" t="str">
        <f t="shared" si="36"/>
        <v/>
      </c>
      <c r="C149" s="9" t="str">
        <f t="shared" ca="1" si="25"/>
        <v/>
      </c>
      <c r="D149" s="9" t="str">
        <f t="shared" ca="1" si="26"/>
        <v/>
      </c>
      <c r="E149" s="9" t="str">
        <f t="shared" ca="1" si="27"/>
        <v/>
      </c>
      <c r="F149" s="9" t="str">
        <f t="shared" si="28"/>
        <v/>
      </c>
      <c r="G149" s="9">
        <f t="shared" si="29"/>
        <v>0</v>
      </c>
      <c r="L149" s="9" t="str">
        <f>IF($J149="","",IFERROR(SUMIFS(SummaryHelper!$H$2:$H$5000,SummaryHelper!$A$2:$A$5000,$I149,SummaryHelper!$B$2:$B$5000,$J149,SummaryHelper!$C$2:$C$5000,$K149)/SUMIFS(SummaryHelper!$G$2:$G$5000,SummaryHelper!$A$2:$A$5000,$I149,SummaryHelper!$B$2:$B$5000,$J149,SummaryHelper!$C$2:$C$5000,$K149),""))</f>
        <v/>
      </c>
      <c r="M149" s="9" t="str">
        <f>IF($J149="","",SUMIFS(SummaryHelper!$E$2:$E$5000,SummaryHelper!$A$2:$A$5000,$I149,SummaryHelper!$B$2:$B$5000,$J149,SummaryHelper!$C$2:$C$5000,$K149))</f>
        <v/>
      </c>
      <c r="N149" s="9" t="str">
        <f>IF($J149="","",SUMIFS(SummaryHelper!$F$2:$F$5000,SummaryHelper!$A$2:$A$5000,$I149,SummaryHelper!$B$2:$B$5000,$J149,SummaryHelper!$C$2:$C$5000,$K149))</f>
        <v/>
      </c>
      <c r="O149" s="9" t="str">
        <f>IF($J149="","",SUMIFS(SummaryHelper!$G$2:$G$5000,SummaryHelper!$A$2:$A$5000,$I149,SummaryHelper!$B$2:$B$5000,$J149,SummaryHelper!$C$2:$C$5000,$K149))</f>
        <v/>
      </c>
      <c r="Q149" s="9" t="str">
        <f t="shared" si="30"/>
        <v/>
      </c>
      <c r="R149" s="9" t="str">
        <f t="shared" si="31"/>
        <v/>
      </c>
      <c r="W149" s="9" t="str">
        <f>IF($U149="","",IFERROR(SUMIFS(SummaryHelper!$H$2:$H$5000,SummaryHelper!$A$2:$A$5000,$T149,SummaryHelper!$B$2:$B$5000,$U149,SummaryHelper!$C$2:$C$5000,$V149)/SUMIFS(SummaryHelper!$G$2:$G$5000,SummaryHelper!$A$2:$A$5000,$T149,SummaryHelper!$B$2:$B$5000,$U149,SummaryHelper!$C$2:$C$5000,$V149),""))</f>
        <v/>
      </c>
      <c r="X149" s="9" t="str">
        <f>IF($U149="","",SUMIFS(SummaryHelper!$E$2:$E$5000,SummaryHelper!$A$2:$A$5000,$T149,SummaryHelper!$B$2:$B$5000,$U149,SummaryHelper!$C$2:$C$5000,$V149))</f>
        <v/>
      </c>
      <c r="Y149" s="9" t="str">
        <f>IF($U149="","",SUMIFS(SummaryHelper!$F$2:$F$5000,SummaryHelper!$A$2:$A$5000,$T149,SummaryHelper!$B$2:$B$5000,$U149,SummaryHelper!$C$2:$C$5000,$V149))</f>
        <v/>
      </c>
      <c r="Z149" s="9" t="str">
        <f>IF($U149="","",SUMIFS(SummaryHelper!$G$2:$G$5000,SummaryHelper!$A$2:$A$5000,$T149,SummaryHelper!$B$2:$B$5000,$U149,SummaryHelper!$C$2:$C$5000,$V149))</f>
        <v/>
      </c>
      <c r="AB149" s="9" t="str">
        <f t="shared" si="32"/>
        <v/>
      </c>
      <c r="AC149" s="9" t="str">
        <f t="shared" si="33"/>
        <v/>
      </c>
      <c r="AH149" t="str">
        <f>IF($AF149="","",IFERROR(SUMIFS(SummaryHelper!$H$2:$H$5000,SummaryHelper!$A$2:$A$5000,$AE149,SummaryHelper!$B$2:$B$5000,$AF149,SummaryHelper!$C$2:$C$5000,$AG149)/SUMIFS(SummaryHelper!$G$2:$G$5000,SummaryHelper!$A$2:$A$5000,$AE149,SummaryHelper!$B$2:$B$5000,$AF149,SummaryHelper!$C$2:$C$5000,$AG149),""))</f>
        <v/>
      </c>
      <c r="AI149" t="str">
        <f>IF($AF149="","",SUMIFS(SummaryHelper!$E$2:$E$5000,SummaryHelper!$A$2:$A$5000,$AE149,SummaryHelper!$B$2:$B$5000,$AF149,SummaryHelper!$C$2:$C$5000,$AG149))</f>
        <v/>
      </c>
      <c r="AJ149" t="str">
        <f>IF($AF149="","",SUMIFS(SummaryHelper!$F$2:$F$5000,SummaryHelper!$A$2:$A$5000,$AE149,SummaryHelper!$B$2:$B$5000,$AF149,SummaryHelper!$C$2:$C$5000,$AG149))</f>
        <v/>
      </c>
      <c r="AK149" t="str">
        <f>IF($AF149="","",SUMIFS(SummaryHelper!$G$2:$G$5000,SummaryHelper!$A$2:$A$5000,$AE149,SummaryHelper!$B$2:$B$5000,$AF149,SummaryHelper!$C$2:$C$5000,$AG149))</f>
        <v/>
      </c>
      <c r="AM149" t="str">
        <f t="shared" si="34"/>
        <v/>
      </c>
      <c r="AN149" t="str">
        <f t="shared" si="35"/>
        <v/>
      </c>
    </row>
    <row r="150" spans="1:40" x14ac:dyDescent="0.25">
      <c r="A150" s="12"/>
      <c r="B150" s="23" t="str">
        <f t="shared" si="36"/>
        <v/>
      </c>
      <c r="C150" s="9" t="str">
        <f t="shared" ca="1" si="25"/>
        <v/>
      </c>
      <c r="D150" s="9" t="str">
        <f t="shared" ca="1" si="26"/>
        <v/>
      </c>
      <c r="E150" s="9" t="str">
        <f t="shared" ca="1" si="27"/>
        <v/>
      </c>
      <c r="F150" s="9" t="str">
        <f t="shared" si="28"/>
        <v/>
      </c>
      <c r="G150" s="9">
        <f t="shared" si="29"/>
        <v>0</v>
      </c>
      <c r="L150" s="9" t="str">
        <f>IF($J150="","",IFERROR(SUMIFS(SummaryHelper!$H$2:$H$5000,SummaryHelper!$A$2:$A$5000,$I150,SummaryHelper!$B$2:$B$5000,$J150,SummaryHelper!$C$2:$C$5000,$K150)/SUMIFS(SummaryHelper!$G$2:$G$5000,SummaryHelper!$A$2:$A$5000,$I150,SummaryHelper!$B$2:$B$5000,$J150,SummaryHelper!$C$2:$C$5000,$K150),""))</f>
        <v/>
      </c>
      <c r="M150" s="9" t="str">
        <f>IF($J150="","",SUMIFS(SummaryHelper!$E$2:$E$5000,SummaryHelper!$A$2:$A$5000,$I150,SummaryHelper!$B$2:$B$5000,$J150,SummaryHelper!$C$2:$C$5000,$K150))</f>
        <v/>
      </c>
      <c r="N150" s="9" t="str">
        <f>IF($J150="","",SUMIFS(SummaryHelper!$F$2:$F$5000,SummaryHelper!$A$2:$A$5000,$I150,SummaryHelper!$B$2:$B$5000,$J150,SummaryHelper!$C$2:$C$5000,$K150))</f>
        <v/>
      </c>
      <c r="O150" s="9" t="str">
        <f>IF($J150="","",SUMIFS(SummaryHelper!$G$2:$G$5000,SummaryHelper!$A$2:$A$5000,$I150,SummaryHelper!$B$2:$B$5000,$J150,SummaryHelper!$C$2:$C$5000,$K150))</f>
        <v/>
      </c>
      <c r="Q150" s="9" t="str">
        <f t="shared" si="30"/>
        <v/>
      </c>
      <c r="R150" s="9" t="str">
        <f t="shared" si="31"/>
        <v/>
      </c>
      <c r="W150" s="9" t="str">
        <f>IF($U150="","",IFERROR(SUMIFS(SummaryHelper!$H$2:$H$5000,SummaryHelper!$A$2:$A$5000,$T150,SummaryHelper!$B$2:$B$5000,$U150,SummaryHelper!$C$2:$C$5000,$V150)/SUMIFS(SummaryHelper!$G$2:$G$5000,SummaryHelper!$A$2:$A$5000,$T150,SummaryHelper!$B$2:$B$5000,$U150,SummaryHelper!$C$2:$C$5000,$V150),""))</f>
        <v/>
      </c>
      <c r="X150" s="9" t="str">
        <f>IF($U150="","",SUMIFS(SummaryHelper!$E$2:$E$5000,SummaryHelper!$A$2:$A$5000,$T150,SummaryHelper!$B$2:$B$5000,$U150,SummaryHelper!$C$2:$C$5000,$V150))</f>
        <v/>
      </c>
      <c r="Y150" s="9" t="str">
        <f>IF($U150="","",SUMIFS(SummaryHelper!$F$2:$F$5000,SummaryHelper!$A$2:$A$5000,$T150,SummaryHelper!$B$2:$B$5000,$U150,SummaryHelper!$C$2:$C$5000,$V150))</f>
        <v/>
      </c>
      <c r="Z150" s="9" t="str">
        <f>IF($U150="","",SUMIFS(SummaryHelper!$G$2:$G$5000,SummaryHelper!$A$2:$A$5000,$T150,SummaryHelper!$B$2:$B$5000,$U150,SummaryHelper!$C$2:$C$5000,$V150))</f>
        <v/>
      </c>
      <c r="AB150" s="9" t="str">
        <f t="shared" si="32"/>
        <v/>
      </c>
      <c r="AC150" s="9" t="str">
        <f t="shared" si="33"/>
        <v/>
      </c>
      <c r="AH150" t="str">
        <f>IF($AF150="","",IFERROR(SUMIFS(SummaryHelper!$H$2:$H$5000,SummaryHelper!$A$2:$A$5000,$AE150,SummaryHelper!$B$2:$B$5000,$AF150,SummaryHelper!$C$2:$C$5000,$AG150)/SUMIFS(SummaryHelper!$G$2:$G$5000,SummaryHelper!$A$2:$A$5000,$AE150,SummaryHelper!$B$2:$B$5000,$AF150,SummaryHelper!$C$2:$C$5000,$AG150),""))</f>
        <v/>
      </c>
      <c r="AI150" t="str">
        <f>IF($AF150="","",SUMIFS(SummaryHelper!$E$2:$E$5000,SummaryHelper!$A$2:$A$5000,$AE150,SummaryHelper!$B$2:$B$5000,$AF150,SummaryHelper!$C$2:$C$5000,$AG150))</f>
        <v/>
      </c>
      <c r="AJ150" t="str">
        <f>IF($AF150="","",SUMIFS(SummaryHelper!$F$2:$F$5000,SummaryHelper!$A$2:$A$5000,$AE150,SummaryHelper!$B$2:$B$5000,$AF150,SummaryHelper!$C$2:$C$5000,$AG150))</f>
        <v/>
      </c>
      <c r="AK150" t="str">
        <f>IF($AF150="","",SUMIFS(SummaryHelper!$G$2:$G$5000,SummaryHelper!$A$2:$A$5000,$AE150,SummaryHelper!$B$2:$B$5000,$AF150,SummaryHelper!$C$2:$C$5000,$AG150))</f>
        <v/>
      </c>
      <c r="AM150" t="str">
        <f t="shared" si="34"/>
        <v/>
      </c>
      <c r="AN150" t="str">
        <f t="shared" si="35"/>
        <v/>
      </c>
    </row>
    <row r="151" spans="1:40" x14ac:dyDescent="0.25">
      <c r="A151" s="12"/>
      <c r="B151" s="23" t="str">
        <f t="shared" si="36"/>
        <v/>
      </c>
      <c r="C151" s="9" t="str">
        <f t="shared" ca="1" si="25"/>
        <v/>
      </c>
      <c r="D151" s="9" t="str">
        <f t="shared" ca="1" si="26"/>
        <v/>
      </c>
      <c r="E151" s="9" t="str">
        <f t="shared" ca="1" si="27"/>
        <v/>
      </c>
      <c r="F151" s="9" t="str">
        <f t="shared" si="28"/>
        <v/>
      </c>
      <c r="G151" s="9">
        <f t="shared" si="29"/>
        <v>0</v>
      </c>
      <c r="L151" s="9" t="str">
        <f>IF($J151="","",IFERROR(SUMIFS(SummaryHelper!$H$2:$H$5000,SummaryHelper!$A$2:$A$5000,$I151,SummaryHelper!$B$2:$B$5000,$J151,SummaryHelper!$C$2:$C$5000,$K151)/SUMIFS(SummaryHelper!$G$2:$G$5000,SummaryHelper!$A$2:$A$5000,$I151,SummaryHelper!$B$2:$B$5000,$J151,SummaryHelper!$C$2:$C$5000,$K151),""))</f>
        <v/>
      </c>
      <c r="M151" s="9" t="str">
        <f>IF($J151="","",SUMIFS(SummaryHelper!$E$2:$E$5000,SummaryHelper!$A$2:$A$5000,$I151,SummaryHelper!$B$2:$B$5000,$J151,SummaryHelper!$C$2:$C$5000,$K151))</f>
        <v/>
      </c>
      <c r="N151" s="9" t="str">
        <f>IF($J151="","",SUMIFS(SummaryHelper!$F$2:$F$5000,SummaryHelper!$A$2:$A$5000,$I151,SummaryHelper!$B$2:$B$5000,$J151,SummaryHelper!$C$2:$C$5000,$K151))</f>
        <v/>
      </c>
      <c r="O151" s="9" t="str">
        <f>IF($J151="","",SUMIFS(SummaryHelper!$G$2:$G$5000,SummaryHelper!$A$2:$A$5000,$I151,SummaryHelper!$B$2:$B$5000,$J151,SummaryHelper!$C$2:$C$5000,$K151))</f>
        <v/>
      </c>
      <c r="Q151" s="9" t="str">
        <f t="shared" si="30"/>
        <v/>
      </c>
      <c r="R151" s="9" t="str">
        <f t="shared" si="31"/>
        <v/>
      </c>
      <c r="W151" s="9" t="str">
        <f>IF($U151="","",IFERROR(SUMIFS(SummaryHelper!$H$2:$H$5000,SummaryHelper!$A$2:$A$5000,$T151,SummaryHelper!$B$2:$B$5000,$U151,SummaryHelper!$C$2:$C$5000,$V151)/SUMIFS(SummaryHelper!$G$2:$G$5000,SummaryHelper!$A$2:$A$5000,$T151,SummaryHelper!$B$2:$B$5000,$U151,SummaryHelper!$C$2:$C$5000,$V151),""))</f>
        <v/>
      </c>
      <c r="X151" s="9" t="str">
        <f>IF($U151="","",SUMIFS(SummaryHelper!$E$2:$E$5000,SummaryHelper!$A$2:$A$5000,$T151,SummaryHelper!$B$2:$B$5000,$U151,SummaryHelper!$C$2:$C$5000,$V151))</f>
        <v/>
      </c>
      <c r="Y151" s="9" t="str">
        <f>IF($U151="","",SUMIFS(SummaryHelper!$F$2:$F$5000,SummaryHelper!$A$2:$A$5000,$T151,SummaryHelper!$B$2:$B$5000,$U151,SummaryHelper!$C$2:$C$5000,$V151))</f>
        <v/>
      </c>
      <c r="Z151" s="9" t="str">
        <f>IF($U151="","",SUMIFS(SummaryHelper!$G$2:$G$5000,SummaryHelper!$A$2:$A$5000,$T151,SummaryHelper!$B$2:$B$5000,$U151,SummaryHelper!$C$2:$C$5000,$V151))</f>
        <v/>
      </c>
      <c r="AB151" s="9" t="str">
        <f t="shared" si="32"/>
        <v/>
      </c>
      <c r="AC151" s="9" t="str">
        <f t="shared" si="33"/>
        <v/>
      </c>
      <c r="AH151" t="str">
        <f>IF($AF151="","",IFERROR(SUMIFS(SummaryHelper!$H$2:$H$5000,SummaryHelper!$A$2:$A$5000,$AE151,SummaryHelper!$B$2:$B$5000,$AF151,SummaryHelper!$C$2:$C$5000,$AG151)/SUMIFS(SummaryHelper!$G$2:$G$5000,SummaryHelper!$A$2:$A$5000,$AE151,SummaryHelper!$B$2:$B$5000,$AF151,SummaryHelper!$C$2:$C$5000,$AG151),""))</f>
        <v/>
      </c>
      <c r="AI151" t="str">
        <f>IF($AF151="","",SUMIFS(SummaryHelper!$E$2:$E$5000,SummaryHelper!$A$2:$A$5000,$AE151,SummaryHelper!$B$2:$B$5000,$AF151,SummaryHelper!$C$2:$C$5000,$AG151))</f>
        <v/>
      </c>
      <c r="AJ151" t="str">
        <f>IF($AF151="","",SUMIFS(SummaryHelper!$F$2:$F$5000,SummaryHelper!$A$2:$A$5000,$AE151,SummaryHelper!$B$2:$B$5000,$AF151,SummaryHelper!$C$2:$C$5000,$AG151))</f>
        <v/>
      </c>
      <c r="AK151" t="str">
        <f>IF($AF151="","",SUMIFS(SummaryHelper!$G$2:$G$5000,SummaryHelper!$A$2:$A$5000,$AE151,SummaryHelper!$B$2:$B$5000,$AF151,SummaryHelper!$C$2:$C$5000,$AG151))</f>
        <v/>
      </c>
      <c r="AM151" t="str">
        <f t="shared" si="34"/>
        <v/>
      </c>
      <c r="AN151" t="str">
        <f t="shared" si="35"/>
        <v/>
      </c>
    </row>
    <row r="152" spans="1:40" x14ac:dyDescent="0.25">
      <c r="A152" s="12"/>
      <c r="B152" s="23" t="str">
        <f t="shared" si="36"/>
        <v/>
      </c>
      <c r="C152" s="9" t="str">
        <f t="shared" ca="1" si="25"/>
        <v/>
      </c>
      <c r="D152" s="9" t="str">
        <f t="shared" ca="1" si="26"/>
        <v/>
      </c>
      <c r="E152" s="9" t="str">
        <f t="shared" ca="1" si="27"/>
        <v/>
      </c>
      <c r="F152" s="9" t="str">
        <f t="shared" si="28"/>
        <v/>
      </c>
      <c r="G152" s="9">
        <f t="shared" si="29"/>
        <v>0</v>
      </c>
      <c r="L152" s="9" t="str">
        <f>IF($J152="","",IFERROR(SUMIFS(SummaryHelper!$H$2:$H$5000,SummaryHelper!$A$2:$A$5000,$I152,SummaryHelper!$B$2:$B$5000,$J152,SummaryHelper!$C$2:$C$5000,$K152)/SUMIFS(SummaryHelper!$G$2:$G$5000,SummaryHelper!$A$2:$A$5000,$I152,SummaryHelper!$B$2:$B$5000,$J152,SummaryHelper!$C$2:$C$5000,$K152),""))</f>
        <v/>
      </c>
      <c r="M152" s="9" t="str">
        <f>IF($J152="","",SUMIFS(SummaryHelper!$E$2:$E$5000,SummaryHelper!$A$2:$A$5000,$I152,SummaryHelper!$B$2:$B$5000,$J152,SummaryHelper!$C$2:$C$5000,$K152))</f>
        <v/>
      </c>
      <c r="N152" s="9" t="str">
        <f>IF($J152="","",SUMIFS(SummaryHelper!$F$2:$F$5000,SummaryHelper!$A$2:$A$5000,$I152,SummaryHelper!$B$2:$B$5000,$J152,SummaryHelper!$C$2:$C$5000,$K152))</f>
        <v/>
      </c>
      <c r="O152" s="9" t="str">
        <f>IF($J152="","",SUMIFS(SummaryHelper!$G$2:$G$5000,SummaryHelper!$A$2:$A$5000,$I152,SummaryHelper!$B$2:$B$5000,$J152,SummaryHelper!$C$2:$C$5000,$K152))</f>
        <v/>
      </c>
      <c r="Q152" s="9" t="str">
        <f t="shared" si="30"/>
        <v/>
      </c>
      <c r="R152" s="9" t="str">
        <f t="shared" si="31"/>
        <v/>
      </c>
      <c r="W152" s="9" t="str">
        <f>IF($U152="","",IFERROR(SUMIFS(SummaryHelper!$H$2:$H$5000,SummaryHelper!$A$2:$A$5000,$T152,SummaryHelper!$B$2:$B$5000,$U152,SummaryHelper!$C$2:$C$5000,$V152)/SUMIFS(SummaryHelper!$G$2:$G$5000,SummaryHelper!$A$2:$A$5000,$T152,SummaryHelper!$B$2:$B$5000,$U152,SummaryHelper!$C$2:$C$5000,$V152),""))</f>
        <v/>
      </c>
      <c r="X152" s="9" t="str">
        <f>IF($U152="","",SUMIFS(SummaryHelper!$E$2:$E$5000,SummaryHelper!$A$2:$A$5000,$T152,SummaryHelper!$B$2:$B$5000,$U152,SummaryHelper!$C$2:$C$5000,$V152))</f>
        <v/>
      </c>
      <c r="Y152" s="9" t="str">
        <f>IF($U152="","",SUMIFS(SummaryHelper!$F$2:$F$5000,SummaryHelper!$A$2:$A$5000,$T152,SummaryHelper!$B$2:$B$5000,$U152,SummaryHelper!$C$2:$C$5000,$V152))</f>
        <v/>
      </c>
      <c r="Z152" s="9" t="str">
        <f>IF($U152="","",SUMIFS(SummaryHelper!$G$2:$G$5000,SummaryHelper!$A$2:$A$5000,$T152,SummaryHelper!$B$2:$B$5000,$U152,SummaryHelper!$C$2:$C$5000,$V152))</f>
        <v/>
      </c>
      <c r="AB152" s="9" t="str">
        <f t="shared" si="32"/>
        <v/>
      </c>
      <c r="AC152" s="9" t="str">
        <f t="shared" si="33"/>
        <v/>
      </c>
      <c r="AH152" t="str">
        <f>IF($AF152="","",IFERROR(SUMIFS(SummaryHelper!$H$2:$H$5000,SummaryHelper!$A$2:$A$5000,$AE152,SummaryHelper!$B$2:$B$5000,$AF152,SummaryHelper!$C$2:$C$5000,$AG152)/SUMIFS(SummaryHelper!$G$2:$G$5000,SummaryHelper!$A$2:$A$5000,$AE152,SummaryHelper!$B$2:$B$5000,$AF152,SummaryHelper!$C$2:$C$5000,$AG152),""))</f>
        <v/>
      </c>
      <c r="AI152" t="str">
        <f>IF($AF152="","",SUMIFS(SummaryHelper!$E$2:$E$5000,SummaryHelper!$A$2:$A$5000,$AE152,SummaryHelper!$B$2:$B$5000,$AF152,SummaryHelper!$C$2:$C$5000,$AG152))</f>
        <v/>
      </c>
      <c r="AJ152" t="str">
        <f>IF($AF152="","",SUMIFS(SummaryHelper!$F$2:$F$5000,SummaryHelper!$A$2:$A$5000,$AE152,SummaryHelper!$B$2:$B$5000,$AF152,SummaryHelper!$C$2:$C$5000,$AG152))</f>
        <v/>
      </c>
      <c r="AK152" t="str">
        <f>IF($AF152="","",SUMIFS(SummaryHelper!$G$2:$G$5000,SummaryHelper!$A$2:$A$5000,$AE152,SummaryHelper!$B$2:$B$5000,$AF152,SummaryHelper!$C$2:$C$5000,$AG152))</f>
        <v/>
      </c>
      <c r="AM152" t="str">
        <f t="shared" si="34"/>
        <v/>
      </c>
      <c r="AN152" t="str">
        <f t="shared" si="35"/>
        <v/>
      </c>
    </row>
    <row r="153" spans="1:40" x14ac:dyDescent="0.25">
      <c r="A153" s="12"/>
      <c r="B153" s="23" t="str">
        <f t="shared" si="36"/>
        <v/>
      </c>
      <c r="C153" s="9" t="str">
        <f t="shared" ca="1" si="25"/>
        <v/>
      </c>
      <c r="D153" s="9" t="str">
        <f t="shared" ca="1" si="26"/>
        <v/>
      </c>
      <c r="E153" s="9" t="str">
        <f t="shared" ca="1" si="27"/>
        <v/>
      </c>
      <c r="F153" s="9" t="str">
        <f t="shared" si="28"/>
        <v/>
      </c>
      <c r="G153" s="9">
        <f t="shared" si="29"/>
        <v>0</v>
      </c>
      <c r="L153" s="9" t="str">
        <f>IF($J153="","",IFERROR(SUMIFS(SummaryHelper!$H$2:$H$5000,SummaryHelper!$A$2:$A$5000,$I153,SummaryHelper!$B$2:$B$5000,$J153,SummaryHelper!$C$2:$C$5000,$K153)/SUMIFS(SummaryHelper!$G$2:$G$5000,SummaryHelper!$A$2:$A$5000,$I153,SummaryHelper!$B$2:$B$5000,$J153,SummaryHelper!$C$2:$C$5000,$K153),""))</f>
        <v/>
      </c>
      <c r="M153" s="9" t="str">
        <f>IF($J153="","",SUMIFS(SummaryHelper!$E$2:$E$5000,SummaryHelper!$A$2:$A$5000,$I153,SummaryHelper!$B$2:$B$5000,$J153,SummaryHelper!$C$2:$C$5000,$K153))</f>
        <v/>
      </c>
      <c r="N153" s="9" t="str">
        <f>IF($J153="","",SUMIFS(SummaryHelper!$F$2:$F$5000,SummaryHelper!$A$2:$A$5000,$I153,SummaryHelper!$B$2:$B$5000,$J153,SummaryHelper!$C$2:$C$5000,$K153))</f>
        <v/>
      </c>
      <c r="O153" s="9" t="str">
        <f>IF($J153="","",SUMIFS(SummaryHelper!$G$2:$G$5000,SummaryHelper!$A$2:$A$5000,$I153,SummaryHelper!$B$2:$B$5000,$J153,SummaryHelper!$C$2:$C$5000,$K153))</f>
        <v/>
      </c>
      <c r="Q153" s="9" t="str">
        <f t="shared" si="30"/>
        <v/>
      </c>
      <c r="R153" s="9" t="str">
        <f t="shared" si="31"/>
        <v/>
      </c>
      <c r="W153" s="9" t="str">
        <f>IF($U153="","",IFERROR(SUMIFS(SummaryHelper!$H$2:$H$5000,SummaryHelper!$A$2:$A$5000,$T153,SummaryHelper!$B$2:$B$5000,$U153,SummaryHelper!$C$2:$C$5000,$V153)/SUMIFS(SummaryHelper!$G$2:$G$5000,SummaryHelper!$A$2:$A$5000,$T153,SummaryHelper!$B$2:$B$5000,$U153,SummaryHelper!$C$2:$C$5000,$V153),""))</f>
        <v/>
      </c>
      <c r="X153" s="9" t="str">
        <f>IF($U153="","",SUMIFS(SummaryHelper!$E$2:$E$5000,SummaryHelper!$A$2:$A$5000,$T153,SummaryHelper!$B$2:$B$5000,$U153,SummaryHelper!$C$2:$C$5000,$V153))</f>
        <v/>
      </c>
      <c r="Y153" s="9" t="str">
        <f>IF($U153="","",SUMIFS(SummaryHelper!$F$2:$F$5000,SummaryHelper!$A$2:$A$5000,$T153,SummaryHelper!$B$2:$B$5000,$U153,SummaryHelper!$C$2:$C$5000,$V153))</f>
        <v/>
      </c>
      <c r="Z153" s="9" t="str">
        <f>IF($U153="","",SUMIFS(SummaryHelper!$G$2:$G$5000,SummaryHelper!$A$2:$A$5000,$T153,SummaryHelper!$B$2:$B$5000,$U153,SummaryHelper!$C$2:$C$5000,$V153))</f>
        <v/>
      </c>
      <c r="AB153" s="9" t="str">
        <f t="shared" si="32"/>
        <v/>
      </c>
      <c r="AC153" s="9" t="str">
        <f t="shared" si="33"/>
        <v/>
      </c>
      <c r="AH153" t="str">
        <f>IF($AF153="","",IFERROR(SUMIFS(SummaryHelper!$H$2:$H$5000,SummaryHelper!$A$2:$A$5000,$AE153,SummaryHelper!$B$2:$B$5000,$AF153,SummaryHelper!$C$2:$C$5000,$AG153)/SUMIFS(SummaryHelper!$G$2:$G$5000,SummaryHelper!$A$2:$A$5000,$AE153,SummaryHelper!$B$2:$B$5000,$AF153,SummaryHelper!$C$2:$C$5000,$AG153),""))</f>
        <v/>
      </c>
      <c r="AI153" t="str">
        <f>IF($AF153="","",SUMIFS(SummaryHelper!$E$2:$E$5000,SummaryHelper!$A$2:$A$5000,$AE153,SummaryHelper!$B$2:$B$5000,$AF153,SummaryHelper!$C$2:$C$5000,$AG153))</f>
        <v/>
      </c>
      <c r="AJ153" t="str">
        <f>IF($AF153="","",SUMIFS(SummaryHelper!$F$2:$F$5000,SummaryHelper!$A$2:$A$5000,$AE153,SummaryHelper!$B$2:$B$5000,$AF153,SummaryHelper!$C$2:$C$5000,$AG153))</f>
        <v/>
      </c>
      <c r="AK153" t="str">
        <f>IF($AF153="","",SUMIFS(SummaryHelper!$G$2:$G$5000,SummaryHelper!$A$2:$A$5000,$AE153,SummaryHelper!$B$2:$B$5000,$AF153,SummaryHelper!$C$2:$C$5000,$AG153))</f>
        <v/>
      </c>
      <c r="AM153" t="str">
        <f t="shared" si="34"/>
        <v/>
      </c>
      <c r="AN153" t="str">
        <f t="shared" si="35"/>
        <v/>
      </c>
    </row>
    <row r="154" spans="1:40" x14ac:dyDescent="0.25">
      <c r="A154" s="12"/>
      <c r="B154" s="23" t="str">
        <f t="shared" si="36"/>
        <v/>
      </c>
      <c r="C154" s="9" t="str">
        <f t="shared" ca="1" si="25"/>
        <v/>
      </c>
      <c r="D154" s="9" t="str">
        <f t="shared" ca="1" si="26"/>
        <v/>
      </c>
      <c r="E154" s="9" t="str">
        <f t="shared" ca="1" si="27"/>
        <v/>
      </c>
      <c r="F154" s="9" t="str">
        <f t="shared" si="28"/>
        <v/>
      </c>
      <c r="G154" s="9">
        <f t="shared" si="29"/>
        <v>0</v>
      </c>
      <c r="L154" s="9" t="str">
        <f>IF($J154="","",IFERROR(SUMIFS(SummaryHelper!$H$2:$H$5000,SummaryHelper!$A$2:$A$5000,$I154,SummaryHelper!$B$2:$B$5000,$J154,SummaryHelper!$C$2:$C$5000,$K154)/SUMIFS(SummaryHelper!$G$2:$G$5000,SummaryHelper!$A$2:$A$5000,$I154,SummaryHelper!$B$2:$B$5000,$J154,SummaryHelper!$C$2:$C$5000,$K154),""))</f>
        <v/>
      </c>
      <c r="M154" s="9" t="str">
        <f>IF($J154="","",SUMIFS(SummaryHelper!$E$2:$E$5000,SummaryHelper!$A$2:$A$5000,$I154,SummaryHelper!$B$2:$B$5000,$J154,SummaryHelper!$C$2:$C$5000,$K154))</f>
        <v/>
      </c>
      <c r="N154" s="9" t="str">
        <f>IF($J154="","",SUMIFS(SummaryHelper!$F$2:$F$5000,SummaryHelper!$A$2:$A$5000,$I154,SummaryHelper!$B$2:$B$5000,$J154,SummaryHelper!$C$2:$C$5000,$K154))</f>
        <v/>
      </c>
      <c r="O154" s="9" t="str">
        <f>IF($J154="","",SUMIFS(SummaryHelper!$G$2:$G$5000,SummaryHelper!$A$2:$A$5000,$I154,SummaryHelper!$B$2:$B$5000,$J154,SummaryHelper!$C$2:$C$5000,$K154))</f>
        <v/>
      </c>
      <c r="Q154" s="9" t="str">
        <f t="shared" si="30"/>
        <v/>
      </c>
      <c r="R154" s="9" t="str">
        <f t="shared" si="31"/>
        <v/>
      </c>
      <c r="W154" s="9" t="str">
        <f>IF($U154="","",IFERROR(SUMIFS(SummaryHelper!$H$2:$H$5000,SummaryHelper!$A$2:$A$5000,$T154,SummaryHelper!$B$2:$B$5000,$U154,SummaryHelper!$C$2:$C$5000,$V154)/SUMIFS(SummaryHelper!$G$2:$G$5000,SummaryHelper!$A$2:$A$5000,$T154,SummaryHelper!$B$2:$B$5000,$U154,SummaryHelper!$C$2:$C$5000,$V154),""))</f>
        <v/>
      </c>
      <c r="X154" s="9" t="str">
        <f>IF($U154="","",SUMIFS(SummaryHelper!$E$2:$E$5000,SummaryHelper!$A$2:$A$5000,$T154,SummaryHelper!$B$2:$B$5000,$U154,SummaryHelper!$C$2:$C$5000,$V154))</f>
        <v/>
      </c>
      <c r="Y154" s="9" t="str">
        <f>IF($U154="","",SUMIFS(SummaryHelper!$F$2:$F$5000,SummaryHelper!$A$2:$A$5000,$T154,SummaryHelper!$B$2:$B$5000,$U154,SummaryHelper!$C$2:$C$5000,$V154))</f>
        <v/>
      </c>
      <c r="Z154" s="9" t="str">
        <f>IF($U154="","",SUMIFS(SummaryHelper!$G$2:$G$5000,SummaryHelper!$A$2:$A$5000,$T154,SummaryHelper!$B$2:$B$5000,$U154,SummaryHelper!$C$2:$C$5000,$V154))</f>
        <v/>
      </c>
      <c r="AB154" s="9" t="str">
        <f t="shared" si="32"/>
        <v/>
      </c>
      <c r="AC154" s="9" t="str">
        <f t="shared" si="33"/>
        <v/>
      </c>
      <c r="AH154" t="str">
        <f>IF($AF154="","",IFERROR(SUMIFS(SummaryHelper!$H$2:$H$5000,SummaryHelper!$A$2:$A$5000,$AE154,SummaryHelper!$B$2:$B$5000,$AF154,SummaryHelper!$C$2:$C$5000,$AG154)/SUMIFS(SummaryHelper!$G$2:$G$5000,SummaryHelper!$A$2:$A$5000,$AE154,SummaryHelper!$B$2:$B$5000,$AF154,SummaryHelper!$C$2:$C$5000,$AG154),""))</f>
        <v/>
      </c>
      <c r="AI154" t="str">
        <f>IF($AF154="","",SUMIFS(SummaryHelper!$E$2:$E$5000,SummaryHelper!$A$2:$A$5000,$AE154,SummaryHelper!$B$2:$B$5000,$AF154,SummaryHelper!$C$2:$C$5000,$AG154))</f>
        <v/>
      </c>
      <c r="AJ154" t="str">
        <f>IF($AF154="","",SUMIFS(SummaryHelper!$F$2:$F$5000,SummaryHelper!$A$2:$A$5000,$AE154,SummaryHelper!$B$2:$B$5000,$AF154,SummaryHelper!$C$2:$C$5000,$AG154))</f>
        <v/>
      </c>
      <c r="AK154" t="str">
        <f>IF($AF154="","",SUMIFS(SummaryHelper!$G$2:$G$5000,SummaryHelper!$A$2:$A$5000,$AE154,SummaryHelper!$B$2:$B$5000,$AF154,SummaryHelper!$C$2:$C$5000,$AG154))</f>
        <v/>
      </c>
      <c r="AM154" t="str">
        <f t="shared" si="34"/>
        <v/>
      </c>
      <c r="AN154" t="str">
        <f t="shared" si="35"/>
        <v/>
      </c>
    </row>
    <row r="155" spans="1:40" x14ac:dyDescent="0.25">
      <c r="A155" s="12"/>
      <c r="B155" s="23" t="str">
        <f t="shared" si="36"/>
        <v/>
      </c>
      <c r="C155" s="9" t="str">
        <f t="shared" ca="1" si="25"/>
        <v/>
      </c>
      <c r="D155" s="9" t="str">
        <f t="shared" ca="1" si="26"/>
        <v/>
      </c>
      <c r="E155" s="9" t="str">
        <f t="shared" ca="1" si="27"/>
        <v/>
      </c>
      <c r="F155" s="9" t="str">
        <f t="shared" si="28"/>
        <v/>
      </c>
      <c r="G155" s="9">
        <f t="shared" si="29"/>
        <v>0</v>
      </c>
      <c r="L155" s="9" t="str">
        <f>IF($J155="","",IFERROR(SUMIFS(SummaryHelper!$H$2:$H$5000,SummaryHelper!$A$2:$A$5000,$I155,SummaryHelper!$B$2:$B$5000,$J155,SummaryHelper!$C$2:$C$5000,$K155)/SUMIFS(SummaryHelper!$G$2:$G$5000,SummaryHelper!$A$2:$A$5000,$I155,SummaryHelper!$B$2:$B$5000,$J155,SummaryHelper!$C$2:$C$5000,$K155),""))</f>
        <v/>
      </c>
      <c r="M155" s="9" t="str">
        <f>IF($J155="","",SUMIFS(SummaryHelper!$E$2:$E$5000,SummaryHelper!$A$2:$A$5000,$I155,SummaryHelper!$B$2:$B$5000,$J155,SummaryHelper!$C$2:$C$5000,$K155))</f>
        <v/>
      </c>
      <c r="N155" s="9" t="str">
        <f>IF($J155="","",SUMIFS(SummaryHelper!$F$2:$F$5000,SummaryHelper!$A$2:$A$5000,$I155,SummaryHelper!$B$2:$B$5000,$J155,SummaryHelper!$C$2:$C$5000,$K155))</f>
        <v/>
      </c>
      <c r="O155" s="9" t="str">
        <f>IF($J155="","",SUMIFS(SummaryHelper!$G$2:$G$5000,SummaryHelper!$A$2:$A$5000,$I155,SummaryHelper!$B$2:$B$5000,$J155,SummaryHelper!$C$2:$C$5000,$K155))</f>
        <v/>
      </c>
      <c r="Q155" s="9" t="str">
        <f t="shared" si="30"/>
        <v/>
      </c>
      <c r="R155" s="9" t="str">
        <f t="shared" si="31"/>
        <v/>
      </c>
      <c r="W155" s="9" t="str">
        <f>IF($U155="","",IFERROR(SUMIFS(SummaryHelper!$H$2:$H$5000,SummaryHelper!$A$2:$A$5000,$T155,SummaryHelper!$B$2:$B$5000,$U155,SummaryHelper!$C$2:$C$5000,$V155)/SUMIFS(SummaryHelper!$G$2:$G$5000,SummaryHelper!$A$2:$A$5000,$T155,SummaryHelper!$B$2:$B$5000,$U155,SummaryHelper!$C$2:$C$5000,$V155),""))</f>
        <v/>
      </c>
      <c r="X155" s="9" t="str">
        <f>IF($U155="","",SUMIFS(SummaryHelper!$E$2:$E$5000,SummaryHelper!$A$2:$A$5000,$T155,SummaryHelper!$B$2:$B$5000,$U155,SummaryHelper!$C$2:$C$5000,$V155))</f>
        <v/>
      </c>
      <c r="Y155" s="9" t="str">
        <f>IF($U155="","",SUMIFS(SummaryHelper!$F$2:$F$5000,SummaryHelper!$A$2:$A$5000,$T155,SummaryHelper!$B$2:$B$5000,$U155,SummaryHelper!$C$2:$C$5000,$V155))</f>
        <v/>
      </c>
      <c r="Z155" s="9" t="str">
        <f>IF($U155="","",SUMIFS(SummaryHelper!$G$2:$G$5000,SummaryHelper!$A$2:$A$5000,$T155,SummaryHelper!$B$2:$B$5000,$U155,SummaryHelper!$C$2:$C$5000,$V155))</f>
        <v/>
      </c>
      <c r="AB155" s="9" t="str">
        <f t="shared" si="32"/>
        <v/>
      </c>
      <c r="AC155" s="9" t="str">
        <f t="shared" si="33"/>
        <v/>
      </c>
      <c r="AH155" t="str">
        <f>IF($AF155="","",IFERROR(SUMIFS(SummaryHelper!$H$2:$H$5000,SummaryHelper!$A$2:$A$5000,$AE155,SummaryHelper!$B$2:$B$5000,$AF155,SummaryHelper!$C$2:$C$5000,$AG155)/SUMIFS(SummaryHelper!$G$2:$G$5000,SummaryHelper!$A$2:$A$5000,$AE155,SummaryHelper!$B$2:$B$5000,$AF155,SummaryHelper!$C$2:$C$5000,$AG155),""))</f>
        <v/>
      </c>
      <c r="AI155" t="str">
        <f>IF($AF155="","",SUMIFS(SummaryHelper!$E$2:$E$5000,SummaryHelper!$A$2:$A$5000,$AE155,SummaryHelper!$B$2:$B$5000,$AF155,SummaryHelper!$C$2:$C$5000,$AG155))</f>
        <v/>
      </c>
      <c r="AJ155" t="str">
        <f>IF($AF155="","",SUMIFS(SummaryHelper!$F$2:$F$5000,SummaryHelper!$A$2:$A$5000,$AE155,SummaryHelper!$B$2:$B$5000,$AF155,SummaryHelper!$C$2:$C$5000,$AG155))</f>
        <v/>
      </c>
      <c r="AK155" t="str">
        <f>IF($AF155="","",SUMIFS(SummaryHelper!$G$2:$G$5000,SummaryHelper!$A$2:$A$5000,$AE155,SummaryHelper!$B$2:$B$5000,$AF155,SummaryHelper!$C$2:$C$5000,$AG155))</f>
        <v/>
      </c>
      <c r="AM155" t="str">
        <f t="shared" si="34"/>
        <v/>
      </c>
      <c r="AN155" t="str">
        <f t="shared" si="35"/>
        <v/>
      </c>
    </row>
    <row r="156" spans="1:40" x14ac:dyDescent="0.25">
      <c r="A156" s="12"/>
      <c r="B156" s="23" t="str">
        <f t="shared" si="36"/>
        <v/>
      </c>
      <c r="C156" s="9" t="str">
        <f t="shared" ca="1" si="25"/>
        <v/>
      </c>
      <c r="D156" s="9" t="str">
        <f t="shared" ca="1" si="26"/>
        <v/>
      </c>
      <c r="E156" s="9" t="str">
        <f t="shared" ca="1" si="27"/>
        <v/>
      </c>
      <c r="F156" s="9" t="str">
        <f t="shared" si="28"/>
        <v/>
      </c>
      <c r="G156" s="9">
        <f t="shared" si="29"/>
        <v>0</v>
      </c>
      <c r="L156" s="9" t="str">
        <f>IF($J156="","",IFERROR(SUMIFS(SummaryHelper!$H$2:$H$5000,SummaryHelper!$A$2:$A$5000,$I156,SummaryHelper!$B$2:$B$5000,$J156,SummaryHelper!$C$2:$C$5000,$K156)/SUMIFS(SummaryHelper!$G$2:$G$5000,SummaryHelper!$A$2:$A$5000,$I156,SummaryHelper!$B$2:$B$5000,$J156,SummaryHelper!$C$2:$C$5000,$K156),""))</f>
        <v/>
      </c>
      <c r="M156" s="9" t="str">
        <f>IF($J156="","",SUMIFS(SummaryHelper!$E$2:$E$5000,SummaryHelper!$A$2:$A$5000,$I156,SummaryHelper!$B$2:$B$5000,$J156,SummaryHelper!$C$2:$C$5000,$K156))</f>
        <v/>
      </c>
      <c r="N156" s="9" t="str">
        <f>IF($J156="","",SUMIFS(SummaryHelper!$F$2:$F$5000,SummaryHelper!$A$2:$A$5000,$I156,SummaryHelper!$B$2:$B$5000,$J156,SummaryHelper!$C$2:$C$5000,$K156))</f>
        <v/>
      </c>
      <c r="O156" s="9" t="str">
        <f>IF($J156="","",SUMIFS(SummaryHelper!$G$2:$G$5000,SummaryHelper!$A$2:$A$5000,$I156,SummaryHelper!$B$2:$B$5000,$J156,SummaryHelper!$C$2:$C$5000,$K156))</f>
        <v/>
      </c>
      <c r="Q156" s="9" t="str">
        <f t="shared" si="30"/>
        <v/>
      </c>
      <c r="R156" s="9" t="str">
        <f t="shared" si="31"/>
        <v/>
      </c>
      <c r="W156" s="9" t="str">
        <f>IF($U156="","",IFERROR(SUMIFS(SummaryHelper!$H$2:$H$5000,SummaryHelper!$A$2:$A$5000,$T156,SummaryHelper!$B$2:$B$5000,$U156,SummaryHelper!$C$2:$C$5000,$V156)/SUMIFS(SummaryHelper!$G$2:$G$5000,SummaryHelper!$A$2:$A$5000,$T156,SummaryHelper!$B$2:$B$5000,$U156,SummaryHelper!$C$2:$C$5000,$V156),""))</f>
        <v/>
      </c>
      <c r="X156" s="9" t="str">
        <f>IF($U156="","",SUMIFS(SummaryHelper!$E$2:$E$5000,SummaryHelper!$A$2:$A$5000,$T156,SummaryHelper!$B$2:$B$5000,$U156,SummaryHelper!$C$2:$C$5000,$V156))</f>
        <v/>
      </c>
      <c r="Y156" s="9" t="str">
        <f>IF($U156="","",SUMIFS(SummaryHelper!$F$2:$F$5000,SummaryHelper!$A$2:$A$5000,$T156,SummaryHelper!$B$2:$B$5000,$U156,SummaryHelper!$C$2:$C$5000,$V156))</f>
        <v/>
      </c>
      <c r="Z156" s="9" t="str">
        <f>IF($U156="","",SUMIFS(SummaryHelper!$G$2:$G$5000,SummaryHelper!$A$2:$A$5000,$T156,SummaryHelper!$B$2:$B$5000,$U156,SummaryHelper!$C$2:$C$5000,$V156))</f>
        <v/>
      </c>
      <c r="AB156" s="9" t="str">
        <f t="shared" si="32"/>
        <v/>
      </c>
      <c r="AC156" s="9" t="str">
        <f t="shared" si="33"/>
        <v/>
      </c>
      <c r="AH156" t="str">
        <f>IF($AF156="","",IFERROR(SUMIFS(SummaryHelper!$H$2:$H$5000,SummaryHelper!$A$2:$A$5000,$AE156,SummaryHelper!$B$2:$B$5000,$AF156,SummaryHelper!$C$2:$C$5000,$AG156)/SUMIFS(SummaryHelper!$G$2:$G$5000,SummaryHelper!$A$2:$A$5000,$AE156,SummaryHelper!$B$2:$B$5000,$AF156,SummaryHelper!$C$2:$C$5000,$AG156),""))</f>
        <v/>
      </c>
      <c r="AI156" t="str">
        <f>IF($AF156="","",SUMIFS(SummaryHelper!$E$2:$E$5000,SummaryHelper!$A$2:$A$5000,$AE156,SummaryHelper!$B$2:$B$5000,$AF156,SummaryHelper!$C$2:$C$5000,$AG156))</f>
        <v/>
      </c>
      <c r="AJ156" t="str">
        <f>IF($AF156="","",SUMIFS(SummaryHelper!$F$2:$F$5000,SummaryHelper!$A$2:$A$5000,$AE156,SummaryHelper!$B$2:$B$5000,$AF156,SummaryHelper!$C$2:$C$5000,$AG156))</f>
        <v/>
      </c>
      <c r="AK156" t="str">
        <f>IF($AF156="","",SUMIFS(SummaryHelper!$G$2:$G$5000,SummaryHelper!$A$2:$A$5000,$AE156,SummaryHelper!$B$2:$B$5000,$AF156,SummaryHelper!$C$2:$C$5000,$AG156))</f>
        <v/>
      </c>
      <c r="AM156" t="str">
        <f t="shared" si="34"/>
        <v/>
      </c>
      <c r="AN156" t="str">
        <f t="shared" si="35"/>
        <v/>
      </c>
    </row>
    <row r="157" spans="1:40" x14ac:dyDescent="0.25">
      <c r="A157" s="12"/>
      <c r="B157" s="23" t="str">
        <f t="shared" si="36"/>
        <v/>
      </c>
      <c r="C157" s="9" t="str">
        <f t="shared" ca="1" si="25"/>
        <v/>
      </c>
      <c r="D157" s="9" t="str">
        <f t="shared" ca="1" si="26"/>
        <v/>
      </c>
      <c r="E157" s="9" t="str">
        <f t="shared" ca="1" si="27"/>
        <v/>
      </c>
      <c r="F157" s="9" t="str">
        <f t="shared" si="28"/>
        <v/>
      </c>
      <c r="G157" s="9">
        <f t="shared" si="29"/>
        <v>0</v>
      </c>
      <c r="L157" s="9" t="str">
        <f>IF($J157="","",IFERROR(SUMIFS(SummaryHelper!$H$2:$H$5000,SummaryHelper!$A$2:$A$5000,$I157,SummaryHelper!$B$2:$B$5000,$J157,SummaryHelper!$C$2:$C$5000,$K157)/SUMIFS(SummaryHelper!$G$2:$G$5000,SummaryHelper!$A$2:$A$5000,$I157,SummaryHelper!$B$2:$B$5000,$J157,SummaryHelper!$C$2:$C$5000,$K157),""))</f>
        <v/>
      </c>
      <c r="M157" s="9" t="str">
        <f>IF($J157="","",SUMIFS(SummaryHelper!$E$2:$E$5000,SummaryHelper!$A$2:$A$5000,$I157,SummaryHelper!$B$2:$B$5000,$J157,SummaryHelper!$C$2:$C$5000,$K157))</f>
        <v/>
      </c>
      <c r="N157" s="9" t="str">
        <f>IF($J157="","",SUMIFS(SummaryHelper!$F$2:$F$5000,SummaryHelper!$A$2:$A$5000,$I157,SummaryHelper!$B$2:$B$5000,$J157,SummaryHelper!$C$2:$C$5000,$K157))</f>
        <v/>
      </c>
      <c r="O157" s="9" t="str">
        <f>IF($J157="","",SUMIFS(SummaryHelper!$G$2:$G$5000,SummaryHelper!$A$2:$A$5000,$I157,SummaryHelper!$B$2:$B$5000,$J157,SummaryHelper!$C$2:$C$5000,$K157))</f>
        <v/>
      </c>
      <c r="Q157" s="9" t="str">
        <f t="shared" si="30"/>
        <v/>
      </c>
      <c r="R157" s="9" t="str">
        <f t="shared" si="31"/>
        <v/>
      </c>
      <c r="W157" s="9" t="str">
        <f>IF($U157="","",IFERROR(SUMIFS(SummaryHelper!$H$2:$H$5000,SummaryHelper!$A$2:$A$5000,$T157,SummaryHelper!$B$2:$B$5000,$U157,SummaryHelper!$C$2:$C$5000,$V157)/SUMIFS(SummaryHelper!$G$2:$G$5000,SummaryHelper!$A$2:$A$5000,$T157,SummaryHelper!$B$2:$B$5000,$U157,SummaryHelper!$C$2:$C$5000,$V157),""))</f>
        <v/>
      </c>
      <c r="X157" s="9" t="str">
        <f>IF($U157="","",SUMIFS(SummaryHelper!$E$2:$E$5000,SummaryHelper!$A$2:$A$5000,$T157,SummaryHelper!$B$2:$B$5000,$U157,SummaryHelper!$C$2:$C$5000,$V157))</f>
        <v/>
      </c>
      <c r="Y157" s="9" t="str">
        <f>IF($U157="","",SUMIFS(SummaryHelper!$F$2:$F$5000,SummaryHelper!$A$2:$A$5000,$T157,SummaryHelper!$B$2:$B$5000,$U157,SummaryHelper!$C$2:$C$5000,$V157))</f>
        <v/>
      </c>
      <c r="Z157" s="9" t="str">
        <f>IF($U157="","",SUMIFS(SummaryHelper!$G$2:$G$5000,SummaryHelper!$A$2:$A$5000,$T157,SummaryHelper!$B$2:$B$5000,$U157,SummaryHelper!$C$2:$C$5000,$V157))</f>
        <v/>
      </c>
      <c r="AB157" s="9" t="str">
        <f t="shared" si="32"/>
        <v/>
      </c>
      <c r="AC157" s="9" t="str">
        <f t="shared" si="33"/>
        <v/>
      </c>
      <c r="AH157" t="str">
        <f>IF($AF157="","",IFERROR(SUMIFS(SummaryHelper!$H$2:$H$5000,SummaryHelper!$A$2:$A$5000,$AE157,SummaryHelper!$B$2:$B$5000,$AF157,SummaryHelper!$C$2:$C$5000,$AG157)/SUMIFS(SummaryHelper!$G$2:$G$5000,SummaryHelper!$A$2:$A$5000,$AE157,SummaryHelper!$B$2:$B$5000,$AF157,SummaryHelper!$C$2:$C$5000,$AG157),""))</f>
        <v/>
      </c>
      <c r="AI157" t="str">
        <f>IF($AF157="","",SUMIFS(SummaryHelper!$E$2:$E$5000,SummaryHelper!$A$2:$A$5000,$AE157,SummaryHelper!$B$2:$B$5000,$AF157,SummaryHelper!$C$2:$C$5000,$AG157))</f>
        <v/>
      </c>
      <c r="AJ157" t="str">
        <f>IF($AF157="","",SUMIFS(SummaryHelper!$F$2:$F$5000,SummaryHelper!$A$2:$A$5000,$AE157,SummaryHelper!$B$2:$B$5000,$AF157,SummaryHelper!$C$2:$C$5000,$AG157))</f>
        <v/>
      </c>
      <c r="AK157" t="str">
        <f>IF($AF157="","",SUMIFS(SummaryHelper!$G$2:$G$5000,SummaryHelper!$A$2:$A$5000,$AE157,SummaryHelper!$B$2:$B$5000,$AF157,SummaryHelper!$C$2:$C$5000,$AG157))</f>
        <v/>
      </c>
      <c r="AM157" t="str">
        <f t="shared" si="34"/>
        <v/>
      </c>
      <c r="AN157" t="str">
        <f t="shared" si="35"/>
        <v/>
      </c>
    </row>
    <row r="158" spans="1:40" x14ac:dyDescent="0.25">
      <c r="A158" s="12"/>
      <c r="B158" s="23" t="str">
        <f t="shared" si="36"/>
        <v/>
      </c>
      <c r="C158" s="9" t="str">
        <f t="shared" ca="1" si="25"/>
        <v/>
      </c>
      <c r="D158" s="9" t="str">
        <f t="shared" ca="1" si="26"/>
        <v/>
      </c>
      <c r="E158" s="9" t="str">
        <f t="shared" ca="1" si="27"/>
        <v/>
      </c>
      <c r="F158" s="9" t="str">
        <f t="shared" si="28"/>
        <v/>
      </c>
      <c r="G158" s="9">
        <f t="shared" si="29"/>
        <v>0</v>
      </c>
      <c r="L158" s="9" t="str">
        <f>IF($J158="","",IFERROR(SUMIFS(SummaryHelper!$H$2:$H$5000,SummaryHelper!$A$2:$A$5000,$I158,SummaryHelper!$B$2:$B$5000,$J158,SummaryHelper!$C$2:$C$5000,$K158)/SUMIFS(SummaryHelper!$G$2:$G$5000,SummaryHelper!$A$2:$A$5000,$I158,SummaryHelper!$B$2:$B$5000,$J158,SummaryHelper!$C$2:$C$5000,$K158),""))</f>
        <v/>
      </c>
      <c r="M158" s="9" t="str">
        <f>IF($J158="","",SUMIFS(SummaryHelper!$E$2:$E$5000,SummaryHelper!$A$2:$A$5000,$I158,SummaryHelper!$B$2:$B$5000,$J158,SummaryHelper!$C$2:$C$5000,$K158))</f>
        <v/>
      </c>
      <c r="N158" s="9" t="str">
        <f>IF($J158="","",SUMIFS(SummaryHelper!$F$2:$F$5000,SummaryHelper!$A$2:$A$5000,$I158,SummaryHelper!$B$2:$B$5000,$J158,SummaryHelper!$C$2:$C$5000,$K158))</f>
        <v/>
      </c>
      <c r="O158" s="9" t="str">
        <f>IF($J158="","",SUMIFS(SummaryHelper!$G$2:$G$5000,SummaryHelper!$A$2:$A$5000,$I158,SummaryHelper!$B$2:$B$5000,$J158,SummaryHelper!$C$2:$C$5000,$K158))</f>
        <v/>
      </c>
      <c r="Q158" s="9" t="str">
        <f t="shared" si="30"/>
        <v/>
      </c>
      <c r="R158" s="9" t="str">
        <f t="shared" si="31"/>
        <v/>
      </c>
      <c r="W158" s="9" t="str">
        <f>IF($U158="","",IFERROR(SUMIFS(SummaryHelper!$H$2:$H$5000,SummaryHelper!$A$2:$A$5000,$T158,SummaryHelper!$B$2:$B$5000,$U158,SummaryHelper!$C$2:$C$5000,$V158)/SUMIFS(SummaryHelper!$G$2:$G$5000,SummaryHelper!$A$2:$A$5000,$T158,SummaryHelper!$B$2:$B$5000,$U158,SummaryHelper!$C$2:$C$5000,$V158),""))</f>
        <v/>
      </c>
      <c r="X158" s="9" t="str">
        <f>IF($U158="","",SUMIFS(SummaryHelper!$E$2:$E$5000,SummaryHelper!$A$2:$A$5000,$T158,SummaryHelper!$B$2:$B$5000,$U158,SummaryHelper!$C$2:$C$5000,$V158))</f>
        <v/>
      </c>
      <c r="Y158" s="9" t="str">
        <f>IF($U158="","",SUMIFS(SummaryHelper!$F$2:$F$5000,SummaryHelper!$A$2:$A$5000,$T158,SummaryHelper!$B$2:$B$5000,$U158,SummaryHelper!$C$2:$C$5000,$V158))</f>
        <v/>
      </c>
      <c r="Z158" s="9" t="str">
        <f>IF($U158="","",SUMIFS(SummaryHelper!$G$2:$G$5000,SummaryHelper!$A$2:$A$5000,$T158,SummaryHelper!$B$2:$B$5000,$U158,SummaryHelper!$C$2:$C$5000,$V158))</f>
        <v/>
      </c>
      <c r="AB158" s="9" t="str">
        <f t="shared" si="32"/>
        <v/>
      </c>
      <c r="AC158" s="9" t="str">
        <f t="shared" si="33"/>
        <v/>
      </c>
      <c r="AH158" t="str">
        <f>IF($AF158="","",IFERROR(SUMIFS(SummaryHelper!$H$2:$H$5000,SummaryHelper!$A$2:$A$5000,$AE158,SummaryHelper!$B$2:$B$5000,$AF158,SummaryHelper!$C$2:$C$5000,$AG158)/SUMIFS(SummaryHelper!$G$2:$G$5000,SummaryHelper!$A$2:$A$5000,$AE158,SummaryHelper!$B$2:$B$5000,$AF158,SummaryHelper!$C$2:$C$5000,$AG158),""))</f>
        <v/>
      </c>
      <c r="AI158" t="str">
        <f>IF($AF158="","",SUMIFS(SummaryHelper!$E$2:$E$5000,SummaryHelper!$A$2:$A$5000,$AE158,SummaryHelper!$B$2:$B$5000,$AF158,SummaryHelper!$C$2:$C$5000,$AG158))</f>
        <v/>
      </c>
      <c r="AJ158" t="str">
        <f>IF($AF158="","",SUMIFS(SummaryHelper!$F$2:$F$5000,SummaryHelper!$A$2:$A$5000,$AE158,SummaryHelper!$B$2:$B$5000,$AF158,SummaryHelper!$C$2:$C$5000,$AG158))</f>
        <v/>
      </c>
      <c r="AK158" t="str">
        <f>IF($AF158="","",SUMIFS(SummaryHelper!$G$2:$G$5000,SummaryHelper!$A$2:$A$5000,$AE158,SummaryHelper!$B$2:$B$5000,$AF158,SummaryHelper!$C$2:$C$5000,$AG158))</f>
        <v/>
      </c>
      <c r="AM158" t="str">
        <f t="shared" si="34"/>
        <v/>
      </c>
      <c r="AN158" t="str">
        <f t="shared" si="35"/>
        <v/>
      </c>
    </row>
    <row r="159" spans="1:40" x14ac:dyDescent="0.25">
      <c r="A159" s="12"/>
      <c r="B159" s="23" t="str">
        <f t="shared" si="36"/>
        <v/>
      </c>
      <c r="C159" s="9" t="str">
        <f t="shared" ca="1" si="25"/>
        <v/>
      </c>
      <c r="D159" s="9" t="str">
        <f t="shared" ca="1" si="26"/>
        <v/>
      </c>
      <c r="E159" s="9" t="str">
        <f t="shared" ca="1" si="27"/>
        <v/>
      </c>
      <c r="F159" s="9" t="str">
        <f t="shared" si="28"/>
        <v/>
      </c>
      <c r="G159" s="9">
        <f t="shared" si="29"/>
        <v>0</v>
      </c>
      <c r="L159" s="9" t="str">
        <f>IF($J159="","",IFERROR(SUMIFS(SummaryHelper!$H$2:$H$5000,SummaryHelper!$A$2:$A$5000,$I159,SummaryHelper!$B$2:$B$5000,$J159,SummaryHelper!$C$2:$C$5000,$K159)/SUMIFS(SummaryHelper!$G$2:$G$5000,SummaryHelper!$A$2:$A$5000,$I159,SummaryHelper!$B$2:$B$5000,$J159,SummaryHelper!$C$2:$C$5000,$K159),""))</f>
        <v/>
      </c>
      <c r="M159" s="9" t="str">
        <f>IF($J159="","",SUMIFS(SummaryHelper!$E$2:$E$5000,SummaryHelper!$A$2:$A$5000,$I159,SummaryHelper!$B$2:$B$5000,$J159,SummaryHelper!$C$2:$C$5000,$K159))</f>
        <v/>
      </c>
      <c r="N159" s="9" t="str">
        <f>IF($J159="","",SUMIFS(SummaryHelper!$F$2:$F$5000,SummaryHelper!$A$2:$A$5000,$I159,SummaryHelper!$B$2:$B$5000,$J159,SummaryHelper!$C$2:$C$5000,$K159))</f>
        <v/>
      </c>
      <c r="O159" s="9" t="str">
        <f>IF($J159="","",SUMIFS(SummaryHelper!$G$2:$G$5000,SummaryHelper!$A$2:$A$5000,$I159,SummaryHelper!$B$2:$B$5000,$J159,SummaryHelper!$C$2:$C$5000,$K159))</f>
        <v/>
      </c>
      <c r="Q159" s="9" t="str">
        <f t="shared" si="30"/>
        <v/>
      </c>
      <c r="R159" s="9" t="str">
        <f t="shared" si="31"/>
        <v/>
      </c>
      <c r="W159" s="9" t="str">
        <f>IF($U159="","",IFERROR(SUMIFS(SummaryHelper!$H$2:$H$5000,SummaryHelper!$A$2:$A$5000,$T159,SummaryHelper!$B$2:$B$5000,$U159,SummaryHelper!$C$2:$C$5000,$V159)/SUMIFS(SummaryHelper!$G$2:$G$5000,SummaryHelper!$A$2:$A$5000,$T159,SummaryHelper!$B$2:$B$5000,$U159,SummaryHelper!$C$2:$C$5000,$V159),""))</f>
        <v/>
      </c>
      <c r="X159" s="9" t="str">
        <f>IF($U159="","",SUMIFS(SummaryHelper!$E$2:$E$5000,SummaryHelper!$A$2:$A$5000,$T159,SummaryHelper!$B$2:$B$5000,$U159,SummaryHelper!$C$2:$C$5000,$V159))</f>
        <v/>
      </c>
      <c r="Y159" s="9" t="str">
        <f>IF($U159="","",SUMIFS(SummaryHelper!$F$2:$F$5000,SummaryHelper!$A$2:$A$5000,$T159,SummaryHelper!$B$2:$B$5000,$U159,SummaryHelper!$C$2:$C$5000,$V159))</f>
        <v/>
      </c>
      <c r="Z159" s="9" t="str">
        <f>IF($U159="","",SUMIFS(SummaryHelper!$G$2:$G$5000,SummaryHelper!$A$2:$A$5000,$T159,SummaryHelper!$B$2:$B$5000,$U159,SummaryHelper!$C$2:$C$5000,$V159))</f>
        <v/>
      </c>
      <c r="AB159" s="9" t="str">
        <f t="shared" si="32"/>
        <v/>
      </c>
      <c r="AC159" s="9" t="str">
        <f t="shared" si="33"/>
        <v/>
      </c>
      <c r="AH159" t="str">
        <f>IF($AF159="","",IFERROR(SUMIFS(SummaryHelper!$H$2:$H$5000,SummaryHelper!$A$2:$A$5000,$AE159,SummaryHelper!$B$2:$B$5000,$AF159,SummaryHelper!$C$2:$C$5000,$AG159)/SUMIFS(SummaryHelper!$G$2:$G$5000,SummaryHelper!$A$2:$A$5000,$AE159,SummaryHelper!$B$2:$B$5000,$AF159,SummaryHelper!$C$2:$C$5000,$AG159),""))</f>
        <v/>
      </c>
      <c r="AI159" t="str">
        <f>IF($AF159="","",SUMIFS(SummaryHelper!$E$2:$E$5000,SummaryHelper!$A$2:$A$5000,$AE159,SummaryHelper!$B$2:$B$5000,$AF159,SummaryHelper!$C$2:$C$5000,$AG159))</f>
        <v/>
      </c>
      <c r="AJ159" t="str">
        <f>IF($AF159="","",SUMIFS(SummaryHelper!$F$2:$F$5000,SummaryHelper!$A$2:$A$5000,$AE159,SummaryHelper!$B$2:$B$5000,$AF159,SummaryHelper!$C$2:$C$5000,$AG159))</f>
        <v/>
      </c>
      <c r="AK159" t="str">
        <f>IF($AF159="","",SUMIFS(SummaryHelper!$G$2:$G$5000,SummaryHelper!$A$2:$A$5000,$AE159,SummaryHelper!$B$2:$B$5000,$AF159,SummaryHelper!$C$2:$C$5000,$AG159))</f>
        <v/>
      </c>
      <c r="AM159" t="str">
        <f t="shared" si="34"/>
        <v/>
      </c>
      <c r="AN159" t="str">
        <f t="shared" si="35"/>
        <v/>
      </c>
    </row>
    <row r="160" spans="1:40" x14ac:dyDescent="0.25">
      <c r="A160" s="12"/>
      <c r="B160" s="23" t="str">
        <f t="shared" si="36"/>
        <v/>
      </c>
      <c r="C160" s="9" t="str">
        <f t="shared" ca="1" si="25"/>
        <v/>
      </c>
      <c r="D160" s="9" t="str">
        <f t="shared" ca="1" si="26"/>
        <v/>
      </c>
      <c r="E160" s="9" t="str">
        <f t="shared" ca="1" si="27"/>
        <v/>
      </c>
      <c r="F160" s="9" t="str">
        <f t="shared" si="28"/>
        <v/>
      </c>
      <c r="G160" s="9">
        <f t="shared" si="29"/>
        <v>0</v>
      </c>
      <c r="L160" s="9" t="str">
        <f>IF($J160="","",IFERROR(SUMIFS(SummaryHelper!$H$2:$H$5000,SummaryHelper!$A$2:$A$5000,$I160,SummaryHelper!$B$2:$B$5000,$J160,SummaryHelper!$C$2:$C$5000,$K160)/SUMIFS(SummaryHelper!$G$2:$G$5000,SummaryHelper!$A$2:$A$5000,$I160,SummaryHelper!$B$2:$B$5000,$J160,SummaryHelper!$C$2:$C$5000,$K160),""))</f>
        <v/>
      </c>
      <c r="M160" s="9" t="str">
        <f>IF($J160="","",SUMIFS(SummaryHelper!$E$2:$E$5000,SummaryHelper!$A$2:$A$5000,$I160,SummaryHelper!$B$2:$B$5000,$J160,SummaryHelper!$C$2:$C$5000,$K160))</f>
        <v/>
      </c>
      <c r="N160" s="9" t="str">
        <f>IF($J160="","",SUMIFS(SummaryHelper!$F$2:$F$5000,SummaryHelper!$A$2:$A$5000,$I160,SummaryHelper!$B$2:$B$5000,$J160,SummaryHelper!$C$2:$C$5000,$K160))</f>
        <v/>
      </c>
      <c r="O160" s="9" t="str">
        <f>IF($J160="","",SUMIFS(SummaryHelper!$G$2:$G$5000,SummaryHelper!$A$2:$A$5000,$I160,SummaryHelper!$B$2:$B$5000,$J160,SummaryHelper!$C$2:$C$5000,$K160))</f>
        <v/>
      </c>
      <c r="Q160" s="9" t="str">
        <f t="shared" si="30"/>
        <v/>
      </c>
      <c r="R160" s="9" t="str">
        <f t="shared" si="31"/>
        <v/>
      </c>
      <c r="W160" s="9" t="str">
        <f>IF($U160="","",IFERROR(SUMIFS(SummaryHelper!$H$2:$H$5000,SummaryHelper!$A$2:$A$5000,$T160,SummaryHelper!$B$2:$B$5000,$U160,SummaryHelper!$C$2:$C$5000,$V160)/SUMIFS(SummaryHelper!$G$2:$G$5000,SummaryHelper!$A$2:$A$5000,$T160,SummaryHelper!$B$2:$B$5000,$U160,SummaryHelper!$C$2:$C$5000,$V160),""))</f>
        <v/>
      </c>
      <c r="X160" s="9" t="str">
        <f>IF($U160="","",SUMIFS(SummaryHelper!$E$2:$E$5000,SummaryHelper!$A$2:$A$5000,$T160,SummaryHelper!$B$2:$B$5000,$U160,SummaryHelper!$C$2:$C$5000,$V160))</f>
        <v/>
      </c>
      <c r="Y160" s="9" t="str">
        <f>IF($U160="","",SUMIFS(SummaryHelper!$F$2:$F$5000,SummaryHelper!$A$2:$A$5000,$T160,SummaryHelper!$B$2:$B$5000,$U160,SummaryHelper!$C$2:$C$5000,$V160))</f>
        <v/>
      </c>
      <c r="Z160" s="9" t="str">
        <f>IF($U160="","",SUMIFS(SummaryHelper!$G$2:$G$5000,SummaryHelper!$A$2:$A$5000,$T160,SummaryHelper!$B$2:$B$5000,$U160,SummaryHelper!$C$2:$C$5000,$V160))</f>
        <v/>
      </c>
      <c r="AB160" s="9" t="str">
        <f t="shared" si="32"/>
        <v/>
      </c>
      <c r="AC160" s="9" t="str">
        <f t="shared" si="33"/>
        <v/>
      </c>
      <c r="AH160" t="str">
        <f>IF($AF160="","",IFERROR(SUMIFS(SummaryHelper!$H$2:$H$5000,SummaryHelper!$A$2:$A$5000,$AE160,SummaryHelper!$B$2:$B$5000,$AF160,SummaryHelper!$C$2:$C$5000,$AG160)/SUMIFS(SummaryHelper!$G$2:$G$5000,SummaryHelper!$A$2:$A$5000,$AE160,SummaryHelper!$B$2:$B$5000,$AF160,SummaryHelper!$C$2:$C$5000,$AG160),""))</f>
        <v/>
      </c>
      <c r="AI160" t="str">
        <f>IF($AF160="","",SUMIFS(SummaryHelper!$E$2:$E$5000,SummaryHelper!$A$2:$A$5000,$AE160,SummaryHelper!$B$2:$B$5000,$AF160,SummaryHelper!$C$2:$C$5000,$AG160))</f>
        <v/>
      </c>
      <c r="AJ160" t="str">
        <f>IF($AF160="","",SUMIFS(SummaryHelper!$F$2:$F$5000,SummaryHelper!$A$2:$A$5000,$AE160,SummaryHelper!$B$2:$B$5000,$AF160,SummaryHelper!$C$2:$C$5000,$AG160))</f>
        <v/>
      </c>
      <c r="AK160" t="str">
        <f>IF($AF160="","",SUMIFS(SummaryHelper!$G$2:$G$5000,SummaryHelper!$A$2:$A$5000,$AE160,SummaryHelper!$B$2:$B$5000,$AF160,SummaryHelper!$C$2:$C$5000,$AG160))</f>
        <v/>
      </c>
      <c r="AM160" t="str">
        <f t="shared" si="34"/>
        <v/>
      </c>
      <c r="AN160" t="str">
        <f t="shared" si="35"/>
        <v/>
      </c>
    </row>
    <row r="161" spans="1:40" x14ac:dyDescent="0.25">
      <c r="A161" s="12"/>
      <c r="B161" s="23" t="str">
        <f t="shared" si="36"/>
        <v/>
      </c>
      <c r="C161" s="9" t="str">
        <f t="shared" ca="1" si="25"/>
        <v/>
      </c>
      <c r="D161" s="9" t="str">
        <f t="shared" ca="1" si="26"/>
        <v/>
      </c>
      <c r="E161" s="9" t="str">
        <f t="shared" ca="1" si="27"/>
        <v/>
      </c>
      <c r="F161" s="9" t="str">
        <f t="shared" si="28"/>
        <v/>
      </c>
      <c r="G161" s="9">
        <f t="shared" si="29"/>
        <v>0</v>
      </c>
      <c r="L161" s="9" t="str">
        <f>IF($J161="","",IFERROR(SUMIFS(SummaryHelper!$H$2:$H$5000,SummaryHelper!$A$2:$A$5000,$I161,SummaryHelper!$B$2:$B$5000,$J161,SummaryHelper!$C$2:$C$5000,$K161)/SUMIFS(SummaryHelper!$G$2:$G$5000,SummaryHelper!$A$2:$A$5000,$I161,SummaryHelper!$B$2:$B$5000,$J161,SummaryHelper!$C$2:$C$5000,$K161),""))</f>
        <v/>
      </c>
      <c r="M161" s="9" t="str">
        <f>IF($J161="","",SUMIFS(SummaryHelper!$E$2:$E$5000,SummaryHelper!$A$2:$A$5000,$I161,SummaryHelper!$B$2:$B$5000,$J161,SummaryHelper!$C$2:$C$5000,$K161))</f>
        <v/>
      </c>
      <c r="N161" s="9" t="str">
        <f>IF($J161="","",SUMIFS(SummaryHelper!$F$2:$F$5000,SummaryHelper!$A$2:$A$5000,$I161,SummaryHelper!$B$2:$B$5000,$J161,SummaryHelper!$C$2:$C$5000,$K161))</f>
        <v/>
      </c>
      <c r="O161" s="9" t="str">
        <f>IF($J161="","",SUMIFS(SummaryHelper!$G$2:$G$5000,SummaryHelper!$A$2:$A$5000,$I161,SummaryHelper!$B$2:$B$5000,$J161,SummaryHelper!$C$2:$C$5000,$K161))</f>
        <v/>
      </c>
      <c r="Q161" s="9" t="str">
        <f t="shared" si="30"/>
        <v/>
      </c>
      <c r="R161" s="9" t="str">
        <f t="shared" si="31"/>
        <v/>
      </c>
      <c r="W161" s="9" t="str">
        <f>IF($U161="","",IFERROR(SUMIFS(SummaryHelper!$H$2:$H$5000,SummaryHelper!$A$2:$A$5000,$T161,SummaryHelper!$B$2:$B$5000,$U161,SummaryHelper!$C$2:$C$5000,$V161)/SUMIFS(SummaryHelper!$G$2:$G$5000,SummaryHelper!$A$2:$A$5000,$T161,SummaryHelper!$B$2:$B$5000,$U161,SummaryHelper!$C$2:$C$5000,$V161),""))</f>
        <v/>
      </c>
      <c r="X161" s="9" t="str">
        <f>IF($U161="","",SUMIFS(SummaryHelper!$E$2:$E$5000,SummaryHelper!$A$2:$A$5000,$T161,SummaryHelper!$B$2:$B$5000,$U161,SummaryHelper!$C$2:$C$5000,$V161))</f>
        <v/>
      </c>
      <c r="Y161" s="9" t="str">
        <f>IF($U161="","",SUMIFS(SummaryHelper!$F$2:$F$5000,SummaryHelper!$A$2:$A$5000,$T161,SummaryHelper!$B$2:$B$5000,$U161,SummaryHelper!$C$2:$C$5000,$V161))</f>
        <v/>
      </c>
      <c r="Z161" s="9" t="str">
        <f>IF($U161="","",SUMIFS(SummaryHelper!$G$2:$G$5000,SummaryHelper!$A$2:$A$5000,$T161,SummaryHelper!$B$2:$B$5000,$U161,SummaryHelper!$C$2:$C$5000,$V161))</f>
        <v/>
      </c>
      <c r="AB161" s="9" t="str">
        <f t="shared" si="32"/>
        <v/>
      </c>
      <c r="AC161" s="9" t="str">
        <f t="shared" si="33"/>
        <v/>
      </c>
      <c r="AH161" t="str">
        <f>IF($AF161="","",IFERROR(SUMIFS(SummaryHelper!$H$2:$H$5000,SummaryHelper!$A$2:$A$5000,$AE161,SummaryHelper!$B$2:$B$5000,$AF161,SummaryHelper!$C$2:$C$5000,$AG161)/SUMIFS(SummaryHelper!$G$2:$G$5000,SummaryHelper!$A$2:$A$5000,$AE161,SummaryHelper!$B$2:$B$5000,$AF161,SummaryHelper!$C$2:$C$5000,$AG161),""))</f>
        <v/>
      </c>
      <c r="AI161" t="str">
        <f>IF($AF161="","",SUMIFS(SummaryHelper!$E$2:$E$5000,SummaryHelper!$A$2:$A$5000,$AE161,SummaryHelper!$B$2:$B$5000,$AF161,SummaryHelper!$C$2:$C$5000,$AG161))</f>
        <v/>
      </c>
      <c r="AJ161" t="str">
        <f>IF($AF161="","",SUMIFS(SummaryHelper!$F$2:$F$5000,SummaryHelper!$A$2:$A$5000,$AE161,SummaryHelper!$B$2:$B$5000,$AF161,SummaryHelper!$C$2:$C$5000,$AG161))</f>
        <v/>
      </c>
      <c r="AK161" t="str">
        <f>IF($AF161="","",SUMIFS(SummaryHelper!$G$2:$G$5000,SummaryHelper!$A$2:$A$5000,$AE161,SummaryHelper!$B$2:$B$5000,$AF161,SummaryHelper!$C$2:$C$5000,$AG161))</f>
        <v/>
      </c>
      <c r="AM161" t="str">
        <f t="shared" si="34"/>
        <v/>
      </c>
      <c r="AN161" t="str">
        <f t="shared" si="35"/>
        <v/>
      </c>
    </row>
    <row r="162" spans="1:40" x14ac:dyDescent="0.25">
      <c r="A162" s="12"/>
      <c r="B162" s="23" t="str">
        <f t="shared" si="36"/>
        <v/>
      </c>
      <c r="C162" s="9" t="str">
        <f t="shared" ca="1" si="25"/>
        <v/>
      </c>
      <c r="D162" s="9" t="str">
        <f t="shared" ca="1" si="26"/>
        <v/>
      </c>
      <c r="E162" s="9" t="str">
        <f t="shared" ca="1" si="27"/>
        <v/>
      </c>
      <c r="F162" s="9" t="str">
        <f t="shared" si="28"/>
        <v/>
      </c>
      <c r="G162" s="9">
        <f t="shared" si="29"/>
        <v>0</v>
      </c>
      <c r="L162" s="9" t="str">
        <f>IF($J162="","",IFERROR(SUMIFS(SummaryHelper!$H$2:$H$5000,SummaryHelper!$A$2:$A$5000,$I162,SummaryHelper!$B$2:$B$5000,$J162,SummaryHelper!$C$2:$C$5000,$K162)/SUMIFS(SummaryHelper!$G$2:$G$5000,SummaryHelper!$A$2:$A$5000,$I162,SummaryHelper!$B$2:$B$5000,$J162,SummaryHelper!$C$2:$C$5000,$K162),""))</f>
        <v/>
      </c>
      <c r="M162" s="9" t="str">
        <f>IF($J162="","",SUMIFS(SummaryHelper!$E$2:$E$5000,SummaryHelper!$A$2:$A$5000,$I162,SummaryHelper!$B$2:$B$5000,$J162,SummaryHelper!$C$2:$C$5000,$K162))</f>
        <v/>
      </c>
      <c r="N162" s="9" t="str">
        <f>IF($J162="","",SUMIFS(SummaryHelper!$F$2:$F$5000,SummaryHelper!$A$2:$A$5000,$I162,SummaryHelper!$B$2:$B$5000,$J162,SummaryHelper!$C$2:$C$5000,$K162))</f>
        <v/>
      </c>
      <c r="O162" s="9" t="str">
        <f>IF($J162="","",SUMIFS(SummaryHelper!$G$2:$G$5000,SummaryHelper!$A$2:$A$5000,$I162,SummaryHelper!$B$2:$B$5000,$J162,SummaryHelper!$C$2:$C$5000,$K162))</f>
        <v/>
      </c>
      <c r="Q162" s="9" t="str">
        <f t="shared" si="30"/>
        <v/>
      </c>
      <c r="R162" s="9" t="str">
        <f t="shared" si="31"/>
        <v/>
      </c>
      <c r="W162" s="9" t="str">
        <f>IF($U162="","",IFERROR(SUMIFS(SummaryHelper!$H$2:$H$5000,SummaryHelper!$A$2:$A$5000,$T162,SummaryHelper!$B$2:$B$5000,$U162,SummaryHelper!$C$2:$C$5000,$V162)/SUMIFS(SummaryHelper!$G$2:$G$5000,SummaryHelper!$A$2:$A$5000,$T162,SummaryHelper!$B$2:$B$5000,$U162,SummaryHelper!$C$2:$C$5000,$V162),""))</f>
        <v/>
      </c>
      <c r="X162" s="9" t="str">
        <f>IF($U162="","",SUMIFS(SummaryHelper!$E$2:$E$5000,SummaryHelper!$A$2:$A$5000,$T162,SummaryHelper!$B$2:$B$5000,$U162,SummaryHelper!$C$2:$C$5000,$V162))</f>
        <v/>
      </c>
      <c r="Y162" s="9" t="str">
        <f>IF($U162="","",SUMIFS(SummaryHelper!$F$2:$F$5000,SummaryHelper!$A$2:$A$5000,$T162,SummaryHelper!$B$2:$B$5000,$U162,SummaryHelper!$C$2:$C$5000,$V162))</f>
        <v/>
      </c>
      <c r="Z162" s="9" t="str">
        <f>IF($U162="","",SUMIFS(SummaryHelper!$G$2:$G$5000,SummaryHelper!$A$2:$A$5000,$T162,SummaryHelper!$B$2:$B$5000,$U162,SummaryHelper!$C$2:$C$5000,$V162))</f>
        <v/>
      </c>
      <c r="AB162" s="9" t="str">
        <f t="shared" si="32"/>
        <v/>
      </c>
      <c r="AC162" s="9" t="str">
        <f t="shared" si="33"/>
        <v/>
      </c>
      <c r="AH162" t="str">
        <f>IF($AF162="","",IFERROR(SUMIFS(SummaryHelper!$H$2:$H$5000,SummaryHelper!$A$2:$A$5000,$AE162,SummaryHelper!$B$2:$B$5000,$AF162,SummaryHelper!$C$2:$C$5000,$AG162)/SUMIFS(SummaryHelper!$G$2:$G$5000,SummaryHelper!$A$2:$A$5000,$AE162,SummaryHelper!$B$2:$B$5000,$AF162,SummaryHelper!$C$2:$C$5000,$AG162),""))</f>
        <v/>
      </c>
      <c r="AI162" t="str">
        <f>IF($AF162="","",SUMIFS(SummaryHelper!$E$2:$E$5000,SummaryHelper!$A$2:$A$5000,$AE162,SummaryHelper!$B$2:$B$5000,$AF162,SummaryHelper!$C$2:$C$5000,$AG162))</f>
        <v/>
      </c>
      <c r="AJ162" t="str">
        <f>IF($AF162="","",SUMIFS(SummaryHelper!$F$2:$F$5000,SummaryHelper!$A$2:$A$5000,$AE162,SummaryHelper!$B$2:$B$5000,$AF162,SummaryHelper!$C$2:$C$5000,$AG162))</f>
        <v/>
      </c>
      <c r="AK162" t="str">
        <f>IF($AF162="","",SUMIFS(SummaryHelper!$G$2:$G$5000,SummaryHelper!$A$2:$A$5000,$AE162,SummaryHelper!$B$2:$B$5000,$AF162,SummaryHelper!$C$2:$C$5000,$AG162))</f>
        <v/>
      </c>
      <c r="AM162" t="str">
        <f t="shared" si="34"/>
        <v/>
      </c>
      <c r="AN162" t="str">
        <f t="shared" si="35"/>
        <v/>
      </c>
    </row>
    <row r="163" spans="1:40" x14ac:dyDescent="0.25">
      <c r="A163" s="12"/>
      <c r="B163" s="23" t="str">
        <f t="shared" si="36"/>
        <v/>
      </c>
      <c r="C163" s="9" t="str">
        <f t="shared" ca="1" si="25"/>
        <v/>
      </c>
      <c r="D163" s="9" t="str">
        <f t="shared" ca="1" si="26"/>
        <v/>
      </c>
      <c r="E163" s="9" t="str">
        <f t="shared" ca="1" si="27"/>
        <v/>
      </c>
      <c r="F163" s="9" t="str">
        <f t="shared" si="28"/>
        <v/>
      </c>
      <c r="G163" s="9">
        <f t="shared" si="29"/>
        <v>0</v>
      </c>
      <c r="L163" s="9" t="str">
        <f>IF($J163="","",IFERROR(SUMIFS(SummaryHelper!$H$2:$H$5000,SummaryHelper!$A$2:$A$5000,$I163,SummaryHelper!$B$2:$B$5000,$J163,SummaryHelper!$C$2:$C$5000,$K163)/SUMIFS(SummaryHelper!$G$2:$G$5000,SummaryHelper!$A$2:$A$5000,$I163,SummaryHelper!$B$2:$B$5000,$J163,SummaryHelper!$C$2:$C$5000,$K163),""))</f>
        <v/>
      </c>
      <c r="M163" s="9" t="str">
        <f>IF($J163="","",SUMIFS(SummaryHelper!$E$2:$E$5000,SummaryHelper!$A$2:$A$5000,$I163,SummaryHelper!$B$2:$B$5000,$J163,SummaryHelper!$C$2:$C$5000,$K163))</f>
        <v/>
      </c>
      <c r="N163" s="9" t="str">
        <f>IF($J163="","",SUMIFS(SummaryHelper!$F$2:$F$5000,SummaryHelper!$A$2:$A$5000,$I163,SummaryHelper!$B$2:$B$5000,$J163,SummaryHelper!$C$2:$C$5000,$K163))</f>
        <v/>
      </c>
      <c r="O163" s="9" t="str">
        <f>IF($J163="","",SUMIFS(SummaryHelper!$G$2:$G$5000,SummaryHelper!$A$2:$A$5000,$I163,SummaryHelper!$B$2:$B$5000,$J163,SummaryHelper!$C$2:$C$5000,$K163))</f>
        <v/>
      </c>
      <c r="Q163" s="9" t="str">
        <f t="shared" si="30"/>
        <v/>
      </c>
      <c r="R163" s="9" t="str">
        <f t="shared" si="31"/>
        <v/>
      </c>
      <c r="W163" s="9" t="str">
        <f>IF($U163="","",IFERROR(SUMIFS(SummaryHelper!$H$2:$H$5000,SummaryHelper!$A$2:$A$5000,$T163,SummaryHelper!$B$2:$B$5000,$U163,SummaryHelper!$C$2:$C$5000,$V163)/SUMIFS(SummaryHelper!$G$2:$G$5000,SummaryHelper!$A$2:$A$5000,$T163,SummaryHelper!$B$2:$B$5000,$U163,SummaryHelper!$C$2:$C$5000,$V163),""))</f>
        <v/>
      </c>
      <c r="X163" s="9" t="str">
        <f>IF($U163="","",SUMIFS(SummaryHelper!$E$2:$E$5000,SummaryHelper!$A$2:$A$5000,$T163,SummaryHelper!$B$2:$B$5000,$U163,SummaryHelper!$C$2:$C$5000,$V163))</f>
        <v/>
      </c>
      <c r="Y163" s="9" t="str">
        <f>IF($U163="","",SUMIFS(SummaryHelper!$F$2:$F$5000,SummaryHelper!$A$2:$A$5000,$T163,SummaryHelper!$B$2:$B$5000,$U163,SummaryHelper!$C$2:$C$5000,$V163))</f>
        <v/>
      </c>
      <c r="Z163" s="9" t="str">
        <f>IF($U163="","",SUMIFS(SummaryHelper!$G$2:$G$5000,SummaryHelper!$A$2:$A$5000,$T163,SummaryHelper!$B$2:$B$5000,$U163,SummaryHelper!$C$2:$C$5000,$V163))</f>
        <v/>
      </c>
      <c r="AB163" s="9" t="str">
        <f t="shared" si="32"/>
        <v/>
      </c>
      <c r="AC163" s="9" t="str">
        <f t="shared" si="33"/>
        <v/>
      </c>
      <c r="AH163" t="str">
        <f>IF($AF163="","",IFERROR(SUMIFS(SummaryHelper!$H$2:$H$5000,SummaryHelper!$A$2:$A$5000,$AE163,SummaryHelper!$B$2:$B$5000,$AF163,SummaryHelper!$C$2:$C$5000,$AG163)/SUMIFS(SummaryHelper!$G$2:$G$5000,SummaryHelper!$A$2:$A$5000,$AE163,SummaryHelper!$B$2:$B$5000,$AF163,SummaryHelper!$C$2:$C$5000,$AG163),""))</f>
        <v/>
      </c>
      <c r="AI163" t="str">
        <f>IF($AF163="","",SUMIFS(SummaryHelper!$E$2:$E$5000,SummaryHelper!$A$2:$A$5000,$AE163,SummaryHelper!$B$2:$B$5000,$AF163,SummaryHelper!$C$2:$C$5000,$AG163))</f>
        <v/>
      </c>
      <c r="AJ163" t="str">
        <f>IF($AF163="","",SUMIFS(SummaryHelper!$F$2:$F$5000,SummaryHelper!$A$2:$A$5000,$AE163,SummaryHelper!$B$2:$B$5000,$AF163,SummaryHelper!$C$2:$C$5000,$AG163))</f>
        <v/>
      </c>
      <c r="AK163" t="str">
        <f>IF($AF163="","",SUMIFS(SummaryHelper!$G$2:$G$5000,SummaryHelper!$A$2:$A$5000,$AE163,SummaryHelper!$B$2:$B$5000,$AF163,SummaryHelper!$C$2:$C$5000,$AG163))</f>
        <v/>
      </c>
      <c r="AM163" t="str">
        <f t="shared" si="34"/>
        <v/>
      </c>
      <c r="AN163" t="str">
        <f t="shared" si="35"/>
        <v/>
      </c>
    </row>
    <row r="164" spans="1:40" x14ac:dyDescent="0.25">
      <c r="A164" s="12"/>
      <c r="B164" s="23" t="str">
        <f t="shared" si="36"/>
        <v/>
      </c>
      <c r="C164" s="9" t="str">
        <f t="shared" ca="1" si="25"/>
        <v/>
      </c>
      <c r="D164" s="9" t="str">
        <f t="shared" ca="1" si="26"/>
        <v/>
      </c>
      <c r="E164" s="9" t="str">
        <f t="shared" ca="1" si="27"/>
        <v/>
      </c>
      <c r="F164" s="9" t="str">
        <f t="shared" si="28"/>
        <v/>
      </c>
      <c r="G164" s="9">
        <f t="shared" si="29"/>
        <v>0</v>
      </c>
      <c r="L164" s="9" t="str">
        <f>IF($J164="","",IFERROR(SUMIFS(SummaryHelper!$H$2:$H$5000,SummaryHelper!$A$2:$A$5000,$I164,SummaryHelper!$B$2:$B$5000,$J164,SummaryHelper!$C$2:$C$5000,$K164)/SUMIFS(SummaryHelper!$G$2:$G$5000,SummaryHelper!$A$2:$A$5000,$I164,SummaryHelper!$B$2:$B$5000,$J164,SummaryHelper!$C$2:$C$5000,$K164),""))</f>
        <v/>
      </c>
      <c r="M164" s="9" t="str">
        <f>IF($J164="","",SUMIFS(SummaryHelper!$E$2:$E$5000,SummaryHelper!$A$2:$A$5000,$I164,SummaryHelper!$B$2:$B$5000,$J164,SummaryHelper!$C$2:$C$5000,$K164))</f>
        <v/>
      </c>
      <c r="N164" s="9" t="str">
        <f>IF($J164="","",SUMIFS(SummaryHelper!$F$2:$F$5000,SummaryHelper!$A$2:$A$5000,$I164,SummaryHelper!$B$2:$B$5000,$J164,SummaryHelper!$C$2:$C$5000,$K164))</f>
        <v/>
      </c>
      <c r="O164" s="9" t="str">
        <f>IF($J164="","",SUMIFS(SummaryHelper!$G$2:$G$5000,SummaryHelper!$A$2:$A$5000,$I164,SummaryHelper!$B$2:$B$5000,$J164,SummaryHelper!$C$2:$C$5000,$K164))</f>
        <v/>
      </c>
      <c r="Q164" s="9" t="str">
        <f t="shared" si="30"/>
        <v/>
      </c>
      <c r="R164" s="9" t="str">
        <f t="shared" si="31"/>
        <v/>
      </c>
      <c r="W164" s="9" t="str">
        <f>IF($U164="","",IFERROR(SUMIFS(SummaryHelper!$H$2:$H$5000,SummaryHelper!$A$2:$A$5000,$T164,SummaryHelper!$B$2:$B$5000,$U164,SummaryHelper!$C$2:$C$5000,$V164)/SUMIFS(SummaryHelper!$G$2:$G$5000,SummaryHelper!$A$2:$A$5000,$T164,SummaryHelper!$B$2:$B$5000,$U164,SummaryHelper!$C$2:$C$5000,$V164),""))</f>
        <v/>
      </c>
      <c r="X164" s="9" t="str">
        <f>IF($U164="","",SUMIFS(SummaryHelper!$E$2:$E$5000,SummaryHelper!$A$2:$A$5000,$T164,SummaryHelper!$B$2:$B$5000,$U164,SummaryHelper!$C$2:$C$5000,$V164))</f>
        <v/>
      </c>
      <c r="Y164" s="9" t="str">
        <f>IF($U164="","",SUMIFS(SummaryHelper!$F$2:$F$5000,SummaryHelper!$A$2:$A$5000,$T164,SummaryHelper!$B$2:$B$5000,$U164,SummaryHelper!$C$2:$C$5000,$V164))</f>
        <v/>
      </c>
      <c r="Z164" s="9" t="str">
        <f>IF($U164="","",SUMIFS(SummaryHelper!$G$2:$G$5000,SummaryHelper!$A$2:$A$5000,$T164,SummaryHelper!$B$2:$B$5000,$U164,SummaryHelper!$C$2:$C$5000,$V164))</f>
        <v/>
      </c>
      <c r="AB164" s="9" t="str">
        <f t="shared" si="32"/>
        <v/>
      </c>
      <c r="AC164" s="9" t="str">
        <f t="shared" si="33"/>
        <v/>
      </c>
      <c r="AH164" t="str">
        <f>IF($AF164="","",IFERROR(SUMIFS(SummaryHelper!$H$2:$H$5000,SummaryHelper!$A$2:$A$5000,$AE164,SummaryHelper!$B$2:$B$5000,$AF164,SummaryHelper!$C$2:$C$5000,$AG164)/SUMIFS(SummaryHelper!$G$2:$G$5000,SummaryHelper!$A$2:$A$5000,$AE164,SummaryHelper!$B$2:$B$5000,$AF164,SummaryHelper!$C$2:$C$5000,$AG164),""))</f>
        <v/>
      </c>
      <c r="AI164" t="str">
        <f>IF($AF164="","",SUMIFS(SummaryHelper!$E$2:$E$5000,SummaryHelper!$A$2:$A$5000,$AE164,SummaryHelper!$B$2:$B$5000,$AF164,SummaryHelper!$C$2:$C$5000,$AG164))</f>
        <v/>
      </c>
      <c r="AJ164" t="str">
        <f>IF($AF164="","",SUMIFS(SummaryHelper!$F$2:$F$5000,SummaryHelper!$A$2:$A$5000,$AE164,SummaryHelper!$B$2:$B$5000,$AF164,SummaryHelper!$C$2:$C$5000,$AG164))</f>
        <v/>
      </c>
      <c r="AK164" t="str">
        <f>IF($AF164="","",SUMIFS(SummaryHelper!$G$2:$G$5000,SummaryHelper!$A$2:$A$5000,$AE164,SummaryHelper!$B$2:$B$5000,$AF164,SummaryHelper!$C$2:$C$5000,$AG164))</f>
        <v/>
      </c>
      <c r="AM164" t="str">
        <f t="shared" si="34"/>
        <v/>
      </c>
      <c r="AN164" t="str">
        <f t="shared" si="35"/>
        <v/>
      </c>
    </row>
    <row r="165" spans="1:40" x14ac:dyDescent="0.25">
      <c r="A165" s="12"/>
      <c r="B165" s="23" t="str">
        <f t="shared" si="36"/>
        <v/>
      </c>
      <c r="C165" s="9" t="str">
        <f t="shared" ca="1" si="25"/>
        <v/>
      </c>
      <c r="D165" s="9" t="str">
        <f t="shared" ca="1" si="26"/>
        <v/>
      </c>
      <c r="E165" s="9" t="str">
        <f t="shared" ca="1" si="27"/>
        <v/>
      </c>
      <c r="F165" s="9" t="str">
        <f t="shared" si="28"/>
        <v/>
      </c>
      <c r="G165" s="9">
        <f t="shared" si="29"/>
        <v>0</v>
      </c>
      <c r="L165" s="9" t="str">
        <f>IF($J165="","",IFERROR(SUMIFS(SummaryHelper!$H$2:$H$5000,SummaryHelper!$A$2:$A$5000,$I165,SummaryHelper!$B$2:$B$5000,$J165,SummaryHelper!$C$2:$C$5000,$K165)/SUMIFS(SummaryHelper!$G$2:$G$5000,SummaryHelper!$A$2:$A$5000,$I165,SummaryHelper!$B$2:$B$5000,$J165,SummaryHelper!$C$2:$C$5000,$K165),""))</f>
        <v/>
      </c>
      <c r="M165" s="9" t="str">
        <f>IF($J165="","",SUMIFS(SummaryHelper!$E$2:$E$5000,SummaryHelper!$A$2:$A$5000,$I165,SummaryHelper!$B$2:$B$5000,$J165,SummaryHelper!$C$2:$C$5000,$K165))</f>
        <v/>
      </c>
      <c r="N165" s="9" t="str">
        <f>IF($J165="","",SUMIFS(SummaryHelper!$F$2:$F$5000,SummaryHelper!$A$2:$A$5000,$I165,SummaryHelper!$B$2:$B$5000,$J165,SummaryHelper!$C$2:$C$5000,$K165))</f>
        <v/>
      </c>
      <c r="O165" s="9" t="str">
        <f>IF($J165="","",SUMIFS(SummaryHelper!$G$2:$G$5000,SummaryHelper!$A$2:$A$5000,$I165,SummaryHelper!$B$2:$B$5000,$J165,SummaryHelper!$C$2:$C$5000,$K165))</f>
        <v/>
      </c>
      <c r="Q165" s="9" t="str">
        <f t="shared" si="30"/>
        <v/>
      </c>
      <c r="R165" s="9" t="str">
        <f t="shared" si="31"/>
        <v/>
      </c>
      <c r="W165" s="9" t="str">
        <f>IF($U165="","",IFERROR(SUMIFS(SummaryHelper!$H$2:$H$5000,SummaryHelper!$A$2:$A$5000,$T165,SummaryHelper!$B$2:$B$5000,$U165,SummaryHelper!$C$2:$C$5000,$V165)/SUMIFS(SummaryHelper!$G$2:$G$5000,SummaryHelper!$A$2:$A$5000,$T165,SummaryHelper!$B$2:$B$5000,$U165,SummaryHelper!$C$2:$C$5000,$V165),""))</f>
        <v/>
      </c>
      <c r="X165" s="9" t="str">
        <f>IF($U165="","",SUMIFS(SummaryHelper!$E$2:$E$5000,SummaryHelper!$A$2:$A$5000,$T165,SummaryHelper!$B$2:$B$5000,$U165,SummaryHelper!$C$2:$C$5000,$V165))</f>
        <v/>
      </c>
      <c r="Y165" s="9" t="str">
        <f>IF($U165="","",SUMIFS(SummaryHelper!$F$2:$F$5000,SummaryHelper!$A$2:$A$5000,$T165,SummaryHelper!$B$2:$B$5000,$U165,SummaryHelper!$C$2:$C$5000,$V165))</f>
        <v/>
      </c>
      <c r="Z165" s="9" t="str">
        <f>IF($U165="","",SUMIFS(SummaryHelper!$G$2:$G$5000,SummaryHelper!$A$2:$A$5000,$T165,SummaryHelper!$B$2:$B$5000,$U165,SummaryHelper!$C$2:$C$5000,$V165))</f>
        <v/>
      </c>
      <c r="AB165" s="9" t="str">
        <f t="shared" si="32"/>
        <v/>
      </c>
      <c r="AC165" s="9" t="str">
        <f t="shared" si="33"/>
        <v/>
      </c>
      <c r="AH165" t="str">
        <f>IF($AF165="","",IFERROR(SUMIFS(SummaryHelper!$H$2:$H$5000,SummaryHelper!$A$2:$A$5000,$AE165,SummaryHelper!$B$2:$B$5000,$AF165,SummaryHelper!$C$2:$C$5000,$AG165)/SUMIFS(SummaryHelper!$G$2:$G$5000,SummaryHelper!$A$2:$A$5000,$AE165,SummaryHelper!$B$2:$B$5000,$AF165,SummaryHelper!$C$2:$C$5000,$AG165),""))</f>
        <v/>
      </c>
      <c r="AI165" t="str">
        <f>IF($AF165="","",SUMIFS(SummaryHelper!$E$2:$E$5000,SummaryHelper!$A$2:$A$5000,$AE165,SummaryHelper!$B$2:$B$5000,$AF165,SummaryHelper!$C$2:$C$5000,$AG165))</f>
        <v/>
      </c>
      <c r="AJ165" t="str">
        <f>IF($AF165="","",SUMIFS(SummaryHelper!$F$2:$F$5000,SummaryHelper!$A$2:$A$5000,$AE165,SummaryHelper!$B$2:$B$5000,$AF165,SummaryHelper!$C$2:$C$5000,$AG165))</f>
        <v/>
      </c>
      <c r="AK165" t="str">
        <f>IF($AF165="","",SUMIFS(SummaryHelper!$G$2:$G$5000,SummaryHelper!$A$2:$A$5000,$AE165,SummaryHelper!$B$2:$B$5000,$AF165,SummaryHelper!$C$2:$C$5000,$AG165))</f>
        <v/>
      </c>
      <c r="AM165" t="str">
        <f t="shared" si="34"/>
        <v/>
      </c>
      <c r="AN165" t="str">
        <f t="shared" si="35"/>
        <v/>
      </c>
    </row>
    <row r="166" spans="1:40" x14ac:dyDescent="0.25">
      <c r="A166" s="12"/>
      <c r="B166" s="23" t="str">
        <f t="shared" si="36"/>
        <v/>
      </c>
      <c r="C166" s="9" t="str">
        <f t="shared" ca="1" si="25"/>
        <v/>
      </c>
      <c r="D166" s="9" t="str">
        <f t="shared" ca="1" si="26"/>
        <v/>
      </c>
      <c r="E166" s="9" t="str">
        <f t="shared" ca="1" si="27"/>
        <v/>
      </c>
      <c r="F166" s="9" t="str">
        <f t="shared" si="28"/>
        <v/>
      </c>
      <c r="G166" s="9">
        <f t="shared" si="29"/>
        <v>0</v>
      </c>
      <c r="L166" s="9" t="str">
        <f>IF($J166="","",IFERROR(SUMIFS(SummaryHelper!$H$2:$H$5000,SummaryHelper!$A$2:$A$5000,$I166,SummaryHelper!$B$2:$B$5000,$J166,SummaryHelper!$C$2:$C$5000,$K166)/SUMIFS(SummaryHelper!$G$2:$G$5000,SummaryHelper!$A$2:$A$5000,$I166,SummaryHelper!$B$2:$B$5000,$J166,SummaryHelper!$C$2:$C$5000,$K166),""))</f>
        <v/>
      </c>
      <c r="M166" s="9" t="str">
        <f>IF($J166="","",SUMIFS(SummaryHelper!$E$2:$E$5000,SummaryHelper!$A$2:$A$5000,$I166,SummaryHelper!$B$2:$B$5000,$J166,SummaryHelper!$C$2:$C$5000,$K166))</f>
        <v/>
      </c>
      <c r="N166" s="9" t="str">
        <f>IF($J166="","",SUMIFS(SummaryHelper!$F$2:$F$5000,SummaryHelper!$A$2:$A$5000,$I166,SummaryHelper!$B$2:$B$5000,$J166,SummaryHelper!$C$2:$C$5000,$K166))</f>
        <v/>
      </c>
      <c r="O166" s="9" t="str">
        <f>IF($J166="","",SUMIFS(SummaryHelper!$G$2:$G$5000,SummaryHelper!$A$2:$A$5000,$I166,SummaryHelper!$B$2:$B$5000,$J166,SummaryHelper!$C$2:$C$5000,$K166))</f>
        <v/>
      </c>
      <c r="Q166" s="9" t="str">
        <f t="shared" si="30"/>
        <v/>
      </c>
      <c r="R166" s="9" t="str">
        <f t="shared" si="31"/>
        <v/>
      </c>
      <c r="W166" s="9" t="str">
        <f>IF($U166="","",IFERROR(SUMIFS(SummaryHelper!$H$2:$H$5000,SummaryHelper!$A$2:$A$5000,$T166,SummaryHelper!$B$2:$B$5000,$U166,SummaryHelper!$C$2:$C$5000,$V166)/SUMIFS(SummaryHelper!$G$2:$G$5000,SummaryHelper!$A$2:$A$5000,$T166,SummaryHelper!$B$2:$B$5000,$U166,SummaryHelper!$C$2:$C$5000,$V166),""))</f>
        <v/>
      </c>
      <c r="X166" s="9" t="str">
        <f>IF($U166="","",SUMIFS(SummaryHelper!$E$2:$E$5000,SummaryHelper!$A$2:$A$5000,$T166,SummaryHelper!$B$2:$B$5000,$U166,SummaryHelper!$C$2:$C$5000,$V166))</f>
        <v/>
      </c>
      <c r="Y166" s="9" t="str">
        <f>IF($U166="","",SUMIFS(SummaryHelper!$F$2:$F$5000,SummaryHelper!$A$2:$A$5000,$T166,SummaryHelper!$B$2:$B$5000,$U166,SummaryHelper!$C$2:$C$5000,$V166))</f>
        <v/>
      </c>
      <c r="Z166" s="9" t="str">
        <f>IF($U166="","",SUMIFS(SummaryHelper!$G$2:$G$5000,SummaryHelper!$A$2:$A$5000,$T166,SummaryHelper!$B$2:$B$5000,$U166,SummaryHelper!$C$2:$C$5000,$V166))</f>
        <v/>
      </c>
      <c r="AB166" s="9" t="str">
        <f t="shared" si="32"/>
        <v/>
      </c>
      <c r="AC166" s="9" t="str">
        <f t="shared" si="33"/>
        <v/>
      </c>
      <c r="AH166" t="str">
        <f>IF($AF166="","",IFERROR(SUMIFS(SummaryHelper!$H$2:$H$5000,SummaryHelper!$A$2:$A$5000,$AE166,SummaryHelper!$B$2:$B$5000,$AF166,SummaryHelper!$C$2:$C$5000,$AG166)/SUMIFS(SummaryHelper!$G$2:$G$5000,SummaryHelper!$A$2:$A$5000,$AE166,SummaryHelper!$B$2:$B$5000,$AF166,SummaryHelper!$C$2:$C$5000,$AG166),""))</f>
        <v/>
      </c>
      <c r="AI166" t="str">
        <f>IF($AF166="","",SUMIFS(SummaryHelper!$E$2:$E$5000,SummaryHelper!$A$2:$A$5000,$AE166,SummaryHelper!$B$2:$B$5000,$AF166,SummaryHelper!$C$2:$C$5000,$AG166))</f>
        <v/>
      </c>
      <c r="AJ166" t="str">
        <f>IF($AF166="","",SUMIFS(SummaryHelper!$F$2:$F$5000,SummaryHelper!$A$2:$A$5000,$AE166,SummaryHelper!$B$2:$B$5000,$AF166,SummaryHelper!$C$2:$C$5000,$AG166))</f>
        <v/>
      </c>
      <c r="AK166" t="str">
        <f>IF($AF166="","",SUMIFS(SummaryHelper!$G$2:$G$5000,SummaryHelper!$A$2:$A$5000,$AE166,SummaryHelper!$B$2:$B$5000,$AF166,SummaryHelper!$C$2:$C$5000,$AG166))</f>
        <v/>
      </c>
      <c r="AM166" t="str">
        <f t="shared" si="34"/>
        <v/>
      </c>
      <c r="AN166" t="str">
        <f t="shared" si="35"/>
        <v/>
      </c>
    </row>
    <row r="167" spans="1:40" x14ac:dyDescent="0.25">
      <c r="A167" s="12"/>
      <c r="B167" s="23" t="str">
        <f t="shared" si="36"/>
        <v/>
      </c>
      <c r="C167" s="9" t="str">
        <f t="shared" ca="1" si="25"/>
        <v/>
      </c>
      <c r="D167" s="9" t="str">
        <f t="shared" ca="1" si="26"/>
        <v/>
      </c>
      <c r="E167" s="9" t="str">
        <f t="shared" ca="1" si="27"/>
        <v/>
      </c>
      <c r="F167" s="9" t="str">
        <f t="shared" si="28"/>
        <v/>
      </c>
      <c r="G167" s="9">
        <f t="shared" si="29"/>
        <v>0</v>
      </c>
      <c r="L167" s="9" t="str">
        <f>IF($J167="","",IFERROR(SUMIFS(SummaryHelper!$H$2:$H$5000,SummaryHelper!$A$2:$A$5000,$I167,SummaryHelper!$B$2:$B$5000,$J167,SummaryHelper!$C$2:$C$5000,$K167)/SUMIFS(SummaryHelper!$G$2:$G$5000,SummaryHelper!$A$2:$A$5000,$I167,SummaryHelper!$B$2:$B$5000,$J167,SummaryHelper!$C$2:$C$5000,$K167),""))</f>
        <v/>
      </c>
      <c r="M167" s="9" t="str">
        <f>IF($J167="","",SUMIFS(SummaryHelper!$E$2:$E$5000,SummaryHelper!$A$2:$A$5000,$I167,SummaryHelper!$B$2:$B$5000,$J167,SummaryHelper!$C$2:$C$5000,$K167))</f>
        <v/>
      </c>
      <c r="N167" s="9" t="str">
        <f>IF($J167="","",SUMIFS(SummaryHelper!$F$2:$F$5000,SummaryHelper!$A$2:$A$5000,$I167,SummaryHelper!$B$2:$B$5000,$J167,SummaryHelper!$C$2:$C$5000,$K167))</f>
        <v/>
      </c>
      <c r="O167" s="9" t="str">
        <f>IF($J167="","",SUMIFS(SummaryHelper!$G$2:$G$5000,SummaryHelper!$A$2:$A$5000,$I167,SummaryHelper!$B$2:$B$5000,$J167,SummaryHelper!$C$2:$C$5000,$K167))</f>
        <v/>
      </c>
      <c r="Q167" s="9" t="str">
        <f t="shared" si="30"/>
        <v/>
      </c>
      <c r="R167" s="9" t="str">
        <f t="shared" si="31"/>
        <v/>
      </c>
      <c r="W167" s="9" t="str">
        <f>IF($U167="","",IFERROR(SUMIFS(SummaryHelper!$H$2:$H$5000,SummaryHelper!$A$2:$A$5000,$T167,SummaryHelper!$B$2:$B$5000,$U167,SummaryHelper!$C$2:$C$5000,$V167)/SUMIFS(SummaryHelper!$G$2:$G$5000,SummaryHelper!$A$2:$A$5000,$T167,SummaryHelper!$B$2:$B$5000,$U167,SummaryHelper!$C$2:$C$5000,$V167),""))</f>
        <v/>
      </c>
      <c r="X167" s="9" t="str">
        <f>IF($U167="","",SUMIFS(SummaryHelper!$E$2:$E$5000,SummaryHelper!$A$2:$A$5000,$T167,SummaryHelper!$B$2:$B$5000,$U167,SummaryHelper!$C$2:$C$5000,$V167))</f>
        <v/>
      </c>
      <c r="Y167" s="9" t="str">
        <f>IF($U167="","",SUMIFS(SummaryHelper!$F$2:$F$5000,SummaryHelper!$A$2:$A$5000,$T167,SummaryHelper!$B$2:$B$5000,$U167,SummaryHelper!$C$2:$C$5000,$V167))</f>
        <v/>
      </c>
      <c r="Z167" s="9" t="str">
        <f>IF($U167="","",SUMIFS(SummaryHelper!$G$2:$G$5000,SummaryHelper!$A$2:$A$5000,$T167,SummaryHelper!$B$2:$B$5000,$U167,SummaryHelper!$C$2:$C$5000,$V167))</f>
        <v/>
      </c>
      <c r="AB167" s="9" t="str">
        <f t="shared" si="32"/>
        <v/>
      </c>
      <c r="AC167" s="9" t="str">
        <f t="shared" si="33"/>
        <v/>
      </c>
      <c r="AH167" t="str">
        <f>IF($AF167="","",IFERROR(SUMIFS(SummaryHelper!$H$2:$H$5000,SummaryHelper!$A$2:$A$5000,$AE167,SummaryHelper!$B$2:$B$5000,$AF167,SummaryHelper!$C$2:$C$5000,$AG167)/SUMIFS(SummaryHelper!$G$2:$G$5000,SummaryHelper!$A$2:$A$5000,$AE167,SummaryHelper!$B$2:$B$5000,$AF167,SummaryHelper!$C$2:$C$5000,$AG167),""))</f>
        <v/>
      </c>
      <c r="AI167" t="str">
        <f>IF($AF167="","",SUMIFS(SummaryHelper!$E$2:$E$5000,SummaryHelper!$A$2:$A$5000,$AE167,SummaryHelper!$B$2:$B$5000,$AF167,SummaryHelper!$C$2:$C$5000,$AG167))</f>
        <v/>
      </c>
      <c r="AJ167" t="str">
        <f>IF($AF167="","",SUMIFS(SummaryHelper!$F$2:$F$5000,SummaryHelper!$A$2:$A$5000,$AE167,SummaryHelper!$B$2:$B$5000,$AF167,SummaryHelper!$C$2:$C$5000,$AG167))</f>
        <v/>
      </c>
      <c r="AK167" t="str">
        <f>IF($AF167="","",SUMIFS(SummaryHelper!$G$2:$G$5000,SummaryHelper!$A$2:$A$5000,$AE167,SummaryHelper!$B$2:$B$5000,$AF167,SummaryHelper!$C$2:$C$5000,$AG167))</f>
        <v/>
      </c>
      <c r="AM167" t="str">
        <f t="shared" si="34"/>
        <v/>
      </c>
      <c r="AN167" t="str">
        <f t="shared" si="35"/>
        <v/>
      </c>
    </row>
    <row r="168" spans="1:40" x14ac:dyDescent="0.25">
      <c r="A168" s="12"/>
      <c r="B168" s="23" t="str">
        <f t="shared" si="36"/>
        <v/>
      </c>
      <c r="C168" s="9" t="str">
        <f t="shared" ca="1" si="25"/>
        <v/>
      </c>
      <c r="D168" s="9" t="str">
        <f t="shared" ca="1" si="26"/>
        <v/>
      </c>
      <c r="E168" s="9" t="str">
        <f t="shared" ca="1" si="27"/>
        <v/>
      </c>
      <c r="F168" s="9" t="str">
        <f t="shared" si="28"/>
        <v/>
      </c>
      <c r="G168" s="9">
        <f t="shared" si="29"/>
        <v>0</v>
      </c>
      <c r="L168" s="9" t="str">
        <f>IF($J168="","",IFERROR(SUMIFS(SummaryHelper!$H$2:$H$5000,SummaryHelper!$A$2:$A$5000,$I168,SummaryHelper!$B$2:$B$5000,$J168,SummaryHelper!$C$2:$C$5000,$K168)/SUMIFS(SummaryHelper!$G$2:$G$5000,SummaryHelper!$A$2:$A$5000,$I168,SummaryHelper!$B$2:$B$5000,$J168,SummaryHelper!$C$2:$C$5000,$K168),""))</f>
        <v/>
      </c>
      <c r="M168" s="9" t="str">
        <f>IF($J168="","",SUMIFS(SummaryHelper!$E$2:$E$5000,SummaryHelper!$A$2:$A$5000,$I168,SummaryHelper!$B$2:$B$5000,$J168,SummaryHelper!$C$2:$C$5000,$K168))</f>
        <v/>
      </c>
      <c r="N168" s="9" t="str">
        <f>IF($J168="","",SUMIFS(SummaryHelper!$F$2:$F$5000,SummaryHelper!$A$2:$A$5000,$I168,SummaryHelper!$B$2:$B$5000,$J168,SummaryHelper!$C$2:$C$5000,$K168))</f>
        <v/>
      </c>
      <c r="O168" s="9" t="str">
        <f>IF($J168="","",SUMIFS(SummaryHelper!$G$2:$G$5000,SummaryHelper!$A$2:$A$5000,$I168,SummaryHelper!$B$2:$B$5000,$J168,SummaryHelper!$C$2:$C$5000,$K168))</f>
        <v/>
      </c>
      <c r="Q168" s="9" t="str">
        <f t="shared" si="30"/>
        <v/>
      </c>
      <c r="R168" s="9" t="str">
        <f t="shared" si="31"/>
        <v/>
      </c>
      <c r="W168" s="9" t="str">
        <f>IF($U168="","",IFERROR(SUMIFS(SummaryHelper!$H$2:$H$5000,SummaryHelper!$A$2:$A$5000,$T168,SummaryHelper!$B$2:$B$5000,$U168,SummaryHelper!$C$2:$C$5000,$V168)/SUMIFS(SummaryHelper!$G$2:$G$5000,SummaryHelper!$A$2:$A$5000,$T168,SummaryHelper!$B$2:$B$5000,$U168,SummaryHelper!$C$2:$C$5000,$V168),""))</f>
        <v/>
      </c>
      <c r="X168" s="9" t="str">
        <f>IF($U168="","",SUMIFS(SummaryHelper!$E$2:$E$5000,SummaryHelper!$A$2:$A$5000,$T168,SummaryHelper!$B$2:$B$5000,$U168,SummaryHelper!$C$2:$C$5000,$V168))</f>
        <v/>
      </c>
      <c r="Y168" s="9" t="str">
        <f>IF($U168="","",SUMIFS(SummaryHelper!$F$2:$F$5000,SummaryHelper!$A$2:$A$5000,$T168,SummaryHelper!$B$2:$B$5000,$U168,SummaryHelper!$C$2:$C$5000,$V168))</f>
        <v/>
      </c>
      <c r="Z168" s="9" t="str">
        <f>IF($U168="","",SUMIFS(SummaryHelper!$G$2:$G$5000,SummaryHelper!$A$2:$A$5000,$T168,SummaryHelper!$B$2:$B$5000,$U168,SummaryHelper!$C$2:$C$5000,$V168))</f>
        <v/>
      </c>
      <c r="AB168" s="9" t="str">
        <f t="shared" si="32"/>
        <v/>
      </c>
      <c r="AC168" s="9" t="str">
        <f t="shared" si="33"/>
        <v/>
      </c>
      <c r="AH168" t="str">
        <f>IF($AF168="","",IFERROR(SUMIFS(SummaryHelper!$H$2:$H$5000,SummaryHelper!$A$2:$A$5000,$AE168,SummaryHelper!$B$2:$B$5000,$AF168,SummaryHelper!$C$2:$C$5000,$AG168)/SUMIFS(SummaryHelper!$G$2:$G$5000,SummaryHelper!$A$2:$A$5000,$AE168,SummaryHelper!$B$2:$B$5000,$AF168,SummaryHelper!$C$2:$C$5000,$AG168),""))</f>
        <v/>
      </c>
      <c r="AI168" t="str">
        <f>IF($AF168="","",SUMIFS(SummaryHelper!$E$2:$E$5000,SummaryHelper!$A$2:$A$5000,$AE168,SummaryHelper!$B$2:$B$5000,$AF168,SummaryHelper!$C$2:$C$5000,$AG168))</f>
        <v/>
      </c>
      <c r="AJ168" t="str">
        <f>IF($AF168="","",SUMIFS(SummaryHelper!$F$2:$F$5000,SummaryHelper!$A$2:$A$5000,$AE168,SummaryHelper!$B$2:$B$5000,$AF168,SummaryHelper!$C$2:$C$5000,$AG168))</f>
        <v/>
      </c>
      <c r="AK168" t="str">
        <f>IF($AF168="","",SUMIFS(SummaryHelper!$G$2:$G$5000,SummaryHelper!$A$2:$A$5000,$AE168,SummaryHelper!$B$2:$B$5000,$AF168,SummaryHelper!$C$2:$C$5000,$AG168))</f>
        <v/>
      </c>
      <c r="AM168" t="str">
        <f t="shared" si="34"/>
        <v/>
      </c>
      <c r="AN168" t="str">
        <f t="shared" si="35"/>
        <v/>
      </c>
    </row>
    <row r="169" spans="1:40" x14ac:dyDescent="0.25">
      <c r="A169" s="12"/>
      <c r="B169" s="23" t="str">
        <f t="shared" si="36"/>
        <v/>
      </c>
      <c r="C169" s="9" t="str">
        <f t="shared" ca="1" si="25"/>
        <v/>
      </c>
      <c r="D169" s="9" t="str">
        <f t="shared" ca="1" si="26"/>
        <v/>
      </c>
      <c r="E169" s="9" t="str">
        <f t="shared" ca="1" si="27"/>
        <v/>
      </c>
      <c r="F169" s="9" t="str">
        <f t="shared" si="28"/>
        <v/>
      </c>
      <c r="G169" s="9">
        <f t="shared" si="29"/>
        <v>0</v>
      </c>
      <c r="L169" s="9" t="str">
        <f>IF($J169="","",IFERROR(SUMIFS(SummaryHelper!$H$2:$H$5000,SummaryHelper!$A$2:$A$5000,$I169,SummaryHelper!$B$2:$B$5000,$J169,SummaryHelper!$C$2:$C$5000,$K169)/SUMIFS(SummaryHelper!$G$2:$G$5000,SummaryHelper!$A$2:$A$5000,$I169,SummaryHelper!$B$2:$B$5000,$J169,SummaryHelper!$C$2:$C$5000,$K169),""))</f>
        <v/>
      </c>
      <c r="M169" s="9" t="str">
        <f>IF($J169="","",SUMIFS(SummaryHelper!$E$2:$E$5000,SummaryHelper!$A$2:$A$5000,$I169,SummaryHelper!$B$2:$B$5000,$J169,SummaryHelper!$C$2:$C$5000,$K169))</f>
        <v/>
      </c>
      <c r="N169" s="9" t="str">
        <f>IF($J169="","",SUMIFS(SummaryHelper!$F$2:$F$5000,SummaryHelper!$A$2:$A$5000,$I169,SummaryHelper!$B$2:$B$5000,$J169,SummaryHelper!$C$2:$C$5000,$K169))</f>
        <v/>
      </c>
      <c r="O169" s="9" t="str">
        <f>IF($J169="","",SUMIFS(SummaryHelper!$G$2:$G$5000,SummaryHelper!$A$2:$A$5000,$I169,SummaryHelper!$B$2:$B$5000,$J169,SummaryHelper!$C$2:$C$5000,$K169))</f>
        <v/>
      </c>
      <c r="Q169" s="9" t="str">
        <f t="shared" si="30"/>
        <v/>
      </c>
      <c r="R169" s="9" t="str">
        <f t="shared" si="31"/>
        <v/>
      </c>
      <c r="W169" s="9" t="str">
        <f>IF($U169="","",IFERROR(SUMIFS(SummaryHelper!$H$2:$H$5000,SummaryHelper!$A$2:$A$5000,$T169,SummaryHelper!$B$2:$B$5000,$U169,SummaryHelper!$C$2:$C$5000,$V169)/SUMIFS(SummaryHelper!$G$2:$G$5000,SummaryHelper!$A$2:$A$5000,$T169,SummaryHelper!$B$2:$B$5000,$U169,SummaryHelper!$C$2:$C$5000,$V169),""))</f>
        <v/>
      </c>
      <c r="X169" s="9" t="str">
        <f>IF($U169="","",SUMIFS(SummaryHelper!$E$2:$E$5000,SummaryHelper!$A$2:$A$5000,$T169,SummaryHelper!$B$2:$B$5000,$U169,SummaryHelper!$C$2:$C$5000,$V169))</f>
        <v/>
      </c>
      <c r="Y169" s="9" t="str">
        <f>IF($U169="","",SUMIFS(SummaryHelper!$F$2:$F$5000,SummaryHelper!$A$2:$A$5000,$T169,SummaryHelper!$B$2:$B$5000,$U169,SummaryHelper!$C$2:$C$5000,$V169))</f>
        <v/>
      </c>
      <c r="Z169" s="9" t="str">
        <f>IF($U169="","",SUMIFS(SummaryHelper!$G$2:$G$5000,SummaryHelper!$A$2:$A$5000,$T169,SummaryHelper!$B$2:$B$5000,$U169,SummaryHelper!$C$2:$C$5000,$V169))</f>
        <v/>
      </c>
      <c r="AB169" s="9" t="str">
        <f t="shared" si="32"/>
        <v/>
      </c>
      <c r="AC169" s="9" t="str">
        <f t="shared" si="33"/>
        <v/>
      </c>
      <c r="AH169" t="str">
        <f>IF($AF169="","",IFERROR(SUMIFS(SummaryHelper!$H$2:$H$5000,SummaryHelper!$A$2:$A$5000,$AE169,SummaryHelper!$B$2:$B$5000,$AF169,SummaryHelper!$C$2:$C$5000,$AG169)/SUMIFS(SummaryHelper!$G$2:$G$5000,SummaryHelper!$A$2:$A$5000,$AE169,SummaryHelper!$B$2:$B$5000,$AF169,SummaryHelper!$C$2:$C$5000,$AG169),""))</f>
        <v/>
      </c>
      <c r="AI169" t="str">
        <f>IF($AF169="","",SUMIFS(SummaryHelper!$E$2:$E$5000,SummaryHelper!$A$2:$A$5000,$AE169,SummaryHelper!$B$2:$B$5000,$AF169,SummaryHelper!$C$2:$C$5000,$AG169))</f>
        <v/>
      </c>
      <c r="AJ169" t="str">
        <f>IF($AF169="","",SUMIFS(SummaryHelper!$F$2:$F$5000,SummaryHelper!$A$2:$A$5000,$AE169,SummaryHelper!$B$2:$B$5000,$AF169,SummaryHelper!$C$2:$C$5000,$AG169))</f>
        <v/>
      </c>
      <c r="AK169" t="str">
        <f>IF($AF169="","",SUMIFS(SummaryHelper!$G$2:$G$5000,SummaryHelper!$A$2:$A$5000,$AE169,SummaryHelper!$B$2:$B$5000,$AF169,SummaryHelper!$C$2:$C$5000,$AG169))</f>
        <v/>
      </c>
      <c r="AM169" t="str">
        <f t="shared" si="34"/>
        <v/>
      </c>
      <c r="AN169" t="str">
        <f t="shared" si="35"/>
        <v/>
      </c>
    </row>
    <row r="170" spans="1:40" x14ac:dyDescent="0.25">
      <c r="A170" s="12"/>
      <c r="B170" s="23" t="str">
        <f t="shared" si="36"/>
        <v/>
      </c>
      <c r="C170" s="9" t="str">
        <f t="shared" ca="1" si="25"/>
        <v/>
      </c>
      <c r="D170" s="9" t="str">
        <f t="shared" ca="1" si="26"/>
        <v/>
      </c>
      <c r="E170" s="9" t="str">
        <f t="shared" ca="1" si="27"/>
        <v/>
      </c>
      <c r="F170" s="9" t="str">
        <f t="shared" si="28"/>
        <v/>
      </c>
      <c r="G170" s="9">
        <f t="shared" si="29"/>
        <v>0</v>
      </c>
      <c r="L170" s="9" t="str">
        <f>IF($J170="","",IFERROR(SUMIFS(SummaryHelper!$H$2:$H$5000,SummaryHelper!$A$2:$A$5000,$I170,SummaryHelper!$B$2:$B$5000,$J170,SummaryHelper!$C$2:$C$5000,$K170)/SUMIFS(SummaryHelper!$G$2:$G$5000,SummaryHelper!$A$2:$A$5000,$I170,SummaryHelper!$B$2:$B$5000,$J170,SummaryHelper!$C$2:$C$5000,$K170),""))</f>
        <v/>
      </c>
      <c r="M170" s="9" t="str">
        <f>IF($J170="","",SUMIFS(SummaryHelper!$E$2:$E$5000,SummaryHelper!$A$2:$A$5000,$I170,SummaryHelper!$B$2:$B$5000,$J170,SummaryHelper!$C$2:$C$5000,$K170))</f>
        <v/>
      </c>
      <c r="N170" s="9" t="str">
        <f>IF($J170="","",SUMIFS(SummaryHelper!$F$2:$F$5000,SummaryHelper!$A$2:$A$5000,$I170,SummaryHelper!$B$2:$B$5000,$J170,SummaryHelper!$C$2:$C$5000,$K170))</f>
        <v/>
      </c>
      <c r="O170" s="9" t="str">
        <f>IF($J170="","",SUMIFS(SummaryHelper!$G$2:$G$5000,SummaryHelper!$A$2:$A$5000,$I170,SummaryHelper!$B$2:$B$5000,$J170,SummaryHelper!$C$2:$C$5000,$K170))</f>
        <v/>
      </c>
      <c r="Q170" s="9" t="str">
        <f t="shared" si="30"/>
        <v/>
      </c>
      <c r="R170" s="9" t="str">
        <f t="shared" si="31"/>
        <v/>
      </c>
      <c r="W170" s="9" t="str">
        <f>IF($U170="","",IFERROR(SUMIFS(SummaryHelper!$H$2:$H$5000,SummaryHelper!$A$2:$A$5000,$T170,SummaryHelper!$B$2:$B$5000,$U170,SummaryHelper!$C$2:$C$5000,$V170)/SUMIFS(SummaryHelper!$G$2:$G$5000,SummaryHelper!$A$2:$A$5000,$T170,SummaryHelper!$B$2:$B$5000,$U170,SummaryHelper!$C$2:$C$5000,$V170),""))</f>
        <v/>
      </c>
      <c r="X170" s="9" t="str">
        <f>IF($U170="","",SUMIFS(SummaryHelper!$E$2:$E$5000,SummaryHelper!$A$2:$A$5000,$T170,SummaryHelper!$B$2:$B$5000,$U170,SummaryHelper!$C$2:$C$5000,$V170))</f>
        <v/>
      </c>
      <c r="Y170" s="9" t="str">
        <f>IF($U170="","",SUMIFS(SummaryHelper!$F$2:$F$5000,SummaryHelper!$A$2:$A$5000,$T170,SummaryHelper!$B$2:$B$5000,$U170,SummaryHelper!$C$2:$C$5000,$V170))</f>
        <v/>
      </c>
      <c r="Z170" s="9" t="str">
        <f>IF($U170="","",SUMIFS(SummaryHelper!$G$2:$G$5000,SummaryHelper!$A$2:$A$5000,$T170,SummaryHelper!$B$2:$B$5000,$U170,SummaryHelper!$C$2:$C$5000,$V170))</f>
        <v/>
      </c>
      <c r="AB170" s="9" t="str">
        <f t="shared" si="32"/>
        <v/>
      </c>
      <c r="AC170" s="9" t="str">
        <f t="shared" si="33"/>
        <v/>
      </c>
      <c r="AH170" t="str">
        <f>IF($AF170="","",IFERROR(SUMIFS(SummaryHelper!$H$2:$H$5000,SummaryHelper!$A$2:$A$5000,$AE170,SummaryHelper!$B$2:$B$5000,$AF170,SummaryHelper!$C$2:$C$5000,$AG170)/SUMIFS(SummaryHelper!$G$2:$G$5000,SummaryHelper!$A$2:$A$5000,$AE170,SummaryHelper!$B$2:$B$5000,$AF170,SummaryHelper!$C$2:$C$5000,$AG170),""))</f>
        <v/>
      </c>
      <c r="AI170" t="str">
        <f>IF($AF170="","",SUMIFS(SummaryHelper!$E$2:$E$5000,SummaryHelper!$A$2:$A$5000,$AE170,SummaryHelper!$B$2:$B$5000,$AF170,SummaryHelper!$C$2:$C$5000,$AG170))</f>
        <v/>
      </c>
      <c r="AJ170" t="str">
        <f>IF($AF170="","",SUMIFS(SummaryHelper!$F$2:$F$5000,SummaryHelper!$A$2:$A$5000,$AE170,SummaryHelper!$B$2:$B$5000,$AF170,SummaryHelper!$C$2:$C$5000,$AG170))</f>
        <v/>
      </c>
      <c r="AK170" t="str">
        <f>IF($AF170="","",SUMIFS(SummaryHelper!$G$2:$G$5000,SummaryHelper!$A$2:$A$5000,$AE170,SummaryHelper!$B$2:$B$5000,$AF170,SummaryHelper!$C$2:$C$5000,$AG170))</f>
        <v/>
      </c>
      <c r="AM170" t="str">
        <f t="shared" si="34"/>
        <v/>
      </c>
      <c r="AN170" t="str">
        <f t="shared" si="35"/>
        <v/>
      </c>
    </row>
    <row r="171" spans="1:40" x14ac:dyDescent="0.25">
      <c r="A171" s="12"/>
      <c r="B171" s="23" t="str">
        <f t="shared" si="36"/>
        <v/>
      </c>
      <c r="C171" s="9" t="str">
        <f t="shared" ca="1" si="25"/>
        <v/>
      </c>
      <c r="D171" s="9" t="str">
        <f t="shared" ca="1" si="26"/>
        <v/>
      </c>
      <c r="E171" s="9" t="str">
        <f t="shared" ca="1" si="27"/>
        <v/>
      </c>
      <c r="F171" s="9" t="str">
        <f t="shared" si="28"/>
        <v/>
      </c>
      <c r="G171" s="9">
        <f t="shared" si="29"/>
        <v>0</v>
      </c>
      <c r="L171" s="9" t="str">
        <f>IF($J171="","",IFERROR(SUMIFS(SummaryHelper!$H$2:$H$5000,SummaryHelper!$A$2:$A$5000,$I171,SummaryHelper!$B$2:$B$5000,$J171,SummaryHelper!$C$2:$C$5000,$K171)/SUMIFS(SummaryHelper!$G$2:$G$5000,SummaryHelper!$A$2:$A$5000,$I171,SummaryHelper!$B$2:$B$5000,$J171,SummaryHelper!$C$2:$C$5000,$K171),""))</f>
        <v/>
      </c>
      <c r="M171" s="9" t="str">
        <f>IF($J171="","",SUMIFS(SummaryHelper!$E$2:$E$5000,SummaryHelper!$A$2:$A$5000,$I171,SummaryHelper!$B$2:$B$5000,$J171,SummaryHelper!$C$2:$C$5000,$K171))</f>
        <v/>
      </c>
      <c r="N171" s="9" t="str">
        <f>IF($J171="","",SUMIFS(SummaryHelper!$F$2:$F$5000,SummaryHelper!$A$2:$A$5000,$I171,SummaryHelper!$B$2:$B$5000,$J171,SummaryHelper!$C$2:$C$5000,$K171))</f>
        <v/>
      </c>
      <c r="O171" s="9" t="str">
        <f>IF($J171="","",SUMIFS(SummaryHelper!$G$2:$G$5000,SummaryHelper!$A$2:$A$5000,$I171,SummaryHelper!$B$2:$B$5000,$J171,SummaryHelper!$C$2:$C$5000,$K171))</f>
        <v/>
      </c>
      <c r="Q171" s="9" t="str">
        <f t="shared" si="30"/>
        <v/>
      </c>
      <c r="R171" s="9" t="str">
        <f t="shared" si="31"/>
        <v/>
      </c>
      <c r="W171" s="9" t="str">
        <f>IF($U171="","",IFERROR(SUMIFS(SummaryHelper!$H$2:$H$5000,SummaryHelper!$A$2:$A$5000,$T171,SummaryHelper!$B$2:$B$5000,$U171,SummaryHelper!$C$2:$C$5000,$V171)/SUMIFS(SummaryHelper!$G$2:$G$5000,SummaryHelper!$A$2:$A$5000,$T171,SummaryHelper!$B$2:$B$5000,$U171,SummaryHelper!$C$2:$C$5000,$V171),""))</f>
        <v/>
      </c>
      <c r="X171" s="9" t="str">
        <f>IF($U171="","",SUMIFS(SummaryHelper!$E$2:$E$5000,SummaryHelper!$A$2:$A$5000,$T171,SummaryHelper!$B$2:$B$5000,$U171,SummaryHelper!$C$2:$C$5000,$V171))</f>
        <v/>
      </c>
      <c r="Y171" s="9" t="str">
        <f>IF($U171="","",SUMIFS(SummaryHelper!$F$2:$F$5000,SummaryHelper!$A$2:$A$5000,$T171,SummaryHelper!$B$2:$B$5000,$U171,SummaryHelper!$C$2:$C$5000,$V171))</f>
        <v/>
      </c>
      <c r="Z171" s="9" t="str">
        <f>IF($U171="","",SUMIFS(SummaryHelper!$G$2:$G$5000,SummaryHelper!$A$2:$A$5000,$T171,SummaryHelper!$B$2:$B$5000,$U171,SummaryHelper!$C$2:$C$5000,$V171))</f>
        <v/>
      </c>
      <c r="AB171" s="9" t="str">
        <f t="shared" si="32"/>
        <v/>
      </c>
      <c r="AC171" s="9" t="str">
        <f t="shared" si="33"/>
        <v/>
      </c>
      <c r="AH171" t="str">
        <f>IF($AF171="","",IFERROR(SUMIFS(SummaryHelper!$H$2:$H$5000,SummaryHelper!$A$2:$A$5000,$AE171,SummaryHelper!$B$2:$B$5000,$AF171,SummaryHelper!$C$2:$C$5000,$AG171)/SUMIFS(SummaryHelper!$G$2:$G$5000,SummaryHelper!$A$2:$A$5000,$AE171,SummaryHelper!$B$2:$B$5000,$AF171,SummaryHelper!$C$2:$C$5000,$AG171),""))</f>
        <v/>
      </c>
      <c r="AI171" t="str">
        <f>IF($AF171="","",SUMIFS(SummaryHelper!$E$2:$E$5000,SummaryHelper!$A$2:$A$5000,$AE171,SummaryHelper!$B$2:$B$5000,$AF171,SummaryHelper!$C$2:$C$5000,$AG171))</f>
        <v/>
      </c>
      <c r="AJ171" t="str">
        <f>IF($AF171="","",SUMIFS(SummaryHelper!$F$2:$F$5000,SummaryHelper!$A$2:$A$5000,$AE171,SummaryHelper!$B$2:$B$5000,$AF171,SummaryHelper!$C$2:$C$5000,$AG171))</f>
        <v/>
      </c>
      <c r="AK171" t="str">
        <f>IF($AF171="","",SUMIFS(SummaryHelper!$G$2:$G$5000,SummaryHelper!$A$2:$A$5000,$AE171,SummaryHelper!$B$2:$B$5000,$AF171,SummaryHelper!$C$2:$C$5000,$AG171))</f>
        <v/>
      </c>
      <c r="AM171" t="str">
        <f t="shared" si="34"/>
        <v/>
      </c>
      <c r="AN171" t="str">
        <f t="shared" si="35"/>
        <v/>
      </c>
    </row>
    <row r="172" spans="1:40" x14ac:dyDescent="0.25">
      <c r="A172" s="12"/>
      <c r="B172" s="23" t="str">
        <f t="shared" si="36"/>
        <v/>
      </c>
      <c r="C172" s="9" t="str">
        <f t="shared" ca="1" si="25"/>
        <v/>
      </c>
      <c r="D172" s="9" t="str">
        <f t="shared" ca="1" si="26"/>
        <v/>
      </c>
      <c r="E172" s="9" t="str">
        <f t="shared" ca="1" si="27"/>
        <v/>
      </c>
      <c r="F172" s="9" t="str">
        <f t="shared" si="28"/>
        <v/>
      </c>
      <c r="G172" s="9">
        <f t="shared" si="29"/>
        <v>0</v>
      </c>
      <c r="L172" s="9" t="str">
        <f>IF($J172="","",IFERROR(SUMIFS(SummaryHelper!$H$2:$H$5000,SummaryHelper!$A$2:$A$5000,$I172,SummaryHelper!$B$2:$B$5000,$J172,SummaryHelper!$C$2:$C$5000,$K172)/SUMIFS(SummaryHelper!$G$2:$G$5000,SummaryHelper!$A$2:$A$5000,$I172,SummaryHelper!$B$2:$B$5000,$J172,SummaryHelper!$C$2:$C$5000,$K172),""))</f>
        <v/>
      </c>
      <c r="M172" s="9" t="str">
        <f>IF($J172="","",SUMIFS(SummaryHelper!$E$2:$E$5000,SummaryHelper!$A$2:$A$5000,$I172,SummaryHelper!$B$2:$B$5000,$J172,SummaryHelper!$C$2:$C$5000,$K172))</f>
        <v/>
      </c>
      <c r="N172" s="9" t="str">
        <f>IF($J172="","",SUMIFS(SummaryHelper!$F$2:$F$5000,SummaryHelper!$A$2:$A$5000,$I172,SummaryHelper!$B$2:$B$5000,$J172,SummaryHelper!$C$2:$C$5000,$K172))</f>
        <v/>
      </c>
      <c r="O172" s="9" t="str">
        <f>IF($J172="","",SUMIFS(SummaryHelper!$G$2:$G$5000,SummaryHelper!$A$2:$A$5000,$I172,SummaryHelper!$B$2:$B$5000,$J172,SummaryHelper!$C$2:$C$5000,$K172))</f>
        <v/>
      </c>
      <c r="Q172" s="9" t="str">
        <f t="shared" si="30"/>
        <v/>
      </c>
      <c r="R172" s="9" t="str">
        <f t="shared" si="31"/>
        <v/>
      </c>
      <c r="W172" s="9" t="str">
        <f>IF($U172="","",IFERROR(SUMIFS(SummaryHelper!$H$2:$H$5000,SummaryHelper!$A$2:$A$5000,$T172,SummaryHelper!$B$2:$B$5000,$U172,SummaryHelper!$C$2:$C$5000,$V172)/SUMIFS(SummaryHelper!$G$2:$G$5000,SummaryHelper!$A$2:$A$5000,$T172,SummaryHelper!$B$2:$B$5000,$U172,SummaryHelper!$C$2:$C$5000,$V172),""))</f>
        <v/>
      </c>
      <c r="X172" s="9" t="str">
        <f>IF($U172="","",SUMIFS(SummaryHelper!$E$2:$E$5000,SummaryHelper!$A$2:$A$5000,$T172,SummaryHelper!$B$2:$B$5000,$U172,SummaryHelper!$C$2:$C$5000,$V172))</f>
        <v/>
      </c>
      <c r="Y172" s="9" t="str">
        <f>IF($U172="","",SUMIFS(SummaryHelper!$F$2:$F$5000,SummaryHelper!$A$2:$A$5000,$T172,SummaryHelper!$B$2:$B$5000,$U172,SummaryHelper!$C$2:$C$5000,$V172))</f>
        <v/>
      </c>
      <c r="Z172" s="9" t="str">
        <f>IF($U172="","",SUMIFS(SummaryHelper!$G$2:$G$5000,SummaryHelper!$A$2:$A$5000,$T172,SummaryHelper!$B$2:$B$5000,$U172,SummaryHelper!$C$2:$C$5000,$V172))</f>
        <v/>
      </c>
      <c r="AB172" s="9" t="str">
        <f t="shared" si="32"/>
        <v/>
      </c>
      <c r="AC172" s="9" t="str">
        <f t="shared" si="33"/>
        <v/>
      </c>
      <c r="AH172" t="str">
        <f>IF($AF172="","",IFERROR(SUMIFS(SummaryHelper!$H$2:$H$5000,SummaryHelper!$A$2:$A$5000,$AE172,SummaryHelper!$B$2:$B$5000,$AF172,SummaryHelper!$C$2:$C$5000,$AG172)/SUMIFS(SummaryHelper!$G$2:$G$5000,SummaryHelper!$A$2:$A$5000,$AE172,SummaryHelper!$B$2:$B$5000,$AF172,SummaryHelper!$C$2:$C$5000,$AG172),""))</f>
        <v/>
      </c>
      <c r="AI172" t="str">
        <f>IF($AF172="","",SUMIFS(SummaryHelper!$E$2:$E$5000,SummaryHelper!$A$2:$A$5000,$AE172,SummaryHelper!$B$2:$B$5000,$AF172,SummaryHelper!$C$2:$C$5000,$AG172))</f>
        <v/>
      </c>
      <c r="AJ172" t="str">
        <f>IF($AF172="","",SUMIFS(SummaryHelper!$F$2:$F$5000,SummaryHelper!$A$2:$A$5000,$AE172,SummaryHelper!$B$2:$B$5000,$AF172,SummaryHelper!$C$2:$C$5000,$AG172))</f>
        <v/>
      </c>
      <c r="AK172" t="str">
        <f>IF($AF172="","",SUMIFS(SummaryHelper!$G$2:$G$5000,SummaryHelper!$A$2:$A$5000,$AE172,SummaryHelper!$B$2:$B$5000,$AF172,SummaryHelper!$C$2:$C$5000,$AG172))</f>
        <v/>
      </c>
      <c r="AM172" t="str">
        <f t="shared" si="34"/>
        <v/>
      </c>
      <c r="AN172" t="str">
        <f t="shared" si="35"/>
        <v/>
      </c>
    </row>
    <row r="173" spans="1:40" x14ac:dyDescent="0.25">
      <c r="A173" s="12"/>
      <c r="B173" s="23" t="str">
        <f t="shared" si="36"/>
        <v/>
      </c>
      <c r="C173" s="9" t="str">
        <f t="shared" ca="1" si="25"/>
        <v/>
      </c>
      <c r="D173" s="9" t="str">
        <f t="shared" ca="1" si="26"/>
        <v/>
      </c>
      <c r="E173" s="9" t="str">
        <f t="shared" ca="1" si="27"/>
        <v/>
      </c>
      <c r="F173" s="9" t="str">
        <f t="shared" si="28"/>
        <v/>
      </c>
      <c r="G173" s="9">
        <f t="shared" si="29"/>
        <v>0</v>
      </c>
      <c r="L173" s="9" t="str">
        <f>IF($J173="","",IFERROR(SUMIFS(SummaryHelper!$H$2:$H$5000,SummaryHelper!$A$2:$A$5000,$I173,SummaryHelper!$B$2:$B$5000,$J173,SummaryHelper!$C$2:$C$5000,$K173)/SUMIFS(SummaryHelper!$G$2:$G$5000,SummaryHelper!$A$2:$A$5000,$I173,SummaryHelper!$B$2:$B$5000,$J173,SummaryHelper!$C$2:$C$5000,$K173),""))</f>
        <v/>
      </c>
      <c r="M173" s="9" t="str">
        <f>IF($J173="","",SUMIFS(SummaryHelper!$E$2:$E$5000,SummaryHelper!$A$2:$A$5000,$I173,SummaryHelper!$B$2:$B$5000,$J173,SummaryHelper!$C$2:$C$5000,$K173))</f>
        <v/>
      </c>
      <c r="N173" s="9" t="str">
        <f>IF($J173="","",SUMIFS(SummaryHelper!$F$2:$F$5000,SummaryHelper!$A$2:$A$5000,$I173,SummaryHelper!$B$2:$B$5000,$J173,SummaryHelper!$C$2:$C$5000,$K173))</f>
        <v/>
      </c>
      <c r="O173" s="9" t="str">
        <f>IF($J173="","",SUMIFS(SummaryHelper!$G$2:$G$5000,SummaryHelper!$A$2:$A$5000,$I173,SummaryHelper!$B$2:$B$5000,$J173,SummaryHelper!$C$2:$C$5000,$K173))</f>
        <v/>
      </c>
      <c r="Q173" s="9" t="str">
        <f t="shared" si="30"/>
        <v/>
      </c>
      <c r="R173" s="9" t="str">
        <f t="shared" si="31"/>
        <v/>
      </c>
      <c r="W173" s="9" t="str">
        <f>IF($U173="","",IFERROR(SUMIFS(SummaryHelper!$H$2:$H$5000,SummaryHelper!$A$2:$A$5000,$T173,SummaryHelper!$B$2:$B$5000,$U173,SummaryHelper!$C$2:$C$5000,$V173)/SUMIFS(SummaryHelper!$G$2:$G$5000,SummaryHelper!$A$2:$A$5000,$T173,SummaryHelper!$B$2:$B$5000,$U173,SummaryHelper!$C$2:$C$5000,$V173),""))</f>
        <v/>
      </c>
      <c r="X173" s="9" t="str">
        <f>IF($U173="","",SUMIFS(SummaryHelper!$E$2:$E$5000,SummaryHelper!$A$2:$A$5000,$T173,SummaryHelper!$B$2:$B$5000,$U173,SummaryHelper!$C$2:$C$5000,$V173))</f>
        <v/>
      </c>
      <c r="Y173" s="9" t="str">
        <f>IF($U173="","",SUMIFS(SummaryHelper!$F$2:$F$5000,SummaryHelper!$A$2:$A$5000,$T173,SummaryHelper!$B$2:$B$5000,$U173,SummaryHelper!$C$2:$C$5000,$V173))</f>
        <v/>
      </c>
      <c r="Z173" s="9" t="str">
        <f>IF($U173="","",SUMIFS(SummaryHelper!$G$2:$G$5000,SummaryHelper!$A$2:$A$5000,$T173,SummaryHelper!$B$2:$B$5000,$U173,SummaryHelper!$C$2:$C$5000,$V173))</f>
        <v/>
      </c>
      <c r="AB173" s="9" t="str">
        <f t="shared" si="32"/>
        <v/>
      </c>
      <c r="AC173" s="9" t="str">
        <f t="shared" si="33"/>
        <v/>
      </c>
      <c r="AH173" t="str">
        <f>IF($AF173="","",IFERROR(SUMIFS(SummaryHelper!$H$2:$H$5000,SummaryHelper!$A$2:$A$5000,$AE173,SummaryHelper!$B$2:$B$5000,$AF173,SummaryHelper!$C$2:$C$5000,$AG173)/SUMIFS(SummaryHelper!$G$2:$G$5000,SummaryHelper!$A$2:$A$5000,$AE173,SummaryHelper!$B$2:$B$5000,$AF173,SummaryHelper!$C$2:$C$5000,$AG173),""))</f>
        <v/>
      </c>
      <c r="AI173" t="str">
        <f>IF($AF173="","",SUMIFS(SummaryHelper!$E$2:$E$5000,SummaryHelper!$A$2:$A$5000,$AE173,SummaryHelper!$B$2:$B$5000,$AF173,SummaryHelper!$C$2:$C$5000,$AG173))</f>
        <v/>
      </c>
      <c r="AJ173" t="str">
        <f>IF($AF173="","",SUMIFS(SummaryHelper!$F$2:$F$5000,SummaryHelper!$A$2:$A$5000,$AE173,SummaryHelper!$B$2:$B$5000,$AF173,SummaryHelper!$C$2:$C$5000,$AG173))</f>
        <v/>
      </c>
      <c r="AK173" t="str">
        <f>IF($AF173="","",SUMIFS(SummaryHelper!$G$2:$G$5000,SummaryHelper!$A$2:$A$5000,$AE173,SummaryHelper!$B$2:$B$5000,$AF173,SummaryHelper!$C$2:$C$5000,$AG173))</f>
        <v/>
      </c>
      <c r="AM173" t="str">
        <f t="shared" si="34"/>
        <v/>
      </c>
      <c r="AN173" t="str">
        <f t="shared" si="35"/>
        <v/>
      </c>
    </row>
    <row r="174" spans="1:40" x14ac:dyDescent="0.25">
      <c r="A174" s="12"/>
      <c r="B174" s="23" t="str">
        <f t="shared" si="36"/>
        <v/>
      </c>
      <c r="C174" s="9" t="str">
        <f t="shared" ca="1" si="25"/>
        <v/>
      </c>
      <c r="D174" s="9" t="str">
        <f t="shared" ca="1" si="26"/>
        <v/>
      </c>
      <c r="E174" s="9" t="str">
        <f t="shared" ca="1" si="27"/>
        <v/>
      </c>
      <c r="F174" s="9" t="str">
        <f t="shared" si="28"/>
        <v/>
      </c>
      <c r="G174" s="9">
        <f t="shared" si="29"/>
        <v>0</v>
      </c>
      <c r="L174" s="9" t="str">
        <f>IF($J174="","",IFERROR(SUMIFS(SummaryHelper!$H$2:$H$5000,SummaryHelper!$A$2:$A$5000,$I174,SummaryHelper!$B$2:$B$5000,$J174,SummaryHelper!$C$2:$C$5000,$K174)/SUMIFS(SummaryHelper!$G$2:$G$5000,SummaryHelper!$A$2:$A$5000,$I174,SummaryHelper!$B$2:$B$5000,$J174,SummaryHelper!$C$2:$C$5000,$K174),""))</f>
        <v/>
      </c>
      <c r="M174" s="9" t="str">
        <f>IF($J174="","",SUMIFS(SummaryHelper!$E$2:$E$5000,SummaryHelper!$A$2:$A$5000,$I174,SummaryHelper!$B$2:$B$5000,$J174,SummaryHelper!$C$2:$C$5000,$K174))</f>
        <v/>
      </c>
      <c r="N174" s="9" t="str">
        <f>IF($J174="","",SUMIFS(SummaryHelper!$F$2:$F$5000,SummaryHelper!$A$2:$A$5000,$I174,SummaryHelper!$B$2:$B$5000,$J174,SummaryHelper!$C$2:$C$5000,$K174))</f>
        <v/>
      </c>
      <c r="O174" s="9" t="str">
        <f>IF($J174="","",SUMIFS(SummaryHelper!$G$2:$G$5000,SummaryHelper!$A$2:$A$5000,$I174,SummaryHelper!$B$2:$B$5000,$J174,SummaryHelper!$C$2:$C$5000,$K174))</f>
        <v/>
      </c>
      <c r="Q174" s="9" t="str">
        <f t="shared" si="30"/>
        <v/>
      </c>
      <c r="R174" s="9" t="str">
        <f t="shared" si="31"/>
        <v/>
      </c>
      <c r="W174" s="9" t="str">
        <f>IF($U174="","",IFERROR(SUMIFS(SummaryHelper!$H$2:$H$5000,SummaryHelper!$A$2:$A$5000,$T174,SummaryHelper!$B$2:$B$5000,$U174,SummaryHelper!$C$2:$C$5000,$V174)/SUMIFS(SummaryHelper!$G$2:$G$5000,SummaryHelper!$A$2:$A$5000,$T174,SummaryHelper!$B$2:$B$5000,$U174,SummaryHelper!$C$2:$C$5000,$V174),""))</f>
        <v/>
      </c>
      <c r="X174" s="9" t="str">
        <f>IF($U174="","",SUMIFS(SummaryHelper!$E$2:$E$5000,SummaryHelper!$A$2:$A$5000,$T174,SummaryHelper!$B$2:$B$5000,$U174,SummaryHelper!$C$2:$C$5000,$V174))</f>
        <v/>
      </c>
      <c r="Y174" s="9" t="str">
        <f>IF($U174="","",SUMIFS(SummaryHelper!$F$2:$F$5000,SummaryHelper!$A$2:$A$5000,$T174,SummaryHelper!$B$2:$B$5000,$U174,SummaryHelper!$C$2:$C$5000,$V174))</f>
        <v/>
      </c>
      <c r="Z174" s="9" t="str">
        <f>IF($U174="","",SUMIFS(SummaryHelper!$G$2:$G$5000,SummaryHelper!$A$2:$A$5000,$T174,SummaryHelper!$B$2:$B$5000,$U174,SummaryHelper!$C$2:$C$5000,$V174))</f>
        <v/>
      </c>
      <c r="AB174" s="9" t="str">
        <f t="shared" si="32"/>
        <v/>
      </c>
      <c r="AC174" s="9" t="str">
        <f t="shared" si="33"/>
        <v/>
      </c>
      <c r="AH174" t="str">
        <f>IF($AF174="","",IFERROR(SUMIFS(SummaryHelper!$H$2:$H$5000,SummaryHelper!$A$2:$A$5000,$AE174,SummaryHelper!$B$2:$B$5000,$AF174,SummaryHelper!$C$2:$C$5000,$AG174)/SUMIFS(SummaryHelper!$G$2:$G$5000,SummaryHelper!$A$2:$A$5000,$AE174,SummaryHelper!$B$2:$B$5000,$AF174,SummaryHelper!$C$2:$C$5000,$AG174),""))</f>
        <v/>
      </c>
      <c r="AI174" t="str">
        <f>IF($AF174="","",SUMIFS(SummaryHelper!$E$2:$E$5000,SummaryHelper!$A$2:$A$5000,$AE174,SummaryHelper!$B$2:$B$5000,$AF174,SummaryHelper!$C$2:$C$5000,$AG174))</f>
        <v/>
      </c>
      <c r="AJ174" t="str">
        <f>IF($AF174="","",SUMIFS(SummaryHelper!$F$2:$F$5000,SummaryHelper!$A$2:$A$5000,$AE174,SummaryHelper!$B$2:$B$5000,$AF174,SummaryHelper!$C$2:$C$5000,$AG174))</f>
        <v/>
      </c>
      <c r="AK174" t="str">
        <f>IF($AF174="","",SUMIFS(SummaryHelper!$G$2:$G$5000,SummaryHelper!$A$2:$A$5000,$AE174,SummaryHelper!$B$2:$B$5000,$AF174,SummaryHelper!$C$2:$C$5000,$AG174))</f>
        <v/>
      </c>
      <c r="AM174" t="str">
        <f t="shared" si="34"/>
        <v/>
      </c>
      <c r="AN174" t="str">
        <f t="shared" si="35"/>
        <v/>
      </c>
    </row>
    <row r="175" spans="1:40" x14ac:dyDescent="0.25">
      <c r="A175" s="12"/>
      <c r="B175" s="23" t="str">
        <f t="shared" si="36"/>
        <v/>
      </c>
      <c r="C175" s="9" t="str">
        <f t="shared" ca="1" si="25"/>
        <v/>
      </c>
      <c r="D175" s="9" t="str">
        <f t="shared" ca="1" si="26"/>
        <v/>
      </c>
      <c r="E175" s="9" t="str">
        <f t="shared" ca="1" si="27"/>
        <v/>
      </c>
      <c r="F175" s="9" t="str">
        <f t="shared" si="28"/>
        <v/>
      </c>
      <c r="G175" s="9">
        <f t="shared" si="29"/>
        <v>0</v>
      </c>
      <c r="L175" s="9" t="str">
        <f>IF($J175="","",IFERROR(SUMIFS(SummaryHelper!$H$2:$H$5000,SummaryHelper!$A$2:$A$5000,$I175,SummaryHelper!$B$2:$B$5000,$J175,SummaryHelper!$C$2:$C$5000,$K175)/SUMIFS(SummaryHelper!$G$2:$G$5000,SummaryHelper!$A$2:$A$5000,$I175,SummaryHelper!$B$2:$B$5000,$J175,SummaryHelper!$C$2:$C$5000,$K175),""))</f>
        <v/>
      </c>
      <c r="M175" s="9" t="str">
        <f>IF($J175="","",SUMIFS(SummaryHelper!$E$2:$E$5000,SummaryHelper!$A$2:$A$5000,$I175,SummaryHelper!$B$2:$B$5000,$J175,SummaryHelper!$C$2:$C$5000,$K175))</f>
        <v/>
      </c>
      <c r="N175" s="9" t="str">
        <f>IF($J175="","",SUMIFS(SummaryHelper!$F$2:$F$5000,SummaryHelper!$A$2:$A$5000,$I175,SummaryHelper!$B$2:$B$5000,$J175,SummaryHelper!$C$2:$C$5000,$K175))</f>
        <v/>
      </c>
      <c r="O175" s="9" t="str">
        <f>IF($J175="","",SUMIFS(SummaryHelper!$G$2:$G$5000,SummaryHelper!$A$2:$A$5000,$I175,SummaryHelper!$B$2:$B$5000,$J175,SummaryHelper!$C$2:$C$5000,$K175))</f>
        <v/>
      </c>
      <c r="Q175" s="9" t="str">
        <f t="shared" si="30"/>
        <v/>
      </c>
      <c r="R175" s="9" t="str">
        <f t="shared" si="31"/>
        <v/>
      </c>
      <c r="W175" s="9" t="str">
        <f>IF($U175="","",IFERROR(SUMIFS(SummaryHelper!$H$2:$H$5000,SummaryHelper!$A$2:$A$5000,$T175,SummaryHelper!$B$2:$B$5000,$U175,SummaryHelper!$C$2:$C$5000,$V175)/SUMIFS(SummaryHelper!$G$2:$G$5000,SummaryHelper!$A$2:$A$5000,$T175,SummaryHelper!$B$2:$B$5000,$U175,SummaryHelper!$C$2:$C$5000,$V175),""))</f>
        <v/>
      </c>
      <c r="X175" s="9" t="str">
        <f>IF($U175="","",SUMIFS(SummaryHelper!$E$2:$E$5000,SummaryHelper!$A$2:$A$5000,$T175,SummaryHelper!$B$2:$B$5000,$U175,SummaryHelper!$C$2:$C$5000,$V175))</f>
        <v/>
      </c>
      <c r="Y175" s="9" t="str">
        <f>IF($U175="","",SUMIFS(SummaryHelper!$F$2:$F$5000,SummaryHelper!$A$2:$A$5000,$T175,SummaryHelper!$B$2:$B$5000,$U175,SummaryHelper!$C$2:$C$5000,$V175))</f>
        <v/>
      </c>
      <c r="Z175" s="9" t="str">
        <f>IF($U175="","",SUMIFS(SummaryHelper!$G$2:$G$5000,SummaryHelper!$A$2:$A$5000,$T175,SummaryHelper!$B$2:$B$5000,$U175,SummaryHelper!$C$2:$C$5000,$V175))</f>
        <v/>
      </c>
      <c r="AB175" s="9" t="str">
        <f t="shared" si="32"/>
        <v/>
      </c>
      <c r="AC175" s="9" t="str">
        <f t="shared" si="33"/>
        <v/>
      </c>
      <c r="AH175" t="str">
        <f>IF($AF175="","",IFERROR(SUMIFS(SummaryHelper!$H$2:$H$5000,SummaryHelper!$A$2:$A$5000,$AE175,SummaryHelper!$B$2:$B$5000,$AF175,SummaryHelper!$C$2:$C$5000,$AG175)/SUMIFS(SummaryHelper!$G$2:$G$5000,SummaryHelper!$A$2:$A$5000,$AE175,SummaryHelper!$B$2:$B$5000,$AF175,SummaryHelper!$C$2:$C$5000,$AG175),""))</f>
        <v/>
      </c>
      <c r="AI175" t="str">
        <f>IF($AF175="","",SUMIFS(SummaryHelper!$E$2:$E$5000,SummaryHelper!$A$2:$A$5000,$AE175,SummaryHelper!$B$2:$B$5000,$AF175,SummaryHelper!$C$2:$C$5000,$AG175))</f>
        <v/>
      </c>
      <c r="AJ175" t="str">
        <f>IF($AF175="","",SUMIFS(SummaryHelper!$F$2:$F$5000,SummaryHelper!$A$2:$A$5000,$AE175,SummaryHelper!$B$2:$B$5000,$AF175,SummaryHelper!$C$2:$C$5000,$AG175))</f>
        <v/>
      </c>
      <c r="AK175" t="str">
        <f>IF($AF175="","",SUMIFS(SummaryHelper!$G$2:$G$5000,SummaryHelper!$A$2:$A$5000,$AE175,SummaryHelper!$B$2:$B$5000,$AF175,SummaryHelper!$C$2:$C$5000,$AG175))</f>
        <v/>
      </c>
      <c r="AM175" t="str">
        <f t="shared" si="34"/>
        <v/>
      </c>
      <c r="AN175" t="str">
        <f t="shared" si="35"/>
        <v/>
      </c>
    </row>
    <row r="176" spans="1:40" x14ac:dyDescent="0.25">
      <c r="A176" s="12"/>
      <c r="B176" s="23" t="str">
        <f t="shared" si="36"/>
        <v/>
      </c>
      <c r="C176" s="9" t="str">
        <f t="shared" ca="1" si="25"/>
        <v/>
      </c>
      <c r="D176" s="9" t="str">
        <f t="shared" ca="1" si="26"/>
        <v/>
      </c>
      <c r="E176" s="9" t="str">
        <f t="shared" ca="1" si="27"/>
        <v/>
      </c>
      <c r="F176" s="9" t="str">
        <f t="shared" si="28"/>
        <v/>
      </c>
      <c r="G176" s="9">
        <f t="shared" si="29"/>
        <v>0</v>
      </c>
      <c r="L176" s="9" t="str">
        <f>IF($J176="","",IFERROR(SUMIFS(SummaryHelper!$H$2:$H$5000,SummaryHelper!$A$2:$A$5000,$I176,SummaryHelper!$B$2:$B$5000,$J176,SummaryHelper!$C$2:$C$5000,$K176)/SUMIFS(SummaryHelper!$G$2:$G$5000,SummaryHelper!$A$2:$A$5000,$I176,SummaryHelper!$B$2:$B$5000,$J176,SummaryHelper!$C$2:$C$5000,$K176),""))</f>
        <v/>
      </c>
      <c r="M176" s="9" t="str">
        <f>IF($J176="","",SUMIFS(SummaryHelper!$E$2:$E$5000,SummaryHelper!$A$2:$A$5000,$I176,SummaryHelper!$B$2:$B$5000,$J176,SummaryHelper!$C$2:$C$5000,$K176))</f>
        <v/>
      </c>
      <c r="N176" s="9" t="str">
        <f>IF($J176="","",SUMIFS(SummaryHelper!$F$2:$F$5000,SummaryHelper!$A$2:$A$5000,$I176,SummaryHelper!$B$2:$B$5000,$J176,SummaryHelper!$C$2:$C$5000,$K176))</f>
        <v/>
      </c>
      <c r="O176" s="9" t="str">
        <f>IF($J176="","",SUMIFS(SummaryHelper!$G$2:$G$5000,SummaryHelper!$A$2:$A$5000,$I176,SummaryHelper!$B$2:$B$5000,$J176,SummaryHelper!$C$2:$C$5000,$K176))</f>
        <v/>
      </c>
      <c r="Q176" s="9" t="str">
        <f t="shared" si="30"/>
        <v/>
      </c>
      <c r="R176" s="9" t="str">
        <f t="shared" si="31"/>
        <v/>
      </c>
      <c r="W176" s="9" t="str">
        <f>IF($U176="","",IFERROR(SUMIFS(SummaryHelper!$H$2:$H$5000,SummaryHelper!$A$2:$A$5000,$T176,SummaryHelper!$B$2:$B$5000,$U176,SummaryHelper!$C$2:$C$5000,$V176)/SUMIFS(SummaryHelper!$G$2:$G$5000,SummaryHelper!$A$2:$A$5000,$T176,SummaryHelper!$B$2:$B$5000,$U176,SummaryHelper!$C$2:$C$5000,$V176),""))</f>
        <v/>
      </c>
      <c r="X176" s="9" t="str">
        <f>IF($U176="","",SUMIFS(SummaryHelper!$E$2:$E$5000,SummaryHelper!$A$2:$A$5000,$T176,SummaryHelper!$B$2:$B$5000,$U176,SummaryHelper!$C$2:$C$5000,$V176))</f>
        <v/>
      </c>
      <c r="Y176" s="9" t="str">
        <f>IF($U176="","",SUMIFS(SummaryHelper!$F$2:$F$5000,SummaryHelper!$A$2:$A$5000,$T176,SummaryHelper!$B$2:$B$5000,$U176,SummaryHelper!$C$2:$C$5000,$V176))</f>
        <v/>
      </c>
      <c r="Z176" s="9" t="str">
        <f>IF($U176="","",SUMIFS(SummaryHelper!$G$2:$G$5000,SummaryHelper!$A$2:$A$5000,$T176,SummaryHelper!$B$2:$B$5000,$U176,SummaryHelper!$C$2:$C$5000,$V176))</f>
        <v/>
      </c>
      <c r="AB176" s="9" t="str">
        <f t="shared" si="32"/>
        <v/>
      </c>
      <c r="AC176" s="9" t="str">
        <f t="shared" si="33"/>
        <v/>
      </c>
      <c r="AH176" t="str">
        <f>IF($AF176="","",IFERROR(SUMIFS(SummaryHelper!$H$2:$H$5000,SummaryHelper!$A$2:$A$5000,$AE176,SummaryHelper!$B$2:$B$5000,$AF176,SummaryHelper!$C$2:$C$5000,$AG176)/SUMIFS(SummaryHelper!$G$2:$G$5000,SummaryHelper!$A$2:$A$5000,$AE176,SummaryHelper!$B$2:$B$5000,$AF176,SummaryHelper!$C$2:$C$5000,$AG176),""))</f>
        <v/>
      </c>
      <c r="AI176" t="str">
        <f>IF($AF176="","",SUMIFS(SummaryHelper!$E$2:$E$5000,SummaryHelper!$A$2:$A$5000,$AE176,SummaryHelper!$B$2:$B$5000,$AF176,SummaryHelper!$C$2:$C$5000,$AG176))</f>
        <v/>
      </c>
      <c r="AJ176" t="str">
        <f>IF($AF176="","",SUMIFS(SummaryHelper!$F$2:$F$5000,SummaryHelper!$A$2:$A$5000,$AE176,SummaryHelper!$B$2:$B$5000,$AF176,SummaryHelper!$C$2:$C$5000,$AG176))</f>
        <v/>
      </c>
      <c r="AK176" t="str">
        <f>IF($AF176="","",SUMIFS(SummaryHelper!$G$2:$G$5000,SummaryHelper!$A$2:$A$5000,$AE176,SummaryHelper!$B$2:$B$5000,$AF176,SummaryHelper!$C$2:$C$5000,$AG176))</f>
        <v/>
      </c>
      <c r="AM176" t="str">
        <f t="shared" si="34"/>
        <v/>
      </c>
      <c r="AN176" t="str">
        <f t="shared" si="35"/>
        <v/>
      </c>
    </row>
    <row r="177" spans="1:40" x14ac:dyDescent="0.25">
      <c r="A177" s="12"/>
      <c r="B177" s="23" t="str">
        <f t="shared" si="36"/>
        <v/>
      </c>
      <c r="C177" s="9" t="str">
        <f t="shared" ca="1" si="25"/>
        <v/>
      </c>
      <c r="D177" s="9" t="str">
        <f t="shared" ca="1" si="26"/>
        <v/>
      </c>
      <c r="E177" s="9" t="str">
        <f t="shared" ca="1" si="27"/>
        <v/>
      </c>
      <c r="F177" s="9" t="str">
        <f t="shared" si="28"/>
        <v/>
      </c>
      <c r="G177" s="9">
        <f t="shared" si="29"/>
        <v>0</v>
      </c>
      <c r="L177" s="9" t="str">
        <f>IF($J177="","",IFERROR(SUMIFS(SummaryHelper!$H$2:$H$5000,SummaryHelper!$A$2:$A$5000,$I177,SummaryHelper!$B$2:$B$5000,$J177,SummaryHelper!$C$2:$C$5000,$K177)/SUMIFS(SummaryHelper!$G$2:$G$5000,SummaryHelper!$A$2:$A$5000,$I177,SummaryHelper!$B$2:$B$5000,$J177,SummaryHelper!$C$2:$C$5000,$K177),""))</f>
        <v/>
      </c>
      <c r="M177" s="9" t="str">
        <f>IF($J177="","",SUMIFS(SummaryHelper!$E$2:$E$5000,SummaryHelper!$A$2:$A$5000,$I177,SummaryHelper!$B$2:$B$5000,$J177,SummaryHelper!$C$2:$C$5000,$K177))</f>
        <v/>
      </c>
      <c r="N177" s="9" t="str">
        <f>IF($J177="","",SUMIFS(SummaryHelper!$F$2:$F$5000,SummaryHelper!$A$2:$A$5000,$I177,SummaryHelper!$B$2:$B$5000,$J177,SummaryHelper!$C$2:$C$5000,$K177))</f>
        <v/>
      </c>
      <c r="O177" s="9" t="str">
        <f>IF($J177="","",SUMIFS(SummaryHelper!$G$2:$G$5000,SummaryHelper!$A$2:$A$5000,$I177,SummaryHelper!$B$2:$B$5000,$J177,SummaryHelper!$C$2:$C$5000,$K177))</f>
        <v/>
      </c>
      <c r="Q177" s="9" t="str">
        <f t="shared" si="30"/>
        <v/>
      </c>
      <c r="R177" s="9" t="str">
        <f t="shared" si="31"/>
        <v/>
      </c>
      <c r="W177" s="9" t="str">
        <f>IF($U177="","",IFERROR(SUMIFS(SummaryHelper!$H$2:$H$5000,SummaryHelper!$A$2:$A$5000,$T177,SummaryHelper!$B$2:$B$5000,$U177,SummaryHelper!$C$2:$C$5000,$V177)/SUMIFS(SummaryHelper!$G$2:$G$5000,SummaryHelper!$A$2:$A$5000,$T177,SummaryHelper!$B$2:$B$5000,$U177,SummaryHelper!$C$2:$C$5000,$V177),""))</f>
        <v/>
      </c>
      <c r="X177" s="9" t="str">
        <f>IF($U177="","",SUMIFS(SummaryHelper!$E$2:$E$5000,SummaryHelper!$A$2:$A$5000,$T177,SummaryHelper!$B$2:$B$5000,$U177,SummaryHelper!$C$2:$C$5000,$V177))</f>
        <v/>
      </c>
      <c r="Y177" s="9" t="str">
        <f>IF($U177="","",SUMIFS(SummaryHelper!$F$2:$F$5000,SummaryHelper!$A$2:$A$5000,$T177,SummaryHelper!$B$2:$B$5000,$U177,SummaryHelper!$C$2:$C$5000,$V177))</f>
        <v/>
      </c>
      <c r="Z177" s="9" t="str">
        <f>IF($U177="","",SUMIFS(SummaryHelper!$G$2:$G$5000,SummaryHelper!$A$2:$A$5000,$T177,SummaryHelper!$B$2:$B$5000,$U177,SummaryHelper!$C$2:$C$5000,$V177))</f>
        <v/>
      </c>
      <c r="AB177" s="9" t="str">
        <f t="shared" si="32"/>
        <v/>
      </c>
      <c r="AC177" s="9" t="str">
        <f t="shared" si="33"/>
        <v/>
      </c>
      <c r="AH177" t="str">
        <f>IF($AF177="","",IFERROR(SUMIFS(SummaryHelper!$H$2:$H$5000,SummaryHelper!$A$2:$A$5000,$AE177,SummaryHelper!$B$2:$B$5000,$AF177,SummaryHelper!$C$2:$C$5000,$AG177)/SUMIFS(SummaryHelper!$G$2:$G$5000,SummaryHelper!$A$2:$A$5000,$AE177,SummaryHelper!$B$2:$B$5000,$AF177,SummaryHelper!$C$2:$C$5000,$AG177),""))</f>
        <v/>
      </c>
      <c r="AI177" t="str">
        <f>IF($AF177="","",SUMIFS(SummaryHelper!$E$2:$E$5000,SummaryHelper!$A$2:$A$5000,$AE177,SummaryHelper!$B$2:$B$5000,$AF177,SummaryHelper!$C$2:$C$5000,$AG177))</f>
        <v/>
      </c>
      <c r="AJ177" t="str">
        <f>IF($AF177="","",SUMIFS(SummaryHelper!$F$2:$F$5000,SummaryHelper!$A$2:$A$5000,$AE177,SummaryHelper!$B$2:$B$5000,$AF177,SummaryHelper!$C$2:$C$5000,$AG177))</f>
        <v/>
      </c>
      <c r="AK177" t="str">
        <f>IF($AF177="","",SUMIFS(SummaryHelper!$G$2:$G$5000,SummaryHelper!$A$2:$A$5000,$AE177,SummaryHelper!$B$2:$B$5000,$AF177,SummaryHelper!$C$2:$C$5000,$AG177))</f>
        <v/>
      </c>
      <c r="AM177" t="str">
        <f t="shared" si="34"/>
        <v/>
      </c>
      <c r="AN177" t="str">
        <f t="shared" si="35"/>
        <v/>
      </c>
    </row>
    <row r="178" spans="1:40" x14ac:dyDescent="0.25">
      <c r="A178" s="12"/>
      <c r="B178" s="23" t="str">
        <f t="shared" si="36"/>
        <v/>
      </c>
      <c r="C178" s="9" t="str">
        <f t="shared" ca="1" si="25"/>
        <v/>
      </c>
      <c r="D178" s="9" t="str">
        <f t="shared" ca="1" si="26"/>
        <v/>
      </c>
      <c r="E178" s="9" t="str">
        <f t="shared" ca="1" si="27"/>
        <v/>
      </c>
      <c r="F178" s="9" t="str">
        <f t="shared" si="28"/>
        <v/>
      </c>
      <c r="G178" s="9">
        <f t="shared" si="29"/>
        <v>0</v>
      </c>
      <c r="L178" s="9" t="str">
        <f>IF($J178="","",IFERROR(SUMIFS(SummaryHelper!$H$2:$H$5000,SummaryHelper!$A$2:$A$5000,$I178,SummaryHelper!$B$2:$B$5000,$J178,SummaryHelper!$C$2:$C$5000,$K178)/SUMIFS(SummaryHelper!$G$2:$G$5000,SummaryHelper!$A$2:$A$5000,$I178,SummaryHelper!$B$2:$B$5000,$J178,SummaryHelper!$C$2:$C$5000,$K178),""))</f>
        <v/>
      </c>
      <c r="M178" s="9" t="str">
        <f>IF($J178="","",SUMIFS(SummaryHelper!$E$2:$E$5000,SummaryHelper!$A$2:$A$5000,$I178,SummaryHelper!$B$2:$B$5000,$J178,SummaryHelper!$C$2:$C$5000,$K178))</f>
        <v/>
      </c>
      <c r="N178" s="9" t="str">
        <f>IF($J178="","",SUMIFS(SummaryHelper!$F$2:$F$5000,SummaryHelper!$A$2:$A$5000,$I178,SummaryHelper!$B$2:$B$5000,$J178,SummaryHelper!$C$2:$C$5000,$K178))</f>
        <v/>
      </c>
      <c r="O178" s="9" t="str">
        <f>IF($J178="","",SUMIFS(SummaryHelper!$G$2:$G$5000,SummaryHelper!$A$2:$A$5000,$I178,SummaryHelper!$B$2:$B$5000,$J178,SummaryHelper!$C$2:$C$5000,$K178))</f>
        <v/>
      </c>
      <c r="Q178" s="9" t="str">
        <f t="shared" si="30"/>
        <v/>
      </c>
      <c r="R178" s="9" t="str">
        <f t="shared" si="31"/>
        <v/>
      </c>
      <c r="W178" s="9" t="str">
        <f>IF($U178="","",IFERROR(SUMIFS(SummaryHelper!$H$2:$H$5000,SummaryHelper!$A$2:$A$5000,$T178,SummaryHelper!$B$2:$B$5000,$U178,SummaryHelper!$C$2:$C$5000,$V178)/SUMIFS(SummaryHelper!$G$2:$G$5000,SummaryHelper!$A$2:$A$5000,$T178,SummaryHelper!$B$2:$B$5000,$U178,SummaryHelper!$C$2:$C$5000,$V178),""))</f>
        <v/>
      </c>
      <c r="X178" s="9" t="str">
        <f>IF($U178="","",SUMIFS(SummaryHelper!$E$2:$E$5000,SummaryHelper!$A$2:$A$5000,$T178,SummaryHelper!$B$2:$B$5000,$U178,SummaryHelper!$C$2:$C$5000,$V178))</f>
        <v/>
      </c>
      <c r="Y178" s="9" t="str">
        <f>IF($U178="","",SUMIFS(SummaryHelper!$F$2:$F$5000,SummaryHelper!$A$2:$A$5000,$T178,SummaryHelper!$B$2:$B$5000,$U178,SummaryHelper!$C$2:$C$5000,$V178))</f>
        <v/>
      </c>
      <c r="Z178" s="9" t="str">
        <f>IF($U178="","",SUMIFS(SummaryHelper!$G$2:$G$5000,SummaryHelper!$A$2:$A$5000,$T178,SummaryHelper!$B$2:$B$5000,$U178,SummaryHelper!$C$2:$C$5000,$V178))</f>
        <v/>
      </c>
      <c r="AB178" s="9" t="str">
        <f t="shared" si="32"/>
        <v/>
      </c>
      <c r="AC178" s="9" t="str">
        <f t="shared" si="33"/>
        <v/>
      </c>
      <c r="AH178" t="str">
        <f>IF($AF178="","",IFERROR(SUMIFS(SummaryHelper!$H$2:$H$5000,SummaryHelper!$A$2:$A$5000,$AE178,SummaryHelper!$B$2:$B$5000,$AF178,SummaryHelper!$C$2:$C$5000,$AG178)/SUMIFS(SummaryHelper!$G$2:$G$5000,SummaryHelper!$A$2:$A$5000,$AE178,SummaryHelper!$B$2:$B$5000,$AF178,SummaryHelper!$C$2:$C$5000,$AG178),""))</f>
        <v/>
      </c>
      <c r="AI178" t="str">
        <f>IF($AF178="","",SUMIFS(SummaryHelper!$E$2:$E$5000,SummaryHelper!$A$2:$A$5000,$AE178,SummaryHelper!$B$2:$B$5000,$AF178,SummaryHelper!$C$2:$C$5000,$AG178))</f>
        <v/>
      </c>
      <c r="AJ178" t="str">
        <f>IF($AF178="","",SUMIFS(SummaryHelper!$F$2:$F$5000,SummaryHelper!$A$2:$A$5000,$AE178,SummaryHelper!$B$2:$B$5000,$AF178,SummaryHelper!$C$2:$C$5000,$AG178))</f>
        <v/>
      </c>
      <c r="AK178" t="str">
        <f>IF($AF178="","",SUMIFS(SummaryHelper!$G$2:$G$5000,SummaryHelper!$A$2:$A$5000,$AE178,SummaryHelper!$B$2:$B$5000,$AF178,SummaryHelper!$C$2:$C$5000,$AG178))</f>
        <v/>
      </c>
      <c r="AM178" t="str">
        <f t="shared" si="34"/>
        <v/>
      </c>
      <c r="AN178" t="str">
        <f t="shared" si="35"/>
        <v/>
      </c>
    </row>
    <row r="179" spans="1:40" x14ac:dyDescent="0.25">
      <c r="A179" s="12"/>
      <c r="B179" s="23" t="str">
        <f t="shared" si="36"/>
        <v/>
      </c>
      <c r="C179" s="9" t="str">
        <f t="shared" ca="1" si="25"/>
        <v/>
      </c>
      <c r="D179" s="9" t="str">
        <f t="shared" ca="1" si="26"/>
        <v/>
      </c>
      <c r="E179" s="9" t="str">
        <f t="shared" ca="1" si="27"/>
        <v/>
      </c>
      <c r="F179" s="9" t="str">
        <f t="shared" si="28"/>
        <v/>
      </c>
      <c r="G179" s="9">
        <f t="shared" si="29"/>
        <v>0</v>
      </c>
      <c r="L179" s="9" t="str">
        <f>IF($J179="","",IFERROR(SUMIFS(SummaryHelper!$H$2:$H$5000,SummaryHelper!$A$2:$A$5000,$I179,SummaryHelper!$B$2:$B$5000,$J179,SummaryHelper!$C$2:$C$5000,$K179)/SUMIFS(SummaryHelper!$G$2:$G$5000,SummaryHelper!$A$2:$A$5000,$I179,SummaryHelper!$B$2:$B$5000,$J179,SummaryHelper!$C$2:$C$5000,$K179),""))</f>
        <v/>
      </c>
      <c r="M179" s="9" t="str">
        <f>IF($J179="","",SUMIFS(SummaryHelper!$E$2:$E$5000,SummaryHelper!$A$2:$A$5000,$I179,SummaryHelper!$B$2:$B$5000,$J179,SummaryHelper!$C$2:$C$5000,$K179))</f>
        <v/>
      </c>
      <c r="N179" s="9" t="str">
        <f>IF($J179="","",SUMIFS(SummaryHelper!$F$2:$F$5000,SummaryHelper!$A$2:$A$5000,$I179,SummaryHelper!$B$2:$B$5000,$J179,SummaryHelper!$C$2:$C$5000,$K179))</f>
        <v/>
      </c>
      <c r="O179" s="9" t="str">
        <f>IF($J179="","",SUMIFS(SummaryHelper!$G$2:$G$5000,SummaryHelper!$A$2:$A$5000,$I179,SummaryHelper!$B$2:$B$5000,$J179,SummaryHelper!$C$2:$C$5000,$K179))</f>
        <v/>
      </c>
      <c r="Q179" s="9" t="str">
        <f t="shared" si="30"/>
        <v/>
      </c>
      <c r="R179" s="9" t="str">
        <f t="shared" si="31"/>
        <v/>
      </c>
      <c r="W179" s="9" t="str">
        <f>IF($U179="","",IFERROR(SUMIFS(SummaryHelper!$H$2:$H$5000,SummaryHelper!$A$2:$A$5000,$T179,SummaryHelper!$B$2:$B$5000,$U179,SummaryHelper!$C$2:$C$5000,$V179)/SUMIFS(SummaryHelper!$G$2:$G$5000,SummaryHelper!$A$2:$A$5000,$T179,SummaryHelper!$B$2:$B$5000,$U179,SummaryHelper!$C$2:$C$5000,$V179),""))</f>
        <v/>
      </c>
      <c r="X179" s="9" t="str">
        <f>IF($U179="","",SUMIFS(SummaryHelper!$E$2:$E$5000,SummaryHelper!$A$2:$A$5000,$T179,SummaryHelper!$B$2:$B$5000,$U179,SummaryHelper!$C$2:$C$5000,$V179))</f>
        <v/>
      </c>
      <c r="Y179" s="9" t="str">
        <f>IF($U179="","",SUMIFS(SummaryHelper!$F$2:$F$5000,SummaryHelper!$A$2:$A$5000,$T179,SummaryHelper!$B$2:$B$5000,$U179,SummaryHelper!$C$2:$C$5000,$V179))</f>
        <v/>
      </c>
      <c r="Z179" s="9" t="str">
        <f>IF($U179="","",SUMIFS(SummaryHelper!$G$2:$G$5000,SummaryHelper!$A$2:$A$5000,$T179,SummaryHelper!$B$2:$B$5000,$U179,SummaryHelper!$C$2:$C$5000,$V179))</f>
        <v/>
      </c>
      <c r="AB179" s="9" t="str">
        <f t="shared" si="32"/>
        <v/>
      </c>
      <c r="AC179" s="9" t="str">
        <f t="shared" si="33"/>
        <v/>
      </c>
      <c r="AH179" t="str">
        <f>IF($AF179="","",IFERROR(SUMIFS(SummaryHelper!$H$2:$H$5000,SummaryHelper!$A$2:$A$5000,$AE179,SummaryHelper!$B$2:$B$5000,$AF179,SummaryHelper!$C$2:$C$5000,$AG179)/SUMIFS(SummaryHelper!$G$2:$G$5000,SummaryHelper!$A$2:$A$5000,$AE179,SummaryHelper!$B$2:$B$5000,$AF179,SummaryHelper!$C$2:$C$5000,$AG179),""))</f>
        <v/>
      </c>
      <c r="AI179" t="str">
        <f>IF($AF179="","",SUMIFS(SummaryHelper!$E$2:$E$5000,SummaryHelper!$A$2:$A$5000,$AE179,SummaryHelper!$B$2:$B$5000,$AF179,SummaryHelper!$C$2:$C$5000,$AG179))</f>
        <v/>
      </c>
      <c r="AJ179" t="str">
        <f>IF($AF179="","",SUMIFS(SummaryHelper!$F$2:$F$5000,SummaryHelper!$A$2:$A$5000,$AE179,SummaryHelper!$B$2:$B$5000,$AF179,SummaryHelper!$C$2:$C$5000,$AG179))</f>
        <v/>
      </c>
      <c r="AK179" t="str">
        <f>IF($AF179="","",SUMIFS(SummaryHelper!$G$2:$G$5000,SummaryHelper!$A$2:$A$5000,$AE179,SummaryHelper!$B$2:$B$5000,$AF179,SummaryHelper!$C$2:$C$5000,$AG179))</f>
        <v/>
      </c>
      <c r="AM179" t="str">
        <f t="shared" si="34"/>
        <v/>
      </c>
      <c r="AN179" t="str">
        <f t="shared" si="35"/>
        <v/>
      </c>
    </row>
    <row r="180" spans="1:40" x14ac:dyDescent="0.25">
      <c r="A180" s="12"/>
      <c r="B180" s="23" t="str">
        <f t="shared" si="36"/>
        <v/>
      </c>
      <c r="C180" s="9" t="str">
        <f t="shared" ca="1" si="25"/>
        <v/>
      </c>
      <c r="D180" s="9" t="str">
        <f t="shared" ca="1" si="26"/>
        <v/>
      </c>
      <c r="E180" s="9" t="str">
        <f t="shared" ca="1" si="27"/>
        <v/>
      </c>
      <c r="F180" s="9" t="str">
        <f t="shared" si="28"/>
        <v/>
      </c>
      <c r="G180" s="9">
        <f t="shared" si="29"/>
        <v>0</v>
      </c>
      <c r="L180" s="9" t="str">
        <f>IF($J180="","",IFERROR(SUMIFS(SummaryHelper!$H$2:$H$5000,SummaryHelper!$A$2:$A$5000,$I180,SummaryHelper!$B$2:$B$5000,$J180,SummaryHelper!$C$2:$C$5000,$K180)/SUMIFS(SummaryHelper!$G$2:$G$5000,SummaryHelper!$A$2:$A$5000,$I180,SummaryHelper!$B$2:$B$5000,$J180,SummaryHelper!$C$2:$C$5000,$K180),""))</f>
        <v/>
      </c>
      <c r="M180" s="9" t="str">
        <f>IF($J180="","",SUMIFS(SummaryHelper!$E$2:$E$5000,SummaryHelper!$A$2:$A$5000,$I180,SummaryHelper!$B$2:$B$5000,$J180,SummaryHelper!$C$2:$C$5000,$K180))</f>
        <v/>
      </c>
      <c r="N180" s="9" t="str">
        <f>IF($J180="","",SUMIFS(SummaryHelper!$F$2:$F$5000,SummaryHelper!$A$2:$A$5000,$I180,SummaryHelper!$B$2:$B$5000,$J180,SummaryHelper!$C$2:$C$5000,$K180))</f>
        <v/>
      </c>
      <c r="O180" s="9" t="str">
        <f>IF($J180="","",SUMIFS(SummaryHelper!$G$2:$G$5000,SummaryHelper!$A$2:$A$5000,$I180,SummaryHelper!$B$2:$B$5000,$J180,SummaryHelper!$C$2:$C$5000,$K180))</f>
        <v/>
      </c>
      <c r="Q180" s="9" t="str">
        <f t="shared" si="30"/>
        <v/>
      </c>
      <c r="R180" s="9" t="str">
        <f t="shared" si="31"/>
        <v/>
      </c>
      <c r="W180" s="9" t="str">
        <f>IF($U180="","",IFERROR(SUMIFS(SummaryHelper!$H$2:$H$5000,SummaryHelper!$A$2:$A$5000,$T180,SummaryHelper!$B$2:$B$5000,$U180,SummaryHelper!$C$2:$C$5000,$V180)/SUMIFS(SummaryHelper!$G$2:$G$5000,SummaryHelper!$A$2:$A$5000,$T180,SummaryHelper!$B$2:$B$5000,$U180,SummaryHelper!$C$2:$C$5000,$V180),""))</f>
        <v/>
      </c>
      <c r="X180" s="9" t="str">
        <f>IF($U180="","",SUMIFS(SummaryHelper!$E$2:$E$5000,SummaryHelper!$A$2:$A$5000,$T180,SummaryHelper!$B$2:$B$5000,$U180,SummaryHelper!$C$2:$C$5000,$V180))</f>
        <v/>
      </c>
      <c r="Y180" s="9" t="str">
        <f>IF($U180="","",SUMIFS(SummaryHelper!$F$2:$F$5000,SummaryHelper!$A$2:$A$5000,$T180,SummaryHelper!$B$2:$B$5000,$U180,SummaryHelper!$C$2:$C$5000,$V180))</f>
        <v/>
      </c>
      <c r="Z180" s="9" t="str">
        <f>IF($U180="","",SUMIFS(SummaryHelper!$G$2:$G$5000,SummaryHelper!$A$2:$A$5000,$T180,SummaryHelper!$B$2:$B$5000,$U180,SummaryHelper!$C$2:$C$5000,$V180))</f>
        <v/>
      </c>
      <c r="AB180" s="9" t="str">
        <f t="shared" si="32"/>
        <v/>
      </c>
      <c r="AC180" s="9" t="str">
        <f t="shared" si="33"/>
        <v/>
      </c>
      <c r="AH180" t="str">
        <f>IF($AF180="","",IFERROR(SUMIFS(SummaryHelper!$H$2:$H$5000,SummaryHelper!$A$2:$A$5000,$AE180,SummaryHelper!$B$2:$B$5000,$AF180,SummaryHelper!$C$2:$C$5000,$AG180)/SUMIFS(SummaryHelper!$G$2:$G$5000,SummaryHelper!$A$2:$A$5000,$AE180,SummaryHelper!$B$2:$B$5000,$AF180,SummaryHelper!$C$2:$C$5000,$AG180),""))</f>
        <v/>
      </c>
      <c r="AI180" t="str">
        <f>IF($AF180="","",SUMIFS(SummaryHelper!$E$2:$E$5000,SummaryHelper!$A$2:$A$5000,$AE180,SummaryHelper!$B$2:$B$5000,$AF180,SummaryHelper!$C$2:$C$5000,$AG180))</f>
        <v/>
      </c>
      <c r="AJ180" t="str">
        <f>IF($AF180="","",SUMIFS(SummaryHelper!$F$2:$F$5000,SummaryHelper!$A$2:$A$5000,$AE180,SummaryHelper!$B$2:$B$5000,$AF180,SummaryHelper!$C$2:$C$5000,$AG180))</f>
        <v/>
      </c>
      <c r="AK180" t="str">
        <f>IF($AF180="","",SUMIFS(SummaryHelper!$G$2:$G$5000,SummaryHelper!$A$2:$A$5000,$AE180,SummaryHelper!$B$2:$B$5000,$AF180,SummaryHelper!$C$2:$C$5000,$AG180))</f>
        <v/>
      </c>
      <c r="AM180" t="str">
        <f t="shared" si="34"/>
        <v/>
      </c>
      <c r="AN180" t="str">
        <f t="shared" si="35"/>
        <v/>
      </c>
    </row>
    <row r="181" spans="1:40" x14ac:dyDescent="0.25">
      <c r="A181" s="12"/>
      <c r="B181" s="23" t="str">
        <f t="shared" si="36"/>
        <v/>
      </c>
      <c r="C181" s="9" t="str">
        <f t="shared" ca="1" si="25"/>
        <v/>
      </c>
      <c r="D181" s="9" t="str">
        <f t="shared" ca="1" si="26"/>
        <v/>
      </c>
      <c r="E181" s="9" t="str">
        <f t="shared" ca="1" si="27"/>
        <v/>
      </c>
      <c r="F181" s="9" t="str">
        <f t="shared" si="28"/>
        <v/>
      </c>
      <c r="G181" s="9">
        <f t="shared" si="29"/>
        <v>0</v>
      </c>
      <c r="L181" s="9" t="str">
        <f>IF($J181="","",IFERROR(SUMIFS(SummaryHelper!$H$2:$H$5000,SummaryHelper!$A$2:$A$5000,$I181,SummaryHelper!$B$2:$B$5000,$J181,SummaryHelper!$C$2:$C$5000,$K181)/SUMIFS(SummaryHelper!$G$2:$G$5000,SummaryHelper!$A$2:$A$5000,$I181,SummaryHelper!$B$2:$B$5000,$J181,SummaryHelper!$C$2:$C$5000,$K181),""))</f>
        <v/>
      </c>
      <c r="M181" s="9" t="str">
        <f>IF($J181="","",SUMIFS(SummaryHelper!$E$2:$E$5000,SummaryHelper!$A$2:$A$5000,$I181,SummaryHelper!$B$2:$B$5000,$J181,SummaryHelper!$C$2:$C$5000,$K181))</f>
        <v/>
      </c>
      <c r="N181" s="9" t="str">
        <f>IF($J181="","",SUMIFS(SummaryHelper!$F$2:$F$5000,SummaryHelper!$A$2:$A$5000,$I181,SummaryHelper!$B$2:$B$5000,$J181,SummaryHelper!$C$2:$C$5000,$K181))</f>
        <v/>
      </c>
      <c r="O181" s="9" t="str">
        <f>IF($J181="","",SUMIFS(SummaryHelper!$G$2:$G$5000,SummaryHelper!$A$2:$A$5000,$I181,SummaryHelper!$B$2:$B$5000,$J181,SummaryHelper!$C$2:$C$5000,$K181))</f>
        <v/>
      </c>
      <c r="Q181" s="9" t="str">
        <f t="shared" si="30"/>
        <v/>
      </c>
      <c r="R181" s="9" t="str">
        <f t="shared" si="31"/>
        <v/>
      </c>
      <c r="W181" s="9" t="str">
        <f>IF($U181="","",IFERROR(SUMIFS(SummaryHelper!$H$2:$H$5000,SummaryHelper!$A$2:$A$5000,$T181,SummaryHelper!$B$2:$B$5000,$U181,SummaryHelper!$C$2:$C$5000,$V181)/SUMIFS(SummaryHelper!$G$2:$G$5000,SummaryHelper!$A$2:$A$5000,$T181,SummaryHelper!$B$2:$B$5000,$U181,SummaryHelper!$C$2:$C$5000,$V181),""))</f>
        <v/>
      </c>
      <c r="X181" s="9" t="str">
        <f>IF($U181="","",SUMIFS(SummaryHelper!$E$2:$E$5000,SummaryHelper!$A$2:$A$5000,$T181,SummaryHelper!$B$2:$B$5000,$U181,SummaryHelper!$C$2:$C$5000,$V181))</f>
        <v/>
      </c>
      <c r="Y181" s="9" t="str">
        <f>IF($U181="","",SUMIFS(SummaryHelper!$F$2:$F$5000,SummaryHelper!$A$2:$A$5000,$T181,SummaryHelper!$B$2:$B$5000,$U181,SummaryHelper!$C$2:$C$5000,$V181))</f>
        <v/>
      </c>
      <c r="Z181" s="9" t="str">
        <f>IF($U181="","",SUMIFS(SummaryHelper!$G$2:$G$5000,SummaryHelper!$A$2:$A$5000,$T181,SummaryHelper!$B$2:$B$5000,$U181,SummaryHelper!$C$2:$C$5000,$V181))</f>
        <v/>
      </c>
      <c r="AB181" s="9" t="str">
        <f t="shared" si="32"/>
        <v/>
      </c>
      <c r="AC181" s="9" t="str">
        <f t="shared" si="33"/>
        <v/>
      </c>
      <c r="AH181" t="str">
        <f>IF($AF181="","",IFERROR(SUMIFS(SummaryHelper!$H$2:$H$5000,SummaryHelper!$A$2:$A$5000,$AE181,SummaryHelper!$B$2:$B$5000,$AF181,SummaryHelper!$C$2:$C$5000,$AG181)/SUMIFS(SummaryHelper!$G$2:$G$5000,SummaryHelper!$A$2:$A$5000,$AE181,SummaryHelper!$B$2:$B$5000,$AF181,SummaryHelper!$C$2:$C$5000,$AG181),""))</f>
        <v/>
      </c>
      <c r="AI181" t="str">
        <f>IF($AF181="","",SUMIFS(SummaryHelper!$E$2:$E$5000,SummaryHelper!$A$2:$A$5000,$AE181,SummaryHelper!$B$2:$B$5000,$AF181,SummaryHelper!$C$2:$C$5000,$AG181))</f>
        <v/>
      </c>
      <c r="AJ181" t="str">
        <f>IF($AF181="","",SUMIFS(SummaryHelper!$F$2:$F$5000,SummaryHelper!$A$2:$A$5000,$AE181,SummaryHelper!$B$2:$B$5000,$AF181,SummaryHelper!$C$2:$C$5000,$AG181))</f>
        <v/>
      </c>
      <c r="AK181" t="str">
        <f>IF($AF181="","",SUMIFS(SummaryHelper!$G$2:$G$5000,SummaryHelper!$A$2:$A$5000,$AE181,SummaryHelper!$B$2:$B$5000,$AF181,SummaryHelper!$C$2:$C$5000,$AG181))</f>
        <v/>
      </c>
      <c r="AM181" t="str">
        <f t="shared" si="34"/>
        <v/>
      </c>
      <c r="AN181" t="str">
        <f t="shared" si="35"/>
        <v/>
      </c>
    </row>
    <row r="182" spans="1:40" x14ac:dyDescent="0.25">
      <c r="A182" s="12"/>
      <c r="B182" s="23" t="str">
        <f t="shared" si="36"/>
        <v/>
      </c>
      <c r="C182" s="9" t="str">
        <f t="shared" ca="1" si="25"/>
        <v/>
      </c>
      <c r="D182" s="9" t="str">
        <f t="shared" ca="1" si="26"/>
        <v/>
      </c>
      <c r="E182" s="9" t="str">
        <f t="shared" ca="1" si="27"/>
        <v/>
      </c>
      <c r="F182" s="9" t="str">
        <f t="shared" si="28"/>
        <v/>
      </c>
      <c r="G182" s="9">
        <f t="shared" si="29"/>
        <v>0</v>
      </c>
      <c r="L182" s="9" t="str">
        <f>IF($J182="","",IFERROR(SUMIFS(SummaryHelper!$H$2:$H$5000,SummaryHelper!$A$2:$A$5000,$I182,SummaryHelper!$B$2:$B$5000,$J182,SummaryHelper!$C$2:$C$5000,$K182)/SUMIFS(SummaryHelper!$G$2:$G$5000,SummaryHelper!$A$2:$A$5000,$I182,SummaryHelper!$B$2:$B$5000,$J182,SummaryHelper!$C$2:$C$5000,$K182),""))</f>
        <v/>
      </c>
      <c r="M182" s="9" t="str">
        <f>IF($J182="","",SUMIFS(SummaryHelper!$E$2:$E$5000,SummaryHelper!$A$2:$A$5000,$I182,SummaryHelper!$B$2:$B$5000,$J182,SummaryHelper!$C$2:$C$5000,$K182))</f>
        <v/>
      </c>
      <c r="N182" s="9" t="str">
        <f>IF($J182="","",SUMIFS(SummaryHelper!$F$2:$F$5000,SummaryHelper!$A$2:$A$5000,$I182,SummaryHelper!$B$2:$B$5000,$J182,SummaryHelper!$C$2:$C$5000,$K182))</f>
        <v/>
      </c>
      <c r="O182" s="9" t="str">
        <f>IF($J182="","",SUMIFS(SummaryHelper!$G$2:$G$5000,SummaryHelper!$A$2:$A$5000,$I182,SummaryHelper!$B$2:$B$5000,$J182,SummaryHelper!$C$2:$C$5000,$K182))</f>
        <v/>
      </c>
      <c r="Q182" s="9" t="str">
        <f t="shared" si="30"/>
        <v/>
      </c>
      <c r="R182" s="9" t="str">
        <f t="shared" si="31"/>
        <v/>
      </c>
      <c r="W182" s="9" t="str">
        <f>IF($U182="","",IFERROR(SUMIFS(SummaryHelper!$H$2:$H$5000,SummaryHelper!$A$2:$A$5000,$T182,SummaryHelper!$B$2:$B$5000,$U182,SummaryHelper!$C$2:$C$5000,$V182)/SUMIFS(SummaryHelper!$G$2:$G$5000,SummaryHelper!$A$2:$A$5000,$T182,SummaryHelper!$B$2:$B$5000,$U182,SummaryHelper!$C$2:$C$5000,$V182),""))</f>
        <v/>
      </c>
      <c r="X182" s="9" t="str">
        <f>IF($U182="","",SUMIFS(SummaryHelper!$E$2:$E$5000,SummaryHelper!$A$2:$A$5000,$T182,SummaryHelper!$B$2:$B$5000,$U182,SummaryHelper!$C$2:$C$5000,$V182))</f>
        <v/>
      </c>
      <c r="Y182" s="9" t="str">
        <f>IF($U182="","",SUMIFS(SummaryHelper!$F$2:$F$5000,SummaryHelper!$A$2:$A$5000,$T182,SummaryHelper!$B$2:$B$5000,$U182,SummaryHelper!$C$2:$C$5000,$V182))</f>
        <v/>
      </c>
      <c r="Z182" s="9" t="str">
        <f>IF($U182="","",SUMIFS(SummaryHelper!$G$2:$G$5000,SummaryHelper!$A$2:$A$5000,$T182,SummaryHelper!$B$2:$B$5000,$U182,SummaryHelper!$C$2:$C$5000,$V182))</f>
        <v/>
      </c>
      <c r="AB182" s="9" t="str">
        <f t="shared" si="32"/>
        <v/>
      </c>
      <c r="AC182" s="9" t="str">
        <f t="shared" si="33"/>
        <v/>
      </c>
      <c r="AH182" t="str">
        <f>IF($AF182="","",IFERROR(SUMIFS(SummaryHelper!$H$2:$H$5000,SummaryHelper!$A$2:$A$5000,$AE182,SummaryHelper!$B$2:$B$5000,$AF182,SummaryHelper!$C$2:$C$5000,$AG182)/SUMIFS(SummaryHelper!$G$2:$G$5000,SummaryHelper!$A$2:$A$5000,$AE182,SummaryHelper!$B$2:$B$5000,$AF182,SummaryHelper!$C$2:$C$5000,$AG182),""))</f>
        <v/>
      </c>
      <c r="AI182" t="str">
        <f>IF($AF182="","",SUMIFS(SummaryHelper!$E$2:$E$5000,SummaryHelper!$A$2:$A$5000,$AE182,SummaryHelper!$B$2:$B$5000,$AF182,SummaryHelper!$C$2:$C$5000,$AG182))</f>
        <v/>
      </c>
      <c r="AJ182" t="str">
        <f>IF($AF182="","",SUMIFS(SummaryHelper!$F$2:$F$5000,SummaryHelper!$A$2:$A$5000,$AE182,SummaryHelper!$B$2:$B$5000,$AF182,SummaryHelper!$C$2:$C$5000,$AG182))</f>
        <v/>
      </c>
      <c r="AK182" t="str">
        <f>IF($AF182="","",SUMIFS(SummaryHelper!$G$2:$G$5000,SummaryHelper!$A$2:$A$5000,$AE182,SummaryHelper!$B$2:$B$5000,$AF182,SummaryHelper!$C$2:$C$5000,$AG182))</f>
        <v/>
      </c>
      <c r="AM182" t="str">
        <f t="shared" si="34"/>
        <v/>
      </c>
      <c r="AN182" t="str">
        <f t="shared" si="35"/>
        <v/>
      </c>
    </row>
    <row r="183" spans="1:40" x14ac:dyDescent="0.25">
      <c r="A183" s="12"/>
      <c r="B183" s="23" t="str">
        <f t="shared" si="36"/>
        <v/>
      </c>
      <c r="C183" s="9" t="str">
        <f t="shared" ca="1" si="25"/>
        <v/>
      </c>
      <c r="D183" s="9" t="str">
        <f t="shared" ca="1" si="26"/>
        <v/>
      </c>
      <c r="E183" s="9" t="str">
        <f t="shared" ca="1" si="27"/>
        <v/>
      </c>
      <c r="F183" s="9" t="str">
        <f t="shared" si="28"/>
        <v/>
      </c>
      <c r="G183" s="9">
        <f t="shared" si="29"/>
        <v>0</v>
      </c>
      <c r="L183" s="9" t="str">
        <f>IF($J183="","",IFERROR(SUMIFS(SummaryHelper!$H$2:$H$5000,SummaryHelper!$A$2:$A$5000,$I183,SummaryHelper!$B$2:$B$5000,$J183,SummaryHelper!$C$2:$C$5000,$K183)/SUMIFS(SummaryHelper!$G$2:$G$5000,SummaryHelper!$A$2:$A$5000,$I183,SummaryHelper!$B$2:$B$5000,$J183,SummaryHelper!$C$2:$C$5000,$K183),""))</f>
        <v/>
      </c>
      <c r="M183" s="9" t="str">
        <f>IF($J183="","",SUMIFS(SummaryHelper!$E$2:$E$5000,SummaryHelper!$A$2:$A$5000,$I183,SummaryHelper!$B$2:$B$5000,$J183,SummaryHelper!$C$2:$C$5000,$K183))</f>
        <v/>
      </c>
      <c r="N183" s="9" t="str">
        <f>IF($J183="","",SUMIFS(SummaryHelper!$F$2:$F$5000,SummaryHelper!$A$2:$A$5000,$I183,SummaryHelper!$B$2:$B$5000,$J183,SummaryHelper!$C$2:$C$5000,$K183))</f>
        <v/>
      </c>
      <c r="O183" s="9" t="str">
        <f>IF($J183="","",SUMIFS(SummaryHelper!$G$2:$G$5000,SummaryHelper!$A$2:$A$5000,$I183,SummaryHelper!$B$2:$B$5000,$J183,SummaryHelper!$C$2:$C$5000,$K183))</f>
        <v/>
      </c>
      <c r="Q183" s="9" t="str">
        <f t="shared" si="30"/>
        <v/>
      </c>
      <c r="R183" s="9" t="str">
        <f t="shared" si="31"/>
        <v/>
      </c>
      <c r="W183" s="9" t="str">
        <f>IF($U183="","",IFERROR(SUMIFS(SummaryHelper!$H$2:$H$5000,SummaryHelper!$A$2:$A$5000,$T183,SummaryHelper!$B$2:$B$5000,$U183,SummaryHelper!$C$2:$C$5000,$V183)/SUMIFS(SummaryHelper!$G$2:$G$5000,SummaryHelper!$A$2:$A$5000,$T183,SummaryHelper!$B$2:$B$5000,$U183,SummaryHelper!$C$2:$C$5000,$V183),""))</f>
        <v/>
      </c>
      <c r="X183" s="9" t="str">
        <f>IF($U183="","",SUMIFS(SummaryHelper!$E$2:$E$5000,SummaryHelper!$A$2:$A$5000,$T183,SummaryHelper!$B$2:$B$5000,$U183,SummaryHelper!$C$2:$C$5000,$V183))</f>
        <v/>
      </c>
      <c r="Y183" s="9" t="str">
        <f>IF($U183="","",SUMIFS(SummaryHelper!$F$2:$F$5000,SummaryHelper!$A$2:$A$5000,$T183,SummaryHelper!$B$2:$B$5000,$U183,SummaryHelper!$C$2:$C$5000,$V183))</f>
        <v/>
      </c>
      <c r="Z183" s="9" t="str">
        <f>IF($U183="","",SUMIFS(SummaryHelper!$G$2:$G$5000,SummaryHelper!$A$2:$A$5000,$T183,SummaryHelper!$B$2:$B$5000,$U183,SummaryHelper!$C$2:$C$5000,$V183))</f>
        <v/>
      </c>
      <c r="AB183" s="9" t="str">
        <f t="shared" si="32"/>
        <v/>
      </c>
      <c r="AC183" s="9" t="str">
        <f t="shared" si="33"/>
        <v/>
      </c>
      <c r="AH183" t="str">
        <f>IF($AF183="","",IFERROR(SUMIFS(SummaryHelper!$H$2:$H$5000,SummaryHelper!$A$2:$A$5000,$AE183,SummaryHelper!$B$2:$B$5000,$AF183,SummaryHelper!$C$2:$C$5000,$AG183)/SUMIFS(SummaryHelper!$G$2:$G$5000,SummaryHelper!$A$2:$A$5000,$AE183,SummaryHelper!$B$2:$B$5000,$AF183,SummaryHelper!$C$2:$C$5000,$AG183),""))</f>
        <v/>
      </c>
      <c r="AI183" t="str">
        <f>IF($AF183="","",SUMIFS(SummaryHelper!$E$2:$E$5000,SummaryHelper!$A$2:$A$5000,$AE183,SummaryHelper!$B$2:$B$5000,$AF183,SummaryHelper!$C$2:$C$5000,$AG183))</f>
        <v/>
      </c>
      <c r="AJ183" t="str">
        <f>IF($AF183="","",SUMIFS(SummaryHelper!$F$2:$F$5000,SummaryHelper!$A$2:$A$5000,$AE183,SummaryHelper!$B$2:$B$5000,$AF183,SummaryHelper!$C$2:$C$5000,$AG183))</f>
        <v/>
      </c>
      <c r="AK183" t="str">
        <f>IF($AF183="","",SUMIFS(SummaryHelper!$G$2:$G$5000,SummaryHelper!$A$2:$A$5000,$AE183,SummaryHelper!$B$2:$B$5000,$AF183,SummaryHelper!$C$2:$C$5000,$AG183))</f>
        <v/>
      </c>
      <c r="AM183" t="str">
        <f t="shared" si="34"/>
        <v/>
      </c>
      <c r="AN183" t="str">
        <f t="shared" si="35"/>
        <v/>
      </c>
    </row>
    <row r="184" spans="1:40" x14ac:dyDescent="0.25">
      <c r="A184" s="12"/>
      <c r="B184" s="23" t="str">
        <f t="shared" si="36"/>
        <v/>
      </c>
      <c r="C184" s="9" t="str">
        <f t="shared" ca="1" si="25"/>
        <v/>
      </c>
      <c r="D184" s="9" t="str">
        <f t="shared" ca="1" si="26"/>
        <v/>
      </c>
      <c r="E184" s="9" t="str">
        <f t="shared" ca="1" si="27"/>
        <v/>
      </c>
      <c r="F184" s="9" t="str">
        <f t="shared" si="28"/>
        <v/>
      </c>
      <c r="G184" s="9">
        <f t="shared" si="29"/>
        <v>0</v>
      </c>
      <c r="L184" s="9" t="str">
        <f>IF($J184="","",IFERROR(SUMIFS(SummaryHelper!$H$2:$H$5000,SummaryHelper!$A$2:$A$5000,$I184,SummaryHelper!$B$2:$B$5000,$J184,SummaryHelper!$C$2:$C$5000,$K184)/SUMIFS(SummaryHelper!$G$2:$G$5000,SummaryHelper!$A$2:$A$5000,$I184,SummaryHelper!$B$2:$B$5000,$J184,SummaryHelper!$C$2:$C$5000,$K184),""))</f>
        <v/>
      </c>
      <c r="M184" s="9" t="str">
        <f>IF($J184="","",SUMIFS(SummaryHelper!$E$2:$E$5000,SummaryHelper!$A$2:$A$5000,$I184,SummaryHelper!$B$2:$B$5000,$J184,SummaryHelper!$C$2:$C$5000,$K184))</f>
        <v/>
      </c>
      <c r="N184" s="9" t="str">
        <f>IF($J184="","",SUMIFS(SummaryHelper!$F$2:$F$5000,SummaryHelper!$A$2:$A$5000,$I184,SummaryHelper!$B$2:$B$5000,$J184,SummaryHelper!$C$2:$C$5000,$K184))</f>
        <v/>
      </c>
      <c r="O184" s="9" t="str">
        <f>IF($J184="","",SUMIFS(SummaryHelper!$G$2:$G$5000,SummaryHelper!$A$2:$A$5000,$I184,SummaryHelper!$B$2:$B$5000,$J184,SummaryHelper!$C$2:$C$5000,$K184))</f>
        <v/>
      </c>
      <c r="Q184" s="9" t="str">
        <f t="shared" si="30"/>
        <v/>
      </c>
      <c r="R184" s="9" t="str">
        <f t="shared" si="31"/>
        <v/>
      </c>
      <c r="W184" s="9" t="str">
        <f>IF($U184="","",IFERROR(SUMIFS(SummaryHelper!$H$2:$H$5000,SummaryHelper!$A$2:$A$5000,$T184,SummaryHelper!$B$2:$B$5000,$U184,SummaryHelper!$C$2:$C$5000,$V184)/SUMIFS(SummaryHelper!$G$2:$G$5000,SummaryHelper!$A$2:$A$5000,$T184,SummaryHelper!$B$2:$B$5000,$U184,SummaryHelper!$C$2:$C$5000,$V184),""))</f>
        <v/>
      </c>
      <c r="X184" s="9" t="str">
        <f>IF($U184="","",SUMIFS(SummaryHelper!$E$2:$E$5000,SummaryHelper!$A$2:$A$5000,$T184,SummaryHelper!$B$2:$B$5000,$U184,SummaryHelper!$C$2:$C$5000,$V184))</f>
        <v/>
      </c>
      <c r="Y184" s="9" t="str">
        <f>IF($U184="","",SUMIFS(SummaryHelper!$F$2:$F$5000,SummaryHelper!$A$2:$A$5000,$T184,SummaryHelper!$B$2:$B$5000,$U184,SummaryHelper!$C$2:$C$5000,$V184))</f>
        <v/>
      </c>
      <c r="Z184" s="9" t="str">
        <f>IF($U184="","",SUMIFS(SummaryHelper!$G$2:$G$5000,SummaryHelper!$A$2:$A$5000,$T184,SummaryHelper!$B$2:$B$5000,$U184,SummaryHelper!$C$2:$C$5000,$V184))</f>
        <v/>
      </c>
      <c r="AB184" s="9" t="str">
        <f t="shared" si="32"/>
        <v/>
      </c>
      <c r="AC184" s="9" t="str">
        <f t="shared" si="33"/>
        <v/>
      </c>
      <c r="AH184" t="str">
        <f>IF($AF184="","",IFERROR(SUMIFS(SummaryHelper!$H$2:$H$5000,SummaryHelper!$A$2:$A$5000,$AE184,SummaryHelper!$B$2:$B$5000,$AF184,SummaryHelper!$C$2:$C$5000,$AG184)/SUMIFS(SummaryHelper!$G$2:$G$5000,SummaryHelper!$A$2:$A$5000,$AE184,SummaryHelper!$B$2:$B$5000,$AF184,SummaryHelper!$C$2:$C$5000,$AG184),""))</f>
        <v/>
      </c>
      <c r="AI184" t="str">
        <f>IF($AF184="","",SUMIFS(SummaryHelper!$E$2:$E$5000,SummaryHelper!$A$2:$A$5000,$AE184,SummaryHelper!$B$2:$B$5000,$AF184,SummaryHelper!$C$2:$C$5000,$AG184))</f>
        <v/>
      </c>
      <c r="AJ184" t="str">
        <f>IF($AF184="","",SUMIFS(SummaryHelper!$F$2:$F$5000,SummaryHelper!$A$2:$A$5000,$AE184,SummaryHelper!$B$2:$B$5000,$AF184,SummaryHelper!$C$2:$C$5000,$AG184))</f>
        <v/>
      </c>
      <c r="AK184" t="str">
        <f>IF($AF184="","",SUMIFS(SummaryHelper!$G$2:$G$5000,SummaryHelper!$A$2:$A$5000,$AE184,SummaryHelper!$B$2:$B$5000,$AF184,SummaryHelper!$C$2:$C$5000,$AG184))</f>
        <v/>
      </c>
      <c r="AM184" t="str">
        <f t="shared" si="34"/>
        <v/>
      </c>
      <c r="AN184" t="str">
        <f t="shared" si="35"/>
        <v/>
      </c>
    </row>
    <row r="185" spans="1:40" x14ac:dyDescent="0.25">
      <c r="A185" s="12"/>
      <c r="B185" s="23" t="str">
        <f t="shared" si="36"/>
        <v/>
      </c>
      <c r="C185" s="9" t="str">
        <f t="shared" ca="1" si="25"/>
        <v/>
      </c>
      <c r="D185" s="9" t="str">
        <f t="shared" ca="1" si="26"/>
        <v/>
      </c>
      <c r="E185" s="9" t="str">
        <f t="shared" ca="1" si="27"/>
        <v/>
      </c>
      <c r="F185" s="9" t="str">
        <f t="shared" si="28"/>
        <v/>
      </c>
      <c r="G185" s="9">
        <f t="shared" si="29"/>
        <v>0</v>
      </c>
      <c r="L185" s="9" t="str">
        <f>IF($J185="","",IFERROR(SUMIFS(SummaryHelper!$H$2:$H$5000,SummaryHelper!$A$2:$A$5000,$I185,SummaryHelper!$B$2:$B$5000,$J185,SummaryHelper!$C$2:$C$5000,$K185)/SUMIFS(SummaryHelper!$G$2:$G$5000,SummaryHelper!$A$2:$A$5000,$I185,SummaryHelper!$B$2:$B$5000,$J185,SummaryHelper!$C$2:$C$5000,$K185),""))</f>
        <v/>
      </c>
      <c r="M185" s="9" t="str">
        <f>IF($J185="","",SUMIFS(SummaryHelper!$E$2:$E$5000,SummaryHelper!$A$2:$A$5000,$I185,SummaryHelper!$B$2:$B$5000,$J185,SummaryHelper!$C$2:$C$5000,$K185))</f>
        <v/>
      </c>
      <c r="N185" s="9" t="str">
        <f>IF($J185="","",SUMIFS(SummaryHelper!$F$2:$F$5000,SummaryHelper!$A$2:$A$5000,$I185,SummaryHelper!$B$2:$B$5000,$J185,SummaryHelper!$C$2:$C$5000,$K185))</f>
        <v/>
      </c>
      <c r="O185" s="9" t="str">
        <f>IF($J185="","",SUMIFS(SummaryHelper!$G$2:$G$5000,SummaryHelper!$A$2:$A$5000,$I185,SummaryHelper!$B$2:$B$5000,$J185,SummaryHelper!$C$2:$C$5000,$K185))</f>
        <v/>
      </c>
      <c r="Q185" s="9" t="str">
        <f t="shared" si="30"/>
        <v/>
      </c>
      <c r="R185" s="9" t="str">
        <f t="shared" si="31"/>
        <v/>
      </c>
      <c r="W185" s="9" t="str">
        <f>IF($U185="","",IFERROR(SUMIFS(SummaryHelper!$H$2:$H$5000,SummaryHelper!$A$2:$A$5000,$T185,SummaryHelper!$B$2:$B$5000,$U185,SummaryHelper!$C$2:$C$5000,$V185)/SUMIFS(SummaryHelper!$G$2:$G$5000,SummaryHelper!$A$2:$A$5000,$T185,SummaryHelper!$B$2:$B$5000,$U185,SummaryHelper!$C$2:$C$5000,$V185),""))</f>
        <v/>
      </c>
      <c r="X185" s="9" t="str">
        <f>IF($U185="","",SUMIFS(SummaryHelper!$E$2:$E$5000,SummaryHelper!$A$2:$A$5000,$T185,SummaryHelper!$B$2:$B$5000,$U185,SummaryHelper!$C$2:$C$5000,$V185))</f>
        <v/>
      </c>
      <c r="Y185" s="9" t="str">
        <f>IF($U185="","",SUMIFS(SummaryHelper!$F$2:$F$5000,SummaryHelper!$A$2:$A$5000,$T185,SummaryHelper!$B$2:$B$5000,$U185,SummaryHelper!$C$2:$C$5000,$V185))</f>
        <v/>
      </c>
      <c r="Z185" s="9" t="str">
        <f>IF($U185="","",SUMIFS(SummaryHelper!$G$2:$G$5000,SummaryHelper!$A$2:$A$5000,$T185,SummaryHelper!$B$2:$B$5000,$U185,SummaryHelper!$C$2:$C$5000,$V185))</f>
        <v/>
      </c>
      <c r="AB185" s="9" t="str">
        <f t="shared" si="32"/>
        <v/>
      </c>
      <c r="AC185" s="9" t="str">
        <f t="shared" si="33"/>
        <v/>
      </c>
      <c r="AH185" t="str">
        <f>IF($AF185="","",IFERROR(SUMIFS(SummaryHelper!$H$2:$H$5000,SummaryHelper!$A$2:$A$5000,$AE185,SummaryHelper!$B$2:$B$5000,$AF185,SummaryHelper!$C$2:$C$5000,$AG185)/SUMIFS(SummaryHelper!$G$2:$G$5000,SummaryHelper!$A$2:$A$5000,$AE185,SummaryHelper!$B$2:$B$5000,$AF185,SummaryHelper!$C$2:$C$5000,$AG185),""))</f>
        <v/>
      </c>
      <c r="AI185" t="str">
        <f>IF($AF185="","",SUMIFS(SummaryHelper!$E$2:$E$5000,SummaryHelper!$A$2:$A$5000,$AE185,SummaryHelper!$B$2:$B$5000,$AF185,SummaryHelper!$C$2:$C$5000,$AG185))</f>
        <v/>
      </c>
      <c r="AJ185" t="str">
        <f>IF($AF185="","",SUMIFS(SummaryHelper!$F$2:$F$5000,SummaryHelper!$A$2:$A$5000,$AE185,SummaryHelper!$B$2:$B$5000,$AF185,SummaryHelper!$C$2:$C$5000,$AG185))</f>
        <v/>
      </c>
      <c r="AK185" t="str">
        <f>IF($AF185="","",SUMIFS(SummaryHelper!$G$2:$G$5000,SummaryHelper!$A$2:$A$5000,$AE185,SummaryHelper!$B$2:$B$5000,$AF185,SummaryHelper!$C$2:$C$5000,$AG185))</f>
        <v/>
      </c>
      <c r="AM185" t="str">
        <f t="shared" si="34"/>
        <v/>
      </c>
      <c r="AN185" t="str">
        <f t="shared" si="35"/>
        <v/>
      </c>
    </row>
    <row r="186" spans="1:40" x14ac:dyDescent="0.25">
      <c r="A186" s="12"/>
      <c r="B186" s="23" t="str">
        <f t="shared" si="36"/>
        <v/>
      </c>
      <c r="C186" s="9" t="str">
        <f t="shared" ca="1" si="25"/>
        <v/>
      </c>
      <c r="D186" s="9" t="str">
        <f t="shared" ca="1" si="26"/>
        <v/>
      </c>
      <c r="E186" s="9" t="str">
        <f t="shared" ca="1" si="27"/>
        <v/>
      </c>
      <c r="F186" s="9" t="str">
        <f t="shared" si="28"/>
        <v/>
      </c>
      <c r="G186" s="9">
        <f t="shared" si="29"/>
        <v>0</v>
      </c>
      <c r="L186" s="9" t="str">
        <f>IF($J186="","",IFERROR(SUMIFS(SummaryHelper!$H$2:$H$5000,SummaryHelper!$A$2:$A$5000,$I186,SummaryHelper!$B$2:$B$5000,$J186,SummaryHelper!$C$2:$C$5000,$K186)/SUMIFS(SummaryHelper!$G$2:$G$5000,SummaryHelper!$A$2:$A$5000,$I186,SummaryHelper!$B$2:$B$5000,$J186,SummaryHelper!$C$2:$C$5000,$K186),""))</f>
        <v/>
      </c>
      <c r="M186" s="9" t="str">
        <f>IF($J186="","",SUMIFS(SummaryHelper!$E$2:$E$5000,SummaryHelper!$A$2:$A$5000,$I186,SummaryHelper!$B$2:$B$5000,$J186,SummaryHelper!$C$2:$C$5000,$K186))</f>
        <v/>
      </c>
      <c r="N186" s="9" t="str">
        <f>IF($J186="","",SUMIFS(SummaryHelper!$F$2:$F$5000,SummaryHelper!$A$2:$A$5000,$I186,SummaryHelper!$B$2:$B$5000,$J186,SummaryHelper!$C$2:$C$5000,$K186))</f>
        <v/>
      </c>
      <c r="O186" s="9" t="str">
        <f>IF($J186="","",SUMIFS(SummaryHelper!$G$2:$G$5000,SummaryHelper!$A$2:$A$5000,$I186,SummaryHelper!$B$2:$B$5000,$J186,SummaryHelper!$C$2:$C$5000,$K186))</f>
        <v/>
      </c>
      <c r="Q186" s="9" t="str">
        <f t="shared" si="30"/>
        <v/>
      </c>
      <c r="R186" s="9" t="str">
        <f t="shared" si="31"/>
        <v/>
      </c>
      <c r="W186" s="9" t="str">
        <f>IF($U186="","",IFERROR(SUMIFS(SummaryHelper!$H$2:$H$5000,SummaryHelper!$A$2:$A$5000,$T186,SummaryHelper!$B$2:$B$5000,$U186,SummaryHelper!$C$2:$C$5000,$V186)/SUMIFS(SummaryHelper!$G$2:$G$5000,SummaryHelper!$A$2:$A$5000,$T186,SummaryHelper!$B$2:$B$5000,$U186,SummaryHelper!$C$2:$C$5000,$V186),""))</f>
        <v/>
      </c>
      <c r="X186" s="9" t="str">
        <f>IF($U186="","",SUMIFS(SummaryHelper!$E$2:$E$5000,SummaryHelper!$A$2:$A$5000,$T186,SummaryHelper!$B$2:$B$5000,$U186,SummaryHelper!$C$2:$C$5000,$V186))</f>
        <v/>
      </c>
      <c r="Y186" s="9" t="str">
        <f>IF($U186="","",SUMIFS(SummaryHelper!$F$2:$F$5000,SummaryHelper!$A$2:$A$5000,$T186,SummaryHelper!$B$2:$B$5000,$U186,SummaryHelper!$C$2:$C$5000,$V186))</f>
        <v/>
      </c>
      <c r="Z186" s="9" t="str">
        <f>IF($U186="","",SUMIFS(SummaryHelper!$G$2:$G$5000,SummaryHelper!$A$2:$A$5000,$T186,SummaryHelper!$B$2:$B$5000,$U186,SummaryHelper!$C$2:$C$5000,$V186))</f>
        <v/>
      </c>
      <c r="AB186" s="9" t="str">
        <f t="shared" si="32"/>
        <v/>
      </c>
      <c r="AC186" s="9" t="str">
        <f t="shared" si="33"/>
        <v/>
      </c>
      <c r="AH186" t="str">
        <f>IF($AF186="","",IFERROR(SUMIFS(SummaryHelper!$H$2:$H$5000,SummaryHelper!$A$2:$A$5000,$AE186,SummaryHelper!$B$2:$B$5000,$AF186,SummaryHelper!$C$2:$C$5000,$AG186)/SUMIFS(SummaryHelper!$G$2:$G$5000,SummaryHelper!$A$2:$A$5000,$AE186,SummaryHelper!$B$2:$B$5000,$AF186,SummaryHelper!$C$2:$C$5000,$AG186),""))</f>
        <v/>
      </c>
      <c r="AI186" t="str">
        <f>IF($AF186="","",SUMIFS(SummaryHelper!$E$2:$E$5000,SummaryHelper!$A$2:$A$5000,$AE186,SummaryHelper!$B$2:$B$5000,$AF186,SummaryHelper!$C$2:$C$5000,$AG186))</f>
        <v/>
      </c>
      <c r="AJ186" t="str">
        <f>IF($AF186="","",SUMIFS(SummaryHelper!$F$2:$F$5000,SummaryHelper!$A$2:$A$5000,$AE186,SummaryHelper!$B$2:$B$5000,$AF186,SummaryHelper!$C$2:$C$5000,$AG186))</f>
        <v/>
      </c>
      <c r="AK186" t="str">
        <f>IF($AF186="","",SUMIFS(SummaryHelper!$G$2:$G$5000,SummaryHelper!$A$2:$A$5000,$AE186,SummaryHelper!$B$2:$B$5000,$AF186,SummaryHelper!$C$2:$C$5000,$AG186))</f>
        <v/>
      </c>
      <c r="AM186" t="str">
        <f t="shared" si="34"/>
        <v/>
      </c>
      <c r="AN186" t="str">
        <f t="shared" si="35"/>
        <v/>
      </c>
    </row>
    <row r="187" spans="1:40" x14ac:dyDescent="0.25">
      <c r="A187" s="12"/>
      <c r="B187" s="23" t="str">
        <f t="shared" si="36"/>
        <v/>
      </c>
      <c r="C187" s="9" t="str">
        <f t="shared" ca="1" si="25"/>
        <v/>
      </c>
      <c r="D187" s="9" t="str">
        <f t="shared" ca="1" si="26"/>
        <v/>
      </c>
      <c r="E187" s="9" t="str">
        <f t="shared" ca="1" si="27"/>
        <v/>
      </c>
      <c r="F187" s="9" t="str">
        <f t="shared" si="28"/>
        <v/>
      </c>
      <c r="G187" s="9">
        <f t="shared" si="29"/>
        <v>0</v>
      </c>
      <c r="L187" s="9" t="str">
        <f>IF($J187="","",IFERROR(SUMIFS(SummaryHelper!$H$2:$H$5000,SummaryHelper!$A$2:$A$5000,$I187,SummaryHelper!$B$2:$B$5000,$J187,SummaryHelper!$C$2:$C$5000,$K187)/SUMIFS(SummaryHelper!$G$2:$G$5000,SummaryHelper!$A$2:$A$5000,$I187,SummaryHelper!$B$2:$B$5000,$J187,SummaryHelper!$C$2:$C$5000,$K187),""))</f>
        <v/>
      </c>
      <c r="M187" s="9" t="str">
        <f>IF($J187="","",SUMIFS(SummaryHelper!$E$2:$E$5000,SummaryHelper!$A$2:$A$5000,$I187,SummaryHelper!$B$2:$B$5000,$J187,SummaryHelper!$C$2:$C$5000,$K187))</f>
        <v/>
      </c>
      <c r="N187" s="9" t="str">
        <f>IF($J187="","",SUMIFS(SummaryHelper!$F$2:$F$5000,SummaryHelper!$A$2:$A$5000,$I187,SummaryHelper!$B$2:$B$5000,$J187,SummaryHelper!$C$2:$C$5000,$K187))</f>
        <v/>
      </c>
      <c r="O187" s="9" t="str">
        <f>IF($J187="","",SUMIFS(SummaryHelper!$G$2:$G$5000,SummaryHelper!$A$2:$A$5000,$I187,SummaryHelper!$B$2:$B$5000,$J187,SummaryHelper!$C$2:$C$5000,$K187))</f>
        <v/>
      </c>
      <c r="Q187" s="9" t="str">
        <f t="shared" si="30"/>
        <v/>
      </c>
      <c r="R187" s="9" t="str">
        <f t="shared" si="31"/>
        <v/>
      </c>
      <c r="W187" s="9" t="str">
        <f>IF($U187="","",IFERROR(SUMIFS(SummaryHelper!$H$2:$H$5000,SummaryHelper!$A$2:$A$5000,$T187,SummaryHelper!$B$2:$B$5000,$U187,SummaryHelper!$C$2:$C$5000,$V187)/SUMIFS(SummaryHelper!$G$2:$G$5000,SummaryHelper!$A$2:$A$5000,$T187,SummaryHelper!$B$2:$B$5000,$U187,SummaryHelper!$C$2:$C$5000,$V187),""))</f>
        <v/>
      </c>
      <c r="X187" s="9" t="str">
        <f>IF($U187="","",SUMIFS(SummaryHelper!$E$2:$E$5000,SummaryHelper!$A$2:$A$5000,$T187,SummaryHelper!$B$2:$B$5000,$U187,SummaryHelper!$C$2:$C$5000,$V187))</f>
        <v/>
      </c>
      <c r="Y187" s="9" t="str">
        <f>IF($U187="","",SUMIFS(SummaryHelper!$F$2:$F$5000,SummaryHelper!$A$2:$A$5000,$T187,SummaryHelper!$B$2:$B$5000,$U187,SummaryHelper!$C$2:$C$5000,$V187))</f>
        <v/>
      </c>
      <c r="Z187" s="9" t="str">
        <f>IF($U187="","",SUMIFS(SummaryHelper!$G$2:$G$5000,SummaryHelper!$A$2:$A$5000,$T187,SummaryHelper!$B$2:$B$5000,$U187,SummaryHelper!$C$2:$C$5000,$V187))</f>
        <v/>
      </c>
      <c r="AB187" s="9" t="str">
        <f t="shared" si="32"/>
        <v/>
      </c>
      <c r="AC187" s="9" t="str">
        <f t="shared" si="33"/>
        <v/>
      </c>
      <c r="AH187" t="str">
        <f>IF($AF187="","",IFERROR(SUMIFS(SummaryHelper!$H$2:$H$5000,SummaryHelper!$A$2:$A$5000,$AE187,SummaryHelper!$B$2:$B$5000,$AF187,SummaryHelper!$C$2:$C$5000,$AG187)/SUMIFS(SummaryHelper!$G$2:$G$5000,SummaryHelper!$A$2:$A$5000,$AE187,SummaryHelper!$B$2:$B$5000,$AF187,SummaryHelper!$C$2:$C$5000,$AG187),""))</f>
        <v/>
      </c>
      <c r="AI187" t="str">
        <f>IF($AF187="","",SUMIFS(SummaryHelper!$E$2:$E$5000,SummaryHelper!$A$2:$A$5000,$AE187,SummaryHelper!$B$2:$B$5000,$AF187,SummaryHelper!$C$2:$C$5000,$AG187))</f>
        <v/>
      </c>
      <c r="AJ187" t="str">
        <f>IF($AF187="","",SUMIFS(SummaryHelper!$F$2:$F$5000,SummaryHelper!$A$2:$A$5000,$AE187,SummaryHelper!$B$2:$B$5000,$AF187,SummaryHelper!$C$2:$C$5000,$AG187))</f>
        <v/>
      </c>
      <c r="AK187" t="str">
        <f>IF($AF187="","",SUMIFS(SummaryHelper!$G$2:$G$5000,SummaryHelper!$A$2:$A$5000,$AE187,SummaryHelper!$B$2:$B$5000,$AF187,SummaryHelper!$C$2:$C$5000,$AG187))</f>
        <v/>
      </c>
      <c r="AM187" t="str">
        <f t="shared" si="34"/>
        <v/>
      </c>
      <c r="AN187" t="str">
        <f t="shared" si="35"/>
        <v/>
      </c>
    </row>
    <row r="188" spans="1:40" x14ac:dyDescent="0.25">
      <c r="A188" s="12"/>
      <c r="B188" s="23" t="str">
        <f t="shared" si="36"/>
        <v/>
      </c>
      <c r="C188" s="9" t="str">
        <f t="shared" ca="1" si="25"/>
        <v/>
      </c>
      <c r="D188" s="9" t="str">
        <f t="shared" ca="1" si="26"/>
        <v/>
      </c>
      <c r="E188" s="9" t="str">
        <f t="shared" ca="1" si="27"/>
        <v/>
      </c>
      <c r="F188" s="9" t="str">
        <f t="shared" si="28"/>
        <v/>
      </c>
      <c r="G188" s="9">
        <f t="shared" si="29"/>
        <v>0</v>
      </c>
      <c r="L188" s="9" t="str">
        <f>IF($J188="","",IFERROR(SUMIFS(SummaryHelper!$H$2:$H$5000,SummaryHelper!$A$2:$A$5000,$I188,SummaryHelper!$B$2:$B$5000,$J188,SummaryHelper!$C$2:$C$5000,$K188)/SUMIFS(SummaryHelper!$G$2:$G$5000,SummaryHelper!$A$2:$A$5000,$I188,SummaryHelper!$B$2:$B$5000,$J188,SummaryHelper!$C$2:$C$5000,$K188),""))</f>
        <v/>
      </c>
      <c r="M188" s="9" t="str">
        <f>IF($J188="","",SUMIFS(SummaryHelper!$E$2:$E$5000,SummaryHelper!$A$2:$A$5000,$I188,SummaryHelper!$B$2:$B$5000,$J188,SummaryHelper!$C$2:$C$5000,$K188))</f>
        <v/>
      </c>
      <c r="N188" s="9" t="str">
        <f>IF($J188="","",SUMIFS(SummaryHelper!$F$2:$F$5000,SummaryHelper!$A$2:$A$5000,$I188,SummaryHelper!$B$2:$B$5000,$J188,SummaryHelper!$C$2:$C$5000,$K188))</f>
        <v/>
      </c>
      <c r="O188" s="9" t="str">
        <f>IF($J188="","",SUMIFS(SummaryHelper!$G$2:$G$5000,SummaryHelper!$A$2:$A$5000,$I188,SummaryHelper!$B$2:$B$5000,$J188,SummaryHelper!$C$2:$C$5000,$K188))</f>
        <v/>
      </c>
      <c r="Q188" s="9" t="str">
        <f t="shared" si="30"/>
        <v/>
      </c>
      <c r="R188" s="9" t="str">
        <f t="shared" si="31"/>
        <v/>
      </c>
      <c r="W188" s="9" t="str">
        <f>IF($U188="","",IFERROR(SUMIFS(SummaryHelper!$H$2:$H$5000,SummaryHelper!$A$2:$A$5000,$T188,SummaryHelper!$B$2:$B$5000,$U188,SummaryHelper!$C$2:$C$5000,$V188)/SUMIFS(SummaryHelper!$G$2:$G$5000,SummaryHelper!$A$2:$A$5000,$T188,SummaryHelper!$B$2:$B$5000,$U188,SummaryHelper!$C$2:$C$5000,$V188),""))</f>
        <v/>
      </c>
      <c r="X188" s="9" t="str">
        <f>IF($U188="","",SUMIFS(SummaryHelper!$E$2:$E$5000,SummaryHelper!$A$2:$A$5000,$T188,SummaryHelper!$B$2:$B$5000,$U188,SummaryHelper!$C$2:$C$5000,$V188))</f>
        <v/>
      </c>
      <c r="Y188" s="9" t="str">
        <f>IF($U188="","",SUMIFS(SummaryHelper!$F$2:$F$5000,SummaryHelper!$A$2:$A$5000,$T188,SummaryHelper!$B$2:$B$5000,$U188,SummaryHelper!$C$2:$C$5000,$V188))</f>
        <v/>
      </c>
      <c r="Z188" s="9" t="str">
        <f>IF($U188="","",SUMIFS(SummaryHelper!$G$2:$G$5000,SummaryHelper!$A$2:$A$5000,$T188,SummaryHelper!$B$2:$B$5000,$U188,SummaryHelper!$C$2:$C$5000,$V188))</f>
        <v/>
      </c>
      <c r="AB188" s="9" t="str">
        <f t="shared" si="32"/>
        <v/>
      </c>
      <c r="AC188" s="9" t="str">
        <f t="shared" si="33"/>
        <v/>
      </c>
      <c r="AH188" t="str">
        <f>IF($AF188="","",IFERROR(SUMIFS(SummaryHelper!$H$2:$H$5000,SummaryHelper!$A$2:$A$5000,$AE188,SummaryHelper!$B$2:$B$5000,$AF188,SummaryHelper!$C$2:$C$5000,$AG188)/SUMIFS(SummaryHelper!$G$2:$G$5000,SummaryHelper!$A$2:$A$5000,$AE188,SummaryHelper!$B$2:$B$5000,$AF188,SummaryHelper!$C$2:$C$5000,$AG188),""))</f>
        <v/>
      </c>
      <c r="AI188" t="str">
        <f>IF($AF188="","",SUMIFS(SummaryHelper!$E$2:$E$5000,SummaryHelper!$A$2:$A$5000,$AE188,SummaryHelper!$B$2:$B$5000,$AF188,SummaryHelper!$C$2:$C$5000,$AG188))</f>
        <v/>
      </c>
      <c r="AJ188" t="str">
        <f>IF($AF188="","",SUMIFS(SummaryHelper!$F$2:$F$5000,SummaryHelper!$A$2:$A$5000,$AE188,SummaryHelper!$B$2:$B$5000,$AF188,SummaryHelper!$C$2:$C$5000,$AG188))</f>
        <v/>
      </c>
      <c r="AK188" t="str">
        <f>IF($AF188="","",SUMIFS(SummaryHelper!$G$2:$G$5000,SummaryHelper!$A$2:$A$5000,$AE188,SummaryHelper!$B$2:$B$5000,$AF188,SummaryHelper!$C$2:$C$5000,$AG188))</f>
        <v/>
      </c>
      <c r="AM188" t="str">
        <f t="shared" si="34"/>
        <v/>
      </c>
      <c r="AN188" t="str">
        <f t="shared" si="35"/>
        <v/>
      </c>
    </row>
    <row r="189" spans="1:40" x14ac:dyDescent="0.25">
      <c r="A189" s="12"/>
      <c r="B189" s="23" t="str">
        <f t="shared" si="36"/>
        <v/>
      </c>
      <c r="C189" s="9" t="str">
        <f t="shared" ca="1" si="25"/>
        <v/>
      </c>
      <c r="D189" s="9" t="str">
        <f t="shared" ca="1" si="26"/>
        <v/>
      </c>
      <c r="E189" s="9" t="str">
        <f t="shared" ca="1" si="27"/>
        <v/>
      </c>
      <c r="F189" s="9" t="str">
        <f t="shared" si="28"/>
        <v/>
      </c>
      <c r="G189" s="9">
        <f t="shared" si="29"/>
        <v>0</v>
      </c>
      <c r="L189" s="9" t="str">
        <f>IF($J189="","",IFERROR(SUMIFS(SummaryHelper!$H$2:$H$5000,SummaryHelper!$A$2:$A$5000,$I189,SummaryHelper!$B$2:$B$5000,$J189,SummaryHelper!$C$2:$C$5000,$K189)/SUMIFS(SummaryHelper!$G$2:$G$5000,SummaryHelper!$A$2:$A$5000,$I189,SummaryHelper!$B$2:$B$5000,$J189,SummaryHelper!$C$2:$C$5000,$K189),""))</f>
        <v/>
      </c>
      <c r="M189" s="9" t="str">
        <f>IF($J189="","",SUMIFS(SummaryHelper!$E$2:$E$5000,SummaryHelper!$A$2:$A$5000,$I189,SummaryHelper!$B$2:$B$5000,$J189,SummaryHelper!$C$2:$C$5000,$K189))</f>
        <v/>
      </c>
      <c r="N189" s="9" t="str">
        <f>IF($J189="","",SUMIFS(SummaryHelper!$F$2:$F$5000,SummaryHelper!$A$2:$A$5000,$I189,SummaryHelper!$B$2:$B$5000,$J189,SummaryHelper!$C$2:$C$5000,$K189))</f>
        <v/>
      </c>
      <c r="O189" s="9" t="str">
        <f>IF($J189="","",SUMIFS(SummaryHelper!$G$2:$G$5000,SummaryHelper!$A$2:$A$5000,$I189,SummaryHelper!$B$2:$B$5000,$J189,SummaryHelper!$C$2:$C$5000,$K189))</f>
        <v/>
      </c>
      <c r="Q189" s="9" t="str">
        <f t="shared" si="30"/>
        <v/>
      </c>
      <c r="R189" s="9" t="str">
        <f t="shared" si="31"/>
        <v/>
      </c>
      <c r="W189" s="9" t="str">
        <f>IF($U189="","",IFERROR(SUMIFS(SummaryHelper!$H$2:$H$5000,SummaryHelper!$A$2:$A$5000,$T189,SummaryHelper!$B$2:$B$5000,$U189,SummaryHelper!$C$2:$C$5000,$V189)/SUMIFS(SummaryHelper!$G$2:$G$5000,SummaryHelper!$A$2:$A$5000,$T189,SummaryHelper!$B$2:$B$5000,$U189,SummaryHelper!$C$2:$C$5000,$V189),""))</f>
        <v/>
      </c>
      <c r="X189" s="9" t="str">
        <f>IF($U189="","",SUMIFS(SummaryHelper!$E$2:$E$5000,SummaryHelper!$A$2:$A$5000,$T189,SummaryHelper!$B$2:$B$5000,$U189,SummaryHelper!$C$2:$C$5000,$V189))</f>
        <v/>
      </c>
      <c r="Y189" s="9" t="str">
        <f>IF($U189="","",SUMIFS(SummaryHelper!$F$2:$F$5000,SummaryHelper!$A$2:$A$5000,$T189,SummaryHelper!$B$2:$B$5000,$U189,SummaryHelper!$C$2:$C$5000,$V189))</f>
        <v/>
      </c>
      <c r="Z189" s="9" t="str">
        <f>IF($U189="","",SUMIFS(SummaryHelper!$G$2:$G$5000,SummaryHelper!$A$2:$A$5000,$T189,SummaryHelper!$B$2:$B$5000,$U189,SummaryHelper!$C$2:$C$5000,$V189))</f>
        <v/>
      </c>
      <c r="AB189" s="9" t="str">
        <f t="shared" si="32"/>
        <v/>
      </c>
      <c r="AC189" s="9" t="str">
        <f t="shared" si="33"/>
        <v/>
      </c>
      <c r="AH189" t="str">
        <f>IF($AF189="","",IFERROR(SUMIFS(SummaryHelper!$H$2:$H$5000,SummaryHelper!$A$2:$A$5000,$AE189,SummaryHelper!$B$2:$B$5000,$AF189,SummaryHelper!$C$2:$C$5000,$AG189)/SUMIFS(SummaryHelper!$G$2:$G$5000,SummaryHelper!$A$2:$A$5000,$AE189,SummaryHelper!$B$2:$B$5000,$AF189,SummaryHelper!$C$2:$C$5000,$AG189),""))</f>
        <v/>
      </c>
      <c r="AI189" t="str">
        <f>IF($AF189="","",SUMIFS(SummaryHelper!$E$2:$E$5000,SummaryHelper!$A$2:$A$5000,$AE189,SummaryHelper!$B$2:$B$5000,$AF189,SummaryHelper!$C$2:$C$5000,$AG189))</f>
        <v/>
      </c>
      <c r="AJ189" t="str">
        <f>IF($AF189="","",SUMIFS(SummaryHelper!$F$2:$F$5000,SummaryHelper!$A$2:$A$5000,$AE189,SummaryHelper!$B$2:$B$5000,$AF189,SummaryHelper!$C$2:$C$5000,$AG189))</f>
        <v/>
      </c>
      <c r="AK189" t="str">
        <f>IF($AF189="","",SUMIFS(SummaryHelper!$G$2:$G$5000,SummaryHelper!$A$2:$A$5000,$AE189,SummaryHelper!$B$2:$B$5000,$AF189,SummaryHelper!$C$2:$C$5000,$AG189))</f>
        <v/>
      </c>
      <c r="AM189" t="str">
        <f t="shared" si="34"/>
        <v/>
      </c>
      <c r="AN189" t="str">
        <f t="shared" si="35"/>
        <v/>
      </c>
    </row>
    <row r="190" spans="1:40" x14ac:dyDescent="0.25">
      <c r="A190" s="12"/>
      <c r="B190" s="23" t="str">
        <f t="shared" si="36"/>
        <v/>
      </c>
      <c r="C190" s="9" t="str">
        <f t="shared" ca="1" si="25"/>
        <v/>
      </c>
      <c r="D190" s="9" t="str">
        <f t="shared" ca="1" si="26"/>
        <v/>
      </c>
      <c r="E190" s="9" t="str">
        <f t="shared" ca="1" si="27"/>
        <v/>
      </c>
      <c r="F190" s="9" t="str">
        <f t="shared" si="28"/>
        <v/>
      </c>
      <c r="G190" s="9">
        <f t="shared" si="29"/>
        <v>0</v>
      </c>
      <c r="L190" s="9" t="str">
        <f>IF($J190="","",IFERROR(SUMIFS(SummaryHelper!$H$2:$H$5000,SummaryHelper!$A$2:$A$5000,$I190,SummaryHelper!$B$2:$B$5000,$J190,SummaryHelper!$C$2:$C$5000,$K190)/SUMIFS(SummaryHelper!$G$2:$G$5000,SummaryHelper!$A$2:$A$5000,$I190,SummaryHelper!$B$2:$B$5000,$J190,SummaryHelper!$C$2:$C$5000,$K190),""))</f>
        <v/>
      </c>
      <c r="M190" s="9" t="str">
        <f>IF($J190="","",SUMIFS(SummaryHelper!$E$2:$E$5000,SummaryHelper!$A$2:$A$5000,$I190,SummaryHelper!$B$2:$B$5000,$J190,SummaryHelper!$C$2:$C$5000,$K190))</f>
        <v/>
      </c>
      <c r="N190" s="9" t="str">
        <f>IF($J190="","",SUMIFS(SummaryHelper!$F$2:$F$5000,SummaryHelper!$A$2:$A$5000,$I190,SummaryHelper!$B$2:$B$5000,$J190,SummaryHelper!$C$2:$C$5000,$K190))</f>
        <v/>
      </c>
      <c r="O190" s="9" t="str">
        <f>IF($J190="","",SUMIFS(SummaryHelper!$G$2:$G$5000,SummaryHelper!$A$2:$A$5000,$I190,SummaryHelper!$B$2:$B$5000,$J190,SummaryHelper!$C$2:$C$5000,$K190))</f>
        <v/>
      </c>
      <c r="Q190" s="9" t="str">
        <f t="shared" si="30"/>
        <v/>
      </c>
      <c r="R190" s="9" t="str">
        <f t="shared" si="31"/>
        <v/>
      </c>
      <c r="W190" s="9" t="str">
        <f>IF($U190="","",IFERROR(SUMIFS(SummaryHelper!$H$2:$H$5000,SummaryHelper!$A$2:$A$5000,$T190,SummaryHelper!$B$2:$B$5000,$U190,SummaryHelper!$C$2:$C$5000,$V190)/SUMIFS(SummaryHelper!$G$2:$G$5000,SummaryHelper!$A$2:$A$5000,$T190,SummaryHelper!$B$2:$B$5000,$U190,SummaryHelper!$C$2:$C$5000,$V190),""))</f>
        <v/>
      </c>
      <c r="X190" s="9" t="str">
        <f>IF($U190="","",SUMIFS(SummaryHelper!$E$2:$E$5000,SummaryHelper!$A$2:$A$5000,$T190,SummaryHelper!$B$2:$B$5000,$U190,SummaryHelper!$C$2:$C$5000,$V190))</f>
        <v/>
      </c>
      <c r="Y190" s="9" t="str">
        <f>IF($U190="","",SUMIFS(SummaryHelper!$F$2:$F$5000,SummaryHelper!$A$2:$A$5000,$T190,SummaryHelper!$B$2:$B$5000,$U190,SummaryHelper!$C$2:$C$5000,$V190))</f>
        <v/>
      </c>
      <c r="Z190" s="9" t="str">
        <f>IF($U190="","",SUMIFS(SummaryHelper!$G$2:$G$5000,SummaryHelper!$A$2:$A$5000,$T190,SummaryHelper!$B$2:$B$5000,$U190,SummaryHelper!$C$2:$C$5000,$V190))</f>
        <v/>
      </c>
      <c r="AB190" s="9" t="str">
        <f t="shared" si="32"/>
        <v/>
      </c>
      <c r="AC190" s="9" t="str">
        <f t="shared" si="33"/>
        <v/>
      </c>
      <c r="AH190" t="str">
        <f>IF($AF190="","",IFERROR(SUMIFS(SummaryHelper!$H$2:$H$5000,SummaryHelper!$A$2:$A$5000,$AE190,SummaryHelper!$B$2:$B$5000,$AF190,SummaryHelper!$C$2:$C$5000,$AG190)/SUMIFS(SummaryHelper!$G$2:$G$5000,SummaryHelper!$A$2:$A$5000,$AE190,SummaryHelper!$B$2:$B$5000,$AF190,SummaryHelper!$C$2:$C$5000,$AG190),""))</f>
        <v/>
      </c>
      <c r="AI190" t="str">
        <f>IF($AF190="","",SUMIFS(SummaryHelper!$E$2:$E$5000,SummaryHelper!$A$2:$A$5000,$AE190,SummaryHelper!$B$2:$B$5000,$AF190,SummaryHelper!$C$2:$C$5000,$AG190))</f>
        <v/>
      </c>
      <c r="AJ190" t="str">
        <f>IF($AF190="","",SUMIFS(SummaryHelper!$F$2:$F$5000,SummaryHelper!$A$2:$A$5000,$AE190,SummaryHelper!$B$2:$B$5000,$AF190,SummaryHelper!$C$2:$C$5000,$AG190))</f>
        <v/>
      </c>
      <c r="AK190" t="str">
        <f>IF($AF190="","",SUMIFS(SummaryHelper!$G$2:$G$5000,SummaryHelper!$A$2:$A$5000,$AE190,SummaryHelper!$B$2:$B$5000,$AF190,SummaryHelper!$C$2:$C$5000,$AG190))</f>
        <v/>
      </c>
      <c r="AM190" t="str">
        <f t="shared" si="34"/>
        <v/>
      </c>
      <c r="AN190" t="str">
        <f t="shared" si="35"/>
        <v/>
      </c>
    </row>
    <row r="191" spans="1:40" x14ac:dyDescent="0.25">
      <c r="A191" s="12"/>
      <c r="B191" s="23" t="str">
        <f t="shared" si="36"/>
        <v/>
      </c>
      <c r="C191" s="9" t="str">
        <f t="shared" ca="1" si="25"/>
        <v/>
      </c>
      <c r="D191" s="9" t="str">
        <f t="shared" ca="1" si="26"/>
        <v/>
      </c>
      <c r="E191" s="9" t="str">
        <f t="shared" ca="1" si="27"/>
        <v/>
      </c>
      <c r="F191" s="9" t="str">
        <f t="shared" si="28"/>
        <v/>
      </c>
      <c r="G191" s="9">
        <f t="shared" si="29"/>
        <v>0</v>
      </c>
      <c r="L191" s="9" t="str">
        <f>IF($J191="","",IFERROR(SUMIFS(SummaryHelper!$H$2:$H$5000,SummaryHelper!$A$2:$A$5000,$I191,SummaryHelper!$B$2:$B$5000,$J191,SummaryHelper!$C$2:$C$5000,$K191)/SUMIFS(SummaryHelper!$G$2:$G$5000,SummaryHelper!$A$2:$A$5000,$I191,SummaryHelper!$B$2:$B$5000,$J191,SummaryHelper!$C$2:$C$5000,$K191),""))</f>
        <v/>
      </c>
      <c r="M191" s="9" t="str">
        <f>IF($J191="","",SUMIFS(SummaryHelper!$E$2:$E$5000,SummaryHelper!$A$2:$A$5000,$I191,SummaryHelper!$B$2:$B$5000,$J191,SummaryHelper!$C$2:$C$5000,$K191))</f>
        <v/>
      </c>
      <c r="N191" s="9" t="str">
        <f>IF($J191="","",SUMIFS(SummaryHelper!$F$2:$F$5000,SummaryHelper!$A$2:$A$5000,$I191,SummaryHelper!$B$2:$B$5000,$J191,SummaryHelper!$C$2:$C$5000,$K191))</f>
        <v/>
      </c>
      <c r="O191" s="9" t="str">
        <f>IF($J191="","",SUMIFS(SummaryHelper!$G$2:$G$5000,SummaryHelper!$A$2:$A$5000,$I191,SummaryHelper!$B$2:$B$5000,$J191,SummaryHelper!$C$2:$C$5000,$K191))</f>
        <v/>
      </c>
      <c r="Q191" s="9" t="str">
        <f t="shared" si="30"/>
        <v/>
      </c>
      <c r="R191" s="9" t="str">
        <f t="shared" si="31"/>
        <v/>
      </c>
      <c r="W191" s="9" t="str">
        <f>IF($U191="","",IFERROR(SUMIFS(SummaryHelper!$H$2:$H$5000,SummaryHelper!$A$2:$A$5000,$T191,SummaryHelper!$B$2:$B$5000,$U191,SummaryHelper!$C$2:$C$5000,$V191)/SUMIFS(SummaryHelper!$G$2:$G$5000,SummaryHelper!$A$2:$A$5000,$T191,SummaryHelper!$B$2:$B$5000,$U191,SummaryHelper!$C$2:$C$5000,$V191),""))</f>
        <v/>
      </c>
      <c r="X191" s="9" t="str">
        <f>IF($U191="","",SUMIFS(SummaryHelper!$E$2:$E$5000,SummaryHelper!$A$2:$A$5000,$T191,SummaryHelper!$B$2:$B$5000,$U191,SummaryHelper!$C$2:$C$5000,$V191))</f>
        <v/>
      </c>
      <c r="Y191" s="9" t="str">
        <f>IF($U191="","",SUMIFS(SummaryHelper!$F$2:$F$5000,SummaryHelper!$A$2:$A$5000,$T191,SummaryHelper!$B$2:$B$5000,$U191,SummaryHelper!$C$2:$C$5000,$V191))</f>
        <v/>
      </c>
      <c r="Z191" s="9" t="str">
        <f>IF($U191="","",SUMIFS(SummaryHelper!$G$2:$G$5000,SummaryHelper!$A$2:$A$5000,$T191,SummaryHelper!$B$2:$B$5000,$U191,SummaryHelper!$C$2:$C$5000,$V191))</f>
        <v/>
      </c>
      <c r="AB191" s="9" t="str">
        <f t="shared" si="32"/>
        <v/>
      </c>
      <c r="AC191" s="9" t="str">
        <f t="shared" si="33"/>
        <v/>
      </c>
      <c r="AH191" t="str">
        <f>IF($AF191="","",IFERROR(SUMIFS(SummaryHelper!$H$2:$H$5000,SummaryHelper!$A$2:$A$5000,$AE191,SummaryHelper!$B$2:$B$5000,$AF191,SummaryHelper!$C$2:$C$5000,$AG191)/SUMIFS(SummaryHelper!$G$2:$G$5000,SummaryHelper!$A$2:$A$5000,$AE191,SummaryHelper!$B$2:$B$5000,$AF191,SummaryHelper!$C$2:$C$5000,$AG191),""))</f>
        <v/>
      </c>
      <c r="AI191" t="str">
        <f>IF($AF191="","",SUMIFS(SummaryHelper!$E$2:$E$5000,SummaryHelper!$A$2:$A$5000,$AE191,SummaryHelper!$B$2:$B$5000,$AF191,SummaryHelper!$C$2:$C$5000,$AG191))</f>
        <v/>
      </c>
      <c r="AJ191" t="str">
        <f>IF($AF191="","",SUMIFS(SummaryHelper!$F$2:$F$5000,SummaryHelper!$A$2:$A$5000,$AE191,SummaryHelper!$B$2:$B$5000,$AF191,SummaryHelper!$C$2:$C$5000,$AG191))</f>
        <v/>
      </c>
      <c r="AK191" t="str">
        <f>IF($AF191="","",SUMIFS(SummaryHelper!$G$2:$G$5000,SummaryHelper!$A$2:$A$5000,$AE191,SummaryHelper!$B$2:$B$5000,$AF191,SummaryHelper!$C$2:$C$5000,$AG191))</f>
        <v/>
      </c>
      <c r="AM191" t="str">
        <f t="shared" si="34"/>
        <v/>
      </c>
      <c r="AN191" t="str">
        <f t="shared" si="35"/>
        <v/>
      </c>
    </row>
    <row r="192" spans="1:40" x14ac:dyDescent="0.25">
      <c r="A192" s="12"/>
      <c r="B192" s="23" t="str">
        <f t="shared" si="36"/>
        <v/>
      </c>
      <c r="C192" s="9" t="str">
        <f t="shared" ca="1" si="25"/>
        <v/>
      </c>
      <c r="D192" s="9" t="str">
        <f t="shared" ca="1" si="26"/>
        <v/>
      </c>
      <c r="E192" s="9" t="str">
        <f t="shared" ca="1" si="27"/>
        <v/>
      </c>
      <c r="F192" s="9" t="str">
        <f t="shared" si="28"/>
        <v/>
      </c>
      <c r="G192" s="9">
        <f t="shared" si="29"/>
        <v>0</v>
      </c>
      <c r="L192" s="9" t="str">
        <f>IF($J192="","",IFERROR(SUMIFS(SummaryHelper!$H$2:$H$5000,SummaryHelper!$A$2:$A$5000,$I192,SummaryHelper!$B$2:$B$5000,$J192,SummaryHelper!$C$2:$C$5000,$K192)/SUMIFS(SummaryHelper!$G$2:$G$5000,SummaryHelper!$A$2:$A$5000,$I192,SummaryHelper!$B$2:$B$5000,$J192,SummaryHelper!$C$2:$C$5000,$K192),""))</f>
        <v/>
      </c>
      <c r="M192" s="9" t="str">
        <f>IF($J192="","",SUMIFS(SummaryHelper!$E$2:$E$5000,SummaryHelper!$A$2:$A$5000,$I192,SummaryHelper!$B$2:$B$5000,$J192,SummaryHelper!$C$2:$C$5000,$K192))</f>
        <v/>
      </c>
      <c r="N192" s="9" t="str">
        <f>IF($J192="","",SUMIFS(SummaryHelper!$F$2:$F$5000,SummaryHelper!$A$2:$A$5000,$I192,SummaryHelper!$B$2:$B$5000,$J192,SummaryHelper!$C$2:$C$5000,$K192))</f>
        <v/>
      </c>
      <c r="O192" s="9" t="str">
        <f>IF($J192="","",SUMIFS(SummaryHelper!$G$2:$G$5000,SummaryHelper!$A$2:$A$5000,$I192,SummaryHelper!$B$2:$B$5000,$J192,SummaryHelper!$C$2:$C$5000,$K192))</f>
        <v/>
      </c>
      <c r="Q192" s="9" t="str">
        <f t="shared" si="30"/>
        <v/>
      </c>
      <c r="R192" s="9" t="str">
        <f t="shared" si="31"/>
        <v/>
      </c>
      <c r="W192" s="9" t="str">
        <f>IF($U192="","",IFERROR(SUMIFS(SummaryHelper!$H$2:$H$5000,SummaryHelper!$A$2:$A$5000,$T192,SummaryHelper!$B$2:$B$5000,$U192,SummaryHelper!$C$2:$C$5000,$V192)/SUMIFS(SummaryHelper!$G$2:$G$5000,SummaryHelper!$A$2:$A$5000,$T192,SummaryHelper!$B$2:$B$5000,$U192,SummaryHelper!$C$2:$C$5000,$V192),""))</f>
        <v/>
      </c>
      <c r="X192" s="9" t="str">
        <f>IF($U192="","",SUMIFS(SummaryHelper!$E$2:$E$5000,SummaryHelper!$A$2:$A$5000,$T192,SummaryHelper!$B$2:$B$5000,$U192,SummaryHelper!$C$2:$C$5000,$V192))</f>
        <v/>
      </c>
      <c r="Y192" s="9" t="str">
        <f>IF($U192="","",SUMIFS(SummaryHelper!$F$2:$F$5000,SummaryHelper!$A$2:$A$5000,$T192,SummaryHelper!$B$2:$B$5000,$U192,SummaryHelper!$C$2:$C$5000,$V192))</f>
        <v/>
      </c>
      <c r="Z192" s="9" t="str">
        <f>IF($U192="","",SUMIFS(SummaryHelper!$G$2:$G$5000,SummaryHelper!$A$2:$A$5000,$T192,SummaryHelper!$B$2:$B$5000,$U192,SummaryHelper!$C$2:$C$5000,$V192))</f>
        <v/>
      </c>
      <c r="AB192" s="9" t="str">
        <f t="shared" si="32"/>
        <v/>
      </c>
      <c r="AC192" s="9" t="str">
        <f t="shared" si="33"/>
        <v/>
      </c>
      <c r="AH192" t="str">
        <f>IF($AF192="","",IFERROR(SUMIFS(SummaryHelper!$H$2:$H$5000,SummaryHelper!$A$2:$A$5000,$AE192,SummaryHelper!$B$2:$B$5000,$AF192,SummaryHelper!$C$2:$C$5000,$AG192)/SUMIFS(SummaryHelper!$G$2:$G$5000,SummaryHelper!$A$2:$A$5000,$AE192,SummaryHelper!$B$2:$B$5000,$AF192,SummaryHelper!$C$2:$C$5000,$AG192),""))</f>
        <v/>
      </c>
      <c r="AI192" t="str">
        <f>IF($AF192="","",SUMIFS(SummaryHelper!$E$2:$E$5000,SummaryHelper!$A$2:$A$5000,$AE192,SummaryHelper!$B$2:$B$5000,$AF192,SummaryHelper!$C$2:$C$5000,$AG192))</f>
        <v/>
      </c>
      <c r="AJ192" t="str">
        <f>IF($AF192="","",SUMIFS(SummaryHelper!$F$2:$F$5000,SummaryHelper!$A$2:$A$5000,$AE192,SummaryHelper!$B$2:$B$5000,$AF192,SummaryHelper!$C$2:$C$5000,$AG192))</f>
        <v/>
      </c>
      <c r="AK192" t="str">
        <f>IF($AF192="","",SUMIFS(SummaryHelper!$G$2:$G$5000,SummaryHelper!$A$2:$A$5000,$AE192,SummaryHelper!$B$2:$B$5000,$AF192,SummaryHelper!$C$2:$C$5000,$AG192))</f>
        <v/>
      </c>
      <c r="AM192" t="str">
        <f t="shared" si="34"/>
        <v/>
      </c>
      <c r="AN192" t="str">
        <f t="shared" si="35"/>
        <v/>
      </c>
    </row>
    <row r="193" spans="1:40" x14ac:dyDescent="0.25">
      <c r="A193" s="12"/>
      <c r="B193" s="23" t="str">
        <f t="shared" si="36"/>
        <v/>
      </c>
      <c r="C193" s="9" t="str">
        <f t="shared" ca="1" si="25"/>
        <v/>
      </c>
      <c r="D193" s="9" t="str">
        <f t="shared" ca="1" si="26"/>
        <v/>
      </c>
      <c r="E193" s="9" t="str">
        <f t="shared" ca="1" si="27"/>
        <v/>
      </c>
      <c r="F193" s="9" t="str">
        <f t="shared" si="28"/>
        <v/>
      </c>
      <c r="G193" s="9">
        <f t="shared" si="29"/>
        <v>0</v>
      </c>
      <c r="L193" s="9" t="str">
        <f>IF($J193="","",IFERROR(SUMIFS(SummaryHelper!$H$2:$H$5000,SummaryHelper!$A$2:$A$5000,$I193,SummaryHelper!$B$2:$B$5000,$J193,SummaryHelper!$C$2:$C$5000,$K193)/SUMIFS(SummaryHelper!$G$2:$G$5000,SummaryHelper!$A$2:$A$5000,$I193,SummaryHelper!$B$2:$B$5000,$J193,SummaryHelper!$C$2:$C$5000,$K193),""))</f>
        <v/>
      </c>
      <c r="M193" s="9" t="str">
        <f>IF($J193="","",SUMIFS(SummaryHelper!$E$2:$E$5000,SummaryHelper!$A$2:$A$5000,$I193,SummaryHelper!$B$2:$B$5000,$J193,SummaryHelper!$C$2:$C$5000,$K193))</f>
        <v/>
      </c>
      <c r="N193" s="9" t="str">
        <f>IF($J193="","",SUMIFS(SummaryHelper!$F$2:$F$5000,SummaryHelper!$A$2:$A$5000,$I193,SummaryHelper!$B$2:$B$5000,$J193,SummaryHelper!$C$2:$C$5000,$K193))</f>
        <v/>
      </c>
      <c r="O193" s="9" t="str">
        <f>IF($J193="","",SUMIFS(SummaryHelper!$G$2:$G$5000,SummaryHelper!$A$2:$A$5000,$I193,SummaryHelper!$B$2:$B$5000,$J193,SummaryHelper!$C$2:$C$5000,$K193))</f>
        <v/>
      </c>
      <c r="Q193" s="9" t="str">
        <f t="shared" si="30"/>
        <v/>
      </c>
      <c r="R193" s="9" t="str">
        <f t="shared" si="31"/>
        <v/>
      </c>
      <c r="W193" s="9" t="str">
        <f>IF($U193="","",IFERROR(SUMIFS(SummaryHelper!$H$2:$H$5000,SummaryHelper!$A$2:$A$5000,$T193,SummaryHelper!$B$2:$B$5000,$U193,SummaryHelper!$C$2:$C$5000,$V193)/SUMIFS(SummaryHelper!$G$2:$G$5000,SummaryHelper!$A$2:$A$5000,$T193,SummaryHelper!$B$2:$B$5000,$U193,SummaryHelper!$C$2:$C$5000,$V193),""))</f>
        <v/>
      </c>
      <c r="X193" s="9" t="str">
        <f>IF($U193="","",SUMIFS(SummaryHelper!$E$2:$E$5000,SummaryHelper!$A$2:$A$5000,$T193,SummaryHelper!$B$2:$B$5000,$U193,SummaryHelper!$C$2:$C$5000,$V193))</f>
        <v/>
      </c>
      <c r="Y193" s="9" t="str">
        <f>IF($U193="","",SUMIFS(SummaryHelper!$F$2:$F$5000,SummaryHelper!$A$2:$A$5000,$T193,SummaryHelper!$B$2:$B$5000,$U193,SummaryHelper!$C$2:$C$5000,$V193))</f>
        <v/>
      </c>
      <c r="Z193" s="9" t="str">
        <f>IF($U193="","",SUMIFS(SummaryHelper!$G$2:$G$5000,SummaryHelper!$A$2:$A$5000,$T193,SummaryHelper!$B$2:$B$5000,$U193,SummaryHelper!$C$2:$C$5000,$V193))</f>
        <v/>
      </c>
      <c r="AB193" s="9" t="str">
        <f t="shared" si="32"/>
        <v/>
      </c>
      <c r="AC193" s="9" t="str">
        <f t="shared" si="33"/>
        <v/>
      </c>
      <c r="AH193" t="str">
        <f>IF($AF193="","",IFERROR(SUMIFS(SummaryHelper!$H$2:$H$5000,SummaryHelper!$A$2:$A$5000,$AE193,SummaryHelper!$B$2:$B$5000,$AF193,SummaryHelper!$C$2:$C$5000,$AG193)/SUMIFS(SummaryHelper!$G$2:$G$5000,SummaryHelper!$A$2:$A$5000,$AE193,SummaryHelper!$B$2:$B$5000,$AF193,SummaryHelper!$C$2:$C$5000,$AG193),""))</f>
        <v/>
      </c>
      <c r="AI193" t="str">
        <f>IF($AF193="","",SUMIFS(SummaryHelper!$E$2:$E$5000,SummaryHelper!$A$2:$A$5000,$AE193,SummaryHelper!$B$2:$B$5000,$AF193,SummaryHelper!$C$2:$C$5000,$AG193))</f>
        <v/>
      </c>
      <c r="AJ193" t="str">
        <f>IF($AF193="","",SUMIFS(SummaryHelper!$F$2:$F$5000,SummaryHelper!$A$2:$A$5000,$AE193,SummaryHelper!$B$2:$B$5000,$AF193,SummaryHelper!$C$2:$C$5000,$AG193))</f>
        <v/>
      </c>
      <c r="AK193" t="str">
        <f>IF($AF193="","",SUMIFS(SummaryHelper!$G$2:$G$5000,SummaryHelper!$A$2:$A$5000,$AE193,SummaryHelper!$B$2:$B$5000,$AF193,SummaryHelper!$C$2:$C$5000,$AG193))</f>
        <v/>
      </c>
      <c r="AM193" t="str">
        <f t="shared" si="34"/>
        <v/>
      </c>
      <c r="AN193" t="str">
        <f t="shared" si="35"/>
        <v/>
      </c>
    </row>
    <row r="194" spans="1:40" x14ac:dyDescent="0.25">
      <c r="A194" s="12"/>
      <c r="B194" s="23" t="str">
        <f t="shared" si="36"/>
        <v/>
      </c>
      <c r="C194" s="9" t="str">
        <f t="shared" ca="1" si="25"/>
        <v/>
      </c>
      <c r="D194" s="9" t="str">
        <f t="shared" ca="1" si="26"/>
        <v/>
      </c>
      <c r="E194" s="9" t="str">
        <f t="shared" ca="1" si="27"/>
        <v/>
      </c>
      <c r="F194" s="9" t="str">
        <f t="shared" si="28"/>
        <v/>
      </c>
      <c r="G194" s="9">
        <f t="shared" si="29"/>
        <v>0</v>
      </c>
      <c r="L194" s="9" t="str">
        <f>IF($J194="","",IFERROR(SUMIFS(SummaryHelper!$H$2:$H$5000,SummaryHelper!$A$2:$A$5000,$I194,SummaryHelper!$B$2:$B$5000,$J194,SummaryHelper!$C$2:$C$5000,$K194)/SUMIFS(SummaryHelper!$G$2:$G$5000,SummaryHelper!$A$2:$A$5000,$I194,SummaryHelper!$B$2:$B$5000,$J194,SummaryHelper!$C$2:$C$5000,$K194),""))</f>
        <v/>
      </c>
      <c r="M194" s="9" t="str">
        <f>IF($J194="","",SUMIFS(SummaryHelper!$E$2:$E$5000,SummaryHelper!$A$2:$A$5000,$I194,SummaryHelper!$B$2:$B$5000,$J194,SummaryHelper!$C$2:$C$5000,$K194))</f>
        <v/>
      </c>
      <c r="N194" s="9" t="str">
        <f>IF($J194="","",SUMIFS(SummaryHelper!$F$2:$F$5000,SummaryHelper!$A$2:$A$5000,$I194,SummaryHelper!$B$2:$B$5000,$J194,SummaryHelper!$C$2:$C$5000,$K194))</f>
        <v/>
      </c>
      <c r="O194" s="9" t="str">
        <f>IF($J194="","",SUMIFS(SummaryHelper!$G$2:$G$5000,SummaryHelper!$A$2:$A$5000,$I194,SummaryHelper!$B$2:$B$5000,$J194,SummaryHelper!$C$2:$C$5000,$K194))</f>
        <v/>
      </c>
      <c r="Q194" s="9" t="str">
        <f t="shared" si="30"/>
        <v/>
      </c>
      <c r="R194" s="9" t="str">
        <f t="shared" si="31"/>
        <v/>
      </c>
      <c r="W194" s="9" t="str">
        <f>IF($U194="","",IFERROR(SUMIFS(SummaryHelper!$H$2:$H$5000,SummaryHelper!$A$2:$A$5000,$T194,SummaryHelper!$B$2:$B$5000,$U194,SummaryHelper!$C$2:$C$5000,$V194)/SUMIFS(SummaryHelper!$G$2:$G$5000,SummaryHelper!$A$2:$A$5000,$T194,SummaryHelper!$B$2:$B$5000,$U194,SummaryHelper!$C$2:$C$5000,$V194),""))</f>
        <v/>
      </c>
      <c r="X194" s="9" t="str">
        <f>IF($U194="","",SUMIFS(SummaryHelper!$E$2:$E$5000,SummaryHelper!$A$2:$A$5000,$T194,SummaryHelper!$B$2:$B$5000,$U194,SummaryHelper!$C$2:$C$5000,$V194))</f>
        <v/>
      </c>
      <c r="Y194" s="9" t="str">
        <f>IF($U194="","",SUMIFS(SummaryHelper!$F$2:$F$5000,SummaryHelper!$A$2:$A$5000,$T194,SummaryHelper!$B$2:$B$5000,$U194,SummaryHelper!$C$2:$C$5000,$V194))</f>
        <v/>
      </c>
      <c r="Z194" s="9" t="str">
        <f>IF($U194="","",SUMIFS(SummaryHelper!$G$2:$G$5000,SummaryHelper!$A$2:$A$5000,$T194,SummaryHelper!$B$2:$B$5000,$U194,SummaryHelper!$C$2:$C$5000,$V194))</f>
        <v/>
      </c>
      <c r="AB194" s="9" t="str">
        <f t="shared" si="32"/>
        <v/>
      </c>
      <c r="AC194" s="9" t="str">
        <f t="shared" si="33"/>
        <v/>
      </c>
      <c r="AH194" t="str">
        <f>IF($AF194="","",IFERROR(SUMIFS(SummaryHelper!$H$2:$H$5000,SummaryHelper!$A$2:$A$5000,$AE194,SummaryHelper!$B$2:$B$5000,$AF194,SummaryHelper!$C$2:$C$5000,$AG194)/SUMIFS(SummaryHelper!$G$2:$G$5000,SummaryHelper!$A$2:$A$5000,$AE194,SummaryHelper!$B$2:$B$5000,$AF194,SummaryHelper!$C$2:$C$5000,$AG194),""))</f>
        <v/>
      </c>
      <c r="AI194" t="str">
        <f>IF($AF194="","",SUMIFS(SummaryHelper!$E$2:$E$5000,SummaryHelper!$A$2:$A$5000,$AE194,SummaryHelper!$B$2:$B$5000,$AF194,SummaryHelper!$C$2:$C$5000,$AG194))</f>
        <v/>
      </c>
      <c r="AJ194" t="str">
        <f>IF($AF194="","",SUMIFS(SummaryHelper!$F$2:$F$5000,SummaryHelper!$A$2:$A$5000,$AE194,SummaryHelper!$B$2:$B$5000,$AF194,SummaryHelper!$C$2:$C$5000,$AG194))</f>
        <v/>
      </c>
      <c r="AK194" t="str">
        <f>IF($AF194="","",SUMIFS(SummaryHelper!$G$2:$G$5000,SummaryHelper!$A$2:$A$5000,$AE194,SummaryHelper!$B$2:$B$5000,$AF194,SummaryHelper!$C$2:$C$5000,$AG194))</f>
        <v/>
      </c>
      <c r="AM194" t="str">
        <f t="shared" si="34"/>
        <v/>
      </c>
      <c r="AN194" t="str">
        <f t="shared" si="35"/>
        <v/>
      </c>
    </row>
    <row r="195" spans="1:40" x14ac:dyDescent="0.25">
      <c r="A195" s="12"/>
      <c r="B195" s="23" t="str">
        <f t="shared" si="36"/>
        <v/>
      </c>
      <c r="C195" s="9" t="str">
        <f t="shared" ca="1" si="25"/>
        <v/>
      </c>
      <c r="D195" s="9" t="str">
        <f t="shared" ca="1" si="26"/>
        <v/>
      </c>
      <c r="E195" s="9" t="str">
        <f t="shared" ca="1" si="27"/>
        <v/>
      </c>
      <c r="F195" s="9" t="str">
        <f t="shared" si="28"/>
        <v/>
      </c>
      <c r="G195" s="9">
        <f t="shared" si="29"/>
        <v>0</v>
      </c>
      <c r="L195" s="9" t="str">
        <f>IF($J195="","",IFERROR(SUMIFS(SummaryHelper!$H$2:$H$5000,SummaryHelper!$A$2:$A$5000,$I195,SummaryHelper!$B$2:$B$5000,$J195,SummaryHelper!$C$2:$C$5000,$K195)/SUMIFS(SummaryHelper!$G$2:$G$5000,SummaryHelper!$A$2:$A$5000,$I195,SummaryHelper!$B$2:$B$5000,$J195,SummaryHelper!$C$2:$C$5000,$K195),""))</f>
        <v/>
      </c>
      <c r="M195" s="9" t="str">
        <f>IF($J195="","",SUMIFS(SummaryHelper!$E$2:$E$5000,SummaryHelper!$A$2:$A$5000,$I195,SummaryHelper!$B$2:$B$5000,$J195,SummaryHelper!$C$2:$C$5000,$K195))</f>
        <v/>
      </c>
      <c r="N195" s="9" t="str">
        <f>IF($J195="","",SUMIFS(SummaryHelper!$F$2:$F$5000,SummaryHelper!$A$2:$A$5000,$I195,SummaryHelper!$B$2:$B$5000,$J195,SummaryHelper!$C$2:$C$5000,$K195))</f>
        <v/>
      </c>
      <c r="O195" s="9" t="str">
        <f>IF($J195="","",SUMIFS(SummaryHelper!$G$2:$G$5000,SummaryHelper!$A$2:$A$5000,$I195,SummaryHelper!$B$2:$B$5000,$J195,SummaryHelper!$C$2:$C$5000,$K195))</f>
        <v/>
      </c>
      <c r="Q195" s="9" t="str">
        <f t="shared" si="30"/>
        <v/>
      </c>
      <c r="R195" s="9" t="str">
        <f t="shared" si="31"/>
        <v/>
      </c>
      <c r="W195" s="9" t="str">
        <f>IF($U195="","",IFERROR(SUMIFS(SummaryHelper!$H$2:$H$5000,SummaryHelper!$A$2:$A$5000,$T195,SummaryHelper!$B$2:$B$5000,$U195,SummaryHelper!$C$2:$C$5000,$V195)/SUMIFS(SummaryHelper!$G$2:$G$5000,SummaryHelper!$A$2:$A$5000,$T195,SummaryHelper!$B$2:$B$5000,$U195,SummaryHelper!$C$2:$C$5000,$V195),""))</f>
        <v/>
      </c>
      <c r="X195" s="9" t="str">
        <f>IF($U195="","",SUMIFS(SummaryHelper!$E$2:$E$5000,SummaryHelper!$A$2:$A$5000,$T195,SummaryHelper!$B$2:$B$5000,$U195,SummaryHelper!$C$2:$C$5000,$V195))</f>
        <v/>
      </c>
      <c r="Y195" s="9" t="str">
        <f>IF($U195="","",SUMIFS(SummaryHelper!$F$2:$F$5000,SummaryHelper!$A$2:$A$5000,$T195,SummaryHelper!$B$2:$B$5000,$U195,SummaryHelper!$C$2:$C$5000,$V195))</f>
        <v/>
      </c>
      <c r="Z195" s="9" t="str">
        <f>IF($U195="","",SUMIFS(SummaryHelper!$G$2:$G$5000,SummaryHelper!$A$2:$A$5000,$T195,SummaryHelper!$B$2:$B$5000,$U195,SummaryHelper!$C$2:$C$5000,$V195))</f>
        <v/>
      </c>
      <c r="AB195" s="9" t="str">
        <f t="shared" si="32"/>
        <v/>
      </c>
      <c r="AC195" s="9" t="str">
        <f t="shared" si="33"/>
        <v/>
      </c>
      <c r="AH195" t="str">
        <f>IF($AF195="","",IFERROR(SUMIFS(SummaryHelper!$H$2:$H$5000,SummaryHelper!$A$2:$A$5000,$AE195,SummaryHelper!$B$2:$B$5000,$AF195,SummaryHelper!$C$2:$C$5000,$AG195)/SUMIFS(SummaryHelper!$G$2:$G$5000,SummaryHelper!$A$2:$A$5000,$AE195,SummaryHelper!$B$2:$B$5000,$AF195,SummaryHelper!$C$2:$C$5000,$AG195),""))</f>
        <v/>
      </c>
      <c r="AI195" t="str">
        <f>IF($AF195="","",SUMIFS(SummaryHelper!$E$2:$E$5000,SummaryHelper!$A$2:$A$5000,$AE195,SummaryHelper!$B$2:$B$5000,$AF195,SummaryHelper!$C$2:$C$5000,$AG195))</f>
        <v/>
      </c>
      <c r="AJ195" t="str">
        <f>IF($AF195="","",SUMIFS(SummaryHelper!$F$2:$F$5000,SummaryHelper!$A$2:$A$5000,$AE195,SummaryHelper!$B$2:$B$5000,$AF195,SummaryHelper!$C$2:$C$5000,$AG195))</f>
        <v/>
      </c>
      <c r="AK195" t="str">
        <f>IF($AF195="","",SUMIFS(SummaryHelper!$G$2:$G$5000,SummaryHelper!$A$2:$A$5000,$AE195,SummaryHelper!$B$2:$B$5000,$AF195,SummaryHelper!$C$2:$C$5000,$AG195))</f>
        <v/>
      </c>
      <c r="AM195" t="str">
        <f t="shared" si="34"/>
        <v/>
      </c>
      <c r="AN195" t="str">
        <f t="shared" si="35"/>
        <v/>
      </c>
    </row>
    <row r="196" spans="1:40" x14ac:dyDescent="0.25">
      <c r="A196" s="12"/>
      <c r="B196" s="23" t="str">
        <f t="shared" si="36"/>
        <v/>
      </c>
      <c r="C196" s="9" t="str">
        <f t="shared" ref="C196:C259" ca="1" si="37">_xlfn.LET(_xlpm.sh,IFERROR(MID($B196,SEARCH("S",$B196),3),$B196),IF($B196="","",IFERROR(SUMIFS(INDIRECT("'"&amp;_xlpm.sh&amp;"'!N3:N300"),INDIRECT("'"&amp;_xlpm.sh&amp;"'!F3:F300"),"&lt;&gt;",INDIRECT("'"&amp;_xlpm.sh&amp;"'!H3:H300"),"&lt;&gt;"),0)))</f>
        <v/>
      </c>
      <c r="D196" s="9" t="str">
        <f t="shared" ref="D196:D259" ca="1" si="38">_xlfn.LET(_xlpm.sh,IFERROR(MID($B196,SEARCH("S",$B196),3),$B196),IF($B196="","",IFERROR(SUMIFS(INDIRECT("'"&amp;_xlpm.sh&amp;"'!Y3:Y300"),INDIRECT("'"&amp;_xlpm.sh&amp;"'!Q3:Q300"),"&lt;&gt;",INDIRECT("'"&amp;_xlpm.sh&amp;"'!S3:S300"),"&lt;&gt;"),0)))</f>
        <v/>
      </c>
      <c r="E196" s="9" t="str">
        <f t="shared" ref="E196:E259" ca="1" si="39">_xlfn.LET(_xlpm.sh,IFERROR(MID($B196,SEARCH("S",$B196),3),$B196),IF($B196="","",IFERROR(SUMIFS(INDIRECT("'"&amp;_xlpm.sh&amp;"'!AJ3:AJ300"),INDIRECT("'"&amp;_xlpm.sh&amp;"'!AB3:AB300"),"&lt;&gt;",INDIRECT("'"&amp;_xlpm.sh&amp;"'!AD3:AD300"),"&lt;&gt;"),0)))</f>
        <v/>
      </c>
      <c r="F196" s="9" t="str">
        <f t="shared" ref="F196:F259" si="40">IF($B196="","",C196+D196+E196)</f>
        <v/>
      </c>
      <c r="G196" s="9">
        <f t="shared" ref="G196:G259" si="41">IF($A196=1,$F196,0)</f>
        <v>0</v>
      </c>
      <c r="L196" s="9" t="str">
        <f>IF($J196="","",IFERROR(SUMIFS(SummaryHelper!$H$2:$H$5000,SummaryHelper!$A$2:$A$5000,$I196,SummaryHelper!$B$2:$B$5000,$J196,SummaryHelper!$C$2:$C$5000,$K196)/SUMIFS(SummaryHelper!$G$2:$G$5000,SummaryHelper!$A$2:$A$5000,$I196,SummaryHelper!$B$2:$B$5000,$J196,SummaryHelper!$C$2:$C$5000,$K196),""))</f>
        <v/>
      </c>
      <c r="M196" s="9" t="str">
        <f>IF($J196="","",SUMIFS(SummaryHelper!$E$2:$E$5000,SummaryHelper!$A$2:$A$5000,$I196,SummaryHelper!$B$2:$B$5000,$J196,SummaryHelper!$C$2:$C$5000,$K196))</f>
        <v/>
      </c>
      <c r="N196" s="9" t="str">
        <f>IF($J196="","",SUMIFS(SummaryHelper!$F$2:$F$5000,SummaryHelper!$A$2:$A$5000,$I196,SummaryHelper!$B$2:$B$5000,$J196,SummaryHelper!$C$2:$C$5000,$K196))</f>
        <v/>
      </c>
      <c r="O196" s="9" t="str">
        <f>IF($J196="","",SUMIFS(SummaryHelper!$G$2:$G$5000,SummaryHelper!$A$2:$A$5000,$I196,SummaryHelper!$B$2:$B$5000,$J196,SummaryHelper!$C$2:$C$5000,$K196))</f>
        <v/>
      </c>
      <c r="Q196" s="9" t="str">
        <f t="shared" ref="Q196:Q259" si="42">IF($J196="","",IF($P196="",ROUNDUP($O196,0),$P196))</f>
        <v/>
      </c>
      <c r="R196" s="9" t="str">
        <f t="shared" ref="R196:R259" si="43">IF($J196="","",$Q196*$L196)</f>
        <v/>
      </c>
      <c r="W196" s="9" t="str">
        <f>IF($U196="","",IFERROR(SUMIFS(SummaryHelper!$H$2:$H$5000,SummaryHelper!$A$2:$A$5000,$T196,SummaryHelper!$B$2:$B$5000,$U196,SummaryHelper!$C$2:$C$5000,$V196)/SUMIFS(SummaryHelper!$G$2:$G$5000,SummaryHelper!$A$2:$A$5000,$T196,SummaryHelper!$B$2:$B$5000,$U196,SummaryHelper!$C$2:$C$5000,$V196),""))</f>
        <v/>
      </c>
      <c r="X196" s="9" t="str">
        <f>IF($U196="","",SUMIFS(SummaryHelper!$E$2:$E$5000,SummaryHelper!$A$2:$A$5000,$T196,SummaryHelper!$B$2:$B$5000,$U196,SummaryHelper!$C$2:$C$5000,$V196))</f>
        <v/>
      </c>
      <c r="Y196" s="9" t="str">
        <f>IF($U196="","",SUMIFS(SummaryHelper!$F$2:$F$5000,SummaryHelper!$A$2:$A$5000,$T196,SummaryHelper!$B$2:$B$5000,$U196,SummaryHelper!$C$2:$C$5000,$V196))</f>
        <v/>
      </c>
      <c r="Z196" s="9" t="str">
        <f>IF($U196="","",SUMIFS(SummaryHelper!$G$2:$G$5000,SummaryHelper!$A$2:$A$5000,$T196,SummaryHelper!$B$2:$B$5000,$U196,SummaryHelper!$C$2:$C$5000,$V196))</f>
        <v/>
      </c>
      <c r="AB196" s="9" t="str">
        <f t="shared" ref="AB196:AB259" si="44">IF($U196="","",IF($AA196="",$Z196,$AA196))</f>
        <v/>
      </c>
      <c r="AC196" s="9" t="str">
        <f t="shared" ref="AC196:AC259" si="45">IF($U196="","",$AB196*$W196)</f>
        <v/>
      </c>
      <c r="AH196" t="str">
        <f>IF($AF196="","",IFERROR(SUMIFS(SummaryHelper!$H$2:$H$5000,SummaryHelper!$A$2:$A$5000,$AE196,SummaryHelper!$B$2:$B$5000,$AF196,SummaryHelper!$C$2:$C$5000,$AG196)/SUMIFS(SummaryHelper!$G$2:$G$5000,SummaryHelper!$A$2:$A$5000,$AE196,SummaryHelper!$B$2:$B$5000,$AF196,SummaryHelper!$C$2:$C$5000,$AG196),""))</f>
        <v/>
      </c>
      <c r="AI196" t="str">
        <f>IF($AF196="","",SUMIFS(SummaryHelper!$E$2:$E$5000,SummaryHelper!$A$2:$A$5000,$AE196,SummaryHelper!$B$2:$B$5000,$AF196,SummaryHelper!$C$2:$C$5000,$AG196))</f>
        <v/>
      </c>
      <c r="AJ196" t="str">
        <f>IF($AF196="","",SUMIFS(SummaryHelper!$F$2:$F$5000,SummaryHelper!$A$2:$A$5000,$AE196,SummaryHelper!$B$2:$B$5000,$AF196,SummaryHelper!$C$2:$C$5000,$AG196))</f>
        <v/>
      </c>
      <c r="AK196" t="str">
        <f>IF($AF196="","",SUMIFS(SummaryHelper!$G$2:$G$5000,SummaryHelper!$A$2:$A$5000,$AE196,SummaryHelper!$B$2:$B$5000,$AF196,SummaryHelper!$C$2:$C$5000,$AG196))</f>
        <v/>
      </c>
      <c r="AM196" t="str">
        <f t="shared" ref="AM196:AM259" si="46">IF($AF196="","",IF($AL196="",$AK196,$AL196))</f>
        <v/>
      </c>
      <c r="AN196" t="str">
        <f t="shared" ref="AN196:AN259" si="47">IF($AF196="","",$AM196*$AH196)</f>
        <v/>
      </c>
    </row>
    <row r="197" spans="1:40" x14ac:dyDescent="0.25">
      <c r="A197" s="12"/>
      <c r="B197" s="23" t="str">
        <f t="shared" si="36"/>
        <v/>
      </c>
      <c r="C197" s="9" t="str">
        <f t="shared" ca="1" si="37"/>
        <v/>
      </c>
      <c r="D197" s="9" t="str">
        <f t="shared" ca="1" si="38"/>
        <v/>
      </c>
      <c r="E197" s="9" t="str">
        <f t="shared" ca="1" si="39"/>
        <v/>
      </c>
      <c r="F197" s="9" t="str">
        <f t="shared" si="40"/>
        <v/>
      </c>
      <c r="G197" s="9">
        <f t="shared" si="41"/>
        <v>0</v>
      </c>
      <c r="L197" s="9" t="str">
        <f>IF($J197="","",IFERROR(SUMIFS(SummaryHelper!$H$2:$H$5000,SummaryHelper!$A$2:$A$5000,$I197,SummaryHelper!$B$2:$B$5000,$J197,SummaryHelper!$C$2:$C$5000,$K197)/SUMIFS(SummaryHelper!$G$2:$G$5000,SummaryHelper!$A$2:$A$5000,$I197,SummaryHelper!$B$2:$B$5000,$J197,SummaryHelper!$C$2:$C$5000,$K197),""))</f>
        <v/>
      </c>
      <c r="M197" s="9" t="str">
        <f>IF($J197="","",SUMIFS(SummaryHelper!$E$2:$E$5000,SummaryHelper!$A$2:$A$5000,$I197,SummaryHelper!$B$2:$B$5000,$J197,SummaryHelper!$C$2:$C$5000,$K197))</f>
        <v/>
      </c>
      <c r="N197" s="9" t="str">
        <f>IF($J197="","",SUMIFS(SummaryHelper!$F$2:$F$5000,SummaryHelper!$A$2:$A$5000,$I197,SummaryHelper!$B$2:$B$5000,$J197,SummaryHelper!$C$2:$C$5000,$K197))</f>
        <v/>
      </c>
      <c r="O197" s="9" t="str">
        <f>IF($J197="","",SUMIFS(SummaryHelper!$G$2:$G$5000,SummaryHelper!$A$2:$A$5000,$I197,SummaryHelper!$B$2:$B$5000,$J197,SummaryHelper!$C$2:$C$5000,$K197))</f>
        <v/>
      </c>
      <c r="Q197" s="9" t="str">
        <f t="shared" si="42"/>
        <v/>
      </c>
      <c r="R197" s="9" t="str">
        <f t="shared" si="43"/>
        <v/>
      </c>
      <c r="W197" s="9" t="str">
        <f>IF($U197="","",IFERROR(SUMIFS(SummaryHelper!$H$2:$H$5000,SummaryHelper!$A$2:$A$5000,$T197,SummaryHelper!$B$2:$B$5000,$U197,SummaryHelper!$C$2:$C$5000,$V197)/SUMIFS(SummaryHelper!$G$2:$G$5000,SummaryHelper!$A$2:$A$5000,$T197,SummaryHelper!$B$2:$B$5000,$U197,SummaryHelper!$C$2:$C$5000,$V197),""))</f>
        <v/>
      </c>
      <c r="X197" s="9" t="str">
        <f>IF($U197="","",SUMIFS(SummaryHelper!$E$2:$E$5000,SummaryHelper!$A$2:$A$5000,$T197,SummaryHelper!$B$2:$B$5000,$U197,SummaryHelper!$C$2:$C$5000,$V197))</f>
        <v/>
      </c>
      <c r="Y197" s="9" t="str">
        <f>IF($U197="","",SUMIFS(SummaryHelper!$F$2:$F$5000,SummaryHelper!$A$2:$A$5000,$T197,SummaryHelper!$B$2:$B$5000,$U197,SummaryHelper!$C$2:$C$5000,$V197))</f>
        <v/>
      </c>
      <c r="Z197" s="9" t="str">
        <f>IF($U197="","",SUMIFS(SummaryHelper!$G$2:$G$5000,SummaryHelper!$A$2:$A$5000,$T197,SummaryHelper!$B$2:$B$5000,$U197,SummaryHelper!$C$2:$C$5000,$V197))</f>
        <v/>
      </c>
      <c r="AB197" s="9" t="str">
        <f t="shared" si="44"/>
        <v/>
      </c>
      <c r="AC197" s="9" t="str">
        <f t="shared" si="45"/>
        <v/>
      </c>
      <c r="AH197" t="str">
        <f>IF($AF197="","",IFERROR(SUMIFS(SummaryHelper!$H$2:$H$5000,SummaryHelper!$A$2:$A$5000,$AE197,SummaryHelper!$B$2:$B$5000,$AF197,SummaryHelper!$C$2:$C$5000,$AG197)/SUMIFS(SummaryHelper!$G$2:$G$5000,SummaryHelper!$A$2:$A$5000,$AE197,SummaryHelper!$B$2:$B$5000,$AF197,SummaryHelper!$C$2:$C$5000,$AG197),""))</f>
        <v/>
      </c>
      <c r="AI197" t="str">
        <f>IF($AF197="","",SUMIFS(SummaryHelper!$E$2:$E$5000,SummaryHelper!$A$2:$A$5000,$AE197,SummaryHelper!$B$2:$B$5000,$AF197,SummaryHelper!$C$2:$C$5000,$AG197))</f>
        <v/>
      </c>
      <c r="AJ197" t="str">
        <f>IF($AF197="","",SUMIFS(SummaryHelper!$F$2:$F$5000,SummaryHelper!$A$2:$A$5000,$AE197,SummaryHelper!$B$2:$B$5000,$AF197,SummaryHelper!$C$2:$C$5000,$AG197))</f>
        <v/>
      </c>
      <c r="AK197" t="str">
        <f>IF($AF197="","",SUMIFS(SummaryHelper!$G$2:$G$5000,SummaryHelper!$A$2:$A$5000,$AE197,SummaryHelper!$B$2:$B$5000,$AF197,SummaryHelper!$C$2:$C$5000,$AG197))</f>
        <v/>
      </c>
      <c r="AM197" t="str">
        <f t="shared" si="46"/>
        <v/>
      </c>
      <c r="AN197" t="str">
        <f t="shared" si="47"/>
        <v/>
      </c>
    </row>
    <row r="198" spans="1:40" x14ac:dyDescent="0.25">
      <c r="A198" s="12"/>
      <c r="B198" s="23" t="str">
        <f t="shared" si="36"/>
        <v/>
      </c>
      <c r="C198" s="9" t="str">
        <f t="shared" ca="1" si="37"/>
        <v/>
      </c>
      <c r="D198" s="9" t="str">
        <f t="shared" ca="1" si="38"/>
        <v/>
      </c>
      <c r="E198" s="9" t="str">
        <f t="shared" ca="1" si="39"/>
        <v/>
      </c>
      <c r="F198" s="9" t="str">
        <f t="shared" si="40"/>
        <v/>
      </c>
      <c r="G198" s="9">
        <f t="shared" si="41"/>
        <v>0</v>
      </c>
      <c r="L198" s="9" t="str">
        <f>IF($J198="","",IFERROR(SUMIFS(SummaryHelper!$H$2:$H$5000,SummaryHelper!$A$2:$A$5000,$I198,SummaryHelper!$B$2:$B$5000,$J198,SummaryHelper!$C$2:$C$5000,$K198)/SUMIFS(SummaryHelper!$G$2:$G$5000,SummaryHelper!$A$2:$A$5000,$I198,SummaryHelper!$B$2:$B$5000,$J198,SummaryHelper!$C$2:$C$5000,$K198),""))</f>
        <v/>
      </c>
      <c r="M198" s="9" t="str">
        <f>IF($J198="","",SUMIFS(SummaryHelper!$E$2:$E$5000,SummaryHelper!$A$2:$A$5000,$I198,SummaryHelper!$B$2:$B$5000,$J198,SummaryHelper!$C$2:$C$5000,$K198))</f>
        <v/>
      </c>
      <c r="N198" s="9" t="str">
        <f>IF($J198="","",SUMIFS(SummaryHelper!$F$2:$F$5000,SummaryHelper!$A$2:$A$5000,$I198,SummaryHelper!$B$2:$B$5000,$J198,SummaryHelper!$C$2:$C$5000,$K198))</f>
        <v/>
      </c>
      <c r="O198" s="9" t="str">
        <f>IF($J198="","",SUMIFS(SummaryHelper!$G$2:$G$5000,SummaryHelper!$A$2:$A$5000,$I198,SummaryHelper!$B$2:$B$5000,$J198,SummaryHelper!$C$2:$C$5000,$K198))</f>
        <v/>
      </c>
      <c r="Q198" s="9" t="str">
        <f t="shared" si="42"/>
        <v/>
      </c>
      <c r="R198" s="9" t="str">
        <f t="shared" si="43"/>
        <v/>
      </c>
      <c r="W198" s="9" t="str">
        <f>IF($U198="","",IFERROR(SUMIFS(SummaryHelper!$H$2:$H$5000,SummaryHelper!$A$2:$A$5000,$T198,SummaryHelper!$B$2:$B$5000,$U198,SummaryHelper!$C$2:$C$5000,$V198)/SUMIFS(SummaryHelper!$G$2:$G$5000,SummaryHelper!$A$2:$A$5000,$T198,SummaryHelper!$B$2:$B$5000,$U198,SummaryHelper!$C$2:$C$5000,$V198),""))</f>
        <v/>
      </c>
      <c r="X198" s="9" t="str">
        <f>IF($U198="","",SUMIFS(SummaryHelper!$E$2:$E$5000,SummaryHelper!$A$2:$A$5000,$T198,SummaryHelper!$B$2:$B$5000,$U198,SummaryHelper!$C$2:$C$5000,$V198))</f>
        <v/>
      </c>
      <c r="Y198" s="9" t="str">
        <f>IF($U198="","",SUMIFS(SummaryHelper!$F$2:$F$5000,SummaryHelper!$A$2:$A$5000,$T198,SummaryHelper!$B$2:$B$5000,$U198,SummaryHelper!$C$2:$C$5000,$V198))</f>
        <v/>
      </c>
      <c r="Z198" s="9" t="str">
        <f>IF($U198="","",SUMIFS(SummaryHelper!$G$2:$G$5000,SummaryHelper!$A$2:$A$5000,$T198,SummaryHelper!$B$2:$B$5000,$U198,SummaryHelper!$C$2:$C$5000,$V198))</f>
        <v/>
      </c>
      <c r="AB198" s="9" t="str">
        <f t="shared" si="44"/>
        <v/>
      </c>
      <c r="AC198" s="9" t="str">
        <f t="shared" si="45"/>
        <v/>
      </c>
      <c r="AH198" t="str">
        <f>IF($AF198="","",IFERROR(SUMIFS(SummaryHelper!$H$2:$H$5000,SummaryHelper!$A$2:$A$5000,$AE198,SummaryHelper!$B$2:$B$5000,$AF198,SummaryHelper!$C$2:$C$5000,$AG198)/SUMIFS(SummaryHelper!$G$2:$G$5000,SummaryHelper!$A$2:$A$5000,$AE198,SummaryHelper!$B$2:$B$5000,$AF198,SummaryHelper!$C$2:$C$5000,$AG198),""))</f>
        <v/>
      </c>
      <c r="AI198" t="str">
        <f>IF($AF198="","",SUMIFS(SummaryHelper!$E$2:$E$5000,SummaryHelper!$A$2:$A$5000,$AE198,SummaryHelper!$B$2:$B$5000,$AF198,SummaryHelper!$C$2:$C$5000,$AG198))</f>
        <v/>
      </c>
      <c r="AJ198" t="str">
        <f>IF($AF198="","",SUMIFS(SummaryHelper!$F$2:$F$5000,SummaryHelper!$A$2:$A$5000,$AE198,SummaryHelper!$B$2:$B$5000,$AF198,SummaryHelper!$C$2:$C$5000,$AG198))</f>
        <v/>
      </c>
      <c r="AK198" t="str">
        <f>IF($AF198="","",SUMIFS(SummaryHelper!$G$2:$G$5000,SummaryHelper!$A$2:$A$5000,$AE198,SummaryHelper!$B$2:$B$5000,$AF198,SummaryHelper!$C$2:$C$5000,$AG198))</f>
        <v/>
      </c>
      <c r="AM198" t="str">
        <f t="shared" si="46"/>
        <v/>
      </c>
      <c r="AN198" t="str">
        <f t="shared" si="47"/>
        <v/>
      </c>
    </row>
    <row r="199" spans="1:40" x14ac:dyDescent="0.25">
      <c r="A199" s="12"/>
      <c r="B199" s="23" t="str">
        <f t="shared" si="36"/>
        <v/>
      </c>
      <c r="C199" s="9" t="str">
        <f t="shared" ca="1" si="37"/>
        <v/>
      </c>
      <c r="D199" s="9" t="str">
        <f t="shared" ca="1" si="38"/>
        <v/>
      </c>
      <c r="E199" s="9" t="str">
        <f t="shared" ca="1" si="39"/>
        <v/>
      </c>
      <c r="F199" s="9" t="str">
        <f t="shared" si="40"/>
        <v/>
      </c>
      <c r="G199" s="9">
        <f t="shared" si="41"/>
        <v>0</v>
      </c>
      <c r="L199" s="9" t="str">
        <f>IF($J199="","",IFERROR(SUMIFS(SummaryHelper!$H$2:$H$5000,SummaryHelper!$A$2:$A$5000,$I199,SummaryHelper!$B$2:$B$5000,$J199,SummaryHelper!$C$2:$C$5000,$K199)/SUMIFS(SummaryHelper!$G$2:$G$5000,SummaryHelper!$A$2:$A$5000,$I199,SummaryHelper!$B$2:$B$5000,$J199,SummaryHelper!$C$2:$C$5000,$K199),""))</f>
        <v/>
      </c>
      <c r="M199" s="9" t="str">
        <f>IF($J199="","",SUMIFS(SummaryHelper!$E$2:$E$5000,SummaryHelper!$A$2:$A$5000,$I199,SummaryHelper!$B$2:$B$5000,$J199,SummaryHelper!$C$2:$C$5000,$K199))</f>
        <v/>
      </c>
      <c r="N199" s="9" t="str">
        <f>IF($J199="","",SUMIFS(SummaryHelper!$F$2:$F$5000,SummaryHelper!$A$2:$A$5000,$I199,SummaryHelper!$B$2:$B$5000,$J199,SummaryHelper!$C$2:$C$5000,$K199))</f>
        <v/>
      </c>
      <c r="O199" s="9" t="str">
        <f>IF($J199="","",SUMIFS(SummaryHelper!$G$2:$G$5000,SummaryHelper!$A$2:$A$5000,$I199,SummaryHelper!$B$2:$B$5000,$J199,SummaryHelper!$C$2:$C$5000,$K199))</f>
        <v/>
      </c>
      <c r="Q199" s="9" t="str">
        <f t="shared" si="42"/>
        <v/>
      </c>
      <c r="R199" s="9" t="str">
        <f t="shared" si="43"/>
        <v/>
      </c>
      <c r="W199" s="9" t="str">
        <f>IF($U199="","",IFERROR(SUMIFS(SummaryHelper!$H$2:$H$5000,SummaryHelper!$A$2:$A$5000,$T199,SummaryHelper!$B$2:$B$5000,$U199,SummaryHelper!$C$2:$C$5000,$V199)/SUMIFS(SummaryHelper!$G$2:$G$5000,SummaryHelper!$A$2:$A$5000,$T199,SummaryHelper!$B$2:$B$5000,$U199,SummaryHelper!$C$2:$C$5000,$V199),""))</f>
        <v/>
      </c>
      <c r="X199" s="9" t="str">
        <f>IF($U199="","",SUMIFS(SummaryHelper!$E$2:$E$5000,SummaryHelper!$A$2:$A$5000,$T199,SummaryHelper!$B$2:$B$5000,$U199,SummaryHelper!$C$2:$C$5000,$V199))</f>
        <v/>
      </c>
      <c r="Y199" s="9" t="str">
        <f>IF($U199="","",SUMIFS(SummaryHelper!$F$2:$F$5000,SummaryHelper!$A$2:$A$5000,$T199,SummaryHelper!$B$2:$B$5000,$U199,SummaryHelper!$C$2:$C$5000,$V199))</f>
        <v/>
      </c>
      <c r="Z199" s="9" t="str">
        <f>IF($U199="","",SUMIFS(SummaryHelper!$G$2:$G$5000,SummaryHelper!$A$2:$A$5000,$T199,SummaryHelper!$B$2:$B$5000,$U199,SummaryHelper!$C$2:$C$5000,$V199))</f>
        <v/>
      </c>
      <c r="AB199" s="9" t="str">
        <f t="shared" si="44"/>
        <v/>
      </c>
      <c r="AC199" s="9" t="str">
        <f t="shared" si="45"/>
        <v/>
      </c>
      <c r="AH199" t="str">
        <f>IF($AF199="","",IFERROR(SUMIFS(SummaryHelper!$H$2:$H$5000,SummaryHelper!$A$2:$A$5000,$AE199,SummaryHelper!$B$2:$B$5000,$AF199,SummaryHelper!$C$2:$C$5000,$AG199)/SUMIFS(SummaryHelper!$G$2:$G$5000,SummaryHelper!$A$2:$A$5000,$AE199,SummaryHelper!$B$2:$B$5000,$AF199,SummaryHelper!$C$2:$C$5000,$AG199),""))</f>
        <v/>
      </c>
      <c r="AI199" t="str">
        <f>IF($AF199="","",SUMIFS(SummaryHelper!$E$2:$E$5000,SummaryHelper!$A$2:$A$5000,$AE199,SummaryHelper!$B$2:$B$5000,$AF199,SummaryHelper!$C$2:$C$5000,$AG199))</f>
        <v/>
      </c>
      <c r="AJ199" t="str">
        <f>IF($AF199="","",SUMIFS(SummaryHelper!$F$2:$F$5000,SummaryHelper!$A$2:$A$5000,$AE199,SummaryHelper!$B$2:$B$5000,$AF199,SummaryHelper!$C$2:$C$5000,$AG199))</f>
        <v/>
      </c>
      <c r="AK199" t="str">
        <f>IF($AF199="","",SUMIFS(SummaryHelper!$G$2:$G$5000,SummaryHelper!$A$2:$A$5000,$AE199,SummaryHelper!$B$2:$B$5000,$AF199,SummaryHelper!$C$2:$C$5000,$AG199))</f>
        <v/>
      </c>
      <c r="AM199" t="str">
        <f t="shared" si="46"/>
        <v/>
      </c>
      <c r="AN199" t="str">
        <f t="shared" si="47"/>
        <v/>
      </c>
    </row>
    <row r="200" spans="1:40" x14ac:dyDescent="0.25">
      <c r="A200" s="12"/>
      <c r="B200" s="23" t="str">
        <f t="shared" si="36"/>
        <v/>
      </c>
      <c r="C200" s="9" t="str">
        <f t="shared" ca="1" si="37"/>
        <v/>
      </c>
      <c r="D200" s="9" t="str">
        <f t="shared" ca="1" si="38"/>
        <v/>
      </c>
      <c r="E200" s="9" t="str">
        <f t="shared" ca="1" si="39"/>
        <v/>
      </c>
      <c r="F200" s="9" t="str">
        <f t="shared" si="40"/>
        <v/>
      </c>
      <c r="G200" s="9">
        <f t="shared" si="41"/>
        <v>0</v>
      </c>
      <c r="L200" s="9" t="str">
        <f>IF($J200="","",IFERROR(SUMIFS(SummaryHelper!$H$2:$H$5000,SummaryHelper!$A$2:$A$5000,$I200,SummaryHelper!$B$2:$B$5000,$J200,SummaryHelper!$C$2:$C$5000,$K200)/SUMIFS(SummaryHelper!$G$2:$G$5000,SummaryHelper!$A$2:$A$5000,$I200,SummaryHelper!$B$2:$B$5000,$J200,SummaryHelper!$C$2:$C$5000,$K200),""))</f>
        <v/>
      </c>
      <c r="M200" s="9" t="str">
        <f>IF($J200="","",SUMIFS(SummaryHelper!$E$2:$E$5000,SummaryHelper!$A$2:$A$5000,$I200,SummaryHelper!$B$2:$B$5000,$J200,SummaryHelper!$C$2:$C$5000,$K200))</f>
        <v/>
      </c>
      <c r="N200" s="9" t="str">
        <f>IF($J200="","",SUMIFS(SummaryHelper!$F$2:$F$5000,SummaryHelper!$A$2:$A$5000,$I200,SummaryHelper!$B$2:$B$5000,$J200,SummaryHelper!$C$2:$C$5000,$K200))</f>
        <v/>
      </c>
      <c r="O200" s="9" t="str">
        <f>IF($J200="","",SUMIFS(SummaryHelper!$G$2:$G$5000,SummaryHelper!$A$2:$A$5000,$I200,SummaryHelper!$B$2:$B$5000,$J200,SummaryHelper!$C$2:$C$5000,$K200))</f>
        <v/>
      </c>
      <c r="Q200" s="9" t="str">
        <f t="shared" si="42"/>
        <v/>
      </c>
      <c r="R200" s="9" t="str">
        <f t="shared" si="43"/>
        <v/>
      </c>
      <c r="W200" s="9" t="str">
        <f>IF($U200="","",IFERROR(SUMIFS(SummaryHelper!$H$2:$H$5000,SummaryHelper!$A$2:$A$5000,$T200,SummaryHelper!$B$2:$B$5000,$U200,SummaryHelper!$C$2:$C$5000,$V200)/SUMIFS(SummaryHelper!$G$2:$G$5000,SummaryHelper!$A$2:$A$5000,$T200,SummaryHelper!$B$2:$B$5000,$U200,SummaryHelper!$C$2:$C$5000,$V200),""))</f>
        <v/>
      </c>
      <c r="X200" s="9" t="str">
        <f>IF($U200="","",SUMIFS(SummaryHelper!$E$2:$E$5000,SummaryHelper!$A$2:$A$5000,$T200,SummaryHelper!$B$2:$B$5000,$U200,SummaryHelper!$C$2:$C$5000,$V200))</f>
        <v/>
      </c>
      <c r="Y200" s="9" t="str">
        <f>IF($U200="","",SUMIFS(SummaryHelper!$F$2:$F$5000,SummaryHelper!$A$2:$A$5000,$T200,SummaryHelper!$B$2:$B$5000,$U200,SummaryHelper!$C$2:$C$5000,$V200))</f>
        <v/>
      </c>
      <c r="Z200" s="9" t="str">
        <f>IF($U200="","",SUMIFS(SummaryHelper!$G$2:$G$5000,SummaryHelper!$A$2:$A$5000,$T200,SummaryHelper!$B$2:$B$5000,$U200,SummaryHelper!$C$2:$C$5000,$V200))</f>
        <v/>
      </c>
      <c r="AB200" s="9" t="str">
        <f t="shared" si="44"/>
        <v/>
      </c>
      <c r="AC200" s="9" t="str">
        <f t="shared" si="45"/>
        <v/>
      </c>
      <c r="AH200" t="str">
        <f>IF($AF200="","",IFERROR(SUMIFS(SummaryHelper!$H$2:$H$5000,SummaryHelper!$A$2:$A$5000,$AE200,SummaryHelper!$B$2:$B$5000,$AF200,SummaryHelper!$C$2:$C$5000,$AG200)/SUMIFS(SummaryHelper!$G$2:$G$5000,SummaryHelper!$A$2:$A$5000,$AE200,SummaryHelper!$B$2:$B$5000,$AF200,SummaryHelper!$C$2:$C$5000,$AG200),""))</f>
        <v/>
      </c>
      <c r="AI200" t="str">
        <f>IF($AF200="","",SUMIFS(SummaryHelper!$E$2:$E$5000,SummaryHelper!$A$2:$A$5000,$AE200,SummaryHelper!$B$2:$B$5000,$AF200,SummaryHelper!$C$2:$C$5000,$AG200))</f>
        <v/>
      </c>
      <c r="AJ200" t="str">
        <f>IF($AF200="","",SUMIFS(SummaryHelper!$F$2:$F$5000,SummaryHelper!$A$2:$A$5000,$AE200,SummaryHelper!$B$2:$B$5000,$AF200,SummaryHelper!$C$2:$C$5000,$AG200))</f>
        <v/>
      </c>
      <c r="AK200" t="str">
        <f>IF($AF200="","",SUMIFS(SummaryHelper!$G$2:$G$5000,SummaryHelper!$A$2:$A$5000,$AE200,SummaryHelper!$B$2:$B$5000,$AF200,SummaryHelper!$C$2:$C$5000,$AG200))</f>
        <v/>
      </c>
      <c r="AM200" t="str">
        <f t="shared" si="46"/>
        <v/>
      </c>
      <c r="AN200" t="str">
        <f t="shared" si="47"/>
        <v/>
      </c>
    </row>
    <row r="201" spans="1:40" x14ac:dyDescent="0.25">
      <c r="A201" s="12"/>
      <c r="B201" s="23" t="str">
        <f t="shared" si="36"/>
        <v/>
      </c>
      <c r="C201" s="9" t="str">
        <f t="shared" ca="1" si="37"/>
        <v/>
      </c>
      <c r="D201" s="9" t="str">
        <f t="shared" ca="1" si="38"/>
        <v/>
      </c>
      <c r="E201" s="9" t="str">
        <f t="shared" ca="1" si="39"/>
        <v/>
      </c>
      <c r="F201" s="9" t="str">
        <f t="shared" si="40"/>
        <v/>
      </c>
      <c r="G201" s="9">
        <f t="shared" si="41"/>
        <v>0</v>
      </c>
      <c r="L201" s="9" t="str">
        <f>IF($J201="","",IFERROR(SUMIFS(SummaryHelper!$H$2:$H$5000,SummaryHelper!$A$2:$A$5000,$I201,SummaryHelper!$B$2:$B$5000,$J201,SummaryHelper!$C$2:$C$5000,$K201)/SUMIFS(SummaryHelper!$G$2:$G$5000,SummaryHelper!$A$2:$A$5000,$I201,SummaryHelper!$B$2:$B$5000,$J201,SummaryHelper!$C$2:$C$5000,$K201),""))</f>
        <v/>
      </c>
      <c r="M201" s="9" t="str">
        <f>IF($J201="","",SUMIFS(SummaryHelper!$E$2:$E$5000,SummaryHelper!$A$2:$A$5000,$I201,SummaryHelper!$B$2:$B$5000,$J201,SummaryHelper!$C$2:$C$5000,$K201))</f>
        <v/>
      </c>
      <c r="N201" s="9" t="str">
        <f>IF($J201="","",SUMIFS(SummaryHelper!$F$2:$F$5000,SummaryHelper!$A$2:$A$5000,$I201,SummaryHelper!$B$2:$B$5000,$J201,SummaryHelper!$C$2:$C$5000,$K201))</f>
        <v/>
      </c>
      <c r="O201" s="9" t="str">
        <f>IF($J201="","",SUMIFS(SummaryHelper!$G$2:$G$5000,SummaryHelper!$A$2:$A$5000,$I201,SummaryHelper!$B$2:$B$5000,$J201,SummaryHelper!$C$2:$C$5000,$K201))</f>
        <v/>
      </c>
      <c r="Q201" s="9" t="str">
        <f t="shared" si="42"/>
        <v/>
      </c>
      <c r="R201" s="9" t="str">
        <f t="shared" si="43"/>
        <v/>
      </c>
      <c r="W201" s="9" t="str">
        <f>IF($U201="","",IFERROR(SUMIFS(SummaryHelper!$H$2:$H$5000,SummaryHelper!$A$2:$A$5000,$T201,SummaryHelper!$B$2:$B$5000,$U201,SummaryHelper!$C$2:$C$5000,$V201)/SUMIFS(SummaryHelper!$G$2:$G$5000,SummaryHelper!$A$2:$A$5000,$T201,SummaryHelper!$B$2:$B$5000,$U201,SummaryHelper!$C$2:$C$5000,$V201),""))</f>
        <v/>
      </c>
      <c r="X201" s="9" t="str">
        <f>IF($U201="","",SUMIFS(SummaryHelper!$E$2:$E$5000,SummaryHelper!$A$2:$A$5000,$T201,SummaryHelper!$B$2:$B$5000,$U201,SummaryHelper!$C$2:$C$5000,$V201))</f>
        <v/>
      </c>
      <c r="Y201" s="9" t="str">
        <f>IF($U201="","",SUMIFS(SummaryHelper!$F$2:$F$5000,SummaryHelper!$A$2:$A$5000,$T201,SummaryHelper!$B$2:$B$5000,$U201,SummaryHelper!$C$2:$C$5000,$V201))</f>
        <v/>
      </c>
      <c r="Z201" s="9" t="str">
        <f>IF($U201="","",SUMIFS(SummaryHelper!$G$2:$G$5000,SummaryHelper!$A$2:$A$5000,$T201,SummaryHelper!$B$2:$B$5000,$U201,SummaryHelper!$C$2:$C$5000,$V201))</f>
        <v/>
      </c>
      <c r="AB201" s="9" t="str">
        <f t="shared" si="44"/>
        <v/>
      </c>
      <c r="AC201" s="9" t="str">
        <f t="shared" si="45"/>
        <v/>
      </c>
      <c r="AH201" t="str">
        <f>IF($AF201="","",IFERROR(SUMIFS(SummaryHelper!$H$2:$H$5000,SummaryHelper!$A$2:$A$5000,$AE201,SummaryHelper!$B$2:$B$5000,$AF201,SummaryHelper!$C$2:$C$5000,$AG201)/SUMIFS(SummaryHelper!$G$2:$G$5000,SummaryHelper!$A$2:$A$5000,$AE201,SummaryHelper!$B$2:$B$5000,$AF201,SummaryHelper!$C$2:$C$5000,$AG201),""))</f>
        <v/>
      </c>
      <c r="AI201" t="str">
        <f>IF($AF201="","",SUMIFS(SummaryHelper!$E$2:$E$5000,SummaryHelper!$A$2:$A$5000,$AE201,SummaryHelper!$B$2:$B$5000,$AF201,SummaryHelper!$C$2:$C$5000,$AG201))</f>
        <v/>
      </c>
      <c r="AJ201" t="str">
        <f>IF($AF201="","",SUMIFS(SummaryHelper!$F$2:$F$5000,SummaryHelper!$A$2:$A$5000,$AE201,SummaryHelper!$B$2:$B$5000,$AF201,SummaryHelper!$C$2:$C$5000,$AG201))</f>
        <v/>
      </c>
      <c r="AK201" t="str">
        <f>IF($AF201="","",SUMIFS(SummaryHelper!$G$2:$G$5000,SummaryHelper!$A$2:$A$5000,$AE201,SummaryHelper!$B$2:$B$5000,$AF201,SummaryHelper!$C$2:$C$5000,$AG201))</f>
        <v/>
      </c>
      <c r="AM201" t="str">
        <f t="shared" si="46"/>
        <v/>
      </c>
      <c r="AN201" t="str">
        <f t="shared" si="47"/>
        <v/>
      </c>
    </row>
    <row r="202" spans="1:40" x14ac:dyDescent="0.25">
      <c r="A202" s="12"/>
      <c r="B202" s="23" t="str">
        <f t="shared" si="36"/>
        <v/>
      </c>
      <c r="C202" s="9" t="str">
        <f t="shared" ca="1" si="37"/>
        <v/>
      </c>
      <c r="D202" s="9" t="str">
        <f t="shared" ca="1" si="38"/>
        <v/>
      </c>
      <c r="E202" s="9" t="str">
        <f t="shared" ca="1" si="39"/>
        <v/>
      </c>
      <c r="F202" s="9" t="str">
        <f t="shared" si="40"/>
        <v/>
      </c>
      <c r="G202" s="9">
        <f t="shared" si="41"/>
        <v>0</v>
      </c>
      <c r="L202" s="9" t="str">
        <f>IF($J202="","",IFERROR(SUMIFS(SummaryHelper!$H$2:$H$5000,SummaryHelper!$A$2:$A$5000,$I202,SummaryHelper!$B$2:$B$5000,$J202,SummaryHelper!$C$2:$C$5000,$K202)/SUMIFS(SummaryHelper!$G$2:$G$5000,SummaryHelper!$A$2:$A$5000,$I202,SummaryHelper!$B$2:$B$5000,$J202,SummaryHelper!$C$2:$C$5000,$K202),""))</f>
        <v/>
      </c>
      <c r="M202" s="9" t="str">
        <f>IF($J202="","",SUMIFS(SummaryHelper!$E$2:$E$5000,SummaryHelper!$A$2:$A$5000,$I202,SummaryHelper!$B$2:$B$5000,$J202,SummaryHelper!$C$2:$C$5000,$K202))</f>
        <v/>
      </c>
      <c r="N202" s="9" t="str">
        <f>IF($J202="","",SUMIFS(SummaryHelper!$F$2:$F$5000,SummaryHelper!$A$2:$A$5000,$I202,SummaryHelper!$B$2:$B$5000,$J202,SummaryHelper!$C$2:$C$5000,$K202))</f>
        <v/>
      </c>
      <c r="O202" s="9" t="str">
        <f>IF($J202="","",SUMIFS(SummaryHelper!$G$2:$G$5000,SummaryHelper!$A$2:$A$5000,$I202,SummaryHelper!$B$2:$B$5000,$J202,SummaryHelper!$C$2:$C$5000,$K202))</f>
        <v/>
      </c>
      <c r="Q202" s="9" t="str">
        <f t="shared" si="42"/>
        <v/>
      </c>
      <c r="R202" s="9" t="str">
        <f t="shared" si="43"/>
        <v/>
      </c>
      <c r="W202" s="9" t="str">
        <f>IF($U202="","",IFERROR(SUMIFS(SummaryHelper!$H$2:$H$5000,SummaryHelper!$A$2:$A$5000,$T202,SummaryHelper!$B$2:$B$5000,$U202,SummaryHelper!$C$2:$C$5000,$V202)/SUMIFS(SummaryHelper!$G$2:$G$5000,SummaryHelper!$A$2:$A$5000,$T202,SummaryHelper!$B$2:$B$5000,$U202,SummaryHelper!$C$2:$C$5000,$V202),""))</f>
        <v/>
      </c>
      <c r="X202" s="9" t="str">
        <f>IF($U202="","",SUMIFS(SummaryHelper!$E$2:$E$5000,SummaryHelper!$A$2:$A$5000,$T202,SummaryHelper!$B$2:$B$5000,$U202,SummaryHelper!$C$2:$C$5000,$V202))</f>
        <v/>
      </c>
      <c r="Y202" s="9" t="str">
        <f>IF($U202="","",SUMIFS(SummaryHelper!$F$2:$F$5000,SummaryHelper!$A$2:$A$5000,$T202,SummaryHelper!$B$2:$B$5000,$U202,SummaryHelper!$C$2:$C$5000,$V202))</f>
        <v/>
      </c>
      <c r="Z202" s="9" t="str">
        <f>IF($U202="","",SUMIFS(SummaryHelper!$G$2:$G$5000,SummaryHelper!$A$2:$A$5000,$T202,SummaryHelper!$B$2:$B$5000,$U202,SummaryHelper!$C$2:$C$5000,$V202))</f>
        <v/>
      </c>
      <c r="AB202" s="9" t="str">
        <f t="shared" si="44"/>
        <v/>
      </c>
      <c r="AC202" s="9" t="str">
        <f t="shared" si="45"/>
        <v/>
      </c>
      <c r="AH202" t="str">
        <f>IF($AF202="","",IFERROR(SUMIFS(SummaryHelper!$H$2:$H$5000,SummaryHelper!$A$2:$A$5000,$AE202,SummaryHelper!$B$2:$B$5000,$AF202,SummaryHelper!$C$2:$C$5000,$AG202)/SUMIFS(SummaryHelper!$G$2:$G$5000,SummaryHelper!$A$2:$A$5000,$AE202,SummaryHelper!$B$2:$B$5000,$AF202,SummaryHelper!$C$2:$C$5000,$AG202),""))</f>
        <v/>
      </c>
      <c r="AI202" t="str">
        <f>IF($AF202="","",SUMIFS(SummaryHelper!$E$2:$E$5000,SummaryHelper!$A$2:$A$5000,$AE202,SummaryHelper!$B$2:$B$5000,$AF202,SummaryHelper!$C$2:$C$5000,$AG202))</f>
        <v/>
      </c>
      <c r="AJ202" t="str">
        <f>IF($AF202="","",SUMIFS(SummaryHelper!$F$2:$F$5000,SummaryHelper!$A$2:$A$5000,$AE202,SummaryHelper!$B$2:$B$5000,$AF202,SummaryHelper!$C$2:$C$5000,$AG202))</f>
        <v/>
      </c>
      <c r="AK202" t="str">
        <f>IF($AF202="","",SUMIFS(SummaryHelper!$G$2:$G$5000,SummaryHelper!$A$2:$A$5000,$AE202,SummaryHelper!$B$2:$B$5000,$AF202,SummaryHelper!$C$2:$C$5000,$AG202))</f>
        <v/>
      </c>
      <c r="AM202" t="str">
        <f t="shared" si="46"/>
        <v/>
      </c>
      <c r="AN202" t="str">
        <f t="shared" si="47"/>
        <v/>
      </c>
    </row>
    <row r="203" spans="1:40" x14ac:dyDescent="0.25">
      <c r="A203" s="12"/>
      <c r="B203" s="23" t="str">
        <f t="shared" si="36"/>
        <v/>
      </c>
      <c r="C203" s="9" t="str">
        <f t="shared" ca="1" si="37"/>
        <v/>
      </c>
      <c r="D203" s="9" t="str">
        <f t="shared" ca="1" si="38"/>
        <v/>
      </c>
      <c r="E203" s="9" t="str">
        <f t="shared" ca="1" si="39"/>
        <v/>
      </c>
      <c r="F203" s="9" t="str">
        <f t="shared" si="40"/>
        <v/>
      </c>
      <c r="G203" s="9">
        <f t="shared" si="41"/>
        <v>0</v>
      </c>
      <c r="L203" s="9" t="str">
        <f>IF($J203="","",IFERROR(SUMIFS(SummaryHelper!$H$2:$H$5000,SummaryHelper!$A$2:$A$5000,$I203,SummaryHelper!$B$2:$B$5000,$J203,SummaryHelper!$C$2:$C$5000,$K203)/SUMIFS(SummaryHelper!$G$2:$G$5000,SummaryHelper!$A$2:$A$5000,$I203,SummaryHelper!$B$2:$B$5000,$J203,SummaryHelper!$C$2:$C$5000,$K203),""))</f>
        <v/>
      </c>
      <c r="M203" s="9" t="str">
        <f>IF($J203="","",SUMIFS(SummaryHelper!$E$2:$E$5000,SummaryHelper!$A$2:$A$5000,$I203,SummaryHelper!$B$2:$B$5000,$J203,SummaryHelper!$C$2:$C$5000,$K203))</f>
        <v/>
      </c>
      <c r="N203" s="9" t="str">
        <f>IF($J203="","",SUMIFS(SummaryHelper!$F$2:$F$5000,SummaryHelper!$A$2:$A$5000,$I203,SummaryHelper!$B$2:$B$5000,$J203,SummaryHelper!$C$2:$C$5000,$K203))</f>
        <v/>
      </c>
      <c r="O203" s="9" t="str">
        <f>IF($J203="","",SUMIFS(SummaryHelper!$G$2:$G$5000,SummaryHelper!$A$2:$A$5000,$I203,SummaryHelper!$B$2:$B$5000,$J203,SummaryHelper!$C$2:$C$5000,$K203))</f>
        <v/>
      </c>
      <c r="Q203" s="9" t="str">
        <f t="shared" si="42"/>
        <v/>
      </c>
      <c r="R203" s="9" t="str">
        <f t="shared" si="43"/>
        <v/>
      </c>
      <c r="W203" s="9" t="str">
        <f>IF($U203="","",IFERROR(SUMIFS(SummaryHelper!$H$2:$H$5000,SummaryHelper!$A$2:$A$5000,$T203,SummaryHelper!$B$2:$B$5000,$U203,SummaryHelper!$C$2:$C$5000,$V203)/SUMIFS(SummaryHelper!$G$2:$G$5000,SummaryHelper!$A$2:$A$5000,$T203,SummaryHelper!$B$2:$B$5000,$U203,SummaryHelper!$C$2:$C$5000,$V203),""))</f>
        <v/>
      </c>
      <c r="X203" s="9" t="str">
        <f>IF($U203="","",SUMIFS(SummaryHelper!$E$2:$E$5000,SummaryHelper!$A$2:$A$5000,$T203,SummaryHelper!$B$2:$B$5000,$U203,SummaryHelper!$C$2:$C$5000,$V203))</f>
        <v/>
      </c>
      <c r="Y203" s="9" t="str">
        <f>IF($U203="","",SUMIFS(SummaryHelper!$F$2:$F$5000,SummaryHelper!$A$2:$A$5000,$T203,SummaryHelper!$B$2:$B$5000,$U203,SummaryHelper!$C$2:$C$5000,$V203))</f>
        <v/>
      </c>
      <c r="Z203" s="9" t="str">
        <f>IF($U203="","",SUMIFS(SummaryHelper!$G$2:$G$5000,SummaryHelper!$A$2:$A$5000,$T203,SummaryHelper!$B$2:$B$5000,$U203,SummaryHelper!$C$2:$C$5000,$V203))</f>
        <v/>
      </c>
      <c r="AB203" s="9" t="str">
        <f t="shared" si="44"/>
        <v/>
      </c>
      <c r="AC203" s="9" t="str">
        <f t="shared" si="45"/>
        <v/>
      </c>
      <c r="AH203" t="str">
        <f>IF($AF203="","",IFERROR(SUMIFS(SummaryHelper!$H$2:$H$5000,SummaryHelper!$A$2:$A$5000,$AE203,SummaryHelper!$B$2:$B$5000,$AF203,SummaryHelper!$C$2:$C$5000,$AG203)/SUMIFS(SummaryHelper!$G$2:$G$5000,SummaryHelper!$A$2:$A$5000,$AE203,SummaryHelper!$B$2:$B$5000,$AF203,SummaryHelper!$C$2:$C$5000,$AG203),""))</f>
        <v/>
      </c>
      <c r="AI203" t="str">
        <f>IF($AF203="","",SUMIFS(SummaryHelper!$E$2:$E$5000,SummaryHelper!$A$2:$A$5000,$AE203,SummaryHelper!$B$2:$B$5000,$AF203,SummaryHelper!$C$2:$C$5000,$AG203))</f>
        <v/>
      </c>
      <c r="AJ203" t="str">
        <f>IF($AF203="","",SUMIFS(SummaryHelper!$F$2:$F$5000,SummaryHelper!$A$2:$A$5000,$AE203,SummaryHelper!$B$2:$B$5000,$AF203,SummaryHelper!$C$2:$C$5000,$AG203))</f>
        <v/>
      </c>
      <c r="AK203" t="str">
        <f>IF($AF203="","",SUMIFS(SummaryHelper!$G$2:$G$5000,SummaryHelper!$A$2:$A$5000,$AE203,SummaryHelper!$B$2:$B$5000,$AF203,SummaryHelper!$C$2:$C$5000,$AG203))</f>
        <v/>
      </c>
      <c r="AM203" t="str">
        <f t="shared" si="46"/>
        <v/>
      </c>
      <c r="AN203" t="str">
        <f t="shared" si="47"/>
        <v/>
      </c>
    </row>
    <row r="204" spans="1:40" x14ac:dyDescent="0.25">
      <c r="A204" s="12"/>
      <c r="B204" s="23" t="str">
        <f t="shared" si="36"/>
        <v/>
      </c>
      <c r="C204" s="9" t="str">
        <f t="shared" ca="1" si="37"/>
        <v/>
      </c>
      <c r="D204" s="9" t="str">
        <f t="shared" ca="1" si="38"/>
        <v/>
      </c>
      <c r="E204" s="9" t="str">
        <f t="shared" ca="1" si="39"/>
        <v/>
      </c>
      <c r="F204" s="9" t="str">
        <f t="shared" si="40"/>
        <v/>
      </c>
      <c r="G204" s="9">
        <f t="shared" si="41"/>
        <v>0</v>
      </c>
      <c r="L204" s="9" t="str">
        <f>IF($J204="","",IFERROR(SUMIFS(SummaryHelper!$H$2:$H$5000,SummaryHelper!$A$2:$A$5000,$I204,SummaryHelper!$B$2:$B$5000,$J204,SummaryHelper!$C$2:$C$5000,$K204)/SUMIFS(SummaryHelper!$G$2:$G$5000,SummaryHelper!$A$2:$A$5000,$I204,SummaryHelper!$B$2:$B$5000,$J204,SummaryHelper!$C$2:$C$5000,$K204),""))</f>
        <v/>
      </c>
      <c r="M204" s="9" t="str">
        <f>IF($J204="","",SUMIFS(SummaryHelper!$E$2:$E$5000,SummaryHelper!$A$2:$A$5000,$I204,SummaryHelper!$B$2:$B$5000,$J204,SummaryHelper!$C$2:$C$5000,$K204))</f>
        <v/>
      </c>
      <c r="N204" s="9" t="str">
        <f>IF($J204="","",SUMIFS(SummaryHelper!$F$2:$F$5000,SummaryHelper!$A$2:$A$5000,$I204,SummaryHelper!$B$2:$B$5000,$J204,SummaryHelper!$C$2:$C$5000,$K204))</f>
        <v/>
      </c>
      <c r="O204" s="9" t="str">
        <f>IF($J204="","",SUMIFS(SummaryHelper!$G$2:$G$5000,SummaryHelper!$A$2:$A$5000,$I204,SummaryHelper!$B$2:$B$5000,$J204,SummaryHelper!$C$2:$C$5000,$K204))</f>
        <v/>
      </c>
      <c r="Q204" s="9" t="str">
        <f t="shared" si="42"/>
        <v/>
      </c>
      <c r="R204" s="9" t="str">
        <f t="shared" si="43"/>
        <v/>
      </c>
      <c r="W204" s="9" t="str">
        <f>IF($U204="","",IFERROR(SUMIFS(SummaryHelper!$H$2:$H$5000,SummaryHelper!$A$2:$A$5000,$T204,SummaryHelper!$B$2:$B$5000,$U204,SummaryHelper!$C$2:$C$5000,$V204)/SUMIFS(SummaryHelper!$G$2:$G$5000,SummaryHelper!$A$2:$A$5000,$T204,SummaryHelper!$B$2:$B$5000,$U204,SummaryHelper!$C$2:$C$5000,$V204),""))</f>
        <v/>
      </c>
      <c r="X204" s="9" t="str">
        <f>IF($U204="","",SUMIFS(SummaryHelper!$E$2:$E$5000,SummaryHelper!$A$2:$A$5000,$T204,SummaryHelper!$B$2:$B$5000,$U204,SummaryHelper!$C$2:$C$5000,$V204))</f>
        <v/>
      </c>
      <c r="Y204" s="9" t="str">
        <f>IF($U204="","",SUMIFS(SummaryHelper!$F$2:$F$5000,SummaryHelper!$A$2:$A$5000,$T204,SummaryHelper!$B$2:$B$5000,$U204,SummaryHelper!$C$2:$C$5000,$V204))</f>
        <v/>
      </c>
      <c r="Z204" s="9" t="str">
        <f>IF($U204="","",SUMIFS(SummaryHelper!$G$2:$G$5000,SummaryHelper!$A$2:$A$5000,$T204,SummaryHelper!$B$2:$B$5000,$U204,SummaryHelper!$C$2:$C$5000,$V204))</f>
        <v/>
      </c>
      <c r="AB204" s="9" t="str">
        <f t="shared" si="44"/>
        <v/>
      </c>
      <c r="AC204" s="9" t="str">
        <f t="shared" si="45"/>
        <v/>
      </c>
      <c r="AH204" t="str">
        <f>IF($AF204="","",IFERROR(SUMIFS(SummaryHelper!$H$2:$H$5000,SummaryHelper!$A$2:$A$5000,$AE204,SummaryHelper!$B$2:$B$5000,$AF204,SummaryHelper!$C$2:$C$5000,$AG204)/SUMIFS(SummaryHelper!$G$2:$G$5000,SummaryHelper!$A$2:$A$5000,$AE204,SummaryHelper!$B$2:$B$5000,$AF204,SummaryHelper!$C$2:$C$5000,$AG204),""))</f>
        <v/>
      </c>
      <c r="AI204" t="str">
        <f>IF($AF204="","",SUMIFS(SummaryHelper!$E$2:$E$5000,SummaryHelper!$A$2:$A$5000,$AE204,SummaryHelper!$B$2:$B$5000,$AF204,SummaryHelper!$C$2:$C$5000,$AG204))</f>
        <v/>
      </c>
      <c r="AJ204" t="str">
        <f>IF($AF204="","",SUMIFS(SummaryHelper!$F$2:$F$5000,SummaryHelper!$A$2:$A$5000,$AE204,SummaryHelper!$B$2:$B$5000,$AF204,SummaryHelper!$C$2:$C$5000,$AG204))</f>
        <v/>
      </c>
      <c r="AK204" t="str">
        <f>IF($AF204="","",SUMIFS(SummaryHelper!$G$2:$G$5000,SummaryHelper!$A$2:$A$5000,$AE204,SummaryHelper!$B$2:$B$5000,$AF204,SummaryHelper!$C$2:$C$5000,$AG204))</f>
        <v/>
      </c>
      <c r="AM204" t="str">
        <f t="shared" si="46"/>
        <v/>
      </c>
      <c r="AN204" t="str">
        <f t="shared" si="47"/>
        <v/>
      </c>
    </row>
    <row r="205" spans="1:40" x14ac:dyDescent="0.25">
      <c r="A205" s="12"/>
      <c r="B205" s="23" t="str">
        <f t="shared" si="36"/>
        <v/>
      </c>
      <c r="C205" s="9" t="str">
        <f t="shared" ca="1" si="37"/>
        <v/>
      </c>
      <c r="D205" s="9" t="str">
        <f t="shared" ca="1" si="38"/>
        <v/>
      </c>
      <c r="E205" s="9" t="str">
        <f t="shared" ca="1" si="39"/>
        <v/>
      </c>
      <c r="F205" s="9" t="str">
        <f t="shared" si="40"/>
        <v/>
      </c>
      <c r="G205" s="9">
        <f t="shared" si="41"/>
        <v>0</v>
      </c>
      <c r="L205" s="9" t="str">
        <f>IF($J205="","",IFERROR(SUMIFS(SummaryHelper!$H$2:$H$5000,SummaryHelper!$A$2:$A$5000,$I205,SummaryHelper!$B$2:$B$5000,$J205,SummaryHelper!$C$2:$C$5000,$K205)/SUMIFS(SummaryHelper!$G$2:$G$5000,SummaryHelper!$A$2:$A$5000,$I205,SummaryHelper!$B$2:$B$5000,$J205,SummaryHelper!$C$2:$C$5000,$K205),""))</f>
        <v/>
      </c>
      <c r="M205" s="9" t="str">
        <f>IF($J205="","",SUMIFS(SummaryHelper!$E$2:$E$5000,SummaryHelper!$A$2:$A$5000,$I205,SummaryHelper!$B$2:$B$5000,$J205,SummaryHelper!$C$2:$C$5000,$K205))</f>
        <v/>
      </c>
      <c r="N205" s="9" t="str">
        <f>IF($J205="","",SUMIFS(SummaryHelper!$F$2:$F$5000,SummaryHelper!$A$2:$A$5000,$I205,SummaryHelper!$B$2:$B$5000,$J205,SummaryHelper!$C$2:$C$5000,$K205))</f>
        <v/>
      </c>
      <c r="O205" s="9" t="str">
        <f>IF($J205="","",SUMIFS(SummaryHelper!$G$2:$G$5000,SummaryHelper!$A$2:$A$5000,$I205,SummaryHelper!$B$2:$B$5000,$J205,SummaryHelper!$C$2:$C$5000,$K205))</f>
        <v/>
      </c>
      <c r="Q205" s="9" t="str">
        <f t="shared" si="42"/>
        <v/>
      </c>
      <c r="R205" s="9" t="str">
        <f t="shared" si="43"/>
        <v/>
      </c>
      <c r="W205" s="9" t="str">
        <f>IF($U205="","",IFERROR(SUMIFS(SummaryHelper!$H$2:$H$5000,SummaryHelper!$A$2:$A$5000,$T205,SummaryHelper!$B$2:$B$5000,$U205,SummaryHelper!$C$2:$C$5000,$V205)/SUMIFS(SummaryHelper!$G$2:$G$5000,SummaryHelper!$A$2:$A$5000,$T205,SummaryHelper!$B$2:$B$5000,$U205,SummaryHelper!$C$2:$C$5000,$V205),""))</f>
        <v/>
      </c>
      <c r="X205" s="9" t="str">
        <f>IF($U205="","",SUMIFS(SummaryHelper!$E$2:$E$5000,SummaryHelper!$A$2:$A$5000,$T205,SummaryHelper!$B$2:$B$5000,$U205,SummaryHelper!$C$2:$C$5000,$V205))</f>
        <v/>
      </c>
      <c r="Y205" s="9" t="str">
        <f>IF($U205="","",SUMIFS(SummaryHelper!$F$2:$F$5000,SummaryHelper!$A$2:$A$5000,$T205,SummaryHelper!$B$2:$B$5000,$U205,SummaryHelper!$C$2:$C$5000,$V205))</f>
        <v/>
      </c>
      <c r="Z205" s="9" t="str">
        <f>IF($U205="","",SUMIFS(SummaryHelper!$G$2:$G$5000,SummaryHelper!$A$2:$A$5000,$T205,SummaryHelper!$B$2:$B$5000,$U205,SummaryHelper!$C$2:$C$5000,$V205))</f>
        <v/>
      </c>
      <c r="AB205" s="9" t="str">
        <f t="shared" si="44"/>
        <v/>
      </c>
      <c r="AC205" s="9" t="str">
        <f t="shared" si="45"/>
        <v/>
      </c>
      <c r="AH205" t="str">
        <f>IF($AF205="","",IFERROR(SUMIFS(SummaryHelper!$H$2:$H$5000,SummaryHelper!$A$2:$A$5000,$AE205,SummaryHelper!$B$2:$B$5000,$AF205,SummaryHelper!$C$2:$C$5000,$AG205)/SUMIFS(SummaryHelper!$G$2:$G$5000,SummaryHelper!$A$2:$A$5000,$AE205,SummaryHelper!$B$2:$B$5000,$AF205,SummaryHelper!$C$2:$C$5000,$AG205),""))</f>
        <v/>
      </c>
      <c r="AI205" t="str">
        <f>IF($AF205="","",SUMIFS(SummaryHelper!$E$2:$E$5000,SummaryHelper!$A$2:$A$5000,$AE205,SummaryHelper!$B$2:$B$5000,$AF205,SummaryHelper!$C$2:$C$5000,$AG205))</f>
        <v/>
      </c>
      <c r="AJ205" t="str">
        <f>IF($AF205="","",SUMIFS(SummaryHelper!$F$2:$F$5000,SummaryHelper!$A$2:$A$5000,$AE205,SummaryHelper!$B$2:$B$5000,$AF205,SummaryHelper!$C$2:$C$5000,$AG205))</f>
        <v/>
      </c>
      <c r="AK205" t="str">
        <f>IF($AF205="","",SUMIFS(SummaryHelper!$G$2:$G$5000,SummaryHelper!$A$2:$A$5000,$AE205,SummaryHelper!$B$2:$B$5000,$AF205,SummaryHelper!$C$2:$C$5000,$AG205))</f>
        <v/>
      </c>
      <c r="AM205" t="str">
        <f t="shared" si="46"/>
        <v/>
      </c>
      <c r="AN205" t="str">
        <f t="shared" si="47"/>
        <v/>
      </c>
    </row>
    <row r="206" spans="1:40" x14ac:dyDescent="0.25">
      <c r="A206" s="12"/>
      <c r="B206" s="23" t="str">
        <f t="shared" si="36"/>
        <v/>
      </c>
      <c r="C206" s="9" t="str">
        <f t="shared" ca="1" si="37"/>
        <v/>
      </c>
      <c r="D206" s="9" t="str">
        <f t="shared" ca="1" si="38"/>
        <v/>
      </c>
      <c r="E206" s="9" t="str">
        <f t="shared" ca="1" si="39"/>
        <v/>
      </c>
      <c r="F206" s="9" t="str">
        <f t="shared" si="40"/>
        <v/>
      </c>
      <c r="G206" s="9">
        <f t="shared" si="41"/>
        <v>0</v>
      </c>
      <c r="L206" s="9" t="str">
        <f>IF($J206="","",IFERROR(SUMIFS(SummaryHelper!$H$2:$H$5000,SummaryHelper!$A$2:$A$5000,$I206,SummaryHelper!$B$2:$B$5000,$J206,SummaryHelper!$C$2:$C$5000,$K206)/SUMIFS(SummaryHelper!$G$2:$G$5000,SummaryHelper!$A$2:$A$5000,$I206,SummaryHelper!$B$2:$B$5000,$J206,SummaryHelper!$C$2:$C$5000,$K206),""))</f>
        <v/>
      </c>
      <c r="M206" s="9" t="str">
        <f>IF($J206="","",SUMIFS(SummaryHelper!$E$2:$E$5000,SummaryHelper!$A$2:$A$5000,$I206,SummaryHelper!$B$2:$B$5000,$J206,SummaryHelper!$C$2:$C$5000,$K206))</f>
        <v/>
      </c>
      <c r="N206" s="9" t="str">
        <f>IF($J206="","",SUMIFS(SummaryHelper!$F$2:$F$5000,SummaryHelper!$A$2:$A$5000,$I206,SummaryHelper!$B$2:$B$5000,$J206,SummaryHelper!$C$2:$C$5000,$K206))</f>
        <v/>
      </c>
      <c r="O206" s="9" t="str">
        <f>IF($J206="","",SUMIFS(SummaryHelper!$G$2:$G$5000,SummaryHelper!$A$2:$A$5000,$I206,SummaryHelper!$B$2:$B$5000,$J206,SummaryHelper!$C$2:$C$5000,$K206))</f>
        <v/>
      </c>
      <c r="Q206" s="9" t="str">
        <f t="shared" si="42"/>
        <v/>
      </c>
      <c r="R206" s="9" t="str">
        <f t="shared" si="43"/>
        <v/>
      </c>
      <c r="W206" s="9" t="str">
        <f>IF($U206="","",IFERROR(SUMIFS(SummaryHelper!$H$2:$H$5000,SummaryHelper!$A$2:$A$5000,$T206,SummaryHelper!$B$2:$B$5000,$U206,SummaryHelper!$C$2:$C$5000,$V206)/SUMIFS(SummaryHelper!$G$2:$G$5000,SummaryHelper!$A$2:$A$5000,$T206,SummaryHelper!$B$2:$B$5000,$U206,SummaryHelper!$C$2:$C$5000,$V206),""))</f>
        <v/>
      </c>
      <c r="X206" s="9" t="str">
        <f>IF($U206="","",SUMIFS(SummaryHelper!$E$2:$E$5000,SummaryHelper!$A$2:$A$5000,$T206,SummaryHelper!$B$2:$B$5000,$U206,SummaryHelper!$C$2:$C$5000,$V206))</f>
        <v/>
      </c>
      <c r="Y206" s="9" t="str">
        <f>IF($U206="","",SUMIFS(SummaryHelper!$F$2:$F$5000,SummaryHelper!$A$2:$A$5000,$T206,SummaryHelper!$B$2:$B$5000,$U206,SummaryHelper!$C$2:$C$5000,$V206))</f>
        <v/>
      </c>
      <c r="Z206" s="9" t="str">
        <f>IF($U206="","",SUMIFS(SummaryHelper!$G$2:$G$5000,SummaryHelper!$A$2:$A$5000,$T206,SummaryHelper!$B$2:$B$5000,$U206,SummaryHelper!$C$2:$C$5000,$V206))</f>
        <v/>
      </c>
      <c r="AB206" s="9" t="str">
        <f t="shared" si="44"/>
        <v/>
      </c>
      <c r="AC206" s="9" t="str">
        <f t="shared" si="45"/>
        <v/>
      </c>
      <c r="AH206" t="str">
        <f>IF($AF206="","",IFERROR(SUMIFS(SummaryHelper!$H$2:$H$5000,SummaryHelper!$A$2:$A$5000,$AE206,SummaryHelper!$B$2:$B$5000,$AF206,SummaryHelper!$C$2:$C$5000,$AG206)/SUMIFS(SummaryHelper!$G$2:$G$5000,SummaryHelper!$A$2:$A$5000,$AE206,SummaryHelper!$B$2:$B$5000,$AF206,SummaryHelper!$C$2:$C$5000,$AG206),""))</f>
        <v/>
      </c>
      <c r="AI206" t="str">
        <f>IF($AF206="","",SUMIFS(SummaryHelper!$E$2:$E$5000,SummaryHelper!$A$2:$A$5000,$AE206,SummaryHelper!$B$2:$B$5000,$AF206,SummaryHelper!$C$2:$C$5000,$AG206))</f>
        <v/>
      </c>
      <c r="AJ206" t="str">
        <f>IF($AF206="","",SUMIFS(SummaryHelper!$F$2:$F$5000,SummaryHelper!$A$2:$A$5000,$AE206,SummaryHelper!$B$2:$B$5000,$AF206,SummaryHelper!$C$2:$C$5000,$AG206))</f>
        <v/>
      </c>
      <c r="AK206" t="str">
        <f>IF($AF206="","",SUMIFS(SummaryHelper!$G$2:$G$5000,SummaryHelper!$A$2:$A$5000,$AE206,SummaryHelper!$B$2:$B$5000,$AF206,SummaryHelper!$C$2:$C$5000,$AG206))</f>
        <v/>
      </c>
      <c r="AM206" t="str">
        <f t="shared" si="46"/>
        <v/>
      </c>
      <c r="AN206" t="str">
        <f t="shared" si="47"/>
        <v/>
      </c>
    </row>
    <row r="207" spans="1:40" x14ac:dyDescent="0.25">
      <c r="A207" s="12"/>
      <c r="B207" s="23" t="str">
        <f t="shared" ref="B207:B270" si="48">IF($A207=1,"S"&amp;TEXT(ROW()-2,"00"),"")</f>
        <v/>
      </c>
      <c r="C207" s="9" t="str">
        <f t="shared" ca="1" si="37"/>
        <v/>
      </c>
      <c r="D207" s="9" t="str">
        <f t="shared" ca="1" si="38"/>
        <v/>
      </c>
      <c r="E207" s="9" t="str">
        <f t="shared" ca="1" si="39"/>
        <v/>
      </c>
      <c r="F207" s="9" t="str">
        <f t="shared" si="40"/>
        <v/>
      </c>
      <c r="G207" s="9">
        <f t="shared" si="41"/>
        <v>0</v>
      </c>
      <c r="L207" s="9" t="str">
        <f>IF($J207="","",IFERROR(SUMIFS(SummaryHelper!$H$2:$H$5000,SummaryHelper!$A$2:$A$5000,$I207,SummaryHelper!$B$2:$B$5000,$J207,SummaryHelper!$C$2:$C$5000,$K207)/SUMIFS(SummaryHelper!$G$2:$G$5000,SummaryHelper!$A$2:$A$5000,$I207,SummaryHelper!$B$2:$B$5000,$J207,SummaryHelper!$C$2:$C$5000,$K207),""))</f>
        <v/>
      </c>
      <c r="M207" s="9" t="str">
        <f>IF($J207="","",SUMIFS(SummaryHelper!$E$2:$E$5000,SummaryHelper!$A$2:$A$5000,$I207,SummaryHelper!$B$2:$B$5000,$J207,SummaryHelper!$C$2:$C$5000,$K207))</f>
        <v/>
      </c>
      <c r="N207" s="9" t="str">
        <f>IF($J207="","",SUMIFS(SummaryHelper!$F$2:$F$5000,SummaryHelper!$A$2:$A$5000,$I207,SummaryHelper!$B$2:$B$5000,$J207,SummaryHelper!$C$2:$C$5000,$K207))</f>
        <v/>
      </c>
      <c r="O207" s="9" t="str">
        <f>IF($J207="","",SUMIFS(SummaryHelper!$G$2:$G$5000,SummaryHelper!$A$2:$A$5000,$I207,SummaryHelper!$B$2:$B$5000,$J207,SummaryHelper!$C$2:$C$5000,$K207))</f>
        <v/>
      </c>
      <c r="Q207" s="9" t="str">
        <f t="shared" si="42"/>
        <v/>
      </c>
      <c r="R207" s="9" t="str">
        <f t="shared" si="43"/>
        <v/>
      </c>
      <c r="W207" s="9" t="str">
        <f>IF($U207="","",IFERROR(SUMIFS(SummaryHelper!$H$2:$H$5000,SummaryHelper!$A$2:$A$5000,$T207,SummaryHelper!$B$2:$B$5000,$U207,SummaryHelper!$C$2:$C$5000,$V207)/SUMIFS(SummaryHelper!$G$2:$G$5000,SummaryHelper!$A$2:$A$5000,$T207,SummaryHelper!$B$2:$B$5000,$U207,SummaryHelper!$C$2:$C$5000,$V207),""))</f>
        <v/>
      </c>
      <c r="X207" s="9" t="str">
        <f>IF($U207="","",SUMIFS(SummaryHelper!$E$2:$E$5000,SummaryHelper!$A$2:$A$5000,$T207,SummaryHelper!$B$2:$B$5000,$U207,SummaryHelper!$C$2:$C$5000,$V207))</f>
        <v/>
      </c>
      <c r="Y207" s="9" t="str">
        <f>IF($U207="","",SUMIFS(SummaryHelper!$F$2:$F$5000,SummaryHelper!$A$2:$A$5000,$T207,SummaryHelper!$B$2:$B$5000,$U207,SummaryHelper!$C$2:$C$5000,$V207))</f>
        <v/>
      </c>
      <c r="Z207" s="9" t="str">
        <f>IF($U207="","",SUMIFS(SummaryHelper!$G$2:$G$5000,SummaryHelper!$A$2:$A$5000,$T207,SummaryHelper!$B$2:$B$5000,$U207,SummaryHelper!$C$2:$C$5000,$V207))</f>
        <v/>
      </c>
      <c r="AB207" s="9" t="str">
        <f t="shared" si="44"/>
        <v/>
      </c>
      <c r="AC207" s="9" t="str">
        <f t="shared" si="45"/>
        <v/>
      </c>
      <c r="AH207" t="str">
        <f>IF($AF207="","",IFERROR(SUMIFS(SummaryHelper!$H$2:$H$5000,SummaryHelper!$A$2:$A$5000,$AE207,SummaryHelper!$B$2:$B$5000,$AF207,SummaryHelper!$C$2:$C$5000,$AG207)/SUMIFS(SummaryHelper!$G$2:$G$5000,SummaryHelper!$A$2:$A$5000,$AE207,SummaryHelper!$B$2:$B$5000,$AF207,SummaryHelper!$C$2:$C$5000,$AG207),""))</f>
        <v/>
      </c>
      <c r="AI207" t="str">
        <f>IF($AF207="","",SUMIFS(SummaryHelper!$E$2:$E$5000,SummaryHelper!$A$2:$A$5000,$AE207,SummaryHelper!$B$2:$B$5000,$AF207,SummaryHelper!$C$2:$C$5000,$AG207))</f>
        <v/>
      </c>
      <c r="AJ207" t="str">
        <f>IF($AF207="","",SUMIFS(SummaryHelper!$F$2:$F$5000,SummaryHelper!$A$2:$A$5000,$AE207,SummaryHelper!$B$2:$B$5000,$AF207,SummaryHelper!$C$2:$C$5000,$AG207))</f>
        <v/>
      </c>
      <c r="AK207" t="str">
        <f>IF($AF207="","",SUMIFS(SummaryHelper!$G$2:$G$5000,SummaryHelper!$A$2:$A$5000,$AE207,SummaryHelper!$B$2:$B$5000,$AF207,SummaryHelper!$C$2:$C$5000,$AG207))</f>
        <v/>
      </c>
      <c r="AM207" t="str">
        <f t="shared" si="46"/>
        <v/>
      </c>
      <c r="AN207" t="str">
        <f t="shared" si="47"/>
        <v/>
      </c>
    </row>
    <row r="208" spans="1:40" x14ac:dyDescent="0.25">
      <c r="A208" s="12"/>
      <c r="B208" s="23" t="str">
        <f t="shared" si="48"/>
        <v/>
      </c>
      <c r="C208" s="9" t="str">
        <f t="shared" ca="1" si="37"/>
        <v/>
      </c>
      <c r="D208" s="9" t="str">
        <f t="shared" ca="1" si="38"/>
        <v/>
      </c>
      <c r="E208" s="9" t="str">
        <f t="shared" ca="1" si="39"/>
        <v/>
      </c>
      <c r="F208" s="9" t="str">
        <f t="shared" si="40"/>
        <v/>
      </c>
      <c r="G208" s="9">
        <f t="shared" si="41"/>
        <v>0</v>
      </c>
      <c r="L208" s="9" t="str">
        <f>IF($J208="","",IFERROR(SUMIFS(SummaryHelper!$H$2:$H$5000,SummaryHelper!$A$2:$A$5000,$I208,SummaryHelper!$B$2:$B$5000,$J208,SummaryHelper!$C$2:$C$5000,$K208)/SUMIFS(SummaryHelper!$G$2:$G$5000,SummaryHelper!$A$2:$A$5000,$I208,SummaryHelper!$B$2:$B$5000,$J208,SummaryHelper!$C$2:$C$5000,$K208),""))</f>
        <v/>
      </c>
      <c r="M208" s="9" t="str">
        <f>IF($J208="","",SUMIFS(SummaryHelper!$E$2:$E$5000,SummaryHelper!$A$2:$A$5000,$I208,SummaryHelper!$B$2:$B$5000,$J208,SummaryHelper!$C$2:$C$5000,$K208))</f>
        <v/>
      </c>
      <c r="N208" s="9" t="str">
        <f>IF($J208="","",SUMIFS(SummaryHelper!$F$2:$F$5000,SummaryHelper!$A$2:$A$5000,$I208,SummaryHelper!$B$2:$B$5000,$J208,SummaryHelper!$C$2:$C$5000,$K208))</f>
        <v/>
      </c>
      <c r="O208" s="9" t="str">
        <f>IF($J208="","",SUMIFS(SummaryHelper!$G$2:$G$5000,SummaryHelper!$A$2:$A$5000,$I208,SummaryHelper!$B$2:$B$5000,$J208,SummaryHelper!$C$2:$C$5000,$K208))</f>
        <v/>
      </c>
      <c r="Q208" s="9" t="str">
        <f t="shared" si="42"/>
        <v/>
      </c>
      <c r="R208" s="9" t="str">
        <f t="shared" si="43"/>
        <v/>
      </c>
      <c r="W208" s="9" t="str">
        <f>IF($U208="","",IFERROR(SUMIFS(SummaryHelper!$H$2:$H$5000,SummaryHelper!$A$2:$A$5000,$T208,SummaryHelper!$B$2:$B$5000,$U208,SummaryHelper!$C$2:$C$5000,$V208)/SUMIFS(SummaryHelper!$G$2:$G$5000,SummaryHelper!$A$2:$A$5000,$T208,SummaryHelper!$B$2:$B$5000,$U208,SummaryHelper!$C$2:$C$5000,$V208),""))</f>
        <v/>
      </c>
      <c r="X208" s="9" t="str">
        <f>IF($U208="","",SUMIFS(SummaryHelper!$E$2:$E$5000,SummaryHelper!$A$2:$A$5000,$T208,SummaryHelper!$B$2:$B$5000,$U208,SummaryHelper!$C$2:$C$5000,$V208))</f>
        <v/>
      </c>
      <c r="Y208" s="9" t="str">
        <f>IF($U208="","",SUMIFS(SummaryHelper!$F$2:$F$5000,SummaryHelper!$A$2:$A$5000,$T208,SummaryHelper!$B$2:$B$5000,$U208,SummaryHelper!$C$2:$C$5000,$V208))</f>
        <v/>
      </c>
      <c r="Z208" s="9" t="str">
        <f>IF($U208="","",SUMIFS(SummaryHelper!$G$2:$G$5000,SummaryHelper!$A$2:$A$5000,$T208,SummaryHelper!$B$2:$B$5000,$U208,SummaryHelper!$C$2:$C$5000,$V208))</f>
        <v/>
      </c>
      <c r="AB208" s="9" t="str">
        <f t="shared" si="44"/>
        <v/>
      </c>
      <c r="AC208" s="9" t="str">
        <f t="shared" si="45"/>
        <v/>
      </c>
      <c r="AH208" t="str">
        <f>IF($AF208="","",IFERROR(SUMIFS(SummaryHelper!$H$2:$H$5000,SummaryHelper!$A$2:$A$5000,$AE208,SummaryHelper!$B$2:$B$5000,$AF208,SummaryHelper!$C$2:$C$5000,$AG208)/SUMIFS(SummaryHelper!$G$2:$G$5000,SummaryHelper!$A$2:$A$5000,$AE208,SummaryHelper!$B$2:$B$5000,$AF208,SummaryHelper!$C$2:$C$5000,$AG208),""))</f>
        <v/>
      </c>
      <c r="AI208" t="str">
        <f>IF($AF208="","",SUMIFS(SummaryHelper!$E$2:$E$5000,SummaryHelper!$A$2:$A$5000,$AE208,SummaryHelper!$B$2:$B$5000,$AF208,SummaryHelper!$C$2:$C$5000,$AG208))</f>
        <v/>
      </c>
      <c r="AJ208" t="str">
        <f>IF($AF208="","",SUMIFS(SummaryHelper!$F$2:$F$5000,SummaryHelper!$A$2:$A$5000,$AE208,SummaryHelper!$B$2:$B$5000,$AF208,SummaryHelper!$C$2:$C$5000,$AG208))</f>
        <v/>
      </c>
      <c r="AK208" t="str">
        <f>IF($AF208="","",SUMIFS(SummaryHelper!$G$2:$G$5000,SummaryHelper!$A$2:$A$5000,$AE208,SummaryHelper!$B$2:$B$5000,$AF208,SummaryHelper!$C$2:$C$5000,$AG208))</f>
        <v/>
      </c>
      <c r="AM208" t="str">
        <f t="shared" si="46"/>
        <v/>
      </c>
      <c r="AN208" t="str">
        <f t="shared" si="47"/>
        <v/>
      </c>
    </row>
    <row r="209" spans="1:40" x14ac:dyDescent="0.25">
      <c r="A209" s="12"/>
      <c r="B209" s="23" t="str">
        <f t="shared" si="48"/>
        <v/>
      </c>
      <c r="C209" s="9" t="str">
        <f t="shared" ca="1" si="37"/>
        <v/>
      </c>
      <c r="D209" s="9" t="str">
        <f t="shared" ca="1" si="38"/>
        <v/>
      </c>
      <c r="E209" s="9" t="str">
        <f t="shared" ca="1" si="39"/>
        <v/>
      </c>
      <c r="F209" s="9" t="str">
        <f t="shared" si="40"/>
        <v/>
      </c>
      <c r="G209" s="9">
        <f t="shared" si="41"/>
        <v>0</v>
      </c>
      <c r="L209" s="9" t="str">
        <f>IF($J209="","",IFERROR(SUMIFS(SummaryHelper!$H$2:$H$5000,SummaryHelper!$A$2:$A$5000,$I209,SummaryHelper!$B$2:$B$5000,$J209,SummaryHelper!$C$2:$C$5000,$K209)/SUMIFS(SummaryHelper!$G$2:$G$5000,SummaryHelper!$A$2:$A$5000,$I209,SummaryHelper!$B$2:$B$5000,$J209,SummaryHelper!$C$2:$C$5000,$K209),""))</f>
        <v/>
      </c>
      <c r="M209" s="9" t="str">
        <f>IF($J209="","",SUMIFS(SummaryHelper!$E$2:$E$5000,SummaryHelper!$A$2:$A$5000,$I209,SummaryHelper!$B$2:$B$5000,$J209,SummaryHelper!$C$2:$C$5000,$K209))</f>
        <v/>
      </c>
      <c r="N209" s="9" t="str">
        <f>IF($J209="","",SUMIFS(SummaryHelper!$F$2:$F$5000,SummaryHelper!$A$2:$A$5000,$I209,SummaryHelper!$B$2:$B$5000,$J209,SummaryHelper!$C$2:$C$5000,$K209))</f>
        <v/>
      </c>
      <c r="O209" s="9" t="str">
        <f>IF($J209="","",SUMIFS(SummaryHelper!$G$2:$G$5000,SummaryHelper!$A$2:$A$5000,$I209,SummaryHelper!$B$2:$B$5000,$J209,SummaryHelper!$C$2:$C$5000,$K209))</f>
        <v/>
      </c>
      <c r="Q209" s="9" t="str">
        <f t="shared" si="42"/>
        <v/>
      </c>
      <c r="R209" s="9" t="str">
        <f t="shared" si="43"/>
        <v/>
      </c>
      <c r="W209" s="9" t="str">
        <f>IF($U209="","",IFERROR(SUMIFS(SummaryHelper!$H$2:$H$5000,SummaryHelper!$A$2:$A$5000,$T209,SummaryHelper!$B$2:$B$5000,$U209,SummaryHelper!$C$2:$C$5000,$V209)/SUMIFS(SummaryHelper!$G$2:$G$5000,SummaryHelper!$A$2:$A$5000,$T209,SummaryHelper!$B$2:$B$5000,$U209,SummaryHelper!$C$2:$C$5000,$V209),""))</f>
        <v/>
      </c>
      <c r="X209" s="9" t="str">
        <f>IF($U209="","",SUMIFS(SummaryHelper!$E$2:$E$5000,SummaryHelper!$A$2:$A$5000,$T209,SummaryHelper!$B$2:$B$5000,$U209,SummaryHelper!$C$2:$C$5000,$V209))</f>
        <v/>
      </c>
      <c r="Y209" s="9" t="str">
        <f>IF($U209="","",SUMIFS(SummaryHelper!$F$2:$F$5000,SummaryHelper!$A$2:$A$5000,$T209,SummaryHelper!$B$2:$B$5000,$U209,SummaryHelper!$C$2:$C$5000,$V209))</f>
        <v/>
      </c>
      <c r="Z209" s="9" t="str">
        <f>IF($U209="","",SUMIFS(SummaryHelper!$G$2:$G$5000,SummaryHelper!$A$2:$A$5000,$T209,SummaryHelper!$B$2:$B$5000,$U209,SummaryHelper!$C$2:$C$5000,$V209))</f>
        <v/>
      </c>
      <c r="AB209" s="9" t="str">
        <f t="shared" si="44"/>
        <v/>
      </c>
      <c r="AC209" s="9" t="str">
        <f t="shared" si="45"/>
        <v/>
      </c>
      <c r="AH209" t="str">
        <f>IF($AF209="","",IFERROR(SUMIFS(SummaryHelper!$H$2:$H$5000,SummaryHelper!$A$2:$A$5000,$AE209,SummaryHelper!$B$2:$B$5000,$AF209,SummaryHelper!$C$2:$C$5000,$AG209)/SUMIFS(SummaryHelper!$G$2:$G$5000,SummaryHelper!$A$2:$A$5000,$AE209,SummaryHelper!$B$2:$B$5000,$AF209,SummaryHelper!$C$2:$C$5000,$AG209),""))</f>
        <v/>
      </c>
      <c r="AI209" t="str">
        <f>IF($AF209="","",SUMIFS(SummaryHelper!$E$2:$E$5000,SummaryHelper!$A$2:$A$5000,$AE209,SummaryHelper!$B$2:$B$5000,$AF209,SummaryHelper!$C$2:$C$5000,$AG209))</f>
        <v/>
      </c>
      <c r="AJ209" t="str">
        <f>IF($AF209="","",SUMIFS(SummaryHelper!$F$2:$F$5000,SummaryHelper!$A$2:$A$5000,$AE209,SummaryHelper!$B$2:$B$5000,$AF209,SummaryHelper!$C$2:$C$5000,$AG209))</f>
        <v/>
      </c>
      <c r="AK209" t="str">
        <f>IF($AF209="","",SUMIFS(SummaryHelper!$G$2:$G$5000,SummaryHelper!$A$2:$A$5000,$AE209,SummaryHelper!$B$2:$B$5000,$AF209,SummaryHelper!$C$2:$C$5000,$AG209))</f>
        <v/>
      </c>
      <c r="AM209" t="str">
        <f t="shared" si="46"/>
        <v/>
      </c>
      <c r="AN209" t="str">
        <f t="shared" si="47"/>
        <v/>
      </c>
    </row>
    <row r="210" spans="1:40" x14ac:dyDescent="0.25">
      <c r="A210" s="12"/>
      <c r="B210" s="23" t="str">
        <f t="shared" si="48"/>
        <v/>
      </c>
      <c r="C210" s="9" t="str">
        <f t="shared" ca="1" si="37"/>
        <v/>
      </c>
      <c r="D210" s="9" t="str">
        <f t="shared" ca="1" si="38"/>
        <v/>
      </c>
      <c r="E210" s="9" t="str">
        <f t="shared" ca="1" si="39"/>
        <v/>
      </c>
      <c r="F210" s="9" t="str">
        <f t="shared" si="40"/>
        <v/>
      </c>
      <c r="G210" s="9">
        <f t="shared" si="41"/>
        <v>0</v>
      </c>
      <c r="L210" s="9" t="str">
        <f>IF($J210="","",IFERROR(SUMIFS(SummaryHelper!$H$2:$H$5000,SummaryHelper!$A$2:$A$5000,$I210,SummaryHelper!$B$2:$B$5000,$J210,SummaryHelper!$C$2:$C$5000,$K210)/SUMIFS(SummaryHelper!$G$2:$G$5000,SummaryHelper!$A$2:$A$5000,$I210,SummaryHelper!$B$2:$B$5000,$J210,SummaryHelper!$C$2:$C$5000,$K210),""))</f>
        <v/>
      </c>
      <c r="M210" s="9" t="str">
        <f>IF($J210="","",SUMIFS(SummaryHelper!$E$2:$E$5000,SummaryHelper!$A$2:$A$5000,$I210,SummaryHelper!$B$2:$B$5000,$J210,SummaryHelper!$C$2:$C$5000,$K210))</f>
        <v/>
      </c>
      <c r="N210" s="9" t="str">
        <f>IF($J210="","",SUMIFS(SummaryHelper!$F$2:$F$5000,SummaryHelper!$A$2:$A$5000,$I210,SummaryHelper!$B$2:$B$5000,$J210,SummaryHelper!$C$2:$C$5000,$K210))</f>
        <v/>
      </c>
      <c r="O210" s="9" t="str">
        <f>IF($J210="","",SUMIFS(SummaryHelper!$G$2:$G$5000,SummaryHelper!$A$2:$A$5000,$I210,SummaryHelper!$B$2:$B$5000,$J210,SummaryHelper!$C$2:$C$5000,$K210))</f>
        <v/>
      </c>
      <c r="Q210" s="9" t="str">
        <f t="shared" si="42"/>
        <v/>
      </c>
      <c r="R210" s="9" t="str">
        <f t="shared" si="43"/>
        <v/>
      </c>
      <c r="W210" s="9" t="str">
        <f>IF($U210="","",IFERROR(SUMIFS(SummaryHelper!$H$2:$H$5000,SummaryHelper!$A$2:$A$5000,$T210,SummaryHelper!$B$2:$B$5000,$U210,SummaryHelper!$C$2:$C$5000,$V210)/SUMIFS(SummaryHelper!$G$2:$G$5000,SummaryHelper!$A$2:$A$5000,$T210,SummaryHelper!$B$2:$B$5000,$U210,SummaryHelper!$C$2:$C$5000,$V210),""))</f>
        <v/>
      </c>
      <c r="X210" s="9" t="str">
        <f>IF($U210="","",SUMIFS(SummaryHelper!$E$2:$E$5000,SummaryHelper!$A$2:$A$5000,$T210,SummaryHelper!$B$2:$B$5000,$U210,SummaryHelper!$C$2:$C$5000,$V210))</f>
        <v/>
      </c>
      <c r="Y210" s="9" t="str">
        <f>IF($U210="","",SUMIFS(SummaryHelper!$F$2:$F$5000,SummaryHelper!$A$2:$A$5000,$T210,SummaryHelper!$B$2:$B$5000,$U210,SummaryHelper!$C$2:$C$5000,$V210))</f>
        <v/>
      </c>
      <c r="Z210" s="9" t="str">
        <f>IF($U210="","",SUMIFS(SummaryHelper!$G$2:$G$5000,SummaryHelper!$A$2:$A$5000,$T210,SummaryHelper!$B$2:$B$5000,$U210,SummaryHelper!$C$2:$C$5000,$V210))</f>
        <v/>
      </c>
      <c r="AB210" s="9" t="str">
        <f t="shared" si="44"/>
        <v/>
      </c>
      <c r="AC210" s="9" t="str">
        <f t="shared" si="45"/>
        <v/>
      </c>
      <c r="AH210" t="str">
        <f>IF($AF210="","",IFERROR(SUMIFS(SummaryHelper!$H$2:$H$5000,SummaryHelper!$A$2:$A$5000,$AE210,SummaryHelper!$B$2:$B$5000,$AF210,SummaryHelper!$C$2:$C$5000,$AG210)/SUMIFS(SummaryHelper!$G$2:$G$5000,SummaryHelper!$A$2:$A$5000,$AE210,SummaryHelper!$B$2:$B$5000,$AF210,SummaryHelper!$C$2:$C$5000,$AG210),""))</f>
        <v/>
      </c>
      <c r="AI210" t="str">
        <f>IF($AF210="","",SUMIFS(SummaryHelper!$E$2:$E$5000,SummaryHelper!$A$2:$A$5000,$AE210,SummaryHelper!$B$2:$B$5000,$AF210,SummaryHelper!$C$2:$C$5000,$AG210))</f>
        <v/>
      </c>
      <c r="AJ210" t="str">
        <f>IF($AF210="","",SUMIFS(SummaryHelper!$F$2:$F$5000,SummaryHelper!$A$2:$A$5000,$AE210,SummaryHelper!$B$2:$B$5000,$AF210,SummaryHelper!$C$2:$C$5000,$AG210))</f>
        <v/>
      </c>
      <c r="AK210" t="str">
        <f>IF($AF210="","",SUMIFS(SummaryHelper!$G$2:$G$5000,SummaryHelper!$A$2:$A$5000,$AE210,SummaryHelper!$B$2:$B$5000,$AF210,SummaryHelper!$C$2:$C$5000,$AG210))</f>
        <v/>
      </c>
      <c r="AM210" t="str">
        <f t="shared" si="46"/>
        <v/>
      </c>
      <c r="AN210" t="str">
        <f t="shared" si="47"/>
        <v/>
      </c>
    </row>
    <row r="211" spans="1:40" x14ac:dyDescent="0.25">
      <c r="A211" s="12"/>
      <c r="B211" s="23" t="str">
        <f t="shared" si="48"/>
        <v/>
      </c>
      <c r="C211" s="9" t="str">
        <f t="shared" ca="1" si="37"/>
        <v/>
      </c>
      <c r="D211" s="9" t="str">
        <f t="shared" ca="1" si="38"/>
        <v/>
      </c>
      <c r="E211" s="9" t="str">
        <f t="shared" ca="1" si="39"/>
        <v/>
      </c>
      <c r="F211" s="9" t="str">
        <f t="shared" si="40"/>
        <v/>
      </c>
      <c r="G211" s="9">
        <f t="shared" si="41"/>
        <v>0</v>
      </c>
      <c r="L211" s="9" t="str">
        <f>IF($J211="","",IFERROR(SUMIFS(SummaryHelper!$H$2:$H$5000,SummaryHelper!$A$2:$A$5000,$I211,SummaryHelper!$B$2:$B$5000,$J211,SummaryHelper!$C$2:$C$5000,$K211)/SUMIFS(SummaryHelper!$G$2:$G$5000,SummaryHelper!$A$2:$A$5000,$I211,SummaryHelper!$B$2:$B$5000,$J211,SummaryHelper!$C$2:$C$5000,$K211),""))</f>
        <v/>
      </c>
      <c r="M211" s="9" t="str">
        <f>IF($J211="","",SUMIFS(SummaryHelper!$E$2:$E$5000,SummaryHelper!$A$2:$A$5000,$I211,SummaryHelper!$B$2:$B$5000,$J211,SummaryHelper!$C$2:$C$5000,$K211))</f>
        <v/>
      </c>
      <c r="N211" s="9" t="str">
        <f>IF($J211="","",SUMIFS(SummaryHelper!$F$2:$F$5000,SummaryHelper!$A$2:$A$5000,$I211,SummaryHelper!$B$2:$B$5000,$J211,SummaryHelper!$C$2:$C$5000,$K211))</f>
        <v/>
      </c>
      <c r="O211" s="9" t="str">
        <f>IF($J211="","",SUMIFS(SummaryHelper!$G$2:$G$5000,SummaryHelper!$A$2:$A$5000,$I211,SummaryHelper!$B$2:$B$5000,$J211,SummaryHelper!$C$2:$C$5000,$K211))</f>
        <v/>
      </c>
      <c r="Q211" s="9" t="str">
        <f t="shared" si="42"/>
        <v/>
      </c>
      <c r="R211" s="9" t="str">
        <f t="shared" si="43"/>
        <v/>
      </c>
      <c r="W211" s="9" t="str">
        <f>IF($U211="","",IFERROR(SUMIFS(SummaryHelper!$H$2:$H$5000,SummaryHelper!$A$2:$A$5000,$T211,SummaryHelper!$B$2:$B$5000,$U211,SummaryHelper!$C$2:$C$5000,$V211)/SUMIFS(SummaryHelper!$G$2:$G$5000,SummaryHelper!$A$2:$A$5000,$T211,SummaryHelper!$B$2:$B$5000,$U211,SummaryHelper!$C$2:$C$5000,$V211),""))</f>
        <v/>
      </c>
      <c r="X211" s="9" t="str">
        <f>IF($U211="","",SUMIFS(SummaryHelper!$E$2:$E$5000,SummaryHelper!$A$2:$A$5000,$T211,SummaryHelper!$B$2:$B$5000,$U211,SummaryHelper!$C$2:$C$5000,$V211))</f>
        <v/>
      </c>
      <c r="Y211" s="9" t="str">
        <f>IF($U211="","",SUMIFS(SummaryHelper!$F$2:$F$5000,SummaryHelper!$A$2:$A$5000,$T211,SummaryHelper!$B$2:$B$5000,$U211,SummaryHelper!$C$2:$C$5000,$V211))</f>
        <v/>
      </c>
      <c r="Z211" s="9" t="str">
        <f>IF($U211="","",SUMIFS(SummaryHelper!$G$2:$G$5000,SummaryHelper!$A$2:$A$5000,$T211,SummaryHelper!$B$2:$B$5000,$U211,SummaryHelper!$C$2:$C$5000,$V211))</f>
        <v/>
      </c>
      <c r="AB211" s="9" t="str">
        <f t="shared" si="44"/>
        <v/>
      </c>
      <c r="AC211" s="9" t="str">
        <f t="shared" si="45"/>
        <v/>
      </c>
      <c r="AH211" t="str">
        <f>IF($AF211="","",IFERROR(SUMIFS(SummaryHelper!$H$2:$H$5000,SummaryHelper!$A$2:$A$5000,$AE211,SummaryHelper!$B$2:$B$5000,$AF211,SummaryHelper!$C$2:$C$5000,$AG211)/SUMIFS(SummaryHelper!$G$2:$G$5000,SummaryHelper!$A$2:$A$5000,$AE211,SummaryHelper!$B$2:$B$5000,$AF211,SummaryHelper!$C$2:$C$5000,$AG211),""))</f>
        <v/>
      </c>
      <c r="AI211" t="str">
        <f>IF($AF211="","",SUMIFS(SummaryHelper!$E$2:$E$5000,SummaryHelper!$A$2:$A$5000,$AE211,SummaryHelper!$B$2:$B$5000,$AF211,SummaryHelper!$C$2:$C$5000,$AG211))</f>
        <v/>
      </c>
      <c r="AJ211" t="str">
        <f>IF($AF211="","",SUMIFS(SummaryHelper!$F$2:$F$5000,SummaryHelper!$A$2:$A$5000,$AE211,SummaryHelper!$B$2:$B$5000,$AF211,SummaryHelper!$C$2:$C$5000,$AG211))</f>
        <v/>
      </c>
      <c r="AK211" t="str">
        <f>IF($AF211="","",SUMIFS(SummaryHelper!$G$2:$G$5000,SummaryHelper!$A$2:$A$5000,$AE211,SummaryHelper!$B$2:$B$5000,$AF211,SummaryHelper!$C$2:$C$5000,$AG211))</f>
        <v/>
      </c>
      <c r="AM211" t="str">
        <f t="shared" si="46"/>
        <v/>
      </c>
      <c r="AN211" t="str">
        <f t="shared" si="47"/>
        <v/>
      </c>
    </row>
    <row r="212" spans="1:40" x14ac:dyDescent="0.25">
      <c r="A212" s="12"/>
      <c r="B212" s="23" t="str">
        <f t="shared" si="48"/>
        <v/>
      </c>
      <c r="C212" s="9" t="str">
        <f t="shared" ca="1" si="37"/>
        <v/>
      </c>
      <c r="D212" s="9" t="str">
        <f t="shared" ca="1" si="38"/>
        <v/>
      </c>
      <c r="E212" s="9" t="str">
        <f t="shared" ca="1" si="39"/>
        <v/>
      </c>
      <c r="F212" s="9" t="str">
        <f t="shared" si="40"/>
        <v/>
      </c>
      <c r="G212" s="9">
        <f t="shared" si="41"/>
        <v>0</v>
      </c>
      <c r="L212" s="9" t="str">
        <f>IF($J212="","",IFERROR(SUMIFS(SummaryHelper!$H$2:$H$5000,SummaryHelper!$A$2:$A$5000,$I212,SummaryHelper!$B$2:$B$5000,$J212,SummaryHelper!$C$2:$C$5000,$K212)/SUMIFS(SummaryHelper!$G$2:$G$5000,SummaryHelper!$A$2:$A$5000,$I212,SummaryHelper!$B$2:$B$5000,$J212,SummaryHelper!$C$2:$C$5000,$K212),""))</f>
        <v/>
      </c>
      <c r="M212" s="9" t="str">
        <f>IF($J212="","",SUMIFS(SummaryHelper!$E$2:$E$5000,SummaryHelper!$A$2:$A$5000,$I212,SummaryHelper!$B$2:$B$5000,$J212,SummaryHelper!$C$2:$C$5000,$K212))</f>
        <v/>
      </c>
      <c r="N212" s="9" t="str">
        <f>IF($J212="","",SUMIFS(SummaryHelper!$F$2:$F$5000,SummaryHelper!$A$2:$A$5000,$I212,SummaryHelper!$B$2:$B$5000,$J212,SummaryHelper!$C$2:$C$5000,$K212))</f>
        <v/>
      </c>
      <c r="O212" s="9" t="str">
        <f>IF($J212="","",SUMIFS(SummaryHelper!$G$2:$G$5000,SummaryHelper!$A$2:$A$5000,$I212,SummaryHelper!$B$2:$B$5000,$J212,SummaryHelper!$C$2:$C$5000,$K212))</f>
        <v/>
      </c>
      <c r="Q212" s="9" t="str">
        <f t="shared" si="42"/>
        <v/>
      </c>
      <c r="R212" s="9" t="str">
        <f t="shared" si="43"/>
        <v/>
      </c>
      <c r="W212" s="9" t="str">
        <f>IF($U212="","",IFERROR(SUMIFS(SummaryHelper!$H$2:$H$5000,SummaryHelper!$A$2:$A$5000,$T212,SummaryHelper!$B$2:$B$5000,$U212,SummaryHelper!$C$2:$C$5000,$V212)/SUMIFS(SummaryHelper!$G$2:$G$5000,SummaryHelper!$A$2:$A$5000,$T212,SummaryHelper!$B$2:$B$5000,$U212,SummaryHelper!$C$2:$C$5000,$V212),""))</f>
        <v/>
      </c>
      <c r="X212" s="9" t="str">
        <f>IF($U212="","",SUMIFS(SummaryHelper!$E$2:$E$5000,SummaryHelper!$A$2:$A$5000,$T212,SummaryHelper!$B$2:$B$5000,$U212,SummaryHelper!$C$2:$C$5000,$V212))</f>
        <v/>
      </c>
      <c r="Y212" s="9" t="str">
        <f>IF($U212="","",SUMIFS(SummaryHelper!$F$2:$F$5000,SummaryHelper!$A$2:$A$5000,$T212,SummaryHelper!$B$2:$B$5000,$U212,SummaryHelper!$C$2:$C$5000,$V212))</f>
        <v/>
      </c>
      <c r="Z212" s="9" t="str">
        <f>IF($U212="","",SUMIFS(SummaryHelper!$G$2:$G$5000,SummaryHelper!$A$2:$A$5000,$T212,SummaryHelper!$B$2:$B$5000,$U212,SummaryHelper!$C$2:$C$5000,$V212))</f>
        <v/>
      </c>
      <c r="AB212" s="9" t="str">
        <f t="shared" si="44"/>
        <v/>
      </c>
      <c r="AC212" s="9" t="str">
        <f t="shared" si="45"/>
        <v/>
      </c>
      <c r="AH212" t="str">
        <f>IF($AF212="","",IFERROR(SUMIFS(SummaryHelper!$H$2:$H$5000,SummaryHelper!$A$2:$A$5000,$AE212,SummaryHelper!$B$2:$B$5000,$AF212,SummaryHelper!$C$2:$C$5000,$AG212)/SUMIFS(SummaryHelper!$G$2:$G$5000,SummaryHelper!$A$2:$A$5000,$AE212,SummaryHelper!$B$2:$B$5000,$AF212,SummaryHelper!$C$2:$C$5000,$AG212),""))</f>
        <v/>
      </c>
      <c r="AI212" t="str">
        <f>IF($AF212="","",SUMIFS(SummaryHelper!$E$2:$E$5000,SummaryHelper!$A$2:$A$5000,$AE212,SummaryHelper!$B$2:$B$5000,$AF212,SummaryHelper!$C$2:$C$5000,$AG212))</f>
        <v/>
      </c>
      <c r="AJ212" t="str">
        <f>IF($AF212="","",SUMIFS(SummaryHelper!$F$2:$F$5000,SummaryHelper!$A$2:$A$5000,$AE212,SummaryHelper!$B$2:$B$5000,$AF212,SummaryHelper!$C$2:$C$5000,$AG212))</f>
        <v/>
      </c>
      <c r="AK212" t="str">
        <f>IF($AF212="","",SUMIFS(SummaryHelper!$G$2:$G$5000,SummaryHelper!$A$2:$A$5000,$AE212,SummaryHelper!$B$2:$B$5000,$AF212,SummaryHelper!$C$2:$C$5000,$AG212))</f>
        <v/>
      </c>
      <c r="AM212" t="str">
        <f t="shared" si="46"/>
        <v/>
      </c>
      <c r="AN212" t="str">
        <f t="shared" si="47"/>
        <v/>
      </c>
    </row>
    <row r="213" spans="1:40" x14ac:dyDescent="0.25">
      <c r="A213" s="12"/>
      <c r="B213" s="23" t="str">
        <f t="shared" si="48"/>
        <v/>
      </c>
      <c r="C213" s="9" t="str">
        <f t="shared" ca="1" si="37"/>
        <v/>
      </c>
      <c r="D213" s="9" t="str">
        <f t="shared" ca="1" si="38"/>
        <v/>
      </c>
      <c r="E213" s="9" t="str">
        <f t="shared" ca="1" si="39"/>
        <v/>
      </c>
      <c r="F213" s="9" t="str">
        <f t="shared" si="40"/>
        <v/>
      </c>
      <c r="G213" s="9">
        <f t="shared" si="41"/>
        <v>0</v>
      </c>
      <c r="L213" s="9" t="str">
        <f>IF($J213="","",IFERROR(SUMIFS(SummaryHelper!$H$2:$H$5000,SummaryHelper!$A$2:$A$5000,$I213,SummaryHelper!$B$2:$B$5000,$J213,SummaryHelper!$C$2:$C$5000,$K213)/SUMIFS(SummaryHelper!$G$2:$G$5000,SummaryHelper!$A$2:$A$5000,$I213,SummaryHelper!$B$2:$B$5000,$J213,SummaryHelper!$C$2:$C$5000,$K213),""))</f>
        <v/>
      </c>
      <c r="M213" s="9" t="str">
        <f>IF($J213="","",SUMIFS(SummaryHelper!$E$2:$E$5000,SummaryHelper!$A$2:$A$5000,$I213,SummaryHelper!$B$2:$B$5000,$J213,SummaryHelper!$C$2:$C$5000,$K213))</f>
        <v/>
      </c>
      <c r="N213" s="9" t="str">
        <f>IF($J213="","",SUMIFS(SummaryHelper!$F$2:$F$5000,SummaryHelper!$A$2:$A$5000,$I213,SummaryHelper!$B$2:$B$5000,$J213,SummaryHelper!$C$2:$C$5000,$K213))</f>
        <v/>
      </c>
      <c r="O213" s="9" t="str">
        <f>IF($J213="","",SUMIFS(SummaryHelper!$G$2:$G$5000,SummaryHelper!$A$2:$A$5000,$I213,SummaryHelper!$B$2:$B$5000,$J213,SummaryHelper!$C$2:$C$5000,$K213))</f>
        <v/>
      </c>
      <c r="Q213" s="9" t="str">
        <f t="shared" si="42"/>
        <v/>
      </c>
      <c r="R213" s="9" t="str">
        <f t="shared" si="43"/>
        <v/>
      </c>
      <c r="W213" s="9" t="str">
        <f>IF($U213="","",IFERROR(SUMIFS(SummaryHelper!$H$2:$H$5000,SummaryHelper!$A$2:$A$5000,$T213,SummaryHelper!$B$2:$B$5000,$U213,SummaryHelper!$C$2:$C$5000,$V213)/SUMIFS(SummaryHelper!$G$2:$G$5000,SummaryHelper!$A$2:$A$5000,$T213,SummaryHelper!$B$2:$B$5000,$U213,SummaryHelper!$C$2:$C$5000,$V213),""))</f>
        <v/>
      </c>
      <c r="X213" s="9" t="str">
        <f>IF($U213="","",SUMIFS(SummaryHelper!$E$2:$E$5000,SummaryHelper!$A$2:$A$5000,$T213,SummaryHelper!$B$2:$B$5000,$U213,SummaryHelper!$C$2:$C$5000,$V213))</f>
        <v/>
      </c>
      <c r="Y213" s="9" t="str">
        <f>IF($U213="","",SUMIFS(SummaryHelper!$F$2:$F$5000,SummaryHelper!$A$2:$A$5000,$T213,SummaryHelper!$B$2:$B$5000,$U213,SummaryHelper!$C$2:$C$5000,$V213))</f>
        <v/>
      </c>
      <c r="Z213" s="9" t="str">
        <f>IF($U213="","",SUMIFS(SummaryHelper!$G$2:$G$5000,SummaryHelper!$A$2:$A$5000,$T213,SummaryHelper!$B$2:$B$5000,$U213,SummaryHelper!$C$2:$C$5000,$V213))</f>
        <v/>
      </c>
      <c r="AB213" s="9" t="str">
        <f t="shared" si="44"/>
        <v/>
      </c>
      <c r="AC213" s="9" t="str">
        <f t="shared" si="45"/>
        <v/>
      </c>
      <c r="AH213" t="str">
        <f>IF($AF213="","",IFERROR(SUMIFS(SummaryHelper!$H$2:$H$5000,SummaryHelper!$A$2:$A$5000,$AE213,SummaryHelper!$B$2:$B$5000,$AF213,SummaryHelper!$C$2:$C$5000,$AG213)/SUMIFS(SummaryHelper!$G$2:$G$5000,SummaryHelper!$A$2:$A$5000,$AE213,SummaryHelper!$B$2:$B$5000,$AF213,SummaryHelper!$C$2:$C$5000,$AG213),""))</f>
        <v/>
      </c>
      <c r="AI213" t="str">
        <f>IF($AF213="","",SUMIFS(SummaryHelper!$E$2:$E$5000,SummaryHelper!$A$2:$A$5000,$AE213,SummaryHelper!$B$2:$B$5000,$AF213,SummaryHelper!$C$2:$C$5000,$AG213))</f>
        <v/>
      </c>
      <c r="AJ213" t="str">
        <f>IF($AF213="","",SUMIFS(SummaryHelper!$F$2:$F$5000,SummaryHelper!$A$2:$A$5000,$AE213,SummaryHelper!$B$2:$B$5000,$AF213,SummaryHelper!$C$2:$C$5000,$AG213))</f>
        <v/>
      </c>
      <c r="AK213" t="str">
        <f>IF($AF213="","",SUMIFS(SummaryHelper!$G$2:$G$5000,SummaryHelper!$A$2:$A$5000,$AE213,SummaryHelper!$B$2:$B$5000,$AF213,SummaryHelper!$C$2:$C$5000,$AG213))</f>
        <v/>
      </c>
      <c r="AM213" t="str">
        <f t="shared" si="46"/>
        <v/>
      </c>
      <c r="AN213" t="str">
        <f t="shared" si="47"/>
        <v/>
      </c>
    </row>
    <row r="214" spans="1:40" x14ac:dyDescent="0.25">
      <c r="A214" s="12"/>
      <c r="B214" s="23" t="str">
        <f t="shared" si="48"/>
        <v/>
      </c>
      <c r="C214" s="9" t="str">
        <f t="shared" ca="1" si="37"/>
        <v/>
      </c>
      <c r="D214" s="9" t="str">
        <f t="shared" ca="1" si="38"/>
        <v/>
      </c>
      <c r="E214" s="9" t="str">
        <f t="shared" ca="1" si="39"/>
        <v/>
      </c>
      <c r="F214" s="9" t="str">
        <f t="shared" si="40"/>
        <v/>
      </c>
      <c r="G214" s="9">
        <f t="shared" si="41"/>
        <v>0</v>
      </c>
      <c r="L214" s="9" t="str">
        <f>IF($J214="","",IFERROR(SUMIFS(SummaryHelper!$H$2:$H$5000,SummaryHelper!$A$2:$A$5000,$I214,SummaryHelper!$B$2:$B$5000,$J214,SummaryHelper!$C$2:$C$5000,$K214)/SUMIFS(SummaryHelper!$G$2:$G$5000,SummaryHelper!$A$2:$A$5000,$I214,SummaryHelper!$B$2:$B$5000,$J214,SummaryHelper!$C$2:$C$5000,$K214),""))</f>
        <v/>
      </c>
      <c r="M214" s="9" t="str">
        <f>IF($J214="","",SUMIFS(SummaryHelper!$E$2:$E$5000,SummaryHelper!$A$2:$A$5000,$I214,SummaryHelper!$B$2:$B$5000,$J214,SummaryHelper!$C$2:$C$5000,$K214))</f>
        <v/>
      </c>
      <c r="N214" s="9" t="str">
        <f>IF($J214="","",SUMIFS(SummaryHelper!$F$2:$F$5000,SummaryHelper!$A$2:$A$5000,$I214,SummaryHelper!$B$2:$B$5000,$J214,SummaryHelper!$C$2:$C$5000,$K214))</f>
        <v/>
      </c>
      <c r="O214" s="9" t="str">
        <f>IF($J214="","",SUMIFS(SummaryHelper!$G$2:$G$5000,SummaryHelper!$A$2:$A$5000,$I214,SummaryHelper!$B$2:$B$5000,$J214,SummaryHelper!$C$2:$C$5000,$K214))</f>
        <v/>
      </c>
      <c r="Q214" s="9" t="str">
        <f t="shared" si="42"/>
        <v/>
      </c>
      <c r="R214" s="9" t="str">
        <f t="shared" si="43"/>
        <v/>
      </c>
      <c r="W214" s="9" t="str">
        <f>IF($U214="","",IFERROR(SUMIFS(SummaryHelper!$H$2:$H$5000,SummaryHelper!$A$2:$A$5000,$T214,SummaryHelper!$B$2:$B$5000,$U214,SummaryHelper!$C$2:$C$5000,$V214)/SUMIFS(SummaryHelper!$G$2:$G$5000,SummaryHelper!$A$2:$A$5000,$T214,SummaryHelper!$B$2:$B$5000,$U214,SummaryHelper!$C$2:$C$5000,$V214),""))</f>
        <v/>
      </c>
      <c r="X214" s="9" t="str">
        <f>IF($U214="","",SUMIFS(SummaryHelper!$E$2:$E$5000,SummaryHelper!$A$2:$A$5000,$T214,SummaryHelper!$B$2:$B$5000,$U214,SummaryHelper!$C$2:$C$5000,$V214))</f>
        <v/>
      </c>
      <c r="Y214" s="9" t="str">
        <f>IF($U214="","",SUMIFS(SummaryHelper!$F$2:$F$5000,SummaryHelper!$A$2:$A$5000,$T214,SummaryHelper!$B$2:$B$5000,$U214,SummaryHelper!$C$2:$C$5000,$V214))</f>
        <v/>
      </c>
      <c r="Z214" s="9" t="str">
        <f>IF($U214="","",SUMIFS(SummaryHelper!$G$2:$G$5000,SummaryHelper!$A$2:$A$5000,$T214,SummaryHelper!$B$2:$B$5000,$U214,SummaryHelper!$C$2:$C$5000,$V214))</f>
        <v/>
      </c>
      <c r="AB214" s="9" t="str">
        <f t="shared" si="44"/>
        <v/>
      </c>
      <c r="AC214" s="9" t="str">
        <f t="shared" si="45"/>
        <v/>
      </c>
      <c r="AH214" t="str">
        <f>IF($AF214="","",IFERROR(SUMIFS(SummaryHelper!$H$2:$H$5000,SummaryHelper!$A$2:$A$5000,$AE214,SummaryHelper!$B$2:$B$5000,$AF214,SummaryHelper!$C$2:$C$5000,$AG214)/SUMIFS(SummaryHelper!$G$2:$G$5000,SummaryHelper!$A$2:$A$5000,$AE214,SummaryHelper!$B$2:$B$5000,$AF214,SummaryHelper!$C$2:$C$5000,$AG214),""))</f>
        <v/>
      </c>
      <c r="AI214" t="str">
        <f>IF($AF214="","",SUMIFS(SummaryHelper!$E$2:$E$5000,SummaryHelper!$A$2:$A$5000,$AE214,SummaryHelper!$B$2:$B$5000,$AF214,SummaryHelper!$C$2:$C$5000,$AG214))</f>
        <v/>
      </c>
      <c r="AJ214" t="str">
        <f>IF($AF214="","",SUMIFS(SummaryHelper!$F$2:$F$5000,SummaryHelper!$A$2:$A$5000,$AE214,SummaryHelper!$B$2:$B$5000,$AF214,SummaryHelper!$C$2:$C$5000,$AG214))</f>
        <v/>
      </c>
      <c r="AK214" t="str">
        <f>IF($AF214="","",SUMIFS(SummaryHelper!$G$2:$G$5000,SummaryHelper!$A$2:$A$5000,$AE214,SummaryHelper!$B$2:$B$5000,$AF214,SummaryHelper!$C$2:$C$5000,$AG214))</f>
        <v/>
      </c>
      <c r="AM214" t="str">
        <f t="shared" si="46"/>
        <v/>
      </c>
      <c r="AN214" t="str">
        <f t="shared" si="47"/>
        <v/>
      </c>
    </row>
    <row r="215" spans="1:40" x14ac:dyDescent="0.25">
      <c r="A215" s="12"/>
      <c r="B215" s="23" t="str">
        <f t="shared" si="48"/>
        <v/>
      </c>
      <c r="C215" s="9" t="str">
        <f t="shared" ca="1" si="37"/>
        <v/>
      </c>
      <c r="D215" s="9" t="str">
        <f t="shared" ca="1" si="38"/>
        <v/>
      </c>
      <c r="E215" s="9" t="str">
        <f t="shared" ca="1" si="39"/>
        <v/>
      </c>
      <c r="F215" s="9" t="str">
        <f t="shared" si="40"/>
        <v/>
      </c>
      <c r="G215" s="9">
        <f t="shared" si="41"/>
        <v>0</v>
      </c>
      <c r="L215" s="9" t="str">
        <f>IF($J215="","",IFERROR(SUMIFS(SummaryHelper!$H$2:$H$5000,SummaryHelper!$A$2:$A$5000,$I215,SummaryHelper!$B$2:$B$5000,$J215,SummaryHelper!$C$2:$C$5000,$K215)/SUMIFS(SummaryHelper!$G$2:$G$5000,SummaryHelper!$A$2:$A$5000,$I215,SummaryHelper!$B$2:$B$5000,$J215,SummaryHelper!$C$2:$C$5000,$K215),""))</f>
        <v/>
      </c>
      <c r="M215" s="9" t="str">
        <f>IF($J215="","",SUMIFS(SummaryHelper!$E$2:$E$5000,SummaryHelper!$A$2:$A$5000,$I215,SummaryHelper!$B$2:$B$5000,$J215,SummaryHelper!$C$2:$C$5000,$K215))</f>
        <v/>
      </c>
      <c r="N215" s="9" t="str">
        <f>IF($J215="","",SUMIFS(SummaryHelper!$F$2:$F$5000,SummaryHelper!$A$2:$A$5000,$I215,SummaryHelper!$B$2:$B$5000,$J215,SummaryHelper!$C$2:$C$5000,$K215))</f>
        <v/>
      </c>
      <c r="O215" s="9" t="str">
        <f>IF($J215="","",SUMIFS(SummaryHelper!$G$2:$G$5000,SummaryHelper!$A$2:$A$5000,$I215,SummaryHelper!$B$2:$B$5000,$J215,SummaryHelper!$C$2:$C$5000,$K215))</f>
        <v/>
      </c>
      <c r="Q215" s="9" t="str">
        <f t="shared" si="42"/>
        <v/>
      </c>
      <c r="R215" s="9" t="str">
        <f t="shared" si="43"/>
        <v/>
      </c>
      <c r="W215" s="9" t="str">
        <f>IF($U215="","",IFERROR(SUMIFS(SummaryHelper!$H$2:$H$5000,SummaryHelper!$A$2:$A$5000,$T215,SummaryHelper!$B$2:$B$5000,$U215,SummaryHelper!$C$2:$C$5000,$V215)/SUMIFS(SummaryHelper!$G$2:$G$5000,SummaryHelper!$A$2:$A$5000,$T215,SummaryHelper!$B$2:$B$5000,$U215,SummaryHelper!$C$2:$C$5000,$V215),""))</f>
        <v/>
      </c>
      <c r="X215" s="9" t="str">
        <f>IF($U215="","",SUMIFS(SummaryHelper!$E$2:$E$5000,SummaryHelper!$A$2:$A$5000,$T215,SummaryHelper!$B$2:$B$5000,$U215,SummaryHelper!$C$2:$C$5000,$V215))</f>
        <v/>
      </c>
      <c r="Y215" s="9" t="str">
        <f>IF($U215="","",SUMIFS(SummaryHelper!$F$2:$F$5000,SummaryHelper!$A$2:$A$5000,$T215,SummaryHelper!$B$2:$B$5000,$U215,SummaryHelper!$C$2:$C$5000,$V215))</f>
        <v/>
      </c>
      <c r="Z215" s="9" t="str">
        <f>IF($U215="","",SUMIFS(SummaryHelper!$G$2:$G$5000,SummaryHelper!$A$2:$A$5000,$T215,SummaryHelper!$B$2:$B$5000,$U215,SummaryHelper!$C$2:$C$5000,$V215))</f>
        <v/>
      </c>
      <c r="AB215" s="9" t="str">
        <f t="shared" si="44"/>
        <v/>
      </c>
      <c r="AC215" s="9" t="str">
        <f t="shared" si="45"/>
        <v/>
      </c>
      <c r="AH215" t="str">
        <f>IF($AF215="","",IFERROR(SUMIFS(SummaryHelper!$H$2:$H$5000,SummaryHelper!$A$2:$A$5000,$AE215,SummaryHelper!$B$2:$B$5000,$AF215,SummaryHelper!$C$2:$C$5000,$AG215)/SUMIFS(SummaryHelper!$G$2:$G$5000,SummaryHelper!$A$2:$A$5000,$AE215,SummaryHelper!$B$2:$B$5000,$AF215,SummaryHelper!$C$2:$C$5000,$AG215),""))</f>
        <v/>
      </c>
      <c r="AI215" t="str">
        <f>IF($AF215="","",SUMIFS(SummaryHelper!$E$2:$E$5000,SummaryHelper!$A$2:$A$5000,$AE215,SummaryHelper!$B$2:$B$5000,$AF215,SummaryHelper!$C$2:$C$5000,$AG215))</f>
        <v/>
      </c>
      <c r="AJ215" t="str">
        <f>IF($AF215="","",SUMIFS(SummaryHelper!$F$2:$F$5000,SummaryHelper!$A$2:$A$5000,$AE215,SummaryHelper!$B$2:$B$5000,$AF215,SummaryHelper!$C$2:$C$5000,$AG215))</f>
        <v/>
      </c>
      <c r="AK215" t="str">
        <f>IF($AF215="","",SUMIFS(SummaryHelper!$G$2:$G$5000,SummaryHelper!$A$2:$A$5000,$AE215,SummaryHelper!$B$2:$B$5000,$AF215,SummaryHelper!$C$2:$C$5000,$AG215))</f>
        <v/>
      </c>
      <c r="AM215" t="str">
        <f t="shared" si="46"/>
        <v/>
      </c>
      <c r="AN215" t="str">
        <f t="shared" si="47"/>
        <v/>
      </c>
    </row>
    <row r="216" spans="1:40" x14ac:dyDescent="0.25">
      <c r="A216" s="12"/>
      <c r="B216" s="23" t="str">
        <f t="shared" si="48"/>
        <v/>
      </c>
      <c r="C216" s="9" t="str">
        <f t="shared" ca="1" si="37"/>
        <v/>
      </c>
      <c r="D216" s="9" t="str">
        <f t="shared" ca="1" si="38"/>
        <v/>
      </c>
      <c r="E216" s="9" t="str">
        <f t="shared" ca="1" si="39"/>
        <v/>
      </c>
      <c r="F216" s="9" t="str">
        <f t="shared" si="40"/>
        <v/>
      </c>
      <c r="G216" s="9">
        <f t="shared" si="41"/>
        <v>0</v>
      </c>
      <c r="L216" s="9" t="str">
        <f>IF($J216="","",IFERROR(SUMIFS(SummaryHelper!$H$2:$H$5000,SummaryHelper!$A$2:$A$5000,$I216,SummaryHelper!$B$2:$B$5000,$J216,SummaryHelper!$C$2:$C$5000,$K216)/SUMIFS(SummaryHelper!$G$2:$G$5000,SummaryHelper!$A$2:$A$5000,$I216,SummaryHelper!$B$2:$B$5000,$J216,SummaryHelper!$C$2:$C$5000,$K216),""))</f>
        <v/>
      </c>
      <c r="M216" s="9" t="str">
        <f>IF($J216="","",SUMIFS(SummaryHelper!$E$2:$E$5000,SummaryHelper!$A$2:$A$5000,$I216,SummaryHelper!$B$2:$B$5000,$J216,SummaryHelper!$C$2:$C$5000,$K216))</f>
        <v/>
      </c>
      <c r="N216" s="9" t="str">
        <f>IF($J216="","",SUMIFS(SummaryHelper!$F$2:$F$5000,SummaryHelper!$A$2:$A$5000,$I216,SummaryHelper!$B$2:$B$5000,$J216,SummaryHelper!$C$2:$C$5000,$K216))</f>
        <v/>
      </c>
      <c r="O216" s="9" t="str">
        <f>IF($J216="","",SUMIFS(SummaryHelper!$G$2:$G$5000,SummaryHelper!$A$2:$A$5000,$I216,SummaryHelper!$B$2:$B$5000,$J216,SummaryHelper!$C$2:$C$5000,$K216))</f>
        <v/>
      </c>
      <c r="Q216" s="9" t="str">
        <f t="shared" si="42"/>
        <v/>
      </c>
      <c r="R216" s="9" t="str">
        <f t="shared" si="43"/>
        <v/>
      </c>
      <c r="W216" s="9" t="str">
        <f>IF($U216="","",IFERROR(SUMIFS(SummaryHelper!$H$2:$H$5000,SummaryHelper!$A$2:$A$5000,$T216,SummaryHelper!$B$2:$B$5000,$U216,SummaryHelper!$C$2:$C$5000,$V216)/SUMIFS(SummaryHelper!$G$2:$G$5000,SummaryHelper!$A$2:$A$5000,$T216,SummaryHelper!$B$2:$B$5000,$U216,SummaryHelper!$C$2:$C$5000,$V216),""))</f>
        <v/>
      </c>
      <c r="X216" s="9" t="str">
        <f>IF($U216="","",SUMIFS(SummaryHelper!$E$2:$E$5000,SummaryHelper!$A$2:$A$5000,$T216,SummaryHelper!$B$2:$B$5000,$U216,SummaryHelper!$C$2:$C$5000,$V216))</f>
        <v/>
      </c>
      <c r="Y216" s="9" t="str">
        <f>IF($U216="","",SUMIFS(SummaryHelper!$F$2:$F$5000,SummaryHelper!$A$2:$A$5000,$T216,SummaryHelper!$B$2:$B$5000,$U216,SummaryHelper!$C$2:$C$5000,$V216))</f>
        <v/>
      </c>
      <c r="Z216" s="9" t="str">
        <f>IF($U216="","",SUMIFS(SummaryHelper!$G$2:$G$5000,SummaryHelper!$A$2:$A$5000,$T216,SummaryHelper!$B$2:$B$5000,$U216,SummaryHelper!$C$2:$C$5000,$V216))</f>
        <v/>
      </c>
      <c r="AB216" s="9" t="str">
        <f t="shared" si="44"/>
        <v/>
      </c>
      <c r="AC216" s="9" t="str">
        <f t="shared" si="45"/>
        <v/>
      </c>
      <c r="AH216" t="str">
        <f>IF($AF216="","",IFERROR(SUMIFS(SummaryHelper!$H$2:$H$5000,SummaryHelper!$A$2:$A$5000,$AE216,SummaryHelper!$B$2:$B$5000,$AF216,SummaryHelper!$C$2:$C$5000,$AG216)/SUMIFS(SummaryHelper!$G$2:$G$5000,SummaryHelper!$A$2:$A$5000,$AE216,SummaryHelper!$B$2:$B$5000,$AF216,SummaryHelper!$C$2:$C$5000,$AG216),""))</f>
        <v/>
      </c>
      <c r="AI216" t="str">
        <f>IF($AF216="","",SUMIFS(SummaryHelper!$E$2:$E$5000,SummaryHelper!$A$2:$A$5000,$AE216,SummaryHelper!$B$2:$B$5000,$AF216,SummaryHelper!$C$2:$C$5000,$AG216))</f>
        <v/>
      </c>
      <c r="AJ216" t="str">
        <f>IF($AF216="","",SUMIFS(SummaryHelper!$F$2:$F$5000,SummaryHelper!$A$2:$A$5000,$AE216,SummaryHelper!$B$2:$B$5000,$AF216,SummaryHelper!$C$2:$C$5000,$AG216))</f>
        <v/>
      </c>
      <c r="AK216" t="str">
        <f>IF($AF216="","",SUMIFS(SummaryHelper!$G$2:$G$5000,SummaryHelper!$A$2:$A$5000,$AE216,SummaryHelper!$B$2:$B$5000,$AF216,SummaryHelper!$C$2:$C$5000,$AG216))</f>
        <v/>
      </c>
      <c r="AM216" t="str">
        <f t="shared" si="46"/>
        <v/>
      </c>
      <c r="AN216" t="str">
        <f t="shared" si="47"/>
        <v/>
      </c>
    </row>
    <row r="217" spans="1:40" x14ac:dyDescent="0.25">
      <c r="A217" s="12"/>
      <c r="B217" s="23" t="str">
        <f t="shared" si="48"/>
        <v/>
      </c>
      <c r="C217" s="9" t="str">
        <f t="shared" ca="1" si="37"/>
        <v/>
      </c>
      <c r="D217" s="9" t="str">
        <f t="shared" ca="1" si="38"/>
        <v/>
      </c>
      <c r="E217" s="9" t="str">
        <f t="shared" ca="1" si="39"/>
        <v/>
      </c>
      <c r="F217" s="9" t="str">
        <f t="shared" si="40"/>
        <v/>
      </c>
      <c r="G217" s="9">
        <f t="shared" si="41"/>
        <v>0</v>
      </c>
      <c r="L217" s="9" t="str">
        <f>IF($J217="","",IFERROR(SUMIFS(SummaryHelper!$H$2:$H$5000,SummaryHelper!$A$2:$A$5000,$I217,SummaryHelper!$B$2:$B$5000,$J217,SummaryHelper!$C$2:$C$5000,$K217)/SUMIFS(SummaryHelper!$G$2:$G$5000,SummaryHelper!$A$2:$A$5000,$I217,SummaryHelper!$B$2:$B$5000,$J217,SummaryHelper!$C$2:$C$5000,$K217),""))</f>
        <v/>
      </c>
      <c r="M217" s="9" t="str">
        <f>IF($J217="","",SUMIFS(SummaryHelper!$E$2:$E$5000,SummaryHelper!$A$2:$A$5000,$I217,SummaryHelper!$B$2:$B$5000,$J217,SummaryHelper!$C$2:$C$5000,$K217))</f>
        <v/>
      </c>
      <c r="N217" s="9" t="str">
        <f>IF($J217="","",SUMIFS(SummaryHelper!$F$2:$F$5000,SummaryHelper!$A$2:$A$5000,$I217,SummaryHelper!$B$2:$B$5000,$J217,SummaryHelper!$C$2:$C$5000,$K217))</f>
        <v/>
      </c>
      <c r="O217" s="9" t="str">
        <f>IF($J217="","",SUMIFS(SummaryHelper!$G$2:$G$5000,SummaryHelper!$A$2:$A$5000,$I217,SummaryHelper!$B$2:$B$5000,$J217,SummaryHelper!$C$2:$C$5000,$K217))</f>
        <v/>
      </c>
      <c r="Q217" s="9" t="str">
        <f t="shared" si="42"/>
        <v/>
      </c>
      <c r="R217" s="9" t="str">
        <f t="shared" si="43"/>
        <v/>
      </c>
      <c r="W217" s="9" t="str">
        <f>IF($U217="","",IFERROR(SUMIFS(SummaryHelper!$H$2:$H$5000,SummaryHelper!$A$2:$A$5000,$T217,SummaryHelper!$B$2:$B$5000,$U217,SummaryHelper!$C$2:$C$5000,$V217)/SUMIFS(SummaryHelper!$G$2:$G$5000,SummaryHelper!$A$2:$A$5000,$T217,SummaryHelper!$B$2:$B$5000,$U217,SummaryHelper!$C$2:$C$5000,$V217),""))</f>
        <v/>
      </c>
      <c r="X217" s="9" t="str">
        <f>IF($U217="","",SUMIFS(SummaryHelper!$E$2:$E$5000,SummaryHelper!$A$2:$A$5000,$T217,SummaryHelper!$B$2:$B$5000,$U217,SummaryHelper!$C$2:$C$5000,$V217))</f>
        <v/>
      </c>
      <c r="Y217" s="9" t="str">
        <f>IF($U217="","",SUMIFS(SummaryHelper!$F$2:$F$5000,SummaryHelper!$A$2:$A$5000,$T217,SummaryHelper!$B$2:$B$5000,$U217,SummaryHelper!$C$2:$C$5000,$V217))</f>
        <v/>
      </c>
      <c r="Z217" s="9" t="str">
        <f>IF($U217="","",SUMIFS(SummaryHelper!$G$2:$G$5000,SummaryHelper!$A$2:$A$5000,$T217,SummaryHelper!$B$2:$B$5000,$U217,SummaryHelper!$C$2:$C$5000,$V217))</f>
        <v/>
      </c>
      <c r="AB217" s="9" t="str">
        <f t="shared" si="44"/>
        <v/>
      </c>
      <c r="AC217" s="9" t="str">
        <f t="shared" si="45"/>
        <v/>
      </c>
      <c r="AH217" t="str">
        <f>IF($AF217="","",IFERROR(SUMIFS(SummaryHelper!$H$2:$H$5000,SummaryHelper!$A$2:$A$5000,$AE217,SummaryHelper!$B$2:$B$5000,$AF217,SummaryHelper!$C$2:$C$5000,$AG217)/SUMIFS(SummaryHelper!$G$2:$G$5000,SummaryHelper!$A$2:$A$5000,$AE217,SummaryHelper!$B$2:$B$5000,$AF217,SummaryHelper!$C$2:$C$5000,$AG217),""))</f>
        <v/>
      </c>
      <c r="AI217" t="str">
        <f>IF($AF217="","",SUMIFS(SummaryHelper!$E$2:$E$5000,SummaryHelper!$A$2:$A$5000,$AE217,SummaryHelper!$B$2:$B$5000,$AF217,SummaryHelper!$C$2:$C$5000,$AG217))</f>
        <v/>
      </c>
      <c r="AJ217" t="str">
        <f>IF($AF217="","",SUMIFS(SummaryHelper!$F$2:$F$5000,SummaryHelper!$A$2:$A$5000,$AE217,SummaryHelper!$B$2:$B$5000,$AF217,SummaryHelper!$C$2:$C$5000,$AG217))</f>
        <v/>
      </c>
      <c r="AK217" t="str">
        <f>IF($AF217="","",SUMIFS(SummaryHelper!$G$2:$G$5000,SummaryHelper!$A$2:$A$5000,$AE217,SummaryHelper!$B$2:$B$5000,$AF217,SummaryHelper!$C$2:$C$5000,$AG217))</f>
        <v/>
      </c>
      <c r="AM217" t="str">
        <f t="shared" si="46"/>
        <v/>
      </c>
      <c r="AN217" t="str">
        <f t="shared" si="47"/>
        <v/>
      </c>
    </row>
    <row r="218" spans="1:40" x14ac:dyDescent="0.25">
      <c r="A218" s="12"/>
      <c r="B218" s="23" t="str">
        <f t="shared" si="48"/>
        <v/>
      </c>
      <c r="C218" s="9" t="str">
        <f t="shared" ca="1" si="37"/>
        <v/>
      </c>
      <c r="D218" s="9" t="str">
        <f t="shared" ca="1" si="38"/>
        <v/>
      </c>
      <c r="E218" s="9" t="str">
        <f t="shared" ca="1" si="39"/>
        <v/>
      </c>
      <c r="F218" s="9" t="str">
        <f t="shared" si="40"/>
        <v/>
      </c>
      <c r="G218" s="9">
        <f t="shared" si="41"/>
        <v>0</v>
      </c>
      <c r="L218" s="9" t="str">
        <f>IF($J218="","",IFERROR(SUMIFS(SummaryHelper!$H$2:$H$5000,SummaryHelper!$A$2:$A$5000,$I218,SummaryHelper!$B$2:$B$5000,$J218,SummaryHelper!$C$2:$C$5000,$K218)/SUMIFS(SummaryHelper!$G$2:$G$5000,SummaryHelper!$A$2:$A$5000,$I218,SummaryHelper!$B$2:$B$5000,$J218,SummaryHelper!$C$2:$C$5000,$K218),""))</f>
        <v/>
      </c>
      <c r="M218" s="9" t="str">
        <f>IF($J218="","",SUMIFS(SummaryHelper!$E$2:$E$5000,SummaryHelper!$A$2:$A$5000,$I218,SummaryHelper!$B$2:$B$5000,$J218,SummaryHelper!$C$2:$C$5000,$K218))</f>
        <v/>
      </c>
      <c r="N218" s="9" t="str">
        <f>IF($J218="","",SUMIFS(SummaryHelper!$F$2:$F$5000,SummaryHelper!$A$2:$A$5000,$I218,SummaryHelper!$B$2:$B$5000,$J218,SummaryHelper!$C$2:$C$5000,$K218))</f>
        <v/>
      </c>
      <c r="O218" s="9" t="str">
        <f>IF($J218="","",SUMIFS(SummaryHelper!$G$2:$G$5000,SummaryHelper!$A$2:$A$5000,$I218,SummaryHelper!$B$2:$B$5000,$J218,SummaryHelper!$C$2:$C$5000,$K218))</f>
        <v/>
      </c>
      <c r="Q218" s="9" t="str">
        <f t="shared" si="42"/>
        <v/>
      </c>
      <c r="R218" s="9" t="str">
        <f t="shared" si="43"/>
        <v/>
      </c>
      <c r="W218" s="9" t="str">
        <f>IF($U218="","",IFERROR(SUMIFS(SummaryHelper!$H$2:$H$5000,SummaryHelper!$A$2:$A$5000,$T218,SummaryHelper!$B$2:$B$5000,$U218,SummaryHelper!$C$2:$C$5000,$V218)/SUMIFS(SummaryHelper!$G$2:$G$5000,SummaryHelper!$A$2:$A$5000,$T218,SummaryHelper!$B$2:$B$5000,$U218,SummaryHelper!$C$2:$C$5000,$V218),""))</f>
        <v/>
      </c>
      <c r="X218" s="9" t="str">
        <f>IF($U218="","",SUMIFS(SummaryHelper!$E$2:$E$5000,SummaryHelper!$A$2:$A$5000,$T218,SummaryHelper!$B$2:$B$5000,$U218,SummaryHelper!$C$2:$C$5000,$V218))</f>
        <v/>
      </c>
      <c r="Y218" s="9" t="str">
        <f>IF($U218="","",SUMIFS(SummaryHelper!$F$2:$F$5000,SummaryHelper!$A$2:$A$5000,$T218,SummaryHelper!$B$2:$B$5000,$U218,SummaryHelper!$C$2:$C$5000,$V218))</f>
        <v/>
      </c>
      <c r="Z218" s="9" t="str">
        <f>IF($U218="","",SUMIFS(SummaryHelper!$G$2:$G$5000,SummaryHelper!$A$2:$A$5000,$T218,SummaryHelper!$B$2:$B$5000,$U218,SummaryHelper!$C$2:$C$5000,$V218))</f>
        <v/>
      </c>
      <c r="AB218" s="9" t="str">
        <f t="shared" si="44"/>
        <v/>
      </c>
      <c r="AC218" s="9" t="str">
        <f t="shared" si="45"/>
        <v/>
      </c>
      <c r="AH218" t="str">
        <f>IF($AF218="","",IFERROR(SUMIFS(SummaryHelper!$H$2:$H$5000,SummaryHelper!$A$2:$A$5000,$AE218,SummaryHelper!$B$2:$B$5000,$AF218,SummaryHelper!$C$2:$C$5000,$AG218)/SUMIFS(SummaryHelper!$G$2:$G$5000,SummaryHelper!$A$2:$A$5000,$AE218,SummaryHelper!$B$2:$B$5000,$AF218,SummaryHelper!$C$2:$C$5000,$AG218),""))</f>
        <v/>
      </c>
      <c r="AI218" t="str">
        <f>IF($AF218="","",SUMIFS(SummaryHelper!$E$2:$E$5000,SummaryHelper!$A$2:$A$5000,$AE218,SummaryHelper!$B$2:$B$5000,$AF218,SummaryHelper!$C$2:$C$5000,$AG218))</f>
        <v/>
      </c>
      <c r="AJ218" t="str">
        <f>IF($AF218="","",SUMIFS(SummaryHelper!$F$2:$F$5000,SummaryHelper!$A$2:$A$5000,$AE218,SummaryHelper!$B$2:$B$5000,$AF218,SummaryHelper!$C$2:$C$5000,$AG218))</f>
        <v/>
      </c>
      <c r="AK218" t="str">
        <f>IF($AF218="","",SUMIFS(SummaryHelper!$G$2:$G$5000,SummaryHelper!$A$2:$A$5000,$AE218,SummaryHelper!$B$2:$B$5000,$AF218,SummaryHelper!$C$2:$C$5000,$AG218))</f>
        <v/>
      </c>
      <c r="AM218" t="str">
        <f t="shared" si="46"/>
        <v/>
      </c>
      <c r="AN218" t="str">
        <f t="shared" si="47"/>
        <v/>
      </c>
    </row>
    <row r="219" spans="1:40" x14ac:dyDescent="0.25">
      <c r="A219" s="12"/>
      <c r="B219" s="23" t="str">
        <f t="shared" si="48"/>
        <v/>
      </c>
      <c r="C219" s="9" t="str">
        <f t="shared" ca="1" si="37"/>
        <v/>
      </c>
      <c r="D219" s="9" t="str">
        <f t="shared" ca="1" si="38"/>
        <v/>
      </c>
      <c r="E219" s="9" t="str">
        <f t="shared" ca="1" si="39"/>
        <v/>
      </c>
      <c r="F219" s="9" t="str">
        <f t="shared" si="40"/>
        <v/>
      </c>
      <c r="G219" s="9">
        <f t="shared" si="41"/>
        <v>0</v>
      </c>
      <c r="L219" s="9" t="str">
        <f>IF($J219="","",IFERROR(SUMIFS(SummaryHelper!$H$2:$H$5000,SummaryHelper!$A$2:$A$5000,$I219,SummaryHelper!$B$2:$B$5000,$J219,SummaryHelper!$C$2:$C$5000,$K219)/SUMIFS(SummaryHelper!$G$2:$G$5000,SummaryHelper!$A$2:$A$5000,$I219,SummaryHelper!$B$2:$B$5000,$J219,SummaryHelper!$C$2:$C$5000,$K219),""))</f>
        <v/>
      </c>
      <c r="M219" s="9" t="str">
        <f>IF($J219="","",SUMIFS(SummaryHelper!$E$2:$E$5000,SummaryHelper!$A$2:$A$5000,$I219,SummaryHelper!$B$2:$B$5000,$J219,SummaryHelper!$C$2:$C$5000,$K219))</f>
        <v/>
      </c>
      <c r="N219" s="9" t="str">
        <f>IF($J219="","",SUMIFS(SummaryHelper!$F$2:$F$5000,SummaryHelper!$A$2:$A$5000,$I219,SummaryHelper!$B$2:$B$5000,$J219,SummaryHelper!$C$2:$C$5000,$K219))</f>
        <v/>
      </c>
      <c r="O219" s="9" t="str">
        <f>IF($J219="","",SUMIFS(SummaryHelper!$G$2:$G$5000,SummaryHelper!$A$2:$A$5000,$I219,SummaryHelper!$B$2:$B$5000,$J219,SummaryHelper!$C$2:$C$5000,$K219))</f>
        <v/>
      </c>
      <c r="Q219" s="9" t="str">
        <f t="shared" si="42"/>
        <v/>
      </c>
      <c r="R219" s="9" t="str">
        <f t="shared" si="43"/>
        <v/>
      </c>
      <c r="W219" s="9" t="str">
        <f>IF($U219="","",IFERROR(SUMIFS(SummaryHelper!$H$2:$H$5000,SummaryHelper!$A$2:$A$5000,$T219,SummaryHelper!$B$2:$B$5000,$U219,SummaryHelper!$C$2:$C$5000,$V219)/SUMIFS(SummaryHelper!$G$2:$G$5000,SummaryHelper!$A$2:$A$5000,$T219,SummaryHelper!$B$2:$B$5000,$U219,SummaryHelper!$C$2:$C$5000,$V219),""))</f>
        <v/>
      </c>
      <c r="X219" s="9" t="str">
        <f>IF($U219="","",SUMIFS(SummaryHelper!$E$2:$E$5000,SummaryHelper!$A$2:$A$5000,$T219,SummaryHelper!$B$2:$B$5000,$U219,SummaryHelper!$C$2:$C$5000,$V219))</f>
        <v/>
      </c>
      <c r="Y219" s="9" t="str">
        <f>IF($U219="","",SUMIFS(SummaryHelper!$F$2:$F$5000,SummaryHelper!$A$2:$A$5000,$T219,SummaryHelper!$B$2:$B$5000,$U219,SummaryHelper!$C$2:$C$5000,$V219))</f>
        <v/>
      </c>
      <c r="Z219" s="9" t="str">
        <f>IF($U219="","",SUMIFS(SummaryHelper!$G$2:$G$5000,SummaryHelper!$A$2:$A$5000,$T219,SummaryHelper!$B$2:$B$5000,$U219,SummaryHelper!$C$2:$C$5000,$V219))</f>
        <v/>
      </c>
      <c r="AB219" s="9" t="str">
        <f t="shared" si="44"/>
        <v/>
      </c>
      <c r="AC219" s="9" t="str">
        <f t="shared" si="45"/>
        <v/>
      </c>
      <c r="AH219" t="str">
        <f>IF($AF219="","",IFERROR(SUMIFS(SummaryHelper!$H$2:$H$5000,SummaryHelper!$A$2:$A$5000,$AE219,SummaryHelper!$B$2:$B$5000,$AF219,SummaryHelper!$C$2:$C$5000,$AG219)/SUMIFS(SummaryHelper!$G$2:$G$5000,SummaryHelper!$A$2:$A$5000,$AE219,SummaryHelper!$B$2:$B$5000,$AF219,SummaryHelper!$C$2:$C$5000,$AG219),""))</f>
        <v/>
      </c>
      <c r="AI219" t="str">
        <f>IF($AF219="","",SUMIFS(SummaryHelper!$E$2:$E$5000,SummaryHelper!$A$2:$A$5000,$AE219,SummaryHelper!$B$2:$B$5000,$AF219,SummaryHelper!$C$2:$C$5000,$AG219))</f>
        <v/>
      </c>
      <c r="AJ219" t="str">
        <f>IF($AF219="","",SUMIFS(SummaryHelper!$F$2:$F$5000,SummaryHelper!$A$2:$A$5000,$AE219,SummaryHelper!$B$2:$B$5000,$AF219,SummaryHelper!$C$2:$C$5000,$AG219))</f>
        <v/>
      </c>
      <c r="AK219" t="str">
        <f>IF($AF219="","",SUMIFS(SummaryHelper!$G$2:$G$5000,SummaryHelper!$A$2:$A$5000,$AE219,SummaryHelper!$B$2:$B$5000,$AF219,SummaryHelper!$C$2:$C$5000,$AG219))</f>
        <v/>
      </c>
      <c r="AM219" t="str">
        <f t="shared" si="46"/>
        <v/>
      </c>
      <c r="AN219" t="str">
        <f t="shared" si="47"/>
        <v/>
      </c>
    </row>
    <row r="220" spans="1:40" x14ac:dyDescent="0.25">
      <c r="A220" s="12"/>
      <c r="B220" s="23" t="str">
        <f t="shared" si="48"/>
        <v/>
      </c>
      <c r="C220" s="9" t="str">
        <f t="shared" ca="1" si="37"/>
        <v/>
      </c>
      <c r="D220" s="9" t="str">
        <f t="shared" ca="1" si="38"/>
        <v/>
      </c>
      <c r="E220" s="9" t="str">
        <f t="shared" ca="1" si="39"/>
        <v/>
      </c>
      <c r="F220" s="9" t="str">
        <f t="shared" si="40"/>
        <v/>
      </c>
      <c r="G220" s="9">
        <f t="shared" si="41"/>
        <v>0</v>
      </c>
      <c r="L220" s="9" t="str">
        <f>IF($J220="","",IFERROR(SUMIFS(SummaryHelper!$H$2:$H$5000,SummaryHelper!$A$2:$A$5000,$I220,SummaryHelper!$B$2:$B$5000,$J220,SummaryHelper!$C$2:$C$5000,$K220)/SUMIFS(SummaryHelper!$G$2:$G$5000,SummaryHelper!$A$2:$A$5000,$I220,SummaryHelper!$B$2:$B$5000,$J220,SummaryHelper!$C$2:$C$5000,$K220),""))</f>
        <v/>
      </c>
      <c r="M220" s="9" t="str">
        <f>IF($J220="","",SUMIFS(SummaryHelper!$E$2:$E$5000,SummaryHelper!$A$2:$A$5000,$I220,SummaryHelper!$B$2:$B$5000,$J220,SummaryHelper!$C$2:$C$5000,$K220))</f>
        <v/>
      </c>
      <c r="N220" s="9" t="str">
        <f>IF($J220="","",SUMIFS(SummaryHelper!$F$2:$F$5000,SummaryHelper!$A$2:$A$5000,$I220,SummaryHelper!$B$2:$B$5000,$J220,SummaryHelper!$C$2:$C$5000,$K220))</f>
        <v/>
      </c>
      <c r="O220" s="9" t="str">
        <f>IF($J220="","",SUMIFS(SummaryHelper!$G$2:$G$5000,SummaryHelper!$A$2:$A$5000,$I220,SummaryHelper!$B$2:$B$5000,$J220,SummaryHelper!$C$2:$C$5000,$K220))</f>
        <v/>
      </c>
      <c r="Q220" s="9" t="str">
        <f t="shared" si="42"/>
        <v/>
      </c>
      <c r="R220" s="9" t="str">
        <f t="shared" si="43"/>
        <v/>
      </c>
      <c r="W220" s="9" t="str">
        <f>IF($U220="","",IFERROR(SUMIFS(SummaryHelper!$H$2:$H$5000,SummaryHelper!$A$2:$A$5000,$T220,SummaryHelper!$B$2:$B$5000,$U220,SummaryHelper!$C$2:$C$5000,$V220)/SUMIFS(SummaryHelper!$G$2:$G$5000,SummaryHelper!$A$2:$A$5000,$T220,SummaryHelper!$B$2:$B$5000,$U220,SummaryHelper!$C$2:$C$5000,$V220),""))</f>
        <v/>
      </c>
      <c r="X220" s="9" t="str">
        <f>IF($U220="","",SUMIFS(SummaryHelper!$E$2:$E$5000,SummaryHelper!$A$2:$A$5000,$T220,SummaryHelper!$B$2:$B$5000,$U220,SummaryHelper!$C$2:$C$5000,$V220))</f>
        <v/>
      </c>
      <c r="Y220" s="9" t="str">
        <f>IF($U220="","",SUMIFS(SummaryHelper!$F$2:$F$5000,SummaryHelper!$A$2:$A$5000,$T220,SummaryHelper!$B$2:$B$5000,$U220,SummaryHelper!$C$2:$C$5000,$V220))</f>
        <v/>
      </c>
      <c r="Z220" s="9" t="str">
        <f>IF($U220="","",SUMIFS(SummaryHelper!$G$2:$G$5000,SummaryHelper!$A$2:$A$5000,$T220,SummaryHelper!$B$2:$B$5000,$U220,SummaryHelper!$C$2:$C$5000,$V220))</f>
        <v/>
      </c>
      <c r="AB220" s="9" t="str">
        <f t="shared" si="44"/>
        <v/>
      </c>
      <c r="AC220" s="9" t="str">
        <f t="shared" si="45"/>
        <v/>
      </c>
      <c r="AH220" t="str">
        <f>IF($AF220="","",IFERROR(SUMIFS(SummaryHelper!$H$2:$H$5000,SummaryHelper!$A$2:$A$5000,$AE220,SummaryHelper!$B$2:$B$5000,$AF220,SummaryHelper!$C$2:$C$5000,$AG220)/SUMIFS(SummaryHelper!$G$2:$G$5000,SummaryHelper!$A$2:$A$5000,$AE220,SummaryHelper!$B$2:$B$5000,$AF220,SummaryHelper!$C$2:$C$5000,$AG220),""))</f>
        <v/>
      </c>
      <c r="AI220" t="str">
        <f>IF($AF220="","",SUMIFS(SummaryHelper!$E$2:$E$5000,SummaryHelper!$A$2:$A$5000,$AE220,SummaryHelper!$B$2:$B$5000,$AF220,SummaryHelper!$C$2:$C$5000,$AG220))</f>
        <v/>
      </c>
      <c r="AJ220" t="str">
        <f>IF($AF220="","",SUMIFS(SummaryHelper!$F$2:$F$5000,SummaryHelper!$A$2:$A$5000,$AE220,SummaryHelper!$B$2:$B$5000,$AF220,SummaryHelper!$C$2:$C$5000,$AG220))</f>
        <v/>
      </c>
      <c r="AK220" t="str">
        <f>IF($AF220="","",SUMIFS(SummaryHelper!$G$2:$G$5000,SummaryHelper!$A$2:$A$5000,$AE220,SummaryHelper!$B$2:$B$5000,$AF220,SummaryHelper!$C$2:$C$5000,$AG220))</f>
        <v/>
      </c>
      <c r="AM220" t="str">
        <f t="shared" si="46"/>
        <v/>
      </c>
      <c r="AN220" t="str">
        <f t="shared" si="47"/>
        <v/>
      </c>
    </row>
    <row r="221" spans="1:40" x14ac:dyDescent="0.25">
      <c r="A221" s="12"/>
      <c r="B221" s="23" t="str">
        <f t="shared" si="48"/>
        <v/>
      </c>
      <c r="C221" s="9" t="str">
        <f t="shared" ca="1" si="37"/>
        <v/>
      </c>
      <c r="D221" s="9" t="str">
        <f t="shared" ca="1" si="38"/>
        <v/>
      </c>
      <c r="E221" s="9" t="str">
        <f t="shared" ca="1" si="39"/>
        <v/>
      </c>
      <c r="F221" s="9" t="str">
        <f t="shared" si="40"/>
        <v/>
      </c>
      <c r="G221" s="9">
        <f t="shared" si="41"/>
        <v>0</v>
      </c>
      <c r="L221" s="9" t="str">
        <f>IF($J221="","",IFERROR(SUMIFS(SummaryHelper!$H$2:$H$5000,SummaryHelper!$A$2:$A$5000,$I221,SummaryHelper!$B$2:$B$5000,$J221,SummaryHelper!$C$2:$C$5000,$K221)/SUMIFS(SummaryHelper!$G$2:$G$5000,SummaryHelper!$A$2:$A$5000,$I221,SummaryHelper!$B$2:$B$5000,$J221,SummaryHelper!$C$2:$C$5000,$K221),""))</f>
        <v/>
      </c>
      <c r="M221" s="9" t="str">
        <f>IF($J221="","",SUMIFS(SummaryHelper!$E$2:$E$5000,SummaryHelper!$A$2:$A$5000,$I221,SummaryHelper!$B$2:$B$5000,$J221,SummaryHelper!$C$2:$C$5000,$K221))</f>
        <v/>
      </c>
      <c r="N221" s="9" t="str">
        <f>IF($J221="","",SUMIFS(SummaryHelper!$F$2:$F$5000,SummaryHelper!$A$2:$A$5000,$I221,SummaryHelper!$B$2:$B$5000,$J221,SummaryHelper!$C$2:$C$5000,$K221))</f>
        <v/>
      </c>
      <c r="O221" s="9" t="str">
        <f>IF($J221="","",SUMIFS(SummaryHelper!$G$2:$G$5000,SummaryHelper!$A$2:$A$5000,$I221,SummaryHelper!$B$2:$B$5000,$J221,SummaryHelper!$C$2:$C$5000,$K221))</f>
        <v/>
      </c>
      <c r="Q221" s="9" t="str">
        <f t="shared" si="42"/>
        <v/>
      </c>
      <c r="R221" s="9" t="str">
        <f t="shared" si="43"/>
        <v/>
      </c>
      <c r="W221" s="9" t="str">
        <f>IF($U221="","",IFERROR(SUMIFS(SummaryHelper!$H$2:$H$5000,SummaryHelper!$A$2:$A$5000,$T221,SummaryHelper!$B$2:$B$5000,$U221,SummaryHelper!$C$2:$C$5000,$V221)/SUMIFS(SummaryHelper!$G$2:$G$5000,SummaryHelper!$A$2:$A$5000,$T221,SummaryHelper!$B$2:$B$5000,$U221,SummaryHelper!$C$2:$C$5000,$V221),""))</f>
        <v/>
      </c>
      <c r="X221" s="9" t="str">
        <f>IF($U221="","",SUMIFS(SummaryHelper!$E$2:$E$5000,SummaryHelper!$A$2:$A$5000,$T221,SummaryHelper!$B$2:$B$5000,$U221,SummaryHelper!$C$2:$C$5000,$V221))</f>
        <v/>
      </c>
      <c r="Y221" s="9" t="str">
        <f>IF($U221="","",SUMIFS(SummaryHelper!$F$2:$F$5000,SummaryHelper!$A$2:$A$5000,$T221,SummaryHelper!$B$2:$B$5000,$U221,SummaryHelper!$C$2:$C$5000,$V221))</f>
        <v/>
      </c>
      <c r="Z221" s="9" t="str">
        <f>IF($U221="","",SUMIFS(SummaryHelper!$G$2:$G$5000,SummaryHelper!$A$2:$A$5000,$T221,SummaryHelper!$B$2:$B$5000,$U221,SummaryHelper!$C$2:$C$5000,$V221))</f>
        <v/>
      </c>
      <c r="AB221" s="9" t="str">
        <f t="shared" si="44"/>
        <v/>
      </c>
      <c r="AC221" s="9" t="str">
        <f t="shared" si="45"/>
        <v/>
      </c>
      <c r="AH221" t="str">
        <f>IF($AF221="","",IFERROR(SUMIFS(SummaryHelper!$H$2:$H$5000,SummaryHelper!$A$2:$A$5000,$AE221,SummaryHelper!$B$2:$B$5000,$AF221,SummaryHelper!$C$2:$C$5000,$AG221)/SUMIFS(SummaryHelper!$G$2:$G$5000,SummaryHelper!$A$2:$A$5000,$AE221,SummaryHelper!$B$2:$B$5000,$AF221,SummaryHelper!$C$2:$C$5000,$AG221),""))</f>
        <v/>
      </c>
      <c r="AI221" t="str">
        <f>IF($AF221="","",SUMIFS(SummaryHelper!$E$2:$E$5000,SummaryHelper!$A$2:$A$5000,$AE221,SummaryHelper!$B$2:$B$5000,$AF221,SummaryHelper!$C$2:$C$5000,$AG221))</f>
        <v/>
      </c>
      <c r="AJ221" t="str">
        <f>IF($AF221="","",SUMIFS(SummaryHelper!$F$2:$F$5000,SummaryHelper!$A$2:$A$5000,$AE221,SummaryHelper!$B$2:$B$5000,$AF221,SummaryHelper!$C$2:$C$5000,$AG221))</f>
        <v/>
      </c>
      <c r="AK221" t="str">
        <f>IF($AF221="","",SUMIFS(SummaryHelper!$G$2:$G$5000,SummaryHelper!$A$2:$A$5000,$AE221,SummaryHelper!$B$2:$B$5000,$AF221,SummaryHelper!$C$2:$C$5000,$AG221))</f>
        <v/>
      </c>
      <c r="AM221" t="str">
        <f t="shared" si="46"/>
        <v/>
      </c>
      <c r="AN221" t="str">
        <f t="shared" si="47"/>
        <v/>
      </c>
    </row>
    <row r="222" spans="1:40" x14ac:dyDescent="0.25">
      <c r="A222" s="12"/>
      <c r="B222" s="23" t="str">
        <f t="shared" si="48"/>
        <v/>
      </c>
      <c r="C222" s="9" t="str">
        <f t="shared" ca="1" si="37"/>
        <v/>
      </c>
      <c r="D222" s="9" t="str">
        <f t="shared" ca="1" si="38"/>
        <v/>
      </c>
      <c r="E222" s="9" t="str">
        <f t="shared" ca="1" si="39"/>
        <v/>
      </c>
      <c r="F222" s="9" t="str">
        <f t="shared" si="40"/>
        <v/>
      </c>
      <c r="G222" s="9">
        <f t="shared" si="41"/>
        <v>0</v>
      </c>
      <c r="L222" s="9" t="str">
        <f>IF($J222="","",IFERROR(SUMIFS(SummaryHelper!$H$2:$H$5000,SummaryHelper!$A$2:$A$5000,$I222,SummaryHelper!$B$2:$B$5000,$J222,SummaryHelper!$C$2:$C$5000,$K222)/SUMIFS(SummaryHelper!$G$2:$G$5000,SummaryHelper!$A$2:$A$5000,$I222,SummaryHelper!$B$2:$B$5000,$J222,SummaryHelper!$C$2:$C$5000,$K222),""))</f>
        <v/>
      </c>
      <c r="M222" s="9" t="str">
        <f>IF($J222="","",SUMIFS(SummaryHelper!$E$2:$E$5000,SummaryHelper!$A$2:$A$5000,$I222,SummaryHelper!$B$2:$B$5000,$J222,SummaryHelper!$C$2:$C$5000,$K222))</f>
        <v/>
      </c>
      <c r="N222" s="9" t="str">
        <f>IF($J222="","",SUMIFS(SummaryHelper!$F$2:$F$5000,SummaryHelper!$A$2:$A$5000,$I222,SummaryHelper!$B$2:$B$5000,$J222,SummaryHelper!$C$2:$C$5000,$K222))</f>
        <v/>
      </c>
      <c r="O222" s="9" t="str">
        <f>IF($J222="","",SUMIFS(SummaryHelper!$G$2:$G$5000,SummaryHelper!$A$2:$A$5000,$I222,SummaryHelper!$B$2:$B$5000,$J222,SummaryHelper!$C$2:$C$5000,$K222))</f>
        <v/>
      </c>
      <c r="Q222" s="9" t="str">
        <f t="shared" si="42"/>
        <v/>
      </c>
      <c r="R222" s="9" t="str">
        <f t="shared" si="43"/>
        <v/>
      </c>
      <c r="W222" s="9" t="str">
        <f>IF($U222="","",IFERROR(SUMIFS(SummaryHelper!$H$2:$H$5000,SummaryHelper!$A$2:$A$5000,$T222,SummaryHelper!$B$2:$B$5000,$U222,SummaryHelper!$C$2:$C$5000,$V222)/SUMIFS(SummaryHelper!$G$2:$G$5000,SummaryHelper!$A$2:$A$5000,$T222,SummaryHelper!$B$2:$B$5000,$U222,SummaryHelper!$C$2:$C$5000,$V222),""))</f>
        <v/>
      </c>
      <c r="X222" s="9" t="str">
        <f>IF($U222="","",SUMIFS(SummaryHelper!$E$2:$E$5000,SummaryHelper!$A$2:$A$5000,$T222,SummaryHelper!$B$2:$B$5000,$U222,SummaryHelper!$C$2:$C$5000,$V222))</f>
        <v/>
      </c>
      <c r="Y222" s="9" t="str">
        <f>IF($U222="","",SUMIFS(SummaryHelper!$F$2:$F$5000,SummaryHelper!$A$2:$A$5000,$T222,SummaryHelper!$B$2:$B$5000,$U222,SummaryHelper!$C$2:$C$5000,$V222))</f>
        <v/>
      </c>
      <c r="Z222" s="9" t="str">
        <f>IF($U222="","",SUMIFS(SummaryHelper!$G$2:$G$5000,SummaryHelper!$A$2:$A$5000,$T222,SummaryHelper!$B$2:$B$5000,$U222,SummaryHelper!$C$2:$C$5000,$V222))</f>
        <v/>
      </c>
      <c r="AB222" s="9" t="str">
        <f t="shared" si="44"/>
        <v/>
      </c>
      <c r="AC222" s="9" t="str">
        <f t="shared" si="45"/>
        <v/>
      </c>
      <c r="AH222" t="str">
        <f>IF($AF222="","",IFERROR(SUMIFS(SummaryHelper!$H$2:$H$5000,SummaryHelper!$A$2:$A$5000,$AE222,SummaryHelper!$B$2:$B$5000,$AF222,SummaryHelper!$C$2:$C$5000,$AG222)/SUMIFS(SummaryHelper!$G$2:$G$5000,SummaryHelper!$A$2:$A$5000,$AE222,SummaryHelper!$B$2:$B$5000,$AF222,SummaryHelper!$C$2:$C$5000,$AG222),""))</f>
        <v/>
      </c>
      <c r="AI222" t="str">
        <f>IF($AF222="","",SUMIFS(SummaryHelper!$E$2:$E$5000,SummaryHelper!$A$2:$A$5000,$AE222,SummaryHelper!$B$2:$B$5000,$AF222,SummaryHelper!$C$2:$C$5000,$AG222))</f>
        <v/>
      </c>
      <c r="AJ222" t="str">
        <f>IF($AF222="","",SUMIFS(SummaryHelper!$F$2:$F$5000,SummaryHelper!$A$2:$A$5000,$AE222,SummaryHelper!$B$2:$B$5000,$AF222,SummaryHelper!$C$2:$C$5000,$AG222))</f>
        <v/>
      </c>
      <c r="AK222" t="str">
        <f>IF($AF222="","",SUMIFS(SummaryHelper!$G$2:$G$5000,SummaryHelper!$A$2:$A$5000,$AE222,SummaryHelper!$B$2:$B$5000,$AF222,SummaryHelper!$C$2:$C$5000,$AG222))</f>
        <v/>
      </c>
      <c r="AM222" t="str">
        <f t="shared" si="46"/>
        <v/>
      </c>
      <c r="AN222" t="str">
        <f t="shared" si="47"/>
        <v/>
      </c>
    </row>
    <row r="223" spans="1:40" x14ac:dyDescent="0.25">
      <c r="A223" s="12"/>
      <c r="B223" s="23" t="str">
        <f t="shared" si="48"/>
        <v/>
      </c>
      <c r="C223" s="9" t="str">
        <f t="shared" ca="1" si="37"/>
        <v/>
      </c>
      <c r="D223" s="9" t="str">
        <f t="shared" ca="1" si="38"/>
        <v/>
      </c>
      <c r="E223" s="9" t="str">
        <f t="shared" ca="1" si="39"/>
        <v/>
      </c>
      <c r="F223" s="9" t="str">
        <f t="shared" si="40"/>
        <v/>
      </c>
      <c r="G223" s="9">
        <f t="shared" si="41"/>
        <v>0</v>
      </c>
      <c r="L223" s="9" t="str">
        <f>IF($J223="","",IFERROR(SUMIFS(SummaryHelper!$H$2:$H$5000,SummaryHelper!$A$2:$A$5000,$I223,SummaryHelper!$B$2:$B$5000,$J223,SummaryHelper!$C$2:$C$5000,$K223)/SUMIFS(SummaryHelper!$G$2:$G$5000,SummaryHelper!$A$2:$A$5000,$I223,SummaryHelper!$B$2:$B$5000,$J223,SummaryHelper!$C$2:$C$5000,$K223),""))</f>
        <v/>
      </c>
      <c r="M223" s="9" t="str">
        <f>IF($J223="","",SUMIFS(SummaryHelper!$E$2:$E$5000,SummaryHelper!$A$2:$A$5000,$I223,SummaryHelper!$B$2:$B$5000,$J223,SummaryHelper!$C$2:$C$5000,$K223))</f>
        <v/>
      </c>
      <c r="N223" s="9" t="str">
        <f>IF($J223="","",SUMIFS(SummaryHelper!$F$2:$F$5000,SummaryHelper!$A$2:$A$5000,$I223,SummaryHelper!$B$2:$B$5000,$J223,SummaryHelper!$C$2:$C$5000,$K223))</f>
        <v/>
      </c>
      <c r="O223" s="9" t="str">
        <f>IF($J223="","",SUMIFS(SummaryHelper!$G$2:$G$5000,SummaryHelper!$A$2:$A$5000,$I223,SummaryHelper!$B$2:$B$5000,$J223,SummaryHelper!$C$2:$C$5000,$K223))</f>
        <v/>
      </c>
      <c r="Q223" s="9" t="str">
        <f t="shared" si="42"/>
        <v/>
      </c>
      <c r="R223" s="9" t="str">
        <f t="shared" si="43"/>
        <v/>
      </c>
      <c r="W223" s="9" t="str">
        <f>IF($U223="","",IFERROR(SUMIFS(SummaryHelper!$H$2:$H$5000,SummaryHelper!$A$2:$A$5000,$T223,SummaryHelper!$B$2:$B$5000,$U223,SummaryHelper!$C$2:$C$5000,$V223)/SUMIFS(SummaryHelper!$G$2:$G$5000,SummaryHelper!$A$2:$A$5000,$T223,SummaryHelper!$B$2:$B$5000,$U223,SummaryHelper!$C$2:$C$5000,$V223),""))</f>
        <v/>
      </c>
      <c r="X223" s="9" t="str">
        <f>IF($U223="","",SUMIFS(SummaryHelper!$E$2:$E$5000,SummaryHelper!$A$2:$A$5000,$T223,SummaryHelper!$B$2:$B$5000,$U223,SummaryHelper!$C$2:$C$5000,$V223))</f>
        <v/>
      </c>
      <c r="Y223" s="9" t="str">
        <f>IF($U223="","",SUMIFS(SummaryHelper!$F$2:$F$5000,SummaryHelper!$A$2:$A$5000,$T223,SummaryHelper!$B$2:$B$5000,$U223,SummaryHelper!$C$2:$C$5000,$V223))</f>
        <v/>
      </c>
      <c r="Z223" s="9" t="str">
        <f>IF($U223="","",SUMIFS(SummaryHelper!$G$2:$G$5000,SummaryHelper!$A$2:$A$5000,$T223,SummaryHelper!$B$2:$B$5000,$U223,SummaryHelper!$C$2:$C$5000,$V223))</f>
        <v/>
      </c>
      <c r="AB223" s="9" t="str">
        <f t="shared" si="44"/>
        <v/>
      </c>
      <c r="AC223" s="9" t="str">
        <f t="shared" si="45"/>
        <v/>
      </c>
      <c r="AH223" t="str">
        <f>IF($AF223="","",IFERROR(SUMIFS(SummaryHelper!$H$2:$H$5000,SummaryHelper!$A$2:$A$5000,$AE223,SummaryHelper!$B$2:$B$5000,$AF223,SummaryHelper!$C$2:$C$5000,$AG223)/SUMIFS(SummaryHelper!$G$2:$G$5000,SummaryHelper!$A$2:$A$5000,$AE223,SummaryHelper!$B$2:$B$5000,$AF223,SummaryHelper!$C$2:$C$5000,$AG223),""))</f>
        <v/>
      </c>
      <c r="AI223" t="str">
        <f>IF($AF223="","",SUMIFS(SummaryHelper!$E$2:$E$5000,SummaryHelper!$A$2:$A$5000,$AE223,SummaryHelper!$B$2:$B$5000,$AF223,SummaryHelper!$C$2:$C$5000,$AG223))</f>
        <v/>
      </c>
      <c r="AJ223" t="str">
        <f>IF($AF223="","",SUMIFS(SummaryHelper!$F$2:$F$5000,SummaryHelper!$A$2:$A$5000,$AE223,SummaryHelper!$B$2:$B$5000,$AF223,SummaryHelper!$C$2:$C$5000,$AG223))</f>
        <v/>
      </c>
      <c r="AK223" t="str">
        <f>IF($AF223="","",SUMIFS(SummaryHelper!$G$2:$G$5000,SummaryHelper!$A$2:$A$5000,$AE223,SummaryHelper!$B$2:$B$5000,$AF223,SummaryHelper!$C$2:$C$5000,$AG223))</f>
        <v/>
      </c>
      <c r="AM223" t="str">
        <f t="shared" si="46"/>
        <v/>
      </c>
      <c r="AN223" t="str">
        <f t="shared" si="47"/>
        <v/>
      </c>
    </row>
    <row r="224" spans="1:40" x14ac:dyDescent="0.25">
      <c r="A224" s="12"/>
      <c r="B224" s="23" t="str">
        <f t="shared" si="48"/>
        <v/>
      </c>
      <c r="C224" s="9" t="str">
        <f t="shared" ca="1" si="37"/>
        <v/>
      </c>
      <c r="D224" s="9" t="str">
        <f t="shared" ca="1" si="38"/>
        <v/>
      </c>
      <c r="E224" s="9" t="str">
        <f t="shared" ca="1" si="39"/>
        <v/>
      </c>
      <c r="F224" s="9" t="str">
        <f t="shared" si="40"/>
        <v/>
      </c>
      <c r="G224" s="9">
        <f t="shared" si="41"/>
        <v>0</v>
      </c>
      <c r="L224" s="9" t="str">
        <f>IF($J224="","",IFERROR(SUMIFS(SummaryHelper!$H$2:$H$5000,SummaryHelper!$A$2:$A$5000,$I224,SummaryHelper!$B$2:$B$5000,$J224,SummaryHelper!$C$2:$C$5000,$K224)/SUMIFS(SummaryHelper!$G$2:$G$5000,SummaryHelper!$A$2:$A$5000,$I224,SummaryHelper!$B$2:$B$5000,$J224,SummaryHelper!$C$2:$C$5000,$K224),""))</f>
        <v/>
      </c>
      <c r="M224" s="9" t="str">
        <f>IF($J224="","",SUMIFS(SummaryHelper!$E$2:$E$5000,SummaryHelper!$A$2:$A$5000,$I224,SummaryHelper!$B$2:$B$5000,$J224,SummaryHelper!$C$2:$C$5000,$K224))</f>
        <v/>
      </c>
      <c r="N224" s="9" t="str">
        <f>IF($J224="","",SUMIFS(SummaryHelper!$F$2:$F$5000,SummaryHelper!$A$2:$A$5000,$I224,SummaryHelper!$B$2:$B$5000,$J224,SummaryHelper!$C$2:$C$5000,$K224))</f>
        <v/>
      </c>
      <c r="O224" s="9" t="str">
        <f>IF($J224="","",SUMIFS(SummaryHelper!$G$2:$G$5000,SummaryHelper!$A$2:$A$5000,$I224,SummaryHelper!$B$2:$B$5000,$J224,SummaryHelper!$C$2:$C$5000,$K224))</f>
        <v/>
      </c>
      <c r="Q224" s="9" t="str">
        <f t="shared" si="42"/>
        <v/>
      </c>
      <c r="R224" s="9" t="str">
        <f t="shared" si="43"/>
        <v/>
      </c>
      <c r="W224" s="9" t="str">
        <f>IF($U224="","",IFERROR(SUMIFS(SummaryHelper!$H$2:$H$5000,SummaryHelper!$A$2:$A$5000,$T224,SummaryHelper!$B$2:$B$5000,$U224,SummaryHelper!$C$2:$C$5000,$V224)/SUMIFS(SummaryHelper!$G$2:$G$5000,SummaryHelper!$A$2:$A$5000,$T224,SummaryHelper!$B$2:$B$5000,$U224,SummaryHelper!$C$2:$C$5000,$V224),""))</f>
        <v/>
      </c>
      <c r="X224" s="9" t="str">
        <f>IF($U224="","",SUMIFS(SummaryHelper!$E$2:$E$5000,SummaryHelper!$A$2:$A$5000,$T224,SummaryHelper!$B$2:$B$5000,$U224,SummaryHelper!$C$2:$C$5000,$V224))</f>
        <v/>
      </c>
      <c r="Y224" s="9" t="str">
        <f>IF($U224="","",SUMIFS(SummaryHelper!$F$2:$F$5000,SummaryHelper!$A$2:$A$5000,$T224,SummaryHelper!$B$2:$B$5000,$U224,SummaryHelper!$C$2:$C$5000,$V224))</f>
        <v/>
      </c>
      <c r="Z224" s="9" t="str">
        <f>IF($U224="","",SUMIFS(SummaryHelper!$G$2:$G$5000,SummaryHelper!$A$2:$A$5000,$T224,SummaryHelper!$B$2:$B$5000,$U224,SummaryHelper!$C$2:$C$5000,$V224))</f>
        <v/>
      </c>
      <c r="AB224" s="9" t="str">
        <f t="shared" si="44"/>
        <v/>
      </c>
      <c r="AC224" s="9" t="str">
        <f t="shared" si="45"/>
        <v/>
      </c>
      <c r="AH224" t="str">
        <f>IF($AF224="","",IFERROR(SUMIFS(SummaryHelper!$H$2:$H$5000,SummaryHelper!$A$2:$A$5000,$AE224,SummaryHelper!$B$2:$B$5000,$AF224,SummaryHelper!$C$2:$C$5000,$AG224)/SUMIFS(SummaryHelper!$G$2:$G$5000,SummaryHelper!$A$2:$A$5000,$AE224,SummaryHelper!$B$2:$B$5000,$AF224,SummaryHelper!$C$2:$C$5000,$AG224),""))</f>
        <v/>
      </c>
      <c r="AI224" t="str">
        <f>IF($AF224="","",SUMIFS(SummaryHelper!$E$2:$E$5000,SummaryHelper!$A$2:$A$5000,$AE224,SummaryHelper!$B$2:$B$5000,$AF224,SummaryHelper!$C$2:$C$5000,$AG224))</f>
        <v/>
      </c>
      <c r="AJ224" t="str">
        <f>IF($AF224="","",SUMIFS(SummaryHelper!$F$2:$F$5000,SummaryHelper!$A$2:$A$5000,$AE224,SummaryHelper!$B$2:$B$5000,$AF224,SummaryHelper!$C$2:$C$5000,$AG224))</f>
        <v/>
      </c>
      <c r="AK224" t="str">
        <f>IF($AF224="","",SUMIFS(SummaryHelper!$G$2:$G$5000,SummaryHelper!$A$2:$A$5000,$AE224,SummaryHelper!$B$2:$B$5000,$AF224,SummaryHelper!$C$2:$C$5000,$AG224))</f>
        <v/>
      </c>
      <c r="AM224" t="str">
        <f t="shared" si="46"/>
        <v/>
      </c>
      <c r="AN224" t="str">
        <f t="shared" si="47"/>
        <v/>
      </c>
    </row>
    <row r="225" spans="1:40" x14ac:dyDescent="0.25">
      <c r="A225" s="12"/>
      <c r="B225" s="23" t="str">
        <f t="shared" si="48"/>
        <v/>
      </c>
      <c r="C225" s="9" t="str">
        <f t="shared" ca="1" si="37"/>
        <v/>
      </c>
      <c r="D225" s="9" t="str">
        <f t="shared" ca="1" si="38"/>
        <v/>
      </c>
      <c r="E225" s="9" t="str">
        <f t="shared" ca="1" si="39"/>
        <v/>
      </c>
      <c r="F225" s="9" t="str">
        <f t="shared" si="40"/>
        <v/>
      </c>
      <c r="G225" s="9">
        <f t="shared" si="41"/>
        <v>0</v>
      </c>
      <c r="L225" s="9" t="str">
        <f>IF($J225="","",IFERROR(SUMIFS(SummaryHelper!$H$2:$H$5000,SummaryHelper!$A$2:$A$5000,$I225,SummaryHelper!$B$2:$B$5000,$J225,SummaryHelper!$C$2:$C$5000,$K225)/SUMIFS(SummaryHelper!$G$2:$G$5000,SummaryHelper!$A$2:$A$5000,$I225,SummaryHelper!$B$2:$B$5000,$J225,SummaryHelper!$C$2:$C$5000,$K225),""))</f>
        <v/>
      </c>
      <c r="M225" s="9" t="str">
        <f>IF($J225="","",SUMIFS(SummaryHelper!$E$2:$E$5000,SummaryHelper!$A$2:$A$5000,$I225,SummaryHelper!$B$2:$B$5000,$J225,SummaryHelper!$C$2:$C$5000,$K225))</f>
        <v/>
      </c>
      <c r="N225" s="9" t="str">
        <f>IF($J225="","",SUMIFS(SummaryHelper!$F$2:$F$5000,SummaryHelper!$A$2:$A$5000,$I225,SummaryHelper!$B$2:$B$5000,$J225,SummaryHelper!$C$2:$C$5000,$K225))</f>
        <v/>
      </c>
      <c r="O225" s="9" t="str">
        <f>IF($J225="","",SUMIFS(SummaryHelper!$G$2:$G$5000,SummaryHelper!$A$2:$A$5000,$I225,SummaryHelper!$B$2:$B$5000,$J225,SummaryHelper!$C$2:$C$5000,$K225))</f>
        <v/>
      </c>
      <c r="Q225" s="9" t="str">
        <f t="shared" si="42"/>
        <v/>
      </c>
      <c r="R225" s="9" t="str">
        <f t="shared" si="43"/>
        <v/>
      </c>
      <c r="W225" s="9" t="str">
        <f>IF($U225="","",IFERROR(SUMIFS(SummaryHelper!$H$2:$H$5000,SummaryHelper!$A$2:$A$5000,$T225,SummaryHelper!$B$2:$B$5000,$U225,SummaryHelper!$C$2:$C$5000,$V225)/SUMIFS(SummaryHelper!$G$2:$G$5000,SummaryHelper!$A$2:$A$5000,$T225,SummaryHelper!$B$2:$B$5000,$U225,SummaryHelper!$C$2:$C$5000,$V225),""))</f>
        <v/>
      </c>
      <c r="X225" s="9" t="str">
        <f>IF($U225="","",SUMIFS(SummaryHelper!$E$2:$E$5000,SummaryHelper!$A$2:$A$5000,$T225,SummaryHelper!$B$2:$B$5000,$U225,SummaryHelper!$C$2:$C$5000,$V225))</f>
        <v/>
      </c>
      <c r="Y225" s="9" t="str">
        <f>IF($U225="","",SUMIFS(SummaryHelper!$F$2:$F$5000,SummaryHelper!$A$2:$A$5000,$T225,SummaryHelper!$B$2:$B$5000,$U225,SummaryHelper!$C$2:$C$5000,$V225))</f>
        <v/>
      </c>
      <c r="Z225" s="9" t="str">
        <f>IF($U225="","",SUMIFS(SummaryHelper!$G$2:$G$5000,SummaryHelper!$A$2:$A$5000,$T225,SummaryHelper!$B$2:$B$5000,$U225,SummaryHelper!$C$2:$C$5000,$V225))</f>
        <v/>
      </c>
      <c r="AB225" s="9" t="str">
        <f t="shared" si="44"/>
        <v/>
      </c>
      <c r="AC225" s="9" t="str">
        <f t="shared" si="45"/>
        <v/>
      </c>
      <c r="AH225" t="str">
        <f>IF($AF225="","",IFERROR(SUMIFS(SummaryHelper!$H$2:$H$5000,SummaryHelper!$A$2:$A$5000,$AE225,SummaryHelper!$B$2:$B$5000,$AF225,SummaryHelper!$C$2:$C$5000,$AG225)/SUMIFS(SummaryHelper!$G$2:$G$5000,SummaryHelper!$A$2:$A$5000,$AE225,SummaryHelper!$B$2:$B$5000,$AF225,SummaryHelper!$C$2:$C$5000,$AG225),""))</f>
        <v/>
      </c>
      <c r="AI225" t="str">
        <f>IF($AF225="","",SUMIFS(SummaryHelper!$E$2:$E$5000,SummaryHelper!$A$2:$A$5000,$AE225,SummaryHelper!$B$2:$B$5000,$AF225,SummaryHelper!$C$2:$C$5000,$AG225))</f>
        <v/>
      </c>
      <c r="AJ225" t="str">
        <f>IF($AF225="","",SUMIFS(SummaryHelper!$F$2:$F$5000,SummaryHelper!$A$2:$A$5000,$AE225,SummaryHelper!$B$2:$B$5000,$AF225,SummaryHelper!$C$2:$C$5000,$AG225))</f>
        <v/>
      </c>
      <c r="AK225" t="str">
        <f>IF($AF225="","",SUMIFS(SummaryHelper!$G$2:$G$5000,SummaryHelper!$A$2:$A$5000,$AE225,SummaryHelper!$B$2:$B$5000,$AF225,SummaryHelper!$C$2:$C$5000,$AG225))</f>
        <v/>
      </c>
      <c r="AM225" t="str">
        <f t="shared" si="46"/>
        <v/>
      </c>
      <c r="AN225" t="str">
        <f t="shared" si="47"/>
        <v/>
      </c>
    </row>
    <row r="226" spans="1:40" x14ac:dyDescent="0.25">
      <c r="A226" s="12"/>
      <c r="B226" s="23" t="str">
        <f t="shared" si="48"/>
        <v/>
      </c>
      <c r="C226" s="9" t="str">
        <f t="shared" ca="1" si="37"/>
        <v/>
      </c>
      <c r="D226" s="9" t="str">
        <f t="shared" ca="1" si="38"/>
        <v/>
      </c>
      <c r="E226" s="9" t="str">
        <f t="shared" ca="1" si="39"/>
        <v/>
      </c>
      <c r="F226" s="9" t="str">
        <f t="shared" si="40"/>
        <v/>
      </c>
      <c r="G226" s="9">
        <f t="shared" si="41"/>
        <v>0</v>
      </c>
      <c r="L226" s="9" t="str">
        <f>IF($J226="","",IFERROR(SUMIFS(SummaryHelper!$H$2:$H$5000,SummaryHelper!$A$2:$A$5000,$I226,SummaryHelper!$B$2:$B$5000,$J226,SummaryHelper!$C$2:$C$5000,$K226)/SUMIFS(SummaryHelper!$G$2:$G$5000,SummaryHelper!$A$2:$A$5000,$I226,SummaryHelper!$B$2:$B$5000,$J226,SummaryHelper!$C$2:$C$5000,$K226),""))</f>
        <v/>
      </c>
      <c r="M226" s="9" t="str">
        <f>IF($J226="","",SUMIFS(SummaryHelper!$E$2:$E$5000,SummaryHelper!$A$2:$A$5000,$I226,SummaryHelper!$B$2:$B$5000,$J226,SummaryHelper!$C$2:$C$5000,$K226))</f>
        <v/>
      </c>
      <c r="N226" s="9" t="str">
        <f>IF($J226="","",SUMIFS(SummaryHelper!$F$2:$F$5000,SummaryHelper!$A$2:$A$5000,$I226,SummaryHelper!$B$2:$B$5000,$J226,SummaryHelper!$C$2:$C$5000,$K226))</f>
        <v/>
      </c>
      <c r="O226" s="9" t="str">
        <f>IF($J226="","",SUMIFS(SummaryHelper!$G$2:$G$5000,SummaryHelper!$A$2:$A$5000,$I226,SummaryHelper!$B$2:$B$5000,$J226,SummaryHelper!$C$2:$C$5000,$K226))</f>
        <v/>
      </c>
      <c r="Q226" s="9" t="str">
        <f t="shared" si="42"/>
        <v/>
      </c>
      <c r="R226" s="9" t="str">
        <f t="shared" si="43"/>
        <v/>
      </c>
      <c r="W226" s="9" t="str">
        <f>IF($U226="","",IFERROR(SUMIFS(SummaryHelper!$H$2:$H$5000,SummaryHelper!$A$2:$A$5000,$T226,SummaryHelper!$B$2:$B$5000,$U226,SummaryHelper!$C$2:$C$5000,$V226)/SUMIFS(SummaryHelper!$G$2:$G$5000,SummaryHelper!$A$2:$A$5000,$T226,SummaryHelper!$B$2:$B$5000,$U226,SummaryHelper!$C$2:$C$5000,$V226),""))</f>
        <v/>
      </c>
      <c r="X226" s="9" t="str">
        <f>IF($U226="","",SUMIFS(SummaryHelper!$E$2:$E$5000,SummaryHelper!$A$2:$A$5000,$T226,SummaryHelper!$B$2:$B$5000,$U226,SummaryHelper!$C$2:$C$5000,$V226))</f>
        <v/>
      </c>
      <c r="Y226" s="9" t="str">
        <f>IF($U226="","",SUMIFS(SummaryHelper!$F$2:$F$5000,SummaryHelper!$A$2:$A$5000,$T226,SummaryHelper!$B$2:$B$5000,$U226,SummaryHelper!$C$2:$C$5000,$V226))</f>
        <v/>
      </c>
      <c r="Z226" s="9" t="str">
        <f>IF($U226="","",SUMIFS(SummaryHelper!$G$2:$G$5000,SummaryHelper!$A$2:$A$5000,$T226,SummaryHelper!$B$2:$B$5000,$U226,SummaryHelper!$C$2:$C$5000,$V226))</f>
        <v/>
      </c>
      <c r="AB226" s="9" t="str">
        <f t="shared" si="44"/>
        <v/>
      </c>
      <c r="AC226" s="9" t="str">
        <f t="shared" si="45"/>
        <v/>
      </c>
      <c r="AH226" t="str">
        <f>IF($AF226="","",IFERROR(SUMIFS(SummaryHelper!$H$2:$H$5000,SummaryHelper!$A$2:$A$5000,$AE226,SummaryHelper!$B$2:$B$5000,$AF226,SummaryHelper!$C$2:$C$5000,$AG226)/SUMIFS(SummaryHelper!$G$2:$G$5000,SummaryHelper!$A$2:$A$5000,$AE226,SummaryHelper!$B$2:$B$5000,$AF226,SummaryHelper!$C$2:$C$5000,$AG226),""))</f>
        <v/>
      </c>
      <c r="AI226" t="str">
        <f>IF($AF226="","",SUMIFS(SummaryHelper!$E$2:$E$5000,SummaryHelper!$A$2:$A$5000,$AE226,SummaryHelper!$B$2:$B$5000,$AF226,SummaryHelper!$C$2:$C$5000,$AG226))</f>
        <v/>
      </c>
      <c r="AJ226" t="str">
        <f>IF($AF226="","",SUMIFS(SummaryHelper!$F$2:$F$5000,SummaryHelper!$A$2:$A$5000,$AE226,SummaryHelper!$B$2:$B$5000,$AF226,SummaryHelper!$C$2:$C$5000,$AG226))</f>
        <v/>
      </c>
      <c r="AK226" t="str">
        <f>IF($AF226="","",SUMIFS(SummaryHelper!$G$2:$G$5000,SummaryHelper!$A$2:$A$5000,$AE226,SummaryHelper!$B$2:$B$5000,$AF226,SummaryHelper!$C$2:$C$5000,$AG226))</f>
        <v/>
      </c>
      <c r="AM226" t="str">
        <f t="shared" si="46"/>
        <v/>
      </c>
      <c r="AN226" t="str">
        <f t="shared" si="47"/>
        <v/>
      </c>
    </row>
    <row r="227" spans="1:40" x14ac:dyDescent="0.25">
      <c r="A227" s="12"/>
      <c r="B227" s="23" t="str">
        <f t="shared" si="48"/>
        <v/>
      </c>
      <c r="C227" s="9" t="str">
        <f t="shared" ca="1" si="37"/>
        <v/>
      </c>
      <c r="D227" s="9" t="str">
        <f t="shared" ca="1" si="38"/>
        <v/>
      </c>
      <c r="E227" s="9" t="str">
        <f t="shared" ca="1" si="39"/>
        <v/>
      </c>
      <c r="F227" s="9" t="str">
        <f t="shared" si="40"/>
        <v/>
      </c>
      <c r="G227" s="9">
        <f t="shared" si="41"/>
        <v>0</v>
      </c>
      <c r="L227" s="9" t="str">
        <f>IF($J227="","",IFERROR(SUMIFS(SummaryHelper!$H$2:$H$5000,SummaryHelper!$A$2:$A$5000,$I227,SummaryHelper!$B$2:$B$5000,$J227,SummaryHelper!$C$2:$C$5000,$K227)/SUMIFS(SummaryHelper!$G$2:$G$5000,SummaryHelper!$A$2:$A$5000,$I227,SummaryHelper!$B$2:$B$5000,$J227,SummaryHelper!$C$2:$C$5000,$K227),""))</f>
        <v/>
      </c>
      <c r="M227" s="9" t="str">
        <f>IF($J227="","",SUMIFS(SummaryHelper!$E$2:$E$5000,SummaryHelper!$A$2:$A$5000,$I227,SummaryHelper!$B$2:$B$5000,$J227,SummaryHelper!$C$2:$C$5000,$K227))</f>
        <v/>
      </c>
      <c r="N227" s="9" t="str">
        <f>IF($J227="","",SUMIFS(SummaryHelper!$F$2:$F$5000,SummaryHelper!$A$2:$A$5000,$I227,SummaryHelper!$B$2:$B$5000,$J227,SummaryHelper!$C$2:$C$5000,$K227))</f>
        <v/>
      </c>
      <c r="O227" s="9" t="str">
        <f>IF($J227="","",SUMIFS(SummaryHelper!$G$2:$G$5000,SummaryHelper!$A$2:$A$5000,$I227,SummaryHelper!$B$2:$B$5000,$J227,SummaryHelper!$C$2:$C$5000,$K227))</f>
        <v/>
      </c>
      <c r="Q227" s="9" t="str">
        <f t="shared" si="42"/>
        <v/>
      </c>
      <c r="R227" s="9" t="str">
        <f t="shared" si="43"/>
        <v/>
      </c>
      <c r="W227" s="9" t="str">
        <f>IF($U227="","",IFERROR(SUMIFS(SummaryHelper!$H$2:$H$5000,SummaryHelper!$A$2:$A$5000,$T227,SummaryHelper!$B$2:$B$5000,$U227,SummaryHelper!$C$2:$C$5000,$V227)/SUMIFS(SummaryHelper!$G$2:$G$5000,SummaryHelper!$A$2:$A$5000,$T227,SummaryHelper!$B$2:$B$5000,$U227,SummaryHelper!$C$2:$C$5000,$V227),""))</f>
        <v/>
      </c>
      <c r="X227" s="9" t="str">
        <f>IF($U227="","",SUMIFS(SummaryHelper!$E$2:$E$5000,SummaryHelper!$A$2:$A$5000,$T227,SummaryHelper!$B$2:$B$5000,$U227,SummaryHelper!$C$2:$C$5000,$V227))</f>
        <v/>
      </c>
      <c r="Y227" s="9" t="str">
        <f>IF($U227="","",SUMIFS(SummaryHelper!$F$2:$F$5000,SummaryHelper!$A$2:$A$5000,$T227,SummaryHelper!$B$2:$B$5000,$U227,SummaryHelper!$C$2:$C$5000,$V227))</f>
        <v/>
      </c>
      <c r="Z227" s="9" t="str">
        <f>IF($U227="","",SUMIFS(SummaryHelper!$G$2:$G$5000,SummaryHelper!$A$2:$A$5000,$T227,SummaryHelper!$B$2:$B$5000,$U227,SummaryHelper!$C$2:$C$5000,$V227))</f>
        <v/>
      </c>
      <c r="AB227" s="9" t="str">
        <f t="shared" si="44"/>
        <v/>
      </c>
      <c r="AC227" s="9" t="str">
        <f t="shared" si="45"/>
        <v/>
      </c>
      <c r="AH227" t="str">
        <f>IF($AF227="","",IFERROR(SUMIFS(SummaryHelper!$H$2:$H$5000,SummaryHelper!$A$2:$A$5000,$AE227,SummaryHelper!$B$2:$B$5000,$AF227,SummaryHelper!$C$2:$C$5000,$AG227)/SUMIFS(SummaryHelper!$G$2:$G$5000,SummaryHelper!$A$2:$A$5000,$AE227,SummaryHelper!$B$2:$B$5000,$AF227,SummaryHelper!$C$2:$C$5000,$AG227),""))</f>
        <v/>
      </c>
      <c r="AI227" t="str">
        <f>IF($AF227="","",SUMIFS(SummaryHelper!$E$2:$E$5000,SummaryHelper!$A$2:$A$5000,$AE227,SummaryHelper!$B$2:$B$5000,$AF227,SummaryHelper!$C$2:$C$5000,$AG227))</f>
        <v/>
      </c>
      <c r="AJ227" t="str">
        <f>IF($AF227="","",SUMIFS(SummaryHelper!$F$2:$F$5000,SummaryHelper!$A$2:$A$5000,$AE227,SummaryHelper!$B$2:$B$5000,$AF227,SummaryHelper!$C$2:$C$5000,$AG227))</f>
        <v/>
      </c>
      <c r="AK227" t="str">
        <f>IF($AF227="","",SUMIFS(SummaryHelper!$G$2:$G$5000,SummaryHelper!$A$2:$A$5000,$AE227,SummaryHelper!$B$2:$B$5000,$AF227,SummaryHelper!$C$2:$C$5000,$AG227))</f>
        <v/>
      </c>
      <c r="AM227" t="str">
        <f t="shared" si="46"/>
        <v/>
      </c>
      <c r="AN227" t="str">
        <f t="shared" si="47"/>
        <v/>
      </c>
    </row>
    <row r="228" spans="1:40" x14ac:dyDescent="0.25">
      <c r="A228" s="12"/>
      <c r="B228" s="23" t="str">
        <f t="shared" si="48"/>
        <v/>
      </c>
      <c r="C228" s="9" t="str">
        <f t="shared" ca="1" si="37"/>
        <v/>
      </c>
      <c r="D228" s="9" t="str">
        <f t="shared" ca="1" si="38"/>
        <v/>
      </c>
      <c r="E228" s="9" t="str">
        <f t="shared" ca="1" si="39"/>
        <v/>
      </c>
      <c r="F228" s="9" t="str">
        <f t="shared" si="40"/>
        <v/>
      </c>
      <c r="G228" s="9">
        <f t="shared" si="41"/>
        <v>0</v>
      </c>
      <c r="L228" s="9" t="str">
        <f>IF($J228="","",IFERROR(SUMIFS(SummaryHelper!$H$2:$H$5000,SummaryHelper!$A$2:$A$5000,$I228,SummaryHelper!$B$2:$B$5000,$J228,SummaryHelper!$C$2:$C$5000,$K228)/SUMIFS(SummaryHelper!$G$2:$G$5000,SummaryHelper!$A$2:$A$5000,$I228,SummaryHelper!$B$2:$B$5000,$J228,SummaryHelper!$C$2:$C$5000,$K228),""))</f>
        <v/>
      </c>
      <c r="M228" s="9" t="str">
        <f>IF($J228="","",SUMIFS(SummaryHelper!$E$2:$E$5000,SummaryHelper!$A$2:$A$5000,$I228,SummaryHelper!$B$2:$B$5000,$J228,SummaryHelper!$C$2:$C$5000,$K228))</f>
        <v/>
      </c>
      <c r="N228" s="9" t="str">
        <f>IF($J228="","",SUMIFS(SummaryHelper!$F$2:$F$5000,SummaryHelper!$A$2:$A$5000,$I228,SummaryHelper!$B$2:$B$5000,$J228,SummaryHelper!$C$2:$C$5000,$K228))</f>
        <v/>
      </c>
      <c r="O228" s="9" t="str">
        <f>IF($J228="","",SUMIFS(SummaryHelper!$G$2:$G$5000,SummaryHelper!$A$2:$A$5000,$I228,SummaryHelper!$B$2:$B$5000,$J228,SummaryHelper!$C$2:$C$5000,$K228))</f>
        <v/>
      </c>
      <c r="Q228" s="9" t="str">
        <f t="shared" si="42"/>
        <v/>
      </c>
      <c r="R228" s="9" t="str">
        <f t="shared" si="43"/>
        <v/>
      </c>
      <c r="W228" s="9" t="str">
        <f>IF($U228="","",IFERROR(SUMIFS(SummaryHelper!$H$2:$H$5000,SummaryHelper!$A$2:$A$5000,$T228,SummaryHelper!$B$2:$B$5000,$U228,SummaryHelper!$C$2:$C$5000,$V228)/SUMIFS(SummaryHelper!$G$2:$G$5000,SummaryHelper!$A$2:$A$5000,$T228,SummaryHelper!$B$2:$B$5000,$U228,SummaryHelper!$C$2:$C$5000,$V228),""))</f>
        <v/>
      </c>
      <c r="X228" s="9" t="str">
        <f>IF($U228="","",SUMIFS(SummaryHelper!$E$2:$E$5000,SummaryHelper!$A$2:$A$5000,$T228,SummaryHelper!$B$2:$B$5000,$U228,SummaryHelper!$C$2:$C$5000,$V228))</f>
        <v/>
      </c>
      <c r="Y228" s="9" t="str">
        <f>IF($U228="","",SUMIFS(SummaryHelper!$F$2:$F$5000,SummaryHelper!$A$2:$A$5000,$T228,SummaryHelper!$B$2:$B$5000,$U228,SummaryHelper!$C$2:$C$5000,$V228))</f>
        <v/>
      </c>
      <c r="Z228" s="9" t="str">
        <f>IF($U228="","",SUMIFS(SummaryHelper!$G$2:$G$5000,SummaryHelper!$A$2:$A$5000,$T228,SummaryHelper!$B$2:$B$5000,$U228,SummaryHelper!$C$2:$C$5000,$V228))</f>
        <v/>
      </c>
      <c r="AB228" s="9" t="str">
        <f t="shared" si="44"/>
        <v/>
      </c>
      <c r="AC228" s="9" t="str">
        <f t="shared" si="45"/>
        <v/>
      </c>
      <c r="AH228" t="str">
        <f>IF($AF228="","",IFERROR(SUMIFS(SummaryHelper!$H$2:$H$5000,SummaryHelper!$A$2:$A$5000,$AE228,SummaryHelper!$B$2:$B$5000,$AF228,SummaryHelper!$C$2:$C$5000,$AG228)/SUMIFS(SummaryHelper!$G$2:$G$5000,SummaryHelper!$A$2:$A$5000,$AE228,SummaryHelper!$B$2:$B$5000,$AF228,SummaryHelper!$C$2:$C$5000,$AG228),""))</f>
        <v/>
      </c>
      <c r="AI228" t="str">
        <f>IF($AF228="","",SUMIFS(SummaryHelper!$E$2:$E$5000,SummaryHelper!$A$2:$A$5000,$AE228,SummaryHelper!$B$2:$B$5000,$AF228,SummaryHelper!$C$2:$C$5000,$AG228))</f>
        <v/>
      </c>
      <c r="AJ228" t="str">
        <f>IF($AF228="","",SUMIFS(SummaryHelper!$F$2:$F$5000,SummaryHelper!$A$2:$A$5000,$AE228,SummaryHelper!$B$2:$B$5000,$AF228,SummaryHelper!$C$2:$C$5000,$AG228))</f>
        <v/>
      </c>
      <c r="AK228" t="str">
        <f>IF($AF228="","",SUMIFS(SummaryHelper!$G$2:$G$5000,SummaryHelper!$A$2:$A$5000,$AE228,SummaryHelper!$B$2:$B$5000,$AF228,SummaryHelper!$C$2:$C$5000,$AG228))</f>
        <v/>
      </c>
      <c r="AM228" t="str">
        <f t="shared" si="46"/>
        <v/>
      </c>
      <c r="AN228" t="str">
        <f t="shared" si="47"/>
        <v/>
      </c>
    </row>
    <row r="229" spans="1:40" x14ac:dyDescent="0.25">
      <c r="A229" s="12"/>
      <c r="B229" s="23" t="str">
        <f t="shared" si="48"/>
        <v/>
      </c>
      <c r="C229" s="9" t="str">
        <f t="shared" ca="1" si="37"/>
        <v/>
      </c>
      <c r="D229" s="9" t="str">
        <f t="shared" ca="1" si="38"/>
        <v/>
      </c>
      <c r="E229" s="9" t="str">
        <f t="shared" ca="1" si="39"/>
        <v/>
      </c>
      <c r="F229" s="9" t="str">
        <f t="shared" si="40"/>
        <v/>
      </c>
      <c r="G229" s="9">
        <f t="shared" si="41"/>
        <v>0</v>
      </c>
      <c r="L229" s="9" t="str">
        <f>IF($J229="","",IFERROR(SUMIFS(SummaryHelper!$H$2:$H$5000,SummaryHelper!$A$2:$A$5000,$I229,SummaryHelper!$B$2:$B$5000,$J229,SummaryHelper!$C$2:$C$5000,$K229)/SUMIFS(SummaryHelper!$G$2:$G$5000,SummaryHelper!$A$2:$A$5000,$I229,SummaryHelper!$B$2:$B$5000,$J229,SummaryHelper!$C$2:$C$5000,$K229),""))</f>
        <v/>
      </c>
      <c r="M229" s="9" t="str">
        <f>IF($J229="","",SUMIFS(SummaryHelper!$E$2:$E$5000,SummaryHelper!$A$2:$A$5000,$I229,SummaryHelper!$B$2:$B$5000,$J229,SummaryHelper!$C$2:$C$5000,$K229))</f>
        <v/>
      </c>
      <c r="N229" s="9" t="str">
        <f>IF($J229="","",SUMIFS(SummaryHelper!$F$2:$F$5000,SummaryHelper!$A$2:$A$5000,$I229,SummaryHelper!$B$2:$B$5000,$J229,SummaryHelper!$C$2:$C$5000,$K229))</f>
        <v/>
      </c>
      <c r="O229" s="9" t="str">
        <f>IF($J229="","",SUMIFS(SummaryHelper!$G$2:$G$5000,SummaryHelper!$A$2:$A$5000,$I229,SummaryHelper!$B$2:$B$5000,$J229,SummaryHelper!$C$2:$C$5000,$K229))</f>
        <v/>
      </c>
      <c r="Q229" s="9" t="str">
        <f t="shared" si="42"/>
        <v/>
      </c>
      <c r="R229" s="9" t="str">
        <f t="shared" si="43"/>
        <v/>
      </c>
      <c r="W229" s="9" t="str">
        <f>IF($U229="","",IFERROR(SUMIFS(SummaryHelper!$H$2:$H$5000,SummaryHelper!$A$2:$A$5000,$T229,SummaryHelper!$B$2:$B$5000,$U229,SummaryHelper!$C$2:$C$5000,$V229)/SUMIFS(SummaryHelper!$G$2:$G$5000,SummaryHelper!$A$2:$A$5000,$T229,SummaryHelper!$B$2:$B$5000,$U229,SummaryHelper!$C$2:$C$5000,$V229),""))</f>
        <v/>
      </c>
      <c r="X229" s="9" t="str">
        <f>IF($U229="","",SUMIFS(SummaryHelper!$E$2:$E$5000,SummaryHelper!$A$2:$A$5000,$T229,SummaryHelper!$B$2:$B$5000,$U229,SummaryHelper!$C$2:$C$5000,$V229))</f>
        <v/>
      </c>
      <c r="Y229" s="9" t="str">
        <f>IF($U229="","",SUMIFS(SummaryHelper!$F$2:$F$5000,SummaryHelper!$A$2:$A$5000,$T229,SummaryHelper!$B$2:$B$5000,$U229,SummaryHelper!$C$2:$C$5000,$V229))</f>
        <v/>
      </c>
      <c r="Z229" s="9" t="str">
        <f>IF($U229="","",SUMIFS(SummaryHelper!$G$2:$G$5000,SummaryHelper!$A$2:$A$5000,$T229,SummaryHelper!$B$2:$B$5000,$U229,SummaryHelper!$C$2:$C$5000,$V229))</f>
        <v/>
      </c>
      <c r="AB229" s="9" t="str">
        <f t="shared" si="44"/>
        <v/>
      </c>
      <c r="AC229" s="9" t="str">
        <f t="shared" si="45"/>
        <v/>
      </c>
      <c r="AH229" t="str">
        <f>IF($AF229="","",IFERROR(SUMIFS(SummaryHelper!$H$2:$H$5000,SummaryHelper!$A$2:$A$5000,$AE229,SummaryHelper!$B$2:$B$5000,$AF229,SummaryHelper!$C$2:$C$5000,$AG229)/SUMIFS(SummaryHelper!$G$2:$G$5000,SummaryHelper!$A$2:$A$5000,$AE229,SummaryHelper!$B$2:$B$5000,$AF229,SummaryHelper!$C$2:$C$5000,$AG229),""))</f>
        <v/>
      </c>
      <c r="AI229" t="str">
        <f>IF($AF229="","",SUMIFS(SummaryHelper!$E$2:$E$5000,SummaryHelper!$A$2:$A$5000,$AE229,SummaryHelper!$B$2:$B$5000,$AF229,SummaryHelper!$C$2:$C$5000,$AG229))</f>
        <v/>
      </c>
      <c r="AJ229" t="str">
        <f>IF($AF229="","",SUMIFS(SummaryHelper!$F$2:$F$5000,SummaryHelper!$A$2:$A$5000,$AE229,SummaryHelper!$B$2:$B$5000,$AF229,SummaryHelper!$C$2:$C$5000,$AG229))</f>
        <v/>
      </c>
      <c r="AK229" t="str">
        <f>IF($AF229="","",SUMIFS(SummaryHelper!$G$2:$G$5000,SummaryHelper!$A$2:$A$5000,$AE229,SummaryHelper!$B$2:$B$5000,$AF229,SummaryHelper!$C$2:$C$5000,$AG229))</f>
        <v/>
      </c>
      <c r="AM229" t="str">
        <f t="shared" si="46"/>
        <v/>
      </c>
      <c r="AN229" t="str">
        <f t="shared" si="47"/>
        <v/>
      </c>
    </row>
    <row r="230" spans="1:40" x14ac:dyDescent="0.25">
      <c r="A230" s="12"/>
      <c r="B230" s="23" t="str">
        <f t="shared" si="48"/>
        <v/>
      </c>
      <c r="C230" s="9" t="str">
        <f t="shared" ca="1" si="37"/>
        <v/>
      </c>
      <c r="D230" s="9" t="str">
        <f t="shared" ca="1" si="38"/>
        <v/>
      </c>
      <c r="E230" s="9" t="str">
        <f t="shared" ca="1" si="39"/>
        <v/>
      </c>
      <c r="F230" s="9" t="str">
        <f t="shared" si="40"/>
        <v/>
      </c>
      <c r="G230" s="9">
        <f t="shared" si="41"/>
        <v>0</v>
      </c>
      <c r="L230" s="9" t="str">
        <f>IF($J230="","",IFERROR(SUMIFS(SummaryHelper!$H$2:$H$5000,SummaryHelper!$A$2:$A$5000,$I230,SummaryHelper!$B$2:$B$5000,$J230,SummaryHelper!$C$2:$C$5000,$K230)/SUMIFS(SummaryHelper!$G$2:$G$5000,SummaryHelper!$A$2:$A$5000,$I230,SummaryHelper!$B$2:$B$5000,$J230,SummaryHelper!$C$2:$C$5000,$K230),""))</f>
        <v/>
      </c>
      <c r="M230" s="9" t="str">
        <f>IF($J230="","",SUMIFS(SummaryHelper!$E$2:$E$5000,SummaryHelper!$A$2:$A$5000,$I230,SummaryHelper!$B$2:$B$5000,$J230,SummaryHelper!$C$2:$C$5000,$K230))</f>
        <v/>
      </c>
      <c r="N230" s="9" t="str">
        <f>IF($J230="","",SUMIFS(SummaryHelper!$F$2:$F$5000,SummaryHelper!$A$2:$A$5000,$I230,SummaryHelper!$B$2:$B$5000,$J230,SummaryHelper!$C$2:$C$5000,$K230))</f>
        <v/>
      </c>
      <c r="O230" s="9" t="str">
        <f>IF($J230="","",SUMIFS(SummaryHelper!$G$2:$G$5000,SummaryHelper!$A$2:$A$5000,$I230,SummaryHelper!$B$2:$B$5000,$J230,SummaryHelper!$C$2:$C$5000,$K230))</f>
        <v/>
      </c>
      <c r="Q230" s="9" t="str">
        <f t="shared" si="42"/>
        <v/>
      </c>
      <c r="R230" s="9" t="str">
        <f t="shared" si="43"/>
        <v/>
      </c>
      <c r="W230" s="9" t="str">
        <f>IF($U230="","",IFERROR(SUMIFS(SummaryHelper!$H$2:$H$5000,SummaryHelper!$A$2:$A$5000,$T230,SummaryHelper!$B$2:$B$5000,$U230,SummaryHelper!$C$2:$C$5000,$V230)/SUMIFS(SummaryHelper!$G$2:$G$5000,SummaryHelper!$A$2:$A$5000,$T230,SummaryHelper!$B$2:$B$5000,$U230,SummaryHelper!$C$2:$C$5000,$V230),""))</f>
        <v/>
      </c>
      <c r="X230" s="9" t="str">
        <f>IF($U230="","",SUMIFS(SummaryHelper!$E$2:$E$5000,SummaryHelper!$A$2:$A$5000,$T230,SummaryHelper!$B$2:$B$5000,$U230,SummaryHelper!$C$2:$C$5000,$V230))</f>
        <v/>
      </c>
      <c r="Y230" s="9" t="str">
        <f>IF($U230="","",SUMIFS(SummaryHelper!$F$2:$F$5000,SummaryHelper!$A$2:$A$5000,$T230,SummaryHelper!$B$2:$B$5000,$U230,SummaryHelper!$C$2:$C$5000,$V230))</f>
        <v/>
      </c>
      <c r="Z230" s="9" t="str">
        <f>IF($U230="","",SUMIFS(SummaryHelper!$G$2:$G$5000,SummaryHelper!$A$2:$A$5000,$T230,SummaryHelper!$B$2:$B$5000,$U230,SummaryHelper!$C$2:$C$5000,$V230))</f>
        <v/>
      </c>
      <c r="AB230" s="9" t="str">
        <f t="shared" si="44"/>
        <v/>
      </c>
      <c r="AC230" s="9" t="str">
        <f t="shared" si="45"/>
        <v/>
      </c>
      <c r="AH230" t="str">
        <f>IF($AF230="","",IFERROR(SUMIFS(SummaryHelper!$H$2:$H$5000,SummaryHelper!$A$2:$A$5000,$AE230,SummaryHelper!$B$2:$B$5000,$AF230,SummaryHelper!$C$2:$C$5000,$AG230)/SUMIFS(SummaryHelper!$G$2:$G$5000,SummaryHelper!$A$2:$A$5000,$AE230,SummaryHelper!$B$2:$B$5000,$AF230,SummaryHelper!$C$2:$C$5000,$AG230),""))</f>
        <v/>
      </c>
      <c r="AI230" t="str">
        <f>IF($AF230="","",SUMIFS(SummaryHelper!$E$2:$E$5000,SummaryHelper!$A$2:$A$5000,$AE230,SummaryHelper!$B$2:$B$5000,$AF230,SummaryHelper!$C$2:$C$5000,$AG230))</f>
        <v/>
      </c>
      <c r="AJ230" t="str">
        <f>IF($AF230="","",SUMIFS(SummaryHelper!$F$2:$F$5000,SummaryHelper!$A$2:$A$5000,$AE230,SummaryHelper!$B$2:$B$5000,$AF230,SummaryHelper!$C$2:$C$5000,$AG230))</f>
        <v/>
      </c>
      <c r="AK230" t="str">
        <f>IF($AF230="","",SUMIFS(SummaryHelper!$G$2:$G$5000,SummaryHelper!$A$2:$A$5000,$AE230,SummaryHelper!$B$2:$B$5000,$AF230,SummaryHelper!$C$2:$C$5000,$AG230))</f>
        <v/>
      </c>
      <c r="AM230" t="str">
        <f t="shared" si="46"/>
        <v/>
      </c>
      <c r="AN230" t="str">
        <f t="shared" si="47"/>
        <v/>
      </c>
    </row>
    <row r="231" spans="1:40" x14ac:dyDescent="0.25">
      <c r="A231" s="12"/>
      <c r="B231" s="23" t="str">
        <f t="shared" si="48"/>
        <v/>
      </c>
      <c r="C231" s="9" t="str">
        <f t="shared" ca="1" si="37"/>
        <v/>
      </c>
      <c r="D231" s="9" t="str">
        <f t="shared" ca="1" si="38"/>
        <v/>
      </c>
      <c r="E231" s="9" t="str">
        <f t="shared" ca="1" si="39"/>
        <v/>
      </c>
      <c r="F231" s="9" t="str">
        <f t="shared" si="40"/>
        <v/>
      </c>
      <c r="G231" s="9">
        <f t="shared" si="41"/>
        <v>0</v>
      </c>
      <c r="L231" s="9" t="str">
        <f>IF($J231="","",IFERROR(SUMIFS(SummaryHelper!$H$2:$H$5000,SummaryHelper!$A$2:$A$5000,$I231,SummaryHelper!$B$2:$B$5000,$J231,SummaryHelper!$C$2:$C$5000,$K231)/SUMIFS(SummaryHelper!$G$2:$G$5000,SummaryHelper!$A$2:$A$5000,$I231,SummaryHelper!$B$2:$B$5000,$J231,SummaryHelper!$C$2:$C$5000,$K231),""))</f>
        <v/>
      </c>
      <c r="M231" s="9" t="str">
        <f>IF($J231="","",SUMIFS(SummaryHelper!$E$2:$E$5000,SummaryHelper!$A$2:$A$5000,$I231,SummaryHelper!$B$2:$B$5000,$J231,SummaryHelper!$C$2:$C$5000,$K231))</f>
        <v/>
      </c>
      <c r="N231" s="9" t="str">
        <f>IF($J231="","",SUMIFS(SummaryHelper!$F$2:$F$5000,SummaryHelper!$A$2:$A$5000,$I231,SummaryHelper!$B$2:$B$5000,$J231,SummaryHelper!$C$2:$C$5000,$K231))</f>
        <v/>
      </c>
      <c r="O231" s="9" t="str">
        <f>IF($J231="","",SUMIFS(SummaryHelper!$G$2:$G$5000,SummaryHelper!$A$2:$A$5000,$I231,SummaryHelper!$B$2:$B$5000,$J231,SummaryHelper!$C$2:$C$5000,$K231))</f>
        <v/>
      </c>
      <c r="Q231" s="9" t="str">
        <f t="shared" si="42"/>
        <v/>
      </c>
      <c r="R231" s="9" t="str">
        <f t="shared" si="43"/>
        <v/>
      </c>
      <c r="W231" s="9" t="str">
        <f>IF($U231="","",IFERROR(SUMIFS(SummaryHelper!$H$2:$H$5000,SummaryHelper!$A$2:$A$5000,$T231,SummaryHelper!$B$2:$B$5000,$U231,SummaryHelper!$C$2:$C$5000,$V231)/SUMIFS(SummaryHelper!$G$2:$G$5000,SummaryHelper!$A$2:$A$5000,$T231,SummaryHelper!$B$2:$B$5000,$U231,SummaryHelper!$C$2:$C$5000,$V231),""))</f>
        <v/>
      </c>
      <c r="X231" s="9" t="str">
        <f>IF($U231="","",SUMIFS(SummaryHelper!$E$2:$E$5000,SummaryHelper!$A$2:$A$5000,$T231,SummaryHelper!$B$2:$B$5000,$U231,SummaryHelper!$C$2:$C$5000,$V231))</f>
        <v/>
      </c>
      <c r="Y231" s="9" t="str">
        <f>IF($U231="","",SUMIFS(SummaryHelper!$F$2:$F$5000,SummaryHelper!$A$2:$A$5000,$T231,SummaryHelper!$B$2:$B$5000,$U231,SummaryHelper!$C$2:$C$5000,$V231))</f>
        <v/>
      </c>
      <c r="Z231" s="9" t="str">
        <f>IF($U231="","",SUMIFS(SummaryHelper!$G$2:$G$5000,SummaryHelper!$A$2:$A$5000,$T231,SummaryHelper!$B$2:$B$5000,$U231,SummaryHelper!$C$2:$C$5000,$V231))</f>
        <v/>
      </c>
      <c r="AB231" s="9" t="str">
        <f t="shared" si="44"/>
        <v/>
      </c>
      <c r="AC231" s="9" t="str">
        <f t="shared" si="45"/>
        <v/>
      </c>
      <c r="AH231" t="str">
        <f>IF($AF231="","",IFERROR(SUMIFS(SummaryHelper!$H$2:$H$5000,SummaryHelper!$A$2:$A$5000,$AE231,SummaryHelper!$B$2:$B$5000,$AF231,SummaryHelper!$C$2:$C$5000,$AG231)/SUMIFS(SummaryHelper!$G$2:$G$5000,SummaryHelper!$A$2:$A$5000,$AE231,SummaryHelper!$B$2:$B$5000,$AF231,SummaryHelper!$C$2:$C$5000,$AG231),""))</f>
        <v/>
      </c>
      <c r="AI231" t="str">
        <f>IF($AF231="","",SUMIFS(SummaryHelper!$E$2:$E$5000,SummaryHelper!$A$2:$A$5000,$AE231,SummaryHelper!$B$2:$B$5000,$AF231,SummaryHelper!$C$2:$C$5000,$AG231))</f>
        <v/>
      </c>
      <c r="AJ231" t="str">
        <f>IF($AF231="","",SUMIFS(SummaryHelper!$F$2:$F$5000,SummaryHelper!$A$2:$A$5000,$AE231,SummaryHelper!$B$2:$B$5000,$AF231,SummaryHelper!$C$2:$C$5000,$AG231))</f>
        <v/>
      </c>
      <c r="AK231" t="str">
        <f>IF($AF231="","",SUMIFS(SummaryHelper!$G$2:$G$5000,SummaryHelper!$A$2:$A$5000,$AE231,SummaryHelper!$B$2:$B$5000,$AF231,SummaryHelper!$C$2:$C$5000,$AG231))</f>
        <v/>
      </c>
      <c r="AM231" t="str">
        <f t="shared" si="46"/>
        <v/>
      </c>
      <c r="AN231" t="str">
        <f t="shared" si="47"/>
        <v/>
      </c>
    </row>
    <row r="232" spans="1:40" x14ac:dyDescent="0.25">
      <c r="A232" s="12"/>
      <c r="B232" s="23" t="str">
        <f t="shared" si="48"/>
        <v/>
      </c>
      <c r="C232" s="9" t="str">
        <f t="shared" ca="1" si="37"/>
        <v/>
      </c>
      <c r="D232" s="9" t="str">
        <f t="shared" ca="1" si="38"/>
        <v/>
      </c>
      <c r="E232" s="9" t="str">
        <f t="shared" ca="1" si="39"/>
        <v/>
      </c>
      <c r="F232" s="9" t="str">
        <f t="shared" si="40"/>
        <v/>
      </c>
      <c r="G232" s="9">
        <f t="shared" si="41"/>
        <v>0</v>
      </c>
      <c r="L232" s="9" t="str">
        <f>IF($J232="","",IFERROR(SUMIFS(SummaryHelper!$H$2:$H$5000,SummaryHelper!$A$2:$A$5000,$I232,SummaryHelper!$B$2:$B$5000,$J232,SummaryHelper!$C$2:$C$5000,$K232)/SUMIFS(SummaryHelper!$G$2:$G$5000,SummaryHelper!$A$2:$A$5000,$I232,SummaryHelper!$B$2:$B$5000,$J232,SummaryHelper!$C$2:$C$5000,$K232),""))</f>
        <v/>
      </c>
      <c r="M232" s="9" t="str">
        <f>IF($J232="","",SUMIFS(SummaryHelper!$E$2:$E$5000,SummaryHelper!$A$2:$A$5000,$I232,SummaryHelper!$B$2:$B$5000,$J232,SummaryHelper!$C$2:$C$5000,$K232))</f>
        <v/>
      </c>
      <c r="N232" s="9" t="str">
        <f>IF($J232="","",SUMIFS(SummaryHelper!$F$2:$F$5000,SummaryHelper!$A$2:$A$5000,$I232,SummaryHelper!$B$2:$B$5000,$J232,SummaryHelper!$C$2:$C$5000,$K232))</f>
        <v/>
      </c>
      <c r="O232" s="9" t="str">
        <f>IF($J232="","",SUMIFS(SummaryHelper!$G$2:$G$5000,SummaryHelper!$A$2:$A$5000,$I232,SummaryHelper!$B$2:$B$5000,$J232,SummaryHelper!$C$2:$C$5000,$K232))</f>
        <v/>
      </c>
      <c r="Q232" s="9" t="str">
        <f t="shared" si="42"/>
        <v/>
      </c>
      <c r="R232" s="9" t="str">
        <f t="shared" si="43"/>
        <v/>
      </c>
      <c r="W232" s="9" t="str">
        <f>IF($U232="","",IFERROR(SUMIFS(SummaryHelper!$H$2:$H$5000,SummaryHelper!$A$2:$A$5000,$T232,SummaryHelper!$B$2:$B$5000,$U232,SummaryHelper!$C$2:$C$5000,$V232)/SUMIFS(SummaryHelper!$G$2:$G$5000,SummaryHelper!$A$2:$A$5000,$T232,SummaryHelper!$B$2:$B$5000,$U232,SummaryHelper!$C$2:$C$5000,$V232),""))</f>
        <v/>
      </c>
      <c r="X232" s="9" t="str">
        <f>IF($U232="","",SUMIFS(SummaryHelper!$E$2:$E$5000,SummaryHelper!$A$2:$A$5000,$T232,SummaryHelper!$B$2:$B$5000,$U232,SummaryHelper!$C$2:$C$5000,$V232))</f>
        <v/>
      </c>
      <c r="Y232" s="9" t="str">
        <f>IF($U232="","",SUMIFS(SummaryHelper!$F$2:$F$5000,SummaryHelper!$A$2:$A$5000,$T232,SummaryHelper!$B$2:$B$5000,$U232,SummaryHelper!$C$2:$C$5000,$V232))</f>
        <v/>
      </c>
      <c r="Z232" s="9" t="str">
        <f>IF($U232="","",SUMIFS(SummaryHelper!$G$2:$G$5000,SummaryHelper!$A$2:$A$5000,$T232,SummaryHelper!$B$2:$B$5000,$U232,SummaryHelper!$C$2:$C$5000,$V232))</f>
        <v/>
      </c>
      <c r="AB232" s="9" t="str">
        <f t="shared" si="44"/>
        <v/>
      </c>
      <c r="AC232" s="9" t="str">
        <f t="shared" si="45"/>
        <v/>
      </c>
      <c r="AH232" t="str">
        <f>IF($AF232="","",IFERROR(SUMIFS(SummaryHelper!$H$2:$H$5000,SummaryHelper!$A$2:$A$5000,$AE232,SummaryHelper!$B$2:$B$5000,$AF232,SummaryHelper!$C$2:$C$5000,$AG232)/SUMIFS(SummaryHelper!$G$2:$G$5000,SummaryHelper!$A$2:$A$5000,$AE232,SummaryHelper!$B$2:$B$5000,$AF232,SummaryHelper!$C$2:$C$5000,$AG232),""))</f>
        <v/>
      </c>
      <c r="AI232" t="str">
        <f>IF($AF232="","",SUMIFS(SummaryHelper!$E$2:$E$5000,SummaryHelper!$A$2:$A$5000,$AE232,SummaryHelper!$B$2:$B$5000,$AF232,SummaryHelper!$C$2:$C$5000,$AG232))</f>
        <v/>
      </c>
      <c r="AJ232" t="str">
        <f>IF($AF232="","",SUMIFS(SummaryHelper!$F$2:$F$5000,SummaryHelper!$A$2:$A$5000,$AE232,SummaryHelper!$B$2:$B$5000,$AF232,SummaryHelper!$C$2:$C$5000,$AG232))</f>
        <v/>
      </c>
      <c r="AK232" t="str">
        <f>IF($AF232="","",SUMIFS(SummaryHelper!$G$2:$G$5000,SummaryHelper!$A$2:$A$5000,$AE232,SummaryHelper!$B$2:$B$5000,$AF232,SummaryHelper!$C$2:$C$5000,$AG232))</f>
        <v/>
      </c>
      <c r="AM232" t="str">
        <f t="shared" si="46"/>
        <v/>
      </c>
      <c r="AN232" t="str">
        <f t="shared" si="47"/>
        <v/>
      </c>
    </row>
    <row r="233" spans="1:40" x14ac:dyDescent="0.25">
      <c r="A233" s="12"/>
      <c r="B233" s="23" t="str">
        <f t="shared" si="48"/>
        <v/>
      </c>
      <c r="C233" s="9" t="str">
        <f t="shared" ca="1" si="37"/>
        <v/>
      </c>
      <c r="D233" s="9" t="str">
        <f t="shared" ca="1" si="38"/>
        <v/>
      </c>
      <c r="E233" s="9" t="str">
        <f t="shared" ca="1" si="39"/>
        <v/>
      </c>
      <c r="F233" s="9" t="str">
        <f t="shared" si="40"/>
        <v/>
      </c>
      <c r="G233" s="9">
        <f t="shared" si="41"/>
        <v>0</v>
      </c>
      <c r="L233" s="9" t="str">
        <f>IF($J233="","",IFERROR(SUMIFS(SummaryHelper!$H$2:$H$5000,SummaryHelper!$A$2:$A$5000,$I233,SummaryHelper!$B$2:$B$5000,$J233,SummaryHelper!$C$2:$C$5000,$K233)/SUMIFS(SummaryHelper!$G$2:$G$5000,SummaryHelper!$A$2:$A$5000,$I233,SummaryHelper!$B$2:$B$5000,$J233,SummaryHelper!$C$2:$C$5000,$K233),""))</f>
        <v/>
      </c>
      <c r="M233" s="9" t="str">
        <f>IF($J233="","",SUMIFS(SummaryHelper!$E$2:$E$5000,SummaryHelper!$A$2:$A$5000,$I233,SummaryHelper!$B$2:$B$5000,$J233,SummaryHelper!$C$2:$C$5000,$K233))</f>
        <v/>
      </c>
      <c r="N233" s="9" t="str">
        <f>IF($J233="","",SUMIFS(SummaryHelper!$F$2:$F$5000,SummaryHelper!$A$2:$A$5000,$I233,SummaryHelper!$B$2:$B$5000,$J233,SummaryHelper!$C$2:$C$5000,$K233))</f>
        <v/>
      </c>
      <c r="O233" s="9" t="str">
        <f>IF($J233="","",SUMIFS(SummaryHelper!$G$2:$G$5000,SummaryHelper!$A$2:$A$5000,$I233,SummaryHelper!$B$2:$B$5000,$J233,SummaryHelper!$C$2:$C$5000,$K233))</f>
        <v/>
      </c>
      <c r="Q233" s="9" t="str">
        <f t="shared" si="42"/>
        <v/>
      </c>
      <c r="R233" s="9" t="str">
        <f t="shared" si="43"/>
        <v/>
      </c>
      <c r="W233" s="9" t="str">
        <f>IF($U233="","",IFERROR(SUMIFS(SummaryHelper!$H$2:$H$5000,SummaryHelper!$A$2:$A$5000,$T233,SummaryHelper!$B$2:$B$5000,$U233,SummaryHelper!$C$2:$C$5000,$V233)/SUMIFS(SummaryHelper!$G$2:$G$5000,SummaryHelper!$A$2:$A$5000,$T233,SummaryHelper!$B$2:$B$5000,$U233,SummaryHelper!$C$2:$C$5000,$V233),""))</f>
        <v/>
      </c>
      <c r="X233" s="9" t="str">
        <f>IF($U233="","",SUMIFS(SummaryHelper!$E$2:$E$5000,SummaryHelper!$A$2:$A$5000,$T233,SummaryHelper!$B$2:$B$5000,$U233,SummaryHelper!$C$2:$C$5000,$V233))</f>
        <v/>
      </c>
      <c r="Y233" s="9" t="str">
        <f>IF($U233="","",SUMIFS(SummaryHelper!$F$2:$F$5000,SummaryHelper!$A$2:$A$5000,$T233,SummaryHelper!$B$2:$B$5000,$U233,SummaryHelper!$C$2:$C$5000,$V233))</f>
        <v/>
      </c>
      <c r="Z233" s="9" t="str">
        <f>IF($U233="","",SUMIFS(SummaryHelper!$G$2:$G$5000,SummaryHelper!$A$2:$A$5000,$T233,SummaryHelper!$B$2:$B$5000,$U233,SummaryHelper!$C$2:$C$5000,$V233))</f>
        <v/>
      </c>
      <c r="AB233" s="9" t="str">
        <f t="shared" si="44"/>
        <v/>
      </c>
      <c r="AC233" s="9" t="str">
        <f t="shared" si="45"/>
        <v/>
      </c>
      <c r="AH233" t="str">
        <f>IF($AF233="","",IFERROR(SUMIFS(SummaryHelper!$H$2:$H$5000,SummaryHelper!$A$2:$A$5000,$AE233,SummaryHelper!$B$2:$B$5000,$AF233,SummaryHelper!$C$2:$C$5000,$AG233)/SUMIFS(SummaryHelper!$G$2:$G$5000,SummaryHelper!$A$2:$A$5000,$AE233,SummaryHelper!$B$2:$B$5000,$AF233,SummaryHelper!$C$2:$C$5000,$AG233),""))</f>
        <v/>
      </c>
      <c r="AI233" t="str">
        <f>IF($AF233="","",SUMIFS(SummaryHelper!$E$2:$E$5000,SummaryHelper!$A$2:$A$5000,$AE233,SummaryHelper!$B$2:$B$5000,$AF233,SummaryHelper!$C$2:$C$5000,$AG233))</f>
        <v/>
      </c>
      <c r="AJ233" t="str">
        <f>IF($AF233="","",SUMIFS(SummaryHelper!$F$2:$F$5000,SummaryHelper!$A$2:$A$5000,$AE233,SummaryHelper!$B$2:$B$5000,$AF233,SummaryHelper!$C$2:$C$5000,$AG233))</f>
        <v/>
      </c>
      <c r="AK233" t="str">
        <f>IF($AF233="","",SUMIFS(SummaryHelper!$G$2:$G$5000,SummaryHelper!$A$2:$A$5000,$AE233,SummaryHelper!$B$2:$B$5000,$AF233,SummaryHelper!$C$2:$C$5000,$AG233))</f>
        <v/>
      </c>
      <c r="AM233" t="str">
        <f t="shared" si="46"/>
        <v/>
      </c>
      <c r="AN233" t="str">
        <f t="shared" si="47"/>
        <v/>
      </c>
    </row>
    <row r="234" spans="1:40" x14ac:dyDescent="0.25">
      <c r="A234" s="12"/>
      <c r="B234" s="23" t="str">
        <f t="shared" si="48"/>
        <v/>
      </c>
      <c r="C234" s="9" t="str">
        <f t="shared" ca="1" si="37"/>
        <v/>
      </c>
      <c r="D234" s="9" t="str">
        <f t="shared" ca="1" si="38"/>
        <v/>
      </c>
      <c r="E234" s="9" t="str">
        <f t="shared" ca="1" si="39"/>
        <v/>
      </c>
      <c r="F234" s="9" t="str">
        <f t="shared" si="40"/>
        <v/>
      </c>
      <c r="G234" s="9">
        <f t="shared" si="41"/>
        <v>0</v>
      </c>
      <c r="L234" s="9" t="str">
        <f>IF($J234="","",IFERROR(SUMIFS(SummaryHelper!$H$2:$H$5000,SummaryHelper!$A$2:$A$5000,$I234,SummaryHelper!$B$2:$B$5000,$J234,SummaryHelper!$C$2:$C$5000,$K234)/SUMIFS(SummaryHelper!$G$2:$G$5000,SummaryHelper!$A$2:$A$5000,$I234,SummaryHelper!$B$2:$B$5000,$J234,SummaryHelper!$C$2:$C$5000,$K234),""))</f>
        <v/>
      </c>
      <c r="M234" s="9" t="str">
        <f>IF($J234="","",SUMIFS(SummaryHelper!$E$2:$E$5000,SummaryHelper!$A$2:$A$5000,$I234,SummaryHelper!$B$2:$B$5000,$J234,SummaryHelper!$C$2:$C$5000,$K234))</f>
        <v/>
      </c>
      <c r="N234" s="9" t="str">
        <f>IF($J234="","",SUMIFS(SummaryHelper!$F$2:$F$5000,SummaryHelper!$A$2:$A$5000,$I234,SummaryHelper!$B$2:$B$5000,$J234,SummaryHelper!$C$2:$C$5000,$K234))</f>
        <v/>
      </c>
      <c r="O234" s="9" t="str">
        <f>IF($J234="","",SUMIFS(SummaryHelper!$G$2:$G$5000,SummaryHelper!$A$2:$A$5000,$I234,SummaryHelper!$B$2:$B$5000,$J234,SummaryHelper!$C$2:$C$5000,$K234))</f>
        <v/>
      </c>
      <c r="Q234" s="9" t="str">
        <f t="shared" si="42"/>
        <v/>
      </c>
      <c r="R234" s="9" t="str">
        <f t="shared" si="43"/>
        <v/>
      </c>
      <c r="W234" s="9" t="str">
        <f>IF($U234="","",IFERROR(SUMIFS(SummaryHelper!$H$2:$H$5000,SummaryHelper!$A$2:$A$5000,$T234,SummaryHelper!$B$2:$B$5000,$U234,SummaryHelper!$C$2:$C$5000,$V234)/SUMIFS(SummaryHelper!$G$2:$G$5000,SummaryHelper!$A$2:$A$5000,$T234,SummaryHelper!$B$2:$B$5000,$U234,SummaryHelper!$C$2:$C$5000,$V234),""))</f>
        <v/>
      </c>
      <c r="X234" s="9" t="str">
        <f>IF($U234="","",SUMIFS(SummaryHelper!$E$2:$E$5000,SummaryHelper!$A$2:$A$5000,$T234,SummaryHelper!$B$2:$B$5000,$U234,SummaryHelper!$C$2:$C$5000,$V234))</f>
        <v/>
      </c>
      <c r="Y234" s="9" t="str">
        <f>IF($U234="","",SUMIFS(SummaryHelper!$F$2:$F$5000,SummaryHelper!$A$2:$A$5000,$T234,SummaryHelper!$B$2:$B$5000,$U234,SummaryHelper!$C$2:$C$5000,$V234))</f>
        <v/>
      </c>
      <c r="Z234" s="9" t="str">
        <f>IF($U234="","",SUMIFS(SummaryHelper!$G$2:$G$5000,SummaryHelper!$A$2:$A$5000,$T234,SummaryHelper!$B$2:$B$5000,$U234,SummaryHelper!$C$2:$C$5000,$V234))</f>
        <v/>
      </c>
      <c r="AB234" s="9" t="str">
        <f t="shared" si="44"/>
        <v/>
      </c>
      <c r="AC234" s="9" t="str">
        <f t="shared" si="45"/>
        <v/>
      </c>
      <c r="AH234" t="str">
        <f>IF($AF234="","",IFERROR(SUMIFS(SummaryHelper!$H$2:$H$5000,SummaryHelper!$A$2:$A$5000,$AE234,SummaryHelper!$B$2:$B$5000,$AF234,SummaryHelper!$C$2:$C$5000,$AG234)/SUMIFS(SummaryHelper!$G$2:$G$5000,SummaryHelper!$A$2:$A$5000,$AE234,SummaryHelper!$B$2:$B$5000,$AF234,SummaryHelper!$C$2:$C$5000,$AG234),""))</f>
        <v/>
      </c>
      <c r="AI234" t="str">
        <f>IF($AF234="","",SUMIFS(SummaryHelper!$E$2:$E$5000,SummaryHelper!$A$2:$A$5000,$AE234,SummaryHelper!$B$2:$B$5000,$AF234,SummaryHelper!$C$2:$C$5000,$AG234))</f>
        <v/>
      </c>
      <c r="AJ234" t="str">
        <f>IF($AF234="","",SUMIFS(SummaryHelper!$F$2:$F$5000,SummaryHelper!$A$2:$A$5000,$AE234,SummaryHelper!$B$2:$B$5000,$AF234,SummaryHelper!$C$2:$C$5000,$AG234))</f>
        <v/>
      </c>
      <c r="AK234" t="str">
        <f>IF($AF234="","",SUMIFS(SummaryHelper!$G$2:$G$5000,SummaryHelper!$A$2:$A$5000,$AE234,SummaryHelper!$B$2:$B$5000,$AF234,SummaryHelper!$C$2:$C$5000,$AG234))</f>
        <v/>
      </c>
      <c r="AM234" t="str">
        <f t="shared" si="46"/>
        <v/>
      </c>
      <c r="AN234" t="str">
        <f t="shared" si="47"/>
        <v/>
      </c>
    </row>
    <row r="235" spans="1:40" x14ac:dyDescent="0.25">
      <c r="A235" s="12"/>
      <c r="B235" s="23" t="str">
        <f t="shared" si="48"/>
        <v/>
      </c>
      <c r="C235" s="9" t="str">
        <f t="shared" ca="1" si="37"/>
        <v/>
      </c>
      <c r="D235" s="9" t="str">
        <f t="shared" ca="1" si="38"/>
        <v/>
      </c>
      <c r="E235" s="9" t="str">
        <f t="shared" ca="1" si="39"/>
        <v/>
      </c>
      <c r="F235" s="9" t="str">
        <f t="shared" si="40"/>
        <v/>
      </c>
      <c r="G235" s="9">
        <f t="shared" si="41"/>
        <v>0</v>
      </c>
      <c r="L235" s="9" t="str">
        <f>IF($J235="","",IFERROR(SUMIFS(SummaryHelper!$H$2:$H$5000,SummaryHelper!$A$2:$A$5000,$I235,SummaryHelper!$B$2:$B$5000,$J235,SummaryHelper!$C$2:$C$5000,$K235)/SUMIFS(SummaryHelper!$G$2:$G$5000,SummaryHelper!$A$2:$A$5000,$I235,SummaryHelper!$B$2:$B$5000,$J235,SummaryHelper!$C$2:$C$5000,$K235),""))</f>
        <v/>
      </c>
      <c r="M235" s="9" t="str">
        <f>IF($J235="","",SUMIFS(SummaryHelper!$E$2:$E$5000,SummaryHelper!$A$2:$A$5000,$I235,SummaryHelper!$B$2:$B$5000,$J235,SummaryHelper!$C$2:$C$5000,$K235))</f>
        <v/>
      </c>
      <c r="N235" s="9" t="str">
        <f>IF($J235="","",SUMIFS(SummaryHelper!$F$2:$F$5000,SummaryHelper!$A$2:$A$5000,$I235,SummaryHelper!$B$2:$B$5000,$J235,SummaryHelper!$C$2:$C$5000,$K235))</f>
        <v/>
      </c>
      <c r="O235" s="9" t="str">
        <f>IF($J235="","",SUMIFS(SummaryHelper!$G$2:$G$5000,SummaryHelper!$A$2:$A$5000,$I235,SummaryHelper!$B$2:$B$5000,$J235,SummaryHelper!$C$2:$C$5000,$K235))</f>
        <v/>
      </c>
      <c r="Q235" s="9" t="str">
        <f t="shared" si="42"/>
        <v/>
      </c>
      <c r="R235" s="9" t="str">
        <f t="shared" si="43"/>
        <v/>
      </c>
      <c r="W235" s="9" t="str">
        <f>IF($U235="","",IFERROR(SUMIFS(SummaryHelper!$H$2:$H$5000,SummaryHelper!$A$2:$A$5000,$T235,SummaryHelper!$B$2:$B$5000,$U235,SummaryHelper!$C$2:$C$5000,$V235)/SUMIFS(SummaryHelper!$G$2:$G$5000,SummaryHelper!$A$2:$A$5000,$T235,SummaryHelper!$B$2:$B$5000,$U235,SummaryHelper!$C$2:$C$5000,$V235),""))</f>
        <v/>
      </c>
      <c r="X235" s="9" t="str">
        <f>IF($U235="","",SUMIFS(SummaryHelper!$E$2:$E$5000,SummaryHelper!$A$2:$A$5000,$T235,SummaryHelper!$B$2:$B$5000,$U235,SummaryHelper!$C$2:$C$5000,$V235))</f>
        <v/>
      </c>
      <c r="Y235" s="9" t="str">
        <f>IF($U235="","",SUMIFS(SummaryHelper!$F$2:$F$5000,SummaryHelper!$A$2:$A$5000,$T235,SummaryHelper!$B$2:$B$5000,$U235,SummaryHelper!$C$2:$C$5000,$V235))</f>
        <v/>
      </c>
      <c r="Z235" s="9" t="str">
        <f>IF($U235="","",SUMIFS(SummaryHelper!$G$2:$G$5000,SummaryHelper!$A$2:$A$5000,$T235,SummaryHelper!$B$2:$B$5000,$U235,SummaryHelper!$C$2:$C$5000,$V235))</f>
        <v/>
      </c>
      <c r="AB235" s="9" t="str">
        <f t="shared" si="44"/>
        <v/>
      </c>
      <c r="AC235" s="9" t="str">
        <f t="shared" si="45"/>
        <v/>
      </c>
      <c r="AH235" t="str">
        <f>IF($AF235="","",IFERROR(SUMIFS(SummaryHelper!$H$2:$H$5000,SummaryHelper!$A$2:$A$5000,$AE235,SummaryHelper!$B$2:$B$5000,$AF235,SummaryHelper!$C$2:$C$5000,$AG235)/SUMIFS(SummaryHelper!$G$2:$G$5000,SummaryHelper!$A$2:$A$5000,$AE235,SummaryHelper!$B$2:$B$5000,$AF235,SummaryHelper!$C$2:$C$5000,$AG235),""))</f>
        <v/>
      </c>
      <c r="AI235" t="str">
        <f>IF($AF235="","",SUMIFS(SummaryHelper!$E$2:$E$5000,SummaryHelper!$A$2:$A$5000,$AE235,SummaryHelper!$B$2:$B$5000,$AF235,SummaryHelper!$C$2:$C$5000,$AG235))</f>
        <v/>
      </c>
      <c r="AJ235" t="str">
        <f>IF($AF235="","",SUMIFS(SummaryHelper!$F$2:$F$5000,SummaryHelper!$A$2:$A$5000,$AE235,SummaryHelper!$B$2:$B$5000,$AF235,SummaryHelper!$C$2:$C$5000,$AG235))</f>
        <v/>
      </c>
      <c r="AK235" t="str">
        <f>IF($AF235="","",SUMIFS(SummaryHelper!$G$2:$G$5000,SummaryHelper!$A$2:$A$5000,$AE235,SummaryHelper!$B$2:$B$5000,$AF235,SummaryHelper!$C$2:$C$5000,$AG235))</f>
        <v/>
      </c>
      <c r="AM235" t="str">
        <f t="shared" si="46"/>
        <v/>
      </c>
      <c r="AN235" t="str">
        <f t="shared" si="47"/>
        <v/>
      </c>
    </row>
    <row r="236" spans="1:40" x14ac:dyDescent="0.25">
      <c r="A236" s="12"/>
      <c r="B236" s="23" t="str">
        <f t="shared" si="48"/>
        <v/>
      </c>
      <c r="C236" s="9" t="str">
        <f t="shared" ca="1" si="37"/>
        <v/>
      </c>
      <c r="D236" s="9" t="str">
        <f t="shared" ca="1" si="38"/>
        <v/>
      </c>
      <c r="E236" s="9" t="str">
        <f t="shared" ca="1" si="39"/>
        <v/>
      </c>
      <c r="F236" s="9" t="str">
        <f t="shared" si="40"/>
        <v/>
      </c>
      <c r="G236" s="9">
        <f t="shared" si="41"/>
        <v>0</v>
      </c>
      <c r="L236" s="9" t="str">
        <f>IF($J236="","",IFERROR(SUMIFS(SummaryHelper!$H$2:$H$5000,SummaryHelper!$A$2:$A$5000,$I236,SummaryHelper!$B$2:$B$5000,$J236,SummaryHelper!$C$2:$C$5000,$K236)/SUMIFS(SummaryHelper!$G$2:$G$5000,SummaryHelper!$A$2:$A$5000,$I236,SummaryHelper!$B$2:$B$5000,$J236,SummaryHelper!$C$2:$C$5000,$K236),""))</f>
        <v/>
      </c>
      <c r="M236" s="9" t="str">
        <f>IF($J236="","",SUMIFS(SummaryHelper!$E$2:$E$5000,SummaryHelper!$A$2:$A$5000,$I236,SummaryHelper!$B$2:$B$5000,$J236,SummaryHelper!$C$2:$C$5000,$K236))</f>
        <v/>
      </c>
      <c r="N236" s="9" t="str">
        <f>IF($J236="","",SUMIFS(SummaryHelper!$F$2:$F$5000,SummaryHelper!$A$2:$A$5000,$I236,SummaryHelper!$B$2:$B$5000,$J236,SummaryHelper!$C$2:$C$5000,$K236))</f>
        <v/>
      </c>
      <c r="O236" s="9" t="str">
        <f>IF($J236="","",SUMIFS(SummaryHelper!$G$2:$G$5000,SummaryHelper!$A$2:$A$5000,$I236,SummaryHelper!$B$2:$B$5000,$J236,SummaryHelper!$C$2:$C$5000,$K236))</f>
        <v/>
      </c>
      <c r="Q236" s="9" t="str">
        <f t="shared" si="42"/>
        <v/>
      </c>
      <c r="R236" s="9" t="str">
        <f t="shared" si="43"/>
        <v/>
      </c>
      <c r="W236" s="9" t="str">
        <f>IF($U236="","",IFERROR(SUMIFS(SummaryHelper!$H$2:$H$5000,SummaryHelper!$A$2:$A$5000,$T236,SummaryHelper!$B$2:$B$5000,$U236,SummaryHelper!$C$2:$C$5000,$V236)/SUMIFS(SummaryHelper!$G$2:$G$5000,SummaryHelper!$A$2:$A$5000,$T236,SummaryHelper!$B$2:$B$5000,$U236,SummaryHelper!$C$2:$C$5000,$V236),""))</f>
        <v/>
      </c>
      <c r="X236" s="9" t="str">
        <f>IF($U236="","",SUMIFS(SummaryHelper!$E$2:$E$5000,SummaryHelper!$A$2:$A$5000,$T236,SummaryHelper!$B$2:$B$5000,$U236,SummaryHelper!$C$2:$C$5000,$V236))</f>
        <v/>
      </c>
      <c r="Y236" s="9" t="str">
        <f>IF($U236="","",SUMIFS(SummaryHelper!$F$2:$F$5000,SummaryHelper!$A$2:$A$5000,$T236,SummaryHelper!$B$2:$B$5000,$U236,SummaryHelper!$C$2:$C$5000,$V236))</f>
        <v/>
      </c>
      <c r="Z236" s="9" t="str">
        <f>IF($U236="","",SUMIFS(SummaryHelper!$G$2:$G$5000,SummaryHelper!$A$2:$A$5000,$T236,SummaryHelper!$B$2:$B$5000,$U236,SummaryHelper!$C$2:$C$5000,$V236))</f>
        <v/>
      </c>
      <c r="AB236" s="9" t="str">
        <f t="shared" si="44"/>
        <v/>
      </c>
      <c r="AC236" s="9" t="str">
        <f t="shared" si="45"/>
        <v/>
      </c>
      <c r="AH236" t="str">
        <f>IF($AF236="","",IFERROR(SUMIFS(SummaryHelper!$H$2:$H$5000,SummaryHelper!$A$2:$A$5000,$AE236,SummaryHelper!$B$2:$B$5000,$AF236,SummaryHelper!$C$2:$C$5000,$AG236)/SUMIFS(SummaryHelper!$G$2:$G$5000,SummaryHelper!$A$2:$A$5000,$AE236,SummaryHelper!$B$2:$B$5000,$AF236,SummaryHelper!$C$2:$C$5000,$AG236),""))</f>
        <v/>
      </c>
      <c r="AI236" t="str">
        <f>IF($AF236="","",SUMIFS(SummaryHelper!$E$2:$E$5000,SummaryHelper!$A$2:$A$5000,$AE236,SummaryHelper!$B$2:$B$5000,$AF236,SummaryHelper!$C$2:$C$5000,$AG236))</f>
        <v/>
      </c>
      <c r="AJ236" t="str">
        <f>IF($AF236="","",SUMIFS(SummaryHelper!$F$2:$F$5000,SummaryHelper!$A$2:$A$5000,$AE236,SummaryHelper!$B$2:$B$5000,$AF236,SummaryHelper!$C$2:$C$5000,$AG236))</f>
        <v/>
      </c>
      <c r="AK236" t="str">
        <f>IF($AF236="","",SUMIFS(SummaryHelper!$G$2:$G$5000,SummaryHelper!$A$2:$A$5000,$AE236,SummaryHelper!$B$2:$B$5000,$AF236,SummaryHelper!$C$2:$C$5000,$AG236))</f>
        <v/>
      </c>
      <c r="AM236" t="str">
        <f t="shared" si="46"/>
        <v/>
      </c>
      <c r="AN236" t="str">
        <f t="shared" si="47"/>
        <v/>
      </c>
    </row>
    <row r="237" spans="1:40" x14ac:dyDescent="0.25">
      <c r="A237" s="12"/>
      <c r="B237" s="23" t="str">
        <f t="shared" si="48"/>
        <v/>
      </c>
      <c r="C237" s="9" t="str">
        <f t="shared" ca="1" si="37"/>
        <v/>
      </c>
      <c r="D237" s="9" t="str">
        <f t="shared" ca="1" si="38"/>
        <v/>
      </c>
      <c r="E237" s="9" t="str">
        <f t="shared" ca="1" si="39"/>
        <v/>
      </c>
      <c r="F237" s="9" t="str">
        <f t="shared" si="40"/>
        <v/>
      </c>
      <c r="G237" s="9">
        <f t="shared" si="41"/>
        <v>0</v>
      </c>
      <c r="L237" s="9" t="str">
        <f>IF($J237="","",IFERROR(SUMIFS(SummaryHelper!$H$2:$H$5000,SummaryHelper!$A$2:$A$5000,$I237,SummaryHelper!$B$2:$B$5000,$J237,SummaryHelper!$C$2:$C$5000,$K237)/SUMIFS(SummaryHelper!$G$2:$G$5000,SummaryHelper!$A$2:$A$5000,$I237,SummaryHelper!$B$2:$B$5000,$J237,SummaryHelper!$C$2:$C$5000,$K237),""))</f>
        <v/>
      </c>
      <c r="M237" s="9" t="str">
        <f>IF($J237="","",SUMIFS(SummaryHelper!$E$2:$E$5000,SummaryHelper!$A$2:$A$5000,$I237,SummaryHelper!$B$2:$B$5000,$J237,SummaryHelper!$C$2:$C$5000,$K237))</f>
        <v/>
      </c>
      <c r="N237" s="9" t="str">
        <f>IF($J237="","",SUMIFS(SummaryHelper!$F$2:$F$5000,SummaryHelper!$A$2:$A$5000,$I237,SummaryHelper!$B$2:$B$5000,$J237,SummaryHelper!$C$2:$C$5000,$K237))</f>
        <v/>
      </c>
      <c r="O237" s="9" t="str">
        <f>IF($J237="","",SUMIFS(SummaryHelper!$G$2:$G$5000,SummaryHelper!$A$2:$A$5000,$I237,SummaryHelper!$B$2:$B$5000,$J237,SummaryHelper!$C$2:$C$5000,$K237))</f>
        <v/>
      </c>
      <c r="Q237" s="9" t="str">
        <f t="shared" si="42"/>
        <v/>
      </c>
      <c r="R237" s="9" t="str">
        <f t="shared" si="43"/>
        <v/>
      </c>
      <c r="W237" s="9" t="str">
        <f>IF($U237="","",IFERROR(SUMIFS(SummaryHelper!$H$2:$H$5000,SummaryHelper!$A$2:$A$5000,$T237,SummaryHelper!$B$2:$B$5000,$U237,SummaryHelper!$C$2:$C$5000,$V237)/SUMIFS(SummaryHelper!$G$2:$G$5000,SummaryHelper!$A$2:$A$5000,$T237,SummaryHelper!$B$2:$B$5000,$U237,SummaryHelper!$C$2:$C$5000,$V237),""))</f>
        <v/>
      </c>
      <c r="X237" s="9" t="str">
        <f>IF($U237="","",SUMIFS(SummaryHelper!$E$2:$E$5000,SummaryHelper!$A$2:$A$5000,$T237,SummaryHelper!$B$2:$B$5000,$U237,SummaryHelper!$C$2:$C$5000,$V237))</f>
        <v/>
      </c>
      <c r="Y237" s="9" t="str">
        <f>IF($U237="","",SUMIFS(SummaryHelper!$F$2:$F$5000,SummaryHelper!$A$2:$A$5000,$T237,SummaryHelper!$B$2:$B$5000,$U237,SummaryHelper!$C$2:$C$5000,$V237))</f>
        <v/>
      </c>
      <c r="Z237" s="9" t="str">
        <f>IF($U237="","",SUMIFS(SummaryHelper!$G$2:$G$5000,SummaryHelper!$A$2:$A$5000,$T237,SummaryHelper!$B$2:$B$5000,$U237,SummaryHelper!$C$2:$C$5000,$V237))</f>
        <v/>
      </c>
      <c r="AB237" s="9" t="str">
        <f t="shared" si="44"/>
        <v/>
      </c>
      <c r="AC237" s="9" t="str">
        <f t="shared" si="45"/>
        <v/>
      </c>
      <c r="AH237" t="str">
        <f>IF($AF237="","",IFERROR(SUMIFS(SummaryHelper!$H$2:$H$5000,SummaryHelper!$A$2:$A$5000,$AE237,SummaryHelper!$B$2:$B$5000,$AF237,SummaryHelper!$C$2:$C$5000,$AG237)/SUMIFS(SummaryHelper!$G$2:$G$5000,SummaryHelper!$A$2:$A$5000,$AE237,SummaryHelper!$B$2:$B$5000,$AF237,SummaryHelper!$C$2:$C$5000,$AG237),""))</f>
        <v/>
      </c>
      <c r="AI237" t="str">
        <f>IF($AF237="","",SUMIFS(SummaryHelper!$E$2:$E$5000,SummaryHelper!$A$2:$A$5000,$AE237,SummaryHelper!$B$2:$B$5000,$AF237,SummaryHelper!$C$2:$C$5000,$AG237))</f>
        <v/>
      </c>
      <c r="AJ237" t="str">
        <f>IF($AF237="","",SUMIFS(SummaryHelper!$F$2:$F$5000,SummaryHelper!$A$2:$A$5000,$AE237,SummaryHelper!$B$2:$B$5000,$AF237,SummaryHelper!$C$2:$C$5000,$AG237))</f>
        <v/>
      </c>
      <c r="AK237" t="str">
        <f>IF($AF237="","",SUMIFS(SummaryHelper!$G$2:$G$5000,SummaryHelper!$A$2:$A$5000,$AE237,SummaryHelper!$B$2:$B$5000,$AF237,SummaryHelper!$C$2:$C$5000,$AG237))</f>
        <v/>
      </c>
      <c r="AM237" t="str">
        <f t="shared" si="46"/>
        <v/>
      </c>
      <c r="AN237" t="str">
        <f t="shared" si="47"/>
        <v/>
      </c>
    </row>
    <row r="238" spans="1:40" x14ac:dyDescent="0.25">
      <c r="A238" s="12"/>
      <c r="B238" s="23" t="str">
        <f t="shared" si="48"/>
        <v/>
      </c>
      <c r="C238" s="9" t="str">
        <f t="shared" ca="1" si="37"/>
        <v/>
      </c>
      <c r="D238" s="9" t="str">
        <f t="shared" ca="1" si="38"/>
        <v/>
      </c>
      <c r="E238" s="9" t="str">
        <f t="shared" ca="1" si="39"/>
        <v/>
      </c>
      <c r="F238" s="9" t="str">
        <f t="shared" si="40"/>
        <v/>
      </c>
      <c r="G238" s="9">
        <f t="shared" si="41"/>
        <v>0</v>
      </c>
      <c r="L238" s="9" t="str">
        <f>IF($J238="","",IFERROR(SUMIFS(SummaryHelper!$H$2:$H$5000,SummaryHelper!$A$2:$A$5000,$I238,SummaryHelper!$B$2:$B$5000,$J238,SummaryHelper!$C$2:$C$5000,$K238)/SUMIFS(SummaryHelper!$G$2:$G$5000,SummaryHelper!$A$2:$A$5000,$I238,SummaryHelper!$B$2:$B$5000,$J238,SummaryHelper!$C$2:$C$5000,$K238),""))</f>
        <v/>
      </c>
      <c r="M238" s="9" t="str">
        <f>IF($J238="","",SUMIFS(SummaryHelper!$E$2:$E$5000,SummaryHelper!$A$2:$A$5000,$I238,SummaryHelper!$B$2:$B$5000,$J238,SummaryHelper!$C$2:$C$5000,$K238))</f>
        <v/>
      </c>
      <c r="N238" s="9" t="str">
        <f>IF($J238="","",SUMIFS(SummaryHelper!$F$2:$F$5000,SummaryHelper!$A$2:$A$5000,$I238,SummaryHelper!$B$2:$B$5000,$J238,SummaryHelper!$C$2:$C$5000,$K238))</f>
        <v/>
      </c>
      <c r="O238" s="9" t="str">
        <f>IF($J238="","",SUMIFS(SummaryHelper!$G$2:$G$5000,SummaryHelper!$A$2:$A$5000,$I238,SummaryHelper!$B$2:$B$5000,$J238,SummaryHelper!$C$2:$C$5000,$K238))</f>
        <v/>
      </c>
      <c r="Q238" s="9" t="str">
        <f t="shared" si="42"/>
        <v/>
      </c>
      <c r="R238" s="9" t="str">
        <f t="shared" si="43"/>
        <v/>
      </c>
      <c r="W238" s="9" t="str">
        <f>IF($U238="","",IFERROR(SUMIFS(SummaryHelper!$H$2:$H$5000,SummaryHelper!$A$2:$A$5000,$T238,SummaryHelper!$B$2:$B$5000,$U238,SummaryHelper!$C$2:$C$5000,$V238)/SUMIFS(SummaryHelper!$G$2:$G$5000,SummaryHelper!$A$2:$A$5000,$T238,SummaryHelper!$B$2:$B$5000,$U238,SummaryHelper!$C$2:$C$5000,$V238),""))</f>
        <v/>
      </c>
      <c r="X238" s="9" t="str">
        <f>IF($U238="","",SUMIFS(SummaryHelper!$E$2:$E$5000,SummaryHelper!$A$2:$A$5000,$T238,SummaryHelper!$B$2:$B$5000,$U238,SummaryHelper!$C$2:$C$5000,$V238))</f>
        <v/>
      </c>
      <c r="Y238" s="9" t="str">
        <f>IF($U238="","",SUMIFS(SummaryHelper!$F$2:$F$5000,SummaryHelper!$A$2:$A$5000,$T238,SummaryHelper!$B$2:$B$5000,$U238,SummaryHelper!$C$2:$C$5000,$V238))</f>
        <v/>
      </c>
      <c r="Z238" s="9" t="str">
        <f>IF($U238="","",SUMIFS(SummaryHelper!$G$2:$G$5000,SummaryHelper!$A$2:$A$5000,$T238,SummaryHelper!$B$2:$B$5000,$U238,SummaryHelper!$C$2:$C$5000,$V238))</f>
        <v/>
      </c>
      <c r="AB238" s="9" t="str">
        <f t="shared" si="44"/>
        <v/>
      </c>
      <c r="AC238" s="9" t="str">
        <f t="shared" si="45"/>
        <v/>
      </c>
      <c r="AH238" t="str">
        <f>IF($AF238="","",IFERROR(SUMIFS(SummaryHelper!$H$2:$H$5000,SummaryHelper!$A$2:$A$5000,$AE238,SummaryHelper!$B$2:$B$5000,$AF238,SummaryHelper!$C$2:$C$5000,$AG238)/SUMIFS(SummaryHelper!$G$2:$G$5000,SummaryHelper!$A$2:$A$5000,$AE238,SummaryHelper!$B$2:$B$5000,$AF238,SummaryHelper!$C$2:$C$5000,$AG238),""))</f>
        <v/>
      </c>
      <c r="AI238" t="str">
        <f>IF($AF238="","",SUMIFS(SummaryHelper!$E$2:$E$5000,SummaryHelper!$A$2:$A$5000,$AE238,SummaryHelper!$B$2:$B$5000,$AF238,SummaryHelper!$C$2:$C$5000,$AG238))</f>
        <v/>
      </c>
      <c r="AJ238" t="str">
        <f>IF($AF238="","",SUMIFS(SummaryHelper!$F$2:$F$5000,SummaryHelper!$A$2:$A$5000,$AE238,SummaryHelper!$B$2:$B$5000,$AF238,SummaryHelper!$C$2:$C$5000,$AG238))</f>
        <v/>
      </c>
      <c r="AK238" t="str">
        <f>IF($AF238="","",SUMIFS(SummaryHelper!$G$2:$G$5000,SummaryHelper!$A$2:$A$5000,$AE238,SummaryHelper!$B$2:$B$5000,$AF238,SummaryHelper!$C$2:$C$5000,$AG238))</f>
        <v/>
      </c>
      <c r="AM238" t="str">
        <f t="shared" si="46"/>
        <v/>
      </c>
      <c r="AN238" t="str">
        <f t="shared" si="47"/>
        <v/>
      </c>
    </row>
    <row r="239" spans="1:40" x14ac:dyDescent="0.25">
      <c r="A239" s="12"/>
      <c r="B239" s="23" t="str">
        <f t="shared" si="48"/>
        <v/>
      </c>
      <c r="C239" s="9" t="str">
        <f t="shared" ca="1" si="37"/>
        <v/>
      </c>
      <c r="D239" s="9" t="str">
        <f t="shared" ca="1" si="38"/>
        <v/>
      </c>
      <c r="E239" s="9" t="str">
        <f t="shared" ca="1" si="39"/>
        <v/>
      </c>
      <c r="F239" s="9" t="str">
        <f t="shared" si="40"/>
        <v/>
      </c>
      <c r="G239" s="9">
        <f t="shared" si="41"/>
        <v>0</v>
      </c>
      <c r="L239" s="9" t="str">
        <f>IF($J239="","",IFERROR(SUMIFS(SummaryHelper!$H$2:$H$5000,SummaryHelper!$A$2:$A$5000,$I239,SummaryHelper!$B$2:$B$5000,$J239,SummaryHelper!$C$2:$C$5000,$K239)/SUMIFS(SummaryHelper!$G$2:$G$5000,SummaryHelper!$A$2:$A$5000,$I239,SummaryHelper!$B$2:$B$5000,$J239,SummaryHelper!$C$2:$C$5000,$K239),""))</f>
        <v/>
      </c>
      <c r="M239" s="9" t="str">
        <f>IF($J239="","",SUMIFS(SummaryHelper!$E$2:$E$5000,SummaryHelper!$A$2:$A$5000,$I239,SummaryHelper!$B$2:$B$5000,$J239,SummaryHelper!$C$2:$C$5000,$K239))</f>
        <v/>
      </c>
      <c r="N239" s="9" t="str">
        <f>IF($J239="","",SUMIFS(SummaryHelper!$F$2:$F$5000,SummaryHelper!$A$2:$A$5000,$I239,SummaryHelper!$B$2:$B$5000,$J239,SummaryHelper!$C$2:$C$5000,$K239))</f>
        <v/>
      </c>
      <c r="O239" s="9" t="str">
        <f>IF($J239="","",SUMIFS(SummaryHelper!$G$2:$G$5000,SummaryHelper!$A$2:$A$5000,$I239,SummaryHelper!$B$2:$B$5000,$J239,SummaryHelper!$C$2:$C$5000,$K239))</f>
        <v/>
      </c>
      <c r="Q239" s="9" t="str">
        <f t="shared" si="42"/>
        <v/>
      </c>
      <c r="R239" s="9" t="str">
        <f t="shared" si="43"/>
        <v/>
      </c>
      <c r="W239" s="9" t="str">
        <f>IF($U239="","",IFERROR(SUMIFS(SummaryHelper!$H$2:$H$5000,SummaryHelper!$A$2:$A$5000,$T239,SummaryHelper!$B$2:$B$5000,$U239,SummaryHelper!$C$2:$C$5000,$V239)/SUMIFS(SummaryHelper!$G$2:$G$5000,SummaryHelper!$A$2:$A$5000,$T239,SummaryHelper!$B$2:$B$5000,$U239,SummaryHelper!$C$2:$C$5000,$V239),""))</f>
        <v/>
      </c>
      <c r="X239" s="9" t="str">
        <f>IF($U239="","",SUMIFS(SummaryHelper!$E$2:$E$5000,SummaryHelper!$A$2:$A$5000,$T239,SummaryHelper!$B$2:$B$5000,$U239,SummaryHelper!$C$2:$C$5000,$V239))</f>
        <v/>
      </c>
      <c r="Y239" s="9" t="str">
        <f>IF($U239="","",SUMIFS(SummaryHelper!$F$2:$F$5000,SummaryHelper!$A$2:$A$5000,$T239,SummaryHelper!$B$2:$B$5000,$U239,SummaryHelper!$C$2:$C$5000,$V239))</f>
        <v/>
      </c>
      <c r="Z239" s="9" t="str">
        <f>IF($U239="","",SUMIFS(SummaryHelper!$G$2:$G$5000,SummaryHelper!$A$2:$A$5000,$T239,SummaryHelper!$B$2:$B$5000,$U239,SummaryHelper!$C$2:$C$5000,$V239))</f>
        <v/>
      </c>
      <c r="AB239" s="9" t="str">
        <f t="shared" si="44"/>
        <v/>
      </c>
      <c r="AC239" s="9" t="str">
        <f t="shared" si="45"/>
        <v/>
      </c>
      <c r="AH239" t="str">
        <f>IF($AF239="","",IFERROR(SUMIFS(SummaryHelper!$H$2:$H$5000,SummaryHelper!$A$2:$A$5000,$AE239,SummaryHelper!$B$2:$B$5000,$AF239,SummaryHelper!$C$2:$C$5000,$AG239)/SUMIFS(SummaryHelper!$G$2:$G$5000,SummaryHelper!$A$2:$A$5000,$AE239,SummaryHelper!$B$2:$B$5000,$AF239,SummaryHelper!$C$2:$C$5000,$AG239),""))</f>
        <v/>
      </c>
      <c r="AI239" t="str">
        <f>IF($AF239="","",SUMIFS(SummaryHelper!$E$2:$E$5000,SummaryHelper!$A$2:$A$5000,$AE239,SummaryHelper!$B$2:$B$5000,$AF239,SummaryHelper!$C$2:$C$5000,$AG239))</f>
        <v/>
      </c>
      <c r="AJ239" t="str">
        <f>IF($AF239="","",SUMIFS(SummaryHelper!$F$2:$F$5000,SummaryHelper!$A$2:$A$5000,$AE239,SummaryHelper!$B$2:$B$5000,$AF239,SummaryHelper!$C$2:$C$5000,$AG239))</f>
        <v/>
      </c>
      <c r="AK239" t="str">
        <f>IF($AF239="","",SUMIFS(SummaryHelper!$G$2:$G$5000,SummaryHelper!$A$2:$A$5000,$AE239,SummaryHelper!$B$2:$B$5000,$AF239,SummaryHelper!$C$2:$C$5000,$AG239))</f>
        <v/>
      </c>
      <c r="AM239" t="str">
        <f t="shared" si="46"/>
        <v/>
      </c>
      <c r="AN239" t="str">
        <f t="shared" si="47"/>
        <v/>
      </c>
    </row>
    <row r="240" spans="1:40" x14ac:dyDescent="0.25">
      <c r="A240" s="12"/>
      <c r="B240" s="23" t="str">
        <f t="shared" si="48"/>
        <v/>
      </c>
      <c r="C240" s="9" t="str">
        <f t="shared" ca="1" si="37"/>
        <v/>
      </c>
      <c r="D240" s="9" t="str">
        <f t="shared" ca="1" si="38"/>
        <v/>
      </c>
      <c r="E240" s="9" t="str">
        <f t="shared" ca="1" si="39"/>
        <v/>
      </c>
      <c r="F240" s="9" t="str">
        <f t="shared" si="40"/>
        <v/>
      </c>
      <c r="G240" s="9">
        <f t="shared" si="41"/>
        <v>0</v>
      </c>
      <c r="L240" s="9" t="str">
        <f>IF($J240="","",IFERROR(SUMIFS(SummaryHelper!$H$2:$H$5000,SummaryHelper!$A$2:$A$5000,$I240,SummaryHelper!$B$2:$B$5000,$J240,SummaryHelper!$C$2:$C$5000,$K240)/SUMIFS(SummaryHelper!$G$2:$G$5000,SummaryHelper!$A$2:$A$5000,$I240,SummaryHelper!$B$2:$B$5000,$J240,SummaryHelper!$C$2:$C$5000,$K240),""))</f>
        <v/>
      </c>
      <c r="M240" s="9" t="str">
        <f>IF($J240="","",SUMIFS(SummaryHelper!$E$2:$E$5000,SummaryHelper!$A$2:$A$5000,$I240,SummaryHelper!$B$2:$B$5000,$J240,SummaryHelper!$C$2:$C$5000,$K240))</f>
        <v/>
      </c>
      <c r="N240" s="9" t="str">
        <f>IF($J240="","",SUMIFS(SummaryHelper!$F$2:$F$5000,SummaryHelper!$A$2:$A$5000,$I240,SummaryHelper!$B$2:$B$5000,$J240,SummaryHelper!$C$2:$C$5000,$K240))</f>
        <v/>
      </c>
      <c r="O240" s="9" t="str">
        <f>IF($J240="","",SUMIFS(SummaryHelper!$G$2:$G$5000,SummaryHelper!$A$2:$A$5000,$I240,SummaryHelper!$B$2:$B$5000,$J240,SummaryHelper!$C$2:$C$5000,$K240))</f>
        <v/>
      </c>
      <c r="Q240" s="9" t="str">
        <f t="shared" si="42"/>
        <v/>
      </c>
      <c r="R240" s="9" t="str">
        <f t="shared" si="43"/>
        <v/>
      </c>
      <c r="W240" s="9" t="str">
        <f>IF($U240="","",IFERROR(SUMIFS(SummaryHelper!$H$2:$H$5000,SummaryHelper!$A$2:$A$5000,$T240,SummaryHelper!$B$2:$B$5000,$U240,SummaryHelper!$C$2:$C$5000,$V240)/SUMIFS(SummaryHelper!$G$2:$G$5000,SummaryHelper!$A$2:$A$5000,$T240,SummaryHelper!$B$2:$B$5000,$U240,SummaryHelper!$C$2:$C$5000,$V240),""))</f>
        <v/>
      </c>
      <c r="X240" s="9" t="str">
        <f>IF($U240="","",SUMIFS(SummaryHelper!$E$2:$E$5000,SummaryHelper!$A$2:$A$5000,$T240,SummaryHelper!$B$2:$B$5000,$U240,SummaryHelper!$C$2:$C$5000,$V240))</f>
        <v/>
      </c>
      <c r="Y240" s="9" t="str">
        <f>IF($U240="","",SUMIFS(SummaryHelper!$F$2:$F$5000,SummaryHelper!$A$2:$A$5000,$T240,SummaryHelper!$B$2:$B$5000,$U240,SummaryHelper!$C$2:$C$5000,$V240))</f>
        <v/>
      </c>
      <c r="Z240" s="9" t="str">
        <f>IF($U240="","",SUMIFS(SummaryHelper!$G$2:$G$5000,SummaryHelper!$A$2:$A$5000,$T240,SummaryHelper!$B$2:$B$5000,$U240,SummaryHelper!$C$2:$C$5000,$V240))</f>
        <v/>
      </c>
      <c r="AB240" s="9" t="str">
        <f t="shared" si="44"/>
        <v/>
      </c>
      <c r="AC240" s="9" t="str">
        <f t="shared" si="45"/>
        <v/>
      </c>
      <c r="AH240" t="str">
        <f>IF($AF240="","",IFERROR(SUMIFS(SummaryHelper!$H$2:$H$5000,SummaryHelper!$A$2:$A$5000,$AE240,SummaryHelper!$B$2:$B$5000,$AF240,SummaryHelper!$C$2:$C$5000,$AG240)/SUMIFS(SummaryHelper!$G$2:$G$5000,SummaryHelper!$A$2:$A$5000,$AE240,SummaryHelper!$B$2:$B$5000,$AF240,SummaryHelper!$C$2:$C$5000,$AG240),""))</f>
        <v/>
      </c>
      <c r="AI240" t="str">
        <f>IF($AF240="","",SUMIFS(SummaryHelper!$E$2:$E$5000,SummaryHelper!$A$2:$A$5000,$AE240,SummaryHelper!$B$2:$B$5000,$AF240,SummaryHelper!$C$2:$C$5000,$AG240))</f>
        <v/>
      </c>
      <c r="AJ240" t="str">
        <f>IF($AF240="","",SUMIFS(SummaryHelper!$F$2:$F$5000,SummaryHelper!$A$2:$A$5000,$AE240,SummaryHelper!$B$2:$B$5000,$AF240,SummaryHelper!$C$2:$C$5000,$AG240))</f>
        <v/>
      </c>
      <c r="AK240" t="str">
        <f>IF($AF240="","",SUMIFS(SummaryHelper!$G$2:$G$5000,SummaryHelper!$A$2:$A$5000,$AE240,SummaryHelper!$B$2:$B$5000,$AF240,SummaryHelper!$C$2:$C$5000,$AG240))</f>
        <v/>
      </c>
      <c r="AM240" t="str">
        <f t="shared" si="46"/>
        <v/>
      </c>
      <c r="AN240" t="str">
        <f t="shared" si="47"/>
        <v/>
      </c>
    </row>
    <row r="241" spans="1:40" x14ac:dyDescent="0.25">
      <c r="A241" s="12"/>
      <c r="B241" s="23" t="str">
        <f t="shared" si="48"/>
        <v/>
      </c>
      <c r="C241" s="9" t="str">
        <f t="shared" ca="1" si="37"/>
        <v/>
      </c>
      <c r="D241" s="9" t="str">
        <f t="shared" ca="1" si="38"/>
        <v/>
      </c>
      <c r="E241" s="9" t="str">
        <f t="shared" ca="1" si="39"/>
        <v/>
      </c>
      <c r="F241" s="9" t="str">
        <f t="shared" si="40"/>
        <v/>
      </c>
      <c r="G241" s="9">
        <f t="shared" si="41"/>
        <v>0</v>
      </c>
      <c r="L241" s="9" t="str">
        <f>IF($J241="","",IFERROR(SUMIFS(SummaryHelper!$H$2:$H$5000,SummaryHelper!$A$2:$A$5000,$I241,SummaryHelper!$B$2:$B$5000,$J241,SummaryHelper!$C$2:$C$5000,$K241)/SUMIFS(SummaryHelper!$G$2:$G$5000,SummaryHelper!$A$2:$A$5000,$I241,SummaryHelper!$B$2:$B$5000,$J241,SummaryHelper!$C$2:$C$5000,$K241),""))</f>
        <v/>
      </c>
      <c r="M241" s="9" t="str">
        <f>IF($J241="","",SUMIFS(SummaryHelper!$E$2:$E$5000,SummaryHelper!$A$2:$A$5000,$I241,SummaryHelper!$B$2:$B$5000,$J241,SummaryHelper!$C$2:$C$5000,$K241))</f>
        <v/>
      </c>
      <c r="N241" s="9" t="str">
        <f>IF($J241="","",SUMIFS(SummaryHelper!$F$2:$F$5000,SummaryHelper!$A$2:$A$5000,$I241,SummaryHelper!$B$2:$B$5000,$J241,SummaryHelper!$C$2:$C$5000,$K241))</f>
        <v/>
      </c>
      <c r="O241" s="9" t="str">
        <f>IF($J241="","",SUMIFS(SummaryHelper!$G$2:$G$5000,SummaryHelper!$A$2:$A$5000,$I241,SummaryHelper!$B$2:$B$5000,$J241,SummaryHelper!$C$2:$C$5000,$K241))</f>
        <v/>
      </c>
      <c r="Q241" s="9" t="str">
        <f t="shared" si="42"/>
        <v/>
      </c>
      <c r="R241" s="9" t="str">
        <f t="shared" si="43"/>
        <v/>
      </c>
      <c r="W241" s="9" t="str">
        <f>IF($U241="","",IFERROR(SUMIFS(SummaryHelper!$H$2:$H$5000,SummaryHelper!$A$2:$A$5000,$T241,SummaryHelper!$B$2:$B$5000,$U241,SummaryHelper!$C$2:$C$5000,$V241)/SUMIFS(SummaryHelper!$G$2:$G$5000,SummaryHelper!$A$2:$A$5000,$T241,SummaryHelper!$B$2:$B$5000,$U241,SummaryHelper!$C$2:$C$5000,$V241),""))</f>
        <v/>
      </c>
      <c r="X241" s="9" t="str">
        <f>IF($U241="","",SUMIFS(SummaryHelper!$E$2:$E$5000,SummaryHelper!$A$2:$A$5000,$T241,SummaryHelper!$B$2:$B$5000,$U241,SummaryHelper!$C$2:$C$5000,$V241))</f>
        <v/>
      </c>
      <c r="Y241" s="9" t="str">
        <f>IF($U241="","",SUMIFS(SummaryHelper!$F$2:$F$5000,SummaryHelper!$A$2:$A$5000,$T241,SummaryHelper!$B$2:$B$5000,$U241,SummaryHelper!$C$2:$C$5000,$V241))</f>
        <v/>
      </c>
      <c r="Z241" s="9" t="str">
        <f>IF($U241="","",SUMIFS(SummaryHelper!$G$2:$G$5000,SummaryHelper!$A$2:$A$5000,$T241,SummaryHelper!$B$2:$B$5000,$U241,SummaryHelper!$C$2:$C$5000,$V241))</f>
        <v/>
      </c>
      <c r="AB241" s="9" t="str">
        <f t="shared" si="44"/>
        <v/>
      </c>
      <c r="AC241" s="9" t="str">
        <f t="shared" si="45"/>
        <v/>
      </c>
      <c r="AH241" t="str">
        <f>IF($AF241="","",IFERROR(SUMIFS(SummaryHelper!$H$2:$H$5000,SummaryHelper!$A$2:$A$5000,$AE241,SummaryHelper!$B$2:$B$5000,$AF241,SummaryHelper!$C$2:$C$5000,$AG241)/SUMIFS(SummaryHelper!$G$2:$G$5000,SummaryHelper!$A$2:$A$5000,$AE241,SummaryHelper!$B$2:$B$5000,$AF241,SummaryHelper!$C$2:$C$5000,$AG241),""))</f>
        <v/>
      </c>
      <c r="AI241" t="str">
        <f>IF($AF241="","",SUMIFS(SummaryHelper!$E$2:$E$5000,SummaryHelper!$A$2:$A$5000,$AE241,SummaryHelper!$B$2:$B$5000,$AF241,SummaryHelper!$C$2:$C$5000,$AG241))</f>
        <v/>
      </c>
      <c r="AJ241" t="str">
        <f>IF($AF241="","",SUMIFS(SummaryHelper!$F$2:$F$5000,SummaryHelper!$A$2:$A$5000,$AE241,SummaryHelper!$B$2:$B$5000,$AF241,SummaryHelper!$C$2:$C$5000,$AG241))</f>
        <v/>
      </c>
      <c r="AK241" t="str">
        <f>IF($AF241="","",SUMIFS(SummaryHelper!$G$2:$G$5000,SummaryHelper!$A$2:$A$5000,$AE241,SummaryHelper!$B$2:$B$5000,$AF241,SummaryHelper!$C$2:$C$5000,$AG241))</f>
        <v/>
      </c>
      <c r="AM241" t="str">
        <f t="shared" si="46"/>
        <v/>
      </c>
      <c r="AN241" t="str">
        <f t="shared" si="47"/>
        <v/>
      </c>
    </row>
    <row r="242" spans="1:40" x14ac:dyDescent="0.25">
      <c r="A242" s="12"/>
      <c r="B242" s="23" t="str">
        <f t="shared" si="48"/>
        <v/>
      </c>
      <c r="C242" s="9" t="str">
        <f t="shared" ca="1" si="37"/>
        <v/>
      </c>
      <c r="D242" s="9" t="str">
        <f t="shared" ca="1" si="38"/>
        <v/>
      </c>
      <c r="E242" s="9" t="str">
        <f t="shared" ca="1" si="39"/>
        <v/>
      </c>
      <c r="F242" s="9" t="str">
        <f t="shared" si="40"/>
        <v/>
      </c>
      <c r="G242" s="9">
        <f t="shared" si="41"/>
        <v>0</v>
      </c>
      <c r="L242" s="9" t="str">
        <f>IF($J242="","",IFERROR(SUMIFS(SummaryHelper!$H$2:$H$5000,SummaryHelper!$A$2:$A$5000,$I242,SummaryHelper!$B$2:$B$5000,$J242,SummaryHelper!$C$2:$C$5000,$K242)/SUMIFS(SummaryHelper!$G$2:$G$5000,SummaryHelper!$A$2:$A$5000,$I242,SummaryHelper!$B$2:$B$5000,$J242,SummaryHelper!$C$2:$C$5000,$K242),""))</f>
        <v/>
      </c>
      <c r="M242" s="9" t="str">
        <f>IF($J242="","",SUMIFS(SummaryHelper!$E$2:$E$5000,SummaryHelper!$A$2:$A$5000,$I242,SummaryHelper!$B$2:$B$5000,$J242,SummaryHelper!$C$2:$C$5000,$K242))</f>
        <v/>
      </c>
      <c r="N242" s="9" t="str">
        <f>IF($J242="","",SUMIFS(SummaryHelper!$F$2:$F$5000,SummaryHelper!$A$2:$A$5000,$I242,SummaryHelper!$B$2:$B$5000,$J242,SummaryHelper!$C$2:$C$5000,$K242))</f>
        <v/>
      </c>
      <c r="O242" s="9" t="str">
        <f>IF($J242="","",SUMIFS(SummaryHelper!$G$2:$G$5000,SummaryHelper!$A$2:$A$5000,$I242,SummaryHelper!$B$2:$B$5000,$J242,SummaryHelper!$C$2:$C$5000,$K242))</f>
        <v/>
      </c>
      <c r="Q242" s="9" t="str">
        <f t="shared" si="42"/>
        <v/>
      </c>
      <c r="R242" s="9" t="str">
        <f t="shared" si="43"/>
        <v/>
      </c>
      <c r="W242" s="9" t="str">
        <f>IF($U242="","",IFERROR(SUMIFS(SummaryHelper!$H$2:$H$5000,SummaryHelper!$A$2:$A$5000,$T242,SummaryHelper!$B$2:$B$5000,$U242,SummaryHelper!$C$2:$C$5000,$V242)/SUMIFS(SummaryHelper!$G$2:$G$5000,SummaryHelper!$A$2:$A$5000,$T242,SummaryHelper!$B$2:$B$5000,$U242,SummaryHelper!$C$2:$C$5000,$V242),""))</f>
        <v/>
      </c>
      <c r="X242" s="9" t="str">
        <f>IF($U242="","",SUMIFS(SummaryHelper!$E$2:$E$5000,SummaryHelper!$A$2:$A$5000,$T242,SummaryHelper!$B$2:$B$5000,$U242,SummaryHelper!$C$2:$C$5000,$V242))</f>
        <v/>
      </c>
      <c r="Y242" s="9" t="str">
        <f>IF($U242="","",SUMIFS(SummaryHelper!$F$2:$F$5000,SummaryHelper!$A$2:$A$5000,$T242,SummaryHelper!$B$2:$B$5000,$U242,SummaryHelper!$C$2:$C$5000,$V242))</f>
        <v/>
      </c>
      <c r="Z242" s="9" t="str">
        <f>IF($U242="","",SUMIFS(SummaryHelper!$G$2:$G$5000,SummaryHelper!$A$2:$A$5000,$T242,SummaryHelper!$B$2:$B$5000,$U242,SummaryHelper!$C$2:$C$5000,$V242))</f>
        <v/>
      </c>
      <c r="AB242" s="9" t="str">
        <f t="shared" si="44"/>
        <v/>
      </c>
      <c r="AC242" s="9" t="str">
        <f t="shared" si="45"/>
        <v/>
      </c>
      <c r="AH242" t="str">
        <f>IF($AF242="","",IFERROR(SUMIFS(SummaryHelper!$H$2:$H$5000,SummaryHelper!$A$2:$A$5000,$AE242,SummaryHelper!$B$2:$B$5000,$AF242,SummaryHelper!$C$2:$C$5000,$AG242)/SUMIFS(SummaryHelper!$G$2:$G$5000,SummaryHelper!$A$2:$A$5000,$AE242,SummaryHelper!$B$2:$B$5000,$AF242,SummaryHelper!$C$2:$C$5000,$AG242),""))</f>
        <v/>
      </c>
      <c r="AI242" t="str">
        <f>IF($AF242="","",SUMIFS(SummaryHelper!$E$2:$E$5000,SummaryHelper!$A$2:$A$5000,$AE242,SummaryHelper!$B$2:$B$5000,$AF242,SummaryHelper!$C$2:$C$5000,$AG242))</f>
        <v/>
      </c>
      <c r="AJ242" t="str">
        <f>IF($AF242="","",SUMIFS(SummaryHelper!$F$2:$F$5000,SummaryHelper!$A$2:$A$5000,$AE242,SummaryHelper!$B$2:$B$5000,$AF242,SummaryHelper!$C$2:$C$5000,$AG242))</f>
        <v/>
      </c>
      <c r="AK242" t="str">
        <f>IF($AF242="","",SUMIFS(SummaryHelper!$G$2:$G$5000,SummaryHelper!$A$2:$A$5000,$AE242,SummaryHelper!$B$2:$B$5000,$AF242,SummaryHelper!$C$2:$C$5000,$AG242))</f>
        <v/>
      </c>
      <c r="AM242" t="str">
        <f t="shared" si="46"/>
        <v/>
      </c>
      <c r="AN242" t="str">
        <f t="shared" si="47"/>
        <v/>
      </c>
    </row>
    <row r="243" spans="1:40" x14ac:dyDescent="0.25">
      <c r="A243" s="12"/>
      <c r="B243" s="23" t="str">
        <f t="shared" si="48"/>
        <v/>
      </c>
      <c r="C243" s="9" t="str">
        <f t="shared" ca="1" si="37"/>
        <v/>
      </c>
      <c r="D243" s="9" t="str">
        <f t="shared" ca="1" si="38"/>
        <v/>
      </c>
      <c r="E243" s="9" t="str">
        <f t="shared" ca="1" si="39"/>
        <v/>
      </c>
      <c r="F243" s="9" t="str">
        <f t="shared" si="40"/>
        <v/>
      </c>
      <c r="G243" s="9">
        <f t="shared" si="41"/>
        <v>0</v>
      </c>
      <c r="L243" s="9" t="str">
        <f>IF($J243="","",IFERROR(SUMIFS(SummaryHelper!$H$2:$H$5000,SummaryHelper!$A$2:$A$5000,$I243,SummaryHelper!$B$2:$B$5000,$J243,SummaryHelper!$C$2:$C$5000,$K243)/SUMIFS(SummaryHelper!$G$2:$G$5000,SummaryHelper!$A$2:$A$5000,$I243,SummaryHelper!$B$2:$B$5000,$J243,SummaryHelper!$C$2:$C$5000,$K243),""))</f>
        <v/>
      </c>
      <c r="M243" s="9" t="str">
        <f>IF($J243="","",SUMIFS(SummaryHelper!$E$2:$E$5000,SummaryHelper!$A$2:$A$5000,$I243,SummaryHelper!$B$2:$B$5000,$J243,SummaryHelper!$C$2:$C$5000,$K243))</f>
        <v/>
      </c>
      <c r="N243" s="9" t="str">
        <f>IF($J243="","",SUMIFS(SummaryHelper!$F$2:$F$5000,SummaryHelper!$A$2:$A$5000,$I243,SummaryHelper!$B$2:$B$5000,$J243,SummaryHelper!$C$2:$C$5000,$K243))</f>
        <v/>
      </c>
      <c r="O243" s="9" t="str">
        <f>IF($J243="","",SUMIFS(SummaryHelper!$G$2:$G$5000,SummaryHelper!$A$2:$A$5000,$I243,SummaryHelper!$B$2:$B$5000,$J243,SummaryHelper!$C$2:$C$5000,$K243))</f>
        <v/>
      </c>
      <c r="Q243" s="9" t="str">
        <f t="shared" si="42"/>
        <v/>
      </c>
      <c r="R243" s="9" t="str">
        <f t="shared" si="43"/>
        <v/>
      </c>
      <c r="W243" s="9" t="str">
        <f>IF($U243="","",IFERROR(SUMIFS(SummaryHelper!$H$2:$H$5000,SummaryHelper!$A$2:$A$5000,$T243,SummaryHelper!$B$2:$B$5000,$U243,SummaryHelper!$C$2:$C$5000,$V243)/SUMIFS(SummaryHelper!$G$2:$G$5000,SummaryHelper!$A$2:$A$5000,$T243,SummaryHelper!$B$2:$B$5000,$U243,SummaryHelper!$C$2:$C$5000,$V243),""))</f>
        <v/>
      </c>
      <c r="X243" s="9" t="str">
        <f>IF($U243="","",SUMIFS(SummaryHelper!$E$2:$E$5000,SummaryHelper!$A$2:$A$5000,$T243,SummaryHelper!$B$2:$B$5000,$U243,SummaryHelper!$C$2:$C$5000,$V243))</f>
        <v/>
      </c>
      <c r="Y243" s="9" t="str">
        <f>IF($U243="","",SUMIFS(SummaryHelper!$F$2:$F$5000,SummaryHelper!$A$2:$A$5000,$T243,SummaryHelper!$B$2:$B$5000,$U243,SummaryHelper!$C$2:$C$5000,$V243))</f>
        <v/>
      </c>
      <c r="Z243" s="9" t="str">
        <f>IF($U243="","",SUMIFS(SummaryHelper!$G$2:$G$5000,SummaryHelper!$A$2:$A$5000,$T243,SummaryHelper!$B$2:$B$5000,$U243,SummaryHelper!$C$2:$C$5000,$V243))</f>
        <v/>
      </c>
      <c r="AB243" s="9" t="str">
        <f t="shared" si="44"/>
        <v/>
      </c>
      <c r="AC243" s="9" t="str">
        <f t="shared" si="45"/>
        <v/>
      </c>
      <c r="AH243" t="str">
        <f>IF($AF243="","",IFERROR(SUMIFS(SummaryHelper!$H$2:$H$5000,SummaryHelper!$A$2:$A$5000,$AE243,SummaryHelper!$B$2:$B$5000,$AF243,SummaryHelper!$C$2:$C$5000,$AG243)/SUMIFS(SummaryHelper!$G$2:$G$5000,SummaryHelper!$A$2:$A$5000,$AE243,SummaryHelper!$B$2:$B$5000,$AF243,SummaryHelper!$C$2:$C$5000,$AG243),""))</f>
        <v/>
      </c>
      <c r="AI243" t="str">
        <f>IF($AF243="","",SUMIFS(SummaryHelper!$E$2:$E$5000,SummaryHelper!$A$2:$A$5000,$AE243,SummaryHelper!$B$2:$B$5000,$AF243,SummaryHelper!$C$2:$C$5000,$AG243))</f>
        <v/>
      </c>
      <c r="AJ243" t="str">
        <f>IF($AF243="","",SUMIFS(SummaryHelper!$F$2:$F$5000,SummaryHelper!$A$2:$A$5000,$AE243,SummaryHelper!$B$2:$B$5000,$AF243,SummaryHelper!$C$2:$C$5000,$AG243))</f>
        <v/>
      </c>
      <c r="AK243" t="str">
        <f>IF($AF243="","",SUMIFS(SummaryHelper!$G$2:$G$5000,SummaryHelper!$A$2:$A$5000,$AE243,SummaryHelper!$B$2:$B$5000,$AF243,SummaryHelper!$C$2:$C$5000,$AG243))</f>
        <v/>
      </c>
      <c r="AM243" t="str">
        <f t="shared" si="46"/>
        <v/>
      </c>
      <c r="AN243" t="str">
        <f t="shared" si="47"/>
        <v/>
      </c>
    </row>
    <row r="244" spans="1:40" x14ac:dyDescent="0.25">
      <c r="A244" s="12"/>
      <c r="B244" s="23" t="str">
        <f t="shared" si="48"/>
        <v/>
      </c>
      <c r="C244" s="9" t="str">
        <f t="shared" ca="1" si="37"/>
        <v/>
      </c>
      <c r="D244" s="9" t="str">
        <f t="shared" ca="1" si="38"/>
        <v/>
      </c>
      <c r="E244" s="9" t="str">
        <f t="shared" ca="1" si="39"/>
        <v/>
      </c>
      <c r="F244" s="9" t="str">
        <f t="shared" si="40"/>
        <v/>
      </c>
      <c r="G244" s="9">
        <f t="shared" si="41"/>
        <v>0</v>
      </c>
      <c r="L244" s="9" t="str">
        <f>IF($J244="","",IFERROR(SUMIFS(SummaryHelper!$H$2:$H$5000,SummaryHelper!$A$2:$A$5000,$I244,SummaryHelper!$B$2:$B$5000,$J244,SummaryHelper!$C$2:$C$5000,$K244)/SUMIFS(SummaryHelper!$G$2:$G$5000,SummaryHelper!$A$2:$A$5000,$I244,SummaryHelper!$B$2:$B$5000,$J244,SummaryHelper!$C$2:$C$5000,$K244),""))</f>
        <v/>
      </c>
      <c r="M244" s="9" t="str">
        <f>IF($J244="","",SUMIFS(SummaryHelper!$E$2:$E$5000,SummaryHelper!$A$2:$A$5000,$I244,SummaryHelper!$B$2:$B$5000,$J244,SummaryHelper!$C$2:$C$5000,$K244))</f>
        <v/>
      </c>
      <c r="N244" s="9" t="str">
        <f>IF($J244="","",SUMIFS(SummaryHelper!$F$2:$F$5000,SummaryHelper!$A$2:$A$5000,$I244,SummaryHelper!$B$2:$B$5000,$J244,SummaryHelper!$C$2:$C$5000,$K244))</f>
        <v/>
      </c>
      <c r="O244" s="9" t="str">
        <f>IF($J244="","",SUMIFS(SummaryHelper!$G$2:$G$5000,SummaryHelper!$A$2:$A$5000,$I244,SummaryHelper!$B$2:$B$5000,$J244,SummaryHelper!$C$2:$C$5000,$K244))</f>
        <v/>
      </c>
      <c r="Q244" s="9" t="str">
        <f t="shared" si="42"/>
        <v/>
      </c>
      <c r="R244" s="9" t="str">
        <f t="shared" si="43"/>
        <v/>
      </c>
      <c r="W244" s="9" t="str">
        <f>IF($U244="","",IFERROR(SUMIFS(SummaryHelper!$H$2:$H$5000,SummaryHelper!$A$2:$A$5000,$T244,SummaryHelper!$B$2:$B$5000,$U244,SummaryHelper!$C$2:$C$5000,$V244)/SUMIFS(SummaryHelper!$G$2:$G$5000,SummaryHelper!$A$2:$A$5000,$T244,SummaryHelper!$B$2:$B$5000,$U244,SummaryHelper!$C$2:$C$5000,$V244),""))</f>
        <v/>
      </c>
      <c r="X244" s="9" t="str">
        <f>IF($U244="","",SUMIFS(SummaryHelper!$E$2:$E$5000,SummaryHelper!$A$2:$A$5000,$T244,SummaryHelper!$B$2:$B$5000,$U244,SummaryHelper!$C$2:$C$5000,$V244))</f>
        <v/>
      </c>
      <c r="Y244" s="9" t="str">
        <f>IF($U244="","",SUMIFS(SummaryHelper!$F$2:$F$5000,SummaryHelper!$A$2:$A$5000,$T244,SummaryHelper!$B$2:$B$5000,$U244,SummaryHelper!$C$2:$C$5000,$V244))</f>
        <v/>
      </c>
      <c r="Z244" s="9" t="str">
        <f>IF($U244="","",SUMIFS(SummaryHelper!$G$2:$G$5000,SummaryHelper!$A$2:$A$5000,$T244,SummaryHelper!$B$2:$B$5000,$U244,SummaryHelper!$C$2:$C$5000,$V244))</f>
        <v/>
      </c>
      <c r="AB244" s="9" t="str">
        <f t="shared" si="44"/>
        <v/>
      </c>
      <c r="AC244" s="9" t="str">
        <f t="shared" si="45"/>
        <v/>
      </c>
      <c r="AH244" t="str">
        <f>IF($AF244="","",IFERROR(SUMIFS(SummaryHelper!$H$2:$H$5000,SummaryHelper!$A$2:$A$5000,$AE244,SummaryHelper!$B$2:$B$5000,$AF244,SummaryHelper!$C$2:$C$5000,$AG244)/SUMIFS(SummaryHelper!$G$2:$G$5000,SummaryHelper!$A$2:$A$5000,$AE244,SummaryHelper!$B$2:$B$5000,$AF244,SummaryHelper!$C$2:$C$5000,$AG244),""))</f>
        <v/>
      </c>
      <c r="AI244" t="str">
        <f>IF($AF244="","",SUMIFS(SummaryHelper!$E$2:$E$5000,SummaryHelper!$A$2:$A$5000,$AE244,SummaryHelper!$B$2:$B$5000,$AF244,SummaryHelper!$C$2:$C$5000,$AG244))</f>
        <v/>
      </c>
      <c r="AJ244" t="str">
        <f>IF($AF244="","",SUMIFS(SummaryHelper!$F$2:$F$5000,SummaryHelper!$A$2:$A$5000,$AE244,SummaryHelper!$B$2:$B$5000,$AF244,SummaryHelper!$C$2:$C$5000,$AG244))</f>
        <v/>
      </c>
      <c r="AK244" t="str">
        <f>IF($AF244="","",SUMIFS(SummaryHelper!$G$2:$G$5000,SummaryHelper!$A$2:$A$5000,$AE244,SummaryHelper!$B$2:$B$5000,$AF244,SummaryHelper!$C$2:$C$5000,$AG244))</f>
        <v/>
      </c>
      <c r="AM244" t="str">
        <f t="shared" si="46"/>
        <v/>
      </c>
      <c r="AN244" t="str">
        <f t="shared" si="47"/>
        <v/>
      </c>
    </row>
    <row r="245" spans="1:40" x14ac:dyDescent="0.25">
      <c r="A245" s="12"/>
      <c r="B245" s="23" t="str">
        <f t="shared" si="48"/>
        <v/>
      </c>
      <c r="C245" s="9" t="str">
        <f t="shared" ca="1" si="37"/>
        <v/>
      </c>
      <c r="D245" s="9" t="str">
        <f t="shared" ca="1" si="38"/>
        <v/>
      </c>
      <c r="E245" s="9" t="str">
        <f t="shared" ca="1" si="39"/>
        <v/>
      </c>
      <c r="F245" s="9" t="str">
        <f t="shared" si="40"/>
        <v/>
      </c>
      <c r="G245" s="9">
        <f t="shared" si="41"/>
        <v>0</v>
      </c>
      <c r="L245" s="9" t="str">
        <f>IF($J245="","",IFERROR(SUMIFS(SummaryHelper!$H$2:$H$5000,SummaryHelper!$A$2:$A$5000,$I245,SummaryHelper!$B$2:$B$5000,$J245,SummaryHelper!$C$2:$C$5000,$K245)/SUMIFS(SummaryHelper!$G$2:$G$5000,SummaryHelper!$A$2:$A$5000,$I245,SummaryHelper!$B$2:$B$5000,$J245,SummaryHelper!$C$2:$C$5000,$K245),""))</f>
        <v/>
      </c>
      <c r="M245" s="9" t="str">
        <f>IF($J245="","",SUMIFS(SummaryHelper!$E$2:$E$5000,SummaryHelper!$A$2:$A$5000,$I245,SummaryHelper!$B$2:$B$5000,$J245,SummaryHelper!$C$2:$C$5000,$K245))</f>
        <v/>
      </c>
      <c r="N245" s="9" t="str">
        <f>IF($J245="","",SUMIFS(SummaryHelper!$F$2:$F$5000,SummaryHelper!$A$2:$A$5000,$I245,SummaryHelper!$B$2:$B$5000,$J245,SummaryHelper!$C$2:$C$5000,$K245))</f>
        <v/>
      </c>
      <c r="O245" s="9" t="str">
        <f>IF($J245="","",SUMIFS(SummaryHelper!$G$2:$G$5000,SummaryHelper!$A$2:$A$5000,$I245,SummaryHelper!$B$2:$B$5000,$J245,SummaryHelper!$C$2:$C$5000,$K245))</f>
        <v/>
      </c>
      <c r="Q245" s="9" t="str">
        <f t="shared" si="42"/>
        <v/>
      </c>
      <c r="R245" s="9" t="str">
        <f t="shared" si="43"/>
        <v/>
      </c>
      <c r="W245" s="9" t="str">
        <f>IF($U245="","",IFERROR(SUMIFS(SummaryHelper!$H$2:$H$5000,SummaryHelper!$A$2:$A$5000,$T245,SummaryHelper!$B$2:$B$5000,$U245,SummaryHelper!$C$2:$C$5000,$V245)/SUMIFS(SummaryHelper!$G$2:$G$5000,SummaryHelper!$A$2:$A$5000,$T245,SummaryHelper!$B$2:$B$5000,$U245,SummaryHelper!$C$2:$C$5000,$V245),""))</f>
        <v/>
      </c>
      <c r="X245" s="9" t="str">
        <f>IF($U245="","",SUMIFS(SummaryHelper!$E$2:$E$5000,SummaryHelper!$A$2:$A$5000,$T245,SummaryHelper!$B$2:$B$5000,$U245,SummaryHelper!$C$2:$C$5000,$V245))</f>
        <v/>
      </c>
      <c r="Y245" s="9" t="str">
        <f>IF($U245="","",SUMIFS(SummaryHelper!$F$2:$F$5000,SummaryHelper!$A$2:$A$5000,$T245,SummaryHelper!$B$2:$B$5000,$U245,SummaryHelper!$C$2:$C$5000,$V245))</f>
        <v/>
      </c>
      <c r="Z245" s="9" t="str">
        <f>IF($U245="","",SUMIFS(SummaryHelper!$G$2:$G$5000,SummaryHelper!$A$2:$A$5000,$T245,SummaryHelper!$B$2:$B$5000,$U245,SummaryHelper!$C$2:$C$5000,$V245))</f>
        <v/>
      </c>
      <c r="AB245" s="9" t="str">
        <f t="shared" si="44"/>
        <v/>
      </c>
      <c r="AC245" s="9" t="str">
        <f t="shared" si="45"/>
        <v/>
      </c>
      <c r="AH245" t="str">
        <f>IF($AF245="","",IFERROR(SUMIFS(SummaryHelper!$H$2:$H$5000,SummaryHelper!$A$2:$A$5000,$AE245,SummaryHelper!$B$2:$B$5000,$AF245,SummaryHelper!$C$2:$C$5000,$AG245)/SUMIFS(SummaryHelper!$G$2:$G$5000,SummaryHelper!$A$2:$A$5000,$AE245,SummaryHelper!$B$2:$B$5000,$AF245,SummaryHelper!$C$2:$C$5000,$AG245),""))</f>
        <v/>
      </c>
      <c r="AI245" t="str">
        <f>IF($AF245="","",SUMIFS(SummaryHelper!$E$2:$E$5000,SummaryHelper!$A$2:$A$5000,$AE245,SummaryHelper!$B$2:$B$5000,$AF245,SummaryHelper!$C$2:$C$5000,$AG245))</f>
        <v/>
      </c>
      <c r="AJ245" t="str">
        <f>IF($AF245="","",SUMIFS(SummaryHelper!$F$2:$F$5000,SummaryHelper!$A$2:$A$5000,$AE245,SummaryHelper!$B$2:$B$5000,$AF245,SummaryHelper!$C$2:$C$5000,$AG245))</f>
        <v/>
      </c>
      <c r="AK245" t="str">
        <f>IF($AF245="","",SUMIFS(SummaryHelper!$G$2:$G$5000,SummaryHelper!$A$2:$A$5000,$AE245,SummaryHelper!$B$2:$B$5000,$AF245,SummaryHelper!$C$2:$C$5000,$AG245))</f>
        <v/>
      </c>
      <c r="AM245" t="str">
        <f t="shared" si="46"/>
        <v/>
      </c>
      <c r="AN245" t="str">
        <f t="shared" si="47"/>
        <v/>
      </c>
    </row>
    <row r="246" spans="1:40" x14ac:dyDescent="0.25">
      <c r="A246" s="12"/>
      <c r="B246" s="23" t="str">
        <f t="shared" si="48"/>
        <v/>
      </c>
      <c r="C246" s="9" t="str">
        <f t="shared" ca="1" si="37"/>
        <v/>
      </c>
      <c r="D246" s="9" t="str">
        <f t="shared" ca="1" si="38"/>
        <v/>
      </c>
      <c r="E246" s="9" t="str">
        <f t="shared" ca="1" si="39"/>
        <v/>
      </c>
      <c r="F246" s="9" t="str">
        <f t="shared" si="40"/>
        <v/>
      </c>
      <c r="G246" s="9">
        <f t="shared" si="41"/>
        <v>0</v>
      </c>
      <c r="L246" s="9" t="str">
        <f>IF($J246="","",IFERROR(SUMIFS(SummaryHelper!$H$2:$H$5000,SummaryHelper!$A$2:$A$5000,$I246,SummaryHelper!$B$2:$B$5000,$J246,SummaryHelper!$C$2:$C$5000,$K246)/SUMIFS(SummaryHelper!$G$2:$G$5000,SummaryHelper!$A$2:$A$5000,$I246,SummaryHelper!$B$2:$B$5000,$J246,SummaryHelper!$C$2:$C$5000,$K246),""))</f>
        <v/>
      </c>
      <c r="M246" s="9" t="str">
        <f>IF($J246="","",SUMIFS(SummaryHelper!$E$2:$E$5000,SummaryHelper!$A$2:$A$5000,$I246,SummaryHelper!$B$2:$B$5000,$J246,SummaryHelper!$C$2:$C$5000,$K246))</f>
        <v/>
      </c>
      <c r="N246" s="9" t="str">
        <f>IF($J246="","",SUMIFS(SummaryHelper!$F$2:$F$5000,SummaryHelper!$A$2:$A$5000,$I246,SummaryHelper!$B$2:$B$5000,$J246,SummaryHelper!$C$2:$C$5000,$K246))</f>
        <v/>
      </c>
      <c r="O246" s="9" t="str">
        <f>IF($J246="","",SUMIFS(SummaryHelper!$G$2:$G$5000,SummaryHelper!$A$2:$A$5000,$I246,SummaryHelper!$B$2:$B$5000,$J246,SummaryHelper!$C$2:$C$5000,$K246))</f>
        <v/>
      </c>
      <c r="Q246" s="9" t="str">
        <f t="shared" si="42"/>
        <v/>
      </c>
      <c r="R246" s="9" t="str">
        <f t="shared" si="43"/>
        <v/>
      </c>
      <c r="W246" s="9" t="str">
        <f>IF($U246="","",IFERROR(SUMIFS(SummaryHelper!$H$2:$H$5000,SummaryHelper!$A$2:$A$5000,$T246,SummaryHelper!$B$2:$B$5000,$U246,SummaryHelper!$C$2:$C$5000,$V246)/SUMIFS(SummaryHelper!$G$2:$G$5000,SummaryHelper!$A$2:$A$5000,$T246,SummaryHelper!$B$2:$B$5000,$U246,SummaryHelper!$C$2:$C$5000,$V246),""))</f>
        <v/>
      </c>
      <c r="X246" s="9" t="str">
        <f>IF($U246="","",SUMIFS(SummaryHelper!$E$2:$E$5000,SummaryHelper!$A$2:$A$5000,$T246,SummaryHelper!$B$2:$B$5000,$U246,SummaryHelper!$C$2:$C$5000,$V246))</f>
        <v/>
      </c>
      <c r="Y246" s="9" t="str">
        <f>IF($U246="","",SUMIFS(SummaryHelper!$F$2:$F$5000,SummaryHelper!$A$2:$A$5000,$T246,SummaryHelper!$B$2:$B$5000,$U246,SummaryHelper!$C$2:$C$5000,$V246))</f>
        <v/>
      </c>
      <c r="Z246" s="9" t="str">
        <f>IF($U246="","",SUMIFS(SummaryHelper!$G$2:$G$5000,SummaryHelper!$A$2:$A$5000,$T246,SummaryHelper!$B$2:$B$5000,$U246,SummaryHelper!$C$2:$C$5000,$V246))</f>
        <v/>
      </c>
      <c r="AB246" s="9" t="str">
        <f t="shared" si="44"/>
        <v/>
      </c>
      <c r="AC246" s="9" t="str">
        <f t="shared" si="45"/>
        <v/>
      </c>
      <c r="AH246" t="str">
        <f>IF($AF246="","",IFERROR(SUMIFS(SummaryHelper!$H$2:$H$5000,SummaryHelper!$A$2:$A$5000,$AE246,SummaryHelper!$B$2:$B$5000,$AF246,SummaryHelper!$C$2:$C$5000,$AG246)/SUMIFS(SummaryHelper!$G$2:$G$5000,SummaryHelper!$A$2:$A$5000,$AE246,SummaryHelper!$B$2:$B$5000,$AF246,SummaryHelper!$C$2:$C$5000,$AG246),""))</f>
        <v/>
      </c>
      <c r="AI246" t="str">
        <f>IF($AF246="","",SUMIFS(SummaryHelper!$E$2:$E$5000,SummaryHelper!$A$2:$A$5000,$AE246,SummaryHelper!$B$2:$B$5000,$AF246,SummaryHelper!$C$2:$C$5000,$AG246))</f>
        <v/>
      </c>
      <c r="AJ246" t="str">
        <f>IF($AF246="","",SUMIFS(SummaryHelper!$F$2:$F$5000,SummaryHelper!$A$2:$A$5000,$AE246,SummaryHelper!$B$2:$B$5000,$AF246,SummaryHelper!$C$2:$C$5000,$AG246))</f>
        <v/>
      </c>
      <c r="AK246" t="str">
        <f>IF($AF246="","",SUMIFS(SummaryHelper!$G$2:$G$5000,SummaryHelper!$A$2:$A$5000,$AE246,SummaryHelper!$B$2:$B$5000,$AF246,SummaryHelper!$C$2:$C$5000,$AG246))</f>
        <v/>
      </c>
      <c r="AM246" t="str">
        <f t="shared" si="46"/>
        <v/>
      </c>
      <c r="AN246" t="str">
        <f t="shared" si="47"/>
        <v/>
      </c>
    </row>
    <row r="247" spans="1:40" x14ac:dyDescent="0.25">
      <c r="A247" s="12"/>
      <c r="B247" s="23" t="str">
        <f t="shared" si="48"/>
        <v/>
      </c>
      <c r="C247" s="9" t="str">
        <f t="shared" ca="1" si="37"/>
        <v/>
      </c>
      <c r="D247" s="9" t="str">
        <f t="shared" ca="1" si="38"/>
        <v/>
      </c>
      <c r="E247" s="9" t="str">
        <f t="shared" ca="1" si="39"/>
        <v/>
      </c>
      <c r="F247" s="9" t="str">
        <f t="shared" si="40"/>
        <v/>
      </c>
      <c r="G247" s="9">
        <f t="shared" si="41"/>
        <v>0</v>
      </c>
      <c r="L247" s="9" t="str">
        <f>IF($J247="","",IFERROR(SUMIFS(SummaryHelper!$H$2:$H$5000,SummaryHelper!$A$2:$A$5000,$I247,SummaryHelper!$B$2:$B$5000,$J247,SummaryHelper!$C$2:$C$5000,$K247)/SUMIFS(SummaryHelper!$G$2:$G$5000,SummaryHelper!$A$2:$A$5000,$I247,SummaryHelper!$B$2:$B$5000,$J247,SummaryHelper!$C$2:$C$5000,$K247),""))</f>
        <v/>
      </c>
      <c r="M247" s="9" t="str">
        <f>IF($J247="","",SUMIFS(SummaryHelper!$E$2:$E$5000,SummaryHelper!$A$2:$A$5000,$I247,SummaryHelper!$B$2:$B$5000,$J247,SummaryHelper!$C$2:$C$5000,$K247))</f>
        <v/>
      </c>
      <c r="N247" s="9" t="str">
        <f>IF($J247="","",SUMIFS(SummaryHelper!$F$2:$F$5000,SummaryHelper!$A$2:$A$5000,$I247,SummaryHelper!$B$2:$B$5000,$J247,SummaryHelper!$C$2:$C$5000,$K247))</f>
        <v/>
      </c>
      <c r="O247" s="9" t="str">
        <f>IF($J247="","",SUMIFS(SummaryHelper!$G$2:$G$5000,SummaryHelper!$A$2:$A$5000,$I247,SummaryHelper!$B$2:$B$5000,$J247,SummaryHelper!$C$2:$C$5000,$K247))</f>
        <v/>
      </c>
      <c r="Q247" s="9" t="str">
        <f t="shared" si="42"/>
        <v/>
      </c>
      <c r="R247" s="9" t="str">
        <f t="shared" si="43"/>
        <v/>
      </c>
      <c r="W247" s="9" t="str">
        <f>IF($U247="","",IFERROR(SUMIFS(SummaryHelper!$H$2:$H$5000,SummaryHelper!$A$2:$A$5000,$T247,SummaryHelper!$B$2:$B$5000,$U247,SummaryHelper!$C$2:$C$5000,$V247)/SUMIFS(SummaryHelper!$G$2:$G$5000,SummaryHelper!$A$2:$A$5000,$T247,SummaryHelper!$B$2:$B$5000,$U247,SummaryHelper!$C$2:$C$5000,$V247),""))</f>
        <v/>
      </c>
      <c r="X247" s="9" t="str">
        <f>IF($U247="","",SUMIFS(SummaryHelper!$E$2:$E$5000,SummaryHelper!$A$2:$A$5000,$T247,SummaryHelper!$B$2:$B$5000,$U247,SummaryHelper!$C$2:$C$5000,$V247))</f>
        <v/>
      </c>
      <c r="Y247" s="9" t="str">
        <f>IF($U247="","",SUMIFS(SummaryHelper!$F$2:$F$5000,SummaryHelper!$A$2:$A$5000,$T247,SummaryHelper!$B$2:$B$5000,$U247,SummaryHelper!$C$2:$C$5000,$V247))</f>
        <v/>
      </c>
      <c r="Z247" s="9" t="str">
        <f>IF($U247="","",SUMIFS(SummaryHelper!$G$2:$G$5000,SummaryHelper!$A$2:$A$5000,$T247,SummaryHelper!$B$2:$B$5000,$U247,SummaryHelper!$C$2:$C$5000,$V247))</f>
        <v/>
      </c>
      <c r="AB247" s="9" t="str">
        <f t="shared" si="44"/>
        <v/>
      </c>
      <c r="AC247" s="9" t="str">
        <f t="shared" si="45"/>
        <v/>
      </c>
      <c r="AH247" t="str">
        <f>IF($AF247="","",IFERROR(SUMIFS(SummaryHelper!$H$2:$H$5000,SummaryHelper!$A$2:$A$5000,$AE247,SummaryHelper!$B$2:$B$5000,$AF247,SummaryHelper!$C$2:$C$5000,$AG247)/SUMIFS(SummaryHelper!$G$2:$G$5000,SummaryHelper!$A$2:$A$5000,$AE247,SummaryHelper!$B$2:$B$5000,$AF247,SummaryHelper!$C$2:$C$5000,$AG247),""))</f>
        <v/>
      </c>
      <c r="AI247" t="str">
        <f>IF($AF247="","",SUMIFS(SummaryHelper!$E$2:$E$5000,SummaryHelper!$A$2:$A$5000,$AE247,SummaryHelper!$B$2:$B$5000,$AF247,SummaryHelper!$C$2:$C$5000,$AG247))</f>
        <v/>
      </c>
      <c r="AJ247" t="str">
        <f>IF($AF247="","",SUMIFS(SummaryHelper!$F$2:$F$5000,SummaryHelper!$A$2:$A$5000,$AE247,SummaryHelper!$B$2:$B$5000,$AF247,SummaryHelper!$C$2:$C$5000,$AG247))</f>
        <v/>
      </c>
      <c r="AK247" t="str">
        <f>IF($AF247="","",SUMIFS(SummaryHelper!$G$2:$G$5000,SummaryHelper!$A$2:$A$5000,$AE247,SummaryHelper!$B$2:$B$5000,$AF247,SummaryHelper!$C$2:$C$5000,$AG247))</f>
        <v/>
      </c>
      <c r="AM247" t="str">
        <f t="shared" si="46"/>
        <v/>
      </c>
      <c r="AN247" t="str">
        <f t="shared" si="47"/>
        <v/>
      </c>
    </row>
    <row r="248" spans="1:40" x14ac:dyDescent="0.25">
      <c r="A248" s="12"/>
      <c r="B248" s="23" t="str">
        <f t="shared" si="48"/>
        <v/>
      </c>
      <c r="C248" s="9" t="str">
        <f t="shared" ca="1" si="37"/>
        <v/>
      </c>
      <c r="D248" s="9" t="str">
        <f t="shared" ca="1" si="38"/>
        <v/>
      </c>
      <c r="E248" s="9" t="str">
        <f t="shared" ca="1" si="39"/>
        <v/>
      </c>
      <c r="F248" s="9" t="str">
        <f t="shared" si="40"/>
        <v/>
      </c>
      <c r="G248" s="9">
        <f t="shared" si="41"/>
        <v>0</v>
      </c>
      <c r="L248" s="9" t="str">
        <f>IF($J248="","",IFERROR(SUMIFS(SummaryHelper!$H$2:$H$5000,SummaryHelper!$A$2:$A$5000,$I248,SummaryHelper!$B$2:$B$5000,$J248,SummaryHelper!$C$2:$C$5000,$K248)/SUMIFS(SummaryHelper!$G$2:$G$5000,SummaryHelper!$A$2:$A$5000,$I248,SummaryHelper!$B$2:$B$5000,$J248,SummaryHelper!$C$2:$C$5000,$K248),""))</f>
        <v/>
      </c>
      <c r="M248" s="9" t="str">
        <f>IF($J248="","",SUMIFS(SummaryHelper!$E$2:$E$5000,SummaryHelper!$A$2:$A$5000,$I248,SummaryHelper!$B$2:$B$5000,$J248,SummaryHelper!$C$2:$C$5000,$K248))</f>
        <v/>
      </c>
      <c r="N248" s="9" t="str">
        <f>IF($J248="","",SUMIFS(SummaryHelper!$F$2:$F$5000,SummaryHelper!$A$2:$A$5000,$I248,SummaryHelper!$B$2:$B$5000,$J248,SummaryHelper!$C$2:$C$5000,$K248))</f>
        <v/>
      </c>
      <c r="O248" s="9" t="str">
        <f>IF($J248="","",SUMIFS(SummaryHelper!$G$2:$G$5000,SummaryHelper!$A$2:$A$5000,$I248,SummaryHelper!$B$2:$B$5000,$J248,SummaryHelper!$C$2:$C$5000,$K248))</f>
        <v/>
      </c>
      <c r="Q248" s="9" t="str">
        <f t="shared" si="42"/>
        <v/>
      </c>
      <c r="R248" s="9" t="str">
        <f t="shared" si="43"/>
        <v/>
      </c>
      <c r="W248" s="9" t="str">
        <f>IF($U248="","",IFERROR(SUMIFS(SummaryHelper!$H$2:$H$5000,SummaryHelper!$A$2:$A$5000,$T248,SummaryHelper!$B$2:$B$5000,$U248,SummaryHelper!$C$2:$C$5000,$V248)/SUMIFS(SummaryHelper!$G$2:$G$5000,SummaryHelper!$A$2:$A$5000,$T248,SummaryHelper!$B$2:$B$5000,$U248,SummaryHelper!$C$2:$C$5000,$V248),""))</f>
        <v/>
      </c>
      <c r="X248" s="9" t="str">
        <f>IF($U248="","",SUMIFS(SummaryHelper!$E$2:$E$5000,SummaryHelper!$A$2:$A$5000,$T248,SummaryHelper!$B$2:$B$5000,$U248,SummaryHelper!$C$2:$C$5000,$V248))</f>
        <v/>
      </c>
      <c r="Y248" s="9" t="str">
        <f>IF($U248="","",SUMIFS(SummaryHelper!$F$2:$F$5000,SummaryHelper!$A$2:$A$5000,$T248,SummaryHelper!$B$2:$B$5000,$U248,SummaryHelper!$C$2:$C$5000,$V248))</f>
        <v/>
      </c>
      <c r="Z248" s="9" t="str">
        <f>IF($U248="","",SUMIFS(SummaryHelper!$G$2:$G$5000,SummaryHelper!$A$2:$A$5000,$T248,SummaryHelper!$B$2:$B$5000,$U248,SummaryHelper!$C$2:$C$5000,$V248))</f>
        <v/>
      </c>
      <c r="AB248" s="9" t="str">
        <f t="shared" si="44"/>
        <v/>
      </c>
      <c r="AC248" s="9" t="str">
        <f t="shared" si="45"/>
        <v/>
      </c>
      <c r="AH248" t="str">
        <f>IF($AF248="","",IFERROR(SUMIFS(SummaryHelper!$H$2:$H$5000,SummaryHelper!$A$2:$A$5000,$AE248,SummaryHelper!$B$2:$B$5000,$AF248,SummaryHelper!$C$2:$C$5000,$AG248)/SUMIFS(SummaryHelper!$G$2:$G$5000,SummaryHelper!$A$2:$A$5000,$AE248,SummaryHelper!$B$2:$B$5000,$AF248,SummaryHelper!$C$2:$C$5000,$AG248),""))</f>
        <v/>
      </c>
      <c r="AI248" t="str">
        <f>IF($AF248="","",SUMIFS(SummaryHelper!$E$2:$E$5000,SummaryHelper!$A$2:$A$5000,$AE248,SummaryHelper!$B$2:$B$5000,$AF248,SummaryHelper!$C$2:$C$5000,$AG248))</f>
        <v/>
      </c>
      <c r="AJ248" t="str">
        <f>IF($AF248="","",SUMIFS(SummaryHelper!$F$2:$F$5000,SummaryHelper!$A$2:$A$5000,$AE248,SummaryHelper!$B$2:$B$5000,$AF248,SummaryHelper!$C$2:$C$5000,$AG248))</f>
        <v/>
      </c>
      <c r="AK248" t="str">
        <f>IF($AF248="","",SUMIFS(SummaryHelper!$G$2:$G$5000,SummaryHelper!$A$2:$A$5000,$AE248,SummaryHelper!$B$2:$B$5000,$AF248,SummaryHelper!$C$2:$C$5000,$AG248))</f>
        <v/>
      </c>
      <c r="AM248" t="str">
        <f t="shared" si="46"/>
        <v/>
      </c>
      <c r="AN248" t="str">
        <f t="shared" si="47"/>
        <v/>
      </c>
    </row>
    <row r="249" spans="1:40" x14ac:dyDescent="0.25">
      <c r="A249" s="12"/>
      <c r="B249" s="23" t="str">
        <f t="shared" si="48"/>
        <v/>
      </c>
      <c r="C249" s="9" t="str">
        <f t="shared" ca="1" si="37"/>
        <v/>
      </c>
      <c r="D249" s="9" t="str">
        <f t="shared" ca="1" si="38"/>
        <v/>
      </c>
      <c r="E249" s="9" t="str">
        <f t="shared" ca="1" si="39"/>
        <v/>
      </c>
      <c r="F249" s="9" t="str">
        <f t="shared" si="40"/>
        <v/>
      </c>
      <c r="G249" s="9">
        <f t="shared" si="41"/>
        <v>0</v>
      </c>
      <c r="L249" s="9" t="str">
        <f>IF($J249="","",IFERROR(SUMIFS(SummaryHelper!$H$2:$H$5000,SummaryHelper!$A$2:$A$5000,$I249,SummaryHelper!$B$2:$B$5000,$J249,SummaryHelper!$C$2:$C$5000,$K249)/SUMIFS(SummaryHelper!$G$2:$G$5000,SummaryHelper!$A$2:$A$5000,$I249,SummaryHelper!$B$2:$B$5000,$J249,SummaryHelper!$C$2:$C$5000,$K249),""))</f>
        <v/>
      </c>
      <c r="M249" s="9" t="str">
        <f>IF($J249="","",SUMIFS(SummaryHelper!$E$2:$E$5000,SummaryHelper!$A$2:$A$5000,$I249,SummaryHelper!$B$2:$B$5000,$J249,SummaryHelper!$C$2:$C$5000,$K249))</f>
        <v/>
      </c>
      <c r="N249" s="9" t="str">
        <f>IF($J249="","",SUMIFS(SummaryHelper!$F$2:$F$5000,SummaryHelper!$A$2:$A$5000,$I249,SummaryHelper!$B$2:$B$5000,$J249,SummaryHelper!$C$2:$C$5000,$K249))</f>
        <v/>
      </c>
      <c r="O249" s="9" t="str">
        <f>IF($J249="","",SUMIFS(SummaryHelper!$G$2:$G$5000,SummaryHelper!$A$2:$A$5000,$I249,SummaryHelper!$B$2:$B$5000,$J249,SummaryHelper!$C$2:$C$5000,$K249))</f>
        <v/>
      </c>
      <c r="Q249" s="9" t="str">
        <f t="shared" si="42"/>
        <v/>
      </c>
      <c r="R249" s="9" t="str">
        <f t="shared" si="43"/>
        <v/>
      </c>
      <c r="W249" s="9" t="str">
        <f>IF($U249="","",IFERROR(SUMIFS(SummaryHelper!$H$2:$H$5000,SummaryHelper!$A$2:$A$5000,$T249,SummaryHelper!$B$2:$B$5000,$U249,SummaryHelper!$C$2:$C$5000,$V249)/SUMIFS(SummaryHelper!$G$2:$G$5000,SummaryHelper!$A$2:$A$5000,$T249,SummaryHelper!$B$2:$B$5000,$U249,SummaryHelper!$C$2:$C$5000,$V249),""))</f>
        <v/>
      </c>
      <c r="X249" s="9" t="str">
        <f>IF($U249="","",SUMIFS(SummaryHelper!$E$2:$E$5000,SummaryHelper!$A$2:$A$5000,$T249,SummaryHelper!$B$2:$B$5000,$U249,SummaryHelper!$C$2:$C$5000,$V249))</f>
        <v/>
      </c>
      <c r="Y249" s="9" t="str">
        <f>IF($U249="","",SUMIFS(SummaryHelper!$F$2:$F$5000,SummaryHelper!$A$2:$A$5000,$T249,SummaryHelper!$B$2:$B$5000,$U249,SummaryHelper!$C$2:$C$5000,$V249))</f>
        <v/>
      </c>
      <c r="Z249" s="9" t="str">
        <f>IF($U249="","",SUMIFS(SummaryHelper!$G$2:$G$5000,SummaryHelper!$A$2:$A$5000,$T249,SummaryHelper!$B$2:$B$5000,$U249,SummaryHelper!$C$2:$C$5000,$V249))</f>
        <v/>
      </c>
      <c r="AB249" s="9" t="str">
        <f t="shared" si="44"/>
        <v/>
      </c>
      <c r="AC249" s="9" t="str">
        <f t="shared" si="45"/>
        <v/>
      </c>
      <c r="AH249" t="str">
        <f>IF($AF249="","",IFERROR(SUMIFS(SummaryHelper!$H$2:$H$5000,SummaryHelper!$A$2:$A$5000,$AE249,SummaryHelper!$B$2:$B$5000,$AF249,SummaryHelper!$C$2:$C$5000,$AG249)/SUMIFS(SummaryHelper!$G$2:$G$5000,SummaryHelper!$A$2:$A$5000,$AE249,SummaryHelper!$B$2:$B$5000,$AF249,SummaryHelper!$C$2:$C$5000,$AG249),""))</f>
        <v/>
      </c>
      <c r="AI249" t="str">
        <f>IF($AF249="","",SUMIFS(SummaryHelper!$E$2:$E$5000,SummaryHelper!$A$2:$A$5000,$AE249,SummaryHelper!$B$2:$B$5000,$AF249,SummaryHelper!$C$2:$C$5000,$AG249))</f>
        <v/>
      </c>
      <c r="AJ249" t="str">
        <f>IF($AF249="","",SUMIFS(SummaryHelper!$F$2:$F$5000,SummaryHelper!$A$2:$A$5000,$AE249,SummaryHelper!$B$2:$B$5000,$AF249,SummaryHelper!$C$2:$C$5000,$AG249))</f>
        <v/>
      </c>
      <c r="AK249" t="str">
        <f>IF($AF249="","",SUMIFS(SummaryHelper!$G$2:$G$5000,SummaryHelper!$A$2:$A$5000,$AE249,SummaryHelper!$B$2:$B$5000,$AF249,SummaryHelper!$C$2:$C$5000,$AG249))</f>
        <v/>
      </c>
      <c r="AM249" t="str">
        <f t="shared" si="46"/>
        <v/>
      </c>
      <c r="AN249" t="str">
        <f t="shared" si="47"/>
        <v/>
      </c>
    </row>
    <row r="250" spans="1:40" x14ac:dyDescent="0.25">
      <c r="A250" s="12"/>
      <c r="B250" s="23" t="str">
        <f t="shared" si="48"/>
        <v/>
      </c>
      <c r="C250" s="9" t="str">
        <f t="shared" ca="1" si="37"/>
        <v/>
      </c>
      <c r="D250" s="9" t="str">
        <f t="shared" ca="1" si="38"/>
        <v/>
      </c>
      <c r="E250" s="9" t="str">
        <f t="shared" ca="1" si="39"/>
        <v/>
      </c>
      <c r="F250" s="9" t="str">
        <f t="shared" si="40"/>
        <v/>
      </c>
      <c r="G250" s="9">
        <f t="shared" si="41"/>
        <v>0</v>
      </c>
      <c r="L250" s="9" t="str">
        <f>IF($J250="","",IFERROR(SUMIFS(SummaryHelper!$H$2:$H$5000,SummaryHelper!$A$2:$A$5000,$I250,SummaryHelper!$B$2:$B$5000,$J250,SummaryHelper!$C$2:$C$5000,$K250)/SUMIFS(SummaryHelper!$G$2:$G$5000,SummaryHelper!$A$2:$A$5000,$I250,SummaryHelper!$B$2:$B$5000,$J250,SummaryHelper!$C$2:$C$5000,$K250),""))</f>
        <v/>
      </c>
      <c r="M250" s="9" t="str">
        <f>IF($J250="","",SUMIFS(SummaryHelper!$E$2:$E$5000,SummaryHelper!$A$2:$A$5000,$I250,SummaryHelper!$B$2:$B$5000,$J250,SummaryHelper!$C$2:$C$5000,$K250))</f>
        <v/>
      </c>
      <c r="N250" s="9" t="str">
        <f>IF($J250="","",SUMIFS(SummaryHelper!$F$2:$F$5000,SummaryHelper!$A$2:$A$5000,$I250,SummaryHelper!$B$2:$B$5000,$J250,SummaryHelper!$C$2:$C$5000,$K250))</f>
        <v/>
      </c>
      <c r="O250" s="9" t="str">
        <f>IF($J250="","",SUMIFS(SummaryHelper!$G$2:$G$5000,SummaryHelper!$A$2:$A$5000,$I250,SummaryHelper!$B$2:$B$5000,$J250,SummaryHelper!$C$2:$C$5000,$K250))</f>
        <v/>
      </c>
      <c r="Q250" s="9" t="str">
        <f t="shared" si="42"/>
        <v/>
      </c>
      <c r="R250" s="9" t="str">
        <f t="shared" si="43"/>
        <v/>
      </c>
      <c r="W250" s="9" t="str">
        <f>IF($U250="","",IFERROR(SUMIFS(SummaryHelper!$H$2:$H$5000,SummaryHelper!$A$2:$A$5000,$T250,SummaryHelper!$B$2:$B$5000,$U250,SummaryHelper!$C$2:$C$5000,$V250)/SUMIFS(SummaryHelper!$G$2:$G$5000,SummaryHelper!$A$2:$A$5000,$T250,SummaryHelper!$B$2:$B$5000,$U250,SummaryHelper!$C$2:$C$5000,$V250),""))</f>
        <v/>
      </c>
      <c r="X250" s="9" t="str">
        <f>IF($U250="","",SUMIFS(SummaryHelper!$E$2:$E$5000,SummaryHelper!$A$2:$A$5000,$T250,SummaryHelper!$B$2:$B$5000,$U250,SummaryHelper!$C$2:$C$5000,$V250))</f>
        <v/>
      </c>
      <c r="Y250" s="9" t="str">
        <f>IF($U250="","",SUMIFS(SummaryHelper!$F$2:$F$5000,SummaryHelper!$A$2:$A$5000,$T250,SummaryHelper!$B$2:$B$5000,$U250,SummaryHelper!$C$2:$C$5000,$V250))</f>
        <v/>
      </c>
      <c r="Z250" s="9" t="str">
        <f>IF($U250="","",SUMIFS(SummaryHelper!$G$2:$G$5000,SummaryHelper!$A$2:$A$5000,$T250,SummaryHelper!$B$2:$B$5000,$U250,SummaryHelper!$C$2:$C$5000,$V250))</f>
        <v/>
      </c>
      <c r="AB250" s="9" t="str">
        <f t="shared" si="44"/>
        <v/>
      </c>
      <c r="AC250" s="9" t="str">
        <f t="shared" si="45"/>
        <v/>
      </c>
      <c r="AH250" t="str">
        <f>IF($AF250="","",IFERROR(SUMIFS(SummaryHelper!$H$2:$H$5000,SummaryHelper!$A$2:$A$5000,$AE250,SummaryHelper!$B$2:$B$5000,$AF250,SummaryHelper!$C$2:$C$5000,$AG250)/SUMIFS(SummaryHelper!$G$2:$G$5000,SummaryHelper!$A$2:$A$5000,$AE250,SummaryHelper!$B$2:$B$5000,$AF250,SummaryHelper!$C$2:$C$5000,$AG250),""))</f>
        <v/>
      </c>
      <c r="AI250" t="str">
        <f>IF($AF250="","",SUMIFS(SummaryHelper!$E$2:$E$5000,SummaryHelper!$A$2:$A$5000,$AE250,SummaryHelper!$B$2:$B$5000,$AF250,SummaryHelper!$C$2:$C$5000,$AG250))</f>
        <v/>
      </c>
      <c r="AJ250" t="str">
        <f>IF($AF250="","",SUMIFS(SummaryHelper!$F$2:$F$5000,SummaryHelper!$A$2:$A$5000,$AE250,SummaryHelper!$B$2:$B$5000,$AF250,SummaryHelper!$C$2:$C$5000,$AG250))</f>
        <v/>
      </c>
      <c r="AK250" t="str">
        <f>IF($AF250="","",SUMIFS(SummaryHelper!$G$2:$G$5000,SummaryHelper!$A$2:$A$5000,$AE250,SummaryHelper!$B$2:$B$5000,$AF250,SummaryHelper!$C$2:$C$5000,$AG250))</f>
        <v/>
      </c>
      <c r="AM250" t="str">
        <f t="shared" si="46"/>
        <v/>
      </c>
      <c r="AN250" t="str">
        <f t="shared" si="47"/>
        <v/>
      </c>
    </row>
    <row r="251" spans="1:40" x14ac:dyDescent="0.25">
      <c r="A251" s="12"/>
      <c r="B251" s="23" t="str">
        <f t="shared" si="48"/>
        <v/>
      </c>
      <c r="C251" s="9" t="str">
        <f t="shared" ca="1" si="37"/>
        <v/>
      </c>
      <c r="D251" s="9" t="str">
        <f t="shared" ca="1" si="38"/>
        <v/>
      </c>
      <c r="E251" s="9" t="str">
        <f t="shared" ca="1" si="39"/>
        <v/>
      </c>
      <c r="F251" s="9" t="str">
        <f t="shared" si="40"/>
        <v/>
      </c>
      <c r="G251" s="9">
        <f t="shared" si="41"/>
        <v>0</v>
      </c>
      <c r="L251" s="9" t="str">
        <f>IF($J251="","",IFERROR(SUMIFS(SummaryHelper!$H$2:$H$5000,SummaryHelper!$A$2:$A$5000,$I251,SummaryHelper!$B$2:$B$5000,$J251,SummaryHelper!$C$2:$C$5000,$K251)/SUMIFS(SummaryHelper!$G$2:$G$5000,SummaryHelper!$A$2:$A$5000,$I251,SummaryHelper!$B$2:$B$5000,$J251,SummaryHelper!$C$2:$C$5000,$K251),""))</f>
        <v/>
      </c>
      <c r="M251" s="9" t="str">
        <f>IF($J251="","",SUMIFS(SummaryHelper!$E$2:$E$5000,SummaryHelper!$A$2:$A$5000,$I251,SummaryHelper!$B$2:$B$5000,$J251,SummaryHelper!$C$2:$C$5000,$K251))</f>
        <v/>
      </c>
      <c r="N251" s="9" t="str">
        <f>IF($J251="","",SUMIFS(SummaryHelper!$F$2:$F$5000,SummaryHelper!$A$2:$A$5000,$I251,SummaryHelper!$B$2:$B$5000,$J251,SummaryHelper!$C$2:$C$5000,$K251))</f>
        <v/>
      </c>
      <c r="O251" s="9" t="str">
        <f>IF($J251="","",SUMIFS(SummaryHelper!$G$2:$G$5000,SummaryHelper!$A$2:$A$5000,$I251,SummaryHelper!$B$2:$B$5000,$J251,SummaryHelper!$C$2:$C$5000,$K251))</f>
        <v/>
      </c>
      <c r="Q251" s="9" t="str">
        <f t="shared" si="42"/>
        <v/>
      </c>
      <c r="R251" s="9" t="str">
        <f t="shared" si="43"/>
        <v/>
      </c>
      <c r="W251" s="9" t="str">
        <f>IF($U251="","",IFERROR(SUMIFS(SummaryHelper!$H$2:$H$5000,SummaryHelper!$A$2:$A$5000,$T251,SummaryHelper!$B$2:$B$5000,$U251,SummaryHelper!$C$2:$C$5000,$V251)/SUMIFS(SummaryHelper!$G$2:$G$5000,SummaryHelper!$A$2:$A$5000,$T251,SummaryHelper!$B$2:$B$5000,$U251,SummaryHelper!$C$2:$C$5000,$V251),""))</f>
        <v/>
      </c>
      <c r="X251" s="9" t="str">
        <f>IF($U251="","",SUMIFS(SummaryHelper!$E$2:$E$5000,SummaryHelper!$A$2:$A$5000,$T251,SummaryHelper!$B$2:$B$5000,$U251,SummaryHelper!$C$2:$C$5000,$V251))</f>
        <v/>
      </c>
      <c r="Y251" s="9" t="str">
        <f>IF($U251="","",SUMIFS(SummaryHelper!$F$2:$F$5000,SummaryHelper!$A$2:$A$5000,$T251,SummaryHelper!$B$2:$B$5000,$U251,SummaryHelper!$C$2:$C$5000,$V251))</f>
        <v/>
      </c>
      <c r="Z251" s="9" t="str">
        <f>IF($U251="","",SUMIFS(SummaryHelper!$G$2:$G$5000,SummaryHelper!$A$2:$A$5000,$T251,SummaryHelper!$B$2:$B$5000,$U251,SummaryHelper!$C$2:$C$5000,$V251))</f>
        <v/>
      </c>
      <c r="AB251" s="9" t="str">
        <f t="shared" si="44"/>
        <v/>
      </c>
      <c r="AC251" s="9" t="str">
        <f t="shared" si="45"/>
        <v/>
      </c>
      <c r="AH251" t="str">
        <f>IF($AF251="","",IFERROR(SUMIFS(SummaryHelper!$H$2:$H$5000,SummaryHelper!$A$2:$A$5000,$AE251,SummaryHelper!$B$2:$B$5000,$AF251,SummaryHelper!$C$2:$C$5000,$AG251)/SUMIFS(SummaryHelper!$G$2:$G$5000,SummaryHelper!$A$2:$A$5000,$AE251,SummaryHelper!$B$2:$B$5000,$AF251,SummaryHelper!$C$2:$C$5000,$AG251),""))</f>
        <v/>
      </c>
      <c r="AI251" t="str">
        <f>IF($AF251="","",SUMIFS(SummaryHelper!$E$2:$E$5000,SummaryHelper!$A$2:$A$5000,$AE251,SummaryHelper!$B$2:$B$5000,$AF251,SummaryHelper!$C$2:$C$5000,$AG251))</f>
        <v/>
      </c>
      <c r="AJ251" t="str">
        <f>IF($AF251="","",SUMIFS(SummaryHelper!$F$2:$F$5000,SummaryHelper!$A$2:$A$5000,$AE251,SummaryHelper!$B$2:$B$5000,$AF251,SummaryHelper!$C$2:$C$5000,$AG251))</f>
        <v/>
      </c>
      <c r="AK251" t="str">
        <f>IF($AF251="","",SUMIFS(SummaryHelper!$G$2:$G$5000,SummaryHelper!$A$2:$A$5000,$AE251,SummaryHelper!$B$2:$B$5000,$AF251,SummaryHelper!$C$2:$C$5000,$AG251))</f>
        <v/>
      </c>
      <c r="AM251" t="str">
        <f t="shared" si="46"/>
        <v/>
      </c>
      <c r="AN251" t="str">
        <f t="shared" si="47"/>
        <v/>
      </c>
    </row>
    <row r="252" spans="1:40" x14ac:dyDescent="0.25">
      <c r="A252" s="12"/>
      <c r="B252" s="23" t="str">
        <f t="shared" si="48"/>
        <v/>
      </c>
      <c r="C252" s="9" t="str">
        <f t="shared" ca="1" si="37"/>
        <v/>
      </c>
      <c r="D252" s="9" t="str">
        <f t="shared" ca="1" si="38"/>
        <v/>
      </c>
      <c r="E252" s="9" t="str">
        <f t="shared" ca="1" si="39"/>
        <v/>
      </c>
      <c r="F252" s="9" t="str">
        <f t="shared" si="40"/>
        <v/>
      </c>
      <c r="G252" s="9">
        <f t="shared" si="41"/>
        <v>0</v>
      </c>
      <c r="L252" s="9" t="str">
        <f>IF($J252="","",IFERROR(SUMIFS(SummaryHelper!$H$2:$H$5000,SummaryHelper!$A$2:$A$5000,$I252,SummaryHelper!$B$2:$B$5000,$J252,SummaryHelper!$C$2:$C$5000,$K252)/SUMIFS(SummaryHelper!$G$2:$G$5000,SummaryHelper!$A$2:$A$5000,$I252,SummaryHelper!$B$2:$B$5000,$J252,SummaryHelper!$C$2:$C$5000,$K252),""))</f>
        <v/>
      </c>
      <c r="M252" s="9" t="str">
        <f>IF($J252="","",SUMIFS(SummaryHelper!$E$2:$E$5000,SummaryHelper!$A$2:$A$5000,$I252,SummaryHelper!$B$2:$B$5000,$J252,SummaryHelper!$C$2:$C$5000,$K252))</f>
        <v/>
      </c>
      <c r="N252" s="9" t="str">
        <f>IF($J252="","",SUMIFS(SummaryHelper!$F$2:$F$5000,SummaryHelper!$A$2:$A$5000,$I252,SummaryHelper!$B$2:$B$5000,$J252,SummaryHelper!$C$2:$C$5000,$K252))</f>
        <v/>
      </c>
      <c r="O252" s="9" t="str">
        <f>IF($J252="","",SUMIFS(SummaryHelper!$G$2:$G$5000,SummaryHelper!$A$2:$A$5000,$I252,SummaryHelper!$B$2:$B$5000,$J252,SummaryHelper!$C$2:$C$5000,$K252))</f>
        <v/>
      </c>
      <c r="Q252" s="9" t="str">
        <f t="shared" si="42"/>
        <v/>
      </c>
      <c r="R252" s="9" t="str">
        <f t="shared" si="43"/>
        <v/>
      </c>
      <c r="W252" s="9" t="str">
        <f>IF($U252="","",IFERROR(SUMIFS(SummaryHelper!$H$2:$H$5000,SummaryHelper!$A$2:$A$5000,$T252,SummaryHelper!$B$2:$B$5000,$U252,SummaryHelper!$C$2:$C$5000,$V252)/SUMIFS(SummaryHelper!$G$2:$G$5000,SummaryHelper!$A$2:$A$5000,$T252,SummaryHelper!$B$2:$B$5000,$U252,SummaryHelper!$C$2:$C$5000,$V252),""))</f>
        <v/>
      </c>
      <c r="X252" s="9" t="str">
        <f>IF($U252="","",SUMIFS(SummaryHelper!$E$2:$E$5000,SummaryHelper!$A$2:$A$5000,$T252,SummaryHelper!$B$2:$B$5000,$U252,SummaryHelper!$C$2:$C$5000,$V252))</f>
        <v/>
      </c>
      <c r="Y252" s="9" t="str">
        <f>IF($U252="","",SUMIFS(SummaryHelper!$F$2:$F$5000,SummaryHelper!$A$2:$A$5000,$T252,SummaryHelper!$B$2:$B$5000,$U252,SummaryHelper!$C$2:$C$5000,$V252))</f>
        <v/>
      </c>
      <c r="Z252" s="9" t="str">
        <f>IF($U252="","",SUMIFS(SummaryHelper!$G$2:$G$5000,SummaryHelper!$A$2:$A$5000,$T252,SummaryHelper!$B$2:$B$5000,$U252,SummaryHelper!$C$2:$C$5000,$V252))</f>
        <v/>
      </c>
      <c r="AB252" s="9" t="str">
        <f t="shared" si="44"/>
        <v/>
      </c>
      <c r="AC252" s="9" t="str">
        <f t="shared" si="45"/>
        <v/>
      </c>
      <c r="AH252" t="str">
        <f>IF($AF252="","",IFERROR(SUMIFS(SummaryHelper!$H$2:$H$5000,SummaryHelper!$A$2:$A$5000,$AE252,SummaryHelper!$B$2:$B$5000,$AF252,SummaryHelper!$C$2:$C$5000,$AG252)/SUMIFS(SummaryHelper!$G$2:$G$5000,SummaryHelper!$A$2:$A$5000,$AE252,SummaryHelper!$B$2:$B$5000,$AF252,SummaryHelper!$C$2:$C$5000,$AG252),""))</f>
        <v/>
      </c>
      <c r="AI252" t="str">
        <f>IF($AF252="","",SUMIFS(SummaryHelper!$E$2:$E$5000,SummaryHelper!$A$2:$A$5000,$AE252,SummaryHelper!$B$2:$B$5000,$AF252,SummaryHelper!$C$2:$C$5000,$AG252))</f>
        <v/>
      </c>
      <c r="AJ252" t="str">
        <f>IF($AF252="","",SUMIFS(SummaryHelper!$F$2:$F$5000,SummaryHelper!$A$2:$A$5000,$AE252,SummaryHelper!$B$2:$B$5000,$AF252,SummaryHelper!$C$2:$C$5000,$AG252))</f>
        <v/>
      </c>
      <c r="AK252" t="str">
        <f>IF($AF252="","",SUMIFS(SummaryHelper!$G$2:$G$5000,SummaryHelper!$A$2:$A$5000,$AE252,SummaryHelper!$B$2:$B$5000,$AF252,SummaryHelper!$C$2:$C$5000,$AG252))</f>
        <v/>
      </c>
      <c r="AM252" t="str">
        <f t="shared" si="46"/>
        <v/>
      </c>
      <c r="AN252" t="str">
        <f t="shared" si="47"/>
        <v/>
      </c>
    </row>
    <row r="253" spans="1:40" x14ac:dyDescent="0.25">
      <c r="A253" s="12"/>
      <c r="B253" s="23" t="str">
        <f t="shared" si="48"/>
        <v/>
      </c>
      <c r="C253" s="9" t="str">
        <f t="shared" ca="1" si="37"/>
        <v/>
      </c>
      <c r="D253" s="9" t="str">
        <f t="shared" ca="1" si="38"/>
        <v/>
      </c>
      <c r="E253" s="9" t="str">
        <f t="shared" ca="1" si="39"/>
        <v/>
      </c>
      <c r="F253" s="9" t="str">
        <f t="shared" si="40"/>
        <v/>
      </c>
      <c r="G253" s="9">
        <f t="shared" si="41"/>
        <v>0</v>
      </c>
      <c r="L253" s="9" t="str">
        <f>IF($J253="","",IFERROR(SUMIFS(SummaryHelper!$H$2:$H$5000,SummaryHelper!$A$2:$A$5000,$I253,SummaryHelper!$B$2:$B$5000,$J253,SummaryHelper!$C$2:$C$5000,$K253)/SUMIFS(SummaryHelper!$G$2:$G$5000,SummaryHelper!$A$2:$A$5000,$I253,SummaryHelper!$B$2:$B$5000,$J253,SummaryHelper!$C$2:$C$5000,$K253),""))</f>
        <v/>
      </c>
      <c r="M253" s="9" t="str">
        <f>IF($J253="","",SUMIFS(SummaryHelper!$E$2:$E$5000,SummaryHelper!$A$2:$A$5000,$I253,SummaryHelper!$B$2:$B$5000,$J253,SummaryHelper!$C$2:$C$5000,$K253))</f>
        <v/>
      </c>
      <c r="N253" s="9" t="str">
        <f>IF($J253="","",SUMIFS(SummaryHelper!$F$2:$F$5000,SummaryHelper!$A$2:$A$5000,$I253,SummaryHelper!$B$2:$B$5000,$J253,SummaryHelper!$C$2:$C$5000,$K253))</f>
        <v/>
      </c>
      <c r="O253" s="9" t="str">
        <f>IF($J253="","",SUMIFS(SummaryHelper!$G$2:$G$5000,SummaryHelper!$A$2:$A$5000,$I253,SummaryHelper!$B$2:$B$5000,$J253,SummaryHelper!$C$2:$C$5000,$K253))</f>
        <v/>
      </c>
      <c r="Q253" s="9" t="str">
        <f t="shared" si="42"/>
        <v/>
      </c>
      <c r="R253" s="9" t="str">
        <f t="shared" si="43"/>
        <v/>
      </c>
      <c r="W253" s="9" t="str">
        <f>IF($U253="","",IFERROR(SUMIFS(SummaryHelper!$H$2:$H$5000,SummaryHelper!$A$2:$A$5000,$T253,SummaryHelper!$B$2:$B$5000,$U253,SummaryHelper!$C$2:$C$5000,$V253)/SUMIFS(SummaryHelper!$G$2:$G$5000,SummaryHelper!$A$2:$A$5000,$T253,SummaryHelper!$B$2:$B$5000,$U253,SummaryHelper!$C$2:$C$5000,$V253),""))</f>
        <v/>
      </c>
      <c r="X253" s="9" t="str">
        <f>IF($U253="","",SUMIFS(SummaryHelper!$E$2:$E$5000,SummaryHelper!$A$2:$A$5000,$T253,SummaryHelper!$B$2:$B$5000,$U253,SummaryHelper!$C$2:$C$5000,$V253))</f>
        <v/>
      </c>
      <c r="Y253" s="9" t="str">
        <f>IF($U253="","",SUMIFS(SummaryHelper!$F$2:$F$5000,SummaryHelper!$A$2:$A$5000,$T253,SummaryHelper!$B$2:$B$5000,$U253,SummaryHelper!$C$2:$C$5000,$V253))</f>
        <v/>
      </c>
      <c r="Z253" s="9" t="str">
        <f>IF($U253="","",SUMIFS(SummaryHelper!$G$2:$G$5000,SummaryHelper!$A$2:$A$5000,$T253,SummaryHelper!$B$2:$B$5000,$U253,SummaryHelper!$C$2:$C$5000,$V253))</f>
        <v/>
      </c>
      <c r="AB253" s="9" t="str">
        <f t="shared" si="44"/>
        <v/>
      </c>
      <c r="AC253" s="9" t="str">
        <f t="shared" si="45"/>
        <v/>
      </c>
      <c r="AH253" t="str">
        <f>IF($AF253="","",IFERROR(SUMIFS(SummaryHelper!$H$2:$H$5000,SummaryHelper!$A$2:$A$5000,$AE253,SummaryHelper!$B$2:$B$5000,$AF253,SummaryHelper!$C$2:$C$5000,$AG253)/SUMIFS(SummaryHelper!$G$2:$G$5000,SummaryHelper!$A$2:$A$5000,$AE253,SummaryHelper!$B$2:$B$5000,$AF253,SummaryHelper!$C$2:$C$5000,$AG253),""))</f>
        <v/>
      </c>
      <c r="AI253" t="str">
        <f>IF($AF253="","",SUMIFS(SummaryHelper!$E$2:$E$5000,SummaryHelper!$A$2:$A$5000,$AE253,SummaryHelper!$B$2:$B$5000,$AF253,SummaryHelper!$C$2:$C$5000,$AG253))</f>
        <v/>
      </c>
      <c r="AJ253" t="str">
        <f>IF($AF253="","",SUMIFS(SummaryHelper!$F$2:$F$5000,SummaryHelper!$A$2:$A$5000,$AE253,SummaryHelper!$B$2:$B$5000,$AF253,SummaryHelper!$C$2:$C$5000,$AG253))</f>
        <v/>
      </c>
      <c r="AK253" t="str">
        <f>IF($AF253="","",SUMIFS(SummaryHelper!$G$2:$G$5000,SummaryHelper!$A$2:$A$5000,$AE253,SummaryHelper!$B$2:$B$5000,$AF253,SummaryHelper!$C$2:$C$5000,$AG253))</f>
        <v/>
      </c>
      <c r="AM253" t="str">
        <f t="shared" si="46"/>
        <v/>
      </c>
      <c r="AN253" t="str">
        <f t="shared" si="47"/>
        <v/>
      </c>
    </row>
    <row r="254" spans="1:40" x14ac:dyDescent="0.25">
      <c r="A254" s="12"/>
      <c r="B254" s="23" t="str">
        <f t="shared" si="48"/>
        <v/>
      </c>
      <c r="C254" s="9" t="str">
        <f t="shared" ca="1" si="37"/>
        <v/>
      </c>
      <c r="D254" s="9" t="str">
        <f t="shared" ca="1" si="38"/>
        <v/>
      </c>
      <c r="E254" s="9" t="str">
        <f t="shared" ca="1" si="39"/>
        <v/>
      </c>
      <c r="F254" s="9" t="str">
        <f t="shared" si="40"/>
        <v/>
      </c>
      <c r="G254" s="9">
        <f t="shared" si="41"/>
        <v>0</v>
      </c>
      <c r="L254" s="9" t="str">
        <f>IF($J254="","",IFERROR(SUMIFS(SummaryHelper!$H$2:$H$5000,SummaryHelper!$A$2:$A$5000,$I254,SummaryHelper!$B$2:$B$5000,$J254,SummaryHelper!$C$2:$C$5000,$K254)/SUMIFS(SummaryHelper!$G$2:$G$5000,SummaryHelper!$A$2:$A$5000,$I254,SummaryHelper!$B$2:$B$5000,$J254,SummaryHelper!$C$2:$C$5000,$K254),""))</f>
        <v/>
      </c>
      <c r="M254" s="9" t="str">
        <f>IF($J254="","",SUMIFS(SummaryHelper!$E$2:$E$5000,SummaryHelper!$A$2:$A$5000,$I254,SummaryHelper!$B$2:$B$5000,$J254,SummaryHelper!$C$2:$C$5000,$K254))</f>
        <v/>
      </c>
      <c r="N254" s="9" t="str">
        <f>IF($J254="","",SUMIFS(SummaryHelper!$F$2:$F$5000,SummaryHelper!$A$2:$A$5000,$I254,SummaryHelper!$B$2:$B$5000,$J254,SummaryHelper!$C$2:$C$5000,$K254))</f>
        <v/>
      </c>
      <c r="O254" s="9" t="str">
        <f>IF($J254="","",SUMIFS(SummaryHelper!$G$2:$G$5000,SummaryHelper!$A$2:$A$5000,$I254,SummaryHelper!$B$2:$B$5000,$J254,SummaryHelper!$C$2:$C$5000,$K254))</f>
        <v/>
      </c>
      <c r="Q254" s="9" t="str">
        <f t="shared" si="42"/>
        <v/>
      </c>
      <c r="R254" s="9" t="str">
        <f t="shared" si="43"/>
        <v/>
      </c>
      <c r="W254" s="9" t="str">
        <f>IF($U254="","",IFERROR(SUMIFS(SummaryHelper!$H$2:$H$5000,SummaryHelper!$A$2:$A$5000,$T254,SummaryHelper!$B$2:$B$5000,$U254,SummaryHelper!$C$2:$C$5000,$V254)/SUMIFS(SummaryHelper!$G$2:$G$5000,SummaryHelper!$A$2:$A$5000,$T254,SummaryHelper!$B$2:$B$5000,$U254,SummaryHelper!$C$2:$C$5000,$V254),""))</f>
        <v/>
      </c>
      <c r="X254" s="9" t="str">
        <f>IF($U254="","",SUMIFS(SummaryHelper!$E$2:$E$5000,SummaryHelper!$A$2:$A$5000,$T254,SummaryHelper!$B$2:$B$5000,$U254,SummaryHelper!$C$2:$C$5000,$V254))</f>
        <v/>
      </c>
      <c r="Y254" s="9" t="str">
        <f>IF($U254="","",SUMIFS(SummaryHelper!$F$2:$F$5000,SummaryHelper!$A$2:$A$5000,$T254,SummaryHelper!$B$2:$B$5000,$U254,SummaryHelper!$C$2:$C$5000,$V254))</f>
        <v/>
      </c>
      <c r="Z254" s="9" t="str">
        <f>IF($U254="","",SUMIFS(SummaryHelper!$G$2:$G$5000,SummaryHelper!$A$2:$A$5000,$T254,SummaryHelper!$B$2:$B$5000,$U254,SummaryHelper!$C$2:$C$5000,$V254))</f>
        <v/>
      </c>
      <c r="AB254" s="9" t="str">
        <f t="shared" si="44"/>
        <v/>
      </c>
      <c r="AC254" s="9" t="str">
        <f t="shared" si="45"/>
        <v/>
      </c>
      <c r="AH254" t="str">
        <f>IF($AF254="","",IFERROR(SUMIFS(SummaryHelper!$H$2:$H$5000,SummaryHelper!$A$2:$A$5000,$AE254,SummaryHelper!$B$2:$B$5000,$AF254,SummaryHelper!$C$2:$C$5000,$AG254)/SUMIFS(SummaryHelper!$G$2:$G$5000,SummaryHelper!$A$2:$A$5000,$AE254,SummaryHelper!$B$2:$B$5000,$AF254,SummaryHelper!$C$2:$C$5000,$AG254),""))</f>
        <v/>
      </c>
      <c r="AI254" t="str">
        <f>IF($AF254="","",SUMIFS(SummaryHelper!$E$2:$E$5000,SummaryHelper!$A$2:$A$5000,$AE254,SummaryHelper!$B$2:$B$5000,$AF254,SummaryHelper!$C$2:$C$5000,$AG254))</f>
        <v/>
      </c>
      <c r="AJ254" t="str">
        <f>IF($AF254="","",SUMIFS(SummaryHelper!$F$2:$F$5000,SummaryHelper!$A$2:$A$5000,$AE254,SummaryHelper!$B$2:$B$5000,$AF254,SummaryHelper!$C$2:$C$5000,$AG254))</f>
        <v/>
      </c>
      <c r="AK254" t="str">
        <f>IF($AF254="","",SUMIFS(SummaryHelper!$G$2:$G$5000,SummaryHelper!$A$2:$A$5000,$AE254,SummaryHelper!$B$2:$B$5000,$AF254,SummaryHelper!$C$2:$C$5000,$AG254))</f>
        <v/>
      </c>
      <c r="AM254" t="str">
        <f t="shared" si="46"/>
        <v/>
      </c>
      <c r="AN254" t="str">
        <f t="shared" si="47"/>
        <v/>
      </c>
    </row>
    <row r="255" spans="1:40" x14ac:dyDescent="0.25">
      <c r="A255" s="12"/>
      <c r="B255" s="23" t="str">
        <f t="shared" si="48"/>
        <v/>
      </c>
      <c r="C255" s="9" t="str">
        <f t="shared" ca="1" si="37"/>
        <v/>
      </c>
      <c r="D255" s="9" t="str">
        <f t="shared" ca="1" si="38"/>
        <v/>
      </c>
      <c r="E255" s="9" t="str">
        <f t="shared" ca="1" si="39"/>
        <v/>
      </c>
      <c r="F255" s="9" t="str">
        <f t="shared" si="40"/>
        <v/>
      </c>
      <c r="G255" s="9">
        <f t="shared" si="41"/>
        <v>0</v>
      </c>
      <c r="L255" s="9" t="str">
        <f>IF($J255="","",IFERROR(SUMIFS(SummaryHelper!$H$2:$H$5000,SummaryHelper!$A$2:$A$5000,$I255,SummaryHelper!$B$2:$B$5000,$J255,SummaryHelper!$C$2:$C$5000,$K255)/SUMIFS(SummaryHelper!$G$2:$G$5000,SummaryHelper!$A$2:$A$5000,$I255,SummaryHelper!$B$2:$B$5000,$J255,SummaryHelper!$C$2:$C$5000,$K255),""))</f>
        <v/>
      </c>
      <c r="M255" s="9" t="str">
        <f>IF($J255="","",SUMIFS(SummaryHelper!$E$2:$E$5000,SummaryHelper!$A$2:$A$5000,$I255,SummaryHelper!$B$2:$B$5000,$J255,SummaryHelper!$C$2:$C$5000,$K255))</f>
        <v/>
      </c>
      <c r="N255" s="9" t="str">
        <f>IF($J255="","",SUMIFS(SummaryHelper!$F$2:$F$5000,SummaryHelper!$A$2:$A$5000,$I255,SummaryHelper!$B$2:$B$5000,$J255,SummaryHelper!$C$2:$C$5000,$K255))</f>
        <v/>
      </c>
      <c r="O255" s="9" t="str">
        <f>IF($J255="","",SUMIFS(SummaryHelper!$G$2:$G$5000,SummaryHelper!$A$2:$A$5000,$I255,SummaryHelper!$B$2:$B$5000,$J255,SummaryHelper!$C$2:$C$5000,$K255))</f>
        <v/>
      </c>
      <c r="Q255" s="9" t="str">
        <f t="shared" si="42"/>
        <v/>
      </c>
      <c r="R255" s="9" t="str">
        <f t="shared" si="43"/>
        <v/>
      </c>
      <c r="W255" s="9" t="str">
        <f>IF($U255="","",IFERROR(SUMIFS(SummaryHelper!$H$2:$H$5000,SummaryHelper!$A$2:$A$5000,$T255,SummaryHelper!$B$2:$B$5000,$U255,SummaryHelper!$C$2:$C$5000,$V255)/SUMIFS(SummaryHelper!$G$2:$G$5000,SummaryHelper!$A$2:$A$5000,$T255,SummaryHelper!$B$2:$B$5000,$U255,SummaryHelper!$C$2:$C$5000,$V255),""))</f>
        <v/>
      </c>
      <c r="X255" s="9" t="str">
        <f>IF($U255="","",SUMIFS(SummaryHelper!$E$2:$E$5000,SummaryHelper!$A$2:$A$5000,$T255,SummaryHelper!$B$2:$B$5000,$U255,SummaryHelper!$C$2:$C$5000,$V255))</f>
        <v/>
      </c>
      <c r="Y255" s="9" t="str">
        <f>IF($U255="","",SUMIFS(SummaryHelper!$F$2:$F$5000,SummaryHelper!$A$2:$A$5000,$T255,SummaryHelper!$B$2:$B$5000,$U255,SummaryHelper!$C$2:$C$5000,$V255))</f>
        <v/>
      </c>
      <c r="Z255" s="9" t="str">
        <f>IF($U255="","",SUMIFS(SummaryHelper!$G$2:$G$5000,SummaryHelper!$A$2:$A$5000,$T255,SummaryHelper!$B$2:$B$5000,$U255,SummaryHelper!$C$2:$C$5000,$V255))</f>
        <v/>
      </c>
      <c r="AB255" s="9" t="str">
        <f t="shared" si="44"/>
        <v/>
      </c>
      <c r="AC255" s="9" t="str">
        <f t="shared" si="45"/>
        <v/>
      </c>
      <c r="AH255" t="str">
        <f>IF($AF255="","",IFERROR(SUMIFS(SummaryHelper!$H$2:$H$5000,SummaryHelper!$A$2:$A$5000,$AE255,SummaryHelper!$B$2:$B$5000,$AF255,SummaryHelper!$C$2:$C$5000,$AG255)/SUMIFS(SummaryHelper!$G$2:$G$5000,SummaryHelper!$A$2:$A$5000,$AE255,SummaryHelper!$B$2:$B$5000,$AF255,SummaryHelper!$C$2:$C$5000,$AG255),""))</f>
        <v/>
      </c>
      <c r="AI255" t="str">
        <f>IF($AF255="","",SUMIFS(SummaryHelper!$E$2:$E$5000,SummaryHelper!$A$2:$A$5000,$AE255,SummaryHelper!$B$2:$B$5000,$AF255,SummaryHelper!$C$2:$C$5000,$AG255))</f>
        <v/>
      </c>
      <c r="AJ255" t="str">
        <f>IF($AF255="","",SUMIFS(SummaryHelper!$F$2:$F$5000,SummaryHelper!$A$2:$A$5000,$AE255,SummaryHelper!$B$2:$B$5000,$AF255,SummaryHelper!$C$2:$C$5000,$AG255))</f>
        <v/>
      </c>
      <c r="AK255" t="str">
        <f>IF($AF255="","",SUMIFS(SummaryHelper!$G$2:$G$5000,SummaryHelper!$A$2:$A$5000,$AE255,SummaryHelper!$B$2:$B$5000,$AF255,SummaryHelper!$C$2:$C$5000,$AG255))</f>
        <v/>
      </c>
      <c r="AM255" t="str">
        <f t="shared" si="46"/>
        <v/>
      </c>
      <c r="AN255" t="str">
        <f t="shared" si="47"/>
        <v/>
      </c>
    </row>
    <row r="256" spans="1:40" x14ac:dyDescent="0.25">
      <c r="A256" s="12"/>
      <c r="B256" s="23" t="str">
        <f t="shared" si="48"/>
        <v/>
      </c>
      <c r="C256" s="9" t="str">
        <f t="shared" ca="1" si="37"/>
        <v/>
      </c>
      <c r="D256" s="9" t="str">
        <f t="shared" ca="1" si="38"/>
        <v/>
      </c>
      <c r="E256" s="9" t="str">
        <f t="shared" ca="1" si="39"/>
        <v/>
      </c>
      <c r="F256" s="9" t="str">
        <f t="shared" si="40"/>
        <v/>
      </c>
      <c r="G256" s="9">
        <f t="shared" si="41"/>
        <v>0</v>
      </c>
      <c r="L256" s="9" t="str">
        <f>IF($J256="","",IFERROR(SUMIFS(SummaryHelper!$H$2:$H$5000,SummaryHelper!$A$2:$A$5000,$I256,SummaryHelper!$B$2:$B$5000,$J256,SummaryHelper!$C$2:$C$5000,$K256)/SUMIFS(SummaryHelper!$G$2:$G$5000,SummaryHelper!$A$2:$A$5000,$I256,SummaryHelper!$B$2:$B$5000,$J256,SummaryHelper!$C$2:$C$5000,$K256),""))</f>
        <v/>
      </c>
      <c r="M256" s="9" t="str">
        <f>IF($J256="","",SUMIFS(SummaryHelper!$E$2:$E$5000,SummaryHelper!$A$2:$A$5000,$I256,SummaryHelper!$B$2:$B$5000,$J256,SummaryHelper!$C$2:$C$5000,$K256))</f>
        <v/>
      </c>
      <c r="N256" s="9" t="str">
        <f>IF($J256="","",SUMIFS(SummaryHelper!$F$2:$F$5000,SummaryHelper!$A$2:$A$5000,$I256,SummaryHelper!$B$2:$B$5000,$J256,SummaryHelper!$C$2:$C$5000,$K256))</f>
        <v/>
      </c>
      <c r="O256" s="9" t="str">
        <f>IF($J256="","",SUMIFS(SummaryHelper!$G$2:$G$5000,SummaryHelper!$A$2:$A$5000,$I256,SummaryHelper!$B$2:$B$5000,$J256,SummaryHelper!$C$2:$C$5000,$K256))</f>
        <v/>
      </c>
      <c r="Q256" s="9" t="str">
        <f t="shared" si="42"/>
        <v/>
      </c>
      <c r="R256" s="9" t="str">
        <f t="shared" si="43"/>
        <v/>
      </c>
      <c r="W256" s="9" t="str">
        <f>IF($U256="","",IFERROR(SUMIFS(SummaryHelper!$H$2:$H$5000,SummaryHelper!$A$2:$A$5000,$T256,SummaryHelper!$B$2:$B$5000,$U256,SummaryHelper!$C$2:$C$5000,$V256)/SUMIFS(SummaryHelper!$G$2:$G$5000,SummaryHelper!$A$2:$A$5000,$T256,SummaryHelper!$B$2:$B$5000,$U256,SummaryHelper!$C$2:$C$5000,$V256),""))</f>
        <v/>
      </c>
      <c r="X256" s="9" t="str">
        <f>IF($U256="","",SUMIFS(SummaryHelper!$E$2:$E$5000,SummaryHelper!$A$2:$A$5000,$T256,SummaryHelper!$B$2:$B$5000,$U256,SummaryHelper!$C$2:$C$5000,$V256))</f>
        <v/>
      </c>
      <c r="Y256" s="9" t="str">
        <f>IF($U256="","",SUMIFS(SummaryHelper!$F$2:$F$5000,SummaryHelper!$A$2:$A$5000,$T256,SummaryHelper!$B$2:$B$5000,$U256,SummaryHelper!$C$2:$C$5000,$V256))</f>
        <v/>
      </c>
      <c r="Z256" s="9" t="str">
        <f>IF($U256="","",SUMIFS(SummaryHelper!$G$2:$G$5000,SummaryHelper!$A$2:$A$5000,$T256,SummaryHelper!$B$2:$B$5000,$U256,SummaryHelper!$C$2:$C$5000,$V256))</f>
        <v/>
      </c>
      <c r="AB256" s="9" t="str">
        <f t="shared" si="44"/>
        <v/>
      </c>
      <c r="AC256" s="9" t="str">
        <f t="shared" si="45"/>
        <v/>
      </c>
      <c r="AH256" t="str">
        <f>IF($AF256="","",IFERROR(SUMIFS(SummaryHelper!$H$2:$H$5000,SummaryHelper!$A$2:$A$5000,$AE256,SummaryHelper!$B$2:$B$5000,$AF256,SummaryHelper!$C$2:$C$5000,$AG256)/SUMIFS(SummaryHelper!$G$2:$G$5000,SummaryHelper!$A$2:$A$5000,$AE256,SummaryHelper!$B$2:$B$5000,$AF256,SummaryHelper!$C$2:$C$5000,$AG256),""))</f>
        <v/>
      </c>
      <c r="AI256" t="str">
        <f>IF($AF256="","",SUMIFS(SummaryHelper!$E$2:$E$5000,SummaryHelper!$A$2:$A$5000,$AE256,SummaryHelper!$B$2:$B$5000,$AF256,SummaryHelper!$C$2:$C$5000,$AG256))</f>
        <v/>
      </c>
      <c r="AJ256" t="str">
        <f>IF($AF256="","",SUMIFS(SummaryHelper!$F$2:$F$5000,SummaryHelper!$A$2:$A$5000,$AE256,SummaryHelper!$B$2:$B$5000,$AF256,SummaryHelper!$C$2:$C$5000,$AG256))</f>
        <v/>
      </c>
      <c r="AK256" t="str">
        <f>IF($AF256="","",SUMIFS(SummaryHelper!$G$2:$G$5000,SummaryHelper!$A$2:$A$5000,$AE256,SummaryHelper!$B$2:$B$5000,$AF256,SummaryHelper!$C$2:$C$5000,$AG256))</f>
        <v/>
      </c>
      <c r="AM256" t="str">
        <f t="shared" si="46"/>
        <v/>
      </c>
      <c r="AN256" t="str">
        <f t="shared" si="47"/>
        <v/>
      </c>
    </row>
    <row r="257" spans="1:40" x14ac:dyDescent="0.25">
      <c r="A257" s="12"/>
      <c r="B257" s="23" t="str">
        <f t="shared" si="48"/>
        <v/>
      </c>
      <c r="C257" s="9" t="str">
        <f t="shared" ca="1" si="37"/>
        <v/>
      </c>
      <c r="D257" s="9" t="str">
        <f t="shared" ca="1" si="38"/>
        <v/>
      </c>
      <c r="E257" s="9" t="str">
        <f t="shared" ca="1" si="39"/>
        <v/>
      </c>
      <c r="F257" s="9" t="str">
        <f t="shared" si="40"/>
        <v/>
      </c>
      <c r="G257" s="9">
        <f t="shared" si="41"/>
        <v>0</v>
      </c>
      <c r="L257" s="9" t="str">
        <f>IF($J257="","",IFERROR(SUMIFS(SummaryHelper!$H$2:$H$5000,SummaryHelper!$A$2:$A$5000,$I257,SummaryHelper!$B$2:$B$5000,$J257,SummaryHelper!$C$2:$C$5000,$K257)/SUMIFS(SummaryHelper!$G$2:$G$5000,SummaryHelper!$A$2:$A$5000,$I257,SummaryHelper!$B$2:$B$5000,$J257,SummaryHelper!$C$2:$C$5000,$K257),""))</f>
        <v/>
      </c>
      <c r="M257" s="9" t="str">
        <f>IF($J257="","",SUMIFS(SummaryHelper!$E$2:$E$5000,SummaryHelper!$A$2:$A$5000,$I257,SummaryHelper!$B$2:$B$5000,$J257,SummaryHelper!$C$2:$C$5000,$K257))</f>
        <v/>
      </c>
      <c r="N257" s="9" t="str">
        <f>IF($J257="","",SUMIFS(SummaryHelper!$F$2:$F$5000,SummaryHelper!$A$2:$A$5000,$I257,SummaryHelper!$B$2:$B$5000,$J257,SummaryHelper!$C$2:$C$5000,$K257))</f>
        <v/>
      </c>
      <c r="O257" s="9" t="str">
        <f>IF($J257="","",SUMIFS(SummaryHelper!$G$2:$G$5000,SummaryHelper!$A$2:$A$5000,$I257,SummaryHelper!$B$2:$B$5000,$J257,SummaryHelper!$C$2:$C$5000,$K257))</f>
        <v/>
      </c>
      <c r="Q257" s="9" t="str">
        <f t="shared" si="42"/>
        <v/>
      </c>
      <c r="R257" s="9" t="str">
        <f t="shared" si="43"/>
        <v/>
      </c>
      <c r="W257" s="9" t="str">
        <f>IF($U257="","",IFERROR(SUMIFS(SummaryHelper!$H$2:$H$5000,SummaryHelper!$A$2:$A$5000,$T257,SummaryHelper!$B$2:$B$5000,$U257,SummaryHelper!$C$2:$C$5000,$V257)/SUMIFS(SummaryHelper!$G$2:$G$5000,SummaryHelper!$A$2:$A$5000,$T257,SummaryHelper!$B$2:$B$5000,$U257,SummaryHelper!$C$2:$C$5000,$V257),""))</f>
        <v/>
      </c>
      <c r="X257" s="9" t="str">
        <f>IF($U257="","",SUMIFS(SummaryHelper!$E$2:$E$5000,SummaryHelper!$A$2:$A$5000,$T257,SummaryHelper!$B$2:$B$5000,$U257,SummaryHelper!$C$2:$C$5000,$V257))</f>
        <v/>
      </c>
      <c r="Y257" s="9" t="str">
        <f>IF($U257="","",SUMIFS(SummaryHelper!$F$2:$F$5000,SummaryHelper!$A$2:$A$5000,$T257,SummaryHelper!$B$2:$B$5000,$U257,SummaryHelper!$C$2:$C$5000,$V257))</f>
        <v/>
      </c>
      <c r="Z257" s="9" t="str">
        <f>IF($U257="","",SUMIFS(SummaryHelper!$G$2:$G$5000,SummaryHelper!$A$2:$A$5000,$T257,SummaryHelper!$B$2:$B$5000,$U257,SummaryHelper!$C$2:$C$5000,$V257))</f>
        <v/>
      </c>
      <c r="AB257" s="9" t="str">
        <f t="shared" si="44"/>
        <v/>
      </c>
      <c r="AC257" s="9" t="str">
        <f t="shared" si="45"/>
        <v/>
      </c>
      <c r="AH257" t="str">
        <f>IF($AF257="","",IFERROR(SUMIFS(SummaryHelper!$H$2:$H$5000,SummaryHelper!$A$2:$A$5000,$AE257,SummaryHelper!$B$2:$B$5000,$AF257,SummaryHelper!$C$2:$C$5000,$AG257)/SUMIFS(SummaryHelper!$G$2:$G$5000,SummaryHelper!$A$2:$A$5000,$AE257,SummaryHelper!$B$2:$B$5000,$AF257,SummaryHelper!$C$2:$C$5000,$AG257),""))</f>
        <v/>
      </c>
      <c r="AI257" t="str">
        <f>IF($AF257="","",SUMIFS(SummaryHelper!$E$2:$E$5000,SummaryHelper!$A$2:$A$5000,$AE257,SummaryHelper!$B$2:$B$5000,$AF257,SummaryHelper!$C$2:$C$5000,$AG257))</f>
        <v/>
      </c>
      <c r="AJ257" t="str">
        <f>IF($AF257="","",SUMIFS(SummaryHelper!$F$2:$F$5000,SummaryHelper!$A$2:$A$5000,$AE257,SummaryHelper!$B$2:$B$5000,$AF257,SummaryHelper!$C$2:$C$5000,$AG257))</f>
        <v/>
      </c>
      <c r="AK257" t="str">
        <f>IF($AF257="","",SUMIFS(SummaryHelper!$G$2:$G$5000,SummaryHelper!$A$2:$A$5000,$AE257,SummaryHelper!$B$2:$B$5000,$AF257,SummaryHelper!$C$2:$C$5000,$AG257))</f>
        <v/>
      </c>
      <c r="AM257" t="str">
        <f t="shared" si="46"/>
        <v/>
      </c>
      <c r="AN257" t="str">
        <f t="shared" si="47"/>
        <v/>
      </c>
    </row>
    <row r="258" spans="1:40" x14ac:dyDescent="0.25">
      <c r="A258" s="12"/>
      <c r="B258" s="23" t="str">
        <f t="shared" si="48"/>
        <v/>
      </c>
      <c r="C258" s="9" t="str">
        <f t="shared" ca="1" si="37"/>
        <v/>
      </c>
      <c r="D258" s="9" t="str">
        <f t="shared" ca="1" si="38"/>
        <v/>
      </c>
      <c r="E258" s="9" t="str">
        <f t="shared" ca="1" si="39"/>
        <v/>
      </c>
      <c r="F258" s="9" t="str">
        <f t="shared" si="40"/>
        <v/>
      </c>
      <c r="G258" s="9">
        <f t="shared" si="41"/>
        <v>0</v>
      </c>
      <c r="L258" s="9" t="str">
        <f>IF($J258="","",IFERROR(SUMIFS(SummaryHelper!$H$2:$H$5000,SummaryHelper!$A$2:$A$5000,$I258,SummaryHelper!$B$2:$B$5000,$J258,SummaryHelper!$C$2:$C$5000,$K258)/SUMIFS(SummaryHelper!$G$2:$G$5000,SummaryHelper!$A$2:$A$5000,$I258,SummaryHelper!$B$2:$B$5000,$J258,SummaryHelper!$C$2:$C$5000,$K258),""))</f>
        <v/>
      </c>
      <c r="M258" s="9" t="str">
        <f>IF($J258="","",SUMIFS(SummaryHelper!$E$2:$E$5000,SummaryHelper!$A$2:$A$5000,$I258,SummaryHelper!$B$2:$B$5000,$J258,SummaryHelper!$C$2:$C$5000,$K258))</f>
        <v/>
      </c>
      <c r="N258" s="9" t="str">
        <f>IF($J258="","",SUMIFS(SummaryHelper!$F$2:$F$5000,SummaryHelper!$A$2:$A$5000,$I258,SummaryHelper!$B$2:$B$5000,$J258,SummaryHelper!$C$2:$C$5000,$K258))</f>
        <v/>
      </c>
      <c r="O258" s="9" t="str">
        <f>IF($J258="","",SUMIFS(SummaryHelper!$G$2:$G$5000,SummaryHelper!$A$2:$A$5000,$I258,SummaryHelper!$B$2:$B$5000,$J258,SummaryHelper!$C$2:$C$5000,$K258))</f>
        <v/>
      </c>
      <c r="Q258" s="9" t="str">
        <f t="shared" si="42"/>
        <v/>
      </c>
      <c r="R258" s="9" t="str">
        <f t="shared" si="43"/>
        <v/>
      </c>
      <c r="W258" s="9" t="str">
        <f>IF($U258="","",IFERROR(SUMIFS(SummaryHelper!$H$2:$H$5000,SummaryHelper!$A$2:$A$5000,$T258,SummaryHelper!$B$2:$B$5000,$U258,SummaryHelper!$C$2:$C$5000,$V258)/SUMIFS(SummaryHelper!$G$2:$G$5000,SummaryHelper!$A$2:$A$5000,$T258,SummaryHelper!$B$2:$B$5000,$U258,SummaryHelper!$C$2:$C$5000,$V258),""))</f>
        <v/>
      </c>
      <c r="X258" s="9" t="str">
        <f>IF($U258="","",SUMIFS(SummaryHelper!$E$2:$E$5000,SummaryHelper!$A$2:$A$5000,$T258,SummaryHelper!$B$2:$B$5000,$U258,SummaryHelper!$C$2:$C$5000,$V258))</f>
        <v/>
      </c>
      <c r="Y258" s="9" t="str">
        <f>IF($U258="","",SUMIFS(SummaryHelper!$F$2:$F$5000,SummaryHelper!$A$2:$A$5000,$T258,SummaryHelper!$B$2:$B$5000,$U258,SummaryHelper!$C$2:$C$5000,$V258))</f>
        <v/>
      </c>
      <c r="Z258" s="9" t="str">
        <f>IF($U258="","",SUMIFS(SummaryHelper!$G$2:$G$5000,SummaryHelper!$A$2:$A$5000,$T258,SummaryHelper!$B$2:$B$5000,$U258,SummaryHelper!$C$2:$C$5000,$V258))</f>
        <v/>
      </c>
      <c r="AB258" s="9" t="str">
        <f t="shared" si="44"/>
        <v/>
      </c>
      <c r="AC258" s="9" t="str">
        <f t="shared" si="45"/>
        <v/>
      </c>
      <c r="AH258" t="str">
        <f>IF($AF258="","",IFERROR(SUMIFS(SummaryHelper!$H$2:$H$5000,SummaryHelper!$A$2:$A$5000,$AE258,SummaryHelper!$B$2:$B$5000,$AF258,SummaryHelper!$C$2:$C$5000,$AG258)/SUMIFS(SummaryHelper!$G$2:$G$5000,SummaryHelper!$A$2:$A$5000,$AE258,SummaryHelper!$B$2:$B$5000,$AF258,SummaryHelper!$C$2:$C$5000,$AG258),""))</f>
        <v/>
      </c>
      <c r="AI258" t="str">
        <f>IF($AF258="","",SUMIFS(SummaryHelper!$E$2:$E$5000,SummaryHelper!$A$2:$A$5000,$AE258,SummaryHelper!$B$2:$B$5000,$AF258,SummaryHelper!$C$2:$C$5000,$AG258))</f>
        <v/>
      </c>
      <c r="AJ258" t="str">
        <f>IF($AF258="","",SUMIFS(SummaryHelper!$F$2:$F$5000,SummaryHelper!$A$2:$A$5000,$AE258,SummaryHelper!$B$2:$B$5000,$AF258,SummaryHelper!$C$2:$C$5000,$AG258))</f>
        <v/>
      </c>
      <c r="AK258" t="str">
        <f>IF($AF258="","",SUMIFS(SummaryHelper!$G$2:$G$5000,SummaryHelper!$A$2:$A$5000,$AE258,SummaryHelper!$B$2:$B$5000,$AF258,SummaryHelper!$C$2:$C$5000,$AG258))</f>
        <v/>
      </c>
      <c r="AM258" t="str">
        <f t="shared" si="46"/>
        <v/>
      </c>
      <c r="AN258" t="str">
        <f t="shared" si="47"/>
        <v/>
      </c>
    </row>
    <row r="259" spans="1:40" x14ac:dyDescent="0.25">
      <c r="A259" s="12"/>
      <c r="B259" s="23" t="str">
        <f t="shared" si="48"/>
        <v/>
      </c>
      <c r="C259" s="9" t="str">
        <f t="shared" ca="1" si="37"/>
        <v/>
      </c>
      <c r="D259" s="9" t="str">
        <f t="shared" ca="1" si="38"/>
        <v/>
      </c>
      <c r="E259" s="9" t="str">
        <f t="shared" ca="1" si="39"/>
        <v/>
      </c>
      <c r="F259" s="9" t="str">
        <f t="shared" si="40"/>
        <v/>
      </c>
      <c r="G259" s="9">
        <f t="shared" si="41"/>
        <v>0</v>
      </c>
      <c r="L259" s="9" t="str">
        <f>IF($J259="","",IFERROR(SUMIFS(SummaryHelper!$H$2:$H$5000,SummaryHelper!$A$2:$A$5000,$I259,SummaryHelper!$B$2:$B$5000,$J259,SummaryHelper!$C$2:$C$5000,$K259)/SUMIFS(SummaryHelper!$G$2:$G$5000,SummaryHelper!$A$2:$A$5000,$I259,SummaryHelper!$B$2:$B$5000,$J259,SummaryHelper!$C$2:$C$5000,$K259),""))</f>
        <v/>
      </c>
      <c r="M259" s="9" t="str">
        <f>IF($J259="","",SUMIFS(SummaryHelper!$E$2:$E$5000,SummaryHelper!$A$2:$A$5000,$I259,SummaryHelper!$B$2:$B$5000,$J259,SummaryHelper!$C$2:$C$5000,$K259))</f>
        <v/>
      </c>
      <c r="N259" s="9" t="str">
        <f>IF($J259="","",SUMIFS(SummaryHelper!$F$2:$F$5000,SummaryHelper!$A$2:$A$5000,$I259,SummaryHelper!$B$2:$B$5000,$J259,SummaryHelper!$C$2:$C$5000,$K259))</f>
        <v/>
      </c>
      <c r="O259" s="9" t="str">
        <f>IF($J259="","",SUMIFS(SummaryHelper!$G$2:$G$5000,SummaryHelper!$A$2:$A$5000,$I259,SummaryHelper!$B$2:$B$5000,$J259,SummaryHelper!$C$2:$C$5000,$K259))</f>
        <v/>
      </c>
      <c r="Q259" s="9" t="str">
        <f t="shared" si="42"/>
        <v/>
      </c>
      <c r="R259" s="9" t="str">
        <f t="shared" si="43"/>
        <v/>
      </c>
      <c r="W259" s="9" t="str">
        <f>IF($U259="","",IFERROR(SUMIFS(SummaryHelper!$H$2:$H$5000,SummaryHelper!$A$2:$A$5000,$T259,SummaryHelper!$B$2:$B$5000,$U259,SummaryHelper!$C$2:$C$5000,$V259)/SUMIFS(SummaryHelper!$G$2:$G$5000,SummaryHelper!$A$2:$A$5000,$T259,SummaryHelper!$B$2:$B$5000,$U259,SummaryHelper!$C$2:$C$5000,$V259),""))</f>
        <v/>
      </c>
      <c r="X259" s="9" t="str">
        <f>IF($U259="","",SUMIFS(SummaryHelper!$E$2:$E$5000,SummaryHelper!$A$2:$A$5000,$T259,SummaryHelper!$B$2:$B$5000,$U259,SummaryHelper!$C$2:$C$5000,$V259))</f>
        <v/>
      </c>
      <c r="Y259" s="9" t="str">
        <f>IF($U259="","",SUMIFS(SummaryHelper!$F$2:$F$5000,SummaryHelper!$A$2:$A$5000,$T259,SummaryHelper!$B$2:$B$5000,$U259,SummaryHelper!$C$2:$C$5000,$V259))</f>
        <v/>
      </c>
      <c r="Z259" s="9" t="str">
        <f>IF($U259="","",SUMIFS(SummaryHelper!$G$2:$G$5000,SummaryHelper!$A$2:$A$5000,$T259,SummaryHelper!$B$2:$B$5000,$U259,SummaryHelper!$C$2:$C$5000,$V259))</f>
        <v/>
      </c>
      <c r="AB259" s="9" t="str">
        <f t="shared" si="44"/>
        <v/>
      </c>
      <c r="AC259" s="9" t="str">
        <f t="shared" si="45"/>
        <v/>
      </c>
      <c r="AH259" t="str">
        <f>IF($AF259="","",IFERROR(SUMIFS(SummaryHelper!$H$2:$H$5000,SummaryHelper!$A$2:$A$5000,$AE259,SummaryHelper!$B$2:$B$5000,$AF259,SummaryHelper!$C$2:$C$5000,$AG259)/SUMIFS(SummaryHelper!$G$2:$G$5000,SummaryHelper!$A$2:$A$5000,$AE259,SummaryHelper!$B$2:$B$5000,$AF259,SummaryHelper!$C$2:$C$5000,$AG259),""))</f>
        <v/>
      </c>
      <c r="AI259" t="str">
        <f>IF($AF259="","",SUMIFS(SummaryHelper!$E$2:$E$5000,SummaryHelper!$A$2:$A$5000,$AE259,SummaryHelper!$B$2:$B$5000,$AF259,SummaryHelper!$C$2:$C$5000,$AG259))</f>
        <v/>
      </c>
      <c r="AJ259" t="str">
        <f>IF($AF259="","",SUMIFS(SummaryHelper!$F$2:$F$5000,SummaryHelper!$A$2:$A$5000,$AE259,SummaryHelper!$B$2:$B$5000,$AF259,SummaryHelper!$C$2:$C$5000,$AG259))</f>
        <v/>
      </c>
      <c r="AK259" t="str">
        <f>IF($AF259="","",SUMIFS(SummaryHelper!$G$2:$G$5000,SummaryHelper!$A$2:$A$5000,$AE259,SummaryHelper!$B$2:$B$5000,$AF259,SummaryHelper!$C$2:$C$5000,$AG259))</f>
        <v/>
      </c>
      <c r="AM259" t="str">
        <f t="shared" si="46"/>
        <v/>
      </c>
      <c r="AN259" t="str">
        <f t="shared" si="47"/>
        <v/>
      </c>
    </row>
    <row r="260" spans="1:40" x14ac:dyDescent="0.25">
      <c r="A260" s="12"/>
      <c r="B260" s="23" t="str">
        <f t="shared" si="48"/>
        <v/>
      </c>
      <c r="C260" s="9" t="str">
        <f t="shared" ref="C260:C300" ca="1" si="49">_xlfn.LET(_xlpm.sh,IFERROR(MID($B260,SEARCH("S",$B260),3),$B260),IF($B260="","",IFERROR(SUMIFS(INDIRECT("'"&amp;_xlpm.sh&amp;"'!N3:N300"),INDIRECT("'"&amp;_xlpm.sh&amp;"'!F3:F300"),"&lt;&gt;",INDIRECT("'"&amp;_xlpm.sh&amp;"'!H3:H300"),"&lt;&gt;"),0)))</f>
        <v/>
      </c>
      <c r="D260" s="9" t="str">
        <f t="shared" ref="D260:D300" ca="1" si="50">_xlfn.LET(_xlpm.sh,IFERROR(MID($B260,SEARCH("S",$B260),3),$B260),IF($B260="","",IFERROR(SUMIFS(INDIRECT("'"&amp;_xlpm.sh&amp;"'!Y3:Y300"),INDIRECT("'"&amp;_xlpm.sh&amp;"'!Q3:Q300"),"&lt;&gt;",INDIRECT("'"&amp;_xlpm.sh&amp;"'!S3:S300"),"&lt;&gt;"),0)))</f>
        <v/>
      </c>
      <c r="E260" s="9" t="str">
        <f t="shared" ref="E260:E300" ca="1" si="51">_xlfn.LET(_xlpm.sh,IFERROR(MID($B260,SEARCH("S",$B260),3),$B260),IF($B260="","",IFERROR(SUMIFS(INDIRECT("'"&amp;_xlpm.sh&amp;"'!AJ3:AJ300"),INDIRECT("'"&amp;_xlpm.sh&amp;"'!AB3:AB300"),"&lt;&gt;",INDIRECT("'"&amp;_xlpm.sh&amp;"'!AD3:AD300"),"&lt;&gt;"),0)))</f>
        <v/>
      </c>
      <c r="F260" s="9" t="str">
        <f t="shared" ref="F260:F300" si="52">IF($B260="","",C260+D260+E260)</f>
        <v/>
      </c>
      <c r="G260" s="9">
        <f t="shared" ref="G260:G300" si="53">IF($A260=1,$F260,0)</f>
        <v>0</v>
      </c>
      <c r="L260" s="9" t="str">
        <f>IF($J260="","",IFERROR(SUMIFS(SummaryHelper!$H$2:$H$5000,SummaryHelper!$A$2:$A$5000,$I260,SummaryHelper!$B$2:$B$5000,$J260,SummaryHelper!$C$2:$C$5000,$K260)/SUMIFS(SummaryHelper!$G$2:$G$5000,SummaryHelper!$A$2:$A$5000,$I260,SummaryHelper!$B$2:$B$5000,$J260,SummaryHelper!$C$2:$C$5000,$K260),""))</f>
        <v/>
      </c>
      <c r="M260" s="9" t="str">
        <f>IF($J260="","",SUMIFS(SummaryHelper!$E$2:$E$5000,SummaryHelper!$A$2:$A$5000,$I260,SummaryHelper!$B$2:$B$5000,$J260,SummaryHelper!$C$2:$C$5000,$K260))</f>
        <v/>
      </c>
      <c r="N260" s="9" t="str">
        <f>IF($J260="","",SUMIFS(SummaryHelper!$F$2:$F$5000,SummaryHelper!$A$2:$A$5000,$I260,SummaryHelper!$B$2:$B$5000,$J260,SummaryHelper!$C$2:$C$5000,$K260))</f>
        <v/>
      </c>
      <c r="O260" s="9" t="str">
        <f>IF($J260="","",SUMIFS(SummaryHelper!$G$2:$G$5000,SummaryHelper!$A$2:$A$5000,$I260,SummaryHelper!$B$2:$B$5000,$J260,SummaryHelper!$C$2:$C$5000,$K260))</f>
        <v/>
      </c>
      <c r="Q260" s="9" t="str">
        <f t="shared" ref="Q260:Q300" si="54">IF($J260="","",IF($P260="",ROUNDUP($O260,0),$P260))</f>
        <v/>
      </c>
      <c r="R260" s="9" t="str">
        <f t="shared" ref="R260:R300" si="55">IF($J260="","",$Q260*$L260)</f>
        <v/>
      </c>
      <c r="W260" s="9" t="str">
        <f>IF($U260="","",IFERROR(SUMIFS(SummaryHelper!$H$2:$H$5000,SummaryHelper!$A$2:$A$5000,$T260,SummaryHelper!$B$2:$B$5000,$U260,SummaryHelper!$C$2:$C$5000,$V260)/SUMIFS(SummaryHelper!$G$2:$G$5000,SummaryHelper!$A$2:$A$5000,$T260,SummaryHelper!$B$2:$B$5000,$U260,SummaryHelper!$C$2:$C$5000,$V260),""))</f>
        <v/>
      </c>
      <c r="X260" s="9" t="str">
        <f>IF($U260="","",SUMIFS(SummaryHelper!$E$2:$E$5000,SummaryHelper!$A$2:$A$5000,$T260,SummaryHelper!$B$2:$B$5000,$U260,SummaryHelper!$C$2:$C$5000,$V260))</f>
        <v/>
      </c>
      <c r="Y260" s="9" t="str">
        <f>IF($U260="","",SUMIFS(SummaryHelper!$F$2:$F$5000,SummaryHelper!$A$2:$A$5000,$T260,SummaryHelper!$B$2:$B$5000,$U260,SummaryHelper!$C$2:$C$5000,$V260))</f>
        <v/>
      </c>
      <c r="Z260" s="9" t="str">
        <f>IF($U260="","",SUMIFS(SummaryHelper!$G$2:$G$5000,SummaryHelper!$A$2:$A$5000,$T260,SummaryHelper!$B$2:$B$5000,$U260,SummaryHelper!$C$2:$C$5000,$V260))</f>
        <v/>
      </c>
      <c r="AB260" s="9" t="str">
        <f t="shared" ref="AB260:AB300" si="56">IF($U260="","",IF($AA260="",$Z260,$AA260))</f>
        <v/>
      </c>
      <c r="AC260" s="9" t="str">
        <f t="shared" ref="AC260:AC300" si="57">IF($U260="","",$AB260*$W260)</f>
        <v/>
      </c>
      <c r="AH260" t="str">
        <f>IF($AF260="","",IFERROR(SUMIFS(SummaryHelper!$H$2:$H$5000,SummaryHelper!$A$2:$A$5000,$AE260,SummaryHelper!$B$2:$B$5000,$AF260,SummaryHelper!$C$2:$C$5000,$AG260)/SUMIFS(SummaryHelper!$G$2:$G$5000,SummaryHelper!$A$2:$A$5000,$AE260,SummaryHelper!$B$2:$B$5000,$AF260,SummaryHelper!$C$2:$C$5000,$AG260),""))</f>
        <v/>
      </c>
      <c r="AI260" t="str">
        <f>IF($AF260="","",SUMIFS(SummaryHelper!$E$2:$E$5000,SummaryHelper!$A$2:$A$5000,$AE260,SummaryHelper!$B$2:$B$5000,$AF260,SummaryHelper!$C$2:$C$5000,$AG260))</f>
        <v/>
      </c>
      <c r="AJ260" t="str">
        <f>IF($AF260="","",SUMIFS(SummaryHelper!$F$2:$F$5000,SummaryHelper!$A$2:$A$5000,$AE260,SummaryHelper!$B$2:$B$5000,$AF260,SummaryHelper!$C$2:$C$5000,$AG260))</f>
        <v/>
      </c>
      <c r="AK260" t="str">
        <f>IF($AF260="","",SUMIFS(SummaryHelper!$G$2:$G$5000,SummaryHelper!$A$2:$A$5000,$AE260,SummaryHelper!$B$2:$B$5000,$AF260,SummaryHelper!$C$2:$C$5000,$AG260))</f>
        <v/>
      </c>
      <c r="AM260" t="str">
        <f t="shared" ref="AM260:AM300" si="58">IF($AF260="","",IF($AL260="",$AK260,$AL260))</f>
        <v/>
      </c>
      <c r="AN260" t="str">
        <f t="shared" ref="AN260:AN299" si="59">IF($AF260="","",$AM260*$AH260)</f>
        <v/>
      </c>
    </row>
    <row r="261" spans="1:40" x14ac:dyDescent="0.25">
      <c r="A261" s="12"/>
      <c r="B261" s="23" t="str">
        <f t="shared" si="48"/>
        <v/>
      </c>
      <c r="C261" s="9" t="str">
        <f t="shared" ca="1" si="49"/>
        <v/>
      </c>
      <c r="D261" s="9" t="str">
        <f t="shared" ca="1" si="50"/>
        <v/>
      </c>
      <c r="E261" s="9" t="str">
        <f t="shared" ca="1" si="51"/>
        <v/>
      </c>
      <c r="F261" s="9" t="str">
        <f t="shared" si="52"/>
        <v/>
      </c>
      <c r="G261" s="9">
        <f t="shared" si="53"/>
        <v>0</v>
      </c>
      <c r="L261" s="9" t="str">
        <f>IF($J261="","",IFERROR(SUMIFS(SummaryHelper!$H$2:$H$5000,SummaryHelper!$A$2:$A$5000,$I261,SummaryHelper!$B$2:$B$5000,$J261,SummaryHelper!$C$2:$C$5000,$K261)/SUMIFS(SummaryHelper!$G$2:$G$5000,SummaryHelper!$A$2:$A$5000,$I261,SummaryHelper!$B$2:$B$5000,$J261,SummaryHelper!$C$2:$C$5000,$K261),""))</f>
        <v/>
      </c>
      <c r="M261" s="9" t="str">
        <f>IF($J261="","",SUMIFS(SummaryHelper!$E$2:$E$5000,SummaryHelper!$A$2:$A$5000,$I261,SummaryHelper!$B$2:$B$5000,$J261,SummaryHelper!$C$2:$C$5000,$K261))</f>
        <v/>
      </c>
      <c r="N261" s="9" t="str">
        <f>IF($J261="","",SUMIFS(SummaryHelper!$F$2:$F$5000,SummaryHelper!$A$2:$A$5000,$I261,SummaryHelper!$B$2:$B$5000,$J261,SummaryHelper!$C$2:$C$5000,$K261))</f>
        <v/>
      </c>
      <c r="O261" s="9" t="str">
        <f>IF($J261="","",SUMIFS(SummaryHelper!$G$2:$G$5000,SummaryHelper!$A$2:$A$5000,$I261,SummaryHelper!$B$2:$B$5000,$J261,SummaryHelper!$C$2:$C$5000,$K261))</f>
        <v/>
      </c>
      <c r="Q261" s="9" t="str">
        <f t="shared" si="54"/>
        <v/>
      </c>
      <c r="R261" s="9" t="str">
        <f t="shared" si="55"/>
        <v/>
      </c>
      <c r="W261" s="9" t="str">
        <f>IF($U261="","",IFERROR(SUMIFS(SummaryHelper!$H$2:$H$5000,SummaryHelper!$A$2:$A$5000,$T261,SummaryHelper!$B$2:$B$5000,$U261,SummaryHelper!$C$2:$C$5000,$V261)/SUMIFS(SummaryHelper!$G$2:$G$5000,SummaryHelper!$A$2:$A$5000,$T261,SummaryHelper!$B$2:$B$5000,$U261,SummaryHelper!$C$2:$C$5000,$V261),""))</f>
        <v/>
      </c>
      <c r="X261" s="9" t="str">
        <f>IF($U261="","",SUMIFS(SummaryHelper!$E$2:$E$5000,SummaryHelper!$A$2:$A$5000,$T261,SummaryHelper!$B$2:$B$5000,$U261,SummaryHelper!$C$2:$C$5000,$V261))</f>
        <v/>
      </c>
      <c r="Y261" s="9" t="str">
        <f>IF($U261="","",SUMIFS(SummaryHelper!$F$2:$F$5000,SummaryHelper!$A$2:$A$5000,$T261,SummaryHelper!$B$2:$B$5000,$U261,SummaryHelper!$C$2:$C$5000,$V261))</f>
        <v/>
      </c>
      <c r="Z261" s="9" t="str">
        <f>IF($U261="","",SUMIFS(SummaryHelper!$G$2:$G$5000,SummaryHelper!$A$2:$A$5000,$T261,SummaryHelper!$B$2:$B$5000,$U261,SummaryHelper!$C$2:$C$5000,$V261))</f>
        <v/>
      </c>
      <c r="AB261" s="9" t="str">
        <f t="shared" si="56"/>
        <v/>
      </c>
      <c r="AC261" s="9" t="str">
        <f t="shared" si="57"/>
        <v/>
      </c>
      <c r="AH261" t="str">
        <f>IF($AF261="","",IFERROR(SUMIFS(SummaryHelper!$H$2:$H$5000,SummaryHelper!$A$2:$A$5000,$AE261,SummaryHelper!$B$2:$B$5000,$AF261,SummaryHelper!$C$2:$C$5000,$AG261)/SUMIFS(SummaryHelper!$G$2:$G$5000,SummaryHelper!$A$2:$A$5000,$AE261,SummaryHelper!$B$2:$B$5000,$AF261,SummaryHelper!$C$2:$C$5000,$AG261),""))</f>
        <v/>
      </c>
      <c r="AI261" t="str">
        <f>IF($AF261="","",SUMIFS(SummaryHelper!$E$2:$E$5000,SummaryHelper!$A$2:$A$5000,$AE261,SummaryHelper!$B$2:$B$5000,$AF261,SummaryHelper!$C$2:$C$5000,$AG261))</f>
        <v/>
      </c>
      <c r="AJ261" t="str">
        <f>IF($AF261="","",SUMIFS(SummaryHelper!$F$2:$F$5000,SummaryHelper!$A$2:$A$5000,$AE261,SummaryHelper!$B$2:$B$5000,$AF261,SummaryHelper!$C$2:$C$5000,$AG261))</f>
        <v/>
      </c>
      <c r="AK261" t="str">
        <f>IF($AF261="","",SUMIFS(SummaryHelper!$G$2:$G$5000,SummaryHelper!$A$2:$A$5000,$AE261,SummaryHelper!$B$2:$B$5000,$AF261,SummaryHelper!$C$2:$C$5000,$AG261))</f>
        <v/>
      </c>
      <c r="AM261" t="str">
        <f t="shared" si="58"/>
        <v/>
      </c>
      <c r="AN261" t="str">
        <f t="shared" si="59"/>
        <v/>
      </c>
    </row>
    <row r="262" spans="1:40" x14ac:dyDescent="0.25">
      <c r="A262" s="12"/>
      <c r="B262" s="23" t="str">
        <f t="shared" si="48"/>
        <v/>
      </c>
      <c r="C262" s="9" t="str">
        <f t="shared" ca="1" si="49"/>
        <v/>
      </c>
      <c r="D262" s="9" t="str">
        <f t="shared" ca="1" si="50"/>
        <v/>
      </c>
      <c r="E262" s="9" t="str">
        <f t="shared" ca="1" si="51"/>
        <v/>
      </c>
      <c r="F262" s="9" t="str">
        <f t="shared" si="52"/>
        <v/>
      </c>
      <c r="G262" s="9">
        <f t="shared" si="53"/>
        <v>0</v>
      </c>
      <c r="L262" s="9" t="str">
        <f>IF($J262="","",IFERROR(SUMIFS(SummaryHelper!$H$2:$H$5000,SummaryHelper!$A$2:$A$5000,$I262,SummaryHelper!$B$2:$B$5000,$J262,SummaryHelper!$C$2:$C$5000,$K262)/SUMIFS(SummaryHelper!$G$2:$G$5000,SummaryHelper!$A$2:$A$5000,$I262,SummaryHelper!$B$2:$B$5000,$J262,SummaryHelper!$C$2:$C$5000,$K262),""))</f>
        <v/>
      </c>
      <c r="M262" s="9" t="str">
        <f>IF($J262="","",SUMIFS(SummaryHelper!$E$2:$E$5000,SummaryHelper!$A$2:$A$5000,$I262,SummaryHelper!$B$2:$B$5000,$J262,SummaryHelper!$C$2:$C$5000,$K262))</f>
        <v/>
      </c>
      <c r="N262" s="9" t="str">
        <f>IF($J262="","",SUMIFS(SummaryHelper!$F$2:$F$5000,SummaryHelper!$A$2:$A$5000,$I262,SummaryHelper!$B$2:$B$5000,$J262,SummaryHelper!$C$2:$C$5000,$K262))</f>
        <v/>
      </c>
      <c r="O262" s="9" t="str">
        <f>IF($J262="","",SUMIFS(SummaryHelper!$G$2:$G$5000,SummaryHelper!$A$2:$A$5000,$I262,SummaryHelper!$B$2:$B$5000,$J262,SummaryHelper!$C$2:$C$5000,$K262))</f>
        <v/>
      </c>
      <c r="Q262" s="9" t="str">
        <f t="shared" si="54"/>
        <v/>
      </c>
      <c r="R262" s="9" t="str">
        <f t="shared" si="55"/>
        <v/>
      </c>
      <c r="W262" s="9" t="str">
        <f>IF($U262="","",IFERROR(SUMIFS(SummaryHelper!$H$2:$H$5000,SummaryHelper!$A$2:$A$5000,$T262,SummaryHelper!$B$2:$B$5000,$U262,SummaryHelper!$C$2:$C$5000,$V262)/SUMIFS(SummaryHelper!$G$2:$G$5000,SummaryHelper!$A$2:$A$5000,$T262,SummaryHelper!$B$2:$B$5000,$U262,SummaryHelper!$C$2:$C$5000,$V262),""))</f>
        <v/>
      </c>
      <c r="X262" s="9" t="str">
        <f>IF($U262="","",SUMIFS(SummaryHelper!$E$2:$E$5000,SummaryHelper!$A$2:$A$5000,$T262,SummaryHelper!$B$2:$B$5000,$U262,SummaryHelper!$C$2:$C$5000,$V262))</f>
        <v/>
      </c>
      <c r="Y262" s="9" t="str">
        <f>IF($U262="","",SUMIFS(SummaryHelper!$F$2:$F$5000,SummaryHelper!$A$2:$A$5000,$T262,SummaryHelper!$B$2:$B$5000,$U262,SummaryHelper!$C$2:$C$5000,$V262))</f>
        <v/>
      </c>
      <c r="Z262" s="9" t="str">
        <f>IF($U262="","",SUMIFS(SummaryHelper!$G$2:$G$5000,SummaryHelper!$A$2:$A$5000,$T262,SummaryHelper!$B$2:$B$5000,$U262,SummaryHelper!$C$2:$C$5000,$V262))</f>
        <v/>
      </c>
      <c r="AB262" s="9" t="str">
        <f t="shared" si="56"/>
        <v/>
      </c>
      <c r="AC262" s="9" t="str">
        <f t="shared" si="57"/>
        <v/>
      </c>
      <c r="AH262" t="str">
        <f>IF($AF262="","",IFERROR(SUMIFS(SummaryHelper!$H$2:$H$5000,SummaryHelper!$A$2:$A$5000,$AE262,SummaryHelper!$B$2:$B$5000,$AF262,SummaryHelper!$C$2:$C$5000,$AG262)/SUMIFS(SummaryHelper!$G$2:$G$5000,SummaryHelper!$A$2:$A$5000,$AE262,SummaryHelper!$B$2:$B$5000,$AF262,SummaryHelper!$C$2:$C$5000,$AG262),""))</f>
        <v/>
      </c>
      <c r="AI262" t="str">
        <f>IF($AF262="","",SUMIFS(SummaryHelper!$E$2:$E$5000,SummaryHelper!$A$2:$A$5000,$AE262,SummaryHelper!$B$2:$B$5000,$AF262,SummaryHelper!$C$2:$C$5000,$AG262))</f>
        <v/>
      </c>
      <c r="AJ262" t="str">
        <f>IF($AF262="","",SUMIFS(SummaryHelper!$F$2:$F$5000,SummaryHelper!$A$2:$A$5000,$AE262,SummaryHelper!$B$2:$B$5000,$AF262,SummaryHelper!$C$2:$C$5000,$AG262))</f>
        <v/>
      </c>
      <c r="AK262" t="str">
        <f>IF($AF262="","",SUMIFS(SummaryHelper!$G$2:$G$5000,SummaryHelper!$A$2:$A$5000,$AE262,SummaryHelper!$B$2:$B$5000,$AF262,SummaryHelper!$C$2:$C$5000,$AG262))</f>
        <v/>
      </c>
      <c r="AM262" t="str">
        <f t="shared" si="58"/>
        <v/>
      </c>
      <c r="AN262" t="str">
        <f t="shared" si="59"/>
        <v/>
      </c>
    </row>
    <row r="263" spans="1:40" x14ac:dyDescent="0.25">
      <c r="A263" s="12"/>
      <c r="B263" s="23" t="str">
        <f t="shared" si="48"/>
        <v/>
      </c>
      <c r="C263" s="9" t="str">
        <f t="shared" ca="1" si="49"/>
        <v/>
      </c>
      <c r="D263" s="9" t="str">
        <f t="shared" ca="1" si="50"/>
        <v/>
      </c>
      <c r="E263" s="9" t="str">
        <f t="shared" ca="1" si="51"/>
        <v/>
      </c>
      <c r="F263" s="9" t="str">
        <f t="shared" si="52"/>
        <v/>
      </c>
      <c r="G263" s="9">
        <f t="shared" si="53"/>
        <v>0</v>
      </c>
      <c r="L263" s="9" t="str">
        <f>IF($J263="","",IFERROR(SUMIFS(SummaryHelper!$H$2:$H$5000,SummaryHelper!$A$2:$A$5000,$I263,SummaryHelper!$B$2:$B$5000,$J263,SummaryHelper!$C$2:$C$5000,$K263)/SUMIFS(SummaryHelper!$G$2:$G$5000,SummaryHelper!$A$2:$A$5000,$I263,SummaryHelper!$B$2:$B$5000,$J263,SummaryHelper!$C$2:$C$5000,$K263),""))</f>
        <v/>
      </c>
      <c r="M263" s="9" t="str">
        <f>IF($J263="","",SUMIFS(SummaryHelper!$E$2:$E$5000,SummaryHelper!$A$2:$A$5000,$I263,SummaryHelper!$B$2:$B$5000,$J263,SummaryHelper!$C$2:$C$5000,$K263))</f>
        <v/>
      </c>
      <c r="N263" s="9" t="str">
        <f>IF($J263="","",SUMIFS(SummaryHelper!$F$2:$F$5000,SummaryHelper!$A$2:$A$5000,$I263,SummaryHelper!$B$2:$B$5000,$J263,SummaryHelper!$C$2:$C$5000,$K263))</f>
        <v/>
      </c>
      <c r="O263" s="9" t="str">
        <f>IF($J263="","",SUMIFS(SummaryHelper!$G$2:$G$5000,SummaryHelper!$A$2:$A$5000,$I263,SummaryHelper!$B$2:$B$5000,$J263,SummaryHelper!$C$2:$C$5000,$K263))</f>
        <v/>
      </c>
      <c r="Q263" s="9" t="str">
        <f t="shared" si="54"/>
        <v/>
      </c>
      <c r="R263" s="9" t="str">
        <f t="shared" si="55"/>
        <v/>
      </c>
      <c r="W263" s="9" t="str">
        <f>IF($U263="","",IFERROR(SUMIFS(SummaryHelper!$H$2:$H$5000,SummaryHelper!$A$2:$A$5000,$T263,SummaryHelper!$B$2:$B$5000,$U263,SummaryHelper!$C$2:$C$5000,$V263)/SUMIFS(SummaryHelper!$G$2:$G$5000,SummaryHelper!$A$2:$A$5000,$T263,SummaryHelper!$B$2:$B$5000,$U263,SummaryHelper!$C$2:$C$5000,$V263),""))</f>
        <v/>
      </c>
      <c r="X263" s="9" t="str">
        <f>IF($U263="","",SUMIFS(SummaryHelper!$E$2:$E$5000,SummaryHelper!$A$2:$A$5000,$T263,SummaryHelper!$B$2:$B$5000,$U263,SummaryHelper!$C$2:$C$5000,$V263))</f>
        <v/>
      </c>
      <c r="Y263" s="9" t="str">
        <f>IF($U263="","",SUMIFS(SummaryHelper!$F$2:$F$5000,SummaryHelper!$A$2:$A$5000,$T263,SummaryHelper!$B$2:$B$5000,$U263,SummaryHelper!$C$2:$C$5000,$V263))</f>
        <v/>
      </c>
      <c r="Z263" s="9" t="str">
        <f>IF($U263="","",SUMIFS(SummaryHelper!$G$2:$G$5000,SummaryHelper!$A$2:$A$5000,$T263,SummaryHelper!$B$2:$B$5000,$U263,SummaryHelper!$C$2:$C$5000,$V263))</f>
        <v/>
      </c>
      <c r="AB263" s="9" t="str">
        <f t="shared" si="56"/>
        <v/>
      </c>
      <c r="AC263" s="9" t="str">
        <f t="shared" si="57"/>
        <v/>
      </c>
      <c r="AH263" t="str">
        <f>IF($AF263="","",IFERROR(SUMIFS(SummaryHelper!$H$2:$H$5000,SummaryHelper!$A$2:$A$5000,$AE263,SummaryHelper!$B$2:$B$5000,$AF263,SummaryHelper!$C$2:$C$5000,$AG263)/SUMIFS(SummaryHelper!$G$2:$G$5000,SummaryHelper!$A$2:$A$5000,$AE263,SummaryHelper!$B$2:$B$5000,$AF263,SummaryHelper!$C$2:$C$5000,$AG263),""))</f>
        <v/>
      </c>
      <c r="AI263" t="str">
        <f>IF($AF263="","",SUMIFS(SummaryHelper!$E$2:$E$5000,SummaryHelper!$A$2:$A$5000,$AE263,SummaryHelper!$B$2:$B$5000,$AF263,SummaryHelper!$C$2:$C$5000,$AG263))</f>
        <v/>
      </c>
      <c r="AJ263" t="str">
        <f>IF($AF263="","",SUMIFS(SummaryHelper!$F$2:$F$5000,SummaryHelper!$A$2:$A$5000,$AE263,SummaryHelper!$B$2:$B$5000,$AF263,SummaryHelper!$C$2:$C$5000,$AG263))</f>
        <v/>
      </c>
      <c r="AK263" t="str">
        <f>IF($AF263="","",SUMIFS(SummaryHelper!$G$2:$G$5000,SummaryHelper!$A$2:$A$5000,$AE263,SummaryHelper!$B$2:$B$5000,$AF263,SummaryHelper!$C$2:$C$5000,$AG263))</f>
        <v/>
      </c>
      <c r="AM263" t="str">
        <f t="shared" si="58"/>
        <v/>
      </c>
      <c r="AN263" t="str">
        <f t="shared" si="59"/>
        <v/>
      </c>
    </row>
    <row r="264" spans="1:40" x14ac:dyDescent="0.25">
      <c r="A264" s="12"/>
      <c r="B264" s="23" t="str">
        <f t="shared" si="48"/>
        <v/>
      </c>
      <c r="C264" s="9" t="str">
        <f t="shared" ca="1" si="49"/>
        <v/>
      </c>
      <c r="D264" s="9" t="str">
        <f t="shared" ca="1" si="50"/>
        <v/>
      </c>
      <c r="E264" s="9" t="str">
        <f t="shared" ca="1" si="51"/>
        <v/>
      </c>
      <c r="F264" s="9" t="str">
        <f t="shared" si="52"/>
        <v/>
      </c>
      <c r="G264" s="9">
        <f t="shared" si="53"/>
        <v>0</v>
      </c>
      <c r="L264" s="9" t="str">
        <f>IF($J264="","",IFERROR(SUMIFS(SummaryHelper!$H$2:$H$5000,SummaryHelper!$A$2:$A$5000,$I264,SummaryHelper!$B$2:$B$5000,$J264,SummaryHelper!$C$2:$C$5000,$K264)/SUMIFS(SummaryHelper!$G$2:$G$5000,SummaryHelper!$A$2:$A$5000,$I264,SummaryHelper!$B$2:$B$5000,$J264,SummaryHelper!$C$2:$C$5000,$K264),""))</f>
        <v/>
      </c>
      <c r="M264" s="9" t="str">
        <f>IF($J264="","",SUMIFS(SummaryHelper!$E$2:$E$5000,SummaryHelper!$A$2:$A$5000,$I264,SummaryHelper!$B$2:$B$5000,$J264,SummaryHelper!$C$2:$C$5000,$K264))</f>
        <v/>
      </c>
      <c r="N264" s="9" t="str">
        <f>IF($J264="","",SUMIFS(SummaryHelper!$F$2:$F$5000,SummaryHelper!$A$2:$A$5000,$I264,SummaryHelper!$B$2:$B$5000,$J264,SummaryHelper!$C$2:$C$5000,$K264))</f>
        <v/>
      </c>
      <c r="O264" s="9" t="str">
        <f>IF($J264="","",SUMIFS(SummaryHelper!$G$2:$G$5000,SummaryHelper!$A$2:$A$5000,$I264,SummaryHelper!$B$2:$B$5000,$J264,SummaryHelper!$C$2:$C$5000,$K264))</f>
        <v/>
      </c>
      <c r="Q264" s="9" t="str">
        <f t="shared" si="54"/>
        <v/>
      </c>
      <c r="R264" s="9" t="str">
        <f t="shared" si="55"/>
        <v/>
      </c>
      <c r="W264" s="9" t="str">
        <f>IF($U264="","",IFERROR(SUMIFS(SummaryHelper!$H$2:$H$5000,SummaryHelper!$A$2:$A$5000,$T264,SummaryHelper!$B$2:$B$5000,$U264,SummaryHelper!$C$2:$C$5000,$V264)/SUMIFS(SummaryHelper!$G$2:$G$5000,SummaryHelper!$A$2:$A$5000,$T264,SummaryHelper!$B$2:$B$5000,$U264,SummaryHelper!$C$2:$C$5000,$V264),""))</f>
        <v/>
      </c>
      <c r="X264" s="9" t="str">
        <f>IF($U264="","",SUMIFS(SummaryHelper!$E$2:$E$5000,SummaryHelper!$A$2:$A$5000,$T264,SummaryHelper!$B$2:$B$5000,$U264,SummaryHelper!$C$2:$C$5000,$V264))</f>
        <v/>
      </c>
      <c r="Y264" s="9" t="str">
        <f>IF($U264="","",SUMIFS(SummaryHelper!$F$2:$F$5000,SummaryHelper!$A$2:$A$5000,$T264,SummaryHelper!$B$2:$B$5000,$U264,SummaryHelper!$C$2:$C$5000,$V264))</f>
        <v/>
      </c>
      <c r="Z264" s="9" t="str">
        <f>IF($U264="","",SUMIFS(SummaryHelper!$G$2:$G$5000,SummaryHelper!$A$2:$A$5000,$T264,SummaryHelper!$B$2:$B$5000,$U264,SummaryHelper!$C$2:$C$5000,$V264))</f>
        <v/>
      </c>
      <c r="AB264" s="9" t="str">
        <f t="shared" si="56"/>
        <v/>
      </c>
      <c r="AC264" s="9" t="str">
        <f t="shared" si="57"/>
        <v/>
      </c>
      <c r="AH264" t="str">
        <f>IF($AF264="","",IFERROR(SUMIFS(SummaryHelper!$H$2:$H$5000,SummaryHelper!$A$2:$A$5000,$AE264,SummaryHelper!$B$2:$B$5000,$AF264,SummaryHelper!$C$2:$C$5000,$AG264)/SUMIFS(SummaryHelper!$G$2:$G$5000,SummaryHelper!$A$2:$A$5000,$AE264,SummaryHelper!$B$2:$B$5000,$AF264,SummaryHelper!$C$2:$C$5000,$AG264),""))</f>
        <v/>
      </c>
      <c r="AI264" t="str">
        <f>IF($AF264="","",SUMIFS(SummaryHelper!$E$2:$E$5000,SummaryHelper!$A$2:$A$5000,$AE264,SummaryHelper!$B$2:$B$5000,$AF264,SummaryHelper!$C$2:$C$5000,$AG264))</f>
        <v/>
      </c>
      <c r="AJ264" t="str">
        <f>IF($AF264="","",SUMIFS(SummaryHelper!$F$2:$F$5000,SummaryHelper!$A$2:$A$5000,$AE264,SummaryHelper!$B$2:$B$5000,$AF264,SummaryHelper!$C$2:$C$5000,$AG264))</f>
        <v/>
      </c>
      <c r="AK264" t="str">
        <f>IF($AF264="","",SUMIFS(SummaryHelper!$G$2:$G$5000,SummaryHelper!$A$2:$A$5000,$AE264,SummaryHelper!$B$2:$B$5000,$AF264,SummaryHelper!$C$2:$C$5000,$AG264))</f>
        <v/>
      </c>
      <c r="AM264" t="str">
        <f t="shared" si="58"/>
        <v/>
      </c>
      <c r="AN264" t="str">
        <f t="shared" si="59"/>
        <v/>
      </c>
    </row>
    <row r="265" spans="1:40" x14ac:dyDescent="0.25">
      <c r="A265" s="12"/>
      <c r="B265" s="23" t="str">
        <f t="shared" si="48"/>
        <v/>
      </c>
      <c r="C265" s="9" t="str">
        <f t="shared" ca="1" si="49"/>
        <v/>
      </c>
      <c r="D265" s="9" t="str">
        <f t="shared" ca="1" si="50"/>
        <v/>
      </c>
      <c r="E265" s="9" t="str">
        <f t="shared" ca="1" si="51"/>
        <v/>
      </c>
      <c r="F265" s="9" t="str">
        <f t="shared" si="52"/>
        <v/>
      </c>
      <c r="G265" s="9">
        <f t="shared" si="53"/>
        <v>0</v>
      </c>
      <c r="L265" s="9" t="str">
        <f>IF($J265="","",IFERROR(SUMIFS(SummaryHelper!$H$2:$H$5000,SummaryHelper!$A$2:$A$5000,$I265,SummaryHelper!$B$2:$B$5000,$J265,SummaryHelper!$C$2:$C$5000,$K265)/SUMIFS(SummaryHelper!$G$2:$G$5000,SummaryHelper!$A$2:$A$5000,$I265,SummaryHelper!$B$2:$B$5000,$J265,SummaryHelper!$C$2:$C$5000,$K265),""))</f>
        <v/>
      </c>
      <c r="M265" s="9" t="str">
        <f>IF($J265="","",SUMIFS(SummaryHelper!$E$2:$E$5000,SummaryHelper!$A$2:$A$5000,$I265,SummaryHelper!$B$2:$B$5000,$J265,SummaryHelper!$C$2:$C$5000,$K265))</f>
        <v/>
      </c>
      <c r="N265" s="9" t="str">
        <f>IF($J265="","",SUMIFS(SummaryHelper!$F$2:$F$5000,SummaryHelper!$A$2:$A$5000,$I265,SummaryHelper!$B$2:$B$5000,$J265,SummaryHelper!$C$2:$C$5000,$K265))</f>
        <v/>
      </c>
      <c r="O265" s="9" t="str">
        <f>IF($J265="","",SUMIFS(SummaryHelper!$G$2:$G$5000,SummaryHelper!$A$2:$A$5000,$I265,SummaryHelper!$B$2:$B$5000,$J265,SummaryHelper!$C$2:$C$5000,$K265))</f>
        <v/>
      </c>
      <c r="Q265" s="9" t="str">
        <f t="shared" si="54"/>
        <v/>
      </c>
      <c r="R265" s="9" t="str">
        <f t="shared" si="55"/>
        <v/>
      </c>
      <c r="W265" s="9" t="str">
        <f>IF($U265="","",IFERROR(SUMIFS(SummaryHelper!$H$2:$H$5000,SummaryHelper!$A$2:$A$5000,$T265,SummaryHelper!$B$2:$B$5000,$U265,SummaryHelper!$C$2:$C$5000,$V265)/SUMIFS(SummaryHelper!$G$2:$G$5000,SummaryHelper!$A$2:$A$5000,$T265,SummaryHelper!$B$2:$B$5000,$U265,SummaryHelper!$C$2:$C$5000,$V265),""))</f>
        <v/>
      </c>
      <c r="X265" s="9" t="str">
        <f>IF($U265="","",SUMIFS(SummaryHelper!$E$2:$E$5000,SummaryHelper!$A$2:$A$5000,$T265,SummaryHelper!$B$2:$B$5000,$U265,SummaryHelper!$C$2:$C$5000,$V265))</f>
        <v/>
      </c>
      <c r="Y265" s="9" t="str">
        <f>IF($U265="","",SUMIFS(SummaryHelper!$F$2:$F$5000,SummaryHelper!$A$2:$A$5000,$T265,SummaryHelper!$B$2:$B$5000,$U265,SummaryHelper!$C$2:$C$5000,$V265))</f>
        <v/>
      </c>
      <c r="Z265" s="9" t="str">
        <f>IF($U265="","",SUMIFS(SummaryHelper!$G$2:$G$5000,SummaryHelper!$A$2:$A$5000,$T265,SummaryHelper!$B$2:$B$5000,$U265,SummaryHelper!$C$2:$C$5000,$V265))</f>
        <v/>
      </c>
      <c r="AB265" s="9" t="str">
        <f t="shared" si="56"/>
        <v/>
      </c>
      <c r="AC265" s="9" t="str">
        <f t="shared" si="57"/>
        <v/>
      </c>
      <c r="AH265" t="str">
        <f>IF($AF265="","",IFERROR(SUMIFS(SummaryHelper!$H$2:$H$5000,SummaryHelper!$A$2:$A$5000,$AE265,SummaryHelper!$B$2:$B$5000,$AF265,SummaryHelper!$C$2:$C$5000,$AG265)/SUMIFS(SummaryHelper!$G$2:$G$5000,SummaryHelper!$A$2:$A$5000,$AE265,SummaryHelper!$B$2:$B$5000,$AF265,SummaryHelper!$C$2:$C$5000,$AG265),""))</f>
        <v/>
      </c>
      <c r="AI265" t="str">
        <f>IF($AF265="","",SUMIFS(SummaryHelper!$E$2:$E$5000,SummaryHelper!$A$2:$A$5000,$AE265,SummaryHelper!$B$2:$B$5000,$AF265,SummaryHelper!$C$2:$C$5000,$AG265))</f>
        <v/>
      </c>
      <c r="AJ265" t="str">
        <f>IF($AF265="","",SUMIFS(SummaryHelper!$F$2:$F$5000,SummaryHelper!$A$2:$A$5000,$AE265,SummaryHelper!$B$2:$B$5000,$AF265,SummaryHelper!$C$2:$C$5000,$AG265))</f>
        <v/>
      </c>
      <c r="AK265" t="str">
        <f>IF($AF265="","",SUMIFS(SummaryHelper!$G$2:$G$5000,SummaryHelper!$A$2:$A$5000,$AE265,SummaryHelper!$B$2:$B$5000,$AF265,SummaryHelper!$C$2:$C$5000,$AG265))</f>
        <v/>
      </c>
      <c r="AM265" t="str">
        <f t="shared" si="58"/>
        <v/>
      </c>
      <c r="AN265" t="str">
        <f t="shared" si="59"/>
        <v/>
      </c>
    </row>
    <row r="266" spans="1:40" x14ac:dyDescent="0.25">
      <c r="A266" s="12"/>
      <c r="B266" s="23" t="str">
        <f t="shared" si="48"/>
        <v/>
      </c>
      <c r="C266" s="9" t="str">
        <f t="shared" ca="1" si="49"/>
        <v/>
      </c>
      <c r="D266" s="9" t="str">
        <f t="shared" ca="1" si="50"/>
        <v/>
      </c>
      <c r="E266" s="9" t="str">
        <f t="shared" ca="1" si="51"/>
        <v/>
      </c>
      <c r="F266" s="9" t="str">
        <f t="shared" si="52"/>
        <v/>
      </c>
      <c r="G266" s="9">
        <f t="shared" si="53"/>
        <v>0</v>
      </c>
      <c r="L266" s="9" t="str">
        <f>IF($J266="","",IFERROR(SUMIFS(SummaryHelper!$H$2:$H$5000,SummaryHelper!$A$2:$A$5000,$I266,SummaryHelper!$B$2:$B$5000,$J266,SummaryHelper!$C$2:$C$5000,$K266)/SUMIFS(SummaryHelper!$G$2:$G$5000,SummaryHelper!$A$2:$A$5000,$I266,SummaryHelper!$B$2:$B$5000,$J266,SummaryHelper!$C$2:$C$5000,$K266),""))</f>
        <v/>
      </c>
      <c r="M266" s="9" t="str">
        <f>IF($J266="","",SUMIFS(SummaryHelper!$E$2:$E$5000,SummaryHelper!$A$2:$A$5000,$I266,SummaryHelper!$B$2:$B$5000,$J266,SummaryHelper!$C$2:$C$5000,$K266))</f>
        <v/>
      </c>
      <c r="N266" s="9" t="str">
        <f>IF($J266="","",SUMIFS(SummaryHelper!$F$2:$F$5000,SummaryHelper!$A$2:$A$5000,$I266,SummaryHelper!$B$2:$B$5000,$J266,SummaryHelper!$C$2:$C$5000,$K266))</f>
        <v/>
      </c>
      <c r="O266" s="9" t="str">
        <f>IF($J266="","",SUMIFS(SummaryHelper!$G$2:$G$5000,SummaryHelper!$A$2:$A$5000,$I266,SummaryHelper!$B$2:$B$5000,$J266,SummaryHelper!$C$2:$C$5000,$K266))</f>
        <v/>
      </c>
      <c r="Q266" s="9" t="str">
        <f t="shared" si="54"/>
        <v/>
      </c>
      <c r="R266" s="9" t="str">
        <f t="shared" si="55"/>
        <v/>
      </c>
      <c r="W266" s="9" t="str">
        <f>IF($U266="","",IFERROR(SUMIFS(SummaryHelper!$H$2:$H$5000,SummaryHelper!$A$2:$A$5000,$T266,SummaryHelper!$B$2:$B$5000,$U266,SummaryHelper!$C$2:$C$5000,$V266)/SUMIFS(SummaryHelper!$G$2:$G$5000,SummaryHelper!$A$2:$A$5000,$T266,SummaryHelper!$B$2:$B$5000,$U266,SummaryHelper!$C$2:$C$5000,$V266),""))</f>
        <v/>
      </c>
      <c r="X266" s="9" t="str">
        <f>IF($U266="","",SUMIFS(SummaryHelper!$E$2:$E$5000,SummaryHelper!$A$2:$A$5000,$T266,SummaryHelper!$B$2:$B$5000,$U266,SummaryHelper!$C$2:$C$5000,$V266))</f>
        <v/>
      </c>
      <c r="Y266" s="9" t="str">
        <f>IF($U266="","",SUMIFS(SummaryHelper!$F$2:$F$5000,SummaryHelper!$A$2:$A$5000,$T266,SummaryHelper!$B$2:$B$5000,$U266,SummaryHelper!$C$2:$C$5000,$V266))</f>
        <v/>
      </c>
      <c r="Z266" s="9" t="str">
        <f>IF($U266="","",SUMIFS(SummaryHelper!$G$2:$G$5000,SummaryHelper!$A$2:$A$5000,$T266,SummaryHelper!$B$2:$B$5000,$U266,SummaryHelper!$C$2:$C$5000,$V266))</f>
        <v/>
      </c>
      <c r="AB266" s="9" t="str">
        <f t="shared" si="56"/>
        <v/>
      </c>
      <c r="AC266" s="9" t="str">
        <f t="shared" si="57"/>
        <v/>
      </c>
      <c r="AH266" t="str">
        <f>IF($AF266="","",IFERROR(SUMIFS(SummaryHelper!$H$2:$H$5000,SummaryHelper!$A$2:$A$5000,$AE266,SummaryHelper!$B$2:$B$5000,$AF266,SummaryHelper!$C$2:$C$5000,$AG266)/SUMIFS(SummaryHelper!$G$2:$G$5000,SummaryHelper!$A$2:$A$5000,$AE266,SummaryHelper!$B$2:$B$5000,$AF266,SummaryHelper!$C$2:$C$5000,$AG266),""))</f>
        <v/>
      </c>
      <c r="AI266" t="str">
        <f>IF($AF266="","",SUMIFS(SummaryHelper!$E$2:$E$5000,SummaryHelper!$A$2:$A$5000,$AE266,SummaryHelper!$B$2:$B$5000,$AF266,SummaryHelper!$C$2:$C$5000,$AG266))</f>
        <v/>
      </c>
      <c r="AJ266" t="str">
        <f>IF($AF266="","",SUMIFS(SummaryHelper!$F$2:$F$5000,SummaryHelper!$A$2:$A$5000,$AE266,SummaryHelper!$B$2:$B$5000,$AF266,SummaryHelper!$C$2:$C$5000,$AG266))</f>
        <v/>
      </c>
      <c r="AK266" t="str">
        <f>IF($AF266="","",SUMIFS(SummaryHelper!$G$2:$G$5000,SummaryHelper!$A$2:$A$5000,$AE266,SummaryHelper!$B$2:$B$5000,$AF266,SummaryHelper!$C$2:$C$5000,$AG266))</f>
        <v/>
      </c>
      <c r="AM266" t="str">
        <f t="shared" si="58"/>
        <v/>
      </c>
      <c r="AN266" t="str">
        <f t="shared" si="59"/>
        <v/>
      </c>
    </row>
    <row r="267" spans="1:40" x14ac:dyDescent="0.25">
      <c r="A267" s="12"/>
      <c r="B267" s="23" t="str">
        <f t="shared" si="48"/>
        <v/>
      </c>
      <c r="C267" s="9" t="str">
        <f t="shared" ca="1" si="49"/>
        <v/>
      </c>
      <c r="D267" s="9" t="str">
        <f t="shared" ca="1" si="50"/>
        <v/>
      </c>
      <c r="E267" s="9" t="str">
        <f t="shared" ca="1" si="51"/>
        <v/>
      </c>
      <c r="F267" s="9" t="str">
        <f t="shared" si="52"/>
        <v/>
      </c>
      <c r="G267" s="9">
        <f t="shared" si="53"/>
        <v>0</v>
      </c>
      <c r="L267" s="9" t="str">
        <f>IF($J267="","",IFERROR(SUMIFS(SummaryHelper!$H$2:$H$5000,SummaryHelper!$A$2:$A$5000,$I267,SummaryHelper!$B$2:$B$5000,$J267,SummaryHelper!$C$2:$C$5000,$K267)/SUMIFS(SummaryHelper!$G$2:$G$5000,SummaryHelper!$A$2:$A$5000,$I267,SummaryHelper!$B$2:$B$5000,$J267,SummaryHelper!$C$2:$C$5000,$K267),""))</f>
        <v/>
      </c>
      <c r="M267" s="9" t="str">
        <f>IF($J267="","",SUMIFS(SummaryHelper!$E$2:$E$5000,SummaryHelper!$A$2:$A$5000,$I267,SummaryHelper!$B$2:$B$5000,$J267,SummaryHelper!$C$2:$C$5000,$K267))</f>
        <v/>
      </c>
      <c r="N267" s="9" t="str">
        <f>IF($J267="","",SUMIFS(SummaryHelper!$F$2:$F$5000,SummaryHelper!$A$2:$A$5000,$I267,SummaryHelper!$B$2:$B$5000,$J267,SummaryHelper!$C$2:$C$5000,$K267))</f>
        <v/>
      </c>
      <c r="O267" s="9" t="str">
        <f>IF($J267="","",SUMIFS(SummaryHelper!$G$2:$G$5000,SummaryHelper!$A$2:$A$5000,$I267,SummaryHelper!$B$2:$B$5000,$J267,SummaryHelper!$C$2:$C$5000,$K267))</f>
        <v/>
      </c>
      <c r="Q267" s="9" t="str">
        <f t="shared" si="54"/>
        <v/>
      </c>
      <c r="R267" s="9" t="str">
        <f t="shared" si="55"/>
        <v/>
      </c>
      <c r="W267" s="9" t="str">
        <f>IF($U267="","",IFERROR(SUMIFS(SummaryHelper!$H$2:$H$5000,SummaryHelper!$A$2:$A$5000,$T267,SummaryHelper!$B$2:$B$5000,$U267,SummaryHelper!$C$2:$C$5000,$V267)/SUMIFS(SummaryHelper!$G$2:$G$5000,SummaryHelper!$A$2:$A$5000,$T267,SummaryHelper!$B$2:$B$5000,$U267,SummaryHelper!$C$2:$C$5000,$V267),""))</f>
        <v/>
      </c>
      <c r="X267" s="9" t="str">
        <f>IF($U267="","",SUMIFS(SummaryHelper!$E$2:$E$5000,SummaryHelper!$A$2:$A$5000,$T267,SummaryHelper!$B$2:$B$5000,$U267,SummaryHelper!$C$2:$C$5000,$V267))</f>
        <v/>
      </c>
      <c r="Y267" s="9" t="str">
        <f>IF($U267="","",SUMIFS(SummaryHelper!$F$2:$F$5000,SummaryHelper!$A$2:$A$5000,$T267,SummaryHelper!$B$2:$B$5000,$U267,SummaryHelper!$C$2:$C$5000,$V267))</f>
        <v/>
      </c>
      <c r="Z267" s="9" t="str">
        <f>IF($U267="","",SUMIFS(SummaryHelper!$G$2:$G$5000,SummaryHelper!$A$2:$A$5000,$T267,SummaryHelper!$B$2:$B$5000,$U267,SummaryHelper!$C$2:$C$5000,$V267))</f>
        <v/>
      </c>
      <c r="AB267" s="9" t="str">
        <f t="shared" si="56"/>
        <v/>
      </c>
      <c r="AC267" s="9" t="str">
        <f t="shared" si="57"/>
        <v/>
      </c>
      <c r="AH267" t="str">
        <f>IF($AF267="","",IFERROR(SUMIFS(SummaryHelper!$H$2:$H$5000,SummaryHelper!$A$2:$A$5000,$AE267,SummaryHelper!$B$2:$B$5000,$AF267,SummaryHelper!$C$2:$C$5000,$AG267)/SUMIFS(SummaryHelper!$G$2:$G$5000,SummaryHelper!$A$2:$A$5000,$AE267,SummaryHelper!$B$2:$B$5000,$AF267,SummaryHelper!$C$2:$C$5000,$AG267),""))</f>
        <v/>
      </c>
      <c r="AI267" t="str">
        <f>IF($AF267="","",SUMIFS(SummaryHelper!$E$2:$E$5000,SummaryHelper!$A$2:$A$5000,$AE267,SummaryHelper!$B$2:$B$5000,$AF267,SummaryHelper!$C$2:$C$5000,$AG267))</f>
        <v/>
      </c>
      <c r="AJ267" t="str">
        <f>IF($AF267="","",SUMIFS(SummaryHelper!$F$2:$F$5000,SummaryHelper!$A$2:$A$5000,$AE267,SummaryHelper!$B$2:$B$5000,$AF267,SummaryHelper!$C$2:$C$5000,$AG267))</f>
        <v/>
      </c>
      <c r="AK267" t="str">
        <f>IF($AF267="","",SUMIFS(SummaryHelper!$G$2:$G$5000,SummaryHelper!$A$2:$A$5000,$AE267,SummaryHelper!$B$2:$B$5000,$AF267,SummaryHelper!$C$2:$C$5000,$AG267))</f>
        <v/>
      </c>
      <c r="AM267" t="str">
        <f t="shared" si="58"/>
        <v/>
      </c>
      <c r="AN267" t="str">
        <f t="shared" si="59"/>
        <v/>
      </c>
    </row>
    <row r="268" spans="1:40" x14ac:dyDescent="0.25">
      <c r="A268" s="12"/>
      <c r="B268" s="23" t="str">
        <f t="shared" si="48"/>
        <v/>
      </c>
      <c r="C268" s="9" t="str">
        <f t="shared" ca="1" si="49"/>
        <v/>
      </c>
      <c r="D268" s="9" t="str">
        <f t="shared" ca="1" si="50"/>
        <v/>
      </c>
      <c r="E268" s="9" t="str">
        <f t="shared" ca="1" si="51"/>
        <v/>
      </c>
      <c r="F268" s="9" t="str">
        <f t="shared" si="52"/>
        <v/>
      </c>
      <c r="G268" s="9">
        <f t="shared" si="53"/>
        <v>0</v>
      </c>
      <c r="L268" s="9" t="str">
        <f>IF($J268="","",IFERROR(SUMIFS(SummaryHelper!$H$2:$H$5000,SummaryHelper!$A$2:$A$5000,$I268,SummaryHelper!$B$2:$B$5000,$J268,SummaryHelper!$C$2:$C$5000,$K268)/SUMIFS(SummaryHelper!$G$2:$G$5000,SummaryHelper!$A$2:$A$5000,$I268,SummaryHelper!$B$2:$B$5000,$J268,SummaryHelper!$C$2:$C$5000,$K268),""))</f>
        <v/>
      </c>
      <c r="M268" s="9" t="str">
        <f>IF($J268="","",SUMIFS(SummaryHelper!$E$2:$E$5000,SummaryHelper!$A$2:$A$5000,$I268,SummaryHelper!$B$2:$B$5000,$J268,SummaryHelper!$C$2:$C$5000,$K268))</f>
        <v/>
      </c>
      <c r="N268" s="9" t="str">
        <f>IF($J268="","",SUMIFS(SummaryHelper!$F$2:$F$5000,SummaryHelper!$A$2:$A$5000,$I268,SummaryHelper!$B$2:$B$5000,$J268,SummaryHelper!$C$2:$C$5000,$K268))</f>
        <v/>
      </c>
      <c r="O268" s="9" t="str">
        <f>IF($J268="","",SUMIFS(SummaryHelper!$G$2:$G$5000,SummaryHelper!$A$2:$A$5000,$I268,SummaryHelper!$B$2:$B$5000,$J268,SummaryHelper!$C$2:$C$5000,$K268))</f>
        <v/>
      </c>
      <c r="Q268" s="9" t="str">
        <f t="shared" si="54"/>
        <v/>
      </c>
      <c r="R268" s="9" t="str">
        <f t="shared" si="55"/>
        <v/>
      </c>
      <c r="W268" s="9" t="str">
        <f>IF($U268="","",IFERROR(SUMIFS(SummaryHelper!$H$2:$H$5000,SummaryHelper!$A$2:$A$5000,$T268,SummaryHelper!$B$2:$B$5000,$U268,SummaryHelper!$C$2:$C$5000,$V268)/SUMIFS(SummaryHelper!$G$2:$G$5000,SummaryHelper!$A$2:$A$5000,$T268,SummaryHelper!$B$2:$B$5000,$U268,SummaryHelper!$C$2:$C$5000,$V268),""))</f>
        <v/>
      </c>
      <c r="X268" s="9" t="str">
        <f>IF($U268="","",SUMIFS(SummaryHelper!$E$2:$E$5000,SummaryHelper!$A$2:$A$5000,$T268,SummaryHelper!$B$2:$B$5000,$U268,SummaryHelper!$C$2:$C$5000,$V268))</f>
        <v/>
      </c>
      <c r="Y268" s="9" t="str">
        <f>IF($U268="","",SUMIFS(SummaryHelper!$F$2:$F$5000,SummaryHelper!$A$2:$A$5000,$T268,SummaryHelper!$B$2:$B$5000,$U268,SummaryHelper!$C$2:$C$5000,$V268))</f>
        <v/>
      </c>
      <c r="Z268" s="9" t="str">
        <f>IF($U268="","",SUMIFS(SummaryHelper!$G$2:$G$5000,SummaryHelper!$A$2:$A$5000,$T268,SummaryHelper!$B$2:$B$5000,$U268,SummaryHelper!$C$2:$C$5000,$V268))</f>
        <v/>
      </c>
      <c r="AB268" s="9" t="str">
        <f t="shared" si="56"/>
        <v/>
      </c>
      <c r="AC268" s="9" t="str">
        <f t="shared" si="57"/>
        <v/>
      </c>
      <c r="AH268" t="str">
        <f>IF($AF268="","",IFERROR(SUMIFS(SummaryHelper!$H$2:$H$5000,SummaryHelper!$A$2:$A$5000,$AE268,SummaryHelper!$B$2:$B$5000,$AF268,SummaryHelper!$C$2:$C$5000,$AG268)/SUMIFS(SummaryHelper!$G$2:$G$5000,SummaryHelper!$A$2:$A$5000,$AE268,SummaryHelper!$B$2:$B$5000,$AF268,SummaryHelper!$C$2:$C$5000,$AG268),""))</f>
        <v/>
      </c>
      <c r="AI268" t="str">
        <f>IF($AF268="","",SUMIFS(SummaryHelper!$E$2:$E$5000,SummaryHelper!$A$2:$A$5000,$AE268,SummaryHelper!$B$2:$B$5000,$AF268,SummaryHelper!$C$2:$C$5000,$AG268))</f>
        <v/>
      </c>
      <c r="AJ268" t="str">
        <f>IF($AF268="","",SUMIFS(SummaryHelper!$F$2:$F$5000,SummaryHelper!$A$2:$A$5000,$AE268,SummaryHelper!$B$2:$B$5000,$AF268,SummaryHelper!$C$2:$C$5000,$AG268))</f>
        <v/>
      </c>
      <c r="AK268" t="str">
        <f>IF($AF268="","",SUMIFS(SummaryHelper!$G$2:$G$5000,SummaryHelper!$A$2:$A$5000,$AE268,SummaryHelper!$B$2:$B$5000,$AF268,SummaryHelper!$C$2:$C$5000,$AG268))</f>
        <v/>
      </c>
      <c r="AM268" t="str">
        <f t="shared" si="58"/>
        <v/>
      </c>
      <c r="AN268" t="str">
        <f t="shared" si="59"/>
        <v/>
      </c>
    </row>
    <row r="269" spans="1:40" x14ac:dyDescent="0.25">
      <c r="A269" s="12"/>
      <c r="B269" s="23" t="str">
        <f t="shared" si="48"/>
        <v/>
      </c>
      <c r="C269" s="9" t="str">
        <f t="shared" ca="1" si="49"/>
        <v/>
      </c>
      <c r="D269" s="9" t="str">
        <f t="shared" ca="1" si="50"/>
        <v/>
      </c>
      <c r="E269" s="9" t="str">
        <f t="shared" ca="1" si="51"/>
        <v/>
      </c>
      <c r="F269" s="9" t="str">
        <f t="shared" si="52"/>
        <v/>
      </c>
      <c r="G269" s="9">
        <f t="shared" si="53"/>
        <v>0</v>
      </c>
      <c r="L269" s="9" t="str">
        <f>IF($J269="","",IFERROR(SUMIFS(SummaryHelper!$H$2:$H$5000,SummaryHelper!$A$2:$A$5000,$I269,SummaryHelper!$B$2:$B$5000,$J269,SummaryHelper!$C$2:$C$5000,$K269)/SUMIFS(SummaryHelper!$G$2:$G$5000,SummaryHelper!$A$2:$A$5000,$I269,SummaryHelper!$B$2:$B$5000,$J269,SummaryHelper!$C$2:$C$5000,$K269),""))</f>
        <v/>
      </c>
      <c r="M269" s="9" t="str">
        <f>IF($J269="","",SUMIFS(SummaryHelper!$E$2:$E$5000,SummaryHelper!$A$2:$A$5000,$I269,SummaryHelper!$B$2:$B$5000,$J269,SummaryHelper!$C$2:$C$5000,$K269))</f>
        <v/>
      </c>
      <c r="N269" s="9" t="str">
        <f>IF($J269="","",SUMIFS(SummaryHelper!$F$2:$F$5000,SummaryHelper!$A$2:$A$5000,$I269,SummaryHelper!$B$2:$B$5000,$J269,SummaryHelper!$C$2:$C$5000,$K269))</f>
        <v/>
      </c>
      <c r="O269" s="9" t="str">
        <f>IF($J269="","",SUMIFS(SummaryHelper!$G$2:$G$5000,SummaryHelper!$A$2:$A$5000,$I269,SummaryHelper!$B$2:$B$5000,$J269,SummaryHelper!$C$2:$C$5000,$K269))</f>
        <v/>
      </c>
      <c r="Q269" s="9" t="str">
        <f t="shared" si="54"/>
        <v/>
      </c>
      <c r="R269" s="9" t="str">
        <f t="shared" si="55"/>
        <v/>
      </c>
      <c r="W269" s="9" t="str">
        <f>IF($U269="","",IFERROR(SUMIFS(SummaryHelper!$H$2:$H$5000,SummaryHelper!$A$2:$A$5000,$T269,SummaryHelper!$B$2:$B$5000,$U269,SummaryHelper!$C$2:$C$5000,$V269)/SUMIFS(SummaryHelper!$G$2:$G$5000,SummaryHelper!$A$2:$A$5000,$T269,SummaryHelper!$B$2:$B$5000,$U269,SummaryHelper!$C$2:$C$5000,$V269),""))</f>
        <v/>
      </c>
      <c r="X269" s="9" t="str">
        <f>IF($U269="","",SUMIFS(SummaryHelper!$E$2:$E$5000,SummaryHelper!$A$2:$A$5000,$T269,SummaryHelper!$B$2:$B$5000,$U269,SummaryHelper!$C$2:$C$5000,$V269))</f>
        <v/>
      </c>
      <c r="Y269" s="9" t="str">
        <f>IF($U269="","",SUMIFS(SummaryHelper!$F$2:$F$5000,SummaryHelper!$A$2:$A$5000,$T269,SummaryHelper!$B$2:$B$5000,$U269,SummaryHelper!$C$2:$C$5000,$V269))</f>
        <v/>
      </c>
      <c r="Z269" s="9" t="str">
        <f>IF($U269="","",SUMIFS(SummaryHelper!$G$2:$G$5000,SummaryHelper!$A$2:$A$5000,$T269,SummaryHelper!$B$2:$B$5000,$U269,SummaryHelper!$C$2:$C$5000,$V269))</f>
        <v/>
      </c>
      <c r="AB269" s="9" t="str">
        <f t="shared" si="56"/>
        <v/>
      </c>
      <c r="AC269" s="9" t="str">
        <f t="shared" si="57"/>
        <v/>
      </c>
      <c r="AH269" t="str">
        <f>IF($AF269="","",IFERROR(SUMIFS(SummaryHelper!$H$2:$H$5000,SummaryHelper!$A$2:$A$5000,$AE269,SummaryHelper!$B$2:$B$5000,$AF269,SummaryHelper!$C$2:$C$5000,$AG269)/SUMIFS(SummaryHelper!$G$2:$G$5000,SummaryHelper!$A$2:$A$5000,$AE269,SummaryHelper!$B$2:$B$5000,$AF269,SummaryHelper!$C$2:$C$5000,$AG269),""))</f>
        <v/>
      </c>
      <c r="AI269" t="str">
        <f>IF($AF269="","",SUMIFS(SummaryHelper!$E$2:$E$5000,SummaryHelper!$A$2:$A$5000,$AE269,SummaryHelper!$B$2:$B$5000,$AF269,SummaryHelper!$C$2:$C$5000,$AG269))</f>
        <v/>
      </c>
      <c r="AJ269" t="str">
        <f>IF($AF269="","",SUMIFS(SummaryHelper!$F$2:$F$5000,SummaryHelper!$A$2:$A$5000,$AE269,SummaryHelper!$B$2:$B$5000,$AF269,SummaryHelper!$C$2:$C$5000,$AG269))</f>
        <v/>
      </c>
      <c r="AK269" t="str">
        <f>IF($AF269="","",SUMIFS(SummaryHelper!$G$2:$G$5000,SummaryHelper!$A$2:$A$5000,$AE269,SummaryHelper!$B$2:$B$5000,$AF269,SummaryHelper!$C$2:$C$5000,$AG269))</f>
        <v/>
      </c>
      <c r="AM269" t="str">
        <f t="shared" si="58"/>
        <v/>
      </c>
      <c r="AN269" t="str">
        <f t="shared" si="59"/>
        <v/>
      </c>
    </row>
    <row r="270" spans="1:40" x14ac:dyDescent="0.25">
      <c r="A270" s="12"/>
      <c r="B270" s="23" t="str">
        <f t="shared" si="48"/>
        <v/>
      </c>
      <c r="C270" s="9" t="str">
        <f t="shared" ca="1" si="49"/>
        <v/>
      </c>
      <c r="D270" s="9" t="str">
        <f t="shared" ca="1" si="50"/>
        <v/>
      </c>
      <c r="E270" s="9" t="str">
        <f t="shared" ca="1" si="51"/>
        <v/>
      </c>
      <c r="F270" s="9" t="str">
        <f t="shared" si="52"/>
        <v/>
      </c>
      <c r="G270" s="9">
        <f t="shared" si="53"/>
        <v>0</v>
      </c>
      <c r="L270" s="9" t="str">
        <f>IF($J270="","",IFERROR(SUMIFS(SummaryHelper!$H$2:$H$5000,SummaryHelper!$A$2:$A$5000,$I270,SummaryHelper!$B$2:$B$5000,$J270,SummaryHelper!$C$2:$C$5000,$K270)/SUMIFS(SummaryHelper!$G$2:$G$5000,SummaryHelper!$A$2:$A$5000,$I270,SummaryHelper!$B$2:$B$5000,$J270,SummaryHelper!$C$2:$C$5000,$K270),""))</f>
        <v/>
      </c>
      <c r="M270" s="9" t="str">
        <f>IF($J270="","",SUMIFS(SummaryHelper!$E$2:$E$5000,SummaryHelper!$A$2:$A$5000,$I270,SummaryHelper!$B$2:$B$5000,$J270,SummaryHelper!$C$2:$C$5000,$K270))</f>
        <v/>
      </c>
      <c r="N270" s="9" t="str">
        <f>IF($J270="","",SUMIFS(SummaryHelper!$F$2:$F$5000,SummaryHelper!$A$2:$A$5000,$I270,SummaryHelper!$B$2:$B$5000,$J270,SummaryHelper!$C$2:$C$5000,$K270))</f>
        <v/>
      </c>
      <c r="O270" s="9" t="str">
        <f>IF($J270="","",SUMIFS(SummaryHelper!$G$2:$G$5000,SummaryHelper!$A$2:$A$5000,$I270,SummaryHelper!$B$2:$B$5000,$J270,SummaryHelper!$C$2:$C$5000,$K270))</f>
        <v/>
      </c>
      <c r="Q270" s="9" t="str">
        <f t="shared" si="54"/>
        <v/>
      </c>
      <c r="R270" s="9" t="str">
        <f t="shared" si="55"/>
        <v/>
      </c>
      <c r="W270" s="9" t="str">
        <f>IF($U270="","",IFERROR(SUMIFS(SummaryHelper!$H$2:$H$5000,SummaryHelper!$A$2:$A$5000,$T270,SummaryHelper!$B$2:$B$5000,$U270,SummaryHelper!$C$2:$C$5000,$V270)/SUMIFS(SummaryHelper!$G$2:$G$5000,SummaryHelper!$A$2:$A$5000,$T270,SummaryHelper!$B$2:$B$5000,$U270,SummaryHelper!$C$2:$C$5000,$V270),""))</f>
        <v/>
      </c>
      <c r="X270" s="9" t="str">
        <f>IF($U270="","",SUMIFS(SummaryHelper!$E$2:$E$5000,SummaryHelper!$A$2:$A$5000,$T270,SummaryHelper!$B$2:$B$5000,$U270,SummaryHelper!$C$2:$C$5000,$V270))</f>
        <v/>
      </c>
      <c r="Y270" s="9" t="str">
        <f>IF($U270="","",SUMIFS(SummaryHelper!$F$2:$F$5000,SummaryHelper!$A$2:$A$5000,$T270,SummaryHelper!$B$2:$B$5000,$U270,SummaryHelper!$C$2:$C$5000,$V270))</f>
        <v/>
      </c>
      <c r="Z270" s="9" t="str">
        <f>IF($U270="","",SUMIFS(SummaryHelper!$G$2:$G$5000,SummaryHelper!$A$2:$A$5000,$T270,SummaryHelper!$B$2:$B$5000,$U270,SummaryHelper!$C$2:$C$5000,$V270))</f>
        <v/>
      </c>
      <c r="AB270" s="9" t="str">
        <f t="shared" si="56"/>
        <v/>
      </c>
      <c r="AC270" s="9" t="str">
        <f t="shared" si="57"/>
        <v/>
      </c>
      <c r="AH270" t="str">
        <f>IF($AF270="","",IFERROR(SUMIFS(SummaryHelper!$H$2:$H$5000,SummaryHelper!$A$2:$A$5000,$AE270,SummaryHelper!$B$2:$B$5000,$AF270,SummaryHelper!$C$2:$C$5000,$AG270)/SUMIFS(SummaryHelper!$G$2:$G$5000,SummaryHelper!$A$2:$A$5000,$AE270,SummaryHelper!$B$2:$B$5000,$AF270,SummaryHelper!$C$2:$C$5000,$AG270),""))</f>
        <v/>
      </c>
      <c r="AI270" t="str">
        <f>IF($AF270="","",SUMIFS(SummaryHelper!$E$2:$E$5000,SummaryHelper!$A$2:$A$5000,$AE270,SummaryHelper!$B$2:$B$5000,$AF270,SummaryHelper!$C$2:$C$5000,$AG270))</f>
        <v/>
      </c>
      <c r="AJ270" t="str">
        <f>IF($AF270="","",SUMIFS(SummaryHelper!$F$2:$F$5000,SummaryHelper!$A$2:$A$5000,$AE270,SummaryHelper!$B$2:$B$5000,$AF270,SummaryHelper!$C$2:$C$5000,$AG270))</f>
        <v/>
      </c>
      <c r="AK270" t="str">
        <f>IF($AF270="","",SUMIFS(SummaryHelper!$G$2:$G$5000,SummaryHelper!$A$2:$A$5000,$AE270,SummaryHelper!$B$2:$B$5000,$AF270,SummaryHelper!$C$2:$C$5000,$AG270))</f>
        <v/>
      </c>
      <c r="AM270" t="str">
        <f t="shared" si="58"/>
        <v/>
      </c>
      <c r="AN270" t="str">
        <f t="shared" si="59"/>
        <v/>
      </c>
    </row>
    <row r="271" spans="1:40" x14ac:dyDescent="0.25">
      <c r="A271" s="12"/>
      <c r="B271" s="23" t="str">
        <f t="shared" ref="B271:B300" si="60">IF($A271=1,"S"&amp;TEXT(ROW()-2,"00"),"")</f>
        <v/>
      </c>
      <c r="C271" s="9" t="str">
        <f t="shared" ca="1" si="49"/>
        <v/>
      </c>
      <c r="D271" s="9" t="str">
        <f t="shared" ca="1" si="50"/>
        <v/>
      </c>
      <c r="E271" s="9" t="str">
        <f t="shared" ca="1" si="51"/>
        <v/>
      </c>
      <c r="F271" s="9" t="str">
        <f t="shared" si="52"/>
        <v/>
      </c>
      <c r="G271" s="9">
        <f t="shared" si="53"/>
        <v>0</v>
      </c>
      <c r="L271" s="9" t="str">
        <f>IF($J271="","",IFERROR(SUMIFS(SummaryHelper!$H$2:$H$5000,SummaryHelper!$A$2:$A$5000,$I271,SummaryHelper!$B$2:$B$5000,$J271,SummaryHelper!$C$2:$C$5000,$K271)/SUMIFS(SummaryHelper!$G$2:$G$5000,SummaryHelper!$A$2:$A$5000,$I271,SummaryHelper!$B$2:$B$5000,$J271,SummaryHelper!$C$2:$C$5000,$K271),""))</f>
        <v/>
      </c>
      <c r="M271" s="9" t="str">
        <f>IF($J271="","",SUMIFS(SummaryHelper!$E$2:$E$5000,SummaryHelper!$A$2:$A$5000,$I271,SummaryHelper!$B$2:$B$5000,$J271,SummaryHelper!$C$2:$C$5000,$K271))</f>
        <v/>
      </c>
      <c r="N271" s="9" t="str">
        <f>IF($J271="","",SUMIFS(SummaryHelper!$F$2:$F$5000,SummaryHelper!$A$2:$A$5000,$I271,SummaryHelper!$B$2:$B$5000,$J271,SummaryHelper!$C$2:$C$5000,$K271))</f>
        <v/>
      </c>
      <c r="O271" s="9" t="str">
        <f>IF($J271="","",SUMIFS(SummaryHelper!$G$2:$G$5000,SummaryHelper!$A$2:$A$5000,$I271,SummaryHelper!$B$2:$B$5000,$J271,SummaryHelper!$C$2:$C$5000,$K271))</f>
        <v/>
      </c>
      <c r="Q271" s="9" t="str">
        <f t="shared" si="54"/>
        <v/>
      </c>
      <c r="R271" s="9" t="str">
        <f t="shared" si="55"/>
        <v/>
      </c>
      <c r="W271" s="9" t="str">
        <f>IF($U271="","",IFERROR(SUMIFS(SummaryHelper!$H$2:$H$5000,SummaryHelper!$A$2:$A$5000,$T271,SummaryHelper!$B$2:$B$5000,$U271,SummaryHelper!$C$2:$C$5000,$V271)/SUMIFS(SummaryHelper!$G$2:$G$5000,SummaryHelper!$A$2:$A$5000,$T271,SummaryHelper!$B$2:$B$5000,$U271,SummaryHelper!$C$2:$C$5000,$V271),""))</f>
        <v/>
      </c>
      <c r="X271" s="9" t="str">
        <f>IF($U271="","",SUMIFS(SummaryHelper!$E$2:$E$5000,SummaryHelper!$A$2:$A$5000,$T271,SummaryHelper!$B$2:$B$5000,$U271,SummaryHelper!$C$2:$C$5000,$V271))</f>
        <v/>
      </c>
      <c r="Y271" s="9" t="str">
        <f>IF($U271="","",SUMIFS(SummaryHelper!$F$2:$F$5000,SummaryHelper!$A$2:$A$5000,$T271,SummaryHelper!$B$2:$B$5000,$U271,SummaryHelper!$C$2:$C$5000,$V271))</f>
        <v/>
      </c>
      <c r="Z271" s="9" t="str">
        <f>IF($U271="","",SUMIFS(SummaryHelper!$G$2:$G$5000,SummaryHelper!$A$2:$A$5000,$T271,SummaryHelper!$B$2:$B$5000,$U271,SummaryHelper!$C$2:$C$5000,$V271))</f>
        <v/>
      </c>
      <c r="AB271" s="9" t="str">
        <f t="shared" si="56"/>
        <v/>
      </c>
      <c r="AC271" s="9" t="str">
        <f t="shared" si="57"/>
        <v/>
      </c>
      <c r="AH271" t="str">
        <f>IF($AF271="","",IFERROR(SUMIFS(SummaryHelper!$H$2:$H$5000,SummaryHelper!$A$2:$A$5000,$AE271,SummaryHelper!$B$2:$B$5000,$AF271,SummaryHelper!$C$2:$C$5000,$AG271)/SUMIFS(SummaryHelper!$G$2:$G$5000,SummaryHelper!$A$2:$A$5000,$AE271,SummaryHelper!$B$2:$B$5000,$AF271,SummaryHelper!$C$2:$C$5000,$AG271),""))</f>
        <v/>
      </c>
      <c r="AI271" t="str">
        <f>IF($AF271="","",SUMIFS(SummaryHelper!$E$2:$E$5000,SummaryHelper!$A$2:$A$5000,$AE271,SummaryHelper!$B$2:$B$5000,$AF271,SummaryHelper!$C$2:$C$5000,$AG271))</f>
        <v/>
      </c>
      <c r="AJ271" t="str">
        <f>IF($AF271="","",SUMIFS(SummaryHelper!$F$2:$F$5000,SummaryHelper!$A$2:$A$5000,$AE271,SummaryHelper!$B$2:$B$5000,$AF271,SummaryHelper!$C$2:$C$5000,$AG271))</f>
        <v/>
      </c>
      <c r="AK271" t="str">
        <f>IF($AF271="","",SUMIFS(SummaryHelper!$G$2:$G$5000,SummaryHelper!$A$2:$A$5000,$AE271,SummaryHelper!$B$2:$B$5000,$AF271,SummaryHelper!$C$2:$C$5000,$AG271))</f>
        <v/>
      </c>
      <c r="AM271" t="str">
        <f t="shared" si="58"/>
        <v/>
      </c>
      <c r="AN271" t="str">
        <f t="shared" si="59"/>
        <v/>
      </c>
    </row>
    <row r="272" spans="1:40" x14ac:dyDescent="0.25">
      <c r="A272" s="12"/>
      <c r="B272" s="23" t="str">
        <f t="shared" si="60"/>
        <v/>
      </c>
      <c r="C272" s="9" t="str">
        <f t="shared" ca="1" si="49"/>
        <v/>
      </c>
      <c r="D272" s="9" t="str">
        <f t="shared" ca="1" si="50"/>
        <v/>
      </c>
      <c r="E272" s="9" t="str">
        <f t="shared" ca="1" si="51"/>
        <v/>
      </c>
      <c r="F272" s="9" t="str">
        <f t="shared" si="52"/>
        <v/>
      </c>
      <c r="G272" s="9">
        <f t="shared" si="53"/>
        <v>0</v>
      </c>
      <c r="L272" s="9" t="str">
        <f>IF($J272="","",IFERROR(SUMIFS(SummaryHelper!$H$2:$H$5000,SummaryHelper!$A$2:$A$5000,$I272,SummaryHelper!$B$2:$B$5000,$J272,SummaryHelper!$C$2:$C$5000,$K272)/SUMIFS(SummaryHelper!$G$2:$G$5000,SummaryHelper!$A$2:$A$5000,$I272,SummaryHelper!$B$2:$B$5000,$J272,SummaryHelper!$C$2:$C$5000,$K272),""))</f>
        <v/>
      </c>
      <c r="M272" s="9" t="str">
        <f>IF($J272="","",SUMIFS(SummaryHelper!$E$2:$E$5000,SummaryHelper!$A$2:$A$5000,$I272,SummaryHelper!$B$2:$B$5000,$J272,SummaryHelper!$C$2:$C$5000,$K272))</f>
        <v/>
      </c>
      <c r="N272" s="9" t="str">
        <f>IF($J272="","",SUMIFS(SummaryHelper!$F$2:$F$5000,SummaryHelper!$A$2:$A$5000,$I272,SummaryHelper!$B$2:$B$5000,$J272,SummaryHelper!$C$2:$C$5000,$K272))</f>
        <v/>
      </c>
      <c r="O272" s="9" t="str">
        <f>IF($J272="","",SUMIFS(SummaryHelper!$G$2:$G$5000,SummaryHelper!$A$2:$A$5000,$I272,SummaryHelper!$B$2:$B$5000,$J272,SummaryHelper!$C$2:$C$5000,$K272))</f>
        <v/>
      </c>
      <c r="Q272" s="9" t="str">
        <f t="shared" si="54"/>
        <v/>
      </c>
      <c r="R272" s="9" t="str">
        <f t="shared" si="55"/>
        <v/>
      </c>
      <c r="W272" s="9" t="str">
        <f>IF($U272="","",IFERROR(SUMIFS(SummaryHelper!$H$2:$H$5000,SummaryHelper!$A$2:$A$5000,$T272,SummaryHelper!$B$2:$B$5000,$U272,SummaryHelper!$C$2:$C$5000,$V272)/SUMIFS(SummaryHelper!$G$2:$G$5000,SummaryHelper!$A$2:$A$5000,$T272,SummaryHelper!$B$2:$B$5000,$U272,SummaryHelper!$C$2:$C$5000,$V272),""))</f>
        <v/>
      </c>
      <c r="X272" s="9" t="str">
        <f>IF($U272="","",SUMIFS(SummaryHelper!$E$2:$E$5000,SummaryHelper!$A$2:$A$5000,$T272,SummaryHelper!$B$2:$B$5000,$U272,SummaryHelper!$C$2:$C$5000,$V272))</f>
        <v/>
      </c>
      <c r="Y272" s="9" t="str">
        <f>IF($U272="","",SUMIFS(SummaryHelper!$F$2:$F$5000,SummaryHelper!$A$2:$A$5000,$T272,SummaryHelper!$B$2:$B$5000,$U272,SummaryHelper!$C$2:$C$5000,$V272))</f>
        <v/>
      </c>
      <c r="Z272" s="9" t="str">
        <f>IF($U272="","",SUMIFS(SummaryHelper!$G$2:$G$5000,SummaryHelper!$A$2:$A$5000,$T272,SummaryHelper!$B$2:$B$5000,$U272,SummaryHelper!$C$2:$C$5000,$V272))</f>
        <v/>
      </c>
      <c r="AB272" s="9" t="str">
        <f t="shared" si="56"/>
        <v/>
      </c>
      <c r="AC272" s="9" t="str">
        <f t="shared" si="57"/>
        <v/>
      </c>
      <c r="AH272" t="str">
        <f>IF($AF272="","",IFERROR(SUMIFS(SummaryHelper!$H$2:$H$5000,SummaryHelper!$A$2:$A$5000,$AE272,SummaryHelper!$B$2:$B$5000,$AF272,SummaryHelper!$C$2:$C$5000,$AG272)/SUMIFS(SummaryHelper!$G$2:$G$5000,SummaryHelper!$A$2:$A$5000,$AE272,SummaryHelper!$B$2:$B$5000,$AF272,SummaryHelper!$C$2:$C$5000,$AG272),""))</f>
        <v/>
      </c>
      <c r="AI272" t="str">
        <f>IF($AF272="","",SUMIFS(SummaryHelper!$E$2:$E$5000,SummaryHelper!$A$2:$A$5000,$AE272,SummaryHelper!$B$2:$B$5000,$AF272,SummaryHelper!$C$2:$C$5000,$AG272))</f>
        <v/>
      </c>
      <c r="AJ272" t="str">
        <f>IF($AF272="","",SUMIFS(SummaryHelper!$F$2:$F$5000,SummaryHelper!$A$2:$A$5000,$AE272,SummaryHelper!$B$2:$B$5000,$AF272,SummaryHelper!$C$2:$C$5000,$AG272))</f>
        <v/>
      </c>
      <c r="AK272" t="str">
        <f>IF($AF272="","",SUMIFS(SummaryHelper!$G$2:$G$5000,SummaryHelper!$A$2:$A$5000,$AE272,SummaryHelper!$B$2:$B$5000,$AF272,SummaryHelper!$C$2:$C$5000,$AG272))</f>
        <v/>
      </c>
      <c r="AM272" t="str">
        <f t="shared" si="58"/>
        <v/>
      </c>
      <c r="AN272" t="str">
        <f t="shared" si="59"/>
        <v/>
      </c>
    </row>
    <row r="273" spans="1:40" x14ac:dyDescent="0.25">
      <c r="A273" s="12"/>
      <c r="B273" s="23" t="str">
        <f t="shared" si="60"/>
        <v/>
      </c>
      <c r="C273" s="9" t="str">
        <f t="shared" ca="1" si="49"/>
        <v/>
      </c>
      <c r="D273" s="9" t="str">
        <f t="shared" ca="1" si="50"/>
        <v/>
      </c>
      <c r="E273" s="9" t="str">
        <f t="shared" ca="1" si="51"/>
        <v/>
      </c>
      <c r="F273" s="9" t="str">
        <f t="shared" si="52"/>
        <v/>
      </c>
      <c r="G273" s="9">
        <f t="shared" si="53"/>
        <v>0</v>
      </c>
      <c r="L273" s="9" t="str">
        <f>IF($J273="","",IFERROR(SUMIFS(SummaryHelper!$H$2:$H$5000,SummaryHelper!$A$2:$A$5000,$I273,SummaryHelper!$B$2:$B$5000,$J273,SummaryHelper!$C$2:$C$5000,$K273)/SUMIFS(SummaryHelper!$G$2:$G$5000,SummaryHelper!$A$2:$A$5000,$I273,SummaryHelper!$B$2:$B$5000,$J273,SummaryHelper!$C$2:$C$5000,$K273),""))</f>
        <v/>
      </c>
      <c r="M273" s="9" t="str">
        <f>IF($J273="","",SUMIFS(SummaryHelper!$E$2:$E$5000,SummaryHelper!$A$2:$A$5000,$I273,SummaryHelper!$B$2:$B$5000,$J273,SummaryHelper!$C$2:$C$5000,$K273))</f>
        <v/>
      </c>
      <c r="N273" s="9" t="str">
        <f>IF($J273="","",SUMIFS(SummaryHelper!$F$2:$F$5000,SummaryHelper!$A$2:$A$5000,$I273,SummaryHelper!$B$2:$B$5000,$J273,SummaryHelper!$C$2:$C$5000,$K273))</f>
        <v/>
      </c>
      <c r="O273" s="9" t="str">
        <f>IF($J273="","",SUMIFS(SummaryHelper!$G$2:$G$5000,SummaryHelper!$A$2:$A$5000,$I273,SummaryHelper!$B$2:$B$5000,$J273,SummaryHelper!$C$2:$C$5000,$K273))</f>
        <v/>
      </c>
      <c r="Q273" s="9" t="str">
        <f t="shared" si="54"/>
        <v/>
      </c>
      <c r="R273" s="9" t="str">
        <f t="shared" si="55"/>
        <v/>
      </c>
      <c r="W273" s="9" t="str">
        <f>IF($U273="","",IFERROR(SUMIFS(SummaryHelper!$H$2:$H$5000,SummaryHelper!$A$2:$A$5000,$T273,SummaryHelper!$B$2:$B$5000,$U273,SummaryHelper!$C$2:$C$5000,$V273)/SUMIFS(SummaryHelper!$G$2:$G$5000,SummaryHelper!$A$2:$A$5000,$T273,SummaryHelper!$B$2:$B$5000,$U273,SummaryHelper!$C$2:$C$5000,$V273),""))</f>
        <v/>
      </c>
      <c r="X273" s="9" t="str">
        <f>IF($U273="","",SUMIFS(SummaryHelper!$E$2:$E$5000,SummaryHelper!$A$2:$A$5000,$T273,SummaryHelper!$B$2:$B$5000,$U273,SummaryHelper!$C$2:$C$5000,$V273))</f>
        <v/>
      </c>
      <c r="Y273" s="9" t="str">
        <f>IF($U273="","",SUMIFS(SummaryHelper!$F$2:$F$5000,SummaryHelper!$A$2:$A$5000,$T273,SummaryHelper!$B$2:$B$5000,$U273,SummaryHelper!$C$2:$C$5000,$V273))</f>
        <v/>
      </c>
      <c r="Z273" s="9" t="str">
        <f>IF($U273="","",SUMIFS(SummaryHelper!$G$2:$G$5000,SummaryHelper!$A$2:$A$5000,$T273,SummaryHelper!$B$2:$B$5000,$U273,SummaryHelper!$C$2:$C$5000,$V273))</f>
        <v/>
      </c>
      <c r="AB273" s="9" t="str">
        <f t="shared" si="56"/>
        <v/>
      </c>
      <c r="AC273" s="9" t="str">
        <f t="shared" si="57"/>
        <v/>
      </c>
      <c r="AH273" t="str">
        <f>IF($AF273="","",IFERROR(SUMIFS(SummaryHelper!$H$2:$H$5000,SummaryHelper!$A$2:$A$5000,$AE273,SummaryHelper!$B$2:$B$5000,$AF273,SummaryHelper!$C$2:$C$5000,$AG273)/SUMIFS(SummaryHelper!$G$2:$G$5000,SummaryHelper!$A$2:$A$5000,$AE273,SummaryHelper!$B$2:$B$5000,$AF273,SummaryHelper!$C$2:$C$5000,$AG273),""))</f>
        <v/>
      </c>
      <c r="AI273" t="str">
        <f>IF($AF273="","",SUMIFS(SummaryHelper!$E$2:$E$5000,SummaryHelper!$A$2:$A$5000,$AE273,SummaryHelper!$B$2:$B$5000,$AF273,SummaryHelper!$C$2:$C$5000,$AG273))</f>
        <v/>
      </c>
      <c r="AJ273" t="str">
        <f>IF($AF273="","",SUMIFS(SummaryHelper!$F$2:$F$5000,SummaryHelper!$A$2:$A$5000,$AE273,SummaryHelper!$B$2:$B$5000,$AF273,SummaryHelper!$C$2:$C$5000,$AG273))</f>
        <v/>
      </c>
      <c r="AK273" t="str">
        <f>IF($AF273="","",SUMIFS(SummaryHelper!$G$2:$G$5000,SummaryHelper!$A$2:$A$5000,$AE273,SummaryHelper!$B$2:$B$5000,$AF273,SummaryHelper!$C$2:$C$5000,$AG273))</f>
        <v/>
      </c>
      <c r="AM273" t="str">
        <f t="shared" si="58"/>
        <v/>
      </c>
      <c r="AN273" t="str">
        <f t="shared" si="59"/>
        <v/>
      </c>
    </row>
    <row r="274" spans="1:40" x14ac:dyDescent="0.25">
      <c r="A274" s="12"/>
      <c r="B274" s="23" t="str">
        <f t="shared" si="60"/>
        <v/>
      </c>
      <c r="C274" s="9" t="str">
        <f t="shared" ca="1" si="49"/>
        <v/>
      </c>
      <c r="D274" s="9" t="str">
        <f t="shared" ca="1" si="50"/>
        <v/>
      </c>
      <c r="E274" s="9" t="str">
        <f t="shared" ca="1" si="51"/>
        <v/>
      </c>
      <c r="F274" s="9" t="str">
        <f t="shared" si="52"/>
        <v/>
      </c>
      <c r="G274" s="9">
        <f t="shared" si="53"/>
        <v>0</v>
      </c>
      <c r="L274" s="9" t="str">
        <f>IF($J274="","",IFERROR(SUMIFS(SummaryHelper!$H$2:$H$5000,SummaryHelper!$A$2:$A$5000,$I274,SummaryHelper!$B$2:$B$5000,$J274,SummaryHelper!$C$2:$C$5000,$K274)/SUMIFS(SummaryHelper!$G$2:$G$5000,SummaryHelper!$A$2:$A$5000,$I274,SummaryHelper!$B$2:$B$5000,$J274,SummaryHelper!$C$2:$C$5000,$K274),""))</f>
        <v/>
      </c>
      <c r="M274" s="9" t="str">
        <f>IF($J274="","",SUMIFS(SummaryHelper!$E$2:$E$5000,SummaryHelper!$A$2:$A$5000,$I274,SummaryHelper!$B$2:$B$5000,$J274,SummaryHelper!$C$2:$C$5000,$K274))</f>
        <v/>
      </c>
      <c r="N274" s="9" t="str">
        <f>IF($J274="","",SUMIFS(SummaryHelper!$F$2:$F$5000,SummaryHelper!$A$2:$A$5000,$I274,SummaryHelper!$B$2:$B$5000,$J274,SummaryHelper!$C$2:$C$5000,$K274))</f>
        <v/>
      </c>
      <c r="O274" s="9" t="str">
        <f>IF($J274="","",SUMIFS(SummaryHelper!$G$2:$G$5000,SummaryHelper!$A$2:$A$5000,$I274,SummaryHelper!$B$2:$B$5000,$J274,SummaryHelper!$C$2:$C$5000,$K274))</f>
        <v/>
      </c>
      <c r="Q274" s="9" t="str">
        <f t="shared" si="54"/>
        <v/>
      </c>
      <c r="R274" s="9" t="str">
        <f t="shared" si="55"/>
        <v/>
      </c>
      <c r="W274" s="9" t="str">
        <f>IF($U274="","",IFERROR(SUMIFS(SummaryHelper!$H$2:$H$5000,SummaryHelper!$A$2:$A$5000,$T274,SummaryHelper!$B$2:$B$5000,$U274,SummaryHelper!$C$2:$C$5000,$V274)/SUMIFS(SummaryHelper!$G$2:$G$5000,SummaryHelper!$A$2:$A$5000,$T274,SummaryHelper!$B$2:$B$5000,$U274,SummaryHelper!$C$2:$C$5000,$V274),""))</f>
        <v/>
      </c>
      <c r="X274" s="9" t="str">
        <f>IF($U274="","",SUMIFS(SummaryHelper!$E$2:$E$5000,SummaryHelper!$A$2:$A$5000,$T274,SummaryHelper!$B$2:$B$5000,$U274,SummaryHelper!$C$2:$C$5000,$V274))</f>
        <v/>
      </c>
      <c r="Y274" s="9" t="str">
        <f>IF($U274="","",SUMIFS(SummaryHelper!$F$2:$F$5000,SummaryHelper!$A$2:$A$5000,$T274,SummaryHelper!$B$2:$B$5000,$U274,SummaryHelper!$C$2:$C$5000,$V274))</f>
        <v/>
      </c>
      <c r="Z274" s="9" t="str">
        <f>IF($U274="","",SUMIFS(SummaryHelper!$G$2:$G$5000,SummaryHelper!$A$2:$A$5000,$T274,SummaryHelper!$B$2:$B$5000,$U274,SummaryHelper!$C$2:$C$5000,$V274))</f>
        <v/>
      </c>
      <c r="AB274" s="9" t="str">
        <f t="shared" si="56"/>
        <v/>
      </c>
      <c r="AC274" s="9" t="str">
        <f t="shared" si="57"/>
        <v/>
      </c>
      <c r="AH274" t="str">
        <f>IF($AF274="","",IFERROR(SUMIFS(SummaryHelper!$H$2:$H$5000,SummaryHelper!$A$2:$A$5000,$AE274,SummaryHelper!$B$2:$B$5000,$AF274,SummaryHelper!$C$2:$C$5000,$AG274)/SUMIFS(SummaryHelper!$G$2:$G$5000,SummaryHelper!$A$2:$A$5000,$AE274,SummaryHelper!$B$2:$B$5000,$AF274,SummaryHelper!$C$2:$C$5000,$AG274),""))</f>
        <v/>
      </c>
      <c r="AI274" t="str">
        <f>IF($AF274="","",SUMIFS(SummaryHelper!$E$2:$E$5000,SummaryHelper!$A$2:$A$5000,$AE274,SummaryHelper!$B$2:$B$5000,$AF274,SummaryHelper!$C$2:$C$5000,$AG274))</f>
        <v/>
      </c>
      <c r="AJ274" t="str">
        <f>IF($AF274="","",SUMIFS(SummaryHelper!$F$2:$F$5000,SummaryHelper!$A$2:$A$5000,$AE274,SummaryHelper!$B$2:$B$5000,$AF274,SummaryHelper!$C$2:$C$5000,$AG274))</f>
        <v/>
      </c>
      <c r="AK274" t="str">
        <f>IF($AF274="","",SUMIFS(SummaryHelper!$G$2:$G$5000,SummaryHelper!$A$2:$A$5000,$AE274,SummaryHelper!$B$2:$B$5000,$AF274,SummaryHelper!$C$2:$C$5000,$AG274))</f>
        <v/>
      </c>
      <c r="AM274" t="str">
        <f t="shared" si="58"/>
        <v/>
      </c>
      <c r="AN274" t="str">
        <f t="shared" si="59"/>
        <v/>
      </c>
    </row>
    <row r="275" spans="1:40" x14ac:dyDescent="0.25">
      <c r="A275" s="12"/>
      <c r="B275" s="23" t="str">
        <f t="shared" si="60"/>
        <v/>
      </c>
      <c r="C275" s="9" t="str">
        <f t="shared" ca="1" si="49"/>
        <v/>
      </c>
      <c r="D275" s="9" t="str">
        <f t="shared" ca="1" si="50"/>
        <v/>
      </c>
      <c r="E275" s="9" t="str">
        <f t="shared" ca="1" si="51"/>
        <v/>
      </c>
      <c r="F275" s="9" t="str">
        <f t="shared" si="52"/>
        <v/>
      </c>
      <c r="G275" s="9">
        <f t="shared" si="53"/>
        <v>0</v>
      </c>
      <c r="L275" s="9" t="str">
        <f>IF($J275="","",IFERROR(SUMIFS(SummaryHelper!$H$2:$H$5000,SummaryHelper!$A$2:$A$5000,$I275,SummaryHelper!$B$2:$B$5000,$J275,SummaryHelper!$C$2:$C$5000,$K275)/SUMIFS(SummaryHelper!$G$2:$G$5000,SummaryHelper!$A$2:$A$5000,$I275,SummaryHelper!$B$2:$B$5000,$J275,SummaryHelper!$C$2:$C$5000,$K275),""))</f>
        <v/>
      </c>
      <c r="M275" s="9" t="str">
        <f>IF($J275="","",SUMIFS(SummaryHelper!$E$2:$E$5000,SummaryHelper!$A$2:$A$5000,$I275,SummaryHelper!$B$2:$B$5000,$J275,SummaryHelper!$C$2:$C$5000,$K275))</f>
        <v/>
      </c>
      <c r="N275" s="9" t="str">
        <f>IF($J275="","",SUMIFS(SummaryHelper!$F$2:$F$5000,SummaryHelper!$A$2:$A$5000,$I275,SummaryHelper!$B$2:$B$5000,$J275,SummaryHelper!$C$2:$C$5000,$K275))</f>
        <v/>
      </c>
      <c r="O275" s="9" t="str">
        <f>IF($J275="","",SUMIFS(SummaryHelper!$G$2:$G$5000,SummaryHelper!$A$2:$A$5000,$I275,SummaryHelper!$B$2:$B$5000,$J275,SummaryHelper!$C$2:$C$5000,$K275))</f>
        <v/>
      </c>
      <c r="Q275" s="9" t="str">
        <f t="shared" si="54"/>
        <v/>
      </c>
      <c r="R275" s="9" t="str">
        <f t="shared" si="55"/>
        <v/>
      </c>
      <c r="W275" s="9" t="str">
        <f>IF($U275="","",IFERROR(SUMIFS(SummaryHelper!$H$2:$H$5000,SummaryHelper!$A$2:$A$5000,$T275,SummaryHelper!$B$2:$B$5000,$U275,SummaryHelper!$C$2:$C$5000,$V275)/SUMIFS(SummaryHelper!$G$2:$G$5000,SummaryHelper!$A$2:$A$5000,$T275,SummaryHelper!$B$2:$B$5000,$U275,SummaryHelper!$C$2:$C$5000,$V275),""))</f>
        <v/>
      </c>
      <c r="X275" s="9" t="str">
        <f>IF($U275="","",SUMIFS(SummaryHelper!$E$2:$E$5000,SummaryHelper!$A$2:$A$5000,$T275,SummaryHelper!$B$2:$B$5000,$U275,SummaryHelper!$C$2:$C$5000,$V275))</f>
        <v/>
      </c>
      <c r="Y275" s="9" t="str">
        <f>IF($U275="","",SUMIFS(SummaryHelper!$F$2:$F$5000,SummaryHelper!$A$2:$A$5000,$T275,SummaryHelper!$B$2:$B$5000,$U275,SummaryHelper!$C$2:$C$5000,$V275))</f>
        <v/>
      </c>
      <c r="Z275" s="9" t="str">
        <f>IF($U275="","",SUMIFS(SummaryHelper!$G$2:$G$5000,SummaryHelper!$A$2:$A$5000,$T275,SummaryHelper!$B$2:$B$5000,$U275,SummaryHelper!$C$2:$C$5000,$V275))</f>
        <v/>
      </c>
      <c r="AB275" s="9" t="str">
        <f t="shared" si="56"/>
        <v/>
      </c>
      <c r="AC275" s="9" t="str">
        <f t="shared" si="57"/>
        <v/>
      </c>
      <c r="AH275" t="str">
        <f>IF($AF275="","",IFERROR(SUMIFS(SummaryHelper!$H$2:$H$5000,SummaryHelper!$A$2:$A$5000,$AE275,SummaryHelper!$B$2:$B$5000,$AF275,SummaryHelper!$C$2:$C$5000,$AG275)/SUMIFS(SummaryHelper!$G$2:$G$5000,SummaryHelper!$A$2:$A$5000,$AE275,SummaryHelper!$B$2:$B$5000,$AF275,SummaryHelper!$C$2:$C$5000,$AG275),""))</f>
        <v/>
      </c>
      <c r="AI275" t="str">
        <f>IF($AF275="","",SUMIFS(SummaryHelper!$E$2:$E$5000,SummaryHelper!$A$2:$A$5000,$AE275,SummaryHelper!$B$2:$B$5000,$AF275,SummaryHelper!$C$2:$C$5000,$AG275))</f>
        <v/>
      </c>
      <c r="AJ275" t="str">
        <f>IF($AF275="","",SUMIFS(SummaryHelper!$F$2:$F$5000,SummaryHelper!$A$2:$A$5000,$AE275,SummaryHelper!$B$2:$B$5000,$AF275,SummaryHelper!$C$2:$C$5000,$AG275))</f>
        <v/>
      </c>
      <c r="AK275" t="str">
        <f>IF($AF275="","",SUMIFS(SummaryHelper!$G$2:$G$5000,SummaryHelper!$A$2:$A$5000,$AE275,SummaryHelper!$B$2:$B$5000,$AF275,SummaryHelper!$C$2:$C$5000,$AG275))</f>
        <v/>
      </c>
      <c r="AM275" t="str">
        <f t="shared" si="58"/>
        <v/>
      </c>
      <c r="AN275" t="str">
        <f t="shared" si="59"/>
        <v/>
      </c>
    </row>
    <row r="276" spans="1:40" x14ac:dyDescent="0.25">
      <c r="A276" s="12"/>
      <c r="B276" s="23" t="str">
        <f t="shared" si="60"/>
        <v/>
      </c>
      <c r="C276" s="9" t="str">
        <f t="shared" ca="1" si="49"/>
        <v/>
      </c>
      <c r="D276" s="9" t="str">
        <f t="shared" ca="1" si="50"/>
        <v/>
      </c>
      <c r="E276" s="9" t="str">
        <f t="shared" ca="1" si="51"/>
        <v/>
      </c>
      <c r="F276" s="9" t="str">
        <f t="shared" si="52"/>
        <v/>
      </c>
      <c r="G276" s="9">
        <f t="shared" si="53"/>
        <v>0</v>
      </c>
      <c r="L276" s="9" t="str">
        <f>IF($J276="","",IFERROR(SUMIFS(SummaryHelper!$H$2:$H$5000,SummaryHelper!$A$2:$A$5000,$I276,SummaryHelper!$B$2:$B$5000,$J276,SummaryHelper!$C$2:$C$5000,$K276)/SUMIFS(SummaryHelper!$G$2:$G$5000,SummaryHelper!$A$2:$A$5000,$I276,SummaryHelper!$B$2:$B$5000,$J276,SummaryHelper!$C$2:$C$5000,$K276),""))</f>
        <v/>
      </c>
      <c r="M276" s="9" t="str">
        <f>IF($J276="","",SUMIFS(SummaryHelper!$E$2:$E$5000,SummaryHelper!$A$2:$A$5000,$I276,SummaryHelper!$B$2:$B$5000,$J276,SummaryHelper!$C$2:$C$5000,$K276))</f>
        <v/>
      </c>
      <c r="N276" s="9" t="str">
        <f>IF($J276="","",SUMIFS(SummaryHelper!$F$2:$F$5000,SummaryHelper!$A$2:$A$5000,$I276,SummaryHelper!$B$2:$B$5000,$J276,SummaryHelper!$C$2:$C$5000,$K276))</f>
        <v/>
      </c>
      <c r="O276" s="9" t="str">
        <f>IF($J276="","",SUMIFS(SummaryHelper!$G$2:$G$5000,SummaryHelper!$A$2:$A$5000,$I276,SummaryHelper!$B$2:$B$5000,$J276,SummaryHelper!$C$2:$C$5000,$K276))</f>
        <v/>
      </c>
      <c r="Q276" s="9" t="str">
        <f t="shared" si="54"/>
        <v/>
      </c>
      <c r="R276" s="9" t="str">
        <f t="shared" si="55"/>
        <v/>
      </c>
      <c r="W276" s="9" t="str">
        <f>IF($U276="","",IFERROR(SUMIFS(SummaryHelper!$H$2:$H$5000,SummaryHelper!$A$2:$A$5000,$T276,SummaryHelper!$B$2:$B$5000,$U276,SummaryHelper!$C$2:$C$5000,$V276)/SUMIFS(SummaryHelper!$G$2:$G$5000,SummaryHelper!$A$2:$A$5000,$T276,SummaryHelper!$B$2:$B$5000,$U276,SummaryHelper!$C$2:$C$5000,$V276),""))</f>
        <v/>
      </c>
      <c r="X276" s="9" t="str">
        <f>IF($U276="","",SUMIFS(SummaryHelper!$E$2:$E$5000,SummaryHelper!$A$2:$A$5000,$T276,SummaryHelper!$B$2:$B$5000,$U276,SummaryHelper!$C$2:$C$5000,$V276))</f>
        <v/>
      </c>
      <c r="Y276" s="9" t="str">
        <f>IF($U276="","",SUMIFS(SummaryHelper!$F$2:$F$5000,SummaryHelper!$A$2:$A$5000,$T276,SummaryHelper!$B$2:$B$5000,$U276,SummaryHelper!$C$2:$C$5000,$V276))</f>
        <v/>
      </c>
      <c r="Z276" s="9" t="str">
        <f>IF($U276="","",SUMIFS(SummaryHelper!$G$2:$G$5000,SummaryHelper!$A$2:$A$5000,$T276,SummaryHelper!$B$2:$B$5000,$U276,SummaryHelper!$C$2:$C$5000,$V276))</f>
        <v/>
      </c>
      <c r="AB276" s="9" t="str">
        <f t="shared" si="56"/>
        <v/>
      </c>
      <c r="AC276" s="9" t="str">
        <f t="shared" si="57"/>
        <v/>
      </c>
      <c r="AH276" t="str">
        <f>IF($AF276="","",IFERROR(SUMIFS(SummaryHelper!$H$2:$H$5000,SummaryHelper!$A$2:$A$5000,$AE276,SummaryHelper!$B$2:$B$5000,$AF276,SummaryHelper!$C$2:$C$5000,$AG276)/SUMIFS(SummaryHelper!$G$2:$G$5000,SummaryHelper!$A$2:$A$5000,$AE276,SummaryHelper!$B$2:$B$5000,$AF276,SummaryHelper!$C$2:$C$5000,$AG276),""))</f>
        <v/>
      </c>
      <c r="AI276" t="str">
        <f>IF($AF276="","",SUMIFS(SummaryHelper!$E$2:$E$5000,SummaryHelper!$A$2:$A$5000,$AE276,SummaryHelper!$B$2:$B$5000,$AF276,SummaryHelper!$C$2:$C$5000,$AG276))</f>
        <v/>
      </c>
      <c r="AJ276" t="str">
        <f>IF($AF276="","",SUMIFS(SummaryHelper!$F$2:$F$5000,SummaryHelper!$A$2:$A$5000,$AE276,SummaryHelper!$B$2:$B$5000,$AF276,SummaryHelper!$C$2:$C$5000,$AG276))</f>
        <v/>
      </c>
      <c r="AK276" t="str">
        <f>IF($AF276="","",SUMIFS(SummaryHelper!$G$2:$G$5000,SummaryHelper!$A$2:$A$5000,$AE276,SummaryHelper!$B$2:$B$5000,$AF276,SummaryHelper!$C$2:$C$5000,$AG276))</f>
        <v/>
      </c>
      <c r="AM276" t="str">
        <f t="shared" si="58"/>
        <v/>
      </c>
      <c r="AN276" t="str">
        <f t="shared" si="59"/>
        <v/>
      </c>
    </row>
    <row r="277" spans="1:40" x14ac:dyDescent="0.25">
      <c r="A277" s="12"/>
      <c r="B277" s="23" t="str">
        <f t="shared" si="60"/>
        <v/>
      </c>
      <c r="C277" s="9" t="str">
        <f t="shared" ca="1" si="49"/>
        <v/>
      </c>
      <c r="D277" s="9" t="str">
        <f t="shared" ca="1" si="50"/>
        <v/>
      </c>
      <c r="E277" s="9" t="str">
        <f t="shared" ca="1" si="51"/>
        <v/>
      </c>
      <c r="F277" s="9" t="str">
        <f t="shared" si="52"/>
        <v/>
      </c>
      <c r="G277" s="9">
        <f t="shared" si="53"/>
        <v>0</v>
      </c>
      <c r="L277" s="9" t="str">
        <f>IF($J277="","",IFERROR(SUMIFS(SummaryHelper!$H$2:$H$5000,SummaryHelper!$A$2:$A$5000,$I277,SummaryHelper!$B$2:$B$5000,$J277,SummaryHelper!$C$2:$C$5000,$K277)/SUMIFS(SummaryHelper!$G$2:$G$5000,SummaryHelper!$A$2:$A$5000,$I277,SummaryHelper!$B$2:$B$5000,$J277,SummaryHelper!$C$2:$C$5000,$K277),""))</f>
        <v/>
      </c>
      <c r="M277" s="9" t="str">
        <f>IF($J277="","",SUMIFS(SummaryHelper!$E$2:$E$5000,SummaryHelper!$A$2:$A$5000,$I277,SummaryHelper!$B$2:$B$5000,$J277,SummaryHelper!$C$2:$C$5000,$K277))</f>
        <v/>
      </c>
      <c r="N277" s="9" t="str">
        <f>IF($J277="","",SUMIFS(SummaryHelper!$F$2:$F$5000,SummaryHelper!$A$2:$A$5000,$I277,SummaryHelper!$B$2:$B$5000,$J277,SummaryHelper!$C$2:$C$5000,$K277))</f>
        <v/>
      </c>
      <c r="O277" s="9" t="str">
        <f>IF($J277="","",SUMIFS(SummaryHelper!$G$2:$G$5000,SummaryHelper!$A$2:$A$5000,$I277,SummaryHelper!$B$2:$B$5000,$J277,SummaryHelper!$C$2:$C$5000,$K277))</f>
        <v/>
      </c>
      <c r="Q277" s="9" t="str">
        <f t="shared" si="54"/>
        <v/>
      </c>
      <c r="R277" s="9" t="str">
        <f t="shared" si="55"/>
        <v/>
      </c>
      <c r="W277" s="9" t="str">
        <f>IF($U277="","",IFERROR(SUMIFS(SummaryHelper!$H$2:$H$5000,SummaryHelper!$A$2:$A$5000,$T277,SummaryHelper!$B$2:$B$5000,$U277,SummaryHelper!$C$2:$C$5000,$V277)/SUMIFS(SummaryHelper!$G$2:$G$5000,SummaryHelper!$A$2:$A$5000,$T277,SummaryHelper!$B$2:$B$5000,$U277,SummaryHelper!$C$2:$C$5000,$V277),""))</f>
        <v/>
      </c>
      <c r="X277" s="9" t="str">
        <f>IF($U277="","",SUMIFS(SummaryHelper!$E$2:$E$5000,SummaryHelper!$A$2:$A$5000,$T277,SummaryHelper!$B$2:$B$5000,$U277,SummaryHelper!$C$2:$C$5000,$V277))</f>
        <v/>
      </c>
      <c r="Y277" s="9" t="str">
        <f>IF($U277="","",SUMIFS(SummaryHelper!$F$2:$F$5000,SummaryHelper!$A$2:$A$5000,$T277,SummaryHelper!$B$2:$B$5000,$U277,SummaryHelper!$C$2:$C$5000,$V277))</f>
        <v/>
      </c>
      <c r="Z277" s="9" t="str">
        <f>IF($U277="","",SUMIFS(SummaryHelper!$G$2:$G$5000,SummaryHelper!$A$2:$A$5000,$T277,SummaryHelper!$B$2:$B$5000,$U277,SummaryHelper!$C$2:$C$5000,$V277))</f>
        <v/>
      </c>
      <c r="AB277" s="9" t="str">
        <f t="shared" si="56"/>
        <v/>
      </c>
      <c r="AC277" s="9" t="str">
        <f t="shared" si="57"/>
        <v/>
      </c>
      <c r="AH277" t="str">
        <f>IF($AF277="","",IFERROR(SUMIFS(SummaryHelper!$H$2:$H$5000,SummaryHelper!$A$2:$A$5000,$AE277,SummaryHelper!$B$2:$B$5000,$AF277,SummaryHelper!$C$2:$C$5000,$AG277)/SUMIFS(SummaryHelper!$G$2:$G$5000,SummaryHelper!$A$2:$A$5000,$AE277,SummaryHelper!$B$2:$B$5000,$AF277,SummaryHelper!$C$2:$C$5000,$AG277),""))</f>
        <v/>
      </c>
      <c r="AI277" t="str">
        <f>IF($AF277="","",SUMIFS(SummaryHelper!$E$2:$E$5000,SummaryHelper!$A$2:$A$5000,$AE277,SummaryHelper!$B$2:$B$5000,$AF277,SummaryHelper!$C$2:$C$5000,$AG277))</f>
        <v/>
      </c>
      <c r="AJ277" t="str">
        <f>IF($AF277="","",SUMIFS(SummaryHelper!$F$2:$F$5000,SummaryHelper!$A$2:$A$5000,$AE277,SummaryHelper!$B$2:$B$5000,$AF277,SummaryHelper!$C$2:$C$5000,$AG277))</f>
        <v/>
      </c>
      <c r="AK277" t="str">
        <f>IF($AF277="","",SUMIFS(SummaryHelper!$G$2:$G$5000,SummaryHelper!$A$2:$A$5000,$AE277,SummaryHelper!$B$2:$B$5000,$AF277,SummaryHelper!$C$2:$C$5000,$AG277))</f>
        <v/>
      </c>
      <c r="AM277" t="str">
        <f t="shared" si="58"/>
        <v/>
      </c>
      <c r="AN277" t="str">
        <f t="shared" si="59"/>
        <v/>
      </c>
    </row>
    <row r="278" spans="1:40" x14ac:dyDescent="0.25">
      <c r="A278" s="12"/>
      <c r="B278" s="23" t="str">
        <f t="shared" si="60"/>
        <v/>
      </c>
      <c r="C278" s="9" t="str">
        <f t="shared" ca="1" si="49"/>
        <v/>
      </c>
      <c r="D278" s="9" t="str">
        <f t="shared" ca="1" si="50"/>
        <v/>
      </c>
      <c r="E278" s="9" t="str">
        <f t="shared" ca="1" si="51"/>
        <v/>
      </c>
      <c r="F278" s="9" t="str">
        <f t="shared" si="52"/>
        <v/>
      </c>
      <c r="G278" s="9">
        <f t="shared" si="53"/>
        <v>0</v>
      </c>
      <c r="L278" s="9" t="str">
        <f>IF($J278="","",IFERROR(SUMIFS(SummaryHelper!$H$2:$H$5000,SummaryHelper!$A$2:$A$5000,$I278,SummaryHelper!$B$2:$B$5000,$J278,SummaryHelper!$C$2:$C$5000,$K278)/SUMIFS(SummaryHelper!$G$2:$G$5000,SummaryHelper!$A$2:$A$5000,$I278,SummaryHelper!$B$2:$B$5000,$J278,SummaryHelper!$C$2:$C$5000,$K278),""))</f>
        <v/>
      </c>
      <c r="M278" s="9" t="str">
        <f>IF($J278="","",SUMIFS(SummaryHelper!$E$2:$E$5000,SummaryHelper!$A$2:$A$5000,$I278,SummaryHelper!$B$2:$B$5000,$J278,SummaryHelper!$C$2:$C$5000,$K278))</f>
        <v/>
      </c>
      <c r="N278" s="9" t="str">
        <f>IF($J278="","",SUMIFS(SummaryHelper!$F$2:$F$5000,SummaryHelper!$A$2:$A$5000,$I278,SummaryHelper!$B$2:$B$5000,$J278,SummaryHelper!$C$2:$C$5000,$K278))</f>
        <v/>
      </c>
      <c r="O278" s="9" t="str">
        <f>IF($J278="","",SUMIFS(SummaryHelper!$G$2:$G$5000,SummaryHelper!$A$2:$A$5000,$I278,SummaryHelper!$B$2:$B$5000,$J278,SummaryHelper!$C$2:$C$5000,$K278))</f>
        <v/>
      </c>
      <c r="Q278" s="9" t="str">
        <f t="shared" si="54"/>
        <v/>
      </c>
      <c r="R278" s="9" t="str">
        <f t="shared" si="55"/>
        <v/>
      </c>
      <c r="W278" s="9" t="str">
        <f>IF($U278="","",IFERROR(SUMIFS(SummaryHelper!$H$2:$H$5000,SummaryHelper!$A$2:$A$5000,$T278,SummaryHelper!$B$2:$B$5000,$U278,SummaryHelper!$C$2:$C$5000,$V278)/SUMIFS(SummaryHelper!$G$2:$G$5000,SummaryHelper!$A$2:$A$5000,$T278,SummaryHelper!$B$2:$B$5000,$U278,SummaryHelper!$C$2:$C$5000,$V278),""))</f>
        <v/>
      </c>
      <c r="X278" s="9" t="str">
        <f>IF($U278="","",SUMIFS(SummaryHelper!$E$2:$E$5000,SummaryHelper!$A$2:$A$5000,$T278,SummaryHelper!$B$2:$B$5000,$U278,SummaryHelper!$C$2:$C$5000,$V278))</f>
        <v/>
      </c>
      <c r="Y278" s="9" t="str">
        <f>IF($U278="","",SUMIFS(SummaryHelper!$F$2:$F$5000,SummaryHelper!$A$2:$A$5000,$T278,SummaryHelper!$B$2:$B$5000,$U278,SummaryHelper!$C$2:$C$5000,$V278))</f>
        <v/>
      </c>
      <c r="Z278" s="9" t="str">
        <f>IF($U278="","",SUMIFS(SummaryHelper!$G$2:$G$5000,SummaryHelper!$A$2:$A$5000,$T278,SummaryHelper!$B$2:$B$5000,$U278,SummaryHelper!$C$2:$C$5000,$V278))</f>
        <v/>
      </c>
      <c r="AB278" s="9" t="str">
        <f t="shared" si="56"/>
        <v/>
      </c>
      <c r="AC278" s="9" t="str">
        <f t="shared" si="57"/>
        <v/>
      </c>
      <c r="AH278" t="str">
        <f>IF($AF278="","",IFERROR(SUMIFS(SummaryHelper!$H$2:$H$5000,SummaryHelper!$A$2:$A$5000,$AE278,SummaryHelper!$B$2:$B$5000,$AF278,SummaryHelper!$C$2:$C$5000,$AG278)/SUMIFS(SummaryHelper!$G$2:$G$5000,SummaryHelper!$A$2:$A$5000,$AE278,SummaryHelper!$B$2:$B$5000,$AF278,SummaryHelper!$C$2:$C$5000,$AG278),""))</f>
        <v/>
      </c>
      <c r="AI278" t="str">
        <f>IF($AF278="","",SUMIFS(SummaryHelper!$E$2:$E$5000,SummaryHelper!$A$2:$A$5000,$AE278,SummaryHelper!$B$2:$B$5000,$AF278,SummaryHelper!$C$2:$C$5000,$AG278))</f>
        <v/>
      </c>
      <c r="AJ278" t="str">
        <f>IF($AF278="","",SUMIFS(SummaryHelper!$F$2:$F$5000,SummaryHelper!$A$2:$A$5000,$AE278,SummaryHelper!$B$2:$B$5000,$AF278,SummaryHelper!$C$2:$C$5000,$AG278))</f>
        <v/>
      </c>
      <c r="AK278" t="str">
        <f>IF($AF278="","",SUMIFS(SummaryHelper!$G$2:$G$5000,SummaryHelper!$A$2:$A$5000,$AE278,SummaryHelper!$B$2:$B$5000,$AF278,SummaryHelper!$C$2:$C$5000,$AG278))</f>
        <v/>
      </c>
      <c r="AM278" t="str">
        <f t="shared" si="58"/>
        <v/>
      </c>
      <c r="AN278" t="str">
        <f t="shared" si="59"/>
        <v/>
      </c>
    </row>
    <row r="279" spans="1:40" x14ac:dyDescent="0.25">
      <c r="A279" s="12"/>
      <c r="B279" s="23" t="str">
        <f t="shared" si="60"/>
        <v/>
      </c>
      <c r="C279" s="9" t="str">
        <f t="shared" ca="1" si="49"/>
        <v/>
      </c>
      <c r="D279" s="9" t="str">
        <f t="shared" ca="1" si="50"/>
        <v/>
      </c>
      <c r="E279" s="9" t="str">
        <f t="shared" ca="1" si="51"/>
        <v/>
      </c>
      <c r="F279" s="9" t="str">
        <f t="shared" si="52"/>
        <v/>
      </c>
      <c r="G279" s="9">
        <f t="shared" si="53"/>
        <v>0</v>
      </c>
      <c r="L279" s="9" t="str">
        <f>IF($J279="","",IFERROR(SUMIFS(SummaryHelper!$H$2:$H$5000,SummaryHelper!$A$2:$A$5000,$I279,SummaryHelper!$B$2:$B$5000,$J279,SummaryHelper!$C$2:$C$5000,$K279)/SUMIFS(SummaryHelper!$G$2:$G$5000,SummaryHelper!$A$2:$A$5000,$I279,SummaryHelper!$B$2:$B$5000,$J279,SummaryHelper!$C$2:$C$5000,$K279),""))</f>
        <v/>
      </c>
      <c r="M279" s="9" t="str">
        <f>IF($J279="","",SUMIFS(SummaryHelper!$E$2:$E$5000,SummaryHelper!$A$2:$A$5000,$I279,SummaryHelper!$B$2:$B$5000,$J279,SummaryHelper!$C$2:$C$5000,$K279))</f>
        <v/>
      </c>
      <c r="N279" s="9" t="str">
        <f>IF($J279="","",SUMIFS(SummaryHelper!$F$2:$F$5000,SummaryHelper!$A$2:$A$5000,$I279,SummaryHelper!$B$2:$B$5000,$J279,SummaryHelper!$C$2:$C$5000,$K279))</f>
        <v/>
      </c>
      <c r="O279" s="9" t="str">
        <f>IF($J279="","",SUMIFS(SummaryHelper!$G$2:$G$5000,SummaryHelper!$A$2:$A$5000,$I279,SummaryHelper!$B$2:$B$5000,$J279,SummaryHelper!$C$2:$C$5000,$K279))</f>
        <v/>
      </c>
      <c r="Q279" s="9" t="str">
        <f t="shared" si="54"/>
        <v/>
      </c>
      <c r="R279" s="9" t="str">
        <f t="shared" si="55"/>
        <v/>
      </c>
      <c r="W279" s="9" t="str">
        <f>IF($U279="","",IFERROR(SUMIFS(SummaryHelper!$H$2:$H$5000,SummaryHelper!$A$2:$A$5000,$T279,SummaryHelper!$B$2:$B$5000,$U279,SummaryHelper!$C$2:$C$5000,$V279)/SUMIFS(SummaryHelper!$G$2:$G$5000,SummaryHelper!$A$2:$A$5000,$T279,SummaryHelper!$B$2:$B$5000,$U279,SummaryHelper!$C$2:$C$5000,$V279),""))</f>
        <v/>
      </c>
      <c r="X279" s="9" t="str">
        <f>IF($U279="","",SUMIFS(SummaryHelper!$E$2:$E$5000,SummaryHelper!$A$2:$A$5000,$T279,SummaryHelper!$B$2:$B$5000,$U279,SummaryHelper!$C$2:$C$5000,$V279))</f>
        <v/>
      </c>
      <c r="Y279" s="9" t="str">
        <f>IF($U279="","",SUMIFS(SummaryHelper!$F$2:$F$5000,SummaryHelper!$A$2:$A$5000,$T279,SummaryHelper!$B$2:$B$5000,$U279,SummaryHelper!$C$2:$C$5000,$V279))</f>
        <v/>
      </c>
      <c r="Z279" s="9" t="str">
        <f>IF($U279="","",SUMIFS(SummaryHelper!$G$2:$G$5000,SummaryHelper!$A$2:$A$5000,$T279,SummaryHelper!$B$2:$B$5000,$U279,SummaryHelper!$C$2:$C$5000,$V279))</f>
        <v/>
      </c>
      <c r="AB279" s="9" t="str">
        <f t="shared" si="56"/>
        <v/>
      </c>
      <c r="AC279" s="9" t="str">
        <f t="shared" si="57"/>
        <v/>
      </c>
      <c r="AH279" t="str">
        <f>IF($AF279="","",IFERROR(SUMIFS(SummaryHelper!$H$2:$H$5000,SummaryHelper!$A$2:$A$5000,$AE279,SummaryHelper!$B$2:$B$5000,$AF279,SummaryHelper!$C$2:$C$5000,$AG279)/SUMIFS(SummaryHelper!$G$2:$G$5000,SummaryHelper!$A$2:$A$5000,$AE279,SummaryHelper!$B$2:$B$5000,$AF279,SummaryHelper!$C$2:$C$5000,$AG279),""))</f>
        <v/>
      </c>
      <c r="AI279" t="str">
        <f>IF($AF279="","",SUMIFS(SummaryHelper!$E$2:$E$5000,SummaryHelper!$A$2:$A$5000,$AE279,SummaryHelper!$B$2:$B$5000,$AF279,SummaryHelper!$C$2:$C$5000,$AG279))</f>
        <v/>
      </c>
      <c r="AJ279" t="str">
        <f>IF($AF279="","",SUMIFS(SummaryHelper!$F$2:$F$5000,SummaryHelper!$A$2:$A$5000,$AE279,SummaryHelper!$B$2:$B$5000,$AF279,SummaryHelper!$C$2:$C$5000,$AG279))</f>
        <v/>
      </c>
      <c r="AK279" t="str">
        <f>IF($AF279="","",SUMIFS(SummaryHelper!$G$2:$G$5000,SummaryHelper!$A$2:$A$5000,$AE279,SummaryHelper!$B$2:$B$5000,$AF279,SummaryHelper!$C$2:$C$5000,$AG279))</f>
        <v/>
      </c>
      <c r="AM279" t="str">
        <f t="shared" si="58"/>
        <v/>
      </c>
      <c r="AN279" t="str">
        <f t="shared" si="59"/>
        <v/>
      </c>
    </row>
    <row r="280" spans="1:40" x14ac:dyDescent="0.25">
      <c r="A280" s="12"/>
      <c r="B280" s="23" t="str">
        <f t="shared" si="60"/>
        <v/>
      </c>
      <c r="C280" s="9" t="str">
        <f t="shared" ca="1" si="49"/>
        <v/>
      </c>
      <c r="D280" s="9" t="str">
        <f t="shared" ca="1" si="50"/>
        <v/>
      </c>
      <c r="E280" s="9" t="str">
        <f t="shared" ca="1" si="51"/>
        <v/>
      </c>
      <c r="F280" s="9" t="str">
        <f t="shared" si="52"/>
        <v/>
      </c>
      <c r="G280" s="9">
        <f t="shared" si="53"/>
        <v>0</v>
      </c>
      <c r="L280" s="9" t="str">
        <f>IF($J280="","",IFERROR(SUMIFS(SummaryHelper!$H$2:$H$5000,SummaryHelper!$A$2:$A$5000,$I280,SummaryHelper!$B$2:$B$5000,$J280,SummaryHelper!$C$2:$C$5000,$K280)/SUMIFS(SummaryHelper!$G$2:$G$5000,SummaryHelper!$A$2:$A$5000,$I280,SummaryHelper!$B$2:$B$5000,$J280,SummaryHelper!$C$2:$C$5000,$K280),""))</f>
        <v/>
      </c>
      <c r="M280" s="9" t="str">
        <f>IF($J280="","",SUMIFS(SummaryHelper!$E$2:$E$5000,SummaryHelper!$A$2:$A$5000,$I280,SummaryHelper!$B$2:$B$5000,$J280,SummaryHelper!$C$2:$C$5000,$K280))</f>
        <v/>
      </c>
      <c r="N280" s="9" t="str">
        <f>IF($J280="","",SUMIFS(SummaryHelper!$F$2:$F$5000,SummaryHelper!$A$2:$A$5000,$I280,SummaryHelper!$B$2:$B$5000,$J280,SummaryHelper!$C$2:$C$5000,$K280))</f>
        <v/>
      </c>
      <c r="O280" s="9" t="str">
        <f>IF($J280="","",SUMIFS(SummaryHelper!$G$2:$G$5000,SummaryHelper!$A$2:$A$5000,$I280,SummaryHelper!$B$2:$B$5000,$J280,SummaryHelper!$C$2:$C$5000,$K280))</f>
        <v/>
      </c>
      <c r="Q280" s="9" t="str">
        <f t="shared" si="54"/>
        <v/>
      </c>
      <c r="R280" s="9" t="str">
        <f t="shared" si="55"/>
        <v/>
      </c>
      <c r="W280" s="9" t="str">
        <f>IF($U280="","",IFERROR(SUMIFS(SummaryHelper!$H$2:$H$5000,SummaryHelper!$A$2:$A$5000,$T280,SummaryHelper!$B$2:$B$5000,$U280,SummaryHelper!$C$2:$C$5000,$V280)/SUMIFS(SummaryHelper!$G$2:$G$5000,SummaryHelper!$A$2:$A$5000,$T280,SummaryHelper!$B$2:$B$5000,$U280,SummaryHelper!$C$2:$C$5000,$V280),""))</f>
        <v/>
      </c>
      <c r="X280" s="9" t="str">
        <f>IF($U280="","",SUMIFS(SummaryHelper!$E$2:$E$5000,SummaryHelper!$A$2:$A$5000,$T280,SummaryHelper!$B$2:$B$5000,$U280,SummaryHelper!$C$2:$C$5000,$V280))</f>
        <v/>
      </c>
      <c r="Y280" s="9" t="str">
        <f>IF($U280="","",SUMIFS(SummaryHelper!$F$2:$F$5000,SummaryHelper!$A$2:$A$5000,$T280,SummaryHelper!$B$2:$B$5000,$U280,SummaryHelper!$C$2:$C$5000,$V280))</f>
        <v/>
      </c>
      <c r="Z280" s="9" t="str">
        <f>IF($U280="","",SUMIFS(SummaryHelper!$G$2:$G$5000,SummaryHelper!$A$2:$A$5000,$T280,SummaryHelper!$B$2:$B$5000,$U280,SummaryHelper!$C$2:$C$5000,$V280))</f>
        <v/>
      </c>
      <c r="AB280" s="9" t="str">
        <f t="shared" si="56"/>
        <v/>
      </c>
      <c r="AC280" s="9" t="str">
        <f t="shared" si="57"/>
        <v/>
      </c>
      <c r="AH280" t="str">
        <f>IF($AF280="","",IFERROR(SUMIFS(SummaryHelper!$H$2:$H$5000,SummaryHelper!$A$2:$A$5000,$AE280,SummaryHelper!$B$2:$B$5000,$AF280,SummaryHelper!$C$2:$C$5000,$AG280)/SUMIFS(SummaryHelper!$G$2:$G$5000,SummaryHelper!$A$2:$A$5000,$AE280,SummaryHelper!$B$2:$B$5000,$AF280,SummaryHelper!$C$2:$C$5000,$AG280),""))</f>
        <v/>
      </c>
      <c r="AI280" t="str">
        <f>IF($AF280="","",SUMIFS(SummaryHelper!$E$2:$E$5000,SummaryHelper!$A$2:$A$5000,$AE280,SummaryHelper!$B$2:$B$5000,$AF280,SummaryHelper!$C$2:$C$5000,$AG280))</f>
        <v/>
      </c>
      <c r="AJ280" t="str">
        <f>IF($AF280="","",SUMIFS(SummaryHelper!$F$2:$F$5000,SummaryHelper!$A$2:$A$5000,$AE280,SummaryHelper!$B$2:$B$5000,$AF280,SummaryHelper!$C$2:$C$5000,$AG280))</f>
        <v/>
      </c>
      <c r="AK280" t="str">
        <f>IF($AF280="","",SUMIFS(SummaryHelper!$G$2:$G$5000,SummaryHelper!$A$2:$A$5000,$AE280,SummaryHelper!$B$2:$B$5000,$AF280,SummaryHelper!$C$2:$C$5000,$AG280))</f>
        <v/>
      </c>
      <c r="AM280" t="str">
        <f t="shared" si="58"/>
        <v/>
      </c>
      <c r="AN280" t="str">
        <f t="shared" si="59"/>
        <v/>
      </c>
    </row>
    <row r="281" spans="1:40" x14ac:dyDescent="0.25">
      <c r="A281" s="12"/>
      <c r="B281" s="23" t="str">
        <f t="shared" si="60"/>
        <v/>
      </c>
      <c r="C281" s="9" t="str">
        <f t="shared" ca="1" si="49"/>
        <v/>
      </c>
      <c r="D281" s="9" t="str">
        <f t="shared" ca="1" si="50"/>
        <v/>
      </c>
      <c r="E281" s="9" t="str">
        <f t="shared" ca="1" si="51"/>
        <v/>
      </c>
      <c r="F281" s="9" t="str">
        <f t="shared" si="52"/>
        <v/>
      </c>
      <c r="G281" s="9">
        <f t="shared" si="53"/>
        <v>0</v>
      </c>
      <c r="L281" s="9" t="str">
        <f>IF($J281="","",IFERROR(SUMIFS(SummaryHelper!$H$2:$H$5000,SummaryHelper!$A$2:$A$5000,$I281,SummaryHelper!$B$2:$B$5000,$J281,SummaryHelper!$C$2:$C$5000,$K281)/SUMIFS(SummaryHelper!$G$2:$G$5000,SummaryHelper!$A$2:$A$5000,$I281,SummaryHelper!$B$2:$B$5000,$J281,SummaryHelper!$C$2:$C$5000,$K281),""))</f>
        <v/>
      </c>
      <c r="M281" s="9" t="str">
        <f>IF($J281="","",SUMIFS(SummaryHelper!$E$2:$E$5000,SummaryHelper!$A$2:$A$5000,$I281,SummaryHelper!$B$2:$B$5000,$J281,SummaryHelper!$C$2:$C$5000,$K281))</f>
        <v/>
      </c>
      <c r="N281" s="9" t="str">
        <f>IF($J281="","",SUMIFS(SummaryHelper!$F$2:$F$5000,SummaryHelper!$A$2:$A$5000,$I281,SummaryHelper!$B$2:$B$5000,$J281,SummaryHelper!$C$2:$C$5000,$K281))</f>
        <v/>
      </c>
      <c r="O281" s="9" t="str">
        <f>IF($J281="","",SUMIFS(SummaryHelper!$G$2:$G$5000,SummaryHelper!$A$2:$A$5000,$I281,SummaryHelper!$B$2:$B$5000,$J281,SummaryHelper!$C$2:$C$5000,$K281))</f>
        <v/>
      </c>
      <c r="Q281" s="9" t="str">
        <f t="shared" si="54"/>
        <v/>
      </c>
      <c r="R281" s="9" t="str">
        <f t="shared" si="55"/>
        <v/>
      </c>
      <c r="W281" s="9" t="str">
        <f>IF($U281="","",IFERROR(SUMIFS(SummaryHelper!$H$2:$H$5000,SummaryHelper!$A$2:$A$5000,$T281,SummaryHelper!$B$2:$B$5000,$U281,SummaryHelper!$C$2:$C$5000,$V281)/SUMIFS(SummaryHelper!$G$2:$G$5000,SummaryHelper!$A$2:$A$5000,$T281,SummaryHelper!$B$2:$B$5000,$U281,SummaryHelper!$C$2:$C$5000,$V281),""))</f>
        <v/>
      </c>
      <c r="X281" s="9" t="str">
        <f>IF($U281="","",SUMIFS(SummaryHelper!$E$2:$E$5000,SummaryHelper!$A$2:$A$5000,$T281,SummaryHelper!$B$2:$B$5000,$U281,SummaryHelper!$C$2:$C$5000,$V281))</f>
        <v/>
      </c>
      <c r="Y281" s="9" t="str">
        <f>IF($U281="","",SUMIFS(SummaryHelper!$F$2:$F$5000,SummaryHelper!$A$2:$A$5000,$T281,SummaryHelper!$B$2:$B$5000,$U281,SummaryHelper!$C$2:$C$5000,$V281))</f>
        <v/>
      </c>
      <c r="Z281" s="9" t="str">
        <f>IF($U281="","",SUMIFS(SummaryHelper!$G$2:$G$5000,SummaryHelper!$A$2:$A$5000,$T281,SummaryHelper!$B$2:$B$5000,$U281,SummaryHelper!$C$2:$C$5000,$V281))</f>
        <v/>
      </c>
      <c r="AB281" s="9" t="str">
        <f t="shared" si="56"/>
        <v/>
      </c>
      <c r="AC281" s="9" t="str">
        <f t="shared" si="57"/>
        <v/>
      </c>
      <c r="AH281" t="str">
        <f>IF($AF281="","",IFERROR(SUMIFS(SummaryHelper!$H$2:$H$5000,SummaryHelper!$A$2:$A$5000,$AE281,SummaryHelper!$B$2:$B$5000,$AF281,SummaryHelper!$C$2:$C$5000,$AG281)/SUMIFS(SummaryHelper!$G$2:$G$5000,SummaryHelper!$A$2:$A$5000,$AE281,SummaryHelper!$B$2:$B$5000,$AF281,SummaryHelper!$C$2:$C$5000,$AG281),""))</f>
        <v/>
      </c>
      <c r="AI281" t="str">
        <f>IF($AF281="","",SUMIFS(SummaryHelper!$E$2:$E$5000,SummaryHelper!$A$2:$A$5000,$AE281,SummaryHelper!$B$2:$B$5000,$AF281,SummaryHelper!$C$2:$C$5000,$AG281))</f>
        <v/>
      </c>
      <c r="AJ281" t="str">
        <f>IF($AF281="","",SUMIFS(SummaryHelper!$F$2:$F$5000,SummaryHelper!$A$2:$A$5000,$AE281,SummaryHelper!$B$2:$B$5000,$AF281,SummaryHelper!$C$2:$C$5000,$AG281))</f>
        <v/>
      </c>
      <c r="AK281" t="str">
        <f>IF($AF281="","",SUMIFS(SummaryHelper!$G$2:$G$5000,SummaryHelper!$A$2:$A$5000,$AE281,SummaryHelper!$B$2:$B$5000,$AF281,SummaryHelper!$C$2:$C$5000,$AG281))</f>
        <v/>
      </c>
      <c r="AM281" t="str">
        <f t="shared" si="58"/>
        <v/>
      </c>
      <c r="AN281" t="str">
        <f t="shared" si="59"/>
        <v/>
      </c>
    </row>
    <row r="282" spans="1:40" x14ac:dyDescent="0.25">
      <c r="A282" s="12"/>
      <c r="B282" s="23" t="str">
        <f t="shared" si="60"/>
        <v/>
      </c>
      <c r="C282" s="9" t="str">
        <f t="shared" ca="1" si="49"/>
        <v/>
      </c>
      <c r="D282" s="9" t="str">
        <f t="shared" ca="1" si="50"/>
        <v/>
      </c>
      <c r="E282" s="9" t="str">
        <f t="shared" ca="1" si="51"/>
        <v/>
      </c>
      <c r="F282" s="9" t="str">
        <f t="shared" si="52"/>
        <v/>
      </c>
      <c r="G282" s="9">
        <f t="shared" si="53"/>
        <v>0</v>
      </c>
      <c r="L282" s="9" t="str">
        <f>IF($J282="","",IFERROR(SUMIFS(SummaryHelper!$H$2:$H$5000,SummaryHelper!$A$2:$A$5000,$I282,SummaryHelper!$B$2:$B$5000,$J282,SummaryHelper!$C$2:$C$5000,$K282)/SUMIFS(SummaryHelper!$G$2:$G$5000,SummaryHelper!$A$2:$A$5000,$I282,SummaryHelper!$B$2:$B$5000,$J282,SummaryHelper!$C$2:$C$5000,$K282),""))</f>
        <v/>
      </c>
      <c r="M282" s="9" t="str">
        <f>IF($J282="","",SUMIFS(SummaryHelper!$E$2:$E$5000,SummaryHelper!$A$2:$A$5000,$I282,SummaryHelper!$B$2:$B$5000,$J282,SummaryHelper!$C$2:$C$5000,$K282))</f>
        <v/>
      </c>
      <c r="N282" s="9" t="str">
        <f>IF($J282="","",SUMIFS(SummaryHelper!$F$2:$F$5000,SummaryHelper!$A$2:$A$5000,$I282,SummaryHelper!$B$2:$B$5000,$J282,SummaryHelper!$C$2:$C$5000,$K282))</f>
        <v/>
      </c>
      <c r="O282" s="9" t="str">
        <f>IF($J282="","",SUMIFS(SummaryHelper!$G$2:$G$5000,SummaryHelper!$A$2:$A$5000,$I282,SummaryHelper!$B$2:$B$5000,$J282,SummaryHelper!$C$2:$C$5000,$K282))</f>
        <v/>
      </c>
      <c r="Q282" s="9" t="str">
        <f t="shared" si="54"/>
        <v/>
      </c>
      <c r="R282" s="9" t="str">
        <f t="shared" si="55"/>
        <v/>
      </c>
      <c r="W282" s="9" t="str">
        <f>IF($U282="","",IFERROR(SUMIFS(SummaryHelper!$H$2:$H$5000,SummaryHelper!$A$2:$A$5000,$T282,SummaryHelper!$B$2:$B$5000,$U282,SummaryHelper!$C$2:$C$5000,$V282)/SUMIFS(SummaryHelper!$G$2:$G$5000,SummaryHelper!$A$2:$A$5000,$T282,SummaryHelper!$B$2:$B$5000,$U282,SummaryHelper!$C$2:$C$5000,$V282),""))</f>
        <v/>
      </c>
      <c r="X282" s="9" t="str">
        <f>IF($U282="","",SUMIFS(SummaryHelper!$E$2:$E$5000,SummaryHelper!$A$2:$A$5000,$T282,SummaryHelper!$B$2:$B$5000,$U282,SummaryHelper!$C$2:$C$5000,$V282))</f>
        <v/>
      </c>
      <c r="Y282" s="9" t="str">
        <f>IF($U282="","",SUMIFS(SummaryHelper!$F$2:$F$5000,SummaryHelper!$A$2:$A$5000,$T282,SummaryHelper!$B$2:$B$5000,$U282,SummaryHelper!$C$2:$C$5000,$V282))</f>
        <v/>
      </c>
      <c r="Z282" s="9" t="str">
        <f>IF($U282="","",SUMIFS(SummaryHelper!$G$2:$G$5000,SummaryHelper!$A$2:$A$5000,$T282,SummaryHelper!$B$2:$B$5000,$U282,SummaryHelper!$C$2:$C$5000,$V282))</f>
        <v/>
      </c>
      <c r="AB282" s="9" t="str">
        <f t="shared" si="56"/>
        <v/>
      </c>
      <c r="AC282" s="9" t="str">
        <f t="shared" si="57"/>
        <v/>
      </c>
      <c r="AH282" t="str">
        <f>IF($AF282="","",IFERROR(SUMIFS(SummaryHelper!$H$2:$H$5000,SummaryHelper!$A$2:$A$5000,$AE282,SummaryHelper!$B$2:$B$5000,$AF282,SummaryHelper!$C$2:$C$5000,$AG282)/SUMIFS(SummaryHelper!$G$2:$G$5000,SummaryHelper!$A$2:$A$5000,$AE282,SummaryHelper!$B$2:$B$5000,$AF282,SummaryHelper!$C$2:$C$5000,$AG282),""))</f>
        <v/>
      </c>
      <c r="AI282" t="str">
        <f>IF($AF282="","",SUMIFS(SummaryHelper!$E$2:$E$5000,SummaryHelper!$A$2:$A$5000,$AE282,SummaryHelper!$B$2:$B$5000,$AF282,SummaryHelper!$C$2:$C$5000,$AG282))</f>
        <v/>
      </c>
      <c r="AJ282" t="str">
        <f>IF($AF282="","",SUMIFS(SummaryHelper!$F$2:$F$5000,SummaryHelper!$A$2:$A$5000,$AE282,SummaryHelper!$B$2:$B$5000,$AF282,SummaryHelper!$C$2:$C$5000,$AG282))</f>
        <v/>
      </c>
      <c r="AK282" t="str">
        <f>IF($AF282="","",SUMIFS(SummaryHelper!$G$2:$G$5000,SummaryHelper!$A$2:$A$5000,$AE282,SummaryHelper!$B$2:$B$5000,$AF282,SummaryHelper!$C$2:$C$5000,$AG282))</f>
        <v/>
      </c>
      <c r="AM282" t="str">
        <f t="shared" si="58"/>
        <v/>
      </c>
      <c r="AN282" t="str">
        <f t="shared" si="59"/>
        <v/>
      </c>
    </row>
    <row r="283" spans="1:40" x14ac:dyDescent="0.25">
      <c r="A283" s="12"/>
      <c r="B283" s="23" t="str">
        <f t="shared" si="60"/>
        <v/>
      </c>
      <c r="C283" s="9" t="str">
        <f t="shared" ca="1" si="49"/>
        <v/>
      </c>
      <c r="D283" s="9" t="str">
        <f t="shared" ca="1" si="50"/>
        <v/>
      </c>
      <c r="E283" s="9" t="str">
        <f t="shared" ca="1" si="51"/>
        <v/>
      </c>
      <c r="F283" s="9" t="str">
        <f t="shared" si="52"/>
        <v/>
      </c>
      <c r="G283" s="9">
        <f t="shared" si="53"/>
        <v>0</v>
      </c>
      <c r="L283" s="9" t="str">
        <f>IF($J283="","",IFERROR(SUMIFS(SummaryHelper!$H$2:$H$5000,SummaryHelper!$A$2:$A$5000,$I283,SummaryHelper!$B$2:$B$5000,$J283,SummaryHelper!$C$2:$C$5000,$K283)/SUMIFS(SummaryHelper!$G$2:$G$5000,SummaryHelper!$A$2:$A$5000,$I283,SummaryHelper!$B$2:$B$5000,$J283,SummaryHelper!$C$2:$C$5000,$K283),""))</f>
        <v/>
      </c>
      <c r="M283" s="9" t="str">
        <f>IF($J283="","",SUMIFS(SummaryHelper!$E$2:$E$5000,SummaryHelper!$A$2:$A$5000,$I283,SummaryHelper!$B$2:$B$5000,$J283,SummaryHelper!$C$2:$C$5000,$K283))</f>
        <v/>
      </c>
      <c r="N283" s="9" t="str">
        <f>IF($J283="","",SUMIFS(SummaryHelper!$F$2:$F$5000,SummaryHelper!$A$2:$A$5000,$I283,SummaryHelper!$B$2:$B$5000,$J283,SummaryHelper!$C$2:$C$5000,$K283))</f>
        <v/>
      </c>
      <c r="O283" s="9" t="str">
        <f>IF($J283="","",SUMIFS(SummaryHelper!$G$2:$G$5000,SummaryHelper!$A$2:$A$5000,$I283,SummaryHelper!$B$2:$B$5000,$J283,SummaryHelper!$C$2:$C$5000,$K283))</f>
        <v/>
      </c>
      <c r="Q283" s="9" t="str">
        <f t="shared" si="54"/>
        <v/>
      </c>
      <c r="R283" s="9" t="str">
        <f t="shared" si="55"/>
        <v/>
      </c>
      <c r="W283" s="9" t="str">
        <f>IF($U283="","",IFERROR(SUMIFS(SummaryHelper!$H$2:$H$5000,SummaryHelper!$A$2:$A$5000,$T283,SummaryHelper!$B$2:$B$5000,$U283,SummaryHelper!$C$2:$C$5000,$V283)/SUMIFS(SummaryHelper!$G$2:$G$5000,SummaryHelper!$A$2:$A$5000,$T283,SummaryHelper!$B$2:$B$5000,$U283,SummaryHelper!$C$2:$C$5000,$V283),""))</f>
        <v/>
      </c>
      <c r="X283" s="9" t="str">
        <f>IF($U283="","",SUMIFS(SummaryHelper!$E$2:$E$5000,SummaryHelper!$A$2:$A$5000,$T283,SummaryHelper!$B$2:$B$5000,$U283,SummaryHelper!$C$2:$C$5000,$V283))</f>
        <v/>
      </c>
      <c r="Y283" s="9" t="str">
        <f>IF($U283="","",SUMIFS(SummaryHelper!$F$2:$F$5000,SummaryHelper!$A$2:$A$5000,$T283,SummaryHelper!$B$2:$B$5000,$U283,SummaryHelper!$C$2:$C$5000,$V283))</f>
        <v/>
      </c>
      <c r="Z283" s="9" t="str">
        <f>IF($U283="","",SUMIFS(SummaryHelper!$G$2:$G$5000,SummaryHelper!$A$2:$A$5000,$T283,SummaryHelper!$B$2:$B$5000,$U283,SummaryHelper!$C$2:$C$5000,$V283))</f>
        <v/>
      </c>
      <c r="AB283" s="9" t="str">
        <f t="shared" si="56"/>
        <v/>
      </c>
      <c r="AC283" s="9" t="str">
        <f t="shared" si="57"/>
        <v/>
      </c>
      <c r="AH283" t="str">
        <f>IF($AF283="","",IFERROR(SUMIFS(SummaryHelper!$H$2:$H$5000,SummaryHelper!$A$2:$A$5000,$AE283,SummaryHelper!$B$2:$B$5000,$AF283,SummaryHelper!$C$2:$C$5000,$AG283)/SUMIFS(SummaryHelper!$G$2:$G$5000,SummaryHelper!$A$2:$A$5000,$AE283,SummaryHelper!$B$2:$B$5000,$AF283,SummaryHelper!$C$2:$C$5000,$AG283),""))</f>
        <v/>
      </c>
      <c r="AI283" t="str">
        <f>IF($AF283="","",SUMIFS(SummaryHelper!$E$2:$E$5000,SummaryHelper!$A$2:$A$5000,$AE283,SummaryHelper!$B$2:$B$5000,$AF283,SummaryHelper!$C$2:$C$5000,$AG283))</f>
        <v/>
      </c>
      <c r="AJ283" t="str">
        <f>IF($AF283="","",SUMIFS(SummaryHelper!$F$2:$F$5000,SummaryHelper!$A$2:$A$5000,$AE283,SummaryHelper!$B$2:$B$5000,$AF283,SummaryHelper!$C$2:$C$5000,$AG283))</f>
        <v/>
      </c>
      <c r="AK283" t="str">
        <f>IF($AF283="","",SUMIFS(SummaryHelper!$G$2:$G$5000,SummaryHelper!$A$2:$A$5000,$AE283,SummaryHelper!$B$2:$B$5000,$AF283,SummaryHelper!$C$2:$C$5000,$AG283))</f>
        <v/>
      </c>
      <c r="AM283" t="str">
        <f t="shared" si="58"/>
        <v/>
      </c>
      <c r="AN283" t="str">
        <f t="shared" si="59"/>
        <v/>
      </c>
    </row>
    <row r="284" spans="1:40" x14ac:dyDescent="0.25">
      <c r="A284" s="12"/>
      <c r="B284" s="23" t="str">
        <f t="shared" si="60"/>
        <v/>
      </c>
      <c r="C284" s="9" t="str">
        <f t="shared" ca="1" si="49"/>
        <v/>
      </c>
      <c r="D284" s="9" t="str">
        <f t="shared" ca="1" si="50"/>
        <v/>
      </c>
      <c r="E284" s="9" t="str">
        <f t="shared" ca="1" si="51"/>
        <v/>
      </c>
      <c r="F284" s="9" t="str">
        <f t="shared" si="52"/>
        <v/>
      </c>
      <c r="G284" s="9">
        <f t="shared" si="53"/>
        <v>0</v>
      </c>
      <c r="L284" s="9" t="str">
        <f>IF($J284="","",IFERROR(SUMIFS(SummaryHelper!$H$2:$H$5000,SummaryHelper!$A$2:$A$5000,$I284,SummaryHelper!$B$2:$B$5000,$J284,SummaryHelper!$C$2:$C$5000,$K284)/SUMIFS(SummaryHelper!$G$2:$G$5000,SummaryHelper!$A$2:$A$5000,$I284,SummaryHelper!$B$2:$B$5000,$J284,SummaryHelper!$C$2:$C$5000,$K284),""))</f>
        <v/>
      </c>
      <c r="M284" s="9" t="str">
        <f>IF($J284="","",SUMIFS(SummaryHelper!$E$2:$E$5000,SummaryHelper!$A$2:$A$5000,$I284,SummaryHelper!$B$2:$B$5000,$J284,SummaryHelper!$C$2:$C$5000,$K284))</f>
        <v/>
      </c>
      <c r="N284" s="9" t="str">
        <f>IF($J284="","",SUMIFS(SummaryHelper!$F$2:$F$5000,SummaryHelper!$A$2:$A$5000,$I284,SummaryHelper!$B$2:$B$5000,$J284,SummaryHelper!$C$2:$C$5000,$K284))</f>
        <v/>
      </c>
      <c r="O284" s="9" t="str">
        <f>IF($J284="","",SUMIFS(SummaryHelper!$G$2:$G$5000,SummaryHelper!$A$2:$A$5000,$I284,SummaryHelper!$B$2:$B$5000,$J284,SummaryHelper!$C$2:$C$5000,$K284))</f>
        <v/>
      </c>
      <c r="Q284" s="9" t="str">
        <f t="shared" si="54"/>
        <v/>
      </c>
      <c r="R284" s="9" t="str">
        <f t="shared" si="55"/>
        <v/>
      </c>
      <c r="W284" s="9" t="str">
        <f>IF($U284="","",IFERROR(SUMIFS(SummaryHelper!$H$2:$H$5000,SummaryHelper!$A$2:$A$5000,$T284,SummaryHelper!$B$2:$B$5000,$U284,SummaryHelper!$C$2:$C$5000,$V284)/SUMIFS(SummaryHelper!$G$2:$G$5000,SummaryHelper!$A$2:$A$5000,$T284,SummaryHelper!$B$2:$B$5000,$U284,SummaryHelper!$C$2:$C$5000,$V284),""))</f>
        <v/>
      </c>
      <c r="X284" s="9" t="str">
        <f>IF($U284="","",SUMIFS(SummaryHelper!$E$2:$E$5000,SummaryHelper!$A$2:$A$5000,$T284,SummaryHelper!$B$2:$B$5000,$U284,SummaryHelper!$C$2:$C$5000,$V284))</f>
        <v/>
      </c>
      <c r="Y284" s="9" t="str">
        <f>IF($U284="","",SUMIFS(SummaryHelper!$F$2:$F$5000,SummaryHelper!$A$2:$A$5000,$T284,SummaryHelper!$B$2:$B$5000,$U284,SummaryHelper!$C$2:$C$5000,$V284))</f>
        <v/>
      </c>
      <c r="Z284" s="9" t="str">
        <f>IF($U284="","",SUMIFS(SummaryHelper!$G$2:$G$5000,SummaryHelper!$A$2:$A$5000,$T284,SummaryHelper!$B$2:$B$5000,$U284,SummaryHelper!$C$2:$C$5000,$V284))</f>
        <v/>
      </c>
      <c r="AB284" s="9" t="str">
        <f t="shared" si="56"/>
        <v/>
      </c>
      <c r="AC284" s="9" t="str">
        <f t="shared" si="57"/>
        <v/>
      </c>
      <c r="AH284" t="str">
        <f>IF($AF284="","",IFERROR(SUMIFS(SummaryHelper!$H$2:$H$5000,SummaryHelper!$A$2:$A$5000,$AE284,SummaryHelper!$B$2:$B$5000,$AF284,SummaryHelper!$C$2:$C$5000,$AG284)/SUMIFS(SummaryHelper!$G$2:$G$5000,SummaryHelper!$A$2:$A$5000,$AE284,SummaryHelper!$B$2:$B$5000,$AF284,SummaryHelper!$C$2:$C$5000,$AG284),""))</f>
        <v/>
      </c>
      <c r="AI284" t="str">
        <f>IF($AF284="","",SUMIFS(SummaryHelper!$E$2:$E$5000,SummaryHelper!$A$2:$A$5000,$AE284,SummaryHelper!$B$2:$B$5000,$AF284,SummaryHelper!$C$2:$C$5000,$AG284))</f>
        <v/>
      </c>
      <c r="AJ284" t="str">
        <f>IF($AF284="","",SUMIFS(SummaryHelper!$F$2:$F$5000,SummaryHelper!$A$2:$A$5000,$AE284,SummaryHelper!$B$2:$B$5000,$AF284,SummaryHelper!$C$2:$C$5000,$AG284))</f>
        <v/>
      </c>
      <c r="AK284" t="str">
        <f>IF($AF284="","",SUMIFS(SummaryHelper!$G$2:$G$5000,SummaryHelper!$A$2:$A$5000,$AE284,SummaryHelper!$B$2:$B$5000,$AF284,SummaryHelper!$C$2:$C$5000,$AG284))</f>
        <v/>
      </c>
      <c r="AM284" t="str">
        <f t="shared" si="58"/>
        <v/>
      </c>
      <c r="AN284" t="str">
        <f t="shared" si="59"/>
        <v/>
      </c>
    </row>
    <row r="285" spans="1:40" x14ac:dyDescent="0.25">
      <c r="A285" s="12"/>
      <c r="B285" s="23" t="str">
        <f t="shared" si="60"/>
        <v/>
      </c>
      <c r="C285" s="9" t="str">
        <f t="shared" ca="1" si="49"/>
        <v/>
      </c>
      <c r="D285" s="9" t="str">
        <f t="shared" ca="1" si="50"/>
        <v/>
      </c>
      <c r="E285" s="9" t="str">
        <f t="shared" ca="1" si="51"/>
        <v/>
      </c>
      <c r="F285" s="9" t="str">
        <f t="shared" si="52"/>
        <v/>
      </c>
      <c r="G285" s="9">
        <f t="shared" si="53"/>
        <v>0</v>
      </c>
      <c r="L285" s="9" t="str">
        <f>IF($J285="","",IFERROR(SUMIFS(SummaryHelper!$H$2:$H$5000,SummaryHelper!$A$2:$A$5000,$I285,SummaryHelper!$B$2:$B$5000,$J285,SummaryHelper!$C$2:$C$5000,$K285)/SUMIFS(SummaryHelper!$G$2:$G$5000,SummaryHelper!$A$2:$A$5000,$I285,SummaryHelper!$B$2:$B$5000,$J285,SummaryHelper!$C$2:$C$5000,$K285),""))</f>
        <v/>
      </c>
      <c r="M285" s="9" t="str">
        <f>IF($J285="","",SUMIFS(SummaryHelper!$E$2:$E$5000,SummaryHelper!$A$2:$A$5000,$I285,SummaryHelper!$B$2:$B$5000,$J285,SummaryHelper!$C$2:$C$5000,$K285))</f>
        <v/>
      </c>
      <c r="N285" s="9" t="str">
        <f>IF($J285="","",SUMIFS(SummaryHelper!$F$2:$F$5000,SummaryHelper!$A$2:$A$5000,$I285,SummaryHelper!$B$2:$B$5000,$J285,SummaryHelper!$C$2:$C$5000,$K285))</f>
        <v/>
      </c>
      <c r="O285" s="9" t="str">
        <f>IF($J285="","",SUMIFS(SummaryHelper!$G$2:$G$5000,SummaryHelper!$A$2:$A$5000,$I285,SummaryHelper!$B$2:$B$5000,$J285,SummaryHelper!$C$2:$C$5000,$K285))</f>
        <v/>
      </c>
      <c r="Q285" s="9" t="str">
        <f t="shared" si="54"/>
        <v/>
      </c>
      <c r="R285" s="9" t="str">
        <f t="shared" si="55"/>
        <v/>
      </c>
      <c r="W285" s="9" t="str">
        <f>IF($U285="","",IFERROR(SUMIFS(SummaryHelper!$H$2:$H$5000,SummaryHelper!$A$2:$A$5000,$T285,SummaryHelper!$B$2:$B$5000,$U285,SummaryHelper!$C$2:$C$5000,$V285)/SUMIFS(SummaryHelper!$G$2:$G$5000,SummaryHelper!$A$2:$A$5000,$T285,SummaryHelper!$B$2:$B$5000,$U285,SummaryHelper!$C$2:$C$5000,$V285),""))</f>
        <v/>
      </c>
      <c r="X285" s="9" t="str">
        <f>IF($U285="","",SUMIFS(SummaryHelper!$E$2:$E$5000,SummaryHelper!$A$2:$A$5000,$T285,SummaryHelper!$B$2:$B$5000,$U285,SummaryHelper!$C$2:$C$5000,$V285))</f>
        <v/>
      </c>
      <c r="Y285" s="9" t="str">
        <f>IF($U285="","",SUMIFS(SummaryHelper!$F$2:$F$5000,SummaryHelper!$A$2:$A$5000,$T285,SummaryHelper!$B$2:$B$5000,$U285,SummaryHelper!$C$2:$C$5000,$V285))</f>
        <v/>
      </c>
      <c r="Z285" s="9" t="str">
        <f>IF($U285="","",SUMIFS(SummaryHelper!$G$2:$G$5000,SummaryHelper!$A$2:$A$5000,$T285,SummaryHelper!$B$2:$B$5000,$U285,SummaryHelper!$C$2:$C$5000,$V285))</f>
        <v/>
      </c>
      <c r="AB285" s="9" t="str">
        <f t="shared" si="56"/>
        <v/>
      </c>
      <c r="AC285" s="9" t="str">
        <f t="shared" si="57"/>
        <v/>
      </c>
      <c r="AH285" t="str">
        <f>IF($AF285="","",IFERROR(SUMIFS(SummaryHelper!$H$2:$H$5000,SummaryHelper!$A$2:$A$5000,$AE285,SummaryHelper!$B$2:$B$5000,$AF285,SummaryHelper!$C$2:$C$5000,$AG285)/SUMIFS(SummaryHelper!$G$2:$G$5000,SummaryHelper!$A$2:$A$5000,$AE285,SummaryHelper!$B$2:$B$5000,$AF285,SummaryHelper!$C$2:$C$5000,$AG285),""))</f>
        <v/>
      </c>
      <c r="AI285" t="str">
        <f>IF($AF285="","",SUMIFS(SummaryHelper!$E$2:$E$5000,SummaryHelper!$A$2:$A$5000,$AE285,SummaryHelper!$B$2:$B$5000,$AF285,SummaryHelper!$C$2:$C$5000,$AG285))</f>
        <v/>
      </c>
      <c r="AJ285" t="str">
        <f>IF($AF285="","",SUMIFS(SummaryHelper!$F$2:$F$5000,SummaryHelper!$A$2:$A$5000,$AE285,SummaryHelper!$B$2:$B$5000,$AF285,SummaryHelper!$C$2:$C$5000,$AG285))</f>
        <v/>
      </c>
      <c r="AK285" t="str">
        <f>IF($AF285="","",SUMIFS(SummaryHelper!$G$2:$G$5000,SummaryHelper!$A$2:$A$5000,$AE285,SummaryHelper!$B$2:$B$5000,$AF285,SummaryHelper!$C$2:$C$5000,$AG285))</f>
        <v/>
      </c>
      <c r="AM285" t="str">
        <f t="shared" si="58"/>
        <v/>
      </c>
      <c r="AN285" t="str">
        <f t="shared" si="59"/>
        <v/>
      </c>
    </row>
    <row r="286" spans="1:40" x14ac:dyDescent="0.25">
      <c r="A286" s="12"/>
      <c r="B286" s="23" t="str">
        <f t="shared" si="60"/>
        <v/>
      </c>
      <c r="C286" s="9" t="str">
        <f t="shared" ca="1" si="49"/>
        <v/>
      </c>
      <c r="D286" s="9" t="str">
        <f t="shared" ca="1" si="50"/>
        <v/>
      </c>
      <c r="E286" s="9" t="str">
        <f t="shared" ca="1" si="51"/>
        <v/>
      </c>
      <c r="F286" s="9" t="str">
        <f t="shared" si="52"/>
        <v/>
      </c>
      <c r="G286" s="9">
        <f t="shared" si="53"/>
        <v>0</v>
      </c>
      <c r="L286" s="9" t="str">
        <f>IF($J286="","",IFERROR(SUMIFS(SummaryHelper!$H$2:$H$5000,SummaryHelper!$A$2:$A$5000,$I286,SummaryHelper!$B$2:$B$5000,$J286,SummaryHelper!$C$2:$C$5000,$K286)/SUMIFS(SummaryHelper!$G$2:$G$5000,SummaryHelper!$A$2:$A$5000,$I286,SummaryHelper!$B$2:$B$5000,$J286,SummaryHelper!$C$2:$C$5000,$K286),""))</f>
        <v/>
      </c>
      <c r="M286" s="9" t="str">
        <f>IF($J286="","",SUMIFS(SummaryHelper!$E$2:$E$5000,SummaryHelper!$A$2:$A$5000,$I286,SummaryHelper!$B$2:$B$5000,$J286,SummaryHelper!$C$2:$C$5000,$K286))</f>
        <v/>
      </c>
      <c r="N286" s="9" t="str">
        <f>IF($J286="","",SUMIFS(SummaryHelper!$F$2:$F$5000,SummaryHelper!$A$2:$A$5000,$I286,SummaryHelper!$B$2:$B$5000,$J286,SummaryHelper!$C$2:$C$5000,$K286))</f>
        <v/>
      </c>
      <c r="O286" s="9" t="str">
        <f>IF($J286="","",SUMIFS(SummaryHelper!$G$2:$G$5000,SummaryHelper!$A$2:$A$5000,$I286,SummaryHelper!$B$2:$B$5000,$J286,SummaryHelper!$C$2:$C$5000,$K286))</f>
        <v/>
      </c>
      <c r="Q286" s="9" t="str">
        <f t="shared" si="54"/>
        <v/>
      </c>
      <c r="R286" s="9" t="str">
        <f t="shared" si="55"/>
        <v/>
      </c>
      <c r="W286" s="9" t="str">
        <f>IF($U286="","",IFERROR(SUMIFS(SummaryHelper!$H$2:$H$5000,SummaryHelper!$A$2:$A$5000,$T286,SummaryHelper!$B$2:$B$5000,$U286,SummaryHelper!$C$2:$C$5000,$V286)/SUMIFS(SummaryHelper!$G$2:$G$5000,SummaryHelper!$A$2:$A$5000,$T286,SummaryHelper!$B$2:$B$5000,$U286,SummaryHelper!$C$2:$C$5000,$V286),""))</f>
        <v/>
      </c>
      <c r="X286" s="9" t="str">
        <f>IF($U286="","",SUMIFS(SummaryHelper!$E$2:$E$5000,SummaryHelper!$A$2:$A$5000,$T286,SummaryHelper!$B$2:$B$5000,$U286,SummaryHelper!$C$2:$C$5000,$V286))</f>
        <v/>
      </c>
      <c r="Y286" s="9" t="str">
        <f>IF($U286="","",SUMIFS(SummaryHelper!$F$2:$F$5000,SummaryHelper!$A$2:$A$5000,$T286,SummaryHelper!$B$2:$B$5000,$U286,SummaryHelper!$C$2:$C$5000,$V286))</f>
        <v/>
      </c>
      <c r="Z286" s="9" t="str">
        <f>IF($U286="","",SUMIFS(SummaryHelper!$G$2:$G$5000,SummaryHelper!$A$2:$A$5000,$T286,SummaryHelper!$B$2:$B$5000,$U286,SummaryHelper!$C$2:$C$5000,$V286))</f>
        <v/>
      </c>
      <c r="AB286" s="9" t="str">
        <f t="shared" si="56"/>
        <v/>
      </c>
      <c r="AC286" s="9" t="str">
        <f t="shared" si="57"/>
        <v/>
      </c>
      <c r="AH286" t="str">
        <f>IF($AF286="","",IFERROR(SUMIFS(SummaryHelper!$H$2:$H$5000,SummaryHelper!$A$2:$A$5000,$AE286,SummaryHelper!$B$2:$B$5000,$AF286,SummaryHelper!$C$2:$C$5000,$AG286)/SUMIFS(SummaryHelper!$G$2:$G$5000,SummaryHelper!$A$2:$A$5000,$AE286,SummaryHelper!$B$2:$B$5000,$AF286,SummaryHelper!$C$2:$C$5000,$AG286),""))</f>
        <v/>
      </c>
      <c r="AI286" t="str">
        <f>IF($AF286="","",SUMIFS(SummaryHelper!$E$2:$E$5000,SummaryHelper!$A$2:$A$5000,$AE286,SummaryHelper!$B$2:$B$5000,$AF286,SummaryHelper!$C$2:$C$5000,$AG286))</f>
        <v/>
      </c>
      <c r="AJ286" t="str">
        <f>IF($AF286="","",SUMIFS(SummaryHelper!$F$2:$F$5000,SummaryHelper!$A$2:$A$5000,$AE286,SummaryHelper!$B$2:$B$5000,$AF286,SummaryHelper!$C$2:$C$5000,$AG286))</f>
        <v/>
      </c>
      <c r="AK286" t="str">
        <f>IF($AF286="","",SUMIFS(SummaryHelper!$G$2:$G$5000,SummaryHelper!$A$2:$A$5000,$AE286,SummaryHelper!$B$2:$B$5000,$AF286,SummaryHelper!$C$2:$C$5000,$AG286))</f>
        <v/>
      </c>
      <c r="AM286" t="str">
        <f t="shared" si="58"/>
        <v/>
      </c>
      <c r="AN286" t="str">
        <f t="shared" si="59"/>
        <v/>
      </c>
    </row>
    <row r="287" spans="1:40" x14ac:dyDescent="0.25">
      <c r="A287" s="12"/>
      <c r="B287" s="23" t="str">
        <f t="shared" si="60"/>
        <v/>
      </c>
      <c r="C287" s="9" t="str">
        <f t="shared" ca="1" si="49"/>
        <v/>
      </c>
      <c r="D287" s="9" t="str">
        <f t="shared" ca="1" si="50"/>
        <v/>
      </c>
      <c r="E287" s="9" t="str">
        <f t="shared" ca="1" si="51"/>
        <v/>
      </c>
      <c r="F287" s="9" t="str">
        <f t="shared" si="52"/>
        <v/>
      </c>
      <c r="G287" s="9">
        <f t="shared" si="53"/>
        <v>0</v>
      </c>
      <c r="L287" s="9" t="str">
        <f>IF($J287="","",IFERROR(SUMIFS(SummaryHelper!$H$2:$H$5000,SummaryHelper!$A$2:$A$5000,$I287,SummaryHelper!$B$2:$B$5000,$J287,SummaryHelper!$C$2:$C$5000,$K287)/SUMIFS(SummaryHelper!$G$2:$G$5000,SummaryHelper!$A$2:$A$5000,$I287,SummaryHelper!$B$2:$B$5000,$J287,SummaryHelper!$C$2:$C$5000,$K287),""))</f>
        <v/>
      </c>
      <c r="M287" s="9" t="str">
        <f>IF($J287="","",SUMIFS(SummaryHelper!$E$2:$E$5000,SummaryHelper!$A$2:$A$5000,$I287,SummaryHelper!$B$2:$B$5000,$J287,SummaryHelper!$C$2:$C$5000,$K287))</f>
        <v/>
      </c>
      <c r="N287" s="9" t="str">
        <f>IF($J287="","",SUMIFS(SummaryHelper!$F$2:$F$5000,SummaryHelper!$A$2:$A$5000,$I287,SummaryHelper!$B$2:$B$5000,$J287,SummaryHelper!$C$2:$C$5000,$K287))</f>
        <v/>
      </c>
      <c r="O287" s="9" t="str">
        <f>IF($J287="","",SUMIFS(SummaryHelper!$G$2:$G$5000,SummaryHelper!$A$2:$A$5000,$I287,SummaryHelper!$B$2:$B$5000,$J287,SummaryHelper!$C$2:$C$5000,$K287))</f>
        <v/>
      </c>
      <c r="Q287" s="9" t="str">
        <f t="shared" si="54"/>
        <v/>
      </c>
      <c r="R287" s="9" t="str">
        <f t="shared" si="55"/>
        <v/>
      </c>
      <c r="W287" s="9" t="str">
        <f>IF($U287="","",IFERROR(SUMIFS(SummaryHelper!$H$2:$H$5000,SummaryHelper!$A$2:$A$5000,$T287,SummaryHelper!$B$2:$B$5000,$U287,SummaryHelper!$C$2:$C$5000,$V287)/SUMIFS(SummaryHelper!$G$2:$G$5000,SummaryHelper!$A$2:$A$5000,$T287,SummaryHelper!$B$2:$B$5000,$U287,SummaryHelper!$C$2:$C$5000,$V287),""))</f>
        <v/>
      </c>
      <c r="X287" s="9" t="str">
        <f>IF($U287="","",SUMIFS(SummaryHelper!$E$2:$E$5000,SummaryHelper!$A$2:$A$5000,$T287,SummaryHelper!$B$2:$B$5000,$U287,SummaryHelper!$C$2:$C$5000,$V287))</f>
        <v/>
      </c>
      <c r="Y287" s="9" t="str">
        <f>IF($U287="","",SUMIFS(SummaryHelper!$F$2:$F$5000,SummaryHelper!$A$2:$A$5000,$T287,SummaryHelper!$B$2:$B$5000,$U287,SummaryHelper!$C$2:$C$5000,$V287))</f>
        <v/>
      </c>
      <c r="Z287" s="9" t="str">
        <f>IF($U287="","",SUMIFS(SummaryHelper!$G$2:$G$5000,SummaryHelper!$A$2:$A$5000,$T287,SummaryHelper!$B$2:$B$5000,$U287,SummaryHelper!$C$2:$C$5000,$V287))</f>
        <v/>
      </c>
      <c r="AB287" s="9" t="str">
        <f t="shared" si="56"/>
        <v/>
      </c>
      <c r="AC287" s="9" t="str">
        <f t="shared" si="57"/>
        <v/>
      </c>
      <c r="AH287" t="str">
        <f>IF($AF287="","",IFERROR(SUMIFS(SummaryHelper!$H$2:$H$5000,SummaryHelper!$A$2:$A$5000,$AE287,SummaryHelper!$B$2:$B$5000,$AF287,SummaryHelper!$C$2:$C$5000,$AG287)/SUMIFS(SummaryHelper!$G$2:$G$5000,SummaryHelper!$A$2:$A$5000,$AE287,SummaryHelper!$B$2:$B$5000,$AF287,SummaryHelper!$C$2:$C$5000,$AG287),""))</f>
        <v/>
      </c>
      <c r="AI287" t="str">
        <f>IF($AF287="","",SUMIFS(SummaryHelper!$E$2:$E$5000,SummaryHelper!$A$2:$A$5000,$AE287,SummaryHelper!$B$2:$B$5000,$AF287,SummaryHelper!$C$2:$C$5000,$AG287))</f>
        <v/>
      </c>
      <c r="AJ287" t="str">
        <f>IF($AF287="","",SUMIFS(SummaryHelper!$F$2:$F$5000,SummaryHelper!$A$2:$A$5000,$AE287,SummaryHelper!$B$2:$B$5000,$AF287,SummaryHelper!$C$2:$C$5000,$AG287))</f>
        <v/>
      </c>
      <c r="AK287" t="str">
        <f>IF($AF287="","",SUMIFS(SummaryHelper!$G$2:$G$5000,SummaryHelper!$A$2:$A$5000,$AE287,SummaryHelper!$B$2:$B$5000,$AF287,SummaryHelper!$C$2:$C$5000,$AG287))</f>
        <v/>
      </c>
      <c r="AM287" t="str">
        <f t="shared" si="58"/>
        <v/>
      </c>
      <c r="AN287" t="str">
        <f t="shared" si="59"/>
        <v/>
      </c>
    </row>
    <row r="288" spans="1:40" x14ac:dyDescent="0.25">
      <c r="A288" s="12"/>
      <c r="B288" s="23" t="str">
        <f t="shared" si="60"/>
        <v/>
      </c>
      <c r="C288" s="9" t="str">
        <f t="shared" ca="1" si="49"/>
        <v/>
      </c>
      <c r="D288" s="9" t="str">
        <f t="shared" ca="1" si="50"/>
        <v/>
      </c>
      <c r="E288" s="9" t="str">
        <f t="shared" ca="1" si="51"/>
        <v/>
      </c>
      <c r="F288" s="9" t="str">
        <f t="shared" si="52"/>
        <v/>
      </c>
      <c r="G288" s="9">
        <f t="shared" si="53"/>
        <v>0</v>
      </c>
      <c r="L288" s="9" t="str">
        <f>IF($J288="","",IFERROR(SUMIFS(SummaryHelper!$H$2:$H$5000,SummaryHelper!$A$2:$A$5000,$I288,SummaryHelper!$B$2:$B$5000,$J288,SummaryHelper!$C$2:$C$5000,$K288)/SUMIFS(SummaryHelper!$G$2:$G$5000,SummaryHelper!$A$2:$A$5000,$I288,SummaryHelper!$B$2:$B$5000,$J288,SummaryHelper!$C$2:$C$5000,$K288),""))</f>
        <v/>
      </c>
      <c r="M288" s="9" t="str">
        <f>IF($J288="","",SUMIFS(SummaryHelper!$E$2:$E$5000,SummaryHelper!$A$2:$A$5000,$I288,SummaryHelper!$B$2:$B$5000,$J288,SummaryHelper!$C$2:$C$5000,$K288))</f>
        <v/>
      </c>
      <c r="N288" s="9" t="str">
        <f>IF($J288="","",SUMIFS(SummaryHelper!$F$2:$F$5000,SummaryHelper!$A$2:$A$5000,$I288,SummaryHelper!$B$2:$B$5000,$J288,SummaryHelper!$C$2:$C$5000,$K288))</f>
        <v/>
      </c>
      <c r="O288" s="9" t="str">
        <f>IF($J288="","",SUMIFS(SummaryHelper!$G$2:$G$5000,SummaryHelper!$A$2:$A$5000,$I288,SummaryHelper!$B$2:$B$5000,$J288,SummaryHelper!$C$2:$C$5000,$K288))</f>
        <v/>
      </c>
      <c r="Q288" s="9" t="str">
        <f t="shared" si="54"/>
        <v/>
      </c>
      <c r="R288" s="9" t="str">
        <f t="shared" si="55"/>
        <v/>
      </c>
      <c r="W288" s="9" t="str">
        <f>IF($U288="","",IFERROR(SUMIFS(SummaryHelper!$H$2:$H$5000,SummaryHelper!$A$2:$A$5000,$T288,SummaryHelper!$B$2:$B$5000,$U288,SummaryHelper!$C$2:$C$5000,$V288)/SUMIFS(SummaryHelper!$G$2:$G$5000,SummaryHelper!$A$2:$A$5000,$T288,SummaryHelper!$B$2:$B$5000,$U288,SummaryHelper!$C$2:$C$5000,$V288),""))</f>
        <v/>
      </c>
      <c r="X288" s="9" t="str">
        <f>IF($U288="","",SUMIFS(SummaryHelper!$E$2:$E$5000,SummaryHelper!$A$2:$A$5000,$T288,SummaryHelper!$B$2:$B$5000,$U288,SummaryHelper!$C$2:$C$5000,$V288))</f>
        <v/>
      </c>
      <c r="Y288" s="9" t="str">
        <f>IF($U288="","",SUMIFS(SummaryHelper!$F$2:$F$5000,SummaryHelper!$A$2:$A$5000,$T288,SummaryHelper!$B$2:$B$5000,$U288,SummaryHelper!$C$2:$C$5000,$V288))</f>
        <v/>
      </c>
      <c r="Z288" s="9" t="str">
        <f>IF($U288="","",SUMIFS(SummaryHelper!$G$2:$G$5000,SummaryHelper!$A$2:$A$5000,$T288,SummaryHelper!$B$2:$B$5000,$U288,SummaryHelper!$C$2:$C$5000,$V288))</f>
        <v/>
      </c>
      <c r="AB288" s="9" t="str">
        <f t="shared" si="56"/>
        <v/>
      </c>
      <c r="AC288" s="9" t="str">
        <f t="shared" si="57"/>
        <v/>
      </c>
      <c r="AH288" t="str">
        <f>IF($AF288="","",IFERROR(SUMIFS(SummaryHelper!$H$2:$H$5000,SummaryHelper!$A$2:$A$5000,$AE288,SummaryHelper!$B$2:$B$5000,$AF288,SummaryHelper!$C$2:$C$5000,$AG288)/SUMIFS(SummaryHelper!$G$2:$G$5000,SummaryHelper!$A$2:$A$5000,$AE288,SummaryHelper!$B$2:$B$5000,$AF288,SummaryHelper!$C$2:$C$5000,$AG288),""))</f>
        <v/>
      </c>
      <c r="AI288" t="str">
        <f>IF($AF288="","",SUMIFS(SummaryHelper!$E$2:$E$5000,SummaryHelper!$A$2:$A$5000,$AE288,SummaryHelper!$B$2:$B$5000,$AF288,SummaryHelper!$C$2:$C$5000,$AG288))</f>
        <v/>
      </c>
      <c r="AJ288" t="str">
        <f>IF($AF288="","",SUMIFS(SummaryHelper!$F$2:$F$5000,SummaryHelper!$A$2:$A$5000,$AE288,SummaryHelper!$B$2:$B$5000,$AF288,SummaryHelper!$C$2:$C$5000,$AG288))</f>
        <v/>
      </c>
      <c r="AK288" t="str">
        <f>IF($AF288="","",SUMIFS(SummaryHelper!$G$2:$G$5000,SummaryHelper!$A$2:$A$5000,$AE288,SummaryHelper!$B$2:$B$5000,$AF288,SummaryHelper!$C$2:$C$5000,$AG288))</f>
        <v/>
      </c>
      <c r="AM288" t="str">
        <f t="shared" si="58"/>
        <v/>
      </c>
      <c r="AN288" t="str">
        <f t="shared" si="59"/>
        <v/>
      </c>
    </row>
    <row r="289" spans="1:40" x14ac:dyDescent="0.25">
      <c r="A289" s="12"/>
      <c r="B289" s="23" t="str">
        <f t="shared" si="60"/>
        <v/>
      </c>
      <c r="C289" s="9" t="str">
        <f t="shared" ca="1" si="49"/>
        <v/>
      </c>
      <c r="D289" s="9" t="str">
        <f t="shared" ca="1" si="50"/>
        <v/>
      </c>
      <c r="E289" s="9" t="str">
        <f t="shared" ca="1" si="51"/>
        <v/>
      </c>
      <c r="F289" s="9" t="str">
        <f t="shared" si="52"/>
        <v/>
      </c>
      <c r="G289" s="9">
        <f t="shared" si="53"/>
        <v>0</v>
      </c>
      <c r="L289" s="9" t="str">
        <f>IF($J289="","",IFERROR(SUMIFS(SummaryHelper!$H$2:$H$5000,SummaryHelper!$A$2:$A$5000,$I289,SummaryHelper!$B$2:$B$5000,$J289,SummaryHelper!$C$2:$C$5000,$K289)/SUMIFS(SummaryHelper!$G$2:$G$5000,SummaryHelper!$A$2:$A$5000,$I289,SummaryHelper!$B$2:$B$5000,$J289,SummaryHelper!$C$2:$C$5000,$K289),""))</f>
        <v/>
      </c>
      <c r="M289" s="9" t="str">
        <f>IF($J289="","",SUMIFS(SummaryHelper!$E$2:$E$5000,SummaryHelper!$A$2:$A$5000,$I289,SummaryHelper!$B$2:$B$5000,$J289,SummaryHelper!$C$2:$C$5000,$K289))</f>
        <v/>
      </c>
      <c r="N289" s="9" t="str">
        <f>IF($J289="","",SUMIFS(SummaryHelper!$F$2:$F$5000,SummaryHelper!$A$2:$A$5000,$I289,SummaryHelper!$B$2:$B$5000,$J289,SummaryHelper!$C$2:$C$5000,$K289))</f>
        <v/>
      </c>
      <c r="O289" s="9" t="str">
        <f>IF($J289="","",SUMIFS(SummaryHelper!$G$2:$G$5000,SummaryHelper!$A$2:$A$5000,$I289,SummaryHelper!$B$2:$B$5000,$J289,SummaryHelper!$C$2:$C$5000,$K289))</f>
        <v/>
      </c>
      <c r="Q289" s="9" t="str">
        <f t="shared" si="54"/>
        <v/>
      </c>
      <c r="R289" s="9" t="str">
        <f t="shared" si="55"/>
        <v/>
      </c>
      <c r="W289" s="9" t="str">
        <f>IF($U289="","",IFERROR(SUMIFS(SummaryHelper!$H$2:$H$5000,SummaryHelper!$A$2:$A$5000,$T289,SummaryHelper!$B$2:$B$5000,$U289,SummaryHelper!$C$2:$C$5000,$V289)/SUMIFS(SummaryHelper!$G$2:$G$5000,SummaryHelper!$A$2:$A$5000,$T289,SummaryHelper!$B$2:$B$5000,$U289,SummaryHelper!$C$2:$C$5000,$V289),""))</f>
        <v/>
      </c>
      <c r="X289" s="9" t="str">
        <f>IF($U289="","",SUMIFS(SummaryHelper!$E$2:$E$5000,SummaryHelper!$A$2:$A$5000,$T289,SummaryHelper!$B$2:$B$5000,$U289,SummaryHelper!$C$2:$C$5000,$V289))</f>
        <v/>
      </c>
      <c r="Y289" s="9" t="str">
        <f>IF($U289="","",SUMIFS(SummaryHelper!$F$2:$F$5000,SummaryHelper!$A$2:$A$5000,$T289,SummaryHelper!$B$2:$B$5000,$U289,SummaryHelper!$C$2:$C$5000,$V289))</f>
        <v/>
      </c>
      <c r="Z289" s="9" t="str">
        <f>IF($U289="","",SUMIFS(SummaryHelper!$G$2:$G$5000,SummaryHelper!$A$2:$A$5000,$T289,SummaryHelper!$B$2:$B$5000,$U289,SummaryHelper!$C$2:$C$5000,$V289))</f>
        <v/>
      </c>
      <c r="AB289" s="9" t="str">
        <f t="shared" si="56"/>
        <v/>
      </c>
      <c r="AC289" s="9" t="str">
        <f t="shared" si="57"/>
        <v/>
      </c>
      <c r="AH289" t="str">
        <f>IF($AF289="","",IFERROR(SUMIFS(SummaryHelper!$H$2:$H$5000,SummaryHelper!$A$2:$A$5000,$AE289,SummaryHelper!$B$2:$B$5000,$AF289,SummaryHelper!$C$2:$C$5000,$AG289)/SUMIFS(SummaryHelper!$G$2:$G$5000,SummaryHelper!$A$2:$A$5000,$AE289,SummaryHelper!$B$2:$B$5000,$AF289,SummaryHelper!$C$2:$C$5000,$AG289),""))</f>
        <v/>
      </c>
      <c r="AI289" t="str">
        <f>IF($AF289="","",SUMIFS(SummaryHelper!$E$2:$E$5000,SummaryHelper!$A$2:$A$5000,$AE289,SummaryHelper!$B$2:$B$5000,$AF289,SummaryHelper!$C$2:$C$5000,$AG289))</f>
        <v/>
      </c>
      <c r="AJ289" t="str">
        <f>IF($AF289="","",SUMIFS(SummaryHelper!$F$2:$F$5000,SummaryHelper!$A$2:$A$5000,$AE289,SummaryHelper!$B$2:$B$5000,$AF289,SummaryHelper!$C$2:$C$5000,$AG289))</f>
        <v/>
      </c>
      <c r="AK289" t="str">
        <f>IF($AF289="","",SUMIFS(SummaryHelper!$G$2:$G$5000,SummaryHelper!$A$2:$A$5000,$AE289,SummaryHelper!$B$2:$B$5000,$AF289,SummaryHelper!$C$2:$C$5000,$AG289))</f>
        <v/>
      </c>
      <c r="AM289" t="str">
        <f t="shared" si="58"/>
        <v/>
      </c>
      <c r="AN289" t="str">
        <f t="shared" si="59"/>
        <v/>
      </c>
    </row>
    <row r="290" spans="1:40" x14ac:dyDescent="0.25">
      <c r="A290" s="12"/>
      <c r="B290" s="23" t="str">
        <f t="shared" si="60"/>
        <v/>
      </c>
      <c r="C290" s="9" t="str">
        <f t="shared" ca="1" si="49"/>
        <v/>
      </c>
      <c r="D290" s="9" t="str">
        <f t="shared" ca="1" si="50"/>
        <v/>
      </c>
      <c r="E290" s="9" t="str">
        <f t="shared" ca="1" si="51"/>
        <v/>
      </c>
      <c r="F290" s="9" t="str">
        <f t="shared" si="52"/>
        <v/>
      </c>
      <c r="G290" s="9">
        <f t="shared" si="53"/>
        <v>0</v>
      </c>
      <c r="L290" s="9" t="str">
        <f>IF($J290="","",IFERROR(SUMIFS(SummaryHelper!$H$2:$H$5000,SummaryHelper!$A$2:$A$5000,$I290,SummaryHelper!$B$2:$B$5000,$J290,SummaryHelper!$C$2:$C$5000,$K290)/SUMIFS(SummaryHelper!$G$2:$G$5000,SummaryHelper!$A$2:$A$5000,$I290,SummaryHelper!$B$2:$B$5000,$J290,SummaryHelper!$C$2:$C$5000,$K290),""))</f>
        <v/>
      </c>
      <c r="M290" s="9" t="str">
        <f>IF($J290="","",SUMIFS(SummaryHelper!$E$2:$E$5000,SummaryHelper!$A$2:$A$5000,$I290,SummaryHelper!$B$2:$B$5000,$J290,SummaryHelper!$C$2:$C$5000,$K290))</f>
        <v/>
      </c>
      <c r="N290" s="9" t="str">
        <f>IF($J290="","",SUMIFS(SummaryHelper!$F$2:$F$5000,SummaryHelper!$A$2:$A$5000,$I290,SummaryHelper!$B$2:$B$5000,$J290,SummaryHelper!$C$2:$C$5000,$K290))</f>
        <v/>
      </c>
      <c r="O290" s="9" t="str">
        <f>IF($J290="","",SUMIFS(SummaryHelper!$G$2:$G$5000,SummaryHelper!$A$2:$A$5000,$I290,SummaryHelper!$B$2:$B$5000,$J290,SummaryHelper!$C$2:$C$5000,$K290))</f>
        <v/>
      </c>
      <c r="Q290" s="9" t="str">
        <f t="shared" si="54"/>
        <v/>
      </c>
      <c r="R290" s="9" t="str">
        <f t="shared" si="55"/>
        <v/>
      </c>
      <c r="W290" s="9" t="str">
        <f>IF($U290="","",IFERROR(SUMIFS(SummaryHelper!$H$2:$H$5000,SummaryHelper!$A$2:$A$5000,$T290,SummaryHelper!$B$2:$B$5000,$U290,SummaryHelper!$C$2:$C$5000,$V290)/SUMIFS(SummaryHelper!$G$2:$G$5000,SummaryHelper!$A$2:$A$5000,$T290,SummaryHelper!$B$2:$B$5000,$U290,SummaryHelper!$C$2:$C$5000,$V290),""))</f>
        <v/>
      </c>
      <c r="X290" s="9" t="str">
        <f>IF($U290="","",SUMIFS(SummaryHelper!$E$2:$E$5000,SummaryHelper!$A$2:$A$5000,$T290,SummaryHelper!$B$2:$B$5000,$U290,SummaryHelper!$C$2:$C$5000,$V290))</f>
        <v/>
      </c>
      <c r="Y290" s="9" t="str">
        <f>IF($U290="","",SUMIFS(SummaryHelper!$F$2:$F$5000,SummaryHelper!$A$2:$A$5000,$T290,SummaryHelper!$B$2:$B$5000,$U290,SummaryHelper!$C$2:$C$5000,$V290))</f>
        <v/>
      </c>
      <c r="Z290" s="9" t="str">
        <f>IF($U290="","",SUMIFS(SummaryHelper!$G$2:$G$5000,SummaryHelper!$A$2:$A$5000,$T290,SummaryHelper!$B$2:$B$5000,$U290,SummaryHelper!$C$2:$C$5000,$V290))</f>
        <v/>
      </c>
      <c r="AB290" s="9" t="str">
        <f t="shared" si="56"/>
        <v/>
      </c>
      <c r="AC290" s="9" t="str">
        <f t="shared" si="57"/>
        <v/>
      </c>
      <c r="AH290" t="str">
        <f>IF($AF290="","",IFERROR(SUMIFS(SummaryHelper!$H$2:$H$5000,SummaryHelper!$A$2:$A$5000,$AE290,SummaryHelper!$B$2:$B$5000,$AF290,SummaryHelper!$C$2:$C$5000,$AG290)/SUMIFS(SummaryHelper!$G$2:$G$5000,SummaryHelper!$A$2:$A$5000,$AE290,SummaryHelper!$B$2:$B$5000,$AF290,SummaryHelper!$C$2:$C$5000,$AG290),""))</f>
        <v/>
      </c>
      <c r="AI290" t="str">
        <f>IF($AF290="","",SUMIFS(SummaryHelper!$E$2:$E$5000,SummaryHelper!$A$2:$A$5000,$AE290,SummaryHelper!$B$2:$B$5000,$AF290,SummaryHelper!$C$2:$C$5000,$AG290))</f>
        <v/>
      </c>
      <c r="AJ290" t="str">
        <f>IF($AF290="","",SUMIFS(SummaryHelper!$F$2:$F$5000,SummaryHelper!$A$2:$A$5000,$AE290,SummaryHelper!$B$2:$B$5000,$AF290,SummaryHelper!$C$2:$C$5000,$AG290))</f>
        <v/>
      </c>
      <c r="AK290" t="str">
        <f>IF($AF290="","",SUMIFS(SummaryHelper!$G$2:$G$5000,SummaryHelper!$A$2:$A$5000,$AE290,SummaryHelper!$B$2:$B$5000,$AF290,SummaryHelper!$C$2:$C$5000,$AG290))</f>
        <v/>
      </c>
      <c r="AM290" t="str">
        <f t="shared" si="58"/>
        <v/>
      </c>
      <c r="AN290" t="str">
        <f t="shared" si="59"/>
        <v/>
      </c>
    </row>
    <row r="291" spans="1:40" x14ac:dyDescent="0.25">
      <c r="A291" s="12"/>
      <c r="B291" s="23" t="str">
        <f t="shared" si="60"/>
        <v/>
      </c>
      <c r="C291" s="9" t="str">
        <f t="shared" ca="1" si="49"/>
        <v/>
      </c>
      <c r="D291" s="9" t="str">
        <f t="shared" ca="1" si="50"/>
        <v/>
      </c>
      <c r="E291" s="9" t="str">
        <f t="shared" ca="1" si="51"/>
        <v/>
      </c>
      <c r="F291" s="9" t="str">
        <f t="shared" si="52"/>
        <v/>
      </c>
      <c r="G291" s="9">
        <f t="shared" si="53"/>
        <v>0</v>
      </c>
      <c r="L291" s="9" t="str">
        <f>IF($J291="","",IFERROR(SUMIFS(SummaryHelper!$H$2:$H$5000,SummaryHelper!$A$2:$A$5000,$I291,SummaryHelper!$B$2:$B$5000,$J291,SummaryHelper!$C$2:$C$5000,$K291)/SUMIFS(SummaryHelper!$G$2:$G$5000,SummaryHelper!$A$2:$A$5000,$I291,SummaryHelper!$B$2:$B$5000,$J291,SummaryHelper!$C$2:$C$5000,$K291),""))</f>
        <v/>
      </c>
      <c r="M291" s="9" t="str">
        <f>IF($J291="","",SUMIFS(SummaryHelper!$E$2:$E$5000,SummaryHelper!$A$2:$A$5000,$I291,SummaryHelper!$B$2:$B$5000,$J291,SummaryHelper!$C$2:$C$5000,$K291))</f>
        <v/>
      </c>
      <c r="N291" s="9" t="str">
        <f>IF($J291="","",SUMIFS(SummaryHelper!$F$2:$F$5000,SummaryHelper!$A$2:$A$5000,$I291,SummaryHelper!$B$2:$B$5000,$J291,SummaryHelper!$C$2:$C$5000,$K291))</f>
        <v/>
      </c>
      <c r="O291" s="9" t="str">
        <f>IF($J291="","",SUMIFS(SummaryHelper!$G$2:$G$5000,SummaryHelper!$A$2:$A$5000,$I291,SummaryHelper!$B$2:$B$5000,$J291,SummaryHelper!$C$2:$C$5000,$K291))</f>
        <v/>
      </c>
      <c r="Q291" s="9" t="str">
        <f t="shared" si="54"/>
        <v/>
      </c>
      <c r="R291" s="9" t="str">
        <f t="shared" si="55"/>
        <v/>
      </c>
      <c r="W291" s="9" t="str">
        <f>IF($U291="","",IFERROR(SUMIFS(SummaryHelper!$H$2:$H$5000,SummaryHelper!$A$2:$A$5000,$T291,SummaryHelper!$B$2:$B$5000,$U291,SummaryHelper!$C$2:$C$5000,$V291)/SUMIFS(SummaryHelper!$G$2:$G$5000,SummaryHelper!$A$2:$A$5000,$T291,SummaryHelper!$B$2:$B$5000,$U291,SummaryHelper!$C$2:$C$5000,$V291),""))</f>
        <v/>
      </c>
      <c r="X291" s="9" t="str">
        <f>IF($U291="","",SUMIFS(SummaryHelper!$E$2:$E$5000,SummaryHelper!$A$2:$A$5000,$T291,SummaryHelper!$B$2:$B$5000,$U291,SummaryHelper!$C$2:$C$5000,$V291))</f>
        <v/>
      </c>
      <c r="Y291" s="9" t="str">
        <f>IF($U291="","",SUMIFS(SummaryHelper!$F$2:$F$5000,SummaryHelper!$A$2:$A$5000,$T291,SummaryHelper!$B$2:$B$5000,$U291,SummaryHelper!$C$2:$C$5000,$V291))</f>
        <v/>
      </c>
      <c r="Z291" s="9" t="str">
        <f>IF($U291="","",SUMIFS(SummaryHelper!$G$2:$G$5000,SummaryHelper!$A$2:$A$5000,$T291,SummaryHelper!$B$2:$B$5000,$U291,SummaryHelper!$C$2:$C$5000,$V291))</f>
        <v/>
      </c>
      <c r="AB291" s="9" t="str">
        <f t="shared" si="56"/>
        <v/>
      </c>
      <c r="AC291" s="9" t="str">
        <f t="shared" si="57"/>
        <v/>
      </c>
      <c r="AH291" t="str">
        <f>IF($AF291="","",IFERROR(SUMIFS(SummaryHelper!$H$2:$H$5000,SummaryHelper!$A$2:$A$5000,$AE291,SummaryHelper!$B$2:$B$5000,$AF291,SummaryHelper!$C$2:$C$5000,$AG291)/SUMIFS(SummaryHelper!$G$2:$G$5000,SummaryHelper!$A$2:$A$5000,$AE291,SummaryHelper!$B$2:$B$5000,$AF291,SummaryHelper!$C$2:$C$5000,$AG291),""))</f>
        <v/>
      </c>
      <c r="AI291" t="str">
        <f>IF($AF291="","",SUMIFS(SummaryHelper!$E$2:$E$5000,SummaryHelper!$A$2:$A$5000,$AE291,SummaryHelper!$B$2:$B$5000,$AF291,SummaryHelper!$C$2:$C$5000,$AG291))</f>
        <v/>
      </c>
      <c r="AJ291" t="str">
        <f>IF($AF291="","",SUMIFS(SummaryHelper!$F$2:$F$5000,SummaryHelper!$A$2:$A$5000,$AE291,SummaryHelper!$B$2:$B$5000,$AF291,SummaryHelper!$C$2:$C$5000,$AG291))</f>
        <v/>
      </c>
      <c r="AK291" t="str">
        <f>IF($AF291="","",SUMIFS(SummaryHelper!$G$2:$G$5000,SummaryHelper!$A$2:$A$5000,$AE291,SummaryHelper!$B$2:$B$5000,$AF291,SummaryHelper!$C$2:$C$5000,$AG291))</f>
        <v/>
      </c>
      <c r="AM291" t="str">
        <f t="shared" si="58"/>
        <v/>
      </c>
      <c r="AN291" t="str">
        <f t="shared" si="59"/>
        <v/>
      </c>
    </row>
    <row r="292" spans="1:40" x14ac:dyDescent="0.25">
      <c r="A292" s="12"/>
      <c r="B292" s="23" t="str">
        <f t="shared" si="60"/>
        <v/>
      </c>
      <c r="C292" s="9" t="str">
        <f t="shared" ca="1" si="49"/>
        <v/>
      </c>
      <c r="D292" s="9" t="str">
        <f t="shared" ca="1" si="50"/>
        <v/>
      </c>
      <c r="E292" s="9" t="str">
        <f t="shared" ca="1" si="51"/>
        <v/>
      </c>
      <c r="F292" s="9" t="str">
        <f t="shared" si="52"/>
        <v/>
      </c>
      <c r="G292" s="9">
        <f t="shared" si="53"/>
        <v>0</v>
      </c>
      <c r="L292" s="9" t="str">
        <f>IF($J292="","",IFERROR(SUMIFS(SummaryHelper!$H$2:$H$5000,SummaryHelper!$A$2:$A$5000,$I292,SummaryHelper!$B$2:$B$5000,$J292,SummaryHelper!$C$2:$C$5000,$K292)/SUMIFS(SummaryHelper!$G$2:$G$5000,SummaryHelper!$A$2:$A$5000,$I292,SummaryHelper!$B$2:$B$5000,$J292,SummaryHelper!$C$2:$C$5000,$K292),""))</f>
        <v/>
      </c>
      <c r="M292" s="9" t="str">
        <f>IF($J292="","",SUMIFS(SummaryHelper!$E$2:$E$5000,SummaryHelper!$A$2:$A$5000,$I292,SummaryHelper!$B$2:$B$5000,$J292,SummaryHelper!$C$2:$C$5000,$K292))</f>
        <v/>
      </c>
      <c r="N292" s="9" t="str">
        <f>IF($J292="","",SUMIFS(SummaryHelper!$F$2:$F$5000,SummaryHelper!$A$2:$A$5000,$I292,SummaryHelper!$B$2:$B$5000,$J292,SummaryHelper!$C$2:$C$5000,$K292))</f>
        <v/>
      </c>
      <c r="O292" s="9" t="str">
        <f>IF($J292="","",SUMIFS(SummaryHelper!$G$2:$G$5000,SummaryHelper!$A$2:$A$5000,$I292,SummaryHelper!$B$2:$B$5000,$J292,SummaryHelper!$C$2:$C$5000,$K292))</f>
        <v/>
      </c>
      <c r="Q292" s="9" t="str">
        <f t="shared" si="54"/>
        <v/>
      </c>
      <c r="R292" s="9" t="str">
        <f t="shared" si="55"/>
        <v/>
      </c>
      <c r="W292" s="9" t="str">
        <f>IF($U292="","",IFERROR(SUMIFS(SummaryHelper!$H$2:$H$5000,SummaryHelper!$A$2:$A$5000,$T292,SummaryHelper!$B$2:$B$5000,$U292,SummaryHelper!$C$2:$C$5000,$V292)/SUMIFS(SummaryHelper!$G$2:$G$5000,SummaryHelper!$A$2:$A$5000,$T292,SummaryHelper!$B$2:$B$5000,$U292,SummaryHelper!$C$2:$C$5000,$V292),""))</f>
        <v/>
      </c>
      <c r="X292" s="9" t="str">
        <f>IF($U292="","",SUMIFS(SummaryHelper!$E$2:$E$5000,SummaryHelper!$A$2:$A$5000,$T292,SummaryHelper!$B$2:$B$5000,$U292,SummaryHelper!$C$2:$C$5000,$V292))</f>
        <v/>
      </c>
      <c r="Y292" s="9" t="str">
        <f>IF($U292="","",SUMIFS(SummaryHelper!$F$2:$F$5000,SummaryHelper!$A$2:$A$5000,$T292,SummaryHelper!$B$2:$B$5000,$U292,SummaryHelper!$C$2:$C$5000,$V292))</f>
        <v/>
      </c>
      <c r="Z292" s="9" t="str">
        <f>IF($U292="","",SUMIFS(SummaryHelper!$G$2:$G$5000,SummaryHelper!$A$2:$A$5000,$T292,SummaryHelper!$B$2:$B$5000,$U292,SummaryHelper!$C$2:$C$5000,$V292))</f>
        <v/>
      </c>
      <c r="AB292" s="9" t="str">
        <f t="shared" si="56"/>
        <v/>
      </c>
      <c r="AC292" s="9" t="str">
        <f t="shared" si="57"/>
        <v/>
      </c>
      <c r="AH292" t="str">
        <f>IF($AF292="","",IFERROR(SUMIFS(SummaryHelper!$H$2:$H$5000,SummaryHelper!$A$2:$A$5000,$AE292,SummaryHelper!$B$2:$B$5000,$AF292,SummaryHelper!$C$2:$C$5000,$AG292)/SUMIFS(SummaryHelper!$G$2:$G$5000,SummaryHelper!$A$2:$A$5000,$AE292,SummaryHelper!$B$2:$B$5000,$AF292,SummaryHelper!$C$2:$C$5000,$AG292),""))</f>
        <v/>
      </c>
      <c r="AI292" t="str">
        <f>IF($AF292="","",SUMIFS(SummaryHelper!$E$2:$E$5000,SummaryHelper!$A$2:$A$5000,$AE292,SummaryHelper!$B$2:$B$5000,$AF292,SummaryHelper!$C$2:$C$5000,$AG292))</f>
        <v/>
      </c>
      <c r="AJ292" t="str">
        <f>IF($AF292="","",SUMIFS(SummaryHelper!$F$2:$F$5000,SummaryHelper!$A$2:$A$5000,$AE292,SummaryHelper!$B$2:$B$5000,$AF292,SummaryHelper!$C$2:$C$5000,$AG292))</f>
        <v/>
      </c>
      <c r="AK292" t="str">
        <f>IF($AF292="","",SUMIFS(SummaryHelper!$G$2:$G$5000,SummaryHelper!$A$2:$A$5000,$AE292,SummaryHelper!$B$2:$B$5000,$AF292,SummaryHelper!$C$2:$C$5000,$AG292))</f>
        <v/>
      </c>
      <c r="AM292" t="str">
        <f t="shared" si="58"/>
        <v/>
      </c>
      <c r="AN292" t="str">
        <f t="shared" si="59"/>
        <v/>
      </c>
    </row>
    <row r="293" spans="1:40" x14ac:dyDescent="0.25">
      <c r="A293" s="12"/>
      <c r="B293" s="23" t="str">
        <f t="shared" si="60"/>
        <v/>
      </c>
      <c r="C293" s="9" t="str">
        <f t="shared" ca="1" si="49"/>
        <v/>
      </c>
      <c r="D293" s="9" t="str">
        <f t="shared" ca="1" si="50"/>
        <v/>
      </c>
      <c r="E293" s="9" t="str">
        <f t="shared" ca="1" si="51"/>
        <v/>
      </c>
      <c r="F293" s="9" t="str">
        <f t="shared" si="52"/>
        <v/>
      </c>
      <c r="G293" s="9">
        <f t="shared" si="53"/>
        <v>0</v>
      </c>
      <c r="L293" s="9" t="str">
        <f>IF($J293="","",IFERROR(SUMIFS(SummaryHelper!$H$2:$H$5000,SummaryHelper!$A$2:$A$5000,$I293,SummaryHelper!$B$2:$B$5000,$J293,SummaryHelper!$C$2:$C$5000,$K293)/SUMIFS(SummaryHelper!$G$2:$G$5000,SummaryHelper!$A$2:$A$5000,$I293,SummaryHelper!$B$2:$B$5000,$J293,SummaryHelper!$C$2:$C$5000,$K293),""))</f>
        <v/>
      </c>
      <c r="M293" s="9" t="str">
        <f>IF($J293="","",SUMIFS(SummaryHelper!$E$2:$E$5000,SummaryHelper!$A$2:$A$5000,$I293,SummaryHelper!$B$2:$B$5000,$J293,SummaryHelper!$C$2:$C$5000,$K293))</f>
        <v/>
      </c>
      <c r="N293" s="9" t="str">
        <f>IF($J293="","",SUMIFS(SummaryHelper!$F$2:$F$5000,SummaryHelper!$A$2:$A$5000,$I293,SummaryHelper!$B$2:$B$5000,$J293,SummaryHelper!$C$2:$C$5000,$K293))</f>
        <v/>
      </c>
      <c r="O293" s="9" t="str">
        <f>IF($J293="","",SUMIFS(SummaryHelper!$G$2:$G$5000,SummaryHelper!$A$2:$A$5000,$I293,SummaryHelper!$B$2:$B$5000,$J293,SummaryHelper!$C$2:$C$5000,$K293))</f>
        <v/>
      </c>
      <c r="Q293" s="9" t="str">
        <f t="shared" si="54"/>
        <v/>
      </c>
      <c r="R293" s="9" t="str">
        <f t="shared" si="55"/>
        <v/>
      </c>
      <c r="W293" s="9" t="str">
        <f>IF($U293="","",IFERROR(SUMIFS(SummaryHelper!$H$2:$H$5000,SummaryHelper!$A$2:$A$5000,$T293,SummaryHelper!$B$2:$B$5000,$U293,SummaryHelper!$C$2:$C$5000,$V293)/SUMIFS(SummaryHelper!$G$2:$G$5000,SummaryHelper!$A$2:$A$5000,$T293,SummaryHelper!$B$2:$B$5000,$U293,SummaryHelper!$C$2:$C$5000,$V293),""))</f>
        <v/>
      </c>
      <c r="X293" s="9" t="str">
        <f>IF($U293="","",SUMIFS(SummaryHelper!$E$2:$E$5000,SummaryHelper!$A$2:$A$5000,$T293,SummaryHelper!$B$2:$B$5000,$U293,SummaryHelper!$C$2:$C$5000,$V293))</f>
        <v/>
      </c>
      <c r="Y293" s="9" t="str">
        <f>IF($U293="","",SUMIFS(SummaryHelper!$F$2:$F$5000,SummaryHelper!$A$2:$A$5000,$T293,SummaryHelper!$B$2:$B$5000,$U293,SummaryHelper!$C$2:$C$5000,$V293))</f>
        <v/>
      </c>
      <c r="Z293" s="9" t="str">
        <f>IF($U293="","",SUMIFS(SummaryHelper!$G$2:$G$5000,SummaryHelper!$A$2:$A$5000,$T293,SummaryHelper!$B$2:$B$5000,$U293,SummaryHelper!$C$2:$C$5000,$V293))</f>
        <v/>
      </c>
      <c r="AB293" s="9" t="str">
        <f t="shared" si="56"/>
        <v/>
      </c>
      <c r="AC293" s="9" t="str">
        <f t="shared" si="57"/>
        <v/>
      </c>
      <c r="AH293" t="str">
        <f>IF($AF293="","",IFERROR(SUMIFS(SummaryHelper!$H$2:$H$5000,SummaryHelper!$A$2:$A$5000,$AE293,SummaryHelper!$B$2:$B$5000,$AF293,SummaryHelper!$C$2:$C$5000,$AG293)/SUMIFS(SummaryHelper!$G$2:$G$5000,SummaryHelper!$A$2:$A$5000,$AE293,SummaryHelper!$B$2:$B$5000,$AF293,SummaryHelper!$C$2:$C$5000,$AG293),""))</f>
        <v/>
      </c>
      <c r="AI293" t="str">
        <f>IF($AF293="","",SUMIFS(SummaryHelper!$E$2:$E$5000,SummaryHelper!$A$2:$A$5000,$AE293,SummaryHelper!$B$2:$B$5000,$AF293,SummaryHelper!$C$2:$C$5000,$AG293))</f>
        <v/>
      </c>
      <c r="AJ293" t="str">
        <f>IF($AF293="","",SUMIFS(SummaryHelper!$F$2:$F$5000,SummaryHelper!$A$2:$A$5000,$AE293,SummaryHelper!$B$2:$B$5000,$AF293,SummaryHelper!$C$2:$C$5000,$AG293))</f>
        <v/>
      </c>
      <c r="AK293" t="str">
        <f>IF($AF293="","",SUMIFS(SummaryHelper!$G$2:$G$5000,SummaryHelper!$A$2:$A$5000,$AE293,SummaryHelper!$B$2:$B$5000,$AF293,SummaryHelper!$C$2:$C$5000,$AG293))</f>
        <v/>
      </c>
      <c r="AM293" t="str">
        <f t="shared" si="58"/>
        <v/>
      </c>
      <c r="AN293" t="str">
        <f t="shared" si="59"/>
        <v/>
      </c>
    </row>
    <row r="294" spans="1:40" x14ac:dyDescent="0.25">
      <c r="A294" s="12"/>
      <c r="B294" s="23" t="str">
        <f t="shared" si="60"/>
        <v/>
      </c>
      <c r="C294" s="9" t="str">
        <f t="shared" ca="1" si="49"/>
        <v/>
      </c>
      <c r="D294" s="9" t="str">
        <f t="shared" ca="1" si="50"/>
        <v/>
      </c>
      <c r="E294" s="9" t="str">
        <f t="shared" ca="1" si="51"/>
        <v/>
      </c>
      <c r="F294" s="9" t="str">
        <f t="shared" si="52"/>
        <v/>
      </c>
      <c r="G294" s="9">
        <f t="shared" si="53"/>
        <v>0</v>
      </c>
      <c r="L294" s="9" t="str">
        <f>IF($J294="","",IFERROR(SUMIFS(SummaryHelper!$H$2:$H$5000,SummaryHelper!$A$2:$A$5000,$I294,SummaryHelper!$B$2:$B$5000,$J294,SummaryHelper!$C$2:$C$5000,$K294)/SUMIFS(SummaryHelper!$G$2:$G$5000,SummaryHelper!$A$2:$A$5000,$I294,SummaryHelper!$B$2:$B$5000,$J294,SummaryHelper!$C$2:$C$5000,$K294),""))</f>
        <v/>
      </c>
      <c r="M294" s="9" t="str">
        <f>IF($J294="","",SUMIFS(SummaryHelper!$E$2:$E$5000,SummaryHelper!$A$2:$A$5000,$I294,SummaryHelper!$B$2:$B$5000,$J294,SummaryHelper!$C$2:$C$5000,$K294))</f>
        <v/>
      </c>
      <c r="N294" s="9" t="str">
        <f>IF($J294="","",SUMIFS(SummaryHelper!$F$2:$F$5000,SummaryHelper!$A$2:$A$5000,$I294,SummaryHelper!$B$2:$B$5000,$J294,SummaryHelper!$C$2:$C$5000,$K294))</f>
        <v/>
      </c>
      <c r="O294" s="9" t="str">
        <f>IF($J294="","",SUMIFS(SummaryHelper!$G$2:$G$5000,SummaryHelper!$A$2:$A$5000,$I294,SummaryHelper!$B$2:$B$5000,$J294,SummaryHelper!$C$2:$C$5000,$K294))</f>
        <v/>
      </c>
      <c r="Q294" s="9" t="str">
        <f t="shared" si="54"/>
        <v/>
      </c>
      <c r="R294" s="9" t="str">
        <f t="shared" si="55"/>
        <v/>
      </c>
      <c r="W294" s="9" t="str">
        <f>IF($U294="","",IFERROR(SUMIFS(SummaryHelper!$H$2:$H$5000,SummaryHelper!$A$2:$A$5000,$T294,SummaryHelper!$B$2:$B$5000,$U294,SummaryHelper!$C$2:$C$5000,$V294)/SUMIFS(SummaryHelper!$G$2:$G$5000,SummaryHelper!$A$2:$A$5000,$T294,SummaryHelper!$B$2:$B$5000,$U294,SummaryHelper!$C$2:$C$5000,$V294),""))</f>
        <v/>
      </c>
      <c r="X294" s="9" t="str">
        <f>IF($U294="","",SUMIFS(SummaryHelper!$E$2:$E$5000,SummaryHelper!$A$2:$A$5000,$T294,SummaryHelper!$B$2:$B$5000,$U294,SummaryHelper!$C$2:$C$5000,$V294))</f>
        <v/>
      </c>
      <c r="Y294" s="9" t="str">
        <f>IF($U294="","",SUMIFS(SummaryHelper!$F$2:$F$5000,SummaryHelper!$A$2:$A$5000,$T294,SummaryHelper!$B$2:$B$5000,$U294,SummaryHelper!$C$2:$C$5000,$V294))</f>
        <v/>
      </c>
      <c r="Z294" s="9" t="str">
        <f>IF($U294="","",SUMIFS(SummaryHelper!$G$2:$G$5000,SummaryHelper!$A$2:$A$5000,$T294,SummaryHelper!$B$2:$B$5000,$U294,SummaryHelper!$C$2:$C$5000,$V294))</f>
        <v/>
      </c>
      <c r="AB294" s="9" t="str">
        <f t="shared" si="56"/>
        <v/>
      </c>
      <c r="AC294" s="9" t="str">
        <f t="shared" si="57"/>
        <v/>
      </c>
      <c r="AH294" t="str">
        <f>IF($AF294="","",IFERROR(SUMIFS(SummaryHelper!$H$2:$H$5000,SummaryHelper!$A$2:$A$5000,$AE294,SummaryHelper!$B$2:$B$5000,$AF294,SummaryHelper!$C$2:$C$5000,$AG294)/SUMIFS(SummaryHelper!$G$2:$G$5000,SummaryHelper!$A$2:$A$5000,$AE294,SummaryHelper!$B$2:$B$5000,$AF294,SummaryHelper!$C$2:$C$5000,$AG294),""))</f>
        <v/>
      </c>
      <c r="AI294" t="str">
        <f>IF($AF294="","",SUMIFS(SummaryHelper!$E$2:$E$5000,SummaryHelper!$A$2:$A$5000,$AE294,SummaryHelper!$B$2:$B$5000,$AF294,SummaryHelper!$C$2:$C$5000,$AG294))</f>
        <v/>
      </c>
      <c r="AJ294" t="str">
        <f>IF($AF294="","",SUMIFS(SummaryHelper!$F$2:$F$5000,SummaryHelper!$A$2:$A$5000,$AE294,SummaryHelper!$B$2:$B$5000,$AF294,SummaryHelper!$C$2:$C$5000,$AG294))</f>
        <v/>
      </c>
      <c r="AK294" t="str">
        <f>IF($AF294="","",SUMIFS(SummaryHelper!$G$2:$G$5000,SummaryHelper!$A$2:$A$5000,$AE294,SummaryHelper!$B$2:$B$5000,$AF294,SummaryHelper!$C$2:$C$5000,$AG294))</f>
        <v/>
      </c>
      <c r="AM294" t="str">
        <f t="shared" si="58"/>
        <v/>
      </c>
      <c r="AN294" t="str">
        <f t="shared" si="59"/>
        <v/>
      </c>
    </row>
    <row r="295" spans="1:40" x14ac:dyDescent="0.25">
      <c r="A295" s="12"/>
      <c r="B295" s="23" t="str">
        <f t="shared" si="60"/>
        <v/>
      </c>
      <c r="C295" s="9" t="str">
        <f t="shared" ca="1" si="49"/>
        <v/>
      </c>
      <c r="D295" s="9" t="str">
        <f t="shared" ca="1" si="50"/>
        <v/>
      </c>
      <c r="E295" s="9" t="str">
        <f t="shared" ca="1" si="51"/>
        <v/>
      </c>
      <c r="F295" s="9" t="str">
        <f t="shared" si="52"/>
        <v/>
      </c>
      <c r="G295" s="9">
        <f t="shared" si="53"/>
        <v>0</v>
      </c>
      <c r="L295" s="9" t="str">
        <f>IF($J295="","",IFERROR(SUMIFS(SummaryHelper!$H$2:$H$5000,SummaryHelper!$A$2:$A$5000,$I295,SummaryHelper!$B$2:$B$5000,$J295,SummaryHelper!$C$2:$C$5000,$K295)/SUMIFS(SummaryHelper!$G$2:$G$5000,SummaryHelper!$A$2:$A$5000,$I295,SummaryHelper!$B$2:$B$5000,$J295,SummaryHelper!$C$2:$C$5000,$K295),""))</f>
        <v/>
      </c>
      <c r="M295" s="9" t="str">
        <f>IF($J295="","",SUMIFS(SummaryHelper!$E$2:$E$5000,SummaryHelper!$A$2:$A$5000,$I295,SummaryHelper!$B$2:$B$5000,$J295,SummaryHelper!$C$2:$C$5000,$K295))</f>
        <v/>
      </c>
      <c r="N295" s="9" t="str">
        <f>IF($J295="","",SUMIFS(SummaryHelper!$F$2:$F$5000,SummaryHelper!$A$2:$A$5000,$I295,SummaryHelper!$B$2:$B$5000,$J295,SummaryHelper!$C$2:$C$5000,$K295))</f>
        <v/>
      </c>
      <c r="O295" s="9" t="str">
        <f>IF($J295="","",SUMIFS(SummaryHelper!$G$2:$G$5000,SummaryHelper!$A$2:$A$5000,$I295,SummaryHelper!$B$2:$B$5000,$J295,SummaryHelper!$C$2:$C$5000,$K295))</f>
        <v/>
      </c>
      <c r="Q295" s="9" t="str">
        <f t="shared" si="54"/>
        <v/>
      </c>
      <c r="R295" s="9" t="str">
        <f t="shared" si="55"/>
        <v/>
      </c>
      <c r="W295" s="9" t="str">
        <f>IF($U295="","",IFERROR(SUMIFS(SummaryHelper!$H$2:$H$5000,SummaryHelper!$A$2:$A$5000,$T295,SummaryHelper!$B$2:$B$5000,$U295,SummaryHelper!$C$2:$C$5000,$V295)/SUMIFS(SummaryHelper!$G$2:$G$5000,SummaryHelper!$A$2:$A$5000,$T295,SummaryHelper!$B$2:$B$5000,$U295,SummaryHelper!$C$2:$C$5000,$V295),""))</f>
        <v/>
      </c>
      <c r="X295" s="9" t="str">
        <f>IF($U295="","",SUMIFS(SummaryHelper!$E$2:$E$5000,SummaryHelper!$A$2:$A$5000,$T295,SummaryHelper!$B$2:$B$5000,$U295,SummaryHelper!$C$2:$C$5000,$V295))</f>
        <v/>
      </c>
      <c r="Y295" s="9" t="str">
        <f>IF($U295="","",SUMIFS(SummaryHelper!$F$2:$F$5000,SummaryHelper!$A$2:$A$5000,$T295,SummaryHelper!$B$2:$B$5000,$U295,SummaryHelper!$C$2:$C$5000,$V295))</f>
        <v/>
      </c>
      <c r="Z295" s="9" t="str">
        <f>IF($U295="","",SUMIFS(SummaryHelper!$G$2:$G$5000,SummaryHelper!$A$2:$A$5000,$T295,SummaryHelper!$B$2:$B$5000,$U295,SummaryHelper!$C$2:$C$5000,$V295))</f>
        <v/>
      </c>
      <c r="AB295" s="9" t="str">
        <f t="shared" si="56"/>
        <v/>
      </c>
      <c r="AC295" s="9" t="str">
        <f t="shared" si="57"/>
        <v/>
      </c>
      <c r="AH295" t="str">
        <f>IF($AF295="","",IFERROR(SUMIFS(SummaryHelper!$H$2:$H$5000,SummaryHelper!$A$2:$A$5000,$AE295,SummaryHelper!$B$2:$B$5000,$AF295,SummaryHelper!$C$2:$C$5000,$AG295)/SUMIFS(SummaryHelper!$G$2:$G$5000,SummaryHelper!$A$2:$A$5000,$AE295,SummaryHelper!$B$2:$B$5000,$AF295,SummaryHelper!$C$2:$C$5000,$AG295),""))</f>
        <v/>
      </c>
      <c r="AI295" t="str">
        <f>IF($AF295="","",SUMIFS(SummaryHelper!$E$2:$E$5000,SummaryHelper!$A$2:$A$5000,$AE295,SummaryHelper!$B$2:$B$5000,$AF295,SummaryHelper!$C$2:$C$5000,$AG295))</f>
        <v/>
      </c>
      <c r="AJ295" t="str">
        <f>IF($AF295="","",SUMIFS(SummaryHelper!$F$2:$F$5000,SummaryHelper!$A$2:$A$5000,$AE295,SummaryHelper!$B$2:$B$5000,$AF295,SummaryHelper!$C$2:$C$5000,$AG295))</f>
        <v/>
      </c>
      <c r="AK295" t="str">
        <f>IF($AF295="","",SUMIFS(SummaryHelper!$G$2:$G$5000,SummaryHelper!$A$2:$A$5000,$AE295,SummaryHelper!$B$2:$B$5000,$AF295,SummaryHelper!$C$2:$C$5000,$AG295))</f>
        <v/>
      </c>
      <c r="AM295" t="str">
        <f t="shared" si="58"/>
        <v/>
      </c>
      <c r="AN295" t="str">
        <f t="shared" si="59"/>
        <v/>
      </c>
    </row>
    <row r="296" spans="1:40" x14ac:dyDescent="0.25">
      <c r="A296" s="12"/>
      <c r="B296" s="23" t="str">
        <f t="shared" si="60"/>
        <v/>
      </c>
      <c r="C296" s="9" t="str">
        <f t="shared" ca="1" si="49"/>
        <v/>
      </c>
      <c r="D296" s="9" t="str">
        <f t="shared" ca="1" si="50"/>
        <v/>
      </c>
      <c r="E296" s="9" t="str">
        <f t="shared" ca="1" si="51"/>
        <v/>
      </c>
      <c r="F296" s="9" t="str">
        <f t="shared" si="52"/>
        <v/>
      </c>
      <c r="G296" s="9">
        <f t="shared" si="53"/>
        <v>0</v>
      </c>
      <c r="L296" s="9" t="str">
        <f>IF($J296="","",IFERROR(SUMIFS(SummaryHelper!$H$2:$H$5000,SummaryHelper!$A$2:$A$5000,$I296,SummaryHelper!$B$2:$B$5000,$J296,SummaryHelper!$C$2:$C$5000,$K296)/SUMIFS(SummaryHelper!$G$2:$G$5000,SummaryHelper!$A$2:$A$5000,$I296,SummaryHelper!$B$2:$B$5000,$J296,SummaryHelper!$C$2:$C$5000,$K296),""))</f>
        <v/>
      </c>
      <c r="M296" s="9" t="str">
        <f>IF($J296="","",SUMIFS(SummaryHelper!$E$2:$E$5000,SummaryHelper!$A$2:$A$5000,$I296,SummaryHelper!$B$2:$B$5000,$J296,SummaryHelper!$C$2:$C$5000,$K296))</f>
        <v/>
      </c>
      <c r="N296" s="9" t="str">
        <f>IF($J296="","",SUMIFS(SummaryHelper!$F$2:$F$5000,SummaryHelper!$A$2:$A$5000,$I296,SummaryHelper!$B$2:$B$5000,$J296,SummaryHelper!$C$2:$C$5000,$K296))</f>
        <v/>
      </c>
      <c r="O296" s="9" t="str">
        <f>IF($J296="","",SUMIFS(SummaryHelper!$G$2:$G$5000,SummaryHelper!$A$2:$A$5000,$I296,SummaryHelper!$B$2:$B$5000,$J296,SummaryHelper!$C$2:$C$5000,$K296))</f>
        <v/>
      </c>
      <c r="Q296" s="9" t="str">
        <f t="shared" si="54"/>
        <v/>
      </c>
      <c r="R296" s="9" t="str">
        <f t="shared" si="55"/>
        <v/>
      </c>
      <c r="W296" s="9" t="str">
        <f>IF($U296="","",IFERROR(SUMIFS(SummaryHelper!$H$2:$H$5000,SummaryHelper!$A$2:$A$5000,$T296,SummaryHelper!$B$2:$B$5000,$U296,SummaryHelper!$C$2:$C$5000,$V296)/SUMIFS(SummaryHelper!$G$2:$G$5000,SummaryHelper!$A$2:$A$5000,$T296,SummaryHelper!$B$2:$B$5000,$U296,SummaryHelper!$C$2:$C$5000,$V296),""))</f>
        <v/>
      </c>
      <c r="X296" s="9" t="str">
        <f>IF($U296="","",SUMIFS(SummaryHelper!$E$2:$E$5000,SummaryHelper!$A$2:$A$5000,$T296,SummaryHelper!$B$2:$B$5000,$U296,SummaryHelper!$C$2:$C$5000,$V296))</f>
        <v/>
      </c>
      <c r="Y296" s="9" t="str">
        <f>IF($U296="","",SUMIFS(SummaryHelper!$F$2:$F$5000,SummaryHelper!$A$2:$A$5000,$T296,SummaryHelper!$B$2:$B$5000,$U296,SummaryHelper!$C$2:$C$5000,$V296))</f>
        <v/>
      </c>
      <c r="Z296" s="9" t="str">
        <f>IF($U296="","",SUMIFS(SummaryHelper!$G$2:$G$5000,SummaryHelper!$A$2:$A$5000,$T296,SummaryHelper!$B$2:$B$5000,$U296,SummaryHelper!$C$2:$C$5000,$V296))</f>
        <v/>
      </c>
      <c r="AB296" s="9" t="str">
        <f t="shared" si="56"/>
        <v/>
      </c>
      <c r="AC296" s="9" t="str">
        <f t="shared" si="57"/>
        <v/>
      </c>
      <c r="AH296" t="str">
        <f>IF($AF296="","",IFERROR(SUMIFS(SummaryHelper!$H$2:$H$5000,SummaryHelper!$A$2:$A$5000,$AE296,SummaryHelper!$B$2:$B$5000,$AF296,SummaryHelper!$C$2:$C$5000,$AG296)/SUMIFS(SummaryHelper!$G$2:$G$5000,SummaryHelper!$A$2:$A$5000,$AE296,SummaryHelper!$B$2:$B$5000,$AF296,SummaryHelper!$C$2:$C$5000,$AG296),""))</f>
        <v/>
      </c>
      <c r="AI296" t="str">
        <f>IF($AF296="","",SUMIFS(SummaryHelper!$E$2:$E$5000,SummaryHelper!$A$2:$A$5000,$AE296,SummaryHelper!$B$2:$B$5000,$AF296,SummaryHelper!$C$2:$C$5000,$AG296))</f>
        <v/>
      </c>
      <c r="AJ296" t="str">
        <f>IF($AF296="","",SUMIFS(SummaryHelper!$F$2:$F$5000,SummaryHelper!$A$2:$A$5000,$AE296,SummaryHelper!$B$2:$B$5000,$AF296,SummaryHelper!$C$2:$C$5000,$AG296))</f>
        <v/>
      </c>
      <c r="AK296" t="str">
        <f>IF($AF296="","",SUMIFS(SummaryHelper!$G$2:$G$5000,SummaryHelper!$A$2:$A$5000,$AE296,SummaryHelper!$B$2:$B$5000,$AF296,SummaryHelper!$C$2:$C$5000,$AG296))</f>
        <v/>
      </c>
      <c r="AM296" t="str">
        <f t="shared" si="58"/>
        <v/>
      </c>
      <c r="AN296" t="str">
        <f t="shared" si="59"/>
        <v/>
      </c>
    </row>
    <row r="297" spans="1:40" x14ac:dyDescent="0.25">
      <c r="A297" s="12"/>
      <c r="B297" s="23" t="str">
        <f t="shared" si="60"/>
        <v/>
      </c>
      <c r="C297" s="9" t="str">
        <f t="shared" ca="1" si="49"/>
        <v/>
      </c>
      <c r="D297" s="9" t="str">
        <f t="shared" ca="1" si="50"/>
        <v/>
      </c>
      <c r="E297" s="9" t="str">
        <f t="shared" ca="1" si="51"/>
        <v/>
      </c>
      <c r="F297" s="9" t="str">
        <f t="shared" si="52"/>
        <v/>
      </c>
      <c r="G297" s="9">
        <f t="shared" si="53"/>
        <v>0</v>
      </c>
      <c r="L297" s="9" t="str">
        <f>IF($J297="","",IFERROR(SUMIFS(SummaryHelper!$H$2:$H$5000,SummaryHelper!$A$2:$A$5000,$I297,SummaryHelper!$B$2:$B$5000,$J297,SummaryHelper!$C$2:$C$5000,$K297)/SUMIFS(SummaryHelper!$G$2:$G$5000,SummaryHelper!$A$2:$A$5000,$I297,SummaryHelper!$B$2:$B$5000,$J297,SummaryHelper!$C$2:$C$5000,$K297),""))</f>
        <v/>
      </c>
      <c r="M297" s="9" t="str">
        <f>IF($J297="","",SUMIFS(SummaryHelper!$E$2:$E$5000,SummaryHelper!$A$2:$A$5000,$I297,SummaryHelper!$B$2:$B$5000,$J297,SummaryHelper!$C$2:$C$5000,$K297))</f>
        <v/>
      </c>
      <c r="N297" s="9" t="str">
        <f>IF($J297="","",SUMIFS(SummaryHelper!$F$2:$F$5000,SummaryHelper!$A$2:$A$5000,$I297,SummaryHelper!$B$2:$B$5000,$J297,SummaryHelper!$C$2:$C$5000,$K297))</f>
        <v/>
      </c>
      <c r="O297" s="9" t="str">
        <f>IF($J297="","",SUMIFS(SummaryHelper!$G$2:$G$5000,SummaryHelper!$A$2:$A$5000,$I297,SummaryHelper!$B$2:$B$5000,$J297,SummaryHelper!$C$2:$C$5000,$K297))</f>
        <v/>
      </c>
      <c r="Q297" s="9" t="str">
        <f t="shared" si="54"/>
        <v/>
      </c>
      <c r="R297" s="9" t="str">
        <f t="shared" si="55"/>
        <v/>
      </c>
      <c r="W297" s="9" t="str">
        <f>IF($U297="","",IFERROR(SUMIFS(SummaryHelper!$H$2:$H$5000,SummaryHelper!$A$2:$A$5000,$T297,SummaryHelper!$B$2:$B$5000,$U297,SummaryHelper!$C$2:$C$5000,$V297)/SUMIFS(SummaryHelper!$G$2:$G$5000,SummaryHelper!$A$2:$A$5000,$T297,SummaryHelper!$B$2:$B$5000,$U297,SummaryHelper!$C$2:$C$5000,$V297),""))</f>
        <v/>
      </c>
      <c r="X297" s="9" t="str">
        <f>IF($U297="","",SUMIFS(SummaryHelper!$E$2:$E$5000,SummaryHelper!$A$2:$A$5000,$T297,SummaryHelper!$B$2:$B$5000,$U297,SummaryHelper!$C$2:$C$5000,$V297))</f>
        <v/>
      </c>
      <c r="Y297" s="9" t="str">
        <f>IF($U297="","",SUMIFS(SummaryHelper!$F$2:$F$5000,SummaryHelper!$A$2:$A$5000,$T297,SummaryHelper!$B$2:$B$5000,$U297,SummaryHelper!$C$2:$C$5000,$V297))</f>
        <v/>
      </c>
      <c r="Z297" s="9" t="str">
        <f>IF($U297="","",SUMIFS(SummaryHelper!$G$2:$G$5000,SummaryHelper!$A$2:$A$5000,$T297,SummaryHelper!$B$2:$B$5000,$U297,SummaryHelper!$C$2:$C$5000,$V297))</f>
        <v/>
      </c>
      <c r="AB297" s="9" t="str">
        <f t="shared" si="56"/>
        <v/>
      </c>
      <c r="AC297" s="9" t="str">
        <f t="shared" si="57"/>
        <v/>
      </c>
      <c r="AH297" t="str">
        <f>IF($AF297="","",IFERROR(SUMIFS(SummaryHelper!$H$2:$H$5000,SummaryHelper!$A$2:$A$5000,$AE297,SummaryHelper!$B$2:$B$5000,$AF297,SummaryHelper!$C$2:$C$5000,$AG297)/SUMIFS(SummaryHelper!$G$2:$G$5000,SummaryHelper!$A$2:$A$5000,$AE297,SummaryHelper!$B$2:$B$5000,$AF297,SummaryHelper!$C$2:$C$5000,$AG297),""))</f>
        <v/>
      </c>
      <c r="AI297" t="str">
        <f>IF($AF297="","",SUMIFS(SummaryHelper!$E$2:$E$5000,SummaryHelper!$A$2:$A$5000,$AE297,SummaryHelper!$B$2:$B$5000,$AF297,SummaryHelper!$C$2:$C$5000,$AG297))</f>
        <v/>
      </c>
      <c r="AJ297" t="str">
        <f>IF($AF297="","",SUMIFS(SummaryHelper!$F$2:$F$5000,SummaryHelper!$A$2:$A$5000,$AE297,SummaryHelper!$B$2:$B$5000,$AF297,SummaryHelper!$C$2:$C$5000,$AG297))</f>
        <v/>
      </c>
      <c r="AK297" t="str">
        <f>IF($AF297="","",SUMIFS(SummaryHelper!$G$2:$G$5000,SummaryHelper!$A$2:$A$5000,$AE297,SummaryHelper!$B$2:$B$5000,$AF297,SummaryHelper!$C$2:$C$5000,$AG297))</f>
        <v/>
      </c>
      <c r="AM297" t="str">
        <f t="shared" si="58"/>
        <v/>
      </c>
      <c r="AN297" t="str">
        <f t="shared" si="59"/>
        <v/>
      </c>
    </row>
    <row r="298" spans="1:40" x14ac:dyDescent="0.25">
      <c r="A298" s="12"/>
      <c r="B298" s="23" t="str">
        <f t="shared" si="60"/>
        <v/>
      </c>
      <c r="C298" s="9" t="str">
        <f t="shared" ca="1" si="49"/>
        <v/>
      </c>
      <c r="D298" s="9" t="str">
        <f t="shared" ca="1" si="50"/>
        <v/>
      </c>
      <c r="E298" s="9" t="str">
        <f t="shared" ca="1" si="51"/>
        <v/>
      </c>
      <c r="F298" s="9" t="str">
        <f t="shared" si="52"/>
        <v/>
      </c>
      <c r="G298" s="9">
        <f t="shared" si="53"/>
        <v>0</v>
      </c>
      <c r="L298" s="9" t="str">
        <f>IF($J298="","",IFERROR(SUMIFS(SummaryHelper!$H$2:$H$5000,SummaryHelper!$A$2:$A$5000,$I298,SummaryHelper!$B$2:$B$5000,$J298,SummaryHelper!$C$2:$C$5000,$K298)/SUMIFS(SummaryHelper!$G$2:$G$5000,SummaryHelper!$A$2:$A$5000,$I298,SummaryHelper!$B$2:$B$5000,$J298,SummaryHelper!$C$2:$C$5000,$K298),""))</f>
        <v/>
      </c>
      <c r="M298" s="9" t="str">
        <f>IF($J298="","",SUMIFS(SummaryHelper!$E$2:$E$5000,SummaryHelper!$A$2:$A$5000,$I298,SummaryHelper!$B$2:$B$5000,$J298,SummaryHelper!$C$2:$C$5000,$K298))</f>
        <v/>
      </c>
      <c r="N298" s="9" t="str">
        <f>IF($J298="","",SUMIFS(SummaryHelper!$F$2:$F$5000,SummaryHelper!$A$2:$A$5000,$I298,SummaryHelper!$B$2:$B$5000,$J298,SummaryHelper!$C$2:$C$5000,$K298))</f>
        <v/>
      </c>
      <c r="O298" s="9" t="str">
        <f>IF($J298="","",SUMIFS(SummaryHelper!$G$2:$G$5000,SummaryHelper!$A$2:$A$5000,$I298,SummaryHelper!$B$2:$B$5000,$J298,SummaryHelper!$C$2:$C$5000,$K298))</f>
        <v/>
      </c>
      <c r="Q298" s="9" t="str">
        <f t="shared" si="54"/>
        <v/>
      </c>
      <c r="R298" s="9" t="str">
        <f t="shared" si="55"/>
        <v/>
      </c>
      <c r="W298" s="9" t="str">
        <f>IF($U298="","",IFERROR(SUMIFS(SummaryHelper!$H$2:$H$5000,SummaryHelper!$A$2:$A$5000,$T298,SummaryHelper!$B$2:$B$5000,$U298,SummaryHelper!$C$2:$C$5000,$V298)/SUMIFS(SummaryHelper!$G$2:$G$5000,SummaryHelper!$A$2:$A$5000,$T298,SummaryHelper!$B$2:$B$5000,$U298,SummaryHelper!$C$2:$C$5000,$V298),""))</f>
        <v/>
      </c>
      <c r="X298" s="9" t="str">
        <f>IF($U298="","",SUMIFS(SummaryHelper!$E$2:$E$5000,SummaryHelper!$A$2:$A$5000,$T298,SummaryHelper!$B$2:$B$5000,$U298,SummaryHelper!$C$2:$C$5000,$V298))</f>
        <v/>
      </c>
      <c r="Y298" s="9" t="str">
        <f>IF($U298="","",SUMIFS(SummaryHelper!$F$2:$F$5000,SummaryHelper!$A$2:$A$5000,$T298,SummaryHelper!$B$2:$B$5000,$U298,SummaryHelper!$C$2:$C$5000,$V298))</f>
        <v/>
      </c>
      <c r="Z298" s="9" t="str">
        <f>IF($U298="","",SUMIFS(SummaryHelper!$G$2:$G$5000,SummaryHelper!$A$2:$A$5000,$T298,SummaryHelper!$B$2:$B$5000,$U298,SummaryHelper!$C$2:$C$5000,$V298))</f>
        <v/>
      </c>
      <c r="AB298" s="9" t="str">
        <f t="shared" si="56"/>
        <v/>
      </c>
      <c r="AC298" s="9" t="str">
        <f t="shared" si="57"/>
        <v/>
      </c>
      <c r="AH298" t="str">
        <f>IF($AF298="","",IFERROR(SUMIFS(SummaryHelper!$H$2:$H$5000,SummaryHelper!$A$2:$A$5000,$AE298,SummaryHelper!$B$2:$B$5000,$AF298,SummaryHelper!$C$2:$C$5000,$AG298)/SUMIFS(SummaryHelper!$G$2:$G$5000,SummaryHelper!$A$2:$A$5000,$AE298,SummaryHelper!$B$2:$B$5000,$AF298,SummaryHelper!$C$2:$C$5000,$AG298),""))</f>
        <v/>
      </c>
      <c r="AI298" t="str">
        <f>IF($AF298="","",SUMIFS(SummaryHelper!$E$2:$E$5000,SummaryHelper!$A$2:$A$5000,$AE298,SummaryHelper!$B$2:$B$5000,$AF298,SummaryHelper!$C$2:$C$5000,$AG298))</f>
        <v/>
      </c>
      <c r="AJ298" t="str">
        <f>IF($AF298="","",SUMIFS(SummaryHelper!$F$2:$F$5000,SummaryHelper!$A$2:$A$5000,$AE298,SummaryHelper!$B$2:$B$5000,$AF298,SummaryHelper!$C$2:$C$5000,$AG298))</f>
        <v/>
      </c>
      <c r="AK298" t="str">
        <f>IF($AF298="","",SUMIFS(SummaryHelper!$G$2:$G$5000,SummaryHelper!$A$2:$A$5000,$AE298,SummaryHelper!$B$2:$B$5000,$AF298,SummaryHelper!$C$2:$C$5000,$AG298))</f>
        <v/>
      </c>
      <c r="AM298" t="str">
        <f t="shared" si="58"/>
        <v/>
      </c>
      <c r="AN298" t="str">
        <f t="shared" si="59"/>
        <v/>
      </c>
    </row>
    <row r="299" spans="1:40" x14ac:dyDescent="0.25">
      <c r="A299" s="12"/>
      <c r="B299" s="23" t="str">
        <f t="shared" si="60"/>
        <v/>
      </c>
      <c r="C299" s="9" t="str">
        <f t="shared" ca="1" si="49"/>
        <v/>
      </c>
      <c r="D299" s="9" t="str">
        <f t="shared" ca="1" si="50"/>
        <v/>
      </c>
      <c r="E299" s="9" t="str">
        <f t="shared" ca="1" si="51"/>
        <v/>
      </c>
      <c r="F299" s="9" t="str">
        <f t="shared" si="52"/>
        <v/>
      </c>
      <c r="G299" s="9">
        <f t="shared" si="53"/>
        <v>0</v>
      </c>
      <c r="L299" s="9" t="str">
        <f>IF($J299="","",IFERROR(SUMIFS(SummaryHelper!$H$2:$H$5000,SummaryHelper!$A$2:$A$5000,$I299,SummaryHelper!$B$2:$B$5000,$J299,SummaryHelper!$C$2:$C$5000,$K299)/SUMIFS(SummaryHelper!$G$2:$G$5000,SummaryHelper!$A$2:$A$5000,$I299,SummaryHelper!$B$2:$B$5000,$J299,SummaryHelper!$C$2:$C$5000,$K299),""))</f>
        <v/>
      </c>
      <c r="M299" s="9" t="str">
        <f>IF($J299="","",SUMIFS(SummaryHelper!$E$2:$E$5000,SummaryHelper!$A$2:$A$5000,$I299,SummaryHelper!$B$2:$B$5000,$J299,SummaryHelper!$C$2:$C$5000,$K299))</f>
        <v/>
      </c>
      <c r="N299" s="9" t="str">
        <f>IF($J299="","",SUMIFS(SummaryHelper!$F$2:$F$5000,SummaryHelper!$A$2:$A$5000,$I299,SummaryHelper!$B$2:$B$5000,$J299,SummaryHelper!$C$2:$C$5000,$K299))</f>
        <v/>
      </c>
      <c r="O299" s="9" t="str">
        <f>IF($J299="","",SUMIFS(SummaryHelper!$G$2:$G$5000,SummaryHelper!$A$2:$A$5000,$I299,SummaryHelper!$B$2:$B$5000,$J299,SummaryHelper!$C$2:$C$5000,$K299))</f>
        <v/>
      </c>
      <c r="Q299" s="9" t="str">
        <f t="shared" si="54"/>
        <v/>
      </c>
      <c r="R299" s="9" t="str">
        <f t="shared" si="55"/>
        <v/>
      </c>
      <c r="W299" s="9" t="str">
        <f>IF($U299="","",IFERROR(SUMIFS(SummaryHelper!$H$2:$H$5000,SummaryHelper!$A$2:$A$5000,$T299,SummaryHelper!$B$2:$B$5000,$U299,SummaryHelper!$C$2:$C$5000,$V299)/SUMIFS(SummaryHelper!$G$2:$G$5000,SummaryHelper!$A$2:$A$5000,$T299,SummaryHelper!$B$2:$B$5000,$U299,SummaryHelper!$C$2:$C$5000,$V299),""))</f>
        <v/>
      </c>
      <c r="X299" s="9" t="str">
        <f>IF($U299="","",SUMIFS(SummaryHelper!$E$2:$E$5000,SummaryHelper!$A$2:$A$5000,$T299,SummaryHelper!$B$2:$B$5000,$U299,SummaryHelper!$C$2:$C$5000,$V299))</f>
        <v/>
      </c>
      <c r="Y299" s="9" t="str">
        <f>IF($U299="","",SUMIFS(SummaryHelper!$F$2:$F$5000,SummaryHelper!$A$2:$A$5000,$T299,SummaryHelper!$B$2:$B$5000,$U299,SummaryHelper!$C$2:$C$5000,$V299))</f>
        <v/>
      </c>
      <c r="Z299" s="9" t="str">
        <f>IF($U299="","",SUMIFS(SummaryHelper!$G$2:$G$5000,SummaryHelper!$A$2:$A$5000,$T299,SummaryHelper!$B$2:$B$5000,$U299,SummaryHelper!$C$2:$C$5000,$V299))</f>
        <v/>
      </c>
      <c r="AB299" s="9" t="str">
        <f t="shared" si="56"/>
        <v/>
      </c>
      <c r="AC299" s="9" t="str">
        <f t="shared" si="57"/>
        <v/>
      </c>
      <c r="AH299" t="str">
        <f>IF($AF299="","",IFERROR(SUMIFS(SummaryHelper!$H$2:$H$5000,SummaryHelper!$A$2:$A$5000,$AE299,SummaryHelper!$B$2:$B$5000,$AF299,SummaryHelper!$C$2:$C$5000,$AG299)/SUMIFS(SummaryHelper!$G$2:$G$5000,SummaryHelper!$A$2:$A$5000,$AE299,SummaryHelper!$B$2:$B$5000,$AF299,SummaryHelper!$C$2:$C$5000,$AG299),""))</f>
        <v/>
      </c>
      <c r="AI299" t="str">
        <f>IF($AF299="","",SUMIFS(SummaryHelper!$E$2:$E$5000,SummaryHelper!$A$2:$A$5000,$AE299,SummaryHelper!$B$2:$B$5000,$AF299,SummaryHelper!$C$2:$C$5000,$AG299))</f>
        <v/>
      </c>
      <c r="AJ299" t="str">
        <f>IF($AF299="","",SUMIFS(SummaryHelper!$F$2:$F$5000,SummaryHelper!$A$2:$A$5000,$AE299,SummaryHelper!$B$2:$B$5000,$AF299,SummaryHelper!$C$2:$C$5000,$AG299))</f>
        <v/>
      </c>
      <c r="AK299" t="str">
        <f>IF($AF299="","",SUMIFS(SummaryHelper!$G$2:$G$5000,SummaryHelper!$A$2:$A$5000,$AE299,SummaryHelper!$B$2:$B$5000,$AF299,SummaryHelper!$C$2:$C$5000,$AG299))</f>
        <v/>
      </c>
      <c r="AM299" t="str">
        <f t="shared" si="58"/>
        <v/>
      </c>
      <c r="AN299" t="str">
        <f t="shared" si="59"/>
        <v/>
      </c>
    </row>
    <row r="300" spans="1:40" x14ac:dyDescent="0.25">
      <c r="A300" s="12"/>
      <c r="B300" s="23" t="str">
        <f t="shared" si="60"/>
        <v/>
      </c>
      <c r="C300" s="9" t="str">
        <f t="shared" ca="1" si="49"/>
        <v/>
      </c>
      <c r="D300" s="9" t="str">
        <f t="shared" ca="1" si="50"/>
        <v/>
      </c>
      <c r="E300" s="9" t="str">
        <f t="shared" ca="1" si="51"/>
        <v/>
      </c>
      <c r="F300" s="9" t="str">
        <f t="shared" si="52"/>
        <v/>
      </c>
      <c r="G300" s="9">
        <f t="shared" si="53"/>
        <v>0</v>
      </c>
      <c r="L300" s="9" t="str">
        <f>IF($J300="","",IFERROR(SUMIFS(SummaryHelper!$H$2:$H$5000,SummaryHelper!$A$2:$A$5000,$I300,SummaryHelper!$B$2:$B$5000,$J300,SummaryHelper!$C$2:$C$5000,$K300)/SUMIFS(SummaryHelper!$G$2:$G$5000,SummaryHelper!$A$2:$A$5000,$I300,SummaryHelper!$B$2:$B$5000,$J300,SummaryHelper!$C$2:$C$5000,$K300),""))</f>
        <v/>
      </c>
      <c r="M300" s="9" t="str">
        <f>IF($J300="","",SUMIFS(SummaryHelper!$E$2:$E$5000,SummaryHelper!$A$2:$A$5000,$I300,SummaryHelper!$B$2:$B$5000,$J300,SummaryHelper!$C$2:$C$5000,$K300))</f>
        <v/>
      </c>
      <c r="N300" s="9" t="str">
        <f>IF($J300="","",SUMIFS(SummaryHelper!$F$2:$F$5000,SummaryHelper!$A$2:$A$5000,$I300,SummaryHelper!$B$2:$B$5000,$J300,SummaryHelper!$C$2:$C$5000,$K300))</f>
        <v/>
      </c>
      <c r="O300" s="9" t="str">
        <f>IF($J300="","",SUMIFS(SummaryHelper!$G$2:$G$5000,SummaryHelper!$A$2:$A$5000,$I300,SummaryHelper!$B$2:$B$5000,$J300,SummaryHelper!$C$2:$C$5000,$K300))</f>
        <v/>
      </c>
      <c r="Q300" s="9" t="str">
        <f t="shared" si="54"/>
        <v/>
      </c>
      <c r="R300" s="9" t="str">
        <f t="shared" si="55"/>
        <v/>
      </c>
      <c r="W300" s="9" t="str">
        <f>IF($U300="","",IFERROR(SUMIFS(SummaryHelper!$H$2:$H$5000,SummaryHelper!$A$2:$A$5000,$T300,SummaryHelper!$B$2:$B$5000,$U300,SummaryHelper!$C$2:$C$5000,$V300)/SUMIFS(SummaryHelper!$G$2:$G$5000,SummaryHelper!$A$2:$A$5000,$T300,SummaryHelper!$B$2:$B$5000,$U300,SummaryHelper!$C$2:$C$5000,$V300),""))</f>
        <v/>
      </c>
      <c r="X300" s="9" t="str">
        <f>IF($U300="","",SUMIFS(SummaryHelper!$E$2:$E$5000,SummaryHelper!$A$2:$A$5000,$T300,SummaryHelper!$B$2:$B$5000,$U300,SummaryHelper!$C$2:$C$5000,$V300))</f>
        <v/>
      </c>
      <c r="Y300" s="9" t="str">
        <f>IF($U300="","",SUMIFS(SummaryHelper!$F$2:$F$5000,SummaryHelper!$A$2:$A$5000,$T300,SummaryHelper!$B$2:$B$5000,$U300,SummaryHelper!$C$2:$C$5000,$V300))</f>
        <v/>
      </c>
      <c r="Z300" s="9" t="str">
        <f>IF($U300="","",SUMIFS(SummaryHelper!$G$2:$G$5000,SummaryHelper!$A$2:$A$5000,$T300,SummaryHelper!$B$2:$B$5000,$U300,SummaryHelper!$C$2:$C$5000,$V300))</f>
        <v/>
      </c>
      <c r="AB300" s="9" t="str">
        <f t="shared" si="56"/>
        <v/>
      </c>
      <c r="AC300" s="9" t="str">
        <f t="shared" si="57"/>
        <v/>
      </c>
      <c r="AH300" t="str">
        <f>IF($AF300="","",IFERROR(SUMIFS(SummaryHelper!$H$2:$H$5000,SummaryHelper!$A$2:$A$5000,$AE300,SummaryHelper!$B$2:$B$5000,$AF300,SummaryHelper!$C$2:$C$5000,$AG300)/SUMIFS(SummaryHelper!$G$2:$G$5000,SummaryHelper!$A$2:$A$5000,$AE300,SummaryHelper!$B$2:$B$5000,$AF300,SummaryHelper!$C$2:$C$5000,$AG300),""))</f>
        <v/>
      </c>
      <c r="AI300" t="str">
        <f>IF($AF300="","",SUMIFS(SummaryHelper!$E$2:$E$5000,SummaryHelper!$A$2:$A$5000,$AE300,SummaryHelper!$B$2:$B$5000,$AF300,SummaryHelper!$C$2:$C$5000,$AG300))</f>
        <v/>
      </c>
      <c r="AJ300" t="str">
        <f>IF($AF300="","",SUMIFS(SummaryHelper!$F$2:$F$5000,SummaryHelper!$A$2:$A$5000,$AE300,SummaryHelper!$B$2:$B$5000,$AF300,SummaryHelper!$C$2:$C$5000,$AG300))</f>
        <v/>
      </c>
      <c r="AK300" t="str">
        <f>IF($AF300="","",SUMIFS(SummaryHelper!$G$2:$G$5000,SummaryHelper!$A$2:$A$5000,$AE300,SummaryHelper!$B$2:$B$5000,$AF300,SummaryHelper!$C$2:$C$5000,$AG300))</f>
        <v/>
      </c>
      <c r="AM300" t="str">
        <f t="shared" si="58"/>
        <v/>
      </c>
      <c r="AN300" t="str">
        <f t="shared" ref="AN300" si="61">IF($AF300="","",$AM300*$AH300)</f>
        <v/>
      </c>
    </row>
    <row r="301" spans="1:40" s="31" customFormat="1" x14ac:dyDescent="0.25">
      <c r="B301" s="32"/>
      <c r="L301" s="33" t="str">
        <f>IF($J301="","",IFERROR(SUMIFS(SummaryHelper!$H$2:$H$5000,SummaryHelper!$A$2:$A$5000,$I301,SummaryHelper!$B$2:$B$5000,$J301,SummaryHelper!$C$2:$C$5000,$K301)/SUMIFS(SummaryHelper!$G$2:$G$5000,SummaryHelper!$A$2:$A$5000,$I301,SummaryHelper!$B$2:$B$5000,$J301,SummaryHelper!$C$2:$C$5000,$K301),""))</f>
        <v/>
      </c>
      <c r="M301" s="33"/>
      <c r="N301" s="33"/>
      <c r="O301" s="33"/>
      <c r="P301" s="33"/>
      <c r="Q301" s="33"/>
      <c r="R301" s="33"/>
      <c r="W301" s="33"/>
      <c r="X301" s="33"/>
      <c r="Y301" s="33"/>
      <c r="Z301" s="33"/>
      <c r="AA301" s="33"/>
    </row>
  </sheetData>
  <pageMargins left="0.7" right="0.7" top="0.75" bottom="0.75" header="0.3" footer="0.3"/>
  <pageSetup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332A5-700F-4F48-9D1D-58A34D80FDCB}">
  <sheetPr codeName="Sheet12"/>
  <dimension ref="A1:AK49"/>
  <sheetViews>
    <sheetView zoomScale="75" zoomScaleNormal="75" workbookViewId="0">
      <pane ySplit="49" topLeftCell="A50" activePane="bottomLeft" state="frozen"/>
      <selection pane="bottomLeft" sqref="A1:C39"/>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4" t="str" cm="1">
        <f t="array" aca="1" ref="A1" ca="1">IFERROR(MID(CELL("filename",$A$1),FIND("]",CELL("filename",$A$1))+1,99),"SXX")</f>
        <v>S01</v>
      </c>
      <c r="B1" s="34"/>
      <c r="C1" s="34"/>
      <c r="E1" s="35" t="str" cm="1">
        <f t="array" aca="1" ref="E1" ca="1">IFERROR(MID(CELL("filename",$A$1),FIND("]",CELL("filename",$A$1))+1,99),"SXX")&amp;" MATERIALS (USAGE + STANDALONE)"</f>
        <v>S01 MATERIALS (USAGE + STANDALONE)</v>
      </c>
      <c r="F1" s="35"/>
      <c r="G1" s="35"/>
      <c r="H1" s="35"/>
      <c r="I1" s="35"/>
      <c r="J1" s="35"/>
      <c r="K1" s="35"/>
      <c r="L1" s="13"/>
      <c r="M1" s="13"/>
      <c r="N1" s="19">
        <f>SUM(N3:N49)</f>
        <v>149</v>
      </c>
      <c r="P1" s="35" t="str" cm="1">
        <f t="array" aca="1" ref="P1" ca="1">IFERROR(MID(CELL("filename",$A$1),FIND("]",CELL("filename",$A$1))+1,99),"SXX")&amp;" LABOUR (USAGE + STANDALONE)"</f>
        <v>S01 LABOUR (USAGE + STANDALONE)</v>
      </c>
      <c r="Q1" s="35"/>
      <c r="R1" s="35"/>
      <c r="S1" s="35"/>
      <c r="T1" s="35"/>
      <c r="U1" s="35"/>
      <c r="V1" s="35"/>
      <c r="Y1" s="19">
        <f>SUM(Y3:Y49)</f>
        <v>315</v>
      </c>
      <c r="AA1" s="36" t="str" cm="1">
        <f t="array" aca="1" ref="AA1" ca="1">IFERROR(MID(CELL("filename",$A$1),FIND("]",CELL("filename",$A$1))+1,99),"SXX")&amp;" RENTAL / SERVICE (USAGE + STANDALONE)"</f>
        <v>S01 RENTAL / SERVICE (USAGE + STANDALONE)</v>
      </c>
      <c r="AB1" s="36"/>
      <c r="AC1" s="36"/>
      <c r="AD1" s="36"/>
      <c r="AE1" s="36"/>
      <c r="AF1" s="36"/>
      <c r="AG1" s="36"/>
      <c r="AH1" s="6"/>
      <c r="AI1" s="6"/>
      <c r="AJ1" s="19">
        <f>SUM(AJ3:AJ49)</f>
        <v>3800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55</v>
      </c>
      <c r="B3" s="3" t="s">
        <v>1436</v>
      </c>
      <c r="C3" s="3" t="s">
        <v>1885</v>
      </c>
      <c r="E3" t="s">
        <v>1916</v>
      </c>
      <c r="F3" t="s">
        <v>324</v>
      </c>
      <c r="G3" t="s">
        <v>325</v>
      </c>
      <c r="H3" t="s">
        <v>8</v>
      </c>
      <c r="I3">
        <v>2</v>
      </c>
      <c r="J3" s="22">
        <v>0</v>
      </c>
      <c r="K3">
        <v>65</v>
      </c>
      <c r="L3" s="8">
        <f t="shared" ref="L3:L49" si="0">IF($G3="","",$I3*(1+IF($J3="",0,$J3)))</f>
        <v>2</v>
      </c>
      <c r="M3" s="8">
        <f t="shared" ref="M3:M49" si="1">IF($G3="","",$L3)</f>
        <v>2</v>
      </c>
      <c r="N3" s="8">
        <f t="shared" ref="N3:N49" si="2">IF($G3="","",IF($K3="","",$M3*$K3))</f>
        <v>130</v>
      </c>
      <c r="P3" t="s">
        <v>1962</v>
      </c>
      <c r="Q3" t="s">
        <v>1919</v>
      </c>
      <c r="R3" t="s">
        <v>322</v>
      </c>
      <c r="S3" t="s">
        <v>33</v>
      </c>
      <c r="T3">
        <v>14</v>
      </c>
      <c r="U3" s="22">
        <v>0</v>
      </c>
      <c r="V3">
        <v>22.5</v>
      </c>
      <c r="W3" s="8">
        <f>IF($R3="","",$T3*(1+IF($U3="",0,$U3)))</f>
        <v>14</v>
      </c>
      <c r="X3" s="8">
        <f>IF($R3="","",$W3)</f>
        <v>14</v>
      </c>
      <c r="Y3" s="8">
        <f>IF($R3="","",IF($V3="","",$X3*$V3))</f>
        <v>315</v>
      </c>
      <c r="AA3" s="6" t="s">
        <v>1453</v>
      </c>
      <c r="AB3" t="s">
        <v>1454</v>
      </c>
      <c r="AC3" t="s">
        <v>564</v>
      </c>
      <c r="AD3" t="s">
        <v>565</v>
      </c>
      <c r="AE3">
        <v>1</v>
      </c>
      <c r="AF3">
        <v>0</v>
      </c>
      <c r="AG3">
        <v>650</v>
      </c>
      <c r="AH3" s="8">
        <f>IF($AC3="","",$AE3*(1+IF($AF3="",0,$AF3)))</f>
        <v>1</v>
      </c>
      <c r="AI3" s="8">
        <f>IF($AC3="","",$AH3)</f>
        <v>1</v>
      </c>
      <c r="AJ3" s="8">
        <f>IF($AC3="","",IF($AG3="","",$AI3*$AG3))</f>
        <v>650</v>
      </c>
    </row>
    <row r="4" spans="1:37" x14ac:dyDescent="0.25">
      <c r="A4" s="3" t="s">
        <v>56</v>
      </c>
      <c r="B4" s="3" t="s">
        <v>1886</v>
      </c>
      <c r="C4" s="3" t="s">
        <v>1887</v>
      </c>
      <c r="E4" t="s">
        <v>1917</v>
      </c>
      <c r="F4" t="s">
        <v>324</v>
      </c>
      <c r="G4" t="s">
        <v>326</v>
      </c>
      <c r="H4" t="s">
        <v>327</v>
      </c>
      <c r="I4">
        <v>1</v>
      </c>
      <c r="J4" s="22">
        <v>0</v>
      </c>
      <c r="K4">
        <v>15</v>
      </c>
      <c r="L4" s="8">
        <f t="shared" si="0"/>
        <v>1</v>
      </c>
      <c r="M4" s="8">
        <f t="shared" si="1"/>
        <v>1</v>
      </c>
      <c r="N4" s="8">
        <f t="shared" si="2"/>
        <v>15</v>
      </c>
      <c r="U4" s="22"/>
      <c r="W4" s="8" t="str">
        <f t="shared" ref="W4:W49" si="3">IF($R4="","",$T4*(1+IF($U4="",0,$U4)))</f>
        <v/>
      </c>
      <c r="X4" s="8" t="str">
        <f t="shared" ref="X4:X49" si="4">IF($R4="","",$W4)</f>
        <v/>
      </c>
      <c r="Y4" s="8" t="str">
        <f t="shared" ref="Y4:Y49" si="5">IF($R4="","",IF($V4="","",$X4*$V4))</f>
        <v/>
      </c>
      <c r="AA4" s="6" t="s">
        <v>1455</v>
      </c>
      <c r="AB4" t="s">
        <v>1454</v>
      </c>
      <c r="AC4" t="s">
        <v>1456</v>
      </c>
      <c r="AD4" t="s">
        <v>565</v>
      </c>
      <c r="AE4">
        <v>1</v>
      </c>
      <c r="AF4">
        <v>0</v>
      </c>
      <c r="AG4">
        <v>450</v>
      </c>
      <c r="AH4" s="8">
        <f t="shared" ref="AH4:AH49" si="6">IF($AC4="","",$AE4*(1+IF($AF4="",0,$AF4)))</f>
        <v>1</v>
      </c>
      <c r="AI4" s="8">
        <f t="shared" ref="AI4:AI49" si="7">IF($AC4="","",$AH4)</f>
        <v>1</v>
      </c>
      <c r="AJ4" s="8">
        <f t="shared" ref="AJ4:AJ49" si="8">IF($AC4="","",IF($AG4="","",$AI4*$AG4))</f>
        <v>450</v>
      </c>
    </row>
    <row r="5" spans="1:37" x14ac:dyDescent="0.25">
      <c r="A5" s="3" t="s">
        <v>323</v>
      </c>
      <c r="B5" s="3" t="s">
        <v>1437</v>
      </c>
      <c r="C5" s="3" t="s">
        <v>1888</v>
      </c>
      <c r="E5" t="s">
        <v>1918</v>
      </c>
      <c r="F5" t="s">
        <v>328</v>
      </c>
      <c r="G5" t="s">
        <v>329</v>
      </c>
      <c r="H5" t="s">
        <v>8</v>
      </c>
      <c r="I5">
        <v>1</v>
      </c>
      <c r="J5" s="22">
        <v>0</v>
      </c>
      <c r="K5">
        <v>4</v>
      </c>
      <c r="L5" s="8">
        <f t="shared" si="0"/>
        <v>1</v>
      </c>
      <c r="M5" s="8">
        <f t="shared" si="1"/>
        <v>1</v>
      </c>
      <c r="N5" s="8">
        <f t="shared" si="2"/>
        <v>4</v>
      </c>
      <c r="W5" s="8" t="str">
        <f t="shared" si="3"/>
        <v/>
      </c>
      <c r="X5" s="8" t="str">
        <f t="shared" si="4"/>
        <v/>
      </c>
      <c r="Y5" s="8" t="str">
        <f t="shared" si="5"/>
        <v/>
      </c>
      <c r="AA5" s="6" t="s">
        <v>1457</v>
      </c>
      <c r="AB5" t="s">
        <v>1458</v>
      </c>
      <c r="AC5" t="s">
        <v>35</v>
      </c>
      <c r="AD5" t="s">
        <v>10</v>
      </c>
      <c r="AE5">
        <v>60</v>
      </c>
      <c r="AF5">
        <v>0</v>
      </c>
      <c r="AG5">
        <v>45</v>
      </c>
      <c r="AH5" s="8">
        <f t="shared" si="6"/>
        <v>60</v>
      </c>
      <c r="AI5" s="8">
        <f t="shared" si="7"/>
        <v>60</v>
      </c>
      <c r="AJ5" s="8">
        <f t="shared" si="8"/>
        <v>2700</v>
      </c>
    </row>
    <row r="6" spans="1:37" x14ac:dyDescent="0.25">
      <c r="A6" s="3" t="s">
        <v>363</v>
      </c>
      <c r="B6" s="3" t="s">
        <v>438</v>
      </c>
      <c r="C6" s="3" t="s">
        <v>1438</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439</v>
      </c>
      <c r="B7" s="3" t="s">
        <v>440</v>
      </c>
      <c r="C7" s="3" t="s">
        <v>1889</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439</v>
      </c>
      <c r="B8" s="3" t="s">
        <v>441</v>
      </c>
      <c r="C8" s="3" t="s">
        <v>1890</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364</v>
      </c>
      <c r="B9" s="3" t="s">
        <v>442</v>
      </c>
      <c r="C9" s="3" t="s">
        <v>1439</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439</v>
      </c>
      <c r="B10" s="3" t="s">
        <v>443</v>
      </c>
      <c r="C10" s="3" t="s">
        <v>444</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364</v>
      </c>
      <c r="B11" s="3" t="s">
        <v>445</v>
      </c>
      <c r="C11" s="3" t="s">
        <v>1440</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439</v>
      </c>
      <c r="B12" s="3" t="s">
        <v>446</v>
      </c>
      <c r="C12" s="3" t="s">
        <v>1891</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364</v>
      </c>
      <c r="B13" s="3" t="s">
        <v>1441</v>
      </c>
      <c r="C13" s="3" t="s">
        <v>1892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364</v>
      </c>
      <c r="B14" s="3" t="s">
        <v>1442</v>
      </c>
      <c r="C14" s="3" t="s">
        <v>1893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1443</v>
      </c>
      <c r="B15" s="3" t="s">
        <v>1444</v>
      </c>
      <c r="C15" s="3" t="s">
        <v>1894</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1445</v>
      </c>
      <c r="B16" s="3" t="s">
        <v>1446</v>
      </c>
      <c r="C16" s="3" t="s">
        <v>1895</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1447</v>
      </c>
      <c r="B17" s="3" t="s">
        <v>1448</v>
      </c>
      <c r="C17" s="3" t="s">
        <v>1896</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439</v>
      </c>
      <c r="B18" s="3" t="s">
        <v>558</v>
      </c>
      <c r="C18" s="3" t="s">
        <v>1897</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439</v>
      </c>
      <c r="B19" s="3" t="s">
        <v>559</v>
      </c>
      <c r="C19" s="3" t="s">
        <v>1898</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439</v>
      </c>
      <c r="B20" s="3" t="s">
        <v>563</v>
      </c>
      <c r="C20" s="3" t="s">
        <v>1899</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439</v>
      </c>
      <c r="B21" s="3" t="s">
        <v>1900</v>
      </c>
      <c r="C21" s="3" t="s">
        <v>1901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439</v>
      </c>
      <c r="B22" s="3" t="s">
        <v>1902</v>
      </c>
      <c r="C22" s="3" t="s">
        <v>1903</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447</v>
      </c>
      <c r="B23" s="3" t="s">
        <v>448</v>
      </c>
      <c r="C23" s="3" t="s">
        <v>449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364</v>
      </c>
      <c r="B24" s="3" t="s">
        <v>457</v>
      </c>
      <c r="C24" s="3" t="s">
        <v>1904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447</v>
      </c>
      <c r="B25" s="3" t="s">
        <v>1449</v>
      </c>
      <c r="C25" s="3" t="s">
        <v>452</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364</v>
      </c>
      <c r="B26" s="3" t="s">
        <v>1905</v>
      </c>
      <c r="C26" s="3" t="s">
        <v>1961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447</v>
      </c>
      <c r="B27" s="3" t="s">
        <v>450</v>
      </c>
      <c r="C27" s="3" t="s">
        <v>451</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364</v>
      </c>
      <c r="B28" s="3" t="s">
        <v>458</v>
      </c>
      <c r="C28" s="3" t="s">
        <v>459</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447</v>
      </c>
      <c r="B29" s="3" t="s">
        <v>1449</v>
      </c>
      <c r="C29" s="3" t="s">
        <v>452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364</v>
      </c>
      <c r="B30" s="3" t="s">
        <v>1905</v>
      </c>
      <c r="C30" s="3" t="s">
        <v>1906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447</v>
      </c>
      <c r="B31" s="3" t="s">
        <v>560</v>
      </c>
      <c r="C31" s="3" t="s">
        <v>1450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364</v>
      </c>
      <c r="B32" s="3" t="s">
        <v>1907</v>
      </c>
      <c r="C32" s="3" t="s">
        <v>1908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447</v>
      </c>
      <c r="B33" s="3" t="s">
        <v>561</v>
      </c>
      <c r="C33" s="3" t="s">
        <v>1451</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364</v>
      </c>
      <c r="B34" s="3" t="s">
        <v>1909</v>
      </c>
      <c r="C34" s="3" t="s">
        <v>1910</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447</v>
      </c>
      <c r="B35" s="3" t="s">
        <v>1452</v>
      </c>
      <c r="C35" s="3" t="s">
        <v>562</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364</v>
      </c>
      <c r="B36" s="3" t="s">
        <v>1911</v>
      </c>
      <c r="C36" s="3" t="s">
        <v>1912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439</v>
      </c>
      <c r="B37" s="3" t="s">
        <v>453</v>
      </c>
      <c r="C37" s="3" t="s">
        <v>1913</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454</v>
      </c>
      <c r="B38" s="3" t="s">
        <v>455</v>
      </c>
      <c r="C38" s="3" t="s">
        <v>456</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321</v>
      </c>
      <c r="B39" s="3" t="s">
        <v>1914</v>
      </c>
      <c r="C39" s="3" t="s">
        <v>1915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6B84B-61AB-4B39-AE6A-AB1144D7B222}">
  <sheetPr codeName="Sheet13"/>
  <dimension ref="A1:AK49"/>
  <sheetViews>
    <sheetView zoomScale="75" zoomScaleNormal="75" workbookViewId="0">
      <pane ySplit="49" topLeftCell="A50" activePane="bottomLeft" state="frozen"/>
      <selection pane="bottomLeft" sqref="A1:C1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4" t="str" cm="1">
        <f t="array" aca="1" ref="A1" ca="1">IFERROR(MID(CELL("filename",$A$1),FIND("]",CELL("filename",$A$1))+1,99),"SXX")</f>
        <v>S02</v>
      </c>
      <c r="B1" s="34"/>
      <c r="C1" s="34"/>
      <c r="E1" s="35" t="str" cm="1">
        <f t="array" aca="1" ref="E1" ca="1">IFERROR(MID(CELL("filename",$A$1),FIND("]",CELL("filename",$A$1))+1,99),"SXX")&amp;" MATERIALS (USAGE + STANDALONE)"</f>
        <v>S02 MATERIALS (USAGE + STANDALONE)</v>
      </c>
      <c r="F1" s="35"/>
      <c r="G1" s="35"/>
      <c r="H1" s="35"/>
      <c r="I1" s="35"/>
      <c r="J1" s="35"/>
      <c r="K1" s="35"/>
      <c r="L1" s="13"/>
      <c r="M1" s="13"/>
      <c r="N1" s="19">
        <f>SUM(N3:N49)</f>
        <v>0</v>
      </c>
      <c r="P1" s="35" t="str" cm="1">
        <f t="array" aca="1" ref="P1" ca="1">IFERROR(MID(CELL("filename",$A$1),FIND("]",CELL("filename",$A$1))+1,99),"SXX")&amp;" LABOUR (USAGE + STANDALONE)"</f>
        <v>S02 LABOUR (USAGE + STANDALONE)</v>
      </c>
      <c r="Q1" s="35"/>
      <c r="R1" s="35"/>
      <c r="S1" s="35"/>
      <c r="T1" s="35"/>
      <c r="U1" s="35"/>
      <c r="V1" s="35"/>
      <c r="Y1" s="19">
        <f>SUM(Y3:Y49)</f>
        <v>0</v>
      </c>
      <c r="AA1" s="36" t="str" cm="1">
        <f t="array" aca="1" ref="AA1" ca="1">IFERROR(MID(CELL("filename",$A$1),FIND("]",CELL("filename",$A$1))+1,99),"SXX")&amp;" RENTAL / SERVICE (USAGE + STANDALONE)"</f>
        <v>S02 RENTAL / SERVICE (USAGE + STANDALONE)</v>
      </c>
      <c r="AB1" s="36"/>
      <c r="AC1" s="36"/>
      <c r="AD1" s="36"/>
      <c r="AE1" s="36"/>
      <c r="AF1" s="36"/>
      <c r="AG1" s="36"/>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333</v>
      </c>
      <c r="B3" s="3" t="s">
        <v>460</v>
      </c>
      <c r="C3" s="3" t="s">
        <v>461</v>
      </c>
      <c r="J3" s="22"/>
      <c r="L3" s="8" t="str">
        <f t="shared" ref="L3:L49" si="0">IF($G3="","",$I3*(1+IF($J3="",0,$J3)))</f>
        <v/>
      </c>
      <c r="M3" s="8" t="str">
        <f t="shared" ref="M3:M49" si="1">IF($G3="","",$L3)</f>
        <v/>
      </c>
      <c r="N3" s="8" t="str">
        <f t="shared" ref="N3:N49" si="2">IF($G3="","",IF($K3="","",$M3*$K3))</f>
        <v/>
      </c>
      <c r="U3" s="22"/>
      <c r="W3" s="8" t="str">
        <f>IF($R3="","",$T3*(1+IF($U3="",0,$U3)))</f>
        <v/>
      </c>
      <c r="X3" s="8" t="str">
        <f>IF($R3="","",$W3)</f>
        <v/>
      </c>
      <c r="Y3" s="8" t="str">
        <f>IF($R3="","",IF($V3="","",$X3*$V3))</f>
        <v/>
      </c>
      <c r="AH3" s="8" t="str">
        <f>IF($AC3="","",$AE3*(1+IF($AF3="",0,$AF3)))</f>
        <v/>
      </c>
      <c r="AI3" s="8" t="str">
        <f>IF($AC3="","",$AH3)</f>
        <v/>
      </c>
      <c r="AJ3" s="8" t="str">
        <f>IF($AC3="","",IF($AG3="","",$AI3*$AG3))</f>
        <v/>
      </c>
    </row>
    <row r="4" spans="1:37" x14ac:dyDescent="0.25">
      <c r="A4" s="3" t="s">
        <v>334</v>
      </c>
      <c r="B4" s="3" t="s">
        <v>462</v>
      </c>
      <c r="C4" s="3" t="s">
        <v>463</v>
      </c>
      <c r="J4" s="22"/>
      <c r="L4" s="8" t="str">
        <f t="shared" si="0"/>
        <v/>
      </c>
      <c r="M4" s="8" t="str">
        <f t="shared" si="1"/>
        <v/>
      </c>
      <c r="N4" s="8" t="str">
        <f t="shared" si="2"/>
        <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464</v>
      </c>
      <c r="B5" s="3" t="s">
        <v>465</v>
      </c>
      <c r="C5" s="3" t="s">
        <v>466</v>
      </c>
      <c r="J5" s="22"/>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335</v>
      </c>
      <c r="B6" s="3" t="s">
        <v>467</v>
      </c>
      <c r="C6" s="3" t="s">
        <v>468</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335</v>
      </c>
      <c r="B7" s="3" t="s">
        <v>469</v>
      </c>
      <c r="C7" s="3" t="s">
        <v>470</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335</v>
      </c>
      <c r="B8" s="3" t="s">
        <v>471</v>
      </c>
      <c r="C8" s="3" t="s">
        <v>472</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335</v>
      </c>
      <c r="B9" s="3" t="s">
        <v>473</v>
      </c>
      <c r="C9" s="3" t="s">
        <v>474</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335</v>
      </c>
      <c r="B10" s="3" t="s">
        <v>475</v>
      </c>
      <c r="C10" s="3" t="s">
        <v>476</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336</v>
      </c>
      <c r="B11" s="3" t="s">
        <v>477</v>
      </c>
      <c r="C11" s="3" t="s">
        <v>478</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335</v>
      </c>
      <c r="B12" s="3" t="s">
        <v>479</v>
      </c>
      <c r="C12" s="3" t="s">
        <v>480</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481</v>
      </c>
      <c r="B13" s="3" t="s">
        <v>482</v>
      </c>
      <c r="C13" s="3" t="s">
        <v>483</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337</v>
      </c>
      <c r="B14" s="3" t="s">
        <v>484</v>
      </c>
      <c r="C14" s="3" t="s">
        <v>485</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2C14D-BAF5-490E-8B38-97E632147FD9}">
  <sheetPr codeName="Sheet17"/>
  <dimension ref="A1:AK49"/>
  <sheetViews>
    <sheetView zoomScale="75" zoomScaleNormal="75" workbookViewId="0">
      <pane ySplit="49" topLeftCell="A50" activePane="bottomLeft" state="frozen"/>
      <selection pane="bottomLeft" sqref="A1:C30"/>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4" t="str" cm="1">
        <f t="array" aca="1" ref="A1" ca="1">IFERROR(MID(CELL("filename",$A$1),FIND("]",CELL("filename",$A$1))+1,99),"SXX")</f>
        <v>S03</v>
      </c>
      <c r="B1" s="34"/>
      <c r="C1" s="34"/>
      <c r="E1" s="35" t="str" cm="1">
        <f t="array" aca="1" ref="E1" ca="1">IFERROR(MID(CELL("filename",$A$1),FIND("]",CELL("filename",$A$1))+1,99),"SXX")&amp;" MATERIALS (USAGE + STANDALONE)"</f>
        <v>S03 MATERIALS (USAGE + STANDALONE)</v>
      </c>
      <c r="F1" s="35"/>
      <c r="G1" s="35"/>
      <c r="H1" s="35"/>
      <c r="I1" s="35"/>
      <c r="J1" s="35"/>
      <c r="K1" s="35"/>
      <c r="L1" s="13"/>
      <c r="M1" s="13"/>
      <c r="N1" s="19">
        <f>SUM(N3:N49)</f>
        <v>0</v>
      </c>
      <c r="P1" s="35" t="str" cm="1">
        <f t="array" aca="1" ref="P1" ca="1">IFERROR(MID(CELL("filename",$A$1),FIND("]",CELL("filename",$A$1))+1,99),"SXX")&amp;" LABOUR (USAGE + STANDALONE)"</f>
        <v>S03 LABOUR (USAGE + STANDALONE)</v>
      </c>
      <c r="Q1" s="35"/>
      <c r="R1" s="35"/>
      <c r="S1" s="35"/>
      <c r="T1" s="35"/>
      <c r="U1" s="35"/>
      <c r="V1" s="35"/>
      <c r="Y1" s="19">
        <f>SUM(Y3:Y49)</f>
        <v>2250</v>
      </c>
      <c r="AA1" s="36" t="str" cm="1">
        <f t="array" aca="1" ref="AA1" ca="1">IFERROR(MID(CELL("filename",$A$1),FIND("]",CELL("filename",$A$1))+1,99),"SXX")&amp;" RENTAL / SERVICE (USAGE + STANDALONE)"</f>
        <v>S03 RENTAL / SERVICE (USAGE + STANDALONE)</v>
      </c>
      <c r="AB1" s="36"/>
      <c r="AC1" s="36"/>
      <c r="AD1" s="36"/>
      <c r="AE1" s="36"/>
      <c r="AF1" s="36"/>
      <c r="AG1" s="36"/>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338</v>
      </c>
      <c r="B3" s="3" t="s">
        <v>503</v>
      </c>
      <c r="C3" s="3" t="s">
        <v>504</v>
      </c>
      <c r="J3" s="22"/>
      <c r="L3" s="8" t="str">
        <f t="shared" ref="L3:L49" si="0">IF($G3="","",$I3*(1+IF($J3="",0,$J3)))</f>
        <v/>
      </c>
      <c r="M3" s="8" t="str">
        <f t="shared" ref="M3:M49" si="1">IF($G3="","",$L3)</f>
        <v/>
      </c>
      <c r="N3" s="8" t="str">
        <f t="shared" ref="N3:N49" si="2">IF($G3="","",IF($K3="","",$M3*$K3))</f>
        <v/>
      </c>
      <c r="P3" t="s">
        <v>1966</v>
      </c>
      <c r="Q3" t="s">
        <v>540</v>
      </c>
      <c r="R3" t="s">
        <v>322</v>
      </c>
      <c r="S3" t="s">
        <v>33</v>
      </c>
      <c r="T3">
        <v>100</v>
      </c>
      <c r="U3" s="22">
        <v>0</v>
      </c>
      <c r="V3">
        <v>22.5</v>
      </c>
      <c r="W3" s="8">
        <f>IF($R3="","",$T3*(1+IF($U3="",0,$U3)))</f>
        <v>100</v>
      </c>
      <c r="X3" s="8">
        <f>IF($R3="","",$W3)</f>
        <v>100</v>
      </c>
      <c r="Y3" s="8">
        <f>IF($R3="","",IF($V3="","",$X3*$V3))</f>
        <v>2250</v>
      </c>
      <c r="AH3" s="8" t="str">
        <f>IF($AC3="","",$AE3*(1+IF($AF3="",0,$AF3)))</f>
        <v/>
      </c>
      <c r="AI3" s="8" t="str">
        <f>IF($AC3="","",$AH3)</f>
        <v/>
      </c>
      <c r="AJ3" s="8" t="str">
        <f>IF($AC3="","",IF($AG3="","",$AI3*$AG3))</f>
        <v/>
      </c>
    </row>
    <row r="4" spans="1:37" x14ac:dyDescent="0.25">
      <c r="A4" s="3" t="s">
        <v>339</v>
      </c>
      <c r="B4" s="3" t="s">
        <v>1920</v>
      </c>
      <c r="C4" s="3" t="s">
        <v>505</v>
      </c>
      <c r="J4" s="22"/>
      <c r="L4" s="8" t="str">
        <f t="shared" si="0"/>
        <v/>
      </c>
      <c r="M4" s="8" t="str">
        <f t="shared" si="1"/>
        <v/>
      </c>
      <c r="N4" s="8" t="str">
        <f t="shared" si="2"/>
        <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486</v>
      </c>
      <c r="B5" s="3" t="s">
        <v>487</v>
      </c>
      <c r="C5" s="3" t="s">
        <v>506</v>
      </c>
      <c r="J5" s="22"/>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488</v>
      </c>
      <c r="B6" s="3" t="s">
        <v>489</v>
      </c>
      <c r="C6" s="3" t="s">
        <v>507</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490</v>
      </c>
      <c r="B7" s="3" t="s">
        <v>491</v>
      </c>
      <c r="C7" s="3" t="s">
        <v>492</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493</v>
      </c>
      <c r="B8" s="3" t="s">
        <v>491</v>
      </c>
      <c r="C8" s="3" t="s">
        <v>494</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495</v>
      </c>
      <c r="B9" s="3" t="s">
        <v>496</v>
      </c>
      <c r="C9" s="3" t="s">
        <v>497</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340</v>
      </c>
      <c r="B10" s="3" t="s">
        <v>508</v>
      </c>
      <c r="C10" s="3" t="s">
        <v>509</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340</v>
      </c>
      <c r="B11" s="3" t="s">
        <v>499</v>
      </c>
      <c r="C11" s="3" t="s">
        <v>510</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340</v>
      </c>
      <c r="B12" s="3" t="s">
        <v>511</v>
      </c>
      <c r="C12" s="3" t="s">
        <v>512</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341</v>
      </c>
      <c r="B13" s="3" t="s">
        <v>498</v>
      </c>
      <c r="C13" s="3" t="s">
        <v>513</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341</v>
      </c>
      <c r="B14" s="3" t="s">
        <v>514</v>
      </c>
      <c r="C14" s="3" t="s">
        <v>515</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341</v>
      </c>
      <c r="B15" s="3" t="s">
        <v>516</v>
      </c>
      <c r="C15" s="3" t="s">
        <v>517</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341</v>
      </c>
      <c r="B16" s="3" t="s">
        <v>518</v>
      </c>
      <c r="C16" s="3" t="s">
        <v>519</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341</v>
      </c>
      <c r="B17" s="3" t="s">
        <v>520</v>
      </c>
      <c r="C17" s="3" t="s">
        <v>521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341</v>
      </c>
      <c r="B18" s="3" t="s">
        <v>522</v>
      </c>
      <c r="C18" s="3" t="s">
        <v>523</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341</v>
      </c>
      <c r="B19" s="3" t="s">
        <v>524</v>
      </c>
      <c r="C19" s="3" t="s">
        <v>525</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341</v>
      </c>
      <c r="B20" s="3" t="s">
        <v>526</v>
      </c>
      <c r="C20" s="3" t="s">
        <v>527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341</v>
      </c>
      <c r="B21" s="3" t="s">
        <v>500</v>
      </c>
      <c r="C21" s="3" t="s">
        <v>528</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341</v>
      </c>
      <c r="B22" s="3" t="s">
        <v>501</v>
      </c>
      <c r="C22" s="3" t="s">
        <v>529</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341</v>
      </c>
      <c r="B23" s="3" t="s">
        <v>366</v>
      </c>
      <c r="C23" s="3" t="s">
        <v>530</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531</v>
      </c>
      <c r="B24" s="3" t="s">
        <v>532</v>
      </c>
      <c r="C24" s="3" t="s">
        <v>533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531</v>
      </c>
      <c r="B25" s="3" t="s">
        <v>1921</v>
      </c>
      <c r="C25" s="3" t="s">
        <v>452</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340</v>
      </c>
      <c r="B26" s="3" t="s">
        <v>1963</v>
      </c>
      <c r="C26" s="3" t="s">
        <v>1964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341</v>
      </c>
      <c r="B27" s="3" t="s">
        <v>534</v>
      </c>
      <c r="C27" s="3" t="s">
        <v>1965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341</v>
      </c>
      <c r="B28" s="3" t="s">
        <v>535</v>
      </c>
      <c r="C28" s="3" t="s">
        <v>536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537</v>
      </c>
      <c r="B29" s="3" t="s">
        <v>538</v>
      </c>
      <c r="C29" s="3" t="s">
        <v>539</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342</v>
      </c>
      <c r="B30" s="3" t="s">
        <v>502</v>
      </c>
      <c r="C30" s="3" t="s">
        <v>1922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D07A4-64BD-4055-8BDF-6F30514E0FBB}">
  <sheetPr codeName="Sheet16"/>
  <dimension ref="A1:AK69"/>
  <sheetViews>
    <sheetView zoomScale="75" zoomScaleNormal="75" workbookViewId="0">
      <pane ySplit="49" topLeftCell="A72" activePane="bottomLeft" state="frozen"/>
      <selection pane="bottomLeft" sqref="A1:C71"/>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4" t="str" cm="1">
        <f t="array" aca="1" ref="A1" ca="1">IFERROR(MID(CELL("filename",$A$1),FIND("]",CELL("filename",$A$1))+1,99),"SXX")</f>
        <v>S04</v>
      </c>
      <c r="B1" s="34"/>
      <c r="C1" s="34"/>
      <c r="E1" s="35" t="str" cm="1">
        <f t="array" aca="1" ref="E1" ca="1">IFERROR(MID(CELL("filename",$A$1),FIND("]",CELL("filename",$A$1))+1,99),"SXX")&amp;" MATERIALS (USAGE + STANDALONE)"</f>
        <v>S04 MATERIALS (USAGE + STANDALONE)</v>
      </c>
      <c r="F1" s="35"/>
      <c r="G1" s="35"/>
      <c r="H1" s="35"/>
      <c r="I1" s="35"/>
      <c r="J1" s="35"/>
      <c r="K1" s="35"/>
      <c r="L1" s="13"/>
      <c r="M1" s="13"/>
      <c r="N1" s="19">
        <f>SUM(N3:N49)</f>
        <v>4126.8999999999996</v>
      </c>
      <c r="P1" s="35" t="str" cm="1">
        <f t="array" aca="1" ref="P1" ca="1">IFERROR(MID(CELL("filename",$A$1),FIND("]",CELL("filename",$A$1))+1,99),"SXX")&amp;" LABOUR (USAGE + STANDALONE)"</f>
        <v>S04 LABOUR (USAGE + STANDALONE)</v>
      </c>
      <c r="Q1" s="35"/>
      <c r="R1" s="35"/>
      <c r="S1" s="35"/>
      <c r="T1" s="35"/>
      <c r="U1" s="35"/>
      <c r="V1" s="35"/>
      <c r="Y1" s="19">
        <f>SUM(Y3:Y49)</f>
        <v>1822.5</v>
      </c>
      <c r="AA1" s="36" t="str" cm="1">
        <f t="array" aca="1" ref="AA1" ca="1">IFERROR(MID(CELL("filename",$A$1),FIND("]",CELL("filename",$A$1))+1,99),"SXX")&amp;" RENTAL / SERVICE (USAGE + STANDALONE)"</f>
        <v>S04 RENTAL / SERVICE (USAGE + STANDALONE)</v>
      </c>
      <c r="AB1" s="36"/>
      <c r="AC1" s="36"/>
      <c r="AD1" s="36"/>
      <c r="AE1" s="36"/>
      <c r="AF1" s="36"/>
      <c r="AG1" s="36"/>
      <c r="AH1" s="6"/>
      <c r="AI1" s="6"/>
      <c r="AJ1" s="19">
        <f>SUM(AJ3:AJ49)</f>
        <v>900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343</v>
      </c>
      <c r="B3" s="3" t="s">
        <v>1028</v>
      </c>
      <c r="C3" s="3" t="s">
        <v>1029</v>
      </c>
      <c r="E3" t="s">
        <v>1927</v>
      </c>
      <c r="F3" t="s">
        <v>551</v>
      </c>
      <c r="G3" t="s">
        <v>552</v>
      </c>
      <c r="H3" t="s">
        <v>11</v>
      </c>
      <c r="I3">
        <v>0.26</v>
      </c>
      <c r="J3" s="22">
        <v>0</v>
      </c>
      <c r="K3">
        <v>830</v>
      </c>
      <c r="L3" s="8">
        <f t="shared" ref="L3:L49" si="0">IF($G3="","",$I3*(1+IF($J3="",0,$J3)))</f>
        <v>0.26</v>
      </c>
      <c r="M3" s="8">
        <f t="shared" ref="M3:M49" si="1">IF($G3="","",$L3)</f>
        <v>0.26</v>
      </c>
      <c r="N3" s="8">
        <f t="shared" ref="N3:N49" si="2">IF($G3="","",IF($K3="","",$M3*$K3))</f>
        <v>215.8</v>
      </c>
      <c r="P3" t="s">
        <v>1970</v>
      </c>
      <c r="Q3" t="s">
        <v>589</v>
      </c>
      <c r="R3" t="s">
        <v>322</v>
      </c>
      <c r="S3" t="s">
        <v>33</v>
      </c>
      <c r="T3">
        <v>81</v>
      </c>
      <c r="U3" s="22">
        <v>0</v>
      </c>
      <c r="V3">
        <v>22.5</v>
      </c>
      <c r="W3" s="8">
        <f>IF($R3="","",$T3*(1+IF($U3="",0,$U3)))</f>
        <v>81</v>
      </c>
      <c r="X3" s="8">
        <f>IF($R3="","",$W3)</f>
        <v>81</v>
      </c>
      <c r="Y3" s="8">
        <f>IF($R3="","",IF($V3="","",$X3*$V3))</f>
        <v>1822.5</v>
      </c>
      <c r="AA3" s="6" t="s">
        <v>1936</v>
      </c>
      <c r="AB3" t="s">
        <v>590</v>
      </c>
      <c r="AC3" t="s">
        <v>591</v>
      </c>
      <c r="AD3" t="s">
        <v>592</v>
      </c>
      <c r="AE3">
        <v>1</v>
      </c>
      <c r="AF3">
        <v>0</v>
      </c>
      <c r="AG3">
        <v>900</v>
      </c>
      <c r="AH3" s="8">
        <f>IF($AC3="","",$AE3*(1+IF($AF3="",0,$AF3)))</f>
        <v>1</v>
      </c>
      <c r="AI3" s="8">
        <f>IF($AC3="","",$AH3)</f>
        <v>1</v>
      </c>
      <c r="AJ3" s="8">
        <f>IF($AC3="","",IF($AG3="","",$AI3*$AG3))</f>
        <v>900</v>
      </c>
    </row>
    <row r="4" spans="1:37" x14ac:dyDescent="0.25">
      <c r="A4" s="3" t="s">
        <v>344</v>
      </c>
      <c r="B4" s="3" t="s">
        <v>1923</v>
      </c>
      <c r="C4" s="3" t="s">
        <v>1030</v>
      </c>
      <c r="E4" t="s">
        <v>1928</v>
      </c>
      <c r="F4" t="s">
        <v>551</v>
      </c>
      <c r="G4" t="s">
        <v>553</v>
      </c>
      <c r="H4" t="s">
        <v>11</v>
      </c>
      <c r="I4">
        <v>0.05</v>
      </c>
      <c r="J4" s="22">
        <v>0</v>
      </c>
      <c r="K4">
        <v>950</v>
      </c>
      <c r="L4" s="8">
        <f t="shared" si="0"/>
        <v>0.05</v>
      </c>
      <c r="M4" s="8">
        <f t="shared" si="1"/>
        <v>0.05</v>
      </c>
      <c r="N4" s="8">
        <f t="shared" si="2"/>
        <v>47.5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541</v>
      </c>
      <c r="B5" s="3" t="s">
        <v>1031</v>
      </c>
      <c r="C5" s="3" t="s">
        <v>1032</v>
      </c>
      <c r="E5" t="s">
        <v>1929</v>
      </c>
      <c r="F5" t="s">
        <v>710</v>
      </c>
      <c r="G5" t="s">
        <v>711</v>
      </c>
      <c r="H5" t="s">
        <v>327</v>
      </c>
      <c r="I5">
        <v>1</v>
      </c>
      <c r="J5" s="22">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1033</v>
      </c>
      <c r="B6" s="3" t="s">
        <v>1034</v>
      </c>
      <c r="C6" s="3" t="s">
        <v>1416</v>
      </c>
      <c r="E6" t="s">
        <v>1930</v>
      </c>
      <c r="F6" t="s">
        <v>712</v>
      </c>
      <c r="G6" t="s">
        <v>554</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367</v>
      </c>
      <c r="B7" s="3" t="s">
        <v>1035</v>
      </c>
      <c r="C7" s="3" t="s">
        <v>1036</v>
      </c>
      <c r="E7" t="s">
        <v>1022</v>
      </c>
      <c r="F7" t="s">
        <v>555</v>
      </c>
      <c r="G7" t="s">
        <v>556</v>
      </c>
      <c r="H7" t="s">
        <v>557</v>
      </c>
      <c r="I7">
        <v>5.2</v>
      </c>
      <c r="J7">
        <v>0</v>
      </c>
      <c r="K7">
        <v>330</v>
      </c>
      <c r="L7" s="8">
        <f t="shared" si="0"/>
        <v>5.2</v>
      </c>
      <c r="M7" s="8">
        <f t="shared" si="1"/>
        <v>5.2</v>
      </c>
      <c r="N7" s="8">
        <f t="shared" si="2"/>
        <v>1716</v>
      </c>
      <c r="W7" s="8" t="str">
        <f t="shared" si="3"/>
        <v/>
      </c>
      <c r="X7" s="8" t="str">
        <f t="shared" si="4"/>
        <v/>
      </c>
      <c r="Y7" s="8" t="str">
        <f t="shared" si="5"/>
        <v/>
      </c>
      <c r="AH7" s="8" t="str">
        <f t="shared" si="6"/>
        <v/>
      </c>
      <c r="AI7" s="8" t="str">
        <f t="shared" si="7"/>
        <v/>
      </c>
      <c r="AJ7" s="8" t="str">
        <f t="shared" si="8"/>
        <v/>
      </c>
    </row>
    <row r="8" spans="1:37" x14ac:dyDescent="0.25">
      <c r="A8" s="3" t="s">
        <v>367</v>
      </c>
      <c r="B8" s="3" t="s">
        <v>1037</v>
      </c>
      <c r="C8" s="3" t="s">
        <v>1038</v>
      </c>
      <c r="E8" t="s">
        <v>1931</v>
      </c>
      <c r="F8" t="s">
        <v>1932</v>
      </c>
      <c r="G8" t="s">
        <v>552</v>
      </c>
      <c r="H8" t="s">
        <v>11</v>
      </c>
      <c r="I8">
        <v>0.08</v>
      </c>
      <c r="J8">
        <v>0</v>
      </c>
      <c r="K8">
        <v>830</v>
      </c>
      <c r="L8" s="8">
        <f t="shared" si="0"/>
        <v>0.08</v>
      </c>
      <c r="M8" s="8">
        <f t="shared" si="1"/>
        <v>0.08</v>
      </c>
      <c r="N8" s="8">
        <f t="shared" si="2"/>
        <v>66.400000000000006</v>
      </c>
      <c r="W8" s="8" t="str">
        <f t="shared" si="3"/>
        <v/>
      </c>
      <c r="X8" s="8" t="str">
        <f t="shared" si="4"/>
        <v/>
      </c>
      <c r="Y8" s="8" t="str">
        <f t="shared" si="5"/>
        <v/>
      </c>
      <c r="AH8" s="8" t="str">
        <f t="shared" si="6"/>
        <v/>
      </c>
      <c r="AI8" s="8" t="str">
        <f t="shared" si="7"/>
        <v/>
      </c>
      <c r="AJ8" s="8" t="str">
        <f t="shared" si="8"/>
        <v/>
      </c>
    </row>
    <row r="9" spans="1:37" x14ac:dyDescent="0.25">
      <c r="A9" s="3" t="s">
        <v>367</v>
      </c>
      <c r="B9" s="3" t="s">
        <v>542</v>
      </c>
      <c r="C9" s="3" t="s">
        <v>566</v>
      </c>
      <c r="E9" t="s">
        <v>1931</v>
      </c>
      <c r="F9" t="s">
        <v>1932</v>
      </c>
      <c r="G9" t="s">
        <v>553</v>
      </c>
      <c r="H9" t="s">
        <v>11</v>
      </c>
      <c r="I9">
        <v>0.02</v>
      </c>
      <c r="J9">
        <v>0</v>
      </c>
      <c r="K9">
        <v>950</v>
      </c>
      <c r="L9" s="8">
        <f t="shared" si="0"/>
        <v>0.02</v>
      </c>
      <c r="M9" s="8">
        <f t="shared" si="1"/>
        <v>0.02</v>
      </c>
      <c r="N9" s="8">
        <f t="shared" si="2"/>
        <v>19</v>
      </c>
      <c r="W9" s="8" t="str">
        <f t="shared" si="3"/>
        <v/>
      </c>
      <c r="X9" s="8" t="str">
        <f t="shared" si="4"/>
        <v/>
      </c>
      <c r="Y9" s="8" t="str">
        <f t="shared" si="5"/>
        <v/>
      </c>
      <c r="AH9" s="8" t="str">
        <f t="shared" si="6"/>
        <v/>
      </c>
      <c r="AI9" s="8" t="str">
        <f t="shared" si="7"/>
        <v/>
      </c>
      <c r="AJ9" s="8" t="str">
        <f t="shared" si="8"/>
        <v/>
      </c>
    </row>
    <row r="10" spans="1:37" x14ac:dyDescent="0.25">
      <c r="A10" s="3" t="s">
        <v>367</v>
      </c>
      <c r="B10" s="3" t="s">
        <v>1039</v>
      </c>
      <c r="C10" s="3" t="s">
        <v>1040</v>
      </c>
      <c r="E10" t="s">
        <v>1933</v>
      </c>
      <c r="F10" t="s">
        <v>1932</v>
      </c>
      <c r="G10" t="s">
        <v>554</v>
      </c>
      <c r="H10" t="s">
        <v>8</v>
      </c>
      <c r="I10">
        <v>1.33</v>
      </c>
      <c r="J10">
        <v>0</v>
      </c>
      <c r="K10">
        <v>215</v>
      </c>
      <c r="L10" s="8">
        <f t="shared" si="0"/>
        <v>1.33</v>
      </c>
      <c r="M10" s="8">
        <f t="shared" si="1"/>
        <v>1.33</v>
      </c>
      <c r="N10" s="8">
        <f t="shared" si="2"/>
        <v>285.95</v>
      </c>
      <c r="W10" s="8" t="str">
        <f t="shared" si="3"/>
        <v/>
      </c>
      <c r="X10" s="8" t="str">
        <f t="shared" si="4"/>
        <v/>
      </c>
      <c r="Y10" s="8" t="str">
        <f t="shared" si="5"/>
        <v/>
      </c>
      <c r="AH10" s="8" t="str">
        <f t="shared" si="6"/>
        <v/>
      </c>
      <c r="AI10" s="8" t="str">
        <f t="shared" si="7"/>
        <v/>
      </c>
      <c r="AJ10" s="8" t="str">
        <f t="shared" si="8"/>
        <v/>
      </c>
    </row>
    <row r="11" spans="1:37" x14ac:dyDescent="0.25">
      <c r="A11" s="3" t="s">
        <v>367</v>
      </c>
      <c r="B11" s="3" t="s">
        <v>1417</v>
      </c>
      <c r="C11" s="3" t="s">
        <v>1924</v>
      </c>
      <c r="E11" t="s">
        <v>1934</v>
      </c>
      <c r="F11" t="s">
        <v>1932</v>
      </c>
      <c r="G11" t="s">
        <v>556</v>
      </c>
      <c r="H11" t="s">
        <v>557</v>
      </c>
      <c r="I11">
        <v>1.57</v>
      </c>
      <c r="J11">
        <v>0</v>
      </c>
      <c r="K11">
        <v>330</v>
      </c>
      <c r="L11" s="8">
        <f t="shared" si="0"/>
        <v>1.57</v>
      </c>
      <c r="M11" s="8">
        <f t="shared" si="1"/>
        <v>1.57</v>
      </c>
      <c r="N11" s="8">
        <f t="shared" si="2"/>
        <v>518.1</v>
      </c>
      <c r="W11" s="8" t="str">
        <f t="shared" si="3"/>
        <v/>
      </c>
      <c r="X11" s="8" t="str">
        <f t="shared" si="4"/>
        <v/>
      </c>
      <c r="Y11" s="8" t="str">
        <f t="shared" si="5"/>
        <v/>
      </c>
      <c r="AH11" s="8" t="str">
        <f t="shared" si="6"/>
        <v/>
      </c>
      <c r="AI11" s="8" t="str">
        <f t="shared" si="7"/>
        <v/>
      </c>
      <c r="AJ11" s="8" t="str">
        <f t="shared" si="8"/>
        <v/>
      </c>
    </row>
    <row r="12" spans="1:37" x14ac:dyDescent="0.25">
      <c r="A12" s="3" t="s">
        <v>367</v>
      </c>
      <c r="B12" s="3" t="s">
        <v>1041</v>
      </c>
      <c r="C12" s="3" t="s">
        <v>1419</v>
      </c>
      <c r="E12" t="s">
        <v>1935</v>
      </c>
      <c r="F12" t="s">
        <v>713</v>
      </c>
      <c r="G12" t="s">
        <v>714</v>
      </c>
      <c r="H12" t="s">
        <v>715</v>
      </c>
      <c r="I12">
        <v>1</v>
      </c>
      <c r="J12">
        <v>0</v>
      </c>
      <c r="K12">
        <v>130</v>
      </c>
      <c r="L12" s="8">
        <f t="shared" si="0"/>
        <v>1</v>
      </c>
      <c r="M12" s="8">
        <f t="shared" si="1"/>
        <v>1</v>
      </c>
      <c r="N12" s="8">
        <f t="shared" si="2"/>
        <v>130</v>
      </c>
      <c r="W12" s="8" t="str">
        <f t="shared" si="3"/>
        <v/>
      </c>
      <c r="X12" s="8" t="str">
        <f t="shared" si="4"/>
        <v/>
      </c>
      <c r="Y12" s="8" t="str">
        <f t="shared" si="5"/>
        <v/>
      </c>
      <c r="AH12" s="8" t="str">
        <f t="shared" si="6"/>
        <v/>
      </c>
      <c r="AI12" s="8" t="str">
        <f t="shared" si="7"/>
        <v/>
      </c>
      <c r="AJ12" s="8" t="str">
        <f t="shared" si="8"/>
        <v/>
      </c>
    </row>
    <row r="13" spans="1:37" x14ac:dyDescent="0.25">
      <c r="A13" s="3" t="s">
        <v>367</v>
      </c>
      <c r="B13" s="3" t="s">
        <v>1042</v>
      </c>
      <c r="C13" s="3" t="s">
        <v>1420</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345</v>
      </c>
      <c r="B14" s="3" t="s">
        <v>543</v>
      </c>
      <c r="C14" s="3" t="s">
        <v>1043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345</v>
      </c>
      <c r="B15" s="3" t="s">
        <v>693</v>
      </c>
      <c r="C15" s="3" t="s">
        <v>694</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345</v>
      </c>
      <c r="B16" s="3" t="s">
        <v>544</v>
      </c>
      <c r="C16" s="3" t="s">
        <v>1044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345</v>
      </c>
      <c r="B17" s="3" t="s">
        <v>545</v>
      </c>
      <c r="C17" s="3" t="s">
        <v>1045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345</v>
      </c>
      <c r="B18" s="3" t="s">
        <v>567</v>
      </c>
      <c r="C18" s="3" t="s">
        <v>1046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345</v>
      </c>
      <c r="B19" s="3" t="s">
        <v>568</v>
      </c>
      <c r="C19" s="3" t="s">
        <v>1047</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345</v>
      </c>
      <c r="B20" s="3" t="s">
        <v>569</v>
      </c>
      <c r="C20" s="3" t="s">
        <v>1048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367</v>
      </c>
      <c r="B21" s="3" t="s">
        <v>1049</v>
      </c>
      <c r="C21" s="3" t="s">
        <v>1050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367</v>
      </c>
      <c r="B22" s="3" t="s">
        <v>1051</v>
      </c>
      <c r="C22" s="3" t="s">
        <v>1052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367</v>
      </c>
      <c r="B23" s="3" t="s">
        <v>1053</v>
      </c>
      <c r="C23" s="3" t="s">
        <v>1054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346</v>
      </c>
      <c r="B24" s="3" t="s">
        <v>1055</v>
      </c>
      <c r="C24" s="3" t="s">
        <v>546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367</v>
      </c>
      <c r="B25" s="3" t="s">
        <v>1056</v>
      </c>
      <c r="C25" s="3" t="s">
        <v>1057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346</v>
      </c>
      <c r="B26" s="3" t="s">
        <v>1058</v>
      </c>
      <c r="C26" s="3" t="s">
        <v>547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367</v>
      </c>
      <c r="B27" s="3" t="s">
        <v>1059</v>
      </c>
      <c r="C27" s="3" t="s">
        <v>1060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346</v>
      </c>
      <c r="B28" s="3" t="s">
        <v>1061</v>
      </c>
      <c r="C28" s="3" t="s">
        <v>695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367</v>
      </c>
      <c r="B29" s="3" t="s">
        <v>1062</v>
      </c>
      <c r="C29" s="3" t="s">
        <v>1063</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345</v>
      </c>
      <c r="B30" s="3" t="s">
        <v>696</v>
      </c>
      <c r="C30" s="3" t="s">
        <v>1064</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345</v>
      </c>
      <c r="B31" s="3" t="s">
        <v>697</v>
      </c>
      <c r="C31" s="3" t="s">
        <v>1065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345</v>
      </c>
      <c r="B32" s="3" t="s">
        <v>698</v>
      </c>
      <c r="C32" s="3" t="s">
        <v>1066</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345</v>
      </c>
      <c r="B33" s="3" t="s">
        <v>1067</v>
      </c>
      <c r="C33" s="3" t="s">
        <v>1068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345</v>
      </c>
      <c r="B34" s="3" t="s">
        <v>699</v>
      </c>
      <c r="C34" s="3" t="s">
        <v>1069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346</v>
      </c>
      <c r="B35" s="3" t="s">
        <v>1070</v>
      </c>
      <c r="C35" s="3" t="s">
        <v>548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367</v>
      </c>
      <c r="B36" s="3" t="s">
        <v>1071</v>
      </c>
      <c r="C36" s="3" t="s">
        <v>1072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345</v>
      </c>
      <c r="B37" s="3" t="s">
        <v>1073</v>
      </c>
      <c r="C37" s="3" t="s">
        <v>570</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367</v>
      </c>
      <c r="B38" s="3" t="s">
        <v>1074</v>
      </c>
      <c r="C38" s="3" t="s">
        <v>1075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346</v>
      </c>
      <c r="B39" s="3" t="s">
        <v>1076</v>
      </c>
      <c r="C39" s="3" t="s">
        <v>549</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367</v>
      </c>
      <c r="B40" s="3" t="s">
        <v>1077</v>
      </c>
      <c r="C40" s="3" t="s">
        <v>1421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367</v>
      </c>
      <c r="B41" s="3" t="s">
        <v>1078</v>
      </c>
      <c r="C41" s="3" t="s">
        <v>1422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367</v>
      </c>
      <c r="B42" s="3" t="s">
        <v>1079</v>
      </c>
      <c r="C42" s="3" t="s">
        <v>1423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367</v>
      </c>
      <c r="B43" s="3" t="s">
        <v>1080</v>
      </c>
      <c r="C43" s="3" t="s">
        <v>1424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367</v>
      </c>
      <c r="B44" s="3" t="s">
        <v>1081</v>
      </c>
      <c r="C44" s="3" t="s">
        <v>1425</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367</v>
      </c>
      <c r="B45" s="3" t="s">
        <v>1082</v>
      </c>
      <c r="C45" s="3" t="s">
        <v>1426</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367</v>
      </c>
      <c r="B46" s="3" t="s">
        <v>1083</v>
      </c>
      <c r="C46" s="3" t="s">
        <v>1427</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345</v>
      </c>
      <c r="B47" s="3" t="s">
        <v>1084</v>
      </c>
      <c r="C47" s="3" t="s">
        <v>1085</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345</v>
      </c>
      <c r="B48" s="3" t="s">
        <v>1086</v>
      </c>
      <c r="C48" s="3" t="s">
        <v>1087</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345</v>
      </c>
      <c r="B49" s="3" t="s">
        <v>1088</v>
      </c>
      <c r="C49" s="3" t="s">
        <v>1089</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345</v>
      </c>
      <c r="B50" s="3" t="s">
        <v>1090</v>
      </c>
      <c r="C50" s="3" t="s">
        <v>1091</v>
      </c>
    </row>
    <row r="51" spans="1:36" x14ac:dyDescent="0.25">
      <c r="A51" s="3" t="s">
        <v>346</v>
      </c>
      <c r="B51" s="3" t="s">
        <v>700</v>
      </c>
      <c r="C51" s="3" t="s">
        <v>701</v>
      </c>
    </row>
    <row r="52" spans="1:36" x14ac:dyDescent="0.25">
      <c r="A52" s="3" t="s">
        <v>367</v>
      </c>
      <c r="B52" s="3" t="s">
        <v>728</v>
      </c>
      <c r="C52" s="3" t="s">
        <v>1092</v>
      </c>
    </row>
    <row r="53" spans="1:36" x14ac:dyDescent="0.25">
      <c r="A53" s="3" t="s">
        <v>345</v>
      </c>
      <c r="B53" s="3" t="s">
        <v>702</v>
      </c>
      <c r="C53" s="3" t="s">
        <v>1093</v>
      </c>
    </row>
    <row r="54" spans="1:36" x14ac:dyDescent="0.25">
      <c r="A54" s="3" t="s">
        <v>367</v>
      </c>
      <c r="B54" s="3" t="s">
        <v>571</v>
      </c>
      <c r="C54" s="3" t="s">
        <v>1094</v>
      </c>
    </row>
    <row r="55" spans="1:36" x14ac:dyDescent="0.25">
      <c r="A55" s="3" t="s">
        <v>367</v>
      </c>
      <c r="B55" s="3" t="s">
        <v>550</v>
      </c>
      <c r="C55" s="3" t="s">
        <v>1095</v>
      </c>
    </row>
    <row r="56" spans="1:36" x14ac:dyDescent="0.25">
      <c r="A56" s="3" t="s">
        <v>345</v>
      </c>
      <c r="B56" s="3" t="s">
        <v>572</v>
      </c>
      <c r="C56" s="3" t="s">
        <v>573</v>
      </c>
    </row>
    <row r="57" spans="1:36" x14ac:dyDescent="0.25">
      <c r="A57" s="3" t="s">
        <v>345</v>
      </c>
      <c r="B57" s="3" t="s">
        <v>574</v>
      </c>
      <c r="C57" s="3" t="s">
        <v>575</v>
      </c>
    </row>
    <row r="58" spans="1:36" x14ac:dyDescent="0.25">
      <c r="A58" s="3" t="s">
        <v>345</v>
      </c>
      <c r="B58" s="3" t="s">
        <v>576</v>
      </c>
      <c r="C58" s="3" t="s">
        <v>1096</v>
      </c>
    </row>
    <row r="59" spans="1:36" x14ac:dyDescent="0.25">
      <c r="A59" s="3" t="s">
        <v>345</v>
      </c>
      <c r="B59" s="3" t="s">
        <v>577</v>
      </c>
      <c r="C59" s="3" t="s">
        <v>578</v>
      </c>
    </row>
    <row r="60" spans="1:36" x14ac:dyDescent="0.25">
      <c r="A60" s="3" t="s">
        <v>345</v>
      </c>
      <c r="B60" s="3" t="s">
        <v>579</v>
      </c>
      <c r="C60" s="3" t="s">
        <v>703</v>
      </c>
    </row>
    <row r="61" spans="1:36" x14ac:dyDescent="0.25">
      <c r="A61" s="3" t="s">
        <v>580</v>
      </c>
      <c r="B61" s="3" t="s">
        <v>581</v>
      </c>
      <c r="C61" s="3" t="s">
        <v>452</v>
      </c>
    </row>
    <row r="62" spans="1:36" x14ac:dyDescent="0.25">
      <c r="A62" s="3" t="s">
        <v>345</v>
      </c>
      <c r="B62" s="3" t="s">
        <v>1925</v>
      </c>
      <c r="C62" s="3" t="s">
        <v>1967</v>
      </c>
    </row>
    <row r="63" spans="1:36" x14ac:dyDescent="0.25">
      <c r="A63" s="3" t="s">
        <v>367</v>
      </c>
      <c r="B63" s="3" t="s">
        <v>1968</v>
      </c>
      <c r="C63" s="3" t="s">
        <v>1969</v>
      </c>
    </row>
    <row r="64" spans="1:36" x14ac:dyDescent="0.25">
      <c r="A64" s="3" t="s">
        <v>345</v>
      </c>
      <c r="B64" s="3" t="s">
        <v>582</v>
      </c>
      <c r="C64" s="3" t="s">
        <v>1097</v>
      </c>
    </row>
    <row r="65" spans="1:3" x14ac:dyDescent="0.25">
      <c r="A65" s="3" t="s">
        <v>583</v>
      </c>
      <c r="B65" s="3" t="s">
        <v>584</v>
      </c>
      <c r="C65" s="3" t="s">
        <v>585</v>
      </c>
    </row>
    <row r="66" spans="1:3" x14ac:dyDescent="0.25">
      <c r="A66" s="3" t="s">
        <v>367</v>
      </c>
      <c r="B66" s="3" t="s">
        <v>652</v>
      </c>
      <c r="C66" s="3" t="s">
        <v>1098</v>
      </c>
    </row>
    <row r="67" spans="1:3" x14ac:dyDescent="0.25">
      <c r="A67" s="3" t="s">
        <v>345</v>
      </c>
      <c r="B67" s="3" t="s">
        <v>586</v>
      </c>
      <c r="C67" s="3" t="s">
        <v>587</v>
      </c>
    </row>
    <row r="68" spans="1:3" x14ac:dyDescent="0.25">
      <c r="A68" s="3" t="s">
        <v>345</v>
      </c>
      <c r="B68" s="3" t="s">
        <v>365</v>
      </c>
      <c r="C68" s="3" t="s">
        <v>704</v>
      </c>
    </row>
    <row r="69" spans="1:3" x14ac:dyDescent="0.25">
      <c r="A69" s="3" t="s">
        <v>347</v>
      </c>
      <c r="B69" s="3" t="s">
        <v>1428</v>
      </c>
      <c r="C69" s="3" t="s">
        <v>1926</v>
      </c>
    </row>
  </sheetData>
  <mergeCells count="4">
    <mergeCell ref="A1:C1"/>
    <mergeCell ref="E1:K1"/>
    <mergeCell ref="P1:V1"/>
    <mergeCell ref="AA1:AG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0FA59-2D91-452C-89AF-E300F94E61AA}">
  <sheetPr codeName="Sheet15"/>
  <dimension ref="A1:AK50"/>
  <sheetViews>
    <sheetView zoomScale="75" zoomScaleNormal="75" workbookViewId="0">
      <pane ySplit="49" topLeftCell="A56" activePane="bottomLeft" state="frozen"/>
      <selection pane="bottomLeft" sqref="A1:C55"/>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4" t="str" cm="1">
        <f t="array" aca="1" ref="A1" ca="1">IFERROR(MID(CELL("filename",$A$1),FIND("]",CELL("filename",$A$1))+1,99),"SXX")</f>
        <v>S05</v>
      </c>
      <c r="B1" s="34"/>
      <c r="C1" s="34"/>
      <c r="E1" s="35" t="str" cm="1">
        <f t="array" aca="1" ref="E1" ca="1">IFERROR(MID(CELL("filename",$A$1),FIND("]",CELL("filename",$A$1))+1,99),"SXX")&amp;" MATERIALS (USAGE + STANDALONE)"</f>
        <v>S05 MATERIALS (USAGE + STANDALONE)</v>
      </c>
      <c r="F1" s="35"/>
      <c r="G1" s="35"/>
      <c r="H1" s="35"/>
      <c r="I1" s="35"/>
      <c r="J1" s="35"/>
      <c r="K1" s="35"/>
      <c r="L1" s="13"/>
      <c r="M1" s="13"/>
      <c r="N1" s="19">
        <f>SUM(N3:N49)</f>
        <v>3586.95</v>
      </c>
      <c r="P1" s="35" t="str" cm="1">
        <f t="array" aca="1" ref="P1" ca="1">IFERROR(MID(CELL("filename",$A$1),FIND("]",CELL("filename",$A$1))+1,99),"SXX")&amp;" LABOUR (USAGE + STANDALONE)"</f>
        <v>S05 LABOUR (USAGE + STANDALONE)</v>
      </c>
      <c r="Q1" s="35"/>
      <c r="R1" s="35"/>
      <c r="S1" s="35"/>
      <c r="T1" s="35"/>
      <c r="U1" s="35"/>
      <c r="V1" s="35"/>
      <c r="Y1" s="19">
        <f>SUM(Y3:Y49)</f>
        <v>3172.5</v>
      </c>
      <c r="AA1" s="36" t="str" cm="1">
        <f t="array" aca="1" ref="AA1" ca="1">IFERROR(MID(CELL("filename",$A$1),FIND("]",CELL("filename",$A$1))+1,99),"SXX")&amp;" RENTAL / SERVICE (USAGE + STANDALONE)"</f>
        <v>S05 RENTAL / SERVICE (USAGE + STANDALONE)</v>
      </c>
      <c r="AB1" s="36"/>
      <c r="AC1" s="36"/>
      <c r="AD1" s="36"/>
      <c r="AE1" s="36"/>
      <c r="AF1" s="36"/>
      <c r="AG1" s="36"/>
      <c r="AH1" s="6"/>
      <c r="AI1" s="6"/>
      <c r="AJ1" s="19">
        <f>SUM(AJ3:AJ49)</f>
        <v>900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348</v>
      </c>
      <c r="B3" s="3" t="s">
        <v>593</v>
      </c>
      <c r="C3" s="3" t="s">
        <v>594</v>
      </c>
      <c r="E3" t="s">
        <v>1943</v>
      </c>
      <c r="F3" t="s">
        <v>716</v>
      </c>
      <c r="G3" t="s">
        <v>717</v>
      </c>
      <c r="H3" t="s">
        <v>557</v>
      </c>
      <c r="I3">
        <v>0.45</v>
      </c>
      <c r="J3" s="22">
        <v>0</v>
      </c>
      <c r="K3">
        <v>340</v>
      </c>
      <c r="L3" s="8">
        <f t="shared" ref="L3:L49" si="0">IF($G3="","",$I3*(1+IF($J3="",0,$J3)))</f>
        <v>0.45</v>
      </c>
      <c r="M3" s="8">
        <f t="shared" ref="M3:M49" si="1">IF($G3="","",$L3)</f>
        <v>0.45</v>
      </c>
      <c r="N3" s="8">
        <f t="shared" ref="N3:N49" si="2">IF($G3="","",IF($K3="","",$M3*$K3))</f>
        <v>153</v>
      </c>
      <c r="P3" t="s">
        <v>1972</v>
      </c>
      <c r="Q3" t="s">
        <v>667</v>
      </c>
      <c r="R3" t="s">
        <v>322</v>
      </c>
      <c r="S3" t="s">
        <v>33</v>
      </c>
      <c r="T3">
        <v>141</v>
      </c>
      <c r="U3" s="22">
        <v>0</v>
      </c>
      <c r="V3">
        <v>22.5</v>
      </c>
      <c r="W3" s="8">
        <f>IF($R3="","",$T3*(1+IF($U3="",0,$U3)))</f>
        <v>141</v>
      </c>
      <c r="X3" s="8">
        <f>IF($R3="","",$W3)</f>
        <v>141</v>
      </c>
      <c r="Y3" s="8">
        <f>IF($R3="","",IF($V3="","",$X3*$V3))</f>
        <v>3172.5</v>
      </c>
      <c r="AA3" s="6" t="s">
        <v>1950</v>
      </c>
      <c r="AB3" t="s">
        <v>668</v>
      </c>
      <c r="AC3" t="s">
        <v>591</v>
      </c>
      <c r="AD3" t="s">
        <v>592</v>
      </c>
      <c r="AE3">
        <v>1</v>
      </c>
      <c r="AF3">
        <v>0</v>
      </c>
      <c r="AG3">
        <v>900</v>
      </c>
      <c r="AH3" s="8">
        <f>IF($AC3="","",$AE3*(1+IF($AF3="",0,$AF3)))</f>
        <v>1</v>
      </c>
      <c r="AI3" s="8">
        <f>IF($AC3="","",$AH3)</f>
        <v>1</v>
      </c>
      <c r="AJ3" s="8">
        <f>IF($AC3="","",IF($AG3="","",$AI3*$AG3))</f>
        <v>900</v>
      </c>
    </row>
    <row r="4" spans="1:37" x14ac:dyDescent="0.25">
      <c r="A4" s="3" t="s">
        <v>349</v>
      </c>
      <c r="B4" s="3" t="s">
        <v>595</v>
      </c>
      <c r="C4" s="3" t="s">
        <v>1937</v>
      </c>
      <c r="E4" t="s">
        <v>1944</v>
      </c>
      <c r="F4" t="s">
        <v>659</v>
      </c>
      <c r="G4" t="s">
        <v>717</v>
      </c>
      <c r="H4" t="s">
        <v>557</v>
      </c>
      <c r="I4">
        <v>4.0999999999999996</v>
      </c>
      <c r="J4" s="22">
        <v>0</v>
      </c>
      <c r="K4">
        <v>340</v>
      </c>
      <c r="L4" s="8">
        <f t="shared" si="0"/>
        <v>4.0999999999999996</v>
      </c>
      <c r="M4" s="8">
        <f t="shared" si="1"/>
        <v>4.0999999999999996</v>
      </c>
      <c r="N4" s="8">
        <f t="shared" si="2"/>
        <v>1393.9999999999998</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596</v>
      </c>
      <c r="B5" s="3" t="s">
        <v>597</v>
      </c>
      <c r="C5" s="3" t="s">
        <v>598</v>
      </c>
      <c r="E5" t="s">
        <v>1945</v>
      </c>
      <c r="F5" t="s">
        <v>660</v>
      </c>
      <c r="G5" t="s">
        <v>661</v>
      </c>
      <c r="H5" t="s">
        <v>662</v>
      </c>
      <c r="I5">
        <v>28</v>
      </c>
      <c r="J5" s="22">
        <v>0.05</v>
      </c>
      <c r="K5">
        <v>28</v>
      </c>
      <c r="L5" s="8">
        <f t="shared" si="0"/>
        <v>29.400000000000002</v>
      </c>
      <c r="M5" s="8">
        <f t="shared" si="1"/>
        <v>29.400000000000002</v>
      </c>
      <c r="N5" s="8">
        <f t="shared" si="2"/>
        <v>823.2</v>
      </c>
      <c r="W5" s="8" t="str">
        <f t="shared" si="3"/>
        <v/>
      </c>
      <c r="X5" s="8" t="str">
        <f t="shared" si="4"/>
        <v/>
      </c>
      <c r="Y5" s="8" t="str">
        <f t="shared" si="5"/>
        <v/>
      </c>
      <c r="AH5" s="8" t="str">
        <f t="shared" si="6"/>
        <v/>
      </c>
      <c r="AI5" s="8" t="str">
        <f t="shared" si="7"/>
        <v/>
      </c>
      <c r="AJ5" s="8" t="str">
        <f t="shared" si="8"/>
        <v/>
      </c>
    </row>
    <row r="6" spans="1:37" x14ac:dyDescent="0.25">
      <c r="A6" s="3" t="s">
        <v>350</v>
      </c>
      <c r="B6" s="3" t="s">
        <v>599</v>
      </c>
      <c r="C6" s="3" t="s">
        <v>600</v>
      </c>
      <c r="E6" t="s">
        <v>1946</v>
      </c>
      <c r="F6" t="s">
        <v>660</v>
      </c>
      <c r="G6" t="s">
        <v>663</v>
      </c>
      <c r="H6" t="s">
        <v>662</v>
      </c>
      <c r="I6">
        <v>13</v>
      </c>
      <c r="J6">
        <v>0.05</v>
      </c>
      <c r="K6">
        <v>15</v>
      </c>
      <c r="L6" s="8">
        <f t="shared" si="0"/>
        <v>13.65</v>
      </c>
      <c r="M6" s="8">
        <f t="shared" si="1"/>
        <v>13.65</v>
      </c>
      <c r="N6" s="8">
        <f t="shared" si="2"/>
        <v>204.75</v>
      </c>
      <c r="W6" s="8" t="str">
        <f t="shared" si="3"/>
        <v/>
      </c>
      <c r="X6" s="8" t="str">
        <f t="shared" si="4"/>
        <v/>
      </c>
      <c r="Y6" s="8" t="str">
        <f t="shared" si="5"/>
        <v/>
      </c>
      <c r="AH6" s="8" t="str">
        <f t="shared" si="6"/>
        <v/>
      </c>
      <c r="AI6" s="8" t="str">
        <f t="shared" si="7"/>
        <v/>
      </c>
      <c r="AJ6" s="8" t="str">
        <f t="shared" si="8"/>
        <v/>
      </c>
    </row>
    <row r="7" spans="1:37" x14ac:dyDescent="0.25">
      <c r="A7" s="3" t="s">
        <v>350</v>
      </c>
      <c r="B7" s="3" t="s">
        <v>601</v>
      </c>
      <c r="C7" s="3" t="s">
        <v>602</v>
      </c>
      <c r="E7" t="s">
        <v>1947</v>
      </c>
      <c r="F7" t="s">
        <v>664</v>
      </c>
      <c r="G7" t="s">
        <v>665</v>
      </c>
      <c r="H7" t="s">
        <v>666</v>
      </c>
      <c r="I7">
        <v>12</v>
      </c>
      <c r="J7">
        <v>0.05</v>
      </c>
      <c r="K7">
        <v>45</v>
      </c>
      <c r="L7" s="8">
        <f t="shared" si="0"/>
        <v>12.600000000000001</v>
      </c>
      <c r="M7" s="8">
        <f t="shared" si="1"/>
        <v>12.600000000000001</v>
      </c>
      <c r="N7" s="8">
        <f t="shared" si="2"/>
        <v>567.00000000000011</v>
      </c>
      <c r="W7" s="8" t="str">
        <f t="shared" si="3"/>
        <v/>
      </c>
      <c r="X7" s="8" t="str">
        <f t="shared" si="4"/>
        <v/>
      </c>
      <c r="Y7" s="8" t="str">
        <f t="shared" si="5"/>
        <v/>
      </c>
      <c r="AH7" s="8" t="str">
        <f t="shared" si="6"/>
        <v/>
      </c>
      <c r="AI7" s="8" t="str">
        <f t="shared" si="7"/>
        <v/>
      </c>
      <c r="AJ7" s="8" t="str">
        <f t="shared" si="8"/>
        <v/>
      </c>
    </row>
    <row r="8" spans="1:37" x14ac:dyDescent="0.25">
      <c r="A8" s="3" t="s">
        <v>350</v>
      </c>
      <c r="B8" s="3" t="s">
        <v>603</v>
      </c>
      <c r="C8" s="3" t="s">
        <v>604</v>
      </c>
      <c r="E8" t="s">
        <v>1948</v>
      </c>
      <c r="F8" t="s">
        <v>664</v>
      </c>
      <c r="G8" t="s">
        <v>722</v>
      </c>
      <c r="H8" t="s">
        <v>723</v>
      </c>
      <c r="I8">
        <v>20</v>
      </c>
      <c r="J8">
        <v>0.05</v>
      </c>
      <c r="K8">
        <v>15</v>
      </c>
      <c r="L8" s="8">
        <f t="shared" si="0"/>
        <v>21</v>
      </c>
      <c r="M8" s="8">
        <f t="shared" si="1"/>
        <v>21</v>
      </c>
      <c r="N8" s="8">
        <f t="shared" si="2"/>
        <v>315</v>
      </c>
      <c r="W8" s="8" t="str">
        <f t="shared" si="3"/>
        <v/>
      </c>
      <c r="X8" s="8" t="str">
        <f t="shared" si="4"/>
        <v/>
      </c>
      <c r="Y8" s="8" t="str">
        <f t="shared" si="5"/>
        <v/>
      </c>
      <c r="AH8" s="8" t="str">
        <f t="shared" si="6"/>
        <v/>
      </c>
      <c r="AI8" s="8" t="str">
        <f t="shared" si="7"/>
        <v/>
      </c>
      <c r="AJ8" s="8" t="str">
        <f t="shared" si="8"/>
        <v/>
      </c>
    </row>
    <row r="9" spans="1:37" x14ac:dyDescent="0.25">
      <c r="A9" s="3" t="s">
        <v>350</v>
      </c>
      <c r="B9" s="3" t="s">
        <v>351</v>
      </c>
      <c r="C9" s="3" t="s">
        <v>605</v>
      </c>
      <c r="E9" t="s">
        <v>1949</v>
      </c>
      <c r="F9" t="s">
        <v>724</v>
      </c>
      <c r="G9" t="s">
        <v>714</v>
      </c>
      <c r="H9" t="s">
        <v>715</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350</v>
      </c>
      <c r="B10" s="3" t="s">
        <v>352</v>
      </c>
      <c r="C10" s="3" t="s">
        <v>606</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350</v>
      </c>
      <c r="B11" s="3" t="s">
        <v>607</v>
      </c>
      <c r="C11" s="3" t="s">
        <v>608</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350</v>
      </c>
      <c r="B12" s="3" t="s">
        <v>609</v>
      </c>
      <c r="C12" s="3" t="s">
        <v>610</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350</v>
      </c>
      <c r="B13" s="3" t="s">
        <v>611</v>
      </c>
      <c r="C13" s="3" t="s">
        <v>612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350</v>
      </c>
      <c r="B14" s="3" t="s">
        <v>613</v>
      </c>
      <c r="C14" s="3" t="s">
        <v>614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353</v>
      </c>
      <c r="B15" s="3" t="s">
        <v>615</v>
      </c>
      <c r="C15" s="3" t="s">
        <v>616</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353</v>
      </c>
      <c r="B16" s="3" t="s">
        <v>617</v>
      </c>
      <c r="C16" s="3" t="s">
        <v>618</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353</v>
      </c>
      <c r="B17" s="3" t="s">
        <v>619</v>
      </c>
      <c r="C17" s="3" t="s">
        <v>620</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353</v>
      </c>
      <c r="B18" s="3" t="s">
        <v>621</v>
      </c>
      <c r="C18" s="3" t="s">
        <v>622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353</v>
      </c>
      <c r="B19" s="3" t="s">
        <v>623</v>
      </c>
      <c r="C19" s="3" t="s">
        <v>624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350</v>
      </c>
      <c r="B20" s="3" t="s">
        <v>625</v>
      </c>
      <c r="C20" s="3" t="s">
        <v>626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350</v>
      </c>
      <c r="B21" s="3" t="s">
        <v>705</v>
      </c>
      <c r="C21" s="3" t="s">
        <v>706</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350</v>
      </c>
      <c r="B22" s="3" t="s">
        <v>746</v>
      </c>
      <c r="C22" s="3" t="s">
        <v>747</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353</v>
      </c>
      <c r="B23" s="3" t="s">
        <v>707</v>
      </c>
      <c r="C23" s="3" t="s">
        <v>708</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353</v>
      </c>
      <c r="B24" s="3" t="s">
        <v>627</v>
      </c>
      <c r="C24" s="3" t="s">
        <v>628</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353</v>
      </c>
      <c r="B25" s="3" t="s">
        <v>629</v>
      </c>
      <c r="C25" s="3" t="s">
        <v>630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353</v>
      </c>
      <c r="B26" s="3" t="s">
        <v>631</v>
      </c>
      <c r="C26" s="3" t="s">
        <v>1938</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353</v>
      </c>
      <c r="B27" s="3" t="s">
        <v>632</v>
      </c>
      <c r="C27" s="3" t="s">
        <v>1939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633</v>
      </c>
      <c r="B28" s="3" t="s">
        <v>634</v>
      </c>
      <c r="C28" s="3" t="s">
        <v>845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633</v>
      </c>
      <c r="B29" s="3" t="s">
        <v>635</v>
      </c>
      <c r="C29" s="3" t="s">
        <v>771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633</v>
      </c>
      <c r="B30" s="3" t="s">
        <v>636</v>
      </c>
      <c r="C30" s="3" t="s">
        <v>772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633</v>
      </c>
      <c r="B31" s="3" t="s">
        <v>637</v>
      </c>
      <c r="C31" s="3" t="s">
        <v>773</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633</v>
      </c>
      <c r="B32" s="3" t="s">
        <v>1940</v>
      </c>
      <c r="C32" s="3" t="s">
        <v>775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353</v>
      </c>
      <c r="B33" s="3" t="s">
        <v>638</v>
      </c>
      <c r="C33" s="3" t="s">
        <v>639</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353</v>
      </c>
      <c r="B34" s="3" t="s">
        <v>640</v>
      </c>
      <c r="C34" s="3" t="s">
        <v>641</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353</v>
      </c>
      <c r="B35" s="3" t="s">
        <v>642</v>
      </c>
      <c r="C35" s="3" t="s">
        <v>643</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353</v>
      </c>
      <c r="B36" s="3" t="s">
        <v>644</v>
      </c>
      <c r="C36" s="3" t="s">
        <v>645</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353</v>
      </c>
      <c r="B37" s="3" t="s">
        <v>646</v>
      </c>
      <c r="C37" s="3" t="s">
        <v>647</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350</v>
      </c>
      <c r="B38" s="3" t="s">
        <v>648</v>
      </c>
      <c r="C38" s="3" t="s">
        <v>649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650</v>
      </c>
      <c r="B39" s="3" t="s">
        <v>581</v>
      </c>
      <c r="C39" s="3" t="s">
        <v>452</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353</v>
      </c>
      <c r="B40" s="3" t="s">
        <v>1925</v>
      </c>
      <c r="C40" s="3" t="s">
        <v>1967</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350</v>
      </c>
      <c r="B41" s="3" t="s">
        <v>1968</v>
      </c>
      <c r="C41" s="3" t="s">
        <v>1971</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353</v>
      </c>
      <c r="B42" s="3" t="s">
        <v>582</v>
      </c>
      <c r="C42" s="3" t="s">
        <v>1941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651</v>
      </c>
      <c r="B43" s="3" t="s">
        <v>584</v>
      </c>
      <c r="C43" s="3" t="s">
        <v>585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350</v>
      </c>
      <c r="B44" s="3" t="s">
        <v>652</v>
      </c>
      <c r="C44" s="3" t="s">
        <v>653</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353</v>
      </c>
      <c r="B45" s="3" t="s">
        <v>654</v>
      </c>
      <c r="C45" s="3" t="s">
        <v>655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353</v>
      </c>
      <c r="B46" s="3" t="s">
        <v>656</v>
      </c>
      <c r="C46" s="3" t="s">
        <v>657</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633</v>
      </c>
      <c r="B47" s="3" t="s">
        <v>700</v>
      </c>
      <c r="C47" s="3" t="s">
        <v>701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353</v>
      </c>
      <c r="B48" s="3" t="s">
        <v>702</v>
      </c>
      <c r="C48" s="3" t="s">
        <v>709</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353</v>
      </c>
      <c r="B49" s="3" t="s">
        <v>365</v>
      </c>
      <c r="C49" s="3" t="s">
        <v>658</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354</v>
      </c>
      <c r="B50" s="3" t="s">
        <v>588</v>
      </c>
      <c r="C50" s="3" t="s">
        <v>1942</v>
      </c>
    </row>
  </sheetData>
  <mergeCells count="4">
    <mergeCell ref="A1:C1"/>
    <mergeCell ref="E1:K1"/>
    <mergeCell ref="P1:V1"/>
    <mergeCell ref="AA1:AG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CA8B7-1711-45F5-AD17-FB0D0E79F65F}">
  <sheetPr codeName="Sheet14"/>
  <dimension ref="A1:AK51"/>
  <sheetViews>
    <sheetView zoomScale="75" zoomScaleNormal="75" workbookViewId="0">
      <pane ySplit="49" topLeftCell="A52" activePane="bottomLeft" state="frozen"/>
      <selection pane="bottomLeft" sqref="A1:C5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4" t="str" cm="1">
        <f t="array" aca="1" ref="A1" ca="1">IFERROR(MID(CELL("filename",$A$1),FIND("]",CELL("filename",$A$1))+1,99),"SXX")</f>
        <v>S06</v>
      </c>
      <c r="B1" s="34"/>
      <c r="C1" s="34"/>
      <c r="E1" s="35" t="str" cm="1">
        <f t="array" aca="1" ref="E1" ca="1">IFERROR(MID(CELL("filename",$A$1),FIND("]",CELL("filename",$A$1))+1,99),"SXX")&amp;" MATERIALS (USAGE + STANDALONE)"</f>
        <v>S06 MATERIALS (USAGE + STANDALONE)</v>
      </c>
      <c r="F1" s="35"/>
      <c r="G1" s="35"/>
      <c r="H1" s="35"/>
      <c r="I1" s="35"/>
      <c r="J1" s="35"/>
      <c r="K1" s="35"/>
      <c r="L1" s="13"/>
      <c r="M1" s="13"/>
      <c r="N1" s="19">
        <f>SUM(N3:N49)</f>
        <v>2692.75</v>
      </c>
      <c r="P1" s="35" t="str" cm="1">
        <f t="array" aca="1" ref="P1" ca="1">IFERROR(MID(CELL("filename",$A$1),FIND("]",CELL("filename",$A$1))+1,99),"SXX")&amp;" LABOUR (USAGE + STANDALONE)"</f>
        <v>S06 LABOUR (USAGE + STANDALONE)</v>
      </c>
      <c r="Q1" s="35"/>
      <c r="R1" s="35"/>
      <c r="S1" s="35"/>
      <c r="T1" s="35"/>
      <c r="U1" s="35"/>
      <c r="V1" s="35"/>
      <c r="Y1" s="19">
        <f>SUM(Y3:Y49)</f>
        <v>2475</v>
      </c>
      <c r="AA1" s="36" t="str" cm="1">
        <f t="array" aca="1" ref="AA1" ca="1">IFERROR(MID(CELL("filename",$A$1),FIND("]",CELL("filename",$A$1))+1,99),"SXX")&amp;" RENTAL / SERVICE (USAGE + STANDALONE)"</f>
        <v>S06 RENTAL / SERVICE (USAGE + STANDALONE)</v>
      </c>
      <c r="AB1" s="36"/>
      <c r="AC1" s="36"/>
      <c r="AD1" s="36"/>
      <c r="AE1" s="36"/>
      <c r="AF1" s="36"/>
      <c r="AG1" s="36"/>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355</v>
      </c>
      <c r="B3" s="3" t="s">
        <v>798</v>
      </c>
      <c r="C3" s="3" t="s">
        <v>799</v>
      </c>
      <c r="E3" t="s">
        <v>1953</v>
      </c>
      <c r="F3" t="s">
        <v>865</v>
      </c>
      <c r="G3" t="s">
        <v>717</v>
      </c>
      <c r="H3" t="s">
        <v>557</v>
      </c>
      <c r="I3">
        <v>1.5</v>
      </c>
      <c r="J3" s="22">
        <v>0</v>
      </c>
      <c r="K3">
        <v>340</v>
      </c>
      <c r="L3" s="8">
        <f t="shared" ref="L3:L49" si="0">IF($G3="","",$I3*(1+IF($J3="",0,$J3)))</f>
        <v>1.5</v>
      </c>
      <c r="M3" s="8">
        <f t="shared" ref="M3:M49" si="1">IF($G3="","",$L3)</f>
        <v>1.5</v>
      </c>
      <c r="N3" s="8">
        <f t="shared" ref="N3:N49" si="2">IF($G3="","",IF($K3="","",$M3*$K3))</f>
        <v>510</v>
      </c>
      <c r="P3" t="s">
        <v>1975</v>
      </c>
      <c r="Q3" t="s">
        <v>869</v>
      </c>
      <c r="R3" t="s">
        <v>322</v>
      </c>
      <c r="S3" t="s">
        <v>33</v>
      </c>
      <c r="T3">
        <v>110</v>
      </c>
      <c r="U3" s="22">
        <v>0</v>
      </c>
      <c r="V3">
        <v>22.5</v>
      </c>
      <c r="W3" s="8">
        <f>IF($R3="","",$T3*(1+IF($U3="",0,$U3)))</f>
        <v>110</v>
      </c>
      <c r="X3" s="8">
        <f>IF($R3="","",$W3)</f>
        <v>110</v>
      </c>
      <c r="Y3" s="8">
        <f>IF($R3="","",IF($V3="","",$X3*$V3))</f>
        <v>2475</v>
      </c>
      <c r="AH3" s="8" t="str">
        <f>IF($AC3="","",$AE3*(1+IF($AF3="",0,$AF3)))</f>
        <v/>
      </c>
      <c r="AI3" s="8" t="str">
        <f>IF($AC3="","",$AH3)</f>
        <v/>
      </c>
      <c r="AJ3" s="8" t="str">
        <f>IF($AC3="","",IF($AG3="","",$AI3*$AG3))</f>
        <v/>
      </c>
    </row>
    <row r="4" spans="1:37" x14ac:dyDescent="0.25">
      <c r="A4" s="3" t="s">
        <v>356</v>
      </c>
      <c r="B4" s="3" t="s">
        <v>800</v>
      </c>
      <c r="C4" s="3" t="s">
        <v>801</v>
      </c>
      <c r="E4" t="s">
        <v>1954</v>
      </c>
      <c r="F4" t="s">
        <v>1955</v>
      </c>
      <c r="G4" t="s">
        <v>661</v>
      </c>
      <c r="H4" t="s">
        <v>662</v>
      </c>
      <c r="I4">
        <v>12</v>
      </c>
      <c r="J4" s="22">
        <v>0.05</v>
      </c>
      <c r="K4">
        <v>28</v>
      </c>
      <c r="L4" s="8">
        <f t="shared" si="0"/>
        <v>12.600000000000001</v>
      </c>
      <c r="M4" s="8">
        <f t="shared" si="1"/>
        <v>12.600000000000001</v>
      </c>
      <c r="N4" s="8">
        <f t="shared" si="2"/>
        <v>352.80000000000007</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802</v>
      </c>
      <c r="B5" s="3" t="s">
        <v>803</v>
      </c>
      <c r="C5" s="3" t="s">
        <v>804</v>
      </c>
      <c r="E5" t="s">
        <v>1956</v>
      </c>
      <c r="F5" t="s">
        <v>1955</v>
      </c>
      <c r="G5" t="s">
        <v>866</v>
      </c>
      <c r="H5" t="s">
        <v>662</v>
      </c>
      <c r="I5">
        <v>17</v>
      </c>
      <c r="J5" s="22">
        <v>0.05</v>
      </c>
      <c r="K5">
        <v>22</v>
      </c>
      <c r="L5" s="8">
        <f t="shared" si="0"/>
        <v>17.850000000000001</v>
      </c>
      <c r="M5" s="8">
        <f t="shared" si="1"/>
        <v>17.850000000000001</v>
      </c>
      <c r="N5" s="8">
        <f t="shared" si="2"/>
        <v>392.70000000000005</v>
      </c>
      <c r="W5" s="8" t="str">
        <f t="shared" si="3"/>
        <v/>
      </c>
      <c r="X5" s="8" t="str">
        <f t="shared" si="4"/>
        <v/>
      </c>
      <c r="Y5" s="8" t="str">
        <f t="shared" si="5"/>
        <v/>
      </c>
      <c r="AH5" s="8" t="str">
        <f t="shared" si="6"/>
        <v/>
      </c>
      <c r="AI5" s="8" t="str">
        <f t="shared" si="7"/>
        <v/>
      </c>
      <c r="AJ5" s="8" t="str">
        <f t="shared" si="8"/>
        <v/>
      </c>
    </row>
    <row r="6" spans="1:37" x14ac:dyDescent="0.25">
      <c r="A6" s="3" t="s">
        <v>331</v>
      </c>
      <c r="B6" s="3" t="s">
        <v>805</v>
      </c>
      <c r="C6" s="3" t="s">
        <v>806</v>
      </c>
      <c r="E6" t="s">
        <v>1957</v>
      </c>
      <c r="F6" t="s">
        <v>1955</v>
      </c>
      <c r="G6" t="s">
        <v>663</v>
      </c>
      <c r="H6" t="s">
        <v>662</v>
      </c>
      <c r="I6">
        <v>17</v>
      </c>
      <c r="J6">
        <v>0.05</v>
      </c>
      <c r="K6">
        <v>15</v>
      </c>
      <c r="L6" s="8">
        <f t="shared" si="0"/>
        <v>17.850000000000001</v>
      </c>
      <c r="M6" s="8">
        <f t="shared" si="1"/>
        <v>17.850000000000001</v>
      </c>
      <c r="N6" s="8">
        <f t="shared" si="2"/>
        <v>267.75</v>
      </c>
      <c r="W6" s="8" t="str">
        <f t="shared" si="3"/>
        <v/>
      </c>
      <c r="X6" s="8" t="str">
        <f t="shared" si="4"/>
        <v/>
      </c>
      <c r="Y6" s="8" t="str">
        <f t="shared" si="5"/>
        <v/>
      </c>
      <c r="AH6" s="8" t="str">
        <f t="shared" si="6"/>
        <v/>
      </c>
      <c r="AI6" s="8" t="str">
        <f t="shared" si="7"/>
        <v/>
      </c>
      <c r="AJ6" s="8" t="str">
        <f t="shared" si="8"/>
        <v/>
      </c>
    </row>
    <row r="7" spans="1:37" x14ac:dyDescent="0.25">
      <c r="A7" s="3" t="s">
        <v>331</v>
      </c>
      <c r="B7" s="3" t="s">
        <v>807</v>
      </c>
      <c r="C7" s="3" t="s">
        <v>808</v>
      </c>
      <c r="E7" t="s">
        <v>1958</v>
      </c>
      <c r="F7" t="s">
        <v>867</v>
      </c>
      <c r="G7" t="s">
        <v>665</v>
      </c>
      <c r="H7" t="s">
        <v>666</v>
      </c>
      <c r="I7">
        <v>14</v>
      </c>
      <c r="J7">
        <v>0.05</v>
      </c>
      <c r="K7">
        <v>45</v>
      </c>
      <c r="L7" s="8">
        <f t="shared" si="0"/>
        <v>14.700000000000001</v>
      </c>
      <c r="M7" s="8">
        <f t="shared" si="1"/>
        <v>14.700000000000001</v>
      </c>
      <c r="N7" s="8">
        <f t="shared" si="2"/>
        <v>661.5</v>
      </c>
      <c r="W7" s="8" t="str">
        <f t="shared" si="3"/>
        <v/>
      </c>
      <c r="X7" s="8" t="str">
        <f t="shared" si="4"/>
        <v/>
      </c>
      <c r="Y7" s="8" t="str">
        <f t="shared" si="5"/>
        <v/>
      </c>
      <c r="AH7" s="8" t="str">
        <f t="shared" si="6"/>
        <v/>
      </c>
      <c r="AI7" s="8" t="str">
        <f t="shared" si="7"/>
        <v/>
      </c>
      <c r="AJ7" s="8" t="str">
        <f t="shared" si="8"/>
        <v/>
      </c>
    </row>
    <row r="8" spans="1:37" x14ac:dyDescent="0.25">
      <c r="A8" s="3" t="s">
        <v>331</v>
      </c>
      <c r="B8" s="3" t="s">
        <v>809</v>
      </c>
      <c r="C8" s="3" t="s">
        <v>810</v>
      </c>
      <c r="E8" t="s">
        <v>1959</v>
      </c>
      <c r="F8" t="s">
        <v>867</v>
      </c>
      <c r="G8" t="s">
        <v>722</v>
      </c>
      <c r="H8" t="s">
        <v>723</v>
      </c>
      <c r="I8">
        <v>24</v>
      </c>
      <c r="J8">
        <v>0.05</v>
      </c>
      <c r="K8">
        <v>15</v>
      </c>
      <c r="L8" s="8">
        <f t="shared" si="0"/>
        <v>25.200000000000003</v>
      </c>
      <c r="M8" s="8">
        <f t="shared" si="1"/>
        <v>25.200000000000003</v>
      </c>
      <c r="N8" s="8">
        <f t="shared" si="2"/>
        <v>378.00000000000006</v>
      </c>
      <c r="W8" s="8" t="str">
        <f t="shared" si="3"/>
        <v/>
      </c>
      <c r="X8" s="8" t="str">
        <f t="shared" si="4"/>
        <v/>
      </c>
      <c r="Y8" s="8" t="str">
        <f t="shared" si="5"/>
        <v/>
      </c>
      <c r="AH8" s="8" t="str">
        <f t="shared" si="6"/>
        <v/>
      </c>
      <c r="AI8" s="8" t="str">
        <f t="shared" si="7"/>
        <v/>
      </c>
      <c r="AJ8" s="8" t="str">
        <f t="shared" si="8"/>
        <v/>
      </c>
    </row>
    <row r="9" spans="1:37" x14ac:dyDescent="0.25">
      <c r="A9" s="3" t="s">
        <v>331</v>
      </c>
      <c r="B9" s="3" t="s">
        <v>357</v>
      </c>
      <c r="C9" s="3" t="s">
        <v>811</v>
      </c>
      <c r="E9" t="s">
        <v>1960</v>
      </c>
      <c r="F9" t="s">
        <v>868</v>
      </c>
      <c r="G9" t="s">
        <v>714</v>
      </c>
      <c r="H9" t="s">
        <v>715</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331</v>
      </c>
      <c r="B10" s="3" t="s">
        <v>358</v>
      </c>
      <c r="C10" s="3" t="s">
        <v>812</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331</v>
      </c>
      <c r="B11" s="3" t="s">
        <v>813</v>
      </c>
      <c r="C11" s="3" t="s">
        <v>814</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331</v>
      </c>
      <c r="B12" s="3" t="s">
        <v>815</v>
      </c>
      <c r="C12" s="3" t="s">
        <v>816</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331</v>
      </c>
      <c r="B13" s="3" t="s">
        <v>817</v>
      </c>
      <c r="C13" s="3" t="s">
        <v>818</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331</v>
      </c>
      <c r="B14" s="3" t="s">
        <v>819</v>
      </c>
      <c r="C14" s="3" t="s">
        <v>820</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331</v>
      </c>
      <c r="B15" s="3" t="s">
        <v>821</v>
      </c>
      <c r="C15" s="3" t="s">
        <v>822</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331</v>
      </c>
      <c r="B16" s="3" t="s">
        <v>823</v>
      </c>
      <c r="C16" s="3" t="s">
        <v>824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330</v>
      </c>
      <c r="B17" s="3" t="s">
        <v>370</v>
      </c>
      <c r="C17" s="3" t="s">
        <v>825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330</v>
      </c>
      <c r="B18" s="3" t="s">
        <v>368</v>
      </c>
      <c r="C18" s="3" t="s">
        <v>826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330</v>
      </c>
      <c r="B19" s="3" t="s">
        <v>371</v>
      </c>
      <c r="C19" s="3" t="s">
        <v>827</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330</v>
      </c>
      <c r="B20" s="3" t="s">
        <v>828</v>
      </c>
      <c r="C20" s="3" t="s">
        <v>829</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330</v>
      </c>
      <c r="B21" s="3" t="s">
        <v>830</v>
      </c>
      <c r="C21" s="3" t="s">
        <v>831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330</v>
      </c>
      <c r="B22" s="3" t="s">
        <v>372</v>
      </c>
      <c r="C22" s="3" t="s">
        <v>832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330</v>
      </c>
      <c r="B23" s="3" t="s">
        <v>833</v>
      </c>
      <c r="C23" s="3" t="s">
        <v>834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330</v>
      </c>
      <c r="B24" s="3" t="s">
        <v>373</v>
      </c>
      <c r="C24" s="3" t="s">
        <v>835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330</v>
      </c>
      <c r="B25" s="3" t="s">
        <v>374</v>
      </c>
      <c r="C25" s="3" t="s">
        <v>836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330</v>
      </c>
      <c r="B26" s="3" t="s">
        <v>837</v>
      </c>
      <c r="C26" s="3" t="s">
        <v>838</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330</v>
      </c>
      <c r="B27" s="3" t="s">
        <v>839</v>
      </c>
      <c r="C27" s="3" t="s">
        <v>840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330</v>
      </c>
      <c r="B28" s="3" t="s">
        <v>841</v>
      </c>
      <c r="C28" s="3" t="s">
        <v>842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843</v>
      </c>
      <c r="B29" s="3" t="s">
        <v>844</v>
      </c>
      <c r="C29" s="3" t="s">
        <v>845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843</v>
      </c>
      <c r="B30" s="3" t="s">
        <v>846</v>
      </c>
      <c r="C30" s="3" t="s">
        <v>771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843</v>
      </c>
      <c r="B31" s="3" t="s">
        <v>847</v>
      </c>
      <c r="C31" s="3" t="s">
        <v>1951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843</v>
      </c>
      <c r="B32" s="3" t="s">
        <v>636</v>
      </c>
      <c r="C32" s="3" t="s">
        <v>772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843</v>
      </c>
      <c r="B33" s="3" t="s">
        <v>637</v>
      </c>
      <c r="C33" s="3" t="s">
        <v>773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843</v>
      </c>
      <c r="B34" s="3" t="s">
        <v>774</v>
      </c>
      <c r="C34" s="3" t="s">
        <v>775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843</v>
      </c>
      <c r="B35" s="3" t="s">
        <v>700</v>
      </c>
      <c r="C35" s="3" t="s">
        <v>701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330</v>
      </c>
      <c r="B36" s="3" t="s">
        <v>638</v>
      </c>
      <c r="C36" s="3" t="s">
        <v>848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330</v>
      </c>
      <c r="B37" s="3" t="s">
        <v>640</v>
      </c>
      <c r="C37" s="3" t="s">
        <v>849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330</v>
      </c>
      <c r="B38" s="3" t="s">
        <v>702</v>
      </c>
      <c r="C38" s="3" t="s">
        <v>850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331</v>
      </c>
      <c r="B39" s="3" t="s">
        <v>359</v>
      </c>
      <c r="C39" s="3" t="s">
        <v>851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330</v>
      </c>
      <c r="B40" s="3" t="s">
        <v>360</v>
      </c>
      <c r="C40" s="3" t="s">
        <v>852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330</v>
      </c>
      <c r="B41" s="3" t="s">
        <v>361</v>
      </c>
      <c r="C41" s="3" t="s">
        <v>853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330</v>
      </c>
      <c r="B42" s="3" t="s">
        <v>369</v>
      </c>
      <c r="C42" s="3" t="s">
        <v>854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330</v>
      </c>
      <c r="B43" s="3" t="s">
        <v>855</v>
      </c>
      <c r="C43" s="3" t="s">
        <v>856</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330</v>
      </c>
      <c r="B44" s="3" t="s">
        <v>857</v>
      </c>
      <c r="C44" s="3" t="s">
        <v>858</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330</v>
      </c>
      <c r="B45" s="3" t="s">
        <v>362</v>
      </c>
      <c r="C45" s="3" t="s">
        <v>859</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330</v>
      </c>
      <c r="B46" s="3" t="s">
        <v>860</v>
      </c>
      <c r="C46" s="3" t="s">
        <v>861</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330</v>
      </c>
      <c r="B47" s="3" t="s">
        <v>862</v>
      </c>
      <c r="C47" s="3" t="s">
        <v>863</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330</v>
      </c>
      <c r="B48" s="3" t="s">
        <v>1925</v>
      </c>
      <c r="C48" s="3" t="s">
        <v>1973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331</v>
      </c>
      <c r="B49" s="3" t="s">
        <v>1968</v>
      </c>
      <c r="C49" s="3" t="s">
        <v>1974</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330</v>
      </c>
      <c r="B50" s="3" t="s">
        <v>365</v>
      </c>
      <c r="C50" s="3" t="s">
        <v>864</v>
      </c>
    </row>
    <row r="51" spans="1:36" x14ac:dyDescent="0.25">
      <c r="A51" s="3" t="s">
        <v>332</v>
      </c>
      <c r="B51" s="3" t="s">
        <v>375</v>
      </c>
      <c r="C51" s="3" t="s">
        <v>1952</v>
      </c>
    </row>
  </sheetData>
  <mergeCells count="4">
    <mergeCell ref="A1:C1"/>
    <mergeCell ref="E1:K1"/>
    <mergeCell ref="P1:V1"/>
    <mergeCell ref="AA1:AG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52FA8-8E59-464F-B82D-E5E52377D23E}">
  <sheetPr codeName="Sheet18"/>
  <dimension ref="A1:AK75"/>
  <sheetViews>
    <sheetView zoomScale="75" zoomScaleNormal="75" workbookViewId="0">
      <pane ySplit="49" topLeftCell="A78" activePane="bottomLeft" state="frozen"/>
      <selection pane="bottomLeft" sqref="A1:C7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4" t="str" cm="1">
        <f t="array" aca="1" ref="A1" ca="1">IFERROR(MID(CELL("filename",$A$1),FIND("]",CELL("filename",$A$1))+1,99),"SXX")</f>
        <v>S07</v>
      </c>
      <c r="B1" s="34"/>
      <c r="C1" s="34"/>
      <c r="E1" s="35" t="str" cm="1">
        <f t="array" aca="1" ref="E1" ca="1">IFERROR(MID(CELL("filename",$A$1),FIND("]",CELL("filename",$A$1))+1,99),"SXX")&amp;" MATERIALS (USAGE + STANDALONE)"</f>
        <v>S07 MATERIALS (USAGE + STANDALONE)</v>
      </c>
      <c r="F1" s="35"/>
      <c r="G1" s="35"/>
      <c r="H1" s="35"/>
      <c r="I1" s="35"/>
      <c r="J1" s="35"/>
      <c r="K1" s="35"/>
      <c r="L1" s="13"/>
      <c r="M1" s="13"/>
      <c r="N1" s="19">
        <f>SUM(N3:N49)</f>
        <v>531.56000000000006</v>
      </c>
      <c r="P1" s="35" t="str" cm="1">
        <f t="array" aca="1" ref="P1" ca="1">IFERROR(MID(CELL("filename",$A$1),FIND("]",CELL("filename",$A$1))+1,99),"SXX")&amp;" LABOUR (USAGE + STANDALONE)"</f>
        <v>S07 LABOUR (USAGE + STANDALONE)</v>
      </c>
      <c r="Q1" s="35"/>
      <c r="R1" s="35"/>
      <c r="S1" s="35"/>
      <c r="T1" s="35"/>
      <c r="U1" s="35"/>
      <c r="V1" s="35"/>
      <c r="Y1" s="19">
        <f>SUM(Y3:Y49)</f>
        <v>1440</v>
      </c>
      <c r="AA1" s="36" t="str" cm="1">
        <f t="array" aca="1" ref="AA1" ca="1">IFERROR(MID(CELL("filename",$A$1),FIND("]",CELL("filename",$A$1))+1,99),"SXX")&amp;" RENTAL / SERVICE (USAGE + STANDALONE)"</f>
        <v>S07 RENTAL / SERVICE (USAGE + STANDALONE)</v>
      </c>
      <c r="AB1" s="36"/>
      <c r="AC1" s="36"/>
      <c r="AD1" s="36"/>
      <c r="AE1" s="36"/>
      <c r="AF1" s="36"/>
      <c r="AG1" s="36"/>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376</v>
      </c>
      <c r="B3" s="3" t="s">
        <v>377</v>
      </c>
      <c r="C3" s="3" t="s">
        <v>870</v>
      </c>
      <c r="E3" t="s">
        <v>1997</v>
      </c>
      <c r="F3" t="s">
        <v>1998</v>
      </c>
      <c r="G3" t="s">
        <v>948</v>
      </c>
      <c r="H3" t="s">
        <v>723</v>
      </c>
      <c r="I3">
        <v>4</v>
      </c>
      <c r="J3" s="22">
        <v>0.05</v>
      </c>
      <c r="K3">
        <v>12.6</v>
      </c>
      <c r="L3" s="8">
        <f t="shared" ref="L3:L49" si="0">IF($G3="","",$I3*(1+IF($J3="",0,$J3)))</f>
        <v>4.2</v>
      </c>
      <c r="M3" s="8">
        <f t="shared" ref="M3:M49" si="1">IF($G3="","",$L3)</f>
        <v>4.2</v>
      </c>
      <c r="N3" s="8">
        <f t="shared" ref="N3:N49" si="2">IF($G3="","",IF($K3="","",$M3*$K3))</f>
        <v>52.92</v>
      </c>
      <c r="P3" t="s">
        <v>2013</v>
      </c>
      <c r="Q3" t="s">
        <v>962</v>
      </c>
      <c r="R3" t="s">
        <v>322</v>
      </c>
      <c r="S3" t="s">
        <v>33</v>
      </c>
      <c r="T3">
        <v>64</v>
      </c>
      <c r="U3" s="22">
        <v>0</v>
      </c>
      <c r="V3">
        <v>22.5</v>
      </c>
      <c r="W3" s="8">
        <f>IF($R3="","",$T3*(1+IF($U3="",0,$U3)))</f>
        <v>64</v>
      </c>
      <c r="X3" s="8">
        <f>IF($R3="","",$W3)</f>
        <v>64</v>
      </c>
      <c r="Y3" s="8">
        <f>IF($R3="","",IF($V3="","",$X3*$V3))</f>
        <v>1440</v>
      </c>
      <c r="AH3" s="8" t="str">
        <f>IF($AC3="","",$AE3*(1+IF($AF3="",0,$AF3)))</f>
        <v/>
      </c>
      <c r="AI3" s="8" t="str">
        <f>IF($AC3="","",$AH3)</f>
        <v/>
      </c>
      <c r="AJ3" s="8" t="str">
        <f>IF($AC3="","",IF($AG3="","",$AI3*$AG3))</f>
        <v/>
      </c>
    </row>
    <row r="4" spans="1:37" x14ac:dyDescent="0.25">
      <c r="A4" s="3" t="s">
        <v>378</v>
      </c>
      <c r="B4" s="3" t="s">
        <v>871</v>
      </c>
      <c r="C4" s="3" t="s">
        <v>1525</v>
      </c>
      <c r="E4" t="s">
        <v>1999</v>
      </c>
      <c r="F4" t="s">
        <v>1998</v>
      </c>
      <c r="G4" t="s">
        <v>2000</v>
      </c>
      <c r="H4" t="s">
        <v>8</v>
      </c>
      <c r="I4">
        <v>5</v>
      </c>
      <c r="J4" s="22">
        <v>0.05</v>
      </c>
      <c r="K4">
        <v>3</v>
      </c>
      <c r="L4" s="8">
        <f t="shared" si="0"/>
        <v>5.25</v>
      </c>
      <c r="M4" s="8">
        <f t="shared" si="1"/>
        <v>5.25</v>
      </c>
      <c r="N4" s="8">
        <f t="shared" si="2"/>
        <v>15.75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872</v>
      </c>
      <c r="B5" s="3" t="s">
        <v>873</v>
      </c>
      <c r="C5" s="3" t="s">
        <v>1526</v>
      </c>
      <c r="E5" t="s">
        <v>949</v>
      </c>
      <c r="F5" t="s">
        <v>1998</v>
      </c>
      <c r="G5" t="s">
        <v>950</v>
      </c>
      <c r="H5" t="s">
        <v>8</v>
      </c>
      <c r="I5">
        <v>2</v>
      </c>
      <c r="J5" s="22">
        <v>0</v>
      </c>
      <c r="K5">
        <v>13</v>
      </c>
      <c r="L5" s="8">
        <f t="shared" si="0"/>
        <v>2</v>
      </c>
      <c r="M5" s="8">
        <f t="shared" si="1"/>
        <v>2</v>
      </c>
      <c r="N5" s="8">
        <f t="shared" si="2"/>
        <v>26</v>
      </c>
      <c r="W5" s="8" t="str">
        <f t="shared" si="3"/>
        <v/>
      </c>
      <c r="X5" s="8" t="str">
        <f t="shared" si="4"/>
        <v/>
      </c>
      <c r="Y5" s="8" t="str">
        <f t="shared" si="5"/>
        <v/>
      </c>
      <c r="AH5" s="8" t="str">
        <f t="shared" si="6"/>
        <v/>
      </c>
      <c r="AI5" s="8" t="str">
        <f t="shared" si="7"/>
        <v/>
      </c>
      <c r="AJ5" s="8" t="str">
        <f t="shared" si="8"/>
        <v/>
      </c>
    </row>
    <row r="6" spans="1:37" x14ac:dyDescent="0.25">
      <c r="A6" s="3" t="s">
        <v>379</v>
      </c>
      <c r="B6" s="3" t="s">
        <v>380</v>
      </c>
      <c r="C6" s="3" t="s">
        <v>1527</v>
      </c>
      <c r="E6" t="s">
        <v>2001</v>
      </c>
      <c r="F6" t="s">
        <v>1998</v>
      </c>
      <c r="G6" t="s">
        <v>951</v>
      </c>
      <c r="H6" t="s">
        <v>8</v>
      </c>
      <c r="I6">
        <v>1</v>
      </c>
      <c r="J6">
        <v>0</v>
      </c>
      <c r="K6">
        <v>8</v>
      </c>
      <c r="L6" s="8">
        <f t="shared" si="0"/>
        <v>1</v>
      </c>
      <c r="M6" s="8">
        <f t="shared" si="1"/>
        <v>1</v>
      </c>
      <c r="N6" s="8">
        <f t="shared" si="2"/>
        <v>8</v>
      </c>
      <c r="W6" s="8" t="str">
        <f t="shared" si="3"/>
        <v/>
      </c>
      <c r="X6" s="8" t="str">
        <f t="shared" si="4"/>
        <v/>
      </c>
      <c r="Y6" s="8" t="str">
        <f t="shared" si="5"/>
        <v/>
      </c>
      <c r="AH6" s="8" t="str">
        <f t="shared" si="6"/>
        <v/>
      </c>
      <c r="AI6" s="8" t="str">
        <f t="shared" si="7"/>
        <v/>
      </c>
      <c r="AJ6" s="8" t="str">
        <f t="shared" si="8"/>
        <v/>
      </c>
    </row>
    <row r="7" spans="1:37" x14ac:dyDescent="0.25">
      <c r="A7" s="3" t="s">
        <v>381</v>
      </c>
      <c r="B7" s="3" t="s">
        <v>382</v>
      </c>
      <c r="C7" s="3" t="s">
        <v>1528</v>
      </c>
      <c r="E7" t="s">
        <v>2002</v>
      </c>
      <c r="F7" t="s">
        <v>952</v>
      </c>
      <c r="G7" t="s">
        <v>953</v>
      </c>
      <c r="H7" t="s">
        <v>8</v>
      </c>
      <c r="I7">
        <v>3</v>
      </c>
      <c r="J7">
        <v>0.05</v>
      </c>
      <c r="K7">
        <v>49</v>
      </c>
      <c r="L7" s="8">
        <f t="shared" si="0"/>
        <v>3.1500000000000004</v>
      </c>
      <c r="M7" s="8">
        <f t="shared" si="1"/>
        <v>3.1500000000000004</v>
      </c>
      <c r="N7" s="8">
        <f t="shared" si="2"/>
        <v>154.35000000000002</v>
      </c>
      <c r="W7" s="8" t="str">
        <f t="shared" si="3"/>
        <v/>
      </c>
      <c r="X7" s="8" t="str">
        <f t="shared" si="4"/>
        <v/>
      </c>
      <c r="Y7" s="8" t="str">
        <f t="shared" si="5"/>
        <v/>
      </c>
      <c r="AH7" s="8" t="str">
        <f t="shared" si="6"/>
        <v/>
      </c>
      <c r="AI7" s="8" t="str">
        <f t="shared" si="7"/>
        <v/>
      </c>
      <c r="AJ7" s="8" t="str">
        <f t="shared" si="8"/>
        <v/>
      </c>
    </row>
    <row r="8" spans="1:37" x14ac:dyDescent="0.25">
      <c r="A8" s="3" t="s">
        <v>381</v>
      </c>
      <c r="B8" s="3" t="s">
        <v>383</v>
      </c>
      <c r="C8" s="3" t="s">
        <v>1529</v>
      </c>
      <c r="E8" t="s">
        <v>2003</v>
      </c>
      <c r="F8" t="s">
        <v>952</v>
      </c>
      <c r="G8" t="s">
        <v>954</v>
      </c>
      <c r="H8" t="s">
        <v>8</v>
      </c>
      <c r="I8">
        <v>6</v>
      </c>
      <c r="J8">
        <v>0.05</v>
      </c>
      <c r="K8">
        <v>4.3</v>
      </c>
      <c r="L8" s="8">
        <f t="shared" si="0"/>
        <v>6.3000000000000007</v>
      </c>
      <c r="M8" s="8">
        <f t="shared" si="1"/>
        <v>6.3000000000000007</v>
      </c>
      <c r="N8" s="8">
        <f t="shared" si="2"/>
        <v>27.090000000000003</v>
      </c>
      <c r="W8" s="8" t="str">
        <f t="shared" si="3"/>
        <v/>
      </c>
      <c r="X8" s="8" t="str">
        <f t="shared" si="4"/>
        <v/>
      </c>
      <c r="Y8" s="8" t="str">
        <f t="shared" si="5"/>
        <v/>
      </c>
      <c r="AH8" s="8" t="str">
        <f t="shared" si="6"/>
        <v/>
      </c>
      <c r="AI8" s="8" t="str">
        <f t="shared" si="7"/>
        <v/>
      </c>
      <c r="AJ8" s="8" t="str">
        <f t="shared" si="8"/>
        <v/>
      </c>
    </row>
    <row r="9" spans="1:37" x14ac:dyDescent="0.25">
      <c r="A9" s="3" t="s">
        <v>381</v>
      </c>
      <c r="B9" s="3" t="s">
        <v>384</v>
      </c>
      <c r="C9" s="3" t="s">
        <v>1530</v>
      </c>
      <c r="E9" t="s">
        <v>2004</v>
      </c>
      <c r="F9" t="s">
        <v>952</v>
      </c>
      <c r="G9" t="s">
        <v>63</v>
      </c>
      <c r="H9" t="s">
        <v>8</v>
      </c>
      <c r="I9">
        <v>1</v>
      </c>
      <c r="J9">
        <v>0</v>
      </c>
      <c r="K9">
        <v>15</v>
      </c>
      <c r="L9" s="8">
        <f t="shared" si="0"/>
        <v>1</v>
      </c>
      <c r="M9" s="8">
        <f t="shared" si="1"/>
        <v>1</v>
      </c>
      <c r="N9" s="8">
        <f t="shared" si="2"/>
        <v>15</v>
      </c>
      <c r="W9" s="8" t="str">
        <f t="shared" si="3"/>
        <v/>
      </c>
      <c r="X9" s="8" t="str">
        <f t="shared" si="4"/>
        <v/>
      </c>
      <c r="Y9" s="8" t="str">
        <f t="shared" si="5"/>
        <v/>
      </c>
      <c r="AH9" s="8" t="str">
        <f t="shared" si="6"/>
        <v/>
      </c>
      <c r="AI9" s="8" t="str">
        <f t="shared" si="7"/>
        <v/>
      </c>
      <c r="AJ9" s="8" t="str">
        <f t="shared" si="8"/>
        <v/>
      </c>
    </row>
    <row r="10" spans="1:37" x14ac:dyDescent="0.25">
      <c r="A10" s="3" t="s">
        <v>381</v>
      </c>
      <c r="B10" s="3" t="s">
        <v>874</v>
      </c>
      <c r="C10" s="3" t="s">
        <v>875</v>
      </c>
      <c r="E10" t="s">
        <v>2005</v>
      </c>
      <c r="F10" t="s">
        <v>952</v>
      </c>
      <c r="G10" t="s">
        <v>2006</v>
      </c>
      <c r="H10" t="s">
        <v>8</v>
      </c>
      <c r="I10">
        <v>1</v>
      </c>
      <c r="J10">
        <v>0</v>
      </c>
      <c r="K10">
        <v>4</v>
      </c>
      <c r="L10" s="8">
        <f t="shared" si="0"/>
        <v>1</v>
      </c>
      <c r="M10" s="8">
        <f t="shared" si="1"/>
        <v>1</v>
      </c>
      <c r="N10" s="8">
        <f t="shared" si="2"/>
        <v>4</v>
      </c>
      <c r="W10" s="8" t="str">
        <f t="shared" si="3"/>
        <v/>
      </c>
      <c r="X10" s="8" t="str">
        <f t="shared" si="4"/>
        <v/>
      </c>
      <c r="Y10" s="8" t="str">
        <f t="shared" si="5"/>
        <v/>
      </c>
      <c r="AH10" s="8" t="str">
        <f t="shared" si="6"/>
        <v/>
      </c>
      <c r="AI10" s="8" t="str">
        <f t="shared" si="7"/>
        <v/>
      </c>
      <c r="AJ10" s="8" t="str">
        <f t="shared" si="8"/>
        <v/>
      </c>
    </row>
    <row r="11" spans="1:37" x14ac:dyDescent="0.25">
      <c r="A11" s="3" t="s">
        <v>381</v>
      </c>
      <c r="B11" s="3" t="s">
        <v>876</v>
      </c>
      <c r="C11" s="3" t="s">
        <v>1531</v>
      </c>
      <c r="E11" t="s">
        <v>2007</v>
      </c>
      <c r="F11" t="s">
        <v>952</v>
      </c>
      <c r="G11" t="s">
        <v>2008</v>
      </c>
      <c r="H11" t="s">
        <v>8</v>
      </c>
      <c r="I11">
        <v>1</v>
      </c>
      <c r="J11">
        <v>0</v>
      </c>
      <c r="K11">
        <v>8</v>
      </c>
      <c r="L11" s="8">
        <f t="shared" si="0"/>
        <v>1</v>
      </c>
      <c r="M11" s="8">
        <f t="shared" si="1"/>
        <v>1</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379</v>
      </c>
      <c r="B12" s="3" t="s">
        <v>877</v>
      </c>
      <c r="C12" s="3" t="s">
        <v>878</v>
      </c>
      <c r="E12" t="s">
        <v>2009</v>
      </c>
      <c r="F12" t="s">
        <v>955</v>
      </c>
      <c r="G12" t="s">
        <v>956</v>
      </c>
      <c r="H12" t="s">
        <v>8</v>
      </c>
      <c r="I12">
        <v>2</v>
      </c>
      <c r="J12">
        <v>0.05</v>
      </c>
      <c r="K12">
        <v>91</v>
      </c>
      <c r="L12" s="8">
        <f t="shared" si="0"/>
        <v>2.1</v>
      </c>
      <c r="M12" s="8">
        <f t="shared" si="1"/>
        <v>2.1</v>
      </c>
      <c r="N12" s="8">
        <f t="shared" si="2"/>
        <v>191.1</v>
      </c>
      <c r="W12" s="8" t="str">
        <f t="shared" si="3"/>
        <v/>
      </c>
      <c r="X12" s="8" t="str">
        <f t="shared" si="4"/>
        <v/>
      </c>
      <c r="Y12" s="8" t="str">
        <f t="shared" si="5"/>
        <v/>
      </c>
      <c r="AH12" s="8" t="str">
        <f t="shared" si="6"/>
        <v/>
      </c>
      <c r="AI12" s="8" t="str">
        <f t="shared" si="7"/>
        <v/>
      </c>
      <c r="AJ12" s="8" t="str">
        <f t="shared" si="8"/>
        <v/>
      </c>
    </row>
    <row r="13" spans="1:37" x14ac:dyDescent="0.25">
      <c r="A13" s="3" t="s">
        <v>379</v>
      </c>
      <c r="B13" s="3" t="s">
        <v>879</v>
      </c>
      <c r="C13" s="3" t="s">
        <v>880</v>
      </c>
      <c r="E13" t="s">
        <v>2010</v>
      </c>
      <c r="F13" t="s">
        <v>955</v>
      </c>
      <c r="G13" t="s">
        <v>957</v>
      </c>
      <c r="H13" t="s">
        <v>8</v>
      </c>
      <c r="I13">
        <v>2</v>
      </c>
      <c r="J13">
        <v>0.05</v>
      </c>
      <c r="K13">
        <v>9.5</v>
      </c>
      <c r="L13" s="8">
        <f t="shared" si="0"/>
        <v>2.1</v>
      </c>
      <c r="M13" s="8">
        <f t="shared" si="1"/>
        <v>2.1</v>
      </c>
      <c r="N13" s="8">
        <f t="shared" si="2"/>
        <v>19.95</v>
      </c>
      <c r="W13" s="8" t="str">
        <f t="shared" si="3"/>
        <v/>
      </c>
      <c r="X13" s="8" t="str">
        <f t="shared" si="4"/>
        <v/>
      </c>
      <c r="Y13" s="8" t="str">
        <f t="shared" si="5"/>
        <v/>
      </c>
      <c r="AH13" s="8" t="str">
        <f t="shared" si="6"/>
        <v/>
      </c>
      <c r="AI13" s="8" t="str">
        <f t="shared" si="7"/>
        <v/>
      </c>
      <c r="AJ13" s="8" t="str">
        <f t="shared" si="8"/>
        <v/>
      </c>
    </row>
    <row r="14" spans="1:37" x14ac:dyDescent="0.25">
      <c r="A14" s="3" t="s">
        <v>379</v>
      </c>
      <c r="B14" s="3" t="s">
        <v>881</v>
      </c>
      <c r="C14" s="3" t="s">
        <v>882</v>
      </c>
      <c r="E14" t="s">
        <v>2011</v>
      </c>
      <c r="F14" t="s">
        <v>955</v>
      </c>
      <c r="G14" t="s">
        <v>958</v>
      </c>
      <c r="H14" t="s">
        <v>959</v>
      </c>
      <c r="I14">
        <v>1</v>
      </c>
      <c r="J14">
        <v>0</v>
      </c>
      <c r="K14">
        <v>8.4</v>
      </c>
      <c r="L14" s="8">
        <f t="shared" si="0"/>
        <v>1</v>
      </c>
      <c r="M14" s="8">
        <f t="shared" si="1"/>
        <v>1</v>
      </c>
      <c r="N14" s="8">
        <f t="shared" si="2"/>
        <v>8.4</v>
      </c>
      <c r="W14" s="8" t="str">
        <f t="shared" si="3"/>
        <v/>
      </c>
      <c r="X14" s="8" t="str">
        <f t="shared" si="4"/>
        <v/>
      </c>
      <c r="Y14" s="8" t="str">
        <f t="shared" si="5"/>
        <v/>
      </c>
      <c r="AH14" s="8" t="str">
        <f t="shared" si="6"/>
        <v/>
      </c>
      <c r="AI14" s="8" t="str">
        <f t="shared" si="7"/>
        <v/>
      </c>
      <c r="AJ14" s="8" t="str">
        <f t="shared" si="8"/>
        <v/>
      </c>
    </row>
    <row r="15" spans="1:37" x14ac:dyDescent="0.25">
      <c r="A15" s="3" t="s">
        <v>381</v>
      </c>
      <c r="B15" s="3" t="s">
        <v>1532</v>
      </c>
      <c r="C15" s="3" t="s">
        <v>1533</v>
      </c>
      <c r="E15" t="s">
        <v>2012</v>
      </c>
      <c r="F15" t="s">
        <v>960</v>
      </c>
      <c r="G15" t="s">
        <v>961</v>
      </c>
      <c r="H15" t="s">
        <v>8</v>
      </c>
      <c r="I15">
        <v>1</v>
      </c>
      <c r="J15">
        <v>0</v>
      </c>
      <c r="K15">
        <v>1</v>
      </c>
      <c r="L15" s="8">
        <f t="shared" si="0"/>
        <v>1</v>
      </c>
      <c r="M15" s="8">
        <f t="shared" si="1"/>
        <v>1</v>
      </c>
      <c r="N15" s="8">
        <f t="shared" si="2"/>
        <v>1</v>
      </c>
      <c r="W15" s="8" t="str">
        <f t="shared" si="3"/>
        <v/>
      </c>
      <c r="X15" s="8" t="str">
        <f t="shared" si="4"/>
        <v/>
      </c>
      <c r="Y15" s="8" t="str">
        <f t="shared" si="5"/>
        <v/>
      </c>
      <c r="AH15" s="8" t="str">
        <f t="shared" si="6"/>
        <v/>
      </c>
      <c r="AI15" s="8" t="str">
        <f t="shared" si="7"/>
        <v/>
      </c>
      <c r="AJ15" s="8" t="str">
        <f t="shared" si="8"/>
        <v/>
      </c>
    </row>
    <row r="16" spans="1:37" x14ac:dyDescent="0.25">
      <c r="A16" s="3" t="s">
        <v>379</v>
      </c>
      <c r="B16" s="3" t="s">
        <v>1534</v>
      </c>
      <c r="C16" s="3" t="s">
        <v>1535</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381</v>
      </c>
      <c r="B17" s="3" t="s">
        <v>1536</v>
      </c>
      <c r="C17" s="3" t="s">
        <v>1537</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381</v>
      </c>
      <c r="B18" s="3" t="s">
        <v>1538</v>
      </c>
      <c r="C18" s="3" t="s">
        <v>1539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379</v>
      </c>
      <c r="B19" s="3" t="s">
        <v>1540</v>
      </c>
      <c r="C19" s="3" t="s">
        <v>1541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381</v>
      </c>
      <c r="B20" s="3" t="s">
        <v>883</v>
      </c>
      <c r="C20" s="3" t="s">
        <v>884</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379</v>
      </c>
      <c r="B21" s="3" t="s">
        <v>385</v>
      </c>
      <c r="C21" s="3" t="s">
        <v>1542</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379</v>
      </c>
      <c r="B22" s="3" t="s">
        <v>885</v>
      </c>
      <c r="C22" s="3" t="s">
        <v>1543</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381</v>
      </c>
      <c r="B23" s="3" t="s">
        <v>886</v>
      </c>
      <c r="C23" s="3" t="s">
        <v>887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379</v>
      </c>
      <c r="B24" s="3" t="s">
        <v>386</v>
      </c>
      <c r="C24" s="3" t="s">
        <v>1544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379</v>
      </c>
      <c r="B25" s="3" t="s">
        <v>387</v>
      </c>
      <c r="C25" s="3" t="s">
        <v>1545</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381</v>
      </c>
      <c r="B26" s="3" t="s">
        <v>888</v>
      </c>
      <c r="C26" s="3" t="s">
        <v>1546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379</v>
      </c>
      <c r="B27" s="3" t="s">
        <v>889</v>
      </c>
      <c r="C27" s="3" t="s">
        <v>1547</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379</v>
      </c>
      <c r="B28" s="3" t="s">
        <v>890</v>
      </c>
      <c r="C28" s="3" t="s">
        <v>891</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379</v>
      </c>
      <c r="B29" s="3" t="s">
        <v>892</v>
      </c>
      <c r="C29" s="3" t="s">
        <v>893</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379</v>
      </c>
      <c r="B30" s="3" t="s">
        <v>894</v>
      </c>
      <c r="C30" s="3" t="s">
        <v>895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379</v>
      </c>
      <c r="B31" s="3" t="s">
        <v>896</v>
      </c>
      <c r="C31" s="3" t="s">
        <v>897</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381</v>
      </c>
      <c r="B32" s="3" t="s">
        <v>898</v>
      </c>
      <c r="C32" s="3" t="s">
        <v>899</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379</v>
      </c>
      <c r="B33" s="3" t="s">
        <v>900</v>
      </c>
      <c r="C33" s="3" t="s">
        <v>1548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379</v>
      </c>
      <c r="B34" s="3" t="s">
        <v>901</v>
      </c>
      <c r="C34" s="3" t="s">
        <v>902</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379</v>
      </c>
      <c r="B35" s="3" t="s">
        <v>903</v>
      </c>
      <c r="C35" s="3" t="s">
        <v>904</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379</v>
      </c>
      <c r="B36" s="3" t="s">
        <v>905</v>
      </c>
      <c r="C36" s="3" t="s">
        <v>1549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379</v>
      </c>
      <c r="B37" s="3" t="s">
        <v>906</v>
      </c>
      <c r="C37" s="3" t="s">
        <v>907</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379</v>
      </c>
      <c r="B38" s="3" t="s">
        <v>908</v>
      </c>
      <c r="C38" s="3" t="s">
        <v>1550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381</v>
      </c>
      <c r="B39" s="3" t="s">
        <v>909</v>
      </c>
      <c r="C39" s="3" t="s">
        <v>910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381</v>
      </c>
      <c r="B40" s="3" t="s">
        <v>911</v>
      </c>
      <c r="C40" s="3" t="s">
        <v>912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381</v>
      </c>
      <c r="B41" s="3" t="s">
        <v>913</v>
      </c>
      <c r="C41" s="3" t="s">
        <v>914</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381</v>
      </c>
      <c r="B42" s="3" t="s">
        <v>915</v>
      </c>
      <c r="C42" s="3" t="s">
        <v>916</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381</v>
      </c>
      <c r="B43" s="3" t="s">
        <v>917</v>
      </c>
      <c r="C43" s="3" t="s">
        <v>918</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381</v>
      </c>
      <c r="B44" s="3" t="s">
        <v>919</v>
      </c>
      <c r="C44" s="3" t="s">
        <v>1551</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379</v>
      </c>
      <c r="B45" s="3" t="s">
        <v>920</v>
      </c>
      <c r="C45" s="3" t="s">
        <v>1552</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379</v>
      </c>
      <c r="B46" s="3" t="s">
        <v>921</v>
      </c>
      <c r="C46" s="3" t="s">
        <v>922</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379</v>
      </c>
      <c r="B47" s="3" t="s">
        <v>923</v>
      </c>
      <c r="C47" s="3" t="s">
        <v>1553</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379</v>
      </c>
      <c r="B48" s="3" t="s">
        <v>388</v>
      </c>
      <c r="C48" s="3" t="s">
        <v>1554</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379</v>
      </c>
      <c r="B49" s="3" t="s">
        <v>924</v>
      </c>
      <c r="C49" s="3" t="s">
        <v>1555</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379</v>
      </c>
      <c r="B50" s="3" t="s">
        <v>389</v>
      </c>
      <c r="C50" s="3" t="s">
        <v>1556</v>
      </c>
    </row>
    <row r="51" spans="1:36" x14ac:dyDescent="0.25">
      <c r="A51" s="3" t="s">
        <v>379</v>
      </c>
      <c r="B51" s="3" t="s">
        <v>925</v>
      </c>
      <c r="C51" s="3" t="s">
        <v>926</v>
      </c>
    </row>
    <row r="52" spans="1:36" x14ac:dyDescent="0.25">
      <c r="A52" s="3" t="s">
        <v>379</v>
      </c>
      <c r="B52" s="3" t="s">
        <v>1557</v>
      </c>
      <c r="C52" s="3" t="s">
        <v>927</v>
      </c>
    </row>
    <row r="53" spans="1:36" x14ac:dyDescent="0.25">
      <c r="A53" s="3" t="s">
        <v>379</v>
      </c>
      <c r="B53" s="3" t="s">
        <v>928</v>
      </c>
      <c r="C53" s="3" t="s">
        <v>1558</v>
      </c>
    </row>
    <row r="54" spans="1:36" x14ac:dyDescent="0.25">
      <c r="A54" s="3" t="s">
        <v>379</v>
      </c>
      <c r="B54" s="3" t="s">
        <v>365</v>
      </c>
      <c r="C54" s="3" t="s">
        <v>929</v>
      </c>
    </row>
    <row r="55" spans="1:36" x14ac:dyDescent="0.25">
      <c r="A55" s="3" t="s">
        <v>930</v>
      </c>
      <c r="B55" s="3" t="s">
        <v>931</v>
      </c>
      <c r="C55" s="3" t="s">
        <v>1976</v>
      </c>
    </row>
    <row r="56" spans="1:36" x14ac:dyDescent="0.25">
      <c r="A56" s="3" t="s">
        <v>930</v>
      </c>
      <c r="B56" s="3" t="s">
        <v>932</v>
      </c>
      <c r="C56" s="3" t="s">
        <v>1977</v>
      </c>
    </row>
    <row r="57" spans="1:36" x14ac:dyDescent="0.25">
      <c r="A57" s="3" t="s">
        <v>930</v>
      </c>
      <c r="B57" s="3" t="s">
        <v>933</v>
      </c>
      <c r="C57" s="3" t="s">
        <v>1978</v>
      </c>
    </row>
    <row r="58" spans="1:36" x14ac:dyDescent="0.25">
      <c r="A58" s="3" t="s">
        <v>930</v>
      </c>
      <c r="B58" s="3" t="s">
        <v>934</v>
      </c>
      <c r="C58" s="3" t="s">
        <v>1979</v>
      </c>
    </row>
    <row r="59" spans="1:36" x14ac:dyDescent="0.25">
      <c r="A59" s="3" t="s">
        <v>930</v>
      </c>
      <c r="B59" s="3" t="s">
        <v>935</v>
      </c>
      <c r="C59" s="3" t="s">
        <v>1980</v>
      </c>
    </row>
    <row r="60" spans="1:36" x14ac:dyDescent="0.25">
      <c r="A60" s="3" t="s">
        <v>930</v>
      </c>
      <c r="B60" s="3" t="s">
        <v>936</v>
      </c>
      <c r="C60" s="3" t="s">
        <v>1981</v>
      </c>
    </row>
    <row r="61" spans="1:36" x14ac:dyDescent="0.25">
      <c r="A61" s="3" t="s">
        <v>930</v>
      </c>
      <c r="B61" s="3" t="s">
        <v>937</v>
      </c>
      <c r="C61" s="3" t="s">
        <v>1982</v>
      </c>
    </row>
    <row r="62" spans="1:36" x14ac:dyDescent="0.25">
      <c r="A62" s="3" t="s">
        <v>930</v>
      </c>
      <c r="B62" s="3" t="s">
        <v>938</v>
      </c>
      <c r="C62" s="3" t="s">
        <v>1983</v>
      </c>
    </row>
    <row r="63" spans="1:36" x14ac:dyDescent="0.25">
      <c r="A63" s="3" t="s">
        <v>930</v>
      </c>
      <c r="B63" s="3" t="s">
        <v>939</v>
      </c>
      <c r="C63" s="3" t="s">
        <v>1984</v>
      </c>
    </row>
    <row r="64" spans="1:36" x14ac:dyDescent="0.25">
      <c r="A64" s="3" t="s">
        <v>930</v>
      </c>
      <c r="B64" s="3" t="s">
        <v>940</v>
      </c>
      <c r="C64" s="3" t="s">
        <v>1985</v>
      </c>
    </row>
    <row r="65" spans="1:3" x14ac:dyDescent="0.25">
      <c r="A65" s="3" t="s">
        <v>930</v>
      </c>
      <c r="B65" s="3" t="s">
        <v>941</v>
      </c>
      <c r="C65" s="3" t="s">
        <v>942</v>
      </c>
    </row>
    <row r="66" spans="1:3" x14ac:dyDescent="0.25">
      <c r="A66" s="3" t="s">
        <v>930</v>
      </c>
      <c r="B66" s="3" t="s">
        <v>943</v>
      </c>
      <c r="C66" s="3" t="s">
        <v>944</v>
      </c>
    </row>
    <row r="67" spans="1:3" x14ac:dyDescent="0.25">
      <c r="A67" s="3" t="s">
        <v>930</v>
      </c>
      <c r="B67" s="3" t="s">
        <v>945</v>
      </c>
      <c r="C67" s="3" t="s">
        <v>946</v>
      </c>
    </row>
    <row r="68" spans="1:3" x14ac:dyDescent="0.25">
      <c r="A68" s="3" t="s">
        <v>947</v>
      </c>
      <c r="B68" s="3" t="s">
        <v>1510</v>
      </c>
      <c r="C68" s="3" t="s">
        <v>452</v>
      </c>
    </row>
    <row r="69" spans="1:3" x14ac:dyDescent="0.25">
      <c r="A69" s="3" t="s">
        <v>381</v>
      </c>
      <c r="B69" s="3" t="s">
        <v>1986</v>
      </c>
      <c r="C69" s="3" t="s">
        <v>1987</v>
      </c>
    </row>
    <row r="70" spans="1:3" x14ac:dyDescent="0.25">
      <c r="A70" s="3" t="s">
        <v>381</v>
      </c>
      <c r="B70" s="3" t="s">
        <v>1988</v>
      </c>
      <c r="C70" s="3" t="s">
        <v>1989</v>
      </c>
    </row>
    <row r="71" spans="1:3" x14ac:dyDescent="0.25">
      <c r="A71" s="3" t="s">
        <v>381</v>
      </c>
      <c r="B71" s="3" t="s">
        <v>1990</v>
      </c>
      <c r="C71" s="3" t="s">
        <v>1991</v>
      </c>
    </row>
    <row r="72" spans="1:3" x14ac:dyDescent="0.25">
      <c r="A72" s="3" t="s">
        <v>381</v>
      </c>
      <c r="B72" s="3" t="s">
        <v>1992</v>
      </c>
      <c r="C72" s="3" t="s">
        <v>1993</v>
      </c>
    </row>
    <row r="73" spans="1:3" x14ac:dyDescent="0.25">
      <c r="A73" s="3" t="s">
        <v>381</v>
      </c>
      <c r="B73" s="3" t="s">
        <v>1968</v>
      </c>
      <c r="C73" s="3" t="s">
        <v>1994</v>
      </c>
    </row>
    <row r="74" spans="1:3" x14ac:dyDescent="0.25">
      <c r="A74" s="3" t="s">
        <v>379</v>
      </c>
      <c r="B74" s="3" t="s">
        <v>582</v>
      </c>
      <c r="C74" s="3" t="s">
        <v>1995</v>
      </c>
    </row>
    <row r="75" spans="1:3" x14ac:dyDescent="0.25">
      <c r="A75" s="3" t="s">
        <v>390</v>
      </c>
      <c r="B75" s="3" t="s">
        <v>391</v>
      </c>
      <c r="C75" s="3" t="s">
        <v>1996</v>
      </c>
    </row>
  </sheetData>
  <mergeCells count="4">
    <mergeCell ref="A1:C1"/>
    <mergeCell ref="E1:K1"/>
    <mergeCell ref="P1:V1"/>
    <mergeCell ref="AA1:AG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D2C45-DCDE-4D2F-8B9D-D0440C4C4BA6}">
  <sheetPr codeName="Sheet19"/>
  <dimension ref="A1:AK67"/>
  <sheetViews>
    <sheetView zoomScale="75" zoomScaleNormal="75" workbookViewId="0">
      <pane ySplit="49" topLeftCell="A68" activePane="bottomLeft" state="frozen"/>
      <selection pane="bottomLeft" sqref="A1:C6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4" t="str" cm="1">
        <f t="array" aca="1" ref="A1" ca="1">IFERROR(MID(CELL("filename",$A$1),FIND("]",CELL("filename",$A$1))+1,99),"SXX")</f>
        <v>S08</v>
      </c>
      <c r="B1" s="34"/>
      <c r="C1" s="34"/>
      <c r="E1" s="35" t="str" cm="1">
        <f t="array" aca="1" ref="E1" ca="1">IFERROR(MID(CELL("filename",$A$1),FIND("]",CELL("filename",$A$1))+1,99),"SXX")&amp;" MATERIALS (USAGE + STANDALONE)"</f>
        <v>S08 MATERIALS (USAGE + STANDALONE)</v>
      </c>
      <c r="F1" s="35"/>
      <c r="G1" s="35"/>
      <c r="H1" s="35"/>
      <c r="I1" s="35"/>
      <c r="J1" s="35"/>
      <c r="K1" s="35"/>
      <c r="L1" s="13"/>
      <c r="M1" s="13"/>
      <c r="N1" s="19">
        <f>SUM(N3:N49)</f>
        <v>8527.7800000000025</v>
      </c>
      <c r="P1" s="35" t="str" cm="1">
        <f t="array" aca="1" ref="P1" ca="1">IFERROR(MID(CELL("filename",$A$1),FIND("]",CELL("filename",$A$1))+1,99),"SXX")&amp;" LABOUR (USAGE + STANDALONE)"</f>
        <v>S08 LABOUR (USAGE + STANDALONE)</v>
      </c>
      <c r="Q1" s="35"/>
      <c r="R1" s="35"/>
      <c r="S1" s="35"/>
      <c r="T1" s="35"/>
      <c r="U1" s="35"/>
      <c r="V1" s="35"/>
      <c r="Y1" s="19">
        <f>SUM(Y3:Y49)</f>
        <v>2002.5</v>
      </c>
      <c r="AA1" s="36" t="str" cm="1">
        <f t="array" aca="1" ref="AA1" ca="1">IFERROR(MID(CELL("filename",$A$1),FIND("]",CELL("filename",$A$1))+1,99),"SXX")&amp;" RENTAL / SERVICE (USAGE + STANDALONE)"</f>
        <v>S08 RENTAL / SERVICE (USAGE + STANDALONE)</v>
      </c>
      <c r="AB1" s="36"/>
      <c r="AC1" s="36"/>
      <c r="AD1" s="36"/>
      <c r="AE1" s="36"/>
      <c r="AF1" s="36"/>
      <c r="AG1" s="36"/>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392</v>
      </c>
      <c r="B3" s="3" t="s">
        <v>1459</v>
      </c>
      <c r="C3" s="3" t="s">
        <v>963</v>
      </c>
      <c r="E3" t="s">
        <v>2048</v>
      </c>
      <c r="F3" t="s">
        <v>1003</v>
      </c>
      <c r="G3" t="s">
        <v>2049</v>
      </c>
      <c r="H3" t="s">
        <v>723</v>
      </c>
      <c r="I3">
        <v>16</v>
      </c>
      <c r="J3" s="22">
        <v>0.05</v>
      </c>
      <c r="K3">
        <v>55</v>
      </c>
      <c r="L3" s="8">
        <f t="shared" ref="L3:L49" si="0">IF($G3="","",$I3*(1+IF($J3="",0,$J3)))</f>
        <v>16.8</v>
      </c>
      <c r="M3" s="8">
        <f t="shared" ref="M3:M49" si="1">IF($G3="","",$L3)</f>
        <v>16.8</v>
      </c>
      <c r="N3" s="8">
        <f t="shared" ref="N3:N49" si="2">IF($G3="","",IF($K3="","",$M3*$K3))</f>
        <v>924</v>
      </c>
      <c r="P3" t="s">
        <v>2058</v>
      </c>
      <c r="Q3" t="s">
        <v>1017</v>
      </c>
      <c r="R3" t="s">
        <v>322</v>
      </c>
      <c r="S3" t="s">
        <v>33</v>
      </c>
      <c r="T3">
        <v>89</v>
      </c>
      <c r="U3" s="22">
        <v>0</v>
      </c>
      <c r="V3">
        <v>22.5</v>
      </c>
      <c r="W3" s="8">
        <f>IF($R3="","",$T3*(1+IF($U3="",0,$U3)))</f>
        <v>89</v>
      </c>
      <c r="X3" s="8">
        <f>IF($R3="","",$W3)</f>
        <v>89</v>
      </c>
      <c r="Y3" s="8">
        <f>IF($R3="","",IF($V3="","",$X3*$V3))</f>
        <v>2002.5</v>
      </c>
      <c r="AA3" s="6" t="s">
        <v>1015</v>
      </c>
      <c r="AB3" t="s">
        <v>1016</v>
      </c>
      <c r="AE3">
        <v>0</v>
      </c>
      <c r="AF3">
        <v>0</v>
      </c>
      <c r="AG3">
        <v>0</v>
      </c>
      <c r="AH3" s="8" t="str">
        <f>IF($AC3="","",$AE3*(1+IF($AF3="",0,$AF3)))</f>
        <v/>
      </c>
      <c r="AI3" s="8" t="str">
        <f>IF($AC3="","",$AH3)</f>
        <v/>
      </c>
      <c r="AJ3" s="8" t="str">
        <f>IF($AC3="","",IF($AG3="","",$AI3*$AG3))</f>
        <v/>
      </c>
    </row>
    <row r="4" spans="1:37" x14ac:dyDescent="0.25">
      <c r="A4" s="3" t="s">
        <v>393</v>
      </c>
      <c r="B4" s="3" t="s">
        <v>1460</v>
      </c>
      <c r="C4" s="3" t="s">
        <v>1461</v>
      </c>
      <c r="E4" t="s">
        <v>2050</v>
      </c>
      <c r="F4" t="s">
        <v>1004</v>
      </c>
      <c r="G4" t="s">
        <v>1005</v>
      </c>
      <c r="H4" t="s">
        <v>8</v>
      </c>
      <c r="I4">
        <v>26</v>
      </c>
      <c r="J4" s="22">
        <v>0.05</v>
      </c>
      <c r="K4">
        <v>22</v>
      </c>
      <c r="L4" s="8">
        <f t="shared" si="0"/>
        <v>27.3</v>
      </c>
      <c r="M4" s="8">
        <f t="shared" si="1"/>
        <v>27.3</v>
      </c>
      <c r="N4" s="8">
        <f t="shared" si="2"/>
        <v>600.6</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965</v>
      </c>
      <c r="B5" s="3" t="s">
        <v>966</v>
      </c>
      <c r="C5" s="3" t="s">
        <v>1462</v>
      </c>
      <c r="E5" t="s">
        <v>2051</v>
      </c>
      <c r="F5" t="s">
        <v>1006</v>
      </c>
      <c r="G5" t="s">
        <v>1007</v>
      </c>
      <c r="H5" t="s">
        <v>1008</v>
      </c>
      <c r="I5">
        <v>958</v>
      </c>
      <c r="J5" s="22">
        <v>0.05</v>
      </c>
      <c r="K5">
        <v>5.5</v>
      </c>
      <c r="L5" s="8">
        <f t="shared" si="0"/>
        <v>1005.9000000000001</v>
      </c>
      <c r="M5" s="8">
        <f t="shared" si="1"/>
        <v>1005.9000000000001</v>
      </c>
      <c r="N5" s="8">
        <f t="shared" si="2"/>
        <v>5532.4500000000007</v>
      </c>
      <c r="W5" s="8" t="str">
        <f t="shared" si="3"/>
        <v/>
      </c>
      <c r="X5" s="8" t="str">
        <f t="shared" si="4"/>
        <v/>
      </c>
      <c r="Y5" s="8" t="str">
        <f t="shared" si="5"/>
        <v/>
      </c>
      <c r="AH5" s="8" t="str">
        <f t="shared" si="6"/>
        <v/>
      </c>
      <c r="AI5" s="8" t="str">
        <f t="shared" si="7"/>
        <v/>
      </c>
      <c r="AJ5" s="8" t="str">
        <f t="shared" si="8"/>
        <v/>
      </c>
    </row>
    <row r="6" spans="1:37" x14ac:dyDescent="0.25">
      <c r="A6" s="3" t="s">
        <v>964</v>
      </c>
      <c r="B6" s="3" t="s">
        <v>1463</v>
      </c>
      <c r="C6" s="3" t="s">
        <v>1464</v>
      </c>
      <c r="E6" t="s">
        <v>2052</v>
      </c>
      <c r="F6" t="s">
        <v>1009</v>
      </c>
      <c r="G6" t="s">
        <v>1513</v>
      </c>
      <c r="H6" t="s">
        <v>8</v>
      </c>
      <c r="I6">
        <v>1200</v>
      </c>
      <c r="J6">
        <v>0.05</v>
      </c>
      <c r="K6">
        <v>0.13</v>
      </c>
      <c r="L6" s="8">
        <f t="shared" si="0"/>
        <v>1260</v>
      </c>
      <c r="M6" s="8">
        <f t="shared" si="1"/>
        <v>1260</v>
      </c>
      <c r="N6" s="8">
        <f t="shared" si="2"/>
        <v>163.80000000000001</v>
      </c>
      <c r="W6" s="8" t="str">
        <f t="shared" si="3"/>
        <v/>
      </c>
      <c r="X6" s="8" t="str">
        <f t="shared" si="4"/>
        <v/>
      </c>
      <c r="Y6" s="8" t="str">
        <f t="shared" si="5"/>
        <v/>
      </c>
      <c r="AH6" s="8" t="str">
        <f t="shared" si="6"/>
        <v/>
      </c>
      <c r="AI6" s="8" t="str">
        <f t="shared" si="7"/>
        <v/>
      </c>
      <c r="AJ6" s="8" t="str">
        <f t="shared" si="8"/>
        <v/>
      </c>
    </row>
    <row r="7" spans="1:37" x14ac:dyDescent="0.25">
      <c r="A7" s="3" t="s">
        <v>394</v>
      </c>
      <c r="B7" s="3" t="s">
        <v>967</v>
      </c>
      <c r="C7" s="3" t="s">
        <v>968</v>
      </c>
      <c r="E7" t="s">
        <v>2053</v>
      </c>
      <c r="F7" t="s">
        <v>1010</v>
      </c>
      <c r="G7" t="s">
        <v>1011</v>
      </c>
      <c r="H7" t="s">
        <v>8</v>
      </c>
      <c r="I7">
        <v>10</v>
      </c>
      <c r="J7">
        <v>0.05</v>
      </c>
      <c r="K7">
        <v>28</v>
      </c>
      <c r="L7" s="8">
        <f t="shared" si="0"/>
        <v>10.5</v>
      </c>
      <c r="M7" s="8">
        <f t="shared" si="1"/>
        <v>10.5</v>
      </c>
      <c r="N7" s="8">
        <f t="shared" si="2"/>
        <v>294</v>
      </c>
      <c r="W7" s="8" t="str">
        <f t="shared" si="3"/>
        <v/>
      </c>
      <c r="X7" s="8" t="str">
        <f t="shared" si="4"/>
        <v/>
      </c>
      <c r="Y7" s="8" t="str">
        <f t="shared" si="5"/>
        <v/>
      </c>
      <c r="AH7" s="8" t="str">
        <f t="shared" si="6"/>
        <v/>
      </c>
      <c r="AI7" s="8" t="str">
        <f t="shared" si="7"/>
        <v/>
      </c>
      <c r="AJ7" s="8" t="str">
        <f t="shared" si="8"/>
        <v/>
      </c>
    </row>
    <row r="8" spans="1:37" x14ac:dyDescent="0.25">
      <c r="A8" s="3" t="s">
        <v>394</v>
      </c>
      <c r="B8" s="3" t="s">
        <v>1465</v>
      </c>
      <c r="C8" s="3" t="s">
        <v>1466</v>
      </c>
      <c r="E8" t="s">
        <v>2054</v>
      </c>
      <c r="F8" t="s">
        <v>1010</v>
      </c>
      <c r="G8" t="s">
        <v>1012</v>
      </c>
      <c r="H8" t="s">
        <v>327</v>
      </c>
      <c r="I8">
        <v>3</v>
      </c>
      <c r="J8">
        <v>0.05</v>
      </c>
      <c r="K8">
        <v>15</v>
      </c>
      <c r="L8" s="8">
        <f t="shared" si="0"/>
        <v>3.1500000000000004</v>
      </c>
      <c r="M8" s="8">
        <f t="shared" si="1"/>
        <v>3.1500000000000004</v>
      </c>
      <c r="N8" s="8">
        <f t="shared" si="2"/>
        <v>47.250000000000007</v>
      </c>
      <c r="W8" s="8" t="str">
        <f t="shared" si="3"/>
        <v/>
      </c>
      <c r="X8" s="8" t="str">
        <f t="shared" si="4"/>
        <v/>
      </c>
      <c r="Y8" s="8" t="str">
        <f t="shared" si="5"/>
        <v/>
      </c>
      <c r="AH8" s="8" t="str">
        <f t="shared" si="6"/>
        <v/>
      </c>
      <c r="AI8" s="8" t="str">
        <f t="shared" si="7"/>
        <v/>
      </c>
      <c r="AJ8" s="8" t="str">
        <f t="shared" si="8"/>
        <v/>
      </c>
    </row>
    <row r="9" spans="1:37" x14ac:dyDescent="0.25">
      <c r="A9" s="3" t="s">
        <v>396</v>
      </c>
      <c r="B9" s="3" t="s">
        <v>969</v>
      </c>
      <c r="C9" s="3" t="s">
        <v>1467</v>
      </c>
      <c r="E9" t="s">
        <v>2055</v>
      </c>
      <c r="F9" t="s">
        <v>1013</v>
      </c>
      <c r="G9" t="s">
        <v>1514</v>
      </c>
      <c r="H9" t="s">
        <v>723</v>
      </c>
      <c r="I9">
        <v>8</v>
      </c>
      <c r="J9">
        <v>0.05</v>
      </c>
      <c r="K9">
        <v>45</v>
      </c>
      <c r="L9" s="8">
        <f t="shared" si="0"/>
        <v>8.4</v>
      </c>
      <c r="M9" s="8">
        <f t="shared" si="1"/>
        <v>8.4</v>
      </c>
      <c r="N9" s="8">
        <f t="shared" si="2"/>
        <v>378</v>
      </c>
      <c r="W9" s="8" t="str">
        <f t="shared" si="3"/>
        <v/>
      </c>
      <c r="X9" s="8" t="str">
        <f t="shared" si="4"/>
        <v/>
      </c>
      <c r="Y9" s="8" t="str">
        <f t="shared" si="5"/>
        <v/>
      </c>
      <c r="AH9" s="8" t="str">
        <f t="shared" si="6"/>
        <v/>
      </c>
      <c r="AI9" s="8" t="str">
        <f t="shared" si="7"/>
        <v/>
      </c>
      <c r="AJ9" s="8" t="str">
        <f t="shared" si="8"/>
        <v/>
      </c>
    </row>
    <row r="10" spans="1:37" x14ac:dyDescent="0.25">
      <c r="A10" s="3" t="s">
        <v>396</v>
      </c>
      <c r="B10" s="3" t="s">
        <v>970</v>
      </c>
      <c r="C10" s="3" t="s">
        <v>971</v>
      </c>
      <c r="E10" t="s">
        <v>1515</v>
      </c>
      <c r="F10" t="s">
        <v>1013</v>
      </c>
      <c r="G10" t="s">
        <v>1516</v>
      </c>
      <c r="H10" t="s">
        <v>8</v>
      </c>
      <c r="I10">
        <v>24</v>
      </c>
      <c r="J10">
        <v>0.05</v>
      </c>
      <c r="K10">
        <v>7.5</v>
      </c>
      <c r="L10" s="8">
        <f t="shared" si="0"/>
        <v>25.200000000000003</v>
      </c>
      <c r="M10" s="8">
        <f t="shared" si="1"/>
        <v>25.200000000000003</v>
      </c>
      <c r="N10" s="8">
        <f t="shared" si="2"/>
        <v>189.00000000000003</v>
      </c>
      <c r="W10" s="8" t="str">
        <f t="shared" si="3"/>
        <v/>
      </c>
      <c r="X10" s="8" t="str">
        <f t="shared" si="4"/>
        <v/>
      </c>
      <c r="Y10" s="8" t="str">
        <f t="shared" si="5"/>
        <v/>
      </c>
      <c r="AH10" s="8" t="str">
        <f t="shared" si="6"/>
        <v/>
      </c>
      <c r="AI10" s="8" t="str">
        <f t="shared" si="7"/>
        <v/>
      </c>
      <c r="AJ10" s="8" t="str">
        <f t="shared" si="8"/>
        <v/>
      </c>
    </row>
    <row r="11" spans="1:37" x14ac:dyDescent="0.25">
      <c r="A11" s="3" t="s">
        <v>396</v>
      </c>
      <c r="B11" s="3" t="s">
        <v>1468</v>
      </c>
      <c r="C11" s="3" t="s">
        <v>972</v>
      </c>
      <c r="E11" t="s">
        <v>2056</v>
      </c>
      <c r="F11" t="s">
        <v>1013</v>
      </c>
      <c r="G11" t="s">
        <v>1517</v>
      </c>
      <c r="H11" t="s">
        <v>8</v>
      </c>
      <c r="I11">
        <v>4</v>
      </c>
      <c r="J11">
        <v>0</v>
      </c>
      <c r="K11">
        <v>10</v>
      </c>
      <c r="L11" s="8">
        <f t="shared" si="0"/>
        <v>4</v>
      </c>
      <c r="M11" s="8">
        <f t="shared" si="1"/>
        <v>4</v>
      </c>
      <c r="N11" s="8">
        <f t="shared" si="2"/>
        <v>40</v>
      </c>
      <c r="W11" s="8" t="str">
        <f t="shared" si="3"/>
        <v/>
      </c>
      <c r="X11" s="8" t="str">
        <f t="shared" si="4"/>
        <v/>
      </c>
      <c r="Y11" s="8" t="str">
        <f t="shared" si="5"/>
        <v/>
      </c>
      <c r="AH11" s="8" t="str">
        <f t="shared" si="6"/>
        <v/>
      </c>
      <c r="AI11" s="8" t="str">
        <f t="shared" si="7"/>
        <v/>
      </c>
      <c r="AJ11" s="8" t="str">
        <f t="shared" si="8"/>
        <v/>
      </c>
    </row>
    <row r="12" spans="1:37" x14ac:dyDescent="0.25">
      <c r="A12" s="3" t="s">
        <v>394</v>
      </c>
      <c r="B12" s="3" t="s">
        <v>973</v>
      </c>
      <c r="C12" s="3" t="s">
        <v>974</v>
      </c>
      <c r="E12" t="s">
        <v>1518</v>
      </c>
      <c r="F12" t="s">
        <v>1519</v>
      </c>
      <c r="G12" t="s">
        <v>1520</v>
      </c>
      <c r="H12" t="s">
        <v>723</v>
      </c>
      <c r="I12">
        <v>4</v>
      </c>
      <c r="J12">
        <v>0.05</v>
      </c>
      <c r="K12">
        <v>59</v>
      </c>
      <c r="L12" s="8">
        <f t="shared" si="0"/>
        <v>4.2</v>
      </c>
      <c r="M12" s="8">
        <f t="shared" si="1"/>
        <v>4.2</v>
      </c>
      <c r="N12" s="8">
        <f t="shared" si="2"/>
        <v>247.8</v>
      </c>
      <c r="W12" s="8" t="str">
        <f t="shared" si="3"/>
        <v/>
      </c>
      <c r="X12" s="8" t="str">
        <f t="shared" si="4"/>
        <v/>
      </c>
      <c r="Y12" s="8" t="str">
        <f t="shared" si="5"/>
        <v/>
      </c>
      <c r="AH12" s="8" t="str">
        <f t="shared" si="6"/>
        <v/>
      </c>
      <c r="AI12" s="8" t="str">
        <f t="shared" si="7"/>
        <v/>
      </c>
      <c r="AJ12" s="8" t="str">
        <f t="shared" si="8"/>
        <v/>
      </c>
    </row>
    <row r="13" spans="1:37" x14ac:dyDescent="0.25">
      <c r="A13" s="3" t="s">
        <v>394</v>
      </c>
      <c r="B13" s="3" t="s">
        <v>975</v>
      </c>
      <c r="C13" s="3" t="s">
        <v>1469</v>
      </c>
      <c r="E13" t="s">
        <v>1521</v>
      </c>
      <c r="F13" t="s">
        <v>1519</v>
      </c>
      <c r="G13" t="s">
        <v>1522</v>
      </c>
      <c r="H13" t="s">
        <v>8</v>
      </c>
      <c r="I13">
        <v>4</v>
      </c>
      <c r="J13">
        <v>0.05</v>
      </c>
      <c r="K13">
        <v>6.2</v>
      </c>
      <c r="L13" s="8">
        <f t="shared" si="0"/>
        <v>4.2</v>
      </c>
      <c r="M13" s="8">
        <f t="shared" si="1"/>
        <v>4.2</v>
      </c>
      <c r="N13" s="8">
        <f t="shared" si="2"/>
        <v>26.040000000000003</v>
      </c>
      <c r="W13" s="8" t="str">
        <f t="shared" si="3"/>
        <v/>
      </c>
      <c r="X13" s="8" t="str">
        <f t="shared" si="4"/>
        <v/>
      </c>
      <c r="Y13" s="8" t="str">
        <f t="shared" si="5"/>
        <v/>
      </c>
      <c r="AH13" s="8" t="str">
        <f t="shared" si="6"/>
        <v/>
      </c>
      <c r="AI13" s="8" t="str">
        <f t="shared" si="7"/>
        <v/>
      </c>
      <c r="AJ13" s="8" t="str">
        <f t="shared" si="8"/>
        <v/>
      </c>
    </row>
    <row r="14" spans="1:37" x14ac:dyDescent="0.25">
      <c r="A14" s="3" t="s">
        <v>394</v>
      </c>
      <c r="B14" s="3" t="s">
        <v>2014</v>
      </c>
      <c r="C14" s="3" t="s">
        <v>2015</v>
      </c>
      <c r="E14" t="s">
        <v>1523</v>
      </c>
      <c r="F14" t="s">
        <v>1519</v>
      </c>
      <c r="G14" t="s">
        <v>1524</v>
      </c>
      <c r="H14" t="s">
        <v>8</v>
      </c>
      <c r="I14">
        <v>8</v>
      </c>
      <c r="J14">
        <v>0.05</v>
      </c>
      <c r="K14">
        <v>5.6</v>
      </c>
      <c r="L14" s="8">
        <f t="shared" si="0"/>
        <v>8.4</v>
      </c>
      <c r="M14" s="8">
        <f t="shared" si="1"/>
        <v>8.4</v>
      </c>
      <c r="N14" s="8">
        <f t="shared" si="2"/>
        <v>47.04</v>
      </c>
      <c r="W14" s="8" t="str">
        <f t="shared" si="3"/>
        <v/>
      </c>
      <c r="X14" s="8" t="str">
        <f t="shared" si="4"/>
        <v/>
      </c>
      <c r="Y14" s="8" t="str">
        <f t="shared" si="5"/>
        <v/>
      </c>
      <c r="AH14" s="8" t="str">
        <f t="shared" si="6"/>
        <v/>
      </c>
      <c r="AI14" s="8" t="str">
        <f t="shared" si="7"/>
        <v/>
      </c>
      <c r="AJ14" s="8" t="str">
        <f t="shared" si="8"/>
        <v/>
      </c>
    </row>
    <row r="15" spans="1:37" x14ac:dyDescent="0.25">
      <c r="A15" s="3" t="s">
        <v>394</v>
      </c>
      <c r="B15" s="3" t="s">
        <v>2016</v>
      </c>
      <c r="C15" s="3" t="s">
        <v>2017</v>
      </c>
      <c r="E15" t="s">
        <v>2057</v>
      </c>
      <c r="F15" t="s">
        <v>1519</v>
      </c>
      <c r="G15" t="s">
        <v>1014</v>
      </c>
      <c r="H15" t="s">
        <v>8</v>
      </c>
      <c r="I15">
        <v>12</v>
      </c>
      <c r="J15">
        <v>0.05</v>
      </c>
      <c r="K15">
        <v>3</v>
      </c>
      <c r="L15" s="8">
        <f t="shared" si="0"/>
        <v>12.600000000000001</v>
      </c>
      <c r="M15" s="8">
        <f t="shared" si="1"/>
        <v>12.600000000000001</v>
      </c>
      <c r="N15" s="8">
        <f t="shared" si="2"/>
        <v>37.800000000000004</v>
      </c>
      <c r="W15" s="8" t="str">
        <f t="shared" si="3"/>
        <v/>
      </c>
      <c r="X15" s="8" t="str">
        <f t="shared" si="4"/>
        <v/>
      </c>
      <c r="Y15" s="8" t="str">
        <f t="shared" si="5"/>
        <v/>
      </c>
      <c r="AH15" s="8" t="str">
        <f t="shared" si="6"/>
        <v/>
      </c>
      <c r="AI15" s="8" t="str">
        <f t="shared" si="7"/>
        <v/>
      </c>
      <c r="AJ15" s="8" t="str">
        <f t="shared" si="8"/>
        <v/>
      </c>
    </row>
    <row r="16" spans="1:37" x14ac:dyDescent="0.25">
      <c r="A16" s="3" t="s">
        <v>394</v>
      </c>
      <c r="B16" s="3" t="s">
        <v>395</v>
      </c>
      <c r="C16" s="3" t="s">
        <v>976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394</v>
      </c>
      <c r="B17" s="3" t="s">
        <v>977</v>
      </c>
      <c r="C17" s="3" t="s">
        <v>978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394</v>
      </c>
      <c r="B18" s="3" t="s">
        <v>979</v>
      </c>
      <c r="C18" s="3" t="s">
        <v>980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394</v>
      </c>
      <c r="B19" s="3" t="s">
        <v>981</v>
      </c>
      <c r="C19" s="3" t="s">
        <v>982</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394</v>
      </c>
      <c r="B20" s="3" t="s">
        <v>988</v>
      </c>
      <c r="C20" s="3" t="s">
        <v>989</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394</v>
      </c>
      <c r="B21" s="3" t="s">
        <v>990</v>
      </c>
      <c r="C21" s="3" t="s">
        <v>1470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394</v>
      </c>
      <c r="B22" s="3" t="s">
        <v>1471</v>
      </c>
      <c r="C22" s="3" t="s">
        <v>1472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396</v>
      </c>
      <c r="B23" s="3" t="s">
        <v>1473</v>
      </c>
      <c r="C23" s="3" t="s">
        <v>1474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396</v>
      </c>
      <c r="B24" s="3" t="s">
        <v>1475</v>
      </c>
      <c r="C24" s="3" t="s">
        <v>1476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396</v>
      </c>
      <c r="B25" s="3" t="s">
        <v>1477</v>
      </c>
      <c r="C25" s="3" t="s">
        <v>1478</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396</v>
      </c>
      <c r="B26" s="3" t="s">
        <v>1479</v>
      </c>
      <c r="C26" s="3" t="s">
        <v>1480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396</v>
      </c>
      <c r="B27" s="3" t="s">
        <v>1481</v>
      </c>
      <c r="C27" s="3" t="s">
        <v>1482</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394</v>
      </c>
      <c r="B28" s="3" t="s">
        <v>983</v>
      </c>
      <c r="C28" s="3" t="s">
        <v>984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394</v>
      </c>
      <c r="B29" s="3" t="s">
        <v>985</v>
      </c>
      <c r="C29" s="3" t="s">
        <v>986</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394</v>
      </c>
      <c r="B30" s="3" t="s">
        <v>987</v>
      </c>
      <c r="C30" s="3" t="s">
        <v>1483</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394</v>
      </c>
      <c r="B31" s="3" t="s">
        <v>1484</v>
      </c>
      <c r="C31" s="3" t="s">
        <v>2018</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394</v>
      </c>
      <c r="B32" s="3" t="s">
        <v>991</v>
      </c>
      <c r="C32" s="3" t="s">
        <v>1485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394</v>
      </c>
      <c r="B33" s="3" t="s">
        <v>992</v>
      </c>
      <c r="C33" s="3" t="s">
        <v>1486</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396</v>
      </c>
      <c r="B34" s="3" t="s">
        <v>2019</v>
      </c>
      <c r="C34" s="3" t="s">
        <v>2020</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396</v>
      </c>
      <c r="B35" s="3" t="s">
        <v>2021</v>
      </c>
      <c r="C35" s="3" t="s">
        <v>2022</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396</v>
      </c>
      <c r="B36" s="3" t="s">
        <v>2023</v>
      </c>
      <c r="C36" s="3" t="s">
        <v>2024</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396</v>
      </c>
      <c r="B37" s="3" t="s">
        <v>2025</v>
      </c>
      <c r="C37" s="3" t="s">
        <v>2026</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396</v>
      </c>
      <c r="B38" s="3" t="s">
        <v>2027</v>
      </c>
      <c r="C38" s="3" t="s">
        <v>2028</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396</v>
      </c>
      <c r="B39" s="3" t="s">
        <v>2029</v>
      </c>
      <c r="C39" s="3" t="s">
        <v>2030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396</v>
      </c>
      <c r="B40" s="3" t="s">
        <v>2031</v>
      </c>
      <c r="C40" s="3" t="s">
        <v>2032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396</v>
      </c>
      <c r="B41" s="3" t="s">
        <v>2033</v>
      </c>
      <c r="C41" s="3" t="s">
        <v>2034</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396</v>
      </c>
      <c r="B42" s="3" t="s">
        <v>2035</v>
      </c>
      <c r="C42" s="3" t="s">
        <v>2036</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396</v>
      </c>
      <c r="B43" s="3" t="s">
        <v>2037</v>
      </c>
      <c r="C43" s="3" t="s">
        <v>2038</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396</v>
      </c>
      <c r="B44" s="3" t="s">
        <v>2039</v>
      </c>
      <c r="C44" s="3" t="s">
        <v>2040</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396</v>
      </c>
      <c r="B45" s="3" t="s">
        <v>2041</v>
      </c>
      <c r="C45" s="3" t="s">
        <v>2042</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396</v>
      </c>
      <c r="B46" s="3" t="s">
        <v>2043</v>
      </c>
      <c r="C46" s="3" t="s">
        <v>2044</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993</v>
      </c>
      <c r="B47" s="3" t="s">
        <v>1487</v>
      </c>
      <c r="C47" s="3" t="s">
        <v>2045</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993</v>
      </c>
      <c r="B48" s="3" t="s">
        <v>1488</v>
      </c>
      <c r="C48" s="3" t="s">
        <v>1489</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993</v>
      </c>
      <c r="B49" s="3" t="s">
        <v>1490</v>
      </c>
      <c r="C49" s="3" t="s">
        <v>1491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993</v>
      </c>
      <c r="B50" s="3" t="s">
        <v>1492</v>
      </c>
      <c r="C50" s="3" t="s">
        <v>1493</v>
      </c>
    </row>
    <row r="51" spans="1:36" x14ac:dyDescent="0.25">
      <c r="A51" s="3" t="s">
        <v>993</v>
      </c>
      <c r="B51" s="3" t="s">
        <v>1494</v>
      </c>
      <c r="C51" s="3" t="s">
        <v>1495</v>
      </c>
    </row>
    <row r="52" spans="1:36" x14ac:dyDescent="0.25">
      <c r="A52" s="3" t="s">
        <v>993</v>
      </c>
      <c r="B52" s="3" t="s">
        <v>994</v>
      </c>
      <c r="C52" s="3" t="s">
        <v>995</v>
      </c>
    </row>
    <row r="53" spans="1:36" x14ac:dyDescent="0.25">
      <c r="A53" s="3" t="s">
        <v>993</v>
      </c>
      <c r="B53" s="3" t="s">
        <v>1496</v>
      </c>
      <c r="C53" s="3" t="s">
        <v>1497</v>
      </c>
    </row>
    <row r="54" spans="1:36" x14ac:dyDescent="0.25">
      <c r="A54" s="3" t="s">
        <v>993</v>
      </c>
      <c r="B54" s="3" t="s">
        <v>1498</v>
      </c>
      <c r="C54" s="3" t="s">
        <v>1499</v>
      </c>
    </row>
    <row r="55" spans="1:36" x14ac:dyDescent="0.25">
      <c r="A55" s="3" t="s">
        <v>993</v>
      </c>
      <c r="B55" s="3" t="s">
        <v>1500</v>
      </c>
      <c r="C55" s="3" t="s">
        <v>1501</v>
      </c>
    </row>
    <row r="56" spans="1:36" x14ac:dyDescent="0.25">
      <c r="A56" s="3" t="s">
        <v>993</v>
      </c>
      <c r="B56" s="3" t="s">
        <v>1502</v>
      </c>
      <c r="C56" s="3" t="s">
        <v>1503</v>
      </c>
    </row>
    <row r="57" spans="1:36" x14ac:dyDescent="0.25">
      <c r="A57" s="3" t="s">
        <v>993</v>
      </c>
      <c r="B57" s="3" t="s">
        <v>1504</v>
      </c>
      <c r="C57" s="3" t="s">
        <v>1505</v>
      </c>
    </row>
    <row r="58" spans="1:36" x14ac:dyDescent="0.25">
      <c r="A58" s="3" t="s">
        <v>993</v>
      </c>
      <c r="B58" s="3" t="s">
        <v>996</v>
      </c>
      <c r="C58" s="3" t="s">
        <v>1506</v>
      </c>
    </row>
    <row r="59" spans="1:36" x14ac:dyDescent="0.25">
      <c r="A59" s="3" t="s">
        <v>993</v>
      </c>
      <c r="B59" s="3" t="s">
        <v>997</v>
      </c>
      <c r="C59" s="3" t="s">
        <v>998</v>
      </c>
    </row>
    <row r="60" spans="1:36" x14ac:dyDescent="0.25">
      <c r="A60" s="3" t="s">
        <v>394</v>
      </c>
      <c r="B60" s="3" t="s">
        <v>999</v>
      </c>
      <c r="C60" s="3" t="s">
        <v>1507</v>
      </c>
    </row>
    <row r="61" spans="1:36" x14ac:dyDescent="0.25">
      <c r="A61" s="3" t="s">
        <v>394</v>
      </c>
      <c r="B61" s="3" t="s">
        <v>1508</v>
      </c>
      <c r="C61" s="3" t="s">
        <v>1509</v>
      </c>
    </row>
    <row r="62" spans="1:36" x14ac:dyDescent="0.25">
      <c r="A62" s="3" t="s">
        <v>1000</v>
      </c>
      <c r="B62" s="3" t="s">
        <v>1510</v>
      </c>
      <c r="C62" s="3" t="s">
        <v>452</v>
      </c>
    </row>
    <row r="63" spans="1:36" x14ac:dyDescent="0.25">
      <c r="A63" s="3" t="s">
        <v>396</v>
      </c>
      <c r="B63" s="3" t="s">
        <v>1968</v>
      </c>
      <c r="C63" s="3" t="s">
        <v>2046</v>
      </c>
    </row>
    <row r="64" spans="1:36" x14ac:dyDescent="0.25">
      <c r="A64" s="3" t="s">
        <v>394</v>
      </c>
      <c r="B64" s="3" t="s">
        <v>582</v>
      </c>
      <c r="C64" s="3" t="s">
        <v>2047</v>
      </c>
    </row>
    <row r="65" spans="1:3" x14ac:dyDescent="0.25">
      <c r="A65" s="3" t="s">
        <v>394</v>
      </c>
      <c r="B65" s="3" t="s">
        <v>453</v>
      </c>
      <c r="C65" s="3" t="s">
        <v>1511</v>
      </c>
    </row>
    <row r="66" spans="1:3" x14ac:dyDescent="0.25">
      <c r="A66" s="3" t="s">
        <v>394</v>
      </c>
      <c r="B66" s="3" t="s">
        <v>365</v>
      </c>
      <c r="C66" s="3" t="s">
        <v>1001</v>
      </c>
    </row>
    <row r="67" spans="1:3" x14ac:dyDescent="0.25">
      <c r="A67" s="3" t="s">
        <v>397</v>
      </c>
      <c r="B67" s="3" t="s">
        <v>1002</v>
      </c>
      <c r="C67" s="3" t="s">
        <v>1512</v>
      </c>
    </row>
  </sheetData>
  <mergeCells count="4">
    <mergeCell ref="A1:C1"/>
    <mergeCell ref="E1:K1"/>
    <mergeCell ref="P1:V1"/>
    <mergeCell ref="AA1:AG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83E73-726C-40FE-AAB4-7FD78C99906A}">
  <sheetPr codeName="Sheet20"/>
  <dimension ref="A1:AK50"/>
  <sheetViews>
    <sheetView zoomScale="75" zoomScaleNormal="75" workbookViewId="0">
      <pane ySplit="49" topLeftCell="A85" activePane="bottomLeft" state="frozen"/>
      <selection pane="bottomLeft" sqref="A1:C8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4" t="str" cm="1">
        <f t="array" aca="1" ref="A1" ca="1">IFERROR(MID(CELL("filename",$A$1),FIND("]",CELL("filename",$A$1))+1,99),"SXX")</f>
        <v>S09</v>
      </c>
      <c r="B1" s="34"/>
      <c r="C1" s="34"/>
      <c r="E1" s="35" t="str" cm="1">
        <f t="array" aca="1" ref="E1" ca="1">IFERROR(MID(CELL("filename",$A$1),FIND("]",CELL("filename",$A$1))+1,99),"SXX")&amp;" MATERIALS (USAGE + STANDALONE)"</f>
        <v>S09 MATERIALS (USAGE + STANDALONE)</v>
      </c>
      <c r="F1" s="35"/>
      <c r="G1" s="35"/>
      <c r="H1" s="35"/>
      <c r="I1" s="35"/>
      <c r="J1" s="35"/>
      <c r="K1" s="35"/>
      <c r="L1" s="13"/>
      <c r="M1" s="13"/>
      <c r="N1" s="19">
        <f>SUM(N3:N49)</f>
        <v>1840.8600000000004</v>
      </c>
      <c r="P1" s="35" t="str" cm="1">
        <f t="array" aca="1" ref="P1" ca="1">IFERROR(MID(CELL("filename",$A$1),FIND("]",CELL("filename",$A$1))+1,99),"SXX")&amp;" LABOUR (USAGE + STANDALONE)"</f>
        <v>S09 LABOUR (USAGE + STANDALONE)</v>
      </c>
      <c r="Q1" s="35"/>
      <c r="R1" s="35"/>
      <c r="S1" s="35"/>
      <c r="T1" s="35"/>
      <c r="U1" s="35"/>
      <c r="V1" s="35"/>
      <c r="Y1" s="19">
        <f>SUM(Y3:Y49)</f>
        <v>3060</v>
      </c>
      <c r="AA1" s="36" t="str" cm="1">
        <f t="array" aca="1" ref="AA1" ca="1">IFERROR(MID(CELL("filename",$A$1),FIND("]",CELL("filename",$A$1))+1,99),"SXX")&amp;" RENTAL / SERVICE (USAGE + STANDALONE)"</f>
        <v>S09 RENTAL / SERVICE (USAGE + STANDALONE)</v>
      </c>
      <c r="AB1" s="36"/>
      <c r="AC1" s="36"/>
      <c r="AD1" s="36"/>
      <c r="AE1" s="36"/>
      <c r="AF1" s="36"/>
      <c r="AG1" s="36"/>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398</v>
      </c>
      <c r="B3" s="3" t="s">
        <v>1130</v>
      </c>
      <c r="C3" s="3" t="s">
        <v>1131</v>
      </c>
      <c r="E3" t="s">
        <v>2074</v>
      </c>
      <c r="F3" t="s">
        <v>1201</v>
      </c>
      <c r="G3" t="s">
        <v>1202</v>
      </c>
      <c r="H3" t="s">
        <v>8</v>
      </c>
      <c r="I3">
        <v>3900</v>
      </c>
      <c r="J3" s="22">
        <v>0.03</v>
      </c>
      <c r="K3">
        <v>0.28000000000000003</v>
      </c>
      <c r="L3" s="8">
        <f t="shared" ref="L3:L49" si="0">IF($G3="","",$I3*(1+IF($J3="",0,$J3)))</f>
        <v>4017</v>
      </c>
      <c r="M3" s="8">
        <f t="shared" ref="M3:M49" si="1">IF($G3="","",$L3)</f>
        <v>4017</v>
      </c>
      <c r="N3" s="8">
        <f t="shared" ref="N3:N49" si="2">IF($G3="","",IF($K3="","",$M3*$K3))</f>
        <v>1124.7600000000002</v>
      </c>
      <c r="P3" t="s">
        <v>2082</v>
      </c>
      <c r="Q3" t="s">
        <v>1205</v>
      </c>
      <c r="R3" t="s">
        <v>322</v>
      </c>
      <c r="S3" t="s">
        <v>33</v>
      </c>
      <c r="T3">
        <v>136</v>
      </c>
      <c r="U3" s="22">
        <v>0</v>
      </c>
      <c r="V3">
        <v>22.5</v>
      </c>
      <c r="W3" s="8">
        <f>IF($R3="","",$T3*(1+IF($U3="",0,$U3)))</f>
        <v>136</v>
      </c>
      <c r="X3" s="8">
        <f>IF($R3="","",$W3)</f>
        <v>136</v>
      </c>
      <c r="Y3" s="8">
        <f>IF($R3="","",IF($V3="","",$X3*$V3))</f>
        <v>3060</v>
      </c>
      <c r="AH3" s="8" t="str">
        <f>IF($AC3="","",$AE3*(1+IF($AF3="",0,$AF3)))</f>
        <v/>
      </c>
      <c r="AI3" s="8" t="str">
        <f>IF($AC3="","",$AH3)</f>
        <v/>
      </c>
      <c r="AJ3" s="8" t="str">
        <f>IF($AC3="","",IF($AG3="","",$AI3*$AG3))</f>
        <v/>
      </c>
    </row>
    <row r="4" spans="1:37" x14ac:dyDescent="0.25">
      <c r="A4" s="3" t="s">
        <v>399</v>
      </c>
      <c r="B4" s="3" t="s">
        <v>1132</v>
      </c>
      <c r="C4" s="3" t="s">
        <v>1133</v>
      </c>
      <c r="E4" t="s">
        <v>2075</v>
      </c>
      <c r="F4" t="s">
        <v>1203</v>
      </c>
      <c r="G4" t="s">
        <v>2076</v>
      </c>
      <c r="H4" t="s">
        <v>9</v>
      </c>
      <c r="I4">
        <v>12</v>
      </c>
      <c r="J4" s="22">
        <v>0.05</v>
      </c>
      <c r="K4">
        <v>24</v>
      </c>
      <c r="L4" s="8">
        <f t="shared" si="0"/>
        <v>12.600000000000001</v>
      </c>
      <c r="M4" s="8">
        <f t="shared" si="1"/>
        <v>12.600000000000001</v>
      </c>
      <c r="N4" s="8">
        <f t="shared" si="2"/>
        <v>302.40000000000003</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1134</v>
      </c>
      <c r="B5" s="3" t="s">
        <v>1135</v>
      </c>
      <c r="C5" s="3" t="s">
        <v>1136</v>
      </c>
      <c r="E5" t="s">
        <v>2077</v>
      </c>
      <c r="F5" t="s">
        <v>1203</v>
      </c>
      <c r="G5" t="s">
        <v>733</v>
      </c>
      <c r="H5" t="s">
        <v>11</v>
      </c>
      <c r="I5">
        <v>0.2</v>
      </c>
      <c r="J5" s="22">
        <v>0.05</v>
      </c>
      <c r="K5">
        <v>850</v>
      </c>
      <c r="L5" s="8">
        <f t="shared" si="0"/>
        <v>0.21000000000000002</v>
      </c>
      <c r="M5" s="8">
        <f t="shared" si="1"/>
        <v>0.21000000000000002</v>
      </c>
      <c r="N5" s="8">
        <f t="shared" si="2"/>
        <v>178.50000000000003</v>
      </c>
      <c r="W5" s="8" t="str">
        <f t="shared" si="3"/>
        <v/>
      </c>
      <c r="X5" s="8" t="str">
        <f t="shared" si="4"/>
        <v/>
      </c>
      <c r="Y5" s="8" t="str">
        <f t="shared" si="5"/>
        <v/>
      </c>
      <c r="AH5" s="8" t="str">
        <f t="shared" si="6"/>
        <v/>
      </c>
      <c r="AI5" s="8" t="str">
        <f t="shared" si="7"/>
        <v/>
      </c>
      <c r="AJ5" s="8" t="str">
        <f t="shared" si="8"/>
        <v/>
      </c>
    </row>
    <row r="6" spans="1:37" x14ac:dyDescent="0.25">
      <c r="A6" s="3" t="s">
        <v>1137</v>
      </c>
      <c r="B6" s="3" t="s">
        <v>1138</v>
      </c>
      <c r="C6" s="3" t="s">
        <v>1139</v>
      </c>
      <c r="E6" t="s">
        <v>2078</v>
      </c>
      <c r="F6" t="s">
        <v>1204</v>
      </c>
      <c r="G6" t="s">
        <v>866</v>
      </c>
      <c r="H6" t="s">
        <v>662</v>
      </c>
      <c r="I6">
        <v>2</v>
      </c>
      <c r="J6">
        <v>0.05</v>
      </c>
      <c r="K6">
        <v>22</v>
      </c>
      <c r="L6" s="8">
        <f t="shared" si="0"/>
        <v>2.1</v>
      </c>
      <c r="M6" s="8">
        <f t="shared" si="1"/>
        <v>2.1</v>
      </c>
      <c r="N6" s="8">
        <f t="shared" si="2"/>
        <v>46.2</v>
      </c>
      <c r="W6" s="8" t="str">
        <f t="shared" si="3"/>
        <v/>
      </c>
      <c r="X6" s="8" t="str">
        <f t="shared" si="4"/>
        <v/>
      </c>
      <c r="Y6" s="8" t="str">
        <f t="shared" si="5"/>
        <v/>
      </c>
      <c r="AH6" s="8" t="str">
        <f t="shared" si="6"/>
        <v/>
      </c>
      <c r="AI6" s="8" t="str">
        <f t="shared" si="7"/>
        <v/>
      </c>
      <c r="AJ6" s="8" t="str">
        <f t="shared" si="8"/>
        <v/>
      </c>
    </row>
    <row r="7" spans="1:37" x14ac:dyDescent="0.25">
      <c r="A7" s="3" t="s">
        <v>401</v>
      </c>
      <c r="B7" s="3" t="s">
        <v>1140</v>
      </c>
      <c r="C7" s="3" t="s">
        <v>1141</v>
      </c>
      <c r="E7" t="s">
        <v>2079</v>
      </c>
      <c r="F7" t="s">
        <v>1204</v>
      </c>
      <c r="G7" t="s">
        <v>663</v>
      </c>
      <c r="H7" t="s">
        <v>662</v>
      </c>
      <c r="I7">
        <v>2</v>
      </c>
      <c r="J7">
        <v>0.05</v>
      </c>
      <c r="K7">
        <v>15</v>
      </c>
      <c r="L7" s="8">
        <f t="shared" si="0"/>
        <v>2.1</v>
      </c>
      <c r="M7" s="8">
        <f t="shared" si="1"/>
        <v>2.1</v>
      </c>
      <c r="N7" s="8">
        <f t="shared" si="2"/>
        <v>31.5</v>
      </c>
      <c r="W7" s="8" t="str">
        <f t="shared" si="3"/>
        <v/>
      </c>
      <c r="X7" s="8" t="str">
        <f t="shared" si="4"/>
        <v/>
      </c>
      <c r="Y7" s="8" t="str">
        <f t="shared" si="5"/>
        <v/>
      </c>
      <c r="AH7" s="8" t="str">
        <f t="shared" si="6"/>
        <v/>
      </c>
      <c r="AI7" s="8" t="str">
        <f t="shared" si="7"/>
        <v/>
      </c>
      <c r="AJ7" s="8" t="str">
        <f t="shared" si="8"/>
        <v/>
      </c>
    </row>
    <row r="8" spans="1:37" x14ac:dyDescent="0.25">
      <c r="A8" s="3" t="s">
        <v>400</v>
      </c>
      <c r="B8" s="3" t="s">
        <v>1142</v>
      </c>
      <c r="C8" s="3" t="s">
        <v>1143</v>
      </c>
      <c r="E8" t="s">
        <v>2080</v>
      </c>
      <c r="F8" t="s">
        <v>1204</v>
      </c>
      <c r="G8" t="s">
        <v>665</v>
      </c>
      <c r="H8" t="s">
        <v>666</v>
      </c>
      <c r="I8">
        <v>2</v>
      </c>
      <c r="J8">
        <v>0.05</v>
      </c>
      <c r="K8">
        <v>45</v>
      </c>
      <c r="L8" s="8">
        <f t="shared" si="0"/>
        <v>2.1</v>
      </c>
      <c r="M8" s="8">
        <f t="shared" si="1"/>
        <v>2.1</v>
      </c>
      <c r="N8" s="8">
        <f t="shared" si="2"/>
        <v>94.5</v>
      </c>
      <c r="W8" s="8" t="str">
        <f t="shared" si="3"/>
        <v/>
      </c>
      <c r="X8" s="8" t="str">
        <f t="shared" si="4"/>
        <v/>
      </c>
      <c r="Y8" s="8" t="str">
        <f t="shared" si="5"/>
        <v/>
      </c>
      <c r="AH8" s="8" t="str">
        <f t="shared" si="6"/>
        <v/>
      </c>
      <c r="AI8" s="8" t="str">
        <f t="shared" si="7"/>
        <v/>
      </c>
      <c r="AJ8" s="8" t="str">
        <f t="shared" si="8"/>
        <v/>
      </c>
    </row>
    <row r="9" spans="1:37" x14ac:dyDescent="0.25">
      <c r="A9" s="3" t="s">
        <v>400</v>
      </c>
      <c r="B9" s="3" t="s">
        <v>1144</v>
      </c>
      <c r="C9" s="3" t="s">
        <v>2059</v>
      </c>
      <c r="E9" t="s">
        <v>2081</v>
      </c>
      <c r="F9" t="s">
        <v>1204</v>
      </c>
      <c r="G9" t="s">
        <v>722</v>
      </c>
      <c r="H9" t="s">
        <v>723</v>
      </c>
      <c r="I9">
        <v>4</v>
      </c>
      <c r="J9">
        <v>0.05</v>
      </c>
      <c r="K9">
        <v>15</v>
      </c>
      <c r="L9" s="8">
        <f t="shared" si="0"/>
        <v>4.2</v>
      </c>
      <c r="M9" s="8">
        <f t="shared" si="1"/>
        <v>4.2</v>
      </c>
      <c r="N9" s="8">
        <f t="shared" si="2"/>
        <v>63</v>
      </c>
      <c r="W9" s="8" t="str">
        <f t="shared" si="3"/>
        <v/>
      </c>
      <c r="X9" s="8" t="str">
        <f t="shared" si="4"/>
        <v/>
      </c>
      <c r="Y9" s="8" t="str">
        <f t="shared" si="5"/>
        <v/>
      </c>
      <c r="AH9" s="8" t="str">
        <f t="shared" si="6"/>
        <v/>
      </c>
      <c r="AI9" s="8" t="str">
        <f t="shared" si="7"/>
        <v/>
      </c>
      <c r="AJ9" s="8" t="str">
        <f t="shared" si="8"/>
        <v/>
      </c>
    </row>
    <row r="10" spans="1:37" x14ac:dyDescent="0.25">
      <c r="A10" s="3" t="s">
        <v>400</v>
      </c>
      <c r="B10" s="3" t="s">
        <v>1145</v>
      </c>
      <c r="C10" s="3" t="s">
        <v>726</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401</v>
      </c>
      <c r="B11" s="3" t="s">
        <v>1146</v>
      </c>
      <c r="C11" s="3" t="s">
        <v>1147</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402</v>
      </c>
      <c r="B12" s="3" t="s">
        <v>1148</v>
      </c>
      <c r="C12" s="3" t="s">
        <v>1149</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401</v>
      </c>
      <c r="B13" s="3" t="s">
        <v>1150</v>
      </c>
      <c r="C13" s="3" t="s">
        <v>1151</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401</v>
      </c>
      <c r="B14" s="3" t="s">
        <v>1152</v>
      </c>
      <c r="C14" s="3" t="s">
        <v>1153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401</v>
      </c>
      <c r="B15" s="3" t="s">
        <v>1154</v>
      </c>
      <c r="C15" s="3" t="s">
        <v>1155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401</v>
      </c>
      <c r="B16" s="3" t="s">
        <v>1156</v>
      </c>
      <c r="C16" s="3" t="s">
        <v>1157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401</v>
      </c>
      <c r="B17" s="3" t="s">
        <v>1158</v>
      </c>
      <c r="C17" s="3" t="s">
        <v>1159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401</v>
      </c>
      <c r="B18" s="3" t="s">
        <v>404</v>
      </c>
      <c r="C18" s="3" t="s">
        <v>1160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401</v>
      </c>
      <c r="B19" s="3" t="s">
        <v>1161</v>
      </c>
      <c r="C19" s="3" t="s">
        <v>1162</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401</v>
      </c>
      <c r="B20" s="3" t="s">
        <v>1163</v>
      </c>
      <c r="C20" s="3" t="s">
        <v>1164</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402</v>
      </c>
      <c r="B21" s="3" t="s">
        <v>1165</v>
      </c>
      <c r="C21" s="3" t="s">
        <v>1166</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402</v>
      </c>
      <c r="B22" s="3" t="s">
        <v>1167</v>
      </c>
      <c r="C22" s="3" t="s">
        <v>1168</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401</v>
      </c>
      <c r="B23" s="3" t="s">
        <v>2060</v>
      </c>
      <c r="C23" s="3" t="s">
        <v>2061</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402</v>
      </c>
      <c r="B24" s="3" t="s">
        <v>1169</v>
      </c>
      <c r="C24" s="3" t="s">
        <v>1170</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402</v>
      </c>
      <c r="B25" s="3" t="s">
        <v>1171</v>
      </c>
      <c r="C25" s="3" t="s">
        <v>1172</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402</v>
      </c>
      <c r="B26" s="3" t="s">
        <v>1173</v>
      </c>
      <c r="C26" s="3" t="s">
        <v>1174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401</v>
      </c>
      <c r="B27" s="3" t="s">
        <v>1175</v>
      </c>
      <c r="C27" s="3" t="s">
        <v>1176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401</v>
      </c>
      <c r="B28" s="3" t="s">
        <v>1177</v>
      </c>
      <c r="C28" s="3" t="s">
        <v>1178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401</v>
      </c>
      <c r="B29" s="3" t="s">
        <v>403</v>
      </c>
      <c r="C29" s="3" t="s">
        <v>1179</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400</v>
      </c>
      <c r="B30" s="3" t="s">
        <v>1180</v>
      </c>
      <c r="C30" s="3" t="s">
        <v>1951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400</v>
      </c>
      <c r="B31" s="3" t="s">
        <v>1181</v>
      </c>
      <c r="C31" s="3" t="s">
        <v>772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400</v>
      </c>
      <c r="B32" s="3" t="s">
        <v>1182</v>
      </c>
      <c r="C32" s="3" t="s">
        <v>773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400</v>
      </c>
      <c r="B33" s="3" t="s">
        <v>2062</v>
      </c>
      <c r="C33" s="3" t="s">
        <v>775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401</v>
      </c>
      <c r="B34" s="3" t="s">
        <v>1183</v>
      </c>
      <c r="C34" s="3" t="s">
        <v>1184</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401</v>
      </c>
      <c r="B35" s="3" t="s">
        <v>1185</v>
      </c>
      <c r="C35" s="3" t="s">
        <v>1186</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401</v>
      </c>
      <c r="B36" s="3" t="s">
        <v>1187</v>
      </c>
      <c r="C36" s="3" t="s">
        <v>1188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401</v>
      </c>
      <c r="B37" s="3" t="s">
        <v>1189</v>
      </c>
      <c r="C37" s="3" t="s">
        <v>1190</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401</v>
      </c>
      <c r="B38" s="3" t="s">
        <v>1191</v>
      </c>
      <c r="C38" s="3" t="s">
        <v>1192</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401</v>
      </c>
      <c r="B39" s="3" t="s">
        <v>1193</v>
      </c>
      <c r="C39" s="3" t="s">
        <v>1194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401</v>
      </c>
      <c r="B40" s="3" t="s">
        <v>1195</v>
      </c>
      <c r="C40" s="3" t="s">
        <v>1196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401</v>
      </c>
      <c r="B41" s="3" t="s">
        <v>1197</v>
      </c>
      <c r="C41" s="3" t="s">
        <v>1198</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402</v>
      </c>
      <c r="B42" s="3" t="s">
        <v>2063</v>
      </c>
      <c r="C42" s="3" t="s">
        <v>2064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402</v>
      </c>
      <c r="B43" s="3" t="s">
        <v>2065</v>
      </c>
      <c r="C43" s="3" t="s">
        <v>2066</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402</v>
      </c>
      <c r="B44" s="3" t="s">
        <v>2067</v>
      </c>
      <c r="C44" s="3" t="s">
        <v>2068</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402</v>
      </c>
      <c r="B45" s="3" t="s">
        <v>2069</v>
      </c>
      <c r="C45" s="3" t="s">
        <v>2070</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401</v>
      </c>
      <c r="B46" s="3" t="s">
        <v>365</v>
      </c>
      <c r="C46" s="3" t="s">
        <v>1199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1200</v>
      </c>
      <c r="B47" s="3" t="s">
        <v>1510</v>
      </c>
      <c r="C47" s="3" t="s">
        <v>452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402</v>
      </c>
      <c r="B48" s="3" t="s">
        <v>1968</v>
      </c>
      <c r="C48" s="3" t="s">
        <v>2071</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401</v>
      </c>
      <c r="B49" s="3" t="s">
        <v>582</v>
      </c>
      <c r="C49" s="3" t="s">
        <v>2072</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405</v>
      </c>
      <c r="B50" s="3" t="s">
        <v>406</v>
      </c>
      <c r="C50" s="3" t="s">
        <v>2073</v>
      </c>
    </row>
  </sheetData>
  <mergeCells count="4">
    <mergeCell ref="A1:C1"/>
    <mergeCell ref="E1:K1"/>
    <mergeCell ref="P1:V1"/>
    <mergeCell ref="AA1:AG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D0F5F-C0EC-4C5B-9B38-D8EAA4E333DC}">
  <sheetPr codeName="Sheet21"/>
  <dimension ref="A1:AK49"/>
  <sheetViews>
    <sheetView zoomScale="75" zoomScaleNormal="75" workbookViewId="0">
      <pane ySplit="49" topLeftCell="A70" activePane="bottomLeft" state="frozen"/>
      <selection pane="bottomLeft" sqref="A1:C69"/>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4" t="str" cm="1">
        <f t="array" aca="1" ref="A1" ca="1">IFERROR(MID(CELL("filename",$A$1),FIND("]",CELL("filename",$A$1))+1,99),"SXX")</f>
        <v>S10</v>
      </c>
      <c r="B1" s="34"/>
      <c r="C1" s="34"/>
      <c r="E1" s="35" t="str" cm="1">
        <f t="array" aca="1" ref="E1" ca="1">IFERROR(MID(CELL("filename",$A$1),FIND("]",CELL("filename",$A$1))+1,99),"SXX")&amp;" MATERIALS (USAGE + STANDALONE)"</f>
        <v>S10 MATERIALS (USAGE + STANDALONE)</v>
      </c>
      <c r="F1" s="35"/>
      <c r="G1" s="35"/>
      <c r="H1" s="35"/>
      <c r="I1" s="35"/>
      <c r="J1" s="35"/>
      <c r="K1" s="35"/>
      <c r="L1" s="13"/>
      <c r="M1" s="13"/>
      <c r="N1" s="19">
        <f>SUM(N3:N49)</f>
        <v>3388.8574999999992</v>
      </c>
      <c r="P1" s="35" t="str" cm="1">
        <f t="array" aca="1" ref="P1" ca="1">IFERROR(MID(CELL("filename",$A$1),FIND("]",CELL("filename",$A$1))+1,99),"SXX")&amp;" LABOUR (USAGE + STANDALONE)"</f>
        <v>S10 LABOUR (USAGE + STANDALONE)</v>
      </c>
      <c r="Q1" s="35"/>
      <c r="R1" s="35"/>
      <c r="S1" s="35"/>
      <c r="T1" s="35"/>
      <c r="U1" s="35"/>
      <c r="V1" s="35"/>
      <c r="Y1" s="19">
        <f>SUM(Y3:Y49)</f>
        <v>1912.5</v>
      </c>
      <c r="AA1" s="36" t="str" cm="1">
        <f t="array" aca="1" ref="AA1" ca="1">IFERROR(MID(CELL("filename",$A$1),FIND("]",CELL("filename",$A$1))+1,99),"SXX")&amp;" RENTAL / SERVICE (USAGE + STANDALONE)"</f>
        <v>S10 RENTAL / SERVICE (USAGE + STANDALONE)</v>
      </c>
      <c r="AB1" s="36"/>
      <c r="AC1" s="36"/>
      <c r="AD1" s="36"/>
      <c r="AE1" s="36"/>
      <c r="AF1" s="36"/>
      <c r="AG1" s="36"/>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407</v>
      </c>
      <c r="B3" s="3" t="s">
        <v>1206</v>
      </c>
      <c r="C3" s="3" t="s">
        <v>1207</v>
      </c>
      <c r="E3" t="s">
        <v>2092</v>
      </c>
      <c r="F3" t="s">
        <v>1284</v>
      </c>
      <c r="G3" t="s">
        <v>2093</v>
      </c>
      <c r="H3" t="s">
        <v>10</v>
      </c>
      <c r="I3">
        <v>1</v>
      </c>
      <c r="J3" s="22">
        <v>0</v>
      </c>
      <c r="K3">
        <v>480</v>
      </c>
      <c r="L3" s="8">
        <f t="shared" ref="L3:L49" si="0">IF($G3="","",$I3*(1+IF($J3="",0,$J3)))</f>
        <v>1</v>
      </c>
      <c r="M3" s="8">
        <f t="shared" ref="M3:M49" si="1">IF($G3="","",$L3)</f>
        <v>1</v>
      </c>
      <c r="N3" s="8">
        <f t="shared" ref="N3:N49" si="2">IF($G3="","",IF($K3="","",$M3*$K3))</f>
        <v>480</v>
      </c>
      <c r="P3" t="s">
        <v>2111</v>
      </c>
      <c r="Q3" t="s">
        <v>1299</v>
      </c>
      <c r="R3" t="s">
        <v>322</v>
      </c>
      <c r="S3" t="s">
        <v>33</v>
      </c>
      <c r="T3">
        <v>85</v>
      </c>
      <c r="U3" s="22">
        <v>0</v>
      </c>
      <c r="V3">
        <v>22.5</v>
      </c>
      <c r="W3" s="8">
        <f>IF($R3="","",$T3*(1+IF($U3="",0,$U3)))</f>
        <v>85</v>
      </c>
      <c r="X3" s="8">
        <f>IF($R3="","",$W3)</f>
        <v>85</v>
      </c>
      <c r="Y3" s="8">
        <f>IF($R3="","",IF($V3="","",$X3*$V3))</f>
        <v>1912.5</v>
      </c>
      <c r="AH3" s="8" t="str">
        <f>IF($AC3="","",$AE3*(1+IF($AF3="",0,$AF3)))</f>
        <v/>
      </c>
      <c r="AI3" s="8" t="str">
        <f>IF($AC3="","",$AH3)</f>
        <v/>
      </c>
      <c r="AJ3" s="8" t="str">
        <f>IF($AC3="","",IF($AG3="","",$AI3*$AG3))</f>
        <v/>
      </c>
    </row>
    <row r="4" spans="1:37" x14ac:dyDescent="0.25">
      <c r="A4" s="3" t="s">
        <v>408</v>
      </c>
      <c r="B4" s="3" t="s">
        <v>1208</v>
      </c>
      <c r="C4" s="3" t="s">
        <v>1209</v>
      </c>
      <c r="E4" t="s">
        <v>2094</v>
      </c>
      <c r="F4" t="s">
        <v>1285</v>
      </c>
      <c r="G4" t="s">
        <v>2095</v>
      </c>
      <c r="H4" t="s">
        <v>10</v>
      </c>
      <c r="I4">
        <v>3</v>
      </c>
      <c r="J4" s="22">
        <v>0</v>
      </c>
      <c r="K4">
        <v>300</v>
      </c>
      <c r="L4" s="8">
        <f t="shared" si="0"/>
        <v>3</v>
      </c>
      <c r="M4" s="8">
        <f t="shared" si="1"/>
        <v>3</v>
      </c>
      <c r="N4" s="8">
        <f t="shared" si="2"/>
        <v>900</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1210</v>
      </c>
      <c r="B5" s="3" t="s">
        <v>1211</v>
      </c>
      <c r="C5" s="3" t="s">
        <v>1212</v>
      </c>
      <c r="E5" t="s">
        <v>2096</v>
      </c>
      <c r="F5" t="s">
        <v>1285</v>
      </c>
      <c r="G5" t="s">
        <v>2097</v>
      </c>
      <c r="H5" t="s">
        <v>10</v>
      </c>
      <c r="I5">
        <v>1</v>
      </c>
      <c r="J5" s="22">
        <v>0</v>
      </c>
      <c r="K5">
        <v>240</v>
      </c>
      <c r="L5" s="8">
        <f t="shared" si="0"/>
        <v>1</v>
      </c>
      <c r="M5" s="8">
        <f t="shared" si="1"/>
        <v>1</v>
      </c>
      <c r="N5" s="8">
        <f t="shared" si="2"/>
        <v>240</v>
      </c>
      <c r="W5" s="8" t="str">
        <f t="shared" si="3"/>
        <v/>
      </c>
      <c r="X5" s="8" t="str">
        <f t="shared" si="4"/>
        <v/>
      </c>
      <c r="Y5" s="8" t="str">
        <f t="shared" si="5"/>
        <v/>
      </c>
      <c r="AH5" s="8" t="str">
        <f t="shared" si="6"/>
        <v/>
      </c>
      <c r="AI5" s="8" t="str">
        <f t="shared" si="7"/>
        <v/>
      </c>
      <c r="AJ5" s="8" t="str">
        <f t="shared" si="8"/>
        <v/>
      </c>
    </row>
    <row r="6" spans="1:37" x14ac:dyDescent="0.25">
      <c r="A6" s="3" t="s">
        <v>409</v>
      </c>
      <c r="B6" s="3" t="s">
        <v>410</v>
      </c>
      <c r="C6" s="3" t="s">
        <v>1213</v>
      </c>
      <c r="E6" t="s">
        <v>2098</v>
      </c>
      <c r="F6" t="s">
        <v>2099</v>
      </c>
      <c r="G6" t="s">
        <v>2100</v>
      </c>
      <c r="H6" t="s">
        <v>10</v>
      </c>
      <c r="I6">
        <v>1</v>
      </c>
      <c r="J6">
        <v>0</v>
      </c>
      <c r="K6">
        <v>800</v>
      </c>
      <c r="L6" s="8">
        <f t="shared" si="0"/>
        <v>1</v>
      </c>
      <c r="M6" s="8">
        <f t="shared" si="1"/>
        <v>1</v>
      </c>
      <c r="N6" s="8">
        <f t="shared" si="2"/>
        <v>800</v>
      </c>
      <c r="W6" s="8" t="str">
        <f t="shared" si="3"/>
        <v/>
      </c>
      <c r="X6" s="8" t="str">
        <f t="shared" si="4"/>
        <v/>
      </c>
      <c r="Y6" s="8" t="str">
        <f t="shared" si="5"/>
        <v/>
      </c>
      <c r="AH6" s="8" t="str">
        <f t="shared" si="6"/>
        <v/>
      </c>
      <c r="AI6" s="8" t="str">
        <f t="shared" si="7"/>
        <v/>
      </c>
      <c r="AJ6" s="8" t="str">
        <f t="shared" si="8"/>
        <v/>
      </c>
    </row>
    <row r="7" spans="1:37" x14ac:dyDescent="0.25">
      <c r="A7" s="3" t="s">
        <v>409</v>
      </c>
      <c r="B7" s="3" t="s">
        <v>1214</v>
      </c>
      <c r="C7" s="3" t="s">
        <v>1215</v>
      </c>
      <c r="E7" t="s">
        <v>2101</v>
      </c>
      <c r="F7" t="s">
        <v>2099</v>
      </c>
      <c r="G7" t="s">
        <v>2102</v>
      </c>
      <c r="H7" t="s">
        <v>10</v>
      </c>
      <c r="I7">
        <v>3</v>
      </c>
      <c r="J7">
        <v>0</v>
      </c>
      <c r="K7">
        <v>180</v>
      </c>
      <c r="L7" s="8">
        <f t="shared" si="0"/>
        <v>3</v>
      </c>
      <c r="M7" s="8">
        <f t="shared" si="1"/>
        <v>3</v>
      </c>
      <c r="N7" s="8">
        <f t="shared" si="2"/>
        <v>540</v>
      </c>
      <c r="W7" s="8" t="str">
        <f t="shared" si="3"/>
        <v/>
      </c>
      <c r="X7" s="8" t="str">
        <f t="shared" si="4"/>
        <v/>
      </c>
      <c r="Y7" s="8" t="str">
        <f t="shared" si="5"/>
        <v/>
      </c>
      <c r="AH7" s="8" t="str">
        <f t="shared" si="6"/>
        <v/>
      </c>
      <c r="AI7" s="8" t="str">
        <f t="shared" si="7"/>
        <v/>
      </c>
      <c r="AJ7" s="8" t="str">
        <f t="shared" si="8"/>
        <v/>
      </c>
    </row>
    <row r="8" spans="1:37" x14ac:dyDescent="0.25">
      <c r="A8" s="3" t="s">
        <v>409</v>
      </c>
      <c r="B8" s="3" t="s">
        <v>1216</v>
      </c>
      <c r="C8" s="3" t="s">
        <v>1217</v>
      </c>
      <c r="E8" t="s">
        <v>2103</v>
      </c>
      <c r="F8" t="s">
        <v>2099</v>
      </c>
      <c r="G8" t="s">
        <v>2104</v>
      </c>
      <c r="H8" t="s">
        <v>10</v>
      </c>
      <c r="I8">
        <v>1</v>
      </c>
      <c r="J8">
        <v>0</v>
      </c>
      <c r="K8">
        <v>170</v>
      </c>
      <c r="L8" s="8">
        <f t="shared" si="0"/>
        <v>1</v>
      </c>
      <c r="M8" s="8">
        <f t="shared" si="1"/>
        <v>1</v>
      </c>
      <c r="N8" s="8">
        <f t="shared" si="2"/>
        <v>170</v>
      </c>
      <c r="W8" s="8" t="str">
        <f t="shared" si="3"/>
        <v/>
      </c>
      <c r="X8" s="8" t="str">
        <f t="shared" si="4"/>
        <v/>
      </c>
      <c r="Y8" s="8" t="str">
        <f t="shared" si="5"/>
        <v/>
      </c>
      <c r="AH8" s="8" t="str">
        <f t="shared" si="6"/>
        <v/>
      </c>
      <c r="AI8" s="8" t="str">
        <f t="shared" si="7"/>
        <v/>
      </c>
      <c r="AJ8" s="8" t="str">
        <f t="shared" si="8"/>
        <v/>
      </c>
    </row>
    <row r="9" spans="1:37" x14ac:dyDescent="0.25">
      <c r="A9" s="3" t="s">
        <v>411</v>
      </c>
      <c r="B9" s="3" t="s">
        <v>1218</v>
      </c>
      <c r="C9" s="3" t="s">
        <v>1219</v>
      </c>
      <c r="E9" t="s">
        <v>2105</v>
      </c>
      <c r="F9" t="s">
        <v>2106</v>
      </c>
      <c r="G9" t="s">
        <v>1286</v>
      </c>
      <c r="H9" t="s">
        <v>8</v>
      </c>
      <c r="I9">
        <v>1</v>
      </c>
      <c r="J9">
        <v>0</v>
      </c>
      <c r="K9">
        <v>150</v>
      </c>
      <c r="L9" s="8">
        <f t="shared" si="0"/>
        <v>1</v>
      </c>
      <c r="M9" s="8">
        <f t="shared" si="1"/>
        <v>1</v>
      </c>
      <c r="N9" s="8">
        <f t="shared" si="2"/>
        <v>150</v>
      </c>
      <c r="W9" s="8" t="str">
        <f t="shared" si="3"/>
        <v/>
      </c>
      <c r="X9" s="8" t="str">
        <f t="shared" si="4"/>
        <v/>
      </c>
      <c r="Y9" s="8" t="str">
        <f t="shared" si="5"/>
        <v/>
      </c>
      <c r="AH9" s="8" t="str">
        <f t="shared" si="6"/>
        <v/>
      </c>
      <c r="AI9" s="8" t="str">
        <f t="shared" si="7"/>
        <v/>
      </c>
      <c r="AJ9" s="8" t="str">
        <f t="shared" si="8"/>
        <v/>
      </c>
    </row>
    <row r="10" spans="1:37" x14ac:dyDescent="0.25">
      <c r="A10" s="3" t="s">
        <v>409</v>
      </c>
      <c r="B10" s="3" t="s">
        <v>1220</v>
      </c>
      <c r="C10" s="3" t="s">
        <v>1221</v>
      </c>
      <c r="E10" t="s">
        <v>2107</v>
      </c>
      <c r="F10" t="s">
        <v>1287</v>
      </c>
      <c r="G10" t="s">
        <v>722</v>
      </c>
      <c r="H10" t="s">
        <v>723</v>
      </c>
      <c r="I10">
        <v>2</v>
      </c>
      <c r="J10">
        <v>0.05</v>
      </c>
      <c r="K10">
        <v>15</v>
      </c>
      <c r="L10" s="8">
        <f t="shared" si="0"/>
        <v>2.1</v>
      </c>
      <c r="M10" s="8">
        <f t="shared" si="1"/>
        <v>2.1</v>
      </c>
      <c r="N10" s="8">
        <f t="shared" si="2"/>
        <v>31.5</v>
      </c>
      <c r="W10" s="8" t="str">
        <f t="shared" si="3"/>
        <v/>
      </c>
      <c r="X10" s="8" t="str">
        <f t="shared" si="4"/>
        <v/>
      </c>
      <c r="Y10" s="8" t="str">
        <f t="shared" si="5"/>
        <v/>
      </c>
      <c r="AH10" s="8" t="str">
        <f t="shared" si="6"/>
        <v/>
      </c>
      <c r="AI10" s="8" t="str">
        <f t="shared" si="7"/>
        <v/>
      </c>
      <c r="AJ10" s="8" t="str">
        <f t="shared" si="8"/>
        <v/>
      </c>
    </row>
    <row r="11" spans="1:37" x14ac:dyDescent="0.25">
      <c r="A11" s="3" t="s">
        <v>411</v>
      </c>
      <c r="B11" s="3" t="s">
        <v>1222</v>
      </c>
      <c r="C11" s="3" t="s">
        <v>1223</v>
      </c>
      <c r="E11" t="s">
        <v>2108</v>
      </c>
      <c r="F11" t="s">
        <v>1288</v>
      </c>
      <c r="G11" t="s">
        <v>1289</v>
      </c>
      <c r="H11" t="s">
        <v>715</v>
      </c>
      <c r="I11">
        <v>0.05</v>
      </c>
      <c r="J11">
        <v>0</v>
      </c>
      <c r="K11">
        <v>160</v>
      </c>
      <c r="L11" s="8">
        <f t="shared" si="0"/>
        <v>0.05</v>
      </c>
      <c r="M11" s="8">
        <f t="shared" si="1"/>
        <v>0.05</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409</v>
      </c>
      <c r="B12" s="3" t="s">
        <v>1224</v>
      </c>
      <c r="C12" s="3" t="s">
        <v>1225</v>
      </c>
      <c r="E12" t="s">
        <v>2109</v>
      </c>
      <c r="F12" t="s">
        <v>1288</v>
      </c>
      <c r="G12" t="s">
        <v>1290</v>
      </c>
      <c r="H12" t="s">
        <v>32</v>
      </c>
      <c r="I12">
        <v>0.05</v>
      </c>
      <c r="J12">
        <v>0</v>
      </c>
      <c r="K12">
        <v>94</v>
      </c>
      <c r="L12" s="8">
        <f t="shared" si="0"/>
        <v>0.05</v>
      </c>
      <c r="M12" s="8">
        <f t="shared" si="1"/>
        <v>0.05</v>
      </c>
      <c r="N12" s="8">
        <f t="shared" si="2"/>
        <v>4.7</v>
      </c>
      <c r="W12" s="8" t="str">
        <f t="shared" si="3"/>
        <v/>
      </c>
      <c r="X12" s="8" t="str">
        <f t="shared" si="4"/>
        <v/>
      </c>
      <c r="Y12" s="8" t="str">
        <f t="shared" si="5"/>
        <v/>
      </c>
      <c r="AH12" s="8" t="str">
        <f t="shared" si="6"/>
        <v/>
      </c>
      <c r="AI12" s="8" t="str">
        <f t="shared" si="7"/>
        <v/>
      </c>
      <c r="AJ12" s="8" t="str">
        <f t="shared" si="8"/>
        <v/>
      </c>
    </row>
    <row r="13" spans="1:37" x14ac:dyDescent="0.25">
      <c r="A13" s="3" t="s">
        <v>409</v>
      </c>
      <c r="B13" s="3" t="s">
        <v>1226</v>
      </c>
      <c r="C13" s="3" t="s">
        <v>1227</v>
      </c>
      <c r="E13" t="s">
        <v>2110</v>
      </c>
      <c r="F13" t="s">
        <v>1288</v>
      </c>
      <c r="G13" t="s">
        <v>1291</v>
      </c>
      <c r="H13" t="s">
        <v>8</v>
      </c>
      <c r="I13">
        <v>2</v>
      </c>
      <c r="J13">
        <v>0.1</v>
      </c>
      <c r="K13">
        <v>0.3</v>
      </c>
      <c r="L13" s="8">
        <f t="shared" si="0"/>
        <v>2.2000000000000002</v>
      </c>
      <c r="M13" s="8">
        <f t="shared" si="1"/>
        <v>2.2000000000000002</v>
      </c>
      <c r="N13" s="8">
        <f t="shared" si="2"/>
        <v>0.66</v>
      </c>
      <c r="W13" s="8" t="str">
        <f t="shared" si="3"/>
        <v/>
      </c>
      <c r="X13" s="8" t="str">
        <f t="shared" si="4"/>
        <v/>
      </c>
      <c r="Y13" s="8" t="str">
        <f t="shared" si="5"/>
        <v/>
      </c>
      <c r="AH13" s="8" t="str">
        <f t="shared" si="6"/>
        <v/>
      </c>
      <c r="AI13" s="8" t="str">
        <f t="shared" si="7"/>
        <v/>
      </c>
      <c r="AJ13" s="8" t="str">
        <f t="shared" si="8"/>
        <v/>
      </c>
    </row>
    <row r="14" spans="1:37" x14ac:dyDescent="0.25">
      <c r="A14" s="3" t="s">
        <v>409</v>
      </c>
      <c r="B14" s="3" t="s">
        <v>1228</v>
      </c>
      <c r="C14" s="3" t="s">
        <v>1229</v>
      </c>
      <c r="E14" t="s">
        <v>2110</v>
      </c>
      <c r="F14" t="s">
        <v>1288</v>
      </c>
      <c r="G14" t="s">
        <v>1292</v>
      </c>
      <c r="H14" t="s">
        <v>8</v>
      </c>
      <c r="I14">
        <v>2</v>
      </c>
      <c r="J14">
        <v>0.1</v>
      </c>
      <c r="K14">
        <v>0.3</v>
      </c>
      <c r="L14" s="8">
        <f t="shared" si="0"/>
        <v>2.2000000000000002</v>
      </c>
      <c r="M14" s="8">
        <f t="shared" si="1"/>
        <v>2.2000000000000002</v>
      </c>
      <c r="N14" s="8">
        <f t="shared" si="2"/>
        <v>0.66</v>
      </c>
      <c r="W14" s="8" t="str">
        <f t="shared" si="3"/>
        <v/>
      </c>
      <c r="X14" s="8" t="str">
        <f t="shared" si="4"/>
        <v/>
      </c>
      <c r="Y14" s="8" t="str">
        <f t="shared" si="5"/>
        <v/>
      </c>
      <c r="AH14" s="8" t="str">
        <f t="shared" si="6"/>
        <v/>
      </c>
      <c r="AI14" s="8" t="str">
        <f t="shared" si="7"/>
        <v/>
      </c>
      <c r="AJ14" s="8" t="str">
        <f t="shared" si="8"/>
        <v/>
      </c>
    </row>
    <row r="15" spans="1:37" x14ac:dyDescent="0.25">
      <c r="A15" s="3" t="s">
        <v>409</v>
      </c>
      <c r="B15" s="3" t="s">
        <v>1230</v>
      </c>
      <c r="C15" s="3" t="s">
        <v>1231</v>
      </c>
      <c r="E15" t="s">
        <v>2110</v>
      </c>
      <c r="F15" t="s">
        <v>1288</v>
      </c>
      <c r="G15" t="s">
        <v>1293</v>
      </c>
      <c r="H15" t="s">
        <v>8</v>
      </c>
      <c r="I15">
        <v>2</v>
      </c>
      <c r="J15">
        <v>0.1</v>
      </c>
      <c r="K15">
        <v>0.3</v>
      </c>
      <c r="L15" s="8">
        <f t="shared" si="0"/>
        <v>2.2000000000000002</v>
      </c>
      <c r="M15" s="8">
        <f t="shared" si="1"/>
        <v>2.2000000000000002</v>
      </c>
      <c r="N15" s="8">
        <f t="shared" si="2"/>
        <v>0.66</v>
      </c>
      <c r="W15" s="8" t="str">
        <f t="shared" si="3"/>
        <v/>
      </c>
      <c r="X15" s="8" t="str">
        <f t="shared" si="4"/>
        <v/>
      </c>
      <c r="Y15" s="8" t="str">
        <f t="shared" si="5"/>
        <v/>
      </c>
      <c r="AH15" s="8" t="str">
        <f t="shared" si="6"/>
        <v/>
      </c>
      <c r="AI15" s="8" t="str">
        <f t="shared" si="7"/>
        <v/>
      </c>
      <c r="AJ15" s="8" t="str">
        <f t="shared" si="8"/>
        <v/>
      </c>
    </row>
    <row r="16" spans="1:37" x14ac:dyDescent="0.25">
      <c r="A16" s="3" t="s">
        <v>409</v>
      </c>
      <c r="B16" s="3" t="s">
        <v>1232</v>
      </c>
      <c r="C16" s="3" t="s">
        <v>1233</v>
      </c>
      <c r="E16" t="s">
        <v>1294</v>
      </c>
      <c r="F16" t="s">
        <v>1295</v>
      </c>
      <c r="G16" t="s">
        <v>1296</v>
      </c>
      <c r="H16" t="s">
        <v>8</v>
      </c>
      <c r="I16">
        <v>3</v>
      </c>
      <c r="J16">
        <v>0.05</v>
      </c>
      <c r="K16">
        <v>0.85</v>
      </c>
      <c r="L16" s="8">
        <f t="shared" si="0"/>
        <v>3.1500000000000004</v>
      </c>
      <c r="M16" s="8">
        <f t="shared" si="1"/>
        <v>3.1500000000000004</v>
      </c>
      <c r="N16" s="8">
        <f t="shared" si="2"/>
        <v>2.6775000000000002</v>
      </c>
      <c r="W16" s="8" t="str">
        <f t="shared" si="3"/>
        <v/>
      </c>
      <c r="X16" s="8" t="str">
        <f t="shared" si="4"/>
        <v/>
      </c>
      <c r="Y16" s="8" t="str">
        <f t="shared" si="5"/>
        <v/>
      </c>
      <c r="AH16" s="8" t="str">
        <f t="shared" si="6"/>
        <v/>
      </c>
      <c r="AI16" s="8" t="str">
        <f t="shared" si="7"/>
        <v/>
      </c>
      <c r="AJ16" s="8" t="str">
        <f t="shared" si="8"/>
        <v/>
      </c>
    </row>
    <row r="17" spans="1:36" x14ac:dyDescent="0.25">
      <c r="A17" s="3" t="s">
        <v>411</v>
      </c>
      <c r="B17" s="3" t="s">
        <v>1234</v>
      </c>
      <c r="C17" s="3" t="s">
        <v>1235</v>
      </c>
      <c r="E17" t="s">
        <v>1297</v>
      </c>
      <c r="F17" t="s">
        <v>1295</v>
      </c>
      <c r="G17" t="s">
        <v>1298</v>
      </c>
      <c r="H17" t="s">
        <v>10</v>
      </c>
      <c r="I17">
        <v>1</v>
      </c>
      <c r="J17">
        <v>0</v>
      </c>
      <c r="K17">
        <v>60</v>
      </c>
      <c r="L17" s="8">
        <f t="shared" si="0"/>
        <v>1</v>
      </c>
      <c r="M17" s="8">
        <f t="shared" si="1"/>
        <v>1</v>
      </c>
      <c r="N17" s="8">
        <f t="shared" si="2"/>
        <v>60</v>
      </c>
      <c r="W17" s="8" t="str">
        <f t="shared" si="3"/>
        <v/>
      </c>
      <c r="X17" s="8" t="str">
        <f t="shared" si="4"/>
        <v/>
      </c>
      <c r="Y17" s="8" t="str">
        <f t="shared" si="5"/>
        <v/>
      </c>
      <c r="AH17" s="8" t="str">
        <f t="shared" si="6"/>
        <v/>
      </c>
      <c r="AI17" s="8" t="str">
        <f t="shared" si="7"/>
        <v/>
      </c>
      <c r="AJ17" s="8" t="str">
        <f t="shared" si="8"/>
        <v/>
      </c>
    </row>
    <row r="18" spans="1:36" x14ac:dyDescent="0.25">
      <c r="A18" s="3" t="s">
        <v>411</v>
      </c>
      <c r="B18" s="3" t="s">
        <v>1236</v>
      </c>
      <c r="C18" s="3" t="s">
        <v>1237</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409</v>
      </c>
      <c r="B19" s="3" t="s">
        <v>1238</v>
      </c>
      <c r="C19" s="3" t="s">
        <v>1239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409</v>
      </c>
      <c r="B20" s="3" t="s">
        <v>1240</v>
      </c>
      <c r="C20" s="3" t="s">
        <v>1241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411</v>
      </c>
      <c r="B21" s="3" t="s">
        <v>1242</v>
      </c>
      <c r="C21" s="3" t="s">
        <v>1243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411</v>
      </c>
      <c r="B22" s="3" t="s">
        <v>1244</v>
      </c>
      <c r="C22" s="3" t="s">
        <v>1245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411</v>
      </c>
      <c r="B23" s="3" t="s">
        <v>1246</v>
      </c>
      <c r="C23" s="3" t="s">
        <v>1247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409</v>
      </c>
      <c r="B24" s="3" t="s">
        <v>412</v>
      </c>
      <c r="C24" s="3" t="s">
        <v>1248</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409</v>
      </c>
      <c r="B25" s="3" t="s">
        <v>1249</v>
      </c>
      <c r="C25" s="3" t="s">
        <v>1250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409</v>
      </c>
      <c r="B26" s="3" t="s">
        <v>1251</v>
      </c>
      <c r="C26" s="3" t="s">
        <v>1252</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409</v>
      </c>
      <c r="B27" s="3" t="s">
        <v>413</v>
      </c>
      <c r="C27" s="3" t="s">
        <v>1253</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409</v>
      </c>
      <c r="B28" s="3" t="s">
        <v>1254</v>
      </c>
      <c r="C28" s="3" t="s">
        <v>1255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409</v>
      </c>
      <c r="B29" s="3" t="s">
        <v>1256</v>
      </c>
      <c r="C29" s="3" t="s">
        <v>1257</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409</v>
      </c>
      <c r="B30" s="3" t="s">
        <v>1258</v>
      </c>
      <c r="C30" s="3" t="s">
        <v>1259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409</v>
      </c>
      <c r="B31" s="3" t="s">
        <v>1260</v>
      </c>
      <c r="C31" s="3" t="s">
        <v>1261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409</v>
      </c>
      <c r="B32" s="3" t="s">
        <v>1262</v>
      </c>
      <c r="C32" s="3" t="s">
        <v>1263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1264</v>
      </c>
      <c r="B33" s="3" t="s">
        <v>1265</v>
      </c>
      <c r="C33" s="3" t="s">
        <v>1266</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1264</v>
      </c>
      <c r="B34" s="3" t="s">
        <v>2083</v>
      </c>
      <c r="C34" s="3" t="s">
        <v>775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1264</v>
      </c>
      <c r="B35" s="3" t="s">
        <v>1267</v>
      </c>
      <c r="C35" s="3" t="s">
        <v>1268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1264</v>
      </c>
      <c r="B36" s="3" t="s">
        <v>1269</v>
      </c>
      <c r="C36" s="3" t="s">
        <v>1270</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1264</v>
      </c>
      <c r="B37" s="3" t="s">
        <v>1271</v>
      </c>
      <c r="C37" s="3" t="s">
        <v>1272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1264</v>
      </c>
      <c r="B38" s="3" t="s">
        <v>1273</v>
      </c>
      <c r="C38" s="3" t="s">
        <v>1274</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1264</v>
      </c>
      <c r="B39" s="3" t="s">
        <v>1275</v>
      </c>
      <c r="C39" s="3" t="s">
        <v>1276</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1264</v>
      </c>
      <c r="B40" s="3" t="s">
        <v>2084</v>
      </c>
      <c r="C40" s="3" t="s">
        <v>2085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1264</v>
      </c>
      <c r="B41" s="3" t="s">
        <v>2086</v>
      </c>
      <c r="C41" s="3" t="s">
        <v>2087</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1264</v>
      </c>
      <c r="B42" s="3" t="s">
        <v>1277</v>
      </c>
      <c r="C42" s="3" t="s">
        <v>1278</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409</v>
      </c>
      <c r="B43" s="3" t="s">
        <v>1279</v>
      </c>
      <c r="C43" s="3" t="s">
        <v>2088</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409</v>
      </c>
      <c r="B44" s="3" t="s">
        <v>1280</v>
      </c>
      <c r="C44" s="3" t="s">
        <v>1281</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1282</v>
      </c>
      <c r="B45" s="3" t="s">
        <v>1510</v>
      </c>
      <c r="C45" s="3" t="s">
        <v>452</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411</v>
      </c>
      <c r="B46" s="3" t="s">
        <v>1968</v>
      </c>
      <c r="C46" s="3" t="s">
        <v>2089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409</v>
      </c>
      <c r="B47" s="3" t="s">
        <v>582</v>
      </c>
      <c r="C47" s="3" t="s">
        <v>2090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409</v>
      </c>
      <c r="B48" s="3" t="s">
        <v>365</v>
      </c>
      <c r="C48" s="3" t="s">
        <v>1283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414</v>
      </c>
      <c r="B49" s="3" t="s">
        <v>415</v>
      </c>
      <c r="C49" s="3" t="s">
        <v>2091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9C3F4-CA5B-4CA1-9CE4-24EB045907DD}">
  <sheetPr codeName="Sheet22"/>
  <dimension ref="A1:AK49"/>
  <sheetViews>
    <sheetView zoomScale="75" zoomScaleNormal="75" workbookViewId="0">
      <pane ySplit="49" topLeftCell="A50" activePane="bottomLeft" state="frozen"/>
      <selection pane="bottomLeft" sqref="A1:C4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4" t="str" cm="1">
        <f t="array" aca="1" ref="A1" ca="1">IFERROR(MID(CELL("filename",$A$1),FIND("]",CELL("filename",$A$1))+1,99),"SXX")</f>
        <v>S11</v>
      </c>
      <c r="B1" s="34"/>
      <c r="C1" s="34"/>
      <c r="E1" s="35" t="str" cm="1">
        <f t="array" aca="1" ref="E1" ca="1">IFERROR(MID(CELL("filename",$A$1),FIND("]",CELL("filename",$A$1))+1,99),"SXX")&amp;" MATERIALS (USAGE + STANDALONE)"</f>
        <v>S11 MATERIALS (USAGE + STANDALONE)</v>
      </c>
      <c r="F1" s="35"/>
      <c r="G1" s="35"/>
      <c r="H1" s="35"/>
      <c r="I1" s="35"/>
      <c r="J1" s="35"/>
      <c r="K1" s="35"/>
      <c r="L1" s="13"/>
      <c r="M1" s="13"/>
      <c r="N1" s="19">
        <f>SUM(N3:N49)</f>
        <v>675.67500000000007</v>
      </c>
      <c r="P1" s="35" t="str" cm="1">
        <f t="array" aca="1" ref="P1" ca="1">IFERROR(MID(CELL("filename",$A$1),FIND("]",CELL("filename",$A$1))+1,99),"SXX")&amp;" LABOUR (USAGE + STANDALONE)"</f>
        <v>S11 LABOUR (USAGE + STANDALONE)</v>
      </c>
      <c r="Q1" s="35"/>
      <c r="R1" s="35"/>
      <c r="S1" s="35"/>
      <c r="T1" s="35"/>
      <c r="U1" s="35"/>
      <c r="V1" s="35"/>
      <c r="Y1" s="19">
        <f>SUM(Y3:Y49)</f>
        <v>2475</v>
      </c>
      <c r="AA1" s="36" t="str" cm="1">
        <f t="array" aca="1" ref="AA1" ca="1">IFERROR(MID(CELL("filename",$A$1),FIND("]",CELL("filename",$A$1))+1,99),"SXX")&amp;" RENTAL / SERVICE (USAGE + STANDALONE)"</f>
        <v>S11 RENTAL / SERVICE (USAGE + STANDALONE)</v>
      </c>
      <c r="AB1" s="36"/>
      <c r="AC1" s="36"/>
      <c r="AD1" s="36"/>
      <c r="AE1" s="36"/>
      <c r="AF1" s="36"/>
      <c r="AG1" s="36"/>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416</v>
      </c>
      <c r="B3" s="3" t="s">
        <v>417</v>
      </c>
      <c r="C3" s="3" t="s">
        <v>1300</v>
      </c>
      <c r="E3" t="s">
        <v>2126</v>
      </c>
      <c r="F3" t="s">
        <v>2127</v>
      </c>
      <c r="G3" t="s">
        <v>2076</v>
      </c>
      <c r="H3" t="s">
        <v>9</v>
      </c>
      <c r="I3">
        <v>12</v>
      </c>
      <c r="J3" s="22">
        <v>0.05</v>
      </c>
      <c r="K3">
        <v>24</v>
      </c>
      <c r="L3" s="8">
        <f t="shared" ref="L3:L49" si="0">IF($G3="","",$I3*(1+IF($J3="",0,$J3)))</f>
        <v>12.600000000000001</v>
      </c>
      <c r="M3" s="8">
        <f t="shared" ref="M3:M49" si="1">IF($G3="","",$L3)</f>
        <v>12.600000000000001</v>
      </c>
      <c r="N3" s="8">
        <f t="shared" ref="N3:N49" si="2">IF($G3="","",IF($K3="","",$M3*$K3))</f>
        <v>302.40000000000003</v>
      </c>
      <c r="P3" t="s">
        <v>2132</v>
      </c>
      <c r="Q3" t="s">
        <v>1358</v>
      </c>
      <c r="R3" t="s">
        <v>322</v>
      </c>
      <c r="S3" t="s">
        <v>33</v>
      </c>
      <c r="T3">
        <v>110</v>
      </c>
      <c r="U3" s="22">
        <v>0</v>
      </c>
      <c r="V3">
        <v>22.5</v>
      </c>
      <c r="W3" s="8">
        <f>IF($R3="","",$T3*(1+IF($U3="",0,$U3)))</f>
        <v>110</v>
      </c>
      <c r="X3" s="8">
        <f>IF($R3="","",$W3)</f>
        <v>110</v>
      </c>
      <c r="Y3" s="8">
        <f>IF($R3="","",IF($V3="","",$X3*$V3))</f>
        <v>2475</v>
      </c>
      <c r="AH3" s="8" t="str">
        <f>IF($AC3="","",$AE3*(1+IF($AF3="",0,$AF3)))</f>
        <v/>
      </c>
      <c r="AI3" s="8" t="str">
        <f>IF($AC3="","",$AH3)</f>
        <v/>
      </c>
      <c r="AJ3" s="8" t="str">
        <f>IF($AC3="","",IF($AG3="","",$AI3*$AG3))</f>
        <v/>
      </c>
    </row>
    <row r="4" spans="1:37" x14ac:dyDescent="0.25">
      <c r="A4" s="3" t="s">
        <v>418</v>
      </c>
      <c r="B4" s="3" t="s">
        <v>1301</v>
      </c>
      <c r="C4" s="3" t="s">
        <v>1302</v>
      </c>
      <c r="E4" t="s">
        <v>2128</v>
      </c>
      <c r="F4" t="s">
        <v>2127</v>
      </c>
      <c r="G4" t="s">
        <v>733</v>
      </c>
      <c r="H4" t="s">
        <v>11</v>
      </c>
      <c r="I4">
        <v>0.15</v>
      </c>
      <c r="J4" s="22">
        <v>0.05</v>
      </c>
      <c r="K4">
        <v>850</v>
      </c>
      <c r="L4" s="8">
        <f t="shared" si="0"/>
        <v>0.1575</v>
      </c>
      <c r="M4" s="8">
        <f t="shared" si="1"/>
        <v>0.1575</v>
      </c>
      <c r="N4" s="8">
        <f t="shared" si="2"/>
        <v>133.875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1303</v>
      </c>
      <c r="B5" s="3" t="s">
        <v>1304</v>
      </c>
      <c r="C5" s="3" t="s">
        <v>1305</v>
      </c>
      <c r="E5" t="s">
        <v>2129</v>
      </c>
      <c r="F5" t="s">
        <v>1354</v>
      </c>
      <c r="G5" t="s">
        <v>60</v>
      </c>
      <c r="H5" t="s">
        <v>9</v>
      </c>
      <c r="I5">
        <v>4</v>
      </c>
      <c r="J5" s="22">
        <v>0.05</v>
      </c>
      <c r="K5">
        <v>22</v>
      </c>
      <c r="L5" s="8">
        <f t="shared" si="0"/>
        <v>4.2</v>
      </c>
      <c r="M5" s="8">
        <f t="shared" si="1"/>
        <v>4.2</v>
      </c>
      <c r="N5" s="8">
        <f t="shared" si="2"/>
        <v>92.4</v>
      </c>
      <c r="W5" s="8" t="str">
        <f t="shared" si="3"/>
        <v/>
      </c>
      <c r="X5" s="8" t="str">
        <f t="shared" si="4"/>
        <v/>
      </c>
      <c r="Y5" s="8" t="str">
        <f t="shared" si="5"/>
        <v/>
      </c>
      <c r="AH5" s="8" t="str">
        <f t="shared" si="6"/>
        <v/>
      </c>
      <c r="AI5" s="8" t="str">
        <f t="shared" si="7"/>
        <v/>
      </c>
      <c r="AJ5" s="8" t="str">
        <f t="shared" si="8"/>
        <v/>
      </c>
    </row>
    <row r="6" spans="1:37" x14ac:dyDescent="0.25">
      <c r="A6" s="3" t="s">
        <v>419</v>
      </c>
      <c r="B6" s="3" t="s">
        <v>1306</v>
      </c>
      <c r="C6" s="3" t="s">
        <v>1307</v>
      </c>
      <c r="E6" t="s">
        <v>2130</v>
      </c>
      <c r="F6" t="s">
        <v>1355</v>
      </c>
      <c r="G6" t="s">
        <v>1356</v>
      </c>
      <c r="H6" t="s">
        <v>9</v>
      </c>
      <c r="I6">
        <v>4</v>
      </c>
      <c r="J6">
        <v>0.05</v>
      </c>
      <c r="K6">
        <v>17.5</v>
      </c>
      <c r="L6" s="8">
        <f t="shared" si="0"/>
        <v>4.2</v>
      </c>
      <c r="M6" s="8">
        <f t="shared" si="1"/>
        <v>4.2</v>
      </c>
      <c r="N6" s="8">
        <f t="shared" si="2"/>
        <v>73.5</v>
      </c>
      <c r="W6" s="8" t="str">
        <f t="shared" si="3"/>
        <v/>
      </c>
      <c r="X6" s="8" t="str">
        <f t="shared" si="4"/>
        <v/>
      </c>
      <c r="Y6" s="8" t="str">
        <f t="shared" si="5"/>
        <v/>
      </c>
      <c r="AH6" s="8" t="str">
        <f t="shared" si="6"/>
        <v/>
      </c>
      <c r="AI6" s="8" t="str">
        <f t="shared" si="7"/>
        <v/>
      </c>
      <c r="AJ6" s="8" t="str">
        <f t="shared" si="8"/>
        <v/>
      </c>
    </row>
    <row r="7" spans="1:37" x14ac:dyDescent="0.25">
      <c r="A7" s="3" t="s">
        <v>419</v>
      </c>
      <c r="B7" s="3" t="s">
        <v>1308</v>
      </c>
      <c r="C7" s="3" t="s">
        <v>1309</v>
      </c>
      <c r="E7" t="s">
        <v>2131</v>
      </c>
      <c r="F7" t="s">
        <v>1355</v>
      </c>
      <c r="G7" t="s">
        <v>1357</v>
      </c>
      <c r="H7" t="s">
        <v>9</v>
      </c>
      <c r="I7">
        <v>4</v>
      </c>
      <c r="J7">
        <v>0.05</v>
      </c>
      <c r="K7">
        <v>17.5</v>
      </c>
      <c r="L7" s="8">
        <f t="shared" si="0"/>
        <v>4.2</v>
      </c>
      <c r="M7" s="8">
        <f t="shared" si="1"/>
        <v>4.2</v>
      </c>
      <c r="N7" s="8">
        <f t="shared" si="2"/>
        <v>73.5</v>
      </c>
      <c r="W7" s="8" t="str">
        <f t="shared" si="3"/>
        <v/>
      </c>
      <c r="X7" s="8" t="str">
        <f t="shared" si="4"/>
        <v/>
      </c>
      <c r="Y7" s="8" t="str">
        <f t="shared" si="5"/>
        <v/>
      </c>
      <c r="AH7" s="8" t="str">
        <f t="shared" si="6"/>
        <v/>
      </c>
      <c r="AI7" s="8" t="str">
        <f t="shared" si="7"/>
        <v/>
      </c>
      <c r="AJ7" s="8" t="str">
        <f t="shared" si="8"/>
        <v/>
      </c>
    </row>
    <row r="8" spans="1:37" x14ac:dyDescent="0.25">
      <c r="A8" s="3" t="s">
        <v>419</v>
      </c>
      <c r="B8" s="3" t="s">
        <v>693</v>
      </c>
      <c r="C8" s="3" t="s">
        <v>1310</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419</v>
      </c>
      <c r="B9" s="3" t="s">
        <v>420</v>
      </c>
      <c r="C9" s="3" t="s">
        <v>1311</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419</v>
      </c>
      <c r="B10" s="3" t="s">
        <v>421</v>
      </c>
      <c r="C10" s="3" t="s">
        <v>1312</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419</v>
      </c>
      <c r="B11" s="3" t="s">
        <v>422</v>
      </c>
      <c r="C11" s="3" t="s">
        <v>1313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419</v>
      </c>
      <c r="B12" s="3" t="s">
        <v>1314</v>
      </c>
      <c r="C12" s="3" t="s">
        <v>1315</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419</v>
      </c>
      <c r="B13" s="3" t="s">
        <v>423</v>
      </c>
      <c r="C13" s="3" t="s">
        <v>1316</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419</v>
      </c>
      <c r="B14" s="3" t="s">
        <v>1317</v>
      </c>
      <c r="C14" s="3" t="s">
        <v>1318</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419</v>
      </c>
      <c r="B15" s="3" t="s">
        <v>1319</v>
      </c>
      <c r="C15" s="3" t="s">
        <v>1320</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419</v>
      </c>
      <c r="B16" s="3" t="s">
        <v>424</v>
      </c>
      <c r="C16" s="3" t="s">
        <v>1321</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419</v>
      </c>
      <c r="B17" s="3" t="s">
        <v>990</v>
      </c>
      <c r="C17" s="3" t="s">
        <v>1322</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419</v>
      </c>
      <c r="B18" s="3" t="s">
        <v>425</v>
      </c>
      <c r="C18" s="3" t="s">
        <v>1323</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419</v>
      </c>
      <c r="B19" s="3" t="s">
        <v>426</v>
      </c>
      <c r="C19" s="3" t="s">
        <v>1324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419</v>
      </c>
      <c r="B20" s="3" t="s">
        <v>1325</v>
      </c>
      <c r="C20" s="3" t="s">
        <v>1326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419</v>
      </c>
      <c r="B21" s="3" t="s">
        <v>1327</v>
      </c>
      <c r="C21" s="3" t="s">
        <v>1328</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419</v>
      </c>
      <c r="B22" s="3" t="s">
        <v>1329</v>
      </c>
      <c r="C22" s="3" t="s">
        <v>1330</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419</v>
      </c>
      <c r="B23" s="3" t="s">
        <v>1331</v>
      </c>
      <c r="C23" s="3" t="s">
        <v>1332</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419</v>
      </c>
      <c r="B24" s="3" t="s">
        <v>1333</v>
      </c>
      <c r="C24" s="3" t="s">
        <v>1334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2112</v>
      </c>
      <c r="B25" s="3" t="s">
        <v>2113</v>
      </c>
      <c r="C25" s="3" t="s">
        <v>2114</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2112</v>
      </c>
      <c r="B26" s="3" t="s">
        <v>2115</v>
      </c>
      <c r="C26" s="3" t="s">
        <v>2116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2112</v>
      </c>
      <c r="B27" s="3" t="s">
        <v>2117</v>
      </c>
      <c r="C27" s="3" t="s">
        <v>2118</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2112</v>
      </c>
      <c r="B28" s="3" t="s">
        <v>2119</v>
      </c>
      <c r="C28" s="3" t="s">
        <v>2120</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2112</v>
      </c>
      <c r="B29" s="3" t="s">
        <v>2121</v>
      </c>
      <c r="C29" s="3" t="s">
        <v>2122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1335</v>
      </c>
      <c r="B30" s="3" t="s">
        <v>1336</v>
      </c>
      <c r="C30" s="3" t="s">
        <v>2059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1335</v>
      </c>
      <c r="B31" s="3" t="s">
        <v>1337</v>
      </c>
      <c r="C31" s="3" t="s">
        <v>726</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1335</v>
      </c>
      <c r="B32" s="3" t="s">
        <v>1338</v>
      </c>
      <c r="C32" s="3" t="s">
        <v>1339</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1335</v>
      </c>
      <c r="B33" s="3" t="s">
        <v>1340</v>
      </c>
      <c r="C33" s="3" t="s">
        <v>1341</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1335</v>
      </c>
      <c r="B34" s="3" t="s">
        <v>1342</v>
      </c>
      <c r="C34" s="3" t="s">
        <v>1343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419</v>
      </c>
      <c r="B35" s="3" t="s">
        <v>1344</v>
      </c>
      <c r="C35" s="3" t="s">
        <v>1345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419</v>
      </c>
      <c r="B36" s="3" t="s">
        <v>1346</v>
      </c>
      <c r="C36" s="3" t="s">
        <v>1347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419</v>
      </c>
      <c r="B37" s="3" t="s">
        <v>1348</v>
      </c>
      <c r="C37" s="3" t="s">
        <v>1349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419</v>
      </c>
      <c r="B38" s="3" t="s">
        <v>1350</v>
      </c>
      <c r="C38" s="3" t="s">
        <v>1351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419</v>
      </c>
      <c r="B39" s="3" t="s">
        <v>365</v>
      </c>
      <c r="C39" s="3" t="s">
        <v>1352</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1353</v>
      </c>
      <c r="B40" s="3" t="s">
        <v>1510</v>
      </c>
      <c r="C40" s="3" t="s">
        <v>452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2112</v>
      </c>
      <c r="B41" s="3" t="s">
        <v>1968</v>
      </c>
      <c r="C41" s="3" t="s">
        <v>2123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419</v>
      </c>
      <c r="B42" s="3" t="s">
        <v>582</v>
      </c>
      <c r="C42" s="3" t="s">
        <v>2124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427</v>
      </c>
      <c r="B43" s="3" t="s">
        <v>428</v>
      </c>
      <c r="C43" s="3" t="s">
        <v>2125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BD1DC-CEA1-4E3A-95BE-864579278C67}">
  <sheetPr codeName="Sheet23"/>
  <dimension ref="A1:AK49"/>
  <sheetViews>
    <sheetView zoomScale="75" zoomScaleNormal="75" workbookViewId="0">
      <pane ySplit="49" topLeftCell="A50" activePane="bottomLeft" state="frozen"/>
      <selection pane="bottomLeft" sqref="A1:C43"/>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4" t="str" cm="1">
        <f t="array" aca="1" ref="A1" ca="1">IFERROR(MID(CELL("filename",$A$1),FIND("]",CELL("filename",$A$1))+1,99),"SXX")</f>
        <v>S12</v>
      </c>
      <c r="B1" s="34"/>
      <c r="C1" s="34"/>
      <c r="E1" s="35" t="str" cm="1">
        <f t="array" aca="1" ref="E1" ca="1">IFERROR(MID(CELL("filename",$A$1),FIND("]",CELL("filename",$A$1))+1,99),"SXX")&amp;" MATERIALS (USAGE + STANDALONE)"</f>
        <v>S12 MATERIALS (USAGE + STANDALONE)</v>
      </c>
      <c r="F1" s="35"/>
      <c r="G1" s="35"/>
      <c r="H1" s="35"/>
      <c r="I1" s="35"/>
      <c r="J1" s="35"/>
      <c r="K1" s="35"/>
      <c r="L1" s="13"/>
      <c r="M1" s="13"/>
      <c r="N1" s="19">
        <f>SUM(N3:N49)</f>
        <v>963.125</v>
      </c>
      <c r="P1" s="35" t="str" cm="1">
        <f t="array" aca="1" ref="P1" ca="1">IFERROR(MID(CELL("filename",$A$1),FIND("]",CELL("filename",$A$1))+1,99),"SXX")&amp;" LABOUR (USAGE + STANDALONE)"</f>
        <v>S12 LABOUR (USAGE + STANDALONE)</v>
      </c>
      <c r="Q1" s="35"/>
      <c r="R1" s="35"/>
      <c r="S1" s="35"/>
      <c r="T1" s="35"/>
      <c r="U1" s="35"/>
      <c r="V1" s="35"/>
      <c r="Y1" s="19">
        <f>SUM(Y3:Y49)</f>
        <v>1912.5</v>
      </c>
      <c r="AA1" s="36" t="str" cm="1">
        <f t="array" aca="1" ref="AA1" ca="1">IFERROR(MID(CELL("filename",$A$1),FIND("]",CELL("filename",$A$1))+1,99),"SXX")&amp;" RENTAL / SERVICE (USAGE + STANDALONE)"</f>
        <v>S12 RENTAL / SERVICE (USAGE + STANDALONE)</v>
      </c>
      <c r="AB1" s="36"/>
      <c r="AC1" s="36"/>
      <c r="AD1" s="36"/>
      <c r="AE1" s="36"/>
      <c r="AF1" s="36"/>
      <c r="AG1" s="36"/>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2133</v>
      </c>
      <c r="B3" s="3" t="s">
        <v>2134</v>
      </c>
      <c r="C3" s="3" t="s">
        <v>2135</v>
      </c>
      <c r="E3" t="s">
        <v>2215</v>
      </c>
      <c r="F3" t="s">
        <v>1359</v>
      </c>
      <c r="G3" t="s">
        <v>1360</v>
      </c>
      <c r="H3" t="s">
        <v>666</v>
      </c>
      <c r="I3">
        <v>13</v>
      </c>
      <c r="J3" s="22">
        <v>0.05</v>
      </c>
      <c r="K3">
        <v>25</v>
      </c>
      <c r="L3" s="8">
        <f t="shared" ref="L3:L49" si="0">IF($G3="","",$I3*(1+IF($J3="",0,$J3)))</f>
        <v>13.65</v>
      </c>
      <c r="M3" s="8">
        <f t="shared" ref="M3:M49" si="1">IF($G3="","",$L3)</f>
        <v>13.65</v>
      </c>
      <c r="N3" s="8">
        <f t="shared" ref="N3:N49" si="2">IF($G3="","",IF($K3="","",$M3*$K3))</f>
        <v>341.25</v>
      </c>
      <c r="P3" t="s">
        <v>2225</v>
      </c>
      <c r="Q3" t="s">
        <v>1369</v>
      </c>
      <c r="R3" t="s">
        <v>322</v>
      </c>
      <c r="S3" t="s">
        <v>33</v>
      </c>
      <c r="T3">
        <v>85</v>
      </c>
      <c r="U3" s="22">
        <v>0</v>
      </c>
      <c r="V3">
        <v>22.5</v>
      </c>
      <c r="W3" s="8">
        <f>IF($R3="","",$T3*(1+IF($U3="",0,$U3)))</f>
        <v>85</v>
      </c>
      <c r="X3" s="8">
        <f>IF($R3="","",$W3)</f>
        <v>85</v>
      </c>
      <c r="Y3" s="8">
        <f>IF($R3="","",IF($V3="","",$X3*$V3))</f>
        <v>1912.5</v>
      </c>
      <c r="AH3" s="8" t="str">
        <f>IF($AC3="","",$AE3*(1+IF($AF3="",0,$AF3)))</f>
        <v/>
      </c>
      <c r="AI3" s="8" t="str">
        <f>IF($AC3="","",$AH3)</f>
        <v/>
      </c>
      <c r="AJ3" s="8" t="str">
        <f>IF($AC3="","",IF($AG3="","",$AI3*$AG3))</f>
        <v/>
      </c>
    </row>
    <row r="4" spans="1:37" x14ac:dyDescent="0.25">
      <c r="A4" s="3" t="s">
        <v>2136</v>
      </c>
      <c r="B4" s="3" t="s">
        <v>2137</v>
      </c>
      <c r="C4" s="3" t="s">
        <v>2138</v>
      </c>
      <c r="E4" t="s">
        <v>2216</v>
      </c>
      <c r="F4" t="s">
        <v>1359</v>
      </c>
      <c r="G4" t="s">
        <v>1361</v>
      </c>
      <c r="H4" t="s">
        <v>666</v>
      </c>
      <c r="I4">
        <v>5</v>
      </c>
      <c r="J4" s="22">
        <v>0.05</v>
      </c>
      <c r="K4">
        <v>13</v>
      </c>
      <c r="L4" s="8">
        <f t="shared" si="0"/>
        <v>5.25</v>
      </c>
      <c r="M4" s="8">
        <f t="shared" si="1"/>
        <v>5.25</v>
      </c>
      <c r="N4" s="8">
        <f t="shared" si="2"/>
        <v>68.25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2139</v>
      </c>
      <c r="B5" s="3" t="s">
        <v>2140</v>
      </c>
      <c r="C5" s="3" t="s">
        <v>2141</v>
      </c>
      <c r="E5" t="s">
        <v>2217</v>
      </c>
      <c r="F5" t="s">
        <v>2218</v>
      </c>
      <c r="G5" t="s">
        <v>1362</v>
      </c>
      <c r="H5" t="s">
        <v>723</v>
      </c>
      <c r="I5">
        <v>30</v>
      </c>
      <c r="J5" s="22">
        <v>0.05</v>
      </c>
      <c r="K5">
        <v>3.5</v>
      </c>
      <c r="L5" s="8">
        <f t="shared" si="0"/>
        <v>31.5</v>
      </c>
      <c r="M5" s="8">
        <f t="shared" si="1"/>
        <v>31.5</v>
      </c>
      <c r="N5" s="8">
        <f t="shared" si="2"/>
        <v>110.25</v>
      </c>
      <c r="W5" s="8" t="str">
        <f t="shared" si="3"/>
        <v/>
      </c>
      <c r="X5" s="8" t="str">
        <f t="shared" si="4"/>
        <v/>
      </c>
      <c r="Y5" s="8" t="str">
        <f t="shared" si="5"/>
        <v/>
      </c>
      <c r="AH5" s="8" t="str">
        <f t="shared" si="6"/>
        <v/>
      </c>
      <c r="AI5" s="8" t="str">
        <f t="shared" si="7"/>
        <v/>
      </c>
      <c r="AJ5" s="8" t="str">
        <f t="shared" si="8"/>
        <v/>
      </c>
    </row>
    <row r="6" spans="1:37" x14ac:dyDescent="0.25">
      <c r="A6" s="3" t="s">
        <v>2142</v>
      </c>
      <c r="B6" s="3" t="s">
        <v>2143</v>
      </c>
      <c r="C6" s="3" t="s">
        <v>2144</v>
      </c>
      <c r="E6" t="s">
        <v>2219</v>
      </c>
      <c r="F6" t="s">
        <v>2218</v>
      </c>
      <c r="G6" t="s">
        <v>1363</v>
      </c>
      <c r="H6" t="s">
        <v>8</v>
      </c>
      <c r="I6">
        <v>12</v>
      </c>
      <c r="J6">
        <v>0.05</v>
      </c>
      <c r="K6">
        <v>20</v>
      </c>
      <c r="L6" s="8">
        <f t="shared" si="0"/>
        <v>12.600000000000001</v>
      </c>
      <c r="M6" s="8">
        <f t="shared" si="1"/>
        <v>12.600000000000001</v>
      </c>
      <c r="N6" s="8">
        <f t="shared" si="2"/>
        <v>252.00000000000003</v>
      </c>
      <c r="W6" s="8" t="str">
        <f t="shared" si="3"/>
        <v/>
      </c>
      <c r="X6" s="8" t="str">
        <f t="shared" si="4"/>
        <v/>
      </c>
      <c r="Y6" s="8" t="str">
        <f t="shared" si="5"/>
        <v/>
      </c>
      <c r="AH6" s="8" t="str">
        <f t="shared" si="6"/>
        <v/>
      </c>
      <c r="AI6" s="8" t="str">
        <f t="shared" si="7"/>
        <v/>
      </c>
      <c r="AJ6" s="8" t="str">
        <f t="shared" si="8"/>
        <v/>
      </c>
    </row>
    <row r="7" spans="1:37" x14ac:dyDescent="0.25">
      <c r="A7" s="3" t="s">
        <v>2142</v>
      </c>
      <c r="B7" s="3" t="s">
        <v>2145</v>
      </c>
      <c r="C7" s="3" t="s">
        <v>2146</v>
      </c>
      <c r="E7" t="s">
        <v>2220</v>
      </c>
      <c r="F7" t="s">
        <v>2221</v>
      </c>
      <c r="G7" t="s">
        <v>1364</v>
      </c>
      <c r="H7" t="s">
        <v>723</v>
      </c>
      <c r="I7">
        <v>12</v>
      </c>
      <c r="J7">
        <v>0.05</v>
      </c>
      <c r="K7">
        <v>8.5</v>
      </c>
      <c r="L7" s="8">
        <f t="shared" si="0"/>
        <v>12.600000000000001</v>
      </c>
      <c r="M7" s="8">
        <f t="shared" si="1"/>
        <v>12.600000000000001</v>
      </c>
      <c r="N7" s="8">
        <f t="shared" si="2"/>
        <v>107.10000000000001</v>
      </c>
      <c r="W7" s="8" t="str">
        <f t="shared" si="3"/>
        <v/>
      </c>
      <c r="X7" s="8" t="str">
        <f t="shared" si="4"/>
        <v/>
      </c>
      <c r="Y7" s="8" t="str">
        <f t="shared" si="5"/>
        <v/>
      </c>
      <c r="AH7" s="8" t="str">
        <f t="shared" si="6"/>
        <v/>
      </c>
      <c r="AI7" s="8" t="str">
        <f t="shared" si="7"/>
        <v/>
      </c>
      <c r="AJ7" s="8" t="str">
        <f t="shared" si="8"/>
        <v/>
      </c>
    </row>
    <row r="8" spans="1:37" x14ac:dyDescent="0.25">
      <c r="A8" s="3" t="s">
        <v>2147</v>
      </c>
      <c r="B8" s="3" t="s">
        <v>2148</v>
      </c>
      <c r="C8" s="3" t="s">
        <v>2149</v>
      </c>
      <c r="E8" t="s">
        <v>1365</v>
      </c>
      <c r="F8" t="s">
        <v>2222</v>
      </c>
      <c r="G8" t="s">
        <v>1366</v>
      </c>
      <c r="H8" t="s">
        <v>8</v>
      </c>
      <c r="I8">
        <v>2</v>
      </c>
      <c r="J8">
        <v>0.05</v>
      </c>
      <c r="K8">
        <v>3</v>
      </c>
      <c r="L8" s="8">
        <f t="shared" si="0"/>
        <v>2.1</v>
      </c>
      <c r="M8" s="8">
        <f t="shared" si="1"/>
        <v>2.1</v>
      </c>
      <c r="N8" s="8">
        <f t="shared" si="2"/>
        <v>6.3000000000000007</v>
      </c>
      <c r="W8" s="8" t="str">
        <f t="shared" si="3"/>
        <v/>
      </c>
      <c r="X8" s="8" t="str">
        <f t="shared" si="4"/>
        <v/>
      </c>
      <c r="Y8" s="8" t="str">
        <f t="shared" si="5"/>
        <v/>
      </c>
      <c r="AH8" s="8" t="str">
        <f t="shared" si="6"/>
        <v/>
      </c>
      <c r="AI8" s="8" t="str">
        <f t="shared" si="7"/>
        <v/>
      </c>
      <c r="AJ8" s="8" t="str">
        <f t="shared" si="8"/>
        <v/>
      </c>
    </row>
    <row r="9" spans="1:37" x14ac:dyDescent="0.25">
      <c r="A9" s="3" t="s">
        <v>2142</v>
      </c>
      <c r="B9" s="3" t="s">
        <v>1150</v>
      </c>
      <c r="C9" s="3" t="s">
        <v>2150</v>
      </c>
      <c r="E9" t="s">
        <v>2223</v>
      </c>
      <c r="F9" t="s">
        <v>2222</v>
      </c>
      <c r="G9" t="s">
        <v>60</v>
      </c>
      <c r="H9" t="s">
        <v>9</v>
      </c>
      <c r="I9">
        <v>3</v>
      </c>
      <c r="J9">
        <v>0.05</v>
      </c>
      <c r="K9">
        <v>16.5</v>
      </c>
      <c r="L9" s="8">
        <f t="shared" si="0"/>
        <v>3.1500000000000004</v>
      </c>
      <c r="M9" s="8">
        <f t="shared" si="1"/>
        <v>3.1500000000000004</v>
      </c>
      <c r="N9" s="8">
        <f t="shared" si="2"/>
        <v>51.975000000000009</v>
      </c>
      <c r="W9" s="8" t="str">
        <f t="shared" si="3"/>
        <v/>
      </c>
      <c r="X9" s="8" t="str">
        <f t="shared" si="4"/>
        <v/>
      </c>
      <c r="Y9" s="8" t="str">
        <f t="shared" si="5"/>
        <v/>
      </c>
      <c r="AH9" s="8" t="str">
        <f t="shared" si="6"/>
        <v/>
      </c>
      <c r="AI9" s="8" t="str">
        <f t="shared" si="7"/>
        <v/>
      </c>
      <c r="AJ9" s="8" t="str">
        <f t="shared" si="8"/>
        <v/>
      </c>
    </row>
    <row r="10" spans="1:37" x14ac:dyDescent="0.25">
      <c r="A10" s="3" t="s">
        <v>2142</v>
      </c>
      <c r="B10" s="3" t="s">
        <v>2151</v>
      </c>
      <c r="C10" s="3" t="s">
        <v>2152</v>
      </c>
      <c r="E10" t="s">
        <v>2224</v>
      </c>
      <c r="F10" t="s">
        <v>1367</v>
      </c>
      <c r="G10" t="s">
        <v>1368</v>
      </c>
      <c r="H10" t="s">
        <v>8</v>
      </c>
      <c r="I10">
        <v>2</v>
      </c>
      <c r="J10">
        <v>0</v>
      </c>
      <c r="K10">
        <v>13</v>
      </c>
      <c r="L10" s="8">
        <f t="shared" si="0"/>
        <v>2</v>
      </c>
      <c r="M10" s="8">
        <f t="shared" si="1"/>
        <v>2</v>
      </c>
      <c r="N10" s="8">
        <f t="shared" si="2"/>
        <v>26</v>
      </c>
      <c r="W10" s="8" t="str">
        <f t="shared" si="3"/>
        <v/>
      </c>
      <c r="X10" s="8" t="str">
        <f t="shared" si="4"/>
        <v/>
      </c>
      <c r="Y10" s="8" t="str">
        <f t="shared" si="5"/>
        <v/>
      </c>
      <c r="AH10" s="8" t="str">
        <f t="shared" si="6"/>
        <v/>
      </c>
      <c r="AI10" s="8" t="str">
        <f t="shared" si="7"/>
        <v/>
      </c>
      <c r="AJ10" s="8" t="str">
        <f t="shared" si="8"/>
        <v/>
      </c>
    </row>
    <row r="11" spans="1:37" x14ac:dyDescent="0.25">
      <c r="A11" s="3" t="s">
        <v>2147</v>
      </c>
      <c r="B11" s="3" t="s">
        <v>2153</v>
      </c>
      <c r="C11" s="3" t="s">
        <v>2154</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2147</v>
      </c>
      <c r="B12" s="3" t="s">
        <v>2155</v>
      </c>
      <c r="C12" s="3" t="s">
        <v>2156</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2147</v>
      </c>
      <c r="B13" s="3" t="s">
        <v>2157</v>
      </c>
      <c r="C13" s="3" t="s">
        <v>2158</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2142</v>
      </c>
      <c r="B14" s="3" t="s">
        <v>2159</v>
      </c>
      <c r="C14" s="3" t="s">
        <v>2160</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2142</v>
      </c>
      <c r="B15" s="3" t="s">
        <v>2161</v>
      </c>
      <c r="C15" s="3" t="s">
        <v>2162</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2142</v>
      </c>
      <c r="B16" s="3" t="s">
        <v>2163</v>
      </c>
      <c r="C16" s="3" t="s">
        <v>2164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2142</v>
      </c>
      <c r="B17" s="3" t="s">
        <v>2165</v>
      </c>
      <c r="C17" s="3" t="s">
        <v>2166</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2142</v>
      </c>
      <c r="B18" s="3" t="s">
        <v>2167</v>
      </c>
      <c r="C18" s="3" t="s">
        <v>2168</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2142</v>
      </c>
      <c r="B19" s="3" t="s">
        <v>2169</v>
      </c>
      <c r="C19" s="3" t="s">
        <v>2170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2142</v>
      </c>
      <c r="B20" s="3" t="s">
        <v>2171</v>
      </c>
      <c r="C20" s="3" t="s">
        <v>2172</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2142</v>
      </c>
      <c r="B21" s="3" t="s">
        <v>2173</v>
      </c>
      <c r="C21" s="3" t="s">
        <v>2174</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2142</v>
      </c>
      <c r="B22" s="3" t="s">
        <v>579</v>
      </c>
      <c r="C22" s="3" t="s">
        <v>2175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2142</v>
      </c>
      <c r="B23" s="3" t="s">
        <v>365</v>
      </c>
      <c r="C23" s="3" t="s">
        <v>2176</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2177</v>
      </c>
      <c r="B24" s="3" t="s">
        <v>2178</v>
      </c>
      <c r="C24" s="3" t="s">
        <v>2179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2177</v>
      </c>
      <c r="B25" s="3" t="s">
        <v>2180</v>
      </c>
      <c r="C25" s="3" t="s">
        <v>2181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2177</v>
      </c>
      <c r="B26" s="3" t="s">
        <v>2182</v>
      </c>
      <c r="C26" s="3" t="s">
        <v>2183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2177</v>
      </c>
      <c r="B27" s="3" t="s">
        <v>2184</v>
      </c>
      <c r="C27" s="3" t="s">
        <v>2185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2177</v>
      </c>
      <c r="B28" s="3" t="s">
        <v>2186</v>
      </c>
      <c r="C28" s="3" t="s">
        <v>2187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2177</v>
      </c>
      <c r="B29" s="3" t="s">
        <v>2188</v>
      </c>
      <c r="C29" s="3" t="s">
        <v>2189</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2177</v>
      </c>
      <c r="B30" s="3" t="s">
        <v>2190</v>
      </c>
      <c r="C30" s="3" t="s">
        <v>1339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2177</v>
      </c>
      <c r="B31" s="3" t="s">
        <v>2191</v>
      </c>
      <c r="C31" s="3" t="s">
        <v>2192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2147</v>
      </c>
      <c r="B32" s="3" t="s">
        <v>2193</v>
      </c>
      <c r="C32" s="3" t="s">
        <v>2194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2147</v>
      </c>
      <c r="B33" s="3" t="s">
        <v>2195</v>
      </c>
      <c r="C33" s="3" t="s">
        <v>2196</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2147</v>
      </c>
      <c r="B34" s="3" t="s">
        <v>2197</v>
      </c>
      <c r="C34" s="3" t="s">
        <v>2198</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2147</v>
      </c>
      <c r="B35" s="3" t="s">
        <v>2199</v>
      </c>
      <c r="C35" s="3" t="s">
        <v>2200</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2147</v>
      </c>
      <c r="B36" s="3" t="s">
        <v>2201</v>
      </c>
      <c r="C36" s="3" t="s">
        <v>2202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2147</v>
      </c>
      <c r="B37" s="3" t="s">
        <v>2203</v>
      </c>
      <c r="C37" s="3" t="s">
        <v>2204</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2147</v>
      </c>
      <c r="B38" s="3" t="s">
        <v>2205</v>
      </c>
      <c r="C38" s="3" t="s">
        <v>2206</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2147</v>
      </c>
      <c r="B39" s="3" t="s">
        <v>2207</v>
      </c>
      <c r="C39" s="3" t="s">
        <v>2208</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2209</v>
      </c>
      <c r="B40" s="3" t="s">
        <v>1510</v>
      </c>
      <c r="C40" s="3" t="s">
        <v>452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2147</v>
      </c>
      <c r="B41" s="3" t="s">
        <v>1968</v>
      </c>
      <c r="C41" s="3" t="s">
        <v>2210</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2142</v>
      </c>
      <c r="B42" s="3" t="s">
        <v>582</v>
      </c>
      <c r="C42" s="3" t="s">
        <v>2211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2212</v>
      </c>
      <c r="B43" s="3" t="s">
        <v>2213</v>
      </c>
      <c r="C43" s="3" t="s">
        <v>2214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49DF5-AA87-4D01-9F31-069C0F91E157}">
  <sheetPr codeName="Sheet24"/>
  <dimension ref="A1:AK57"/>
  <sheetViews>
    <sheetView zoomScale="75" zoomScaleNormal="75" workbookViewId="0">
      <pane ySplit="49" topLeftCell="A58" activePane="bottomLeft" state="frozen"/>
      <selection pane="bottomLeft" sqref="A1:C57"/>
    </sheetView>
  </sheetViews>
  <sheetFormatPr defaultRowHeight="15" x14ac:dyDescent="0.25"/>
  <cols>
    <col min="1" max="1" width="17.85546875" style="3" bestFit="1" customWidth="1"/>
    <col min="2" max="2" width="8.5703125" style="3" customWidth="1"/>
    <col min="3"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4" t="str" cm="1">
        <f t="array" aca="1" ref="A1" ca="1">IFERROR(MID(CELL("filename",$A$1),FIND("]",CELL("filename",$A$1))+1,99),"SXX")</f>
        <v>S13</v>
      </c>
      <c r="B1" s="34"/>
      <c r="C1" s="34"/>
      <c r="E1" s="35" t="str" cm="1">
        <f t="array" aca="1" ref="E1" ca="1">IFERROR(MID(CELL("filename",$A$1),FIND("]",CELL("filename",$A$1))+1,99),"SXX")&amp;" MATERIALS (USAGE + STANDALONE)"</f>
        <v>S13 MATERIALS (USAGE + STANDALONE)</v>
      </c>
      <c r="F1" s="35"/>
      <c r="G1" s="35"/>
      <c r="H1" s="35"/>
      <c r="I1" s="35"/>
      <c r="J1" s="35"/>
      <c r="K1" s="35"/>
      <c r="L1" s="13"/>
      <c r="M1" s="13"/>
      <c r="N1" s="19">
        <f>SUM(N3:N49)</f>
        <v>5277.5</v>
      </c>
      <c r="P1" s="35" t="str" cm="1">
        <f t="array" aca="1" ref="P1" ca="1">IFERROR(MID(CELL("filename",$A$1),FIND("]",CELL("filename",$A$1))+1,99),"SXX")&amp;" LABOUR (USAGE + STANDALONE)"</f>
        <v>S13 LABOUR (USAGE + STANDALONE)</v>
      </c>
      <c r="Q1" s="35"/>
      <c r="R1" s="35"/>
      <c r="S1" s="35"/>
      <c r="T1" s="35"/>
      <c r="U1" s="35"/>
      <c r="V1" s="35"/>
      <c r="Y1" s="19">
        <f>SUM(Y3:Y49)</f>
        <v>5040</v>
      </c>
      <c r="AA1" s="36" t="str" cm="1">
        <f t="array" aca="1" ref="AA1" ca="1">IFERROR(MID(CELL("filename",$A$1),FIND("]",CELL("filename",$A$1))+1,99),"SXX")&amp;" RENTAL / SERVICE (USAGE + STANDALONE)"</f>
        <v>S13 RENTAL / SERVICE (USAGE + STANDALONE)</v>
      </c>
      <c r="AB1" s="36"/>
      <c r="AC1" s="36"/>
      <c r="AD1" s="36"/>
      <c r="AE1" s="36"/>
      <c r="AF1" s="36"/>
      <c r="AG1" s="36"/>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429</v>
      </c>
      <c r="B3" s="3" t="s">
        <v>1559</v>
      </c>
      <c r="C3" s="3" t="s">
        <v>1560</v>
      </c>
      <c r="E3" t="s">
        <v>1615</v>
      </c>
      <c r="F3" t="s">
        <v>1616</v>
      </c>
      <c r="G3" t="s">
        <v>1617</v>
      </c>
      <c r="H3" t="s">
        <v>10</v>
      </c>
      <c r="I3">
        <v>5</v>
      </c>
      <c r="J3" s="22">
        <v>0</v>
      </c>
      <c r="K3">
        <v>105</v>
      </c>
      <c r="L3" s="8">
        <f t="shared" ref="L3:L49" si="0">IF($G3="","",$I3*(1+IF($J3="",0,$J3)))</f>
        <v>5</v>
      </c>
      <c r="M3" s="8">
        <f t="shared" ref="M3:M49" si="1">IF($G3="","",$L3)</f>
        <v>5</v>
      </c>
      <c r="N3" s="8">
        <f t="shared" ref="N3:N49" si="2">IF($G3="","",IF($K3="","",$M3*$K3))</f>
        <v>525</v>
      </c>
      <c r="P3" t="s">
        <v>2234</v>
      </c>
      <c r="Q3" t="s">
        <v>1636</v>
      </c>
      <c r="R3" t="s">
        <v>322</v>
      </c>
      <c r="S3" t="s">
        <v>33</v>
      </c>
      <c r="T3">
        <v>224</v>
      </c>
      <c r="U3" s="22">
        <v>0</v>
      </c>
      <c r="V3">
        <v>22.5</v>
      </c>
      <c r="W3" s="8">
        <f>IF($R3="","",$T3*(1+IF($U3="",0,$U3)))</f>
        <v>224</v>
      </c>
      <c r="X3" s="8">
        <f>IF($R3="","",$W3)</f>
        <v>224</v>
      </c>
      <c r="Y3" s="8">
        <f>IF($R3="","",IF($V3="","",$X3*$V3))</f>
        <v>5040</v>
      </c>
      <c r="AH3" s="8" t="str">
        <f>IF($AC3="","",$AE3*(1+IF($AF3="",0,$AF3)))</f>
        <v/>
      </c>
      <c r="AI3" s="8" t="str">
        <f>IF($AC3="","",$AH3)</f>
        <v/>
      </c>
      <c r="AJ3" s="8" t="str">
        <f>IF($AC3="","",IF($AG3="","",$AI3*$AG3))</f>
        <v/>
      </c>
    </row>
    <row r="4" spans="1:37" x14ac:dyDescent="0.25">
      <c r="A4" s="3" t="s">
        <v>430</v>
      </c>
      <c r="B4" s="3" t="s">
        <v>1561</v>
      </c>
      <c r="C4" s="3" t="s">
        <v>1562</v>
      </c>
      <c r="E4" t="s">
        <v>2228</v>
      </c>
      <c r="F4" t="s">
        <v>1618</v>
      </c>
      <c r="G4" t="s">
        <v>1619</v>
      </c>
      <c r="H4" t="s">
        <v>8</v>
      </c>
      <c r="I4">
        <v>84</v>
      </c>
      <c r="J4" s="22">
        <v>0</v>
      </c>
      <c r="K4">
        <v>15</v>
      </c>
      <c r="L4" s="8">
        <f t="shared" si="0"/>
        <v>84</v>
      </c>
      <c r="M4" s="8">
        <f t="shared" si="1"/>
        <v>84</v>
      </c>
      <c r="N4" s="8">
        <f t="shared" si="2"/>
        <v>1260</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1370</v>
      </c>
      <c r="B5" s="3" t="s">
        <v>1563</v>
      </c>
      <c r="C5" s="3" t="s">
        <v>1564</v>
      </c>
      <c r="E5" t="s">
        <v>2229</v>
      </c>
      <c r="F5" t="s">
        <v>1620</v>
      </c>
      <c r="G5" t="s">
        <v>1621</v>
      </c>
      <c r="H5" t="s">
        <v>8</v>
      </c>
      <c r="I5">
        <v>75</v>
      </c>
      <c r="J5" s="22">
        <v>0</v>
      </c>
      <c r="K5">
        <v>4.5</v>
      </c>
      <c r="L5" s="8">
        <f t="shared" si="0"/>
        <v>75</v>
      </c>
      <c r="M5" s="8">
        <f t="shared" si="1"/>
        <v>75</v>
      </c>
      <c r="N5" s="8">
        <f t="shared" si="2"/>
        <v>337.5</v>
      </c>
      <c r="W5" s="8" t="str">
        <f t="shared" si="3"/>
        <v/>
      </c>
      <c r="X5" s="8" t="str">
        <f t="shared" si="4"/>
        <v/>
      </c>
      <c r="Y5" s="8" t="str">
        <f t="shared" si="5"/>
        <v/>
      </c>
      <c r="AH5" s="8" t="str">
        <f t="shared" si="6"/>
        <v/>
      </c>
      <c r="AI5" s="8" t="str">
        <f t="shared" si="7"/>
        <v/>
      </c>
      <c r="AJ5" s="8" t="str">
        <f t="shared" si="8"/>
        <v/>
      </c>
    </row>
    <row r="6" spans="1:37" x14ac:dyDescent="0.25">
      <c r="A6" s="3" t="s">
        <v>431</v>
      </c>
      <c r="B6" s="3" t="s">
        <v>1565</v>
      </c>
      <c r="C6" s="3" t="s">
        <v>1566</v>
      </c>
      <c r="E6" t="s">
        <v>2230</v>
      </c>
      <c r="F6" t="s">
        <v>1622</v>
      </c>
      <c r="G6" t="s">
        <v>1621</v>
      </c>
      <c r="H6" t="s">
        <v>8</v>
      </c>
      <c r="I6">
        <v>198</v>
      </c>
      <c r="J6">
        <v>0</v>
      </c>
      <c r="K6">
        <v>4.5</v>
      </c>
      <c r="L6" s="8">
        <f t="shared" si="0"/>
        <v>198</v>
      </c>
      <c r="M6" s="8">
        <f t="shared" si="1"/>
        <v>198</v>
      </c>
      <c r="N6" s="8">
        <f t="shared" si="2"/>
        <v>891</v>
      </c>
      <c r="W6" s="8" t="str">
        <f t="shared" si="3"/>
        <v/>
      </c>
      <c r="X6" s="8" t="str">
        <f t="shared" si="4"/>
        <v/>
      </c>
      <c r="Y6" s="8" t="str">
        <f t="shared" si="5"/>
        <v/>
      </c>
      <c r="AH6" s="8" t="str">
        <f t="shared" si="6"/>
        <v/>
      </c>
      <c r="AI6" s="8" t="str">
        <f t="shared" si="7"/>
        <v/>
      </c>
      <c r="AJ6" s="8" t="str">
        <f t="shared" si="8"/>
        <v/>
      </c>
    </row>
    <row r="7" spans="1:37" x14ac:dyDescent="0.25">
      <c r="A7" s="3" t="s">
        <v>431</v>
      </c>
      <c r="B7" s="3" t="s">
        <v>1567</v>
      </c>
      <c r="C7" s="3" t="s">
        <v>1568</v>
      </c>
      <c r="E7" t="s">
        <v>2231</v>
      </c>
      <c r="F7" t="s">
        <v>1623</v>
      </c>
      <c r="G7" t="s">
        <v>7</v>
      </c>
      <c r="H7" t="s">
        <v>8</v>
      </c>
      <c r="I7">
        <v>132</v>
      </c>
      <c r="J7">
        <v>0</v>
      </c>
      <c r="K7">
        <v>6.5</v>
      </c>
      <c r="L7" s="8">
        <f t="shared" si="0"/>
        <v>132</v>
      </c>
      <c r="M7" s="8">
        <f t="shared" si="1"/>
        <v>132</v>
      </c>
      <c r="N7" s="8">
        <f t="shared" si="2"/>
        <v>858</v>
      </c>
      <c r="W7" s="8" t="str">
        <f t="shared" si="3"/>
        <v/>
      </c>
      <c r="X7" s="8" t="str">
        <f t="shared" si="4"/>
        <v/>
      </c>
      <c r="Y7" s="8" t="str">
        <f t="shared" si="5"/>
        <v/>
      </c>
      <c r="AH7" s="8" t="str">
        <f t="shared" si="6"/>
        <v/>
      </c>
      <c r="AI7" s="8" t="str">
        <f t="shared" si="7"/>
        <v/>
      </c>
      <c r="AJ7" s="8" t="str">
        <f t="shared" si="8"/>
        <v/>
      </c>
    </row>
    <row r="8" spans="1:37" x14ac:dyDescent="0.25">
      <c r="A8" s="3" t="s">
        <v>431</v>
      </c>
      <c r="B8" s="3" t="s">
        <v>1569</v>
      </c>
      <c r="C8" s="3" t="s">
        <v>1570</v>
      </c>
      <c r="E8" t="s">
        <v>2232</v>
      </c>
      <c r="F8" t="s">
        <v>1624</v>
      </c>
      <c r="G8" t="s">
        <v>7</v>
      </c>
      <c r="H8" t="s">
        <v>8</v>
      </c>
      <c r="I8">
        <v>34</v>
      </c>
      <c r="J8">
        <v>0</v>
      </c>
      <c r="K8">
        <v>6.5</v>
      </c>
      <c r="L8" s="8">
        <f t="shared" si="0"/>
        <v>34</v>
      </c>
      <c r="M8" s="8">
        <f t="shared" si="1"/>
        <v>34</v>
      </c>
      <c r="N8" s="8">
        <f t="shared" si="2"/>
        <v>221</v>
      </c>
      <c r="W8" s="8" t="str">
        <f t="shared" si="3"/>
        <v/>
      </c>
      <c r="X8" s="8" t="str">
        <f t="shared" si="4"/>
        <v/>
      </c>
      <c r="Y8" s="8" t="str">
        <f t="shared" si="5"/>
        <v/>
      </c>
      <c r="AH8" s="8" t="str">
        <f t="shared" si="6"/>
        <v/>
      </c>
      <c r="AI8" s="8" t="str">
        <f t="shared" si="7"/>
        <v/>
      </c>
      <c r="AJ8" s="8" t="str">
        <f t="shared" si="8"/>
        <v/>
      </c>
    </row>
    <row r="9" spans="1:37" x14ac:dyDescent="0.25">
      <c r="A9" s="3" t="s">
        <v>431</v>
      </c>
      <c r="B9" s="3" t="s">
        <v>1571</v>
      </c>
      <c r="C9" s="3" t="s">
        <v>1572</v>
      </c>
      <c r="E9" t="s">
        <v>1625</v>
      </c>
      <c r="F9" t="s">
        <v>1626</v>
      </c>
      <c r="G9" t="s">
        <v>57</v>
      </c>
      <c r="H9" t="s">
        <v>9</v>
      </c>
      <c r="I9">
        <v>29</v>
      </c>
      <c r="J9">
        <v>0</v>
      </c>
      <c r="K9">
        <v>25</v>
      </c>
      <c r="L9" s="8">
        <f t="shared" si="0"/>
        <v>29</v>
      </c>
      <c r="M9" s="8">
        <f t="shared" si="1"/>
        <v>29</v>
      </c>
      <c r="N9" s="8">
        <f t="shared" si="2"/>
        <v>725</v>
      </c>
      <c r="W9" s="8" t="str">
        <f t="shared" si="3"/>
        <v/>
      </c>
      <c r="X9" s="8" t="str">
        <f t="shared" si="4"/>
        <v/>
      </c>
      <c r="Y9" s="8" t="str">
        <f t="shared" si="5"/>
        <v/>
      </c>
      <c r="AH9" s="8" t="str">
        <f t="shared" si="6"/>
        <v/>
      </c>
      <c r="AI9" s="8" t="str">
        <f t="shared" si="7"/>
        <v/>
      </c>
      <c r="AJ9" s="8" t="str">
        <f t="shared" si="8"/>
        <v/>
      </c>
    </row>
    <row r="10" spans="1:37" x14ac:dyDescent="0.25">
      <c r="A10" s="3" t="s">
        <v>1371</v>
      </c>
      <c r="B10" s="3" t="s">
        <v>1372</v>
      </c>
      <c r="C10" s="3" t="s">
        <v>1573</v>
      </c>
      <c r="E10" t="s">
        <v>1627</v>
      </c>
      <c r="F10" t="s">
        <v>1628</v>
      </c>
      <c r="G10" t="s">
        <v>1629</v>
      </c>
      <c r="H10" t="s">
        <v>1630</v>
      </c>
      <c r="I10">
        <v>12</v>
      </c>
      <c r="J10">
        <v>0</v>
      </c>
      <c r="K10">
        <v>1</v>
      </c>
      <c r="L10" s="8">
        <f t="shared" si="0"/>
        <v>12</v>
      </c>
      <c r="M10" s="8">
        <f t="shared" si="1"/>
        <v>12</v>
      </c>
      <c r="N10" s="8">
        <f t="shared" si="2"/>
        <v>12</v>
      </c>
      <c r="W10" s="8" t="str">
        <f t="shared" si="3"/>
        <v/>
      </c>
      <c r="X10" s="8" t="str">
        <f t="shared" si="4"/>
        <v/>
      </c>
      <c r="Y10" s="8" t="str">
        <f t="shared" si="5"/>
        <v/>
      </c>
      <c r="AH10" s="8" t="str">
        <f t="shared" si="6"/>
        <v/>
      </c>
      <c r="AI10" s="8" t="str">
        <f t="shared" si="7"/>
        <v/>
      </c>
      <c r="AJ10" s="8" t="str">
        <f t="shared" si="8"/>
        <v/>
      </c>
    </row>
    <row r="11" spans="1:37" x14ac:dyDescent="0.25">
      <c r="A11" s="3" t="s">
        <v>1371</v>
      </c>
      <c r="B11" s="3" t="s">
        <v>1373</v>
      </c>
      <c r="C11" s="3" t="s">
        <v>1374</v>
      </c>
      <c r="E11" t="s">
        <v>1631</v>
      </c>
      <c r="F11" t="s">
        <v>1632</v>
      </c>
      <c r="G11" t="s">
        <v>58</v>
      </c>
      <c r="H11" t="s">
        <v>9</v>
      </c>
      <c r="I11">
        <v>12</v>
      </c>
      <c r="J11">
        <v>0</v>
      </c>
      <c r="K11">
        <v>18</v>
      </c>
      <c r="L11" s="8">
        <f t="shared" si="0"/>
        <v>12</v>
      </c>
      <c r="M11" s="8">
        <f t="shared" si="1"/>
        <v>12</v>
      </c>
      <c r="N11" s="8">
        <f t="shared" si="2"/>
        <v>216</v>
      </c>
      <c r="W11" s="8" t="str">
        <f t="shared" si="3"/>
        <v/>
      </c>
      <c r="X11" s="8" t="str">
        <f t="shared" si="4"/>
        <v/>
      </c>
      <c r="Y11" s="8" t="str">
        <f t="shared" si="5"/>
        <v/>
      </c>
      <c r="AH11" s="8" t="str">
        <f t="shared" si="6"/>
        <v/>
      </c>
      <c r="AI11" s="8" t="str">
        <f t="shared" si="7"/>
        <v/>
      </c>
      <c r="AJ11" s="8" t="str">
        <f t="shared" si="8"/>
        <v/>
      </c>
    </row>
    <row r="12" spans="1:37" x14ac:dyDescent="0.25">
      <c r="A12" s="3" t="s">
        <v>1371</v>
      </c>
      <c r="B12" s="3" t="s">
        <v>1375</v>
      </c>
      <c r="C12" s="3" t="s">
        <v>1574</v>
      </c>
      <c r="E12" t="s">
        <v>2233</v>
      </c>
      <c r="F12" t="s">
        <v>1633</v>
      </c>
      <c r="G12" t="s">
        <v>2076</v>
      </c>
      <c r="H12" t="s">
        <v>9</v>
      </c>
      <c r="I12">
        <v>3</v>
      </c>
      <c r="J12">
        <v>0</v>
      </c>
      <c r="K12">
        <v>24</v>
      </c>
      <c r="L12" s="8">
        <f t="shared" si="0"/>
        <v>3</v>
      </c>
      <c r="M12" s="8">
        <f t="shared" si="1"/>
        <v>3</v>
      </c>
      <c r="N12" s="8">
        <f t="shared" si="2"/>
        <v>72</v>
      </c>
      <c r="W12" s="8" t="str">
        <f t="shared" si="3"/>
        <v/>
      </c>
      <c r="X12" s="8" t="str">
        <f t="shared" si="4"/>
        <v/>
      </c>
      <c r="Y12" s="8" t="str">
        <f t="shared" si="5"/>
        <v/>
      </c>
      <c r="AH12" s="8" t="str">
        <f t="shared" si="6"/>
        <v/>
      </c>
      <c r="AI12" s="8" t="str">
        <f t="shared" si="7"/>
        <v/>
      </c>
      <c r="AJ12" s="8" t="str">
        <f t="shared" si="8"/>
        <v/>
      </c>
    </row>
    <row r="13" spans="1:37" x14ac:dyDescent="0.25">
      <c r="A13" s="3" t="s">
        <v>1371</v>
      </c>
      <c r="B13" s="3" t="s">
        <v>1575</v>
      </c>
      <c r="C13" s="3" t="s">
        <v>1576</v>
      </c>
      <c r="E13" t="s">
        <v>1634</v>
      </c>
      <c r="F13" t="s">
        <v>1633</v>
      </c>
      <c r="G13" t="s">
        <v>1635</v>
      </c>
      <c r="H13" t="s">
        <v>59</v>
      </c>
      <c r="I13">
        <v>2</v>
      </c>
      <c r="J13">
        <v>0</v>
      </c>
      <c r="K13">
        <v>80</v>
      </c>
      <c r="L13" s="8">
        <f t="shared" si="0"/>
        <v>2</v>
      </c>
      <c r="M13" s="8">
        <f t="shared" si="1"/>
        <v>2</v>
      </c>
      <c r="N13" s="8">
        <f t="shared" si="2"/>
        <v>160</v>
      </c>
      <c r="W13" s="8" t="str">
        <f t="shared" si="3"/>
        <v/>
      </c>
      <c r="X13" s="8" t="str">
        <f t="shared" si="4"/>
        <v/>
      </c>
      <c r="Y13" s="8" t="str">
        <f t="shared" si="5"/>
        <v/>
      </c>
      <c r="AH13" s="8" t="str">
        <f t="shared" si="6"/>
        <v/>
      </c>
      <c r="AI13" s="8" t="str">
        <f t="shared" si="7"/>
        <v/>
      </c>
      <c r="AJ13" s="8" t="str">
        <f t="shared" si="8"/>
        <v/>
      </c>
    </row>
    <row r="14" spans="1:37" x14ac:dyDescent="0.25">
      <c r="A14" s="3" t="s">
        <v>1371</v>
      </c>
      <c r="B14" s="3" t="s">
        <v>1577</v>
      </c>
      <c r="C14" s="3" t="s">
        <v>1578</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431</v>
      </c>
      <c r="B15" s="3" t="s">
        <v>1579</v>
      </c>
      <c r="C15" s="3" t="s">
        <v>1580</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431</v>
      </c>
      <c r="B16" s="3" t="s">
        <v>1376</v>
      </c>
      <c r="C16" s="3" t="s">
        <v>1377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431</v>
      </c>
      <c r="B17" s="3" t="s">
        <v>1378</v>
      </c>
      <c r="C17" s="3" t="s">
        <v>1379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431</v>
      </c>
      <c r="B18" s="3" t="s">
        <v>1086</v>
      </c>
      <c r="C18" s="3" t="s">
        <v>1581</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1371</v>
      </c>
      <c r="B19" s="3" t="s">
        <v>1380</v>
      </c>
      <c r="C19" s="3" t="s">
        <v>1381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1371</v>
      </c>
      <c r="B20" s="3" t="s">
        <v>1382</v>
      </c>
      <c r="C20" s="3" t="s">
        <v>1582</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1371</v>
      </c>
      <c r="B21" s="3" t="s">
        <v>1383</v>
      </c>
      <c r="C21" s="3" t="s">
        <v>1384</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1371</v>
      </c>
      <c r="B22" s="3" t="s">
        <v>1385</v>
      </c>
      <c r="C22" s="3" t="s">
        <v>1386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431</v>
      </c>
      <c r="B23" s="3" t="s">
        <v>1387</v>
      </c>
      <c r="C23" s="3" t="s">
        <v>1583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1371</v>
      </c>
      <c r="B24" s="3" t="s">
        <v>1584</v>
      </c>
      <c r="C24" s="3" t="s">
        <v>1585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1371</v>
      </c>
      <c r="B25" s="3" t="s">
        <v>1586</v>
      </c>
      <c r="C25" s="3" t="s">
        <v>1587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1371</v>
      </c>
      <c r="B26" s="3" t="s">
        <v>1588</v>
      </c>
      <c r="C26" s="3" t="s">
        <v>1589</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1371</v>
      </c>
      <c r="B27" s="3" t="s">
        <v>1590</v>
      </c>
      <c r="C27" s="3" t="s">
        <v>1591</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431</v>
      </c>
      <c r="B28" s="3" t="s">
        <v>1592</v>
      </c>
      <c r="C28" s="3" t="s">
        <v>1593</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431</v>
      </c>
      <c r="B29" s="3" t="s">
        <v>1594</v>
      </c>
      <c r="C29" s="3" t="s">
        <v>1595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431</v>
      </c>
      <c r="B30" s="3" t="s">
        <v>1388</v>
      </c>
      <c r="C30" s="3" t="s">
        <v>1596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1389</v>
      </c>
      <c r="B31" s="3" t="s">
        <v>1390</v>
      </c>
      <c r="C31" s="3" t="s">
        <v>1391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431</v>
      </c>
      <c r="B32" s="3" t="s">
        <v>1392</v>
      </c>
      <c r="C32" s="3" t="s">
        <v>1597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1389</v>
      </c>
      <c r="B33" s="3" t="s">
        <v>1393</v>
      </c>
      <c r="C33" s="3" t="s">
        <v>1394</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1389</v>
      </c>
      <c r="B34" s="3" t="s">
        <v>1395</v>
      </c>
      <c r="C34" s="3" t="s">
        <v>1396</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1389</v>
      </c>
      <c r="B35" s="3" t="s">
        <v>1397</v>
      </c>
      <c r="C35" s="3" t="s">
        <v>1396</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1389</v>
      </c>
      <c r="B36" s="3" t="s">
        <v>1398</v>
      </c>
      <c r="C36" s="3" t="s">
        <v>1399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1389</v>
      </c>
      <c r="B37" s="3" t="s">
        <v>1598</v>
      </c>
      <c r="C37" s="3" t="s">
        <v>1399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1389</v>
      </c>
      <c r="B38" s="3" t="s">
        <v>1401</v>
      </c>
      <c r="C38" s="3" t="s">
        <v>1402</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1389</v>
      </c>
      <c r="B39" s="3" t="s">
        <v>1403</v>
      </c>
      <c r="C39" s="3" t="s">
        <v>1404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1389</v>
      </c>
      <c r="B40" s="3" t="s">
        <v>1405</v>
      </c>
      <c r="C40" s="3" t="s">
        <v>1406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1389</v>
      </c>
      <c r="B41" s="3" t="s">
        <v>1599</v>
      </c>
      <c r="C41" s="3" t="s">
        <v>2059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1389</v>
      </c>
      <c r="B42" s="3" t="s">
        <v>1600</v>
      </c>
      <c r="C42" s="3" t="s">
        <v>1601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431</v>
      </c>
      <c r="B43" s="3" t="s">
        <v>1400</v>
      </c>
      <c r="C43" s="3" t="s">
        <v>1602</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431</v>
      </c>
      <c r="B44" s="3" t="s">
        <v>1603</v>
      </c>
      <c r="C44" s="3" t="s">
        <v>1604</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431</v>
      </c>
      <c r="B45" s="3" t="s">
        <v>1407</v>
      </c>
      <c r="C45" s="3" t="s">
        <v>1605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431</v>
      </c>
      <c r="B46" s="3" t="s">
        <v>1408</v>
      </c>
      <c r="C46" s="3" t="s">
        <v>1606</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431</v>
      </c>
      <c r="B47" s="3" t="s">
        <v>1607</v>
      </c>
      <c r="C47" s="3" t="s">
        <v>1608</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431</v>
      </c>
      <c r="B48" s="3" t="s">
        <v>1409</v>
      </c>
      <c r="C48" s="3" t="s">
        <v>1609</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431</v>
      </c>
      <c r="B49" s="3" t="s">
        <v>1410</v>
      </c>
      <c r="C49" s="3" t="s">
        <v>1610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431</v>
      </c>
      <c r="B50" s="3" t="s">
        <v>1411</v>
      </c>
      <c r="C50" s="3" t="s">
        <v>1611</v>
      </c>
    </row>
    <row r="51" spans="1:36" x14ac:dyDescent="0.25">
      <c r="A51" s="3" t="s">
        <v>431</v>
      </c>
      <c r="B51" s="3" t="s">
        <v>1412</v>
      </c>
      <c r="C51" s="3" t="s">
        <v>1612</v>
      </c>
    </row>
    <row r="52" spans="1:36" x14ac:dyDescent="0.25">
      <c r="A52" s="3" t="s">
        <v>431</v>
      </c>
      <c r="B52" s="3" t="s">
        <v>1413</v>
      </c>
      <c r="C52" s="3" t="s">
        <v>1613</v>
      </c>
    </row>
    <row r="53" spans="1:36" x14ac:dyDescent="0.25">
      <c r="A53" s="3" t="s">
        <v>431</v>
      </c>
      <c r="B53" s="3" t="s">
        <v>365</v>
      </c>
      <c r="C53" s="3" t="s">
        <v>1414</v>
      </c>
    </row>
    <row r="54" spans="1:36" x14ac:dyDescent="0.25">
      <c r="A54" s="3" t="s">
        <v>1415</v>
      </c>
      <c r="B54" s="3" t="s">
        <v>1510</v>
      </c>
      <c r="C54" s="3" t="s">
        <v>452</v>
      </c>
    </row>
    <row r="55" spans="1:36" x14ac:dyDescent="0.25">
      <c r="A55" s="3" t="s">
        <v>1371</v>
      </c>
      <c r="B55" s="3" t="s">
        <v>1968</v>
      </c>
      <c r="C55" s="3" t="s">
        <v>2226</v>
      </c>
    </row>
    <row r="56" spans="1:36" x14ac:dyDescent="0.25">
      <c r="A56" s="3" t="s">
        <v>431</v>
      </c>
      <c r="B56" s="3" t="s">
        <v>582</v>
      </c>
      <c r="C56" s="3" t="s">
        <v>1614</v>
      </c>
    </row>
    <row r="57" spans="1:36" x14ac:dyDescent="0.25">
      <c r="A57" s="3" t="s">
        <v>432</v>
      </c>
      <c r="B57" s="3" t="s">
        <v>433</v>
      </c>
      <c r="C57" s="3" t="s">
        <v>2227</v>
      </c>
    </row>
  </sheetData>
  <mergeCells count="4">
    <mergeCell ref="A1:C1"/>
    <mergeCell ref="E1:K1"/>
    <mergeCell ref="P1:V1"/>
    <mergeCell ref="AA1:AG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7AF63-8A92-4A84-ACFA-6BE2F8E66882}">
  <sheetPr codeName="Sheet25"/>
  <dimension ref="A1:AK54"/>
  <sheetViews>
    <sheetView zoomScale="75" zoomScaleNormal="75" workbookViewId="0">
      <pane ySplit="49" topLeftCell="A55" activePane="bottomLeft" state="frozen"/>
      <selection pane="bottomLeft" sqref="A1:C5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16" width="8.7109375" customWidth="1"/>
    <col min="17" max="17" width="12.140625" bestFit="1" customWidth="1"/>
    <col min="18" max="18" width="56.5703125" bestFit="1" customWidth="1"/>
    <col min="19"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4" t="str" cm="1">
        <f t="array" aca="1" ref="A1" ca="1">IFERROR(MID(CELL("filename",$A$1),FIND("]",CELL("filename",$A$1))+1,99),"SXX")</f>
        <v>S14</v>
      </c>
      <c r="B1" s="34"/>
      <c r="C1" s="34"/>
      <c r="E1" s="35" t="str" cm="1">
        <f t="array" aca="1" ref="E1" ca="1">IFERROR(MID(CELL("filename",$A$1),FIND("]",CELL("filename",$A$1))+1,99),"SXX")&amp;" MATERIALS (USAGE + STANDALONE)"</f>
        <v>S14 MATERIALS (USAGE + STANDALONE)</v>
      </c>
      <c r="F1" s="35"/>
      <c r="G1" s="35"/>
      <c r="H1" s="35"/>
      <c r="I1" s="35"/>
      <c r="J1" s="35"/>
      <c r="K1" s="35"/>
      <c r="L1" s="13"/>
      <c r="M1" s="13"/>
      <c r="N1" s="19">
        <f>SUM(N3:N49)</f>
        <v>1825.2700000000002</v>
      </c>
      <c r="P1" s="35" t="str" cm="1">
        <f t="array" aca="1" ref="P1" ca="1">IFERROR(MID(CELL("filename",$A$1),FIND("]",CELL("filename",$A$1))+1,99),"SXX")&amp;" LABOUR (USAGE + STANDALONE)"</f>
        <v>S14 LABOUR (USAGE + STANDALONE)</v>
      </c>
      <c r="Q1" s="35"/>
      <c r="R1" s="35"/>
      <c r="S1" s="35"/>
      <c r="T1" s="35"/>
      <c r="U1" s="35"/>
      <c r="V1" s="35"/>
      <c r="Y1" s="19">
        <f>SUM(Y3:Y49)</f>
        <v>1440</v>
      </c>
      <c r="AA1" s="36" t="str" cm="1">
        <f t="array" aca="1" ref="AA1" ca="1">IFERROR(MID(CELL("filename",$A$1),FIND("]",CELL("filename",$A$1))+1,99),"SXX")&amp;" RENTAL / SERVICE (USAGE + STANDALONE)"</f>
        <v>S14 RENTAL / SERVICE (USAGE + STANDALONE)</v>
      </c>
      <c r="AB1" s="36"/>
      <c r="AC1" s="36"/>
      <c r="AD1" s="36"/>
      <c r="AE1" s="36"/>
      <c r="AF1" s="36"/>
      <c r="AG1" s="36"/>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434</v>
      </c>
      <c r="B3" s="3" t="s">
        <v>1637</v>
      </c>
      <c r="C3" s="3" t="s">
        <v>1765</v>
      </c>
      <c r="E3" t="s">
        <v>1721</v>
      </c>
      <c r="F3" t="s">
        <v>1722</v>
      </c>
      <c r="G3" t="s">
        <v>1723</v>
      </c>
      <c r="H3" t="s">
        <v>327</v>
      </c>
      <c r="I3">
        <v>1</v>
      </c>
      <c r="J3" s="22">
        <v>0</v>
      </c>
      <c r="K3">
        <v>92</v>
      </c>
      <c r="L3" s="8">
        <f t="shared" ref="L3:L49" si="0">IF($G3="","",$I3*(1+IF($J3="",0,$J3)))</f>
        <v>1</v>
      </c>
      <c r="M3" s="8">
        <f t="shared" ref="M3:M49" si="1">IF($G3="","",$L3)</f>
        <v>1</v>
      </c>
      <c r="N3" s="8">
        <f t="shared" ref="N3:N49" si="2">IF($G3="","",IF($K3="","",$M3*$K3))</f>
        <v>92</v>
      </c>
      <c r="P3" t="s">
        <v>2237</v>
      </c>
      <c r="Q3" t="s">
        <v>1764</v>
      </c>
      <c r="R3" t="s">
        <v>322</v>
      </c>
      <c r="S3" t="s">
        <v>33</v>
      </c>
      <c r="T3">
        <v>38</v>
      </c>
      <c r="U3" s="22">
        <v>0</v>
      </c>
      <c r="V3">
        <v>22.5</v>
      </c>
      <c r="W3" s="8">
        <f>IF($R3="","",$T3*(1+IF($U3="",0,$U3)))</f>
        <v>38</v>
      </c>
      <c r="X3" s="8">
        <f>IF($R3="","",$W3)</f>
        <v>38</v>
      </c>
      <c r="Y3" s="8">
        <f>IF($R3="","",IF($V3="","",$X3*$V3))</f>
        <v>855</v>
      </c>
      <c r="AH3" s="8" t="str">
        <f>IF($AC3="","",$AE3*(1+IF($AF3="",0,$AF3)))</f>
        <v/>
      </c>
      <c r="AI3" s="8" t="str">
        <f>IF($AC3="","",$AH3)</f>
        <v/>
      </c>
      <c r="AJ3" s="8" t="str">
        <f>IF($AC3="","",IF($AG3="","",$AI3*$AG3))</f>
        <v/>
      </c>
    </row>
    <row r="4" spans="1:37" x14ac:dyDescent="0.25">
      <c r="A4" s="3" t="s">
        <v>435</v>
      </c>
      <c r="B4" s="3" t="s">
        <v>1766</v>
      </c>
      <c r="C4" s="3" t="s">
        <v>1767</v>
      </c>
      <c r="E4" t="s">
        <v>1721</v>
      </c>
      <c r="F4" t="s">
        <v>1722</v>
      </c>
      <c r="G4" t="s">
        <v>1724</v>
      </c>
      <c r="H4" t="s">
        <v>327</v>
      </c>
      <c r="I4">
        <v>1</v>
      </c>
      <c r="J4" s="22">
        <v>0</v>
      </c>
      <c r="K4">
        <v>92</v>
      </c>
      <c r="L4" s="8">
        <f t="shared" si="0"/>
        <v>1</v>
      </c>
      <c r="M4" s="8">
        <f t="shared" si="1"/>
        <v>1</v>
      </c>
      <c r="N4" s="8">
        <f t="shared" si="2"/>
        <v>92</v>
      </c>
      <c r="P4" t="s">
        <v>2238</v>
      </c>
      <c r="Q4" t="s">
        <v>1764</v>
      </c>
      <c r="R4" t="s">
        <v>322</v>
      </c>
      <c r="S4" t="s">
        <v>33</v>
      </c>
      <c r="T4">
        <v>17</v>
      </c>
      <c r="U4" s="22">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1638</v>
      </c>
      <c r="B5" s="3" t="s">
        <v>1639</v>
      </c>
      <c r="C5" s="3" t="s">
        <v>1768</v>
      </c>
      <c r="E5" t="s">
        <v>1721</v>
      </c>
      <c r="F5" t="s">
        <v>1722</v>
      </c>
      <c r="G5" t="s">
        <v>1725</v>
      </c>
      <c r="H5" t="s">
        <v>327</v>
      </c>
      <c r="I5">
        <v>1</v>
      </c>
      <c r="J5" s="22">
        <v>0</v>
      </c>
      <c r="K5">
        <v>92</v>
      </c>
      <c r="L5" s="8">
        <f t="shared" si="0"/>
        <v>1</v>
      </c>
      <c r="M5" s="8">
        <f t="shared" si="1"/>
        <v>1</v>
      </c>
      <c r="N5" s="8">
        <f t="shared" si="2"/>
        <v>92</v>
      </c>
      <c r="P5" t="s">
        <v>2239</v>
      </c>
      <c r="Q5" t="s">
        <v>1764</v>
      </c>
      <c r="R5" t="s">
        <v>322</v>
      </c>
      <c r="S5" t="s">
        <v>33</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436</v>
      </c>
      <c r="B6" s="3" t="s">
        <v>1640</v>
      </c>
      <c r="C6" s="3" t="s">
        <v>1769</v>
      </c>
      <c r="E6" t="s">
        <v>1726</v>
      </c>
      <c r="F6" t="s">
        <v>1722</v>
      </c>
      <c r="G6" t="s">
        <v>1727</v>
      </c>
      <c r="H6" t="s">
        <v>327</v>
      </c>
      <c r="I6">
        <v>1</v>
      </c>
      <c r="J6">
        <v>0</v>
      </c>
      <c r="K6">
        <v>146</v>
      </c>
      <c r="L6" s="8">
        <f t="shared" si="0"/>
        <v>1</v>
      </c>
      <c r="M6" s="8">
        <f t="shared" si="1"/>
        <v>1</v>
      </c>
      <c r="N6" s="8">
        <f t="shared" si="2"/>
        <v>146</v>
      </c>
      <c r="W6" s="8" t="str">
        <f t="shared" si="3"/>
        <v/>
      </c>
      <c r="X6" s="8" t="str">
        <f t="shared" si="4"/>
        <v/>
      </c>
      <c r="Y6" s="8" t="str">
        <f t="shared" si="5"/>
        <v/>
      </c>
      <c r="AH6" s="8" t="str">
        <f t="shared" si="6"/>
        <v/>
      </c>
      <c r="AI6" s="8" t="str">
        <f t="shared" si="7"/>
        <v/>
      </c>
      <c r="AJ6" s="8" t="str">
        <f t="shared" si="8"/>
        <v/>
      </c>
    </row>
    <row r="7" spans="1:37" x14ac:dyDescent="0.25">
      <c r="A7" s="3" t="s">
        <v>436</v>
      </c>
      <c r="B7" s="3" t="s">
        <v>1641</v>
      </c>
      <c r="C7" s="3" t="s">
        <v>1770</v>
      </c>
      <c r="E7" t="s">
        <v>1726</v>
      </c>
      <c r="F7" t="s">
        <v>1722</v>
      </c>
      <c r="G7" t="s">
        <v>1728</v>
      </c>
      <c r="H7" t="s">
        <v>327</v>
      </c>
      <c r="I7">
        <v>1</v>
      </c>
      <c r="J7">
        <v>0</v>
      </c>
      <c r="K7">
        <v>146</v>
      </c>
      <c r="L7" s="8">
        <f t="shared" si="0"/>
        <v>1</v>
      </c>
      <c r="M7" s="8">
        <f t="shared" si="1"/>
        <v>1</v>
      </c>
      <c r="N7" s="8">
        <f t="shared" si="2"/>
        <v>146</v>
      </c>
      <c r="W7" s="8" t="str">
        <f t="shared" si="3"/>
        <v/>
      </c>
      <c r="X7" s="8" t="str">
        <f t="shared" si="4"/>
        <v/>
      </c>
      <c r="Y7" s="8" t="str">
        <f t="shared" si="5"/>
        <v/>
      </c>
      <c r="AH7" s="8" t="str">
        <f t="shared" si="6"/>
        <v/>
      </c>
      <c r="AI7" s="8" t="str">
        <f t="shared" si="7"/>
        <v/>
      </c>
      <c r="AJ7" s="8" t="str">
        <f t="shared" si="8"/>
        <v/>
      </c>
    </row>
    <row r="8" spans="1:37" x14ac:dyDescent="0.25">
      <c r="A8" s="3" t="s">
        <v>436</v>
      </c>
      <c r="B8" s="3" t="s">
        <v>1642</v>
      </c>
      <c r="C8" s="3" t="s">
        <v>1771</v>
      </c>
      <c r="E8" t="s">
        <v>1726</v>
      </c>
      <c r="F8" t="s">
        <v>1722</v>
      </c>
      <c r="G8" t="s">
        <v>1729</v>
      </c>
      <c r="H8" t="s">
        <v>327</v>
      </c>
      <c r="I8">
        <v>1</v>
      </c>
      <c r="J8">
        <v>0</v>
      </c>
      <c r="K8">
        <v>146</v>
      </c>
      <c r="L8" s="8">
        <f t="shared" si="0"/>
        <v>1</v>
      </c>
      <c r="M8" s="8">
        <f t="shared" si="1"/>
        <v>1</v>
      </c>
      <c r="N8" s="8">
        <f t="shared" si="2"/>
        <v>146</v>
      </c>
      <c r="W8" s="8" t="str">
        <f t="shared" si="3"/>
        <v/>
      </c>
      <c r="X8" s="8" t="str">
        <f t="shared" si="4"/>
        <v/>
      </c>
      <c r="Y8" s="8" t="str">
        <f t="shared" si="5"/>
        <v/>
      </c>
      <c r="AH8" s="8" t="str">
        <f t="shared" si="6"/>
        <v/>
      </c>
      <c r="AI8" s="8" t="str">
        <f t="shared" si="7"/>
        <v/>
      </c>
      <c r="AJ8" s="8" t="str">
        <f t="shared" si="8"/>
        <v/>
      </c>
    </row>
    <row r="9" spans="1:37" x14ac:dyDescent="0.25">
      <c r="A9" s="3" t="s">
        <v>436</v>
      </c>
      <c r="B9" s="3" t="s">
        <v>1643</v>
      </c>
      <c r="C9" s="3" t="s">
        <v>1772</v>
      </c>
      <c r="E9" t="s">
        <v>1730</v>
      </c>
      <c r="F9" t="s">
        <v>1731</v>
      </c>
      <c r="G9" t="s">
        <v>1732</v>
      </c>
      <c r="H9" t="s">
        <v>1733</v>
      </c>
      <c r="I9">
        <v>15</v>
      </c>
      <c r="J9">
        <v>0</v>
      </c>
      <c r="K9">
        <v>10.5</v>
      </c>
      <c r="L9" s="8">
        <f t="shared" si="0"/>
        <v>15</v>
      </c>
      <c r="M9" s="8">
        <f t="shared" si="1"/>
        <v>15</v>
      </c>
      <c r="N9" s="8">
        <f t="shared" si="2"/>
        <v>157.5</v>
      </c>
      <c r="W9" s="8" t="str">
        <f t="shared" si="3"/>
        <v/>
      </c>
      <c r="X9" s="8" t="str">
        <f t="shared" si="4"/>
        <v/>
      </c>
      <c r="Y9" s="8" t="str">
        <f t="shared" si="5"/>
        <v/>
      </c>
      <c r="AH9" s="8" t="str">
        <f t="shared" si="6"/>
        <v/>
      </c>
      <c r="AI9" s="8" t="str">
        <f t="shared" si="7"/>
        <v/>
      </c>
      <c r="AJ9" s="8" t="str">
        <f t="shared" si="8"/>
        <v/>
      </c>
    </row>
    <row r="10" spans="1:37" x14ac:dyDescent="0.25">
      <c r="A10" s="3" t="s">
        <v>436</v>
      </c>
      <c r="B10" s="3" t="s">
        <v>1644</v>
      </c>
      <c r="C10" s="3" t="s">
        <v>1773</v>
      </c>
      <c r="E10" t="s">
        <v>1734</v>
      </c>
      <c r="F10" t="s">
        <v>1735</v>
      </c>
      <c r="G10" t="s">
        <v>1736</v>
      </c>
      <c r="H10" t="s">
        <v>723</v>
      </c>
      <c r="I10">
        <v>15</v>
      </c>
      <c r="J10">
        <v>0</v>
      </c>
      <c r="K10">
        <v>6.8</v>
      </c>
      <c r="L10" s="8">
        <f t="shared" si="0"/>
        <v>15</v>
      </c>
      <c r="M10" s="8">
        <f t="shared" si="1"/>
        <v>15</v>
      </c>
      <c r="N10" s="8">
        <f t="shared" si="2"/>
        <v>102</v>
      </c>
      <c r="W10" s="8" t="str">
        <f t="shared" si="3"/>
        <v/>
      </c>
      <c r="X10" s="8" t="str">
        <f t="shared" si="4"/>
        <v/>
      </c>
      <c r="Y10" s="8" t="str">
        <f t="shared" si="5"/>
        <v/>
      </c>
      <c r="AH10" s="8" t="str">
        <f t="shared" si="6"/>
        <v/>
      </c>
      <c r="AI10" s="8" t="str">
        <f t="shared" si="7"/>
        <v/>
      </c>
      <c r="AJ10" s="8" t="str">
        <f t="shared" si="8"/>
        <v/>
      </c>
    </row>
    <row r="11" spans="1:37" x14ac:dyDescent="0.25">
      <c r="A11" s="3" t="s">
        <v>436</v>
      </c>
      <c r="B11" s="3" t="s">
        <v>1667</v>
      </c>
      <c r="C11" s="3" t="s">
        <v>1668</v>
      </c>
      <c r="E11" t="s">
        <v>1737</v>
      </c>
      <c r="F11" t="s">
        <v>1735</v>
      </c>
      <c r="G11" t="s">
        <v>1738</v>
      </c>
      <c r="H11" t="s">
        <v>723</v>
      </c>
      <c r="I11">
        <v>12</v>
      </c>
      <c r="J11">
        <v>0</v>
      </c>
      <c r="K11">
        <v>10.199999999999999</v>
      </c>
      <c r="L11" s="8">
        <f t="shared" si="0"/>
        <v>12</v>
      </c>
      <c r="M11" s="8">
        <f t="shared" si="1"/>
        <v>12</v>
      </c>
      <c r="N11" s="8">
        <f t="shared" si="2"/>
        <v>122.39999999999999</v>
      </c>
      <c r="W11" s="8" t="str">
        <f t="shared" si="3"/>
        <v/>
      </c>
      <c r="X11" s="8" t="str">
        <f t="shared" si="4"/>
        <v/>
      </c>
      <c r="Y11" s="8" t="str">
        <f t="shared" si="5"/>
        <v/>
      </c>
      <c r="AH11" s="8" t="str">
        <f t="shared" si="6"/>
        <v/>
      </c>
      <c r="AI11" s="8" t="str">
        <f t="shared" si="7"/>
        <v/>
      </c>
      <c r="AJ11" s="8" t="str">
        <f t="shared" si="8"/>
        <v/>
      </c>
    </row>
    <row r="12" spans="1:37" x14ac:dyDescent="0.25">
      <c r="A12" s="3" t="s">
        <v>1645</v>
      </c>
      <c r="B12" s="3" t="s">
        <v>1646</v>
      </c>
      <c r="C12" s="3" t="s">
        <v>1774</v>
      </c>
      <c r="E12" t="s">
        <v>1739</v>
      </c>
      <c r="F12" t="s">
        <v>1735</v>
      </c>
      <c r="G12" t="s">
        <v>1740</v>
      </c>
      <c r="H12" t="s">
        <v>959</v>
      </c>
      <c r="I12">
        <v>2</v>
      </c>
      <c r="J12">
        <v>0</v>
      </c>
      <c r="K12">
        <v>1.36</v>
      </c>
      <c r="L12" s="8">
        <f t="shared" si="0"/>
        <v>2</v>
      </c>
      <c r="M12" s="8">
        <f t="shared" si="1"/>
        <v>2</v>
      </c>
      <c r="N12" s="8">
        <f t="shared" si="2"/>
        <v>2.72</v>
      </c>
      <c r="W12" s="8" t="str">
        <f t="shared" si="3"/>
        <v/>
      </c>
      <c r="X12" s="8" t="str">
        <f t="shared" si="4"/>
        <v/>
      </c>
      <c r="Y12" s="8" t="str">
        <f t="shared" si="5"/>
        <v/>
      </c>
      <c r="AH12" s="8" t="str">
        <f t="shared" si="6"/>
        <v/>
      </c>
      <c r="AI12" s="8" t="str">
        <f t="shared" si="7"/>
        <v/>
      </c>
      <c r="AJ12" s="8" t="str">
        <f t="shared" si="8"/>
        <v/>
      </c>
    </row>
    <row r="13" spans="1:37" x14ac:dyDescent="0.25">
      <c r="A13" s="3" t="s">
        <v>1645</v>
      </c>
      <c r="B13" s="3" t="s">
        <v>1647</v>
      </c>
      <c r="C13" s="3" t="s">
        <v>1648</v>
      </c>
      <c r="E13" t="s">
        <v>1741</v>
      </c>
      <c r="F13" t="s">
        <v>1742</v>
      </c>
      <c r="G13" t="s">
        <v>1743</v>
      </c>
      <c r="H13" t="s">
        <v>34</v>
      </c>
      <c r="I13">
        <v>15</v>
      </c>
      <c r="J13">
        <v>0</v>
      </c>
      <c r="K13">
        <v>0.35</v>
      </c>
      <c r="L13" s="8">
        <f t="shared" si="0"/>
        <v>15</v>
      </c>
      <c r="M13" s="8">
        <f t="shared" si="1"/>
        <v>15</v>
      </c>
      <c r="N13" s="8">
        <f t="shared" si="2"/>
        <v>5.25</v>
      </c>
      <c r="W13" s="8" t="str">
        <f t="shared" si="3"/>
        <v/>
      </c>
      <c r="X13" s="8" t="str">
        <f t="shared" si="4"/>
        <v/>
      </c>
      <c r="Y13" s="8" t="str">
        <f t="shared" si="5"/>
        <v/>
      </c>
      <c r="AH13" s="8" t="str">
        <f t="shared" si="6"/>
        <v/>
      </c>
      <c r="AI13" s="8" t="str">
        <f t="shared" si="7"/>
        <v/>
      </c>
      <c r="AJ13" s="8" t="str">
        <f t="shared" si="8"/>
        <v/>
      </c>
    </row>
    <row r="14" spans="1:37" x14ac:dyDescent="0.25">
      <c r="A14" s="3" t="s">
        <v>1645</v>
      </c>
      <c r="B14" s="3" t="s">
        <v>1649</v>
      </c>
      <c r="C14" s="3" t="s">
        <v>1775</v>
      </c>
      <c r="E14" t="s">
        <v>1785</v>
      </c>
      <c r="F14" t="s">
        <v>1744</v>
      </c>
      <c r="G14" t="s">
        <v>1745</v>
      </c>
      <c r="H14" t="s">
        <v>34</v>
      </c>
      <c r="I14">
        <v>10</v>
      </c>
      <c r="J14">
        <v>0</v>
      </c>
      <c r="K14">
        <v>8.5</v>
      </c>
      <c r="L14" s="8">
        <f t="shared" si="0"/>
        <v>10</v>
      </c>
      <c r="M14" s="8">
        <f t="shared" si="1"/>
        <v>10</v>
      </c>
      <c r="N14" s="8">
        <f t="shared" si="2"/>
        <v>85</v>
      </c>
      <c r="W14" s="8" t="str">
        <f t="shared" si="3"/>
        <v/>
      </c>
      <c r="X14" s="8" t="str">
        <f t="shared" si="4"/>
        <v/>
      </c>
      <c r="Y14" s="8" t="str">
        <f t="shared" si="5"/>
        <v/>
      </c>
      <c r="AH14" s="8" t="str">
        <f t="shared" si="6"/>
        <v/>
      </c>
      <c r="AI14" s="8" t="str">
        <f t="shared" si="7"/>
        <v/>
      </c>
      <c r="AJ14" s="8" t="str">
        <f t="shared" si="8"/>
        <v/>
      </c>
    </row>
    <row r="15" spans="1:37" x14ac:dyDescent="0.25">
      <c r="A15" s="3" t="s">
        <v>1645</v>
      </c>
      <c r="B15" s="3" t="s">
        <v>1650</v>
      </c>
      <c r="C15" s="3" t="s">
        <v>1776</v>
      </c>
      <c r="E15" t="s">
        <v>1786</v>
      </c>
      <c r="F15" t="s">
        <v>1746</v>
      </c>
      <c r="G15" t="s">
        <v>1747</v>
      </c>
      <c r="H15" t="s">
        <v>34</v>
      </c>
      <c r="I15">
        <v>5</v>
      </c>
      <c r="J15">
        <v>0</v>
      </c>
      <c r="K15">
        <v>5.9</v>
      </c>
      <c r="L15" s="8">
        <f t="shared" si="0"/>
        <v>5</v>
      </c>
      <c r="M15" s="8">
        <f t="shared" si="1"/>
        <v>5</v>
      </c>
      <c r="N15" s="8">
        <f t="shared" si="2"/>
        <v>29.5</v>
      </c>
      <c r="W15" s="8" t="str">
        <f t="shared" si="3"/>
        <v/>
      </c>
      <c r="X15" s="8" t="str">
        <f t="shared" si="4"/>
        <v/>
      </c>
      <c r="Y15" s="8" t="str">
        <f t="shared" si="5"/>
        <v/>
      </c>
      <c r="AH15" s="8" t="str">
        <f t="shared" si="6"/>
        <v/>
      </c>
      <c r="AI15" s="8" t="str">
        <f t="shared" si="7"/>
        <v/>
      </c>
      <c r="AJ15" s="8" t="str">
        <f t="shared" si="8"/>
        <v/>
      </c>
    </row>
    <row r="16" spans="1:37" x14ac:dyDescent="0.25">
      <c r="A16" s="3" t="s">
        <v>1645</v>
      </c>
      <c r="B16" s="3" t="s">
        <v>1651</v>
      </c>
      <c r="C16" s="3" t="s">
        <v>1652</v>
      </c>
      <c r="E16" t="s">
        <v>1748</v>
      </c>
      <c r="F16" t="s">
        <v>1749</v>
      </c>
      <c r="G16" t="s">
        <v>61</v>
      </c>
      <c r="H16" t="s">
        <v>8</v>
      </c>
      <c r="I16">
        <v>10</v>
      </c>
      <c r="J16">
        <v>0</v>
      </c>
      <c r="K16">
        <v>9.9</v>
      </c>
      <c r="L16" s="8">
        <f t="shared" si="0"/>
        <v>10</v>
      </c>
      <c r="M16" s="8">
        <f t="shared" si="1"/>
        <v>10</v>
      </c>
      <c r="N16" s="8">
        <f t="shared" si="2"/>
        <v>99</v>
      </c>
      <c r="W16" s="8" t="str">
        <f t="shared" si="3"/>
        <v/>
      </c>
      <c r="X16" s="8" t="str">
        <f t="shared" si="4"/>
        <v/>
      </c>
      <c r="Y16" s="8" t="str">
        <f t="shared" si="5"/>
        <v/>
      </c>
      <c r="AH16" s="8" t="str">
        <f t="shared" si="6"/>
        <v/>
      </c>
      <c r="AI16" s="8" t="str">
        <f t="shared" si="7"/>
        <v/>
      </c>
      <c r="AJ16" s="8" t="str">
        <f t="shared" si="8"/>
        <v/>
      </c>
    </row>
    <row r="17" spans="1:36" x14ac:dyDescent="0.25">
      <c r="A17" s="3" t="s">
        <v>1645</v>
      </c>
      <c r="B17" s="3" t="s">
        <v>1653</v>
      </c>
      <c r="C17" s="3" t="s">
        <v>1654</v>
      </c>
      <c r="E17" t="s">
        <v>1787</v>
      </c>
      <c r="F17" t="s">
        <v>1749</v>
      </c>
      <c r="G17" t="s">
        <v>1750</v>
      </c>
      <c r="H17" t="s">
        <v>10</v>
      </c>
      <c r="I17">
        <v>2</v>
      </c>
      <c r="J17">
        <v>0</v>
      </c>
      <c r="K17">
        <v>13</v>
      </c>
      <c r="L17" s="8">
        <f t="shared" si="0"/>
        <v>2</v>
      </c>
      <c r="M17" s="8">
        <f t="shared" si="1"/>
        <v>2</v>
      </c>
      <c r="N17" s="8">
        <f t="shared" si="2"/>
        <v>26</v>
      </c>
      <c r="W17" s="8" t="str">
        <f t="shared" si="3"/>
        <v/>
      </c>
      <c r="X17" s="8" t="str">
        <f t="shared" si="4"/>
        <v/>
      </c>
      <c r="Y17" s="8" t="str">
        <f t="shared" si="5"/>
        <v/>
      </c>
      <c r="AH17" s="8" t="str">
        <f t="shared" si="6"/>
        <v/>
      </c>
      <c r="AI17" s="8" t="str">
        <f t="shared" si="7"/>
        <v/>
      </c>
      <c r="AJ17" s="8" t="str">
        <f t="shared" si="8"/>
        <v/>
      </c>
    </row>
    <row r="18" spans="1:36" x14ac:dyDescent="0.25">
      <c r="A18" s="3" t="s">
        <v>1645</v>
      </c>
      <c r="B18" s="3" t="s">
        <v>1655</v>
      </c>
      <c r="C18" s="3" t="s">
        <v>1656</v>
      </c>
      <c r="E18" t="s">
        <v>1751</v>
      </c>
      <c r="F18" t="s">
        <v>1752</v>
      </c>
      <c r="G18" t="s">
        <v>1753</v>
      </c>
      <c r="H18" t="s">
        <v>34</v>
      </c>
      <c r="I18">
        <v>1</v>
      </c>
      <c r="J18">
        <v>0</v>
      </c>
      <c r="K18">
        <v>185</v>
      </c>
      <c r="L18" s="8">
        <f t="shared" si="0"/>
        <v>1</v>
      </c>
      <c r="M18" s="8">
        <f t="shared" si="1"/>
        <v>1</v>
      </c>
      <c r="N18" s="8">
        <f t="shared" si="2"/>
        <v>185</v>
      </c>
      <c r="W18" s="8" t="str">
        <f t="shared" si="3"/>
        <v/>
      </c>
      <c r="X18" s="8" t="str">
        <f t="shared" si="4"/>
        <v/>
      </c>
      <c r="Y18" s="8" t="str">
        <f t="shared" si="5"/>
        <v/>
      </c>
      <c r="AH18" s="8" t="str">
        <f t="shared" si="6"/>
        <v/>
      </c>
      <c r="AI18" s="8" t="str">
        <f t="shared" si="7"/>
        <v/>
      </c>
      <c r="AJ18" s="8" t="str">
        <f t="shared" si="8"/>
        <v/>
      </c>
    </row>
    <row r="19" spans="1:36" x14ac:dyDescent="0.25">
      <c r="A19" s="3" t="s">
        <v>1645</v>
      </c>
      <c r="B19" s="3" t="s">
        <v>1657</v>
      </c>
      <c r="C19" s="3" t="s">
        <v>1777</v>
      </c>
      <c r="E19" t="s">
        <v>1754</v>
      </c>
      <c r="F19" t="s">
        <v>1752</v>
      </c>
      <c r="G19" t="s">
        <v>1755</v>
      </c>
      <c r="H19" t="s">
        <v>8</v>
      </c>
      <c r="I19">
        <v>4</v>
      </c>
      <c r="J19">
        <v>0</v>
      </c>
      <c r="K19">
        <v>4.5999999999999996</v>
      </c>
      <c r="L19" s="8">
        <f t="shared" si="0"/>
        <v>4</v>
      </c>
      <c r="M19" s="8">
        <f t="shared" si="1"/>
        <v>4</v>
      </c>
      <c r="N19" s="8">
        <f t="shared" si="2"/>
        <v>18.399999999999999</v>
      </c>
      <c r="W19" s="8" t="str">
        <f t="shared" si="3"/>
        <v/>
      </c>
      <c r="X19" s="8" t="str">
        <f t="shared" si="4"/>
        <v/>
      </c>
      <c r="Y19" s="8" t="str">
        <f t="shared" si="5"/>
        <v/>
      </c>
      <c r="AH19" s="8" t="str">
        <f t="shared" si="6"/>
        <v/>
      </c>
      <c r="AI19" s="8" t="str">
        <f t="shared" si="7"/>
        <v/>
      </c>
      <c r="AJ19" s="8" t="str">
        <f t="shared" si="8"/>
        <v/>
      </c>
    </row>
    <row r="20" spans="1:36" x14ac:dyDescent="0.25">
      <c r="A20" s="3" t="s">
        <v>1645</v>
      </c>
      <c r="B20" s="3" t="s">
        <v>1658</v>
      </c>
      <c r="C20" s="3" t="s">
        <v>1659</v>
      </c>
      <c r="E20" t="s">
        <v>1756</v>
      </c>
      <c r="F20" t="s">
        <v>1752</v>
      </c>
      <c r="G20" t="s">
        <v>1757</v>
      </c>
      <c r="H20" t="s">
        <v>8</v>
      </c>
      <c r="I20">
        <v>1</v>
      </c>
      <c r="J20">
        <v>0</v>
      </c>
      <c r="K20">
        <v>59</v>
      </c>
      <c r="L20" s="8">
        <f t="shared" si="0"/>
        <v>1</v>
      </c>
      <c r="M20" s="8">
        <f t="shared" si="1"/>
        <v>1</v>
      </c>
      <c r="N20" s="8">
        <f t="shared" si="2"/>
        <v>59</v>
      </c>
      <c r="W20" s="8" t="str">
        <f t="shared" si="3"/>
        <v/>
      </c>
      <c r="X20" s="8" t="str">
        <f t="shared" si="4"/>
        <v/>
      </c>
      <c r="Y20" s="8" t="str">
        <f t="shared" si="5"/>
        <v/>
      </c>
      <c r="AH20" s="8" t="str">
        <f t="shared" si="6"/>
        <v/>
      </c>
      <c r="AI20" s="8" t="str">
        <f t="shared" si="7"/>
        <v/>
      </c>
      <c r="AJ20" s="8" t="str">
        <f t="shared" si="8"/>
        <v/>
      </c>
    </row>
    <row r="21" spans="1:36" x14ac:dyDescent="0.25">
      <c r="A21" s="3" t="s">
        <v>436</v>
      </c>
      <c r="B21" s="3" t="s">
        <v>1660</v>
      </c>
      <c r="C21" s="3" t="s">
        <v>1661</v>
      </c>
      <c r="E21" t="s">
        <v>1758</v>
      </c>
      <c r="F21" t="s">
        <v>1752</v>
      </c>
      <c r="G21" t="s">
        <v>1759</v>
      </c>
      <c r="H21" t="s">
        <v>8</v>
      </c>
      <c r="I21">
        <v>1</v>
      </c>
      <c r="J21">
        <v>0</v>
      </c>
      <c r="K21">
        <v>165</v>
      </c>
      <c r="L21" s="8">
        <f t="shared" si="0"/>
        <v>1</v>
      </c>
      <c r="M21" s="8">
        <f t="shared" si="1"/>
        <v>1</v>
      </c>
      <c r="N21" s="8">
        <f t="shared" si="2"/>
        <v>165</v>
      </c>
      <c r="W21" s="8" t="str">
        <f t="shared" si="3"/>
        <v/>
      </c>
      <c r="X21" s="8" t="str">
        <f t="shared" si="4"/>
        <v/>
      </c>
      <c r="Y21" s="8" t="str">
        <f t="shared" si="5"/>
        <v/>
      </c>
      <c r="AH21" s="8" t="str">
        <f t="shared" si="6"/>
        <v/>
      </c>
      <c r="AI21" s="8" t="str">
        <f t="shared" si="7"/>
        <v/>
      </c>
      <c r="AJ21" s="8" t="str">
        <f t="shared" si="8"/>
        <v/>
      </c>
    </row>
    <row r="22" spans="1:36" x14ac:dyDescent="0.25">
      <c r="A22" s="3" t="s">
        <v>436</v>
      </c>
      <c r="B22" s="3" t="s">
        <v>1662</v>
      </c>
      <c r="C22" s="3" t="s">
        <v>1778</v>
      </c>
      <c r="E22" t="s">
        <v>1760</v>
      </c>
      <c r="F22" t="s">
        <v>1731</v>
      </c>
      <c r="G22" t="s">
        <v>1761</v>
      </c>
      <c r="H22" t="s">
        <v>723</v>
      </c>
      <c r="I22">
        <v>1</v>
      </c>
      <c r="J22">
        <v>0</v>
      </c>
      <c r="K22">
        <v>48</v>
      </c>
      <c r="L22" s="8">
        <f t="shared" si="0"/>
        <v>1</v>
      </c>
      <c r="M22" s="8">
        <f t="shared" si="1"/>
        <v>1</v>
      </c>
      <c r="N22" s="8">
        <f t="shared" si="2"/>
        <v>48</v>
      </c>
      <c r="W22" s="8" t="str">
        <f t="shared" si="3"/>
        <v/>
      </c>
      <c r="X22" s="8" t="str">
        <f t="shared" si="4"/>
        <v/>
      </c>
      <c r="Y22" s="8" t="str">
        <f t="shared" si="5"/>
        <v/>
      </c>
      <c r="AH22" s="8" t="str">
        <f t="shared" si="6"/>
        <v/>
      </c>
      <c r="AI22" s="8" t="str">
        <f t="shared" si="7"/>
        <v/>
      </c>
      <c r="AJ22" s="8" t="str">
        <f t="shared" si="8"/>
        <v/>
      </c>
    </row>
    <row r="23" spans="1:36" x14ac:dyDescent="0.25">
      <c r="A23" s="3" t="s">
        <v>436</v>
      </c>
      <c r="B23" s="3" t="s">
        <v>1663</v>
      </c>
      <c r="C23" s="3" t="s">
        <v>1664</v>
      </c>
      <c r="E23" t="s">
        <v>1762</v>
      </c>
      <c r="F23" t="s">
        <v>1731</v>
      </c>
      <c r="G23" t="s">
        <v>1763</v>
      </c>
      <c r="H23" t="s">
        <v>8</v>
      </c>
      <c r="I23">
        <v>1</v>
      </c>
      <c r="J23">
        <v>0</v>
      </c>
      <c r="K23">
        <v>6.5</v>
      </c>
      <c r="L23" s="8">
        <f t="shared" si="0"/>
        <v>1</v>
      </c>
      <c r="M23" s="8">
        <f t="shared" si="1"/>
        <v>1</v>
      </c>
      <c r="N23" s="8">
        <f t="shared" si="2"/>
        <v>6.5</v>
      </c>
      <c r="W23" s="8" t="str">
        <f t="shared" si="3"/>
        <v/>
      </c>
      <c r="X23" s="8" t="str">
        <f t="shared" si="4"/>
        <v/>
      </c>
      <c r="Y23" s="8" t="str">
        <f t="shared" si="5"/>
        <v/>
      </c>
      <c r="AH23" s="8" t="str">
        <f t="shared" si="6"/>
        <v/>
      </c>
      <c r="AI23" s="8" t="str">
        <f t="shared" si="7"/>
        <v/>
      </c>
      <c r="AJ23" s="8" t="str">
        <f t="shared" si="8"/>
        <v/>
      </c>
    </row>
    <row r="24" spans="1:36" x14ac:dyDescent="0.25">
      <c r="A24" s="3" t="s">
        <v>436</v>
      </c>
      <c r="B24" s="3" t="s">
        <v>1665</v>
      </c>
      <c r="C24" s="3" t="s">
        <v>1666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436</v>
      </c>
      <c r="B25" s="3" t="s">
        <v>1669</v>
      </c>
      <c r="C25" s="3" t="s">
        <v>1670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436</v>
      </c>
      <c r="B26" s="3" t="s">
        <v>1671</v>
      </c>
      <c r="C26" s="3" t="s">
        <v>1672</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436</v>
      </c>
      <c r="B27" s="3" t="s">
        <v>1673</v>
      </c>
      <c r="C27" s="3" t="s">
        <v>1674</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436</v>
      </c>
      <c r="B28" s="3" t="s">
        <v>1675</v>
      </c>
      <c r="C28" s="3" t="s">
        <v>1779</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436</v>
      </c>
      <c r="B29" s="3" t="s">
        <v>1780</v>
      </c>
      <c r="C29" s="3" t="s">
        <v>1781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1676</v>
      </c>
      <c r="B30" s="3" t="s">
        <v>1677</v>
      </c>
      <c r="C30" s="3" t="s">
        <v>1678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1676</v>
      </c>
      <c r="B31" s="3" t="s">
        <v>1679</v>
      </c>
      <c r="C31" s="3" t="s">
        <v>1680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1676</v>
      </c>
      <c r="B32" s="3" t="s">
        <v>1681</v>
      </c>
      <c r="C32" s="3" t="s">
        <v>1682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1676</v>
      </c>
      <c r="B33" s="3" t="s">
        <v>1683</v>
      </c>
      <c r="C33" s="3" t="s">
        <v>1684</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1676</v>
      </c>
      <c r="B34" s="3" t="s">
        <v>1685</v>
      </c>
      <c r="C34" s="3" t="s">
        <v>1686</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1676</v>
      </c>
      <c r="B35" s="3" t="s">
        <v>1687</v>
      </c>
      <c r="C35" s="3" t="s">
        <v>1688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1676</v>
      </c>
      <c r="B36" s="3" t="s">
        <v>1689</v>
      </c>
      <c r="C36" s="3" t="s">
        <v>1690</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1676</v>
      </c>
      <c r="B37" s="3" t="s">
        <v>1691</v>
      </c>
      <c r="C37" s="3" t="s">
        <v>1692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1676</v>
      </c>
      <c r="B38" s="3" t="s">
        <v>1693</v>
      </c>
      <c r="C38" s="3" t="s">
        <v>1694</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1676</v>
      </c>
      <c r="B39" s="3" t="s">
        <v>1695</v>
      </c>
      <c r="C39" s="3" t="s">
        <v>1696</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1676</v>
      </c>
      <c r="B40" s="3" t="s">
        <v>1697</v>
      </c>
      <c r="C40" s="3" t="s">
        <v>1698</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1676</v>
      </c>
      <c r="B41" s="3" t="s">
        <v>1699</v>
      </c>
      <c r="C41" s="3" t="s">
        <v>1700</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1676</v>
      </c>
      <c r="B42" s="3" t="s">
        <v>1701</v>
      </c>
      <c r="C42" s="3" t="s">
        <v>1702</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1676</v>
      </c>
      <c r="B43" s="3" t="s">
        <v>1703</v>
      </c>
      <c r="C43" s="3" t="s">
        <v>1704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1676</v>
      </c>
      <c r="B44" s="3" t="s">
        <v>1705</v>
      </c>
      <c r="C44" s="3" t="s">
        <v>1706</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1676</v>
      </c>
      <c r="B45" s="3" t="s">
        <v>1707</v>
      </c>
      <c r="C45" s="3" t="s">
        <v>1708</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1676</v>
      </c>
      <c r="B46" s="3" t="s">
        <v>1709</v>
      </c>
      <c r="C46" s="3" t="s">
        <v>1710</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1676</v>
      </c>
      <c r="B47" s="3" t="s">
        <v>1711</v>
      </c>
      <c r="C47" s="3" t="s">
        <v>1712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1676</v>
      </c>
      <c r="B48" s="3" t="s">
        <v>1713</v>
      </c>
      <c r="C48" s="3" t="s">
        <v>1714</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1676</v>
      </c>
      <c r="B49" s="3" t="s">
        <v>1715</v>
      </c>
      <c r="C49" s="3" t="s">
        <v>1716</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1676</v>
      </c>
      <c r="B50" s="3" t="s">
        <v>1717</v>
      </c>
      <c r="C50" s="3" t="s">
        <v>1718</v>
      </c>
    </row>
    <row r="51" spans="1:36" x14ac:dyDescent="0.25">
      <c r="A51" s="3" t="s">
        <v>1719</v>
      </c>
      <c r="B51" s="3" t="s">
        <v>1782</v>
      </c>
      <c r="C51" s="3" t="s">
        <v>452</v>
      </c>
    </row>
    <row r="52" spans="1:36" x14ac:dyDescent="0.25">
      <c r="A52" s="3" t="s">
        <v>1645</v>
      </c>
      <c r="B52" s="3" t="s">
        <v>1968</v>
      </c>
      <c r="C52" s="3" t="s">
        <v>2235</v>
      </c>
    </row>
    <row r="53" spans="1:36" x14ac:dyDescent="0.25">
      <c r="A53" s="3" t="s">
        <v>436</v>
      </c>
      <c r="B53" s="3" t="s">
        <v>582</v>
      </c>
      <c r="C53" s="3" t="s">
        <v>2236</v>
      </c>
    </row>
    <row r="54" spans="1:36" x14ac:dyDescent="0.25">
      <c r="A54" s="3" t="s">
        <v>437</v>
      </c>
      <c r="B54" s="3" t="s">
        <v>1783</v>
      </c>
      <c r="C54" s="3" t="s">
        <v>1784</v>
      </c>
    </row>
  </sheetData>
  <mergeCells count="4">
    <mergeCell ref="A1:C1"/>
    <mergeCell ref="E1:K1"/>
    <mergeCell ref="P1:V1"/>
    <mergeCell ref="AA1:AG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533D3-C222-4A76-B3E7-35D55B70D475}">
  <sheetPr codeName="Sheet26"/>
  <dimension ref="A1:AK49"/>
  <sheetViews>
    <sheetView zoomScale="75" zoomScaleNormal="75" workbookViewId="0">
      <pane ySplit="49" topLeftCell="A50" activePane="bottomLeft" state="frozen"/>
      <selection pane="bottomLeft" sqref="A1:C4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4" t="str" cm="1">
        <f t="array" aca="1" ref="A1" ca="1">IFERROR(MID(CELL("filename",$A$1),FIND("]",CELL("filename",$A$1))+1,99),"SXX")</f>
        <v>S15</v>
      </c>
      <c r="B1" s="34"/>
      <c r="C1" s="34"/>
      <c r="E1" s="35" t="str" cm="1">
        <f t="array" aca="1" ref="E1" ca="1">IFERROR(MID(CELL("filename",$A$1),FIND("]",CELL("filename",$A$1))+1,99),"SXX")&amp;" MATERIALS (USAGE + STANDALONE)"</f>
        <v>S15 MATERIALS (USAGE + STANDALONE)</v>
      </c>
      <c r="F1" s="35"/>
      <c r="G1" s="35"/>
      <c r="H1" s="35"/>
      <c r="I1" s="35"/>
      <c r="J1" s="35"/>
      <c r="K1" s="35"/>
      <c r="L1" s="13"/>
      <c r="M1" s="13"/>
      <c r="N1" s="19">
        <f>SUM(N3:N49)</f>
        <v>1233.76</v>
      </c>
      <c r="P1" s="35" t="str" cm="1">
        <f t="array" aca="1" ref="P1" ca="1">IFERROR(MID(CELL("filename",$A$1),FIND("]",CELL("filename",$A$1))+1,99),"SXX")&amp;" LABOUR (USAGE + STANDALONE)"</f>
        <v>S15 LABOUR (USAGE + STANDALONE)</v>
      </c>
      <c r="Q1" s="35"/>
      <c r="R1" s="35"/>
      <c r="S1" s="35"/>
      <c r="T1" s="35"/>
      <c r="U1" s="35"/>
      <c r="V1" s="35"/>
      <c r="Y1" s="19">
        <f>SUM(Y3:Y49)</f>
        <v>1057.5</v>
      </c>
      <c r="AA1" s="36" t="str" cm="1">
        <f t="array" aca="1" ref="AA1" ca="1">IFERROR(MID(CELL("filename",$A$1),FIND("]",CELL("filename",$A$1))+1,99),"SXX")&amp;" RENTAL / SERVICE (USAGE + STANDALONE)"</f>
        <v>S15 RENTAL / SERVICE (USAGE + STANDALONE)</v>
      </c>
      <c r="AB1" s="36"/>
      <c r="AC1" s="36"/>
      <c r="AD1" s="36"/>
      <c r="AE1" s="36"/>
      <c r="AF1" s="36"/>
      <c r="AG1" s="36"/>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1788</v>
      </c>
      <c r="B3" s="3" t="s">
        <v>1789</v>
      </c>
      <c r="C3" s="3" t="s">
        <v>1790</v>
      </c>
      <c r="E3" t="s">
        <v>1862</v>
      </c>
      <c r="F3" t="s">
        <v>1863</v>
      </c>
      <c r="G3" t="s">
        <v>1289</v>
      </c>
      <c r="H3" t="s">
        <v>715</v>
      </c>
      <c r="I3">
        <v>1</v>
      </c>
      <c r="J3" s="22">
        <v>0.05</v>
      </c>
      <c r="K3">
        <v>160</v>
      </c>
      <c r="L3" s="8">
        <f t="shared" ref="L3:L49" si="0">IF($G3="","",$I3*(1+IF($J3="",0,$J3)))</f>
        <v>1.05</v>
      </c>
      <c r="M3" s="8">
        <f t="shared" ref="M3:M49" si="1">IF($G3="","",$L3)</f>
        <v>1.05</v>
      </c>
      <c r="N3" s="8">
        <f t="shared" ref="N3:N49" si="2">IF($G3="","",IF($K3="","",$M3*$K3))</f>
        <v>168</v>
      </c>
      <c r="P3" t="s">
        <v>2242</v>
      </c>
      <c r="Q3" t="s">
        <v>1884</v>
      </c>
      <c r="R3" t="s">
        <v>322</v>
      </c>
      <c r="S3" t="s">
        <v>33</v>
      </c>
      <c r="T3">
        <v>21</v>
      </c>
      <c r="U3" s="22">
        <v>0</v>
      </c>
      <c r="V3">
        <v>22.5</v>
      </c>
      <c r="W3" s="8">
        <f>IF($R3="","",$T3*(1+IF($U3="",0,$U3)))</f>
        <v>21</v>
      </c>
      <c r="X3" s="8">
        <f>IF($R3="","",$W3)</f>
        <v>21</v>
      </c>
      <c r="Y3" s="8">
        <f>IF($R3="","",IF($V3="","",$X3*$V3))</f>
        <v>472.5</v>
      </c>
      <c r="AH3" s="8" t="str">
        <f>IF($AC3="","",$AE3*(1+IF($AF3="",0,$AF3)))</f>
        <v/>
      </c>
      <c r="AI3" s="8" t="str">
        <f>IF($AC3="","",$AH3)</f>
        <v/>
      </c>
      <c r="AJ3" s="8" t="str">
        <f>IF($AC3="","",IF($AG3="","",$AI3*$AG3))</f>
        <v/>
      </c>
    </row>
    <row r="4" spans="1:37" x14ac:dyDescent="0.25">
      <c r="A4" s="3" t="s">
        <v>1791</v>
      </c>
      <c r="B4" s="3" t="s">
        <v>1792</v>
      </c>
      <c r="C4" s="3" t="s">
        <v>1793</v>
      </c>
      <c r="E4" t="s">
        <v>1864</v>
      </c>
      <c r="F4" t="s">
        <v>1863</v>
      </c>
      <c r="G4" t="s">
        <v>1865</v>
      </c>
      <c r="H4" t="s">
        <v>715</v>
      </c>
      <c r="I4">
        <v>2</v>
      </c>
      <c r="J4" s="22">
        <v>0.05</v>
      </c>
      <c r="K4">
        <v>80</v>
      </c>
      <c r="L4" s="8">
        <f t="shared" si="0"/>
        <v>2.1</v>
      </c>
      <c r="M4" s="8">
        <f t="shared" si="1"/>
        <v>2.1</v>
      </c>
      <c r="N4" s="8">
        <f t="shared" si="2"/>
        <v>168</v>
      </c>
      <c r="P4" t="s">
        <v>2243</v>
      </c>
      <c r="Q4" t="s">
        <v>1884</v>
      </c>
      <c r="R4" t="s">
        <v>322</v>
      </c>
      <c r="S4" t="s">
        <v>33</v>
      </c>
      <c r="T4">
        <v>17</v>
      </c>
      <c r="U4" s="22">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1794</v>
      </c>
      <c r="B5" s="3" t="s">
        <v>1795</v>
      </c>
      <c r="C5" s="3" t="s">
        <v>1796</v>
      </c>
      <c r="E5" t="s">
        <v>1866</v>
      </c>
      <c r="F5" t="s">
        <v>1863</v>
      </c>
      <c r="G5" t="s">
        <v>1290</v>
      </c>
      <c r="H5" t="s">
        <v>32</v>
      </c>
      <c r="I5">
        <v>1</v>
      </c>
      <c r="J5" s="22">
        <v>0.05</v>
      </c>
      <c r="K5">
        <v>94</v>
      </c>
      <c r="L5" s="8">
        <f t="shared" si="0"/>
        <v>1.05</v>
      </c>
      <c r="M5" s="8">
        <f t="shared" si="1"/>
        <v>1.05</v>
      </c>
      <c r="N5" s="8">
        <f t="shared" si="2"/>
        <v>98.7</v>
      </c>
      <c r="P5" t="s">
        <v>2244</v>
      </c>
      <c r="Q5" t="s">
        <v>1884</v>
      </c>
      <c r="R5" t="s">
        <v>322</v>
      </c>
      <c r="S5" t="s">
        <v>33</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1797</v>
      </c>
      <c r="B6" s="3" t="s">
        <v>1798</v>
      </c>
      <c r="C6" s="3" t="s">
        <v>1799</v>
      </c>
      <c r="E6" t="s">
        <v>1867</v>
      </c>
      <c r="F6" t="s">
        <v>1868</v>
      </c>
      <c r="G6" t="s">
        <v>1291</v>
      </c>
      <c r="H6" t="s">
        <v>8</v>
      </c>
      <c r="I6">
        <v>4</v>
      </c>
      <c r="J6">
        <v>0.1</v>
      </c>
      <c r="K6">
        <v>0.3</v>
      </c>
      <c r="L6" s="8">
        <f t="shared" si="0"/>
        <v>4.4000000000000004</v>
      </c>
      <c r="M6" s="8">
        <f t="shared" si="1"/>
        <v>4.4000000000000004</v>
      </c>
      <c r="N6" s="8">
        <f t="shared" si="2"/>
        <v>1.32</v>
      </c>
      <c r="W6" s="8" t="str">
        <f t="shared" si="3"/>
        <v/>
      </c>
      <c r="X6" s="8" t="str">
        <f t="shared" si="4"/>
        <v/>
      </c>
      <c r="Y6" s="8" t="str">
        <f t="shared" si="5"/>
        <v/>
      </c>
      <c r="AH6" s="8" t="str">
        <f t="shared" si="6"/>
        <v/>
      </c>
      <c r="AI6" s="8" t="str">
        <f t="shared" si="7"/>
        <v/>
      </c>
      <c r="AJ6" s="8" t="str">
        <f t="shared" si="8"/>
        <v/>
      </c>
    </row>
    <row r="7" spans="1:37" x14ac:dyDescent="0.25">
      <c r="A7" s="3" t="s">
        <v>1797</v>
      </c>
      <c r="B7" s="3" t="s">
        <v>1800</v>
      </c>
      <c r="C7" s="3" t="s">
        <v>1801</v>
      </c>
      <c r="E7" t="s">
        <v>1869</v>
      </c>
      <c r="F7" t="s">
        <v>1868</v>
      </c>
      <c r="G7" t="s">
        <v>1292</v>
      </c>
      <c r="H7" t="s">
        <v>8</v>
      </c>
      <c r="I7">
        <v>4</v>
      </c>
      <c r="J7">
        <v>0.1</v>
      </c>
      <c r="K7">
        <v>0.3</v>
      </c>
      <c r="L7" s="8">
        <f t="shared" si="0"/>
        <v>4.4000000000000004</v>
      </c>
      <c r="M7" s="8">
        <f t="shared" si="1"/>
        <v>4.4000000000000004</v>
      </c>
      <c r="N7" s="8">
        <f t="shared" si="2"/>
        <v>1.32</v>
      </c>
      <c r="W7" s="8" t="str">
        <f t="shared" si="3"/>
        <v/>
      </c>
      <c r="X7" s="8" t="str">
        <f t="shared" si="4"/>
        <v/>
      </c>
      <c r="Y7" s="8" t="str">
        <f t="shared" si="5"/>
        <v/>
      </c>
      <c r="AH7" s="8" t="str">
        <f t="shared" si="6"/>
        <v/>
      </c>
      <c r="AI7" s="8" t="str">
        <f t="shared" si="7"/>
        <v/>
      </c>
      <c r="AJ7" s="8" t="str">
        <f t="shared" si="8"/>
        <v/>
      </c>
    </row>
    <row r="8" spans="1:37" x14ac:dyDescent="0.25">
      <c r="A8" s="3" t="s">
        <v>1797</v>
      </c>
      <c r="B8" s="3" t="s">
        <v>1802</v>
      </c>
      <c r="C8" s="3" t="s">
        <v>1803</v>
      </c>
      <c r="E8" t="s">
        <v>1870</v>
      </c>
      <c r="F8" t="s">
        <v>1868</v>
      </c>
      <c r="G8" t="s">
        <v>1293</v>
      </c>
      <c r="H8" t="s">
        <v>8</v>
      </c>
      <c r="I8">
        <v>4</v>
      </c>
      <c r="J8">
        <v>0.1</v>
      </c>
      <c r="K8">
        <v>0.3</v>
      </c>
      <c r="L8" s="8">
        <f t="shared" si="0"/>
        <v>4.4000000000000004</v>
      </c>
      <c r="M8" s="8">
        <f t="shared" si="1"/>
        <v>4.4000000000000004</v>
      </c>
      <c r="N8" s="8">
        <f t="shared" si="2"/>
        <v>1.32</v>
      </c>
      <c r="W8" s="8" t="str">
        <f t="shared" si="3"/>
        <v/>
      </c>
      <c r="X8" s="8" t="str">
        <f t="shared" si="4"/>
        <v/>
      </c>
      <c r="Y8" s="8" t="str">
        <f t="shared" si="5"/>
        <v/>
      </c>
      <c r="AH8" s="8" t="str">
        <f t="shared" si="6"/>
        <v/>
      </c>
      <c r="AI8" s="8" t="str">
        <f t="shared" si="7"/>
        <v/>
      </c>
      <c r="AJ8" s="8" t="str">
        <f t="shared" si="8"/>
        <v/>
      </c>
    </row>
    <row r="9" spans="1:37" x14ac:dyDescent="0.25">
      <c r="A9" s="3" t="s">
        <v>1797</v>
      </c>
      <c r="B9" s="3" t="s">
        <v>1804</v>
      </c>
      <c r="C9" s="3" t="s">
        <v>1805</v>
      </c>
      <c r="E9" t="s">
        <v>1871</v>
      </c>
      <c r="F9" t="s">
        <v>1872</v>
      </c>
      <c r="G9" t="s">
        <v>1873</v>
      </c>
      <c r="H9" t="s">
        <v>8</v>
      </c>
      <c r="I9">
        <v>4</v>
      </c>
      <c r="J9">
        <v>0.05</v>
      </c>
      <c r="K9">
        <v>5.5</v>
      </c>
      <c r="L9" s="8">
        <f t="shared" si="0"/>
        <v>4.2</v>
      </c>
      <c r="M9" s="8">
        <f t="shared" si="1"/>
        <v>4.2</v>
      </c>
      <c r="N9" s="8">
        <f t="shared" si="2"/>
        <v>23.1</v>
      </c>
      <c r="W9" s="8" t="str">
        <f t="shared" si="3"/>
        <v/>
      </c>
      <c r="X9" s="8" t="str">
        <f t="shared" si="4"/>
        <v/>
      </c>
      <c r="Y9" s="8" t="str">
        <f t="shared" si="5"/>
        <v/>
      </c>
      <c r="AH9" s="8" t="str">
        <f t="shared" si="6"/>
        <v/>
      </c>
      <c r="AI9" s="8" t="str">
        <f t="shared" si="7"/>
        <v/>
      </c>
      <c r="AJ9" s="8" t="str">
        <f t="shared" si="8"/>
        <v/>
      </c>
    </row>
    <row r="10" spans="1:37" x14ac:dyDescent="0.25">
      <c r="A10" s="3" t="s">
        <v>1797</v>
      </c>
      <c r="B10" s="3" t="s">
        <v>1806</v>
      </c>
      <c r="C10" s="3" t="s">
        <v>1807</v>
      </c>
      <c r="E10" t="s">
        <v>1874</v>
      </c>
      <c r="F10" t="s">
        <v>1875</v>
      </c>
      <c r="G10" t="s">
        <v>1876</v>
      </c>
      <c r="H10" t="s">
        <v>8</v>
      </c>
      <c r="I10">
        <v>1</v>
      </c>
      <c r="J10">
        <v>0</v>
      </c>
      <c r="K10">
        <v>650</v>
      </c>
      <c r="L10" s="8">
        <f t="shared" si="0"/>
        <v>1</v>
      </c>
      <c r="M10" s="8">
        <f t="shared" si="1"/>
        <v>1</v>
      </c>
      <c r="N10" s="8">
        <f t="shared" si="2"/>
        <v>650</v>
      </c>
      <c r="W10" s="8" t="str">
        <f t="shared" si="3"/>
        <v/>
      </c>
      <c r="X10" s="8" t="str">
        <f t="shared" si="4"/>
        <v/>
      </c>
      <c r="Y10" s="8" t="str">
        <f t="shared" si="5"/>
        <v/>
      </c>
      <c r="AH10" s="8" t="str">
        <f t="shared" si="6"/>
        <v/>
      </c>
      <c r="AI10" s="8" t="str">
        <f t="shared" si="7"/>
        <v/>
      </c>
      <c r="AJ10" s="8" t="str">
        <f t="shared" si="8"/>
        <v/>
      </c>
    </row>
    <row r="11" spans="1:37" x14ac:dyDescent="0.25">
      <c r="A11" s="3" t="s">
        <v>1797</v>
      </c>
      <c r="B11" s="3" t="s">
        <v>1808</v>
      </c>
      <c r="C11" s="3" t="s">
        <v>1809</v>
      </c>
      <c r="E11" t="s">
        <v>1877</v>
      </c>
      <c r="F11" t="s">
        <v>1875</v>
      </c>
      <c r="G11" t="s">
        <v>1878</v>
      </c>
      <c r="H11" t="s">
        <v>62</v>
      </c>
      <c r="I11">
        <v>1</v>
      </c>
      <c r="J11">
        <v>0</v>
      </c>
      <c r="K11">
        <v>35</v>
      </c>
      <c r="L11" s="8">
        <f t="shared" si="0"/>
        <v>1</v>
      </c>
      <c r="M11" s="8">
        <f t="shared" si="1"/>
        <v>1</v>
      </c>
      <c r="N11" s="8">
        <f t="shared" si="2"/>
        <v>35</v>
      </c>
      <c r="W11" s="8" t="str">
        <f t="shared" si="3"/>
        <v/>
      </c>
      <c r="X11" s="8" t="str">
        <f t="shared" si="4"/>
        <v/>
      </c>
      <c r="Y11" s="8" t="str">
        <f t="shared" si="5"/>
        <v/>
      </c>
      <c r="AH11" s="8" t="str">
        <f t="shared" si="6"/>
        <v/>
      </c>
      <c r="AI11" s="8" t="str">
        <f t="shared" si="7"/>
        <v/>
      </c>
      <c r="AJ11" s="8" t="str">
        <f t="shared" si="8"/>
        <v/>
      </c>
    </row>
    <row r="12" spans="1:37" x14ac:dyDescent="0.25">
      <c r="A12" s="3" t="s">
        <v>1797</v>
      </c>
      <c r="B12" s="3" t="s">
        <v>1810</v>
      </c>
      <c r="C12" s="3" t="s">
        <v>1811</v>
      </c>
      <c r="E12" t="s">
        <v>1879</v>
      </c>
      <c r="F12" t="s">
        <v>1875</v>
      </c>
      <c r="G12" t="s">
        <v>1880</v>
      </c>
      <c r="H12" t="s">
        <v>62</v>
      </c>
      <c r="I12">
        <v>1</v>
      </c>
      <c r="J12">
        <v>0</v>
      </c>
      <c r="K12">
        <v>60</v>
      </c>
      <c r="L12" s="8">
        <f t="shared" si="0"/>
        <v>1</v>
      </c>
      <c r="M12" s="8">
        <f t="shared" si="1"/>
        <v>1</v>
      </c>
      <c r="N12" s="8">
        <f t="shared" si="2"/>
        <v>60</v>
      </c>
      <c r="W12" s="8" t="str">
        <f t="shared" si="3"/>
        <v/>
      </c>
      <c r="X12" s="8" t="str">
        <f t="shared" si="4"/>
        <v/>
      </c>
      <c r="Y12" s="8" t="str">
        <f t="shared" si="5"/>
        <v/>
      </c>
      <c r="AH12" s="8" t="str">
        <f t="shared" si="6"/>
        <v/>
      </c>
      <c r="AI12" s="8" t="str">
        <f t="shared" si="7"/>
        <v/>
      </c>
      <c r="AJ12" s="8" t="str">
        <f t="shared" si="8"/>
        <v/>
      </c>
    </row>
    <row r="13" spans="1:37" x14ac:dyDescent="0.25">
      <c r="A13" s="3" t="s">
        <v>1797</v>
      </c>
      <c r="B13" s="3" t="s">
        <v>1812</v>
      </c>
      <c r="C13" s="3" t="s">
        <v>1813</v>
      </c>
      <c r="E13" t="s">
        <v>1881</v>
      </c>
      <c r="F13" t="s">
        <v>1875</v>
      </c>
      <c r="G13" t="s">
        <v>63</v>
      </c>
      <c r="H13" t="s">
        <v>62</v>
      </c>
      <c r="I13">
        <v>1</v>
      </c>
      <c r="J13">
        <v>0</v>
      </c>
      <c r="K13">
        <v>15</v>
      </c>
      <c r="L13" s="8">
        <f t="shared" si="0"/>
        <v>1</v>
      </c>
      <c r="M13" s="8">
        <f t="shared" si="1"/>
        <v>1</v>
      </c>
      <c r="N13" s="8">
        <f t="shared" si="2"/>
        <v>15</v>
      </c>
      <c r="W13" s="8" t="str">
        <f t="shared" si="3"/>
        <v/>
      </c>
      <c r="X13" s="8" t="str">
        <f t="shared" si="4"/>
        <v/>
      </c>
      <c r="Y13" s="8" t="str">
        <f t="shared" si="5"/>
        <v/>
      </c>
      <c r="AH13" s="8" t="str">
        <f t="shared" si="6"/>
        <v/>
      </c>
      <c r="AI13" s="8" t="str">
        <f t="shared" si="7"/>
        <v/>
      </c>
      <c r="AJ13" s="8" t="str">
        <f t="shared" si="8"/>
        <v/>
      </c>
    </row>
    <row r="14" spans="1:37" x14ac:dyDescent="0.25">
      <c r="A14" s="3" t="s">
        <v>1797</v>
      </c>
      <c r="B14" s="3" t="s">
        <v>1814</v>
      </c>
      <c r="C14" s="3" t="s">
        <v>1815</v>
      </c>
      <c r="E14" t="s">
        <v>1882</v>
      </c>
      <c r="F14" t="s">
        <v>1875</v>
      </c>
      <c r="G14" t="s">
        <v>1883</v>
      </c>
      <c r="H14" t="s">
        <v>8</v>
      </c>
      <c r="I14">
        <v>2</v>
      </c>
      <c r="J14">
        <v>0</v>
      </c>
      <c r="K14">
        <v>6</v>
      </c>
      <c r="L14" s="8">
        <f t="shared" si="0"/>
        <v>2</v>
      </c>
      <c r="M14" s="8">
        <f t="shared" si="1"/>
        <v>2</v>
      </c>
      <c r="N14" s="8">
        <f t="shared" si="2"/>
        <v>12</v>
      </c>
      <c r="W14" s="8" t="str">
        <f t="shared" si="3"/>
        <v/>
      </c>
      <c r="X14" s="8" t="str">
        <f t="shared" si="4"/>
        <v/>
      </c>
      <c r="Y14" s="8" t="str">
        <f t="shared" si="5"/>
        <v/>
      </c>
      <c r="AH14" s="8" t="str">
        <f t="shared" si="6"/>
        <v/>
      </c>
      <c r="AI14" s="8" t="str">
        <f t="shared" si="7"/>
        <v/>
      </c>
      <c r="AJ14" s="8" t="str">
        <f t="shared" si="8"/>
        <v/>
      </c>
    </row>
    <row r="15" spans="1:37" x14ac:dyDescent="0.25">
      <c r="A15" s="3" t="s">
        <v>1816</v>
      </c>
      <c r="B15" s="3" t="s">
        <v>1817</v>
      </c>
      <c r="C15" s="3" t="s">
        <v>1818</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1816</v>
      </c>
      <c r="B16" s="3" t="s">
        <v>1819</v>
      </c>
      <c r="C16" s="3" t="s">
        <v>1820</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1816</v>
      </c>
      <c r="B17" s="3" t="s">
        <v>1821</v>
      </c>
      <c r="C17" s="3" t="s">
        <v>1822</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1816</v>
      </c>
      <c r="B18" s="3" t="s">
        <v>1823</v>
      </c>
      <c r="C18" s="3" t="s">
        <v>1824</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1816</v>
      </c>
      <c r="B19" s="3" t="s">
        <v>1825</v>
      </c>
      <c r="C19" s="3" t="s">
        <v>1826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1816</v>
      </c>
      <c r="B20" s="3" t="s">
        <v>1827</v>
      </c>
      <c r="C20" s="3" t="s">
        <v>1828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1816</v>
      </c>
      <c r="B21" s="3" t="s">
        <v>1829</v>
      </c>
      <c r="C21" s="3" t="s">
        <v>1830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1816</v>
      </c>
      <c r="B22" s="3" t="s">
        <v>1831</v>
      </c>
      <c r="C22" s="3" t="s">
        <v>1832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1816</v>
      </c>
      <c r="B23" s="3" t="s">
        <v>1833</v>
      </c>
      <c r="C23" s="3" t="s">
        <v>1834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1816</v>
      </c>
      <c r="B24" s="3" t="s">
        <v>1835</v>
      </c>
      <c r="C24" s="3" t="s">
        <v>1836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1837</v>
      </c>
      <c r="B25" s="3" t="s">
        <v>1838</v>
      </c>
      <c r="C25" s="3" t="s">
        <v>1839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1837</v>
      </c>
      <c r="B26" s="3" t="s">
        <v>1840</v>
      </c>
      <c r="C26" s="3" t="s">
        <v>1841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1837</v>
      </c>
      <c r="B27" s="3" t="s">
        <v>1842</v>
      </c>
      <c r="C27" s="3" t="s">
        <v>1270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1837</v>
      </c>
      <c r="B28" s="3" t="s">
        <v>1843</v>
      </c>
      <c r="C28" s="3" t="s">
        <v>1272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1837</v>
      </c>
      <c r="B29" s="3" t="s">
        <v>1844</v>
      </c>
      <c r="C29" s="3" t="s">
        <v>1274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1837</v>
      </c>
      <c r="B30" s="3" t="s">
        <v>1845</v>
      </c>
      <c r="C30" s="3" t="s">
        <v>1276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1837</v>
      </c>
      <c r="B31" s="3" t="s">
        <v>1846</v>
      </c>
      <c r="C31" s="3" t="s">
        <v>1847</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1837</v>
      </c>
      <c r="B32" s="3" t="s">
        <v>1848</v>
      </c>
      <c r="C32" s="3" t="s">
        <v>1849</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1837</v>
      </c>
      <c r="B33" s="3" t="s">
        <v>1850</v>
      </c>
      <c r="C33" s="3" t="s">
        <v>1851</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1837</v>
      </c>
      <c r="B34" s="3" t="s">
        <v>1852</v>
      </c>
      <c r="C34" s="3" t="s">
        <v>1853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1837</v>
      </c>
      <c r="B35" s="3" t="s">
        <v>1854</v>
      </c>
      <c r="C35" s="3" t="s">
        <v>1855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1837</v>
      </c>
      <c r="B36" s="3" t="s">
        <v>1856</v>
      </c>
      <c r="C36" s="3" t="s">
        <v>1857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1858</v>
      </c>
      <c r="B37" s="3" t="s">
        <v>1782</v>
      </c>
      <c r="C37" s="3" t="s">
        <v>452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1816</v>
      </c>
      <c r="B38" s="3" t="s">
        <v>1968</v>
      </c>
      <c r="C38" s="3" t="s">
        <v>2240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1797</v>
      </c>
      <c r="B39" s="3" t="s">
        <v>582</v>
      </c>
      <c r="C39" s="3" t="s">
        <v>2241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1859</v>
      </c>
      <c r="B40" s="3" t="s">
        <v>1860</v>
      </c>
      <c r="C40" s="3" t="s">
        <v>1861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A113F-9775-44A5-BF5D-E830BC2BC1C5}">
  <sheetPr codeName="Sheet27"/>
  <dimension ref="A1:AK78"/>
  <sheetViews>
    <sheetView zoomScale="75" zoomScaleNormal="75" workbookViewId="0">
      <pane ySplit="49" topLeftCell="A79" activePane="bottomLeft" state="frozen"/>
      <selection pane="bottomLeft" sqref="A1:C78"/>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4" t="str" cm="1">
        <f t="array" aca="1" ref="A1" ca="1">IFERROR(MID(CELL("filename",$A$1),FIND("]",CELL("filename",$A$1))+1,99),"SXX")</f>
        <v>S16</v>
      </c>
      <c r="B1" s="34"/>
      <c r="C1" s="34"/>
      <c r="E1" s="35" t="str" cm="1">
        <f t="array" aca="1" ref="E1" ca="1">IFERROR(MID(CELL("filename",$A$1),FIND("]",CELL("filename",$A$1))+1,99),"SXX")&amp;" MATERIALS (USAGE + STANDALONE)"</f>
        <v>S16 MATERIALS (USAGE + STANDALONE)</v>
      </c>
      <c r="F1" s="35"/>
      <c r="G1" s="35"/>
      <c r="H1" s="35"/>
      <c r="I1" s="35"/>
      <c r="J1" s="35"/>
      <c r="K1" s="35"/>
      <c r="L1" s="13"/>
      <c r="M1" s="13"/>
      <c r="N1" s="19">
        <f>SUM(N3:N49)</f>
        <v>3677.7999999999997</v>
      </c>
      <c r="P1" s="35" t="str" cm="1">
        <f t="array" aca="1" ref="P1" ca="1">IFERROR(MID(CELL("filename",$A$1),FIND("]",CELL("filename",$A$1))+1,99),"SXX")&amp;" LABOUR (USAGE + STANDALONE)"</f>
        <v>S16 LABOUR (USAGE + STANDALONE)</v>
      </c>
      <c r="Q1" s="35"/>
      <c r="R1" s="35"/>
      <c r="S1" s="35"/>
      <c r="T1" s="35"/>
      <c r="U1" s="35"/>
      <c r="V1" s="35"/>
      <c r="Y1" s="19">
        <f>SUM(Y3:Y49)</f>
        <v>2700</v>
      </c>
      <c r="AA1" s="36" t="str" cm="1">
        <f t="array" aca="1" ref="AA1" ca="1">IFERROR(MID(CELL("filename",$A$1),FIND("]",CELL("filename",$A$1))+1,99),"SXX")&amp;" RENTAL / SERVICE (USAGE + STANDALONE)"</f>
        <v>S16 RENTAL / SERVICE (USAGE + STANDALONE)</v>
      </c>
      <c r="AB1" s="36"/>
      <c r="AC1" s="36"/>
      <c r="AD1" s="36"/>
      <c r="AE1" s="36"/>
      <c r="AF1" s="36"/>
      <c r="AG1" s="36"/>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669</v>
      </c>
      <c r="B3" s="3" t="s">
        <v>1099</v>
      </c>
      <c r="C3" s="3" t="s">
        <v>1100</v>
      </c>
      <c r="E3" t="s">
        <v>1018</v>
      </c>
      <c r="F3" t="s">
        <v>729</v>
      </c>
      <c r="G3" t="s">
        <v>552</v>
      </c>
      <c r="H3" t="s">
        <v>11</v>
      </c>
      <c r="I3">
        <v>0.26</v>
      </c>
      <c r="J3" s="22">
        <v>0</v>
      </c>
      <c r="K3">
        <v>830</v>
      </c>
      <c r="L3" s="8">
        <f t="shared" ref="L3:L49" si="0">IF($G3="","",$I3*(1+IF($J3="",0,$J3)))</f>
        <v>0.26</v>
      </c>
      <c r="M3" s="8">
        <f t="shared" ref="M3:M49" si="1">IF($G3="","",$L3)</f>
        <v>0.26</v>
      </c>
      <c r="N3" s="8">
        <f t="shared" ref="N3:N49" si="2">IF($G3="","",IF($K3="","",$M3*$K3))</f>
        <v>215.8</v>
      </c>
      <c r="P3" t="s">
        <v>2250</v>
      </c>
      <c r="Q3" t="s">
        <v>736</v>
      </c>
      <c r="R3" t="s">
        <v>322</v>
      </c>
      <c r="S3" t="s">
        <v>33</v>
      </c>
      <c r="T3">
        <v>120</v>
      </c>
      <c r="U3" s="22">
        <v>0</v>
      </c>
      <c r="V3">
        <v>22.5</v>
      </c>
      <c r="W3" s="8">
        <f>IF($R3="","",$T3*(1+IF($U3="",0,$U3)))</f>
        <v>120</v>
      </c>
      <c r="X3" s="8">
        <f>IF($R3="","",$W3)</f>
        <v>120</v>
      </c>
      <c r="Y3" s="8">
        <f>IF($R3="","",IF($V3="","",$X3*$V3))</f>
        <v>2700</v>
      </c>
      <c r="AH3" s="8" t="str">
        <f>IF($AC3="","",$AE3*(1+IF($AF3="",0,$AF3)))</f>
        <v/>
      </c>
      <c r="AI3" s="8" t="str">
        <f>IF($AC3="","",$AH3)</f>
        <v/>
      </c>
      <c r="AJ3" s="8" t="str">
        <f>IF($AC3="","",IF($AG3="","",$AI3*$AG3))</f>
        <v/>
      </c>
    </row>
    <row r="4" spans="1:37" x14ac:dyDescent="0.25">
      <c r="A4" s="3" t="s">
        <v>670</v>
      </c>
      <c r="B4" s="3" t="s">
        <v>1101</v>
      </c>
      <c r="C4" s="3" t="s">
        <v>1102</v>
      </c>
      <c r="E4" t="s">
        <v>1019</v>
      </c>
      <c r="F4" t="s">
        <v>729</v>
      </c>
      <c r="G4" t="s">
        <v>553</v>
      </c>
      <c r="H4" t="s">
        <v>11</v>
      </c>
      <c r="I4">
        <v>0.05</v>
      </c>
      <c r="J4" s="22">
        <v>0</v>
      </c>
      <c r="K4">
        <v>950</v>
      </c>
      <c r="L4" s="8">
        <f t="shared" si="0"/>
        <v>0.05</v>
      </c>
      <c r="M4" s="8">
        <f t="shared" si="1"/>
        <v>0.05</v>
      </c>
      <c r="N4" s="8">
        <f t="shared" si="2"/>
        <v>47.5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671</v>
      </c>
      <c r="B5" s="3" t="s">
        <v>1031</v>
      </c>
      <c r="C5" s="3" t="s">
        <v>1103</v>
      </c>
      <c r="E5" t="s">
        <v>1020</v>
      </c>
      <c r="F5" t="s">
        <v>730</v>
      </c>
      <c r="G5" t="s">
        <v>711</v>
      </c>
      <c r="H5" t="s">
        <v>327</v>
      </c>
      <c r="I5">
        <v>1</v>
      </c>
      <c r="J5" s="22">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1104</v>
      </c>
      <c r="B6" s="3" t="s">
        <v>1034</v>
      </c>
      <c r="C6" s="3" t="s">
        <v>1416</v>
      </c>
      <c r="E6" t="s">
        <v>1021</v>
      </c>
      <c r="F6" t="s">
        <v>731</v>
      </c>
      <c r="G6" t="s">
        <v>554</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672</v>
      </c>
      <c r="B7" s="3" t="s">
        <v>1035</v>
      </c>
      <c r="C7" s="3" t="s">
        <v>1036</v>
      </c>
      <c r="E7" t="s">
        <v>2248</v>
      </c>
      <c r="F7" t="s">
        <v>732</v>
      </c>
      <c r="G7" t="s">
        <v>2076</v>
      </c>
      <c r="H7" t="s">
        <v>9</v>
      </c>
      <c r="I7">
        <v>33</v>
      </c>
      <c r="J7">
        <v>0</v>
      </c>
      <c r="K7">
        <v>24</v>
      </c>
      <c r="L7" s="8">
        <f t="shared" si="0"/>
        <v>33</v>
      </c>
      <c r="M7" s="8">
        <f t="shared" si="1"/>
        <v>33</v>
      </c>
      <c r="N7" s="8">
        <f t="shared" si="2"/>
        <v>792</v>
      </c>
      <c r="W7" s="8" t="str">
        <f t="shared" si="3"/>
        <v/>
      </c>
      <c r="X7" s="8" t="str">
        <f t="shared" si="4"/>
        <v/>
      </c>
      <c r="Y7" s="8" t="str">
        <f t="shared" si="5"/>
        <v/>
      </c>
      <c r="AH7" s="8" t="str">
        <f t="shared" si="6"/>
        <v/>
      </c>
      <c r="AI7" s="8" t="str">
        <f t="shared" si="7"/>
        <v/>
      </c>
      <c r="AJ7" s="8" t="str">
        <f t="shared" si="8"/>
        <v/>
      </c>
    </row>
    <row r="8" spans="1:37" x14ac:dyDescent="0.25">
      <c r="A8" s="3" t="s">
        <v>672</v>
      </c>
      <c r="B8" s="3" t="s">
        <v>1037</v>
      </c>
      <c r="C8" s="3" t="s">
        <v>1038</v>
      </c>
      <c r="E8" t="s">
        <v>1023</v>
      </c>
      <c r="F8" t="s">
        <v>732</v>
      </c>
      <c r="G8" t="s">
        <v>733</v>
      </c>
      <c r="H8" t="s">
        <v>11</v>
      </c>
      <c r="I8">
        <v>0.23</v>
      </c>
      <c r="J8">
        <v>0</v>
      </c>
      <c r="K8">
        <v>850</v>
      </c>
      <c r="L8" s="8">
        <f t="shared" si="0"/>
        <v>0.23</v>
      </c>
      <c r="M8" s="8">
        <f t="shared" si="1"/>
        <v>0.23</v>
      </c>
      <c r="N8" s="8">
        <f t="shared" si="2"/>
        <v>195.5</v>
      </c>
      <c r="W8" s="8" t="str">
        <f t="shared" si="3"/>
        <v/>
      </c>
      <c r="X8" s="8" t="str">
        <f t="shared" si="4"/>
        <v/>
      </c>
      <c r="Y8" s="8" t="str">
        <f t="shared" si="5"/>
        <v/>
      </c>
      <c r="AH8" s="8" t="str">
        <f t="shared" si="6"/>
        <v/>
      </c>
      <c r="AI8" s="8" t="str">
        <f t="shared" si="7"/>
        <v/>
      </c>
      <c r="AJ8" s="8" t="str">
        <f t="shared" si="8"/>
        <v/>
      </c>
    </row>
    <row r="9" spans="1:37" x14ac:dyDescent="0.25">
      <c r="A9" s="3" t="s">
        <v>672</v>
      </c>
      <c r="B9" s="3" t="s">
        <v>542</v>
      </c>
      <c r="C9" s="3" t="s">
        <v>566</v>
      </c>
      <c r="E9" t="s">
        <v>1023</v>
      </c>
      <c r="F9" t="s">
        <v>732</v>
      </c>
      <c r="G9" t="s">
        <v>734</v>
      </c>
      <c r="H9" t="s">
        <v>11</v>
      </c>
      <c r="I9">
        <v>0.46</v>
      </c>
      <c r="J9">
        <v>0</v>
      </c>
      <c r="K9">
        <v>830</v>
      </c>
      <c r="L9" s="8">
        <f t="shared" si="0"/>
        <v>0.46</v>
      </c>
      <c r="M9" s="8">
        <f t="shared" si="1"/>
        <v>0.46</v>
      </c>
      <c r="N9" s="8">
        <f t="shared" si="2"/>
        <v>381.8</v>
      </c>
      <c r="W9" s="8" t="str">
        <f t="shared" si="3"/>
        <v/>
      </c>
      <c r="X9" s="8" t="str">
        <f t="shared" si="4"/>
        <v/>
      </c>
      <c r="Y9" s="8" t="str">
        <f t="shared" si="5"/>
        <v/>
      </c>
      <c r="AH9" s="8" t="str">
        <f t="shared" si="6"/>
        <v/>
      </c>
      <c r="AI9" s="8" t="str">
        <f t="shared" si="7"/>
        <v/>
      </c>
      <c r="AJ9" s="8" t="str">
        <f t="shared" si="8"/>
        <v/>
      </c>
    </row>
    <row r="10" spans="1:37" x14ac:dyDescent="0.25">
      <c r="A10" s="3" t="s">
        <v>672</v>
      </c>
      <c r="B10" s="3" t="s">
        <v>1039</v>
      </c>
      <c r="C10" s="3" t="s">
        <v>1040</v>
      </c>
      <c r="E10" t="s">
        <v>1429</v>
      </c>
      <c r="F10" t="s">
        <v>1024</v>
      </c>
      <c r="G10" t="s">
        <v>552</v>
      </c>
      <c r="H10" t="s">
        <v>11</v>
      </c>
      <c r="I10">
        <v>0.08</v>
      </c>
      <c r="J10">
        <v>0</v>
      </c>
      <c r="K10">
        <v>830</v>
      </c>
      <c r="L10" s="8">
        <f t="shared" si="0"/>
        <v>0.08</v>
      </c>
      <c r="M10" s="8">
        <f t="shared" si="1"/>
        <v>0.08</v>
      </c>
      <c r="N10" s="8">
        <f t="shared" si="2"/>
        <v>66.400000000000006</v>
      </c>
      <c r="W10" s="8" t="str">
        <f t="shared" si="3"/>
        <v/>
      </c>
      <c r="X10" s="8" t="str">
        <f t="shared" si="4"/>
        <v/>
      </c>
      <c r="Y10" s="8" t="str">
        <f t="shared" si="5"/>
        <v/>
      </c>
      <c r="AH10" s="8" t="str">
        <f t="shared" si="6"/>
        <v/>
      </c>
      <c r="AI10" s="8" t="str">
        <f t="shared" si="7"/>
        <v/>
      </c>
      <c r="AJ10" s="8" t="str">
        <f t="shared" si="8"/>
        <v/>
      </c>
    </row>
    <row r="11" spans="1:37" x14ac:dyDescent="0.25">
      <c r="A11" s="3" t="s">
        <v>672</v>
      </c>
      <c r="B11" s="3" t="s">
        <v>1417</v>
      </c>
      <c r="C11" s="3" t="s">
        <v>1418</v>
      </c>
      <c r="E11" t="s">
        <v>1429</v>
      </c>
      <c r="F11" t="s">
        <v>1024</v>
      </c>
      <c r="G11" t="s">
        <v>553</v>
      </c>
      <c r="H11" t="s">
        <v>11</v>
      </c>
      <c r="I11">
        <v>0.02</v>
      </c>
      <c r="J11">
        <v>0</v>
      </c>
      <c r="K11">
        <v>950</v>
      </c>
      <c r="L11" s="8">
        <f t="shared" si="0"/>
        <v>0.02</v>
      </c>
      <c r="M11" s="8">
        <f t="shared" si="1"/>
        <v>0.02</v>
      </c>
      <c r="N11" s="8">
        <f t="shared" si="2"/>
        <v>19</v>
      </c>
      <c r="W11" s="8" t="str">
        <f t="shared" si="3"/>
        <v/>
      </c>
      <c r="X11" s="8" t="str">
        <f t="shared" si="4"/>
        <v/>
      </c>
      <c r="Y11" s="8" t="str">
        <f t="shared" si="5"/>
        <v/>
      </c>
      <c r="AH11" s="8" t="str">
        <f t="shared" si="6"/>
        <v/>
      </c>
      <c r="AI11" s="8" t="str">
        <f t="shared" si="7"/>
        <v/>
      </c>
      <c r="AJ11" s="8" t="str">
        <f t="shared" si="8"/>
        <v/>
      </c>
    </row>
    <row r="12" spans="1:37" x14ac:dyDescent="0.25">
      <c r="A12" s="3" t="s">
        <v>672</v>
      </c>
      <c r="B12" s="3" t="s">
        <v>1041</v>
      </c>
      <c r="C12" s="3" t="s">
        <v>1419</v>
      </c>
      <c r="E12" t="s">
        <v>1429</v>
      </c>
      <c r="F12" t="s">
        <v>1025</v>
      </c>
      <c r="G12" t="s">
        <v>554</v>
      </c>
      <c r="H12" t="s">
        <v>8</v>
      </c>
      <c r="I12">
        <v>1.33</v>
      </c>
      <c r="J12">
        <v>0</v>
      </c>
      <c r="K12">
        <v>215</v>
      </c>
      <c r="L12" s="8">
        <f t="shared" si="0"/>
        <v>1.33</v>
      </c>
      <c r="M12" s="8">
        <f t="shared" si="1"/>
        <v>1.33</v>
      </c>
      <c r="N12" s="8">
        <f t="shared" si="2"/>
        <v>285.95</v>
      </c>
      <c r="W12" s="8" t="str">
        <f t="shared" si="3"/>
        <v/>
      </c>
      <c r="X12" s="8" t="str">
        <f t="shared" si="4"/>
        <v/>
      </c>
      <c r="Y12" s="8" t="str">
        <f t="shared" si="5"/>
        <v/>
      </c>
      <c r="AH12" s="8" t="str">
        <f t="shared" si="6"/>
        <v/>
      </c>
      <c r="AI12" s="8" t="str">
        <f t="shared" si="7"/>
        <v/>
      </c>
      <c r="AJ12" s="8" t="str">
        <f t="shared" si="8"/>
        <v/>
      </c>
    </row>
    <row r="13" spans="1:37" x14ac:dyDescent="0.25">
      <c r="A13" s="3" t="s">
        <v>672</v>
      </c>
      <c r="B13" s="3" t="s">
        <v>1042</v>
      </c>
      <c r="C13" s="3" t="s">
        <v>1430</v>
      </c>
      <c r="E13" t="s">
        <v>2249</v>
      </c>
      <c r="F13" t="s">
        <v>1026</v>
      </c>
      <c r="G13" t="s">
        <v>2076</v>
      </c>
      <c r="H13" t="s">
        <v>9</v>
      </c>
      <c r="I13">
        <v>10</v>
      </c>
      <c r="J13">
        <v>0</v>
      </c>
      <c r="K13">
        <v>24</v>
      </c>
      <c r="L13" s="8">
        <f t="shared" si="0"/>
        <v>10</v>
      </c>
      <c r="M13" s="8">
        <f t="shared" si="1"/>
        <v>10</v>
      </c>
      <c r="N13" s="8">
        <f t="shared" si="2"/>
        <v>240</v>
      </c>
      <c r="W13" s="8" t="str">
        <f t="shared" si="3"/>
        <v/>
      </c>
      <c r="X13" s="8" t="str">
        <f t="shared" si="4"/>
        <v/>
      </c>
      <c r="Y13" s="8" t="str">
        <f t="shared" si="5"/>
        <v/>
      </c>
      <c r="AH13" s="8" t="str">
        <f t="shared" si="6"/>
        <v/>
      </c>
      <c r="AI13" s="8" t="str">
        <f t="shared" si="7"/>
        <v/>
      </c>
      <c r="AJ13" s="8" t="str">
        <f t="shared" si="8"/>
        <v/>
      </c>
    </row>
    <row r="14" spans="1:37" x14ac:dyDescent="0.25">
      <c r="A14" s="3" t="s">
        <v>673</v>
      </c>
      <c r="B14" s="3" t="s">
        <v>543</v>
      </c>
      <c r="C14" s="3" t="s">
        <v>1043</v>
      </c>
      <c r="E14" t="s">
        <v>1435</v>
      </c>
      <c r="F14" t="s">
        <v>1026</v>
      </c>
      <c r="G14" t="s">
        <v>733</v>
      </c>
      <c r="H14" t="s">
        <v>11</v>
      </c>
      <c r="I14">
        <v>7.0000000000000007E-2</v>
      </c>
      <c r="J14">
        <v>0</v>
      </c>
      <c r="K14">
        <v>850</v>
      </c>
      <c r="L14" s="8">
        <f t="shared" si="0"/>
        <v>7.0000000000000007E-2</v>
      </c>
      <c r="M14" s="8">
        <f t="shared" si="1"/>
        <v>7.0000000000000007E-2</v>
      </c>
      <c r="N14" s="8">
        <f t="shared" si="2"/>
        <v>59.500000000000007</v>
      </c>
      <c r="W14" s="8" t="str">
        <f t="shared" si="3"/>
        <v/>
      </c>
      <c r="X14" s="8" t="str">
        <f t="shared" si="4"/>
        <v/>
      </c>
      <c r="Y14" s="8" t="str">
        <f t="shared" si="5"/>
        <v/>
      </c>
      <c r="AH14" s="8" t="str">
        <f t="shared" si="6"/>
        <v/>
      </c>
      <c r="AI14" s="8" t="str">
        <f t="shared" si="7"/>
        <v/>
      </c>
      <c r="AJ14" s="8" t="str">
        <f t="shared" si="8"/>
        <v/>
      </c>
    </row>
    <row r="15" spans="1:37" x14ac:dyDescent="0.25">
      <c r="A15" s="3" t="s">
        <v>673</v>
      </c>
      <c r="B15" s="3" t="s">
        <v>693</v>
      </c>
      <c r="C15" s="3" t="s">
        <v>725</v>
      </c>
      <c r="E15" t="s">
        <v>1435</v>
      </c>
      <c r="F15" t="s">
        <v>1026</v>
      </c>
      <c r="G15" t="s">
        <v>734</v>
      </c>
      <c r="H15" t="s">
        <v>11</v>
      </c>
      <c r="I15">
        <v>0.14000000000000001</v>
      </c>
      <c r="J15">
        <v>0</v>
      </c>
      <c r="K15">
        <v>830</v>
      </c>
      <c r="L15" s="8">
        <f t="shared" si="0"/>
        <v>0.14000000000000001</v>
      </c>
      <c r="M15" s="8">
        <f t="shared" si="1"/>
        <v>0.14000000000000001</v>
      </c>
      <c r="N15" s="8">
        <f t="shared" si="2"/>
        <v>116.20000000000002</v>
      </c>
      <c r="W15" s="8" t="str">
        <f t="shared" si="3"/>
        <v/>
      </c>
      <c r="X15" s="8" t="str">
        <f t="shared" si="4"/>
        <v/>
      </c>
      <c r="Y15" s="8" t="str">
        <f t="shared" si="5"/>
        <v/>
      </c>
      <c r="AH15" s="8" t="str">
        <f t="shared" si="6"/>
        <v/>
      </c>
      <c r="AI15" s="8" t="str">
        <f t="shared" si="7"/>
        <v/>
      </c>
      <c r="AJ15" s="8" t="str">
        <f t="shared" si="8"/>
        <v/>
      </c>
    </row>
    <row r="16" spans="1:37" x14ac:dyDescent="0.25">
      <c r="A16" s="3" t="s">
        <v>673</v>
      </c>
      <c r="B16" s="3" t="s">
        <v>544</v>
      </c>
      <c r="C16" s="3" t="s">
        <v>1044</v>
      </c>
      <c r="E16" t="s">
        <v>1027</v>
      </c>
      <c r="F16" t="s">
        <v>735</v>
      </c>
      <c r="G16" t="s">
        <v>714</v>
      </c>
      <c r="H16" t="s">
        <v>715</v>
      </c>
      <c r="I16">
        <v>1</v>
      </c>
      <c r="J16">
        <v>0</v>
      </c>
      <c r="K16">
        <v>130</v>
      </c>
      <c r="L16" s="8">
        <f t="shared" si="0"/>
        <v>1</v>
      </c>
      <c r="M16" s="8">
        <f t="shared" si="1"/>
        <v>1</v>
      </c>
      <c r="N16" s="8">
        <f t="shared" si="2"/>
        <v>130</v>
      </c>
      <c r="W16" s="8" t="str">
        <f t="shared" si="3"/>
        <v/>
      </c>
      <c r="X16" s="8" t="str">
        <f t="shared" si="4"/>
        <v/>
      </c>
      <c r="Y16" s="8" t="str">
        <f t="shared" si="5"/>
        <v/>
      </c>
      <c r="AH16" s="8" t="str">
        <f t="shared" si="6"/>
        <v/>
      </c>
      <c r="AI16" s="8" t="str">
        <f t="shared" si="7"/>
        <v/>
      </c>
      <c r="AJ16" s="8" t="str">
        <f t="shared" si="8"/>
        <v/>
      </c>
    </row>
    <row r="17" spans="1:36" x14ac:dyDescent="0.25">
      <c r="A17" s="3" t="s">
        <v>673</v>
      </c>
      <c r="B17" s="3" t="s">
        <v>545</v>
      </c>
      <c r="C17" s="3" t="s">
        <v>1045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673</v>
      </c>
      <c r="B18" s="3" t="s">
        <v>567</v>
      </c>
      <c r="C18" s="3" t="s">
        <v>1105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673</v>
      </c>
      <c r="B19" s="3" t="s">
        <v>674</v>
      </c>
      <c r="C19" s="3" t="s">
        <v>675</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673</v>
      </c>
      <c r="B20" s="3" t="s">
        <v>676</v>
      </c>
      <c r="C20" s="3" t="s">
        <v>1106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672</v>
      </c>
      <c r="B21" s="3" t="s">
        <v>1049</v>
      </c>
      <c r="C21" s="3" t="s">
        <v>1050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672</v>
      </c>
      <c r="B22" s="3" t="s">
        <v>1051</v>
      </c>
      <c r="C22" s="3" t="s">
        <v>1052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672</v>
      </c>
      <c r="B23" s="3" t="s">
        <v>1053</v>
      </c>
      <c r="C23" s="3" t="s">
        <v>1054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677</v>
      </c>
      <c r="B24" s="3" t="s">
        <v>1055</v>
      </c>
      <c r="C24" s="3" t="s">
        <v>546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672</v>
      </c>
      <c r="B25" s="3" t="s">
        <v>1056</v>
      </c>
      <c r="C25" s="3" t="s">
        <v>1057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677</v>
      </c>
      <c r="B26" s="3" t="s">
        <v>1058</v>
      </c>
      <c r="C26" s="3" t="s">
        <v>547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672</v>
      </c>
      <c r="B27" s="3" t="s">
        <v>1059</v>
      </c>
      <c r="C27" s="3" t="s">
        <v>1060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677</v>
      </c>
      <c r="B28" s="3" t="s">
        <v>1061</v>
      </c>
      <c r="C28" s="3" t="s">
        <v>695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672</v>
      </c>
      <c r="B29" s="3" t="s">
        <v>1062</v>
      </c>
      <c r="C29" s="3" t="s">
        <v>1063</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673</v>
      </c>
      <c r="B30" s="3" t="s">
        <v>696</v>
      </c>
      <c r="C30" s="3" t="s">
        <v>1107</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673</v>
      </c>
      <c r="B31" s="3" t="s">
        <v>697</v>
      </c>
      <c r="C31" s="3" t="s">
        <v>1065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673</v>
      </c>
      <c r="B32" s="3" t="s">
        <v>698</v>
      </c>
      <c r="C32" s="3" t="s">
        <v>1108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673</v>
      </c>
      <c r="B33" s="3" t="s">
        <v>1067</v>
      </c>
      <c r="C33" s="3" t="s">
        <v>1109</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673</v>
      </c>
      <c r="B34" s="3" t="s">
        <v>699</v>
      </c>
      <c r="C34" s="3" t="s">
        <v>1110</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677</v>
      </c>
      <c r="B35" s="3" t="s">
        <v>1070</v>
      </c>
      <c r="C35" s="3" t="s">
        <v>548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672</v>
      </c>
      <c r="B36" s="3" t="s">
        <v>1071</v>
      </c>
      <c r="C36" s="3" t="s">
        <v>1072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673</v>
      </c>
      <c r="B37" s="3" t="s">
        <v>1073</v>
      </c>
      <c r="C37" s="3" t="s">
        <v>570</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672</v>
      </c>
      <c r="B38" s="3" t="s">
        <v>1111</v>
      </c>
      <c r="C38" s="3" t="s">
        <v>1112</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673</v>
      </c>
      <c r="B39" s="3" t="s">
        <v>1113</v>
      </c>
      <c r="C39" s="3" t="s">
        <v>1114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673</v>
      </c>
      <c r="B40" s="3" t="s">
        <v>679</v>
      </c>
      <c r="C40" s="3" t="s">
        <v>757</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677</v>
      </c>
      <c r="B41" s="3" t="s">
        <v>680</v>
      </c>
      <c r="C41" s="3" t="s">
        <v>2059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677</v>
      </c>
      <c r="B42" s="3" t="s">
        <v>682</v>
      </c>
      <c r="C42" s="3" t="s">
        <v>726</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677</v>
      </c>
      <c r="B43" s="3" t="s">
        <v>683</v>
      </c>
      <c r="C43" s="3" t="s">
        <v>727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672</v>
      </c>
      <c r="B44" s="3" t="s">
        <v>1115</v>
      </c>
      <c r="C44" s="3" t="s">
        <v>1116</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672</v>
      </c>
      <c r="B45" s="3" t="s">
        <v>1117</v>
      </c>
      <c r="C45" s="3" t="s">
        <v>1118</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672</v>
      </c>
      <c r="B46" s="3" t="s">
        <v>1119</v>
      </c>
      <c r="C46" s="3" t="s">
        <v>1120</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672</v>
      </c>
      <c r="B47" s="3" t="s">
        <v>1077</v>
      </c>
      <c r="C47" s="3" t="s">
        <v>1421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672</v>
      </c>
      <c r="B48" s="3" t="s">
        <v>1078</v>
      </c>
      <c r="C48" s="3" t="s">
        <v>1422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672</v>
      </c>
      <c r="B49" s="3" t="s">
        <v>1079</v>
      </c>
      <c r="C49" s="3" t="s">
        <v>1423</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672</v>
      </c>
      <c r="B50" s="3" t="s">
        <v>1080</v>
      </c>
      <c r="C50" s="3" t="s">
        <v>1424</v>
      </c>
    </row>
    <row r="51" spans="1:36" x14ac:dyDescent="0.25">
      <c r="A51" s="3" t="s">
        <v>672</v>
      </c>
      <c r="B51" s="3" t="s">
        <v>1081</v>
      </c>
      <c r="C51" s="3" t="s">
        <v>1425</v>
      </c>
    </row>
    <row r="52" spans="1:36" x14ac:dyDescent="0.25">
      <c r="A52" s="3" t="s">
        <v>672</v>
      </c>
      <c r="B52" s="3" t="s">
        <v>1082</v>
      </c>
      <c r="C52" s="3" t="s">
        <v>1426</v>
      </c>
    </row>
    <row r="53" spans="1:36" x14ac:dyDescent="0.25">
      <c r="A53" s="3" t="s">
        <v>672</v>
      </c>
      <c r="B53" s="3" t="s">
        <v>1121</v>
      </c>
      <c r="C53" s="3" t="s">
        <v>1431</v>
      </c>
    </row>
    <row r="54" spans="1:36" x14ac:dyDescent="0.25">
      <c r="A54" s="3" t="s">
        <v>672</v>
      </c>
      <c r="B54" s="3" t="s">
        <v>1122</v>
      </c>
      <c r="C54" s="3" t="s">
        <v>1432</v>
      </c>
    </row>
    <row r="55" spans="1:36" x14ac:dyDescent="0.25">
      <c r="A55" s="3" t="s">
        <v>672</v>
      </c>
      <c r="B55" s="3" t="s">
        <v>1123</v>
      </c>
      <c r="C55" s="3" t="s">
        <v>1433</v>
      </c>
    </row>
    <row r="56" spans="1:36" x14ac:dyDescent="0.25">
      <c r="A56" s="3" t="s">
        <v>672</v>
      </c>
      <c r="B56" s="3" t="s">
        <v>1124</v>
      </c>
      <c r="C56" s="3" t="s">
        <v>1434</v>
      </c>
    </row>
    <row r="57" spans="1:36" x14ac:dyDescent="0.25">
      <c r="A57" s="3" t="s">
        <v>673</v>
      </c>
      <c r="B57" s="3" t="s">
        <v>1084</v>
      </c>
      <c r="C57" s="3" t="s">
        <v>1085</v>
      </c>
    </row>
    <row r="58" spans="1:36" x14ac:dyDescent="0.25">
      <c r="A58" s="3" t="s">
        <v>673</v>
      </c>
      <c r="B58" s="3" t="s">
        <v>1086</v>
      </c>
      <c r="C58" s="3" t="s">
        <v>1087</v>
      </c>
    </row>
    <row r="59" spans="1:36" x14ac:dyDescent="0.25">
      <c r="A59" s="3" t="s">
        <v>673</v>
      </c>
      <c r="B59" s="3" t="s">
        <v>1088</v>
      </c>
      <c r="C59" s="3" t="s">
        <v>1125</v>
      </c>
    </row>
    <row r="60" spans="1:36" x14ac:dyDescent="0.25">
      <c r="A60" s="3" t="s">
        <v>673</v>
      </c>
      <c r="B60" s="3" t="s">
        <v>1090</v>
      </c>
      <c r="C60" s="3" t="s">
        <v>1126</v>
      </c>
    </row>
    <row r="61" spans="1:36" x14ac:dyDescent="0.25">
      <c r="A61" s="3" t="s">
        <v>677</v>
      </c>
      <c r="B61" s="3" t="s">
        <v>700</v>
      </c>
      <c r="C61" s="3" t="s">
        <v>701</v>
      </c>
    </row>
    <row r="62" spans="1:36" x14ac:dyDescent="0.25">
      <c r="A62" s="3" t="s">
        <v>672</v>
      </c>
      <c r="B62" s="3" t="s">
        <v>728</v>
      </c>
      <c r="C62" s="3" t="s">
        <v>1127</v>
      </c>
    </row>
    <row r="63" spans="1:36" x14ac:dyDescent="0.25">
      <c r="A63" s="3" t="s">
        <v>673</v>
      </c>
      <c r="B63" s="3" t="s">
        <v>702</v>
      </c>
      <c r="C63" s="3" t="s">
        <v>1128</v>
      </c>
    </row>
    <row r="64" spans="1:36" x14ac:dyDescent="0.25">
      <c r="A64" s="3" t="s">
        <v>672</v>
      </c>
      <c r="B64" s="3" t="s">
        <v>571</v>
      </c>
      <c r="C64" s="3" t="s">
        <v>1094</v>
      </c>
    </row>
    <row r="65" spans="1:3" x14ac:dyDescent="0.25">
      <c r="A65" s="3" t="s">
        <v>672</v>
      </c>
      <c r="B65" s="3" t="s">
        <v>550</v>
      </c>
      <c r="C65" s="3" t="s">
        <v>1095</v>
      </c>
    </row>
    <row r="66" spans="1:3" x14ac:dyDescent="0.25">
      <c r="A66" s="3" t="s">
        <v>673</v>
      </c>
      <c r="B66" s="3" t="s">
        <v>572</v>
      </c>
      <c r="C66" s="3" t="s">
        <v>573</v>
      </c>
    </row>
    <row r="67" spans="1:3" x14ac:dyDescent="0.25">
      <c r="A67" s="3" t="s">
        <v>673</v>
      </c>
      <c r="B67" s="3" t="s">
        <v>574</v>
      </c>
      <c r="C67" s="3" t="s">
        <v>575</v>
      </c>
    </row>
    <row r="68" spans="1:3" x14ac:dyDescent="0.25">
      <c r="A68" s="3" t="s">
        <v>673</v>
      </c>
      <c r="B68" s="3" t="s">
        <v>576</v>
      </c>
      <c r="C68" s="3" t="s">
        <v>1096</v>
      </c>
    </row>
    <row r="69" spans="1:3" x14ac:dyDescent="0.25">
      <c r="A69" s="3" t="s">
        <v>673</v>
      </c>
      <c r="B69" s="3" t="s">
        <v>577</v>
      </c>
      <c r="C69" s="3" t="s">
        <v>685</v>
      </c>
    </row>
    <row r="70" spans="1:3" x14ac:dyDescent="0.25">
      <c r="A70" s="3" t="s">
        <v>673</v>
      </c>
      <c r="B70" s="3" t="s">
        <v>579</v>
      </c>
      <c r="C70" s="3" t="s">
        <v>703</v>
      </c>
    </row>
    <row r="71" spans="1:3" x14ac:dyDescent="0.25">
      <c r="A71" s="3" t="s">
        <v>686</v>
      </c>
      <c r="B71" s="3" t="s">
        <v>581</v>
      </c>
      <c r="C71" s="3" t="s">
        <v>452</v>
      </c>
    </row>
    <row r="72" spans="1:3" x14ac:dyDescent="0.25">
      <c r="A72" s="3" t="s">
        <v>673</v>
      </c>
      <c r="B72" s="3" t="s">
        <v>1925</v>
      </c>
      <c r="C72" s="3" t="s">
        <v>2245</v>
      </c>
    </row>
    <row r="73" spans="1:3" x14ac:dyDescent="0.25">
      <c r="A73" s="3" t="s">
        <v>672</v>
      </c>
      <c r="B73" s="3" t="s">
        <v>1968</v>
      </c>
      <c r="C73" s="3" t="s">
        <v>2246</v>
      </c>
    </row>
    <row r="74" spans="1:3" x14ac:dyDescent="0.25">
      <c r="A74" s="3" t="s">
        <v>673</v>
      </c>
      <c r="B74" s="3" t="s">
        <v>582</v>
      </c>
      <c r="C74" s="3" t="s">
        <v>1129</v>
      </c>
    </row>
    <row r="75" spans="1:3" x14ac:dyDescent="0.25">
      <c r="A75" s="3" t="s">
        <v>673</v>
      </c>
      <c r="B75" s="3" t="s">
        <v>688</v>
      </c>
      <c r="C75" s="3" t="s">
        <v>689</v>
      </c>
    </row>
    <row r="76" spans="1:3" x14ac:dyDescent="0.25">
      <c r="A76" s="3" t="s">
        <v>673</v>
      </c>
      <c r="B76" s="3" t="s">
        <v>586</v>
      </c>
      <c r="C76" s="3" t="s">
        <v>690</v>
      </c>
    </row>
    <row r="77" spans="1:3" x14ac:dyDescent="0.25">
      <c r="A77" s="3" t="s">
        <v>673</v>
      </c>
      <c r="B77" s="3" t="s">
        <v>365</v>
      </c>
      <c r="C77" s="3" t="s">
        <v>691</v>
      </c>
    </row>
    <row r="78" spans="1:3" x14ac:dyDescent="0.25">
      <c r="A78" s="3" t="s">
        <v>692</v>
      </c>
      <c r="B78" s="3" t="s">
        <v>1428</v>
      </c>
      <c r="C78" s="3" t="s">
        <v>2247</v>
      </c>
    </row>
  </sheetData>
  <mergeCells count="4">
    <mergeCell ref="A1:C1"/>
    <mergeCell ref="E1:K1"/>
    <mergeCell ref="P1:V1"/>
    <mergeCell ref="AA1:AG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61DF8-5AF3-48BC-8A01-B3576EF0955A}">
  <sheetPr codeName="Sheet28"/>
  <dimension ref="A1:AK58"/>
  <sheetViews>
    <sheetView zoomScale="75" zoomScaleNormal="75" workbookViewId="0">
      <pane ySplit="49" topLeftCell="A63" activePane="bottomLeft" state="frozen"/>
      <selection pane="bottomLeft" sqref="A1:C62"/>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4" t="str" cm="1">
        <f t="array" aca="1" ref="A1" ca="1">IFERROR(MID(CELL("filename",$A$1),FIND("]",CELL("filename",$A$1))+1,99),"SXX")</f>
        <v>S17</v>
      </c>
      <c r="B1" s="34"/>
      <c r="C1" s="34"/>
      <c r="E1" s="35" t="str" cm="1">
        <f t="array" aca="1" ref="E1" ca="1">IFERROR(MID(CELL("filename",$A$1),FIND("]",CELL("filename",$A$1))+1,99),"SXX")&amp;" MATERIALS (USAGE + STANDALONE)"</f>
        <v>S17 MATERIALS (USAGE + STANDALONE)</v>
      </c>
      <c r="F1" s="35"/>
      <c r="G1" s="35"/>
      <c r="H1" s="35"/>
      <c r="I1" s="35"/>
      <c r="J1" s="35"/>
      <c r="K1" s="35"/>
      <c r="L1" s="13"/>
      <c r="M1" s="13"/>
      <c r="N1" s="19">
        <f>SUM(N3:N49)</f>
        <v>2888</v>
      </c>
      <c r="P1" s="35" t="str" cm="1">
        <f t="array" aca="1" ref="P1" ca="1">IFERROR(MID(CELL("filename",$A$1),FIND("]",CELL("filename",$A$1))+1,99),"SXX")&amp;" LABOUR (USAGE + STANDALONE)"</f>
        <v>S17 LABOUR (USAGE + STANDALONE)</v>
      </c>
      <c r="Q1" s="35"/>
      <c r="R1" s="35"/>
      <c r="S1" s="35"/>
      <c r="T1" s="35"/>
      <c r="U1" s="35"/>
      <c r="V1" s="35"/>
      <c r="Y1" s="19">
        <f>SUM(Y3:Y49)</f>
        <v>2520</v>
      </c>
      <c r="AA1" s="36" t="str" cm="1">
        <f t="array" aca="1" ref="AA1" ca="1">IFERROR(MID(CELL("filename",$A$1),FIND("]",CELL("filename",$A$1))+1,99),"SXX")&amp;" RENTAL / SERVICE (USAGE + STANDALONE)"</f>
        <v>S17 RENTAL / SERVICE (USAGE + STANDALONE)</v>
      </c>
      <c r="AB1" s="36"/>
      <c r="AC1" s="36"/>
      <c r="AD1" s="36"/>
      <c r="AE1" s="36"/>
      <c r="AF1" s="36"/>
      <c r="AG1" s="36"/>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737</v>
      </c>
      <c r="B3" s="3" t="s">
        <v>738</v>
      </c>
      <c r="C3" s="3" t="s">
        <v>739</v>
      </c>
      <c r="E3" t="s">
        <v>2254</v>
      </c>
      <c r="F3" t="s">
        <v>790</v>
      </c>
      <c r="G3" t="s">
        <v>2076</v>
      </c>
      <c r="H3" t="s">
        <v>9</v>
      </c>
      <c r="I3">
        <v>3</v>
      </c>
      <c r="J3" s="22">
        <v>0</v>
      </c>
      <c r="K3">
        <v>24</v>
      </c>
      <c r="L3" s="8">
        <f t="shared" ref="L3:L49" si="0">IF($G3="","",$I3*(1+IF($J3="",0,$J3)))</f>
        <v>3</v>
      </c>
      <c r="M3" s="8">
        <f t="shared" ref="M3:M49" si="1">IF($G3="","",$L3)</f>
        <v>3</v>
      </c>
      <c r="N3" s="8">
        <f t="shared" ref="N3:N49" si="2">IF($G3="","",IF($K3="","",$M3*$K3))</f>
        <v>72</v>
      </c>
      <c r="P3" t="s">
        <v>2256</v>
      </c>
      <c r="Q3" t="s">
        <v>797</v>
      </c>
      <c r="R3" t="s">
        <v>322</v>
      </c>
      <c r="S3" t="s">
        <v>33</v>
      </c>
      <c r="T3">
        <v>112</v>
      </c>
      <c r="U3" s="22">
        <v>0</v>
      </c>
      <c r="V3">
        <v>22.5</v>
      </c>
      <c r="W3" s="8">
        <f>IF($R3="","",$T3*(1+IF($U3="",0,$U3)))</f>
        <v>112</v>
      </c>
      <c r="X3" s="8">
        <f>IF($R3="","",$W3)</f>
        <v>112</v>
      </c>
      <c r="Y3" s="8">
        <f>IF($R3="","",IF($V3="","",$X3*$V3))</f>
        <v>2520</v>
      </c>
      <c r="AH3" s="8" t="str">
        <f>IF($AC3="","",$AE3*(1+IF($AF3="",0,$AF3)))</f>
        <v/>
      </c>
      <c r="AI3" s="8" t="str">
        <f>IF($AC3="","",$AH3)</f>
        <v/>
      </c>
      <c r="AJ3" s="8" t="str">
        <f>IF($AC3="","",IF($AG3="","",$AI3*$AG3))</f>
        <v/>
      </c>
    </row>
    <row r="4" spans="1:37" x14ac:dyDescent="0.25">
      <c r="A4" s="3" t="s">
        <v>740</v>
      </c>
      <c r="B4" s="3" t="s">
        <v>741</v>
      </c>
      <c r="C4" s="3" t="s">
        <v>742</v>
      </c>
      <c r="E4" t="s">
        <v>789</v>
      </c>
      <c r="F4" t="s">
        <v>790</v>
      </c>
      <c r="G4" t="s">
        <v>733</v>
      </c>
      <c r="H4" t="s">
        <v>11</v>
      </c>
      <c r="I4">
        <v>0.02</v>
      </c>
      <c r="J4" s="22">
        <v>0</v>
      </c>
      <c r="K4">
        <v>850</v>
      </c>
      <c r="L4" s="8">
        <f t="shared" si="0"/>
        <v>0.02</v>
      </c>
      <c r="M4" s="8">
        <f t="shared" si="1"/>
        <v>0.02</v>
      </c>
      <c r="N4" s="8">
        <f t="shared" si="2"/>
        <v>17</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743</v>
      </c>
      <c r="B5" s="3" t="s">
        <v>597</v>
      </c>
      <c r="C5" s="3" t="s">
        <v>744</v>
      </c>
      <c r="E5" t="s">
        <v>789</v>
      </c>
      <c r="F5" t="s">
        <v>790</v>
      </c>
      <c r="G5" t="s">
        <v>734</v>
      </c>
      <c r="H5" t="s">
        <v>11</v>
      </c>
      <c r="I5">
        <v>0.04</v>
      </c>
      <c r="J5" s="22">
        <v>0</v>
      </c>
      <c r="K5">
        <v>830</v>
      </c>
      <c r="L5" s="8">
        <f t="shared" si="0"/>
        <v>0.04</v>
      </c>
      <c r="M5" s="8">
        <f t="shared" si="1"/>
        <v>0.04</v>
      </c>
      <c r="N5" s="8">
        <f t="shared" si="2"/>
        <v>33.200000000000003</v>
      </c>
      <c r="W5" s="8" t="str">
        <f t="shared" si="3"/>
        <v/>
      </c>
      <c r="X5" s="8" t="str">
        <f t="shared" si="4"/>
        <v/>
      </c>
      <c r="Y5" s="8" t="str">
        <f t="shared" si="5"/>
        <v/>
      </c>
      <c r="AH5" s="8" t="str">
        <f t="shared" si="6"/>
        <v/>
      </c>
      <c r="AI5" s="8" t="str">
        <f t="shared" si="7"/>
        <v/>
      </c>
      <c r="AJ5" s="8" t="str">
        <f t="shared" si="8"/>
        <v/>
      </c>
    </row>
    <row r="6" spans="1:37" x14ac:dyDescent="0.25">
      <c r="A6" s="3" t="s">
        <v>745</v>
      </c>
      <c r="B6" s="3" t="s">
        <v>599</v>
      </c>
      <c r="C6" s="3" t="s">
        <v>600</v>
      </c>
      <c r="E6" t="s">
        <v>2255</v>
      </c>
      <c r="F6" t="s">
        <v>792</v>
      </c>
      <c r="G6" t="s">
        <v>2076</v>
      </c>
      <c r="H6" t="s">
        <v>9</v>
      </c>
      <c r="I6">
        <v>26</v>
      </c>
      <c r="J6">
        <v>0</v>
      </c>
      <c r="K6">
        <v>24</v>
      </c>
      <c r="L6" s="8">
        <f t="shared" si="0"/>
        <v>26</v>
      </c>
      <c r="M6" s="8">
        <f t="shared" si="1"/>
        <v>26</v>
      </c>
      <c r="N6" s="8">
        <f t="shared" si="2"/>
        <v>624</v>
      </c>
      <c r="W6" s="8" t="str">
        <f t="shared" si="3"/>
        <v/>
      </c>
      <c r="X6" s="8" t="str">
        <f t="shared" si="4"/>
        <v/>
      </c>
      <c r="Y6" s="8" t="str">
        <f t="shared" si="5"/>
        <v/>
      </c>
      <c r="AH6" s="8" t="str">
        <f t="shared" si="6"/>
        <v/>
      </c>
      <c r="AI6" s="8" t="str">
        <f t="shared" si="7"/>
        <v/>
      </c>
      <c r="AJ6" s="8" t="str">
        <f t="shared" si="8"/>
        <v/>
      </c>
    </row>
    <row r="7" spans="1:37" x14ac:dyDescent="0.25">
      <c r="A7" s="3" t="s">
        <v>745</v>
      </c>
      <c r="B7" s="3" t="s">
        <v>601</v>
      </c>
      <c r="C7" s="3" t="s">
        <v>602</v>
      </c>
      <c r="E7" t="s">
        <v>791</v>
      </c>
      <c r="F7" t="s">
        <v>792</v>
      </c>
      <c r="G7" t="s">
        <v>733</v>
      </c>
      <c r="H7" t="s">
        <v>11</v>
      </c>
      <c r="I7">
        <v>0.18</v>
      </c>
      <c r="J7">
        <v>0</v>
      </c>
      <c r="K7">
        <v>850</v>
      </c>
      <c r="L7" s="8">
        <f t="shared" si="0"/>
        <v>0.18</v>
      </c>
      <c r="M7" s="8">
        <f t="shared" si="1"/>
        <v>0.18</v>
      </c>
      <c r="N7" s="8">
        <f t="shared" si="2"/>
        <v>153</v>
      </c>
      <c r="W7" s="8" t="str">
        <f t="shared" si="3"/>
        <v/>
      </c>
      <c r="X7" s="8" t="str">
        <f t="shared" si="4"/>
        <v/>
      </c>
      <c r="Y7" s="8" t="str">
        <f t="shared" si="5"/>
        <v/>
      </c>
      <c r="AH7" s="8" t="str">
        <f t="shared" si="6"/>
        <v/>
      </c>
      <c r="AI7" s="8" t="str">
        <f t="shared" si="7"/>
        <v/>
      </c>
      <c r="AJ7" s="8" t="str">
        <f t="shared" si="8"/>
        <v/>
      </c>
    </row>
    <row r="8" spans="1:37" x14ac:dyDescent="0.25">
      <c r="A8" s="3" t="s">
        <v>745</v>
      </c>
      <c r="B8" s="3" t="s">
        <v>603</v>
      </c>
      <c r="C8" s="3" t="s">
        <v>604</v>
      </c>
      <c r="E8" t="s">
        <v>791</v>
      </c>
      <c r="F8" t="s">
        <v>792</v>
      </c>
      <c r="G8" t="s">
        <v>734</v>
      </c>
      <c r="H8" t="s">
        <v>11</v>
      </c>
      <c r="I8">
        <v>0.36</v>
      </c>
      <c r="J8">
        <v>0</v>
      </c>
      <c r="K8">
        <v>830</v>
      </c>
      <c r="L8" s="8">
        <f t="shared" si="0"/>
        <v>0.36</v>
      </c>
      <c r="M8" s="8">
        <f t="shared" si="1"/>
        <v>0.36</v>
      </c>
      <c r="N8" s="8">
        <f t="shared" si="2"/>
        <v>298.8</v>
      </c>
      <c r="W8" s="8" t="str">
        <f t="shared" si="3"/>
        <v/>
      </c>
      <c r="X8" s="8" t="str">
        <f t="shared" si="4"/>
        <v/>
      </c>
      <c r="Y8" s="8" t="str">
        <f t="shared" si="5"/>
        <v/>
      </c>
      <c r="AH8" s="8" t="str">
        <f t="shared" si="6"/>
        <v/>
      </c>
      <c r="AI8" s="8" t="str">
        <f t="shared" si="7"/>
        <v/>
      </c>
      <c r="AJ8" s="8" t="str">
        <f t="shared" si="8"/>
        <v/>
      </c>
    </row>
    <row r="9" spans="1:37" x14ac:dyDescent="0.25">
      <c r="A9" s="3" t="s">
        <v>745</v>
      </c>
      <c r="B9" s="3" t="s">
        <v>351</v>
      </c>
      <c r="C9" s="3" t="s">
        <v>605</v>
      </c>
      <c r="E9" t="s">
        <v>718</v>
      </c>
      <c r="F9" t="s">
        <v>793</v>
      </c>
      <c r="G9" t="s">
        <v>661</v>
      </c>
      <c r="H9" t="s">
        <v>662</v>
      </c>
      <c r="I9">
        <v>30</v>
      </c>
      <c r="J9">
        <v>0</v>
      </c>
      <c r="K9">
        <v>28</v>
      </c>
      <c r="L9" s="8">
        <f t="shared" si="0"/>
        <v>30</v>
      </c>
      <c r="M9" s="8">
        <f t="shared" si="1"/>
        <v>30</v>
      </c>
      <c r="N9" s="8">
        <f t="shared" si="2"/>
        <v>840</v>
      </c>
      <c r="W9" s="8" t="str">
        <f t="shared" si="3"/>
        <v/>
      </c>
      <c r="X9" s="8" t="str">
        <f t="shared" si="4"/>
        <v/>
      </c>
      <c r="Y9" s="8" t="str">
        <f t="shared" si="5"/>
        <v/>
      </c>
      <c r="AH9" s="8" t="str">
        <f t="shared" si="6"/>
        <v/>
      </c>
      <c r="AI9" s="8" t="str">
        <f t="shared" si="7"/>
        <v/>
      </c>
      <c r="AJ9" s="8" t="str">
        <f t="shared" si="8"/>
        <v/>
      </c>
    </row>
    <row r="10" spans="1:37" x14ac:dyDescent="0.25">
      <c r="A10" s="3" t="s">
        <v>745</v>
      </c>
      <c r="B10" s="3" t="s">
        <v>352</v>
      </c>
      <c r="C10" s="3" t="s">
        <v>606</v>
      </c>
      <c r="E10" t="s">
        <v>719</v>
      </c>
      <c r="F10" t="s">
        <v>793</v>
      </c>
      <c r="G10" t="s">
        <v>663</v>
      </c>
      <c r="H10" t="s">
        <v>662</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745</v>
      </c>
      <c r="B11" s="3" t="s">
        <v>607</v>
      </c>
      <c r="C11" s="3" t="s">
        <v>608</v>
      </c>
      <c r="E11" t="s">
        <v>720</v>
      </c>
      <c r="F11" t="s">
        <v>794</v>
      </c>
      <c r="G11" t="s">
        <v>665</v>
      </c>
      <c r="H11" t="s">
        <v>666</v>
      </c>
      <c r="I11">
        <v>8</v>
      </c>
      <c r="J11">
        <v>0</v>
      </c>
      <c r="K11">
        <v>45</v>
      </c>
      <c r="L11" s="8">
        <f t="shared" si="0"/>
        <v>8</v>
      </c>
      <c r="M11" s="8">
        <f t="shared" si="1"/>
        <v>8</v>
      </c>
      <c r="N11" s="8">
        <f t="shared" si="2"/>
        <v>360</v>
      </c>
      <c r="W11" s="8" t="str">
        <f t="shared" si="3"/>
        <v/>
      </c>
      <c r="X11" s="8" t="str">
        <f t="shared" si="4"/>
        <v/>
      </c>
      <c r="Y11" s="8" t="str">
        <f t="shared" si="5"/>
        <v/>
      </c>
      <c r="AH11" s="8" t="str">
        <f t="shared" si="6"/>
        <v/>
      </c>
      <c r="AI11" s="8" t="str">
        <f t="shared" si="7"/>
        <v/>
      </c>
      <c r="AJ11" s="8" t="str">
        <f t="shared" si="8"/>
        <v/>
      </c>
    </row>
    <row r="12" spans="1:37" x14ac:dyDescent="0.25">
      <c r="A12" s="3" t="s">
        <v>745</v>
      </c>
      <c r="B12" s="3" t="s">
        <v>609</v>
      </c>
      <c r="C12" s="3" t="s">
        <v>610</v>
      </c>
      <c r="E12" t="s">
        <v>721</v>
      </c>
      <c r="F12" t="s">
        <v>794</v>
      </c>
      <c r="G12" t="s">
        <v>722</v>
      </c>
      <c r="H12" t="s">
        <v>723</v>
      </c>
      <c r="I12">
        <v>12</v>
      </c>
      <c r="J12">
        <v>0</v>
      </c>
      <c r="K12">
        <v>15</v>
      </c>
      <c r="L12" s="8">
        <f t="shared" si="0"/>
        <v>12</v>
      </c>
      <c r="M12" s="8">
        <f t="shared" si="1"/>
        <v>12</v>
      </c>
      <c r="N12" s="8">
        <f t="shared" si="2"/>
        <v>180</v>
      </c>
      <c r="W12" s="8" t="str">
        <f t="shared" si="3"/>
        <v/>
      </c>
      <c r="X12" s="8" t="str">
        <f t="shared" si="4"/>
        <v/>
      </c>
      <c r="Y12" s="8" t="str">
        <f t="shared" si="5"/>
        <v/>
      </c>
      <c r="AH12" s="8" t="str">
        <f t="shared" si="6"/>
        <v/>
      </c>
      <c r="AI12" s="8" t="str">
        <f t="shared" si="7"/>
        <v/>
      </c>
      <c r="AJ12" s="8" t="str">
        <f t="shared" si="8"/>
        <v/>
      </c>
    </row>
    <row r="13" spans="1:37" x14ac:dyDescent="0.25">
      <c r="A13" s="3" t="s">
        <v>745</v>
      </c>
      <c r="B13" s="3" t="s">
        <v>611</v>
      </c>
      <c r="C13" s="3" t="s">
        <v>612</v>
      </c>
      <c r="E13" t="s">
        <v>795</v>
      </c>
      <c r="F13" t="s">
        <v>796</v>
      </c>
      <c r="G13" t="s">
        <v>714</v>
      </c>
      <c r="H13" t="s">
        <v>715</v>
      </c>
      <c r="I13">
        <v>1</v>
      </c>
      <c r="J13">
        <v>0</v>
      </c>
      <c r="K13">
        <v>130</v>
      </c>
      <c r="L13" s="8">
        <f t="shared" si="0"/>
        <v>1</v>
      </c>
      <c r="M13" s="8">
        <f t="shared" si="1"/>
        <v>1</v>
      </c>
      <c r="N13" s="8">
        <f t="shared" si="2"/>
        <v>130</v>
      </c>
      <c r="W13" s="8" t="str">
        <f t="shared" si="3"/>
        <v/>
      </c>
      <c r="X13" s="8" t="str">
        <f t="shared" si="4"/>
        <v/>
      </c>
      <c r="Y13" s="8" t="str">
        <f t="shared" si="5"/>
        <v/>
      </c>
      <c r="AH13" s="8" t="str">
        <f t="shared" si="6"/>
        <v/>
      </c>
      <c r="AI13" s="8" t="str">
        <f t="shared" si="7"/>
        <v/>
      </c>
      <c r="AJ13" s="8" t="str">
        <f t="shared" si="8"/>
        <v/>
      </c>
    </row>
    <row r="14" spans="1:37" x14ac:dyDescent="0.25">
      <c r="A14" s="3" t="s">
        <v>745</v>
      </c>
      <c r="B14" s="3" t="s">
        <v>613</v>
      </c>
      <c r="C14" s="3" t="s">
        <v>614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745</v>
      </c>
      <c r="B15" s="3" t="s">
        <v>705</v>
      </c>
      <c r="C15" s="3" t="s">
        <v>706</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745</v>
      </c>
      <c r="B16" s="3" t="s">
        <v>746</v>
      </c>
      <c r="C16" s="3" t="s">
        <v>747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748</v>
      </c>
      <c r="B17" s="3" t="s">
        <v>615</v>
      </c>
      <c r="C17" s="3" t="s">
        <v>749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748</v>
      </c>
      <c r="B18" s="3" t="s">
        <v>617</v>
      </c>
      <c r="C18" s="3" t="s">
        <v>750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748</v>
      </c>
      <c r="B19" s="3" t="s">
        <v>619</v>
      </c>
      <c r="C19" s="3" t="s">
        <v>620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748</v>
      </c>
      <c r="B20" s="3" t="s">
        <v>621</v>
      </c>
      <c r="C20" s="3" t="s">
        <v>751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748</v>
      </c>
      <c r="B21" s="3" t="s">
        <v>623</v>
      </c>
      <c r="C21" s="3" t="s">
        <v>752</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745</v>
      </c>
      <c r="B22" s="3" t="s">
        <v>625</v>
      </c>
      <c r="C22" s="3" t="s">
        <v>626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748</v>
      </c>
      <c r="B23" s="3" t="s">
        <v>707</v>
      </c>
      <c r="C23" s="3" t="s">
        <v>708</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748</v>
      </c>
      <c r="B24" s="3" t="s">
        <v>627</v>
      </c>
      <c r="C24" s="3" t="s">
        <v>753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748</v>
      </c>
      <c r="B25" s="3" t="s">
        <v>629</v>
      </c>
      <c r="C25" s="3" t="s">
        <v>754</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748</v>
      </c>
      <c r="B26" s="3" t="s">
        <v>567</v>
      </c>
      <c r="C26" s="3" t="s">
        <v>755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748</v>
      </c>
      <c r="B27" s="3" t="s">
        <v>678</v>
      </c>
      <c r="C27" s="3" t="s">
        <v>756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748</v>
      </c>
      <c r="B28" s="3" t="s">
        <v>679</v>
      </c>
      <c r="C28" s="3" t="s">
        <v>757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748</v>
      </c>
      <c r="B29" s="3" t="s">
        <v>758</v>
      </c>
      <c r="C29" s="3" t="s">
        <v>675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748</v>
      </c>
      <c r="B30" s="3" t="s">
        <v>759</v>
      </c>
      <c r="C30" s="3" t="s">
        <v>760</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745</v>
      </c>
      <c r="B31" s="3" t="s">
        <v>761</v>
      </c>
      <c r="C31" s="3" t="s">
        <v>762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745</v>
      </c>
      <c r="B32" s="3" t="s">
        <v>763</v>
      </c>
      <c r="C32" s="3" t="s">
        <v>764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765</v>
      </c>
      <c r="B33" s="3" t="s">
        <v>680</v>
      </c>
      <c r="C33" s="3" t="s">
        <v>2059</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765</v>
      </c>
      <c r="B34" s="3" t="s">
        <v>766</v>
      </c>
      <c r="C34" s="3" t="s">
        <v>726</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765</v>
      </c>
      <c r="B35" s="3" t="s">
        <v>683</v>
      </c>
      <c r="C35" s="3" t="s">
        <v>727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745</v>
      </c>
      <c r="B36" s="3" t="s">
        <v>681</v>
      </c>
      <c r="C36" s="3" t="s">
        <v>767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745</v>
      </c>
      <c r="B37" s="3" t="s">
        <v>768</v>
      </c>
      <c r="C37" s="3" t="s">
        <v>769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745</v>
      </c>
      <c r="B38" s="3" t="s">
        <v>684</v>
      </c>
      <c r="C38" s="3" t="s">
        <v>770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765</v>
      </c>
      <c r="B39" s="3" t="s">
        <v>635</v>
      </c>
      <c r="C39" s="3" t="s">
        <v>771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765</v>
      </c>
      <c r="B40" s="3" t="s">
        <v>636</v>
      </c>
      <c r="C40" s="3" t="s">
        <v>772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765</v>
      </c>
      <c r="B41" s="3" t="s">
        <v>637</v>
      </c>
      <c r="C41" s="3" t="s">
        <v>773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765</v>
      </c>
      <c r="B42" s="3" t="s">
        <v>774</v>
      </c>
      <c r="C42" s="3" t="s">
        <v>775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748</v>
      </c>
      <c r="B43" s="3" t="s">
        <v>638</v>
      </c>
      <c r="C43" s="3" t="s">
        <v>776</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748</v>
      </c>
      <c r="B44" s="3" t="s">
        <v>640</v>
      </c>
      <c r="C44" s="3" t="s">
        <v>777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748</v>
      </c>
      <c r="B45" s="3" t="s">
        <v>642</v>
      </c>
      <c r="C45" s="3" t="s">
        <v>778</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748</v>
      </c>
      <c r="B46" s="3" t="s">
        <v>644</v>
      </c>
      <c r="C46" s="3" t="s">
        <v>779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748</v>
      </c>
      <c r="B47" s="3" t="s">
        <v>646</v>
      </c>
      <c r="C47" s="3" t="s">
        <v>780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745</v>
      </c>
      <c r="B48" s="3" t="s">
        <v>648</v>
      </c>
      <c r="C48" s="3" t="s">
        <v>781</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765</v>
      </c>
      <c r="B49" s="3" t="s">
        <v>700</v>
      </c>
      <c r="C49" s="3" t="s">
        <v>701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748</v>
      </c>
      <c r="B50" s="3" t="s">
        <v>702</v>
      </c>
      <c r="C50" s="3" t="s">
        <v>782</v>
      </c>
    </row>
    <row r="51" spans="1:36" x14ac:dyDescent="0.25">
      <c r="A51" s="3" t="s">
        <v>783</v>
      </c>
      <c r="B51" s="3" t="s">
        <v>581</v>
      </c>
      <c r="C51" s="3" t="s">
        <v>452</v>
      </c>
    </row>
    <row r="52" spans="1:36" x14ac:dyDescent="0.25">
      <c r="A52" s="3" t="s">
        <v>748</v>
      </c>
      <c r="B52" s="3" t="s">
        <v>1925</v>
      </c>
      <c r="C52" s="3" t="s">
        <v>2251</v>
      </c>
    </row>
    <row r="53" spans="1:36" x14ac:dyDescent="0.25">
      <c r="A53" s="3" t="s">
        <v>748</v>
      </c>
      <c r="B53" s="3" t="s">
        <v>582</v>
      </c>
      <c r="C53" s="3" t="s">
        <v>784</v>
      </c>
    </row>
    <row r="54" spans="1:36" x14ac:dyDescent="0.25">
      <c r="A54" s="3" t="s">
        <v>745</v>
      </c>
      <c r="B54" s="3" t="s">
        <v>687</v>
      </c>
      <c r="C54" s="3" t="s">
        <v>2252</v>
      </c>
    </row>
    <row r="55" spans="1:36" x14ac:dyDescent="0.25">
      <c r="A55" s="3" t="s">
        <v>748</v>
      </c>
      <c r="B55" s="3" t="s">
        <v>688</v>
      </c>
      <c r="C55" s="3" t="s">
        <v>785</v>
      </c>
    </row>
    <row r="56" spans="1:36" x14ac:dyDescent="0.25">
      <c r="A56" s="3" t="s">
        <v>748</v>
      </c>
      <c r="B56" s="3" t="s">
        <v>586</v>
      </c>
      <c r="C56" s="3" t="s">
        <v>786</v>
      </c>
    </row>
    <row r="57" spans="1:36" x14ac:dyDescent="0.25">
      <c r="A57" s="3" t="s">
        <v>748</v>
      </c>
      <c r="B57" s="3" t="s">
        <v>365</v>
      </c>
      <c r="C57" s="3" t="s">
        <v>787</v>
      </c>
    </row>
    <row r="58" spans="1:36" x14ac:dyDescent="0.25">
      <c r="A58" s="3" t="s">
        <v>788</v>
      </c>
      <c r="B58" s="3" t="s">
        <v>588</v>
      </c>
      <c r="C58" s="3" t="s">
        <v>2253</v>
      </c>
    </row>
  </sheetData>
  <mergeCells count="4">
    <mergeCell ref="A1:C1"/>
    <mergeCell ref="E1:K1"/>
    <mergeCell ref="P1:V1"/>
    <mergeCell ref="AA1:AG1"/>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7D1D6-3577-497F-BFCD-37DC30A20610}">
  <sheetPr codeName="Sheet7"/>
  <dimension ref="A1:G49"/>
  <sheetViews>
    <sheetView workbookViewId="0"/>
  </sheetViews>
  <sheetFormatPr defaultRowHeight="15" x14ac:dyDescent="0.25"/>
  <sheetData>
    <row r="1" spans="1:7" x14ac:dyDescent="0.25">
      <c r="A1" t="s">
        <v>24</v>
      </c>
      <c r="C1" t="str">
        <f>_xlfn.LET(_xlpm.v,IFERROR(--C$3:C$49,0),IF(SUMPRODUCT(--(_xlpm.v&lt;&gt;0))=0,"",SUM(_xlpm.v)))</f>
        <v/>
      </c>
      <c r="D1" t="str">
        <f>_xlfn.LET(_xlpm.v,IFERROR(--D$3:D$49,0),IF(SUMPRODUCT(--(_xlpm.v&lt;&gt;0))=0,"",SUM(_xlpm.v)))</f>
        <v/>
      </c>
      <c r="E1" t="str">
        <f>_xlfn.LET(_xlpm.v,IFERROR(--E$3:E$49,0),IF(SUMPRODUCT(--(_xlpm.v&lt;&gt;0))=0,"",SUM(_xlpm.v)))</f>
        <v/>
      </c>
      <c r="F1" t="str">
        <f>_xlfn.LET(_xlpm.v,IFERROR(--F$3:F$49,0),IF(SUMPRODUCT(--(_xlpm.v&lt;&gt;0))=0,"",SUM(_xlpm.v)))</f>
        <v/>
      </c>
      <c r="G1" t="str">
        <f>_xlfn.LET(_xlpm.v,IFERROR(--G$3:G$49,0),IF(SUMPRODUCT(--(_xlpm.v&lt;&gt;0))=0,"",SUM(_xlpm.v)))</f>
        <v/>
      </c>
    </row>
    <row r="2" spans="1:7" x14ac:dyDescent="0.25">
      <c r="A2" t="s">
        <v>18</v>
      </c>
      <c r="B2" t="s">
        <v>6</v>
      </c>
      <c r="C2" t="s">
        <v>19</v>
      </c>
      <c r="D2" t="s">
        <v>20</v>
      </c>
      <c r="E2" t="s">
        <v>21</v>
      </c>
      <c r="F2" t="s">
        <v>25</v>
      </c>
      <c r="G2" t="s">
        <v>26</v>
      </c>
    </row>
    <row r="3" spans="1:7" x14ac:dyDescent="0.25">
      <c r="A3">
        <v>1</v>
      </c>
      <c r="B3" t="str">
        <f t="shared" ref="B3:B49" si="0">IF($A3=1,"S"&amp;TEXT(ROW()-2,"00"),"")</f>
        <v>S01</v>
      </c>
      <c r="C3">
        <f t="shared" ref="C3:C49" ca="1" si="1">_xlfn.LET(_xlpm.sh,IFERROR(MID($B3,SEARCH("S",$B3),3),$B3),IF($B3="","",IFERROR(SUMIFS(INDIRECT("'"&amp;_xlpm.sh&amp;"'!N3:N300"),INDIRECT("'"&amp;_xlpm.sh&amp;"'!F3:F300"),"&lt;&gt;",INDIRECT("'"&amp;_xlpm.sh&amp;"'!H3:H300"),"&lt;&gt;"),0)))</f>
        <v>149</v>
      </c>
      <c r="D3">
        <f t="shared" ref="D3:D49" ca="1" si="2">_xlfn.LET(_xlpm.sh,IFERROR(MID($B3,SEARCH("S",$B3),3),$B3),IF($B3="","",IFERROR(SUMIFS(INDIRECT("'"&amp;_xlpm.sh&amp;"'!Y3:Y300"),INDIRECT("'"&amp;_xlpm.sh&amp;"'!Q3:Q300"),"&lt;&gt;",INDIRECT("'"&amp;_xlpm.sh&amp;"'!S3:S300"),"&lt;&gt;"),0)))</f>
        <v>315</v>
      </c>
      <c r="E3">
        <f t="shared" ref="E3:E49" ca="1" si="3">_xlfn.LET(_xlpm.sh,IFERROR(MID($B3,SEARCH("S",$B3),3),$B3),IF($B3="","",IFERROR(SUMIFS(INDIRECT("'"&amp;_xlpm.sh&amp;"'!AJ3:AJ300"),INDIRECT("'"&amp;_xlpm.sh&amp;"'!AB3:AB300"),"&lt;&gt;",INDIRECT("'"&amp;_xlpm.sh&amp;"'!AD3:AD300"),"&lt;&gt;"),0)))</f>
        <v>3800</v>
      </c>
      <c r="F3">
        <f t="shared" ref="F3:F49" ca="1" si="4">IF($B3="","",C3+D3+E3)</f>
        <v>4264</v>
      </c>
      <c r="G3">
        <f t="shared" ref="G3:G49" ca="1" si="5">IF($A3=1,$F3,0)</f>
        <v>4264</v>
      </c>
    </row>
    <row r="4" spans="1:7" x14ac:dyDescent="0.25">
      <c r="A4">
        <v>1</v>
      </c>
      <c r="B4" t="str">
        <f t="shared" si="0"/>
        <v>S02</v>
      </c>
      <c r="C4">
        <f t="shared" ca="1" si="1"/>
        <v>0</v>
      </c>
      <c r="D4">
        <f t="shared" ca="1" si="2"/>
        <v>0</v>
      </c>
      <c r="E4">
        <f t="shared" ca="1" si="3"/>
        <v>0</v>
      </c>
      <c r="F4">
        <f t="shared" ca="1" si="4"/>
        <v>0</v>
      </c>
      <c r="G4">
        <f t="shared" ca="1" si="5"/>
        <v>0</v>
      </c>
    </row>
    <row r="5" spans="1:7" x14ac:dyDescent="0.25">
      <c r="A5">
        <v>1</v>
      </c>
      <c r="B5" t="str">
        <f t="shared" si="0"/>
        <v>S03</v>
      </c>
      <c r="C5">
        <f t="shared" ca="1" si="1"/>
        <v>0</v>
      </c>
      <c r="D5">
        <f t="shared" ca="1" si="2"/>
        <v>2250</v>
      </c>
      <c r="E5">
        <f t="shared" ca="1" si="3"/>
        <v>0</v>
      </c>
      <c r="F5">
        <f t="shared" ca="1" si="4"/>
        <v>2250</v>
      </c>
      <c r="G5">
        <f t="shared" ca="1" si="5"/>
        <v>2250</v>
      </c>
    </row>
    <row r="6" spans="1:7" x14ac:dyDescent="0.25">
      <c r="B6" t="str">
        <f t="shared" si="0"/>
        <v/>
      </c>
      <c r="C6" t="str">
        <f t="shared" ca="1" si="1"/>
        <v/>
      </c>
      <c r="D6" t="str">
        <f t="shared" ca="1" si="2"/>
        <v/>
      </c>
      <c r="E6" t="str">
        <f t="shared" ca="1" si="3"/>
        <v/>
      </c>
      <c r="F6" t="str">
        <f t="shared" si="4"/>
        <v/>
      </c>
      <c r="G6">
        <f t="shared" si="5"/>
        <v>0</v>
      </c>
    </row>
    <row r="7" spans="1:7" x14ac:dyDescent="0.25">
      <c r="B7" t="str">
        <f t="shared" si="0"/>
        <v/>
      </c>
      <c r="C7" t="str">
        <f t="shared" ca="1" si="1"/>
        <v/>
      </c>
      <c r="D7" t="str">
        <f t="shared" ca="1" si="2"/>
        <v/>
      </c>
      <c r="E7" t="str">
        <f t="shared" ca="1" si="3"/>
        <v/>
      </c>
      <c r="F7" t="str">
        <f t="shared" si="4"/>
        <v/>
      </c>
      <c r="G7">
        <f t="shared" si="5"/>
        <v>0</v>
      </c>
    </row>
    <row r="8" spans="1:7" x14ac:dyDescent="0.25">
      <c r="B8" t="str">
        <f t="shared" si="0"/>
        <v/>
      </c>
      <c r="C8" t="str">
        <f t="shared" ca="1" si="1"/>
        <v/>
      </c>
      <c r="D8" t="str">
        <f t="shared" ca="1" si="2"/>
        <v/>
      </c>
      <c r="E8" t="str">
        <f t="shared" ca="1" si="3"/>
        <v/>
      </c>
      <c r="F8" t="str">
        <f t="shared" si="4"/>
        <v/>
      </c>
      <c r="G8">
        <f t="shared" si="5"/>
        <v>0</v>
      </c>
    </row>
    <row r="9" spans="1:7" x14ac:dyDescent="0.25">
      <c r="B9" t="str">
        <f t="shared" si="0"/>
        <v/>
      </c>
      <c r="C9" t="str">
        <f t="shared" ca="1" si="1"/>
        <v/>
      </c>
      <c r="D9" t="str">
        <f t="shared" ca="1" si="2"/>
        <v/>
      </c>
      <c r="E9" t="str">
        <f t="shared" ca="1" si="3"/>
        <v/>
      </c>
      <c r="F9" t="str">
        <f t="shared" si="4"/>
        <v/>
      </c>
      <c r="G9">
        <f t="shared" si="5"/>
        <v>0</v>
      </c>
    </row>
    <row r="10" spans="1:7" x14ac:dyDescent="0.25">
      <c r="B10" t="str">
        <f t="shared" si="0"/>
        <v/>
      </c>
      <c r="C10" t="str">
        <f t="shared" ca="1" si="1"/>
        <v/>
      </c>
      <c r="D10" t="str">
        <f t="shared" ca="1" si="2"/>
        <v/>
      </c>
      <c r="E10" t="str">
        <f t="shared" ca="1" si="3"/>
        <v/>
      </c>
      <c r="F10" t="str">
        <f t="shared" si="4"/>
        <v/>
      </c>
      <c r="G10">
        <f t="shared" si="5"/>
        <v>0</v>
      </c>
    </row>
    <row r="11" spans="1:7" x14ac:dyDescent="0.25">
      <c r="B11" t="str">
        <f t="shared" si="0"/>
        <v/>
      </c>
      <c r="C11" t="str">
        <f t="shared" ca="1" si="1"/>
        <v/>
      </c>
      <c r="D11" t="str">
        <f t="shared" ca="1" si="2"/>
        <v/>
      </c>
      <c r="E11" t="str">
        <f t="shared" ca="1" si="3"/>
        <v/>
      </c>
      <c r="F11" t="str">
        <f t="shared" si="4"/>
        <v/>
      </c>
      <c r="G11">
        <f t="shared" si="5"/>
        <v>0</v>
      </c>
    </row>
    <row r="12" spans="1:7" x14ac:dyDescent="0.25">
      <c r="B12" t="str">
        <f t="shared" si="0"/>
        <v/>
      </c>
      <c r="C12" t="str">
        <f t="shared" ca="1" si="1"/>
        <v/>
      </c>
      <c r="D12" t="str">
        <f t="shared" ca="1" si="2"/>
        <v/>
      </c>
      <c r="E12" t="str">
        <f t="shared" ca="1" si="3"/>
        <v/>
      </c>
      <c r="F12" t="str">
        <f t="shared" si="4"/>
        <v/>
      </c>
      <c r="G12">
        <f t="shared" si="5"/>
        <v>0</v>
      </c>
    </row>
    <row r="13" spans="1:7" x14ac:dyDescent="0.25">
      <c r="B13" t="str">
        <f t="shared" si="0"/>
        <v/>
      </c>
      <c r="C13" t="str">
        <f t="shared" ca="1" si="1"/>
        <v/>
      </c>
      <c r="D13" t="str">
        <f t="shared" ca="1" si="2"/>
        <v/>
      </c>
      <c r="E13" t="str">
        <f t="shared" ca="1" si="3"/>
        <v/>
      </c>
      <c r="F13" t="str">
        <f t="shared" si="4"/>
        <v/>
      </c>
      <c r="G13">
        <f t="shared" si="5"/>
        <v>0</v>
      </c>
    </row>
    <row r="14" spans="1:7" x14ac:dyDescent="0.25">
      <c r="B14" t="str">
        <f t="shared" si="0"/>
        <v/>
      </c>
      <c r="C14" t="str">
        <f t="shared" ca="1" si="1"/>
        <v/>
      </c>
      <c r="D14" t="str">
        <f t="shared" ca="1" si="2"/>
        <v/>
      </c>
      <c r="E14" t="str">
        <f t="shared" ca="1" si="3"/>
        <v/>
      </c>
      <c r="F14" t="str">
        <f t="shared" si="4"/>
        <v/>
      </c>
      <c r="G14">
        <f t="shared" si="5"/>
        <v>0</v>
      </c>
    </row>
    <row r="15" spans="1:7" x14ac:dyDescent="0.25">
      <c r="B15" t="str">
        <f t="shared" si="0"/>
        <v/>
      </c>
      <c r="C15" t="str">
        <f t="shared" ca="1" si="1"/>
        <v/>
      </c>
      <c r="D15" t="str">
        <f t="shared" ca="1" si="2"/>
        <v/>
      </c>
      <c r="E15" t="str">
        <f t="shared" ca="1" si="3"/>
        <v/>
      </c>
      <c r="F15" t="str">
        <f t="shared" si="4"/>
        <v/>
      </c>
      <c r="G15">
        <f t="shared" si="5"/>
        <v>0</v>
      </c>
    </row>
    <row r="16" spans="1:7" x14ac:dyDescent="0.25">
      <c r="B16" t="str">
        <f t="shared" si="0"/>
        <v/>
      </c>
      <c r="C16" t="str">
        <f t="shared" ca="1" si="1"/>
        <v/>
      </c>
      <c r="D16" t="str">
        <f t="shared" ca="1" si="2"/>
        <v/>
      </c>
      <c r="E16" t="str">
        <f t="shared" ca="1" si="3"/>
        <v/>
      </c>
      <c r="F16" t="str">
        <f t="shared" si="4"/>
        <v/>
      </c>
      <c r="G16">
        <f t="shared" si="5"/>
        <v>0</v>
      </c>
    </row>
    <row r="17" spans="2:7" x14ac:dyDescent="0.25">
      <c r="B17" t="str">
        <f t="shared" si="0"/>
        <v/>
      </c>
      <c r="C17" t="str">
        <f t="shared" ca="1" si="1"/>
        <v/>
      </c>
      <c r="D17" t="str">
        <f t="shared" ca="1" si="2"/>
        <v/>
      </c>
      <c r="E17" t="str">
        <f t="shared" ca="1" si="3"/>
        <v/>
      </c>
      <c r="F17" t="str">
        <f t="shared" si="4"/>
        <v/>
      </c>
      <c r="G17">
        <f t="shared" si="5"/>
        <v>0</v>
      </c>
    </row>
    <row r="18" spans="2:7" x14ac:dyDescent="0.25">
      <c r="B18" t="str">
        <f t="shared" si="0"/>
        <v/>
      </c>
      <c r="C18" t="str">
        <f t="shared" ca="1" si="1"/>
        <v/>
      </c>
      <c r="D18" t="str">
        <f t="shared" ca="1" si="2"/>
        <v/>
      </c>
      <c r="E18" t="str">
        <f t="shared" ca="1" si="3"/>
        <v/>
      </c>
      <c r="F18" t="str">
        <f t="shared" si="4"/>
        <v/>
      </c>
      <c r="G18">
        <f t="shared" si="5"/>
        <v>0</v>
      </c>
    </row>
    <row r="19" spans="2:7" x14ac:dyDescent="0.25">
      <c r="B19" t="str">
        <f t="shared" si="0"/>
        <v/>
      </c>
      <c r="C19" t="str">
        <f t="shared" ca="1" si="1"/>
        <v/>
      </c>
      <c r="D19" t="str">
        <f t="shared" ca="1" si="2"/>
        <v/>
      </c>
      <c r="E19" t="str">
        <f t="shared" ca="1" si="3"/>
        <v/>
      </c>
      <c r="F19" t="str">
        <f t="shared" si="4"/>
        <v/>
      </c>
      <c r="G19">
        <f t="shared" si="5"/>
        <v>0</v>
      </c>
    </row>
    <row r="20" spans="2:7" x14ac:dyDescent="0.25">
      <c r="B20" t="str">
        <f t="shared" si="0"/>
        <v/>
      </c>
      <c r="C20" t="str">
        <f t="shared" ca="1" si="1"/>
        <v/>
      </c>
      <c r="D20" t="str">
        <f t="shared" ca="1" si="2"/>
        <v/>
      </c>
      <c r="E20" t="str">
        <f t="shared" ca="1" si="3"/>
        <v/>
      </c>
      <c r="F20" t="str">
        <f t="shared" si="4"/>
        <v/>
      </c>
      <c r="G20">
        <f t="shared" si="5"/>
        <v>0</v>
      </c>
    </row>
    <row r="21" spans="2:7" x14ac:dyDescent="0.25">
      <c r="B21" t="str">
        <f t="shared" si="0"/>
        <v/>
      </c>
      <c r="C21" t="str">
        <f t="shared" ca="1" si="1"/>
        <v/>
      </c>
      <c r="D21" t="str">
        <f t="shared" ca="1" si="2"/>
        <v/>
      </c>
      <c r="E21" t="str">
        <f t="shared" ca="1" si="3"/>
        <v/>
      </c>
      <c r="F21" t="str">
        <f t="shared" si="4"/>
        <v/>
      </c>
      <c r="G21">
        <f t="shared" si="5"/>
        <v>0</v>
      </c>
    </row>
    <row r="22" spans="2:7" x14ac:dyDescent="0.25">
      <c r="B22" t="str">
        <f t="shared" si="0"/>
        <v/>
      </c>
      <c r="C22" t="str">
        <f t="shared" ca="1" si="1"/>
        <v/>
      </c>
      <c r="D22" t="str">
        <f t="shared" ca="1" si="2"/>
        <v/>
      </c>
      <c r="E22" t="str">
        <f t="shared" ca="1" si="3"/>
        <v/>
      </c>
      <c r="F22" t="str">
        <f t="shared" si="4"/>
        <v/>
      </c>
      <c r="G22">
        <f t="shared" si="5"/>
        <v>0</v>
      </c>
    </row>
    <row r="23" spans="2:7" x14ac:dyDescent="0.25">
      <c r="B23" t="str">
        <f t="shared" si="0"/>
        <v/>
      </c>
      <c r="C23" t="str">
        <f t="shared" ca="1" si="1"/>
        <v/>
      </c>
      <c r="D23" t="str">
        <f t="shared" ca="1" si="2"/>
        <v/>
      </c>
      <c r="E23" t="str">
        <f t="shared" ca="1" si="3"/>
        <v/>
      </c>
      <c r="F23" t="str">
        <f t="shared" si="4"/>
        <v/>
      </c>
      <c r="G23">
        <f t="shared" si="5"/>
        <v>0</v>
      </c>
    </row>
    <row r="24" spans="2:7" x14ac:dyDescent="0.25">
      <c r="B24" t="str">
        <f t="shared" si="0"/>
        <v/>
      </c>
      <c r="C24" t="str">
        <f t="shared" ca="1" si="1"/>
        <v/>
      </c>
      <c r="D24" t="str">
        <f t="shared" ca="1" si="2"/>
        <v/>
      </c>
      <c r="E24" t="str">
        <f t="shared" ca="1" si="3"/>
        <v/>
      </c>
      <c r="F24" t="str">
        <f t="shared" si="4"/>
        <v/>
      </c>
      <c r="G24">
        <f t="shared" si="5"/>
        <v>0</v>
      </c>
    </row>
    <row r="25" spans="2:7" x14ac:dyDescent="0.25">
      <c r="B25" t="str">
        <f t="shared" si="0"/>
        <v/>
      </c>
      <c r="C25" t="str">
        <f t="shared" ca="1" si="1"/>
        <v/>
      </c>
      <c r="D25" t="str">
        <f t="shared" ca="1" si="2"/>
        <v/>
      </c>
      <c r="E25" t="str">
        <f t="shared" ca="1" si="3"/>
        <v/>
      </c>
      <c r="F25" t="str">
        <f t="shared" si="4"/>
        <v/>
      </c>
      <c r="G25">
        <f t="shared" si="5"/>
        <v>0</v>
      </c>
    </row>
    <row r="26" spans="2:7" x14ac:dyDescent="0.25">
      <c r="B26" t="str">
        <f t="shared" si="0"/>
        <v/>
      </c>
      <c r="C26" t="str">
        <f t="shared" ca="1" si="1"/>
        <v/>
      </c>
      <c r="D26" t="str">
        <f t="shared" ca="1" si="2"/>
        <v/>
      </c>
      <c r="E26" t="str">
        <f t="shared" ca="1" si="3"/>
        <v/>
      </c>
      <c r="F26" t="str">
        <f t="shared" si="4"/>
        <v/>
      </c>
      <c r="G26">
        <f t="shared" si="5"/>
        <v>0</v>
      </c>
    </row>
    <row r="27" spans="2:7" x14ac:dyDescent="0.25">
      <c r="B27" t="str">
        <f t="shared" si="0"/>
        <v/>
      </c>
      <c r="C27" t="str">
        <f t="shared" ca="1" si="1"/>
        <v/>
      </c>
      <c r="D27" t="str">
        <f t="shared" ca="1" si="2"/>
        <v/>
      </c>
      <c r="E27" t="str">
        <f t="shared" ca="1" si="3"/>
        <v/>
      </c>
      <c r="F27" t="str">
        <f t="shared" si="4"/>
        <v/>
      </c>
      <c r="G27">
        <f t="shared" si="5"/>
        <v>0</v>
      </c>
    </row>
    <row r="28" spans="2:7" x14ac:dyDescent="0.25">
      <c r="B28" t="str">
        <f t="shared" si="0"/>
        <v/>
      </c>
      <c r="C28" t="str">
        <f t="shared" ca="1" si="1"/>
        <v/>
      </c>
      <c r="D28" t="str">
        <f t="shared" ca="1" si="2"/>
        <v/>
      </c>
      <c r="E28" t="str">
        <f t="shared" ca="1" si="3"/>
        <v/>
      </c>
      <c r="F28" t="str">
        <f t="shared" si="4"/>
        <v/>
      </c>
      <c r="G28">
        <f t="shared" si="5"/>
        <v>0</v>
      </c>
    </row>
    <row r="29" spans="2:7" x14ac:dyDescent="0.25">
      <c r="B29" t="str">
        <f t="shared" si="0"/>
        <v/>
      </c>
      <c r="C29" t="str">
        <f t="shared" ca="1" si="1"/>
        <v/>
      </c>
      <c r="D29" t="str">
        <f t="shared" ca="1" si="2"/>
        <v/>
      </c>
      <c r="E29" t="str">
        <f t="shared" ca="1" si="3"/>
        <v/>
      </c>
      <c r="F29" t="str">
        <f t="shared" si="4"/>
        <v/>
      </c>
      <c r="G29">
        <f t="shared" si="5"/>
        <v>0</v>
      </c>
    </row>
    <row r="30" spans="2:7" x14ac:dyDescent="0.25">
      <c r="B30" t="str">
        <f t="shared" si="0"/>
        <v/>
      </c>
      <c r="C30" t="str">
        <f t="shared" ca="1" si="1"/>
        <v/>
      </c>
      <c r="D30" t="str">
        <f t="shared" ca="1" si="2"/>
        <v/>
      </c>
      <c r="E30" t="str">
        <f t="shared" ca="1" si="3"/>
        <v/>
      </c>
      <c r="F30" t="str">
        <f t="shared" si="4"/>
        <v/>
      </c>
      <c r="G30">
        <f t="shared" si="5"/>
        <v>0</v>
      </c>
    </row>
    <row r="31" spans="2:7" x14ac:dyDescent="0.25">
      <c r="B31" t="str">
        <f t="shared" si="0"/>
        <v/>
      </c>
      <c r="C31" t="str">
        <f t="shared" ca="1" si="1"/>
        <v/>
      </c>
      <c r="D31" t="str">
        <f t="shared" ca="1" si="2"/>
        <v/>
      </c>
      <c r="E31" t="str">
        <f t="shared" ca="1" si="3"/>
        <v/>
      </c>
      <c r="F31" t="str">
        <f t="shared" si="4"/>
        <v/>
      </c>
      <c r="G31">
        <f t="shared" si="5"/>
        <v>0</v>
      </c>
    </row>
    <row r="32" spans="2:7" x14ac:dyDescent="0.25">
      <c r="B32" t="str">
        <f t="shared" si="0"/>
        <v/>
      </c>
      <c r="C32" t="str">
        <f t="shared" ca="1" si="1"/>
        <v/>
      </c>
      <c r="D32" t="str">
        <f t="shared" ca="1" si="2"/>
        <v/>
      </c>
      <c r="E32" t="str">
        <f t="shared" ca="1" si="3"/>
        <v/>
      </c>
      <c r="F32" t="str">
        <f t="shared" si="4"/>
        <v/>
      </c>
      <c r="G32">
        <f t="shared" si="5"/>
        <v>0</v>
      </c>
    </row>
    <row r="33" spans="2:7" x14ac:dyDescent="0.25">
      <c r="B33" t="str">
        <f t="shared" si="0"/>
        <v/>
      </c>
      <c r="C33" t="str">
        <f t="shared" ca="1" si="1"/>
        <v/>
      </c>
      <c r="D33" t="str">
        <f t="shared" ca="1" si="2"/>
        <v/>
      </c>
      <c r="E33" t="str">
        <f t="shared" ca="1" si="3"/>
        <v/>
      </c>
      <c r="F33" t="str">
        <f t="shared" si="4"/>
        <v/>
      </c>
      <c r="G33">
        <f t="shared" si="5"/>
        <v>0</v>
      </c>
    </row>
    <row r="34" spans="2:7" x14ac:dyDescent="0.25">
      <c r="B34" t="str">
        <f t="shared" si="0"/>
        <v/>
      </c>
      <c r="C34" t="str">
        <f t="shared" ca="1" si="1"/>
        <v/>
      </c>
      <c r="D34" t="str">
        <f t="shared" ca="1" si="2"/>
        <v/>
      </c>
      <c r="E34" t="str">
        <f t="shared" ca="1" si="3"/>
        <v/>
      </c>
      <c r="F34" t="str">
        <f t="shared" si="4"/>
        <v/>
      </c>
      <c r="G34">
        <f t="shared" si="5"/>
        <v>0</v>
      </c>
    </row>
    <row r="35" spans="2:7" x14ac:dyDescent="0.25">
      <c r="B35" t="str">
        <f t="shared" si="0"/>
        <v/>
      </c>
      <c r="C35" t="str">
        <f t="shared" ca="1" si="1"/>
        <v/>
      </c>
      <c r="D35" t="str">
        <f t="shared" ca="1" si="2"/>
        <v/>
      </c>
      <c r="E35" t="str">
        <f t="shared" ca="1" si="3"/>
        <v/>
      </c>
      <c r="F35" t="str">
        <f t="shared" si="4"/>
        <v/>
      </c>
      <c r="G35">
        <f t="shared" si="5"/>
        <v>0</v>
      </c>
    </row>
    <row r="36" spans="2:7" x14ac:dyDescent="0.25">
      <c r="B36" t="str">
        <f t="shared" si="0"/>
        <v/>
      </c>
      <c r="C36" t="str">
        <f t="shared" ca="1" si="1"/>
        <v/>
      </c>
      <c r="D36" t="str">
        <f t="shared" ca="1" si="2"/>
        <v/>
      </c>
      <c r="E36" t="str">
        <f t="shared" ca="1" si="3"/>
        <v/>
      </c>
      <c r="F36" t="str">
        <f t="shared" si="4"/>
        <v/>
      </c>
      <c r="G36">
        <f t="shared" si="5"/>
        <v>0</v>
      </c>
    </row>
    <row r="37" spans="2:7" x14ac:dyDescent="0.25">
      <c r="B37" t="str">
        <f t="shared" si="0"/>
        <v/>
      </c>
      <c r="C37" t="str">
        <f t="shared" ca="1" si="1"/>
        <v/>
      </c>
      <c r="D37" t="str">
        <f t="shared" ca="1" si="2"/>
        <v/>
      </c>
      <c r="E37" t="str">
        <f t="shared" ca="1" si="3"/>
        <v/>
      </c>
      <c r="F37" t="str">
        <f t="shared" si="4"/>
        <v/>
      </c>
      <c r="G37">
        <f t="shared" si="5"/>
        <v>0</v>
      </c>
    </row>
    <row r="38" spans="2:7" x14ac:dyDescent="0.25">
      <c r="B38" t="str">
        <f t="shared" si="0"/>
        <v/>
      </c>
      <c r="C38" t="str">
        <f t="shared" ca="1" si="1"/>
        <v/>
      </c>
      <c r="D38" t="str">
        <f t="shared" ca="1" si="2"/>
        <v/>
      </c>
      <c r="E38" t="str">
        <f t="shared" ca="1" si="3"/>
        <v/>
      </c>
      <c r="F38" t="str">
        <f t="shared" si="4"/>
        <v/>
      </c>
      <c r="G38">
        <f t="shared" si="5"/>
        <v>0</v>
      </c>
    </row>
    <row r="39" spans="2:7" x14ac:dyDescent="0.25">
      <c r="B39" t="str">
        <f t="shared" si="0"/>
        <v/>
      </c>
      <c r="C39" t="str">
        <f t="shared" ca="1" si="1"/>
        <v/>
      </c>
      <c r="D39" t="str">
        <f t="shared" ca="1" si="2"/>
        <v/>
      </c>
      <c r="E39" t="str">
        <f t="shared" ca="1" si="3"/>
        <v/>
      </c>
      <c r="F39" t="str">
        <f t="shared" si="4"/>
        <v/>
      </c>
      <c r="G39">
        <f t="shared" si="5"/>
        <v>0</v>
      </c>
    </row>
    <row r="40" spans="2:7" x14ac:dyDescent="0.25">
      <c r="B40" t="str">
        <f t="shared" si="0"/>
        <v/>
      </c>
      <c r="C40" t="str">
        <f t="shared" ca="1" si="1"/>
        <v/>
      </c>
      <c r="D40" t="str">
        <f t="shared" ca="1" si="2"/>
        <v/>
      </c>
      <c r="E40" t="str">
        <f t="shared" ca="1" si="3"/>
        <v/>
      </c>
      <c r="F40" t="str">
        <f t="shared" si="4"/>
        <v/>
      </c>
      <c r="G40">
        <f t="shared" si="5"/>
        <v>0</v>
      </c>
    </row>
    <row r="41" spans="2:7" x14ac:dyDescent="0.25">
      <c r="B41" t="str">
        <f t="shared" si="0"/>
        <v/>
      </c>
      <c r="C41" t="str">
        <f t="shared" ca="1" si="1"/>
        <v/>
      </c>
      <c r="D41" t="str">
        <f t="shared" ca="1" si="2"/>
        <v/>
      </c>
      <c r="E41" t="str">
        <f t="shared" ca="1" si="3"/>
        <v/>
      </c>
      <c r="F41" t="str">
        <f t="shared" si="4"/>
        <v/>
      </c>
      <c r="G41">
        <f t="shared" si="5"/>
        <v>0</v>
      </c>
    </row>
    <row r="42" spans="2:7" x14ac:dyDescent="0.25">
      <c r="B42" t="str">
        <f t="shared" si="0"/>
        <v/>
      </c>
      <c r="C42" t="str">
        <f t="shared" ca="1" si="1"/>
        <v/>
      </c>
      <c r="D42" t="str">
        <f t="shared" ca="1" si="2"/>
        <v/>
      </c>
      <c r="E42" t="str">
        <f t="shared" ca="1" si="3"/>
        <v/>
      </c>
      <c r="F42" t="str">
        <f t="shared" si="4"/>
        <v/>
      </c>
      <c r="G42">
        <f t="shared" si="5"/>
        <v>0</v>
      </c>
    </row>
    <row r="43" spans="2:7" x14ac:dyDescent="0.25">
      <c r="B43" t="str">
        <f t="shared" si="0"/>
        <v/>
      </c>
      <c r="C43" t="str">
        <f t="shared" ca="1" si="1"/>
        <v/>
      </c>
      <c r="D43" t="str">
        <f t="shared" ca="1" si="2"/>
        <v/>
      </c>
      <c r="E43" t="str">
        <f t="shared" ca="1" si="3"/>
        <v/>
      </c>
      <c r="F43" t="str">
        <f t="shared" si="4"/>
        <v/>
      </c>
      <c r="G43">
        <f t="shared" si="5"/>
        <v>0</v>
      </c>
    </row>
    <row r="44" spans="2:7" x14ac:dyDescent="0.25">
      <c r="B44" t="str">
        <f t="shared" si="0"/>
        <v/>
      </c>
      <c r="C44" t="str">
        <f t="shared" ca="1" si="1"/>
        <v/>
      </c>
      <c r="D44" t="str">
        <f t="shared" ca="1" si="2"/>
        <v/>
      </c>
      <c r="E44" t="str">
        <f t="shared" ca="1" si="3"/>
        <v/>
      </c>
      <c r="F44" t="str">
        <f t="shared" si="4"/>
        <v/>
      </c>
      <c r="G44">
        <f t="shared" si="5"/>
        <v>0</v>
      </c>
    </row>
    <row r="45" spans="2:7" x14ac:dyDescent="0.25">
      <c r="B45" t="str">
        <f t="shared" si="0"/>
        <v/>
      </c>
      <c r="C45" t="str">
        <f t="shared" ca="1" si="1"/>
        <v/>
      </c>
      <c r="D45" t="str">
        <f t="shared" ca="1" si="2"/>
        <v/>
      </c>
      <c r="E45" t="str">
        <f t="shared" ca="1" si="3"/>
        <v/>
      </c>
      <c r="F45" t="str">
        <f t="shared" si="4"/>
        <v/>
      </c>
      <c r="G45">
        <f t="shared" si="5"/>
        <v>0</v>
      </c>
    </row>
    <row r="46" spans="2:7" x14ac:dyDescent="0.25">
      <c r="B46" t="str">
        <f t="shared" si="0"/>
        <v/>
      </c>
      <c r="C46" t="str">
        <f t="shared" ca="1" si="1"/>
        <v/>
      </c>
      <c r="D46" t="str">
        <f t="shared" ca="1" si="2"/>
        <v/>
      </c>
      <c r="E46" t="str">
        <f t="shared" ca="1" si="3"/>
        <v/>
      </c>
      <c r="F46" t="str">
        <f t="shared" si="4"/>
        <v/>
      </c>
      <c r="G46">
        <f t="shared" si="5"/>
        <v>0</v>
      </c>
    </row>
    <row r="47" spans="2:7" x14ac:dyDescent="0.25">
      <c r="B47" t="str">
        <f t="shared" si="0"/>
        <v/>
      </c>
      <c r="C47" t="str">
        <f t="shared" ca="1" si="1"/>
        <v/>
      </c>
      <c r="D47" t="str">
        <f t="shared" ca="1" si="2"/>
        <v/>
      </c>
      <c r="E47" t="str">
        <f t="shared" ca="1" si="3"/>
        <v/>
      </c>
      <c r="F47" t="str">
        <f t="shared" si="4"/>
        <v/>
      </c>
      <c r="G47">
        <f t="shared" si="5"/>
        <v>0</v>
      </c>
    </row>
    <row r="48" spans="2:7" x14ac:dyDescent="0.25">
      <c r="B48" t="str">
        <f t="shared" si="0"/>
        <v/>
      </c>
      <c r="C48" t="str">
        <f t="shared" ca="1" si="1"/>
        <v/>
      </c>
      <c r="D48" t="str">
        <f t="shared" ca="1" si="2"/>
        <v/>
      </c>
      <c r="E48" t="str">
        <f t="shared" ca="1" si="3"/>
        <v/>
      </c>
      <c r="F48" t="str">
        <f t="shared" si="4"/>
        <v/>
      </c>
      <c r="G48">
        <f t="shared" si="5"/>
        <v>0</v>
      </c>
    </row>
    <row r="49" spans="2:7" x14ac:dyDescent="0.25">
      <c r="B49" t="str">
        <f t="shared" si="0"/>
        <v/>
      </c>
      <c r="C49" t="str">
        <f t="shared" ca="1" si="1"/>
        <v/>
      </c>
      <c r="D49" t="str">
        <f t="shared" ca="1" si="2"/>
        <v/>
      </c>
      <c r="E49" t="str">
        <f t="shared" ca="1" si="3"/>
        <v/>
      </c>
      <c r="F49" t="str">
        <f t="shared" si="4"/>
        <v/>
      </c>
      <c r="G49">
        <f t="shared" si="5"/>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SummaryHelper</vt:lpstr>
      <vt:lpstr>Purchase</vt:lpstr>
      <vt:lpstr>Search</vt:lpstr>
      <vt:lpstr>Button</vt:lpstr>
      <vt:lpstr>README</vt:lpstr>
      <vt:lpstr>ProcurementHelper</vt:lpstr>
      <vt:lpstr>Procurement</vt:lpstr>
      <vt:lpstr>Summary</vt:lpstr>
      <vt:lpstr>S01</vt:lpstr>
      <vt:lpstr>S02</vt:lpstr>
      <vt:lpstr>S03</vt:lpstr>
      <vt:lpstr>S04</vt:lpstr>
      <vt:lpstr>S05</vt:lpstr>
      <vt:lpstr>S06</vt:lpstr>
      <vt:lpstr>S07</vt:lpstr>
      <vt:lpstr>S08</vt:lpstr>
      <vt:lpstr>S09</vt:lpstr>
      <vt:lpstr>S10</vt:lpstr>
      <vt:lpstr>S11</vt:lpstr>
      <vt:lpstr>S12</vt:lpstr>
      <vt:lpstr>S13</vt:lpstr>
      <vt:lpstr>S14</vt:lpstr>
      <vt:lpstr>S15</vt:lpstr>
      <vt:lpstr>S16</vt:lpstr>
      <vt:lpstr>S17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 Din</dc:creator>
  <cp:lastModifiedBy>Pa` Din</cp:lastModifiedBy>
  <dcterms:created xsi:type="dcterms:W3CDTF">2015-06-05T18:17:20Z</dcterms:created>
  <dcterms:modified xsi:type="dcterms:W3CDTF">2026-04-01T13:21:30Z</dcterms:modified>
</cp:coreProperties>
</file>