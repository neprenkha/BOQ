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BFA92C7A-5249-42D1-90D0-96A16757C16E}" xr6:coauthVersionLast="47" xr6:coauthVersionMax="47" xr10:uidLastSave="{00000000-0000-0000-0000-000000000000}"/>
  <bookViews>
    <workbookView xWindow="57480" yWindow="-120" windowWidth="29040" windowHeight="15840" firstSheet="1" activeTab="4" xr2:uid="{00000000-000D-0000-FFFF-FFFF00000000}"/>
  </bookViews>
  <sheets>
    <sheet name="SummaryHelper" sheetId="46" state="hidden" r:id="rId1"/>
    <sheet name="README" sheetId="16" r:id="rId2"/>
    <sheet name="ProcurementHelper" sheetId="48" state="hidden"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_SummaryBackup" sheetId="29" state="veryHidden" r:id="rId23"/>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a="1"/>
  <c r="W3" i="48" s="1"/>
  <c r="A3" i="48" a="1"/>
  <c r="A3" i="48" s="1"/>
  <c r="L3" i="48" a="1"/>
  <c r="L3" i="48" s="1"/>
  <c r="AN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4" i="12"/>
  <c r="AN5" i="12"/>
  <c r="AN6" i="12"/>
  <c r="AN300" i="12"/>
  <c r="AM1" i="12"/>
  <c r="AM4" i="12"/>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M3" i="12"/>
  <c r="AN3" i="12" s="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 i="12"/>
  <c r="AI4" i="12"/>
  <c r="AI5" i="12"/>
  <c r="AI6" i="12"/>
  <c r="AI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I3" i="12"/>
  <c r="AH4" i="12"/>
  <c r="AH5" i="12"/>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H3" i="12"/>
  <c r="AE3" i="12" a="1"/>
  <c r="AE3" i="12" s="1"/>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1" i="12" s="1"/>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4"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4"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R1" i="12"/>
  <c r="AC3" i="12"/>
  <c r="AB3" i="12"/>
  <c r="Z3" i="12"/>
  <c r="Y3" i="12"/>
  <c r="X3" i="12"/>
  <c r="W3" i="12"/>
  <c r="T3" i="12" a="1"/>
  <c r="T3" i="12" s="1"/>
  <c r="Q4" i="12"/>
  <c r="Q5" i="12"/>
  <c r="Q6" i="12"/>
  <c r="Q7" i="12"/>
  <c r="Q8" i="12"/>
  <c r="Q9" i="12"/>
  <c r="Q10" i="12"/>
  <c r="Q11" i="12"/>
  <c r="Q12" i="12"/>
  <c r="Q13" i="12"/>
  <c r="Q14" i="12"/>
  <c r="Q15" i="12"/>
  <c r="Q16" i="12"/>
  <c r="Q17" i="12"/>
  <c r="Q18" i="12"/>
  <c r="Q19" i="12"/>
  <c r="Q20" i="12"/>
  <c r="Q21" i="12"/>
  <c r="Q22" i="12"/>
  <c r="Q23" i="12"/>
  <c r="R23" i="12" s="1"/>
  <c r="Q24" i="12"/>
  <c r="R24" i="12" s="1"/>
  <c r="Q25" i="12"/>
  <c r="R25" i="12" s="1"/>
  <c r="Q26" i="12"/>
  <c r="R26" i="12" s="1"/>
  <c r="Q27" i="12"/>
  <c r="R27" i="12" s="1"/>
  <c r="Q28" i="12"/>
  <c r="R28" i="12" s="1"/>
  <c r="Q29" i="12"/>
  <c r="R29" i="12" s="1"/>
  <c r="Q30" i="12"/>
  <c r="R30" i="12" s="1"/>
  <c r="Q31" i="12"/>
  <c r="R31" i="12" s="1"/>
  <c r="Q32" i="12"/>
  <c r="R32" i="12" s="1"/>
  <c r="Q33" i="12"/>
  <c r="R33" i="12" s="1"/>
  <c r="Q34" i="12"/>
  <c r="R34" i="12" s="1"/>
  <c r="Q35" i="12"/>
  <c r="R35" i="12" s="1"/>
  <c r="Q36" i="12"/>
  <c r="Q37" i="12"/>
  <c r="Q38" i="12"/>
  <c r="Q39" i="12"/>
  <c r="Q40" i="12"/>
  <c r="Q41" i="12"/>
  <c r="Q42" i="12"/>
  <c r="Q43" i="12"/>
  <c r="Q44" i="12"/>
  <c r="Q45" i="12"/>
  <c r="Q46" i="12"/>
  <c r="Q47" i="12"/>
  <c r="Q48" i="12"/>
  <c r="Q49" i="12"/>
  <c r="Q50" i="12"/>
  <c r="Q51" i="12"/>
  <c r="Q52" i="12"/>
  <c r="Q53" i="12"/>
  <c r="Q54" i="12"/>
  <c r="Q55" i="12"/>
  <c r="Q56" i="12"/>
  <c r="Q57" i="12"/>
  <c r="Q58" i="12"/>
  <c r="Q59" i="12"/>
  <c r="R59" i="12" s="1"/>
  <c r="Q60" i="12"/>
  <c r="Q61" i="12"/>
  <c r="Q62" i="12"/>
  <c r="Q63" i="12"/>
  <c r="Q64" i="12"/>
  <c r="R64" i="12" s="1"/>
  <c r="Q65" i="12"/>
  <c r="Q66" i="12"/>
  <c r="R66" i="12" s="1"/>
  <c r="Q67" i="12"/>
  <c r="Q68" i="12"/>
  <c r="Q69" i="12"/>
  <c r="Q70" i="12"/>
  <c r="Q71" i="12"/>
  <c r="Q72" i="12"/>
  <c r="Q73" i="12"/>
  <c r="Q74" i="12"/>
  <c r="Q75" i="12"/>
  <c r="Q76" i="12"/>
  <c r="Q77" i="12"/>
  <c r="Q78" i="12"/>
  <c r="Q79" i="12"/>
  <c r="Q80" i="12"/>
  <c r="Q81" i="12"/>
  <c r="Q82" i="12"/>
  <c r="Q83" i="12"/>
  <c r="Q84" i="12"/>
  <c r="Q85" i="12"/>
  <c r="Q86" i="12"/>
  <c r="Q87" i="12"/>
  <c r="R87" i="12" s="1"/>
  <c r="Q88" i="12"/>
  <c r="R88" i="12" s="1"/>
  <c r="Q89" i="12"/>
  <c r="R89" i="12" s="1"/>
  <c r="Q90" i="12"/>
  <c r="R90" i="12" s="1"/>
  <c r="Q91" i="12"/>
  <c r="R91" i="12" s="1"/>
  <c r="Q92" i="12"/>
  <c r="R92" i="12" s="1"/>
  <c r="Q93" i="12"/>
  <c r="R93" i="12" s="1"/>
  <c r="Q94" i="12"/>
  <c r="R94" i="12" s="1"/>
  <c r="Q95" i="12"/>
  <c r="R95" i="12" s="1"/>
  <c r="Q96" i="12"/>
  <c r="R96" i="12" s="1"/>
  <c r="Q97" i="12"/>
  <c r="R97" i="12" s="1"/>
  <c r="Q98" i="12"/>
  <c r="R98" i="12" s="1"/>
  <c r="Q99" i="12"/>
  <c r="R99" i="12" s="1"/>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41" i="12"/>
  <c r="R49" i="12"/>
  <c r="R56" i="12"/>
  <c r="R60" i="12"/>
  <c r="R61" i="12"/>
  <c r="R62" i="12"/>
  <c r="R63" i="12"/>
  <c r="R65" i="12"/>
  <c r="R67" i="12"/>
  <c r="R84" i="12"/>
  <c r="R85" i="12"/>
  <c r="R86" i="12"/>
  <c r="R4" i="12"/>
  <c r="R5" i="12"/>
  <c r="R6" i="12"/>
  <c r="R7" i="12"/>
  <c r="R8" i="12"/>
  <c r="R9" i="12"/>
  <c r="R10" i="12"/>
  <c r="R11" i="12"/>
  <c r="R12" i="12"/>
  <c r="R13" i="12"/>
  <c r="R14" i="12"/>
  <c r="R15" i="12"/>
  <c r="R16" i="12"/>
  <c r="R17" i="12"/>
  <c r="R18" i="12"/>
  <c r="R19" i="12"/>
  <c r="R20" i="12"/>
  <c r="R21" i="12"/>
  <c r="R22" i="12"/>
  <c r="R36" i="12"/>
  <c r="R37" i="12"/>
  <c r="R38" i="12"/>
  <c r="R39" i="12"/>
  <c r="R40" i="12"/>
  <c r="R42" i="12"/>
  <c r="R43" i="12"/>
  <c r="R44" i="12"/>
  <c r="R45" i="12"/>
  <c r="R46" i="12"/>
  <c r="R47" i="12"/>
  <c r="R48" i="12"/>
  <c r="R50" i="12"/>
  <c r="R51" i="12"/>
  <c r="R52" i="12"/>
  <c r="R53" i="12"/>
  <c r="R54" i="12"/>
  <c r="R55" i="12"/>
  <c r="R57" i="12"/>
  <c r="R58" i="12"/>
  <c r="R68" i="12"/>
  <c r="R69" i="12"/>
  <c r="R70" i="12"/>
  <c r="R71" i="12"/>
  <c r="R72" i="12"/>
  <c r="R73" i="12"/>
  <c r="R74" i="12"/>
  <c r="R75" i="12"/>
  <c r="R76" i="12"/>
  <c r="R77" i="12"/>
  <c r="R78" i="12"/>
  <c r="R79" i="12"/>
  <c r="R80" i="12"/>
  <c r="R81" i="12"/>
  <c r="R82" i="12"/>
  <c r="R83"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Q3" i="12"/>
  <c r="R3" i="12" s="1"/>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AN1" i="12" l="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I3" i="12"/>
  <c r="L3" i="12" s="1"/>
  <c r="O22" i="12"/>
  <c r="O54" i="12"/>
  <c r="O86" i="12"/>
  <c r="N13" i="12"/>
  <c r="N45" i="12"/>
  <c r="N77" i="12"/>
  <c r="M4" i="12"/>
  <c r="M36" i="12"/>
  <c r="M68" i="12"/>
  <c r="M100" i="12"/>
  <c r="L64" i="12"/>
  <c r="L96" i="12"/>
  <c r="L23" i="12"/>
  <c r="L28" i="12"/>
  <c r="L41" i="12"/>
  <c r="O23" i="12"/>
  <c r="O55" i="12"/>
  <c r="O87" i="12"/>
  <c r="N14" i="12"/>
  <c r="N46" i="12"/>
  <c r="N78" i="12"/>
  <c r="M5" i="12"/>
  <c r="M37" i="12"/>
  <c r="M69" i="12"/>
  <c r="M101" i="12"/>
  <c r="L65" i="12"/>
  <c r="L97" i="12"/>
  <c r="L24" i="12"/>
  <c r="L33" i="12"/>
  <c r="L34" i="12"/>
  <c r="L35" i="12"/>
  <c r="O20" i="12"/>
  <c r="O24" i="12"/>
  <c r="O56" i="12"/>
  <c r="O88" i="12"/>
  <c r="N15" i="12"/>
  <c r="N47" i="12"/>
  <c r="N79" i="12"/>
  <c r="M6" i="12"/>
  <c r="M38" i="12"/>
  <c r="M70" i="12"/>
  <c r="M102" i="12"/>
  <c r="L66" i="12"/>
  <c r="L98" i="12"/>
  <c r="L25" i="12"/>
  <c r="L26" i="12"/>
  <c r="M9" i="12"/>
  <c r="L69" i="12"/>
  <c r="O25" i="12"/>
  <c r="O57" i="12"/>
  <c r="O89" i="12"/>
  <c r="N16" i="12"/>
  <c r="N48" i="12"/>
  <c r="N80" i="12"/>
  <c r="M7" i="12"/>
  <c r="M39" i="12"/>
  <c r="M71" i="12"/>
  <c r="M103" i="12"/>
  <c r="L67" i="12"/>
  <c r="L99" i="12"/>
  <c r="N43" i="12"/>
  <c r="O26" i="12"/>
  <c r="O58" i="12"/>
  <c r="O90" i="12"/>
  <c r="N17" i="12"/>
  <c r="N49" i="12"/>
  <c r="N81" i="12"/>
  <c r="M8" i="12"/>
  <c r="M40" i="12"/>
  <c r="M72" i="12"/>
  <c r="M104" i="12"/>
  <c r="L68" i="12"/>
  <c r="L100" i="12"/>
  <c r="L27" i="12"/>
  <c r="L101" i="12"/>
  <c r="L31" i="12"/>
  <c r="L44" i="12"/>
  <c r="M66" i="12"/>
  <c r="O27" i="12"/>
  <c r="O59" i="12"/>
  <c r="O91" i="12"/>
  <c r="N18" i="12"/>
  <c r="N50" i="12"/>
  <c r="N82" i="12"/>
  <c r="M41" i="12"/>
  <c r="M73" i="12"/>
  <c r="M105" i="12"/>
  <c r="O28" i="12"/>
  <c r="O60" i="12"/>
  <c r="O92" i="12"/>
  <c r="N19" i="12"/>
  <c r="N51" i="12"/>
  <c r="N83" i="12"/>
  <c r="M10" i="12"/>
  <c r="M42" i="12"/>
  <c r="M74" i="12"/>
  <c r="M106" i="12"/>
  <c r="L70" i="12"/>
  <c r="L102" i="12"/>
  <c r="L29" i="12"/>
  <c r="L30" i="12"/>
  <c r="M12" i="12"/>
  <c r="L72" i="12"/>
  <c r="L105" i="12"/>
  <c r="L76" i="12"/>
  <c r="O29" i="12"/>
  <c r="O61" i="12"/>
  <c r="O93" i="12"/>
  <c r="N20" i="12"/>
  <c r="N52" i="12"/>
  <c r="N84" i="12"/>
  <c r="M11" i="12"/>
  <c r="M43" i="12"/>
  <c r="M75" i="12"/>
  <c r="M107" i="12"/>
  <c r="L71" i="12"/>
  <c r="L103" i="12"/>
  <c r="N21" i="12"/>
  <c r="M76" i="12"/>
  <c r="L73" i="12"/>
  <c r="L32" i="12"/>
  <c r="L22" i="12"/>
  <c r="L95" i="12"/>
  <c r="L63" i="12"/>
  <c r="M99" i="12"/>
  <c r="M67" i="12"/>
  <c r="M35" i="12"/>
  <c r="N76" i="12"/>
  <c r="N44" i="12"/>
  <c r="N12" i="12"/>
  <c r="O85" i="12"/>
  <c r="O53" i="12"/>
  <c r="O21" i="12"/>
  <c r="L20" i="12"/>
  <c r="L93" i="12"/>
  <c r="L61" i="12"/>
  <c r="M97" i="12"/>
  <c r="M65" i="12"/>
  <c r="M33" i="12"/>
  <c r="N106" i="12"/>
  <c r="N74" i="12"/>
  <c r="N42" i="12"/>
  <c r="N10" i="12"/>
  <c r="O83" i="12"/>
  <c r="O51" i="12"/>
  <c r="O19" i="12"/>
  <c r="L19" i="12"/>
  <c r="L92" i="12"/>
  <c r="L60" i="12"/>
  <c r="M96" i="12"/>
  <c r="M64" i="12"/>
  <c r="M32" i="12"/>
  <c r="N105" i="12"/>
  <c r="N73" i="12"/>
  <c r="N41" i="12"/>
  <c r="N9" i="12"/>
  <c r="O82" i="12"/>
  <c r="O50" i="12"/>
  <c r="O18" i="12"/>
  <c r="L18" i="12"/>
  <c r="L91" i="12"/>
  <c r="L59" i="12"/>
  <c r="M95" i="12"/>
  <c r="M63" i="12"/>
  <c r="M31" i="12"/>
  <c r="N104" i="12"/>
  <c r="N72" i="12"/>
  <c r="N40" i="12"/>
  <c r="N8" i="12"/>
  <c r="O81" i="12"/>
  <c r="O49" i="12"/>
  <c r="O17" i="12"/>
  <c r="L17" i="12"/>
  <c r="L90" i="12"/>
  <c r="L58" i="12"/>
  <c r="M94" i="12"/>
  <c r="M62" i="12"/>
  <c r="M30" i="12"/>
  <c r="N103" i="12"/>
  <c r="N71" i="12"/>
  <c r="N39" i="12"/>
  <c r="N7" i="12"/>
  <c r="O80" i="12"/>
  <c r="O48" i="12"/>
  <c r="O16" i="12"/>
  <c r="L89" i="12"/>
  <c r="L57" i="12"/>
  <c r="M93" i="12"/>
  <c r="M61" i="12"/>
  <c r="M29" i="12"/>
  <c r="N102" i="12"/>
  <c r="N70" i="12"/>
  <c r="N38" i="12"/>
  <c r="N6" i="12"/>
  <c r="O79" i="12"/>
  <c r="O47" i="12"/>
  <c r="O15" i="12"/>
  <c r="L21" i="12"/>
  <c r="O84" i="12"/>
  <c r="L88" i="12"/>
  <c r="L56" i="12"/>
  <c r="M92" i="12"/>
  <c r="M60" i="12"/>
  <c r="M28" i="12"/>
  <c r="N101" i="12"/>
  <c r="N69" i="12"/>
  <c r="N37" i="12"/>
  <c r="N5" i="12"/>
  <c r="O78" i="12"/>
  <c r="O46" i="12"/>
  <c r="O14" i="12"/>
  <c r="M3" i="12"/>
  <c r="L14" i="12"/>
  <c r="L87" i="12"/>
  <c r="L55" i="12"/>
  <c r="M91" i="12"/>
  <c r="M59" i="12"/>
  <c r="M27" i="12"/>
  <c r="N100" i="12"/>
  <c r="N68" i="12"/>
  <c r="N36" i="12"/>
  <c r="N4" i="12"/>
  <c r="O77" i="12"/>
  <c r="O45" i="12"/>
  <c r="O13" i="12"/>
  <c r="M34" i="12"/>
  <c r="L13" i="12"/>
  <c r="L86" i="12"/>
  <c r="L54" i="12"/>
  <c r="M90" i="12"/>
  <c r="M58" i="12"/>
  <c r="M26" i="12"/>
  <c r="N99" i="12"/>
  <c r="N67" i="12"/>
  <c r="N35" i="12"/>
  <c r="O76" i="12"/>
  <c r="O44" i="12"/>
  <c r="O12" i="12"/>
  <c r="N75" i="12"/>
  <c r="L85" i="12"/>
  <c r="L53" i="12"/>
  <c r="M89" i="12"/>
  <c r="M57" i="12"/>
  <c r="M25" i="12"/>
  <c r="N98" i="12"/>
  <c r="N66" i="12"/>
  <c r="N34" i="12"/>
  <c r="O107" i="12"/>
  <c r="O75" i="12"/>
  <c r="O43" i="12"/>
  <c r="O11" i="12"/>
  <c r="L52" i="12"/>
  <c r="M88" i="12"/>
  <c r="M56" i="12"/>
  <c r="M24" i="12"/>
  <c r="N97" i="12"/>
  <c r="N65" i="12"/>
  <c r="N33" i="12"/>
  <c r="O106" i="12"/>
  <c r="O74" i="12"/>
  <c r="O42" i="12"/>
  <c r="O10" i="12"/>
  <c r="N11" i="12"/>
  <c r="L84" i="12"/>
  <c r="L10" i="12"/>
  <c r="L83" i="12"/>
  <c r="L51" i="12"/>
  <c r="M87" i="12"/>
  <c r="M55" i="12"/>
  <c r="M23" i="12"/>
  <c r="N96" i="12"/>
  <c r="N64" i="12"/>
  <c r="N32" i="12"/>
  <c r="O105" i="12"/>
  <c r="O73" i="12"/>
  <c r="O41" i="12"/>
  <c r="O9" i="12"/>
  <c r="N107" i="12"/>
  <c r="M86" i="12"/>
  <c r="N95" i="12"/>
  <c r="N63" i="12"/>
  <c r="N31" i="12"/>
  <c r="O104" i="12"/>
  <c r="O72" i="12"/>
  <c r="O40" i="12"/>
  <c r="O8" i="12"/>
  <c r="M54" i="12"/>
  <c r="L40" i="12"/>
  <c r="L81" i="12"/>
  <c r="L49" i="12"/>
  <c r="M85" i="12"/>
  <c r="M53" i="12"/>
  <c r="M21" i="12"/>
  <c r="N94" i="12"/>
  <c r="N62" i="12"/>
  <c r="N30" i="12"/>
  <c r="O103" i="12"/>
  <c r="O71" i="12"/>
  <c r="O39" i="12"/>
  <c r="O7" i="12"/>
  <c r="L9" i="12"/>
  <c r="L50" i="12"/>
  <c r="M22" i="12"/>
  <c r="L8" i="12"/>
  <c r="L39" i="12"/>
  <c r="L7" i="12"/>
  <c r="L80" i="12"/>
  <c r="L48" i="12"/>
  <c r="M84" i="12"/>
  <c r="M52" i="12"/>
  <c r="M20" i="12"/>
  <c r="N93" i="12"/>
  <c r="N61" i="12"/>
  <c r="N29" i="12"/>
  <c r="O102" i="12"/>
  <c r="O70" i="12"/>
  <c r="O38" i="12"/>
  <c r="O6" i="12"/>
  <c r="L16" i="12"/>
  <c r="L12" i="12"/>
  <c r="L38" i="12"/>
  <c r="L6" i="12"/>
  <c r="L79" i="12"/>
  <c r="L47" i="12"/>
  <c r="M83" i="12"/>
  <c r="M51" i="12"/>
  <c r="M19" i="12"/>
  <c r="N92" i="12"/>
  <c r="N60" i="12"/>
  <c r="N28" i="12"/>
  <c r="O101" i="12"/>
  <c r="O69" i="12"/>
  <c r="O37" i="12"/>
  <c r="O5" i="12"/>
  <c r="L62" i="12"/>
  <c r="L82" i="12"/>
  <c r="L37" i="12"/>
  <c r="L5" i="12"/>
  <c r="L78" i="12"/>
  <c r="L46" i="12"/>
  <c r="M82" i="12"/>
  <c r="M50" i="12"/>
  <c r="M18" i="12"/>
  <c r="N91" i="12"/>
  <c r="N59" i="12"/>
  <c r="N27" i="12"/>
  <c r="O100" i="12"/>
  <c r="O68" i="12"/>
  <c r="O36" i="12"/>
  <c r="O4" i="12"/>
  <c r="L11" i="12"/>
  <c r="L36" i="12"/>
  <c r="L4" i="12"/>
  <c r="L77" i="12"/>
  <c r="L45" i="12"/>
  <c r="M81" i="12"/>
  <c r="M49" i="12"/>
  <c r="M17" i="12"/>
  <c r="N90" i="12"/>
  <c r="N58" i="12"/>
  <c r="N26" i="12"/>
  <c r="O99" i="12"/>
  <c r="O67" i="12"/>
  <c r="O35" i="12"/>
  <c r="L94" i="12"/>
  <c r="M80" i="12"/>
  <c r="M48" i="12"/>
  <c r="M16" i="12"/>
  <c r="N89" i="12"/>
  <c r="N57" i="12"/>
  <c r="N25" i="12"/>
  <c r="O98" i="12"/>
  <c r="O66" i="12"/>
  <c r="O34" i="12"/>
  <c r="M98" i="12"/>
  <c r="O52" i="12"/>
  <c r="L107" i="12"/>
  <c r="L75" i="12"/>
  <c r="L43" i="12"/>
  <c r="M79" i="12"/>
  <c r="M47" i="12"/>
  <c r="M15" i="12"/>
  <c r="N88" i="12"/>
  <c r="N56" i="12"/>
  <c r="N24" i="12"/>
  <c r="O97" i="12"/>
  <c r="O65" i="12"/>
  <c r="O33" i="12"/>
  <c r="L15" i="12"/>
  <c r="L106" i="12"/>
  <c r="L74" i="12"/>
  <c r="L42" i="12"/>
  <c r="M78" i="12"/>
  <c r="M46" i="12"/>
  <c r="M14" i="12"/>
  <c r="N87" i="12"/>
  <c r="N55" i="12"/>
  <c r="N23" i="12"/>
  <c r="O96" i="12"/>
  <c r="O64" i="12"/>
  <c r="O32" i="12"/>
  <c r="M77" i="12"/>
  <c r="M45" i="12"/>
  <c r="M13" i="12"/>
  <c r="N86" i="12"/>
  <c r="N54" i="12"/>
  <c r="N22" i="12"/>
  <c r="O95" i="12"/>
  <c r="O63" i="12"/>
  <c r="O31" i="12"/>
  <c r="L104" i="12"/>
  <c r="M44" i="12"/>
  <c r="N85" i="12"/>
  <c r="N53" i="12"/>
  <c r="O94" i="12"/>
  <c r="O62" i="12"/>
  <c r="O30" i="12"/>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5" i="29"/>
  <c r="C4" i="29"/>
  <c r="N3" i="12" l="1"/>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C14" i="12"/>
  <c r="D5" i="12"/>
  <c r="C11" i="12"/>
  <c r="C17" i="12"/>
  <c r="E13" i="12"/>
  <c r="D4" i="29"/>
  <c r="E5" i="12"/>
  <c r="E8" i="12"/>
  <c r="C12" i="12"/>
  <c r="E5" i="29"/>
  <c r="E14" i="12"/>
  <c r="C9" i="12"/>
  <c r="E11" i="12"/>
  <c r="E18" i="12"/>
  <c r="C7" i="12"/>
  <c r="D5" i="29"/>
  <c r="C16" i="12"/>
  <c r="E10" i="12"/>
  <c r="E7" i="12"/>
  <c r="D7" i="12"/>
  <c r="C19" i="12"/>
  <c r="D4" i="12"/>
  <c r="E4" i="12"/>
  <c r="E12" i="12"/>
  <c r="E4" i="29"/>
  <c r="E6" i="12"/>
  <c r="F4" i="29" l="1"/>
  <c r="G4" i="29" s="1"/>
  <c r="F5" i="29"/>
  <c r="G5" i="29" s="1"/>
  <c r="D8" i="12"/>
  <c r="E15" i="12"/>
  <c r="C15" i="12"/>
  <c r="D19" i="12"/>
  <c r="D18" i="12"/>
  <c r="E9" i="12"/>
  <c r="D10" i="12"/>
  <c r="E16" i="12"/>
  <c r="E17" i="12"/>
  <c r="D11" i="12"/>
  <c r="C13" i="12"/>
  <c r="D6" i="12"/>
  <c r="C6" i="12"/>
  <c r="D16" i="12"/>
  <c r="C18" i="12"/>
  <c r="C8" i="12"/>
  <c r="D9" i="12"/>
  <c r="D14" i="12"/>
  <c r="C10" i="12"/>
  <c r="D12" i="12"/>
  <c r="D17" i="12"/>
  <c r="D13" i="12"/>
  <c r="D15" i="12"/>
  <c r="E19"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E3" i="12"/>
  <c r="E3" i="29"/>
  <c r="C3" i="29"/>
  <c r="D3" i="29"/>
  <c r="D3" i="12"/>
  <c r="C5" i="12"/>
  <c r="C3" i="12"/>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<sst xmlns="http://schemas.openxmlformats.org/spreadsheetml/2006/main" count="5528" uniqueCount="2338">
  <si>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</si>
  <si>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</si>
  <si>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</si>
  <si>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</si>
  <si>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</si>
  <si>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</si>
  <si>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</si>
  <si>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</si>
  <si>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</si>
  <si>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</si>
  <si>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</si>
  <si>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</si>
  <si>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</si>
  <si>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</si>
  <si>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</si>
  <si>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</si>
  <si>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</si>
  <si>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</si>
  <si>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</si>
  <si>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</si>
  <si>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</si>
  <si>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</si>
  <si>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</si>
  <si>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</si>
  <si>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</si>
  <si>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</si>
  <si>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</si>
  <si>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</si>
  <si>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</si>
  <si>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</si>
  <si>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</si>
  <si>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</si>
  <si>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</si>
  <si>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</si>
  <si>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</si>
  <si>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</si>
  <si>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</si>
  <si>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</si>
  <si>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</si>
  <si>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</si>
  <si>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</si>
  <si>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</si>
  <si>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</si>
  <si>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</si>
  <si>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</si>
  <si>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</si>
  <si>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</si>
  <si>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</si>
  <si>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</si>
  <si>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</si>
  <si>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</si>
  <si>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</si>
  <si>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</si>
  <si>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</si>
  <si>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</si>
  <si>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</si>
  <si>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</si>
  <si>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</si>
  <si>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</si>
  <si>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</si>
  <si>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</si>
  <si>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</si>
  <si>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</si>
  <si>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</si>
  <si>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</si>
  <si>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</si>
  <si>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</si>
  <si>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</si>
  <si>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</si>
  <si>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</si>
  <si>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</si>
  <si>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</si>
  <si>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</si>
  <si>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</si>
  <si>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</si>
  <si>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</si>
  <si>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</si>
  <si>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</si>
  <si>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</si>
  <si>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</si>
  <si>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</si>
  <si>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</si>
  <si>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</si>
  <si>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</si>
  <si>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</si>
  <si>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</si>
  <si>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</si>
  <si>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</si>
  <si>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</si>
  <si>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</si>
  <si>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</si>
  <si>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</si>
  <si>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</si>
  <si>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</si>
  <si>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</si>
  <si>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</si>
  <si>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</si>
  <si>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</si>
  <si>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</si>
  <si>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</si>
  <si>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</si>
  <si>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</si>
  <si>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</si>
  <si>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</si>
  <si>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</si>
  <si>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</si>
  <si>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</si>
  <si>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</si>
  <si>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</si>
  <si>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</si>
  <si>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</si>
  <si>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</si>
  <si>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</si>
  <si>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</si>
  <si>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</si>
  <si>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</si>
  <si>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</si>
  <si>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</si>
  <si>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</si>
  <si>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</si>
  <si>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</si>
  <si>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</si>
  <si>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</si>
  <si>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</si>
  <si>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</si>
  <si>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</si>
  <si>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</si>
  <si>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</si>
  <si>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</si>
  <si>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</si>
  <si>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</si>
  <si>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</si>
  <si>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</si>
  <si>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</si>
  <si>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</si>
  <si>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</si>
  <si>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</si>
  <si>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</si>
  <si>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</si>
  <si>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</si>
  <si>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</si>
  <si>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</si>
  <si>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</si>
  <si>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</si>
  <si>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</si>
  <si>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</si>
  <si>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</si>
  <si>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</si>
  <si>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</si>
  <si>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</si>
  <si>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</si>
  <si>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</si>
  <si>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</si>
  <si>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</si>
  <si>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</si>
  <si>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</si>
  <si>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</si>
  <si>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</si>
  <si>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</si>
  <si>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</si>
  <si>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</si>
  <si>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</si>
  <si>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</si>
  <si>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</si>
  <si>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</si>
  <si>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</si>
  <si>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</si>
  <si>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</si>
  <si>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</si>
  <si>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</si>
  <si>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</si>
  <si>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</si>
  <si>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</si>
  <si>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</si>
  <si>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</si>
  <si>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</si>
  <si>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</si>
  <si>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</si>
  <si>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</si>
  <si>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</si>
  <si>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</si>
  <si>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</si>
  <si>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</si>
  <si>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</si>
  <si>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</si>
  <si>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</si>
  <si>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</si>
  <si>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</si>
  <si>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</si>
  <si>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</si>
  <si>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</si>
  <si>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</si>
  <si>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</si>
  <si>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</si>
  <si>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</si>
  <si>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</si>
  <si>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</si>
  <si>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</si>
  <si>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</si>
  <si>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</si>
  <si>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</si>
  <si>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</si>
  <si>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</si>
  <si>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</si>
  <si>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</si>
  <si>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</si>
  <si>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</si>
  <si>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</si>
  <si>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</si>
  <si>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</si>
  <si>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</si>
  <si>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</si>
  <si>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</si>
  <si>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</si>
  <si>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</si>
  <si>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</si>
  <si>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</si>
  <si>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</si>
  <si>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</si>
  <si>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</si>
  <si>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</si>
  <si>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</si>
  <si>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</si>
  <si>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</si>
  <si>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</si>
  <si>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</si>
  <si>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</si>
  <si>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</si>
  <si>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</si>
  <si>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</si>
  <si>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</si>
  <si>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</si>
  <si>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</si>
  <si>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</si>
  <si>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</si>
  <si>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</si>
  <si>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</si>
  <si>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</si>
  <si>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</si>
  <si>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</si>
  <si>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</si>
  <si>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</si>
  <si>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</si>
  <si>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</si>
  <si>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</si>
  <si>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</si>
  <si>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</si>
  <si>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</si>
  <si>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</si>
  <si>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</si>
  <si>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</si>
  <si>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</si>
  <si>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</si>
  <si>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</si>
  <si>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</si>
  <si>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</si>
  <si>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</si>
  <si>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</si>
  <si>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</si>
  <si>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</si>
  <si>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</si>
  <si>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</si>
  <si>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</si>
  <si>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</si>
  <si>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</si>
  <si>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</si>
  <si>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</si>
  <si>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</si>
  <si>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</si>
  <si>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</si>
  <si>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</si>
  <si>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</si>
  <si>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</si>
  <si>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</si>
  <si>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</si>
  <si>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</si>
  <si>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</si>
  <si>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</si>
  <si>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</si>
  <si>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</si>
  <si>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</si>
  <si>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</si>
  <si>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</si>
  <si>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</si>
  <si>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</si>
  <si>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</si>
  <si>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</si>
  <si>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</si>
  <si>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</si>
  <si>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</si>
  <si>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</si>
  <si>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</si>
  <si>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</si>
  <si>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</si>
  <si>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</si>
  <si>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</si>
  <si>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</si>
  <si>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</si>
  <si>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</si>
  <si>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</si>
  <si>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</si>
  <si>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</si>
  <si>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</si>
  <si>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</si>
  <si>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</si>
  <si>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</si>
  <si>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</si>
  <si>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</si>
  <si>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</si>
  <si>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</si>
  <si>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</si>
  <si>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</si>
  <si>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</si>
  <si>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</si>
  <si>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</si>
  <si>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</si>
  <si>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</si>
  <si>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</si>
  <si>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</si>
  <si>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</si>
  <si>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</si>
  <si>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</si>
  <si>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</si>
  <si>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</si>
  <si>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</si>
  <si>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</si>
  <si>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</si>
  <si>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</si>
  <si>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</si>
  <si>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</si>
  <si>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</si>
  <si>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</si>
  <si>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</si>
  <si>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</si>
  <si>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</si>
  <si>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</si>
  <si>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</si>
  <si>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</si>
  <si>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</si>
  <si>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</si>
  <si>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</si>
  <si>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</si>
  <si>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</si>
  <si>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</si>
  <si>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</si>
  <si>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</si>
  <si>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</si>
  <si>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</si>
  <si>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</si>
  <si>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</si>
  <si>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</si>
  <si>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</si>
  <si>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</si>
  <si>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</si>
  <si>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</si>
  <si>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</si>
  <si>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</si>
  <si>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</si>
  <si>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</si>
  <si>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</si>
  <si>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</si>
  <si>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</si>
  <si>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</si>
  <si>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</si>
  <si>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</si>
  <si>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</si>
  <si>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</si>
  <si>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</si>
  <si>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</si>
  <si>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</si>
  <si>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</si>
  <si>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</si>
  <si>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</si>
  <si>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</si>
  <si>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</si>
  <si>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</si>
  <si>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</si>
  <si>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</si>
  <si>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</si>
  <si>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</si>
  <si>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</si>
  <si>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</si>
  <si>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</si>
  <si>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</si>
  <si>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</si>
  <si>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</si>
  <si>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</si>
  <si>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</si>
  <si>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</si>
  <si>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</si>
  <si>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</si>
  <si>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</si>
  <si>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</si>
  <si>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</si>
  <si>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</si>
  <si>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</si>
  <si>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</si>
  <si>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</si>
  <si>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</si>
  <si>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</si>
  <si>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</si>
  <si>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</si>
  <si>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</si>
  <si>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</si>
  <si>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</si>
  <si>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</si>
  <si>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</si>
  <si>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</si>
  <si>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</si>
  <si>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</si>
  <si>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</si>
  <si>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</si>
  <si>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</si>
  <si>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</si>
  <si>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</si>
  <si>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</si>
  <si>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</si>
  <si>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</si>
  <si>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</si>
  <si>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</si>
  <si>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</si>
  <si>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</si>
  <si>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</si>
  <si>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</si>
  <si>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</si>
  <si>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</si>
  <si>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</si>
  <si>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</si>
  <si>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</si>
  <si>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</si>
  <si>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</si>
  <si>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</si>
  <si>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</si>
  <si>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</si>
  <si>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</si>
  <si>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</si>
  <si>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</si>
  <si>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</si>
  <si>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</si>
  <si>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</si>
  <si>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</si>
  <si>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</si>
  <si>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</si>
  <si>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</si>
  <si>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</si>
  <si>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</si>
  <si>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</si>
  <si>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</si>
  <si>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</si>
  <si>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</si>
  <si>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</si>
  <si>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</si>
  <si>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</si>
  <si>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</si>
  <si>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</si>
  <si>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</si>
  <si>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</si>
  <si>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</si>
  <si>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</si>
  <si>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</si>
  <si>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</si>
  <si>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</si>
  <si>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</si>
  <si>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</si>
  <si>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</si>
  <si>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</si>
  <si>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</si>
  <si>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</si>
  <si>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</si>
  <si>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</si>
  <si>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</si>
  <si>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</si>
  <si>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</si>
  <si>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</si>
  <si>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</si>
  <si>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</si>
  <si>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</si>
  <si>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</si>
  <si>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</si>
  <si>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</si>
  <si>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</si>
  <si>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</si>
  <si>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</si>
  <si>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</si>
  <si>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</si>
  <si>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</si>
  <si>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</si>
  <si>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</si>
  <si>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</si>
  <si>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</si>
  <si>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</si>
  <si>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</si>
  <si>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</si>
  <si>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</si>
  <si>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</si>
  <si>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</si>
  <si>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</si>
  <si>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</si>
  <si>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</si>
  <si>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</si>
  <si>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</si>
  <si>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</si>
  <si>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</si>
  <si>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</si>
  <si>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</si>
  <si>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</si>
  <si>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</si>
  <si>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</si>
  <si>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</si>
  <si>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</si>
  <si>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</si>
  <si>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</si>
  <si>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</si>
  <si>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</si>
  <si>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</si>
  <si>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</si>
  <si>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</si>
  <si>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</si>
  <si>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</si>
  <si>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</si>
  <si>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</si>
  <si>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</si>
  <si>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</si>
  <si>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</si>
  <si>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</si>
  <si>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</si>
  <si>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</si>
  <si>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</si>
  <si>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</si>
  <si>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</si>
  <si>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</si>
  <si>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</si>
  <si>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</si>
  <si>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</si>
  <si>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</si>
  <si>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</si>
  <si>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</si>
  <si>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</si>
  <si>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</si>
  <si>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</si>
  <si>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</si>
  <si>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</si>
  <si>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</si>
  <si>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</si>
  <si>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</si>
  <si>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</si>
  <si>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</si>
  <si>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</si>
  <si>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</si>
  <si>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</si>
  <si>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</si>
  <si>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</si>
  <si>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</si>
  <si>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</si>
  <si>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</si>
  <si>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</si>
  <si>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</si>
  <si>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</si>
  <si>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</si>
  <si>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</si>
  <si>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</si>
  <si>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</si>
  <si>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</si>
  <si>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</si>
  <si>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</si>
  <si>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</si>
  <si>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</si>
  <si>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</si>
  <si>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</si>
  <si>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</si>
  <si>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</si>
  <si>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</si>
  <si>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</si>
  <si>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</si>
  <si>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</si>
  <si>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</si>
  <si>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</si>
  <si>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</si>
  <si>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</si>
  <si>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</si>
  <si>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</si>
  <si>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</si>
  <si>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</si>
  <si>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</si>
  <si>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</si>
  <si>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</si>
  <si>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</si>
  <si>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</si>
  <si>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</si>
  <si>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</si>
  <si>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</si>
  <si>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</si>
  <si>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</si>
  <si>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</si>
  <si>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</si>
  <si>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</si>
  <si>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</si>
  <si>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</si>
  <si>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</si>
  <si>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</si>
  <si>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</si>
  <si>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</si>
  <si>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</si>
  <si>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</si>
  <si>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</si>
  <si>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</si>
  <si>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</si>
  <si>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</si>
  <si>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</si>
  <si>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</si>
  <si>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</si>
  <si>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</si>
  <si>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</si>
  <si>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</si>
  <si>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</si>
  <si>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</si>
  <si>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</si>
  <si>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</si>
  <si>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</si>
  <si>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</si>
  <si>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</si>
  <si>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</si>
  <si>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</si>
  <si>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</si>
  <si>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</si>
  <si>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</si>
  <si>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</si>
  <si>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</si>
  <si>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</si>
  <si>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</si>
  <si>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</si>
  <si>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</si>
  <si>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</si>
  <si>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</si>
  <si>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</si>
  <si>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</si>
  <si>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</si>
  <si>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</si>
  <si>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</si>
  <si>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</si>
  <si>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</si>
  <si>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</si>
  <si>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</si>
  <si>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</si>
  <si>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</si>
  <si>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</si>
  <si>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</si>
  <si>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</si>
  <si>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</si>
  <si>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</si>
  <si>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</si>
  <si>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</si>
  <si>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</si>
  <si>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</si>
  <si>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</si>
  <si>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</si>
  <si>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</si>
  <si>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</si>
  <si>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</si>
  <si>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</si>
  <si>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</si>
  <si>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</si>
  <si>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</si>
  <si>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</si>
  <si>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</si>
  <si>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</si>
  <si>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</si>
  <si>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</si>
  <si>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</si>
  <si>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</si>
  <si>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</si>
  <si>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</si>
  <si>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</si>
  <si>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</si>
  <si>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</si>
  <si>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</si>
  <si>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</si>
  <si>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</si>
  <si>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</si>
  <si>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</si>
  <si>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</si>
  <si>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</si>
  <si>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</si>
  <si>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</si>
  <si>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</si>
  <si>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</si>
  <si>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</si>
  <si>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</si>
  <si>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</si>
  <si>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</si>
  <si>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</si>
  <si>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</si>
  <si>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</si>
  <si>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</si>
  <si>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</si>
  <si>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</si>
  <si>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</si>
  <si>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</si>
  <si>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</si>
  <si>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</si>
  <si>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</si>
  <si>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</si>
  <si>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</si>
  <si>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</si>
  <si>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</si>
  <si>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</si>
  <si>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</si>
  <si>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</si>
  <si>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</si>
  <si>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</si>
  <si>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</si>
  <si>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</si>
  <si>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</si>
  <si>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</si>
  <si>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</si>
  <si>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</si>
  <si>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</si>
  <si>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</si>
  <si>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</si>
  <si>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</si>
  <si>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</si>
  <si>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</si>
  <si>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</si>
  <si>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</si>
  <si>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</si>
  <si>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</si>
  <si>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</si>
  <si>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</si>
  <si>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</si>
  <si>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</si>
  <si>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</si>
  <si>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</si>
  <si>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</si>
  <si>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</si>
  <si>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</si>
  <si>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</si>
  <si>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</si>
  <si>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</si>
  <si>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</si>
  <si>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</si>
  <si>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</si>
  <si>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</si>
  <si>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</si>
  <si>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</si>
  <si>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</si>
  <si>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</si>
  <si>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</si>
  <si>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</si>
  <si>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</si>
  <si>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</si>
  <si>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</si>
  <si>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</si>
  <si>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</si>
  <si>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</si>
  <si>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</si>
  <si>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</si>
  <si>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</si>
  <si>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</si>
  <si>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</si>
  <si>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</si>
  <si>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</si>
  <si>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</si>
  <si>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</si>
  <si>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</si>
  <si>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</si>
  <si>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</si>
  <si>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</si>
  <si>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</si>
  <si>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</si>
  <si>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</si>
  <si>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</si>
  <si>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</si>
  <si>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</si>
  <si>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</si>
  <si>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</si>
  <si>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</si>
  <si>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</si>
  <si>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</si>
  <si>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</si>
  <si>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</si>
  <si>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</si>
  <si>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</si>
  <si>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</si>
  <si>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</si>
  <si>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</si>
  <si>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</si>
  <si>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</si>
  <si>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</si>
  <si>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</si>
  <si>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</si>
  <si>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</si>
  <si>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</si>
  <si>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</si>
  <si>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</si>
  <si>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</si>
  <si>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</si>
  <si>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</si>
  <si>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</si>
  <si>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</si>
  <si>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</si>
  <si>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</si>
  <si>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</si>
  <si>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</si>
  <si>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</si>
  <si>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</si>
  <si>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</si>
  <si>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</si>
  <si>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</si>
  <si>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</si>
  <si>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</si>
  <si>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</si>
  <si>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</si>
  <si>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</si>
  <si>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</si>
  <si>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</si>
  <si>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</si>
  <si>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</si>
  <si>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</si>
  <si>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</si>
  <si>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</si>
  <si>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</si>
  <si>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</si>
  <si>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</si>
  <si>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</si>
  <si>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</si>
  <si>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</si>
  <si>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</si>
  <si>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</si>
  <si>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</si>
  <si>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</si>
  <si>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</si>
  <si>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</si>
  <si>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</si>
  <si>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</si>
  <si>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</si>
  <si>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</si>
  <si>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</si>
  <si>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</si>
  <si>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</si>
  <si>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</si>
  <si>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</si>
  <si>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</si>
  <si>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</si>
  <si>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</si>
  <si>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</si>
  <si>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</si>
  <si>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</si>
  <si>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</si>
  <si>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</si>
  <si>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</si>
  <si>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</si>
  <si>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</si>
  <si>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</si>
  <si>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</si>
  <si>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</si>
  <si>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</si>
  <si>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</si>
  <si>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</si>
  <si>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</si>
  <si>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</si>
  <si>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</si>
  <si>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</si>
  <si>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</si>
  <si>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</si>
  <si>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</si>
  <si>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</si>
  <si>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</si>
  <si>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</si>
  <si>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</si>
  <si>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</si>
  <si>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</si>
  <si>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</si>
  <si>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</si>
  <si>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</si>
  <si>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</si>
  <si>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</si>
  <si>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</si>
  <si>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</si>
  <si>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</si>
  <si>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</si>
  <si>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</si>
  <si>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</si>
  <si>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</si>
  <si>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</si>
  <si>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</si>
  <si>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</si>
  <si>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</si>
  <si>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</si>
  <si>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</si>
  <si>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</si>
  <si>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</si>
  <si>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</si>
  <si>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</si>
  <si>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</si>
  <si>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</si>
  <si>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</si>
  <si>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</si>
  <si>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</si>
  <si>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</si>
  <si>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</si>
  <si>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</si>
  <si>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</si>
  <si>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</si>
  <si>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</si>
  <si>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</si>
  <si>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</si>
  <si>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</si>
  <si>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</si>
  <si>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</si>
  <si>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</si>
  <si>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</si>
  <si>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</si>
  <si>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</si>
  <si>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</si>
  <si>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</si>
  <si>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</si>
  <si>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</si>
  <si>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</si>
  <si>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</si>
  <si>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</si>
  <si>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</si>
  <si>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</si>
  <si>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</si>
  <si>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</si>
  <si>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</si>
  <si>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</si>
  <si>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</si>
  <si>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</si>
  <si>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</si>
  <si>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</si>
  <si>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</si>
  <si>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</si>
  <si>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</si>
  <si>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</si>
  <si>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</si>
  <si>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</si>
  <si>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</si>
  <si>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</si>
  <si>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</si>
  <si>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</si>
  <si>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</si>
  <si>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</si>
  <si>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</si>
  <si>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</si>
  <si>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</si>
  <si>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</si>
  <si>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</si>
  <si>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</si>
  <si>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</si>
  <si>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</si>
  <si>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</si>
  <si>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</si>
  <si>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</si>
  <si>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</si>
  <si>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</si>
  <si>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</si>
  <si>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</si>
  <si>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</si>
  <si>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</si>
  <si>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</si>
  <si>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</si>
  <si>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</si>
  <si>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</si>
  <si>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</si>
  <si>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</si>
  <si>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</si>
  <si>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</si>
  <si>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</si>
  <si>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</si>
  <si>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</si>
  <si>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</si>
  <si>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</si>
  <si>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</si>
  <si>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</si>
  <si>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</si>
  <si>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</si>
  <si>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</si>
  <si>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</si>
  <si>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</si>
  <si>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</si>
  <si>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</si>
  <si>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</si>
  <si>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</si>
  <si>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</si>
  <si>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</si>
  <si>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</si>
  <si>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</si>
  <si>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</si>
  <si>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</si>
  <si>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</si>
  <si>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</si>
  <si>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</si>
  <si>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</si>
  <si>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</si>
  <si>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</si>
  <si>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</si>
  <si>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</si>
  <si>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</si>
  <si>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</si>
  <si>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</si>
  <si>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</si>
  <si>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</si>
  <si>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</si>
  <si>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</si>
  <si>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</si>
  <si>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</si>
  <si>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</si>
  <si>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</si>
  <si>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</si>
  <si>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</si>
  <si>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</si>
  <si>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</si>
  <si>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</si>
  <si>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</si>
  <si>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</si>
  <si>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</si>
  <si>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</si>
  <si>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</si>
  <si>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</si>
  <si>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</si>
  <si>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</si>
  <si>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</si>
  <si>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</si>
  <si>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</si>
  <si>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</si>
  <si>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</si>
  <si>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</si>
  <si>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</si>
  <si>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</si>
  <si>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</si>
  <si>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</si>
  <si>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</si>
  <si>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</si>
  <si>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</si>
  <si>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</si>
  <si>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</si>
  <si>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</si>
  <si>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</si>
  <si>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</si>
  <si>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</si>
  <si>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</si>
  <si>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</si>
  <si>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</si>
  <si>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</si>
  <si>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</si>
  <si>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</si>
  <si>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</si>
  <si>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</si>
  <si>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</si>
  <si>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</si>
  <si>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</si>
  <si>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</si>
  <si>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</si>
  <si>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</si>
  <si>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</si>
  <si>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</si>
  <si>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</si>
  <si>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</si>
  <si>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</si>
  <si>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</si>
  <si>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</si>
  <si>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</si>
  <si>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</si>
  <si>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</si>
  <si>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</si>
  <si>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</si>
  <si>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</si>
  <si>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</si>
  <si>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</si>
  <si>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</si>
  <si>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</si>
  <si>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</si>
  <si>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</si>
  <si>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</si>
  <si>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</si>
  <si>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</si>
  <si>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</si>
  <si>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</si>
  <si>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</si>
  <si>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</si>
  <si>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</si>
  <si>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</si>
  <si>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</si>
  <si>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</si>
  <si>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</si>
  <si>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</si>
  <si>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</si>
  <si>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</si>
  <si>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</si>
  <si>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</si>
  <si>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</si>
  <si>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</si>
  <si>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</si>
  <si>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</si>
  <si>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</si>
  <si>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</si>
  <si>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</si>
  <si>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</si>
  <si>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</si>
  <si>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</si>
  <si>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</si>
  <si>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</si>
  <si>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</si>
  <si>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</si>
  <si>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</si>
  <si>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</si>
  <si>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</si>
  <si>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</si>
  <si>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</si>
  <si>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</si>
  <si>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</si>
  <si>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</si>
  <si>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</si>
  <si>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</si>
  <si>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</si>
  <si>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</si>
  <si>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</si>
  <si>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</si>
  <si>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</si>
  <si>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</si>
  <si>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</si>
  <si>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</si>
  <si>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</si>
  <si>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</si>
  <si>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</si>
  <si>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</si>
  <si>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</si>
  <si>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</si>
  <si>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</si>
  <si>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</si>
  <si>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</si>
  <si>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</si>
  <si>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</si>
  <si>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</si>
  <si>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</si>
  <si>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</si>
  <si>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</si>
  <si>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</si>
  <si>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</si>
  <si>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</si>
  <si>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</si>
  <si>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</si>
  <si>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</si>
  <si>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</si>
  <si>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</si>
  <si>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</si>
  <si>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</si>
  <si>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</si>
  <si>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</si>
  <si>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</si>
  <si>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</si>
  <si>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</si>
  <si>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</si>
  <si>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</si>
  <si>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</si>
  <si>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</si>
  <si>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</si>
  <si>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</si>
  <si>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</si>
  <si>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</si>
  <si>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</si>
  <si>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</si>
  <si>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</si>
  <si>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</si>
  <si>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</si>
  <si>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</si>
  <si>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</si>
  <si>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</si>
  <si>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</si>
  <si>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</si>
  <si>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</si>
  <si>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</si>
  <si>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</si>
  <si>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</si>
  <si>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</si>
  <si>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</si>
  <si>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</si>
  <si>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</si>
  <si>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</si>
  <si>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</si>
  <si>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</si>
  <si>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</si>
  <si>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</si>
  <si>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</si>
  <si>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</si>
  <si>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</si>
  <si>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</si>
  <si>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</si>
  <si>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</si>
  <si>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</si>
  <si>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</si>
  <si>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</si>
  <si>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</si>
  <si>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</si>
  <si>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</si>
  <si>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</si>
  <si>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</si>
  <si>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</si>
  <si>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</si>
  <si>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</si>
  <si>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</si>
  <si>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</si>
  <si>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</si>
  <si>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</si>
  <si>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</si>
  <si>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</si>
  <si>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</si>
  <si>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</si>
  <si>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</si>
  <si>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</si>
  <si>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</si>
  <si>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</si>
  <si>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</si>
  <si>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</si>
  <si>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</si>
  <si>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</si>
  <si>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</si>
  <si>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</si>
  <si>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</si>
  <si>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</si>
  <si>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</si>
  <si>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</si>
  <si>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</si>
  <si>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</si>
  <si>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</si>
  <si>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</si>
  <si>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</si>
  <si>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</si>
  <si>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</si>
  <si>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</si>
  <si>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</si>
  <si>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</si>
  <si>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</si>
  <si>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</si>
  <si>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</si>
  <si>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</si>
  <si>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</si>
  <si>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</si>
  <si>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</si>
  <si>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</si>
  <si>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</si>
  <si>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</si>
  <si>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</si>
  <si>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</si>
  <si>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</si>
  <si>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</si>
  <si>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</si>
  <si>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</si>
  <si>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</si>
  <si>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</si>
  <si>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</si>
  <si>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</si>
  <si>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</si>
  <si>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</si>
  <si>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</si>
  <si>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</si>
  <si>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</si>
  <si>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</si>
  <si>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</si>
  <si>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</si>
  <si>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</si>
  <si>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</si>
  <si>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</si>
  <si>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</si>
  <si>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</si>
  <si>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</si>
  <si>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</si>
  <si>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</si>
  <si>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</si>
  <si>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</si>
  <si>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</si>
  <si>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</si>
  <si>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</si>
  <si>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</si>
  <si>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</si>
  <si>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</si>
  <si>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</si>
  <si>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</si>
  <si>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</si>
  <si>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</si>
  <si>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</si>
  <si>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</si>
  <si>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</si>
  <si>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</si>
  <si>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</si>
  <si>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</si>
  <si>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</si>
  <si>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</si>
  <si>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</si>
  <si>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</si>
  <si>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</si>
  <si>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</si>
  <si>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</si>
  <si>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</si>
  <si>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</si>
  <si>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</si>
  <si>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</si>
  <si>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</si>
  <si>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</si>
  <si>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</si>
  <si>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</si>
  <si>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</si>
  <si>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</si>
  <si>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</si>
  <si>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</si>
  <si>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</si>
  <si>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</si>
  <si>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</si>
  <si>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</si>
  <si>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</si>
  <si>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</si>
  <si>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</si>
  <si>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</si>
  <si>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</si>
  <si>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</si>
  <si>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</si>
  <si>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</si>
  <si>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</si>
  <si>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</si>
  <si>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</si>
  <si>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</si>
  <si>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</si>
  <si>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</si>
  <si>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</si>
  <si>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</si>
  <si>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</si>
  <si>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</si>
  <si>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</si>
  <si>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</si>
  <si>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</si>
  <si>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</si>
  <si>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</si>
  <si>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</si>
  <si>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</si>
  <si>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</si>
  <si>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</si>
  <si>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</si>
  <si>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</si>
  <si>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</si>
  <si>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</si>
  <si>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</si>
  <si>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</si>
  <si>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</si>
  <si>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</si>
  <si>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</si>
  <si>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</si>
  <si>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</si>
  <si>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</si>
  <si>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</si>
  <si>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</si>
  <si>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</si>
  <si>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</si>
  <si>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</si>
  <si>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</si>
  <si>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</si>
  <si>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</si>
  <si>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</si>
  <si>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</si>
  <si>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</si>
  <si>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</si>
  <si>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</si>
  <si>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</si>
  <si>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</si>
  <si>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</si>
  <si>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</si>
  <si>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</si>
  <si>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</si>
  <si>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</si>
  <si>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</si>
  <si>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</si>
  <si>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</si>
  <si>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</si>
  <si>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</si>
  <si>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</si>
  <si>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</si>
  <si>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</si>
  <si>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</si>
  <si>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</si>
  <si>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</si>
  <si>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</si>
  <si>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</si>
  <si>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</si>
  <si>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</si>
  <si>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</si>
  <si>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</si>
  <si>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</si>
  <si>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</si>
  <si>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</si>
  <si>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</si>
  <si>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</si>
  <si>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</si>
  <si>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</si>
  <si>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</si>
  <si>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</si>
  <si>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</si>
  <si>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</si>
  <si>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</si>
  <si>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</si>
  <si>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</si>
  <si>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</si>
  <si>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</si>
  <si>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</si>
  <si>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</si>
  <si>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</si>
  <si>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</si>
  <si>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</si>
  <si>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</si>
  <si>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</si>
  <si>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</si>
  <si>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</si>
  <si>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</si>
  <si>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</si>
  <si>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</si>
  <si>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</si>
  <si>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</si>
  <si>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</si>
  <si>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</si>
  <si>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</si>
  <si>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</si>
  <si>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</si>
  <si>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</si>
  <si>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</si>
  <si>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</si>
  <si>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</si>
  <si>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</si>
  <si>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</si>
  <si>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</si>
  <si>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</si>
  <si>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</si>
  <si>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</si>
  <si>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</si>
  <si>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</si>
  <si>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</si>
  <si>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</si>
  <si>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</si>
  <si>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</si>
  <si>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</si>
  <si>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</si>
  <si>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</si>
  <si>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</si>
  <si>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</si>
  <si>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</si>
  <si>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</si>
  <si>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</si>
  <si>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</si>
  <si>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</si>
  <si>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</si>
  <si>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</si>
  <si>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</si>
  <si>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</si>
  <si>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</si>
  <si>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</si>
  <si>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</si>
  <si>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</si>
  <si>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</si>
  <si>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</si>
  <si>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</si>
  <si>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</si>
  <si>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</si>
  <si>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</si>
  <si>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</si>
  <si>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</si>
  <si>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</si>
  <si>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</si>
  <si>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</si>
  <si>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</si>
  <si>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</si>
  <si>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</si>
  <si>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</si>
  <si>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</si>
  <si>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</si>
  <si>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</si>
  <si>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</si>
  <si>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</si>
  <si>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</si>
  <si>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</si>
  <si>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</si>
  <si>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</si>
  <si>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</si>
  <si>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</si>
  <si>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</si>
  <si>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</si>
  <si>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</si>
  <si>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</si>
  <si>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</si>
  <si>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</si>
  <si>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</si>
  <si>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</si>
  <si>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</si>
  <si>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</si>
  <si>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</si>
  <si>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</si>
  <si>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</si>
  <si>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</si>
  <si>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</si>
  <si>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</si>
  <si>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</si>
  <si>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</si>
  <si>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</si>
  <si>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</si>
  <si>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</si>
  <si>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</si>
  <si>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</si>
  <si>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</si>
  <si>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</si>
  <si>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</si>
  <si>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</si>
  <si>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</si>
  <si>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</si>
  <si>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</si>
  <si>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</si>
  <si>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</si>
  <si>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</si>
  <si>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</si>
  <si>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</si>
  <si>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</si>
  <si>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</si>
  <si>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</si>
  <si>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</si>
  <si>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</si>
  <si>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</si>
  <si>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</si>
  <si>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</si>
  <si>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</si>
  <si>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</si>
  <si>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</si>
  <si>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</si>
  <si>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</si>
  <si>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</si>
  <si>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</si>
  <si>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</si>
  <si>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</si>
  <si>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</si>
  <si>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</si>
  <si>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</si>
  <si>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</si>
  <si>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</si>
  <si>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</si>
  <si>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</si>
  <si>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</si>
  <si>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</si>
  <si>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</si>
  <si>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</si>
  <si>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</si>
  <si>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</si>
  <si>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</si>
  <si>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</si>
  <si>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</si>
  <si>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</si>
  <si>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</si>
  <si>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</si>
  <si>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</si>
  <si>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</si>
  <si>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</si>
  <si>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</si>
  <si>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</si>
  <si>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</si>
  <si>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</si>
  <si>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</si>
  <si>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</si>
  <si>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</si>
  <si>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</si>
  <si>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</si>
  <si>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</si>
  <si>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</si>
  <si>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</si>
  <si>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</si>
  <si>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</si>
  <si>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</si>
  <si>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</si>
  <si>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</si>
  <si>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</si>
  <si>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</si>
  <si>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</si>
  <si>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</si>
  <si>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</si>
  <si>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</si>
  <si>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</si>
  <si>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</si>
  <si>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</si>
  <si>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</si>
  <si>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</si>
  <si>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</si>
  <si>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</si>
  <si>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</si>
  <si>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</si>
  <si>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</si>
  <si>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</si>
  <si>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</si>
  <si>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</si>
  <si>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</si>
  <si>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</si>
  <si>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</si>
  <si>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</si>
  <si>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</si>
  <si>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</si>
  <si>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</si>
  <si>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</si>
  <si>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</si>
  <si>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</si>
  <si>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</si>
  <si>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</si>
  <si>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</si>
  <si>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</si>
  <si>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</si>
  <si>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</si>
  <si>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</si>
  <si>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</si>
  <si>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</si>
  <si>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</si>
  <si>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</si>
  <si>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</si>
  <si>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</si>
  <si>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</si>
  <si>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</si>
  <si>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</si>
  <si>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</si>
  <si>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</si>
  <si>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</si>
  <si>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</si>
  <si>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</si>
  <si>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</si>
  <si>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</si>
  <si>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</si>
  <si>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</si>
  <si>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</si>
  <si>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</si>
  <si>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</si>
  <si>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</si>
  <si>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</si>
  <si>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</si>
  <si>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</si>
  <si>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</si>
  <si>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</si>
  <si>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</si>
  <si>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</si>
  <si>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</si>
  <si>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</si>
  <si>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</si>
  <si>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</si>
  <si>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</si>
  <si>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</si>
  <si>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</si>
  <si>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</si>
  <si>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</si>
  <si>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</si>
  <si>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</si>
  <si>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</si>
  <si>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</si>
  <si>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</si>
  <si>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</si>
  <si>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</si>
  <si>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</si>
  <si>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</si>
  <si>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</si>
  <si>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</si>
  <si>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</si>
  <si>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</si>
  <si>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</si>
  <si>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</si>
  <si>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</si>
  <si>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</si>
  <si>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</si>
  <si>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</si>
  <si>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</si>
  <si>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</si>
  <si>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</si>
  <si>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</si>
  <si>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</si>
  <si>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</si>
  <si>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</si>
  <si>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</si>
  <si>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</si>
  <si>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</si>
  <si>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</si>
  <si>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</si>
  <si>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</si>
  <si>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</si>
  <si>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</si>
  <si>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</si>
  <si>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</si>
  <si>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</si>
  <si>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</si>
  <si>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</si>
  <si>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</si>
  <si>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</si>
  <si>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</si>
  <si>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</si>
  <si>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</si>
  <si>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</si>
  <si>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</si>
  <si>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</si>
  <si>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</si>
  <si>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</si>
  <si>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</si>
  <si>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</si>
  <si>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</si>
  <si>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</si>
  <si>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</si>
  <si>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</si>
  <si>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</si>
  <si>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</si>
  <si>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</si>
  <si>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</si>
  <si>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</si>
  <si>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</si>
  <si>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</si>
  <si>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</si>
  <si>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</si>
  <si>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</si>
  <si>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</si>
  <si>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</si>
  <si>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</si>
  <si>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</si>
  <si>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</si>
  <si>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</si>
  <si>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</si>
  <si>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</si>
  <si>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</si>
  <si>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</si>
  <si>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</si>
  <si>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</si>
  <si>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</si>
  <si>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</si>
  <si>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</si>
  <si>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</si>
  <si>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</si>
  <si>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</si>
  <si>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</si>
  <si>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</si>
  <si>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</si>
  <si>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</si>
  <si>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</si>
  <si>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</si>
  <si>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</si>
  <si>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</si>
  <si>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</si>
  <si>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</si>
  <si>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</si>
  <si>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</si>
  <si>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</si>
  <si>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</si>
  <si>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</si>
  <si>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</si>
  <si>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</si>
  <si>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</si>
  <si>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</si>
  <si>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</si>
  <si>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</si>
  <si>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</si>
  <si>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</si>
  <si>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</si>
  <si>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</si>
  <si>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</si>
  <si>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</si>
  <si>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</si>
  <si>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</si>
  <si>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</si>
  <si>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</si>
  <si>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</si>
  <si>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</si>
  <si>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</si>
  <si>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</si>
  <si>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</si>
  <si>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</si>
  <si>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</si>
  <si>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</si>
  <si>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</si>
  <si>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</si>
  <si>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</si>
  <si>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</si>
  <si>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</si>
  <si>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</si>
  <si>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</si>
  <si>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</si>
  <si>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</si>
  <si>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</si>
  <si>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</si>
  <si>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</si>
  <si>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</si>
  <si>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</si>
  <si>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</si>
  <si>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</si>
  <si>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</si>
  <si>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</si>
  <si>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</si>
  <si>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</si>
  <si>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</si>
  <si>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</si>
  <si>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</si>
  <si>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</si>
  <si>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</si>
  <si>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</si>
  <si>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</si>
  <si>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</si>
  <si>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</si>
  <si>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</si>
  <si>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</si>
  <si>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</si>
  <si>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</si>
  <si>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</si>
  <si>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</si>
  <si>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</si>
  <si>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</si>
  <si>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</si>
  <si>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</si>
  <si>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</si>
  <si>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</si>
  <si>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</si>
  <si>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</si>
  <si>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</si>
  <si>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</si>
  <si>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</si>
  <si>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</si>
  <si>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</si>
  <si>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</si>
  <si>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</si>
  <si>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</si>
  <si>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</si>
  <si>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</si>
  <si>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</si>
  <si>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</si>
  <si>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</si>
  <si>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</si>
  <si>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</si>
  <si>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</si>
  <si>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</si>
  <si>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</si>
  <si>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</si>
  <si>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</si>
  <si>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</si>
  <si>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</si>
  <si>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</si>
  <si>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</si>
  <si>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</si>
  <si>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</si>
  <si>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</si>
  <si>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</si>
  <si>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</si>
  <si>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</si>
  <si>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</si>
  <si>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</si>
  <si>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</si>
  <si>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</si>
  <si>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</si>
  <si>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</si>
  <si>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</si>
  <si>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</si>
  <si>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</si>
  <si>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</si>
  <si>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</si>
  <si>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</si>
  <si>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</si>
  <si>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</si>
  <si>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</si>
  <si>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</si>
  <si>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</si>
  <si>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</si>
  <si>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</si>
  <si>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</si>
  <si>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</si>
  <si>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</si>
  <si>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</si>
  <si>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</si>
  <si>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</si>
  <si>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</si>
  <si>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</si>
  <si>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</si>
  <si>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</si>
  <si>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</si>
  <si>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</si>
  <si>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</si>
  <si>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</si>
  <si>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</si>
  <si>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</si>
  <si>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</si>
  <si>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</si>
  <si>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</si>
  <si>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</si>
  <si>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</si>
  <si>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</si>
  <si>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</si>
  <si>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</si>
  <si>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</si>
  <si>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</si>
  <si>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</si>
  <si>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</si>
  <si>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</si>
  <si>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</si>
  <si>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</si>
  <si>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</si>
  <si>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</si>
  <si>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</si>
  <si>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</si>
  <si>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</si>
  <si>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</si>
  <si>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</si>
  <si>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</si>
  <si>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</si>
  <si>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</si>
  <si>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</si>
  <si>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</si>
  <si>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</si>
  <si>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</si>
  <si>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</si>
  <si>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</si>
  <si>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</si>
  <si>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</si>
  <si>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</si>
  <si>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</si>
  <si>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</si>
  <si>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</si>
  <si>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</si>
  <si>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</si>
  <si>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</si>
  <si>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</si>
  <si>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</si>
  <si>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</si>
  <si>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</si>
  <si>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</si>
  <si>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</si>
  <si>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</si>
  <si>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</si>
  <si>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</si>
  <si>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</si>
  <si>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</si>
  <si>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</si>
  <si>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</si>
  <si>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</si>
  <si>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</si>
  <si>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</si>
  <si>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</si>
  <si>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</si>
  <si>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</si>
  <si>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</si>
  <si>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</si>
  <si>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</si>
  <si>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</si>
  <si>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</si>
  <si>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</si>
  <si>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</si>
  <si>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</si>
  <si>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</si>
  <si>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</si>
  <si>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</si>
  <si>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</si>
  <si>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</si>
  <si>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</si>
  <si>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</si>
  <si>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</si>
  <si>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</si>
  <si>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</si>
  <si>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</si>
  <si>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</si>
  <si>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</si>
  <si>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</si>
  <si>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</si>
  <si>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</si>
  <si>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</si>
  <si>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</si>
  <si>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</si>
  <si>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</si>
  <si>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</si>
  <si>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</si>
  <si>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</si>
  <si>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</si>
  <si>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</si>
  <si>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</si>
  <si>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</si>
  <si>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</si>
  <si>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</si>
  <si>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</si>
  <si>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</si>
  <si>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</si>
  <si>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</si>
  <si>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</si>
  <si>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</si>
  <si>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</si>
  <si>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</si>
  <si>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</si>
  <si>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</si>
  <si>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</si>
  <si>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</si>
  <si>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</si>
  <si>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</si>
  <si>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</si>
  <si>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</si>
  <si>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</si>
  <si>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</si>
  <si>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</si>
  <si>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</si>
  <si>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</si>
  <si>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</si>
  <si>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</si>
  <si>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</si>
  <si>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</si>
  <si>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</si>
  <si>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</si>
  <si>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</si>
  <si>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</si>
  <si>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</si>
  <si>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</si>
  <si>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</si>
  <si>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</si>
  <si>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</si>
  <si>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</si>
  <si>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</si>
  <si>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</si>
  <si>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</si>
  <si>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</si>
  <si>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</si>
  <si>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</si>
  <si>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</si>
  <si>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</si>
  <si>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</si>
  <si>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</si>
  <si>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</si>
  <si>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</si>
  <si>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</si>
  <si>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</si>
  <si>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</si>
  <si>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</si>
  <si>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</si>
  <si>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</si>
  <si>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</si>
  <si>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</si>
  <si>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</si>
  <si>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</si>
  <si>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</si>
  <si>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</si>
  <si>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</si>
  <si>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</si>
  <si>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</si>
  <si>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</si>
  <si>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</si>
  <si>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</si>
  <si>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</si>
  <si>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</si>
  <si>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</si>
  <si>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</si>
  <si>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</si>
  <si>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</si>
  <si>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</si>
  <si>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</si>
  <si>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</si>
  <si>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</si>
  <si>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</si>
  <si>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</si>
  <si>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</si>
  <si>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</si>
  <si>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</si>
  <si>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</si>
  <si>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</si>
  <si>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</si>
  <si>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</si>
  <si>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</si>
  <si>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</si>
  <si>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</si>
  <si>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</si>
  <si>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</si>
  <si>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</si>
  <si>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</si>
  <si>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</si>
  <si>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</si>
  <si>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</si>
  <si>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</si>
  <si>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</si>
  <si>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</si>
  <si>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</si>
  <si>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</si>
  <si>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</si>
  <si>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</si>
  <si>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</si>
  <si>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</si>
  <si>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</si>
  <si>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</si>
  <si>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</si>
  <si>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</si>
  <si>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</si>
  <si>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</si>
  <si>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</si>
  <si>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</si>
  <si>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</si>
  <si>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</si>
  <si>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</si>
  <si>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</si>
  <si>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</si>
  <si>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</si>
  <si>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</si>
  <si>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</si>
  <si>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</si>
  <si>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</si>
  <si>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</si>
  <si>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</si>
  <si>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</si>
  <si>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</si>
  <si>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</si>
  <si>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</si>
  <si>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</si>
  <si>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</si>
  <si>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</si>
  <si>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</si>
  <si>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</si>
  <si>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</si>
  <si>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</si>
  <si>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</si>
  <si>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</si>
  <si>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</si>
  <si>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</si>
  <si>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</si>
  <si>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</si>
  <si>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</si>
  <si>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</si>
  <si>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</si>
  <si>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</si>
  <si>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</si>
  <si>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</si>
  <si>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</si>
  <si>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</si>
  <si>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</si>
  <si>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</si>
  <si>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</si>
  <si>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</si>
  <si>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</si>
  <si>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</si>
  <si>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</si>
  <si>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</si>
  <si>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</si>
  <si>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</si>
  <si>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</si>
  <si>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</si>
  <si>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</si>
  <si>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</si>
  <si>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</si>
  <si>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</si>
  <si>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</si>
  <si>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</si>
  <si>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</si>
  <si>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</si>
  <si>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</si>
  <si>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</si>
  <si>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</si>
  <si>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</si>
  <si>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</si>
  <si>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</si>
  <si>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</si>
  <si>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</si>
  <si>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</si>
  <si>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</si>
  <si>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</si>
  <si>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</si>
  <si>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</si>
  <si>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</si>
  <si>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</si>
  <si>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</si>
  <si>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</si>
  <si>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</si>
  <si>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</si>
  <si>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</si>
  <si>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</si>
  <si>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</si>
  <si>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</si>
  <si>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</si>
  <si>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</si>
  <si>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</si>
  <si>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</si>
  <si>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</si>
  <si>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</si>
  <si>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</si>
  <si>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</si>
  <si>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</si>
  <si>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</si>
  <si>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</si>
  <si>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</si>
  <si>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</si>
  <si>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</si>
  <si>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</si>
  <si>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</si>
  <si>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</si>
  <si>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</si>
  <si>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</si>
  <si>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</si>
  <si>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</si>
  <si>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</si>
  <si>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</si>
  <si>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</si>
  <si>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</si>
  <si>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</si>
  <si>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</si>
  <si>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</si>
  <si>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</si>
  <si>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</si>
  <si>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</si>
  <si>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</si>
  <si>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</si>
  <si>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</si>
  <si>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</si>
  <si>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</si>
  <si>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</si>
  <si>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</si>
  <si>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</si>
  <si>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</si>
  <si>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</si>
  <si>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</si>
  <si>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</si>
  <si>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</si>
  <si>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</si>
  <si>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</si>
  <si>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</si>
  <si>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</si>
  <si>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</si>
  <si>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</si>
  <si>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</si>
  <si>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</si>
  <si>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</si>
  <si>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</si>
  <si>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</si>
  <si>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</si>
  <si>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</si>
  <si>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</si>
  <si>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</si>
  <si>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</si>
  <si>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</si>
  <si>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</si>
  <si>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</si>
  <si>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</si>
  <si>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</si>
  <si>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</si>
  <si>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</si>
  <si>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</si>
  <si>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</si>
  <si>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</si>
  <si>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</si>
  <si>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</si>
  <si>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</si>
  <si>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</si>
  <si>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</si>
  <si>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</si>
  <si>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</si>
  <si>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</si>
  <si>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</si>
  <si>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</si>
  <si>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</si>
  <si>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</si>
  <si>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</si>
  <si>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</si>
  <si>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</si>
  <si>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</si>
  <si>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</si>
  <si>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</si>
  <si>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</si>
  <si>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</si>
  <si>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</si>
  <si>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</si>
  <si>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</si>
  <si>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</si>
  <si>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</si>
  <si>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</si>
  <si>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</si>
  <si>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</si>
  <si>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</si>
  <si>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</si>
  <si>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</si>
  <si>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</si>
  <si>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</si>
  <si>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</si>
  <si>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</si>
  <si>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</si>
  <si>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</si>
  <si>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</si>
  <si>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</si>
  <si>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</si>
  <si>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</si>
  <si>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</si>
  <si>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</si>
  <si>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</si>
  <si>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</si>
  <si>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</si>
  <si>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</si>
  <si>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</si>
  <si>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</si>
  <si>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</si>
  <si>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</si>
  <si>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</si>
  <si>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</si>
  <si>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</si>
  <si>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</si>
  <si>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</si>
  <si>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</si>
  <si>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</si>
  <si>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</si>
  <si>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</si>
  <si>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</si>
  <si>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</si>
  <si>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</si>
  <si>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</si>
  <si>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</si>
  <si>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</si>
  <si>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</si>
  <si>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</si>
  <si>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</si>
  <si>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</si>
  <si>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</si>
  <si>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</si>
  <si>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</si>
  <si>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</si>
  <si>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</si>
  <si>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</si>
  <si>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</si>
  <si>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</si>
  <si>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</si>
  <si>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</si>
  <si>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</si>
  <si>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</si>
  <si>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</si>
  <si>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</si>
  <si>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</si>
  <si>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</si>
  <si>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</si>
  <si>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</si>
  <si>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</si>
  <si>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</si>
  <si>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</si>
  <si>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</si>
  <si>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</si>
  <si>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</si>
  <si>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</si>
  <si>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</si>
  <si>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</si>
  <si>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</si>
  <si>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</si>
  <si>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</si>
  <si>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</si>
  <si>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</si>
  <si>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</si>
  <si>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</si>
  <si>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DESCRIPTION</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</si>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</sst>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0" t="s">
        <v>3</v>
      </c>
      <c r="C1" t="s">
        <v>1</v>
      </c>
      <c r="D1" t="s">
        <v>36</v>
      </c>
      <c r="E1" t="s">
        <v>12</v>
      </c>
      <c r="F1" t="s">
        <v>50</v>
      </c>
      <c r="G1" t="s">
        <v>2190</v>
      </c>
      <c r="H1" t="s">
        <v>22</v>
      </c>
      <c r="I1" t="s">
        <v>2191</v>
      </c>
      <c r="J1" t="s">
        <v>38</v>
      </c>
    </row>
    <row r="2" spans="1:10" x14ac:dyDescent="0.25">
      <c r="A2" t="s">
        <v>2192</v>
      </c>
      <c r="B2" s="20" t="s">
        <v>258</v>
      </c>
      <c r="C2" t="s">
        <v>8</v>
      </c>
      <c r="D2">
        <v>65</v>
      </c>
      <c r="E2">
        <v>2</v>
      </c>
      <c r="F2">
        <v>0</v>
      </c>
      <c r="G2">
        <v>2</v>
      </c>
      <c r="H2">
        <v>130</v>
      </c>
      <c r="I2" t="s">
        <v>2193</v>
      </c>
      <c r="J2">
        <v>3</v>
      </c>
    </row>
    <row r="3" spans="1:10" x14ac:dyDescent="0.25">
      <c r="A3" t="s">
        <v>2192</v>
      </c>
      <c r="B3" s="20" t="s">
        <v>259</v>
      </c>
      <c r="C3" t="s">
        <v>260</v>
      </c>
      <c r="D3">
        <v>15</v>
      </c>
      <c r="E3">
        <v>1</v>
      </c>
      <c r="F3">
        <v>0</v>
      </c>
      <c r="G3">
        <v>1</v>
      </c>
      <c r="H3">
        <v>15</v>
      </c>
      <c r="I3" t="s">
        <v>2193</v>
      </c>
      <c r="J3">
        <v>4</v>
      </c>
    </row>
    <row r="4" spans="1:10" x14ac:dyDescent="0.25">
      <c r="A4" t="s">
        <v>2192</v>
      </c>
      <c r="B4" s="20" t="s">
        <v>262</v>
      </c>
      <c r="C4" t="s">
        <v>8</v>
      </c>
      <c r="D4">
        <v>4</v>
      </c>
      <c r="E4">
        <v>1</v>
      </c>
      <c r="F4">
        <v>0</v>
      </c>
      <c r="G4">
        <v>1</v>
      </c>
      <c r="H4">
        <v>4</v>
      </c>
      <c r="I4" t="s">
        <v>2193</v>
      </c>
      <c r="J4">
        <v>5</v>
      </c>
    </row>
    <row r="5" spans="1:10" x14ac:dyDescent="0.25">
      <c r="A5" t="s">
        <v>2194</v>
      </c>
      <c r="B5" s="20" t="s">
        <v>255</v>
      </c>
      <c r="C5" t="s">
        <v>33</v>
      </c>
      <c r="D5">
        <v>22.5</v>
      </c>
      <c r="E5">
        <v>14</v>
      </c>
      <c r="F5">
        <v>0</v>
      </c>
      <c r="G5">
        <v>14</v>
      </c>
      <c r="H5">
        <v>315</v>
      </c>
      <c r="I5" t="s">
        <v>2193</v>
      </c>
      <c r="J5">
        <v>3</v>
      </c>
    </row>
    <row r="6" spans="1:10" x14ac:dyDescent="0.25">
      <c r="A6" t="s">
        <v>2195</v>
      </c>
      <c r="B6" s="20" t="s">
        <v>497</v>
      </c>
      <c r="C6" t="s">
        <v>498</v>
      </c>
      <c r="D6">
        <v>650</v>
      </c>
      <c r="E6">
        <v>1</v>
      </c>
      <c r="F6">
        <v>0</v>
      </c>
      <c r="G6">
        <v>1</v>
      </c>
      <c r="H6">
        <v>650</v>
      </c>
      <c r="I6" t="s">
        <v>2193</v>
      </c>
      <c r="J6">
        <v>3</v>
      </c>
    </row>
    <row r="7" spans="1:10" x14ac:dyDescent="0.25">
      <c r="A7" t="s">
        <v>2195</v>
      </c>
      <c r="B7" s="20" t="s">
        <v>1389</v>
      </c>
      <c r="C7" t="s">
        <v>498</v>
      </c>
      <c r="D7">
        <v>450</v>
      </c>
      <c r="E7">
        <v>1</v>
      </c>
      <c r="F7">
        <v>0</v>
      </c>
      <c r="G7">
        <v>1</v>
      </c>
      <c r="H7">
        <v>450</v>
      </c>
      <c r="I7" t="s">
        <v>2193</v>
      </c>
      <c r="J7">
        <v>4</v>
      </c>
    </row>
    <row r="8" spans="1:10" x14ac:dyDescent="0.25">
      <c r="A8" t="s">
        <v>2195</v>
      </c>
      <c r="B8" s="20" t="s">
        <v>35</v>
      </c>
      <c r="C8" t="s">
        <v>10</v>
      </c>
      <c r="D8">
        <v>45</v>
      </c>
      <c r="E8">
        <v>60</v>
      </c>
      <c r="F8">
        <v>0</v>
      </c>
      <c r="G8">
        <v>60</v>
      </c>
      <c r="H8">
        <v>2700</v>
      </c>
      <c r="I8" t="s">
        <v>2193</v>
      </c>
      <c r="J8">
        <v>5</v>
      </c>
    </row>
    <row r="9" spans="1:10" x14ac:dyDescent="0.25">
      <c r="A9" t="s">
        <v>2194</v>
      </c>
      <c r="B9" s="20" t="s">
        <v>255</v>
      </c>
      <c r="C9" t="s">
        <v>33</v>
      </c>
      <c r="D9">
        <v>22.5</v>
      </c>
      <c r="E9">
        <v>100</v>
      </c>
      <c r="F9">
        <v>0</v>
      </c>
      <c r="G9">
        <v>100</v>
      </c>
      <c r="H9">
        <v>2250</v>
      </c>
      <c r="I9" t="s">
        <v>2196</v>
      </c>
      <c r="J9">
        <v>3</v>
      </c>
    </row>
    <row r="10" spans="1:10" x14ac:dyDescent="0.25">
      <c r="A10" t="s">
        <v>2192</v>
      </c>
      <c r="B10" s="20" t="s">
        <v>485</v>
      </c>
      <c r="C10" t="s">
        <v>11</v>
      </c>
      <c r="D10">
        <v>830</v>
      </c>
      <c r="E10">
        <v>0.26</v>
      </c>
      <c r="F10">
        <v>0</v>
      </c>
      <c r="G10">
        <v>0.26</v>
      </c>
      <c r="H10">
        <v>215.8</v>
      </c>
      <c r="I10" t="s">
        <v>2197</v>
      </c>
      <c r="J10">
        <v>3</v>
      </c>
    </row>
    <row r="11" spans="1:10" x14ac:dyDescent="0.25">
      <c r="A11" t="s">
        <v>2192</v>
      </c>
      <c r="B11" s="20" t="s">
        <v>486</v>
      </c>
      <c r="C11" t="s">
        <v>11</v>
      </c>
      <c r="D11">
        <v>950</v>
      </c>
      <c r="E11">
        <v>0.05</v>
      </c>
      <c r="F11">
        <v>0</v>
      </c>
      <c r="G11">
        <v>0.05</v>
      </c>
      <c r="H11">
        <v>47.5</v>
      </c>
      <c r="I11" t="s">
        <v>2197</v>
      </c>
      <c r="J11">
        <v>4</v>
      </c>
    </row>
    <row r="12" spans="1:10" x14ac:dyDescent="0.25">
      <c r="A12" t="s">
        <v>2192</v>
      </c>
      <c r="B12" s="20" t="s">
        <v>644</v>
      </c>
      <c r="C12" t="s">
        <v>260</v>
      </c>
      <c r="D12">
        <v>180</v>
      </c>
      <c r="E12">
        <v>1</v>
      </c>
      <c r="F12">
        <v>0</v>
      </c>
      <c r="G12">
        <v>1</v>
      </c>
      <c r="H12">
        <v>180</v>
      </c>
      <c r="I12" t="s">
        <v>2197</v>
      </c>
      <c r="J12">
        <v>5</v>
      </c>
    </row>
    <row r="13" spans="1:10" x14ac:dyDescent="0.25">
      <c r="A13" t="s">
        <v>2192</v>
      </c>
      <c r="B13" s="20" t="s">
        <v>487</v>
      </c>
      <c r="C13" t="s">
        <v>8</v>
      </c>
      <c r="D13">
        <v>215</v>
      </c>
      <c r="E13">
        <v>4.41</v>
      </c>
      <c r="F13">
        <v>0</v>
      </c>
      <c r="G13">
        <v>4.41</v>
      </c>
      <c r="H13">
        <v>948.15</v>
      </c>
      <c r="I13" t="s">
        <v>2197</v>
      </c>
      <c r="J13">
        <v>6</v>
      </c>
    </row>
    <row r="14" spans="1:10" x14ac:dyDescent="0.25">
      <c r="A14" t="s">
        <v>2192</v>
      </c>
      <c r="B14" s="20" t="s">
        <v>489</v>
      </c>
      <c r="C14" t="s">
        <v>490</v>
      </c>
      <c r="D14">
        <v>330</v>
      </c>
      <c r="E14">
        <v>5.2</v>
      </c>
      <c r="F14">
        <v>0</v>
      </c>
      <c r="G14">
        <v>5.2</v>
      </c>
      <c r="H14">
        <v>1716</v>
      </c>
      <c r="I14" t="s">
        <v>2197</v>
      </c>
      <c r="J14">
        <v>7</v>
      </c>
    </row>
    <row r="15" spans="1:10" x14ac:dyDescent="0.25">
      <c r="A15" t="s">
        <v>2192</v>
      </c>
      <c r="B15" s="20" t="s">
        <v>485</v>
      </c>
      <c r="C15" t="s">
        <v>11</v>
      </c>
      <c r="D15">
        <v>830</v>
      </c>
      <c r="E15">
        <v>0.08</v>
      </c>
      <c r="F15">
        <v>0</v>
      </c>
      <c r="G15">
        <v>0.08</v>
      </c>
      <c r="H15">
        <v>66.400000000000006</v>
      </c>
      <c r="I15" t="s">
        <v>2197</v>
      </c>
      <c r="J15">
        <v>8</v>
      </c>
    </row>
    <row r="16" spans="1:10" x14ac:dyDescent="0.25">
      <c r="A16" t="s">
        <v>2192</v>
      </c>
      <c r="B16" s="20" t="s">
        <v>486</v>
      </c>
      <c r="C16" t="s">
        <v>11</v>
      </c>
      <c r="D16">
        <v>950</v>
      </c>
      <c r="E16">
        <v>0.02</v>
      </c>
      <c r="F16">
        <v>0</v>
      </c>
      <c r="G16">
        <v>0.02</v>
      </c>
      <c r="H16">
        <v>19</v>
      </c>
      <c r="I16" t="s">
        <v>2197</v>
      </c>
      <c r="J16">
        <v>9</v>
      </c>
    </row>
    <row r="17" spans="1:10" x14ac:dyDescent="0.25">
      <c r="A17" t="s">
        <v>2192</v>
      </c>
      <c r="B17" s="20" t="s">
        <v>487</v>
      </c>
      <c r="C17" t="s">
        <v>8</v>
      </c>
      <c r="D17">
        <v>215</v>
      </c>
      <c r="E17">
        <v>1.33</v>
      </c>
      <c r="F17">
        <v>0</v>
      </c>
      <c r="G17">
        <v>1.33</v>
      </c>
      <c r="H17">
        <v>285.95</v>
      </c>
      <c r="I17" t="s">
        <v>2197</v>
      </c>
      <c r="J17">
        <v>10</v>
      </c>
    </row>
    <row r="18" spans="1:10" x14ac:dyDescent="0.25">
      <c r="A18" t="s">
        <v>2192</v>
      </c>
      <c r="B18" s="20" t="s">
        <v>489</v>
      </c>
      <c r="C18" t="s">
        <v>490</v>
      </c>
      <c r="D18">
        <v>330</v>
      </c>
      <c r="E18">
        <v>1.57</v>
      </c>
      <c r="F18">
        <v>0</v>
      </c>
      <c r="G18">
        <v>1.57</v>
      </c>
      <c r="H18">
        <v>518.1</v>
      </c>
      <c r="I18" t="s">
        <v>2197</v>
      </c>
      <c r="J18">
        <v>11</v>
      </c>
    </row>
    <row r="19" spans="1:10" x14ac:dyDescent="0.25">
      <c r="A19" t="s">
        <v>2192</v>
      </c>
      <c r="B19" s="20" t="s">
        <v>647</v>
      </c>
      <c r="C19" t="s">
        <v>648</v>
      </c>
      <c r="D19">
        <v>130</v>
      </c>
      <c r="E19">
        <v>1</v>
      </c>
      <c r="F19">
        <v>0</v>
      </c>
      <c r="G19">
        <v>1</v>
      </c>
      <c r="H19">
        <v>130</v>
      </c>
      <c r="I19" t="s">
        <v>2197</v>
      </c>
      <c r="J19">
        <v>12</v>
      </c>
    </row>
    <row r="20" spans="1:10" x14ac:dyDescent="0.25">
      <c r="A20" t="s">
        <v>2194</v>
      </c>
      <c r="B20" s="20" t="s">
        <v>255</v>
      </c>
      <c r="C20" t="s">
        <v>33</v>
      </c>
      <c r="D20">
        <v>22.5</v>
      </c>
      <c r="E20">
        <v>81</v>
      </c>
      <c r="F20">
        <v>0</v>
      </c>
      <c r="G20">
        <v>81</v>
      </c>
      <c r="H20">
        <v>1822.5</v>
      </c>
      <c r="I20" t="s">
        <v>2197</v>
      </c>
      <c r="J20">
        <v>3</v>
      </c>
    </row>
    <row r="21" spans="1:10" x14ac:dyDescent="0.25">
      <c r="A21" t="s">
        <v>2195</v>
      </c>
      <c r="B21" s="20" t="s">
        <v>524</v>
      </c>
      <c r="C21" t="s">
        <v>525</v>
      </c>
      <c r="D21">
        <v>900</v>
      </c>
      <c r="E21">
        <v>1</v>
      </c>
      <c r="F21">
        <v>0</v>
      </c>
      <c r="G21">
        <v>1</v>
      </c>
      <c r="H21">
        <v>900</v>
      </c>
      <c r="I21" t="s">
        <v>2197</v>
      </c>
      <c r="J21">
        <v>3</v>
      </c>
    </row>
    <row r="22" spans="1:10" x14ac:dyDescent="0.25">
      <c r="A22" t="s">
        <v>2192</v>
      </c>
      <c r="B22" s="20" t="s">
        <v>650</v>
      </c>
      <c r="C22" t="s">
        <v>490</v>
      </c>
      <c r="D22">
        <v>340</v>
      </c>
      <c r="E22">
        <v>0.45</v>
      </c>
      <c r="F22">
        <v>0</v>
      </c>
      <c r="G22">
        <v>0.45</v>
      </c>
      <c r="H22">
        <v>153</v>
      </c>
      <c r="I22" t="s">
        <v>2198</v>
      </c>
      <c r="J22">
        <v>3</v>
      </c>
    </row>
    <row r="23" spans="1:10" x14ac:dyDescent="0.25">
      <c r="A23" t="s">
        <v>2192</v>
      </c>
      <c r="B23" s="20" t="s">
        <v>650</v>
      </c>
      <c r="C23" t="s">
        <v>490</v>
      </c>
      <c r="D23">
        <v>340</v>
      </c>
      <c r="E23">
        <v>4.0999999999999996</v>
      </c>
      <c r="F23">
        <v>0</v>
      </c>
      <c r="G23">
        <v>4.0999999999999996</v>
      </c>
      <c r="H23">
        <v>1393.9999999999998</v>
      </c>
      <c r="I23" t="s">
        <v>2198</v>
      </c>
      <c r="J23">
        <v>4</v>
      </c>
    </row>
    <row r="24" spans="1:10" x14ac:dyDescent="0.25">
      <c r="A24" t="s">
        <v>2192</v>
      </c>
      <c r="B24" s="20" t="s">
        <v>594</v>
      </c>
      <c r="C24" t="s">
        <v>595</v>
      </c>
      <c r="D24">
        <v>28</v>
      </c>
      <c r="E24">
        <v>28</v>
      </c>
      <c r="F24">
        <v>0.05</v>
      </c>
      <c r="G24">
        <v>29.400000000000002</v>
      </c>
      <c r="H24">
        <v>823.2</v>
      </c>
      <c r="I24" t="s">
        <v>2198</v>
      </c>
      <c r="J24">
        <v>5</v>
      </c>
    </row>
    <row r="25" spans="1:10" x14ac:dyDescent="0.25">
      <c r="A25" t="s">
        <v>2192</v>
      </c>
      <c r="B25" s="20" t="s">
        <v>596</v>
      </c>
      <c r="C25" t="s">
        <v>595</v>
      </c>
      <c r="D25">
        <v>15</v>
      </c>
      <c r="E25">
        <v>13</v>
      </c>
      <c r="F25">
        <v>0.05</v>
      </c>
      <c r="G25">
        <v>13.65</v>
      </c>
      <c r="H25">
        <v>204.75</v>
      </c>
      <c r="I25" t="s">
        <v>2198</v>
      </c>
      <c r="J25">
        <v>6</v>
      </c>
    </row>
    <row r="26" spans="1:10" x14ac:dyDescent="0.25">
      <c r="A26" t="s">
        <v>2192</v>
      </c>
      <c r="B26" s="20" t="s">
        <v>598</v>
      </c>
      <c r="C26" t="s">
        <v>599</v>
      </c>
      <c r="D26">
        <v>45</v>
      </c>
      <c r="E26">
        <v>12</v>
      </c>
      <c r="F26">
        <v>0.05</v>
      </c>
      <c r="G26">
        <v>12.600000000000001</v>
      </c>
      <c r="H26">
        <v>567.00000000000011</v>
      </c>
      <c r="I26" t="s">
        <v>2198</v>
      </c>
      <c r="J26">
        <v>7</v>
      </c>
    </row>
    <row r="27" spans="1:10" x14ac:dyDescent="0.25">
      <c r="A27" t="s">
        <v>2192</v>
      </c>
      <c r="B27" s="20" t="s">
        <v>655</v>
      </c>
      <c r="C27" t="s">
        <v>656</v>
      </c>
      <c r="D27">
        <v>15</v>
      </c>
      <c r="E27">
        <v>20</v>
      </c>
      <c r="F27">
        <v>0.05</v>
      </c>
      <c r="G27">
        <v>21</v>
      </c>
      <c r="H27">
        <v>315</v>
      </c>
      <c r="I27" t="s">
        <v>2198</v>
      </c>
      <c r="J27">
        <v>8</v>
      </c>
    </row>
    <row r="28" spans="1:10" x14ac:dyDescent="0.25">
      <c r="A28" t="s">
        <v>2192</v>
      </c>
      <c r="B28" s="20" t="s">
        <v>647</v>
      </c>
      <c r="C28" t="s">
        <v>648</v>
      </c>
      <c r="D28">
        <v>130</v>
      </c>
      <c r="E28">
        <v>1</v>
      </c>
      <c r="F28">
        <v>0</v>
      </c>
      <c r="G28">
        <v>1</v>
      </c>
      <c r="H28">
        <v>130</v>
      </c>
      <c r="I28" t="s">
        <v>2198</v>
      </c>
      <c r="J28">
        <v>9</v>
      </c>
    </row>
    <row r="29" spans="1:10" x14ac:dyDescent="0.25">
      <c r="A29" t="s">
        <v>2194</v>
      </c>
      <c r="B29" s="20" t="s">
        <v>255</v>
      </c>
      <c r="C29" t="s">
        <v>33</v>
      </c>
      <c r="D29">
        <v>22.5</v>
      </c>
      <c r="E29">
        <v>141</v>
      </c>
      <c r="F29">
        <v>0</v>
      </c>
      <c r="G29">
        <v>141</v>
      </c>
      <c r="H29">
        <v>3172.5</v>
      </c>
      <c r="I29" t="s">
        <v>2198</v>
      </c>
      <c r="J29">
        <v>3</v>
      </c>
    </row>
    <row r="30" spans="1:10" x14ac:dyDescent="0.25">
      <c r="A30" t="s">
        <v>2195</v>
      </c>
      <c r="B30" s="20" t="s">
        <v>524</v>
      </c>
      <c r="C30" t="s">
        <v>525</v>
      </c>
      <c r="D30">
        <v>900</v>
      </c>
      <c r="E30">
        <v>1</v>
      </c>
      <c r="F30">
        <v>0</v>
      </c>
      <c r="G30">
        <v>1</v>
      </c>
      <c r="H30">
        <v>900</v>
      </c>
      <c r="I30" t="s">
        <v>2198</v>
      </c>
      <c r="J30">
        <v>3</v>
      </c>
    </row>
    <row r="31" spans="1:10" x14ac:dyDescent="0.25">
      <c r="A31" t="s">
        <v>2192</v>
      </c>
      <c r="B31" s="20" t="s">
        <v>650</v>
      </c>
      <c r="C31" t="s">
        <v>490</v>
      </c>
      <c r="D31">
        <v>340</v>
      </c>
      <c r="E31">
        <v>1.5</v>
      </c>
      <c r="F31">
        <v>0</v>
      </c>
      <c r="G31">
        <v>1.5</v>
      </c>
      <c r="H31">
        <v>510</v>
      </c>
      <c r="I31" t="s">
        <v>2199</v>
      </c>
      <c r="J31">
        <v>3</v>
      </c>
    </row>
    <row r="32" spans="1:10" x14ac:dyDescent="0.25">
      <c r="A32" t="s">
        <v>2192</v>
      </c>
      <c r="B32" s="20" t="s">
        <v>594</v>
      </c>
      <c r="C32" t="s">
        <v>595</v>
      </c>
      <c r="D32">
        <v>28</v>
      </c>
      <c r="E32">
        <v>12</v>
      </c>
      <c r="F32">
        <v>0.05</v>
      </c>
      <c r="G32">
        <v>12.600000000000001</v>
      </c>
      <c r="H32">
        <v>352.80000000000007</v>
      </c>
      <c r="I32" t="s">
        <v>2199</v>
      </c>
      <c r="J32">
        <v>4</v>
      </c>
    </row>
    <row r="33" spans="1:10" x14ac:dyDescent="0.25">
      <c r="A33" t="s">
        <v>2192</v>
      </c>
      <c r="B33" s="20" t="s">
        <v>799</v>
      </c>
      <c r="C33" t="s">
        <v>595</v>
      </c>
      <c r="D33">
        <v>22</v>
      </c>
      <c r="E33">
        <v>17</v>
      </c>
      <c r="F33">
        <v>0.05</v>
      </c>
      <c r="G33">
        <v>17.850000000000001</v>
      </c>
      <c r="H33">
        <v>392.70000000000005</v>
      </c>
      <c r="I33" t="s">
        <v>2199</v>
      </c>
      <c r="J33">
        <v>5</v>
      </c>
    </row>
    <row r="34" spans="1:10" x14ac:dyDescent="0.25">
      <c r="A34" t="s">
        <v>2192</v>
      </c>
      <c r="B34" s="20" t="s">
        <v>596</v>
      </c>
      <c r="C34" t="s">
        <v>595</v>
      </c>
      <c r="D34">
        <v>15</v>
      </c>
      <c r="E34">
        <v>17</v>
      </c>
      <c r="F34">
        <v>0.05</v>
      </c>
      <c r="G34">
        <v>17.850000000000001</v>
      </c>
      <c r="H34">
        <v>267.75</v>
      </c>
      <c r="I34" t="s">
        <v>2199</v>
      </c>
      <c r="J34">
        <v>6</v>
      </c>
    </row>
    <row r="35" spans="1:10" x14ac:dyDescent="0.25">
      <c r="A35" t="s">
        <v>2192</v>
      </c>
      <c r="B35" s="20" t="s">
        <v>598</v>
      </c>
      <c r="C35" t="s">
        <v>599</v>
      </c>
      <c r="D35">
        <v>45</v>
      </c>
      <c r="E35">
        <v>14</v>
      </c>
      <c r="F35">
        <v>0.05</v>
      </c>
      <c r="G35">
        <v>14.700000000000001</v>
      </c>
      <c r="H35">
        <v>661.5</v>
      </c>
      <c r="I35" t="s">
        <v>2199</v>
      </c>
      <c r="J35">
        <v>7</v>
      </c>
    </row>
    <row r="36" spans="1:10" x14ac:dyDescent="0.25">
      <c r="A36" t="s">
        <v>2192</v>
      </c>
      <c r="B36" s="20" t="s">
        <v>655</v>
      </c>
      <c r="C36" t="s">
        <v>656</v>
      </c>
      <c r="D36">
        <v>15</v>
      </c>
      <c r="E36">
        <v>24</v>
      </c>
      <c r="F36">
        <v>0.05</v>
      </c>
      <c r="G36">
        <v>25.200000000000003</v>
      </c>
      <c r="H36">
        <v>378.00000000000006</v>
      </c>
      <c r="I36" t="s">
        <v>2199</v>
      </c>
      <c r="J36">
        <v>8</v>
      </c>
    </row>
    <row r="37" spans="1:10" x14ac:dyDescent="0.25">
      <c r="A37" t="s">
        <v>2192</v>
      </c>
      <c r="B37" s="20" t="s">
        <v>647</v>
      </c>
      <c r="C37" t="s">
        <v>648</v>
      </c>
      <c r="D37">
        <v>130</v>
      </c>
      <c r="E37">
        <v>1</v>
      </c>
      <c r="F37">
        <v>0</v>
      </c>
      <c r="G37">
        <v>1</v>
      </c>
      <c r="H37">
        <v>130</v>
      </c>
      <c r="I37" t="s">
        <v>2199</v>
      </c>
      <c r="J37">
        <v>9</v>
      </c>
    </row>
    <row r="38" spans="1:10" x14ac:dyDescent="0.25">
      <c r="A38" t="s">
        <v>2194</v>
      </c>
      <c r="B38" s="20" t="s">
        <v>255</v>
      </c>
      <c r="C38" t="s">
        <v>33</v>
      </c>
      <c r="D38">
        <v>22.5</v>
      </c>
      <c r="E38">
        <v>110</v>
      </c>
      <c r="F38">
        <v>0</v>
      </c>
      <c r="G38">
        <v>110</v>
      </c>
      <c r="H38">
        <v>2475</v>
      </c>
      <c r="I38" t="s">
        <v>2199</v>
      </c>
      <c r="J38">
        <v>3</v>
      </c>
    </row>
    <row r="39" spans="1:10" x14ac:dyDescent="0.25">
      <c r="A39" t="s">
        <v>2192</v>
      </c>
      <c r="B39" s="20" t="s">
        <v>881</v>
      </c>
      <c r="C39" t="s">
        <v>656</v>
      </c>
      <c r="D39">
        <v>12.6</v>
      </c>
      <c r="E39">
        <v>4</v>
      </c>
      <c r="F39">
        <v>0.05</v>
      </c>
      <c r="G39">
        <v>4.2</v>
      </c>
      <c r="H39">
        <v>52.92</v>
      </c>
      <c r="I39" t="s">
        <v>2200</v>
      </c>
      <c r="J39">
        <v>3</v>
      </c>
    </row>
    <row r="40" spans="1:10" x14ac:dyDescent="0.25">
      <c r="A40" t="s">
        <v>2192</v>
      </c>
      <c r="B40" s="20" t="s">
        <v>1933</v>
      </c>
      <c r="C40" t="s">
        <v>8</v>
      </c>
      <c r="D40">
        <v>3</v>
      </c>
      <c r="E40">
        <v>5</v>
      </c>
      <c r="F40">
        <v>0.05</v>
      </c>
      <c r="G40">
        <v>5.25</v>
      </c>
      <c r="H40">
        <v>15.75</v>
      </c>
      <c r="I40" t="s">
        <v>2200</v>
      </c>
      <c r="J40">
        <v>4</v>
      </c>
    </row>
    <row r="41" spans="1:10" x14ac:dyDescent="0.25">
      <c r="A41" t="s">
        <v>2192</v>
      </c>
      <c r="B41" s="20" t="s">
        <v>883</v>
      </c>
      <c r="C41" t="s">
        <v>8</v>
      </c>
      <c r="D41">
        <v>13</v>
      </c>
      <c r="E41">
        <v>2</v>
      </c>
      <c r="F41">
        <v>0</v>
      </c>
      <c r="G41">
        <v>2</v>
      </c>
      <c r="H41">
        <v>26</v>
      </c>
      <c r="I41" t="s">
        <v>2200</v>
      </c>
      <c r="J41">
        <v>5</v>
      </c>
    </row>
    <row r="42" spans="1:10" x14ac:dyDescent="0.25">
      <c r="A42" t="s">
        <v>2192</v>
      </c>
      <c r="B42" s="20" t="s">
        <v>884</v>
      </c>
      <c r="C42" t="s">
        <v>8</v>
      </c>
      <c r="D42">
        <v>8</v>
      </c>
      <c r="E42">
        <v>1</v>
      </c>
      <c r="F42">
        <v>0</v>
      </c>
      <c r="G42">
        <v>1</v>
      </c>
      <c r="H42">
        <v>8</v>
      </c>
      <c r="I42" t="s">
        <v>2200</v>
      </c>
      <c r="J42">
        <v>6</v>
      </c>
    </row>
    <row r="43" spans="1:10" x14ac:dyDescent="0.25">
      <c r="A43" t="s">
        <v>2192</v>
      </c>
      <c r="B43" s="20" t="s">
        <v>886</v>
      </c>
      <c r="C43" t="s">
        <v>8</v>
      </c>
      <c r="D43">
        <v>49</v>
      </c>
      <c r="E43">
        <v>3</v>
      </c>
      <c r="F43">
        <v>0.05</v>
      </c>
      <c r="G43">
        <v>3.1500000000000004</v>
      </c>
      <c r="H43">
        <v>154.35000000000002</v>
      </c>
      <c r="I43" t="s">
        <v>2200</v>
      </c>
      <c r="J43">
        <v>7</v>
      </c>
    </row>
    <row r="44" spans="1:10" x14ac:dyDescent="0.25">
      <c r="A44" t="s">
        <v>2192</v>
      </c>
      <c r="B44" s="20" t="s">
        <v>887</v>
      </c>
      <c r="C44" t="s">
        <v>8</v>
      </c>
      <c r="D44">
        <v>4.3</v>
      </c>
      <c r="E44">
        <v>6</v>
      </c>
      <c r="F44">
        <v>0.05</v>
      </c>
      <c r="G44">
        <v>6.3000000000000007</v>
      </c>
      <c r="H44">
        <v>27.090000000000003</v>
      </c>
      <c r="I44" t="s">
        <v>2200</v>
      </c>
      <c r="J44">
        <v>8</v>
      </c>
    </row>
    <row r="45" spans="1:10" x14ac:dyDescent="0.25">
      <c r="A45" t="s">
        <v>2192</v>
      </c>
      <c r="B45" s="20" t="s">
        <v>48</v>
      </c>
      <c r="C45" t="s">
        <v>8</v>
      </c>
      <c r="D45">
        <v>15</v>
      </c>
      <c r="E45">
        <v>1</v>
      </c>
      <c r="F45">
        <v>0</v>
      </c>
      <c r="G45">
        <v>1</v>
      </c>
      <c r="H45">
        <v>15</v>
      </c>
      <c r="I45" t="s">
        <v>2200</v>
      </c>
      <c r="J45">
        <v>9</v>
      </c>
    </row>
    <row r="46" spans="1:10" x14ac:dyDescent="0.25">
      <c r="A46" t="s">
        <v>2192</v>
      </c>
      <c r="B46" s="20" t="s">
        <v>1939</v>
      </c>
      <c r="C46" t="s">
        <v>8</v>
      </c>
      <c r="D46">
        <v>4</v>
      </c>
      <c r="E46">
        <v>1</v>
      </c>
      <c r="F46">
        <v>0</v>
      </c>
      <c r="G46">
        <v>1</v>
      </c>
      <c r="H46">
        <v>4</v>
      </c>
      <c r="I46" t="s">
        <v>2200</v>
      </c>
      <c r="J46">
        <v>10</v>
      </c>
    </row>
    <row r="47" spans="1:10" x14ac:dyDescent="0.25">
      <c r="A47" t="s">
        <v>2192</v>
      </c>
      <c r="B47" s="20" t="s">
        <v>1941</v>
      </c>
      <c r="C47" t="s">
        <v>8</v>
      </c>
      <c r="D47">
        <v>8</v>
      </c>
      <c r="E47">
        <v>1</v>
      </c>
      <c r="F47">
        <v>0</v>
      </c>
      <c r="G47">
        <v>1</v>
      </c>
      <c r="H47">
        <v>8</v>
      </c>
      <c r="I47" t="s">
        <v>2200</v>
      </c>
      <c r="J47">
        <v>11</v>
      </c>
    </row>
    <row r="48" spans="1:10" x14ac:dyDescent="0.25">
      <c r="A48" t="s">
        <v>2192</v>
      </c>
      <c r="B48" s="20" t="s">
        <v>889</v>
      </c>
      <c r="C48" t="s">
        <v>8</v>
      </c>
      <c r="D48">
        <v>91</v>
      </c>
      <c r="E48">
        <v>2</v>
      </c>
      <c r="F48">
        <v>0.05</v>
      </c>
      <c r="G48">
        <v>2.1</v>
      </c>
      <c r="H48">
        <v>191.1</v>
      </c>
      <c r="I48" t="s">
        <v>2200</v>
      </c>
      <c r="J48">
        <v>12</v>
      </c>
    </row>
    <row r="49" spans="1:10" x14ac:dyDescent="0.25">
      <c r="A49" t="s">
        <v>2192</v>
      </c>
      <c r="B49" s="20" t="s">
        <v>890</v>
      </c>
      <c r="C49" t="s">
        <v>8</v>
      </c>
      <c r="D49">
        <v>9.5</v>
      </c>
      <c r="E49">
        <v>2</v>
      </c>
      <c r="F49">
        <v>0.05</v>
      </c>
      <c r="G49">
        <v>2.1</v>
      </c>
      <c r="H49">
        <v>19.95</v>
      </c>
      <c r="I49" t="s">
        <v>2200</v>
      </c>
      <c r="J49">
        <v>13</v>
      </c>
    </row>
    <row r="50" spans="1:10" x14ac:dyDescent="0.25">
      <c r="A50" t="s">
        <v>2192</v>
      </c>
      <c r="B50" s="20" t="s">
        <v>891</v>
      </c>
      <c r="C50" t="s">
        <v>892</v>
      </c>
      <c r="D50">
        <v>8.4</v>
      </c>
      <c r="E50">
        <v>1</v>
      </c>
      <c r="F50">
        <v>0</v>
      </c>
      <c r="G50">
        <v>1</v>
      </c>
      <c r="H50">
        <v>8.4</v>
      </c>
      <c r="I50" t="s">
        <v>2200</v>
      </c>
      <c r="J50">
        <v>14</v>
      </c>
    </row>
    <row r="51" spans="1:10" x14ac:dyDescent="0.25">
      <c r="A51" t="s">
        <v>2192</v>
      </c>
      <c r="B51" s="20" t="s">
        <v>894</v>
      </c>
      <c r="C51" t="s">
        <v>8</v>
      </c>
      <c r="D51">
        <v>1</v>
      </c>
      <c r="E51">
        <v>1</v>
      </c>
      <c r="F51">
        <v>0</v>
      </c>
      <c r="G51">
        <v>1</v>
      </c>
      <c r="H51">
        <v>1</v>
      </c>
      <c r="I51" t="s">
        <v>2200</v>
      </c>
      <c r="J51">
        <v>15</v>
      </c>
    </row>
    <row r="52" spans="1:10" x14ac:dyDescent="0.25">
      <c r="A52" t="s">
        <v>2194</v>
      </c>
      <c r="B52" s="20" t="s">
        <v>255</v>
      </c>
      <c r="C52" t="s">
        <v>33</v>
      </c>
      <c r="D52">
        <v>22.5</v>
      </c>
      <c r="E52">
        <v>64</v>
      </c>
      <c r="F52">
        <v>0</v>
      </c>
      <c r="G52">
        <v>64</v>
      </c>
      <c r="H52">
        <v>1440</v>
      </c>
      <c r="I52" t="s">
        <v>2200</v>
      </c>
      <c r="J52">
        <v>3</v>
      </c>
    </row>
    <row r="53" spans="1:10" x14ac:dyDescent="0.25">
      <c r="A53" t="s">
        <v>2192</v>
      </c>
      <c r="B53" s="20" t="s">
        <v>1982</v>
      </c>
      <c r="C53" t="s">
        <v>656</v>
      </c>
      <c r="D53">
        <v>55</v>
      </c>
      <c r="E53">
        <v>16</v>
      </c>
      <c r="F53">
        <v>0.05</v>
      </c>
      <c r="G53">
        <v>16.8</v>
      </c>
      <c r="H53">
        <v>924</v>
      </c>
      <c r="I53" t="s">
        <v>2201</v>
      </c>
      <c r="J53">
        <v>3</v>
      </c>
    </row>
    <row r="54" spans="1:10" x14ac:dyDescent="0.25">
      <c r="A54" t="s">
        <v>2192</v>
      </c>
      <c r="B54" s="20" t="s">
        <v>938</v>
      </c>
      <c r="C54" t="s">
        <v>8</v>
      </c>
      <c r="D54">
        <v>22</v>
      </c>
      <c r="E54">
        <v>26</v>
      </c>
      <c r="F54">
        <v>0.05</v>
      </c>
      <c r="G54">
        <v>27.3</v>
      </c>
      <c r="H54">
        <v>600.6</v>
      </c>
      <c r="I54" t="s">
        <v>2201</v>
      </c>
      <c r="J54">
        <v>4</v>
      </c>
    </row>
    <row r="55" spans="1:10" x14ac:dyDescent="0.25">
      <c r="A55" t="s">
        <v>2192</v>
      </c>
      <c r="B55" s="20" t="s">
        <v>940</v>
      </c>
      <c r="C55" t="s">
        <v>941</v>
      </c>
      <c r="D55">
        <v>5.5</v>
      </c>
      <c r="E55">
        <v>958</v>
      </c>
      <c r="F55">
        <v>0.05</v>
      </c>
      <c r="G55">
        <v>1005.9000000000001</v>
      </c>
      <c r="H55">
        <v>5532.4500000000007</v>
      </c>
      <c r="I55" t="s">
        <v>2201</v>
      </c>
      <c r="J55">
        <v>5</v>
      </c>
    </row>
    <row r="56" spans="1:10" x14ac:dyDescent="0.25">
      <c r="A56" t="s">
        <v>2192</v>
      </c>
      <c r="B56" s="20" t="s">
        <v>1446</v>
      </c>
      <c r="C56" t="s">
        <v>8</v>
      </c>
      <c r="D56">
        <v>0.13</v>
      </c>
      <c r="E56">
        <v>1200</v>
      </c>
      <c r="F56">
        <v>0.05</v>
      </c>
      <c r="G56">
        <v>1260</v>
      </c>
      <c r="H56">
        <v>163.80000000000001</v>
      </c>
      <c r="I56" t="s">
        <v>2201</v>
      </c>
      <c r="J56">
        <v>6</v>
      </c>
    </row>
    <row r="57" spans="1:10" x14ac:dyDescent="0.25">
      <c r="A57" t="s">
        <v>2192</v>
      </c>
      <c r="B57" s="20" t="s">
        <v>944</v>
      </c>
      <c r="C57" t="s">
        <v>8</v>
      </c>
      <c r="D57">
        <v>28</v>
      </c>
      <c r="E57">
        <v>10</v>
      </c>
      <c r="F57">
        <v>0.05</v>
      </c>
      <c r="G57">
        <v>10.5</v>
      </c>
      <c r="H57">
        <v>294</v>
      </c>
      <c r="I57" t="s">
        <v>2201</v>
      </c>
      <c r="J57">
        <v>7</v>
      </c>
    </row>
    <row r="58" spans="1:10" x14ac:dyDescent="0.25">
      <c r="A58" t="s">
        <v>2192</v>
      </c>
      <c r="B58" s="20" t="s">
        <v>945</v>
      </c>
      <c r="C58" t="s">
        <v>260</v>
      </c>
      <c r="D58">
        <v>15</v>
      </c>
      <c r="E58">
        <v>3</v>
      </c>
      <c r="F58">
        <v>0.05</v>
      </c>
      <c r="G58">
        <v>3.1500000000000004</v>
      </c>
      <c r="H58">
        <v>47.250000000000007</v>
      </c>
      <c r="I58" t="s">
        <v>2201</v>
      </c>
      <c r="J58">
        <v>8</v>
      </c>
    </row>
    <row r="59" spans="1:10" x14ac:dyDescent="0.25">
      <c r="A59" t="s">
        <v>2192</v>
      </c>
      <c r="B59" s="20" t="s">
        <v>1447</v>
      </c>
      <c r="C59" t="s">
        <v>656</v>
      </c>
      <c r="D59">
        <v>45</v>
      </c>
      <c r="E59">
        <v>8</v>
      </c>
      <c r="F59">
        <v>0.05</v>
      </c>
      <c r="G59">
        <v>8.4</v>
      </c>
      <c r="H59">
        <v>378</v>
      </c>
      <c r="I59" t="s">
        <v>2201</v>
      </c>
      <c r="J59">
        <v>9</v>
      </c>
    </row>
    <row r="60" spans="1:10" x14ac:dyDescent="0.25">
      <c r="A60" t="s">
        <v>2192</v>
      </c>
      <c r="B60" s="20" t="s">
        <v>1449</v>
      </c>
      <c r="C60" t="s">
        <v>8</v>
      </c>
      <c r="D60">
        <v>7.5</v>
      </c>
      <c r="E60">
        <v>24</v>
      </c>
      <c r="F60">
        <v>0.05</v>
      </c>
      <c r="G60">
        <v>25.200000000000003</v>
      </c>
      <c r="H60">
        <v>189.00000000000003</v>
      </c>
      <c r="I60" t="s">
        <v>2201</v>
      </c>
      <c r="J60">
        <v>10</v>
      </c>
    </row>
    <row r="61" spans="1:10" x14ac:dyDescent="0.25">
      <c r="A61" t="s">
        <v>2192</v>
      </c>
      <c r="B61" s="20" t="s">
        <v>1450</v>
      </c>
      <c r="C61" t="s">
        <v>8</v>
      </c>
      <c r="D61">
        <v>10</v>
      </c>
      <c r="E61">
        <v>4</v>
      </c>
      <c r="F61">
        <v>0</v>
      </c>
      <c r="G61">
        <v>4</v>
      </c>
      <c r="H61">
        <v>40</v>
      </c>
      <c r="I61" t="s">
        <v>2201</v>
      </c>
      <c r="J61">
        <v>11</v>
      </c>
    </row>
    <row r="62" spans="1:10" x14ac:dyDescent="0.25">
      <c r="A62" t="s">
        <v>2192</v>
      </c>
      <c r="B62" s="20" t="s">
        <v>1453</v>
      </c>
      <c r="C62" t="s">
        <v>656</v>
      </c>
      <c r="D62">
        <v>59</v>
      </c>
      <c r="E62">
        <v>4</v>
      </c>
      <c r="F62">
        <v>0.05</v>
      </c>
      <c r="G62">
        <v>4.2</v>
      </c>
      <c r="H62">
        <v>247.8</v>
      </c>
      <c r="I62" t="s">
        <v>2201</v>
      </c>
      <c r="J62">
        <v>12</v>
      </c>
    </row>
    <row r="63" spans="1:10" x14ac:dyDescent="0.25">
      <c r="A63" t="s">
        <v>2192</v>
      </c>
      <c r="B63" s="20" t="s">
        <v>1455</v>
      </c>
      <c r="C63" t="s">
        <v>8</v>
      </c>
      <c r="D63">
        <v>6.2</v>
      </c>
      <c r="E63">
        <v>4</v>
      </c>
      <c r="F63">
        <v>0.05</v>
      </c>
      <c r="G63">
        <v>4.2</v>
      </c>
      <c r="H63">
        <v>26.040000000000003</v>
      </c>
      <c r="I63" t="s">
        <v>2201</v>
      </c>
      <c r="J63">
        <v>13</v>
      </c>
    </row>
    <row r="64" spans="1:10" x14ac:dyDescent="0.25">
      <c r="A64" t="s">
        <v>2192</v>
      </c>
      <c r="B64" s="20" t="s">
        <v>1457</v>
      </c>
      <c r="C64" t="s">
        <v>8</v>
      </c>
      <c r="D64">
        <v>5.6</v>
      </c>
      <c r="E64">
        <v>8</v>
      </c>
      <c r="F64">
        <v>0.05</v>
      </c>
      <c r="G64">
        <v>8.4</v>
      </c>
      <c r="H64">
        <v>47.04</v>
      </c>
      <c r="I64" t="s">
        <v>2201</v>
      </c>
      <c r="J64">
        <v>14</v>
      </c>
    </row>
    <row r="65" spans="1:10" x14ac:dyDescent="0.25">
      <c r="A65" t="s">
        <v>2192</v>
      </c>
      <c r="B65" s="20" t="s">
        <v>947</v>
      </c>
      <c r="C65" t="s">
        <v>8</v>
      </c>
      <c r="D65">
        <v>3</v>
      </c>
      <c r="E65">
        <v>12</v>
      </c>
      <c r="F65">
        <v>0.05</v>
      </c>
      <c r="G65">
        <v>12.600000000000001</v>
      </c>
      <c r="H65">
        <v>37.800000000000004</v>
      </c>
      <c r="I65" t="s">
        <v>2201</v>
      </c>
      <c r="J65">
        <v>15</v>
      </c>
    </row>
    <row r="66" spans="1:10" x14ac:dyDescent="0.25">
      <c r="A66" t="s">
        <v>2194</v>
      </c>
      <c r="B66" s="20" t="s">
        <v>255</v>
      </c>
      <c r="C66" t="s">
        <v>33</v>
      </c>
      <c r="D66">
        <v>22.5</v>
      </c>
      <c r="E66">
        <v>89</v>
      </c>
      <c r="F66">
        <v>0</v>
      </c>
      <c r="G66">
        <v>89</v>
      </c>
      <c r="H66">
        <v>2002.5</v>
      </c>
      <c r="I66" t="s">
        <v>2201</v>
      </c>
      <c r="J66">
        <v>3</v>
      </c>
    </row>
    <row r="67" spans="1:10" x14ac:dyDescent="0.25">
      <c r="A67" t="s">
        <v>2192</v>
      </c>
      <c r="B67" s="20" t="s">
        <v>1135</v>
      </c>
      <c r="C67" t="s">
        <v>8</v>
      </c>
      <c r="D67">
        <v>0.28000000000000003</v>
      </c>
      <c r="E67">
        <v>3900</v>
      </c>
      <c r="F67">
        <v>0.03</v>
      </c>
      <c r="G67">
        <v>4017</v>
      </c>
      <c r="H67">
        <v>1124.7600000000002</v>
      </c>
      <c r="I67" t="s">
        <v>2202</v>
      </c>
      <c r="J67">
        <v>3</v>
      </c>
    </row>
    <row r="68" spans="1:10" x14ac:dyDescent="0.25">
      <c r="A68" t="s">
        <v>2192</v>
      </c>
      <c r="B68" s="20" t="s">
        <v>2009</v>
      </c>
      <c r="C68" t="s">
        <v>9</v>
      </c>
      <c r="D68">
        <v>24</v>
      </c>
      <c r="E68">
        <v>12</v>
      </c>
      <c r="F68">
        <v>0.05</v>
      </c>
      <c r="G68">
        <v>12.600000000000001</v>
      </c>
      <c r="H68">
        <v>302.40000000000003</v>
      </c>
      <c r="I68" t="s">
        <v>2202</v>
      </c>
      <c r="J68">
        <v>4</v>
      </c>
    </row>
    <row r="69" spans="1:10" x14ac:dyDescent="0.25">
      <c r="A69" t="s">
        <v>2192</v>
      </c>
      <c r="B69" s="20" t="s">
        <v>666</v>
      </c>
      <c r="C69" t="s">
        <v>11</v>
      </c>
      <c r="D69">
        <v>850</v>
      </c>
      <c r="E69">
        <v>0.2</v>
      </c>
      <c r="F69">
        <v>0.05</v>
      </c>
      <c r="G69">
        <v>0.21000000000000002</v>
      </c>
      <c r="H69">
        <v>178.50000000000003</v>
      </c>
      <c r="I69" t="s">
        <v>2202</v>
      </c>
      <c r="J69">
        <v>5</v>
      </c>
    </row>
    <row r="70" spans="1:10" x14ac:dyDescent="0.25">
      <c r="A70" t="s">
        <v>2192</v>
      </c>
      <c r="B70" s="20" t="s">
        <v>799</v>
      </c>
      <c r="C70" t="s">
        <v>595</v>
      </c>
      <c r="D70">
        <v>22</v>
      </c>
      <c r="E70">
        <v>2</v>
      </c>
      <c r="F70">
        <v>0.05</v>
      </c>
      <c r="G70">
        <v>2.1</v>
      </c>
      <c r="H70">
        <v>46.2</v>
      </c>
      <c r="I70" t="s">
        <v>2202</v>
      </c>
      <c r="J70">
        <v>6</v>
      </c>
    </row>
    <row r="71" spans="1:10" x14ac:dyDescent="0.25">
      <c r="A71" t="s">
        <v>2192</v>
      </c>
      <c r="B71" s="20" t="s">
        <v>596</v>
      </c>
      <c r="C71" t="s">
        <v>595</v>
      </c>
      <c r="D71">
        <v>15</v>
      </c>
      <c r="E71">
        <v>2</v>
      </c>
      <c r="F71">
        <v>0.05</v>
      </c>
      <c r="G71">
        <v>2.1</v>
      </c>
      <c r="H71">
        <v>31.5</v>
      </c>
      <c r="I71" t="s">
        <v>2202</v>
      </c>
      <c r="J71">
        <v>7</v>
      </c>
    </row>
    <row r="72" spans="1:10" x14ac:dyDescent="0.25">
      <c r="A72" t="s">
        <v>2192</v>
      </c>
      <c r="B72" s="20" t="s">
        <v>598</v>
      </c>
      <c r="C72" t="s">
        <v>599</v>
      </c>
      <c r="D72">
        <v>45</v>
      </c>
      <c r="E72">
        <v>2</v>
      </c>
      <c r="F72">
        <v>0.05</v>
      </c>
      <c r="G72">
        <v>2.1</v>
      </c>
      <c r="H72">
        <v>94.5</v>
      </c>
      <c r="I72" t="s">
        <v>2202</v>
      </c>
      <c r="J72">
        <v>8</v>
      </c>
    </row>
    <row r="73" spans="1:10" x14ac:dyDescent="0.25">
      <c r="A73" t="s">
        <v>2192</v>
      </c>
      <c r="B73" s="20" t="s">
        <v>655</v>
      </c>
      <c r="C73" t="s">
        <v>656</v>
      </c>
      <c r="D73">
        <v>15</v>
      </c>
      <c r="E73">
        <v>4</v>
      </c>
      <c r="F73">
        <v>0.05</v>
      </c>
      <c r="G73">
        <v>4.2</v>
      </c>
      <c r="H73">
        <v>63</v>
      </c>
      <c r="I73" t="s">
        <v>2202</v>
      </c>
      <c r="J73">
        <v>9</v>
      </c>
    </row>
    <row r="74" spans="1:10" x14ac:dyDescent="0.25">
      <c r="A74" t="s">
        <v>2194</v>
      </c>
      <c r="B74" s="20" t="s">
        <v>255</v>
      </c>
      <c r="C74" t="s">
        <v>33</v>
      </c>
      <c r="D74">
        <v>22.5</v>
      </c>
      <c r="E74">
        <v>136</v>
      </c>
      <c r="F74">
        <v>0</v>
      </c>
      <c r="G74">
        <v>136</v>
      </c>
      <c r="H74">
        <v>3060</v>
      </c>
      <c r="I74" t="s">
        <v>2202</v>
      </c>
      <c r="J74">
        <v>3</v>
      </c>
    </row>
    <row r="75" spans="1:10" x14ac:dyDescent="0.25">
      <c r="A75" t="s">
        <v>2192</v>
      </c>
      <c r="B75" s="20" t="s">
        <v>2026</v>
      </c>
      <c r="C75" t="s">
        <v>10</v>
      </c>
      <c r="D75">
        <v>480</v>
      </c>
      <c r="E75">
        <v>1</v>
      </c>
      <c r="F75">
        <v>0</v>
      </c>
      <c r="G75">
        <v>1</v>
      </c>
      <c r="H75">
        <v>480</v>
      </c>
      <c r="I75" t="s">
        <v>2203</v>
      </c>
      <c r="J75">
        <v>3</v>
      </c>
    </row>
    <row r="76" spans="1:10" x14ac:dyDescent="0.25">
      <c r="A76" t="s">
        <v>2192</v>
      </c>
      <c r="B76" s="20" t="s">
        <v>2028</v>
      </c>
      <c r="C76" t="s">
        <v>10</v>
      </c>
      <c r="D76">
        <v>300</v>
      </c>
      <c r="E76">
        <v>3</v>
      </c>
      <c r="F76">
        <v>0</v>
      </c>
      <c r="G76">
        <v>3</v>
      </c>
      <c r="H76">
        <v>900</v>
      </c>
      <c r="I76" t="s">
        <v>2203</v>
      </c>
      <c r="J76">
        <v>4</v>
      </c>
    </row>
    <row r="77" spans="1:10" x14ac:dyDescent="0.25">
      <c r="A77" t="s">
        <v>2192</v>
      </c>
      <c r="B77" s="20" t="s">
        <v>2030</v>
      </c>
      <c r="C77" t="s">
        <v>10</v>
      </c>
      <c r="D77">
        <v>240</v>
      </c>
      <c r="E77">
        <v>1</v>
      </c>
      <c r="F77">
        <v>0</v>
      </c>
      <c r="G77">
        <v>1</v>
      </c>
      <c r="H77">
        <v>240</v>
      </c>
      <c r="I77" t="s">
        <v>2203</v>
      </c>
      <c r="J77">
        <v>5</v>
      </c>
    </row>
    <row r="78" spans="1:10" x14ac:dyDescent="0.25">
      <c r="A78" t="s">
        <v>2192</v>
      </c>
      <c r="B78" s="20" t="s">
        <v>2033</v>
      </c>
      <c r="C78" t="s">
        <v>10</v>
      </c>
      <c r="D78">
        <v>800</v>
      </c>
      <c r="E78">
        <v>1</v>
      </c>
      <c r="F78">
        <v>0</v>
      </c>
      <c r="G78">
        <v>1</v>
      </c>
      <c r="H78">
        <v>800</v>
      </c>
      <c r="I78" t="s">
        <v>2203</v>
      </c>
      <c r="J78">
        <v>6</v>
      </c>
    </row>
    <row r="79" spans="1:10" x14ac:dyDescent="0.25">
      <c r="A79" t="s">
        <v>2192</v>
      </c>
      <c r="B79" s="20" t="s">
        <v>2035</v>
      </c>
      <c r="C79" t="s">
        <v>10</v>
      </c>
      <c r="D79">
        <v>180</v>
      </c>
      <c r="E79">
        <v>3</v>
      </c>
      <c r="F79">
        <v>0</v>
      </c>
      <c r="G79">
        <v>3</v>
      </c>
      <c r="H79">
        <v>540</v>
      </c>
      <c r="I79" t="s">
        <v>2203</v>
      </c>
      <c r="J79">
        <v>7</v>
      </c>
    </row>
    <row r="80" spans="1:10" x14ac:dyDescent="0.25">
      <c r="A80" t="s">
        <v>2192</v>
      </c>
      <c r="B80" s="20" t="s">
        <v>2037</v>
      </c>
      <c r="C80" t="s">
        <v>10</v>
      </c>
      <c r="D80">
        <v>170</v>
      </c>
      <c r="E80">
        <v>1</v>
      </c>
      <c r="F80">
        <v>0</v>
      </c>
      <c r="G80">
        <v>1</v>
      </c>
      <c r="H80">
        <v>170</v>
      </c>
      <c r="I80" t="s">
        <v>2203</v>
      </c>
      <c r="J80">
        <v>8</v>
      </c>
    </row>
    <row r="81" spans="1:10" x14ac:dyDescent="0.25">
      <c r="A81" t="s">
        <v>2192</v>
      </c>
      <c r="B81" s="20" t="s">
        <v>1219</v>
      </c>
      <c r="C81" t="s">
        <v>8</v>
      </c>
      <c r="D81">
        <v>150</v>
      </c>
      <c r="E81">
        <v>1</v>
      </c>
      <c r="F81">
        <v>0</v>
      </c>
      <c r="G81">
        <v>1</v>
      </c>
      <c r="H81">
        <v>150</v>
      </c>
      <c r="I81" t="s">
        <v>2203</v>
      </c>
      <c r="J81">
        <v>9</v>
      </c>
    </row>
    <row r="82" spans="1:10" x14ac:dyDescent="0.25">
      <c r="A82" t="s">
        <v>2192</v>
      </c>
      <c r="B82" s="20" t="s">
        <v>655</v>
      </c>
      <c r="C82" t="s">
        <v>656</v>
      </c>
      <c r="D82">
        <v>15</v>
      </c>
      <c r="E82">
        <v>2</v>
      </c>
      <c r="F82">
        <v>0.05</v>
      </c>
      <c r="G82">
        <v>2.1</v>
      </c>
      <c r="H82">
        <v>31.5</v>
      </c>
      <c r="I82" t="s">
        <v>2203</v>
      </c>
      <c r="J82">
        <v>10</v>
      </c>
    </row>
    <row r="83" spans="1:10" x14ac:dyDescent="0.25">
      <c r="A83" t="s">
        <v>2192</v>
      </c>
      <c r="B83" s="20" t="s">
        <v>2204</v>
      </c>
      <c r="C83" t="s">
        <v>648</v>
      </c>
      <c r="D83">
        <v>160</v>
      </c>
      <c r="E83">
        <v>0.05</v>
      </c>
      <c r="F83">
        <v>0</v>
      </c>
      <c r="G83">
        <v>0.05</v>
      </c>
      <c r="H83">
        <v>8</v>
      </c>
      <c r="I83" t="s">
        <v>2203</v>
      </c>
      <c r="J83">
        <v>11</v>
      </c>
    </row>
    <row r="84" spans="1:10" x14ac:dyDescent="0.25">
      <c r="A84" t="s">
        <v>2192</v>
      </c>
      <c r="B84" s="20" t="s">
        <v>1223</v>
      </c>
      <c r="C84" t="s">
        <v>32</v>
      </c>
      <c r="D84">
        <v>94</v>
      </c>
      <c r="E84">
        <v>0.05</v>
      </c>
      <c r="F84">
        <v>0</v>
      </c>
      <c r="G84">
        <v>0.05</v>
      </c>
      <c r="H84">
        <v>4.7</v>
      </c>
      <c r="I84" t="s">
        <v>2203</v>
      </c>
      <c r="J84">
        <v>12</v>
      </c>
    </row>
    <row r="85" spans="1:10" x14ac:dyDescent="0.25">
      <c r="A85" t="s">
        <v>2192</v>
      </c>
      <c r="B85" s="20" t="s">
        <v>1224</v>
      </c>
      <c r="C85" t="s">
        <v>8</v>
      </c>
      <c r="D85">
        <v>0.3</v>
      </c>
      <c r="E85">
        <v>2</v>
      </c>
      <c r="F85">
        <v>0.1</v>
      </c>
      <c r="G85">
        <v>2.2000000000000002</v>
      </c>
      <c r="H85">
        <v>0.66</v>
      </c>
      <c r="I85" t="s">
        <v>2203</v>
      </c>
      <c r="J85">
        <v>13</v>
      </c>
    </row>
    <row r="86" spans="1:10" x14ac:dyDescent="0.25">
      <c r="A86" t="s">
        <v>2192</v>
      </c>
      <c r="B86" s="20" t="s">
        <v>1225</v>
      </c>
      <c r="C86" t="s">
        <v>8</v>
      </c>
      <c r="D86">
        <v>0.3</v>
      </c>
      <c r="E86">
        <v>2</v>
      </c>
      <c r="F86">
        <v>0.1</v>
      </c>
      <c r="G86">
        <v>2.2000000000000002</v>
      </c>
      <c r="H86">
        <v>0.66</v>
      </c>
      <c r="I86" t="s">
        <v>2203</v>
      </c>
      <c r="J86">
        <v>14</v>
      </c>
    </row>
    <row r="87" spans="1:10" x14ac:dyDescent="0.25">
      <c r="A87" t="s">
        <v>2192</v>
      </c>
      <c r="B87" s="20" t="s">
        <v>1226</v>
      </c>
      <c r="C87" t="s">
        <v>8</v>
      </c>
      <c r="D87">
        <v>0.3</v>
      </c>
      <c r="E87">
        <v>2</v>
      </c>
      <c r="F87">
        <v>0.1</v>
      </c>
      <c r="G87">
        <v>2.2000000000000002</v>
      </c>
      <c r="H87">
        <v>0.66</v>
      </c>
      <c r="I87" t="s">
        <v>2203</v>
      </c>
      <c r="J87">
        <v>15</v>
      </c>
    </row>
    <row r="88" spans="1:10" x14ac:dyDescent="0.25">
      <c r="A88" t="s">
        <v>2192</v>
      </c>
      <c r="B88" s="20" t="s">
        <v>1229</v>
      </c>
      <c r="C88" t="s">
        <v>8</v>
      </c>
      <c r="D88">
        <v>0.85</v>
      </c>
      <c r="E88">
        <v>3</v>
      </c>
      <c r="F88">
        <v>0.05</v>
      </c>
      <c r="G88">
        <v>3.1500000000000004</v>
      </c>
      <c r="H88">
        <v>2.6775000000000002</v>
      </c>
      <c r="I88" t="s">
        <v>2203</v>
      </c>
      <c r="J88">
        <v>16</v>
      </c>
    </row>
    <row r="89" spans="1:10" x14ac:dyDescent="0.25">
      <c r="A89" t="s">
        <v>2192</v>
      </c>
      <c r="B89" s="20" t="s">
        <v>1231</v>
      </c>
      <c r="C89" t="s">
        <v>10</v>
      </c>
      <c r="D89">
        <v>60</v>
      </c>
      <c r="E89">
        <v>1</v>
      </c>
      <c r="F89">
        <v>0</v>
      </c>
      <c r="G89">
        <v>1</v>
      </c>
      <c r="H89">
        <v>60</v>
      </c>
      <c r="I89" t="s">
        <v>2203</v>
      </c>
      <c r="J89">
        <v>17</v>
      </c>
    </row>
    <row r="90" spans="1:10" x14ac:dyDescent="0.25">
      <c r="A90" t="s">
        <v>2194</v>
      </c>
      <c r="B90" s="20" t="s">
        <v>255</v>
      </c>
      <c r="C90" t="s">
        <v>33</v>
      </c>
      <c r="D90">
        <v>22.5</v>
      </c>
      <c r="E90">
        <v>85</v>
      </c>
      <c r="F90">
        <v>0</v>
      </c>
      <c r="G90">
        <v>85</v>
      </c>
      <c r="H90">
        <v>1912.5</v>
      </c>
      <c r="I90" t="s">
        <v>2203</v>
      </c>
      <c r="J90">
        <v>3</v>
      </c>
    </row>
    <row r="91" spans="1:10" x14ac:dyDescent="0.25">
      <c r="A91" t="s">
        <v>2192</v>
      </c>
      <c r="B91" s="20" t="s">
        <v>2009</v>
      </c>
      <c r="C91" t="s">
        <v>9</v>
      </c>
      <c r="D91">
        <v>24</v>
      </c>
      <c r="E91">
        <v>12</v>
      </c>
      <c r="F91">
        <v>0.05</v>
      </c>
      <c r="G91">
        <v>12.600000000000001</v>
      </c>
      <c r="H91">
        <v>302.40000000000003</v>
      </c>
      <c r="I91" t="s">
        <v>2205</v>
      </c>
      <c r="J91">
        <v>3</v>
      </c>
    </row>
    <row r="92" spans="1:10" x14ac:dyDescent="0.25">
      <c r="A92" t="s">
        <v>2192</v>
      </c>
      <c r="B92" s="20" t="s">
        <v>666</v>
      </c>
      <c r="C92" t="s">
        <v>11</v>
      </c>
      <c r="D92">
        <v>850</v>
      </c>
      <c r="E92">
        <v>0.15</v>
      </c>
      <c r="F92">
        <v>0.05</v>
      </c>
      <c r="G92">
        <v>0.1575</v>
      </c>
      <c r="H92">
        <v>133.875</v>
      </c>
      <c r="I92" t="s">
        <v>2205</v>
      </c>
      <c r="J92">
        <v>4</v>
      </c>
    </row>
    <row r="93" spans="1:10" x14ac:dyDescent="0.25">
      <c r="A93" t="s">
        <v>2192</v>
      </c>
      <c r="B93" s="20" t="s">
        <v>45</v>
      </c>
      <c r="C93" t="s">
        <v>9</v>
      </c>
      <c r="D93">
        <v>22</v>
      </c>
      <c r="E93">
        <v>4</v>
      </c>
      <c r="F93">
        <v>0.05</v>
      </c>
      <c r="G93">
        <v>4.2</v>
      </c>
      <c r="H93">
        <v>92.4</v>
      </c>
      <c r="I93" t="s">
        <v>2205</v>
      </c>
      <c r="J93">
        <v>5</v>
      </c>
    </row>
    <row r="94" spans="1:10" x14ac:dyDescent="0.25">
      <c r="A94" t="s">
        <v>2192</v>
      </c>
      <c r="B94" s="20" t="s">
        <v>1289</v>
      </c>
      <c r="C94" t="s">
        <v>9</v>
      </c>
      <c r="D94">
        <v>17.5</v>
      </c>
      <c r="E94">
        <v>4</v>
      </c>
      <c r="F94">
        <v>0.05</v>
      </c>
      <c r="G94">
        <v>4.2</v>
      </c>
      <c r="H94">
        <v>73.5</v>
      </c>
      <c r="I94" t="s">
        <v>2205</v>
      </c>
      <c r="J94">
        <v>6</v>
      </c>
    </row>
    <row r="95" spans="1:10" x14ac:dyDescent="0.25">
      <c r="A95" t="s">
        <v>2192</v>
      </c>
      <c r="B95" s="20" t="s">
        <v>1290</v>
      </c>
      <c r="C95" t="s">
        <v>9</v>
      </c>
      <c r="D95">
        <v>17.5</v>
      </c>
      <c r="E95">
        <v>4</v>
      </c>
      <c r="F95">
        <v>0.05</v>
      </c>
      <c r="G95">
        <v>4.2</v>
      </c>
      <c r="H95">
        <v>73.5</v>
      </c>
      <c r="I95" t="s">
        <v>2205</v>
      </c>
      <c r="J95">
        <v>7</v>
      </c>
    </row>
    <row r="96" spans="1:10" x14ac:dyDescent="0.25">
      <c r="A96" t="s">
        <v>2194</v>
      </c>
      <c r="B96" s="20" t="s">
        <v>255</v>
      </c>
      <c r="C96" t="s">
        <v>33</v>
      </c>
      <c r="D96">
        <v>22.5</v>
      </c>
      <c r="E96">
        <v>110</v>
      </c>
      <c r="F96">
        <v>0</v>
      </c>
      <c r="G96">
        <v>110</v>
      </c>
      <c r="H96">
        <v>2475</v>
      </c>
      <c r="I96" t="s">
        <v>2205</v>
      </c>
      <c r="J96">
        <v>3</v>
      </c>
    </row>
    <row r="97" spans="1:10" x14ac:dyDescent="0.25">
      <c r="A97" t="s">
        <v>2192</v>
      </c>
      <c r="B97" s="20" t="s">
        <v>1293</v>
      </c>
      <c r="C97" t="s">
        <v>599</v>
      </c>
      <c r="D97">
        <v>25</v>
      </c>
      <c r="E97">
        <v>13</v>
      </c>
      <c r="F97">
        <v>0.05</v>
      </c>
      <c r="G97">
        <v>13.65</v>
      </c>
      <c r="H97">
        <v>341.25</v>
      </c>
      <c r="I97" t="s">
        <v>2206</v>
      </c>
      <c r="J97">
        <v>3</v>
      </c>
    </row>
    <row r="98" spans="1:10" x14ac:dyDescent="0.25">
      <c r="A98" t="s">
        <v>2192</v>
      </c>
      <c r="B98" s="20" t="s">
        <v>1294</v>
      </c>
      <c r="C98" t="s">
        <v>599</v>
      </c>
      <c r="D98">
        <v>13</v>
      </c>
      <c r="E98">
        <v>5</v>
      </c>
      <c r="F98">
        <v>0.05</v>
      </c>
      <c r="G98">
        <v>5.25</v>
      </c>
      <c r="H98">
        <v>68.25</v>
      </c>
      <c r="I98" t="s">
        <v>2206</v>
      </c>
      <c r="J98">
        <v>4</v>
      </c>
    </row>
    <row r="99" spans="1:10" x14ac:dyDescent="0.25">
      <c r="A99" t="s">
        <v>2192</v>
      </c>
      <c r="B99" s="20" t="s">
        <v>1295</v>
      </c>
      <c r="C99" t="s">
        <v>656</v>
      </c>
      <c r="D99">
        <v>3.5</v>
      </c>
      <c r="E99">
        <v>30</v>
      </c>
      <c r="F99">
        <v>0.05</v>
      </c>
      <c r="G99">
        <v>31.5</v>
      </c>
      <c r="H99">
        <v>110.25</v>
      </c>
      <c r="I99" t="s">
        <v>2206</v>
      </c>
      <c r="J99">
        <v>5</v>
      </c>
    </row>
    <row r="100" spans="1:10" x14ac:dyDescent="0.25">
      <c r="A100" t="s">
        <v>2192</v>
      </c>
      <c r="B100" s="20" t="s">
        <v>1296</v>
      </c>
      <c r="C100" t="s">
        <v>8</v>
      </c>
      <c r="D100">
        <v>20</v>
      </c>
      <c r="E100">
        <v>12</v>
      </c>
      <c r="F100">
        <v>0.05</v>
      </c>
      <c r="G100">
        <v>12.600000000000001</v>
      </c>
      <c r="H100">
        <v>252.00000000000003</v>
      </c>
      <c r="I100" t="s">
        <v>2206</v>
      </c>
      <c r="J100">
        <v>6</v>
      </c>
    </row>
    <row r="101" spans="1:10" x14ac:dyDescent="0.25">
      <c r="A101" t="s">
        <v>2192</v>
      </c>
      <c r="B101" s="20" t="s">
        <v>1297</v>
      </c>
      <c r="C101" t="s">
        <v>656</v>
      </c>
      <c r="D101">
        <v>8.5</v>
      </c>
      <c r="E101">
        <v>12</v>
      </c>
      <c r="F101">
        <v>0.05</v>
      </c>
      <c r="G101">
        <v>12.600000000000001</v>
      </c>
      <c r="H101">
        <v>107.10000000000001</v>
      </c>
      <c r="I101" t="s">
        <v>2206</v>
      </c>
      <c r="J101">
        <v>7</v>
      </c>
    </row>
    <row r="102" spans="1:10" x14ac:dyDescent="0.25">
      <c r="A102" t="s">
        <v>2192</v>
      </c>
      <c r="B102" s="20" t="s">
        <v>1299</v>
      </c>
      <c r="C102" t="s">
        <v>8</v>
      </c>
      <c r="D102">
        <v>3</v>
      </c>
      <c r="E102">
        <v>2</v>
      </c>
      <c r="F102">
        <v>0.05</v>
      </c>
      <c r="G102">
        <v>2.1</v>
      </c>
      <c r="H102">
        <v>6.3000000000000007</v>
      </c>
      <c r="I102" t="s">
        <v>2206</v>
      </c>
      <c r="J102">
        <v>8</v>
      </c>
    </row>
    <row r="103" spans="1:10" x14ac:dyDescent="0.25">
      <c r="A103" t="s">
        <v>2192</v>
      </c>
      <c r="B103" s="20" t="s">
        <v>45</v>
      </c>
      <c r="C103" t="s">
        <v>9</v>
      </c>
      <c r="D103">
        <v>16.5</v>
      </c>
      <c r="E103">
        <v>3</v>
      </c>
      <c r="F103">
        <v>0.05</v>
      </c>
      <c r="G103">
        <v>3.1500000000000004</v>
      </c>
      <c r="H103">
        <v>51.975000000000009</v>
      </c>
      <c r="I103" t="s">
        <v>2206</v>
      </c>
      <c r="J103">
        <v>9</v>
      </c>
    </row>
    <row r="104" spans="1:10" x14ac:dyDescent="0.25">
      <c r="A104" t="s">
        <v>2192</v>
      </c>
      <c r="B104" s="20" t="s">
        <v>1301</v>
      </c>
      <c r="C104" t="s">
        <v>8</v>
      </c>
      <c r="D104">
        <v>13</v>
      </c>
      <c r="E104">
        <v>2</v>
      </c>
      <c r="F104">
        <v>0</v>
      </c>
      <c r="G104">
        <v>2</v>
      </c>
      <c r="H104">
        <v>26</v>
      </c>
      <c r="I104" t="s">
        <v>2206</v>
      </c>
      <c r="J104">
        <v>10</v>
      </c>
    </row>
    <row r="105" spans="1:10" x14ac:dyDescent="0.25">
      <c r="A105" t="s">
        <v>2194</v>
      </c>
      <c r="B105" s="20" t="s">
        <v>255</v>
      </c>
      <c r="C105" t="s">
        <v>33</v>
      </c>
      <c r="D105">
        <v>22.5</v>
      </c>
      <c r="E105">
        <v>85</v>
      </c>
      <c r="F105">
        <v>0</v>
      </c>
      <c r="G105">
        <v>85</v>
      </c>
      <c r="H105">
        <v>1912.5</v>
      </c>
      <c r="I105" t="s">
        <v>2206</v>
      </c>
      <c r="J105">
        <v>3</v>
      </c>
    </row>
    <row r="106" spans="1:10" x14ac:dyDescent="0.25">
      <c r="A106" t="s">
        <v>2192</v>
      </c>
      <c r="B106" s="20" t="s">
        <v>1550</v>
      </c>
      <c r="C106" t="s">
        <v>10</v>
      </c>
      <c r="D106">
        <v>105</v>
      </c>
      <c r="E106">
        <v>5</v>
      </c>
      <c r="F106">
        <v>0</v>
      </c>
      <c r="G106">
        <v>5</v>
      </c>
      <c r="H106">
        <v>525</v>
      </c>
      <c r="I106" t="s">
        <v>2207</v>
      </c>
      <c r="J106">
        <v>3</v>
      </c>
    </row>
    <row r="107" spans="1:10" x14ac:dyDescent="0.25">
      <c r="A107" t="s">
        <v>2192</v>
      </c>
      <c r="B107" s="20" t="s">
        <v>1552</v>
      </c>
      <c r="C107" t="s">
        <v>8</v>
      </c>
      <c r="D107">
        <v>15</v>
      </c>
      <c r="E107">
        <v>84</v>
      </c>
      <c r="F107">
        <v>0</v>
      </c>
      <c r="G107">
        <v>84</v>
      </c>
      <c r="H107">
        <v>1260</v>
      </c>
      <c r="I107" t="s">
        <v>2207</v>
      </c>
      <c r="J107">
        <v>4</v>
      </c>
    </row>
    <row r="108" spans="1:10" x14ac:dyDescent="0.25">
      <c r="A108" t="s">
        <v>2192</v>
      </c>
      <c r="B108" s="20" t="s">
        <v>1554</v>
      </c>
      <c r="C108" t="s">
        <v>8</v>
      </c>
      <c r="D108">
        <v>4.5</v>
      </c>
      <c r="E108">
        <v>75</v>
      </c>
      <c r="F108">
        <v>0</v>
      </c>
      <c r="G108">
        <v>75</v>
      </c>
      <c r="H108">
        <v>337.5</v>
      </c>
      <c r="I108" t="s">
        <v>2207</v>
      </c>
      <c r="J108">
        <v>5</v>
      </c>
    </row>
    <row r="109" spans="1:10" x14ac:dyDescent="0.25">
      <c r="A109" t="s">
        <v>2192</v>
      </c>
      <c r="B109" s="20" t="s">
        <v>1554</v>
      </c>
      <c r="C109" t="s">
        <v>8</v>
      </c>
      <c r="D109">
        <v>4.5</v>
      </c>
      <c r="E109">
        <v>198</v>
      </c>
      <c r="F109">
        <v>0</v>
      </c>
      <c r="G109">
        <v>198</v>
      </c>
      <c r="H109">
        <v>891</v>
      </c>
      <c r="I109" t="s">
        <v>2207</v>
      </c>
      <c r="J109">
        <v>6</v>
      </c>
    </row>
    <row r="110" spans="1:10" x14ac:dyDescent="0.25">
      <c r="A110" t="s">
        <v>2192</v>
      </c>
      <c r="B110" s="20" t="s">
        <v>7</v>
      </c>
      <c r="C110" t="s">
        <v>8</v>
      </c>
      <c r="D110">
        <v>6.5</v>
      </c>
      <c r="E110">
        <v>132</v>
      </c>
      <c r="F110">
        <v>0</v>
      </c>
      <c r="G110">
        <v>132</v>
      </c>
      <c r="H110">
        <v>858</v>
      </c>
      <c r="I110" t="s">
        <v>2207</v>
      </c>
      <c r="J110">
        <v>7</v>
      </c>
    </row>
    <row r="111" spans="1:10" x14ac:dyDescent="0.25">
      <c r="A111" t="s">
        <v>2192</v>
      </c>
      <c r="B111" s="20" t="s">
        <v>7</v>
      </c>
      <c r="C111" t="s">
        <v>8</v>
      </c>
      <c r="D111">
        <v>6.5</v>
      </c>
      <c r="E111">
        <v>34</v>
      </c>
      <c r="F111">
        <v>0</v>
      </c>
      <c r="G111">
        <v>34</v>
      </c>
      <c r="H111">
        <v>221</v>
      </c>
      <c r="I111" t="s">
        <v>2207</v>
      </c>
      <c r="J111">
        <v>8</v>
      </c>
    </row>
    <row r="112" spans="1:10" x14ac:dyDescent="0.25">
      <c r="A112" t="s">
        <v>2192</v>
      </c>
      <c r="B112" s="20" t="s">
        <v>42</v>
      </c>
      <c r="C112" t="s">
        <v>9</v>
      </c>
      <c r="D112">
        <v>25</v>
      </c>
      <c r="E112">
        <v>29</v>
      </c>
      <c r="F112">
        <v>0</v>
      </c>
      <c r="G112">
        <v>29</v>
      </c>
      <c r="H112">
        <v>725</v>
      </c>
      <c r="I112" t="s">
        <v>2207</v>
      </c>
      <c r="J112">
        <v>9</v>
      </c>
    </row>
    <row r="113" spans="1:10" x14ac:dyDescent="0.25">
      <c r="A113" t="s">
        <v>2192</v>
      </c>
      <c r="B113" s="20" t="s">
        <v>1562</v>
      </c>
      <c r="C113" t="s">
        <v>1563</v>
      </c>
      <c r="D113">
        <v>1</v>
      </c>
      <c r="E113">
        <v>12</v>
      </c>
      <c r="F113">
        <v>0</v>
      </c>
      <c r="G113">
        <v>12</v>
      </c>
      <c r="H113">
        <v>12</v>
      </c>
      <c r="I113" t="s">
        <v>2207</v>
      </c>
      <c r="J113">
        <v>10</v>
      </c>
    </row>
    <row r="114" spans="1:10" x14ac:dyDescent="0.25">
      <c r="A114" t="s">
        <v>2192</v>
      </c>
      <c r="B114" s="20" t="s">
        <v>43</v>
      </c>
      <c r="C114" t="s">
        <v>9</v>
      </c>
      <c r="D114">
        <v>18</v>
      </c>
      <c r="E114">
        <v>12</v>
      </c>
      <c r="F114">
        <v>0</v>
      </c>
      <c r="G114">
        <v>12</v>
      </c>
      <c r="H114">
        <v>216</v>
      </c>
      <c r="I114" t="s">
        <v>2207</v>
      </c>
      <c r="J114">
        <v>11</v>
      </c>
    </row>
    <row r="115" spans="1:10" x14ac:dyDescent="0.25">
      <c r="A115" t="s">
        <v>2192</v>
      </c>
      <c r="B115" s="20" t="s">
        <v>2009</v>
      </c>
      <c r="C115" t="s">
        <v>9</v>
      </c>
      <c r="D115">
        <v>24</v>
      </c>
      <c r="E115">
        <v>3</v>
      </c>
      <c r="F115">
        <v>0</v>
      </c>
      <c r="G115">
        <v>3</v>
      </c>
      <c r="H115">
        <v>72</v>
      </c>
      <c r="I115" t="s">
        <v>2207</v>
      </c>
      <c r="J115">
        <v>12</v>
      </c>
    </row>
    <row r="116" spans="1:10" x14ac:dyDescent="0.25">
      <c r="A116" t="s">
        <v>2192</v>
      </c>
      <c r="B116" s="20" t="s">
        <v>1568</v>
      </c>
      <c r="C116" t="s">
        <v>44</v>
      </c>
      <c r="D116">
        <v>80</v>
      </c>
      <c r="E116">
        <v>2</v>
      </c>
      <c r="F116">
        <v>0</v>
      </c>
      <c r="G116">
        <v>2</v>
      </c>
      <c r="H116">
        <v>160</v>
      </c>
      <c r="I116" t="s">
        <v>2207</v>
      </c>
      <c r="J116">
        <v>13</v>
      </c>
    </row>
    <row r="117" spans="1:10" x14ac:dyDescent="0.25">
      <c r="A117" t="s">
        <v>2194</v>
      </c>
      <c r="B117" s="20" t="s">
        <v>255</v>
      </c>
      <c r="C117" t="s">
        <v>33</v>
      </c>
      <c r="D117">
        <v>22.5</v>
      </c>
      <c r="E117">
        <v>224</v>
      </c>
      <c r="F117">
        <v>0</v>
      </c>
      <c r="G117">
        <v>224</v>
      </c>
      <c r="H117">
        <v>5040</v>
      </c>
      <c r="I117" t="s">
        <v>2207</v>
      </c>
      <c r="J117">
        <v>3</v>
      </c>
    </row>
    <row r="118" spans="1:10" x14ac:dyDescent="0.25">
      <c r="A118" t="s">
        <v>2192</v>
      </c>
      <c r="B118" s="20" t="s">
        <v>1656</v>
      </c>
      <c r="C118" t="s">
        <v>260</v>
      </c>
      <c r="D118">
        <v>92</v>
      </c>
      <c r="E118">
        <v>1</v>
      </c>
      <c r="F118">
        <v>0</v>
      </c>
      <c r="G118">
        <v>1</v>
      </c>
      <c r="H118">
        <v>92</v>
      </c>
      <c r="I118" t="s">
        <v>2208</v>
      </c>
      <c r="J118">
        <v>3</v>
      </c>
    </row>
    <row r="119" spans="1:10" x14ac:dyDescent="0.25">
      <c r="A119" t="s">
        <v>2192</v>
      </c>
      <c r="B119" s="20" t="s">
        <v>1657</v>
      </c>
      <c r="C119" t="s">
        <v>260</v>
      </c>
      <c r="D119">
        <v>92</v>
      </c>
      <c r="E119">
        <v>1</v>
      </c>
      <c r="F119">
        <v>0</v>
      </c>
      <c r="G119">
        <v>1</v>
      </c>
      <c r="H119">
        <v>92</v>
      </c>
      <c r="I119" t="s">
        <v>2208</v>
      </c>
      <c r="J119">
        <v>4</v>
      </c>
    </row>
    <row r="120" spans="1:10" x14ac:dyDescent="0.25">
      <c r="A120" t="s">
        <v>2192</v>
      </c>
      <c r="B120" s="20" t="s">
        <v>1658</v>
      </c>
      <c r="C120" t="s">
        <v>260</v>
      </c>
      <c r="D120">
        <v>92</v>
      </c>
      <c r="E120">
        <v>1</v>
      </c>
      <c r="F120">
        <v>0</v>
      </c>
      <c r="G120">
        <v>1</v>
      </c>
      <c r="H120">
        <v>92</v>
      </c>
      <c r="I120" t="s">
        <v>2208</v>
      </c>
      <c r="J120">
        <v>5</v>
      </c>
    </row>
    <row r="121" spans="1:10" x14ac:dyDescent="0.25">
      <c r="A121" t="s">
        <v>2192</v>
      </c>
      <c r="B121" s="20" t="s">
        <v>1660</v>
      </c>
      <c r="C121" t="s">
        <v>260</v>
      </c>
      <c r="D121">
        <v>146</v>
      </c>
      <c r="E121">
        <v>1</v>
      </c>
      <c r="F121">
        <v>0</v>
      </c>
      <c r="G121">
        <v>1</v>
      </c>
      <c r="H121">
        <v>146</v>
      </c>
      <c r="I121" t="s">
        <v>2208</v>
      </c>
      <c r="J121">
        <v>6</v>
      </c>
    </row>
    <row r="122" spans="1:10" x14ac:dyDescent="0.25">
      <c r="A122" t="s">
        <v>2192</v>
      </c>
      <c r="B122" s="20" t="s">
        <v>1661</v>
      </c>
      <c r="C122" t="s">
        <v>260</v>
      </c>
      <c r="D122">
        <v>146</v>
      </c>
      <c r="E122">
        <v>1</v>
      </c>
      <c r="F122">
        <v>0</v>
      </c>
      <c r="G122">
        <v>1</v>
      </c>
      <c r="H122">
        <v>146</v>
      </c>
      <c r="I122" t="s">
        <v>2208</v>
      </c>
      <c r="J122">
        <v>7</v>
      </c>
    </row>
    <row r="123" spans="1:10" x14ac:dyDescent="0.25">
      <c r="A123" t="s">
        <v>2192</v>
      </c>
      <c r="B123" s="20" t="s">
        <v>1662</v>
      </c>
      <c r="C123" t="s">
        <v>260</v>
      </c>
      <c r="D123">
        <v>146</v>
      </c>
      <c r="E123">
        <v>1</v>
      </c>
      <c r="F123">
        <v>0</v>
      </c>
      <c r="G123">
        <v>1</v>
      </c>
      <c r="H123">
        <v>146</v>
      </c>
      <c r="I123" t="s">
        <v>2208</v>
      </c>
      <c r="J123">
        <v>8</v>
      </c>
    </row>
    <row r="124" spans="1:10" x14ac:dyDescent="0.25">
      <c r="A124" t="s">
        <v>2192</v>
      </c>
      <c r="B124" s="20" t="s">
        <v>1665</v>
      </c>
      <c r="C124" t="s">
        <v>1666</v>
      </c>
      <c r="D124">
        <v>10.5</v>
      </c>
      <c r="E124">
        <v>15</v>
      </c>
      <c r="F124">
        <v>0</v>
      </c>
      <c r="G124">
        <v>15</v>
      </c>
      <c r="H124">
        <v>157.5</v>
      </c>
      <c r="I124" t="s">
        <v>2208</v>
      </c>
      <c r="J124">
        <v>9</v>
      </c>
    </row>
    <row r="125" spans="1:10" x14ac:dyDescent="0.25">
      <c r="A125" t="s">
        <v>2192</v>
      </c>
      <c r="B125" s="20" t="s">
        <v>1669</v>
      </c>
      <c r="C125" t="s">
        <v>656</v>
      </c>
      <c r="D125">
        <v>6.8</v>
      </c>
      <c r="E125">
        <v>15</v>
      </c>
      <c r="F125">
        <v>0</v>
      </c>
      <c r="G125">
        <v>15</v>
      </c>
      <c r="H125">
        <v>102</v>
      </c>
      <c r="I125" t="s">
        <v>2208</v>
      </c>
      <c r="J125">
        <v>10</v>
      </c>
    </row>
    <row r="126" spans="1:10" x14ac:dyDescent="0.25">
      <c r="A126" t="s">
        <v>2192</v>
      </c>
      <c r="B126" s="20" t="s">
        <v>1671</v>
      </c>
      <c r="C126" t="s">
        <v>656</v>
      </c>
      <c r="D126">
        <v>10.199999999999999</v>
      </c>
      <c r="E126">
        <v>12</v>
      </c>
      <c r="F126">
        <v>0</v>
      </c>
      <c r="G126">
        <v>12</v>
      </c>
      <c r="H126">
        <v>122.39999999999999</v>
      </c>
      <c r="I126" t="s">
        <v>2208</v>
      </c>
      <c r="J126">
        <v>11</v>
      </c>
    </row>
    <row r="127" spans="1:10" x14ac:dyDescent="0.25">
      <c r="A127" t="s">
        <v>2192</v>
      </c>
      <c r="B127" s="20" t="s">
        <v>1673</v>
      </c>
      <c r="C127" t="s">
        <v>892</v>
      </c>
      <c r="D127">
        <v>1.36</v>
      </c>
      <c r="E127">
        <v>2</v>
      </c>
      <c r="F127">
        <v>0</v>
      </c>
      <c r="G127">
        <v>2</v>
      </c>
      <c r="H127">
        <v>2.72</v>
      </c>
      <c r="I127" t="s">
        <v>2208</v>
      </c>
      <c r="J127">
        <v>12</v>
      </c>
    </row>
    <row r="128" spans="1:10" x14ac:dyDescent="0.25">
      <c r="A128" t="s">
        <v>2192</v>
      </c>
      <c r="B128" s="20" t="s">
        <v>1676</v>
      </c>
      <c r="C128" t="s">
        <v>34</v>
      </c>
      <c r="D128">
        <v>0.35</v>
      </c>
      <c r="E128">
        <v>15</v>
      </c>
      <c r="F128">
        <v>0</v>
      </c>
      <c r="G128">
        <v>15</v>
      </c>
      <c r="H128">
        <v>5.25</v>
      </c>
      <c r="I128" t="s">
        <v>2208</v>
      </c>
      <c r="J128">
        <v>13</v>
      </c>
    </row>
    <row r="129" spans="1:10" x14ac:dyDescent="0.25">
      <c r="A129" t="s">
        <v>2192</v>
      </c>
      <c r="B129" s="20" t="s">
        <v>1678</v>
      </c>
      <c r="C129" t="s">
        <v>34</v>
      </c>
      <c r="D129">
        <v>8.5</v>
      </c>
      <c r="E129">
        <v>10</v>
      </c>
      <c r="F129">
        <v>0</v>
      </c>
      <c r="G129">
        <v>10</v>
      </c>
      <c r="H129">
        <v>85</v>
      </c>
      <c r="I129" t="s">
        <v>2208</v>
      </c>
      <c r="J129">
        <v>14</v>
      </c>
    </row>
    <row r="130" spans="1:10" x14ac:dyDescent="0.25">
      <c r="A130" t="s">
        <v>2192</v>
      </c>
      <c r="B130" s="20" t="s">
        <v>1680</v>
      </c>
      <c r="C130" t="s">
        <v>34</v>
      </c>
      <c r="D130">
        <v>5.9</v>
      </c>
      <c r="E130">
        <v>5</v>
      </c>
      <c r="F130">
        <v>0</v>
      </c>
      <c r="G130">
        <v>5</v>
      </c>
      <c r="H130">
        <v>29.5</v>
      </c>
      <c r="I130" t="s">
        <v>2208</v>
      </c>
      <c r="J130">
        <v>15</v>
      </c>
    </row>
    <row r="131" spans="1:10" x14ac:dyDescent="0.25">
      <c r="A131" t="s">
        <v>2192</v>
      </c>
      <c r="B131" s="20" t="s">
        <v>46</v>
      </c>
      <c r="C131" t="s">
        <v>8</v>
      </c>
      <c r="D131">
        <v>9.9</v>
      </c>
      <c r="E131">
        <v>10</v>
      </c>
      <c r="F131">
        <v>0</v>
      </c>
      <c r="G131">
        <v>10</v>
      </c>
      <c r="H131">
        <v>99</v>
      </c>
      <c r="I131" t="s">
        <v>2208</v>
      </c>
      <c r="J131">
        <v>16</v>
      </c>
    </row>
    <row r="132" spans="1:10" x14ac:dyDescent="0.25">
      <c r="A132" t="s">
        <v>2192</v>
      </c>
      <c r="B132" s="20" t="s">
        <v>1683</v>
      </c>
      <c r="C132" t="s">
        <v>10</v>
      </c>
      <c r="D132">
        <v>13</v>
      </c>
      <c r="E132">
        <v>2</v>
      </c>
      <c r="F132">
        <v>0</v>
      </c>
      <c r="G132">
        <v>2</v>
      </c>
      <c r="H132">
        <v>26</v>
      </c>
      <c r="I132" t="s">
        <v>2208</v>
      </c>
      <c r="J132">
        <v>17</v>
      </c>
    </row>
    <row r="133" spans="1:10" x14ac:dyDescent="0.25">
      <c r="A133" t="s">
        <v>2192</v>
      </c>
      <c r="B133" s="20" t="s">
        <v>1686</v>
      </c>
      <c r="C133" t="s">
        <v>34</v>
      </c>
      <c r="D133">
        <v>185</v>
      </c>
      <c r="E133">
        <v>1</v>
      </c>
      <c r="F133">
        <v>0</v>
      </c>
      <c r="G133">
        <v>1</v>
      </c>
      <c r="H133">
        <v>185</v>
      </c>
      <c r="I133" t="s">
        <v>2208</v>
      </c>
      <c r="J133">
        <v>18</v>
      </c>
    </row>
    <row r="134" spans="1:10" x14ac:dyDescent="0.25">
      <c r="A134" t="s">
        <v>2192</v>
      </c>
      <c r="B134" s="20" t="s">
        <v>1688</v>
      </c>
      <c r="C134" t="s">
        <v>8</v>
      </c>
      <c r="D134">
        <v>4.5999999999999996</v>
      </c>
      <c r="E134">
        <v>4</v>
      </c>
      <c r="F134">
        <v>0</v>
      </c>
      <c r="G134">
        <v>4</v>
      </c>
      <c r="H134">
        <v>18.399999999999999</v>
      </c>
      <c r="I134" t="s">
        <v>2208</v>
      </c>
      <c r="J134">
        <v>19</v>
      </c>
    </row>
    <row r="135" spans="1:10" x14ac:dyDescent="0.25">
      <c r="A135" t="s">
        <v>2192</v>
      </c>
      <c r="B135" s="20" t="s">
        <v>1690</v>
      </c>
      <c r="C135" t="s">
        <v>8</v>
      </c>
      <c r="D135">
        <v>59</v>
      </c>
      <c r="E135">
        <v>1</v>
      </c>
      <c r="F135">
        <v>0</v>
      </c>
      <c r="G135">
        <v>1</v>
      </c>
      <c r="H135">
        <v>59</v>
      </c>
      <c r="I135" t="s">
        <v>2208</v>
      </c>
      <c r="J135">
        <v>20</v>
      </c>
    </row>
    <row r="136" spans="1:10" x14ac:dyDescent="0.25">
      <c r="A136" t="s">
        <v>2192</v>
      </c>
      <c r="B136" s="20" t="s">
        <v>1692</v>
      </c>
      <c r="C136" t="s">
        <v>8</v>
      </c>
      <c r="D136">
        <v>165</v>
      </c>
      <c r="E136">
        <v>1</v>
      </c>
      <c r="F136">
        <v>0</v>
      </c>
      <c r="G136">
        <v>1</v>
      </c>
      <c r="H136">
        <v>165</v>
      </c>
      <c r="I136" t="s">
        <v>2208</v>
      </c>
      <c r="J136">
        <v>21</v>
      </c>
    </row>
    <row r="137" spans="1:10" x14ac:dyDescent="0.25">
      <c r="A137" t="s">
        <v>2192</v>
      </c>
      <c r="B137" s="20" t="s">
        <v>1694</v>
      </c>
      <c r="C137" t="s">
        <v>656</v>
      </c>
      <c r="D137">
        <v>48</v>
      </c>
      <c r="E137">
        <v>1</v>
      </c>
      <c r="F137">
        <v>0</v>
      </c>
      <c r="G137">
        <v>1</v>
      </c>
      <c r="H137">
        <v>48</v>
      </c>
      <c r="I137" t="s">
        <v>2208</v>
      </c>
      <c r="J137">
        <v>22</v>
      </c>
    </row>
    <row r="138" spans="1:10" x14ac:dyDescent="0.25">
      <c r="A138" t="s">
        <v>2192</v>
      </c>
      <c r="B138" s="20" t="s">
        <v>1696</v>
      </c>
      <c r="C138" t="s">
        <v>8</v>
      </c>
      <c r="D138">
        <v>6.5</v>
      </c>
      <c r="E138">
        <v>1</v>
      </c>
      <c r="F138">
        <v>0</v>
      </c>
      <c r="G138">
        <v>1</v>
      </c>
      <c r="H138">
        <v>6.5</v>
      </c>
      <c r="I138" t="s">
        <v>2208</v>
      </c>
      <c r="J138">
        <v>23</v>
      </c>
    </row>
    <row r="139" spans="1:10" x14ac:dyDescent="0.25">
      <c r="A139" t="s">
        <v>2194</v>
      </c>
      <c r="B139" s="20" t="s">
        <v>255</v>
      </c>
      <c r="C139" t="s">
        <v>33</v>
      </c>
      <c r="D139">
        <v>22.5</v>
      </c>
      <c r="E139">
        <v>38</v>
      </c>
      <c r="F139">
        <v>0</v>
      </c>
      <c r="G139">
        <v>38</v>
      </c>
      <c r="H139">
        <v>855</v>
      </c>
      <c r="I139" t="s">
        <v>2208</v>
      </c>
      <c r="J139">
        <v>3</v>
      </c>
    </row>
    <row r="140" spans="1:10" x14ac:dyDescent="0.25">
      <c r="A140" t="s">
        <v>2194</v>
      </c>
      <c r="B140" s="20" t="s">
        <v>255</v>
      </c>
      <c r="C140" t="s">
        <v>33</v>
      </c>
      <c r="D140">
        <v>22.5</v>
      </c>
      <c r="E140">
        <v>17</v>
      </c>
      <c r="F140">
        <v>0</v>
      </c>
      <c r="G140">
        <v>17</v>
      </c>
      <c r="H140">
        <v>382.5</v>
      </c>
      <c r="I140" t="s">
        <v>2208</v>
      </c>
      <c r="J140">
        <v>4</v>
      </c>
    </row>
    <row r="141" spans="1:10" x14ac:dyDescent="0.25">
      <c r="A141" t="s">
        <v>2194</v>
      </c>
      <c r="B141" s="20" t="s">
        <v>255</v>
      </c>
      <c r="C141" t="s">
        <v>33</v>
      </c>
      <c r="D141">
        <v>22.5</v>
      </c>
      <c r="E141">
        <v>9</v>
      </c>
      <c r="F141">
        <v>0</v>
      </c>
      <c r="G141">
        <v>9</v>
      </c>
      <c r="H141">
        <v>202.5</v>
      </c>
      <c r="I141" t="s">
        <v>2208</v>
      </c>
      <c r="J141">
        <v>5</v>
      </c>
    </row>
    <row r="142" spans="1:10" x14ac:dyDescent="0.25">
      <c r="A142" t="s">
        <v>2192</v>
      </c>
      <c r="B142" s="20" t="s">
        <v>2204</v>
      </c>
      <c r="C142" t="s">
        <v>648</v>
      </c>
      <c r="D142">
        <v>160</v>
      </c>
      <c r="E142">
        <v>1</v>
      </c>
      <c r="F142">
        <v>0.05</v>
      </c>
      <c r="G142">
        <v>1.05</v>
      </c>
      <c r="H142">
        <v>168</v>
      </c>
      <c r="I142" t="s">
        <v>2209</v>
      </c>
      <c r="J142">
        <v>3</v>
      </c>
    </row>
    <row r="143" spans="1:10" x14ac:dyDescent="0.25">
      <c r="A143" t="s">
        <v>2192</v>
      </c>
      <c r="B143" s="20" t="s">
        <v>1798</v>
      </c>
      <c r="C143" t="s">
        <v>648</v>
      </c>
      <c r="D143">
        <v>80</v>
      </c>
      <c r="E143">
        <v>2</v>
      </c>
      <c r="F143">
        <v>0.05</v>
      </c>
      <c r="G143">
        <v>2.1</v>
      </c>
      <c r="H143">
        <v>168</v>
      </c>
      <c r="I143" t="s">
        <v>2209</v>
      </c>
      <c r="J143">
        <v>4</v>
      </c>
    </row>
    <row r="144" spans="1:10" x14ac:dyDescent="0.25">
      <c r="A144" t="s">
        <v>2192</v>
      </c>
      <c r="B144" s="20" t="s">
        <v>1223</v>
      </c>
      <c r="C144" t="s">
        <v>32</v>
      </c>
      <c r="D144">
        <v>94</v>
      </c>
      <c r="E144">
        <v>1</v>
      </c>
      <c r="F144">
        <v>0.05</v>
      </c>
      <c r="G144">
        <v>1.05</v>
      </c>
      <c r="H144">
        <v>98.7</v>
      </c>
      <c r="I144" t="s">
        <v>2209</v>
      </c>
      <c r="J144">
        <v>5</v>
      </c>
    </row>
    <row r="145" spans="1:10" x14ac:dyDescent="0.25">
      <c r="A145" t="s">
        <v>2192</v>
      </c>
      <c r="B145" s="20" t="s">
        <v>1224</v>
      </c>
      <c r="C145" t="s">
        <v>8</v>
      </c>
      <c r="D145">
        <v>0.3</v>
      </c>
      <c r="E145">
        <v>4</v>
      </c>
      <c r="F145">
        <v>0.1</v>
      </c>
      <c r="G145">
        <v>4.4000000000000004</v>
      </c>
      <c r="H145">
        <v>1.32</v>
      </c>
      <c r="I145" t="s">
        <v>2209</v>
      </c>
      <c r="J145">
        <v>6</v>
      </c>
    </row>
    <row r="146" spans="1:10" x14ac:dyDescent="0.25">
      <c r="A146" t="s">
        <v>2192</v>
      </c>
      <c r="B146" s="20" t="s">
        <v>1225</v>
      </c>
      <c r="C146" t="s">
        <v>8</v>
      </c>
      <c r="D146">
        <v>0.3</v>
      </c>
      <c r="E146">
        <v>4</v>
      </c>
      <c r="F146">
        <v>0.1</v>
      </c>
      <c r="G146">
        <v>4.4000000000000004</v>
      </c>
      <c r="H146">
        <v>1.32</v>
      </c>
      <c r="I146" t="s">
        <v>2209</v>
      </c>
      <c r="J146">
        <v>7</v>
      </c>
    </row>
    <row r="147" spans="1:10" x14ac:dyDescent="0.25">
      <c r="A147" t="s">
        <v>2192</v>
      </c>
      <c r="B147" s="20" t="s">
        <v>1226</v>
      </c>
      <c r="C147" t="s">
        <v>8</v>
      </c>
      <c r="D147">
        <v>0.3</v>
      </c>
      <c r="E147">
        <v>4</v>
      </c>
      <c r="F147">
        <v>0.1</v>
      </c>
      <c r="G147">
        <v>4.4000000000000004</v>
      </c>
      <c r="H147">
        <v>1.32</v>
      </c>
      <c r="I147" t="s">
        <v>2209</v>
      </c>
      <c r="J147">
        <v>8</v>
      </c>
    </row>
    <row r="148" spans="1:10" x14ac:dyDescent="0.25">
      <c r="A148" t="s">
        <v>2192</v>
      </c>
      <c r="B148" s="20" t="s">
        <v>1806</v>
      </c>
      <c r="C148" t="s">
        <v>8</v>
      </c>
      <c r="D148">
        <v>5.5</v>
      </c>
      <c r="E148">
        <v>4</v>
      </c>
      <c r="F148">
        <v>0.05</v>
      </c>
      <c r="G148">
        <v>4.2</v>
      </c>
      <c r="H148">
        <v>23.1</v>
      </c>
      <c r="I148" t="s">
        <v>2209</v>
      </c>
      <c r="J148">
        <v>9</v>
      </c>
    </row>
    <row r="149" spans="1:10" x14ac:dyDescent="0.25">
      <c r="A149" t="s">
        <v>2192</v>
      </c>
      <c r="B149" s="20" t="s">
        <v>2210</v>
      </c>
      <c r="C149" t="s">
        <v>8</v>
      </c>
      <c r="D149">
        <v>650</v>
      </c>
      <c r="E149">
        <v>1</v>
      </c>
      <c r="F149">
        <v>0</v>
      </c>
      <c r="G149">
        <v>1</v>
      </c>
      <c r="H149">
        <v>650</v>
      </c>
      <c r="I149" t="s">
        <v>2209</v>
      </c>
      <c r="J149">
        <v>10</v>
      </c>
    </row>
    <row r="150" spans="1:10" x14ac:dyDescent="0.25">
      <c r="A150" t="s">
        <v>2192</v>
      </c>
      <c r="B150" s="20" t="s">
        <v>1811</v>
      </c>
      <c r="C150" t="s">
        <v>47</v>
      </c>
      <c r="D150">
        <v>35</v>
      </c>
      <c r="E150">
        <v>1</v>
      </c>
      <c r="F150">
        <v>0</v>
      </c>
      <c r="G150">
        <v>1</v>
      </c>
      <c r="H150">
        <v>35</v>
      </c>
      <c r="I150" t="s">
        <v>2209</v>
      </c>
      <c r="J150">
        <v>11</v>
      </c>
    </row>
    <row r="151" spans="1:10" x14ac:dyDescent="0.25">
      <c r="A151" t="s">
        <v>2192</v>
      </c>
      <c r="B151" s="20" t="s">
        <v>1813</v>
      </c>
      <c r="C151" t="s">
        <v>47</v>
      </c>
      <c r="D151">
        <v>60</v>
      </c>
      <c r="E151">
        <v>1</v>
      </c>
      <c r="F151">
        <v>0</v>
      </c>
      <c r="G151">
        <v>1</v>
      </c>
      <c r="H151">
        <v>60</v>
      </c>
      <c r="I151" t="s">
        <v>2209</v>
      </c>
      <c r="J151">
        <v>12</v>
      </c>
    </row>
    <row r="152" spans="1:10" x14ac:dyDescent="0.25">
      <c r="A152" t="s">
        <v>2192</v>
      </c>
      <c r="B152" s="20" t="s">
        <v>48</v>
      </c>
      <c r="C152" t="s">
        <v>47</v>
      </c>
      <c r="D152">
        <v>15</v>
      </c>
      <c r="E152">
        <v>1</v>
      </c>
      <c r="F152">
        <v>0</v>
      </c>
      <c r="G152">
        <v>1</v>
      </c>
      <c r="H152">
        <v>15</v>
      </c>
      <c r="I152" t="s">
        <v>2209</v>
      </c>
      <c r="J152">
        <v>13</v>
      </c>
    </row>
    <row r="153" spans="1:10" x14ac:dyDescent="0.25">
      <c r="A153" t="s">
        <v>2192</v>
      </c>
      <c r="B153" s="20" t="s">
        <v>1816</v>
      </c>
      <c r="C153" t="s">
        <v>8</v>
      </c>
      <c r="D153">
        <v>6</v>
      </c>
      <c r="E153">
        <v>2</v>
      </c>
      <c r="F153">
        <v>0</v>
      </c>
      <c r="G153">
        <v>2</v>
      </c>
      <c r="H153">
        <v>12</v>
      </c>
      <c r="I153" t="s">
        <v>2209</v>
      </c>
      <c r="J153">
        <v>14</v>
      </c>
    </row>
    <row r="154" spans="1:10" x14ac:dyDescent="0.25">
      <c r="A154" t="s">
        <v>2194</v>
      </c>
      <c r="B154" s="20" t="s">
        <v>255</v>
      </c>
      <c r="C154" t="s">
        <v>33</v>
      </c>
      <c r="D154">
        <v>22.5</v>
      </c>
      <c r="E154">
        <v>21</v>
      </c>
      <c r="F154">
        <v>0</v>
      </c>
      <c r="G154">
        <v>21</v>
      </c>
      <c r="H154">
        <v>472.5</v>
      </c>
      <c r="I154" t="s">
        <v>2209</v>
      </c>
      <c r="J154">
        <v>3</v>
      </c>
    </row>
    <row r="155" spans="1:10" x14ac:dyDescent="0.25">
      <c r="A155" t="s">
        <v>2194</v>
      </c>
      <c r="B155" s="20" t="s">
        <v>255</v>
      </c>
      <c r="C155" t="s">
        <v>33</v>
      </c>
      <c r="D155">
        <v>22.5</v>
      </c>
      <c r="E155">
        <v>17</v>
      </c>
      <c r="F155">
        <v>0</v>
      </c>
      <c r="G155">
        <v>17</v>
      </c>
      <c r="H155">
        <v>382.5</v>
      </c>
      <c r="I155" t="s">
        <v>2209</v>
      </c>
      <c r="J155">
        <v>4</v>
      </c>
    </row>
    <row r="156" spans="1:10" x14ac:dyDescent="0.25">
      <c r="A156" t="s">
        <v>2194</v>
      </c>
      <c r="B156" s="20" t="s">
        <v>255</v>
      </c>
      <c r="C156" t="s">
        <v>33</v>
      </c>
      <c r="D156">
        <v>22.5</v>
      </c>
      <c r="E156">
        <v>9</v>
      </c>
      <c r="F156">
        <v>0</v>
      </c>
      <c r="G156">
        <v>9</v>
      </c>
      <c r="H156">
        <v>202.5</v>
      </c>
      <c r="I156" t="s">
        <v>2209</v>
      </c>
      <c r="J156">
        <v>5</v>
      </c>
    </row>
    <row r="157" spans="1:10" x14ac:dyDescent="0.25">
      <c r="A157" t="s">
        <v>2192</v>
      </c>
      <c r="B157" s="20" t="s">
        <v>485</v>
      </c>
      <c r="C157" t="s">
        <v>11</v>
      </c>
      <c r="D157">
        <v>830</v>
      </c>
      <c r="E157">
        <v>0.26</v>
      </c>
      <c r="F157">
        <v>0</v>
      </c>
      <c r="G157">
        <v>0.26</v>
      </c>
      <c r="H157">
        <v>215.8</v>
      </c>
      <c r="I157" t="s">
        <v>2211</v>
      </c>
      <c r="J157">
        <v>3</v>
      </c>
    </row>
    <row r="158" spans="1:10" x14ac:dyDescent="0.25">
      <c r="A158" t="s">
        <v>2192</v>
      </c>
      <c r="B158" s="20" t="s">
        <v>486</v>
      </c>
      <c r="C158" t="s">
        <v>11</v>
      </c>
      <c r="D158">
        <v>950</v>
      </c>
      <c r="E158">
        <v>0.05</v>
      </c>
      <c r="F158">
        <v>0</v>
      </c>
      <c r="G158">
        <v>0.05</v>
      </c>
      <c r="H158">
        <v>47.5</v>
      </c>
      <c r="I158" t="s">
        <v>2211</v>
      </c>
      <c r="J158">
        <v>4</v>
      </c>
    </row>
    <row r="159" spans="1:10" x14ac:dyDescent="0.25">
      <c r="A159" t="s">
        <v>2192</v>
      </c>
      <c r="B159" s="20" t="s">
        <v>644</v>
      </c>
      <c r="C159" t="s">
        <v>260</v>
      </c>
      <c r="D159">
        <v>180</v>
      </c>
      <c r="E159">
        <v>1</v>
      </c>
      <c r="F159">
        <v>0</v>
      </c>
      <c r="G159">
        <v>1</v>
      </c>
      <c r="H159">
        <v>180</v>
      </c>
      <c r="I159" t="s">
        <v>2211</v>
      </c>
      <c r="J159">
        <v>5</v>
      </c>
    </row>
    <row r="160" spans="1:10" x14ac:dyDescent="0.25">
      <c r="A160" t="s">
        <v>2192</v>
      </c>
      <c r="B160" s="20" t="s">
        <v>487</v>
      </c>
      <c r="C160" t="s">
        <v>8</v>
      </c>
      <c r="D160">
        <v>215</v>
      </c>
      <c r="E160">
        <v>4.41</v>
      </c>
      <c r="F160">
        <v>0</v>
      </c>
      <c r="G160">
        <v>4.41</v>
      </c>
      <c r="H160">
        <v>948.15</v>
      </c>
      <c r="I160" t="s">
        <v>2211</v>
      </c>
      <c r="J160">
        <v>6</v>
      </c>
    </row>
    <row r="161" spans="1:10" x14ac:dyDescent="0.25">
      <c r="A161" t="s">
        <v>2192</v>
      </c>
      <c r="B161" s="20" t="s">
        <v>2009</v>
      </c>
      <c r="C161" t="s">
        <v>9</v>
      </c>
      <c r="D161">
        <v>24</v>
      </c>
      <c r="E161">
        <v>33</v>
      </c>
      <c r="F161">
        <v>0</v>
      </c>
      <c r="G161">
        <v>33</v>
      </c>
      <c r="H161">
        <v>792</v>
      </c>
      <c r="I161" t="s">
        <v>2211</v>
      </c>
      <c r="J161">
        <v>7</v>
      </c>
    </row>
    <row r="162" spans="1:10" x14ac:dyDescent="0.25">
      <c r="A162" t="s">
        <v>2192</v>
      </c>
      <c r="B162" s="20" t="s">
        <v>666</v>
      </c>
      <c r="C162" t="s">
        <v>11</v>
      </c>
      <c r="D162">
        <v>850</v>
      </c>
      <c r="E162">
        <v>0.23</v>
      </c>
      <c r="F162">
        <v>0</v>
      </c>
      <c r="G162">
        <v>0.23</v>
      </c>
      <c r="H162">
        <v>195.5</v>
      </c>
      <c r="I162" t="s">
        <v>2211</v>
      </c>
      <c r="J162">
        <v>8</v>
      </c>
    </row>
    <row r="163" spans="1:10" x14ac:dyDescent="0.25">
      <c r="A163" t="s">
        <v>2192</v>
      </c>
      <c r="B163" s="20" t="s">
        <v>667</v>
      </c>
      <c r="C163" t="s">
        <v>11</v>
      </c>
      <c r="D163">
        <v>830</v>
      </c>
      <c r="E163">
        <v>0.46</v>
      </c>
      <c r="F163">
        <v>0</v>
      </c>
      <c r="G163">
        <v>0.46</v>
      </c>
      <c r="H163">
        <v>381.8</v>
      </c>
      <c r="I163" t="s">
        <v>2211</v>
      </c>
      <c r="J163">
        <v>9</v>
      </c>
    </row>
    <row r="164" spans="1:10" x14ac:dyDescent="0.25">
      <c r="A164" t="s">
        <v>2192</v>
      </c>
      <c r="B164" s="20" t="s">
        <v>485</v>
      </c>
      <c r="C164" t="s">
        <v>11</v>
      </c>
      <c r="D164">
        <v>830</v>
      </c>
      <c r="E164">
        <v>0.08</v>
      </c>
      <c r="F164">
        <v>0</v>
      </c>
      <c r="G164">
        <v>0.08</v>
      </c>
      <c r="H164">
        <v>66.400000000000006</v>
      </c>
      <c r="I164" t="s">
        <v>2211</v>
      </c>
      <c r="J164">
        <v>10</v>
      </c>
    </row>
    <row r="165" spans="1:10" x14ac:dyDescent="0.25">
      <c r="A165" t="s">
        <v>2192</v>
      </c>
      <c r="B165" s="20" t="s">
        <v>486</v>
      </c>
      <c r="C165" t="s">
        <v>11</v>
      </c>
      <c r="D165">
        <v>950</v>
      </c>
      <c r="E165">
        <v>0.02</v>
      </c>
      <c r="F165">
        <v>0</v>
      </c>
      <c r="G165">
        <v>0.02</v>
      </c>
      <c r="H165">
        <v>19</v>
      </c>
      <c r="I165" t="s">
        <v>2211</v>
      </c>
      <c r="J165">
        <v>11</v>
      </c>
    </row>
    <row r="166" spans="1:10" x14ac:dyDescent="0.25">
      <c r="A166" t="s">
        <v>2192</v>
      </c>
      <c r="B166" s="20" t="s">
        <v>487</v>
      </c>
      <c r="C166" t="s">
        <v>8</v>
      </c>
      <c r="D166">
        <v>215</v>
      </c>
      <c r="E166">
        <v>1.33</v>
      </c>
      <c r="F166">
        <v>0</v>
      </c>
      <c r="G166">
        <v>1.33</v>
      </c>
      <c r="H166">
        <v>285.95</v>
      </c>
      <c r="I166" t="s">
        <v>2211</v>
      </c>
      <c r="J166">
        <v>12</v>
      </c>
    </row>
    <row r="167" spans="1:10" x14ac:dyDescent="0.25">
      <c r="A167" t="s">
        <v>2192</v>
      </c>
      <c r="B167" s="20" t="s">
        <v>2009</v>
      </c>
      <c r="C167" t="s">
        <v>9</v>
      </c>
      <c r="D167">
        <v>24</v>
      </c>
      <c r="E167">
        <v>10</v>
      </c>
      <c r="F167">
        <v>0</v>
      </c>
      <c r="G167">
        <v>10</v>
      </c>
      <c r="H167">
        <v>240</v>
      </c>
      <c r="I167" t="s">
        <v>2211</v>
      </c>
      <c r="J167">
        <v>13</v>
      </c>
    </row>
    <row r="168" spans="1:10" x14ac:dyDescent="0.25">
      <c r="A168" t="s">
        <v>2192</v>
      </c>
      <c r="B168" s="20" t="s">
        <v>666</v>
      </c>
      <c r="C168" t="s">
        <v>11</v>
      </c>
      <c r="D168">
        <v>850</v>
      </c>
      <c r="E168">
        <v>7.0000000000000007E-2</v>
      </c>
      <c r="F168">
        <v>0</v>
      </c>
      <c r="G168">
        <v>7.0000000000000007E-2</v>
      </c>
      <c r="H168">
        <v>59.500000000000007</v>
      </c>
      <c r="I168" t="s">
        <v>2211</v>
      </c>
      <c r="J168">
        <v>14</v>
      </c>
    </row>
    <row r="169" spans="1:10" x14ac:dyDescent="0.25">
      <c r="A169" t="s">
        <v>2192</v>
      </c>
      <c r="B169" s="20" t="s">
        <v>667</v>
      </c>
      <c r="C169" t="s">
        <v>11</v>
      </c>
      <c r="D169">
        <v>830</v>
      </c>
      <c r="E169">
        <v>0.14000000000000001</v>
      </c>
      <c r="F169">
        <v>0</v>
      </c>
      <c r="G169">
        <v>0.14000000000000001</v>
      </c>
      <c r="H169">
        <v>116.20000000000002</v>
      </c>
      <c r="I169" t="s">
        <v>2211</v>
      </c>
      <c r="J169">
        <v>15</v>
      </c>
    </row>
    <row r="170" spans="1:10" x14ac:dyDescent="0.25">
      <c r="A170" t="s">
        <v>2192</v>
      </c>
      <c r="B170" s="20" t="s">
        <v>647</v>
      </c>
      <c r="C170" t="s">
        <v>648</v>
      </c>
      <c r="D170">
        <v>130</v>
      </c>
      <c r="E170">
        <v>1</v>
      </c>
      <c r="F170">
        <v>0</v>
      </c>
      <c r="G170">
        <v>1</v>
      </c>
      <c r="H170">
        <v>130</v>
      </c>
      <c r="I170" t="s">
        <v>2211</v>
      </c>
      <c r="J170">
        <v>16</v>
      </c>
    </row>
    <row r="171" spans="1:10" x14ac:dyDescent="0.25">
      <c r="A171" t="s">
        <v>2194</v>
      </c>
      <c r="B171" s="20" t="s">
        <v>255</v>
      </c>
      <c r="C171" t="s">
        <v>33</v>
      </c>
      <c r="D171">
        <v>22.5</v>
      </c>
      <c r="E171">
        <v>120</v>
      </c>
      <c r="F171">
        <v>0</v>
      </c>
      <c r="G171">
        <v>120</v>
      </c>
      <c r="H171">
        <v>2700</v>
      </c>
      <c r="I171" t="s">
        <v>2211</v>
      </c>
      <c r="J171">
        <v>3</v>
      </c>
    </row>
    <row r="172" spans="1:10" x14ac:dyDescent="0.25">
      <c r="A172" t="s">
        <v>2192</v>
      </c>
      <c r="B172" s="20" t="s">
        <v>2009</v>
      </c>
      <c r="C172" t="s">
        <v>9</v>
      </c>
      <c r="D172">
        <v>24</v>
      </c>
      <c r="E172">
        <v>3</v>
      </c>
      <c r="F172">
        <v>0</v>
      </c>
      <c r="G172">
        <v>3</v>
      </c>
      <c r="H172">
        <v>72</v>
      </c>
      <c r="I172" t="s">
        <v>2212</v>
      </c>
      <c r="J172">
        <v>3</v>
      </c>
    </row>
    <row r="173" spans="1:10" x14ac:dyDescent="0.25">
      <c r="A173" t="s">
        <v>2192</v>
      </c>
      <c r="B173" s="20" t="s">
        <v>666</v>
      </c>
      <c r="C173" t="s">
        <v>11</v>
      </c>
      <c r="D173">
        <v>850</v>
      </c>
      <c r="E173">
        <v>0.02</v>
      </c>
      <c r="F173">
        <v>0</v>
      </c>
      <c r="G173">
        <v>0.02</v>
      </c>
      <c r="H173">
        <v>17</v>
      </c>
      <c r="I173" t="s">
        <v>2212</v>
      </c>
      <c r="J173">
        <v>4</v>
      </c>
    </row>
    <row r="174" spans="1:10" x14ac:dyDescent="0.25">
      <c r="A174" t="s">
        <v>2192</v>
      </c>
      <c r="B174" s="20" t="s">
        <v>667</v>
      </c>
      <c r="C174" t="s">
        <v>11</v>
      </c>
      <c r="D174">
        <v>830</v>
      </c>
      <c r="E174">
        <v>0.04</v>
      </c>
      <c r="F174">
        <v>0</v>
      </c>
      <c r="G174">
        <v>0.04</v>
      </c>
      <c r="H174">
        <v>33.200000000000003</v>
      </c>
      <c r="I174" t="s">
        <v>2212</v>
      </c>
      <c r="J174">
        <v>5</v>
      </c>
    </row>
    <row r="175" spans="1:10" x14ac:dyDescent="0.25">
      <c r="A175" t="s">
        <v>2192</v>
      </c>
      <c r="B175" s="20" t="s">
        <v>2009</v>
      </c>
      <c r="C175" t="s">
        <v>9</v>
      </c>
      <c r="D175">
        <v>24</v>
      </c>
      <c r="E175">
        <v>26</v>
      </c>
      <c r="F175">
        <v>0</v>
      </c>
      <c r="G175">
        <v>26</v>
      </c>
      <c r="H175">
        <v>624</v>
      </c>
      <c r="I175" t="s">
        <v>2212</v>
      </c>
      <c r="J175">
        <v>6</v>
      </c>
    </row>
    <row r="176" spans="1:10" x14ac:dyDescent="0.25">
      <c r="A176" t="s">
        <v>2192</v>
      </c>
      <c r="B176" s="20" t="s">
        <v>666</v>
      </c>
      <c r="C176" t="s">
        <v>11</v>
      </c>
      <c r="D176">
        <v>850</v>
      </c>
      <c r="E176">
        <v>0.18</v>
      </c>
      <c r="F176">
        <v>0</v>
      </c>
      <c r="G176">
        <v>0.18</v>
      </c>
      <c r="H176">
        <v>153</v>
      </c>
      <c r="I176" t="s">
        <v>2212</v>
      </c>
      <c r="J176">
        <v>7</v>
      </c>
    </row>
    <row r="177" spans="1:10" x14ac:dyDescent="0.25">
      <c r="A177" t="s">
        <v>2192</v>
      </c>
      <c r="B177" s="20" t="s">
        <v>667</v>
      </c>
      <c r="C177" t="s">
        <v>11</v>
      </c>
      <c r="D177">
        <v>830</v>
      </c>
      <c r="E177">
        <v>0.36</v>
      </c>
      <c r="F177">
        <v>0</v>
      </c>
      <c r="G177">
        <v>0.36</v>
      </c>
      <c r="H177">
        <v>298.8</v>
      </c>
      <c r="I177" t="s">
        <v>2212</v>
      </c>
      <c r="J177">
        <v>8</v>
      </c>
    </row>
    <row r="178" spans="1:10" x14ac:dyDescent="0.25">
      <c r="A178" t="s">
        <v>2192</v>
      </c>
      <c r="B178" s="20" t="s">
        <v>594</v>
      </c>
      <c r="C178" t="s">
        <v>595</v>
      </c>
      <c r="D178">
        <v>28</v>
      </c>
      <c r="E178">
        <v>30</v>
      </c>
      <c r="F178">
        <v>0</v>
      </c>
      <c r="G178">
        <v>30</v>
      </c>
      <c r="H178">
        <v>840</v>
      </c>
      <c r="I178" t="s">
        <v>2212</v>
      </c>
      <c r="J178">
        <v>9</v>
      </c>
    </row>
    <row r="179" spans="1:10" x14ac:dyDescent="0.25">
      <c r="A179" t="s">
        <v>2192</v>
      </c>
      <c r="B179" s="20" t="s">
        <v>596</v>
      </c>
      <c r="C179" t="s">
        <v>595</v>
      </c>
      <c r="D179">
        <v>15</v>
      </c>
      <c r="E179">
        <v>12</v>
      </c>
      <c r="F179">
        <v>0</v>
      </c>
      <c r="G179">
        <v>12</v>
      </c>
      <c r="H179">
        <v>180</v>
      </c>
      <c r="I179" t="s">
        <v>2212</v>
      </c>
      <c r="J179">
        <v>10</v>
      </c>
    </row>
    <row r="180" spans="1:10" x14ac:dyDescent="0.25">
      <c r="A180" t="s">
        <v>2192</v>
      </c>
      <c r="B180" s="20" t="s">
        <v>598</v>
      </c>
      <c r="C180" t="s">
        <v>599</v>
      </c>
      <c r="D180">
        <v>45</v>
      </c>
      <c r="E180">
        <v>8</v>
      </c>
      <c r="F180">
        <v>0</v>
      </c>
      <c r="G180">
        <v>8</v>
      </c>
      <c r="H180">
        <v>360</v>
      </c>
      <c r="I180" t="s">
        <v>2212</v>
      </c>
      <c r="J180">
        <v>11</v>
      </c>
    </row>
    <row r="181" spans="1:10" x14ac:dyDescent="0.25">
      <c r="A181" t="s">
        <v>2192</v>
      </c>
      <c r="B181" s="20" t="s">
        <v>655</v>
      </c>
      <c r="C181" t="s">
        <v>656</v>
      </c>
      <c r="D181">
        <v>15</v>
      </c>
      <c r="E181">
        <v>12</v>
      </c>
      <c r="F181">
        <v>0</v>
      </c>
      <c r="G181">
        <v>12</v>
      </c>
      <c r="H181">
        <v>180</v>
      </c>
      <c r="I181" t="s">
        <v>2212</v>
      </c>
      <c r="J181">
        <v>12</v>
      </c>
    </row>
    <row r="182" spans="1:10" x14ac:dyDescent="0.25">
      <c r="A182" t="s">
        <v>2192</v>
      </c>
      <c r="B182" s="20" t="s">
        <v>647</v>
      </c>
      <c r="C182" t="s">
        <v>648</v>
      </c>
      <c r="D182">
        <v>130</v>
      </c>
      <c r="E182">
        <v>1</v>
      </c>
      <c r="F182">
        <v>0</v>
      </c>
      <c r="G182">
        <v>1</v>
      </c>
      <c r="H182">
        <v>130</v>
      </c>
      <c r="I182" t="s">
        <v>2212</v>
      </c>
      <c r="J182">
        <v>13</v>
      </c>
    </row>
    <row r="183" spans="1:10" x14ac:dyDescent="0.25">
      <c r="A183" t="s">
        <v>2194</v>
      </c>
      <c r="B183" s="20" t="s">
        <v>255</v>
      </c>
      <c r="C183" t="s">
        <v>33</v>
      </c>
      <c r="D183">
        <v>22.5</v>
      </c>
      <c r="E183">
        <v>112</v>
      </c>
      <c r="F183">
        <v>0</v>
      </c>
      <c r="G183">
        <v>112</v>
      </c>
      <c r="H183">
        <v>2520</v>
      </c>
      <c r="I183" t="s">
        <v>2212</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activeCell="H251" sqref="H251"/>
    </sheetView>
  </sheetViews>
  <sheetFormatPr defaultRowHeight="15" x14ac:dyDescent="0.25"/>
  <cols>
    <col min="1" max="1" width="139.5703125" style="3" bestFit="1" customWidth="1"/>
    <col min="2" max="16384" width="9.140625" style="3"/>
  </cols>
  <sheetData>
    <row r="1" spans="1:1" x14ac:dyDescent="0.25">
      <c r="A1" s="3" t="s">
        <v>51</v>
      </c>
    </row>
    <row r="2" spans="1:1" x14ac:dyDescent="0.25">
      <c r="A2" s="3" t="s">
        <v>52</v>
      </c>
    </row>
    <row r="3" spans="1:1" x14ac:dyDescent="0.25">
      <c r="A3" s="3" t="s">
        <v>53</v>
      </c>
    </row>
    <row r="5" spans="1:1" x14ac:dyDescent="0.25">
      <c r="A5" s="3" t="s">
        <v>49</v>
      </c>
    </row>
    <row r="6" spans="1:1" x14ac:dyDescent="0.25">
      <c r="A6" s="3" t="s">
        <v>54</v>
      </c>
    </row>
    <row r="7" spans="1:1" x14ac:dyDescent="0.25">
      <c r="A7" s="3" t="s">
        <v>49</v>
      </c>
    </row>
    <row r="8" spans="1:1" x14ac:dyDescent="0.25">
      <c r="A8" s="3" t="s">
        <v>55</v>
      </c>
    </row>
    <row r="9" spans="1:1" x14ac:dyDescent="0.25">
      <c r="A9" s="3" t="s">
        <v>56</v>
      </c>
    </row>
    <row r="10" spans="1:1" x14ac:dyDescent="0.25">
      <c r="A10" s="3" t="s">
        <v>57</v>
      </c>
    </row>
    <row r="12" spans="1:1" x14ac:dyDescent="0.25">
      <c r="A12" s="3" t="s">
        <v>58</v>
      </c>
    </row>
    <row r="13" spans="1:1" x14ac:dyDescent="0.25">
      <c r="A13" s="3" t="s">
        <v>59</v>
      </c>
    </row>
    <row r="14" spans="1:1" x14ac:dyDescent="0.25">
      <c r="A14" s="3" t="s">
        <v>60</v>
      </c>
    </row>
    <row r="15" spans="1:1" x14ac:dyDescent="0.25">
      <c r="A15" s="3" t="s">
        <v>61</v>
      </c>
    </row>
    <row r="16" spans="1:1" x14ac:dyDescent="0.25">
      <c r="A16" s="3" t="s">
        <v>62</v>
      </c>
    </row>
    <row r="17" spans="1:1" x14ac:dyDescent="0.25">
      <c r="A17" s="3" t="s">
        <v>63</v>
      </c>
    </row>
    <row r="18" spans="1:1" x14ac:dyDescent="0.25">
      <c r="A18" s="3" t="s">
        <v>64</v>
      </c>
    </row>
    <row r="19" spans="1:1" x14ac:dyDescent="0.25">
      <c r="A19" s="3" t="s">
        <v>65</v>
      </c>
    </row>
    <row r="21" spans="1:1" x14ac:dyDescent="0.25">
      <c r="A21" s="3" t="s">
        <v>49</v>
      </c>
    </row>
    <row r="22" spans="1:1" x14ac:dyDescent="0.25">
      <c r="A22" s="3" t="s">
        <v>66</v>
      </c>
    </row>
    <row r="23" spans="1:1" x14ac:dyDescent="0.25">
      <c r="A23" s="3" t="s">
        <v>49</v>
      </c>
    </row>
    <row r="24" spans="1:1" x14ac:dyDescent="0.25">
      <c r="A24" s="3" t="s">
        <v>67</v>
      </c>
    </row>
    <row r="25" spans="1:1" x14ac:dyDescent="0.25">
      <c r="A25" s="3" t="s">
        <v>68</v>
      </c>
    </row>
    <row r="26" spans="1:1" x14ac:dyDescent="0.25">
      <c r="A26" s="3" t="s">
        <v>69</v>
      </c>
    </row>
    <row r="27" spans="1:1" x14ac:dyDescent="0.25">
      <c r="A27" s="3" t="s">
        <v>70</v>
      </c>
    </row>
    <row r="28" spans="1:1" x14ac:dyDescent="0.25">
      <c r="A28" s="3" t="s">
        <v>71</v>
      </c>
    </row>
    <row r="29" spans="1:1" x14ac:dyDescent="0.25">
      <c r="A29" s="3" t="s">
        <v>72</v>
      </c>
    </row>
    <row r="30" spans="1:1" x14ac:dyDescent="0.25">
      <c r="A30" s="3" t="s">
        <v>73</v>
      </c>
    </row>
    <row r="32" spans="1:1" x14ac:dyDescent="0.25">
      <c r="A32" s="3" t="s">
        <v>49</v>
      </c>
    </row>
    <row r="33" spans="1:1" x14ac:dyDescent="0.25">
      <c r="A33" s="3" t="s">
        <v>74</v>
      </c>
    </row>
    <row r="34" spans="1:1" x14ac:dyDescent="0.25">
      <c r="A34" s="3" t="s">
        <v>49</v>
      </c>
    </row>
    <row r="35" spans="1:1" x14ac:dyDescent="0.25">
      <c r="A35" s="3" t="s">
        <v>75</v>
      </c>
    </row>
    <row r="36" spans="1:1" x14ac:dyDescent="0.25">
      <c r="A36" s="3" t="s">
        <v>76</v>
      </c>
    </row>
    <row r="37" spans="1:1" x14ac:dyDescent="0.25">
      <c r="A37" s="3" t="s">
        <v>77</v>
      </c>
    </row>
    <row r="38" spans="1:1" x14ac:dyDescent="0.25">
      <c r="A38" s="3" t="s">
        <v>78</v>
      </c>
    </row>
    <row r="39" spans="1:1" x14ac:dyDescent="0.25">
      <c r="A39" s="3" t="s">
        <v>79</v>
      </c>
    </row>
    <row r="40" spans="1:1" x14ac:dyDescent="0.25">
      <c r="A40" s="3" t="s">
        <v>80</v>
      </c>
    </row>
    <row r="41" spans="1:1" x14ac:dyDescent="0.25">
      <c r="A41" s="3" t="s">
        <v>81</v>
      </c>
    </row>
    <row r="42" spans="1:1" x14ac:dyDescent="0.25">
      <c r="A42" s="3" t="s">
        <v>82</v>
      </c>
    </row>
    <row r="43" spans="1:1" x14ac:dyDescent="0.25">
      <c r="A43" s="3" t="s">
        <v>83</v>
      </c>
    </row>
    <row r="45" spans="1:1" x14ac:dyDescent="0.25">
      <c r="A45" s="3" t="s">
        <v>49</v>
      </c>
    </row>
    <row r="46" spans="1:1" x14ac:dyDescent="0.25">
      <c r="A46" s="3" t="s">
        <v>84</v>
      </c>
    </row>
    <row r="47" spans="1:1" x14ac:dyDescent="0.25">
      <c r="A47" s="3" t="s">
        <v>49</v>
      </c>
    </row>
    <row r="48" spans="1:1" x14ac:dyDescent="0.25">
      <c r="A48" s="3" t="s">
        <v>85</v>
      </c>
    </row>
    <row r="49" spans="1:1" x14ac:dyDescent="0.25">
      <c r="A49" s="3" t="s">
        <v>86</v>
      </c>
    </row>
    <row r="50" spans="1:1" x14ac:dyDescent="0.25">
      <c r="A50" s="3" t="s">
        <v>87</v>
      </c>
    </row>
    <row r="51" spans="1:1" x14ac:dyDescent="0.25">
      <c r="A51" s="3" t="s">
        <v>88</v>
      </c>
    </row>
    <row r="52" spans="1:1" x14ac:dyDescent="0.25">
      <c r="A52" s="3" t="s">
        <v>89</v>
      </c>
    </row>
    <row r="53" spans="1:1" x14ac:dyDescent="0.25">
      <c r="A53" s="3" t="s">
        <v>90</v>
      </c>
    </row>
    <row r="54" spans="1:1" x14ac:dyDescent="0.25">
      <c r="A54" s="3" t="s">
        <v>91</v>
      </c>
    </row>
    <row r="55" spans="1:1" x14ac:dyDescent="0.25">
      <c r="A55" s="3" t="s">
        <v>92</v>
      </c>
    </row>
    <row r="56" spans="1:1" x14ac:dyDescent="0.25">
      <c r="A56" s="3" t="s">
        <v>93</v>
      </c>
    </row>
    <row r="58" spans="1:1" x14ac:dyDescent="0.25">
      <c r="A58" s="3" t="s">
        <v>49</v>
      </c>
    </row>
    <row r="59" spans="1:1" x14ac:dyDescent="0.25">
      <c r="A59" s="3" t="s">
        <v>94</v>
      </c>
    </row>
    <row r="60" spans="1:1" x14ac:dyDescent="0.25">
      <c r="A60" s="3" t="s">
        <v>49</v>
      </c>
    </row>
    <row r="61" spans="1:1" x14ac:dyDescent="0.25">
      <c r="A61" s="3" t="s">
        <v>95</v>
      </c>
    </row>
    <row r="62" spans="1:1" x14ac:dyDescent="0.25">
      <c r="A62" s="3" t="s">
        <v>96</v>
      </c>
    </row>
    <row r="63" spans="1:1" x14ac:dyDescent="0.25">
      <c r="A63" s="3" t="s">
        <v>97</v>
      </c>
    </row>
    <row r="64" spans="1:1" x14ac:dyDescent="0.25">
      <c r="A64" s="3" t="s">
        <v>98</v>
      </c>
    </row>
    <row r="65" spans="1:1" x14ac:dyDescent="0.25">
      <c r="A65" s="3" t="s">
        <v>99</v>
      </c>
    </row>
    <row r="66" spans="1:1" x14ac:dyDescent="0.25">
      <c r="A66" s="3" t="s">
        <v>100</v>
      </c>
    </row>
    <row r="67" spans="1:1" x14ac:dyDescent="0.25">
      <c r="A67" s="3" t="s">
        <v>101</v>
      </c>
    </row>
    <row r="68" spans="1:1" x14ac:dyDescent="0.25">
      <c r="A68" s="3" t="s">
        <v>102</v>
      </c>
    </row>
    <row r="69" spans="1:1" x14ac:dyDescent="0.25">
      <c r="A69" s="3" t="s">
        <v>103</v>
      </c>
    </row>
    <row r="70" spans="1:1" x14ac:dyDescent="0.25">
      <c r="A70" s="3" t="s">
        <v>104</v>
      </c>
    </row>
    <row r="71" spans="1:1" x14ac:dyDescent="0.25">
      <c r="A71" s="3" t="s">
        <v>105</v>
      </c>
    </row>
    <row r="72" spans="1:1" x14ac:dyDescent="0.25">
      <c r="A72" s="3" t="s">
        <v>106</v>
      </c>
    </row>
    <row r="73" spans="1:1" x14ac:dyDescent="0.25">
      <c r="A73" s="3" t="s">
        <v>107</v>
      </c>
    </row>
    <row r="74" spans="1:1" x14ac:dyDescent="0.25">
      <c r="A74" s="3" t="s">
        <v>108</v>
      </c>
    </row>
    <row r="75" spans="1:1" x14ac:dyDescent="0.25">
      <c r="A75" s="3" t="s">
        <v>109</v>
      </c>
    </row>
    <row r="76" spans="1:1" x14ac:dyDescent="0.25">
      <c r="A76" s="3" t="s">
        <v>110</v>
      </c>
    </row>
    <row r="77" spans="1:1" x14ac:dyDescent="0.25">
      <c r="A77" s="3" t="s">
        <v>111</v>
      </c>
    </row>
    <row r="79" spans="1:1" x14ac:dyDescent="0.25">
      <c r="A79" s="3" t="s">
        <v>49</v>
      </c>
    </row>
    <row r="80" spans="1:1" x14ac:dyDescent="0.25">
      <c r="A80" s="3" t="s">
        <v>112</v>
      </c>
    </row>
    <row r="81" spans="1:1" x14ac:dyDescent="0.25">
      <c r="A81" s="3" t="s">
        <v>49</v>
      </c>
    </row>
    <row r="82" spans="1:1" x14ac:dyDescent="0.25">
      <c r="A82" s="3" t="s">
        <v>113</v>
      </c>
    </row>
    <row r="83" spans="1:1" x14ac:dyDescent="0.25">
      <c r="A83" s="3" t="s">
        <v>114</v>
      </c>
    </row>
    <row r="84" spans="1:1" x14ac:dyDescent="0.25">
      <c r="A84" s="3" t="s">
        <v>115</v>
      </c>
    </row>
    <row r="85" spans="1:1" x14ac:dyDescent="0.25">
      <c r="A85" s="3" t="s">
        <v>116</v>
      </c>
    </row>
    <row r="86" spans="1:1" x14ac:dyDescent="0.25">
      <c r="A86" s="3" t="s">
        <v>117</v>
      </c>
    </row>
    <row r="87" spans="1:1" x14ac:dyDescent="0.25">
      <c r="A87" s="3" t="s">
        <v>118</v>
      </c>
    </row>
    <row r="88" spans="1:1" x14ac:dyDescent="0.25">
      <c r="A88" s="3" t="s">
        <v>119</v>
      </c>
    </row>
    <row r="89" spans="1:1" x14ac:dyDescent="0.25">
      <c r="A89" s="3" t="s">
        <v>120</v>
      </c>
    </row>
    <row r="90" spans="1:1" x14ac:dyDescent="0.25">
      <c r="A90" s="3" t="s">
        <v>121</v>
      </c>
    </row>
    <row r="91" spans="1:1" x14ac:dyDescent="0.25">
      <c r="A91" s="3" t="s">
        <v>122</v>
      </c>
    </row>
    <row r="92" spans="1:1" x14ac:dyDescent="0.25">
      <c r="A92" s="3" t="s">
        <v>123</v>
      </c>
    </row>
    <row r="94" spans="1:1" x14ac:dyDescent="0.25">
      <c r="A94" s="3" t="s">
        <v>49</v>
      </c>
    </row>
    <row r="95" spans="1:1" x14ac:dyDescent="0.25">
      <c r="A95" s="3" t="s">
        <v>124</v>
      </c>
    </row>
    <row r="96" spans="1:1" x14ac:dyDescent="0.25">
      <c r="A96" s="3" t="s">
        <v>49</v>
      </c>
    </row>
    <row r="97" spans="1:1" x14ac:dyDescent="0.25">
      <c r="A97" s="3" t="s">
        <v>125</v>
      </c>
    </row>
    <row r="98" spans="1:1" x14ac:dyDescent="0.25">
      <c r="A98" s="3" t="s">
        <v>126</v>
      </c>
    </row>
    <row r="99" spans="1:1" x14ac:dyDescent="0.25">
      <c r="A99" s="3" t="s">
        <v>127</v>
      </c>
    </row>
    <row r="100" spans="1:1" x14ac:dyDescent="0.25">
      <c r="A100" s="3" t="s">
        <v>128</v>
      </c>
    </row>
    <row r="101" spans="1:1" x14ac:dyDescent="0.25">
      <c r="A101" s="3" t="s">
        <v>129</v>
      </c>
    </row>
    <row r="103" spans="1:1" x14ac:dyDescent="0.25">
      <c r="A103" s="3" t="s">
        <v>130</v>
      </c>
    </row>
    <row r="104" spans="1:1" x14ac:dyDescent="0.25">
      <c r="A104" s="3" t="s">
        <v>131</v>
      </c>
    </row>
    <row r="105" spans="1:1" x14ac:dyDescent="0.25">
      <c r="A105" s="3" t="s">
        <v>132</v>
      </c>
    </row>
    <row r="106" spans="1:1" x14ac:dyDescent="0.25">
      <c r="A106" s="3" t="s">
        <v>133</v>
      </c>
    </row>
    <row r="107" spans="1:1" x14ac:dyDescent="0.25">
      <c r="A107" s="3" t="s">
        <v>134</v>
      </c>
    </row>
    <row r="108" spans="1:1" x14ac:dyDescent="0.25">
      <c r="A108" s="3" t="s">
        <v>135</v>
      </c>
    </row>
    <row r="110" spans="1:1" x14ac:dyDescent="0.25">
      <c r="A110" s="3" t="s">
        <v>136</v>
      </c>
    </row>
    <row r="111" spans="1:1" x14ac:dyDescent="0.25">
      <c r="A111" s="3" t="s">
        <v>137</v>
      </c>
    </row>
    <row r="112" spans="1:1" x14ac:dyDescent="0.25">
      <c r="A112" s="3" t="s">
        <v>138</v>
      </c>
    </row>
    <row r="113" spans="1:1" x14ac:dyDescent="0.25">
      <c r="A113" s="3" t="s">
        <v>139</v>
      </c>
    </row>
    <row r="114" spans="1:1" x14ac:dyDescent="0.25">
      <c r="A114" s="3" t="s">
        <v>140</v>
      </c>
    </row>
    <row r="116" spans="1:1" x14ac:dyDescent="0.25">
      <c r="A116" s="3" t="s">
        <v>141</v>
      </c>
    </row>
    <row r="117" spans="1:1" x14ac:dyDescent="0.25">
      <c r="A117" s="3" t="s">
        <v>142</v>
      </c>
    </row>
    <row r="118" spans="1:1" x14ac:dyDescent="0.25">
      <c r="A118" s="3" t="s">
        <v>143</v>
      </c>
    </row>
    <row r="119" spans="1:1" x14ac:dyDescent="0.25">
      <c r="A119" s="3" t="s">
        <v>144</v>
      </c>
    </row>
    <row r="121" spans="1:1" x14ac:dyDescent="0.25">
      <c r="A121" s="3" t="s">
        <v>145</v>
      </c>
    </row>
    <row r="122" spans="1:1" x14ac:dyDescent="0.25">
      <c r="A122" s="3" t="s">
        <v>146</v>
      </c>
    </row>
    <row r="123" spans="1:1" x14ac:dyDescent="0.25">
      <c r="A123" s="3" t="s">
        <v>147</v>
      </c>
    </row>
    <row r="125" spans="1:1" x14ac:dyDescent="0.25">
      <c r="A125" s="3" t="s">
        <v>148</v>
      </c>
    </row>
    <row r="126" spans="1:1" x14ac:dyDescent="0.25">
      <c r="A126" s="3" t="s">
        <v>149</v>
      </c>
    </row>
    <row r="127" spans="1:1" x14ac:dyDescent="0.25">
      <c r="A127" s="3" t="s">
        <v>150</v>
      </c>
    </row>
    <row r="128" spans="1:1" x14ac:dyDescent="0.25">
      <c r="A128" s="3" t="s">
        <v>151</v>
      </c>
    </row>
    <row r="129" spans="1:1" x14ac:dyDescent="0.25">
      <c r="A129" s="3" t="s">
        <v>152</v>
      </c>
    </row>
    <row r="131" spans="1:1" x14ac:dyDescent="0.25">
      <c r="A131" s="3" t="s">
        <v>153</v>
      </c>
    </row>
    <row r="132" spans="1:1" x14ac:dyDescent="0.25">
      <c r="A132" s="3" t="s">
        <v>154</v>
      </c>
    </row>
    <row r="133" spans="1:1" x14ac:dyDescent="0.25">
      <c r="A133" s="3" t="s">
        <v>155</v>
      </c>
    </row>
    <row r="134" spans="1:1" x14ac:dyDescent="0.25">
      <c r="A134" s="3" t="s">
        <v>156</v>
      </c>
    </row>
    <row r="136" spans="1:1" x14ac:dyDescent="0.25">
      <c r="A136" s="3" t="s">
        <v>157</v>
      </c>
    </row>
    <row r="137" spans="1:1" x14ac:dyDescent="0.25">
      <c r="A137" s="3" t="s">
        <v>158</v>
      </c>
    </row>
    <row r="138" spans="1:1" x14ac:dyDescent="0.25">
      <c r="A138" s="3" t="s">
        <v>159</v>
      </c>
    </row>
    <row r="139" spans="1:1" x14ac:dyDescent="0.25">
      <c r="A139" s="3" t="s">
        <v>160</v>
      </c>
    </row>
    <row r="141" spans="1:1" x14ac:dyDescent="0.25">
      <c r="A141" s="3" t="s">
        <v>161</v>
      </c>
    </row>
    <row r="142" spans="1:1" x14ac:dyDescent="0.25">
      <c r="A142" s="3" t="s">
        <v>162</v>
      </c>
    </row>
    <row r="143" spans="1:1" x14ac:dyDescent="0.25">
      <c r="A143" s="3" t="s">
        <v>163</v>
      </c>
    </row>
    <row r="144" spans="1:1" x14ac:dyDescent="0.25">
      <c r="A144" s="3" t="s">
        <v>164</v>
      </c>
    </row>
    <row r="145" spans="1:1" x14ac:dyDescent="0.25">
      <c r="A145" s="3" t="s">
        <v>165</v>
      </c>
    </row>
    <row r="146" spans="1:1" x14ac:dyDescent="0.25">
      <c r="A146" s="3" t="s">
        <v>166</v>
      </c>
    </row>
    <row r="147" spans="1:1" x14ac:dyDescent="0.25">
      <c r="A147" s="3" t="s">
        <v>167</v>
      </c>
    </row>
    <row r="148" spans="1:1" x14ac:dyDescent="0.25">
      <c r="A148" s="3" t="s">
        <v>168</v>
      </c>
    </row>
    <row r="149" spans="1:1" x14ac:dyDescent="0.25">
      <c r="A149" s="3" t="s">
        <v>169</v>
      </c>
    </row>
    <row r="150" spans="1:1" x14ac:dyDescent="0.25">
      <c r="A150" s="3" t="s">
        <v>170</v>
      </c>
    </row>
    <row r="152" spans="1:1" x14ac:dyDescent="0.25">
      <c r="A152" s="3" t="s">
        <v>171</v>
      </c>
    </row>
    <row r="153" spans="1:1" x14ac:dyDescent="0.25">
      <c r="A153" s="3" t="s">
        <v>172</v>
      </c>
    </row>
    <row r="154" spans="1:1" x14ac:dyDescent="0.25">
      <c r="A154" s="3" t="s">
        <v>173</v>
      </c>
    </row>
    <row r="155" spans="1:1" x14ac:dyDescent="0.25">
      <c r="A155" s="3" t="s">
        <v>174</v>
      </c>
    </row>
    <row r="157" spans="1:1" x14ac:dyDescent="0.25">
      <c r="A157" s="3" t="s">
        <v>130</v>
      </c>
    </row>
    <row r="158" spans="1:1" x14ac:dyDescent="0.25">
      <c r="A158" s="3" t="s">
        <v>131</v>
      </c>
    </row>
    <row r="159" spans="1:1" x14ac:dyDescent="0.25">
      <c r="A159" s="3" t="s">
        <v>132</v>
      </c>
    </row>
    <row r="160" spans="1:1" x14ac:dyDescent="0.25">
      <c r="A160" s="3" t="s">
        <v>133</v>
      </c>
    </row>
    <row r="161" spans="1:1" x14ac:dyDescent="0.25">
      <c r="A161" s="3" t="s">
        <v>134</v>
      </c>
    </row>
    <row r="162" spans="1:1" x14ac:dyDescent="0.25">
      <c r="A162" s="3" t="s">
        <v>135</v>
      </c>
    </row>
    <row r="164" spans="1:1" x14ac:dyDescent="0.25">
      <c r="A164" s="3" t="s">
        <v>49</v>
      </c>
    </row>
    <row r="165" spans="1:1" x14ac:dyDescent="0.25">
      <c r="A165" s="3" t="s">
        <v>175</v>
      </c>
    </row>
    <row r="166" spans="1:1" x14ac:dyDescent="0.25">
      <c r="A166" s="3" t="s">
        <v>49</v>
      </c>
    </row>
    <row r="167" spans="1:1" x14ac:dyDescent="0.25">
      <c r="A167" s="3" t="s">
        <v>176</v>
      </c>
    </row>
    <row r="168" spans="1:1" x14ac:dyDescent="0.25">
      <c r="A168" s="3" t="s">
        <v>177</v>
      </c>
    </row>
    <row r="169" spans="1:1" x14ac:dyDescent="0.25">
      <c r="A169" s="3" t="s">
        <v>178</v>
      </c>
    </row>
    <row r="170" spans="1:1" x14ac:dyDescent="0.25">
      <c r="A170" s="3" t="s">
        <v>179</v>
      </c>
    </row>
    <row r="171" spans="1:1" x14ac:dyDescent="0.25">
      <c r="A171" s="3" t="s">
        <v>180</v>
      </c>
    </row>
    <row r="172" spans="1:1" x14ac:dyDescent="0.25">
      <c r="A172" s="3" t="s">
        <v>181</v>
      </c>
    </row>
    <row r="173" spans="1:1" x14ac:dyDescent="0.25">
      <c r="A173" s="3" t="s">
        <v>180</v>
      </c>
    </row>
    <row r="174" spans="1:1" x14ac:dyDescent="0.25">
      <c r="A174" s="3" t="s">
        <v>182</v>
      </c>
    </row>
    <row r="175" spans="1:1" x14ac:dyDescent="0.25">
      <c r="A175" s="3" t="s">
        <v>183</v>
      </c>
    </row>
    <row r="176" spans="1:1" x14ac:dyDescent="0.25">
      <c r="A176" s="3" t="s">
        <v>184</v>
      </c>
    </row>
    <row r="177" spans="1:1" x14ac:dyDescent="0.25">
      <c r="A177" s="3" t="s">
        <v>185</v>
      </c>
    </row>
    <row r="179" spans="1:1" x14ac:dyDescent="0.25">
      <c r="A179" s="3" t="s">
        <v>49</v>
      </c>
    </row>
    <row r="180" spans="1:1" x14ac:dyDescent="0.25">
      <c r="A180" s="3" t="s">
        <v>186</v>
      </c>
    </row>
    <row r="181" spans="1:1" x14ac:dyDescent="0.25">
      <c r="A181" s="3" t="s">
        <v>49</v>
      </c>
    </row>
    <row r="182" spans="1:1" x14ac:dyDescent="0.25">
      <c r="A182" s="3" t="s">
        <v>187</v>
      </c>
    </row>
    <row r="183" spans="1:1" x14ac:dyDescent="0.25">
      <c r="A183" s="3" t="s">
        <v>188</v>
      </c>
    </row>
    <row r="184" spans="1:1" x14ac:dyDescent="0.25">
      <c r="A184" s="3" t="s">
        <v>189</v>
      </c>
    </row>
    <row r="185" spans="1:1" x14ac:dyDescent="0.25">
      <c r="A185" s="3" t="s">
        <v>190</v>
      </c>
    </row>
    <row r="186" spans="1:1" x14ac:dyDescent="0.25">
      <c r="A186" s="3" t="s">
        <v>191</v>
      </c>
    </row>
    <row r="187" spans="1:1" x14ac:dyDescent="0.25">
      <c r="A187" s="3" t="s">
        <v>192</v>
      </c>
    </row>
    <row r="188" spans="1:1" x14ac:dyDescent="0.25">
      <c r="A188" s="3" t="s">
        <v>193</v>
      </c>
    </row>
    <row r="190" spans="1:1" x14ac:dyDescent="0.25">
      <c r="A190" s="3" t="s">
        <v>49</v>
      </c>
    </row>
    <row r="191" spans="1:1" x14ac:dyDescent="0.25">
      <c r="A191" s="3" t="s">
        <v>194</v>
      </c>
    </row>
    <row r="192" spans="1:1" x14ac:dyDescent="0.25">
      <c r="A192" s="3" t="s">
        <v>49</v>
      </c>
    </row>
    <row r="193" spans="1:1" x14ac:dyDescent="0.25">
      <c r="A193" s="3" t="s">
        <v>195</v>
      </c>
    </row>
    <row r="194" spans="1:1" x14ac:dyDescent="0.25">
      <c r="A194" s="3" t="s">
        <v>196</v>
      </c>
    </row>
    <row r="195" spans="1:1" x14ac:dyDescent="0.25">
      <c r="A195" s="3" t="s">
        <v>197</v>
      </c>
    </row>
    <row r="196" spans="1:1" x14ac:dyDescent="0.25">
      <c r="A196" s="3" t="s">
        <v>198</v>
      </c>
    </row>
    <row r="197" spans="1:1" x14ac:dyDescent="0.25">
      <c r="A197" s="3" t="s">
        <v>199</v>
      </c>
    </row>
    <row r="199" spans="1:1" x14ac:dyDescent="0.25">
      <c r="A199" s="3" t="s">
        <v>49</v>
      </c>
    </row>
    <row r="200" spans="1:1" x14ac:dyDescent="0.25">
      <c r="A200" s="3" t="s">
        <v>200</v>
      </c>
    </row>
    <row r="201" spans="1:1" x14ac:dyDescent="0.25">
      <c r="A201" s="3" t="s">
        <v>49</v>
      </c>
    </row>
    <row r="202" spans="1:1" x14ac:dyDescent="0.25">
      <c r="A202" s="3" t="s">
        <v>201</v>
      </c>
    </row>
    <row r="203" spans="1:1" x14ac:dyDescent="0.25">
      <c r="A203" s="3" t="s">
        <v>202</v>
      </c>
    </row>
    <row r="204" spans="1:1" x14ac:dyDescent="0.25">
      <c r="A204" s="3" t="s">
        <v>203</v>
      </c>
    </row>
    <row r="205" spans="1:1" x14ac:dyDescent="0.25">
      <c r="A205" s="3" t="s">
        <v>204</v>
      </c>
    </row>
    <row r="206" spans="1:1" x14ac:dyDescent="0.25">
      <c r="A206" s="3" t="s">
        <v>205</v>
      </c>
    </row>
    <row r="208" spans="1:1" x14ac:dyDescent="0.25">
      <c r="A208" s="3" t="s">
        <v>49</v>
      </c>
    </row>
    <row r="209" spans="1:1" x14ac:dyDescent="0.25">
      <c r="A209" s="3" t="s">
        <v>206</v>
      </c>
    </row>
    <row r="210" spans="1:1" x14ac:dyDescent="0.25">
      <c r="A210" s="3" t="s">
        <v>49</v>
      </c>
    </row>
    <row r="211" spans="1:1" x14ac:dyDescent="0.25">
      <c r="A211" s="3" t="s">
        <v>207</v>
      </c>
    </row>
    <row r="212" spans="1:1" x14ac:dyDescent="0.25">
      <c r="A212" s="3" t="s">
        <v>208</v>
      </c>
    </row>
    <row r="213" spans="1:1" x14ac:dyDescent="0.25">
      <c r="A213" s="3" t="s">
        <v>209</v>
      </c>
    </row>
    <row r="214" spans="1:1" x14ac:dyDescent="0.25">
      <c r="A214" s="3" t="s">
        <v>210</v>
      </c>
    </row>
    <row r="215" spans="1:1" x14ac:dyDescent="0.25">
      <c r="A215" s="3" t="s">
        <v>211</v>
      </c>
    </row>
    <row r="216" spans="1:1" x14ac:dyDescent="0.25">
      <c r="A216" s="3" t="s">
        <v>212</v>
      </c>
    </row>
    <row r="217" spans="1:1" x14ac:dyDescent="0.25">
      <c r="A217" s="3" t="s">
        <v>213</v>
      </c>
    </row>
    <row r="218" spans="1:1" x14ac:dyDescent="0.25">
      <c r="A218" s="3" t="s">
        <v>214</v>
      </c>
    </row>
    <row r="219" spans="1:1" x14ac:dyDescent="0.25">
      <c r="A219" s="3" t="s">
        <v>215</v>
      </c>
    </row>
    <row r="220" spans="1:1" x14ac:dyDescent="0.25">
      <c r="A220" s="3" t="s">
        <v>216</v>
      </c>
    </row>
    <row r="221" spans="1:1" x14ac:dyDescent="0.25">
      <c r="A221" s="3" t="s">
        <v>217</v>
      </c>
    </row>
    <row r="222" spans="1:1" x14ac:dyDescent="0.25">
      <c r="A222" s="3" t="s">
        <v>218</v>
      </c>
    </row>
    <row r="223" spans="1:1" x14ac:dyDescent="0.25">
      <c r="A223" s="3" t="s">
        <v>219</v>
      </c>
    </row>
    <row r="225" spans="1:1" x14ac:dyDescent="0.25">
      <c r="A225" s="3" t="s">
        <v>49</v>
      </c>
    </row>
    <row r="226" spans="1:1" x14ac:dyDescent="0.25">
      <c r="A226" s="3" t="s">
        <v>220</v>
      </c>
    </row>
    <row r="227" spans="1:1" x14ac:dyDescent="0.25">
      <c r="A227" s="3" t="s">
        <v>49</v>
      </c>
    </row>
    <row r="228" spans="1:1" x14ac:dyDescent="0.25">
      <c r="A228" s="3" t="s">
        <v>221</v>
      </c>
    </row>
    <row r="229" spans="1:1" x14ac:dyDescent="0.25">
      <c r="A229" s="3" t="s">
        <v>222</v>
      </c>
    </row>
    <row r="230" spans="1:1" x14ac:dyDescent="0.25">
      <c r="A230" s="3" t="s">
        <v>223</v>
      </c>
    </row>
    <row r="231" spans="1:1" x14ac:dyDescent="0.25">
      <c r="A231" s="3" t="s">
        <v>224</v>
      </c>
    </row>
    <row r="232" spans="1:1" x14ac:dyDescent="0.25">
      <c r="A232" s="3" t="s">
        <v>225</v>
      </c>
    </row>
    <row r="233" spans="1:1" x14ac:dyDescent="0.25">
      <c r="A233" s="3" t="s">
        <v>226</v>
      </c>
    </row>
    <row r="234" spans="1:1" x14ac:dyDescent="0.25">
      <c r="A234" s="3" t="s">
        <v>227</v>
      </c>
    </row>
    <row r="235" spans="1:1" x14ac:dyDescent="0.25">
      <c r="A235" s="3" t="s">
        <v>228</v>
      </c>
    </row>
    <row r="236" spans="1:1" x14ac:dyDescent="0.25">
      <c r="A236" s="3" t="s">
        <v>229</v>
      </c>
    </row>
    <row r="237" spans="1:1" x14ac:dyDescent="0.25">
      <c r="A237" s="3" t="s">
        <v>230</v>
      </c>
    </row>
    <row r="238" spans="1:1" x14ac:dyDescent="0.25">
      <c r="A238" s="3" t="s">
        <v>231</v>
      </c>
    </row>
    <row r="240" spans="1:1" x14ac:dyDescent="0.25">
      <c r="A240" s="3" t="s">
        <v>49</v>
      </c>
    </row>
    <row r="241" spans="1:1" x14ac:dyDescent="0.25">
      <c r="A241" s="3" t="s">
        <v>232</v>
      </c>
    </row>
    <row r="242" spans="1:1" x14ac:dyDescent="0.25">
      <c r="A242" s="3" t="s">
        <v>49</v>
      </c>
    </row>
    <row r="243" spans="1:1" x14ac:dyDescent="0.25">
      <c r="A243" s="3" t="s">
        <v>233</v>
      </c>
    </row>
    <row r="244" spans="1:1" x14ac:dyDescent="0.25">
      <c r="A244" s="3" t="s">
        <v>234</v>
      </c>
    </row>
    <row r="245" spans="1:1" x14ac:dyDescent="0.25">
      <c r="A245" s="3" t="s">
        <v>235</v>
      </c>
    </row>
    <row r="246" spans="1:1" x14ac:dyDescent="0.25">
      <c r="A246" s="3" t="s">
        <v>236</v>
      </c>
    </row>
    <row r="247" spans="1:1" x14ac:dyDescent="0.25">
      <c r="A247" s="3" t="s">
        <v>237</v>
      </c>
    </row>
    <row r="248" spans="1:1" x14ac:dyDescent="0.25">
      <c r="A248" s="3" t="s">
        <v>238</v>
      </c>
    </row>
    <row r="249" spans="1:1" x14ac:dyDescent="0.25">
      <c r="A249" s="3" t="s">
        <v>239</v>
      </c>
    </row>
    <row r="250" spans="1:1" x14ac:dyDescent="0.25">
      <c r="A250" s="3" t="s">
        <v>240</v>
      </c>
    </row>
    <row r="252" spans="1:1" x14ac:dyDescent="0.25">
      <c r="A252" s="3" t="s">
        <v>49</v>
      </c>
    </row>
    <row r="253" spans="1:1" x14ac:dyDescent="0.25">
      <c r="A253" s="3" t="s">
        <v>241</v>
      </c>
    </row>
    <row r="254" spans="1:1" x14ac:dyDescent="0.25">
      <c r="A254" s="3" t="s">
        <v>49</v>
      </c>
    </row>
    <row r="255" spans="1:1" x14ac:dyDescent="0.25">
      <c r="A255" s="3" t="s">
        <v>242</v>
      </c>
    </row>
    <row r="256" spans="1:1" x14ac:dyDescent="0.25">
      <c r="A256" s="3" t="s">
        <v>243</v>
      </c>
    </row>
    <row r="257" spans="1:1" x14ac:dyDescent="0.25">
      <c r="A257" s="3" t="s">
        <v>244</v>
      </c>
    </row>
    <row r="258" spans="1:1" x14ac:dyDescent="0.25">
      <c r="A258" s="3" t="s">
        <v>245</v>
      </c>
    </row>
    <row r="259" spans="1:1" x14ac:dyDescent="0.25">
      <c r="A259" s="3" t="s">
        <v>246</v>
      </c>
    </row>
    <row r="260" spans="1:1" x14ac:dyDescent="0.25">
      <c r="A260" s="3" t="s">
        <v>247</v>
      </c>
    </row>
    <row r="261" spans="1:1" x14ac:dyDescent="0.25">
      <c r="A261" s="3" t="s">
        <v>248</v>
      </c>
    </row>
    <row r="262" spans="1:1" x14ac:dyDescent="0.25">
      <c r="A262" s="3" t="s">
        <v>249</v>
      </c>
    </row>
    <row r="263" spans="1:1" x14ac:dyDescent="0.25">
      <c r="A263" s="3" t="s">
        <v>250</v>
      </c>
    </row>
    <row r="264" spans="1:1" x14ac:dyDescent="0.25">
      <c r="A264" s="3" t="s">
        <v>251</v>
      </c>
    </row>
    <row r="265" spans="1:1" x14ac:dyDescent="0.25">
      <c r="A265" s="3" t="s">
        <v>252</v>
      </c>
    </row>
    <row r="267" spans="1:1" x14ac:dyDescent="0.25">
      <c r="A267" s="3" t="s">
        <v>253</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30</v>
      </c>
      <c r="B2" t="s">
        <v>3</v>
      </c>
      <c r="C2" t="s">
        <v>1</v>
      </c>
      <c r="D2" t="s">
        <v>36</v>
      </c>
      <c r="E2" s="12" t="s">
        <v>2217</v>
      </c>
      <c r="F2" s="18" t="s">
        <v>23</v>
      </c>
      <c r="G2" s="12" t="s">
        <v>2</v>
      </c>
      <c r="H2" s="12" t="s">
        <v>22</v>
      </c>
      <c r="I2" s="12" t="s">
        <v>2218</v>
      </c>
      <c r="J2" s="12" t="s">
        <v>5</v>
      </c>
      <c r="L2" s="16" t="s">
        <v>30</v>
      </c>
      <c r="M2" s="12" t="s">
        <v>3</v>
      </c>
      <c r="N2" s="18" t="s">
        <v>1</v>
      </c>
      <c r="O2" s="18" t="s">
        <v>36</v>
      </c>
      <c r="P2" s="12" t="s">
        <v>2217</v>
      </c>
      <c r="Q2" s="12" t="s">
        <v>23</v>
      </c>
      <c r="R2" s="12" t="s">
        <v>2</v>
      </c>
      <c r="S2" s="12" t="s">
        <v>22</v>
      </c>
      <c r="T2" t="s">
        <v>2218</v>
      </c>
      <c r="U2" t="s">
        <v>5</v>
      </c>
      <c r="W2" t="s">
        <v>30</v>
      </c>
      <c r="X2" t="s">
        <v>3</v>
      </c>
      <c r="Y2" t="s">
        <v>1</v>
      </c>
      <c r="Z2" t="s">
        <v>36</v>
      </c>
      <c r="AA2" t="s">
        <v>2217</v>
      </c>
      <c r="AB2" t="s">
        <v>23</v>
      </c>
      <c r="AC2" t="s">
        <v>2</v>
      </c>
      <c r="AD2" t="s">
        <v>22</v>
      </c>
      <c r="AE2" t="s">
        <v>2218</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1582</v>
      </c>
      <c r="Q3" s="12">
        <v>0</v>
      </c>
      <c r="R3" s="12">
        <v>1582</v>
      </c>
      <c r="S3" s="12">
        <v>35595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v>
      </c>
      <c r="F7" s="18">
        <v>0</v>
      </c>
      <c r="G7" s="12">
        <v>1</v>
      </c>
      <c r="H7" s="12">
        <v>830</v>
      </c>
      <c r="I7" s="12" t="str">
        <v>MATERIALS</v>
      </c>
      <c r="J7" s="12" t="str">
        <v/>
      </c>
    </row>
    <row r="8" spans="1:32" x14ac:dyDescent="0.25">
      <c r="A8" t="str">
        <v>MATERIALS</v>
      </c>
      <c r="B8" t="str">
        <v>30inW x 84inH Bifold Mini Pro VACP 800 Series</v>
      </c>
      <c r="C8" t="str">
        <v>SET</v>
      </c>
      <c r="D8">
        <v>480</v>
      </c>
      <c r="E8" s="12">
        <v>1</v>
      </c>
      <c r="F8" s="18">
        <v>0</v>
      </c>
      <c r="G8" s="12">
        <v>1</v>
      </c>
      <c r="H8" s="12">
        <v>480</v>
      </c>
      <c r="I8" s="12" t="str">
        <v>MATERIALS</v>
      </c>
      <c r="J8" s="12" t="str">
        <v/>
      </c>
    </row>
    <row r="9" spans="1:32" x14ac:dyDescent="0.25">
      <c r="A9" t="str">
        <v>MATERIALS</v>
      </c>
      <c r="B9" t="str">
        <v>36inW x 84inH 1 Panel Grill Swing Kitchen/back door</v>
      </c>
      <c r="C9" t="str">
        <v>SET</v>
      </c>
      <c r="D9">
        <v>800</v>
      </c>
      <c r="E9" s="12">
        <v>1</v>
      </c>
      <c r="F9" s="18">
        <v>0</v>
      </c>
      <c r="G9" s="12">
        <v>1</v>
      </c>
      <c r="H9" s="12">
        <v>800</v>
      </c>
      <c r="I9" s="12" t="str">
        <v>MATERIALS</v>
      </c>
      <c r="J9" s="12" t="str">
        <v/>
      </c>
    </row>
    <row r="10" spans="1:32" x14ac:dyDescent="0.25">
      <c r="A10" t="str">
        <v>MATERIALS</v>
      </c>
      <c r="B10" t="str">
        <v>4" Dia Outlet</v>
      </c>
      <c r="C10" t="str">
        <v>PCS</v>
      </c>
      <c r="D10">
        <v>10</v>
      </c>
      <c r="E10" s="12">
        <v>4</v>
      </c>
      <c r="F10" s="18">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18">
        <v>0</v>
      </c>
      <c r="G11" s="12">
        <v>1</v>
      </c>
      <c r="H11" s="12">
        <v>240</v>
      </c>
      <c r="I11" s="12" t="str">
        <v>MATERIALS</v>
      </c>
      <c r="J11" s="12" t="str">
        <v/>
      </c>
    </row>
    <row r="12" spans="1:32" x14ac:dyDescent="0.25">
      <c r="A12" t="str">
        <v>MATERIALS</v>
      </c>
      <c r="B12" t="str">
        <v>600mmW x 1200mmH 1 Panel Grill Window</v>
      </c>
      <c r="C12" t="str">
        <v>SET</v>
      </c>
      <c r="D12">
        <v>170</v>
      </c>
      <c r="E12" s="12">
        <v>1</v>
      </c>
      <c r="F12" s="18">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18">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18">
        <v>0</v>
      </c>
      <c r="G14" s="12">
        <v>13</v>
      </c>
      <c r="H14" s="12">
        <v>110.5</v>
      </c>
      <c r="I14" s="12" t="str">
        <v>MATERIALS</v>
      </c>
      <c r="J14" s="12" t="str">
        <v/>
      </c>
    </row>
    <row r="15" spans="1:32" x14ac:dyDescent="0.25">
      <c r="A15" t="str">
        <v>MATERIALS</v>
      </c>
      <c r="B15" t="str">
        <v>Basin Waste 11/4"</v>
      </c>
      <c r="C15" t="str">
        <v>PCS</v>
      </c>
      <c r="D15">
        <v>4</v>
      </c>
      <c r="E15" s="12">
        <v>1</v>
      </c>
      <c r="F15" s="18">
        <v>0</v>
      </c>
      <c r="G15" s="12">
        <v>1</v>
      </c>
      <c r="H15" s="12">
        <v>4</v>
      </c>
      <c r="I15" s="12" t="str">
        <v>MATERIALS</v>
      </c>
      <c r="J15" s="12" t="str">
        <v/>
      </c>
    </row>
    <row r="16" spans="1:32" x14ac:dyDescent="0.25">
      <c r="A16" t="str">
        <v>MATERIALS</v>
      </c>
      <c r="B16" t="str">
        <v>Bottle Trap PVC 11/4" 32mm Blue/green</v>
      </c>
      <c r="C16" t="str">
        <v>PCS</v>
      </c>
      <c r="D16">
        <v>8</v>
      </c>
      <c r="E16" s="12">
        <v>1</v>
      </c>
      <c r="F16" s="18">
        <v>0</v>
      </c>
      <c r="G16" s="12">
        <v>1</v>
      </c>
      <c r="H16" s="12">
        <v>8</v>
      </c>
      <c r="I16" s="12" t="str">
        <v>MATERIALS</v>
      </c>
      <c r="J16" s="12" t="str">
        <v/>
      </c>
    </row>
    <row r="17" spans="1:10" x14ac:dyDescent="0.25">
      <c r="A17" t="str">
        <v>MATERIALS</v>
      </c>
      <c r="B17" t="str">
        <v>Brass Garden Bib Tap 1/2"</v>
      </c>
      <c r="C17" t="str">
        <v>PCS</v>
      </c>
      <c r="D17">
        <v>8</v>
      </c>
      <c r="E17" s="12">
        <v>1</v>
      </c>
      <c r="F17" s="18">
        <v>0</v>
      </c>
      <c r="G17" s="12">
        <v>1</v>
      </c>
      <c r="H17" s="12">
        <v>8</v>
      </c>
      <c r="I17" s="12" t="str">
        <v>MATERIALS</v>
      </c>
      <c r="J17" s="12" t="str">
        <v/>
      </c>
    </row>
    <row r="18" spans="1:10" x14ac:dyDescent="0.25">
      <c r="A18" t="str">
        <v>MATERIALS</v>
      </c>
      <c r="B18" t="str">
        <v>Brass Stop Cock 1/2"</v>
      </c>
      <c r="C18" t="str">
        <v>PCS</v>
      </c>
      <c r="D18">
        <v>13</v>
      </c>
      <c r="E18" s="12">
        <v>2</v>
      </c>
      <c r="F18" s="18">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18">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18">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18">
        <v>0</v>
      </c>
      <c r="G21" s="12">
        <v>4017</v>
      </c>
      <c r="H21" s="12">
        <v>1124.7600000000002</v>
      </c>
      <c r="I21" s="12" t="str">
        <v>MATERIALS</v>
      </c>
      <c r="J21" s="12" t="str">
        <v/>
      </c>
    </row>
    <row r="22" spans="1:10" x14ac:dyDescent="0.25">
      <c r="A22" t="str">
        <v>MATERIALS</v>
      </c>
      <c r="B22" t="str">
        <v>Coarse Sand (10-Wheel Truck)</v>
      </c>
      <c r="C22" t="str">
        <v>TRIP</v>
      </c>
      <c r="D22">
        <v>850.00000000000011</v>
      </c>
      <c r="E22" s="12">
        <v>0.86749999999999994</v>
      </c>
      <c r="F22" s="18">
        <v>0</v>
      </c>
      <c r="G22" s="12">
        <v>1</v>
      </c>
      <c r="H22" s="12">
        <v>850.00000000000011</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830.00000000000011</v>
      </c>
      <c r="E26" s="12">
        <v>0.68</v>
      </c>
      <c r="F26" s="18">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10.5</v>
      </c>
      <c r="F41" s="18">
        <v>0</v>
      </c>
      <c r="G41" s="12">
        <v>11</v>
      </c>
      <c r="H41" s="12">
        <v>308</v>
      </c>
      <c r="I41" s="12" t="str">
        <v>MATERIALS</v>
      </c>
      <c r="J41" s="12" t="str">
        <v/>
      </c>
    </row>
    <row r="42" spans="1:10" x14ac:dyDescent="0.25">
      <c r="A42" t="str">
        <v>MATERIALS</v>
      </c>
      <c r="B42" t="str">
        <v>Flexible Hose Latina 10"</v>
      </c>
      <c r="C42" t="str">
        <v>PCS</v>
      </c>
      <c r="D42">
        <v>6</v>
      </c>
      <c r="E42" s="12">
        <v>2</v>
      </c>
      <c r="F42" s="18">
        <v>0</v>
      </c>
      <c r="G42" s="12">
        <v>2</v>
      </c>
      <c r="H42" s="12">
        <v>12</v>
      </c>
      <c r="I42" s="12" t="str">
        <v>MATERIALS</v>
      </c>
      <c r="J42" s="12" t="str">
        <v/>
      </c>
    </row>
    <row r="43" spans="1:10" x14ac:dyDescent="0.25">
      <c r="A43" t="str">
        <v>MATERIALS</v>
      </c>
      <c r="B43" t="str">
        <v>GI Batten 32.00mm x 40.00mm x 0.42mm x 6.00m</v>
      </c>
      <c r="C43" t="str">
        <v>PCS</v>
      </c>
      <c r="D43">
        <v>22</v>
      </c>
      <c r="E43" s="12">
        <v>27.3</v>
      </c>
      <c r="F43" s="18">
        <v>0</v>
      </c>
      <c r="G43" s="12">
        <v>28</v>
      </c>
      <c r="H43" s="12">
        <v>616</v>
      </c>
      <c r="I43" s="12" t="str">
        <v>MATERIALS</v>
      </c>
      <c r="J43" s="12" t="str">
        <v/>
      </c>
    </row>
    <row r="44" spans="1:10" x14ac:dyDescent="0.25">
      <c r="A44" t="str">
        <v>MATERIALS</v>
      </c>
      <c r="B44" t="str">
        <v>GI Bracing 2440mm</v>
      </c>
      <c r="C44" t="str">
        <v>LTH</v>
      </c>
      <c r="D44">
        <v>3.5</v>
      </c>
      <c r="E44" s="12">
        <v>31.5</v>
      </c>
      <c r="F44" s="18">
        <v>0</v>
      </c>
      <c r="G44" s="12">
        <v>32</v>
      </c>
      <c r="H44" s="12">
        <v>112</v>
      </c>
      <c r="I44" s="12" t="str">
        <v>MATERIALS</v>
      </c>
      <c r="J44" s="12" t="str">
        <v/>
      </c>
    </row>
    <row r="45" spans="1:10" x14ac:dyDescent="0.25">
      <c r="A45" t="str">
        <v>MATERIALS</v>
      </c>
      <c r="B45" t="str">
        <v>GI Carrier Rail (MF) 4880.00mm</v>
      </c>
      <c r="C45" t="str">
        <v>PCS</v>
      </c>
      <c r="D45">
        <v>20</v>
      </c>
      <c r="E45" s="12">
        <v>12.600000000000001</v>
      </c>
      <c r="F45" s="18">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18">
        <v>0</v>
      </c>
      <c r="G46" s="12">
        <v>14</v>
      </c>
      <c r="H46" s="12">
        <v>350</v>
      </c>
      <c r="I46" s="12" t="str">
        <v>MATERIALS</v>
      </c>
      <c r="J46" s="12" t="str">
        <v/>
      </c>
    </row>
    <row r="47" spans="1:10" x14ac:dyDescent="0.25">
      <c r="A47" t="str">
        <v>MATERIALS</v>
      </c>
      <c r="B47" t="str">
        <v>Hex Self-Drilling Screw DS525HW 10# x 1"</v>
      </c>
      <c r="C47" t="str">
        <v>PCS</v>
      </c>
      <c r="D47">
        <v>0.13</v>
      </c>
      <c r="E47" s="12">
        <v>1260</v>
      </c>
      <c r="F47" s="18">
        <v>0</v>
      </c>
      <c r="G47" s="12">
        <v>1260</v>
      </c>
      <c r="H47" s="12">
        <v>163.80000000000001</v>
      </c>
      <c r="I47" s="12" t="str">
        <v>MATERIALS</v>
      </c>
      <c r="J47" s="12" t="str">
        <v/>
      </c>
    </row>
    <row r="48" spans="1:10" x14ac:dyDescent="0.25">
      <c r="A48" t="str">
        <v>MATERIALS</v>
      </c>
      <c r="B48" t="str">
        <v>LED Downlight 4in 12W</v>
      </c>
      <c r="C48" t="str">
        <v>PCS</v>
      </c>
      <c r="D48">
        <v>9.9</v>
      </c>
      <c r="E48" s="12">
        <v>10</v>
      </c>
      <c r="F48" s="18">
        <v>0</v>
      </c>
      <c r="G48" s="12">
        <v>10</v>
      </c>
      <c r="H48" s="12">
        <v>99</v>
      </c>
      <c r="I48" s="12" t="str">
        <v>MATERIALS</v>
      </c>
      <c r="J48" s="12" t="str">
        <v/>
      </c>
    </row>
    <row r="49" spans="1:10" x14ac:dyDescent="0.25">
      <c r="A49" t="str">
        <v>MATERIALS</v>
      </c>
      <c r="B49" t="str">
        <v>Long Bend 4"</v>
      </c>
      <c r="C49" t="str">
        <v>PKT</v>
      </c>
      <c r="D49">
        <v>8.4</v>
      </c>
      <c r="E49" s="12">
        <v>1</v>
      </c>
      <c r="F49" s="18">
        <v>0</v>
      </c>
      <c r="G49" s="12">
        <v>1</v>
      </c>
      <c r="H49" s="12">
        <v>8.4</v>
      </c>
      <c r="I49" s="12" t="str">
        <v>MATERIALS</v>
      </c>
      <c r="J49" s="12" t="str">
        <v/>
      </c>
    </row>
    <row r="50" spans="1:10" x14ac:dyDescent="0.25">
      <c r="A50" t="str">
        <v>MATERIALS</v>
      </c>
      <c r="B50" t="str">
        <v>Mega PVC Cable 1.5mm2 (Black, SIRIM)</v>
      </c>
      <c r="C50" t="str">
        <v>ROLL</v>
      </c>
      <c r="D50">
        <v>92</v>
      </c>
      <c r="E50" s="12">
        <v>1</v>
      </c>
      <c r="F50" s="18">
        <v>0</v>
      </c>
      <c r="G50" s="12">
        <v>1</v>
      </c>
      <c r="H50" s="12">
        <v>92</v>
      </c>
      <c r="I50" s="12" t="str">
        <v>MATERIALS</v>
      </c>
      <c r="J50" s="12" t="str">
        <v/>
      </c>
    </row>
    <row r="51" spans="1:10" x14ac:dyDescent="0.25">
      <c r="A51" t="str">
        <v>MATERIALS</v>
      </c>
      <c r="B51" t="str">
        <v>Mega PVC Cable 1.5mm2 (Green, SIRIM)</v>
      </c>
      <c r="C51" t="str">
        <v>ROLL</v>
      </c>
      <c r="D51">
        <v>92</v>
      </c>
      <c r="E51" s="12">
        <v>1</v>
      </c>
      <c r="F51" s="18">
        <v>0</v>
      </c>
      <c r="G51" s="12">
        <v>1</v>
      </c>
      <c r="H51" s="12">
        <v>92</v>
      </c>
      <c r="I51" s="12" t="str">
        <v>MATERIALS</v>
      </c>
      <c r="J51" s="12" t="str">
        <v/>
      </c>
    </row>
    <row r="52" spans="1:10" x14ac:dyDescent="0.25">
      <c r="A52" t="str">
        <v>MATERIALS</v>
      </c>
      <c r="B52" t="str">
        <v>Mega PVC Cable 1.5mm2 (Red, SIRIM)</v>
      </c>
      <c r="C52" t="str">
        <v>ROLL</v>
      </c>
      <c r="D52">
        <v>92</v>
      </c>
      <c r="E52" s="12">
        <v>1</v>
      </c>
      <c r="F52" s="18">
        <v>0</v>
      </c>
      <c r="G52" s="12">
        <v>1</v>
      </c>
      <c r="H52" s="12">
        <v>92</v>
      </c>
      <c r="I52" s="12" t="str">
        <v>MATERIALS</v>
      </c>
      <c r="J52" s="12" t="str">
        <v/>
      </c>
    </row>
    <row r="53" spans="1:10" x14ac:dyDescent="0.25">
      <c r="A53" t="str">
        <v>MATERIALS</v>
      </c>
      <c r="B53" t="str">
        <v>Mega PVC Cable 2.5mm2 (Black, SIRIM)</v>
      </c>
      <c r="C53" t="str">
        <v>ROLL</v>
      </c>
      <c r="D53">
        <v>146</v>
      </c>
      <c r="E53" s="12">
        <v>1</v>
      </c>
      <c r="F53" s="18">
        <v>0</v>
      </c>
      <c r="G53" s="12">
        <v>1</v>
      </c>
      <c r="H53" s="12">
        <v>146</v>
      </c>
      <c r="I53" s="12" t="str">
        <v>MATERIALS</v>
      </c>
      <c r="J53" s="12" t="str">
        <v/>
      </c>
    </row>
    <row r="54" spans="1:10" x14ac:dyDescent="0.25">
      <c r="A54" t="str">
        <v>MATERIALS</v>
      </c>
      <c r="B54" t="str">
        <v>Mega PVC Cable 2.5mm2 (Green, SIRIM)</v>
      </c>
      <c r="C54" t="str">
        <v>ROLL</v>
      </c>
      <c r="D54">
        <v>146</v>
      </c>
      <c r="E54" s="12">
        <v>1</v>
      </c>
      <c r="F54" s="18">
        <v>0</v>
      </c>
      <c r="G54" s="12">
        <v>1</v>
      </c>
      <c r="H54" s="12">
        <v>146</v>
      </c>
      <c r="I54" s="12" t="str">
        <v>MATERIALS</v>
      </c>
      <c r="J54" s="12" t="str">
        <v/>
      </c>
    </row>
    <row r="55" spans="1:10" x14ac:dyDescent="0.25">
      <c r="A55" t="str">
        <v>MATERIALS</v>
      </c>
      <c r="B55" t="str">
        <v>Mega PVC Cable 2.5mm2 (Red, SIRIM)</v>
      </c>
      <c r="C55" t="str">
        <v>ROLL</v>
      </c>
      <c r="D55">
        <v>146</v>
      </c>
      <c r="E55" s="12">
        <v>1</v>
      </c>
      <c r="F55" s="18">
        <v>0</v>
      </c>
      <c r="G55" s="12">
        <v>1</v>
      </c>
      <c r="H55" s="12">
        <v>146</v>
      </c>
      <c r="I55" s="12" t="str">
        <v>MATERIALS</v>
      </c>
      <c r="J55" s="12" t="str">
        <v/>
      </c>
    </row>
    <row r="56" spans="1:10" x14ac:dyDescent="0.25">
      <c r="A56" t="str">
        <v>MATERIALS</v>
      </c>
      <c r="B56" t="str">
        <v>Mixed Timber 2" x 3" x 10ft (Grade A)</v>
      </c>
      <c r="C56" t="str">
        <v>LTH</v>
      </c>
      <c r="D56">
        <v>15</v>
      </c>
      <c r="E56" s="12">
        <v>64.5</v>
      </c>
      <c r="F56" s="18">
        <v>0</v>
      </c>
      <c r="G56" s="12">
        <v>65</v>
      </c>
      <c r="H56" s="12">
        <v>975</v>
      </c>
      <c r="I56" s="12" t="str">
        <v>MATERIALS</v>
      </c>
      <c r="J56" s="12" t="str">
        <v/>
      </c>
    </row>
    <row r="57" spans="1:10" x14ac:dyDescent="0.25">
      <c r="A57" t="str">
        <v>MATERIALS</v>
      </c>
      <c r="B57" t="str">
        <v>ML7025-SS Armor Lever Mortise</v>
      </c>
      <c r="C57" t="str">
        <v>SET</v>
      </c>
      <c r="D57">
        <v>60</v>
      </c>
      <c r="E57" s="12">
        <v>1</v>
      </c>
      <c r="F57" s="18">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18">
        <v>0</v>
      </c>
      <c r="G58" s="12">
        <v>20</v>
      </c>
      <c r="H58" s="12">
        <v>440</v>
      </c>
      <c r="I58" s="12" t="str">
        <v>MATERIALS</v>
      </c>
      <c r="J58" s="12" t="str">
        <v/>
      </c>
    </row>
    <row r="59" spans="1:10" x14ac:dyDescent="0.25">
      <c r="A59" t="str">
        <v>MATERIALS</v>
      </c>
      <c r="B59" t="str">
        <v>MS Deformed Bar Y12 12.00m</v>
      </c>
      <c r="C59" t="str">
        <v>BAR</v>
      </c>
      <c r="D59">
        <v>28</v>
      </c>
      <c r="E59" s="12">
        <v>72</v>
      </c>
      <c r="F59" s="18">
        <v>0</v>
      </c>
      <c r="G59" s="12">
        <v>72</v>
      </c>
      <c r="H59" s="12">
        <v>2016</v>
      </c>
      <c r="I59" s="12" t="str">
        <v>MATERIALS</v>
      </c>
      <c r="J59" s="12" t="str">
        <v/>
      </c>
    </row>
    <row r="60" spans="1:10" x14ac:dyDescent="0.25">
      <c r="A60" t="str">
        <v>MATERIALS</v>
      </c>
      <c r="B60" t="str">
        <v>MS Round Bar R6 12.00m</v>
      </c>
      <c r="C60" t="str">
        <v>BAR</v>
      </c>
      <c r="D60">
        <v>15</v>
      </c>
      <c r="E60" s="12">
        <v>45.6</v>
      </c>
      <c r="F60" s="18">
        <v>0</v>
      </c>
      <c r="G60" s="12">
        <v>46</v>
      </c>
      <c r="H60" s="12">
        <v>690</v>
      </c>
      <c r="I60" s="12" t="str">
        <v>MATERIALS</v>
      </c>
      <c r="J60" s="12" t="str">
        <v/>
      </c>
    </row>
    <row r="61" spans="1:10" x14ac:dyDescent="0.25">
      <c r="A61" t="str">
        <v>MATERIALS</v>
      </c>
      <c r="B61" t="str">
        <v>MS SHS Square Hollow 2" 1.6mm x 6m</v>
      </c>
      <c r="C61" t="str">
        <v>LTH</v>
      </c>
      <c r="D61">
        <v>55</v>
      </c>
      <c r="E61" s="12">
        <v>16.8</v>
      </c>
      <c r="F61" s="18">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18">
        <v>0</v>
      </c>
      <c r="G62" s="12">
        <v>2</v>
      </c>
      <c r="H62" s="12">
        <v>26</v>
      </c>
      <c r="I62" s="12" t="str">
        <v>MATERIALS</v>
      </c>
      <c r="J62" s="12" t="str">
        <v/>
      </c>
    </row>
    <row r="63" spans="1:10" x14ac:dyDescent="0.25">
      <c r="A63" t="str">
        <v>MATERIALS</v>
      </c>
      <c r="B63" t="str">
        <v>Plaster Ceiling Manhole 12"</v>
      </c>
      <c r="C63" t="str">
        <v>PCS</v>
      </c>
      <c r="D63">
        <v>13</v>
      </c>
      <c r="E63" s="12">
        <v>2</v>
      </c>
      <c r="F63" s="18">
        <v>0</v>
      </c>
      <c r="G63" s="12">
        <v>2</v>
      </c>
      <c r="H63" s="12">
        <v>26</v>
      </c>
      <c r="I63" s="12" t="str">
        <v>MATERIALS</v>
      </c>
      <c r="J63" s="12" t="str">
        <v/>
      </c>
    </row>
    <row r="64" spans="1:10" x14ac:dyDescent="0.25">
      <c r="A64" t="str">
        <v>MATERIALS</v>
      </c>
      <c r="B64" t="str">
        <v>Plastic Tarpaulin Sheet 12 x 18ft</v>
      </c>
      <c r="C64" t="str">
        <v>PCS</v>
      </c>
      <c r="D64">
        <v>65</v>
      </c>
      <c r="E64" s="12">
        <v>2</v>
      </c>
      <c r="F64" s="18">
        <v>0</v>
      </c>
      <c r="G64" s="12">
        <v>2</v>
      </c>
      <c r="H64" s="12">
        <v>130</v>
      </c>
      <c r="I64" s="12" t="str">
        <v>MATERIALS</v>
      </c>
      <c r="J64" s="12" t="str">
        <v/>
      </c>
    </row>
    <row r="65" spans="1:10" x14ac:dyDescent="0.25">
      <c r="A65" t="str">
        <v>MATERIALS</v>
      </c>
      <c r="B65" t="str">
        <v>Plywood 9mm 4ft x 8ft</v>
      </c>
      <c r="C65" t="str">
        <v>SHEET</v>
      </c>
      <c r="D65">
        <v>44.999999999999993</v>
      </c>
      <c r="E65" s="12">
        <v>37.400000000000006</v>
      </c>
      <c r="F65" s="18">
        <v>0</v>
      </c>
      <c r="G65" s="12">
        <v>38</v>
      </c>
      <c r="H65" s="12">
        <v>1709.9999999999998</v>
      </c>
      <c r="I65" s="12" t="str">
        <v>MATERIALS</v>
      </c>
      <c r="J65" s="12" t="str">
        <v/>
      </c>
    </row>
    <row r="66" spans="1:10" x14ac:dyDescent="0.25">
      <c r="A66" t="str">
        <v>MATERIALS</v>
      </c>
      <c r="B66" t="str">
        <v>Poly Rope 6mm Blue</v>
      </c>
      <c r="C66" t="str">
        <v>ROLL</v>
      </c>
      <c r="D66">
        <v>15</v>
      </c>
      <c r="E66" s="12">
        <v>1</v>
      </c>
      <c r="F66" s="18">
        <v>0</v>
      </c>
      <c r="G66" s="12">
        <v>1</v>
      </c>
      <c r="H66" s="12">
        <v>15</v>
      </c>
      <c r="I66" s="12" t="str">
        <v>MATERIALS</v>
      </c>
      <c r="J66" s="12" t="str">
        <v/>
      </c>
    </row>
    <row r="67" spans="1:10" x14ac:dyDescent="0.25">
      <c r="A67" t="str">
        <v>MATERIALS</v>
      </c>
      <c r="B67" t="str">
        <v>Poly Sealant 280ml</v>
      </c>
      <c r="C67" t="str">
        <v>PCS</v>
      </c>
      <c r="D67">
        <v>5.5</v>
      </c>
      <c r="E67" s="12">
        <v>4.2</v>
      </c>
      <c r="F67" s="18">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18">
        <v>0</v>
      </c>
      <c r="G68" s="12">
        <v>6</v>
      </c>
      <c r="H68" s="12">
        <v>78</v>
      </c>
      <c r="I68" s="12" t="str">
        <v>MATERIALS</v>
      </c>
      <c r="J68" s="12" t="str">
        <v/>
      </c>
    </row>
    <row r="69" spans="1:10" x14ac:dyDescent="0.25">
      <c r="A69" t="str">
        <v>MATERIALS</v>
      </c>
      <c r="B69" t="str">
        <v>PVC Concealed Box 1 Gang</v>
      </c>
      <c r="C69" t="str">
        <v>UNIT</v>
      </c>
      <c r="D69">
        <v>0.35</v>
      </c>
      <c r="E69" s="12">
        <v>15</v>
      </c>
      <c r="F69" s="18">
        <v>0</v>
      </c>
      <c r="G69" s="12">
        <v>15</v>
      </c>
      <c r="H69" s="12">
        <v>5.25</v>
      </c>
      <c r="I69" s="12" t="str">
        <v>MATERIALS</v>
      </c>
      <c r="J69" s="12" t="str">
        <v/>
      </c>
    </row>
    <row r="70" spans="1:10" x14ac:dyDescent="0.25">
      <c r="A70" t="str">
        <v>MATERIALS</v>
      </c>
      <c r="B70" t="str">
        <v>PVC Conduit Pipe 20mm (10ft)</v>
      </c>
      <c r="C70" t="str">
        <v>LTH</v>
      </c>
      <c r="D70">
        <v>6.8</v>
      </c>
      <c r="E70" s="12">
        <v>15</v>
      </c>
      <c r="F70" s="18">
        <v>0</v>
      </c>
      <c r="G70" s="12">
        <v>15</v>
      </c>
      <c r="H70" s="12">
        <v>102</v>
      </c>
      <c r="I70" s="12" t="str">
        <v>MATERIALS</v>
      </c>
      <c r="J70" s="12" t="str">
        <v/>
      </c>
    </row>
    <row r="71" spans="1:10" x14ac:dyDescent="0.25">
      <c r="A71" t="str">
        <v>MATERIALS</v>
      </c>
      <c r="B71" t="str">
        <v>PVC Conduit Pipe 25mm (10ft)</v>
      </c>
      <c r="C71" t="str">
        <v>LTH</v>
      </c>
      <c r="D71">
        <v>10.199999999999999</v>
      </c>
      <c r="E71" s="12">
        <v>12</v>
      </c>
      <c r="F71" s="18">
        <v>0</v>
      </c>
      <c r="G71" s="12">
        <v>12</v>
      </c>
      <c r="H71" s="12">
        <v>122.39999999999999</v>
      </c>
      <c r="I71" s="12" t="str">
        <v>MATERIALS</v>
      </c>
      <c r="J71" s="12" t="str">
        <v/>
      </c>
    </row>
    <row r="72" spans="1:10" x14ac:dyDescent="0.25">
      <c r="A72" t="str">
        <v>MATERIALS</v>
      </c>
      <c r="B72" t="str">
        <v>PVC Elbow 90 Degree 25mm</v>
      </c>
      <c r="C72" t="str">
        <v>PKT</v>
      </c>
      <c r="D72">
        <v>1.36</v>
      </c>
      <c r="E72" s="12">
        <v>2</v>
      </c>
      <c r="F72" s="18">
        <v>0</v>
      </c>
      <c r="G72" s="12">
        <v>2</v>
      </c>
      <c r="H72" s="12">
        <v>2.72</v>
      </c>
      <c r="I72" s="12" t="str">
        <v>MATERIALS</v>
      </c>
      <c r="J72" s="12" t="str">
        <v/>
      </c>
    </row>
    <row r="73" spans="1:10" x14ac:dyDescent="0.25">
      <c r="A73" t="str">
        <v>MATERIALS</v>
      </c>
      <c r="B73" t="str">
        <v>PVC Fitting Double End Socket 100mm (4")</v>
      </c>
      <c r="C73" t="str">
        <v>PCS</v>
      </c>
      <c r="D73">
        <v>9.5</v>
      </c>
      <c r="E73" s="12">
        <v>2.1</v>
      </c>
      <c r="F73" s="18">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18">
        <v>0</v>
      </c>
      <c r="G74" s="12">
        <v>7</v>
      </c>
      <c r="H74" s="12">
        <v>30.099999999999998</v>
      </c>
      <c r="I74" s="12" t="str">
        <v>MATERIALS</v>
      </c>
      <c r="J74" s="12" t="str">
        <v/>
      </c>
    </row>
    <row r="75" spans="1:10" x14ac:dyDescent="0.25">
      <c r="A75" t="str">
        <v>MATERIALS</v>
      </c>
      <c r="B75" t="str">
        <v>PVC P/T Socket Brass Thread 1/2"</v>
      </c>
      <c r="C75" t="str">
        <v>PCS</v>
      </c>
      <c r="D75">
        <v>3</v>
      </c>
      <c r="E75" s="12">
        <v>5.25</v>
      </c>
      <c r="F75" s="18">
        <v>0</v>
      </c>
      <c r="G75" s="12">
        <v>6</v>
      </c>
      <c r="H75" s="12">
        <v>18</v>
      </c>
      <c r="I75" s="12" t="str">
        <v>MATERIALS</v>
      </c>
      <c r="J75" s="12" t="str">
        <v/>
      </c>
    </row>
    <row r="76" spans="1:10" x14ac:dyDescent="0.25">
      <c r="A76" t="str">
        <v>MATERIALS</v>
      </c>
      <c r="B76" t="str">
        <v>PVC Pipe Class 6 Dia15.00mm (1/2") x 5.80m/Length</v>
      </c>
      <c r="C76" t="str">
        <v>LTH</v>
      </c>
      <c r="D76">
        <v>12.6</v>
      </c>
      <c r="E76" s="12">
        <v>4.2</v>
      </c>
      <c r="F76" s="18">
        <v>0</v>
      </c>
      <c r="G76" s="12">
        <v>5</v>
      </c>
      <c r="H76" s="12">
        <v>63</v>
      </c>
      <c r="I76" s="12" t="str">
        <v>MATERIALS</v>
      </c>
      <c r="J76" s="12" t="str">
        <v/>
      </c>
    </row>
    <row r="77" spans="1:10" x14ac:dyDescent="0.25">
      <c r="A77" t="str">
        <v>MATERIALS</v>
      </c>
      <c r="B77" t="str">
        <v>PVC Solvent Cement Glue 500g (Arrow, Orange)</v>
      </c>
      <c r="C77" t="str">
        <v>PCS</v>
      </c>
      <c r="D77">
        <v>1</v>
      </c>
      <c r="E77" s="12">
        <v>1</v>
      </c>
      <c r="F77" s="18">
        <v>0</v>
      </c>
      <c r="G77" s="12">
        <v>1</v>
      </c>
      <c r="H77" s="12">
        <v>1</v>
      </c>
      <c r="I77" s="12" t="str">
        <v>MATERIALS</v>
      </c>
      <c r="J77" s="12" t="str">
        <v/>
      </c>
    </row>
    <row r="78" spans="1:10" x14ac:dyDescent="0.25">
      <c r="A78" t="str">
        <v>MATERIALS</v>
      </c>
      <c r="B78" t="str">
        <v>PVC Tile Spacer 2mm</v>
      </c>
      <c r="C78" t="str">
        <v>PACK</v>
      </c>
      <c r="D78">
        <v>1</v>
      </c>
      <c r="E78" s="12">
        <v>12</v>
      </c>
      <c r="F78" s="18">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18">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18">
        <v>0</v>
      </c>
      <c r="G80" s="12">
        <v>7</v>
      </c>
      <c r="H80" s="12">
        <v>2309.9999999999995</v>
      </c>
      <c r="I80" s="12" t="str">
        <v>MATERIALS</v>
      </c>
      <c r="J80" s="12" t="str">
        <v/>
      </c>
    </row>
    <row r="81" spans="1:10" x14ac:dyDescent="0.25">
      <c r="A81" t="str">
        <v>MATERIALS</v>
      </c>
      <c r="B81" t="str">
        <v>Ready Mix Concrete G25 (Per m3)</v>
      </c>
      <c r="C81" t="str">
        <v>M3</v>
      </c>
      <c r="D81">
        <v>340</v>
      </c>
      <c r="E81" s="12">
        <v>6.05</v>
      </c>
      <c r="F81" s="18">
        <v>0</v>
      </c>
      <c r="G81" s="12">
        <v>7</v>
      </c>
      <c r="H81" s="12">
        <v>2380</v>
      </c>
      <c r="I81" s="12" t="str">
        <v>MATERIALS</v>
      </c>
      <c r="J81" s="12" t="str">
        <v/>
      </c>
    </row>
    <row r="82" spans="1:10" x14ac:dyDescent="0.25">
      <c r="A82" t="str">
        <v>MATERIALS</v>
      </c>
      <c r="B82" t="str">
        <v>Sanding Paper 120G</v>
      </c>
      <c r="C82" t="str">
        <v>PCS</v>
      </c>
      <c r="D82">
        <v>0.3</v>
      </c>
      <c r="E82" s="12">
        <v>6.6000000000000005</v>
      </c>
      <c r="F82" s="18">
        <v>0</v>
      </c>
      <c r="G82" s="12">
        <v>7</v>
      </c>
      <c r="H82" s="12">
        <v>2.1</v>
      </c>
      <c r="I82" s="12" t="str">
        <v>MATERIALS</v>
      </c>
      <c r="J82" s="12" t="str">
        <v/>
      </c>
    </row>
    <row r="83" spans="1:10" x14ac:dyDescent="0.25">
      <c r="A83" t="str">
        <v>MATERIALS</v>
      </c>
      <c r="B83" t="str">
        <v>Sanding Paper 240G</v>
      </c>
      <c r="C83" t="str">
        <v>PCS</v>
      </c>
      <c r="D83">
        <v>0.3</v>
      </c>
      <c r="E83" s="12">
        <v>6.6000000000000005</v>
      </c>
      <c r="F83" s="18">
        <v>0</v>
      </c>
      <c r="G83" s="12">
        <v>7</v>
      </c>
      <c r="H83" s="12">
        <v>2.1</v>
      </c>
      <c r="I83" s="12" t="str">
        <v>MATERIALS</v>
      </c>
      <c r="J83" s="12" t="str">
        <v/>
      </c>
    </row>
    <row r="84" spans="1:10" x14ac:dyDescent="0.25">
      <c r="A84" t="str">
        <v>MATERIALS</v>
      </c>
      <c r="B84" t="str">
        <v>Sanding Paper 400G</v>
      </c>
      <c r="C84" t="str">
        <v>PCS</v>
      </c>
      <c r="D84">
        <v>0.3</v>
      </c>
      <c r="E84" s="12">
        <v>6.6000000000000005</v>
      </c>
      <c r="F84" s="18">
        <v>0</v>
      </c>
      <c r="G84" s="12">
        <v>7</v>
      </c>
      <c r="H84" s="12">
        <v>2.1</v>
      </c>
      <c r="I84" s="12" t="str">
        <v>MATERIALS</v>
      </c>
      <c r="J84" s="12" t="str">
        <v/>
      </c>
    </row>
    <row r="85" spans="1:10" x14ac:dyDescent="0.25">
      <c r="A85" t="str">
        <v>MATERIALS</v>
      </c>
      <c r="B85" t="str">
        <v>Schneider Socket 13A (Single)</v>
      </c>
      <c r="C85" t="str">
        <v>UNIT</v>
      </c>
      <c r="D85">
        <v>8.5</v>
      </c>
      <c r="E85" s="12">
        <v>10</v>
      </c>
      <c r="F85" s="18">
        <v>0</v>
      </c>
      <c r="G85" s="12">
        <v>10</v>
      </c>
      <c r="H85" s="12">
        <v>85</v>
      </c>
      <c r="I85" s="12" t="str">
        <v>MATERIALS</v>
      </c>
      <c r="J85" s="12" t="str">
        <v/>
      </c>
    </row>
    <row r="86" spans="1:10" x14ac:dyDescent="0.25">
      <c r="A86" t="str">
        <v>MATERIALS</v>
      </c>
      <c r="B86" t="str">
        <v>Schneider Switch 1 Gang</v>
      </c>
      <c r="C86" t="str">
        <v>UNIT</v>
      </c>
      <c r="D86">
        <v>5.9</v>
      </c>
      <c r="E86" s="12">
        <v>5</v>
      </c>
      <c r="F86" s="18">
        <v>0</v>
      </c>
      <c r="G86" s="12">
        <v>5</v>
      </c>
      <c r="H86" s="12">
        <v>29.5</v>
      </c>
      <c r="I86" s="12" t="str">
        <v>MATERIALS</v>
      </c>
      <c r="J86" s="12" t="str">
        <v/>
      </c>
    </row>
    <row r="87" spans="1:10" x14ac:dyDescent="0.25">
      <c r="A87" t="str">
        <v>MATERIALS</v>
      </c>
      <c r="B87" t="str">
        <v>SIKA Curing Compound Antisol E 20.00L</v>
      </c>
      <c r="C87" t="str">
        <v>PAIL</v>
      </c>
      <c r="D87">
        <v>130</v>
      </c>
      <c r="E87" s="12">
        <v>5</v>
      </c>
      <c r="F87" s="18">
        <v>0</v>
      </c>
      <c r="G87" s="12">
        <v>5</v>
      </c>
      <c r="H87" s="12">
        <v>650</v>
      </c>
      <c r="I87" s="12" t="str">
        <v>MATERIALS</v>
      </c>
      <c r="J87" s="12" t="str">
        <v/>
      </c>
    </row>
    <row r="88" spans="1:10" x14ac:dyDescent="0.25">
      <c r="A88" t="str">
        <v>MATERIALS</v>
      </c>
      <c r="B88" t="str">
        <v>Sika Wall 191 Coarse (White) 25kg</v>
      </c>
      <c r="C88" t="str">
        <v>BAG</v>
      </c>
      <c r="D88">
        <v>17.5</v>
      </c>
      <c r="E88" s="12">
        <v>4.2</v>
      </c>
      <c r="F88" s="18">
        <v>0</v>
      </c>
      <c r="G88" s="12">
        <v>5</v>
      </c>
      <c r="H88" s="12">
        <v>87.5</v>
      </c>
      <c r="I88" s="12" t="str">
        <v>MATERIALS</v>
      </c>
      <c r="J88" s="12" t="str">
        <v/>
      </c>
    </row>
    <row r="89" spans="1:10" x14ac:dyDescent="0.25">
      <c r="A89" t="str">
        <v>MATERIALS</v>
      </c>
      <c r="B89" t="str">
        <v>Sika Wall 192 Fine (White) 25kg</v>
      </c>
      <c r="C89" t="str">
        <v>BAG</v>
      </c>
      <c r="D89">
        <v>17.5</v>
      </c>
      <c r="E89" s="12">
        <v>4.2</v>
      </c>
      <c r="F89" s="18">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18">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18">
        <v>0</v>
      </c>
      <c r="G91" s="12">
        <v>2</v>
      </c>
      <c r="H91" s="12">
        <v>320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18">
        <v>0</v>
      </c>
      <c r="G94" s="12">
        <v>1006</v>
      </c>
      <c r="H94" s="12">
        <v>5533</v>
      </c>
      <c r="I94" s="12" t="str">
        <v>MATERIALS</v>
      </c>
      <c r="J94" s="12" t="str">
        <v/>
      </c>
    </row>
    <row r="95" spans="1:10" x14ac:dyDescent="0.25">
      <c r="A95" t="str">
        <v>MATERIALS</v>
      </c>
      <c r="B95" t="str">
        <v>Tile 300mm x 300mm</v>
      </c>
      <c r="C95" t="str">
        <v>PCS</v>
      </c>
      <c r="D95">
        <v>4.5</v>
      </c>
      <c r="E95" s="12">
        <v>273</v>
      </c>
      <c r="F95" s="18">
        <v>0</v>
      </c>
      <c r="G95" s="12">
        <v>273</v>
      </c>
      <c r="H95" s="12">
        <v>1228.5</v>
      </c>
      <c r="I95" s="12" t="str">
        <v>MATERIALS</v>
      </c>
      <c r="J95" s="12" t="str">
        <v/>
      </c>
    </row>
    <row r="96" spans="1:10" x14ac:dyDescent="0.25">
      <c r="A96" t="str">
        <v>MATERIALS</v>
      </c>
      <c r="B96" t="str">
        <v>Tile 300mm x 600mm</v>
      </c>
      <c r="C96" t="str">
        <v>PCS</v>
      </c>
      <c r="D96">
        <v>6.5</v>
      </c>
      <c r="E96" s="12">
        <v>166</v>
      </c>
      <c r="F96" s="18">
        <v>0</v>
      </c>
      <c r="G96" s="12">
        <v>166</v>
      </c>
      <c r="H96" s="12">
        <v>1079</v>
      </c>
      <c r="I96" s="12" t="str">
        <v>MATERIALS</v>
      </c>
      <c r="J96" s="12" t="str">
        <v/>
      </c>
    </row>
    <row r="97" spans="1:10" x14ac:dyDescent="0.25">
      <c r="A97" t="str">
        <v>MATERIALS</v>
      </c>
      <c r="B97" t="str">
        <v>Tile 600mm x 600mm</v>
      </c>
      <c r="C97" t="str">
        <v>PCS</v>
      </c>
      <c r="D97">
        <v>15</v>
      </c>
      <c r="E97" s="12">
        <v>84</v>
      </c>
      <c r="F97" s="18">
        <v>0</v>
      </c>
      <c r="G97" s="12">
        <v>84</v>
      </c>
      <c r="H97" s="12">
        <v>1260</v>
      </c>
      <c r="I97" s="12" t="str">
        <v>MATERIALS</v>
      </c>
      <c r="J97" s="12" t="str">
        <v/>
      </c>
    </row>
    <row r="98" spans="1:10" x14ac:dyDescent="0.25">
      <c r="A98" t="str">
        <v>MATERIALS</v>
      </c>
      <c r="B98" t="str">
        <v>Tile Adhesive Weber 99</v>
      </c>
      <c r="C98" t="str">
        <v>BAG</v>
      </c>
      <c r="D98">
        <v>25</v>
      </c>
      <c r="E98" s="12">
        <v>29</v>
      </c>
      <c r="F98" s="18">
        <v>0</v>
      </c>
      <c r="G98" s="12">
        <v>29</v>
      </c>
      <c r="H98" s="12">
        <v>725</v>
      </c>
      <c r="I98" s="12" t="str">
        <v>MATERIALS</v>
      </c>
      <c r="J98" s="12" t="str">
        <v/>
      </c>
    </row>
    <row r="99" spans="1:10" x14ac:dyDescent="0.25">
      <c r="A99" t="str">
        <v>MATERIALS</v>
      </c>
      <c r="B99" t="str">
        <v>Twins Shower Square 8"</v>
      </c>
      <c r="C99" t="str">
        <v>pc</v>
      </c>
      <c r="D99">
        <v>35</v>
      </c>
      <c r="E99" s="12">
        <v>1</v>
      </c>
      <c r="F99" s="18">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18">
        <v>0</v>
      </c>
      <c r="G100" s="12">
        <v>4</v>
      </c>
      <c r="H100" s="12">
        <v>196</v>
      </c>
      <c r="I100" s="12" t="str">
        <v>MATERIALS</v>
      </c>
      <c r="J100" s="12" t="str">
        <v/>
      </c>
    </row>
    <row r="101" spans="1:10" x14ac:dyDescent="0.25">
      <c r="A101" t="str">
        <v>MATERIALS</v>
      </c>
      <c r="B101" t="str">
        <v>UPVC Pipe With SIRIM (4") x 5.8m</v>
      </c>
      <c r="C101" t="str">
        <v>PCS</v>
      </c>
      <c r="D101">
        <v>91</v>
      </c>
      <c r="E101" s="12">
        <v>2.1</v>
      </c>
      <c r="F101" s="18">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18">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18">
        <v>0</v>
      </c>
      <c r="G103" s="12">
        <v>2</v>
      </c>
      <c r="H103" s="12">
        <v>188</v>
      </c>
      <c r="I103" s="12" t="str">
        <v>MATERIALS</v>
      </c>
      <c r="J103" s="12" t="str">
        <v/>
      </c>
    </row>
    <row r="104" spans="1:10" x14ac:dyDescent="0.25">
      <c r="A104" t="str">
        <v>MATERIALS</v>
      </c>
      <c r="B104" t="str">
        <v>Yessy Tile Floor Trap</v>
      </c>
      <c r="C104" t="str">
        <v>PCS</v>
      </c>
      <c r="D104">
        <v>15</v>
      </c>
      <c r="E104" s="12">
        <v>1</v>
      </c>
      <c r="F104" s="18">
        <v>0</v>
      </c>
      <c r="G104" s="12">
        <v>1</v>
      </c>
      <c r="H104" s="12">
        <v>15</v>
      </c>
      <c r="I104" s="12" t="str">
        <v>MATERIALS</v>
      </c>
      <c r="J104" s="12" t="str">
        <v/>
      </c>
    </row>
    <row r="105" spans="1:10" x14ac:dyDescent="0.25">
      <c r="A105" t="str">
        <v>MATERIALS</v>
      </c>
      <c r="B105" t="str">
        <v>Yessy Tile Floor Trap</v>
      </c>
      <c r="C105" t="str">
        <v>pc</v>
      </c>
      <c r="D105">
        <v>15</v>
      </c>
      <c r="E105" s="12">
        <v>1</v>
      </c>
      <c r="F105" s="18">
        <v>0</v>
      </c>
      <c r="G105" s="12">
        <v>1</v>
      </c>
      <c r="H105" s="12">
        <v>15</v>
      </c>
      <c r="I105" s="12" t="str">
        <v>MATERIALS</v>
      </c>
      <c r="J105" s="12" t="str">
        <v/>
      </c>
    </row>
    <row r="106" spans="1:10" x14ac:dyDescent="0.25">
      <c r="A106" t="str">
        <v>MATERIALS</v>
      </c>
      <c r="B106" t="str">
        <v>Yessy Two-Way Hand Bidet</v>
      </c>
      <c r="C106" t="str">
        <v>pc</v>
      </c>
      <c r="D106">
        <v>60</v>
      </c>
      <c r="E106" s="12">
        <v>1</v>
      </c>
      <c r="F106" s="18">
        <v>0</v>
      </c>
      <c r="G106" s="12">
        <v>1</v>
      </c>
      <c r="H106" s="12">
        <v>60</v>
      </c>
      <c r="I106" s="12" t="str">
        <v>MATERIALS</v>
      </c>
      <c r="J106" s="12" t="str">
        <v/>
      </c>
    </row>
    <row r="107" spans="1:10" x14ac:dyDescent="0.25">
      <c r="A107" t="str">
        <v>MATERIALS</v>
      </c>
      <c r="B107" t="str">
        <v>YTL PCC Cement Castle 50kg Bag</v>
      </c>
      <c r="C107" t="str">
        <v>BAG</v>
      </c>
      <c r="D107">
        <v>24</v>
      </c>
      <c r="E107" s="12">
        <v>100.2</v>
      </c>
      <c r="F107" s="18">
        <v>0</v>
      </c>
      <c r="G107" s="12">
        <v>101</v>
      </c>
      <c r="H107" s="12">
        <v>2424</v>
      </c>
      <c r="I107" s="12" t="str">
        <v>MATERIALS</v>
      </c>
      <c r="J107"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zoomScale="75" zoomScaleNormal="75" workbookViewId="0">
      <pane ySplit="1" topLeftCell="A2" activePane="bottomLeft" state="frozen"/>
      <selection pane="bottomLeft" activeCell="W18" sqref="W18"/>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39</v>
      </c>
      <c r="C2" s="33" t="s">
        <v>2216</v>
      </c>
      <c r="D2" s="33" t="s">
        <v>2333</v>
      </c>
      <c r="E2" s="33" t="s">
        <v>2334</v>
      </c>
      <c r="F2" s="33" t="s">
        <v>30</v>
      </c>
      <c r="G2" s="33" t="s">
        <v>2335</v>
      </c>
      <c r="J2" s="12"/>
    </row>
    <row r="3" spans="1:15" x14ac:dyDescent="0.25">
      <c r="B3" s="31"/>
      <c r="C3" s="33" t="s">
        <v>2336</v>
      </c>
      <c r="D3" s="33" t="s">
        <v>2337</v>
      </c>
      <c r="E3" s="33">
        <v>110</v>
      </c>
      <c r="F3" s="33" t="s">
        <v>2224</v>
      </c>
      <c r="G3" s="33" t="s">
        <v>2224</v>
      </c>
      <c r="J3" s="12"/>
    </row>
    <row r="4" spans="1:15" x14ac:dyDescent="0.25">
      <c r="A4" s="34" t="s">
        <v>37</v>
      </c>
      <c r="B4" s="35" t="s">
        <v>3</v>
      </c>
      <c r="C4" s="34" t="s">
        <v>1</v>
      </c>
      <c r="D4" s="34" t="s">
        <v>2219</v>
      </c>
      <c r="E4" s="34" t="s">
        <v>36</v>
      </c>
      <c r="F4" s="34" t="s">
        <v>2220</v>
      </c>
      <c r="G4" s="35" t="s">
        <v>2221</v>
      </c>
      <c r="I4" s="34" t="s">
        <v>37</v>
      </c>
      <c r="J4" s="34" t="s">
        <v>3</v>
      </c>
      <c r="K4" s="34" t="s">
        <v>1</v>
      </c>
      <c r="L4" s="34" t="s">
        <v>2219</v>
      </c>
      <c r="M4" s="36" t="s">
        <v>36</v>
      </c>
      <c r="N4" s="36" t="s">
        <v>2220</v>
      </c>
      <c r="O4" s="36" t="s">
        <v>2221</v>
      </c>
    </row>
    <row r="5" spans="1:15" x14ac:dyDescent="0.25">
      <c r="A5" s="12">
        <v>1</v>
      </c>
      <c r="B5" s="32" t="s">
        <v>1447</v>
      </c>
      <c r="C5" s="12" t="s">
        <v>656</v>
      </c>
      <c r="D5" s="12">
        <v>8.4</v>
      </c>
      <c r="E5" s="12">
        <v>45</v>
      </c>
      <c r="F5" s="12">
        <v>378</v>
      </c>
      <c r="G5" s="32" t="s">
        <v>2288</v>
      </c>
      <c r="I5" s="12">
        <v>1</v>
      </c>
      <c r="J5" s="32" t="s">
        <v>1447</v>
      </c>
      <c r="K5" s="12" t="s">
        <v>656</v>
      </c>
      <c r="L5" s="12">
        <v>9</v>
      </c>
      <c r="M5">
        <v>45</v>
      </c>
      <c r="N5">
        <v>405</v>
      </c>
      <c r="O5" t="s">
        <v>2288</v>
      </c>
    </row>
    <row r="6" spans="1:15" x14ac:dyDescent="0.25">
      <c r="A6" s="12">
        <v>2</v>
      </c>
      <c r="B6" s="32" t="s">
        <v>2035</v>
      </c>
      <c r="C6" s="12" t="s">
        <v>10</v>
      </c>
      <c r="D6" s="12">
        <v>3</v>
      </c>
      <c r="E6" s="12">
        <v>180</v>
      </c>
      <c r="F6" s="12">
        <v>540</v>
      </c>
      <c r="G6" s="32" t="s">
        <v>2227</v>
      </c>
      <c r="I6" s="12">
        <v>2</v>
      </c>
      <c r="J6" s="32" t="s">
        <v>2035</v>
      </c>
      <c r="K6" s="12" t="s">
        <v>10</v>
      </c>
      <c r="L6" s="12">
        <v>3</v>
      </c>
      <c r="M6">
        <v>180</v>
      </c>
      <c r="N6">
        <v>540</v>
      </c>
      <c r="O6" t="s">
        <v>2227</v>
      </c>
    </row>
    <row r="7" spans="1:15" x14ac:dyDescent="0.25">
      <c r="A7" s="12">
        <v>3</v>
      </c>
      <c r="B7" s="32" t="s">
        <v>2028</v>
      </c>
      <c r="C7" s="12" t="s">
        <v>10</v>
      </c>
      <c r="D7" s="12">
        <v>3</v>
      </c>
      <c r="E7" s="12">
        <v>300</v>
      </c>
      <c r="F7" s="12">
        <v>900</v>
      </c>
      <c r="G7" s="32" t="s">
        <v>2228</v>
      </c>
      <c r="I7" s="12">
        <v>3</v>
      </c>
      <c r="J7" s="32" t="s">
        <v>2028</v>
      </c>
      <c r="K7" s="12" t="s">
        <v>10</v>
      </c>
      <c r="L7" s="12">
        <v>3</v>
      </c>
      <c r="M7">
        <v>300</v>
      </c>
      <c r="N7">
        <v>900</v>
      </c>
      <c r="O7" t="s">
        <v>2228</v>
      </c>
    </row>
    <row r="8" spans="1:15" x14ac:dyDescent="0.25">
      <c r="A8" s="12">
        <v>4</v>
      </c>
      <c r="B8" s="32" t="s">
        <v>1449</v>
      </c>
      <c r="C8" s="12" t="s">
        <v>8</v>
      </c>
      <c r="D8" s="12">
        <v>25.200000000000003</v>
      </c>
      <c r="E8" s="12">
        <v>7.5</v>
      </c>
      <c r="F8" s="12">
        <v>189.00000000000003</v>
      </c>
      <c r="G8" s="32" t="s">
        <v>2289</v>
      </c>
      <c r="I8" s="12">
        <v>4</v>
      </c>
      <c r="J8" s="32" t="s">
        <v>1449</v>
      </c>
      <c r="K8" s="12" t="s">
        <v>8</v>
      </c>
      <c r="L8" s="12">
        <v>26</v>
      </c>
      <c r="M8">
        <v>7.5</v>
      </c>
      <c r="N8">
        <v>195</v>
      </c>
      <c r="O8" t="s">
        <v>2289</v>
      </c>
    </row>
    <row r="9" spans="1:15" x14ac:dyDescent="0.25">
      <c r="A9" s="12">
        <v>5</v>
      </c>
      <c r="B9" s="32" t="s">
        <v>667</v>
      </c>
      <c r="C9" s="12" t="s">
        <v>11</v>
      </c>
      <c r="D9" s="12">
        <v>1</v>
      </c>
      <c r="E9" s="12">
        <v>830</v>
      </c>
      <c r="F9" s="12">
        <v>830</v>
      </c>
      <c r="G9" s="32" t="s">
        <v>2229</v>
      </c>
      <c r="I9" s="12">
        <v>5</v>
      </c>
      <c r="J9" s="32" t="s">
        <v>667</v>
      </c>
      <c r="K9" s="12" t="s">
        <v>11</v>
      </c>
      <c r="L9" s="12">
        <v>1</v>
      </c>
      <c r="M9">
        <v>830</v>
      </c>
      <c r="N9">
        <v>830</v>
      </c>
      <c r="O9" t="s">
        <v>2229</v>
      </c>
    </row>
    <row r="10" spans="1:15" x14ac:dyDescent="0.25">
      <c r="A10" s="12">
        <v>6</v>
      </c>
      <c r="B10" s="32" t="s">
        <v>2026</v>
      </c>
      <c r="C10" s="12" t="s">
        <v>10</v>
      </c>
      <c r="D10" s="12">
        <v>1</v>
      </c>
      <c r="E10" s="12">
        <v>480</v>
      </c>
      <c r="F10" s="12">
        <v>480</v>
      </c>
      <c r="G10" s="32" t="s">
        <v>2230</v>
      </c>
      <c r="I10" s="12">
        <v>6</v>
      </c>
      <c r="J10" s="32" t="s">
        <v>2026</v>
      </c>
      <c r="K10" s="12" t="s">
        <v>10</v>
      </c>
      <c r="L10" s="12">
        <v>1</v>
      </c>
      <c r="M10">
        <v>480</v>
      </c>
      <c r="N10">
        <v>480</v>
      </c>
      <c r="O10" t="s">
        <v>2230</v>
      </c>
    </row>
    <row r="11" spans="1:15" x14ac:dyDescent="0.25">
      <c r="A11" s="12">
        <v>7</v>
      </c>
      <c r="B11" s="32" t="s">
        <v>2033</v>
      </c>
      <c r="C11" s="12" t="s">
        <v>10</v>
      </c>
      <c r="D11" s="12">
        <v>1</v>
      </c>
      <c r="E11" s="12">
        <v>800</v>
      </c>
      <c r="F11" s="12">
        <v>800</v>
      </c>
      <c r="G11" s="32" t="s">
        <v>2231</v>
      </c>
      <c r="I11" s="12">
        <v>7</v>
      </c>
      <c r="J11" s="32" t="s">
        <v>2033</v>
      </c>
      <c r="K11" s="12" t="s">
        <v>10</v>
      </c>
      <c r="L11" s="12">
        <v>1</v>
      </c>
      <c r="M11">
        <v>800</v>
      </c>
      <c r="N11">
        <v>800</v>
      </c>
      <c r="O11" t="s">
        <v>2231</v>
      </c>
    </row>
    <row r="12" spans="1:15" x14ac:dyDescent="0.25">
      <c r="A12" s="12">
        <v>8</v>
      </c>
      <c r="B12" s="32" t="s">
        <v>1450</v>
      </c>
      <c r="C12" s="12" t="s">
        <v>8</v>
      </c>
      <c r="D12" s="12">
        <v>4</v>
      </c>
      <c r="E12" s="12">
        <v>10</v>
      </c>
      <c r="F12" s="12">
        <v>40</v>
      </c>
      <c r="G12" s="32" t="s">
        <v>2232</v>
      </c>
      <c r="I12" s="12">
        <v>8</v>
      </c>
      <c r="J12" s="32" t="s">
        <v>1450</v>
      </c>
      <c r="K12" s="12" t="s">
        <v>8</v>
      </c>
      <c r="L12" s="12">
        <v>4</v>
      </c>
      <c r="M12">
        <v>10</v>
      </c>
      <c r="N12">
        <v>40</v>
      </c>
      <c r="O12" t="s">
        <v>2232</v>
      </c>
    </row>
    <row r="13" spans="1:15" x14ac:dyDescent="0.25">
      <c r="A13" s="12">
        <v>9</v>
      </c>
      <c r="B13" s="32" t="s">
        <v>2030</v>
      </c>
      <c r="C13" s="12" t="s">
        <v>10</v>
      </c>
      <c r="D13" s="12">
        <v>1</v>
      </c>
      <c r="E13" s="12">
        <v>240</v>
      </c>
      <c r="F13" s="12">
        <v>240</v>
      </c>
      <c r="G13" s="32" t="s">
        <v>2233</v>
      </c>
      <c r="I13" s="12">
        <v>9</v>
      </c>
      <c r="J13" s="32" t="s">
        <v>2030</v>
      </c>
      <c r="K13" s="12" t="s">
        <v>10</v>
      </c>
      <c r="L13" s="12">
        <v>1</v>
      </c>
      <c r="M13">
        <v>240</v>
      </c>
      <c r="N13">
        <v>240</v>
      </c>
      <c r="O13" t="s">
        <v>2233</v>
      </c>
    </row>
    <row r="14" spans="1:15" x14ac:dyDescent="0.25">
      <c r="A14" s="12">
        <v>10</v>
      </c>
      <c r="B14" s="32" t="s">
        <v>2037</v>
      </c>
      <c r="C14" s="12" t="s">
        <v>10</v>
      </c>
      <c r="D14" s="12">
        <v>1</v>
      </c>
      <c r="E14" s="12">
        <v>170</v>
      </c>
      <c r="F14" s="12">
        <v>170</v>
      </c>
      <c r="G14" s="32" t="s">
        <v>2234</v>
      </c>
      <c r="I14" s="12">
        <v>10</v>
      </c>
      <c r="J14" s="32" t="s">
        <v>2037</v>
      </c>
      <c r="K14" s="12" t="s">
        <v>10</v>
      </c>
      <c r="L14" s="12">
        <v>1</v>
      </c>
      <c r="M14">
        <v>170</v>
      </c>
      <c r="N14">
        <v>170</v>
      </c>
      <c r="O14" t="s">
        <v>2234</v>
      </c>
    </row>
    <row r="15" spans="1:15" x14ac:dyDescent="0.25">
      <c r="A15" s="12">
        <v>11</v>
      </c>
      <c r="B15" s="32" t="s">
        <v>45</v>
      </c>
      <c r="C15" s="12" t="s">
        <v>9</v>
      </c>
      <c r="D15" s="12">
        <v>7.3500000000000005</v>
      </c>
      <c r="E15" s="12">
        <v>19.642857142857142</v>
      </c>
      <c r="F15" s="12">
        <v>144.375</v>
      </c>
      <c r="G15" s="32" t="s">
        <v>2290</v>
      </c>
      <c r="I15" s="12">
        <v>11</v>
      </c>
      <c r="J15" s="32" t="s">
        <v>45</v>
      </c>
      <c r="K15" s="12" t="s">
        <v>9</v>
      </c>
      <c r="L15" s="12">
        <v>8</v>
      </c>
      <c r="M15">
        <v>19.642857142857142</v>
      </c>
      <c r="N15">
        <v>157.14285714285714</v>
      </c>
      <c r="O15" t="s">
        <v>2290</v>
      </c>
    </row>
    <row r="16" spans="1:15" x14ac:dyDescent="0.25">
      <c r="A16" s="12">
        <v>12</v>
      </c>
      <c r="B16" s="32" t="s">
        <v>1297</v>
      </c>
      <c r="C16" s="12" t="s">
        <v>656</v>
      </c>
      <c r="D16" s="12">
        <v>12.600000000000001</v>
      </c>
      <c r="E16" s="12">
        <v>8.5</v>
      </c>
      <c r="F16" s="12">
        <v>107.10000000000001</v>
      </c>
      <c r="G16" s="32" t="s">
        <v>2291</v>
      </c>
      <c r="I16" s="12">
        <v>12</v>
      </c>
      <c r="J16" s="32" t="s">
        <v>1297</v>
      </c>
      <c r="K16" s="12" t="s">
        <v>656</v>
      </c>
      <c r="L16" s="12">
        <v>13</v>
      </c>
      <c r="M16">
        <v>8.5</v>
      </c>
      <c r="N16">
        <v>110.5</v>
      </c>
      <c r="O16" t="s">
        <v>2291</v>
      </c>
    </row>
    <row r="17" spans="1:15" x14ac:dyDescent="0.25">
      <c r="A17" s="12">
        <v>13</v>
      </c>
      <c r="B17" s="32" t="s">
        <v>1939</v>
      </c>
      <c r="C17" s="12" t="s">
        <v>8</v>
      </c>
      <c r="D17" s="12">
        <v>1</v>
      </c>
      <c r="E17" s="12">
        <v>4</v>
      </c>
      <c r="F17" s="12">
        <v>4</v>
      </c>
      <c r="G17" s="32" t="s">
        <v>2235</v>
      </c>
      <c r="I17" s="12">
        <v>13</v>
      </c>
      <c r="J17" s="32" t="s">
        <v>1939</v>
      </c>
      <c r="K17" s="12" t="s">
        <v>8</v>
      </c>
      <c r="L17" s="12">
        <v>1</v>
      </c>
      <c r="M17">
        <v>4</v>
      </c>
      <c r="N17">
        <v>4</v>
      </c>
      <c r="O17" t="s">
        <v>2235</v>
      </c>
    </row>
    <row r="18" spans="1:15" x14ac:dyDescent="0.25">
      <c r="A18" s="12">
        <v>14</v>
      </c>
      <c r="B18" s="32" t="s">
        <v>1941</v>
      </c>
      <c r="C18" s="12" t="s">
        <v>8</v>
      </c>
      <c r="D18" s="12">
        <v>1</v>
      </c>
      <c r="E18" s="12">
        <v>8</v>
      </c>
      <c r="F18" s="12">
        <v>8</v>
      </c>
      <c r="G18" s="32" t="s">
        <v>2236</v>
      </c>
      <c r="I18" s="12">
        <v>14</v>
      </c>
      <c r="J18" s="32" t="s">
        <v>1941</v>
      </c>
      <c r="K18" s="12" t="s">
        <v>8</v>
      </c>
      <c r="L18" s="12">
        <v>1</v>
      </c>
      <c r="M18">
        <v>8</v>
      </c>
      <c r="N18">
        <v>8</v>
      </c>
      <c r="O18" t="s">
        <v>2236</v>
      </c>
    </row>
    <row r="19" spans="1:15" x14ac:dyDescent="0.25">
      <c r="A19" s="12">
        <v>15</v>
      </c>
      <c r="B19" s="32" t="s">
        <v>884</v>
      </c>
      <c r="C19" s="12" t="s">
        <v>8</v>
      </c>
      <c r="D19" s="12">
        <v>1</v>
      </c>
      <c r="E19" s="12">
        <v>8</v>
      </c>
      <c r="F19" s="12">
        <v>8</v>
      </c>
      <c r="G19" s="32" t="s">
        <v>2237</v>
      </c>
      <c r="I19" s="12">
        <v>15</v>
      </c>
      <c r="J19" s="32" t="s">
        <v>884</v>
      </c>
      <c r="K19" s="12" t="s">
        <v>8</v>
      </c>
      <c r="L19" s="12">
        <v>1</v>
      </c>
      <c r="M19">
        <v>8</v>
      </c>
      <c r="N19">
        <v>8</v>
      </c>
      <c r="O19" t="s">
        <v>2237</v>
      </c>
    </row>
    <row r="20" spans="1:15" x14ac:dyDescent="0.25">
      <c r="A20" s="12">
        <v>16</v>
      </c>
      <c r="B20" s="32" t="s">
        <v>883</v>
      </c>
      <c r="C20" s="12" t="s">
        <v>8</v>
      </c>
      <c r="D20" s="12">
        <v>2</v>
      </c>
      <c r="E20" s="12">
        <v>13</v>
      </c>
      <c r="F20" s="12">
        <v>26</v>
      </c>
      <c r="G20" s="32" t="s">
        <v>2238</v>
      </c>
      <c r="I20" s="12">
        <v>16</v>
      </c>
      <c r="J20" s="32" t="s">
        <v>883</v>
      </c>
      <c r="K20" s="12" t="s">
        <v>8</v>
      </c>
      <c r="L20" s="12">
        <v>2</v>
      </c>
      <c r="M20">
        <v>13</v>
      </c>
      <c r="N20">
        <v>26</v>
      </c>
      <c r="O20" t="s">
        <v>2238</v>
      </c>
    </row>
    <row r="21" spans="1:15" x14ac:dyDescent="0.25">
      <c r="A21" s="12">
        <v>17</v>
      </c>
      <c r="B21" s="32" t="s">
        <v>487</v>
      </c>
      <c r="C21" s="12" t="s">
        <v>8</v>
      </c>
      <c r="D21" s="12">
        <v>11.48</v>
      </c>
      <c r="E21" s="12">
        <v>214.99999999999997</v>
      </c>
      <c r="F21" s="12">
        <v>2468.1999999999998</v>
      </c>
      <c r="G21" s="32" t="s">
        <v>2292</v>
      </c>
      <c r="I21" s="12">
        <v>17</v>
      </c>
      <c r="J21" s="32" t="s">
        <v>487</v>
      </c>
      <c r="K21" s="12" t="s">
        <v>8</v>
      </c>
      <c r="L21" s="12">
        <v>12</v>
      </c>
      <c r="M21">
        <v>214.99999999999997</v>
      </c>
      <c r="N21">
        <v>2579.9999999999995</v>
      </c>
      <c r="O21" t="s">
        <v>2292</v>
      </c>
    </row>
    <row r="22" spans="1:15" x14ac:dyDescent="0.25">
      <c r="A22" s="12">
        <v>18</v>
      </c>
      <c r="B22" s="32" t="s">
        <v>945</v>
      </c>
      <c r="C22" s="12" t="s">
        <v>260</v>
      </c>
      <c r="D22" s="12">
        <v>3.1500000000000004</v>
      </c>
      <c r="E22" s="12">
        <v>15</v>
      </c>
      <c r="F22" s="12">
        <v>47.250000000000007</v>
      </c>
      <c r="G22" s="32" t="s">
        <v>2293</v>
      </c>
      <c r="I22" s="12">
        <v>18</v>
      </c>
      <c r="J22" s="32" t="s">
        <v>945</v>
      </c>
      <c r="K22" s="12" t="s">
        <v>260</v>
      </c>
      <c r="L22" s="12">
        <v>4</v>
      </c>
      <c r="M22">
        <v>15</v>
      </c>
      <c r="N22">
        <v>60</v>
      </c>
      <c r="O22" t="s">
        <v>2293</v>
      </c>
    </row>
    <row r="23" spans="1:15" x14ac:dyDescent="0.25">
      <c r="A23" s="12">
        <v>19</v>
      </c>
      <c r="B23" s="32" t="s">
        <v>1135</v>
      </c>
      <c r="C23" s="12" t="s">
        <v>8</v>
      </c>
      <c r="D23" s="12">
        <v>4017</v>
      </c>
      <c r="E23" s="12">
        <v>0.28000000000000003</v>
      </c>
      <c r="F23" s="12">
        <v>1124.7600000000002</v>
      </c>
      <c r="G23" s="32" t="s">
        <v>2225</v>
      </c>
      <c r="I23" s="12">
        <v>19</v>
      </c>
      <c r="J23" s="32" t="s">
        <v>1135</v>
      </c>
      <c r="K23" s="12" t="s">
        <v>8</v>
      </c>
      <c r="L23" s="12">
        <v>4017</v>
      </c>
      <c r="M23">
        <v>0.28000000000000003</v>
      </c>
      <c r="N23">
        <v>1124.7600000000002</v>
      </c>
      <c r="O23" t="s">
        <v>2225</v>
      </c>
    </row>
    <row r="24" spans="1:15" x14ac:dyDescent="0.25">
      <c r="A24" s="12">
        <v>20</v>
      </c>
      <c r="B24" s="32" t="s">
        <v>497</v>
      </c>
      <c r="C24" s="12" t="s">
        <v>498</v>
      </c>
      <c r="D24" s="12">
        <v>1</v>
      </c>
      <c r="E24" s="12">
        <v>650</v>
      </c>
      <c r="F24" s="12">
        <v>650</v>
      </c>
      <c r="G24" s="32" t="s">
        <v>2222</v>
      </c>
      <c r="I24" s="12">
        <v>20</v>
      </c>
      <c r="J24" s="32" t="s">
        <v>497</v>
      </c>
      <c r="K24" s="12" t="s">
        <v>498</v>
      </c>
      <c r="L24" s="12">
        <v>1</v>
      </c>
      <c r="M24">
        <v>650</v>
      </c>
      <c r="N24">
        <v>650</v>
      </c>
      <c r="O24" t="s">
        <v>2222</v>
      </c>
    </row>
    <row r="25" spans="1:15" x14ac:dyDescent="0.25">
      <c r="A25" s="12">
        <v>21</v>
      </c>
      <c r="B25" s="32" t="s">
        <v>1389</v>
      </c>
      <c r="C25" s="12" t="s">
        <v>498</v>
      </c>
      <c r="D25" s="12">
        <v>1</v>
      </c>
      <c r="E25" s="12">
        <v>450</v>
      </c>
      <c r="F25" s="12">
        <v>450</v>
      </c>
      <c r="G25" s="32" t="s">
        <v>2223</v>
      </c>
      <c r="I25" s="12">
        <v>21</v>
      </c>
      <c r="J25" s="32" t="s">
        <v>1389</v>
      </c>
      <c r="K25" s="12" t="s">
        <v>498</v>
      </c>
      <c r="L25" s="12">
        <v>1</v>
      </c>
      <c r="M25">
        <v>450</v>
      </c>
      <c r="N25">
        <v>450</v>
      </c>
      <c r="O25" t="s">
        <v>2223</v>
      </c>
    </row>
    <row r="26" spans="1:15" x14ac:dyDescent="0.25">
      <c r="A26" s="12">
        <v>22</v>
      </c>
      <c r="B26" s="32" t="s">
        <v>666</v>
      </c>
      <c r="C26" s="12" t="s">
        <v>11</v>
      </c>
      <c r="D26" s="12">
        <v>0.86749999999999994</v>
      </c>
      <c r="E26" s="12">
        <v>850.00000000000011</v>
      </c>
      <c r="F26" s="12">
        <v>737.375</v>
      </c>
      <c r="G26" s="32" t="s">
        <v>2294</v>
      </c>
      <c r="I26" s="12">
        <v>22</v>
      </c>
      <c r="J26" s="32" t="s">
        <v>666</v>
      </c>
      <c r="K26" s="12" t="s">
        <v>11</v>
      </c>
      <c r="L26" s="12">
        <v>1</v>
      </c>
      <c r="M26">
        <v>850.00000000000011</v>
      </c>
      <c r="N26">
        <v>850.00000000000011</v>
      </c>
      <c r="O26" t="s">
        <v>2294</v>
      </c>
    </row>
    <row r="27" spans="1:15" x14ac:dyDescent="0.25">
      <c r="A27" s="12">
        <v>23</v>
      </c>
      <c r="B27" s="32" t="s">
        <v>1798</v>
      </c>
      <c r="C27" s="12" t="s">
        <v>648</v>
      </c>
      <c r="D27" s="12">
        <v>2.1</v>
      </c>
      <c r="E27" s="12">
        <v>80</v>
      </c>
      <c r="F27" s="12">
        <v>168</v>
      </c>
      <c r="G27" s="32" t="s">
        <v>2295</v>
      </c>
      <c r="I27" s="12">
        <v>23</v>
      </c>
      <c r="J27" s="32" t="s">
        <v>1798</v>
      </c>
      <c r="K27" s="12" t="s">
        <v>648</v>
      </c>
      <c r="L27" s="12">
        <v>3</v>
      </c>
      <c r="M27">
        <v>80</v>
      </c>
      <c r="N27">
        <v>240</v>
      </c>
      <c r="O27" t="s">
        <v>2295</v>
      </c>
    </row>
    <row r="28" spans="1:15" x14ac:dyDescent="0.25">
      <c r="A28" s="12">
        <v>24</v>
      </c>
      <c r="B28" s="32" t="s">
        <v>1686</v>
      </c>
      <c r="C28" s="12" t="s">
        <v>34</v>
      </c>
      <c r="D28" s="12">
        <v>1</v>
      </c>
      <c r="E28" s="12">
        <v>185</v>
      </c>
      <c r="F28" s="12">
        <v>185</v>
      </c>
      <c r="G28" s="32" t="s">
        <v>2239</v>
      </c>
      <c r="I28" s="12">
        <v>24</v>
      </c>
      <c r="J28" s="32" t="s">
        <v>1686</v>
      </c>
      <c r="K28" s="12" t="s">
        <v>34</v>
      </c>
      <c r="L28" s="12">
        <v>1</v>
      </c>
      <c r="M28">
        <v>185</v>
      </c>
      <c r="N28">
        <v>185</v>
      </c>
      <c r="O28" t="s">
        <v>2239</v>
      </c>
    </row>
    <row r="29" spans="1:15" x14ac:dyDescent="0.25">
      <c r="A29" s="12">
        <v>25</v>
      </c>
      <c r="B29" s="32" t="s">
        <v>1696</v>
      </c>
      <c r="C29" s="12" t="s">
        <v>8</v>
      </c>
      <c r="D29" s="12">
        <v>1</v>
      </c>
      <c r="E29" s="12">
        <v>6.5</v>
      </c>
      <c r="F29" s="12">
        <v>6.5</v>
      </c>
      <c r="G29" s="32" t="s">
        <v>2240</v>
      </c>
      <c r="I29" s="12">
        <v>25</v>
      </c>
      <c r="J29" s="32" t="s">
        <v>1696</v>
      </c>
      <c r="K29" s="12" t="s">
        <v>8</v>
      </c>
      <c r="L29" s="12">
        <v>1</v>
      </c>
      <c r="M29">
        <v>6.5</v>
      </c>
      <c r="N29">
        <v>6.5</v>
      </c>
      <c r="O29" t="s">
        <v>2240</v>
      </c>
    </row>
    <row r="30" spans="1:15" x14ac:dyDescent="0.25">
      <c r="A30" s="12">
        <v>26</v>
      </c>
      <c r="B30" s="32" t="s">
        <v>524</v>
      </c>
      <c r="C30" s="12" t="s">
        <v>525</v>
      </c>
      <c r="D30" s="12">
        <v>2</v>
      </c>
      <c r="E30" s="12">
        <v>900</v>
      </c>
      <c r="F30" s="12">
        <v>1800</v>
      </c>
      <c r="G30" s="32" t="s">
        <v>2287</v>
      </c>
      <c r="I30" s="12">
        <v>26</v>
      </c>
      <c r="J30" s="32" t="s">
        <v>524</v>
      </c>
      <c r="K30" s="12" t="s">
        <v>525</v>
      </c>
      <c r="L30" s="12">
        <v>2</v>
      </c>
      <c r="M30">
        <v>900</v>
      </c>
      <c r="N30">
        <v>1800</v>
      </c>
      <c r="O30" t="s">
        <v>2287</v>
      </c>
    </row>
    <row r="31" spans="1:15" x14ac:dyDescent="0.25">
      <c r="A31" s="12">
        <v>27</v>
      </c>
      <c r="B31" s="32" t="s">
        <v>485</v>
      </c>
      <c r="C31" s="12" t="s">
        <v>11</v>
      </c>
      <c r="D31" s="12">
        <v>0.68</v>
      </c>
      <c r="E31" s="12">
        <v>830.00000000000011</v>
      </c>
      <c r="F31" s="12">
        <v>564.40000000000009</v>
      </c>
      <c r="G31" s="32" t="s">
        <v>2296</v>
      </c>
      <c r="I31" s="12">
        <v>27</v>
      </c>
      <c r="J31" s="32" t="s">
        <v>485</v>
      </c>
      <c r="K31" s="12" t="s">
        <v>11</v>
      </c>
      <c r="L31" s="12">
        <v>1</v>
      </c>
      <c r="M31">
        <v>830.00000000000011</v>
      </c>
      <c r="N31">
        <v>830.00000000000011</v>
      </c>
      <c r="O31" t="s">
        <v>2296</v>
      </c>
    </row>
    <row r="32" spans="1:15" x14ac:dyDescent="0.25">
      <c r="A32" s="12">
        <v>28</v>
      </c>
      <c r="B32" s="32" t="s">
        <v>2210</v>
      </c>
      <c r="C32" s="12" t="s">
        <v>8</v>
      </c>
      <c r="D32" s="12">
        <v>1</v>
      </c>
      <c r="E32" s="12">
        <v>650</v>
      </c>
      <c r="F32" s="12">
        <v>650</v>
      </c>
      <c r="G32" s="32" t="s">
        <v>2241</v>
      </c>
      <c r="I32" s="12">
        <v>28</v>
      </c>
      <c r="J32" s="32" t="s">
        <v>2210</v>
      </c>
      <c r="K32" s="12" t="s">
        <v>8</v>
      </c>
      <c r="L32" s="12">
        <v>1</v>
      </c>
      <c r="M32">
        <v>650</v>
      </c>
      <c r="N32">
        <v>650</v>
      </c>
      <c r="O32" t="s">
        <v>2241</v>
      </c>
    </row>
    <row r="33" spans="1:15" x14ac:dyDescent="0.25">
      <c r="A33" s="12">
        <v>29</v>
      </c>
      <c r="B33" s="32" t="s">
        <v>1229</v>
      </c>
      <c r="C33" s="12" t="s">
        <v>8</v>
      </c>
      <c r="D33" s="12">
        <v>3.1500000000000004</v>
      </c>
      <c r="E33" s="12">
        <v>0.85</v>
      </c>
      <c r="F33" s="12">
        <v>2.6775000000000002</v>
      </c>
      <c r="G33" s="32" t="s">
        <v>2297</v>
      </c>
      <c r="I33" s="12">
        <v>29</v>
      </c>
      <c r="J33" s="32" t="s">
        <v>1229</v>
      </c>
      <c r="K33" s="12" t="s">
        <v>8</v>
      </c>
      <c r="L33" s="12">
        <v>4</v>
      </c>
      <c r="M33">
        <v>0.85</v>
      </c>
      <c r="N33">
        <v>3.4</v>
      </c>
      <c r="O33" t="s">
        <v>2297</v>
      </c>
    </row>
    <row r="34" spans="1:15" x14ac:dyDescent="0.25">
      <c r="A34" s="12">
        <v>30</v>
      </c>
      <c r="B34" s="32" t="s">
        <v>1453</v>
      </c>
      <c r="C34" s="12" t="s">
        <v>656</v>
      </c>
      <c r="D34" s="12">
        <v>4.2</v>
      </c>
      <c r="E34" s="12">
        <v>59</v>
      </c>
      <c r="F34" s="12">
        <v>247.8</v>
      </c>
      <c r="G34" s="32" t="s">
        <v>2298</v>
      </c>
      <c r="I34" s="12">
        <v>30</v>
      </c>
      <c r="J34" s="32" t="s">
        <v>1453</v>
      </c>
      <c r="K34" s="12" t="s">
        <v>656</v>
      </c>
      <c r="L34" s="12">
        <v>5</v>
      </c>
      <c r="M34">
        <v>59</v>
      </c>
      <c r="N34">
        <v>295</v>
      </c>
      <c r="O34" t="s">
        <v>2298</v>
      </c>
    </row>
    <row r="35" spans="1:15" x14ac:dyDescent="0.25">
      <c r="A35" s="12">
        <v>31</v>
      </c>
      <c r="B35" s="32" t="s">
        <v>1455</v>
      </c>
      <c r="C35" s="12" t="s">
        <v>8</v>
      </c>
      <c r="D35" s="12">
        <v>4.2</v>
      </c>
      <c r="E35" s="12">
        <v>6.2</v>
      </c>
      <c r="F35" s="12">
        <v>26.040000000000003</v>
      </c>
      <c r="G35" s="32" t="s">
        <v>2299</v>
      </c>
      <c r="I35" s="12">
        <v>31</v>
      </c>
      <c r="J35" s="32" t="s">
        <v>1455</v>
      </c>
      <c r="K35" s="12" t="s">
        <v>8</v>
      </c>
      <c r="L35" s="12">
        <v>5</v>
      </c>
      <c r="M35">
        <v>6.2</v>
      </c>
      <c r="N35">
        <v>31</v>
      </c>
      <c r="O35" t="s">
        <v>2299</v>
      </c>
    </row>
    <row r="36" spans="1:15" x14ac:dyDescent="0.25">
      <c r="A36" s="12">
        <v>32</v>
      </c>
      <c r="B36" s="32" t="s">
        <v>1457</v>
      </c>
      <c r="C36" s="12" t="s">
        <v>8</v>
      </c>
      <c r="D36" s="12">
        <v>8.4</v>
      </c>
      <c r="E36" s="12">
        <v>5.6</v>
      </c>
      <c r="F36" s="12">
        <v>47.04</v>
      </c>
      <c r="G36" s="32" t="s">
        <v>2300</v>
      </c>
      <c r="I36" s="12">
        <v>32</v>
      </c>
      <c r="J36" s="32" t="s">
        <v>1457</v>
      </c>
      <c r="K36" s="12" t="s">
        <v>8</v>
      </c>
      <c r="L36" s="12">
        <v>9</v>
      </c>
      <c r="M36">
        <v>5.6</v>
      </c>
      <c r="N36">
        <v>50.4</v>
      </c>
      <c r="O36" t="s">
        <v>2300</v>
      </c>
    </row>
    <row r="37" spans="1:15" x14ac:dyDescent="0.25">
      <c r="A37" s="12">
        <v>33</v>
      </c>
      <c r="B37" s="32" t="s">
        <v>947</v>
      </c>
      <c r="C37" s="12" t="s">
        <v>8</v>
      </c>
      <c r="D37" s="12">
        <v>12.600000000000001</v>
      </c>
      <c r="E37" s="12">
        <v>3</v>
      </c>
      <c r="F37" s="12">
        <v>37.800000000000004</v>
      </c>
      <c r="G37" s="32" t="s">
        <v>2301</v>
      </c>
      <c r="I37" s="12">
        <v>33</v>
      </c>
      <c r="J37" s="32" t="s">
        <v>947</v>
      </c>
      <c r="K37" s="12" t="s">
        <v>8</v>
      </c>
      <c r="L37" s="12">
        <v>13</v>
      </c>
      <c r="M37">
        <v>3</v>
      </c>
      <c r="N37">
        <v>39</v>
      </c>
      <c r="O37" t="s">
        <v>2301</v>
      </c>
    </row>
    <row r="38" spans="1:15" x14ac:dyDescent="0.25">
      <c r="A38" s="12">
        <v>34</v>
      </c>
      <c r="B38" s="32" t="s">
        <v>644</v>
      </c>
      <c r="C38" s="12" t="s">
        <v>260</v>
      </c>
      <c r="D38" s="12">
        <v>2</v>
      </c>
      <c r="E38" s="12">
        <v>180</v>
      </c>
      <c r="F38" s="12">
        <v>360</v>
      </c>
      <c r="G38" s="32" t="s">
        <v>2242</v>
      </c>
      <c r="I38" s="12">
        <v>34</v>
      </c>
      <c r="J38" s="32" t="s">
        <v>644</v>
      </c>
      <c r="K38" s="12" t="s">
        <v>260</v>
      </c>
      <c r="L38" s="12">
        <v>2</v>
      </c>
      <c r="M38">
        <v>180</v>
      </c>
      <c r="N38">
        <v>360</v>
      </c>
      <c r="O38" t="s">
        <v>2242</v>
      </c>
    </row>
    <row r="39" spans="1:15" x14ac:dyDescent="0.25">
      <c r="A39" s="12">
        <v>35</v>
      </c>
      <c r="B39" s="32" t="s">
        <v>1299</v>
      </c>
      <c r="C39" s="12" t="s">
        <v>8</v>
      </c>
      <c r="D39" s="12">
        <v>2.1</v>
      </c>
      <c r="E39" s="12">
        <v>3</v>
      </c>
      <c r="F39" s="12">
        <v>6.3000000000000007</v>
      </c>
      <c r="G39" s="32" t="s">
        <v>2302</v>
      </c>
      <c r="I39" s="12">
        <v>35</v>
      </c>
      <c r="J39" s="32" t="s">
        <v>1299</v>
      </c>
      <c r="K39" s="12" t="s">
        <v>8</v>
      </c>
      <c r="L39" s="12">
        <v>3</v>
      </c>
      <c r="M39">
        <v>3</v>
      </c>
      <c r="N39">
        <v>9</v>
      </c>
      <c r="O39" t="s">
        <v>2302</v>
      </c>
    </row>
    <row r="40" spans="1:15" x14ac:dyDescent="0.25">
      <c r="A40" s="12">
        <v>36</v>
      </c>
      <c r="B40" s="32" t="s">
        <v>1665</v>
      </c>
      <c r="C40" s="12" t="s">
        <v>1666</v>
      </c>
      <c r="D40" s="12">
        <v>15</v>
      </c>
      <c r="E40" s="12">
        <v>10.5</v>
      </c>
      <c r="F40" s="12">
        <v>157.5</v>
      </c>
      <c r="G40" s="32" t="s">
        <v>2243</v>
      </c>
      <c r="I40" s="12">
        <v>36</v>
      </c>
      <c r="J40" s="32" t="s">
        <v>1665</v>
      </c>
      <c r="K40" s="12" t="s">
        <v>1666</v>
      </c>
      <c r="L40" s="12">
        <v>15</v>
      </c>
      <c r="M40">
        <v>10.5</v>
      </c>
      <c r="N40">
        <v>157.5</v>
      </c>
      <c r="O40" t="s">
        <v>2243</v>
      </c>
    </row>
    <row r="41" spans="1:15" x14ac:dyDescent="0.25">
      <c r="A41" s="12">
        <v>37</v>
      </c>
      <c r="B41" s="32" t="s">
        <v>1688</v>
      </c>
      <c r="C41" s="12" t="s">
        <v>8</v>
      </c>
      <c r="D41" s="12">
        <v>4</v>
      </c>
      <c r="E41" s="12">
        <v>4.5999999999999996</v>
      </c>
      <c r="F41" s="12">
        <v>18.399999999999999</v>
      </c>
      <c r="G41" s="32" t="s">
        <v>2244</v>
      </c>
      <c r="I41" s="12">
        <v>37</v>
      </c>
      <c r="J41" s="32" t="s">
        <v>1688</v>
      </c>
      <c r="K41" s="12" t="s">
        <v>8</v>
      </c>
      <c r="L41" s="12">
        <v>4</v>
      </c>
      <c r="M41">
        <v>4.5999999999999996</v>
      </c>
      <c r="N41">
        <v>18.399999999999999</v>
      </c>
      <c r="O41" t="s">
        <v>2244</v>
      </c>
    </row>
    <row r="42" spans="1:15" x14ac:dyDescent="0.25">
      <c r="A42" s="12">
        <v>38</v>
      </c>
      <c r="B42" s="32" t="s">
        <v>1690</v>
      </c>
      <c r="C42" s="12" t="s">
        <v>8</v>
      </c>
      <c r="D42" s="12">
        <v>1</v>
      </c>
      <c r="E42" s="12">
        <v>59</v>
      </c>
      <c r="F42" s="12">
        <v>59</v>
      </c>
      <c r="G42" s="32" t="s">
        <v>2245</v>
      </c>
      <c r="I42" s="12">
        <v>38</v>
      </c>
      <c r="J42" s="32" t="s">
        <v>1690</v>
      </c>
      <c r="K42" s="12" t="s">
        <v>8</v>
      </c>
      <c r="L42" s="12">
        <v>1</v>
      </c>
      <c r="M42">
        <v>59</v>
      </c>
      <c r="N42">
        <v>59</v>
      </c>
      <c r="O42" t="s">
        <v>2245</v>
      </c>
    </row>
    <row r="43" spans="1:15" x14ac:dyDescent="0.25">
      <c r="A43" s="12">
        <v>39</v>
      </c>
      <c r="B43" s="32" t="s">
        <v>1692</v>
      </c>
      <c r="C43" s="12" t="s">
        <v>8</v>
      </c>
      <c r="D43" s="12">
        <v>1</v>
      </c>
      <c r="E43" s="12">
        <v>165</v>
      </c>
      <c r="F43" s="12">
        <v>165</v>
      </c>
      <c r="G43" s="32" t="s">
        <v>2246</v>
      </c>
      <c r="I43" s="12">
        <v>39</v>
      </c>
      <c r="J43" s="32" t="s">
        <v>1692</v>
      </c>
      <c r="K43" s="12" t="s">
        <v>8</v>
      </c>
      <c r="L43" s="12">
        <v>1</v>
      </c>
      <c r="M43">
        <v>165</v>
      </c>
      <c r="N43">
        <v>165</v>
      </c>
      <c r="O43" t="s">
        <v>2246</v>
      </c>
    </row>
    <row r="44" spans="1:15" x14ac:dyDescent="0.25">
      <c r="A44" s="12">
        <v>40</v>
      </c>
      <c r="B44" s="32" t="s">
        <v>486</v>
      </c>
      <c r="C44" s="12" t="s">
        <v>11</v>
      </c>
      <c r="D44" s="12">
        <v>0.14000000000000001</v>
      </c>
      <c r="E44" s="12">
        <v>949.99999999999989</v>
      </c>
      <c r="F44" s="12">
        <v>133</v>
      </c>
      <c r="G44" s="32" t="s">
        <v>2303</v>
      </c>
      <c r="I44" s="12">
        <v>40</v>
      </c>
      <c r="J44" s="32" t="s">
        <v>486</v>
      </c>
      <c r="K44" s="12" t="s">
        <v>11</v>
      </c>
      <c r="L44" s="12">
        <v>1</v>
      </c>
      <c r="M44">
        <v>949.99999999999989</v>
      </c>
      <c r="N44">
        <v>949.99999999999989</v>
      </c>
      <c r="O44" t="s">
        <v>2303</v>
      </c>
    </row>
    <row r="45" spans="1:15" x14ac:dyDescent="0.25">
      <c r="A45" s="12">
        <v>41</v>
      </c>
      <c r="B45" s="32" t="s">
        <v>1568</v>
      </c>
      <c r="C45" s="12" t="s">
        <v>44</v>
      </c>
      <c r="D45" s="12">
        <v>2</v>
      </c>
      <c r="E45" s="12">
        <v>80</v>
      </c>
      <c r="F45" s="12">
        <v>160</v>
      </c>
      <c r="G45" s="32" t="s">
        <v>2247</v>
      </c>
      <c r="I45" s="12">
        <v>41</v>
      </c>
      <c r="J45" s="32" t="s">
        <v>1568</v>
      </c>
      <c r="K45" s="12" t="s">
        <v>44</v>
      </c>
      <c r="L45" s="12">
        <v>2</v>
      </c>
      <c r="M45">
        <v>80</v>
      </c>
      <c r="N45">
        <v>160</v>
      </c>
      <c r="O45" t="s">
        <v>2247</v>
      </c>
    </row>
    <row r="46" spans="1:15" x14ac:dyDescent="0.25">
      <c r="A46" s="12">
        <v>42</v>
      </c>
      <c r="B46" s="32" t="s">
        <v>944</v>
      </c>
      <c r="C46" s="12" t="s">
        <v>8</v>
      </c>
      <c r="D46" s="12">
        <v>10.5</v>
      </c>
      <c r="E46" s="12">
        <v>28</v>
      </c>
      <c r="F46" s="12">
        <v>294</v>
      </c>
      <c r="G46" s="32" t="s">
        <v>2304</v>
      </c>
      <c r="I46" s="12">
        <v>42</v>
      </c>
      <c r="J46" s="32" t="s">
        <v>944</v>
      </c>
      <c r="K46" s="12" t="s">
        <v>8</v>
      </c>
      <c r="L46" s="12">
        <v>11</v>
      </c>
      <c r="M46">
        <v>28</v>
      </c>
      <c r="N46">
        <v>308</v>
      </c>
      <c r="O46" t="s">
        <v>2304</v>
      </c>
    </row>
    <row r="47" spans="1:15" x14ac:dyDescent="0.25">
      <c r="A47" s="12">
        <v>43</v>
      </c>
      <c r="B47" s="32" t="s">
        <v>1816</v>
      </c>
      <c r="C47" s="12" t="s">
        <v>8</v>
      </c>
      <c r="D47" s="12">
        <v>2</v>
      </c>
      <c r="E47" s="12">
        <v>6</v>
      </c>
      <c r="F47" s="12">
        <v>12</v>
      </c>
      <c r="G47" s="32" t="s">
        <v>2248</v>
      </c>
      <c r="I47" s="12">
        <v>43</v>
      </c>
      <c r="J47" s="32" t="s">
        <v>1816</v>
      </c>
      <c r="K47" s="12" t="s">
        <v>8</v>
      </c>
      <c r="L47" s="12">
        <v>2</v>
      </c>
      <c r="M47">
        <v>6</v>
      </c>
      <c r="N47">
        <v>12</v>
      </c>
      <c r="O47" t="s">
        <v>2248</v>
      </c>
    </row>
    <row r="48" spans="1:15" x14ac:dyDescent="0.25">
      <c r="A48" s="12">
        <v>44</v>
      </c>
      <c r="B48" s="32" t="s">
        <v>938</v>
      </c>
      <c r="C48" s="12" t="s">
        <v>8</v>
      </c>
      <c r="D48" s="12">
        <v>27.3</v>
      </c>
      <c r="E48" s="12">
        <v>22</v>
      </c>
      <c r="F48" s="12">
        <v>600.6</v>
      </c>
      <c r="G48" s="32" t="s">
        <v>2305</v>
      </c>
      <c r="I48" s="12">
        <v>44</v>
      </c>
      <c r="J48" s="32" t="s">
        <v>938</v>
      </c>
      <c r="K48" s="12" t="s">
        <v>8</v>
      </c>
      <c r="L48" s="12">
        <v>28</v>
      </c>
      <c r="M48">
        <v>22</v>
      </c>
      <c r="N48">
        <v>616</v>
      </c>
      <c r="O48" t="s">
        <v>2305</v>
      </c>
    </row>
    <row r="49" spans="1:15" x14ac:dyDescent="0.25">
      <c r="A49" s="12">
        <v>45</v>
      </c>
      <c r="B49" s="32" t="s">
        <v>1295</v>
      </c>
      <c r="C49" s="12" t="s">
        <v>656</v>
      </c>
      <c r="D49" s="12">
        <v>31.5</v>
      </c>
      <c r="E49" s="12">
        <v>3.5</v>
      </c>
      <c r="F49" s="12">
        <v>110.25</v>
      </c>
      <c r="G49" s="32" t="s">
        <v>2306</v>
      </c>
      <c r="I49" s="12">
        <v>45</v>
      </c>
      <c r="J49" s="32" t="s">
        <v>1295</v>
      </c>
      <c r="K49" s="12" t="s">
        <v>656</v>
      </c>
      <c r="L49" s="12">
        <v>32</v>
      </c>
      <c r="M49">
        <v>3.5</v>
      </c>
      <c r="N49">
        <v>112</v>
      </c>
      <c r="O49" t="s">
        <v>2306</v>
      </c>
    </row>
    <row r="50" spans="1:15" x14ac:dyDescent="0.25">
      <c r="A50" s="12">
        <v>46</v>
      </c>
      <c r="B50" s="32" t="s">
        <v>1296</v>
      </c>
      <c r="C50" s="12" t="s">
        <v>8</v>
      </c>
      <c r="D50" s="12">
        <v>12.600000000000001</v>
      </c>
      <c r="E50" s="12">
        <v>20</v>
      </c>
      <c r="F50" s="12">
        <v>252.00000000000003</v>
      </c>
      <c r="G50" s="32" t="s">
        <v>2307</v>
      </c>
      <c r="I50" s="12">
        <v>46</v>
      </c>
      <c r="J50" s="32" t="s">
        <v>1296</v>
      </c>
      <c r="K50" s="12" t="s">
        <v>8</v>
      </c>
      <c r="L50" s="12">
        <v>13</v>
      </c>
      <c r="M50">
        <v>20</v>
      </c>
      <c r="N50">
        <v>260</v>
      </c>
      <c r="O50" t="s">
        <v>2307</v>
      </c>
    </row>
    <row r="51" spans="1:15" x14ac:dyDescent="0.25">
      <c r="A51" s="12">
        <v>47</v>
      </c>
      <c r="B51" s="32" t="s">
        <v>1293</v>
      </c>
      <c r="C51" s="12" t="s">
        <v>599</v>
      </c>
      <c r="D51" s="12">
        <v>13.65</v>
      </c>
      <c r="E51" s="12">
        <v>25</v>
      </c>
      <c r="F51" s="12">
        <v>341.25</v>
      </c>
      <c r="G51" s="32" t="s">
        <v>2308</v>
      </c>
      <c r="I51" s="12">
        <v>47</v>
      </c>
      <c r="J51" s="32" t="s">
        <v>1293</v>
      </c>
      <c r="K51" s="12" t="s">
        <v>599</v>
      </c>
      <c r="L51" s="12">
        <v>14</v>
      </c>
      <c r="M51">
        <v>25</v>
      </c>
      <c r="N51">
        <v>350</v>
      </c>
      <c r="O51" t="s">
        <v>2308</v>
      </c>
    </row>
    <row r="52" spans="1:15" x14ac:dyDescent="0.25">
      <c r="A52" s="12">
        <v>48</v>
      </c>
      <c r="B52" s="32" t="s">
        <v>1446</v>
      </c>
      <c r="C52" s="12" t="s">
        <v>8</v>
      </c>
      <c r="D52" s="12">
        <v>1260</v>
      </c>
      <c r="E52" s="12">
        <v>0.13</v>
      </c>
      <c r="F52" s="12">
        <v>163.80000000000001</v>
      </c>
      <c r="G52" s="32" t="s">
        <v>2249</v>
      </c>
      <c r="I52" s="12">
        <v>48</v>
      </c>
      <c r="J52" s="32" t="s">
        <v>1446</v>
      </c>
      <c r="K52" s="12" t="s">
        <v>8</v>
      </c>
      <c r="L52" s="12">
        <v>1260</v>
      </c>
      <c r="M52">
        <v>0.13</v>
      </c>
      <c r="N52">
        <v>163.80000000000001</v>
      </c>
      <c r="O52" t="s">
        <v>2249</v>
      </c>
    </row>
    <row r="53" spans="1:15" x14ac:dyDescent="0.25">
      <c r="A53" s="12">
        <v>49</v>
      </c>
      <c r="B53" s="32" t="s">
        <v>255</v>
      </c>
      <c r="C53" s="12" t="s">
        <v>33</v>
      </c>
      <c r="D53" s="12">
        <v>1582</v>
      </c>
      <c r="E53" s="12">
        <v>22.5</v>
      </c>
      <c r="F53" s="12">
        <v>35595</v>
      </c>
      <c r="G53" s="32" t="s">
        <v>2285</v>
      </c>
      <c r="I53" s="12">
        <v>49</v>
      </c>
      <c r="J53" s="32" t="s">
        <v>255</v>
      </c>
      <c r="K53" s="12" t="s">
        <v>33</v>
      </c>
      <c r="L53" s="12">
        <v>1582</v>
      </c>
      <c r="M53">
        <v>22.5</v>
      </c>
      <c r="N53">
        <v>35595</v>
      </c>
      <c r="O53" t="s">
        <v>2285</v>
      </c>
    </row>
    <row r="54" spans="1:15" x14ac:dyDescent="0.25">
      <c r="A54" s="12">
        <v>50</v>
      </c>
      <c r="B54" s="32" t="s">
        <v>46</v>
      </c>
      <c r="C54" s="12" t="s">
        <v>8</v>
      </c>
      <c r="D54" s="12">
        <v>10</v>
      </c>
      <c r="E54" s="12">
        <v>9.9</v>
      </c>
      <c r="F54" s="12">
        <v>99</v>
      </c>
      <c r="G54" s="32" t="s">
        <v>2250</v>
      </c>
      <c r="I54" s="12">
        <v>50</v>
      </c>
      <c r="J54" s="32" t="s">
        <v>46</v>
      </c>
      <c r="K54" s="12" t="s">
        <v>8</v>
      </c>
      <c r="L54" s="12">
        <v>10</v>
      </c>
      <c r="M54">
        <v>9.9</v>
      </c>
      <c r="N54">
        <v>99</v>
      </c>
      <c r="O54" t="s">
        <v>2250</v>
      </c>
    </row>
    <row r="55" spans="1:15" x14ac:dyDescent="0.25">
      <c r="A55" s="12">
        <v>51</v>
      </c>
      <c r="B55" s="32" t="s">
        <v>891</v>
      </c>
      <c r="C55" s="12" t="s">
        <v>892</v>
      </c>
      <c r="D55" s="12">
        <v>1</v>
      </c>
      <c r="E55" s="12">
        <v>8.4</v>
      </c>
      <c r="F55" s="12">
        <v>8.4</v>
      </c>
      <c r="G55" s="32" t="s">
        <v>2251</v>
      </c>
      <c r="I55" s="12">
        <v>51</v>
      </c>
      <c r="J55" s="32" t="s">
        <v>891</v>
      </c>
      <c r="K55" s="12" t="s">
        <v>892</v>
      </c>
      <c r="L55" s="12">
        <v>1</v>
      </c>
      <c r="M55">
        <v>8.4</v>
      </c>
      <c r="N55">
        <v>8.4</v>
      </c>
      <c r="O55" t="s">
        <v>2251</v>
      </c>
    </row>
    <row r="56" spans="1:15" x14ac:dyDescent="0.25">
      <c r="A56" s="12">
        <v>52</v>
      </c>
      <c r="B56" s="32" t="s">
        <v>1656</v>
      </c>
      <c r="C56" s="12" t="s">
        <v>260</v>
      </c>
      <c r="D56" s="12">
        <v>1</v>
      </c>
      <c r="E56" s="12">
        <v>92</v>
      </c>
      <c r="F56" s="12">
        <v>92</v>
      </c>
      <c r="G56" s="32" t="s">
        <v>2252</v>
      </c>
      <c r="I56" s="12">
        <v>52</v>
      </c>
      <c r="J56" s="32" t="s">
        <v>1656</v>
      </c>
      <c r="K56" s="12" t="s">
        <v>260</v>
      </c>
      <c r="L56" s="12">
        <v>1</v>
      </c>
      <c r="M56">
        <v>92</v>
      </c>
      <c r="N56">
        <v>92</v>
      </c>
      <c r="O56" t="s">
        <v>2252</v>
      </c>
    </row>
    <row r="57" spans="1:15" x14ac:dyDescent="0.25">
      <c r="A57" s="12">
        <v>53</v>
      </c>
      <c r="B57" s="32" t="s">
        <v>1657</v>
      </c>
      <c r="C57" s="12" t="s">
        <v>260</v>
      </c>
      <c r="D57" s="12">
        <v>1</v>
      </c>
      <c r="E57" s="12">
        <v>92</v>
      </c>
      <c r="F57" s="12">
        <v>92</v>
      </c>
      <c r="G57" s="32" t="s">
        <v>2253</v>
      </c>
      <c r="I57" s="12">
        <v>53</v>
      </c>
      <c r="J57" s="32" t="s">
        <v>1657</v>
      </c>
      <c r="K57" s="12" t="s">
        <v>260</v>
      </c>
      <c r="L57" s="12">
        <v>1</v>
      </c>
      <c r="M57">
        <v>92</v>
      </c>
      <c r="N57">
        <v>92</v>
      </c>
      <c r="O57" t="s">
        <v>2253</v>
      </c>
    </row>
    <row r="58" spans="1:15" x14ac:dyDescent="0.25">
      <c r="A58" s="12">
        <v>54</v>
      </c>
      <c r="B58" s="32" t="s">
        <v>1658</v>
      </c>
      <c r="C58" s="12" t="s">
        <v>260</v>
      </c>
      <c r="D58" s="12">
        <v>1</v>
      </c>
      <c r="E58" s="12">
        <v>92</v>
      </c>
      <c r="F58" s="12">
        <v>92</v>
      </c>
      <c r="G58" s="32" t="s">
        <v>2254</v>
      </c>
      <c r="I58" s="12">
        <v>54</v>
      </c>
      <c r="J58" s="32" t="s">
        <v>1658</v>
      </c>
      <c r="K58" s="12" t="s">
        <v>260</v>
      </c>
      <c r="L58" s="12">
        <v>1</v>
      </c>
      <c r="M58">
        <v>92</v>
      </c>
      <c r="N58">
        <v>92</v>
      </c>
      <c r="O58" t="s">
        <v>2254</v>
      </c>
    </row>
    <row r="59" spans="1:15" x14ac:dyDescent="0.25">
      <c r="A59" s="12">
        <v>55</v>
      </c>
      <c r="B59" s="32" t="s">
        <v>1660</v>
      </c>
      <c r="C59" s="12" t="s">
        <v>260</v>
      </c>
      <c r="D59" s="12">
        <v>1</v>
      </c>
      <c r="E59" s="12">
        <v>146</v>
      </c>
      <c r="F59" s="12">
        <v>146</v>
      </c>
      <c r="G59" s="32" t="s">
        <v>2255</v>
      </c>
      <c r="I59" s="12">
        <v>55</v>
      </c>
      <c r="J59" s="32" t="s">
        <v>1660</v>
      </c>
      <c r="K59" s="12" t="s">
        <v>260</v>
      </c>
      <c r="L59" s="12">
        <v>1</v>
      </c>
      <c r="M59">
        <v>146</v>
      </c>
      <c r="N59">
        <v>146</v>
      </c>
      <c r="O59" t="s">
        <v>2255</v>
      </c>
    </row>
    <row r="60" spans="1:15" x14ac:dyDescent="0.25">
      <c r="A60" s="12">
        <v>56</v>
      </c>
      <c r="B60" s="32" t="s">
        <v>1661</v>
      </c>
      <c r="C60" s="12" t="s">
        <v>260</v>
      </c>
      <c r="D60" s="12">
        <v>1</v>
      </c>
      <c r="E60" s="12">
        <v>146</v>
      </c>
      <c r="F60" s="12">
        <v>146</v>
      </c>
      <c r="G60" s="32" t="s">
        <v>2256</v>
      </c>
      <c r="I60" s="12">
        <v>56</v>
      </c>
      <c r="J60" s="32" t="s">
        <v>1661</v>
      </c>
      <c r="K60" s="12" t="s">
        <v>260</v>
      </c>
      <c r="L60" s="12">
        <v>1</v>
      </c>
      <c r="M60">
        <v>146</v>
      </c>
      <c r="N60">
        <v>146</v>
      </c>
      <c r="O60" t="s">
        <v>2256</v>
      </c>
    </row>
    <row r="61" spans="1:15" x14ac:dyDescent="0.25">
      <c r="A61" s="12">
        <v>57</v>
      </c>
      <c r="B61" s="32" t="s">
        <v>1662</v>
      </c>
      <c r="C61" s="12" t="s">
        <v>260</v>
      </c>
      <c r="D61" s="12">
        <v>1</v>
      </c>
      <c r="E61" s="12">
        <v>146</v>
      </c>
      <c r="F61" s="12">
        <v>146</v>
      </c>
      <c r="G61" s="32" t="s">
        <v>2257</v>
      </c>
      <c r="I61" s="12">
        <v>57</v>
      </c>
      <c r="J61" s="32" t="s">
        <v>1662</v>
      </c>
      <c r="K61" s="12" t="s">
        <v>260</v>
      </c>
      <c r="L61" s="12">
        <v>1</v>
      </c>
      <c r="M61">
        <v>146</v>
      </c>
      <c r="N61">
        <v>146</v>
      </c>
      <c r="O61" t="s">
        <v>2257</v>
      </c>
    </row>
    <row r="62" spans="1:15" x14ac:dyDescent="0.25">
      <c r="A62" s="12">
        <v>58</v>
      </c>
      <c r="B62" s="32" t="s">
        <v>655</v>
      </c>
      <c r="C62" s="12" t="s">
        <v>656</v>
      </c>
      <c r="D62" s="12">
        <v>64.5</v>
      </c>
      <c r="E62" s="12">
        <v>15</v>
      </c>
      <c r="F62" s="12">
        <v>967.5</v>
      </c>
      <c r="G62" s="32" t="s">
        <v>2309</v>
      </c>
      <c r="I62" s="12">
        <v>58</v>
      </c>
      <c r="J62" s="32" t="s">
        <v>655</v>
      </c>
      <c r="K62" s="12" t="s">
        <v>656</v>
      </c>
      <c r="L62" s="12">
        <v>65</v>
      </c>
      <c r="M62">
        <v>15</v>
      </c>
      <c r="N62">
        <v>975</v>
      </c>
      <c r="O62" t="s">
        <v>2309</v>
      </c>
    </row>
    <row r="63" spans="1:15" x14ac:dyDescent="0.25">
      <c r="A63" s="12">
        <v>59</v>
      </c>
      <c r="B63" s="32" t="s">
        <v>1231</v>
      </c>
      <c r="C63" s="12" t="s">
        <v>10</v>
      </c>
      <c r="D63" s="12">
        <v>1</v>
      </c>
      <c r="E63" s="12">
        <v>60</v>
      </c>
      <c r="F63" s="12">
        <v>60</v>
      </c>
      <c r="G63" s="32" t="s">
        <v>2258</v>
      </c>
      <c r="I63" s="12">
        <v>59</v>
      </c>
      <c r="J63" s="32" t="s">
        <v>1231</v>
      </c>
      <c r="K63" s="12" t="s">
        <v>10</v>
      </c>
      <c r="L63" s="12">
        <v>1</v>
      </c>
      <c r="M63">
        <v>60</v>
      </c>
      <c r="N63">
        <v>60</v>
      </c>
      <c r="O63" t="s">
        <v>2258</v>
      </c>
    </row>
    <row r="64" spans="1:15" x14ac:dyDescent="0.25">
      <c r="A64" s="12">
        <v>60</v>
      </c>
      <c r="B64" s="32" t="s">
        <v>799</v>
      </c>
      <c r="C64" s="12" t="s">
        <v>595</v>
      </c>
      <c r="D64" s="12">
        <v>19.950000000000003</v>
      </c>
      <c r="E64" s="12">
        <v>22</v>
      </c>
      <c r="F64" s="12">
        <v>438.90000000000009</v>
      </c>
      <c r="G64" s="32" t="s">
        <v>2310</v>
      </c>
      <c r="I64" s="12">
        <v>60</v>
      </c>
      <c r="J64" s="32" t="s">
        <v>799</v>
      </c>
      <c r="K64" s="12" t="s">
        <v>595</v>
      </c>
      <c r="L64" s="12">
        <v>20</v>
      </c>
      <c r="M64">
        <v>22</v>
      </c>
      <c r="N64">
        <v>440</v>
      </c>
      <c r="O64" t="s">
        <v>2310</v>
      </c>
    </row>
    <row r="65" spans="1:15" x14ac:dyDescent="0.25">
      <c r="A65" s="12">
        <v>61</v>
      </c>
      <c r="B65" s="32" t="s">
        <v>594</v>
      </c>
      <c r="C65" s="12" t="s">
        <v>595</v>
      </c>
      <c r="D65" s="12">
        <v>72</v>
      </c>
      <c r="E65" s="12">
        <v>28</v>
      </c>
      <c r="F65" s="12">
        <v>2016</v>
      </c>
      <c r="G65" s="32" t="s">
        <v>2259</v>
      </c>
      <c r="I65" s="12">
        <v>61</v>
      </c>
      <c r="J65" s="32" t="s">
        <v>594</v>
      </c>
      <c r="K65" s="12" t="s">
        <v>595</v>
      </c>
      <c r="L65" s="12">
        <v>72</v>
      </c>
      <c r="M65">
        <v>28</v>
      </c>
      <c r="N65">
        <v>2016</v>
      </c>
      <c r="O65" t="s">
        <v>2259</v>
      </c>
    </row>
    <row r="66" spans="1:15" x14ac:dyDescent="0.25">
      <c r="A66" s="12">
        <v>62</v>
      </c>
      <c r="B66" s="32" t="s">
        <v>596</v>
      </c>
      <c r="C66" s="12" t="s">
        <v>595</v>
      </c>
      <c r="D66" s="12">
        <v>45.6</v>
      </c>
      <c r="E66" s="12">
        <v>15</v>
      </c>
      <c r="F66" s="12">
        <v>684</v>
      </c>
      <c r="G66" s="32" t="s">
        <v>2311</v>
      </c>
      <c r="I66" s="12">
        <v>62</v>
      </c>
      <c r="J66" s="32" t="s">
        <v>596</v>
      </c>
      <c r="K66" s="12" t="s">
        <v>595</v>
      </c>
      <c r="L66" s="12">
        <v>46</v>
      </c>
      <c r="M66">
        <v>15</v>
      </c>
      <c r="N66">
        <v>690</v>
      </c>
      <c r="O66" t="s">
        <v>2311</v>
      </c>
    </row>
    <row r="67" spans="1:15" x14ac:dyDescent="0.25">
      <c r="A67" s="12">
        <v>63</v>
      </c>
      <c r="B67" s="32" t="s">
        <v>1982</v>
      </c>
      <c r="C67" s="12" t="s">
        <v>656</v>
      </c>
      <c r="D67" s="12">
        <v>16.8</v>
      </c>
      <c r="E67" s="12">
        <v>55</v>
      </c>
      <c r="F67" s="12">
        <v>924</v>
      </c>
      <c r="G67" s="32" t="s">
        <v>2312</v>
      </c>
      <c r="I67" s="12">
        <v>63</v>
      </c>
      <c r="J67" s="32" t="s">
        <v>1982</v>
      </c>
      <c r="K67" s="12" t="s">
        <v>656</v>
      </c>
      <c r="L67" s="12">
        <v>17</v>
      </c>
      <c r="M67">
        <v>55</v>
      </c>
      <c r="N67">
        <v>935</v>
      </c>
      <c r="O67" t="s">
        <v>2312</v>
      </c>
    </row>
    <row r="68" spans="1:15" x14ac:dyDescent="0.25">
      <c r="A68" s="12">
        <v>64</v>
      </c>
      <c r="B68" s="32" t="s">
        <v>1683</v>
      </c>
      <c r="C68" s="12" t="s">
        <v>10</v>
      </c>
      <c r="D68" s="12">
        <v>2</v>
      </c>
      <c r="E68" s="12">
        <v>13</v>
      </c>
      <c r="F68" s="12">
        <v>26</v>
      </c>
      <c r="G68" s="32" t="s">
        <v>2260</v>
      </c>
      <c r="I68" s="12">
        <v>64</v>
      </c>
      <c r="J68" s="32" t="s">
        <v>1683</v>
      </c>
      <c r="K68" s="12" t="s">
        <v>10</v>
      </c>
      <c r="L68" s="12">
        <v>2</v>
      </c>
      <c r="M68">
        <v>13</v>
      </c>
      <c r="N68">
        <v>26</v>
      </c>
      <c r="O68" t="s">
        <v>2260</v>
      </c>
    </row>
    <row r="69" spans="1:15" x14ac:dyDescent="0.25">
      <c r="A69" s="12">
        <v>65</v>
      </c>
      <c r="B69" s="32" t="s">
        <v>1301</v>
      </c>
      <c r="C69" s="12" t="s">
        <v>8</v>
      </c>
      <c r="D69" s="12">
        <v>2</v>
      </c>
      <c r="E69" s="12">
        <v>13</v>
      </c>
      <c r="F69" s="12">
        <v>26</v>
      </c>
      <c r="G69" s="32" t="s">
        <v>2261</v>
      </c>
      <c r="I69" s="12">
        <v>65</v>
      </c>
      <c r="J69" s="32" t="s">
        <v>1301</v>
      </c>
      <c r="K69" s="12" t="s">
        <v>8</v>
      </c>
      <c r="L69" s="12">
        <v>2</v>
      </c>
      <c r="M69">
        <v>13</v>
      </c>
      <c r="N69">
        <v>26</v>
      </c>
      <c r="O69" t="s">
        <v>2261</v>
      </c>
    </row>
    <row r="70" spans="1:15" x14ac:dyDescent="0.25">
      <c r="A70" s="12">
        <v>66</v>
      </c>
      <c r="B70" s="32" t="s">
        <v>258</v>
      </c>
      <c r="C70" s="12" t="s">
        <v>8</v>
      </c>
      <c r="D70" s="12">
        <v>2</v>
      </c>
      <c r="E70" s="12">
        <v>65</v>
      </c>
      <c r="F70" s="12">
        <v>130</v>
      </c>
      <c r="G70" s="32" t="s">
        <v>2262</v>
      </c>
      <c r="I70" s="12">
        <v>66</v>
      </c>
      <c r="J70" s="32" t="s">
        <v>258</v>
      </c>
      <c r="K70" s="12" t="s">
        <v>8</v>
      </c>
      <c r="L70" s="12">
        <v>2</v>
      </c>
      <c r="M70">
        <v>65</v>
      </c>
      <c r="N70">
        <v>130</v>
      </c>
      <c r="O70" t="s">
        <v>2262</v>
      </c>
    </row>
    <row r="71" spans="1:15" x14ac:dyDescent="0.25">
      <c r="A71" s="12">
        <v>67</v>
      </c>
      <c r="B71" s="32" t="s">
        <v>598</v>
      </c>
      <c r="C71" s="12" t="s">
        <v>599</v>
      </c>
      <c r="D71" s="12">
        <v>37.400000000000006</v>
      </c>
      <c r="E71" s="12">
        <v>44.999999999999993</v>
      </c>
      <c r="F71" s="12">
        <v>1683</v>
      </c>
      <c r="G71" s="32" t="s">
        <v>2313</v>
      </c>
      <c r="I71" s="12">
        <v>67</v>
      </c>
      <c r="J71" s="32" t="s">
        <v>598</v>
      </c>
      <c r="K71" s="12" t="s">
        <v>599</v>
      </c>
      <c r="L71" s="12">
        <v>38</v>
      </c>
      <c r="M71">
        <v>44.999999999999993</v>
      </c>
      <c r="N71">
        <v>1709.9999999999998</v>
      </c>
      <c r="O71" t="s">
        <v>2313</v>
      </c>
    </row>
    <row r="72" spans="1:15" x14ac:dyDescent="0.25">
      <c r="A72" s="12">
        <v>68</v>
      </c>
      <c r="B72" s="32" t="s">
        <v>259</v>
      </c>
      <c r="C72" s="12" t="s">
        <v>260</v>
      </c>
      <c r="D72" s="12">
        <v>1</v>
      </c>
      <c r="E72" s="12">
        <v>15</v>
      </c>
      <c r="F72" s="12">
        <v>15</v>
      </c>
      <c r="G72" s="32" t="s">
        <v>2263</v>
      </c>
      <c r="I72" s="12">
        <v>68</v>
      </c>
      <c r="J72" s="32" t="s">
        <v>259</v>
      </c>
      <c r="K72" s="12" t="s">
        <v>260</v>
      </c>
      <c r="L72" s="12">
        <v>1</v>
      </c>
      <c r="M72">
        <v>15</v>
      </c>
      <c r="N72">
        <v>15</v>
      </c>
      <c r="O72" t="s">
        <v>2263</v>
      </c>
    </row>
    <row r="73" spans="1:15" x14ac:dyDescent="0.25">
      <c r="A73" s="12">
        <v>69</v>
      </c>
      <c r="B73" s="32" t="s">
        <v>1806</v>
      </c>
      <c r="C73" s="12" t="s">
        <v>8</v>
      </c>
      <c r="D73" s="12">
        <v>4.2</v>
      </c>
      <c r="E73" s="12">
        <v>5.5</v>
      </c>
      <c r="F73" s="12">
        <v>23.1</v>
      </c>
      <c r="G73" s="32" t="s">
        <v>2314</v>
      </c>
      <c r="I73" s="12">
        <v>69</v>
      </c>
      <c r="J73" s="32" t="s">
        <v>1806</v>
      </c>
      <c r="K73" s="12" t="s">
        <v>8</v>
      </c>
      <c r="L73" s="12">
        <v>5</v>
      </c>
      <c r="M73">
        <v>5.5</v>
      </c>
      <c r="N73">
        <v>27.5</v>
      </c>
      <c r="O73" t="s">
        <v>2314</v>
      </c>
    </row>
    <row r="74" spans="1:15" x14ac:dyDescent="0.25">
      <c r="A74" s="12">
        <v>70</v>
      </c>
      <c r="B74" s="32" t="s">
        <v>1294</v>
      </c>
      <c r="C74" s="12" t="s">
        <v>599</v>
      </c>
      <c r="D74" s="12">
        <v>5.25</v>
      </c>
      <c r="E74" s="12">
        <v>13</v>
      </c>
      <c r="F74" s="12">
        <v>68.25</v>
      </c>
      <c r="G74" s="32" t="s">
        <v>2315</v>
      </c>
      <c r="I74" s="12">
        <v>70</v>
      </c>
      <c r="J74" s="32" t="s">
        <v>1294</v>
      </c>
      <c r="K74" s="12" t="s">
        <v>599</v>
      </c>
      <c r="L74" s="12">
        <v>6</v>
      </c>
      <c r="M74">
        <v>13</v>
      </c>
      <c r="N74">
        <v>78</v>
      </c>
      <c r="O74" t="s">
        <v>2315</v>
      </c>
    </row>
    <row r="75" spans="1:15" x14ac:dyDescent="0.25">
      <c r="A75" s="12">
        <v>71</v>
      </c>
      <c r="B75" s="32" t="s">
        <v>1676</v>
      </c>
      <c r="C75" s="12" t="s">
        <v>34</v>
      </c>
      <c r="D75" s="12">
        <v>15</v>
      </c>
      <c r="E75" s="12">
        <v>0.35</v>
      </c>
      <c r="F75" s="12">
        <v>5.25</v>
      </c>
      <c r="G75" s="32" t="s">
        <v>2264</v>
      </c>
      <c r="I75" s="12">
        <v>71</v>
      </c>
      <c r="J75" s="32" t="s">
        <v>1676</v>
      </c>
      <c r="K75" s="12" t="s">
        <v>34</v>
      </c>
      <c r="L75" s="12">
        <v>15</v>
      </c>
      <c r="M75">
        <v>0.35</v>
      </c>
      <c r="N75">
        <v>5.25</v>
      </c>
      <c r="O75" t="s">
        <v>2264</v>
      </c>
    </row>
    <row r="76" spans="1:15" x14ac:dyDescent="0.25">
      <c r="A76" s="12">
        <v>72</v>
      </c>
      <c r="B76" s="32" t="s">
        <v>1669</v>
      </c>
      <c r="C76" s="12" t="s">
        <v>656</v>
      </c>
      <c r="D76" s="12">
        <v>15</v>
      </c>
      <c r="E76" s="12">
        <v>6.8</v>
      </c>
      <c r="F76" s="12">
        <v>102</v>
      </c>
      <c r="G76" s="32" t="s">
        <v>2265</v>
      </c>
      <c r="I76" s="12">
        <v>72</v>
      </c>
      <c r="J76" s="32" t="s">
        <v>1669</v>
      </c>
      <c r="K76" s="12" t="s">
        <v>656</v>
      </c>
      <c r="L76" s="12">
        <v>15</v>
      </c>
      <c r="M76">
        <v>6.8</v>
      </c>
      <c r="N76">
        <v>102</v>
      </c>
      <c r="O76" t="s">
        <v>2265</v>
      </c>
    </row>
    <row r="77" spans="1:15" x14ac:dyDescent="0.25">
      <c r="A77" s="12">
        <v>73</v>
      </c>
      <c r="B77" s="32" t="s">
        <v>1671</v>
      </c>
      <c r="C77" s="12" t="s">
        <v>656</v>
      </c>
      <c r="D77" s="12">
        <v>12</v>
      </c>
      <c r="E77" s="12">
        <v>10.199999999999999</v>
      </c>
      <c r="F77" s="12">
        <v>122.39999999999999</v>
      </c>
      <c r="G77" s="32" t="s">
        <v>2266</v>
      </c>
      <c r="I77" s="12">
        <v>73</v>
      </c>
      <c r="J77" s="32" t="s">
        <v>1671</v>
      </c>
      <c r="K77" s="12" t="s">
        <v>656</v>
      </c>
      <c r="L77" s="12">
        <v>12</v>
      </c>
      <c r="M77">
        <v>10.199999999999999</v>
      </c>
      <c r="N77">
        <v>122.39999999999999</v>
      </c>
      <c r="O77" t="s">
        <v>2266</v>
      </c>
    </row>
    <row r="78" spans="1:15" x14ac:dyDescent="0.25">
      <c r="A78" s="12">
        <v>74</v>
      </c>
      <c r="B78" s="32" t="s">
        <v>1673</v>
      </c>
      <c r="C78" s="12" t="s">
        <v>892</v>
      </c>
      <c r="D78" s="12">
        <v>2</v>
      </c>
      <c r="E78" s="12">
        <v>1.36</v>
      </c>
      <c r="F78" s="12">
        <v>2.72</v>
      </c>
      <c r="G78" s="32" t="s">
        <v>2267</v>
      </c>
      <c r="I78" s="12">
        <v>74</v>
      </c>
      <c r="J78" s="32" t="s">
        <v>1673</v>
      </c>
      <c r="K78" s="12" t="s">
        <v>892</v>
      </c>
      <c r="L78" s="12">
        <v>2</v>
      </c>
      <c r="M78">
        <v>1.36</v>
      </c>
      <c r="N78">
        <v>2.72</v>
      </c>
      <c r="O78" t="s">
        <v>2267</v>
      </c>
    </row>
    <row r="79" spans="1:15" x14ac:dyDescent="0.25">
      <c r="A79" s="12">
        <v>75</v>
      </c>
      <c r="B79" s="32" t="s">
        <v>890</v>
      </c>
      <c r="C79" s="12" t="s">
        <v>8</v>
      </c>
      <c r="D79" s="12">
        <v>2.1</v>
      </c>
      <c r="E79" s="12">
        <v>9.5</v>
      </c>
      <c r="F79" s="12">
        <v>19.95</v>
      </c>
      <c r="G79" s="32" t="s">
        <v>2316</v>
      </c>
      <c r="I79" s="12">
        <v>75</v>
      </c>
      <c r="J79" s="32" t="s">
        <v>890</v>
      </c>
      <c r="K79" s="12" t="s">
        <v>8</v>
      </c>
      <c r="L79" s="12">
        <v>3</v>
      </c>
      <c r="M79">
        <v>9.5</v>
      </c>
      <c r="N79">
        <v>28.5</v>
      </c>
      <c r="O79" t="s">
        <v>2316</v>
      </c>
    </row>
    <row r="80" spans="1:15" x14ac:dyDescent="0.25">
      <c r="A80" s="12">
        <v>76</v>
      </c>
      <c r="B80" s="32" t="s">
        <v>887</v>
      </c>
      <c r="C80" s="12" t="s">
        <v>8</v>
      </c>
      <c r="D80" s="12">
        <v>6.3000000000000007</v>
      </c>
      <c r="E80" s="12">
        <v>4.3</v>
      </c>
      <c r="F80" s="12">
        <v>27.090000000000003</v>
      </c>
      <c r="G80" s="32" t="s">
        <v>2317</v>
      </c>
      <c r="I80" s="12">
        <v>76</v>
      </c>
      <c r="J80" s="32" t="s">
        <v>887</v>
      </c>
      <c r="K80" s="12" t="s">
        <v>8</v>
      </c>
      <c r="L80" s="12">
        <v>7</v>
      </c>
      <c r="M80">
        <v>4.3</v>
      </c>
      <c r="N80">
        <v>30.099999999999998</v>
      </c>
      <c r="O80" t="s">
        <v>2317</v>
      </c>
    </row>
    <row r="81" spans="1:15" x14ac:dyDescent="0.25">
      <c r="A81" s="12">
        <v>77</v>
      </c>
      <c r="B81" s="32" t="s">
        <v>1933</v>
      </c>
      <c r="C81" s="12" t="s">
        <v>8</v>
      </c>
      <c r="D81" s="12">
        <v>5.25</v>
      </c>
      <c r="E81" s="12">
        <v>3</v>
      </c>
      <c r="F81" s="12">
        <v>15.75</v>
      </c>
      <c r="G81" s="32" t="s">
        <v>2318</v>
      </c>
      <c r="I81" s="12">
        <v>77</v>
      </c>
      <c r="J81" s="32" t="s">
        <v>1933</v>
      </c>
      <c r="K81" s="12" t="s">
        <v>8</v>
      </c>
      <c r="L81" s="12">
        <v>6</v>
      </c>
      <c r="M81">
        <v>3</v>
      </c>
      <c r="N81">
        <v>18</v>
      </c>
      <c r="O81" t="s">
        <v>2318</v>
      </c>
    </row>
    <row r="82" spans="1:15" x14ac:dyDescent="0.25">
      <c r="A82" s="12">
        <v>78</v>
      </c>
      <c r="B82" s="32" t="s">
        <v>881</v>
      </c>
      <c r="C82" s="12" t="s">
        <v>656</v>
      </c>
      <c r="D82" s="12">
        <v>4.2</v>
      </c>
      <c r="E82" s="12">
        <v>12.6</v>
      </c>
      <c r="F82" s="12">
        <v>52.92</v>
      </c>
      <c r="G82" s="32" t="s">
        <v>2319</v>
      </c>
      <c r="I82" s="12">
        <v>78</v>
      </c>
      <c r="J82" s="32" t="s">
        <v>881</v>
      </c>
      <c r="K82" s="12" t="s">
        <v>656</v>
      </c>
      <c r="L82" s="12">
        <v>5</v>
      </c>
      <c r="M82">
        <v>12.6</v>
      </c>
      <c r="N82">
        <v>63</v>
      </c>
      <c r="O82" t="s">
        <v>2319</v>
      </c>
    </row>
    <row r="83" spans="1:15" x14ac:dyDescent="0.25">
      <c r="A83" s="12">
        <v>79</v>
      </c>
      <c r="B83" s="32" t="s">
        <v>894</v>
      </c>
      <c r="C83" s="12" t="s">
        <v>8</v>
      </c>
      <c r="D83" s="12">
        <v>1</v>
      </c>
      <c r="E83" s="12">
        <v>1</v>
      </c>
      <c r="F83" s="12">
        <v>1</v>
      </c>
      <c r="G83" s="32" t="s">
        <v>2226</v>
      </c>
      <c r="I83" s="12">
        <v>79</v>
      </c>
      <c r="J83" s="32" t="s">
        <v>894</v>
      </c>
      <c r="K83" s="12" t="s">
        <v>8</v>
      </c>
      <c r="L83" s="12">
        <v>1</v>
      </c>
      <c r="M83">
        <v>1</v>
      </c>
      <c r="N83">
        <v>1</v>
      </c>
      <c r="O83" t="s">
        <v>2226</v>
      </c>
    </row>
    <row r="84" spans="1:15" x14ac:dyDescent="0.25">
      <c r="A84" s="12">
        <v>80</v>
      </c>
      <c r="B84" s="32" t="s">
        <v>1562</v>
      </c>
      <c r="C84" s="12" t="s">
        <v>1563</v>
      </c>
      <c r="D84" s="12">
        <v>12</v>
      </c>
      <c r="E84" s="12">
        <v>1</v>
      </c>
      <c r="F84" s="12">
        <v>12</v>
      </c>
      <c r="G84" s="32" t="s">
        <v>2268</v>
      </c>
      <c r="I84" s="12">
        <v>80</v>
      </c>
      <c r="J84" s="32" t="s">
        <v>1562</v>
      </c>
      <c r="K84" s="12" t="s">
        <v>1563</v>
      </c>
      <c r="L84" s="12">
        <v>12</v>
      </c>
      <c r="M84">
        <v>1</v>
      </c>
      <c r="N84">
        <v>12</v>
      </c>
      <c r="O84" t="s">
        <v>2268</v>
      </c>
    </row>
    <row r="85" spans="1:15" x14ac:dyDescent="0.25">
      <c r="A85" s="12">
        <v>81</v>
      </c>
      <c r="B85" s="32" t="s">
        <v>1219</v>
      </c>
      <c r="C85" s="12" t="s">
        <v>8</v>
      </c>
      <c r="D85" s="12">
        <v>1</v>
      </c>
      <c r="E85" s="12">
        <v>150</v>
      </c>
      <c r="F85" s="12">
        <v>150</v>
      </c>
      <c r="G85" s="32" t="s">
        <v>2269</v>
      </c>
      <c r="I85" s="12">
        <v>81</v>
      </c>
      <c r="J85" s="32" t="s">
        <v>1219</v>
      </c>
      <c r="K85" s="12" t="s">
        <v>8</v>
      </c>
      <c r="L85" s="12">
        <v>1</v>
      </c>
      <c r="M85">
        <v>150</v>
      </c>
      <c r="N85">
        <v>150</v>
      </c>
      <c r="O85" t="s">
        <v>2269</v>
      </c>
    </row>
    <row r="86" spans="1:15" x14ac:dyDescent="0.25">
      <c r="A86" s="12">
        <v>82</v>
      </c>
      <c r="B86" s="32" t="s">
        <v>489</v>
      </c>
      <c r="C86" s="12" t="s">
        <v>490</v>
      </c>
      <c r="D86" s="12">
        <v>6.7700000000000005</v>
      </c>
      <c r="E86" s="12">
        <v>329.99999999999994</v>
      </c>
      <c r="F86" s="12">
        <v>2234.1</v>
      </c>
      <c r="G86" s="32" t="s">
        <v>2320</v>
      </c>
      <c r="I86" s="12">
        <v>82</v>
      </c>
      <c r="J86" s="32" t="s">
        <v>489</v>
      </c>
      <c r="K86" s="12" t="s">
        <v>490</v>
      </c>
      <c r="L86" s="12">
        <v>7</v>
      </c>
      <c r="M86">
        <v>329.99999999999994</v>
      </c>
      <c r="N86">
        <v>2309.9999999999995</v>
      </c>
      <c r="O86" t="s">
        <v>2320</v>
      </c>
    </row>
    <row r="87" spans="1:15" x14ac:dyDescent="0.25">
      <c r="A87" s="12">
        <v>83</v>
      </c>
      <c r="B87" s="32" t="s">
        <v>650</v>
      </c>
      <c r="C87" s="12" t="s">
        <v>490</v>
      </c>
      <c r="D87" s="12">
        <v>6.05</v>
      </c>
      <c r="E87" s="12">
        <v>340</v>
      </c>
      <c r="F87" s="12">
        <v>2057</v>
      </c>
      <c r="G87" s="32" t="s">
        <v>2321</v>
      </c>
      <c r="I87" s="12">
        <v>83</v>
      </c>
      <c r="J87" s="32" t="s">
        <v>650</v>
      </c>
      <c r="K87" s="12" t="s">
        <v>490</v>
      </c>
      <c r="L87" s="12">
        <v>7</v>
      </c>
      <c r="M87">
        <v>340</v>
      </c>
      <c r="N87">
        <v>2380</v>
      </c>
      <c r="O87" t="s">
        <v>2321</v>
      </c>
    </row>
    <row r="88" spans="1:15" x14ac:dyDescent="0.25">
      <c r="A88" s="12">
        <v>84</v>
      </c>
      <c r="B88" s="32" t="s">
        <v>1224</v>
      </c>
      <c r="C88" s="12" t="s">
        <v>8</v>
      </c>
      <c r="D88" s="12">
        <v>6.6000000000000005</v>
      </c>
      <c r="E88" s="12">
        <v>0.3</v>
      </c>
      <c r="F88" s="12">
        <v>1.98</v>
      </c>
      <c r="G88" s="32" t="s">
        <v>2322</v>
      </c>
      <c r="I88" s="12">
        <v>84</v>
      </c>
      <c r="J88" s="32" t="s">
        <v>1224</v>
      </c>
      <c r="K88" s="12" t="s">
        <v>8</v>
      </c>
      <c r="L88" s="12">
        <v>7</v>
      </c>
      <c r="M88">
        <v>0.3</v>
      </c>
      <c r="N88">
        <v>2.1</v>
      </c>
      <c r="O88" t="s">
        <v>2322</v>
      </c>
    </row>
    <row r="89" spans="1:15" x14ac:dyDescent="0.25">
      <c r="A89" s="12">
        <v>85</v>
      </c>
      <c r="B89" s="32" t="s">
        <v>1225</v>
      </c>
      <c r="C89" s="12" t="s">
        <v>8</v>
      </c>
      <c r="D89" s="12">
        <v>6.6000000000000005</v>
      </c>
      <c r="E89" s="12">
        <v>0.3</v>
      </c>
      <c r="F89" s="12">
        <v>1.98</v>
      </c>
      <c r="G89" s="32" t="s">
        <v>2323</v>
      </c>
      <c r="I89" s="12">
        <v>85</v>
      </c>
      <c r="J89" s="32" t="s">
        <v>1225</v>
      </c>
      <c r="K89" s="12" t="s">
        <v>8</v>
      </c>
      <c r="L89" s="12">
        <v>7</v>
      </c>
      <c r="M89">
        <v>0.3</v>
      </c>
      <c r="N89">
        <v>2.1</v>
      </c>
      <c r="O89" t="s">
        <v>2323</v>
      </c>
    </row>
    <row r="90" spans="1:15" x14ac:dyDescent="0.25">
      <c r="A90" s="12">
        <v>86</v>
      </c>
      <c r="B90" s="32" t="s">
        <v>1226</v>
      </c>
      <c r="C90" s="12" t="s">
        <v>8</v>
      </c>
      <c r="D90" s="12">
        <v>6.6000000000000005</v>
      </c>
      <c r="E90" s="12">
        <v>0.3</v>
      </c>
      <c r="F90" s="12">
        <v>1.98</v>
      </c>
      <c r="G90" s="32" t="s">
        <v>2324</v>
      </c>
      <c r="I90" s="12">
        <v>86</v>
      </c>
      <c r="J90" s="32" t="s">
        <v>1226</v>
      </c>
      <c r="K90" s="12" t="s">
        <v>8</v>
      </c>
      <c r="L90" s="12">
        <v>7</v>
      </c>
      <c r="M90">
        <v>0.3</v>
      </c>
      <c r="N90">
        <v>2.1</v>
      </c>
      <c r="O90" t="s">
        <v>2324</v>
      </c>
    </row>
    <row r="91" spans="1:15" x14ac:dyDescent="0.25">
      <c r="A91" s="12">
        <v>87</v>
      </c>
      <c r="B91" s="32" t="s">
        <v>35</v>
      </c>
      <c r="C91" s="12" t="s">
        <v>10</v>
      </c>
      <c r="D91" s="12">
        <v>60</v>
      </c>
      <c r="E91" s="12">
        <v>45</v>
      </c>
      <c r="F91" s="12">
        <v>2700</v>
      </c>
      <c r="G91" s="32" t="s">
        <v>2286</v>
      </c>
      <c r="I91" s="12">
        <v>87</v>
      </c>
      <c r="J91" s="32" t="s">
        <v>35</v>
      </c>
      <c r="K91" s="12" t="s">
        <v>10</v>
      </c>
      <c r="L91" s="12">
        <v>60</v>
      </c>
      <c r="M91">
        <v>45</v>
      </c>
      <c r="N91">
        <v>2700</v>
      </c>
      <c r="O91" t="s">
        <v>2286</v>
      </c>
    </row>
    <row r="92" spans="1:15" x14ac:dyDescent="0.25">
      <c r="A92" s="12">
        <v>88</v>
      </c>
      <c r="B92" s="32" t="s">
        <v>1678</v>
      </c>
      <c r="C92" s="12" t="s">
        <v>34</v>
      </c>
      <c r="D92" s="12">
        <v>10</v>
      </c>
      <c r="E92" s="12">
        <v>8.5</v>
      </c>
      <c r="F92" s="12">
        <v>85</v>
      </c>
      <c r="G92" s="32" t="s">
        <v>2270</v>
      </c>
      <c r="I92" s="12">
        <v>88</v>
      </c>
      <c r="J92" s="32" t="s">
        <v>1678</v>
      </c>
      <c r="K92" s="12" t="s">
        <v>34</v>
      </c>
      <c r="L92" s="12">
        <v>10</v>
      </c>
      <c r="M92">
        <v>8.5</v>
      </c>
      <c r="N92">
        <v>85</v>
      </c>
      <c r="O92" t="s">
        <v>2270</v>
      </c>
    </row>
    <row r="93" spans="1:15" x14ac:dyDescent="0.25">
      <c r="A93" s="12">
        <v>89</v>
      </c>
      <c r="B93" s="32" t="s">
        <v>1680</v>
      </c>
      <c r="C93" s="12" t="s">
        <v>34</v>
      </c>
      <c r="D93" s="12">
        <v>5</v>
      </c>
      <c r="E93" s="12">
        <v>5.9</v>
      </c>
      <c r="F93" s="12">
        <v>29.5</v>
      </c>
      <c r="G93" s="32" t="s">
        <v>2271</v>
      </c>
      <c r="I93" s="12">
        <v>89</v>
      </c>
      <c r="J93" s="32" t="s">
        <v>1680</v>
      </c>
      <c r="K93" s="12" t="s">
        <v>34</v>
      </c>
      <c r="L93" s="12">
        <v>5</v>
      </c>
      <c r="M93">
        <v>5.9</v>
      </c>
      <c r="N93">
        <v>29.5</v>
      </c>
      <c r="O93" t="s">
        <v>2271</v>
      </c>
    </row>
    <row r="94" spans="1:15" x14ac:dyDescent="0.25">
      <c r="A94" s="12">
        <v>90</v>
      </c>
      <c r="B94" s="32" t="s">
        <v>647</v>
      </c>
      <c r="C94" s="12" t="s">
        <v>648</v>
      </c>
      <c r="D94" s="12">
        <v>5</v>
      </c>
      <c r="E94" s="12">
        <v>130</v>
      </c>
      <c r="F94" s="12">
        <v>650</v>
      </c>
      <c r="G94" s="32" t="s">
        <v>2272</v>
      </c>
      <c r="I94" s="12">
        <v>90</v>
      </c>
      <c r="J94" s="32" t="s">
        <v>647</v>
      </c>
      <c r="K94" s="12" t="s">
        <v>648</v>
      </c>
      <c r="L94" s="12">
        <v>5</v>
      </c>
      <c r="M94">
        <v>130</v>
      </c>
      <c r="N94">
        <v>650</v>
      </c>
      <c r="O94" t="s">
        <v>2272</v>
      </c>
    </row>
    <row r="95" spans="1:15" x14ac:dyDescent="0.25">
      <c r="A95" s="12">
        <v>91</v>
      </c>
      <c r="B95" s="32" t="s">
        <v>1289</v>
      </c>
      <c r="C95" s="12" t="s">
        <v>9</v>
      </c>
      <c r="D95" s="12">
        <v>4.2</v>
      </c>
      <c r="E95" s="12">
        <v>17.5</v>
      </c>
      <c r="F95" s="12">
        <v>73.5</v>
      </c>
      <c r="G95" s="32" t="s">
        <v>2325</v>
      </c>
      <c r="I95" s="12">
        <v>91</v>
      </c>
      <c r="J95" s="32" t="s">
        <v>1289</v>
      </c>
      <c r="K95" s="12" t="s">
        <v>9</v>
      </c>
      <c r="L95" s="12">
        <v>5</v>
      </c>
      <c r="M95">
        <v>17.5</v>
      </c>
      <c r="N95">
        <v>87.5</v>
      </c>
      <c r="O95" t="s">
        <v>2325</v>
      </c>
    </row>
    <row r="96" spans="1:15" x14ac:dyDescent="0.25">
      <c r="A96" s="12">
        <v>92</v>
      </c>
      <c r="B96" s="32" t="s">
        <v>1290</v>
      </c>
      <c r="C96" s="12" t="s">
        <v>9</v>
      </c>
      <c r="D96" s="12">
        <v>4.2</v>
      </c>
      <c r="E96" s="12">
        <v>17.5</v>
      </c>
      <c r="F96" s="12">
        <v>73.5</v>
      </c>
      <c r="G96" s="32" t="s">
        <v>2326</v>
      </c>
      <c r="I96" s="12">
        <v>92</v>
      </c>
      <c r="J96" s="32" t="s">
        <v>1290</v>
      </c>
      <c r="K96" s="12" t="s">
        <v>9</v>
      </c>
      <c r="L96" s="12">
        <v>5</v>
      </c>
      <c r="M96">
        <v>17.5</v>
      </c>
      <c r="N96">
        <v>87.5</v>
      </c>
      <c r="O96" t="s">
        <v>2326</v>
      </c>
    </row>
    <row r="97" spans="1:15" x14ac:dyDescent="0.25">
      <c r="A97" s="12">
        <v>93</v>
      </c>
      <c r="B97" s="32" t="s">
        <v>1550</v>
      </c>
      <c r="C97" s="12" t="s">
        <v>10</v>
      </c>
      <c r="D97" s="12">
        <v>5</v>
      </c>
      <c r="E97" s="12">
        <v>105</v>
      </c>
      <c r="F97" s="12">
        <v>525</v>
      </c>
      <c r="G97" s="32" t="s">
        <v>2273</v>
      </c>
      <c r="I97" s="12">
        <v>93</v>
      </c>
      <c r="J97" s="32" t="s">
        <v>1550</v>
      </c>
      <c r="K97" s="12" t="s">
        <v>10</v>
      </c>
      <c r="L97" s="12">
        <v>5</v>
      </c>
      <c r="M97">
        <v>105</v>
      </c>
      <c r="N97">
        <v>525</v>
      </c>
      <c r="O97" t="s">
        <v>2273</v>
      </c>
    </row>
    <row r="98" spans="1:15" x14ac:dyDescent="0.25">
      <c r="A98" s="12">
        <v>94</v>
      </c>
      <c r="B98" s="32" t="s">
        <v>2204</v>
      </c>
      <c r="C98" s="12" t="s">
        <v>648</v>
      </c>
      <c r="D98" s="12">
        <v>1.1000000000000001</v>
      </c>
      <c r="E98" s="12">
        <v>160</v>
      </c>
      <c r="F98" s="12">
        <v>176</v>
      </c>
      <c r="G98" s="32" t="s">
        <v>2327</v>
      </c>
      <c r="I98" s="12">
        <v>94</v>
      </c>
      <c r="J98" s="32" t="s">
        <v>2204</v>
      </c>
      <c r="K98" s="12" t="s">
        <v>648</v>
      </c>
      <c r="L98" s="12">
        <v>2</v>
      </c>
      <c r="M98">
        <v>160</v>
      </c>
      <c r="N98">
        <v>320</v>
      </c>
      <c r="O98" t="s">
        <v>2327</v>
      </c>
    </row>
    <row r="99" spans="1:15" x14ac:dyDescent="0.25">
      <c r="A99" s="12">
        <v>95</v>
      </c>
      <c r="B99" s="32" t="s">
        <v>1694</v>
      </c>
      <c r="C99" s="12" t="s">
        <v>656</v>
      </c>
      <c r="D99" s="12">
        <v>1</v>
      </c>
      <c r="E99" s="12">
        <v>48</v>
      </c>
      <c r="F99" s="12">
        <v>48</v>
      </c>
      <c r="G99" s="32" t="s">
        <v>2274</v>
      </c>
      <c r="I99" s="12">
        <v>95</v>
      </c>
      <c r="J99" s="32" t="s">
        <v>1694</v>
      </c>
      <c r="K99" s="12" t="s">
        <v>656</v>
      </c>
      <c r="L99" s="12">
        <v>1</v>
      </c>
      <c r="M99">
        <v>48</v>
      </c>
      <c r="N99">
        <v>48</v>
      </c>
      <c r="O99" t="s">
        <v>2274</v>
      </c>
    </row>
    <row r="100" spans="1:15" x14ac:dyDescent="0.25">
      <c r="A100" s="12">
        <v>96</v>
      </c>
      <c r="B100" s="32" t="s">
        <v>262</v>
      </c>
      <c r="C100" s="12" t="s">
        <v>8</v>
      </c>
      <c r="D100" s="12">
        <v>1</v>
      </c>
      <c r="E100" s="12">
        <v>4</v>
      </c>
      <c r="F100" s="12">
        <v>4</v>
      </c>
      <c r="G100" s="32" t="s">
        <v>2275</v>
      </c>
      <c r="I100" s="12">
        <v>96</v>
      </c>
      <c r="J100" s="32" t="s">
        <v>262</v>
      </c>
      <c r="K100" s="12" t="s">
        <v>8</v>
      </c>
      <c r="L100" s="12">
        <v>1</v>
      </c>
      <c r="M100">
        <v>4</v>
      </c>
      <c r="N100">
        <v>4</v>
      </c>
      <c r="O100" t="s">
        <v>2275</v>
      </c>
    </row>
    <row r="101" spans="1:15" x14ac:dyDescent="0.25">
      <c r="A101" s="12">
        <v>97</v>
      </c>
      <c r="B101" s="32" t="s">
        <v>940</v>
      </c>
      <c r="C101" s="12" t="s">
        <v>941</v>
      </c>
      <c r="D101" s="12">
        <v>1005.9000000000001</v>
      </c>
      <c r="E101" s="12">
        <v>5.5</v>
      </c>
      <c r="F101" s="12">
        <v>5532.4500000000007</v>
      </c>
      <c r="G101" s="32" t="s">
        <v>2328</v>
      </c>
      <c r="I101" s="12">
        <v>97</v>
      </c>
      <c r="J101" s="32" t="s">
        <v>940</v>
      </c>
      <c r="K101" s="12" t="s">
        <v>941</v>
      </c>
      <c r="L101" s="12">
        <v>1006</v>
      </c>
      <c r="M101">
        <v>5.5</v>
      </c>
      <c r="N101">
        <v>5533</v>
      </c>
      <c r="O101" t="s">
        <v>2328</v>
      </c>
    </row>
    <row r="102" spans="1:15" x14ac:dyDescent="0.25">
      <c r="A102" s="12">
        <v>98</v>
      </c>
      <c r="B102" s="32" t="s">
        <v>1554</v>
      </c>
      <c r="C102" s="12" t="s">
        <v>8</v>
      </c>
      <c r="D102" s="12">
        <v>273</v>
      </c>
      <c r="E102" s="12">
        <v>4.5</v>
      </c>
      <c r="F102" s="12">
        <v>1228.5</v>
      </c>
      <c r="G102" s="32" t="s">
        <v>2276</v>
      </c>
      <c r="I102" s="12">
        <v>98</v>
      </c>
      <c r="J102" s="32" t="s">
        <v>1554</v>
      </c>
      <c r="K102" s="12" t="s">
        <v>8</v>
      </c>
      <c r="L102" s="12">
        <v>273</v>
      </c>
      <c r="M102">
        <v>4.5</v>
      </c>
      <c r="N102">
        <v>1228.5</v>
      </c>
      <c r="O102" t="s">
        <v>2276</v>
      </c>
    </row>
    <row r="103" spans="1:15" x14ac:dyDescent="0.25">
      <c r="A103" s="12">
        <v>99</v>
      </c>
      <c r="B103" s="32" t="s">
        <v>7</v>
      </c>
      <c r="C103" s="12" t="s">
        <v>8</v>
      </c>
      <c r="D103" s="12">
        <v>166</v>
      </c>
      <c r="E103" s="12">
        <v>6.5</v>
      </c>
      <c r="F103" s="12">
        <v>1079</v>
      </c>
      <c r="G103" s="32" t="s">
        <v>2277</v>
      </c>
      <c r="I103" s="12">
        <v>99</v>
      </c>
      <c r="J103" s="32" t="s">
        <v>7</v>
      </c>
      <c r="K103" s="12" t="s">
        <v>8</v>
      </c>
      <c r="L103" s="12">
        <v>166</v>
      </c>
      <c r="M103">
        <v>6.5</v>
      </c>
      <c r="N103">
        <v>1079</v>
      </c>
      <c r="O103" t="s">
        <v>2277</v>
      </c>
    </row>
    <row r="104" spans="1:15" x14ac:dyDescent="0.25">
      <c r="A104" s="12">
        <v>100</v>
      </c>
      <c r="B104" s="32" t="s">
        <v>1552</v>
      </c>
      <c r="C104" s="12" t="s">
        <v>8</v>
      </c>
      <c r="D104" s="12">
        <v>84</v>
      </c>
      <c r="E104" s="12">
        <v>15</v>
      </c>
      <c r="F104" s="12">
        <v>1260</v>
      </c>
      <c r="G104" s="32" t="s">
        <v>2278</v>
      </c>
      <c r="I104" s="12">
        <v>100</v>
      </c>
      <c r="J104" s="32" t="s">
        <v>1552</v>
      </c>
      <c r="K104" s="12" t="s">
        <v>8</v>
      </c>
      <c r="L104" s="12">
        <v>84</v>
      </c>
      <c r="M104">
        <v>15</v>
      </c>
      <c r="N104">
        <v>1260</v>
      </c>
      <c r="O104" t="s">
        <v>2278</v>
      </c>
    </row>
    <row r="105" spans="1:15" x14ac:dyDescent="0.25">
      <c r="A105" s="12">
        <v>101</v>
      </c>
      <c r="B105" s="32" t="s">
        <v>42</v>
      </c>
      <c r="C105" s="12" t="s">
        <v>9</v>
      </c>
      <c r="D105" s="12">
        <v>29</v>
      </c>
      <c r="E105" s="12">
        <v>25</v>
      </c>
      <c r="F105" s="12">
        <v>725</v>
      </c>
      <c r="G105" s="32" t="s">
        <v>2279</v>
      </c>
      <c r="I105" s="12">
        <v>101</v>
      </c>
      <c r="J105" s="32" t="s">
        <v>42</v>
      </c>
      <c r="K105" s="12" t="s">
        <v>9</v>
      </c>
      <c r="L105" s="12">
        <v>29</v>
      </c>
      <c r="M105">
        <v>25</v>
      </c>
      <c r="N105">
        <v>725</v>
      </c>
      <c r="O105" t="s">
        <v>2279</v>
      </c>
    </row>
    <row r="106" spans="1:15" x14ac:dyDescent="0.25">
      <c r="A106" s="12">
        <v>102</v>
      </c>
      <c r="B106" s="32" t="s">
        <v>1811</v>
      </c>
      <c r="C106" s="12" t="s">
        <v>47</v>
      </c>
      <c r="D106" s="12">
        <v>1</v>
      </c>
      <c r="E106" s="12">
        <v>35</v>
      </c>
      <c r="F106" s="12">
        <v>35</v>
      </c>
      <c r="G106" s="32" t="s">
        <v>2280</v>
      </c>
      <c r="I106" s="12">
        <v>102</v>
      </c>
      <c r="J106" s="32" t="s">
        <v>1811</v>
      </c>
      <c r="K106" s="12" t="s">
        <v>47</v>
      </c>
      <c r="L106" s="12">
        <v>1</v>
      </c>
      <c r="M106">
        <v>35</v>
      </c>
      <c r="N106">
        <v>35</v>
      </c>
      <c r="O106" t="s">
        <v>2280</v>
      </c>
    </row>
    <row r="107" spans="1:15" x14ac:dyDescent="0.25">
      <c r="A107" s="12">
        <v>103</v>
      </c>
      <c r="B107" s="32" t="s">
        <v>886</v>
      </c>
      <c r="C107" s="12" t="s">
        <v>8</v>
      </c>
      <c r="D107" s="12">
        <v>3.1500000000000004</v>
      </c>
      <c r="E107" s="12">
        <v>49</v>
      </c>
      <c r="F107" s="12">
        <v>154.35000000000002</v>
      </c>
      <c r="G107" s="32" t="s">
        <v>2329</v>
      </c>
      <c r="I107" s="12">
        <v>103</v>
      </c>
      <c r="J107" s="32" t="s">
        <v>886</v>
      </c>
      <c r="K107" s="12" t="s">
        <v>8</v>
      </c>
      <c r="L107" s="12">
        <v>4</v>
      </c>
      <c r="M107">
        <v>49</v>
      </c>
      <c r="N107">
        <v>196</v>
      </c>
      <c r="O107" t="s">
        <v>2329</v>
      </c>
    </row>
    <row r="108" spans="1:15" x14ac:dyDescent="0.25">
      <c r="A108" s="12">
        <v>104</v>
      </c>
      <c r="B108" s="32" t="s">
        <v>889</v>
      </c>
      <c r="C108" s="12" t="s">
        <v>8</v>
      </c>
      <c r="D108" s="12">
        <v>2.1</v>
      </c>
      <c r="E108" s="12">
        <v>91</v>
      </c>
      <c r="F108" s="12">
        <v>191.1</v>
      </c>
      <c r="G108" s="32" t="s">
        <v>2330</v>
      </c>
      <c r="I108" s="12">
        <v>104</v>
      </c>
      <c r="J108" s="32" t="s">
        <v>889</v>
      </c>
      <c r="K108" s="12" t="s">
        <v>8</v>
      </c>
      <c r="L108" s="12">
        <v>3</v>
      </c>
      <c r="M108">
        <v>91</v>
      </c>
      <c r="N108">
        <v>273</v>
      </c>
      <c r="O108" t="s">
        <v>2330</v>
      </c>
    </row>
    <row r="109" spans="1:15" x14ac:dyDescent="0.25">
      <c r="A109" s="12">
        <v>105</v>
      </c>
      <c r="B109" s="32" t="s">
        <v>43</v>
      </c>
      <c r="C109" s="12" t="s">
        <v>9</v>
      </c>
      <c r="D109" s="12">
        <v>12</v>
      </c>
      <c r="E109" s="12">
        <v>18</v>
      </c>
      <c r="F109" s="12">
        <v>216</v>
      </c>
      <c r="G109" s="32" t="s">
        <v>2281</v>
      </c>
      <c r="I109" s="12">
        <v>105</v>
      </c>
      <c r="J109" s="32" t="s">
        <v>43</v>
      </c>
      <c r="K109" s="12" t="s">
        <v>9</v>
      </c>
      <c r="L109" s="12">
        <v>12</v>
      </c>
      <c r="M109">
        <v>18</v>
      </c>
      <c r="N109">
        <v>216</v>
      </c>
      <c r="O109" t="s">
        <v>2281</v>
      </c>
    </row>
    <row r="110" spans="1:15" x14ac:dyDescent="0.25">
      <c r="A110" s="12">
        <v>106</v>
      </c>
      <c r="B110" s="32" t="s">
        <v>1223</v>
      </c>
      <c r="C110" s="12" t="s">
        <v>32</v>
      </c>
      <c r="D110" s="12">
        <v>1.1000000000000001</v>
      </c>
      <c r="E110" s="12">
        <v>94</v>
      </c>
      <c r="F110" s="12">
        <v>103.4</v>
      </c>
      <c r="G110" s="32" t="s">
        <v>2331</v>
      </c>
      <c r="I110" s="12">
        <v>106</v>
      </c>
      <c r="J110" s="32" t="s">
        <v>1223</v>
      </c>
      <c r="K110" s="12" t="s">
        <v>32</v>
      </c>
      <c r="L110" s="12">
        <v>2</v>
      </c>
      <c r="M110">
        <v>94</v>
      </c>
      <c r="N110">
        <v>188</v>
      </c>
      <c r="O110" t="s">
        <v>2331</v>
      </c>
    </row>
    <row r="111" spans="1:15" x14ac:dyDescent="0.25">
      <c r="A111" s="12">
        <v>107</v>
      </c>
      <c r="B111" s="32" t="s">
        <v>48</v>
      </c>
      <c r="C111" s="12" t="s">
        <v>8</v>
      </c>
      <c r="D111" s="12">
        <v>1</v>
      </c>
      <c r="E111" s="12">
        <v>15</v>
      </c>
      <c r="F111" s="12">
        <v>15</v>
      </c>
      <c r="G111" s="32" t="s">
        <v>2282</v>
      </c>
      <c r="I111" s="12">
        <v>107</v>
      </c>
      <c r="J111" s="32" t="s">
        <v>48</v>
      </c>
      <c r="K111" s="12" t="s">
        <v>8</v>
      </c>
      <c r="L111" s="12">
        <v>1</v>
      </c>
      <c r="M111">
        <v>15</v>
      </c>
      <c r="N111">
        <v>15</v>
      </c>
      <c r="O111" t="s">
        <v>2282</v>
      </c>
    </row>
    <row r="112" spans="1:15" x14ac:dyDescent="0.25">
      <c r="A112" s="12">
        <v>108</v>
      </c>
      <c r="B112" s="32" t="s">
        <v>48</v>
      </c>
      <c r="C112" s="12" t="s">
        <v>47</v>
      </c>
      <c r="D112" s="12">
        <v>1</v>
      </c>
      <c r="E112" s="12">
        <v>15</v>
      </c>
      <c r="F112" s="12">
        <v>15</v>
      </c>
      <c r="G112" s="32" t="s">
        <v>2283</v>
      </c>
      <c r="I112" s="12">
        <v>108</v>
      </c>
      <c r="J112" s="32" t="s">
        <v>48</v>
      </c>
      <c r="K112" s="12" t="s">
        <v>47</v>
      </c>
      <c r="L112" s="12">
        <v>1</v>
      </c>
      <c r="M112">
        <v>15</v>
      </c>
      <c r="N112">
        <v>15</v>
      </c>
      <c r="O112" t="s">
        <v>2283</v>
      </c>
    </row>
    <row r="113" spans="1:15" x14ac:dyDescent="0.25">
      <c r="A113" s="12">
        <v>109</v>
      </c>
      <c r="B113" s="32" t="s">
        <v>1813</v>
      </c>
      <c r="C113" s="12" t="s">
        <v>47</v>
      </c>
      <c r="D113" s="12">
        <v>1</v>
      </c>
      <c r="E113" s="12">
        <v>60</v>
      </c>
      <c r="F113" s="12">
        <v>60</v>
      </c>
      <c r="G113" s="32" t="s">
        <v>2284</v>
      </c>
      <c r="I113" s="12">
        <v>109</v>
      </c>
      <c r="J113" s="32" t="s">
        <v>1813</v>
      </c>
      <c r="K113" s="12" t="s">
        <v>47</v>
      </c>
      <c r="L113" s="12">
        <v>1</v>
      </c>
      <c r="M113">
        <v>60</v>
      </c>
      <c r="N113">
        <v>60</v>
      </c>
      <c r="O113" t="s">
        <v>2284</v>
      </c>
    </row>
    <row r="114" spans="1:15" x14ac:dyDescent="0.25">
      <c r="A114" s="12">
        <v>110</v>
      </c>
      <c r="B114" s="32" t="s">
        <v>2009</v>
      </c>
      <c r="C114" s="12" t="s">
        <v>9</v>
      </c>
      <c r="D114" s="12">
        <v>100.2</v>
      </c>
      <c r="E114" s="12">
        <v>24</v>
      </c>
      <c r="F114" s="12">
        <v>2404.8000000000002</v>
      </c>
      <c r="G114" s="32" t="s">
        <v>2332</v>
      </c>
      <c r="I114" s="12">
        <v>110</v>
      </c>
      <c r="J114" s="32" t="s">
        <v>2009</v>
      </c>
      <c r="K114" s="12" t="s">
        <v>9</v>
      </c>
      <c r="L114" s="12">
        <v>101</v>
      </c>
      <c r="M114">
        <v>24</v>
      </c>
      <c r="N114">
        <v>2424</v>
      </c>
      <c r="O114" t="s">
        <v>2332</v>
      </c>
    </row>
  </sheetData>
  <sortState xmlns:xlrd2="http://schemas.microsoft.com/office/spreadsheetml/2017/richdata2" ref="A5:O114">
    <sortCondition ref="B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A21" sqref="A21:XFD21"/>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s="22">
        <f>SUMIFS(SummaryHelper!$H$2:$H$5000,SummaryHelper!$A$2:$A$5000,"MATERIALS")</f>
        <v>41385.787499999999</v>
      </c>
      <c r="R1" s="10">
        <f>SUM(R3:R300)</f>
        <v>43824.572857142848</v>
      </c>
      <c r="S1" s="23"/>
      <c r="U1" s="11"/>
      <c r="V1" s="11"/>
      <c r="W1" s="11"/>
      <c r="X1" s="11"/>
      <c r="Y1" s="11"/>
      <c r="Z1" s="11"/>
      <c r="AA1" s="11"/>
      <c r="AB1" s="22">
        <f>SUMIFS(SummaryHelper!$H$2:$H$5000,SummaryHelper!$A$2:$A$5000,"LABOUR")</f>
        <v>35595</v>
      </c>
      <c r="AC1" s="10">
        <f>SUM(AC3:AC300)</f>
        <v>35595</v>
      </c>
      <c r="AM1" s="21">
        <f>SUMIFS(SummaryHelper!$H$2:$H$5000,SummaryHelper!$A$2:$A$5000,"RENTAL / SERVICE")</f>
        <v>5600</v>
      </c>
      <c r="AN1" s="10">
        <f>SUM(AN3:AN300)</f>
        <v>5600</v>
      </c>
    </row>
    <row r="2" spans="1:40" x14ac:dyDescent="0.25">
      <c r="A2" s="12" t="s">
        <v>18</v>
      </c>
      <c r="B2" s="12" t="s">
        <v>6</v>
      </c>
      <c r="C2" s="15" t="s">
        <v>2213</v>
      </c>
      <c r="D2" s="15" t="s">
        <v>2214</v>
      </c>
      <c r="E2" s="15" t="s">
        <v>2215</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0" t="str">
        <f t="shared" si="12"/>
        <v/>
      </c>
      <c r="C20" s="9" t="str">
        <f t="shared" ca="1" si="1"/>
        <v/>
      </c>
      <c r="D20" s="9" t="str">
        <f t="shared" ca="1" si="2"/>
        <v/>
      </c>
      <c r="E20" s="9" t="str">
        <f t="shared" ca="1" si="3"/>
        <v/>
      </c>
      <c r="F20" s="9" t="str">
        <f t="shared" si="4"/>
        <v/>
      </c>
      <c r="G20" s="9">
        <f t="shared" si="5"/>
        <v>0</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v>
      </c>
      <c r="B3" s="3" t="s">
        <v>1369</v>
      </c>
      <c r="C3" s="3" t="s">
        <v>1818</v>
      </c>
      <c r="E3" t="s">
        <v>1849</v>
      </c>
      <c r="F3" t="s">
        <v>257</v>
      </c>
      <c r="G3" t="s">
        <v>258</v>
      </c>
      <c r="H3" t="s">
        <v>8</v>
      </c>
      <c r="I3">
        <v>2</v>
      </c>
      <c r="J3" s="19">
        <v>0</v>
      </c>
      <c r="K3">
        <v>65</v>
      </c>
      <c r="L3" s="8">
        <f t="shared" ref="L3:L49" si="0">IF($G3="","",$I3*(1+IF($J3="",0,$J3)))</f>
        <v>2</v>
      </c>
      <c r="M3" s="8">
        <f t="shared" ref="M3:M49" si="1">IF($G3="","",$L3)</f>
        <v>2</v>
      </c>
      <c r="N3" s="8">
        <f t="shared" ref="N3:N49" si="2">IF($G3="","",IF($K3="","",$M3*$K3))</f>
        <v>130</v>
      </c>
      <c r="P3" t="s">
        <v>1895</v>
      </c>
      <c r="Q3" t="s">
        <v>1852</v>
      </c>
      <c r="R3" t="s">
        <v>255</v>
      </c>
      <c r="S3" t="s">
        <v>33</v>
      </c>
      <c r="T3">
        <v>14</v>
      </c>
      <c r="U3" s="19">
        <v>0</v>
      </c>
      <c r="V3">
        <v>22.5</v>
      </c>
      <c r="W3" s="8">
        <f>IF($R3="","",$T3*(1+IF($U3="",0,$U3)))</f>
        <v>14</v>
      </c>
      <c r="X3" s="8">
        <f>IF($R3="","",$W3)</f>
        <v>14</v>
      </c>
      <c r="Y3" s="8">
        <f>IF($R3="","",IF($V3="","",$X3*$V3))</f>
        <v>315</v>
      </c>
      <c r="AA3" s="6" t="s">
        <v>1386</v>
      </c>
      <c r="AB3" t="s">
        <v>1387</v>
      </c>
      <c r="AC3" t="s">
        <v>497</v>
      </c>
      <c r="AD3" t="s">
        <v>498</v>
      </c>
      <c r="AE3">
        <v>1</v>
      </c>
      <c r="AF3">
        <v>0</v>
      </c>
      <c r="AG3">
        <v>650</v>
      </c>
      <c r="AH3" s="8">
        <f>IF($AC3="","",$AE3*(1+IF($AF3="",0,$AF3)))</f>
        <v>1</v>
      </c>
      <c r="AI3" s="8">
        <f>IF($AC3="","",$AH3)</f>
        <v>1</v>
      </c>
      <c r="AJ3" s="8">
        <f>IF($AC3="","",IF($AG3="","",$AI3*$AG3))</f>
        <v>650</v>
      </c>
    </row>
    <row r="4" spans="1:37" x14ac:dyDescent="0.25">
      <c r="A4" s="3" t="s">
        <v>41</v>
      </c>
      <c r="B4" s="3" t="s">
        <v>1819</v>
      </c>
      <c r="C4" s="3" t="s">
        <v>1820</v>
      </c>
      <c r="E4" t="s">
        <v>1850</v>
      </c>
      <c r="F4" t="s">
        <v>257</v>
      </c>
      <c r="G4" t="s">
        <v>259</v>
      </c>
      <c r="H4" t="s">
        <v>260</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1388</v>
      </c>
      <c r="AB4" t="s">
        <v>1387</v>
      </c>
      <c r="AC4" t="s">
        <v>1389</v>
      </c>
      <c r="AD4" t="s">
        <v>498</v>
      </c>
      <c r="AE4">
        <v>1</v>
      </c>
      <c r="AF4">
        <v>0</v>
      </c>
      <c r="AG4">
        <v>450</v>
      </c>
      <c r="AH4" s="8">
        <f t="shared" ref="AH4:AH49" si="6">IF($AC4="","",$AE4*(1+IF($AF4="",0,$AF4)))</f>
        <v>1</v>
      </c>
      <c r="AI4" s="8">
        <f t="shared" ref="AI4:AI49" si="7">IF($AC4="","",$AH4)</f>
        <v>1</v>
      </c>
      <c r="AJ4" s="8">
        <f t="shared" ref="AJ4:AJ49" si="8">IF($AC4="","",IF($AG4="","",$AI4*$AG4))</f>
        <v>450</v>
      </c>
    </row>
    <row r="5" spans="1:37" x14ac:dyDescent="0.25">
      <c r="A5" s="3" t="s">
        <v>256</v>
      </c>
      <c r="B5" s="3" t="s">
        <v>1370</v>
      </c>
      <c r="C5" s="3" t="s">
        <v>1821</v>
      </c>
      <c r="E5" t="s">
        <v>1851</v>
      </c>
      <c r="F5" t="s">
        <v>261</v>
      </c>
      <c r="G5" t="s">
        <v>262</v>
      </c>
      <c r="H5" t="s">
        <v>8</v>
      </c>
      <c r="I5">
        <v>1</v>
      </c>
      <c r="J5" s="19">
        <v>0</v>
      </c>
      <c r="K5">
        <v>4</v>
      </c>
      <c r="L5" s="8">
        <f t="shared" si="0"/>
        <v>1</v>
      </c>
      <c r="M5" s="8">
        <f t="shared" si="1"/>
        <v>1</v>
      </c>
      <c r="N5" s="8">
        <f t="shared" si="2"/>
        <v>4</v>
      </c>
      <c r="W5" s="8" t="str">
        <f t="shared" si="3"/>
        <v/>
      </c>
      <c r="X5" s="8" t="str">
        <f t="shared" si="4"/>
        <v/>
      </c>
      <c r="Y5" s="8" t="str">
        <f t="shared" si="5"/>
        <v/>
      </c>
      <c r="AA5" s="6" t="s">
        <v>1390</v>
      </c>
      <c r="AB5" t="s">
        <v>1391</v>
      </c>
      <c r="AC5" t="s">
        <v>35</v>
      </c>
      <c r="AD5" t="s">
        <v>10</v>
      </c>
      <c r="AE5">
        <v>60</v>
      </c>
      <c r="AF5">
        <v>0</v>
      </c>
      <c r="AG5">
        <v>45</v>
      </c>
      <c r="AH5" s="8">
        <f t="shared" si="6"/>
        <v>60</v>
      </c>
      <c r="AI5" s="8">
        <f t="shared" si="7"/>
        <v>60</v>
      </c>
      <c r="AJ5" s="8">
        <f t="shared" si="8"/>
        <v>2700</v>
      </c>
    </row>
    <row r="6" spans="1:37" x14ac:dyDescent="0.25">
      <c r="A6" s="3" t="s">
        <v>296</v>
      </c>
      <c r="B6" s="3" t="s">
        <v>371</v>
      </c>
      <c r="C6" s="3" t="s">
        <v>1371</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372</v>
      </c>
      <c r="B7" s="3" t="s">
        <v>373</v>
      </c>
      <c r="C7" s="3" t="s">
        <v>1822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372</v>
      </c>
      <c r="B8" s="3" t="s">
        <v>374</v>
      </c>
      <c r="C8" s="3" t="s">
        <v>1823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297</v>
      </c>
      <c r="B9" s="3" t="s">
        <v>375</v>
      </c>
      <c r="C9" s="3" t="s">
        <v>1372</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372</v>
      </c>
      <c r="B10" s="3" t="s">
        <v>376</v>
      </c>
      <c r="C10" s="3" t="s">
        <v>377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297</v>
      </c>
      <c r="B11" s="3" t="s">
        <v>378</v>
      </c>
      <c r="C11" s="3" t="s">
        <v>1373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372</v>
      </c>
      <c r="B12" s="3" t="s">
        <v>379</v>
      </c>
      <c r="C12" s="3" t="s">
        <v>1824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297</v>
      </c>
      <c r="B13" s="3" t="s">
        <v>1374</v>
      </c>
      <c r="C13" s="3" t="s">
        <v>1825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297</v>
      </c>
      <c r="B14" s="3" t="s">
        <v>1375</v>
      </c>
      <c r="C14" s="3" t="s">
        <v>1826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1376</v>
      </c>
      <c r="B15" s="3" t="s">
        <v>1377</v>
      </c>
      <c r="C15" s="3" t="s">
        <v>1827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1378</v>
      </c>
      <c r="B16" s="3" t="s">
        <v>1379</v>
      </c>
      <c r="C16" s="3" t="s">
        <v>1828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1380</v>
      </c>
      <c r="B17" s="3" t="s">
        <v>1381</v>
      </c>
      <c r="C17" s="3" t="s">
        <v>1829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372</v>
      </c>
      <c r="B18" s="3" t="s">
        <v>491</v>
      </c>
      <c r="C18" s="3" t="s">
        <v>1830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372</v>
      </c>
      <c r="B19" s="3" t="s">
        <v>492</v>
      </c>
      <c r="C19" s="3" t="s">
        <v>1831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372</v>
      </c>
      <c r="B20" s="3" t="s">
        <v>496</v>
      </c>
      <c r="C20" s="3" t="s">
        <v>1832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372</v>
      </c>
      <c r="B21" s="3" t="s">
        <v>1833</v>
      </c>
      <c r="C21" s="3" t="s">
        <v>1834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372</v>
      </c>
      <c r="B22" s="3" t="s">
        <v>1835</v>
      </c>
      <c r="C22" s="3" t="s">
        <v>1836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380</v>
      </c>
      <c r="B23" s="3" t="s">
        <v>381</v>
      </c>
      <c r="C23" s="3" t="s">
        <v>382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297</v>
      </c>
      <c r="B24" s="3" t="s">
        <v>390</v>
      </c>
      <c r="C24" s="3" t="s">
        <v>1837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380</v>
      </c>
      <c r="B25" s="3" t="s">
        <v>1382</v>
      </c>
      <c r="C25" s="3" t="s">
        <v>385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297</v>
      </c>
      <c r="B26" s="3" t="s">
        <v>1838</v>
      </c>
      <c r="C26" s="3" t="s">
        <v>1894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380</v>
      </c>
      <c r="B27" s="3" t="s">
        <v>383</v>
      </c>
      <c r="C27" s="3" t="s">
        <v>384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297</v>
      </c>
      <c r="B28" s="3" t="s">
        <v>391</v>
      </c>
      <c r="C28" s="3" t="s">
        <v>392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380</v>
      </c>
      <c r="B29" s="3" t="s">
        <v>1382</v>
      </c>
      <c r="C29" s="3" t="s">
        <v>385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297</v>
      </c>
      <c r="B30" s="3" t="s">
        <v>1838</v>
      </c>
      <c r="C30" s="3" t="s">
        <v>1839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380</v>
      </c>
      <c r="B31" s="3" t="s">
        <v>493</v>
      </c>
      <c r="C31" s="3" t="s">
        <v>1383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297</v>
      </c>
      <c r="B32" s="3" t="s">
        <v>1840</v>
      </c>
      <c r="C32" s="3" t="s">
        <v>1841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380</v>
      </c>
      <c r="B33" s="3" t="s">
        <v>494</v>
      </c>
      <c r="C33" s="3" t="s">
        <v>1384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297</v>
      </c>
      <c r="B34" s="3" t="s">
        <v>1842</v>
      </c>
      <c r="C34" s="3" t="s">
        <v>1843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380</v>
      </c>
      <c r="B35" s="3" t="s">
        <v>1385</v>
      </c>
      <c r="C35" s="3" t="s">
        <v>495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297</v>
      </c>
      <c r="B36" s="3" t="s">
        <v>1844</v>
      </c>
      <c r="C36" s="3" t="s">
        <v>1845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372</v>
      </c>
      <c r="B37" s="3" t="s">
        <v>386</v>
      </c>
      <c r="C37" s="3" t="s">
        <v>1846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387</v>
      </c>
      <c r="B38" s="3" t="s">
        <v>388</v>
      </c>
      <c r="C38" s="3" t="s">
        <v>389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254</v>
      </c>
      <c r="B39" s="3" t="s">
        <v>1847</v>
      </c>
      <c r="C39" s="3" t="s">
        <v>1848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266</v>
      </c>
      <c r="B3" s="3" t="s">
        <v>393</v>
      </c>
      <c r="C3" s="3" t="s">
        <v>394</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267</v>
      </c>
      <c r="B4" s="3" t="s">
        <v>395</v>
      </c>
      <c r="C4" s="3" t="s">
        <v>396</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397</v>
      </c>
      <c r="B5" s="3" t="s">
        <v>398</v>
      </c>
      <c r="C5" s="3" t="s">
        <v>399</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268</v>
      </c>
      <c r="B6" s="3" t="s">
        <v>400</v>
      </c>
      <c r="C6" s="3" t="s">
        <v>401</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268</v>
      </c>
      <c r="B7" s="3" t="s">
        <v>402</v>
      </c>
      <c r="C7" s="3" t="s">
        <v>403</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268</v>
      </c>
      <c r="B8" s="3" t="s">
        <v>404</v>
      </c>
      <c r="C8" s="3" t="s">
        <v>405</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268</v>
      </c>
      <c r="B9" s="3" t="s">
        <v>406</v>
      </c>
      <c r="C9" s="3" t="s">
        <v>407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268</v>
      </c>
      <c r="B10" s="3" t="s">
        <v>408</v>
      </c>
      <c r="C10" s="3" t="s">
        <v>409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410</v>
      </c>
      <c r="C11" s="3" t="s">
        <v>411</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268</v>
      </c>
      <c r="B12" s="3" t="s">
        <v>412</v>
      </c>
      <c r="C12" s="3" t="s">
        <v>413</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414</v>
      </c>
      <c r="B13" s="3" t="s">
        <v>415</v>
      </c>
      <c r="C13" s="3" t="s">
        <v>416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417</v>
      </c>
      <c r="C14" s="3" t="s">
        <v>418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271</v>
      </c>
      <c r="B3" s="3" t="s">
        <v>436</v>
      </c>
      <c r="C3" s="3" t="s">
        <v>437</v>
      </c>
      <c r="J3" s="19"/>
      <c r="L3" s="8" t="str">
        <f t="shared" ref="L3:L49" si="0">IF($G3="","",$I3*(1+IF($J3="",0,$J3)))</f>
        <v/>
      </c>
      <c r="M3" s="8" t="str">
        <f t="shared" ref="M3:M49" si="1">IF($G3="","",$L3)</f>
        <v/>
      </c>
      <c r="N3" s="8" t="str">
        <f t="shared" ref="N3:N49" si="2">IF($G3="","",IF($K3="","",$M3*$K3))</f>
        <v/>
      </c>
      <c r="P3" t="s">
        <v>1899</v>
      </c>
      <c r="Q3" t="s">
        <v>473</v>
      </c>
      <c r="R3" t="s">
        <v>255</v>
      </c>
      <c r="S3" t="s">
        <v>33</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272</v>
      </c>
      <c r="B4" s="3" t="s">
        <v>1853</v>
      </c>
      <c r="C4" s="3" t="s">
        <v>438</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419</v>
      </c>
      <c r="B5" s="3" t="s">
        <v>420</v>
      </c>
      <c r="C5" s="3" t="s">
        <v>439</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421</v>
      </c>
      <c r="B6" s="3" t="s">
        <v>422</v>
      </c>
      <c r="C6" s="3" t="s">
        <v>440</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423</v>
      </c>
      <c r="B7" s="3" t="s">
        <v>424</v>
      </c>
      <c r="C7" s="3" t="s">
        <v>425</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426</v>
      </c>
      <c r="B8" s="3" t="s">
        <v>424</v>
      </c>
      <c r="C8" s="3" t="s">
        <v>427</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428</v>
      </c>
      <c r="B9" s="3" t="s">
        <v>429</v>
      </c>
      <c r="C9" s="3" t="s">
        <v>430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273</v>
      </c>
      <c r="B10" s="3" t="s">
        <v>441</v>
      </c>
      <c r="C10" s="3" t="s">
        <v>442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273</v>
      </c>
      <c r="B11" s="3" t="s">
        <v>432</v>
      </c>
      <c r="C11" s="3" t="s">
        <v>443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273</v>
      </c>
      <c r="B12" s="3" t="s">
        <v>444</v>
      </c>
      <c r="C12" s="3" t="s">
        <v>445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274</v>
      </c>
      <c r="B13" s="3" t="s">
        <v>431</v>
      </c>
      <c r="C13" s="3" t="s">
        <v>446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447</v>
      </c>
      <c r="C14" s="3" t="s">
        <v>448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449</v>
      </c>
      <c r="C15" s="3" t="s">
        <v>450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451</v>
      </c>
      <c r="C16" s="3" t="s">
        <v>452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453</v>
      </c>
      <c r="C17" s="3" t="s">
        <v>454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455</v>
      </c>
      <c r="C18" s="3" t="s">
        <v>456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457</v>
      </c>
      <c r="C19" s="3" t="s">
        <v>458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459</v>
      </c>
      <c r="C20" s="3" t="s">
        <v>460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274</v>
      </c>
      <c r="B21" s="3" t="s">
        <v>433</v>
      </c>
      <c r="C21" s="3" t="s">
        <v>461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274</v>
      </c>
      <c r="B22" s="3" t="s">
        <v>434</v>
      </c>
      <c r="C22" s="3" t="s">
        <v>462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274</v>
      </c>
      <c r="B23" s="3" t="s">
        <v>299</v>
      </c>
      <c r="C23" s="3" t="s">
        <v>463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464</v>
      </c>
      <c r="B24" s="3" t="s">
        <v>465</v>
      </c>
      <c r="C24" s="3" t="s">
        <v>466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464</v>
      </c>
      <c r="B25" s="3" t="s">
        <v>1854</v>
      </c>
      <c r="C25" s="3" t="s">
        <v>385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273</v>
      </c>
      <c r="B26" s="3" t="s">
        <v>1896</v>
      </c>
      <c r="C26" s="3" t="s">
        <v>1897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274</v>
      </c>
      <c r="B27" s="3" t="s">
        <v>467</v>
      </c>
      <c r="C27" s="3" t="s">
        <v>1898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274</v>
      </c>
      <c r="B28" s="3" t="s">
        <v>468</v>
      </c>
      <c r="C28" s="3" t="s">
        <v>469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470</v>
      </c>
      <c r="B29" s="3" t="s">
        <v>471</v>
      </c>
      <c r="C29" s="3" t="s">
        <v>472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275</v>
      </c>
      <c r="B30" s="3" t="s">
        <v>435</v>
      </c>
      <c r="C30" s="3" t="s">
        <v>1855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276</v>
      </c>
      <c r="B3" s="3" t="s">
        <v>961</v>
      </c>
      <c r="C3" s="3" t="s">
        <v>962</v>
      </c>
      <c r="E3" t="s">
        <v>1860</v>
      </c>
      <c r="F3" t="s">
        <v>484</v>
      </c>
      <c r="G3" t="s">
        <v>485</v>
      </c>
      <c r="H3" t="s">
        <v>11</v>
      </c>
      <c r="I3">
        <v>0.26</v>
      </c>
      <c r="J3" s="19">
        <v>0</v>
      </c>
      <c r="K3">
        <v>830</v>
      </c>
      <c r="L3" s="8">
        <f t="shared" ref="L3:L49" si="0">IF($G3="","",$I3*(1+IF($J3="",0,$J3)))</f>
        <v>0.26</v>
      </c>
      <c r="M3" s="8">
        <f t="shared" ref="M3:M49" si="1">IF($G3="","",$L3)</f>
        <v>0.26</v>
      </c>
      <c r="N3" s="8">
        <f t="shared" ref="N3:N49" si="2">IF($G3="","",IF($K3="","",$M3*$K3))</f>
        <v>215.8</v>
      </c>
      <c r="P3" t="s">
        <v>1903</v>
      </c>
      <c r="Q3" t="s">
        <v>522</v>
      </c>
      <c r="R3" t="s">
        <v>255</v>
      </c>
      <c r="S3" t="s">
        <v>33</v>
      </c>
      <c r="T3">
        <v>81</v>
      </c>
      <c r="U3" s="19">
        <v>0</v>
      </c>
      <c r="V3">
        <v>22.5</v>
      </c>
      <c r="W3" s="8">
        <f>IF($R3="","",$T3*(1+IF($U3="",0,$U3)))</f>
        <v>81</v>
      </c>
      <c r="X3" s="8">
        <f>IF($R3="","",$W3)</f>
        <v>81</v>
      </c>
      <c r="Y3" s="8">
        <f>IF($R3="","",IF($V3="","",$X3*$V3))</f>
        <v>1822.5</v>
      </c>
      <c r="AA3" s="6" t="s">
        <v>1869</v>
      </c>
      <c r="AB3" t="s">
        <v>523</v>
      </c>
      <c r="AC3" t="s">
        <v>524</v>
      </c>
      <c r="AD3" t="s">
        <v>525</v>
      </c>
      <c r="AE3">
        <v>1</v>
      </c>
      <c r="AF3">
        <v>0</v>
      </c>
      <c r="AG3">
        <v>900</v>
      </c>
      <c r="AH3" s="8">
        <f>IF($AC3="","",$AE3*(1+IF($AF3="",0,$AF3)))</f>
        <v>1</v>
      </c>
      <c r="AI3" s="8">
        <f>IF($AC3="","",$AH3)</f>
        <v>1</v>
      </c>
      <c r="AJ3" s="8">
        <f>IF($AC3="","",IF($AG3="","",$AI3*$AG3))</f>
        <v>900</v>
      </c>
    </row>
    <row r="4" spans="1:37" x14ac:dyDescent="0.25">
      <c r="A4" s="3" t="s">
        <v>277</v>
      </c>
      <c r="B4" s="3" t="s">
        <v>1856</v>
      </c>
      <c r="C4" s="3" t="s">
        <v>963</v>
      </c>
      <c r="E4" t="s">
        <v>1861</v>
      </c>
      <c r="F4" t="s">
        <v>484</v>
      </c>
      <c r="G4" t="s">
        <v>486</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474</v>
      </c>
      <c r="B5" s="3" t="s">
        <v>964</v>
      </c>
      <c r="C5" s="3" t="s">
        <v>965</v>
      </c>
      <c r="E5" t="s">
        <v>1862</v>
      </c>
      <c r="F5" t="s">
        <v>643</v>
      </c>
      <c r="G5" t="s">
        <v>644</v>
      </c>
      <c r="H5" t="s">
        <v>260</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966</v>
      </c>
      <c r="B6" s="3" t="s">
        <v>967</v>
      </c>
      <c r="C6" s="3" t="s">
        <v>1349</v>
      </c>
      <c r="E6" t="s">
        <v>1863</v>
      </c>
      <c r="F6" t="s">
        <v>645</v>
      </c>
      <c r="G6" t="s">
        <v>487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300</v>
      </c>
      <c r="B7" s="3" t="s">
        <v>968</v>
      </c>
      <c r="C7" s="3" t="s">
        <v>969</v>
      </c>
      <c r="E7" t="s">
        <v>955</v>
      </c>
      <c r="F7" t="s">
        <v>488</v>
      </c>
      <c r="G7" t="s">
        <v>489</v>
      </c>
      <c r="H7" t="s">
        <v>490</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300</v>
      </c>
      <c r="B8" s="3" t="s">
        <v>970</v>
      </c>
      <c r="C8" s="3" t="s">
        <v>971</v>
      </c>
      <c r="E8" t="s">
        <v>1864</v>
      </c>
      <c r="F8" t="s">
        <v>1865</v>
      </c>
      <c r="G8" t="s">
        <v>485</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300</v>
      </c>
      <c r="B9" s="3" t="s">
        <v>475</v>
      </c>
      <c r="C9" s="3" t="s">
        <v>499</v>
      </c>
      <c r="E9" t="s">
        <v>1864</v>
      </c>
      <c r="F9" t="s">
        <v>1865</v>
      </c>
      <c r="G9" t="s">
        <v>486</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300</v>
      </c>
      <c r="B10" s="3" t="s">
        <v>972</v>
      </c>
      <c r="C10" s="3" t="s">
        <v>973</v>
      </c>
      <c r="E10" t="s">
        <v>1866</v>
      </c>
      <c r="F10" t="s">
        <v>1865</v>
      </c>
      <c r="G10" t="s">
        <v>487</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300</v>
      </c>
      <c r="B11" s="3" t="s">
        <v>1350</v>
      </c>
      <c r="C11" s="3" t="s">
        <v>1857</v>
      </c>
      <c r="E11" t="s">
        <v>1867</v>
      </c>
      <c r="F11" t="s">
        <v>1865</v>
      </c>
      <c r="G11" t="s">
        <v>489</v>
      </c>
      <c r="H11" t="s">
        <v>490</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300</v>
      </c>
      <c r="B12" s="3" t="s">
        <v>974</v>
      </c>
      <c r="C12" s="3" t="s">
        <v>1352</v>
      </c>
      <c r="E12" t="s">
        <v>1868</v>
      </c>
      <c r="F12" t="s">
        <v>646</v>
      </c>
      <c r="G12" t="s">
        <v>647</v>
      </c>
      <c r="H12" t="s">
        <v>648</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300</v>
      </c>
      <c r="B13" s="3" t="s">
        <v>975</v>
      </c>
      <c r="C13" s="3" t="s">
        <v>1353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278</v>
      </c>
      <c r="B14" s="3" t="s">
        <v>476</v>
      </c>
      <c r="C14" s="3" t="s">
        <v>976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278</v>
      </c>
      <c r="B15" s="3" t="s">
        <v>626</v>
      </c>
      <c r="C15" s="3" t="s">
        <v>627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278</v>
      </c>
      <c r="B16" s="3" t="s">
        <v>477</v>
      </c>
      <c r="C16" s="3" t="s">
        <v>977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278</v>
      </c>
      <c r="B17" s="3" t="s">
        <v>478</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278</v>
      </c>
      <c r="B18" s="3" t="s">
        <v>500</v>
      </c>
      <c r="C18" s="3" t="s">
        <v>979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278</v>
      </c>
      <c r="B19" s="3" t="s">
        <v>501</v>
      </c>
      <c r="C19" s="3" t="s">
        <v>980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278</v>
      </c>
      <c r="B20" s="3" t="s">
        <v>502</v>
      </c>
      <c r="C20" s="3" t="s">
        <v>981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300</v>
      </c>
      <c r="B21" s="3" t="s">
        <v>982</v>
      </c>
      <c r="C21" s="3" t="s">
        <v>983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300</v>
      </c>
      <c r="B22" s="3" t="s">
        <v>984</v>
      </c>
      <c r="C22" s="3" t="s">
        <v>985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300</v>
      </c>
      <c r="B23" s="3" t="s">
        <v>986</v>
      </c>
      <c r="C23" s="3" t="s">
        <v>987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279</v>
      </c>
      <c r="B24" s="3" t="s">
        <v>988</v>
      </c>
      <c r="C24" s="3" t="s">
        <v>479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300</v>
      </c>
      <c r="B25" s="3" t="s">
        <v>989</v>
      </c>
      <c r="C25" s="3" t="s">
        <v>990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279</v>
      </c>
      <c r="B26" s="3" t="s">
        <v>991</v>
      </c>
      <c r="C26" s="3" t="s">
        <v>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300</v>
      </c>
      <c r="B27" s="3" t="s">
        <v>992</v>
      </c>
      <c r="C27" s="3" t="s">
        <v>993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279</v>
      </c>
      <c r="B28" s="3" t="s">
        <v>994</v>
      </c>
      <c r="C28" s="3" t="s">
        <v>628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300</v>
      </c>
      <c r="B29" s="3" t="s">
        <v>995</v>
      </c>
      <c r="C29" s="3" t="s">
        <v>996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278</v>
      </c>
      <c r="B30" s="3" t="s">
        <v>629</v>
      </c>
      <c r="C30" s="3" t="s">
        <v>997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278</v>
      </c>
      <c r="B31" s="3" t="s">
        <v>630</v>
      </c>
      <c r="C31" s="3" t="s">
        <v>998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278</v>
      </c>
      <c r="B32" s="3" t="s">
        <v>631</v>
      </c>
      <c r="C32" s="3" t="s">
        <v>999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278</v>
      </c>
      <c r="B33" s="3" t="s">
        <v>1000</v>
      </c>
      <c r="C33" s="3" t="s">
        <v>1001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278</v>
      </c>
      <c r="B34" s="3" t="s">
        <v>632</v>
      </c>
      <c r="C34" s="3" t="s">
        <v>1002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279</v>
      </c>
      <c r="B35" s="3" t="s">
        <v>1003</v>
      </c>
      <c r="C35" s="3" t="s">
        <v>481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300</v>
      </c>
      <c r="B36" s="3" t="s">
        <v>1004</v>
      </c>
      <c r="C36" s="3" t="s">
        <v>1005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278</v>
      </c>
      <c r="B37" s="3" t="s">
        <v>1006</v>
      </c>
      <c r="C37" s="3" t="s">
        <v>503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300</v>
      </c>
      <c r="B38" s="3" t="s">
        <v>1007</v>
      </c>
      <c r="C38" s="3" t="s">
        <v>1008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279</v>
      </c>
      <c r="B39" s="3" t="s">
        <v>1009</v>
      </c>
      <c r="C39" s="3" t="s">
        <v>482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300</v>
      </c>
      <c r="B40" s="3" t="s">
        <v>1010</v>
      </c>
      <c r="C40" s="3" t="s">
        <v>1354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300</v>
      </c>
      <c r="B41" s="3" t="s">
        <v>1011</v>
      </c>
      <c r="C41" s="3" t="s">
        <v>1355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300</v>
      </c>
      <c r="B42" s="3" t="s">
        <v>1012</v>
      </c>
      <c r="C42" s="3" t="s">
        <v>1356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300</v>
      </c>
      <c r="B43" s="3" t="s">
        <v>1013</v>
      </c>
      <c r="C43" s="3" t="s">
        <v>1357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300</v>
      </c>
      <c r="B44" s="3" t="s">
        <v>1014</v>
      </c>
      <c r="C44" s="3" t="s">
        <v>1358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300</v>
      </c>
      <c r="B45" s="3" t="s">
        <v>1015</v>
      </c>
      <c r="C45" s="3" t="s">
        <v>1359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300</v>
      </c>
      <c r="B46" s="3" t="s">
        <v>1016</v>
      </c>
      <c r="C46" s="3" t="s">
        <v>1360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278</v>
      </c>
      <c r="B47" s="3" t="s">
        <v>1017</v>
      </c>
      <c r="C47" s="3" t="s">
        <v>1018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278</v>
      </c>
      <c r="B48" s="3" t="s">
        <v>1019</v>
      </c>
      <c r="C48" s="3" t="s">
        <v>1020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278</v>
      </c>
      <c r="B49" s="3" t="s">
        <v>1021</v>
      </c>
      <c r="C49" s="3" t="s">
        <v>1022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278</v>
      </c>
      <c r="B50" s="3" t="s">
        <v>1023</v>
      </c>
      <c r="C50" s="3" t="s">
        <v>1024</v>
      </c>
    </row>
    <row r="51" spans="1:36" x14ac:dyDescent="0.25">
      <c r="A51" s="3" t="s">
        <v>279</v>
      </c>
      <c r="B51" s="3" t="s">
        <v>633</v>
      </c>
      <c r="C51" s="3" t="s">
        <v>634</v>
      </c>
    </row>
    <row r="52" spans="1:36" x14ac:dyDescent="0.25">
      <c r="A52" s="3" t="s">
        <v>300</v>
      </c>
      <c r="B52" s="3" t="s">
        <v>661</v>
      </c>
      <c r="C52" s="3" t="s">
        <v>1025</v>
      </c>
    </row>
    <row r="53" spans="1:36" x14ac:dyDescent="0.25">
      <c r="A53" s="3" t="s">
        <v>278</v>
      </c>
      <c r="B53" s="3" t="s">
        <v>635</v>
      </c>
      <c r="C53" s="3" t="s">
        <v>1026</v>
      </c>
    </row>
    <row r="54" spans="1:36" x14ac:dyDescent="0.25">
      <c r="A54" s="3" t="s">
        <v>300</v>
      </c>
      <c r="B54" s="3" t="s">
        <v>504</v>
      </c>
      <c r="C54" s="3" t="s">
        <v>1027</v>
      </c>
    </row>
    <row r="55" spans="1:36" x14ac:dyDescent="0.25">
      <c r="A55" s="3" t="s">
        <v>300</v>
      </c>
      <c r="B55" s="3" t="s">
        <v>483</v>
      </c>
      <c r="C55" s="3" t="s">
        <v>1028</v>
      </c>
    </row>
    <row r="56" spans="1:36" x14ac:dyDescent="0.25">
      <c r="A56" s="3" t="s">
        <v>278</v>
      </c>
      <c r="B56" s="3" t="s">
        <v>505</v>
      </c>
      <c r="C56" s="3" t="s">
        <v>506</v>
      </c>
    </row>
    <row r="57" spans="1:36" x14ac:dyDescent="0.25">
      <c r="A57" s="3" t="s">
        <v>278</v>
      </c>
      <c r="B57" s="3" t="s">
        <v>507</v>
      </c>
      <c r="C57" s="3" t="s">
        <v>508</v>
      </c>
    </row>
    <row r="58" spans="1:36" x14ac:dyDescent="0.25">
      <c r="A58" s="3" t="s">
        <v>278</v>
      </c>
      <c r="B58" s="3" t="s">
        <v>509</v>
      </c>
      <c r="C58" s="3" t="s">
        <v>1029</v>
      </c>
    </row>
    <row r="59" spans="1:36" x14ac:dyDescent="0.25">
      <c r="A59" s="3" t="s">
        <v>278</v>
      </c>
      <c r="B59" s="3" t="s">
        <v>510</v>
      </c>
      <c r="C59" s="3" t="s">
        <v>511</v>
      </c>
    </row>
    <row r="60" spans="1:36" x14ac:dyDescent="0.25">
      <c r="A60" s="3" t="s">
        <v>278</v>
      </c>
      <c r="B60" s="3" t="s">
        <v>512</v>
      </c>
      <c r="C60" s="3" t="s">
        <v>636</v>
      </c>
    </row>
    <row r="61" spans="1:36" x14ac:dyDescent="0.25">
      <c r="A61" s="3" t="s">
        <v>513</v>
      </c>
      <c r="B61" s="3" t="s">
        <v>514</v>
      </c>
      <c r="C61" s="3" t="s">
        <v>385</v>
      </c>
    </row>
    <row r="62" spans="1:36" x14ac:dyDescent="0.25">
      <c r="A62" s="3" t="s">
        <v>278</v>
      </c>
      <c r="B62" s="3" t="s">
        <v>1858</v>
      </c>
      <c r="C62" s="3" t="s">
        <v>1900</v>
      </c>
    </row>
    <row r="63" spans="1:36" x14ac:dyDescent="0.25">
      <c r="A63" s="3" t="s">
        <v>300</v>
      </c>
      <c r="B63" s="3" t="s">
        <v>1901</v>
      </c>
      <c r="C63" s="3" t="s">
        <v>1902</v>
      </c>
    </row>
    <row r="64" spans="1:36" x14ac:dyDescent="0.25">
      <c r="A64" s="3" t="s">
        <v>278</v>
      </c>
      <c r="B64" s="3" t="s">
        <v>515</v>
      </c>
      <c r="C64" s="3" t="s">
        <v>1030</v>
      </c>
    </row>
    <row r="65" spans="1:3" x14ac:dyDescent="0.25">
      <c r="A65" s="3" t="s">
        <v>516</v>
      </c>
      <c r="B65" s="3" t="s">
        <v>517</v>
      </c>
      <c r="C65" s="3" t="s">
        <v>518</v>
      </c>
    </row>
    <row r="66" spans="1:3" x14ac:dyDescent="0.25">
      <c r="A66" s="3" t="s">
        <v>300</v>
      </c>
      <c r="B66" s="3" t="s">
        <v>585</v>
      </c>
      <c r="C66" s="3" t="s">
        <v>1031</v>
      </c>
    </row>
    <row r="67" spans="1:3" x14ac:dyDescent="0.25">
      <c r="A67" s="3" t="s">
        <v>278</v>
      </c>
      <c r="B67" s="3" t="s">
        <v>519</v>
      </c>
      <c r="C67" s="3" t="s">
        <v>520</v>
      </c>
    </row>
    <row r="68" spans="1:3" x14ac:dyDescent="0.25">
      <c r="A68" s="3" t="s">
        <v>278</v>
      </c>
      <c r="B68" s="3" t="s">
        <v>298</v>
      </c>
      <c r="C68" s="3" t="s">
        <v>637</v>
      </c>
    </row>
    <row r="69" spans="1:3" x14ac:dyDescent="0.25">
      <c r="A69" s="3" t="s">
        <v>280</v>
      </c>
      <c r="B69" s="3" t="s">
        <v>1361</v>
      </c>
      <c r="C69" s="3" t="s">
        <v>1859</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281</v>
      </c>
      <c r="B3" s="3" t="s">
        <v>526</v>
      </c>
      <c r="C3" s="3" t="s">
        <v>527</v>
      </c>
      <c r="E3" t="s">
        <v>1876</v>
      </c>
      <c r="F3" t="s">
        <v>649</v>
      </c>
      <c r="G3" t="s">
        <v>650</v>
      </c>
      <c r="H3" t="s">
        <v>490</v>
      </c>
      <c r="I3">
        <v>0.45</v>
      </c>
      <c r="J3" s="19">
        <v>0</v>
      </c>
      <c r="K3">
        <v>340</v>
      </c>
      <c r="L3" s="8">
        <f t="shared" ref="L3:L49" si="0">IF($G3="","",$I3*(1+IF($J3="",0,$J3)))</f>
        <v>0.45</v>
      </c>
      <c r="M3" s="8">
        <f t="shared" ref="M3:M49" si="1">IF($G3="","",$L3)</f>
        <v>0.45</v>
      </c>
      <c r="N3" s="8">
        <f t="shared" ref="N3:N49" si="2">IF($G3="","",IF($K3="","",$M3*$K3))</f>
        <v>153</v>
      </c>
      <c r="P3" t="s">
        <v>1905</v>
      </c>
      <c r="Q3" t="s">
        <v>600</v>
      </c>
      <c r="R3" t="s">
        <v>255</v>
      </c>
      <c r="S3" t="s">
        <v>33</v>
      </c>
      <c r="T3">
        <v>141</v>
      </c>
      <c r="U3" s="19">
        <v>0</v>
      </c>
      <c r="V3">
        <v>22.5</v>
      </c>
      <c r="W3" s="8">
        <f>IF($R3="","",$T3*(1+IF($U3="",0,$U3)))</f>
        <v>141</v>
      </c>
      <c r="X3" s="8">
        <f>IF($R3="","",$W3)</f>
        <v>141</v>
      </c>
      <c r="Y3" s="8">
        <f>IF($R3="","",IF($V3="","",$X3*$V3))</f>
        <v>3172.5</v>
      </c>
      <c r="AA3" s="6" t="s">
        <v>1883</v>
      </c>
      <c r="AB3" t="s">
        <v>601</v>
      </c>
      <c r="AC3" t="s">
        <v>524</v>
      </c>
      <c r="AD3" t="s">
        <v>525</v>
      </c>
      <c r="AE3">
        <v>1</v>
      </c>
      <c r="AF3">
        <v>0</v>
      </c>
      <c r="AG3">
        <v>900</v>
      </c>
      <c r="AH3" s="8">
        <f>IF($AC3="","",$AE3*(1+IF($AF3="",0,$AF3)))</f>
        <v>1</v>
      </c>
      <c r="AI3" s="8">
        <f>IF($AC3="","",$AH3)</f>
        <v>1</v>
      </c>
      <c r="AJ3" s="8">
        <f>IF($AC3="","",IF($AG3="","",$AI3*$AG3))</f>
        <v>900</v>
      </c>
    </row>
    <row r="4" spans="1:37" x14ac:dyDescent="0.25">
      <c r="A4" s="3" t="s">
        <v>282</v>
      </c>
      <c r="B4" s="3" t="s">
        <v>528</v>
      </c>
      <c r="C4" s="3" t="s">
        <v>1870</v>
      </c>
      <c r="E4" t="s">
        <v>1877</v>
      </c>
      <c r="F4" t="s">
        <v>592</v>
      </c>
      <c r="G4" t="s">
        <v>650</v>
      </c>
      <c r="H4" t="s">
        <v>490</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529</v>
      </c>
      <c r="B5" s="3" t="s">
        <v>530</v>
      </c>
      <c r="C5" s="3" t="s">
        <v>531</v>
      </c>
      <c r="E5" t="s">
        <v>1878</v>
      </c>
      <c r="F5" t="s">
        <v>593</v>
      </c>
      <c r="G5" t="s">
        <v>594</v>
      </c>
      <c r="H5" t="s">
        <v>595</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283</v>
      </c>
      <c r="B6" s="3" t="s">
        <v>532</v>
      </c>
      <c r="C6" s="3" t="s">
        <v>533</v>
      </c>
      <c r="E6" t="s">
        <v>1879</v>
      </c>
      <c r="F6" t="s">
        <v>593</v>
      </c>
      <c r="G6" t="s">
        <v>596</v>
      </c>
      <c r="H6" t="s">
        <v>595</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283</v>
      </c>
      <c r="B7" s="3" t="s">
        <v>534</v>
      </c>
      <c r="C7" s="3" t="s">
        <v>535</v>
      </c>
      <c r="E7" t="s">
        <v>1880</v>
      </c>
      <c r="F7" t="s">
        <v>597</v>
      </c>
      <c r="G7" t="s">
        <v>598</v>
      </c>
      <c r="H7" t="s">
        <v>599</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283</v>
      </c>
      <c r="B8" s="3" t="s">
        <v>536</v>
      </c>
      <c r="C8" s="3" t="s">
        <v>537</v>
      </c>
      <c r="E8" t="s">
        <v>1881</v>
      </c>
      <c r="F8" t="s">
        <v>597</v>
      </c>
      <c r="G8" t="s">
        <v>655</v>
      </c>
      <c r="H8" t="s">
        <v>656</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283</v>
      </c>
      <c r="B9" s="3" t="s">
        <v>284</v>
      </c>
      <c r="C9" s="3" t="s">
        <v>538</v>
      </c>
      <c r="E9" t="s">
        <v>1882</v>
      </c>
      <c r="F9" t="s">
        <v>657</v>
      </c>
      <c r="G9" t="s">
        <v>647</v>
      </c>
      <c r="H9" t="s">
        <v>648</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283</v>
      </c>
      <c r="B10" s="3" t="s">
        <v>285</v>
      </c>
      <c r="C10" s="3" t="s">
        <v>539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283</v>
      </c>
      <c r="B11" s="3" t="s">
        <v>540</v>
      </c>
      <c r="C11" s="3" t="s">
        <v>541</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283</v>
      </c>
      <c r="B12" s="3" t="s">
        <v>542</v>
      </c>
      <c r="C12" s="3" t="s">
        <v>543</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283</v>
      </c>
      <c r="B13" s="3" t="s">
        <v>544</v>
      </c>
      <c r="C13" s="3" t="s">
        <v>545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283</v>
      </c>
      <c r="B14" s="3" t="s">
        <v>546</v>
      </c>
      <c r="C14" s="3" t="s">
        <v>547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286</v>
      </c>
      <c r="B15" s="3" t="s">
        <v>548</v>
      </c>
      <c r="C15" s="3" t="s">
        <v>549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286</v>
      </c>
      <c r="B16" s="3" t="s">
        <v>550</v>
      </c>
      <c r="C16" s="3" t="s">
        <v>551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286</v>
      </c>
      <c r="B17" s="3" t="s">
        <v>552</v>
      </c>
      <c r="C17" s="3" t="s">
        <v>553</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286</v>
      </c>
      <c r="B18" s="3" t="s">
        <v>554</v>
      </c>
      <c r="C18" s="3" t="s">
        <v>555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286</v>
      </c>
      <c r="B19" s="3" t="s">
        <v>556</v>
      </c>
      <c r="C19" s="3" t="s">
        <v>557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283</v>
      </c>
      <c r="B20" s="3" t="s">
        <v>558</v>
      </c>
      <c r="C20" s="3" t="s">
        <v>559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283</v>
      </c>
      <c r="B21" s="3" t="s">
        <v>638</v>
      </c>
      <c r="C21" s="3" t="s">
        <v>639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283</v>
      </c>
      <c r="B22" s="3" t="s">
        <v>679</v>
      </c>
      <c r="C22" s="3" t="s">
        <v>680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286</v>
      </c>
      <c r="B23" s="3" t="s">
        <v>640</v>
      </c>
      <c r="C23" s="3" t="s">
        <v>641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286</v>
      </c>
      <c r="B24" s="3" t="s">
        <v>560</v>
      </c>
      <c r="C24" s="3" t="s">
        <v>561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286</v>
      </c>
      <c r="B25" s="3" t="s">
        <v>562</v>
      </c>
      <c r="C25" s="3" t="s">
        <v>563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286</v>
      </c>
      <c r="B26" s="3" t="s">
        <v>564</v>
      </c>
      <c r="C26" s="3" t="s">
        <v>1871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286</v>
      </c>
      <c r="B27" s="3" t="s">
        <v>565</v>
      </c>
      <c r="C27" s="3" t="s">
        <v>1872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566</v>
      </c>
      <c r="B28" s="3" t="s">
        <v>567</v>
      </c>
      <c r="C28" s="3" t="s">
        <v>778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566</v>
      </c>
      <c r="B29" s="3" t="s">
        <v>568</v>
      </c>
      <c r="C29" s="3" t="s">
        <v>704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566</v>
      </c>
      <c r="B30" s="3" t="s">
        <v>569</v>
      </c>
      <c r="C30" s="3" t="s">
        <v>705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566</v>
      </c>
      <c r="B31" s="3" t="s">
        <v>570</v>
      </c>
      <c r="C31" s="3" t="s">
        <v>706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566</v>
      </c>
      <c r="B32" s="3" t="s">
        <v>1873</v>
      </c>
      <c r="C32" s="3" t="s">
        <v>708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286</v>
      </c>
      <c r="B33" s="3" t="s">
        <v>571</v>
      </c>
      <c r="C33" s="3" t="s">
        <v>572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286</v>
      </c>
      <c r="B34" s="3" t="s">
        <v>573</v>
      </c>
      <c r="C34" s="3" t="s">
        <v>574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286</v>
      </c>
      <c r="B35" s="3" t="s">
        <v>575</v>
      </c>
      <c r="C35" s="3" t="s">
        <v>576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286</v>
      </c>
      <c r="B36" s="3" t="s">
        <v>577</v>
      </c>
      <c r="C36" s="3" t="s">
        <v>578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286</v>
      </c>
      <c r="B37" s="3" t="s">
        <v>579</v>
      </c>
      <c r="C37" s="3" t="s">
        <v>580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283</v>
      </c>
      <c r="B38" s="3" t="s">
        <v>581</v>
      </c>
      <c r="C38" s="3" t="s">
        <v>582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583</v>
      </c>
      <c r="B39" s="3" t="s">
        <v>514</v>
      </c>
      <c r="C39" s="3" t="s">
        <v>385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286</v>
      </c>
      <c r="B40" s="3" t="s">
        <v>1858</v>
      </c>
      <c r="C40" s="3" t="s">
        <v>1900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283</v>
      </c>
      <c r="B41" s="3" t="s">
        <v>1901</v>
      </c>
      <c r="C41" s="3" t="s">
        <v>1904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286</v>
      </c>
      <c r="B42" s="3" t="s">
        <v>515</v>
      </c>
      <c r="C42" s="3" t="s">
        <v>1874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584</v>
      </c>
      <c r="B43" s="3" t="s">
        <v>517</v>
      </c>
      <c r="C43" s="3" t="s">
        <v>518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283</v>
      </c>
      <c r="B44" s="3" t="s">
        <v>585</v>
      </c>
      <c r="C44" s="3" t="s">
        <v>586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286</v>
      </c>
      <c r="B45" s="3" t="s">
        <v>587</v>
      </c>
      <c r="C45" s="3" t="s">
        <v>588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286</v>
      </c>
      <c r="B46" s="3" t="s">
        <v>589</v>
      </c>
      <c r="C46" s="3" t="s">
        <v>590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566</v>
      </c>
      <c r="B47" s="3" t="s">
        <v>633</v>
      </c>
      <c r="C47" s="3" t="s">
        <v>634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286</v>
      </c>
      <c r="B48" s="3" t="s">
        <v>635</v>
      </c>
      <c r="C48" s="3" t="s">
        <v>642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286</v>
      </c>
      <c r="B49" s="3" t="s">
        <v>298</v>
      </c>
      <c r="C49" s="3" t="s">
        <v>591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287</v>
      </c>
      <c r="B50" s="3" t="s">
        <v>521</v>
      </c>
      <c r="C50" s="3" t="s">
        <v>1875</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288</v>
      </c>
      <c r="B3" s="3" t="s">
        <v>731</v>
      </c>
      <c r="C3" s="3" t="s">
        <v>732</v>
      </c>
      <c r="E3" t="s">
        <v>1886</v>
      </c>
      <c r="F3" t="s">
        <v>798</v>
      </c>
      <c r="G3" t="s">
        <v>650</v>
      </c>
      <c r="H3" t="s">
        <v>490</v>
      </c>
      <c r="I3">
        <v>1.5</v>
      </c>
      <c r="J3" s="19">
        <v>0</v>
      </c>
      <c r="K3">
        <v>340</v>
      </c>
      <c r="L3" s="8">
        <f t="shared" ref="L3:L49" si="0">IF($G3="","",$I3*(1+IF($J3="",0,$J3)))</f>
        <v>1.5</v>
      </c>
      <c r="M3" s="8">
        <f t="shared" ref="M3:M49" si="1">IF($G3="","",$L3)</f>
        <v>1.5</v>
      </c>
      <c r="N3" s="8">
        <f t="shared" ref="N3:N49" si="2">IF($G3="","",IF($K3="","",$M3*$K3))</f>
        <v>510</v>
      </c>
      <c r="P3" t="s">
        <v>1908</v>
      </c>
      <c r="Q3" t="s">
        <v>802</v>
      </c>
      <c r="R3" t="s">
        <v>255</v>
      </c>
      <c r="S3" t="s">
        <v>33</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289</v>
      </c>
      <c r="B4" s="3" t="s">
        <v>733</v>
      </c>
      <c r="C4" s="3" t="s">
        <v>734</v>
      </c>
      <c r="E4" t="s">
        <v>1887</v>
      </c>
      <c r="F4" t="s">
        <v>1888</v>
      </c>
      <c r="G4" t="s">
        <v>594</v>
      </c>
      <c r="H4" t="s">
        <v>595</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735</v>
      </c>
      <c r="B5" s="3" t="s">
        <v>736</v>
      </c>
      <c r="C5" s="3" t="s">
        <v>737</v>
      </c>
      <c r="E5" t="s">
        <v>1889</v>
      </c>
      <c r="F5" t="s">
        <v>1888</v>
      </c>
      <c r="G5" t="s">
        <v>799</v>
      </c>
      <c r="H5" t="s">
        <v>595</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264</v>
      </c>
      <c r="B6" s="3" t="s">
        <v>738</v>
      </c>
      <c r="C6" s="3" t="s">
        <v>739</v>
      </c>
      <c r="E6" t="s">
        <v>1890</v>
      </c>
      <c r="F6" t="s">
        <v>1888</v>
      </c>
      <c r="G6" t="s">
        <v>596</v>
      </c>
      <c r="H6" t="s">
        <v>595</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264</v>
      </c>
      <c r="B7" s="3" t="s">
        <v>740</v>
      </c>
      <c r="C7" s="3" t="s">
        <v>741</v>
      </c>
      <c r="E7" t="s">
        <v>1891</v>
      </c>
      <c r="F7" t="s">
        <v>800</v>
      </c>
      <c r="G7" t="s">
        <v>598</v>
      </c>
      <c r="H7" t="s">
        <v>599</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264</v>
      </c>
      <c r="B8" s="3" t="s">
        <v>742</v>
      </c>
      <c r="C8" s="3" t="s">
        <v>743</v>
      </c>
      <c r="E8" t="s">
        <v>1892</v>
      </c>
      <c r="F8" t="s">
        <v>800</v>
      </c>
      <c r="G8" t="s">
        <v>655</v>
      </c>
      <c r="H8" t="s">
        <v>656</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264</v>
      </c>
      <c r="B9" s="3" t="s">
        <v>290</v>
      </c>
      <c r="C9" s="3" t="s">
        <v>744</v>
      </c>
      <c r="E9" t="s">
        <v>1893</v>
      </c>
      <c r="F9" t="s">
        <v>801</v>
      </c>
      <c r="G9" t="s">
        <v>647</v>
      </c>
      <c r="H9" t="s">
        <v>648</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264</v>
      </c>
      <c r="B10" s="3" t="s">
        <v>291</v>
      </c>
      <c r="C10" s="3" t="s">
        <v>745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264</v>
      </c>
      <c r="B11" s="3" t="s">
        <v>746</v>
      </c>
      <c r="C11" s="3" t="s">
        <v>747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748</v>
      </c>
      <c r="C12" s="3" t="s">
        <v>749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264</v>
      </c>
      <c r="B13" s="3" t="s">
        <v>750</v>
      </c>
      <c r="C13" s="3" t="s">
        <v>751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264</v>
      </c>
      <c r="B14" s="3" t="s">
        <v>752</v>
      </c>
      <c r="C14" s="3" t="s">
        <v>753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264</v>
      </c>
      <c r="B15" s="3" t="s">
        <v>754</v>
      </c>
      <c r="C15" s="3" t="s">
        <v>755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264</v>
      </c>
      <c r="B16" s="3" t="s">
        <v>756</v>
      </c>
      <c r="C16" s="3" t="s">
        <v>757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263</v>
      </c>
      <c r="B17" s="3" t="s">
        <v>303</v>
      </c>
      <c r="C17" s="3" t="s">
        <v>758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263</v>
      </c>
      <c r="B18" s="3" t="s">
        <v>301</v>
      </c>
      <c r="C18" s="3" t="s">
        <v>759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263</v>
      </c>
      <c r="B19" s="3" t="s">
        <v>304</v>
      </c>
      <c r="C19" s="3" t="s">
        <v>760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263</v>
      </c>
      <c r="B20" s="3" t="s">
        <v>761</v>
      </c>
      <c r="C20" s="3" t="s">
        <v>762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263</v>
      </c>
      <c r="B21" s="3" t="s">
        <v>763</v>
      </c>
      <c r="C21" s="3" t="s">
        <v>764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263</v>
      </c>
      <c r="B22" s="3" t="s">
        <v>305</v>
      </c>
      <c r="C22" s="3" t="s">
        <v>765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263</v>
      </c>
      <c r="B23" s="3" t="s">
        <v>766</v>
      </c>
      <c r="C23" s="3" t="s">
        <v>767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263</v>
      </c>
      <c r="B24" s="3" t="s">
        <v>306</v>
      </c>
      <c r="C24" s="3" t="s">
        <v>768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263</v>
      </c>
      <c r="B25" s="3" t="s">
        <v>307</v>
      </c>
      <c r="C25" s="3" t="s">
        <v>769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263</v>
      </c>
      <c r="B26" s="3" t="s">
        <v>770</v>
      </c>
      <c r="C26" s="3" t="s">
        <v>771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263</v>
      </c>
      <c r="B27" s="3" t="s">
        <v>772</v>
      </c>
      <c r="C27" s="3" t="s">
        <v>773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263</v>
      </c>
      <c r="B28" s="3" t="s">
        <v>774</v>
      </c>
      <c r="C28" s="3" t="s">
        <v>775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776</v>
      </c>
      <c r="B29" s="3" t="s">
        <v>777</v>
      </c>
      <c r="C29" s="3" t="s">
        <v>778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776</v>
      </c>
      <c r="B30" s="3" t="s">
        <v>779</v>
      </c>
      <c r="C30" s="3" t="s">
        <v>704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776</v>
      </c>
      <c r="B31" s="3" t="s">
        <v>780</v>
      </c>
      <c r="C31" s="3" t="s">
        <v>1884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776</v>
      </c>
      <c r="B32" s="3" t="s">
        <v>569</v>
      </c>
      <c r="C32" s="3" t="s">
        <v>705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776</v>
      </c>
      <c r="B33" s="3" t="s">
        <v>570</v>
      </c>
      <c r="C33" s="3" t="s">
        <v>706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776</v>
      </c>
      <c r="B34" s="3" t="s">
        <v>707</v>
      </c>
      <c r="C34" s="3" t="s">
        <v>708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776</v>
      </c>
      <c r="B35" s="3" t="s">
        <v>633</v>
      </c>
      <c r="C35" s="3" t="s">
        <v>634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263</v>
      </c>
      <c r="B36" s="3" t="s">
        <v>571</v>
      </c>
      <c r="C36" s="3" t="s">
        <v>781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263</v>
      </c>
      <c r="B37" s="3" t="s">
        <v>573</v>
      </c>
      <c r="C37" s="3" t="s">
        <v>782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263</v>
      </c>
      <c r="B38" s="3" t="s">
        <v>635</v>
      </c>
      <c r="C38" s="3" t="s">
        <v>783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264</v>
      </c>
      <c r="B39" s="3" t="s">
        <v>292</v>
      </c>
      <c r="C39" s="3" t="s">
        <v>784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263</v>
      </c>
      <c r="B40" s="3" t="s">
        <v>293</v>
      </c>
      <c r="C40" s="3" t="s">
        <v>785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263</v>
      </c>
      <c r="B41" s="3" t="s">
        <v>294</v>
      </c>
      <c r="C41" s="3" t="s">
        <v>786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263</v>
      </c>
      <c r="B42" s="3" t="s">
        <v>302</v>
      </c>
      <c r="C42" s="3" t="s">
        <v>787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263</v>
      </c>
      <c r="B43" s="3" t="s">
        <v>788</v>
      </c>
      <c r="C43" s="3" t="s">
        <v>789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263</v>
      </c>
      <c r="B44" s="3" t="s">
        <v>790</v>
      </c>
      <c r="C44" s="3" t="s">
        <v>791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263</v>
      </c>
      <c r="B45" s="3" t="s">
        <v>295</v>
      </c>
      <c r="C45" s="3" t="s">
        <v>792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263</v>
      </c>
      <c r="B46" s="3" t="s">
        <v>793</v>
      </c>
      <c r="C46" s="3" t="s">
        <v>794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263</v>
      </c>
      <c r="B47" s="3" t="s">
        <v>795</v>
      </c>
      <c r="C47" s="3" t="s">
        <v>796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263</v>
      </c>
      <c r="B48" s="3" t="s">
        <v>1858</v>
      </c>
      <c r="C48" s="3" t="s">
        <v>1906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264</v>
      </c>
      <c r="B49" s="3" t="s">
        <v>1901</v>
      </c>
      <c r="C49" s="3" t="s">
        <v>1907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263</v>
      </c>
      <c r="B50" s="3" t="s">
        <v>298</v>
      </c>
      <c r="C50" s="3" t="s">
        <v>797</v>
      </c>
    </row>
    <row r="51" spans="1:36" x14ac:dyDescent="0.25">
      <c r="A51" s="3" t="s">
        <v>265</v>
      </c>
      <c r="B51" s="3" t="s">
        <v>308</v>
      </c>
      <c r="C51" s="3" t="s">
        <v>1885</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309</v>
      </c>
      <c r="B3" s="3" t="s">
        <v>310</v>
      </c>
      <c r="C3" s="3" t="s">
        <v>803</v>
      </c>
      <c r="E3" t="s">
        <v>1930</v>
      </c>
      <c r="F3" t="s">
        <v>1931</v>
      </c>
      <c r="G3" t="s">
        <v>881</v>
      </c>
      <c r="H3" t="s">
        <v>656</v>
      </c>
      <c r="I3">
        <v>4</v>
      </c>
      <c r="J3" s="19">
        <v>0.05</v>
      </c>
      <c r="K3">
        <v>12.6</v>
      </c>
      <c r="L3" s="8">
        <f t="shared" ref="L3:L49" si="0">IF($G3="","",$I3*(1+IF($J3="",0,$J3)))</f>
        <v>4.2</v>
      </c>
      <c r="M3" s="8">
        <f t="shared" ref="M3:M49" si="1">IF($G3="","",$L3)</f>
        <v>4.2</v>
      </c>
      <c r="N3" s="8">
        <f t="shared" ref="N3:N49" si="2">IF($G3="","",IF($K3="","",$M3*$K3))</f>
        <v>52.92</v>
      </c>
      <c r="P3" t="s">
        <v>1946</v>
      </c>
      <c r="Q3" t="s">
        <v>895</v>
      </c>
      <c r="R3" t="s">
        <v>255</v>
      </c>
      <c r="S3" t="s">
        <v>33</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311</v>
      </c>
      <c r="B4" s="3" t="s">
        <v>804</v>
      </c>
      <c r="C4" s="3" t="s">
        <v>1458</v>
      </c>
      <c r="E4" t="s">
        <v>1932</v>
      </c>
      <c r="F4" t="s">
        <v>1931</v>
      </c>
      <c r="G4" t="s">
        <v>1933</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805</v>
      </c>
      <c r="B5" s="3" t="s">
        <v>806</v>
      </c>
      <c r="C5" s="3" t="s">
        <v>1459</v>
      </c>
      <c r="E5" t="s">
        <v>882</v>
      </c>
      <c r="F5" t="s">
        <v>1931</v>
      </c>
      <c r="G5" t="s">
        <v>883</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312</v>
      </c>
      <c r="B6" s="3" t="s">
        <v>313</v>
      </c>
      <c r="C6" s="3" t="s">
        <v>1460</v>
      </c>
      <c r="E6" t="s">
        <v>1934</v>
      </c>
      <c r="F6" t="s">
        <v>1931</v>
      </c>
      <c r="G6" t="s">
        <v>884</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314</v>
      </c>
      <c r="B7" s="3" t="s">
        <v>315</v>
      </c>
      <c r="C7" s="3" t="s">
        <v>1461</v>
      </c>
      <c r="E7" t="s">
        <v>1935</v>
      </c>
      <c r="F7" t="s">
        <v>885</v>
      </c>
      <c r="G7" t="s">
        <v>886</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314</v>
      </c>
      <c r="B8" s="3" t="s">
        <v>316</v>
      </c>
      <c r="C8" s="3" t="s">
        <v>1462</v>
      </c>
      <c r="E8" t="s">
        <v>1936</v>
      </c>
      <c r="F8" t="s">
        <v>885</v>
      </c>
      <c r="G8" t="s">
        <v>887</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314</v>
      </c>
      <c r="B9" s="3" t="s">
        <v>317</v>
      </c>
      <c r="C9" s="3" t="s">
        <v>1463</v>
      </c>
      <c r="E9" t="s">
        <v>1937</v>
      </c>
      <c r="F9" t="s">
        <v>885</v>
      </c>
      <c r="G9" t="s">
        <v>48</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314</v>
      </c>
      <c r="B10" s="3" t="s">
        <v>807</v>
      </c>
      <c r="C10" s="3" t="s">
        <v>808</v>
      </c>
      <c r="E10" t="s">
        <v>1938</v>
      </c>
      <c r="F10" t="s">
        <v>885</v>
      </c>
      <c r="G10" t="s">
        <v>1939</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314</v>
      </c>
      <c r="B11" s="3" t="s">
        <v>809</v>
      </c>
      <c r="C11" s="3" t="s">
        <v>1464</v>
      </c>
      <c r="E11" t="s">
        <v>1940</v>
      </c>
      <c r="F11" t="s">
        <v>885</v>
      </c>
      <c r="G11" t="s">
        <v>1941</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312</v>
      </c>
      <c r="B12" s="3" t="s">
        <v>810</v>
      </c>
      <c r="C12" s="3" t="s">
        <v>811</v>
      </c>
      <c r="E12" t="s">
        <v>1942</v>
      </c>
      <c r="F12" t="s">
        <v>888</v>
      </c>
      <c r="G12" t="s">
        <v>889</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312</v>
      </c>
      <c r="B13" s="3" t="s">
        <v>812</v>
      </c>
      <c r="C13" s="3" t="s">
        <v>813</v>
      </c>
      <c r="E13" t="s">
        <v>1943</v>
      </c>
      <c r="F13" t="s">
        <v>888</v>
      </c>
      <c r="G13" t="s">
        <v>890</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312</v>
      </c>
      <c r="B14" s="3" t="s">
        <v>814</v>
      </c>
      <c r="C14" s="3" t="s">
        <v>815</v>
      </c>
      <c r="E14" t="s">
        <v>1944</v>
      </c>
      <c r="F14" t="s">
        <v>888</v>
      </c>
      <c r="G14" t="s">
        <v>891</v>
      </c>
      <c r="H14" t="s">
        <v>892</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314</v>
      </c>
      <c r="B15" s="3" t="s">
        <v>1465</v>
      </c>
      <c r="C15" s="3" t="s">
        <v>1466</v>
      </c>
      <c r="E15" t="s">
        <v>1945</v>
      </c>
      <c r="F15" t="s">
        <v>893</v>
      </c>
      <c r="G15" t="s">
        <v>894</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312</v>
      </c>
      <c r="B16" s="3" t="s">
        <v>1467</v>
      </c>
      <c r="C16" s="3" t="s">
        <v>1468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314</v>
      </c>
      <c r="B17" s="3" t="s">
        <v>1469</v>
      </c>
      <c r="C17" s="3" t="s">
        <v>1470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314</v>
      </c>
      <c r="B18" s="3" t="s">
        <v>1471</v>
      </c>
      <c r="C18" s="3" t="s">
        <v>1472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312</v>
      </c>
      <c r="B19" s="3" t="s">
        <v>1473</v>
      </c>
      <c r="C19" s="3" t="s">
        <v>1474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314</v>
      </c>
      <c r="B20" s="3" t="s">
        <v>816</v>
      </c>
      <c r="C20" s="3" t="s">
        <v>817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312</v>
      </c>
      <c r="B21" s="3" t="s">
        <v>318</v>
      </c>
      <c r="C21" s="3" t="s">
        <v>1475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312</v>
      </c>
      <c r="B22" s="3" t="s">
        <v>818</v>
      </c>
      <c r="C22" s="3" t="s">
        <v>1476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314</v>
      </c>
      <c r="B23" s="3" t="s">
        <v>819</v>
      </c>
      <c r="C23" s="3" t="s">
        <v>820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312</v>
      </c>
      <c r="B24" s="3" t="s">
        <v>319</v>
      </c>
      <c r="C24" s="3" t="s">
        <v>1477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312</v>
      </c>
      <c r="B25" s="3" t="s">
        <v>320</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314</v>
      </c>
      <c r="B26" s="3" t="s">
        <v>821</v>
      </c>
      <c r="C26" s="3" t="s">
        <v>1479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312</v>
      </c>
      <c r="B27" s="3" t="s">
        <v>822</v>
      </c>
      <c r="C27" s="3" t="s">
        <v>1480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312</v>
      </c>
      <c r="B28" s="3" t="s">
        <v>823</v>
      </c>
      <c r="C28" s="3" t="s">
        <v>824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312</v>
      </c>
      <c r="B29" s="3" t="s">
        <v>825</v>
      </c>
      <c r="C29" s="3" t="s">
        <v>826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312</v>
      </c>
      <c r="B30" s="3" t="s">
        <v>827</v>
      </c>
      <c r="C30" s="3" t="s">
        <v>828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312</v>
      </c>
      <c r="B31" s="3" t="s">
        <v>829</v>
      </c>
      <c r="C31" s="3" t="s">
        <v>830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314</v>
      </c>
      <c r="B32" s="3" t="s">
        <v>831</v>
      </c>
      <c r="C32" s="3" t="s">
        <v>832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312</v>
      </c>
      <c r="B33" s="3" t="s">
        <v>833</v>
      </c>
      <c r="C33" s="3" t="s">
        <v>1481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312</v>
      </c>
      <c r="B34" s="3" t="s">
        <v>834</v>
      </c>
      <c r="C34" s="3" t="s">
        <v>835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312</v>
      </c>
      <c r="B35" s="3" t="s">
        <v>836</v>
      </c>
      <c r="C35" s="3" t="s">
        <v>837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312</v>
      </c>
      <c r="B36" s="3" t="s">
        <v>838</v>
      </c>
      <c r="C36" s="3" t="s">
        <v>1482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312</v>
      </c>
      <c r="B37" s="3" t="s">
        <v>839</v>
      </c>
      <c r="C37" s="3" t="s">
        <v>840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312</v>
      </c>
      <c r="B38" s="3" t="s">
        <v>841</v>
      </c>
      <c r="C38" s="3" t="s">
        <v>1483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314</v>
      </c>
      <c r="B39" s="3" t="s">
        <v>842</v>
      </c>
      <c r="C39" s="3" t="s">
        <v>843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314</v>
      </c>
      <c r="B40" s="3" t="s">
        <v>844</v>
      </c>
      <c r="C40" s="3" t="s">
        <v>845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314</v>
      </c>
      <c r="B41" s="3" t="s">
        <v>846</v>
      </c>
      <c r="C41" s="3" t="s">
        <v>847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314</v>
      </c>
      <c r="B42" s="3" t="s">
        <v>848</v>
      </c>
      <c r="C42" s="3" t="s">
        <v>849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314</v>
      </c>
      <c r="B43" s="3" t="s">
        <v>850</v>
      </c>
      <c r="C43" s="3" t="s">
        <v>851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314</v>
      </c>
      <c r="B44" s="3" t="s">
        <v>852</v>
      </c>
      <c r="C44" s="3" t="s">
        <v>1484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312</v>
      </c>
      <c r="B45" s="3" t="s">
        <v>853</v>
      </c>
      <c r="C45" s="3" t="s">
        <v>1485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312</v>
      </c>
      <c r="B46" s="3" t="s">
        <v>854</v>
      </c>
      <c r="C46" s="3" t="s">
        <v>855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312</v>
      </c>
      <c r="B47" s="3" t="s">
        <v>856</v>
      </c>
      <c r="C47" s="3" t="s">
        <v>1486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312</v>
      </c>
      <c r="B48" s="3" t="s">
        <v>321</v>
      </c>
      <c r="C48" s="3" t="s">
        <v>1487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312</v>
      </c>
      <c r="B49" s="3" t="s">
        <v>857</v>
      </c>
      <c r="C49" s="3" t="s">
        <v>1488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312</v>
      </c>
      <c r="B50" s="3" t="s">
        <v>322</v>
      </c>
      <c r="C50" s="3" t="s">
        <v>1489</v>
      </c>
    </row>
    <row r="51" spans="1:36" x14ac:dyDescent="0.25">
      <c r="A51" s="3" t="s">
        <v>312</v>
      </c>
      <c r="B51" s="3" t="s">
        <v>858</v>
      </c>
      <c r="C51" s="3" t="s">
        <v>859</v>
      </c>
    </row>
    <row r="52" spans="1:36" x14ac:dyDescent="0.25">
      <c r="A52" s="3" t="s">
        <v>312</v>
      </c>
      <c r="B52" s="3" t="s">
        <v>1490</v>
      </c>
      <c r="C52" s="3" t="s">
        <v>860</v>
      </c>
    </row>
    <row r="53" spans="1:36" x14ac:dyDescent="0.25">
      <c r="A53" s="3" t="s">
        <v>312</v>
      </c>
      <c r="B53" s="3" t="s">
        <v>861</v>
      </c>
      <c r="C53" s="3" t="s">
        <v>1491</v>
      </c>
    </row>
    <row r="54" spans="1:36" x14ac:dyDescent="0.25">
      <c r="A54" s="3" t="s">
        <v>312</v>
      </c>
      <c r="B54" s="3" t="s">
        <v>298</v>
      </c>
      <c r="C54" s="3" t="s">
        <v>862</v>
      </c>
    </row>
    <row r="55" spans="1:36" x14ac:dyDescent="0.25">
      <c r="A55" s="3" t="s">
        <v>863</v>
      </c>
      <c r="B55" s="3" t="s">
        <v>864</v>
      </c>
      <c r="C55" s="3" t="s">
        <v>1909</v>
      </c>
    </row>
    <row r="56" spans="1:36" x14ac:dyDescent="0.25">
      <c r="A56" s="3" t="s">
        <v>863</v>
      </c>
      <c r="B56" s="3" t="s">
        <v>865</v>
      </c>
      <c r="C56" s="3" t="s">
        <v>1910</v>
      </c>
    </row>
    <row r="57" spans="1:36" x14ac:dyDescent="0.25">
      <c r="A57" s="3" t="s">
        <v>863</v>
      </c>
      <c r="B57" s="3" t="s">
        <v>866</v>
      </c>
      <c r="C57" s="3" t="s">
        <v>1911</v>
      </c>
    </row>
    <row r="58" spans="1:36" x14ac:dyDescent="0.25">
      <c r="A58" s="3" t="s">
        <v>863</v>
      </c>
      <c r="B58" s="3" t="s">
        <v>867</v>
      </c>
      <c r="C58" s="3" t="s">
        <v>1912</v>
      </c>
    </row>
    <row r="59" spans="1:36" x14ac:dyDescent="0.25">
      <c r="A59" s="3" t="s">
        <v>863</v>
      </c>
      <c r="B59" s="3" t="s">
        <v>868</v>
      </c>
      <c r="C59" s="3" t="s">
        <v>1913</v>
      </c>
    </row>
    <row r="60" spans="1:36" x14ac:dyDescent="0.25">
      <c r="A60" s="3" t="s">
        <v>863</v>
      </c>
      <c r="B60" s="3" t="s">
        <v>869</v>
      </c>
      <c r="C60" s="3" t="s">
        <v>1914</v>
      </c>
    </row>
    <row r="61" spans="1:36" x14ac:dyDescent="0.25">
      <c r="A61" s="3" t="s">
        <v>863</v>
      </c>
      <c r="B61" s="3" t="s">
        <v>870</v>
      </c>
      <c r="C61" s="3" t="s">
        <v>1915</v>
      </c>
    </row>
    <row r="62" spans="1:36" x14ac:dyDescent="0.25">
      <c r="A62" s="3" t="s">
        <v>863</v>
      </c>
      <c r="B62" s="3" t="s">
        <v>871</v>
      </c>
      <c r="C62" s="3" t="s">
        <v>1916</v>
      </c>
    </row>
    <row r="63" spans="1:36" x14ac:dyDescent="0.25">
      <c r="A63" s="3" t="s">
        <v>863</v>
      </c>
      <c r="B63" s="3" t="s">
        <v>872</v>
      </c>
      <c r="C63" s="3" t="s">
        <v>1917</v>
      </c>
    </row>
    <row r="64" spans="1:36" x14ac:dyDescent="0.25">
      <c r="A64" s="3" t="s">
        <v>863</v>
      </c>
      <c r="B64" s="3" t="s">
        <v>873</v>
      </c>
      <c r="C64" s="3" t="s">
        <v>1918</v>
      </c>
    </row>
    <row r="65" spans="1:3" x14ac:dyDescent="0.25">
      <c r="A65" s="3" t="s">
        <v>863</v>
      </c>
      <c r="B65" s="3" t="s">
        <v>874</v>
      </c>
      <c r="C65" s="3" t="s">
        <v>875</v>
      </c>
    </row>
    <row r="66" spans="1:3" x14ac:dyDescent="0.25">
      <c r="A66" s="3" t="s">
        <v>863</v>
      </c>
      <c r="B66" s="3" t="s">
        <v>876</v>
      </c>
      <c r="C66" s="3" t="s">
        <v>877</v>
      </c>
    </row>
    <row r="67" spans="1:3" x14ac:dyDescent="0.25">
      <c r="A67" s="3" t="s">
        <v>863</v>
      </c>
      <c r="B67" s="3" t="s">
        <v>878</v>
      </c>
      <c r="C67" s="3" t="s">
        <v>879</v>
      </c>
    </row>
    <row r="68" spans="1:3" x14ac:dyDescent="0.25">
      <c r="A68" s="3" t="s">
        <v>880</v>
      </c>
      <c r="B68" s="3" t="s">
        <v>1443</v>
      </c>
      <c r="C68" s="3" t="s">
        <v>385</v>
      </c>
    </row>
    <row r="69" spans="1:3" x14ac:dyDescent="0.25">
      <c r="A69" s="3" t="s">
        <v>314</v>
      </c>
      <c r="B69" s="3" t="s">
        <v>1919</v>
      </c>
      <c r="C69" s="3" t="s">
        <v>1920</v>
      </c>
    </row>
    <row r="70" spans="1:3" x14ac:dyDescent="0.25">
      <c r="A70" s="3" t="s">
        <v>314</v>
      </c>
      <c r="B70" s="3" t="s">
        <v>1921</v>
      </c>
      <c r="C70" s="3" t="s">
        <v>1922</v>
      </c>
    </row>
    <row r="71" spans="1:3" x14ac:dyDescent="0.25">
      <c r="A71" s="3" t="s">
        <v>314</v>
      </c>
      <c r="B71" s="3" t="s">
        <v>1923</v>
      </c>
      <c r="C71" s="3" t="s">
        <v>1924</v>
      </c>
    </row>
    <row r="72" spans="1:3" x14ac:dyDescent="0.25">
      <c r="A72" s="3" t="s">
        <v>314</v>
      </c>
      <c r="B72" s="3" t="s">
        <v>1925</v>
      </c>
      <c r="C72" s="3" t="s">
        <v>1926</v>
      </c>
    </row>
    <row r="73" spans="1:3" x14ac:dyDescent="0.25">
      <c r="A73" s="3" t="s">
        <v>314</v>
      </c>
      <c r="B73" s="3" t="s">
        <v>1901</v>
      </c>
      <c r="C73" s="3" t="s">
        <v>1927</v>
      </c>
    </row>
    <row r="74" spans="1:3" x14ac:dyDescent="0.25">
      <c r="A74" s="3" t="s">
        <v>312</v>
      </c>
      <c r="B74" s="3" t="s">
        <v>515</v>
      </c>
      <c r="C74" s="3" t="s">
        <v>1928</v>
      </c>
    </row>
    <row r="75" spans="1:3" x14ac:dyDescent="0.25">
      <c r="A75" s="3" t="s">
        <v>323</v>
      </c>
      <c r="B75" s="3" t="s">
        <v>324</v>
      </c>
      <c r="C75" s="3" t="s">
        <v>1929</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325</v>
      </c>
      <c r="B3" s="3" t="s">
        <v>1392</v>
      </c>
      <c r="C3" s="3" t="s">
        <v>896</v>
      </c>
      <c r="E3" t="s">
        <v>1981</v>
      </c>
      <c r="F3" t="s">
        <v>936</v>
      </c>
      <c r="G3" t="s">
        <v>1982</v>
      </c>
      <c r="H3" t="s">
        <v>656</v>
      </c>
      <c r="I3">
        <v>16</v>
      </c>
      <c r="J3" s="19">
        <v>0.05</v>
      </c>
      <c r="K3">
        <v>55</v>
      </c>
      <c r="L3" s="8">
        <f t="shared" ref="L3:L49" si="0">IF($G3="","",$I3*(1+IF($J3="",0,$J3)))</f>
        <v>16.8</v>
      </c>
      <c r="M3" s="8">
        <f t="shared" ref="M3:M49" si="1">IF($G3="","",$L3)</f>
        <v>16.8</v>
      </c>
      <c r="N3" s="8">
        <f t="shared" ref="N3:N49" si="2">IF($G3="","",IF($K3="","",$M3*$K3))</f>
        <v>924</v>
      </c>
      <c r="P3" t="s">
        <v>1991</v>
      </c>
      <c r="Q3" t="s">
        <v>950</v>
      </c>
      <c r="R3" t="s">
        <v>255</v>
      </c>
      <c r="S3" t="s">
        <v>33</v>
      </c>
      <c r="T3">
        <v>89</v>
      </c>
      <c r="U3" s="19">
        <v>0</v>
      </c>
      <c r="V3">
        <v>22.5</v>
      </c>
      <c r="W3" s="8">
        <f>IF($R3="","",$T3*(1+IF($U3="",0,$U3)))</f>
        <v>89</v>
      </c>
      <c r="X3" s="8">
        <f>IF($R3="","",$W3)</f>
        <v>89</v>
      </c>
      <c r="Y3" s="8">
        <f>IF($R3="","",IF($V3="","",$X3*$V3))</f>
        <v>2002.5</v>
      </c>
      <c r="AA3" s="6" t="s">
        <v>948</v>
      </c>
      <c r="AB3" t="s">
        <v>949</v>
      </c>
      <c r="AE3">
        <v>0</v>
      </c>
      <c r="AF3">
        <v>0</v>
      </c>
      <c r="AG3">
        <v>0</v>
      </c>
      <c r="AH3" s="8" t="str">
        <f>IF($AC3="","",$AE3*(1+IF($AF3="",0,$AF3)))</f>
        <v/>
      </c>
      <c r="AI3" s="8" t="str">
        <f>IF($AC3="","",$AH3)</f>
        <v/>
      </c>
      <c r="AJ3" s="8" t="str">
        <f>IF($AC3="","",IF($AG3="","",$AI3*$AG3))</f>
        <v/>
      </c>
    </row>
    <row r="4" spans="1:37" x14ac:dyDescent="0.25">
      <c r="A4" s="3" t="s">
        <v>326</v>
      </c>
      <c r="B4" s="3" t="s">
        <v>1393</v>
      </c>
      <c r="C4" s="3" t="s">
        <v>1394</v>
      </c>
      <c r="E4" t="s">
        <v>1983</v>
      </c>
      <c r="F4" t="s">
        <v>937</v>
      </c>
      <c r="G4" t="s">
        <v>938</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898</v>
      </c>
      <c r="B5" s="3" t="s">
        <v>899</v>
      </c>
      <c r="C5" s="3" t="s">
        <v>1395</v>
      </c>
      <c r="E5" t="s">
        <v>1984</v>
      </c>
      <c r="F5" t="s">
        <v>939</v>
      </c>
      <c r="G5" t="s">
        <v>940</v>
      </c>
      <c r="H5" t="s">
        <v>941</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897</v>
      </c>
      <c r="B6" s="3" t="s">
        <v>1396</v>
      </c>
      <c r="C6" s="3" t="s">
        <v>1397</v>
      </c>
      <c r="E6" t="s">
        <v>1985</v>
      </c>
      <c r="F6" t="s">
        <v>942</v>
      </c>
      <c r="G6" t="s">
        <v>1446</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327</v>
      </c>
      <c r="B7" s="3" t="s">
        <v>900</v>
      </c>
      <c r="C7" s="3" t="s">
        <v>901</v>
      </c>
      <c r="E7" t="s">
        <v>1986</v>
      </c>
      <c r="F7" t="s">
        <v>943</v>
      </c>
      <c r="G7" t="s">
        <v>944</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327</v>
      </c>
      <c r="B8" s="3" t="s">
        <v>1398</v>
      </c>
      <c r="C8" s="3" t="s">
        <v>1399</v>
      </c>
      <c r="E8" t="s">
        <v>1987</v>
      </c>
      <c r="F8" t="s">
        <v>943</v>
      </c>
      <c r="G8" t="s">
        <v>945</v>
      </c>
      <c r="H8" t="s">
        <v>260</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329</v>
      </c>
      <c r="B9" s="3" t="s">
        <v>902</v>
      </c>
      <c r="C9" s="3" t="s">
        <v>1400</v>
      </c>
      <c r="E9" t="s">
        <v>1988</v>
      </c>
      <c r="F9" t="s">
        <v>946</v>
      </c>
      <c r="G9" t="s">
        <v>1447</v>
      </c>
      <c r="H9" t="s">
        <v>656</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329</v>
      </c>
      <c r="B10" s="3" t="s">
        <v>903</v>
      </c>
      <c r="C10" s="3" t="s">
        <v>904</v>
      </c>
      <c r="E10" t="s">
        <v>1448</v>
      </c>
      <c r="F10" t="s">
        <v>946</v>
      </c>
      <c r="G10" t="s">
        <v>1449</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329</v>
      </c>
      <c r="B11" s="3" t="s">
        <v>1401</v>
      </c>
      <c r="C11" s="3" t="s">
        <v>905</v>
      </c>
      <c r="E11" t="s">
        <v>1989</v>
      </c>
      <c r="F11" t="s">
        <v>946</v>
      </c>
      <c r="G11" t="s">
        <v>1450</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327</v>
      </c>
      <c r="B12" s="3" t="s">
        <v>906</v>
      </c>
      <c r="C12" s="3" t="s">
        <v>907</v>
      </c>
      <c r="E12" t="s">
        <v>1451</v>
      </c>
      <c r="F12" t="s">
        <v>1452</v>
      </c>
      <c r="G12" t="s">
        <v>1453</v>
      </c>
      <c r="H12" t="s">
        <v>656</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327</v>
      </c>
      <c r="B13" s="3" t="s">
        <v>908</v>
      </c>
      <c r="C13" s="3" t="s">
        <v>1402</v>
      </c>
      <c r="E13" t="s">
        <v>1454</v>
      </c>
      <c r="F13" t="s">
        <v>1452</v>
      </c>
      <c r="G13" t="s">
        <v>1455</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327</v>
      </c>
      <c r="B14" s="3" t="s">
        <v>1947</v>
      </c>
      <c r="C14" s="3" t="s">
        <v>1948</v>
      </c>
      <c r="E14" t="s">
        <v>1456</v>
      </c>
      <c r="F14" t="s">
        <v>1452</v>
      </c>
      <c r="G14" t="s">
        <v>1457</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327</v>
      </c>
      <c r="B15" s="3" t="s">
        <v>1949</v>
      </c>
      <c r="C15" s="3" t="s">
        <v>1950</v>
      </c>
      <c r="E15" t="s">
        <v>1990</v>
      </c>
      <c r="F15" t="s">
        <v>1452</v>
      </c>
      <c r="G15" t="s">
        <v>947</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327</v>
      </c>
      <c r="B16" s="3" t="s">
        <v>328</v>
      </c>
      <c r="C16" s="3" t="s">
        <v>909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327</v>
      </c>
      <c r="B17" s="3" t="s">
        <v>910</v>
      </c>
      <c r="C17" s="3" t="s">
        <v>911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327</v>
      </c>
      <c r="B18" s="3" t="s">
        <v>912</v>
      </c>
      <c r="C18" s="3" t="s">
        <v>913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327</v>
      </c>
      <c r="B19" s="3" t="s">
        <v>914</v>
      </c>
      <c r="C19" s="3" t="s">
        <v>915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327</v>
      </c>
      <c r="B20" s="3" t="s">
        <v>921</v>
      </c>
      <c r="C20" s="3" t="s">
        <v>922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327</v>
      </c>
      <c r="B21" s="3" t="s">
        <v>923</v>
      </c>
      <c r="C21" s="3" t="s">
        <v>1403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327</v>
      </c>
      <c r="B22" s="3" t="s">
        <v>1404</v>
      </c>
      <c r="C22" s="3" t="s">
        <v>1405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329</v>
      </c>
      <c r="B23" s="3" t="s">
        <v>1406</v>
      </c>
      <c r="C23" s="3" t="s">
        <v>1407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329</v>
      </c>
      <c r="B24" s="3" t="s">
        <v>1408</v>
      </c>
      <c r="C24" s="3" t="s">
        <v>1409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329</v>
      </c>
      <c r="B25" s="3" t="s">
        <v>1410</v>
      </c>
      <c r="C25" s="3" t="s">
        <v>1411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329</v>
      </c>
      <c r="B26" s="3" t="s">
        <v>1412</v>
      </c>
      <c r="C26" s="3" t="s">
        <v>1413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329</v>
      </c>
      <c r="B27" s="3" t="s">
        <v>1414</v>
      </c>
      <c r="C27" s="3" t="s">
        <v>1415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327</v>
      </c>
      <c r="B28" s="3" t="s">
        <v>916</v>
      </c>
      <c r="C28" s="3" t="s">
        <v>917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327</v>
      </c>
      <c r="B29" s="3" t="s">
        <v>918</v>
      </c>
      <c r="C29" s="3" t="s">
        <v>919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327</v>
      </c>
      <c r="B30" s="3" t="s">
        <v>920</v>
      </c>
      <c r="C30" s="3" t="s">
        <v>1416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327</v>
      </c>
      <c r="B31" s="3" t="s">
        <v>1417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327</v>
      </c>
      <c r="B32" s="3" t="s">
        <v>924</v>
      </c>
      <c r="C32" s="3" t="s">
        <v>1418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327</v>
      </c>
      <c r="B33" s="3" t="s">
        <v>925</v>
      </c>
      <c r="C33" s="3" t="s">
        <v>1419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329</v>
      </c>
      <c r="B34" s="3" t="s">
        <v>1952</v>
      </c>
      <c r="C34" s="3" t="s">
        <v>1953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329</v>
      </c>
      <c r="B35" s="3" t="s">
        <v>1954</v>
      </c>
      <c r="C35" s="3" t="s">
        <v>1955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329</v>
      </c>
      <c r="B36" s="3" t="s">
        <v>1956</v>
      </c>
      <c r="C36" s="3" t="s">
        <v>1957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329</v>
      </c>
      <c r="B37" s="3" t="s">
        <v>1958</v>
      </c>
      <c r="C37" s="3" t="s">
        <v>1959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329</v>
      </c>
      <c r="B38" s="3" t="s">
        <v>1960</v>
      </c>
      <c r="C38" s="3" t="s">
        <v>1961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329</v>
      </c>
      <c r="B39" s="3" t="s">
        <v>1962</v>
      </c>
      <c r="C39" s="3" t="s">
        <v>1963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329</v>
      </c>
      <c r="B40" s="3" t="s">
        <v>1964</v>
      </c>
      <c r="C40" s="3" t="s">
        <v>1965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329</v>
      </c>
      <c r="B41" s="3" t="s">
        <v>1966</v>
      </c>
      <c r="C41" s="3" t="s">
        <v>1967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329</v>
      </c>
      <c r="B42" s="3" t="s">
        <v>1968</v>
      </c>
      <c r="C42" s="3" t="s">
        <v>1969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329</v>
      </c>
      <c r="B43" s="3" t="s">
        <v>1970</v>
      </c>
      <c r="C43" s="3" t="s">
        <v>1971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329</v>
      </c>
      <c r="B44" s="3" t="s">
        <v>1972</v>
      </c>
      <c r="C44" s="3" t="s">
        <v>1973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329</v>
      </c>
      <c r="B45" s="3" t="s">
        <v>1974</v>
      </c>
      <c r="C45" s="3" t="s">
        <v>1975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329</v>
      </c>
      <c r="B46" s="3" t="s">
        <v>1976</v>
      </c>
      <c r="C46" s="3" t="s">
        <v>1977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926</v>
      </c>
      <c r="B47" s="3" t="s">
        <v>1420</v>
      </c>
      <c r="C47" s="3" t="s">
        <v>1978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926</v>
      </c>
      <c r="B48" s="3" t="s">
        <v>1421</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926</v>
      </c>
      <c r="B49" s="3" t="s">
        <v>1423</v>
      </c>
      <c r="C49" s="3" t="s">
        <v>1424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926</v>
      </c>
      <c r="B50" s="3" t="s">
        <v>1425</v>
      </c>
      <c r="C50" s="3" t="s">
        <v>1426</v>
      </c>
    </row>
    <row r="51" spans="1:36" x14ac:dyDescent="0.25">
      <c r="A51" s="3" t="s">
        <v>926</v>
      </c>
      <c r="B51" s="3" t="s">
        <v>1427</v>
      </c>
      <c r="C51" s="3" t="s">
        <v>1428</v>
      </c>
    </row>
    <row r="52" spans="1:36" x14ac:dyDescent="0.25">
      <c r="A52" s="3" t="s">
        <v>926</v>
      </c>
      <c r="B52" s="3" t="s">
        <v>927</v>
      </c>
      <c r="C52" s="3" t="s">
        <v>928</v>
      </c>
    </row>
    <row r="53" spans="1:36" x14ac:dyDescent="0.25">
      <c r="A53" s="3" t="s">
        <v>926</v>
      </c>
      <c r="B53" s="3" t="s">
        <v>1429</v>
      </c>
      <c r="C53" s="3" t="s">
        <v>1430</v>
      </c>
    </row>
    <row r="54" spans="1:36" x14ac:dyDescent="0.25">
      <c r="A54" s="3" t="s">
        <v>926</v>
      </c>
      <c r="B54" s="3" t="s">
        <v>1431</v>
      </c>
      <c r="C54" s="3" t="s">
        <v>1432</v>
      </c>
    </row>
    <row r="55" spans="1:36" x14ac:dyDescent="0.25">
      <c r="A55" s="3" t="s">
        <v>926</v>
      </c>
      <c r="B55" s="3" t="s">
        <v>1433</v>
      </c>
      <c r="C55" s="3" t="s">
        <v>1434</v>
      </c>
    </row>
    <row r="56" spans="1:36" x14ac:dyDescent="0.25">
      <c r="A56" s="3" t="s">
        <v>926</v>
      </c>
      <c r="B56" s="3" t="s">
        <v>1435</v>
      </c>
      <c r="C56" s="3" t="s">
        <v>1436</v>
      </c>
    </row>
    <row r="57" spans="1:36" x14ac:dyDescent="0.25">
      <c r="A57" s="3" t="s">
        <v>926</v>
      </c>
      <c r="B57" s="3" t="s">
        <v>1437</v>
      </c>
      <c r="C57" s="3" t="s">
        <v>1438</v>
      </c>
    </row>
    <row r="58" spans="1:36" x14ac:dyDescent="0.25">
      <c r="A58" s="3" t="s">
        <v>926</v>
      </c>
      <c r="B58" s="3" t="s">
        <v>929</v>
      </c>
      <c r="C58" s="3" t="s">
        <v>1439</v>
      </c>
    </row>
    <row r="59" spans="1:36" x14ac:dyDescent="0.25">
      <c r="A59" s="3" t="s">
        <v>926</v>
      </c>
      <c r="B59" s="3" t="s">
        <v>930</v>
      </c>
      <c r="C59" s="3" t="s">
        <v>931</v>
      </c>
    </row>
    <row r="60" spans="1:36" x14ac:dyDescent="0.25">
      <c r="A60" s="3" t="s">
        <v>327</v>
      </c>
      <c r="B60" s="3" t="s">
        <v>932</v>
      </c>
      <c r="C60" s="3" t="s">
        <v>1440</v>
      </c>
    </row>
    <row r="61" spans="1:36" x14ac:dyDescent="0.25">
      <c r="A61" s="3" t="s">
        <v>327</v>
      </c>
      <c r="B61" s="3" t="s">
        <v>1441</v>
      </c>
      <c r="C61" s="3" t="s">
        <v>1442</v>
      </c>
    </row>
    <row r="62" spans="1:36" x14ac:dyDescent="0.25">
      <c r="A62" s="3" t="s">
        <v>933</v>
      </c>
      <c r="B62" s="3" t="s">
        <v>1443</v>
      </c>
      <c r="C62" s="3" t="s">
        <v>385</v>
      </c>
    </row>
    <row r="63" spans="1:36" x14ac:dyDescent="0.25">
      <c r="A63" s="3" t="s">
        <v>329</v>
      </c>
      <c r="B63" s="3" t="s">
        <v>1901</v>
      </c>
      <c r="C63" s="3" t="s">
        <v>1979</v>
      </c>
    </row>
    <row r="64" spans="1:36" x14ac:dyDescent="0.25">
      <c r="A64" s="3" t="s">
        <v>327</v>
      </c>
      <c r="B64" s="3" t="s">
        <v>515</v>
      </c>
      <c r="C64" s="3" t="s">
        <v>1980</v>
      </c>
    </row>
    <row r="65" spans="1:3" x14ac:dyDescent="0.25">
      <c r="A65" s="3" t="s">
        <v>327</v>
      </c>
      <c r="B65" s="3" t="s">
        <v>386</v>
      </c>
      <c r="C65" s="3" t="s">
        <v>1444</v>
      </c>
    </row>
    <row r="66" spans="1:3" x14ac:dyDescent="0.25">
      <c r="A66" s="3" t="s">
        <v>327</v>
      </c>
      <c r="B66" s="3" t="s">
        <v>298</v>
      </c>
      <c r="C66" s="3" t="s">
        <v>934</v>
      </c>
    </row>
    <row r="67" spans="1:3" x14ac:dyDescent="0.25">
      <c r="A67" s="3" t="s">
        <v>330</v>
      </c>
      <c r="B67" s="3" t="s">
        <v>935</v>
      </c>
      <c r="C67" s="3" t="s">
        <v>1445</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331</v>
      </c>
      <c r="B3" s="3" t="s">
        <v>1063</v>
      </c>
      <c r="C3" s="3" t="s">
        <v>1064</v>
      </c>
      <c r="E3" t="s">
        <v>2007</v>
      </c>
      <c r="F3" t="s">
        <v>1134</v>
      </c>
      <c r="G3" t="s">
        <v>1135</v>
      </c>
      <c r="H3" t="s">
        <v>8</v>
      </c>
      <c r="I3">
        <v>3900</v>
      </c>
      <c r="J3" s="19">
        <v>0.03</v>
      </c>
      <c r="K3">
        <v>0.28000000000000003</v>
      </c>
      <c r="L3" s="8">
        <f t="shared" ref="L3:L49" si="0">IF($G3="","",$I3*(1+IF($J3="",0,$J3)))</f>
        <v>4017</v>
      </c>
      <c r="M3" s="8">
        <f t="shared" ref="M3:M49" si="1">IF($G3="","",$L3)</f>
        <v>4017</v>
      </c>
      <c r="N3" s="8">
        <f t="shared" ref="N3:N49" si="2">IF($G3="","",IF($K3="","",$M3*$K3))</f>
        <v>1124.7600000000002</v>
      </c>
      <c r="P3" t="s">
        <v>2015</v>
      </c>
      <c r="Q3" t="s">
        <v>1138</v>
      </c>
      <c r="R3" t="s">
        <v>255</v>
      </c>
      <c r="S3" t="s">
        <v>33</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332</v>
      </c>
      <c r="B4" s="3" t="s">
        <v>1065</v>
      </c>
      <c r="C4" s="3" t="s">
        <v>1066</v>
      </c>
      <c r="E4" t="s">
        <v>2008</v>
      </c>
      <c r="F4" t="s">
        <v>1136</v>
      </c>
      <c r="G4" t="s">
        <v>2009</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1067</v>
      </c>
      <c r="B5" s="3" t="s">
        <v>1068</v>
      </c>
      <c r="C5" s="3" t="s">
        <v>1069</v>
      </c>
      <c r="E5" t="s">
        <v>2010</v>
      </c>
      <c r="F5" t="s">
        <v>1136</v>
      </c>
      <c r="G5" t="s">
        <v>666</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1070</v>
      </c>
      <c r="B6" s="3" t="s">
        <v>1071</v>
      </c>
      <c r="C6" s="3" t="s">
        <v>1072</v>
      </c>
      <c r="E6" t="s">
        <v>2011</v>
      </c>
      <c r="F6" t="s">
        <v>1137</v>
      </c>
      <c r="G6" t="s">
        <v>799</v>
      </c>
      <c r="H6" t="s">
        <v>595</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334</v>
      </c>
      <c r="B7" s="3" t="s">
        <v>1073</v>
      </c>
      <c r="C7" s="3" t="s">
        <v>1074</v>
      </c>
      <c r="E7" t="s">
        <v>2012</v>
      </c>
      <c r="F7" t="s">
        <v>1137</v>
      </c>
      <c r="G7" t="s">
        <v>596</v>
      </c>
      <c r="H7" t="s">
        <v>595</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333</v>
      </c>
      <c r="B8" s="3" t="s">
        <v>1075</v>
      </c>
      <c r="C8" s="3" t="s">
        <v>1076</v>
      </c>
      <c r="E8" t="s">
        <v>2013</v>
      </c>
      <c r="F8" t="s">
        <v>1137</v>
      </c>
      <c r="G8" t="s">
        <v>598</v>
      </c>
      <c r="H8" t="s">
        <v>599</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333</v>
      </c>
      <c r="B9" s="3" t="s">
        <v>1077</v>
      </c>
      <c r="C9" s="3" t="s">
        <v>1992</v>
      </c>
      <c r="E9" t="s">
        <v>2014</v>
      </c>
      <c r="F9" t="s">
        <v>1137</v>
      </c>
      <c r="G9" t="s">
        <v>655</v>
      </c>
      <c r="H9" t="s">
        <v>656</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333</v>
      </c>
      <c r="B10" s="3" t="s">
        <v>1078</v>
      </c>
      <c r="C10" s="3" t="s">
        <v>659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334</v>
      </c>
      <c r="B11" s="3" t="s">
        <v>1079</v>
      </c>
      <c r="C11" s="3" t="s">
        <v>1080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1081</v>
      </c>
      <c r="C12" s="3" t="s">
        <v>1082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334</v>
      </c>
      <c r="B13" s="3" t="s">
        <v>1083</v>
      </c>
      <c r="C13" s="3" t="s">
        <v>1084</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334</v>
      </c>
      <c r="B14" s="3" t="s">
        <v>1085</v>
      </c>
      <c r="C14" s="3" t="s">
        <v>1086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334</v>
      </c>
      <c r="B15" s="3" t="s">
        <v>1087</v>
      </c>
      <c r="C15" s="3" t="s">
        <v>1088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334</v>
      </c>
      <c r="B16" s="3" t="s">
        <v>1089</v>
      </c>
      <c r="C16" s="3" t="s">
        <v>1090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334</v>
      </c>
      <c r="B17" s="3" t="s">
        <v>1091</v>
      </c>
      <c r="C17" s="3" t="s">
        <v>1092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334</v>
      </c>
      <c r="B18" s="3" t="s">
        <v>337</v>
      </c>
      <c r="C18" s="3" t="s">
        <v>1093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334</v>
      </c>
      <c r="B19" s="3" t="s">
        <v>1094</v>
      </c>
      <c r="C19" s="3" t="s">
        <v>1095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334</v>
      </c>
      <c r="B20" s="3" t="s">
        <v>1096</v>
      </c>
      <c r="C20" s="3" t="s">
        <v>1097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335</v>
      </c>
      <c r="B21" s="3" t="s">
        <v>1098</v>
      </c>
      <c r="C21" s="3" t="s">
        <v>1099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335</v>
      </c>
      <c r="B22" s="3" t="s">
        <v>1100</v>
      </c>
      <c r="C22" s="3" t="s">
        <v>1101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334</v>
      </c>
      <c r="B23" s="3" t="s">
        <v>1993</v>
      </c>
      <c r="C23" s="3" t="s">
        <v>1994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335</v>
      </c>
      <c r="B24" s="3" t="s">
        <v>1102</v>
      </c>
      <c r="C24" s="3" t="s">
        <v>1103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335</v>
      </c>
      <c r="B25" s="3" t="s">
        <v>1104</v>
      </c>
      <c r="C25" s="3" t="s">
        <v>1105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335</v>
      </c>
      <c r="B26" s="3" t="s">
        <v>1106</v>
      </c>
      <c r="C26" s="3" t="s">
        <v>1107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334</v>
      </c>
      <c r="B27" s="3" t="s">
        <v>1108</v>
      </c>
      <c r="C27" s="3" t="s">
        <v>1109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334</v>
      </c>
      <c r="B28" s="3" t="s">
        <v>1110</v>
      </c>
      <c r="C28" s="3" t="s">
        <v>1111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334</v>
      </c>
      <c r="B29" s="3" t="s">
        <v>336</v>
      </c>
      <c r="C29" s="3" t="s">
        <v>1112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333</v>
      </c>
      <c r="B30" s="3" t="s">
        <v>1113</v>
      </c>
      <c r="C30" s="3" t="s">
        <v>1884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333</v>
      </c>
      <c r="B31" s="3" t="s">
        <v>1114</v>
      </c>
      <c r="C31" s="3" t="s">
        <v>705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333</v>
      </c>
      <c r="B32" s="3" t="s">
        <v>1115</v>
      </c>
      <c r="C32" s="3" t="s">
        <v>706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333</v>
      </c>
      <c r="B33" s="3" t="s">
        <v>1995</v>
      </c>
      <c r="C33" s="3" t="s">
        <v>708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334</v>
      </c>
      <c r="B34" s="3" t="s">
        <v>1116</v>
      </c>
      <c r="C34" s="3" t="s">
        <v>1117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334</v>
      </c>
      <c r="B35" s="3" t="s">
        <v>1118</v>
      </c>
      <c r="C35" s="3" t="s">
        <v>1119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334</v>
      </c>
      <c r="B36" s="3" t="s">
        <v>1120</v>
      </c>
      <c r="C36" s="3" t="s">
        <v>1121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334</v>
      </c>
      <c r="B37" s="3" t="s">
        <v>1122</v>
      </c>
      <c r="C37" s="3" t="s">
        <v>1123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334</v>
      </c>
      <c r="B38" s="3" t="s">
        <v>1124</v>
      </c>
      <c r="C38" s="3" t="s">
        <v>1125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334</v>
      </c>
      <c r="B39" s="3" t="s">
        <v>1126</v>
      </c>
      <c r="C39" s="3" t="s">
        <v>1127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334</v>
      </c>
      <c r="B40" s="3" t="s">
        <v>1128</v>
      </c>
      <c r="C40" s="3" t="s">
        <v>1129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334</v>
      </c>
      <c r="B41" s="3" t="s">
        <v>1130</v>
      </c>
      <c r="C41" s="3" t="s">
        <v>1131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335</v>
      </c>
      <c r="B42" s="3" t="s">
        <v>1996</v>
      </c>
      <c r="C42" s="3" t="s">
        <v>1997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335</v>
      </c>
      <c r="B43" s="3" t="s">
        <v>1998</v>
      </c>
      <c r="C43" s="3" t="s">
        <v>1999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335</v>
      </c>
      <c r="B44" s="3" t="s">
        <v>2000</v>
      </c>
      <c r="C44" s="3" t="s">
        <v>2001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335</v>
      </c>
      <c r="B45" s="3" t="s">
        <v>2002</v>
      </c>
      <c r="C45" s="3" t="s">
        <v>2003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334</v>
      </c>
      <c r="B46" s="3" t="s">
        <v>298</v>
      </c>
      <c r="C46" s="3" t="s">
        <v>1132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1133</v>
      </c>
      <c r="B47" s="3" t="s">
        <v>1443</v>
      </c>
      <c r="C47" s="3" t="s">
        <v>385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335</v>
      </c>
      <c r="B48" s="3" t="s">
        <v>1901</v>
      </c>
      <c r="C48" s="3" t="s">
        <v>2004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334</v>
      </c>
      <c r="B49" s="3" t="s">
        <v>515</v>
      </c>
      <c r="C49" s="3" t="s">
        <v>2005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338</v>
      </c>
      <c r="B50" s="3" t="s">
        <v>339</v>
      </c>
      <c r="C50" s="3" t="s">
        <v>2006</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340</v>
      </c>
      <c r="B3" s="3" t="s">
        <v>1139</v>
      </c>
      <c r="C3" s="3" t="s">
        <v>1140</v>
      </c>
      <c r="E3" t="s">
        <v>2025</v>
      </c>
      <c r="F3" t="s">
        <v>1217</v>
      </c>
      <c r="G3" t="s">
        <v>2026</v>
      </c>
      <c r="H3" t="s">
        <v>10</v>
      </c>
      <c r="I3">
        <v>1</v>
      </c>
      <c r="J3" s="19">
        <v>0</v>
      </c>
      <c r="K3">
        <v>480</v>
      </c>
      <c r="L3" s="8">
        <f t="shared" ref="L3:L49" si="0">IF($G3="","",$I3*(1+IF($J3="",0,$J3)))</f>
        <v>1</v>
      </c>
      <c r="M3" s="8">
        <f t="shared" ref="M3:M49" si="1">IF($G3="","",$L3)</f>
        <v>1</v>
      </c>
      <c r="N3" s="8">
        <f t="shared" ref="N3:N49" si="2">IF($G3="","",IF($K3="","",$M3*$K3))</f>
        <v>480</v>
      </c>
      <c r="P3" t="s">
        <v>2044</v>
      </c>
      <c r="Q3" t="s">
        <v>1232</v>
      </c>
      <c r="R3" t="s">
        <v>255</v>
      </c>
      <c r="S3" t="s">
        <v>33</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341</v>
      </c>
      <c r="B4" s="3" t="s">
        <v>1141</v>
      </c>
      <c r="C4" s="3" t="s">
        <v>1142</v>
      </c>
      <c r="E4" t="s">
        <v>2027</v>
      </c>
      <c r="F4" t="s">
        <v>1218</v>
      </c>
      <c r="G4" t="s">
        <v>2028</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1143</v>
      </c>
      <c r="B5" s="3" t="s">
        <v>1144</v>
      </c>
      <c r="C5" s="3" t="s">
        <v>1145</v>
      </c>
      <c r="E5" t="s">
        <v>2029</v>
      </c>
      <c r="F5" t="s">
        <v>1218</v>
      </c>
      <c r="G5" t="s">
        <v>2030</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342</v>
      </c>
      <c r="B6" s="3" t="s">
        <v>343</v>
      </c>
      <c r="C6" s="3" t="s">
        <v>1146</v>
      </c>
      <c r="E6" t="s">
        <v>2031</v>
      </c>
      <c r="F6" t="s">
        <v>2032</v>
      </c>
      <c r="G6" t="s">
        <v>2033</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342</v>
      </c>
      <c r="B7" s="3" t="s">
        <v>1147</v>
      </c>
      <c r="C7" s="3" t="s">
        <v>1148</v>
      </c>
      <c r="E7" t="s">
        <v>2034</v>
      </c>
      <c r="F7" t="s">
        <v>2032</v>
      </c>
      <c r="G7" t="s">
        <v>2035</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342</v>
      </c>
      <c r="B8" s="3" t="s">
        <v>1149</v>
      </c>
      <c r="C8" s="3" t="s">
        <v>1150</v>
      </c>
      <c r="E8" t="s">
        <v>2036</v>
      </c>
      <c r="F8" t="s">
        <v>2032</v>
      </c>
      <c r="G8" t="s">
        <v>2037</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344</v>
      </c>
      <c r="B9" s="3" t="s">
        <v>1151</v>
      </c>
      <c r="C9" s="3" t="s">
        <v>1152</v>
      </c>
      <c r="E9" t="s">
        <v>2038</v>
      </c>
      <c r="F9" t="s">
        <v>2039</v>
      </c>
      <c r="G9" t="s">
        <v>1219</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342</v>
      </c>
      <c r="B10" s="3" t="s">
        <v>1153</v>
      </c>
      <c r="C10" s="3" t="s">
        <v>1154</v>
      </c>
      <c r="E10" t="s">
        <v>2040</v>
      </c>
      <c r="F10" t="s">
        <v>1220</v>
      </c>
      <c r="G10" t="s">
        <v>655</v>
      </c>
      <c r="H10" t="s">
        <v>656</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344</v>
      </c>
      <c r="B11" s="3" t="s">
        <v>1155</v>
      </c>
      <c r="C11" s="3" t="s">
        <v>1156</v>
      </c>
      <c r="E11" t="s">
        <v>2041</v>
      </c>
      <c r="F11" t="s">
        <v>1221</v>
      </c>
      <c r="G11" t="s">
        <v>1222</v>
      </c>
      <c r="H11" t="s">
        <v>648</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342</v>
      </c>
      <c r="B12" s="3" t="s">
        <v>1157</v>
      </c>
      <c r="C12" s="3" t="s">
        <v>1158</v>
      </c>
      <c r="E12" t="s">
        <v>2042</v>
      </c>
      <c r="F12" t="s">
        <v>1221</v>
      </c>
      <c r="G12" t="s">
        <v>1223</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342</v>
      </c>
      <c r="B13" s="3" t="s">
        <v>1159</v>
      </c>
      <c r="C13" s="3" t="s">
        <v>1160</v>
      </c>
      <c r="E13" t="s">
        <v>2043</v>
      </c>
      <c r="F13" t="s">
        <v>1221</v>
      </c>
      <c r="G13" t="s">
        <v>1224</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342</v>
      </c>
      <c r="B14" s="3" t="s">
        <v>1161</v>
      </c>
      <c r="C14" s="3" t="s">
        <v>1162</v>
      </c>
      <c r="E14" t="s">
        <v>2043</v>
      </c>
      <c r="F14" t="s">
        <v>1221</v>
      </c>
      <c r="G14" t="s">
        <v>1225</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342</v>
      </c>
      <c r="B15" s="3" t="s">
        <v>1163</v>
      </c>
      <c r="C15" s="3" t="s">
        <v>1164</v>
      </c>
      <c r="E15" t="s">
        <v>2043</v>
      </c>
      <c r="F15" t="s">
        <v>1221</v>
      </c>
      <c r="G15" t="s">
        <v>1226</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342</v>
      </c>
      <c r="B16" s="3" t="s">
        <v>1165</v>
      </c>
      <c r="C16" s="3" t="s">
        <v>1166</v>
      </c>
      <c r="E16" t="s">
        <v>1227</v>
      </c>
      <c r="F16" t="s">
        <v>1228</v>
      </c>
      <c r="G16" t="s">
        <v>1229</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344</v>
      </c>
      <c r="B17" s="3" t="s">
        <v>1167</v>
      </c>
      <c r="C17" s="3" t="s">
        <v>1168</v>
      </c>
      <c r="E17" t="s">
        <v>1230</v>
      </c>
      <c r="F17" t="s">
        <v>1228</v>
      </c>
      <c r="G17" t="s">
        <v>1231</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344</v>
      </c>
      <c r="B18" s="3" t="s">
        <v>1169</v>
      </c>
      <c r="C18" s="3" t="s">
        <v>1170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342</v>
      </c>
      <c r="B19" s="3" t="s">
        <v>1171</v>
      </c>
      <c r="C19" s="3" t="s">
        <v>1172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342</v>
      </c>
      <c r="B20" s="3" t="s">
        <v>1173</v>
      </c>
      <c r="C20" s="3" t="s">
        <v>1174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344</v>
      </c>
      <c r="B21" s="3" t="s">
        <v>1175</v>
      </c>
      <c r="C21" s="3" t="s">
        <v>1176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344</v>
      </c>
      <c r="B22" s="3" t="s">
        <v>1177</v>
      </c>
      <c r="C22" s="3" t="s">
        <v>1178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344</v>
      </c>
      <c r="B23" s="3" t="s">
        <v>1179</v>
      </c>
      <c r="C23" s="3" t="s">
        <v>1180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342</v>
      </c>
      <c r="B24" s="3" t="s">
        <v>345</v>
      </c>
      <c r="C24" s="3" t="s">
        <v>1181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342</v>
      </c>
      <c r="B25" s="3" t="s">
        <v>1182</v>
      </c>
      <c r="C25" s="3" t="s">
        <v>1183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342</v>
      </c>
      <c r="B26" s="3" t="s">
        <v>1184</v>
      </c>
      <c r="C26" s="3" t="s">
        <v>1185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342</v>
      </c>
      <c r="B27" s="3" t="s">
        <v>346</v>
      </c>
      <c r="C27" s="3" t="s">
        <v>1186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342</v>
      </c>
      <c r="B28" s="3" t="s">
        <v>1187</v>
      </c>
      <c r="C28" s="3" t="s">
        <v>1188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342</v>
      </c>
      <c r="B29" s="3" t="s">
        <v>1189</v>
      </c>
      <c r="C29" s="3" t="s">
        <v>1190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1191</v>
      </c>
      <c r="C30" s="3" t="s">
        <v>1192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342</v>
      </c>
      <c r="B31" s="3" t="s">
        <v>1193</v>
      </c>
      <c r="C31" s="3" t="s">
        <v>1194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342</v>
      </c>
      <c r="B32" s="3" t="s">
        <v>1195</v>
      </c>
      <c r="C32" s="3" t="s">
        <v>1196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1197</v>
      </c>
      <c r="B33" s="3" t="s">
        <v>1198</v>
      </c>
      <c r="C33" s="3" t="s">
        <v>1199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1197</v>
      </c>
      <c r="B34" s="3" t="s">
        <v>2016</v>
      </c>
      <c r="C34" s="3" t="s">
        <v>708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1197</v>
      </c>
      <c r="B35" s="3" t="s">
        <v>1200</v>
      </c>
      <c r="C35" s="3" t="s">
        <v>1201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1197</v>
      </c>
      <c r="B36" s="3" t="s">
        <v>1202</v>
      </c>
      <c r="C36" s="3" t="s">
        <v>1203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1197</v>
      </c>
      <c r="B37" s="3" t="s">
        <v>1204</v>
      </c>
      <c r="C37" s="3" t="s">
        <v>1205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1197</v>
      </c>
      <c r="B38" s="3" t="s">
        <v>1206</v>
      </c>
      <c r="C38" s="3" t="s">
        <v>1207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1197</v>
      </c>
      <c r="B39" s="3" t="s">
        <v>1208</v>
      </c>
      <c r="C39" s="3" t="s">
        <v>1209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1197</v>
      </c>
      <c r="B40" s="3" t="s">
        <v>2017</v>
      </c>
      <c r="C40" s="3" t="s">
        <v>2018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1197</v>
      </c>
      <c r="B41" s="3" t="s">
        <v>2019</v>
      </c>
      <c r="C41" s="3" t="s">
        <v>2020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1197</v>
      </c>
      <c r="B42" s="3" t="s">
        <v>1210</v>
      </c>
      <c r="C42" s="3" t="s">
        <v>1211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342</v>
      </c>
      <c r="B43" s="3" t="s">
        <v>1212</v>
      </c>
      <c r="C43" s="3" t="s">
        <v>2021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342</v>
      </c>
      <c r="B44" s="3" t="s">
        <v>1213</v>
      </c>
      <c r="C44" s="3" t="s">
        <v>1214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1215</v>
      </c>
      <c r="B45" s="3" t="s">
        <v>1443</v>
      </c>
      <c r="C45" s="3" t="s">
        <v>385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344</v>
      </c>
      <c r="B46" s="3" t="s">
        <v>1901</v>
      </c>
      <c r="C46" s="3" t="s">
        <v>2022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342</v>
      </c>
      <c r="B47" s="3" t="s">
        <v>515</v>
      </c>
      <c r="C47" s="3" t="s">
        <v>2023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342</v>
      </c>
      <c r="B48" s="3" t="s">
        <v>298</v>
      </c>
      <c r="C48" s="3" t="s">
        <v>1216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347</v>
      </c>
      <c r="B49" s="3" t="s">
        <v>348</v>
      </c>
      <c r="C49" s="3" t="s">
        <v>2024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349</v>
      </c>
      <c r="B3" s="3" t="s">
        <v>350</v>
      </c>
      <c r="C3" s="3" t="s">
        <v>1233</v>
      </c>
      <c r="E3" t="s">
        <v>2059</v>
      </c>
      <c r="F3" t="s">
        <v>2060</v>
      </c>
      <c r="G3" t="s">
        <v>2009</v>
      </c>
      <c r="H3" t="s">
        <v>9</v>
      </c>
      <c r="I3">
        <v>12</v>
      </c>
      <c r="J3" s="19">
        <v>0.05</v>
      </c>
      <c r="K3">
        <v>24</v>
      </c>
      <c r="L3" s="8">
        <f t="shared" ref="L3:L49" si="0">IF($G3="","",$I3*(1+IF($J3="",0,$J3)))</f>
        <v>12.600000000000001</v>
      </c>
      <c r="M3" s="8">
        <f t="shared" ref="M3:M49" si="1">IF($G3="","",$L3)</f>
        <v>12.600000000000001</v>
      </c>
      <c r="N3" s="8">
        <f t="shared" ref="N3:N49" si="2">IF($G3="","",IF($K3="","",$M3*$K3))</f>
        <v>302.40000000000003</v>
      </c>
      <c r="P3" t="s">
        <v>2065</v>
      </c>
      <c r="Q3" t="s">
        <v>1291</v>
      </c>
      <c r="R3" t="s">
        <v>255</v>
      </c>
      <c r="S3" t="s">
        <v>33</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351</v>
      </c>
      <c r="B4" s="3" t="s">
        <v>1234</v>
      </c>
      <c r="C4" s="3" t="s">
        <v>1235</v>
      </c>
      <c r="E4" t="s">
        <v>2061</v>
      </c>
      <c r="F4" t="s">
        <v>2060</v>
      </c>
      <c r="G4" t="s">
        <v>666</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1236</v>
      </c>
      <c r="B5" s="3" t="s">
        <v>1237</v>
      </c>
      <c r="C5" s="3" t="s">
        <v>1238</v>
      </c>
      <c r="E5" t="s">
        <v>2062</v>
      </c>
      <c r="F5" t="s">
        <v>1287</v>
      </c>
      <c r="G5" t="s">
        <v>45</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352</v>
      </c>
      <c r="B6" s="3" t="s">
        <v>1239</v>
      </c>
      <c r="C6" s="3" t="s">
        <v>1240</v>
      </c>
      <c r="E6" t="s">
        <v>2063</v>
      </c>
      <c r="F6" t="s">
        <v>1288</v>
      </c>
      <c r="G6" t="s">
        <v>1289</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352</v>
      </c>
      <c r="B7" s="3" t="s">
        <v>1241</v>
      </c>
      <c r="C7" s="3" t="s">
        <v>1242</v>
      </c>
      <c r="E7" t="s">
        <v>2064</v>
      </c>
      <c r="F7" t="s">
        <v>1288</v>
      </c>
      <c r="G7" t="s">
        <v>1290</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352</v>
      </c>
      <c r="B8" s="3" t="s">
        <v>626</v>
      </c>
      <c r="C8" s="3" t="s">
        <v>1243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352</v>
      </c>
      <c r="B9" s="3" t="s">
        <v>353</v>
      </c>
      <c r="C9" s="3" t="s">
        <v>1244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352</v>
      </c>
      <c r="B10" s="3" t="s">
        <v>354</v>
      </c>
      <c r="C10" s="3" t="s">
        <v>1245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352</v>
      </c>
      <c r="B11" s="3" t="s">
        <v>355</v>
      </c>
      <c r="C11" s="3" t="s">
        <v>1246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352</v>
      </c>
      <c r="B12" s="3" t="s">
        <v>1247</v>
      </c>
      <c r="C12" s="3" t="s">
        <v>1248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352</v>
      </c>
      <c r="B13" s="3" t="s">
        <v>356</v>
      </c>
      <c r="C13" s="3" t="s">
        <v>1249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352</v>
      </c>
      <c r="B14" s="3" t="s">
        <v>1250</v>
      </c>
      <c r="C14" s="3" t="s">
        <v>1251</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352</v>
      </c>
      <c r="B15" s="3" t="s">
        <v>1252</v>
      </c>
      <c r="C15" s="3" t="s">
        <v>1253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352</v>
      </c>
      <c r="B16" s="3" t="s">
        <v>357</v>
      </c>
      <c r="C16" s="3" t="s">
        <v>1254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352</v>
      </c>
      <c r="B17" s="3" t="s">
        <v>923</v>
      </c>
      <c r="C17" s="3" t="s">
        <v>1255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352</v>
      </c>
      <c r="B18" s="3" t="s">
        <v>358</v>
      </c>
      <c r="C18" s="3" t="s">
        <v>1256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352</v>
      </c>
      <c r="B19" s="3" t="s">
        <v>359</v>
      </c>
      <c r="C19" s="3" t="s">
        <v>1257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352</v>
      </c>
      <c r="B20" s="3" t="s">
        <v>1258</v>
      </c>
      <c r="C20" s="3" t="s">
        <v>1259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352</v>
      </c>
      <c r="B21" s="3" t="s">
        <v>1260</v>
      </c>
      <c r="C21" s="3" t="s">
        <v>1261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352</v>
      </c>
      <c r="B22" s="3" t="s">
        <v>1262</v>
      </c>
      <c r="C22" s="3" t="s">
        <v>1263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352</v>
      </c>
      <c r="B23" s="3" t="s">
        <v>1264</v>
      </c>
      <c r="C23" s="3" t="s">
        <v>1265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352</v>
      </c>
      <c r="B24" s="3" t="s">
        <v>1266</v>
      </c>
      <c r="C24" s="3" t="s">
        <v>1267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2045</v>
      </c>
      <c r="B25" s="3" t="s">
        <v>2046</v>
      </c>
      <c r="C25" s="3" t="s">
        <v>2047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2045</v>
      </c>
      <c r="B26" s="3" t="s">
        <v>2048</v>
      </c>
      <c r="C26" s="3" t="s">
        <v>2049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2045</v>
      </c>
      <c r="B27" s="3" t="s">
        <v>2050</v>
      </c>
      <c r="C27" s="3" t="s">
        <v>2051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2045</v>
      </c>
      <c r="B28" s="3" t="s">
        <v>2052</v>
      </c>
      <c r="C28" s="3" t="s">
        <v>2053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2045</v>
      </c>
      <c r="B29" s="3" t="s">
        <v>2054</v>
      </c>
      <c r="C29" s="3" t="s">
        <v>2055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1268</v>
      </c>
      <c r="B30" s="3" t="s">
        <v>1269</v>
      </c>
      <c r="C30" s="3" t="s">
        <v>1992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1268</v>
      </c>
      <c r="B31" s="3" t="s">
        <v>1270</v>
      </c>
      <c r="C31" s="3" t="s">
        <v>659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1268</v>
      </c>
      <c r="B32" s="3" t="s">
        <v>1271</v>
      </c>
      <c r="C32" s="3" t="s">
        <v>1272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1268</v>
      </c>
      <c r="B33" s="3" t="s">
        <v>1273</v>
      </c>
      <c r="C33" s="3" t="s">
        <v>1274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1268</v>
      </c>
      <c r="B34" s="3" t="s">
        <v>1275</v>
      </c>
      <c r="C34" s="3" t="s">
        <v>1276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352</v>
      </c>
      <c r="B35" s="3" t="s">
        <v>1277</v>
      </c>
      <c r="C35" s="3" t="s">
        <v>1278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352</v>
      </c>
      <c r="B36" s="3" t="s">
        <v>1279</v>
      </c>
      <c r="C36" s="3" t="s">
        <v>1280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352</v>
      </c>
      <c r="B37" s="3" t="s">
        <v>1281</v>
      </c>
      <c r="C37" s="3" t="s">
        <v>1282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352</v>
      </c>
      <c r="B38" s="3" t="s">
        <v>1283</v>
      </c>
      <c r="C38" s="3" t="s">
        <v>1284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352</v>
      </c>
      <c r="B39" s="3" t="s">
        <v>298</v>
      </c>
      <c r="C39" s="3" t="s">
        <v>1285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1286</v>
      </c>
      <c r="B40" s="3" t="s">
        <v>1443</v>
      </c>
      <c r="C40" s="3" t="s">
        <v>385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2045</v>
      </c>
      <c r="B41" s="3" t="s">
        <v>1901</v>
      </c>
      <c r="C41" s="3" t="s">
        <v>2056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352</v>
      </c>
      <c r="B42" s="3" t="s">
        <v>515</v>
      </c>
      <c r="C42" s="3" t="s">
        <v>2057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361</v>
      </c>
      <c r="C43" s="3" t="s">
        <v>2058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2066</v>
      </c>
      <c r="B3" s="3" t="s">
        <v>2067</v>
      </c>
      <c r="C3" s="3" t="s">
        <v>2068</v>
      </c>
      <c r="E3" t="s">
        <v>2148</v>
      </c>
      <c r="F3" t="s">
        <v>1292</v>
      </c>
      <c r="G3" t="s">
        <v>1293</v>
      </c>
      <c r="H3" t="s">
        <v>599</v>
      </c>
      <c r="I3">
        <v>13</v>
      </c>
      <c r="J3" s="19">
        <v>0.05</v>
      </c>
      <c r="K3">
        <v>25</v>
      </c>
      <c r="L3" s="8">
        <f t="shared" ref="L3:L49" si="0">IF($G3="","",$I3*(1+IF($J3="",0,$J3)))</f>
        <v>13.65</v>
      </c>
      <c r="M3" s="8">
        <f t="shared" ref="M3:M49" si="1">IF($G3="","",$L3)</f>
        <v>13.65</v>
      </c>
      <c r="N3" s="8">
        <f t="shared" ref="N3:N49" si="2">IF($G3="","",IF($K3="","",$M3*$K3))</f>
        <v>341.25</v>
      </c>
      <c r="P3" t="s">
        <v>2158</v>
      </c>
      <c r="Q3" t="s">
        <v>1302</v>
      </c>
      <c r="R3" t="s">
        <v>255</v>
      </c>
      <c r="S3" t="s">
        <v>33</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2069</v>
      </c>
      <c r="B4" s="3" t="s">
        <v>2070</v>
      </c>
      <c r="C4" s="3" t="s">
        <v>2071</v>
      </c>
      <c r="E4" t="s">
        <v>2149</v>
      </c>
      <c r="F4" t="s">
        <v>1292</v>
      </c>
      <c r="G4" t="s">
        <v>1294</v>
      </c>
      <c r="H4" t="s">
        <v>599</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2072</v>
      </c>
      <c r="B5" s="3" t="s">
        <v>2073</v>
      </c>
      <c r="C5" s="3" t="s">
        <v>2074</v>
      </c>
      <c r="E5" t="s">
        <v>2150</v>
      </c>
      <c r="F5" t="s">
        <v>2151</v>
      </c>
      <c r="G5" t="s">
        <v>1295</v>
      </c>
      <c r="H5" t="s">
        <v>656</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2075</v>
      </c>
      <c r="B6" s="3" t="s">
        <v>2076</v>
      </c>
      <c r="C6" s="3" t="s">
        <v>2077</v>
      </c>
      <c r="E6" t="s">
        <v>2152</v>
      </c>
      <c r="F6" t="s">
        <v>2151</v>
      </c>
      <c r="G6" t="s">
        <v>1296</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2075</v>
      </c>
      <c r="B7" s="3" t="s">
        <v>2078</v>
      </c>
      <c r="C7" s="3" t="s">
        <v>2079</v>
      </c>
      <c r="E7" t="s">
        <v>2153</v>
      </c>
      <c r="F7" t="s">
        <v>2154</v>
      </c>
      <c r="G7" t="s">
        <v>1297</v>
      </c>
      <c r="H7" t="s">
        <v>656</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2080</v>
      </c>
      <c r="B8" s="3" t="s">
        <v>2081</v>
      </c>
      <c r="C8" s="3" t="s">
        <v>2082</v>
      </c>
      <c r="E8" t="s">
        <v>1298</v>
      </c>
      <c r="F8" t="s">
        <v>2155</v>
      </c>
      <c r="G8" t="s">
        <v>1299</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2075</v>
      </c>
      <c r="B9" s="3" t="s">
        <v>1083</v>
      </c>
      <c r="C9" s="3" t="s">
        <v>2083</v>
      </c>
      <c r="E9" t="s">
        <v>2156</v>
      </c>
      <c r="F9" t="s">
        <v>2155</v>
      </c>
      <c r="G9" t="s">
        <v>45</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2075</v>
      </c>
      <c r="B10" s="3" t="s">
        <v>2084</v>
      </c>
      <c r="C10" s="3" t="s">
        <v>2085</v>
      </c>
      <c r="E10" t="s">
        <v>2157</v>
      </c>
      <c r="F10" t="s">
        <v>1300</v>
      </c>
      <c r="G10" t="s">
        <v>1301</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2080</v>
      </c>
      <c r="B11" s="3" t="s">
        <v>2086</v>
      </c>
      <c r="C11" s="3" t="s">
        <v>2087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2080</v>
      </c>
      <c r="B12" s="3" t="s">
        <v>2088</v>
      </c>
      <c r="C12" s="3" t="s">
        <v>2089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2080</v>
      </c>
      <c r="B13" s="3" t="s">
        <v>2090</v>
      </c>
      <c r="C13" s="3" t="s">
        <v>2091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2075</v>
      </c>
      <c r="B14" s="3" t="s">
        <v>2092</v>
      </c>
      <c r="C14" s="3" t="s">
        <v>2093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2075</v>
      </c>
      <c r="B15" s="3" t="s">
        <v>2094</v>
      </c>
      <c r="C15" s="3" t="s">
        <v>2095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2075</v>
      </c>
      <c r="B16" s="3" t="s">
        <v>2096</v>
      </c>
      <c r="C16" s="3" t="s">
        <v>2097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2075</v>
      </c>
      <c r="B17" s="3" t="s">
        <v>2098</v>
      </c>
      <c r="C17" s="3" t="s">
        <v>2099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2075</v>
      </c>
      <c r="B18" s="3" t="s">
        <v>2100</v>
      </c>
      <c r="C18" s="3" t="s">
        <v>2101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2075</v>
      </c>
      <c r="B19" s="3" t="s">
        <v>2102</v>
      </c>
      <c r="C19" s="3" t="s">
        <v>2103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2075</v>
      </c>
      <c r="B20" s="3" t="s">
        <v>2104</v>
      </c>
      <c r="C20" s="3" t="s">
        <v>2105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2075</v>
      </c>
      <c r="B21" s="3" t="s">
        <v>2106</v>
      </c>
      <c r="C21" s="3" t="s">
        <v>2107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2075</v>
      </c>
      <c r="B22" s="3" t="s">
        <v>512</v>
      </c>
      <c r="C22" s="3" t="s">
        <v>2108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2075</v>
      </c>
      <c r="B23" s="3" t="s">
        <v>298</v>
      </c>
      <c r="C23" s="3" t="s">
        <v>2109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2110</v>
      </c>
      <c r="B24" s="3" t="s">
        <v>2111</v>
      </c>
      <c r="C24" s="3" t="s">
        <v>2112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2110</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2110</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2110</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2110</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2110</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2110</v>
      </c>
      <c r="B30" s="3" t="s">
        <v>2123</v>
      </c>
      <c r="C30" s="3" t="s">
        <v>1272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2110</v>
      </c>
      <c r="B31" s="3" t="s">
        <v>2124</v>
      </c>
      <c r="C31" s="3" t="s">
        <v>2125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2080</v>
      </c>
      <c r="B32" s="3" t="s">
        <v>2126</v>
      </c>
      <c r="C32" s="3" t="s">
        <v>2127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2080</v>
      </c>
      <c r="B33" s="3" t="s">
        <v>2128</v>
      </c>
      <c r="C33" s="3" t="s">
        <v>2129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2080</v>
      </c>
      <c r="B34" s="3" t="s">
        <v>2130</v>
      </c>
      <c r="C34" s="3" t="s">
        <v>2131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2080</v>
      </c>
      <c r="B35" s="3" t="s">
        <v>2132</v>
      </c>
      <c r="C35" s="3" t="s">
        <v>2133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2080</v>
      </c>
      <c r="B36" s="3" t="s">
        <v>2134</v>
      </c>
      <c r="C36" s="3" t="s">
        <v>2135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2080</v>
      </c>
      <c r="B37" s="3" t="s">
        <v>2136</v>
      </c>
      <c r="C37" s="3" t="s">
        <v>2137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2080</v>
      </c>
      <c r="B38" s="3" t="s">
        <v>2138</v>
      </c>
      <c r="C38" s="3" t="s">
        <v>2139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2080</v>
      </c>
      <c r="B39" s="3" t="s">
        <v>2140</v>
      </c>
      <c r="C39" s="3" t="s">
        <v>2141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2142</v>
      </c>
      <c r="B40" s="3" t="s">
        <v>1443</v>
      </c>
      <c r="C40" s="3" t="s">
        <v>385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2080</v>
      </c>
      <c r="B41" s="3" t="s">
        <v>1901</v>
      </c>
      <c r="C41" s="3" t="s">
        <v>2143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2075</v>
      </c>
      <c r="B42" s="3" t="s">
        <v>515</v>
      </c>
      <c r="C42" s="3" t="s">
        <v>2144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2145</v>
      </c>
      <c r="B43" s="3" t="s">
        <v>2146</v>
      </c>
      <c r="C43" s="3" t="s">
        <v>2147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362</v>
      </c>
      <c r="B3" s="3" t="s">
        <v>1492</v>
      </c>
      <c r="C3" s="3" t="s">
        <v>1493</v>
      </c>
      <c r="E3" t="s">
        <v>1548</v>
      </c>
      <c r="F3" t="s">
        <v>1549</v>
      </c>
      <c r="G3" t="s">
        <v>1550</v>
      </c>
      <c r="H3" t="s">
        <v>10</v>
      </c>
      <c r="I3">
        <v>5</v>
      </c>
      <c r="J3" s="19">
        <v>0</v>
      </c>
      <c r="K3">
        <v>105</v>
      </c>
      <c r="L3" s="8">
        <f t="shared" ref="L3:L49" si="0">IF($G3="","",$I3*(1+IF($J3="",0,$J3)))</f>
        <v>5</v>
      </c>
      <c r="M3" s="8">
        <f t="shared" ref="M3:M49" si="1">IF($G3="","",$L3)</f>
        <v>5</v>
      </c>
      <c r="N3" s="8">
        <f t="shared" ref="N3:N49" si="2">IF($G3="","",IF($K3="","",$M3*$K3))</f>
        <v>525</v>
      </c>
      <c r="P3" t="s">
        <v>2167</v>
      </c>
      <c r="Q3" t="s">
        <v>1569</v>
      </c>
      <c r="R3" t="s">
        <v>255</v>
      </c>
      <c r="S3" t="s">
        <v>33</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363</v>
      </c>
      <c r="B4" s="3" t="s">
        <v>1494</v>
      </c>
      <c r="C4" s="3" t="s">
        <v>1495</v>
      </c>
      <c r="E4" t="s">
        <v>2161</v>
      </c>
      <c r="F4" t="s">
        <v>1551</v>
      </c>
      <c r="G4" t="s">
        <v>1552</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1496</v>
      </c>
      <c r="C5" s="3" t="s">
        <v>1497</v>
      </c>
      <c r="E5" t="s">
        <v>2162</v>
      </c>
      <c r="F5" t="s">
        <v>1553</v>
      </c>
      <c r="G5" t="s">
        <v>1554</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364</v>
      </c>
      <c r="B6" s="3" t="s">
        <v>1498</v>
      </c>
      <c r="C6" s="3" t="s">
        <v>1499</v>
      </c>
      <c r="E6" t="s">
        <v>2163</v>
      </c>
      <c r="F6" t="s">
        <v>1555</v>
      </c>
      <c r="G6" t="s">
        <v>1554</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364</v>
      </c>
      <c r="B7" s="3" t="s">
        <v>1500</v>
      </c>
      <c r="C7" s="3" t="s">
        <v>1501</v>
      </c>
      <c r="E7" t="s">
        <v>2164</v>
      </c>
      <c r="F7" t="s">
        <v>1556</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364</v>
      </c>
      <c r="B8" s="3" t="s">
        <v>1502</v>
      </c>
      <c r="C8" s="3" t="s">
        <v>1503</v>
      </c>
      <c r="E8" t="s">
        <v>2165</v>
      </c>
      <c r="F8" t="s">
        <v>1557</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364</v>
      </c>
      <c r="B9" s="3" t="s">
        <v>1504</v>
      </c>
      <c r="C9" s="3" t="s">
        <v>1505</v>
      </c>
      <c r="E9" t="s">
        <v>1558</v>
      </c>
      <c r="F9" t="s">
        <v>1559</v>
      </c>
      <c r="G9" t="s">
        <v>42</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1304</v>
      </c>
      <c r="B10" s="3" t="s">
        <v>1305</v>
      </c>
      <c r="C10" s="3" t="s">
        <v>1506</v>
      </c>
      <c r="E10" t="s">
        <v>1560</v>
      </c>
      <c r="F10" t="s">
        <v>1561</v>
      </c>
      <c r="G10" t="s">
        <v>1562</v>
      </c>
      <c r="H10" t="s">
        <v>1563</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1304</v>
      </c>
      <c r="B11" s="3" t="s">
        <v>1306</v>
      </c>
      <c r="C11" s="3" t="s">
        <v>1307</v>
      </c>
      <c r="E11" t="s">
        <v>1564</v>
      </c>
      <c r="F11" t="s">
        <v>1565</v>
      </c>
      <c r="G11" t="s">
        <v>43</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1304</v>
      </c>
      <c r="B12" s="3" t="s">
        <v>1308</v>
      </c>
      <c r="C12" s="3" t="s">
        <v>1507</v>
      </c>
      <c r="E12" t="s">
        <v>2166</v>
      </c>
      <c r="F12" t="s">
        <v>1566</v>
      </c>
      <c r="G12" t="s">
        <v>2009</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1304</v>
      </c>
      <c r="B13" s="3" t="s">
        <v>1508</v>
      </c>
      <c r="C13" s="3" t="s">
        <v>1509</v>
      </c>
      <c r="E13" t="s">
        <v>1567</v>
      </c>
      <c r="F13" t="s">
        <v>1566</v>
      </c>
      <c r="G13" t="s">
        <v>1568</v>
      </c>
      <c r="H13" t="s">
        <v>44</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1304</v>
      </c>
      <c r="B14" s="3" t="s">
        <v>1510</v>
      </c>
      <c r="C14" s="3" t="s">
        <v>1511</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364</v>
      </c>
      <c r="B15" s="3" t="s">
        <v>1512</v>
      </c>
      <c r="C15" s="3" t="s">
        <v>1513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364</v>
      </c>
      <c r="B16" s="3" t="s">
        <v>1309</v>
      </c>
      <c r="C16" s="3" t="s">
        <v>1310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364</v>
      </c>
      <c r="B17" s="3" t="s">
        <v>1311</v>
      </c>
      <c r="C17" s="3" t="s">
        <v>1312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364</v>
      </c>
      <c r="B18" s="3" t="s">
        <v>1019</v>
      </c>
      <c r="C18" s="3" t="s">
        <v>1514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1304</v>
      </c>
      <c r="B19" s="3" t="s">
        <v>1313</v>
      </c>
      <c r="C19" s="3" t="s">
        <v>1314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1304</v>
      </c>
      <c r="B20" s="3" t="s">
        <v>1315</v>
      </c>
      <c r="C20" s="3" t="s">
        <v>1515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1304</v>
      </c>
      <c r="B21" s="3" t="s">
        <v>1316</v>
      </c>
      <c r="C21" s="3" t="s">
        <v>1317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1304</v>
      </c>
      <c r="B22" s="3" t="s">
        <v>1318</v>
      </c>
      <c r="C22" s="3" t="s">
        <v>1319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364</v>
      </c>
      <c r="B23" s="3" t="s">
        <v>1320</v>
      </c>
      <c r="C23" s="3" t="s">
        <v>1516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1304</v>
      </c>
      <c r="B24" s="3" t="s">
        <v>1517</v>
      </c>
      <c r="C24" s="3" t="s">
        <v>1518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1304</v>
      </c>
      <c r="B25" s="3" t="s">
        <v>1519</v>
      </c>
      <c r="C25" s="3" t="s">
        <v>1520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1304</v>
      </c>
      <c r="B26" s="3" t="s">
        <v>1521</v>
      </c>
      <c r="C26" s="3" t="s">
        <v>1522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1304</v>
      </c>
      <c r="B27" s="3" t="s">
        <v>1523</v>
      </c>
      <c r="C27" s="3" t="s">
        <v>1524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1525</v>
      </c>
      <c r="C28" s="3" t="s">
        <v>1526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364</v>
      </c>
      <c r="B29" s="3" t="s">
        <v>1527</v>
      </c>
      <c r="C29" s="3" t="s">
        <v>1528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1321</v>
      </c>
      <c r="C30" s="3" t="s">
        <v>1529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1322</v>
      </c>
      <c r="B31" s="3" t="s">
        <v>1323</v>
      </c>
      <c r="C31" s="3" t="s">
        <v>1324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1325</v>
      </c>
      <c r="C32" s="3" t="s">
        <v>1530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1322</v>
      </c>
      <c r="B33" s="3" t="s">
        <v>1326</v>
      </c>
      <c r="C33" s="3" t="s">
        <v>1327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1322</v>
      </c>
      <c r="B34" s="3" t="s">
        <v>1328</v>
      </c>
      <c r="C34" s="3" t="s">
        <v>1329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1322</v>
      </c>
      <c r="B35" s="3" t="s">
        <v>1330</v>
      </c>
      <c r="C35" s="3" t="s">
        <v>1329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1322</v>
      </c>
      <c r="B36" s="3" t="s">
        <v>1331</v>
      </c>
      <c r="C36" s="3" t="s">
        <v>1332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1322</v>
      </c>
      <c r="B37" s="3" t="s">
        <v>1531</v>
      </c>
      <c r="C37" s="3" t="s">
        <v>1332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1322</v>
      </c>
      <c r="B38" s="3" t="s">
        <v>1334</v>
      </c>
      <c r="C38" s="3" t="s">
        <v>1335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1322</v>
      </c>
      <c r="B39" s="3" t="s">
        <v>1336</v>
      </c>
      <c r="C39" s="3" t="s">
        <v>1337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1322</v>
      </c>
      <c r="B40" s="3" t="s">
        <v>1338</v>
      </c>
      <c r="C40" s="3" t="s">
        <v>1339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1322</v>
      </c>
      <c r="B41" s="3" t="s">
        <v>1532</v>
      </c>
      <c r="C41" s="3" t="s">
        <v>1992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1322</v>
      </c>
      <c r="B42" s="3" t="s">
        <v>1533</v>
      </c>
      <c r="C42" s="3" t="s">
        <v>1534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364</v>
      </c>
      <c r="B43" s="3" t="s">
        <v>1333</v>
      </c>
      <c r="C43" s="3" t="s">
        <v>1535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364</v>
      </c>
      <c r="B44" s="3" t="s">
        <v>1536</v>
      </c>
      <c r="C44" s="3" t="s">
        <v>1537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364</v>
      </c>
      <c r="B45" s="3" t="s">
        <v>1340</v>
      </c>
      <c r="C45" s="3" t="s">
        <v>1538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364</v>
      </c>
      <c r="B46" s="3" t="s">
        <v>1341</v>
      </c>
      <c r="C46" s="3" t="s">
        <v>1539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364</v>
      </c>
      <c r="B47" s="3" t="s">
        <v>1540</v>
      </c>
      <c r="C47" s="3" t="s">
        <v>1541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364</v>
      </c>
      <c r="B48" s="3" t="s">
        <v>1342</v>
      </c>
      <c r="C48" s="3" t="s">
        <v>1542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364</v>
      </c>
      <c r="B49" s="3" t="s">
        <v>1343</v>
      </c>
      <c r="C49" s="3" t="s">
        <v>1543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364</v>
      </c>
      <c r="B50" s="3" t="s">
        <v>1344</v>
      </c>
      <c r="C50" s="3" t="s">
        <v>1544</v>
      </c>
    </row>
    <row r="51" spans="1:36" x14ac:dyDescent="0.25">
      <c r="A51" s="3" t="s">
        <v>364</v>
      </c>
      <c r="B51" s="3" t="s">
        <v>1345</v>
      </c>
      <c r="C51" s="3" t="s">
        <v>1545</v>
      </c>
    </row>
    <row r="52" spans="1:36" x14ac:dyDescent="0.25">
      <c r="A52" s="3" t="s">
        <v>364</v>
      </c>
      <c r="B52" s="3" t="s">
        <v>1346</v>
      </c>
      <c r="C52" s="3" t="s">
        <v>1546</v>
      </c>
    </row>
    <row r="53" spans="1:36" x14ac:dyDescent="0.25">
      <c r="A53" s="3" t="s">
        <v>364</v>
      </c>
      <c r="B53" s="3" t="s">
        <v>298</v>
      </c>
      <c r="C53" s="3" t="s">
        <v>1347</v>
      </c>
    </row>
    <row r="54" spans="1:36" x14ac:dyDescent="0.25">
      <c r="A54" s="3" t="s">
        <v>1348</v>
      </c>
      <c r="B54" s="3" t="s">
        <v>1443</v>
      </c>
      <c r="C54" s="3" t="s">
        <v>385</v>
      </c>
    </row>
    <row r="55" spans="1:36" x14ac:dyDescent="0.25">
      <c r="A55" s="3" t="s">
        <v>1304</v>
      </c>
      <c r="B55" s="3" t="s">
        <v>1901</v>
      </c>
      <c r="C55" s="3" t="s">
        <v>2159</v>
      </c>
    </row>
    <row r="56" spans="1:36" x14ac:dyDescent="0.25">
      <c r="A56" s="3" t="s">
        <v>364</v>
      </c>
      <c r="B56" s="3" t="s">
        <v>515</v>
      </c>
      <c r="C56" s="3" t="s">
        <v>1547</v>
      </c>
    </row>
    <row r="57" spans="1:36" x14ac:dyDescent="0.25">
      <c r="A57" s="3" t="s">
        <v>365</v>
      </c>
      <c r="B57" s="3" t="s">
        <v>366</v>
      </c>
      <c r="C57" s="3" t="s">
        <v>2160</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367</v>
      </c>
      <c r="B3" s="3" t="s">
        <v>1570</v>
      </c>
      <c r="C3" s="3" t="s">
        <v>1698</v>
      </c>
      <c r="E3" t="s">
        <v>1654</v>
      </c>
      <c r="F3" t="s">
        <v>1655</v>
      </c>
      <c r="G3" t="s">
        <v>1656</v>
      </c>
      <c r="H3" t="s">
        <v>260</v>
      </c>
      <c r="I3">
        <v>1</v>
      </c>
      <c r="J3" s="19">
        <v>0</v>
      </c>
      <c r="K3">
        <v>92</v>
      </c>
      <c r="L3" s="8">
        <f t="shared" ref="L3:L49" si="0">IF($G3="","",$I3*(1+IF($J3="",0,$J3)))</f>
        <v>1</v>
      </c>
      <c r="M3" s="8">
        <f t="shared" ref="M3:M49" si="1">IF($G3="","",$L3)</f>
        <v>1</v>
      </c>
      <c r="N3" s="8">
        <f t="shared" ref="N3:N49" si="2">IF($G3="","",IF($K3="","",$M3*$K3))</f>
        <v>92</v>
      </c>
      <c r="P3" t="s">
        <v>2170</v>
      </c>
      <c r="Q3" t="s">
        <v>1697</v>
      </c>
      <c r="R3" t="s">
        <v>255</v>
      </c>
      <c r="S3" t="s">
        <v>33</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368</v>
      </c>
      <c r="B4" s="3" t="s">
        <v>1699</v>
      </c>
      <c r="C4" s="3" t="s">
        <v>1700</v>
      </c>
      <c r="E4" t="s">
        <v>1654</v>
      </c>
      <c r="F4" t="s">
        <v>1655</v>
      </c>
      <c r="G4" t="s">
        <v>1657</v>
      </c>
      <c r="H4" t="s">
        <v>260</v>
      </c>
      <c r="I4">
        <v>1</v>
      </c>
      <c r="J4" s="19">
        <v>0</v>
      </c>
      <c r="K4">
        <v>92</v>
      </c>
      <c r="L4" s="8">
        <f t="shared" si="0"/>
        <v>1</v>
      </c>
      <c r="M4" s="8">
        <f t="shared" si="1"/>
        <v>1</v>
      </c>
      <c r="N4" s="8">
        <f t="shared" si="2"/>
        <v>92</v>
      </c>
      <c r="P4" t="s">
        <v>2171</v>
      </c>
      <c r="Q4" t="s">
        <v>1697</v>
      </c>
      <c r="R4" t="s">
        <v>255</v>
      </c>
      <c r="S4" t="s">
        <v>33</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1571</v>
      </c>
      <c r="B5" s="3" t="s">
        <v>1572</v>
      </c>
      <c r="C5" s="3" t="s">
        <v>1701</v>
      </c>
      <c r="E5" t="s">
        <v>1654</v>
      </c>
      <c r="F5" t="s">
        <v>1655</v>
      </c>
      <c r="G5" t="s">
        <v>1658</v>
      </c>
      <c r="H5" t="s">
        <v>260</v>
      </c>
      <c r="I5">
        <v>1</v>
      </c>
      <c r="J5" s="19">
        <v>0</v>
      </c>
      <c r="K5">
        <v>92</v>
      </c>
      <c r="L5" s="8">
        <f t="shared" si="0"/>
        <v>1</v>
      </c>
      <c r="M5" s="8">
        <f t="shared" si="1"/>
        <v>1</v>
      </c>
      <c r="N5" s="8">
        <f t="shared" si="2"/>
        <v>92</v>
      </c>
      <c r="P5" t="s">
        <v>2172</v>
      </c>
      <c r="Q5" t="s">
        <v>1697</v>
      </c>
      <c r="R5" t="s">
        <v>255</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369</v>
      </c>
      <c r="B6" s="3" t="s">
        <v>1573</v>
      </c>
      <c r="C6" s="3" t="s">
        <v>1702</v>
      </c>
      <c r="E6" t="s">
        <v>1659</v>
      </c>
      <c r="F6" t="s">
        <v>1655</v>
      </c>
      <c r="G6" t="s">
        <v>1660</v>
      </c>
      <c r="H6" t="s">
        <v>260</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369</v>
      </c>
      <c r="B7" s="3" t="s">
        <v>1574</v>
      </c>
      <c r="C7" s="3" t="s">
        <v>1703</v>
      </c>
      <c r="E7" t="s">
        <v>1659</v>
      </c>
      <c r="F7" t="s">
        <v>1655</v>
      </c>
      <c r="G7" t="s">
        <v>1661</v>
      </c>
      <c r="H7" t="s">
        <v>260</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369</v>
      </c>
      <c r="B8" s="3" t="s">
        <v>1575</v>
      </c>
      <c r="C8" s="3" t="s">
        <v>1704</v>
      </c>
      <c r="E8" t="s">
        <v>1659</v>
      </c>
      <c r="F8" t="s">
        <v>1655</v>
      </c>
      <c r="G8" t="s">
        <v>1662</v>
      </c>
      <c r="H8" t="s">
        <v>260</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369</v>
      </c>
      <c r="B9" s="3" t="s">
        <v>1576</v>
      </c>
      <c r="C9" s="3" t="s">
        <v>1705</v>
      </c>
      <c r="E9" t="s">
        <v>1663</v>
      </c>
      <c r="F9" t="s">
        <v>1664</v>
      </c>
      <c r="G9" t="s">
        <v>1665</v>
      </c>
      <c r="H9" t="s">
        <v>1666</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369</v>
      </c>
      <c r="B10" s="3" t="s">
        <v>1577</v>
      </c>
      <c r="C10" s="3" t="s">
        <v>1706</v>
      </c>
      <c r="E10" t="s">
        <v>1667</v>
      </c>
      <c r="F10" t="s">
        <v>1668</v>
      </c>
      <c r="G10" t="s">
        <v>1669</v>
      </c>
      <c r="H10" t="s">
        <v>656</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369</v>
      </c>
      <c r="B11" s="3" t="s">
        <v>1600</v>
      </c>
      <c r="C11" s="3" t="s">
        <v>1601</v>
      </c>
      <c r="E11" t="s">
        <v>1670</v>
      </c>
      <c r="F11" t="s">
        <v>1668</v>
      </c>
      <c r="G11" t="s">
        <v>1671</v>
      </c>
      <c r="H11" t="s">
        <v>656</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1578</v>
      </c>
      <c r="B12" s="3" t="s">
        <v>1579</v>
      </c>
      <c r="C12" s="3" t="s">
        <v>1707</v>
      </c>
      <c r="E12" t="s">
        <v>1672</v>
      </c>
      <c r="F12" t="s">
        <v>1668</v>
      </c>
      <c r="G12" t="s">
        <v>1673</v>
      </c>
      <c r="H12" t="s">
        <v>892</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1578</v>
      </c>
      <c r="B13" s="3" t="s">
        <v>1580</v>
      </c>
      <c r="C13" s="3" t="s">
        <v>1581</v>
      </c>
      <c r="E13" t="s">
        <v>1674</v>
      </c>
      <c r="F13" t="s">
        <v>1675</v>
      </c>
      <c r="G13" t="s">
        <v>1676</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1578</v>
      </c>
      <c r="B14" s="3" t="s">
        <v>1582</v>
      </c>
      <c r="C14" s="3" t="s">
        <v>1708</v>
      </c>
      <c r="E14" t="s">
        <v>1718</v>
      </c>
      <c r="F14" t="s">
        <v>1677</v>
      </c>
      <c r="G14" t="s">
        <v>1678</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1578</v>
      </c>
      <c r="B15" s="3" t="s">
        <v>1583</v>
      </c>
      <c r="C15" s="3" t="s">
        <v>1709</v>
      </c>
      <c r="E15" t="s">
        <v>1719</v>
      </c>
      <c r="F15" t="s">
        <v>1679</v>
      </c>
      <c r="G15" t="s">
        <v>1680</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1578</v>
      </c>
      <c r="B16" s="3" t="s">
        <v>1584</v>
      </c>
      <c r="C16" s="3" t="s">
        <v>1585</v>
      </c>
      <c r="E16" t="s">
        <v>1681</v>
      </c>
      <c r="F16" t="s">
        <v>1682</v>
      </c>
      <c r="G16" t="s">
        <v>46</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1578</v>
      </c>
      <c r="B17" s="3" t="s">
        <v>1586</v>
      </c>
      <c r="C17" s="3" t="s">
        <v>1587</v>
      </c>
      <c r="E17" t="s">
        <v>1720</v>
      </c>
      <c r="F17" t="s">
        <v>1682</v>
      </c>
      <c r="G17" t="s">
        <v>1683</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1578</v>
      </c>
      <c r="B18" s="3" t="s">
        <v>1588</v>
      </c>
      <c r="C18" s="3" t="s">
        <v>1589</v>
      </c>
      <c r="E18" t="s">
        <v>1684</v>
      </c>
      <c r="F18" t="s">
        <v>1685</v>
      </c>
      <c r="G18" t="s">
        <v>1686</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1578</v>
      </c>
      <c r="B19" s="3" t="s">
        <v>1590</v>
      </c>
      <c r="C19" s="3" t="s">
        <v>1710</v>
      </c>
      <c r="E19" t="s">
        <v>1687</v>
      </c>
      <c r="F19" t="s">
        <v>1685</v>
      </c>
      <c r="G19" t="s">
        <v>1688</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1578</v>
      </c>
      <c r="B20" s="3" t="s">
        <v>1591</v>
      </c>
      <c r="C20" s="3" t="s">
        <v>1592</v>
      </c>
      <c r="E20" t="s">
        <v>1689</v>
      </c>
      <c r="F20" t="s">
        <v>1685</v>
      </c>
      <c r="G20" t="s">
        <v>1690</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369</v>
      </c>
      <c r="B21" s="3" t="s">
        <v>1593</v>
      </c>
      <c r="C21" s="3" t="s">
        <v>1594</v>
      </c>
      <c r="E21" t="s">
        <v>1691</v>
      </c>
      <c r="F21" t="s">
        <v>1685</v>
      </c>
      <c r="G21" t="s">
        <v>1692</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369</v>
      </c>
      <c r="B22" s="3" t="s">
        <v>1595</v>
      </c>
      <c r="C22" s="3" t="s">
        <v>1711</v>
      </c>
      <c r="E22" t="s">
        <v>1693</v>
      </c>
      <c r="F22" t="s">
        <v>1664</v>
      </c>
      <c r="G22" t="s">
        <v>1694</v>
      </c>
      <c r="H22" t="s">
        <v>656</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369</v>
      </c>
      <c r="B23" s="3" t="s">
        <v>1596</v>
      </c>
      <c r="C23" s="3" t="s">
        <v>1597</v>
      </c>
      <c r="E23" t="s">
        <v>1695</v>
      </c>
      <c r="F23" t="s">
        <v>1664</v>
      </c>
      <c r="G23" t="s">
        <v>1696</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369</v>
      </c>
      <c r="B24" s="3" t="s">
        <v>1598</v>
      </c>
      <c r="C24" s="3" t="s">
        <v>1599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369</v>
      </c>
      <c r="B25" s="3" t="s">
        <v>1602</v>
      </c>
      <c r="C25" s="3" t="s">
        <v>1603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369</v>
      </c>
      <c r="B26" s="3" t="s">
        <v>1604</v>
      </c>
      <c r="C26" s="3" t="s">
        <v>1605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369</v>
      </c>
      <c r="B27" s="3" t="s">
        <v>1606</v>
      </c>
      <c r="C27" s="3" t="s">
        <v>1607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369</v>
      </c>
      <c r="B28" s="3" t="s">
        <v>1608</v>
      </c>
      <c r="C28" s="3" t="s">
        <v>1712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369</v>
      </c>
      <c r="B29" s="3" t="s">
        <v>1713</v>
      </c>
      <c r="C29" s="3" t="s">
        <v>1714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1609</v>
      </c>
      <c r="B30" s="3" t="s">
        <v>1610</v>
      </c>
      <c r="C30" s="3" t="s">
        <v>1611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1609</v>
      </c>
      <c r="B31" s="3" t="s">
        <v>1612</v>
      </c>
      <c r="C31" s="3" t="s">
        <v>1613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1609</v>
      </c>
      <c r="B32" s="3" t="s">
        <v>1614</v>
      </c>
      <c r="C32" s="3" t="s">
        <v>1615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1609</v>
      </c>
      <c r="B33" s="3" t="s">
        <v>1616</v>
      </c>
      <c r="C33" s="3" t="s">
        <v>1617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1609</v>
      </c>
      <c r="B34" s="3" t="s">
        <v>1618</v>
      </c>
      <c r="C34" s="3" t="s">
        <v>1619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1609</v>
      </c>
      <c r="B35" s="3" t="s">
        <v>1620</v>
      </c>
      <c r="C35" s="3" t="s">
        <v>1621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1609</v>
      </c>
      <c r="B36" s="3" t="s">
        <v>1622</v>
      </c>
      <c r="C36" s="3" t="s">
        <v>1623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1609</v>
      </c>
      <c r="B37" s="3" t="s">
        <v>1624</v>
      </c>
      <c r="C37" s="3" t="s">
        <v>1625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1609</v>
      </c>
      <c r="B38" s="3" t="s">
        <v>1626</v>
      </c>
      <c r="C38" s="3" t="s">
        <v>1627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1609</v>
      </c>
      <c r="B39" s="3" t="s">
        <v>1628</v>
      </c>
      <c r="C39" s="3" t="s">
        <v>1629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1609</v>
      </c>
      <c r="B40" s="3" t="s">
        <v>1630</v>
      </c>
      <c r="C40" s="3" t="s">
        <v>1631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1609</v>
      </c>
      <c r="B41" s="3" t="s">
        <v>1632</v>
      </c>
      <c r="C41" s="3" t="s">
        <v>1633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1609</v>
      </c>
      <c r="B42" s="3" t="s">
        <v>1634</v>
      </c>
      <c r="C42" s="3" t="s">
        <v>1635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1609</v>
      </c>
      <c r="B43" s="3" t="s">
        <v>1636</v>
      </c>
      <c r="C43" s="3" t="s">
        <v>1637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1609</v>
      </c>
      <c r="B44" s="3" t="s">
        <v>1638</v>
      </c>
      <c r="C44" s="3" t="s">
        <v>1639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1609</v>
      </c>
      <c r="B45" s="3" t="s">
        <v>1640</v>
      </c>
      <c r="C45" s="3" t="s">
        <v>1641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1609</v>
      </c>
      <c r="B46" s="3" t="s">
        <v>1642</v>
      </c>
      <c r="C46" s="3" t="s">
        <v>1643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1609</v>
      </c>
      <c r="B47" s="3" t="s">
        <v>1644</v>
      </c>
      <c r="C47" s="3" t="s">
        <v>1645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1609</v>
      </c>
      <c r="B48" s="3" t="s">
        <v>1646</v>
      </c>
      <c r="C48" s="3" t="s">
        <v>1647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1609</v>
      </c>
      <c r="B49" s="3" t="s">
        <v>1648</v>
      </c>
      <c r="C49" s="3" t="s">
        <v>1649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1609</v>
      </c>
      <c r="B50" s="3" t="s">
        <v>1650</v>
      </c>
      <c r="C50" s="3" t="s">
        <v>1651</v>
      </c>
    </row>
    <row r="51" spans="1:36" x14ac:dyDescent="0.25">
      <c r="A51" s="3" t="s">
        <v>1652</v>
      </c>
      <c r="B51" s="3" t="s">
        <v>1715</v>
      </c>
      <c r="C51" s="3" t="s">
        <v>385</v>
      </c>
    </row>
    <row r="52" spans="1:36" x14ac:dyDescent="0.25">
      <c r="A52" s="3" t="s">
        <v>1578</v>
      </c>
      <c r="B52" s="3" t="s">
        <v>1901</v>
      </c>
      <c r="C52" s="3" t="s">
        <v>2168</v>
      </c>
    </row>
    <row r="53" spans="1:36" x14ac:dyDescent="0.25">
      <c r="A53" s="3" t="s">
        <v>369</v>
      </c>
      <c r="B53" s="3" t="s">
        <v>515</v>
      </c>
      <c r="C53" s="3" t="s">
        <v>2169</v>
      </c>
    </row>
    <row r="54" spans="1:36" x14ac:dyDescent="0.25">
      <c r="A54" s="3" t="s">
        <v>370</v>
      </c>
      <c r="B54" s="3" t="s">
        <v>1716</v>
      </c>
      <c r="C54" s="3" t="s">
        <v>1717</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1721</v>
      </c>
      <c r="B3" s="3" t="s">
        <v>1722</v>
      </c>
      <c r="C3" s="3" t="s">
        <v>1723</v>
      </c>
      <c r="E3" t="s">
        <v>1795</v>
      </c>
      <c r="F3" t="s">
        <v>1796</v>
      </c>
      <c r="G3" t="s">
        <v>1222</v>
      </c>
      <c r="H3" t="s">
        <v>648</v>
      </c>
      <c r="I3">
        <v>1</v>
      </c>
      <c r="J3" s="19">
        <v>0.05</v>
      </c>
      <c r="K3">
        <v>160</v>
      </c>
      <c r="L3" s="8">
        <f t="shared" ref="L3:L49" si="0">IF($G3="","",$I3*(1+IF($J3="",0,$J3)))</f>
        <v>1.05</v>
      </c>
      <c r="M3" s="8">
        <f t="shared" ref="M3:M49" si="1">IF($G3="","",$L3)</f>
        <v>1.05</v>
      </c>
      <c r="N3" s="8">
        <f t="shared" ref="N3:N49" si="2">IF($G3="","",IF($K3="","",$M3*$K3))</f>
        <v>168</v>
      </c>
      <c r="P3" t="s">
        <v>2175</v>
      </c>
      <c r="Q3" t="s">
        <v>1817</v>
      </c>
      <c r="R3" t="s">
        <v>255</v>
      </c>
      <c r="S3" t="s">
        <v>33</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1724</v>
      </c>
      <c r="B4" s="3" t="s">
        <v>1725</v>
      </c>
      <c r="C4" s="3" t="s">
        <v>1726</v>
      </c>
      <c r="E4" t="s">
        <v>1797</v>
      </c>
      <c r="F4" t="s">
        <v>1796</v>
      </c>
      <c r="G4" t="s">
        <v>1798</v>
      </c>
      <c r="H4" t="s">
        <v>648</v>
      </c>
      <c r="I4">
        <v>2</v>
      </c>
      <c r="J4" s="19">
        <v>0.05</v>
      </c>
      <c r="K4">
        <v>80</v>
      </c>
      <c r="L4" s="8">
        <f t="shared" si="0"/>
        <v>2.1</v>
      </c>
      <c r="M4" s="8">
        <f t="shared" si="1"/>
        <v>2.1</v>
      </c>
      <c r="N4" s="8">
        <f t="shared" si="2"/>
        <v>168</v>
      </c>
      <c r="P4" t="s">
        <v>2176</v>
      </c>
      <c r="Q4" t="s">
        <v>1817</v>
      </c>
      <c r="R4" t="s">
        <v>255</v>
      </c>
      <c r="S4" t="s">
        <v>33</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1727</v>
      </c>
      <c r="B5" s="3" t="s">
        <v>1728</v>
      </c>
      <c r="C5" s="3" t="s">
        <v>1729</v>
      </c>
      <c r="E5" t="s">
        <v>1799</v>
      </c>
      <c r="F5" t="s">
        <v>1796</v>
      </c>
      <c r="G5" t="s">
        <v>1223</v>
      </c>
      <c r="H5" t="s">
        <v>32</v>
      </c>
      <c r="I5">
        <v>1</v>
      </c>
      <c r="J5" s="19">
        <v>0.05</v>
      </c>
      <c r="K5">
        <v>94</v>
      </c>
      <c r="L5" s="8">
        <f t="shared" si="0"/>
        <v>1.05</v>
      </c>
      <c r="M5" s="8">
        <f t="shared" si="1"/>
        <v>1.05</v>
      </c>
      <c r="N5" s="8">
        <f t="shared" si="2"/>
        <v>98.7</v>
      </c>
      <c r="P5" t="s">
        <v>2177</v>
      </c>
      <c r="Q5" t="s">
        <v>1817</v>
      </c>
      <c r="R5" t="s">
        <v>255</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1730</v>
      </c>
      <c r="B6" s="3" t="s">
        <v>1731</v>
      </c>
      <c r="C6" s="3" t="s">
        <v>1732</v>
      </c>
      <c r="E6" t="s">
        <v>1800</v>
      </c>
      <c r="F6" t="s">
        <v>1801</v>
      </c>
      <c r="G6" t="s">
        <v>1224</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1730</v>
      </c>
      <c r="B7" s="3" t="s">
        <v>1733</v>
      </c>
      <c r="C7" s="3" t="s">
        <v>1734</v>
      </c>
      <c r="E7" t="s">
        <v>1802</v>
      </c>
      <c r="F7" t="s">
        <v>1801</v>
      </c>
      <c r="G7" t="s">
        <v>1225</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1730</v>
      </c>
      <c r="B8" s="3" t="s">
        <v>1735</v>
      </c>
      <c r="C8" s="3" t="s">
        <v>1736</v>
      </c>
      <c r="E8" t="s">
        <v>1803</v>
      </c>
      <c r="F8" t="s">
        <v>1801</v>
      </c>
      <c r="G8" t="s">
        <v>1226</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1730</v>
      </c>
      <c r="B9" s="3" t="s">
        <v>1737</v>
      </c>
      <c r="C9" s="3" t="s">
        <v>1738</v>
      </c>
      <c r="E9" t="s">
        <v>1804</v>
      </c>
      <c r="F9" t="s">
        <v>1805</v>
      </c>
      <c r="G9" t="s">
        <v>1806</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1730</v>
      </c>
      <c r="B10" s="3" t="s">
        <v>1739</v>
      </c>
      <c r="C10" s="3" t="s">
        <v>1740</v>
      </c>
      <c r="E10" t="s">
        <v>1807</v>
      </c>
      <c r="F10" t="s">
        <v>1808</v>
      </c>
      <c r="G10" t="s">
        <v>1809</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1730</v>
      </c>
      <c r="B11" s="3" t="s">
        <v>1741</v>
      </c>
      <c r="C11" s="3" t="s">
        <v>1742</v>
      </c>
      <c r="E11" t="s">
        <v>1810</v>
      </c>
      <c r="F11" t="s">
        <v>1808</v>
      </c>
      <c r="G11" t="s">
        <v>1811</v>
      </c>
      <c r="H11" t="s">
        <v>47</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1730</v>
      </c>
      <c r="B12" s="3" t="s">
        <v>1743</v>
      </c>
      <c r="C12" s="3" t="s">
        <v>1744</v>
      </c>
      <c r="E12" t="s">
        <v>1812</v>
      </c>
      <c r="F12" t="s">
        <v>1808</v>
      </c>
      <c r="G12" t="s">
        <v>1813</v>
      </c>
      <c r="H12" t="s">
        <v>47</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1730</v>
      </c>
      <c r="B13" s="3" t="s">
        <v>1745</v>
      </c>
      <c r="C13" s="3" t="s">
        <v>1746</v>
      </c>
      <c r="E13" t="s">
        <v>1814</v>
      </c>
      <c r="F13" t="s">
        <v>1808</v>
      </c>
      <c r="G13" t="s">
        <v>48</v>
      </c>
      <c r="H13" t="s">
        <v>47</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1730</v>
      </c>
      <c r="B14" s="3" t="s">
        <v>1747</v>
      </c>
      <c r="C14" s="3" t="s">
        <v>1748</v>
      </c>
      <c r="E14" t="s">
        <v>1815</v>
      </c>
      <c r="F14" t="s">
        <v>1808</v>
      </c>
      <c r="G14" t="s">
        <v>1816</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1749</v>
      </c>
      <c r="B15" s="3" t="s">
        <v>1750</v>
      </c>
      <c r="C15" s="3" t="s">
        <v>1751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1749</v>
      </c>
      <c r="B16" s="3" t="s">
        <v>1752</v>
      </c>
      <c r="C16" s="3" t="s">
        <v>1753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1749</v>
      </c>
      <c r="B17" s="3" t="s">
        <v>1754</v>
      </c>
      <c r="C17" s="3" t="s">
        <v>1755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1749</v>
      </c>
      <c r="B18" s="3" t="s">
        <v>1756</v>
      </c>
      <c r="C18" s="3" t="s">
        <v>1757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1749</v>
      </c>
      <c r="B19" s="3" t="s">
        <v>1758</v>
      </c>
      <c r="C19" s="3" t="s">
        <v>1759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1749</v>
      </c>
      <c r="B20" s="3" t="s">
        <v>1760</v>
      </c>
      <c r="C20" s="3" t="s">
        <v>1761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1749</v>
      </c>
      <c r="B21" s="3" t="s">
        <v>1762</v>
      </c>
      <c r="C21" s="3" t="s">
        <v>1763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1749</v>
      </c>
      <c r="B22" s="3" t="s">
        <v>1764</v>
      </c>
      <c r="C22" s="3" t="s">
        <v>1765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1749</v>
      </c>
      <c r="B23" s="3" t="s">
        <v>1766</v>
      </c>
      <c r="C23" s="3" t="s">
        <v>1767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1749</v>
      </c>
      <c r="B24" s="3" t="s">
        <v>1768</v>
      </c>
      <c r="C24" s="3" t="s">
        <v>1769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1770</v>
      </c>
      <c r="B25" s="3" t="s">
        <v>1771</v>
      </c>
      <c r="C25" s="3" t="s">
        <v>1772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1770</v>
      </c>
      <c r="B26" s="3" t="s">
        <v>1773</v>
      </c>
      <c r="C26" s="3" t="s">
        <v>1774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1770</v>
      </c>
      <c r="B27" s="3" t="s">
        <v>1775</v>
      </c>
      <c r="C27" s="3" t="s">
        <v>1203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1770</v>
      </c>
      <c r="B28" s="3" t="s">
        <v>1776</v>
      </c>
      <c r="C28" s="3" t="s">
        <v>1205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1770</v>
      </c>
      <c r="B29" s="3" t="s">
        <v>1777</v>
      </c>
      <c r="C29" s="3" t="s">
        <v>1207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1770</v>
      </c>
      <c r="B30" s="3" t="s">
        <v>1778</v>
      </c>
      <c r="C30" s="3" t="s">
        <v>1209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1770</v>
      </c>
      <c r="B31" s="3" t="s">
        <v>1779</v>
      </c>
      <c r="C31" s="3" t="s">
        <v>1780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1770</v>
      </c>
      <c r="B32" s="3" t="s">
        <v>1781</v>
      </c>
      <c r="C32" s="3" t="s">
        <v>1782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1770</v>
      </c>
      <c r="B33" s="3" t="s">
        <v>1783</v>
      </c>
      <c r="C33" s="3" t="s">
        <v>1784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1770</v>
      </c>
      <c r="B34" s="3" t="s">
        <v>1785</v>
      </c>
      <c r="C34" s="3" t="s">
        <v>1786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1770</v>
      </c>
      <c r="B35" s="3" t="s">
        <v>1787</v>
      </c>
      <c r="C35" s="3" t="s">
        <v>1788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1770</v>
      </c>
      <c r="B36" s="3" t="s">
        <v>1789</v>
      </c>
      <c r="C36" s="3" t="s">
        <v>1790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1791</v>
      </c>
      <c r="B37" s="3" t="s">
        <v>1715</v>
      </c>
      <c r="C37" s="3" t="s">
        <v>385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1749</v>
      </c>
      <c r="B38" s="3" t="s">
        <v>1901</v>
      </c>
      <c r="C38" s="3" t="s">
        <v>2173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1730</v>
      </c>
      <c r="B39" s="3" t="s">
        <v>515</v>
      </c>
      <c r="C39" s="3" t="s">
        <v>2174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1792</v>
      </c>
      <c r="B40" s="3" t="s">
        <v>1793</v>
      </c>
      <c r="C40" s="3" t="s">
        <v>1794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602</v>
      </c>
      <c r="B3" s="3" t="s">
        <v>1032</v>
      </c>
      <c r="C3" s="3" t="s">
        <v>1033</v>
      </c>
      <c r="E3" t="s">
        <v>951</v>
      </c>
      <c r="F3" t="s">
        <v>662</v>
      </c>
      <c r="G3" t="s">
        <v>485</v>
      </c>
      <c r="H3" t="s">
        <v>11</v>
      </c>
      <c r="I3">
        <v>0.26</v>
      </c>
      <c r="J3" s="19">
        <v>0</v>
      </c>
      <c r="K3">
        <v>830</v>
      </c>
      <c r="L3" s="8">
        <f t="shared" ref="L3:L49" si="0">IF($G3="","",$I3*(1+IF($J3="",0,$J3)))</f>
        <v>0.26</v>
      </c>
      <c r="M3" s="8">
        <f t="shared" ref="M3:M49" si="1">IF($G3="","",$L3)</f>
        <v>0.26</v>
      </c>
      <c r="N3" s="8">
        <f t="shared" ref="N3:N49" si="2">IF($G3="","",IF($K3="","",$M3*$K3))</f>
        <v>215.8</v>
      </c>
      <c r="P3" t="s">
        <v>2183</v>
      </c>
      <c r="Q3" t="s">
        <v>669</v>
      </c>
      <c r="R3" t="s">
        <v>255</v>
      </c>
      <c r="S3" t="s">
        <v>33</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603</v>
      </c>
      <c r="B4" s="3" t="s">
        <v>1034</v>
      </c>
      <c r="C4" s="3" t="s">
        <v>1035</v>
      </c>
      <c r="E4" t="s">
        <v>952</v>
      </c>
      <c r="F4" t="s">
        <v>662</v>
      </c>
      <c r="G4" t="s">
        <v>486</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604</v>
      </c>
      <c r="B5" s="3" t="s">
        <v>964</v>
      </c>
      <c r="C5" s="3" t="s">
        <v>1036</v>
      </c>
      <c r="E5" t="s">
        <v>953</v>
      </c>
      <c r="F5" t="s">
        <v>663</v>
      </c>
      <c r="G5" t="s">
        <v>644</v>
      </c>
      <c r="H5" t="s">
        <v>260</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1037</v>
      </c>
      <c r="B6" s="3" t="s">
        <v>967</v>
      </c>
      <c r="C6" s="3" t="s">
        <v>1349</v>
      </c>
      <c r="E6" t="s">
        <v>954</v>
      </c>
      <c r="F6" t="s">
        <v>664</v>
      </c>
      <c r="G6" t="s">
        <v>487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605</v>
      </c>
      <c r="B7" s="3" t="s">
        <v>968</v>
      </c>
      <c r="C7" s="3" t="s">
        <v>969</v>
      </c>
      <c r="E7" t="s">
        <v>2181</v>
      </c>
      <c r="F7" t="s">
        <v>665</v>
      </c>
      <c r="G7" t="s">
        <v>2009</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605</v>
      </c>
      <c r="B8" s="3" t="s">
        <v>970</v>
      </c>
      <c r="C8" s="3" t="s">
        <v>971</v>
      </c>
      <c r="E8" t="s">
        <v>956</v>
      </c>
      <c r="F8" t="s">
        <v>665</v>
      </c>
      <c r="G8" t="s">
        <v>666</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605</v>
      </c>
      <c r="B9" s="3" t="s">
        <v>475</v>
      </c>
      <c r="C9" s="3" t="s">
        <v>499</v>
      </c>
      <c r="E9" t="s">
        <v>956</v>
      </c>
      <c r="F9" t="s">
        <v>665</v>
      </c>
      <c r="G9" t="s">
        <v>667</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605</v>
      </c>
      <c r="B10" s="3" t="s">
        <v>972</v>
      </c>
      <c r="C10" s="3" t="s">
        <v>973</v>
      </c>
      <c r="E10" t="s">
        <v>1362</v>
      </c>
      <c r="F10" t="s">
        <v>957</v>
      </c>
      <c r="G10" t="s">
        <v>485</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605</v>
      </c>
      <c r="B11" s="3" t="s">
        <v>1350</v>
      </c>
      <c r="C11" s="3" t="s">
        <v>1351</v>
      </c>
      <c r="E11" t="s">
        <v>1362</v>
      </c>
      <c r="F11" t="s">
        <v>957</v>
      </c>
      <c r="G11" t="s">
        <v>486</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605</v>
      </c>
      <c r="B12" s="3" t="s">
        <v>974</v>
      </c>
      <c r="C12" s="3" t="s">
        <v>1352</v>
      </c>
      <c r="E12" t="s">
        <v>1362</v>
      </c>
      <c r="F12" t="s">
        <v>958</v>
      </c>
      <c r="G12" t="s">
        <v>487</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605</v>
      </c>
      <c r="B13" s="3" t="s">
        <v>975</v>
      </c>
      <c r="C13" s="3" t="s">
        <v>1363</v>
      </c>
      <c r="E13" t="s">
        <v>2182</v>
      </c>
      <c r="F13" t="s">
        <v>959</v>
      </c>
      <c r="G13" t="s">
        <v>2009</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606</v>
      </c>
      <c r="B14" s="3" t="s">
        <v>476</v>
      </c>
      <c r="C14" s="3" t="s">
        <v>976</v>
      </c>
      <c r="E14" t="s">
        <v>1368</v>
      </c>
      <c r="F14" t="s">
        <v>959</v>
      </c>
      <c r="G14" t="s">
        <v>666</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606</v>
      </c>
      <c r="B15" s="3" t="s">
        <v>626</v>
      </c>
      <c r="C15" s="3" t="s">
        <v>658</v>
      </c>
      <c r="E15" t="s">
        <v>1368</v>
      </c>
      <c r="F15" t="s">
        <v>959</v>
      </c>
      <c r="G15" t="s">
        <v>667</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606</v>
      </c>
      <c r="B16" s="3" t="s">
        <v>477</v>
      </c>
      <c r="C16" s="3" t="s">
        <v>977</v>
      </c>
      <c r="E16" t="s">
        <v>960</v>
      </c>
      <c r="F16" t="s">
        <v>668</v>
      </c>
      <c r="G16" t="s">
        <v>647</v>
      </c>
      <c r="H16" t="s">
        <v>648</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606</v>
      </c>
      <c r="B17" s="3" t="s">
        <v>478</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606</v>
      </c>
      <c r="B18" s="3" t="s">
        <v>500</v>
      </c>
      <c r="C18" s="3" t="s">
        <v>1038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606</v>
      </c>
      <c r="B19" s="3" t="s">
        <v>607</v>
      </c>
      <c r="C19" s="3" t="s">
        <v>608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606</v>
      </c>
      <c r="B20" s="3" t="s">
        <v>609</v>
      </c>
      <c r="C20" s="3" t="s">
        <v>1039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605</v>
      </c>
      <c r="B21" s="3" t="s">
        <v>982</v>
      </c>
      <c r="C21" s="3" t="s">
        <v>983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605</v>
      </c>
      <c r="B22" s="3" t="s">
        <v>984</v>
      </c>
      <c r="C22" s="3" t="s">
        <v>985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605</v>
      </c>
      <c r="B23" s="3" t="s">
        <v>986</v>
      </c>
      <c r="C23" s="3" t="s">
        <v>987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610</v>
      </c>
      <c r="B24" s="3" t="s">
        <v>988</v>
      </c>
      <c r="C24" s="3" t="s">
        <v>479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605</v>
      </c>
      <c r="B25" s="3" t="s">
        <v>989</v>
      </c>
      <c r="C25" s="3" t="s">
        <v>990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610</v>
      </c>
      <c r="B26" s="3" t="s">
        <v>991</v>
      </c>
      <c r="C26" s="3" t="s">
        <v>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605</v>
      </c>
      <c r="B27" s="3" t="s">
        <v>992</v>
      </c>
      <c r="C27" s="3" t="s">
        <v>993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610</v>
      </c>
      <c r="B28" s="3" t="s">
        <v>994</v>
      </c>
      <c r="C28" s="3" t="s">
        <v>628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605</v>
      </c>
      <c r="B29" s="3" t="s">
        <v>995</v>
      </c>
      <c r="C29" s="3" t="s">
        <v>996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606</v>
      </c>
      <c r="B30" s="3" t="s">
        <v>629</v>
      </c>
      <c r="C30" s="3" t="s">
        <v>1040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606</v>
      </c>
      <c r="B31" s="3" t="s">
        <v>630</v>
      </c>
      <c r="C31" s="3" t="s">
        <v>998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606</v>
      </c>
      <c r="B32" s="3" t="s">
        <v>631</v>
      </c>
      <c r="C32" s="3" t="s">
        <v>1041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606</v>
      </c>
      <c r="B33" s="3" t="s">
        <v>1000</v>
      </c>
      <c r="C33" s="3" t="s">
        <v>1042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606</v>
      </c>
      <c r="B34" s="3" t="s">
        <v>632</v>
      </c>
      <c r="C34" s="3" t="s">
        <v>1043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610</v>
      </c>
      <c r="B35" s="3" t="s">
        <v>1003</v>
      </c>
      <c r="C35" s="3" t="s">
        <v>481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605</v>
      </c>
      <c r="B36" s="3" t="s">
        <v>1004</v>
      </c>
      <c r="C36" s="3" t="s">
        <v>1005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606</v>
      </c>
      <c r="B37" s="3" t="s">
        <v>1006</v>
      </c>
      <c r="C37" s="3" t="s">
        <v>503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605</v>
      </c>
      <c r="B38" s="3" t="s">
        <v>1044</v>
      </c>
      <c r="C38" s="3" t="s">
        <v>1045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606</v>
      </c>
      <c r="B39" s="3" t="s">
        <v>1046</v>
      </c>
      <c r="C39" s="3" t="s">
        <v>1047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606</v>
      </c>
      <c r="B40" s="3" t="s">
        <v>612</v>
      </c>
      <c r="C40" s="3" t="s">
        <v>690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610</v>
      </c>
      <c r="B41" s="3" t="s">
        <v>613</v>
      </c>
      <c r="C41" s="3" t="s">
        <v>1992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610</v>
      </c>
      <c r="B42" s="3" t="s">
        <v>615</v>
      </c>
      <c r="C42" s="3" t="s">
        <v>659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610</v>
      </c>
      <c r="B43" s="3" t="s">
        <v>616</v>
      </c>
      <c r="C43" s="3" t="s">
        <v>660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605</v>
      </c>
      <c r="B44" s="3" t="s">
        <v>1048</v>
      </c>
      <c r="C44" s="3" t="s">
        <v>1049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605</v>
      </c>
      <c r="B45" s="3" t="s">
        <v>1050</v>
      </c>
      <c r="C45" s="3" t="s">
        <v>1051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605</v>
      </c>
      <c r="B46" s="3" t="s">
        <v>1052</v>
      </c>
      <c r="C46" s="3" t="s">
        <v>1053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605</v>
      </c>
      <c r="B47" s="3" t="s">
        <v>1010</v>
      </c>
      <c r="C47" s="3" t="s">
        <v>1354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605</v>
      </c>
      <c r="B48" s="3" t="s">
        <v>1011</v>
      </c>
      <c r="C48" s="3" t="s">
        <v>1355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605</v>
      </c>
      <c r="B49" s="3" t="s">
        <v>1012</v>
      </c>
      <c r="C49" s="3" t="s">
        <v>1356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605</v>
      </c>
      <c r="B50" s="3" t="s">
        <v>1013</v>
      </c>
      <c r="C50" s="3" t="s">
        <v>1357</v>
      </c>
    </row>
    <row r="51" spans="1:36" x14ac:dyDescent="0.25">
      <c r="A51" s="3" t="s">
        <v>605</v>
      </c>
      <c r="B51" s="3" t="s">
        <v>1014</v>
      </c>
      <c r="C51" s="3" t="s">
        <v>1358</v>
      </c>
    </row>
    <row r="52" spans="1:36" x14ac:dyDescent="0.25">
      <c r="A52" s="3" t="s">
        <v>605</v>
      </c>
      <c r="B52" s="3" t="s">
        <v>1015</v>
      </c>
      <c r="C52" s="3" t="s">
        <v>1359</v>
      </c>
    </row>
    <row r="53" spans="1:36" x14ac:dyDescent="0.25">
      <c r="A53" s="3" t="s">
        <v>605</v>
      </c>
      <c r="B53" s="3" t="s">
        <v>1054</v>
      </c>
      <c r="C53" s="3" t="s">
        <v>1364</v>
      </c>
    </row>
    <row r="54" spans="1:36" x14ac:dyDescent="0.25">
      <c r="A54" s="3" t="s">
        <v>605</v>
      </c>
      <c r="B54" s="3" t="s">
        <v>1055</v>
      </c>
      <c r="C54" s="3" t="s">
        <v>1365</v>
      </c>
    </row>
    <row r="55" spans="1:36" x14ac:dyDescent="0.25">
      <c r="A55" s="3" t="s">
        <v>605</v>
      </c>
      <c r="B55" s="3" t="s">
        <v>1056</v>
      </c>
      <c r="C55" s="3" t="s">
        <v>1366</v>
      </c>
    </row>
    <row r="56" spans="1:36" x14ac:dyDescent="0.25">
      <c r="A56" s="3" t="s">
        <v>605</v>
      </c>
      <c r="B56" s="3" t="s">
        <v>1057</v>
      </c>
      <c r="C56" s="3" t="s">
        <v>1367</v>
      </c>
    </row>
    <row r="57" spans="1:36" x14ac:dyDescent="0.25">
      <c r="A57" s="3" t="s">
        <v>606</v>
      </c>
      <c r="B57" s="3" t="s">
        <v>1017</v>
      </c>
      <c r="C57" s="3" t="s">
        <v>1018</v>
      </c>
    </row>
    <row r="58" spans="1:36" x14ac:dyDescent="0.25">
      <c r="A58" s="3" t="s">
        <v>606</v>
      </c>
      <c r="B58" s="3" t="s">
        <v>1019</v>
      </c>
      <c r="C58" s="3" t="s">
        <v>1020</v>
      </c>
    </row>
    <row r="59" spans="1:36" x14ac:dyDescent="0.25">
      <c r="A59" s="3" t="s">
        <v>606</v>
      </c>
      <c r="B59" s="3" t="s">
        <v>1021</v>
      </c>
      <c r="C59" s="3" t="s">
        <v>1058</v>
      </c>
    </row>
    <row r="60" spans="1:36" x14ac:dyDescent="0.25">
      <c r="A60" s="3" t="s">
        <v>606</v>
      </c>
      <c r="B60" s="3" t="s">
        <v>1023</v>
      </c>
      <c r="C60" s="3" t="s">
        <v>1059</v>
      </c>
    </row>
    <row r="61" spans="1:36" x14ac:dyDescent="0.25">
      <c r="A61" s="3" t="s">
        <v>610</v>
      </c>
      <c r="B61" s="3" t="s">
        <v>633</v>
      </c>
      <c r="C61" s="3" t="s">
        <v>634</v>
      </c>
    </row>
    <row r="62" spans="1:36" x14ac:dyDescent="0.25">
      <c r="A62" s="3" t="s">
        <v>605</v>
      </c>
      <c r="B62" s="3" t="s">
        <v>661</v>
      </c>
      <c r="C62" s="3" t="s">
        <v>1060</v>
      </c>
    </row>
    <row r="63" spans="1:36" x14ac:dyDescent="0.25">
      <c r="A63" s="3" t="s">
        <v>606</v>
      </c>
      <c r="B63" s="3" t="s">
        <v>635</v>
      </c>
      <c r="C63" s="3" t="s">
        <v>1061</v>
      </c>
    </row>
    <row r="64" spans="1:36" x14ac:dyDescent="0.25">
      <c r="A64" s="3" t="s">
        <v>605</v>
      </c>
      <c r="B64" s="3" t="s">
        <v>504</v>
      </c>
      <c r="C64" s="3" t="s">
        <v>1027</v>
      </c>
    </row>
    <row r="65" spans="1:3" x14ac:dyDescent="0.25">
      <c r="A65" s="3" t="s">
        <v>605</v>
      </c>
      <c r="B65" s="3" t="s">
        <v>483</v>
      </c>
      <c r="C65" s="3" t="s">
        <v>1028</v>
      </c>
    </row>
    <row r="66" spans="1:3" x14ac:dyDescent="0.25">
      <c r="A66" s="3" t="s">
        <v>606</v>
      </c>
      <c r="B66" s="3" t="s">
        <v>505</v>
      </c>
      <c r="C66" s="3" t="s">
        <v>506</v>
      </c>
    </row>
    <row r="67" spans="1:3" x14ac:dyDescent="0.25">
      <c r="A67" s="3" t="s">
        <v>606</v>
      </c>
      <c r="B67" s="3" t="s">
        <v>507</v>
      </c>
      <c r="C67" s="3" t="s">
        <v>508</v>
      </c>
    </row>
    <row r="68" spans="1:3" x14ac:dyDescent="0.25">
      <c r="A68" s="3" t="s">
        <v>606</v>
      </c>
      <c r="B68" s="3" t="s">
        <v>509</v>
      </c>
      <c r="C68" s="3" t="s">
        <v>1029</v>
      </c>
    </row>
    <row r="69" spans="1:3" x14ac:dyDescent="0.25">
      <c r="A69" s="3" t="s">
        <v>606</v>
      </c>
      <c r="B69" s="3" t="s">
        <v>510</v>
      </c>
      <c r="C69" s="3" t="s">
        <v>618</v>
      </c>
    </row>
    <row r="70" spans="1:3" x14ac:dyDescent="0.25">
      <c r="A70" s="3" t="s">
        <v>606</v>
      </c>
      <c r="B70" s="3" t="s">
        <v>512</v>
      </c>
      <c r="C70" s="3" t="s">
        <v>636</v>
      </c>
    </row>
    <row r="71" spans="1:3" x14ac:dyDescent="0.25">
      <c r="A71" s="3" t="s">
        <v>619</v>
      </c>
      <c r="B71" s="3" t="s">
        <v>514</v>
      </c>
      <c r="C71" s="3" t="s">
        <v>385</v>
      </c>
    </row>
    <row r="72" spans="1:3" x14ac:dyDescent="0.25">
      <c r="A72" s="3" t="s">
        <v>606</v>
      </c>
      <c r="B72" s="3" t="s">
        <v>1858</v>
      </c>
      <c r="C72" s="3" t="s">
        <v>2178</v>
      </c>
    </row>
    <row r="73" spans="1:3" x14ac:dyDescent="0.25">
      <c r="A73" s="3" t="s">
        <v>605</v>
      </c>
      <c r="B73" s="3" t="s">
        <v>1901</v>
      </c>
      <c r="C73" s="3" t="s">
        <v>2179</v>
      </c>
    </row>
    <row r="74" spans="1:3" x14ac:dyDescent="0.25">
      <c r="A74" s="3" t="s">
        <v>606</v>
      </c>
      <c r="B74" s="3" t="s">
        <v>515</v>
      </c>
      <c r="C74" s="3" t="s">
        <v>1062</v>
      </c>
    </row>
    <row r="75" spans="1:3" x14ac:dyDescent="0.25">
      <c r="A75" s="3" t="s">
        <v>606</v>
      </c>
      <c r="B75" s="3" t="s">
        <v>621</v>
      </c>
      <c r="C75" s="3" t="s">
        <v>622</v>
      </c>
    </row>
    <row r="76" spans="1:3" x14ac:dyDescent="0.25">
      <c r="A76" s="3" t="s">
        <v>606</v>
      </c>
      <c r="B76" s="3" t="s">
        <v>519</v>
      </c>
      <c r="C76" s="3" t="s">
        <v>623</v>
      </c>
    </row>
    <row r="77" spans="1:3" x14ac:dyDescent="0.25">
      <c r="A77" s="3" t="s">
        <v>606</v>
      </c>
      <c r="B77" s="3" t="s">
        <v>298</v>
      </c>
      <c r="C77" s="3" t="s">
        <v>624</v>
      </c>
    </row>
    <row r="78" spans="1:3" x14ac:dyDescent="0.25">
      <c r="A78" s="3" t="s">
        <v>625</v>
      </c>
      <c r="B78" s="3" t="s">
        <v>1361</v>
      </c>
      <c r="C78" s="3" t="s">
        <v>2180</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670</v>
      </c>
      <c r="B3" s="3" t="s">
        <v>671</v>
      </c>
      <c r="C3" s="3" t="s">
        <v>672</v>
      </c>
      <c r="E3" t="s">
        <v>2187</v>
      </c>
      <c r="F3" t="s">
        <v>723</v>
      </c>
      <c r="G3" t="s">
        <v>2009</v>
      </c>
      <c r="H3" t="s">
        <v>9</v>
      </c>
      <c r="I3">
        <v>3</v>
      </c>
      <c r="J3" s="19">
        <v>0</v>
      </c>
      <c r="K3">
        <v>24</v>
      </c>
      <c r="L3" s="8">
        <f t="shared" ref="L3:L49" si="0">IF($G3="","",$I3*(1+IF($J3="",0,$J3)))</f>
        <v>3</v>
      </c>
      <c r="M3" s="8">
        <f t="shared" ref="M3:M49" si="1">IF($G3="","",$L3)</f>
        <v>3</v>
      </c>
      <c r="N3" s="8">
        <f t="shared" ref="N3:N49" si="2">IF($G3="","",IF($K3="","",$M3*$K3))</f>
        <v>72</v>
      </c>
      <c r="P3" t="s">
        <v>2189</v>
      </c>
      <c r="Q3" t="s">
        <v>730</v>
      </c>
      <c r="R3" t="s">
        <v>255</v>
      </c>
      <c r="S3" t="s">
        <v>33</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673</v>
      </c>
      <c r="B4" s="3" t="s">
        <v>674</v>
      </c>
      <c r="C4" s="3" t="s">
        <v>675</v>
      </c>
      <c r="E4" t="s">
        <v>722</v>
      </c>
      <c r="F4" t="s">
        <v>723</v>
      </c>
      <c r="G4" t="s">
        <v>666</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676</v>
      </c>
      <c r="B5" s="3" t="s">
        <v>530</v>
      </c>
      <c r="C5" s="3" t="s">
        <v>677</v>
      </c>
      <c r="E5" t="s">
        <v>722</v>
      </c>
      <c r="F5" t="s">
        <v>723</v>
      </c>
      <c r="G5" t="s">
        <v>667</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678</v>
      </c>
      <c r="B6" s="3" t="s">
        <v>532</v>
      </c>
      <c r="C6" s="3" t="s">
        <v>533</v>
      </c>
      <c r="E6" t="s">
        <v>2188</v>
      </c>
      <c r="F6" t="s">
        <v>725</v>
      </c>
      <c r="G6" t="s">
        <v>2009</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678</v>
      </c>
      <c r="B7" s="3" t="s">
        <v>534</v>
      </c>
      <c r="C7" s="3" t="s">
        <v>535</v>
      </c>
      <c r="E7" t="s">
        <v>724</v>
      </c>
      <c r="F7" t="s">
        <v>725</v>
      </c>
      <c r="G7" t="s">
        <v>666</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678</v>
      </c>
      <c r="B8" s="3" t="s">
        <v>536</v>
      </c>
      <c r="C8" s="3" t="s">
        <v>537</v>
      </c>
      <c r="E8" t="s">
        <v>724</v>
      </c>
      <c r="F8" t="s">
        <v>725</v>
      </c>
      <c r="G8" t="s">
        <v>667</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678</v>
      </c>
      <c r="B9" s="3" t="s">
        <v>284</v>
      </c>
      <c r="C9" s="3" t="s">
        <v>538</v>
      </c>
      <c r="E9" t="s">
        <v>651</v>
      </c>
      <c r="F9" t="s">
        <v>726</v>
      </c>
      <c r="G9" t="s">
        <v>594</v>
      </c>
      <c r="H9" t="s">
        <v>595</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678</v>
      </c>
      <c r="B10" s="3" t="s">
        <v>285</v>
      </c>
      <c r="C10" s="3" t="s">
        <v>539</v>
      </c>
      <c r="E10" t="s">
        <v>652</v>
      </c>
      <c r="F10" t="s">
        <v>726</v>
      </c>
      <c r="G10" t="s">
        <v>596</v>
      </c>
      <c r="H10" t="s">
        <v>595</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678</v>
      </c>
      <c r="B11" s="3" t="s">
        <v>540</v>
      </c>
      <c r="C11" s="3" t="s">
        <v>541</v>
      </c>
      <c r="E11" t="s">
        <v>653</v>
      </c>
      <c r="F11" t="s">
        <v>727</v>
      </c>
      <c r="G11" t="s">
        <v>598</v>
      </c>
      <c r="H11" t="s">
        <v>599</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678</v>
      </c>
      <c r="B12" s="3" t="s">
        <v>542</v>
      </c>
      <c r="C12" s="3" t="s">
        <v>543</v>
      </c>
      <c r="E12" t="s">
        <v>654</v>
      </c>
      <c r="F12" t="s">
        <v>727</v>
      </c>
      <c r="G12" t="s">
        <v>655</v>
      </c>
      <c r="H12" t="s">
        <v>656</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678</v>
      </c>
      <c r="B13" s="3" t="s">
        <v>544</v>
      </c>
      <c r="C13" s="3" t="s">
        <v>545</v>
      </c>
      <c r="E13" t="s">
        <v>728</v>
      </c>
      <c r="F13" t="s">
        <v>729</v>
      </c>
      <c r="G13" t="s">
        <v>647</v>
      </c>
      <c r="H13" t="s">
        <v>648</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678</v>
      </c>
      <c r="B14" s="3" t="s">
        <v>546</v>
      </c>
      <c r="C14" s="3" t="s">
        <v>547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678</v>
      </c>
      <c r="B15" s="3" t="s">
        <v>638</v>
      </c>
      <c r="C15" s="3" t="s">
        <v>639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678</v>
      </c>
      <c r="B16" s="3" t="s">
        <v>679</v>
      </c>
      <c r="C16" s="3" t="s">
        <v>680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681</v>
      </c>
      <c r="B17" s="3" t="s">
        <v>548</v>
      </c>
      <c r="C17" s="3" t="s">
        <v>682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681</v>
      </c>
      <c r="B18" s="3" t="s">
        <v>550</v>
      </c>
      <c r="C18" s="3" t="s">
        <v>683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681</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681</v>
      </c>
      <c r="B20" s="3" t="s">
        <v>554</v>
      </c>
      <c r="C20" s="3" t="s">
        <v>684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681</v>
      </c>
      <c r="B21" s="3" t="s">
        <v>556</v>
      </c>
      <c r="C21" s="3" t="s">
        <v>685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678</v>
      </c>
      <c r="B22" s="3" t="s">
        <v>558</v>
      </c>
      <c r="C22" s="3" t="s">
        <v>559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681</v>
      </c>
      <c r="B23" s="3" t="s">
        <v>640</v>
      </c>
      <c r="C23" s="3" t="s">
        <v>641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681</v>
      </c>
      <c r="B24" s="3" t="s">
        <v>560</v>
      </c>
      <c r="C24" s="3" t="s">
        <v>686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681</v>
      </c>
      <c r="B25" s="3" t="s">
        <v>562</v>
      </c>
      <c r="C25" s="3" t="s">
        <v>687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681</v>
      </c>
      <c r="B26" s="3" t="s">
        <v>500</v>
      </c>
      <c r="C26" s="3" t="s">
        <v>688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681</v>
      </c>
      <c r="B27" s="3" t="s">
        <v>611</v>
      </c>
      <c r="C27" s="3" t="s">
        <v>689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681</v>
      </c>
      <c r="B28" s="3" t="s">
        <v>612</v>
      </c>
      <c r="C28" s="3" t="s">
        <v>690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681</v>
      </c>
      <c r="B29" s="3" t="s">
        <v>691</v>
      </c>
      <c r="C29" s="3" t="s">
        <v>608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681</v>
      </c>
      <c r="B30" s="3" t="s">
        <v>692</v>
      </c>
      <c r="C30" s="3" t="s">
        <v>693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678</v>
      </c>
      <c r="B31" s="3" t="s">
        <v>694</v>
      </c>
      <c r="C31" s="3" t="s">
        <v>695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678</v>
      </c>
      <c r="B32" s="3" t="s">
        <v>696</v>
      </c>
      <c r="C32" s="3" t="s">
        <v>697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698</v>
      </c>
      <c r="B33" s="3" t="s">
        <v>613</v>
      </c>
      <c r="C33" s="3" t="s">
        <v>1992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698</v>
      </c>
      <c r="B34" s="3" t="s">
        <v>699</v>
      </c>
      <c r="C34" s="3" t="s">
        <v>659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698</v>
      </c>
      <c r="B35" s="3" t="s">
        <v>616</v>
      </c>
      <c r="C35" s="3" t="s">
        <v>660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678</v>
      </c>
      <c r="B36" s="3" t="s">
        <v>614</v>
      </c>
      <c r="C36" s="3" t="s">
        <v>700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678</v>
      </c>
      <c r="B37" s="3" t="s">
        <v>701</v>
      </c>
      <c r="C37" s="3" t="s">
        <v>702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678</v>
      </c>
      <c r="B38" s="3" t="s">
        <v>617</v>
      </c>
      <c r="C38" s="3" t="s">
        <v>703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698</v>
      </c>
      <c r="B39" s="3" t="s">
        <v>568</v>
      </c>
      <c r="C39" s="3" t="s">
        <v>704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698</v>
      </c>
      <c r="B40" s="3" t="s">
        <v>569</v>
      </c>
      <c r="C40" s="3" t="s">
        <v>705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698</v>
      </c>
      <c r="B41" s="3" t="s">
        <v>570</v>
      </c>
      <c r="C41" s="3" t="s">
        <v>706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698</v>
      </c>
      <c r="B42" s="3" t="s">
        <v>707</v>
      </c>
      <c r="C42" s="3" t="s">
        <v>708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681</v>
      </c>
      <c r="B43" s="3" t="s">
        <v>571</v>
      </c>
      <c r="C43" s="3" t="s">
        <v>709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681</v>
      </c>
      <c r="B44" s="3" t="s">
        <v>573</v>
      </c>
      <c r="C44" s="3" t="s">
        <v>710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681</v>
      </c>
      <c r="B45" s="3" t="s">
        <v>575</v>
      </c>
      <c r="C45" s="3" t="s">
        <v>711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681</v>
      </c>
      <c r="B46" s="3" t="s">
        <v>577</v>
      </c>
      <c r="C46" s="3" t="s">
        <v>712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681</v>
      </c>
      <c r="B47" s="3" t="s">
        <v>579</v>
      </c>
      <c r="C47" s="3" t="s">
        <v>713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678</v>
      </c>
      <c r="B48" s="3" t="s">
        <v>581</v>
      </c>
      <c r="C48" s="3" t="s">
        <v>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698</v>
      </c>
      <c r="B49" s="3" t="s">
        <v>633</v>
      </c>
      <c r="C49" s="3" t="s">
        <v>634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681</v>
      </c>
      <c r="B50" s="3" t="s">
        <v>635</v>
      </c>
      <c r="C50" s="3" t="s">
        <v>715</v>
      </c>
    </row>
    <row r="51" spans="1:36" x14ac:dyDescent="0.25">
      <c r="A51" s="3" t="s">
        <v>716</v>
      </c>
      <c r="B51" s="3" t="s">
        <v>514</v>
      </c>
      <c r="C51" s="3" t="s">
        <v>385</v>
      </c>
    </row>
    <row r="52" spans="1:36" x14ac:dyDescent="0.25">
      <c r="A52" s="3" t="s">
        <v>681</v>
      </c>
      <c r="B52" s="3" t="s">
        <v>1858</v>
      </c>
      <c r="C52" s="3" t="s">
        <v>2184</v>
      </c>
    </row>
    <row r="53" spans="1:36" x14ac:dyDescent="0.25">
      <c r="A53" s="3" t="s">
        <v>681</v>
      </c>
      <c r="B53" s="3" t="s">
        <v>515</v>
      </c>
      <c r="C53" s="3" t="s">
        <v>717</v>
      </c>
    </row>
    <row r="54" spans="1:36" x14ac:dyDescent="0.25">
      <c r="A54" s="3" t="s">
        <v>678</v>
      </c>
      <c r="B54" s="3" t="s">
        <v>620</v>
      </c>
      <c r="C54" s="3" t="s">
        <v>2185</v>
      </c>
    </row>
    <row r="55" spans="1:36" x14ac:dyDescent="0.25">
      <c r="A55" s="3" t="s">
        <v>681</v>
      </c>
      <c r="B55" s="3" t="s">
        <v>621</v>
      </c>
      <c r="C55" s="3" t="s">
        <v>718</v>
      </c>
    </row>
    <row r="56" spans="1:36" x14ac:dyDescent="0.25">
      <c r="A56" s="3" t="s">
        <v>681</v>
      </c>
      <c r="B56" s="3" t="s">
        <v>519</v>
      </c>
      <c r="C56" s="3" t="s">
        <v>719</v>
      </c>
    </row>
    <row r="57" spans="1:36" x14ac:dyDescent="0.25">
      <c r="A57" s="3" t="s">
        <v>681</v>
      </c>
      <c r="B57" s="3" t="s">
        <v>298</v>
      </c>
      <c r="C57" s="3" t="s">
        <v>720</v>
      </c>
    </row>
    <row r="58" spans="1:36" x14ac:dyDescent="0.25">
      <c r="A58" s="3" t="s">
        <v>721</v>
      </c>
      <c r="B58" s="3" t="s">
        <v>521</v>
      </c>
      <c r="C58" s="3" t="s">
        <v>2186</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2026-04-01T18:52:27Z</dcterms:modified>
</cp:coreProperties>
</file>