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B7A350B0-189D-4CB0-B275-3B88ED282E5E}" xr6:coauthVersionLast="47" xr6:coauthVersionMax="47" xr10:uidLastSave="{00000000-0000-0000-0000-000000000000}"/>
  <bookViews>
    <workbookView xWindow="57480" yWindow="-120" windowWidth="29040" windowHeight="15840" firstSheet="1" activeTab="5" xr2:uid="{00000000-000D-0000-FFFF-FFFF00000000}"/>
  </bookViews>
  <sheets>
    <sheet name="SummaryHelper" sheetId="46" state="hidden" r:id="rId1"/>
    <sheet name="Button" sheetId="28" r:id="rId2"/>
    <sheet name="README" sheetId="16" r:id="rId3"/>
    <sheet name="Search" sheetId="24" r:id="rId4"/>
    <sheet name="Purchase" sheetId="23"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_SummaryBackup" sheetId="29" state="veryHidden"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7" i="12" l="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4" i="12"/>
  <c r="AN5" i="12"/>
  <c r="AN6" i="12"/>
  <c r="AN300" i="12"/>
  <c r="AM1" i="12"/>
  <c r="AM4" i="12"/>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M3" i="12"/>
  <c r="AN3" i="12" s="1"/>
  <c r="AK4" i="12"/>
  <c r="AK5" i="12"/>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 i="12"/>
  <c r="AI4" i="12"/>
  <c r="AI5" i="12"/>
  <c r="AI6" i="12"/>
  <c r="AI7"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I3" i="12"/>
  <c r="AH4" i="12"/>
  <c r="AH5" i="12"/>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H3" i="12"/>
  <c r="AE3" i="12" a="1"/>
  <c r="AE3" i="12" s="1"/>
  <c r="AC4" i="12"/>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1" i="12" s="1"/>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4"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4"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4"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4"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R1" i="12"/>
  <c r="AC3" i="12"/>
  <c r="AB3" i="12"/>
  <c r="Z3" i="12"/>
  <c r="Y3" i="12"/>
  <c r="X3" i="12"/>
  <c r="W3" i="12"/>
  <c r="T3" i="12" a="1"/>
  <c r="T3" i="12" s="1"/>
  <c r="Q4" i="12"/>
  <c r="Q5" i="12"/>
  <c r="Q6" i="12"/>
  <c r="Q7" i="12"/>
  <c r="Q8" i="12"/>
  <c r="Q9" i="12"/>
  <c r="Q10" i="12"/>
  <c r="Q11" i="12"/>
  <c r="Q12" i="12"/>
  <c r="Q13" i="12"/>
  <c r="Q14" i="12"/>
  <c r="Q15" i="12"/>
  <c r="Q16" i="12"/>
  <c r="Q17" i="12"/>
  <c r="Q18" i="12"/>
  <c r="Q19" i="12"/>
  <c r="Q20" i="12"/>
  <c r="Q21" i="12"/>
  <c r="Q22" i="12"/>
  <c r="Q23" i="12"/>
  <c r="R23" i="12" s="1"/>
  <c r="Q24" i="12"/>
  <c r="R24" i="12" s="1"/>
  <c r="Q25" i="12"/>
  <c r="R25" i="12" s="1"/>
  <c r="Q26" i="12"/>
  <c r="R26" i="12" s="1"/>
  <c r="Q27" i="12"/>
  <c r="R27" i="12" s="1"/>
  <c r="Q28" i="12"/>
  <c r="R28" i="12" s="1"/>
  <c r="Q29" i="12"/>
  <c r="R29" i="12" s="1"/>
  <c r="Q30" i="12"/>
  <c r="R30" i="12" s="1"/>
  <c r="Q31" i="12"/>
  <c r="R31" i="12" s="1"/>
  <c r="Q32" i="12"/>
  <c r="R32" i="12" s="1"/>
  <c r="Q33" i="12"/>
  <c r="R33" i="12" s="1"/>
  <c r="Q34" i="12"/>
  <c r="R34" i="12" s="1"/>
  <c r="Q35" i="12"/>
  <c r="R35" i="12" s="1"/>
  <c r="Q36" i="12"/>
  <c r="Q37" i="12"/>
  <c r="Q38" i="12"/>
  <c r="Q39" i="12"/>
  <c r="Q40" i="12"/>
  <c r="Q41" i="12"/>
  <c r="Q42" i="12"/>
  <c r="Q43" i="12"/>
  <c r="Q44" i="12"/>
  <c r="Q45" i="12"/>
  <c r="Q46" i="12"/>
  <c r="Q47" i="12"/>
  <c r="Q48" i="12"/>
  <c r="Q49" i="12"/>
  <c r="Q50" i="12"/>
  <c r="Q51" i="12"/>
  <c r="Q52" i="12"/>
  <c r="Q53" i="12"/>
  <c r="Q54" i="12"/>
  <c r="Q55" i="12"/>
  <c r="Q56" i="12"/>
  <c r="Q57" i="12"/>
  <c r="Q58" i="12"/>
  <c r="Q59" i="12"/>
  <c r="R59" i="12" s="1"/>
  <c r="Q60" i="12"/>
  <c r="Q61" i="12"/>
  <c r="Q62" i="12"/>
  <c r="Q63" i="12"/>
  <c r="Q64" i="12"/>
  <c r="R64" i="12" s="1"/>
  <c r="Q65" i="12"/>
  <c r="Q66" i="12"/>
  <c r="R66" i="12" s="1"/>
  <c r="Q67" i="12"/>
  <c r="Q68" i="12"/>
  <c r="Q69" i="12"/>
  <c r="Q70" i="12"/>
  <c r="Q71" i="12"/>
  <c r="Q72" i="12"/>
  <c r="Q73" i="12"/>
  <c r="Q74" i="12"/>
  <c r="Q75" i="12"/>
  <c r="Q76" i="12"/>
  <c r="Q77" i="12"/>
  <c r="Q78" i="12"/>
  <c r="Q79" i="12"/>
  <c r="Q80" i="12"/>
  <c r="Q81" i="12"/>
  <c r="Q82" i="12"/>
  <c r="Q83" i="12"/>
  <c r="Q84" i="12"/>
  <c r="Q85" i="12"/>
  <c r="Q86" i="12"/>
  <c r="Q87" i="12"/>
  <c r="R87" i="12" s="1"/>
  <c r="Q88" i="12"/>
  <c r="R88" i="12" s="1"/>
  <c r="Q89" i="12"/>
  <c r="R89" i="12" s="1"/>
  <c r="Q90" i="12"/>
  <c r="R90" i="12" s="1"/>
  <c r="Q91" i="12"/>
  <c r="R91" i="12" s="1"/>
  <c r="Q92" i="12"/>
  <c r="R92" i="12" s="1"/>
  <c r="Q93" i="12"/>
  <c r="R93" i="12" s="1"/>
  <c r="Q94" i="12"/>
  <c r="R94" i="12" s="1"/>
  <c r="Q95" i="12"/>
  <c r="R95" i="12" s="1"/>
  <c r="Q96" i="12"/>
  <c r="R96" i="12" s="1"/>
  <c r="Q97" i="12"/>
  <c r="R97" i="12" s="1"/>
  <c r="Q98" i="12"/>
  <c r="R98" i="12" s="1"/>
  <c r="Q99" i="12"/>
  <c r="R99" i="12" s="1"/>
  <c r="Q100" i="12"/>
  <c r="Q101" i="12"/>
  <c r="Q102" i="12"/>
  <c r="Q103" i="12"/>
  <c r="Q104" i="12"/>
  <c r="Q105" i="12"/>
  <c r="Q106" i="12"/>
  <c r="Q107" i="12"/>
  <c r="Q108" i="12"/>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41" i="12"/>
  <c r="R49" i="12"/>
  <c r="R56" i="12"/>
  <c r="R60" i="12"/>
  <c r="R61" i="12"/>
  <c r="R62" i="12"/>
  <c r="R63" i="12"/>
  <c r="R65" i="12"/>
  <c r="R67" i="12"/>
  <c r="R84" i="12"/>
  <c r="R85" i="12"/>
  <c r="R86" i="12"/>
  <c r="R4" i="12"/>
  <c r="R5" i="12"/>
  <c r="R6" i="12"/>
  <c r="R7" i="12"/>
  <c r="R8" i="12"/>
  <c r="R9" i="12"/>
  <c r="R10" i="12"/>
  <c r="R11" i="12"/>
  <c r="R12" i="12"/>
  <c r="R13" i="12"/>
  <c r="R14" i="12"/>
  <c r="R15" i="12"/>
  <c r="R16" i="12"/>
  <c r="R17" i="12"/>
  <c r="R18" i="12"/>
  <c r="R19" i="12"/>
  <c r="R20" i="12"/>
  <c r="R21" i="12"/>
  <c r="R22" i="12"/>
  <c r="R36" i="12"/>
  <c r="R37" i="12"/>
  <c r="R38" i="12"/>
  <c r="R39" i="12"/>
  <c r="R40" i="12"/>
  <c r="R42" i="12"/>
  <c r="R43" i="12"/>
  <c r="R44" i="12"/>
  <c r="R45" i="12"/>
  <c r="R46" i="12"/>
  <c r="R47" i="12"/>
  <c r="R48" i="12"/>
  <c r="R50" i="12"/>
  <c r="R51" i="12"/>
  <c r="R52" i="12"/>
  <c r="R53" i="12"/>
  <c r="R54" i="12"/>
  <c r="R55" i="12"/>
  <c r="R57" i="12"/>
  <c r="R58" i="12"/>
  <c r="R68" i="12"/>
  <c r="R69" i="12"/>
  <c r="R70" i="12"/>
  <c r="R71" i="12"/>
  <c r="R72" i="12"/>
  <c r="R73" i="12"/>
  <c r="R74" i="12"/>
  <c r="R75" i="12"/>
  <c r="R76" i="12"/>
  <c r="R77" i="12"/>
  <c r="R78" i="12"/>
  <c r="R79" i="12"/>
  <c r="R80" i="12"/>
  <c r="R81" i="12"/>
  <c r="R82" i="12"/>
  <c r="R83"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Q3" i="12"/>
  <c r="R3" i="12" s="1"/>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20"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20" i="12"/>
  <c r="C122" i="12"/>
  <c r="C246" i="12"/>
  <c r="D52" i="12"/>
  <c r="D116" i="12"/>
  <c r="D180" i="12"/>
  <c r="D244" i="12"/>
  <c r="E20"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AN1" i="12" l="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I3" i="12"/>
  <c r="L3" i="12" s="1"/>
  <c r="O22" i="12"/>
  <c r="O54" i="12"/>
  <c r="O86" i="12"/>
  <c r="N13" i="12"/>
  <c r="N45" i="12"/>
  <c r="N77" i="12"/>
  <c r="M4" i="12"/>
  <c r="M36" i="12"/>
  <c r="M68" i="12"/>
  <c r="M100" i="12"/>
  <c r="L64" i="12"/>
  <c r="L96" i="12"/>
  <c r="L23" i="12"/>
  <c r="L28" i="12"/>
  <c r="L41" i="12"/>
  <c r="O23" i="12"/>
  <c r="O55" i="12"/>
  <c r="O87" i="12"/>
  <c r="N14" i="12"/>
  <c r="N46" i="12"/>
  <c r="N78" i="12"/>
  <c r="M5" i="12"/>
  <c r="M37" i="12"/>
  <c r="M69" i="12"/>
  <c r="M101" i="12"/>
  <c r="L65" i="12"/>
  <c r="L97" i="12"/>
  <c r="L24" i="12"/>
  <c r="L33" i="12"/>
  <c r="L34" i="12"/>
  <c r="L35" i="12"/>
  <c r="O20" i="12"/>
  <c r="O24" i="12"/>
  <c r="O56" i="12"/>
  <c r="O88" i="12"/>
  <c r="N15" i="12"/>
  <c r="N47" i="12"/>
  <c r="N79" i="12"/>
  <c r="M6" i="12"/>
  <c r="M38" i="12"/>
  <c r="M70" i="12"/>
  <c r="M102" i="12"/>
  <c r="L66" i="12"/>
  <c r="L98" i="12"/>
  <c r="L25" i="12"/>
  <c r="L26" i="12"/>
  <c r="M9" i="12"/>
  <c r="L69" i="12"/>
  <c r="O25" i="12"/>
  <c r="O57" i="12"/>
  <c r="O89" i="12"/>
  <c r="N16" i="12"/>
  <c r="N48" i="12"/>
  <c r="N80" i="12"/>
  <c r="M7" i="12"/>
  <c r="M39" i="12"/>
  <c r="M71" i="12"/>
  <c r="M103" i="12"/>
  <c r="L67" i="12"/>
  <c r="L99" i="12"/>
  <c r="N43" i="12"/>
  <c r="O26" i="12"/>
  <c r="O58" i="12"/>
  <c r="O90" i="12"/>
  <c r="N17" i="12"/>
  <c r="N49" i="12"/>
  <c r="N81" i="12"/>
  <c r="M8" i="12"/>
  <c r="M40" i="12"/>
  <c r="M72" i="12"/>
  <c r="M104" i="12"/>
  <c r="L68" i="12"/>
  <c r="L100" i="12"/>
  <c r="L27" i="12"/>
  <c r="L101" i="12"/>
  <c r="L31" i="12"/>
  <c r="L44" i="12"/>
  <c r="M66" i="12"/>
  <c r="O27" i="12"/>
  <c r="O59" i="12"/>
  <c r="O91" i="12"/>
  <c r="N18" i="12"/>
  <c r="N50" i="12"/>
  <c r="N82" i="12"/>
  <c r="M41" i="12"/>
  <c r="M73" i="12"/>
  <c r="M105" i="12"/>
  <c r="O28" i="12"/>
  <c r="O60" i="12"/>
  <c r="O92" i="12"/>
  <c r="N19" i="12"/>
  <c r="N51" i="12"/>
  <c r="N83" i="12"/>
  <c r="M10" i="12"/>
  <c r="M42" i="12"/>
  <c r="M74" i="12"/>
  <c r="M106" i="12"/>
  <c r="L70" i="12"/>
  <c r="L102" i="12"/>
  <c r="L29" i="12"/>
  <c r="L30" i="12"/>
  <c r="M12" i="12"/>
  <c r="L72" i="12"/>
  <c r="L105" i="12"/>
  <c r="L76" i="12"/>
  <c r="O29" i="12"/>
  <c r="O61" i="12"/>
  <c r="O93" i="12"/>
  <c r="N20" i="12"/>
  <c r="N52" i="12"/>
  <c r="N84" i="12"/>
  <c r="M11" i="12"/>
  <c r="M43" i="12"/>
  <c r="M75" i="12"/>
  <c r="M107" i="12"/>
  <c r="L71" i="12"/>
  <c r="L103" i="12"/>
  <c r="N21" i="12"/>
  <c r="M76" i="12"/>
  <c r="L73" i="12"/>
  <c r="L32" i="12"/>
  <c r="L22" i="12"/>
  <c r="L95" i="12"/>
  <c r="L63" i="12"/>
  <c r="M99" i="12"/>
  <c r="M67" i="12"/>
  <c r="M35" i="12"/>
  <c r="N76" i="12"/>
  <c r="N44" i="12"/>
  <c r="N12" i="12"/>
  <c r="O85" i="12"/>
  <c r="O53" i="12"/>
  <c r="O21" i="12"/>
  <c r="L20" i="12"/>
  <c r="L93" i="12"/>
  <c r="L61" i="12"/>
  <c r="M97" i="12"/>
  <c r="M65" i="12"/>
  <c r="M33" i="12"/>
  <c r="N106" i="12"/>
  <c r="N74" i="12"/>
  <c r="N42" i="12"/>
  <c r="N10" i="12"/>
  <c r="O83" i="12"/>
  <c r="O51" i="12"/>
  <c r="O19" i="12"/>
  <c r="L19" i="12"/>
  <c r="L92" i="12"/>
  <c r="L60" i="12"/>
  <c r="M96" i="12"/>
  <c r="M64" i="12"/>
  <c r="M32" i="12"/>
  <c r="N105" i="12"/>
  <c r="N73" i="12"/>
  <c r="N41" i="12"/>
  <c r="N9" i="12"/>
  <c r="O82" i="12"/>
  <c r="O50" i="12"/>
  <c r="O18" i="12"/>
  <c r="L18" i="12"/>
  <c r="L91" i="12"/>
  <c r="L59" i="12"/>
  <c r="M95" i="12"/>
  <c r="M63" i="12"/>
  <c r="M31" i="12"/>
  <c r="N104" i="12"/>
  <c r="N72" i="12"/>
  <c r="N40" i="12"/>
  <c r="N8" i="12"/>
  <c r="O81" i="12"/>
  <c r="O49" i="12"/>
  <c r="O17" i="12"/>
  <c r="L17" i="12"/>
  <c r="L90" i="12"/>
  <c r="L58" i="12"/>
  <c r="M94" i="12"/>
  <c r="M62" i="12"/>
  <c r="M30" i="12"/>
  <c r="N103" i="12"/>
  <c r="N71" i="12"/>
  <c r="N39" i="12"/>
  <c r="N7" i="12"/>
  <c r="O80" i="12"/>
  <c r="O48" i="12"/>
  <c r="O16" i="12"/>
  <c r="L89" i="12"/>
  <c r="L57" i="12"/>
  <c r="M93" i="12"/>
  <c r="M61" i="12"/>
  <c r="M29" i="12"/>
  <c r="N102" i="12"/>
  <c r="N70" i="12"/>
  <c r="N38" i="12"/>
  <c r="N6" i="12"/>
  <c r="O79" i="12"/>
  <c r="O47" i="12"/>
  <c r="O15" i="12"/>
  <c r="L21" i="12"/>
  <c r="O84" i="12"/>
  <c r="L88" i="12"/>
  <c r="L56" i="12"/>
  <c r="M92" i="12"/>
  <c r="M60" i="12"/>
  <c r="M28" i="12"/>
  <c r="N101" i="12"/>
  <c r="N69" i="12"/>
  <c r="N37" i="12"/>
  <c r="N5" i="12"/>
  <c r="O78" i="12"/>
  <c r="O46" i="12"/>
  <c r="O14" i="12"/>
  <c r="M3" i="12"/>
  <c r="L14" i="12"/>
  <c r="L87" i="12"/>
  <c r="L55" i="12"/>
  <c r="M91" i="12"/>
  <c r="M59" i="12"/>
  <c r="M27" i="12"/>
  <c r="N100" i="12"/>
  <c r="N68" i="12"/>
  <c r="N36" i="12"/>
  <c r="N4" i="12"/>
  <c r="O77" i="12"/>
  <c r="O45" i="12"/>
  <c r="O13" i="12"/>
  <c r="M34" i="12"/>
  <c r="L13" i="12"/>
  <c r="L86" i="12"/>
  <c r="L54" i="12"/>
  <c r="M90" i="12"/>
  <c r="M58" i="12"/>
  <c r="M26" i="12"/>
  <c r="N99" i="12"/>
  <c r="N67" i="12"/>
  <c r="N35" i="12"/>
  <c r="O76" i="12"/>
  <c r="O44" i="12"/>
  <c r="O12" i="12"/>
  <c r="N75" i="12"/>
  <c r="L85" i="12"/>
  <c r="L53" i="12"/>
  <c r="M89" i="12"/>
  <c r="M57" i="12"/>
  <c r="M25" i="12"/>
  <c r="N98" i="12"/>
  <c r="N66" i="12"/>
  <c r="N34" i="12"/>
  <c r="O107" i="12"/>
  <c r="O75" i="12"/>
  <c r="O43" i="12"/>
  <c r="O11" i="12"/>
  <c r="L52" i="12"/>
  <c r="M88" i="12"/>
  <c r="M56" i="12"/>
  <c r="M24" i="12"/>
  <c r="N97" i="12"/>
  <c r="N65" i="12"/>
  <c r="N33" i="12"/>
  <c r="O106" i="12"/>
  <c r="O74" i="12"/>
  <c r="O42" i="12"/>
  <c r="O10" i="12"/>
  <c r="N11" i="12"/>
  <c r="L84" i="12"/>
  <c r="L10" i="12"/>
  <c r="L83" i="12"/>
  <c r="L51" i="12"/>
  <c r="M87" i="12"/>
  <c r="M55" i="12"/>
  <c r="M23" i="12"/>
  <c r="N96" i="12"/>
  <c r="N64" i="12"/>
  <c r="N32" i="12"/>
  <c r="O105" i="12"/>
  <c r="O73" i="12"/>
  <c r="O41" i="12"/>
  <c r="O9" i="12"/>
  <c r="N107" i="12"/>
  <c r="M86" i="12"/>
  <c r="N95" i="12"/>
  <c r="N63" i="12"/>
  <c r="N31" i="12"/>
  <c r="O104" i="12"/>
  <c r="O72" i="12"/>
  <c r="O40" i="12"/>
  <c r="O8" i="12"/>
  <c r="M54" i="12"/>
  <c r="L40" i="12"/>
  <c r="L81" i="12"/>
  <c r="L49" i="12"/>
  <c r="M85" i="12"/>
  <c r="M53" i="12"/>
  <c r="M21" i="12"/>
  <c r="N94" i="12"/>
  <c r="N62" i="12"/>
  <c r="N30" i="12"/>
  <c r="O103" i="12"/>
  <c r="O71" i="12"/>
  <c r="O39" i="12"/>
  <c r="O7" i="12"/>
  <c r="L9" i="12"/>
  <c r="L50" i="12"/>
  <c r="M22" i="12"/>
  <c r="L8" i="12"/>
  <c r="L39" i="12"/>
  <c r="L7" i="12"/>
  <c r="L80" i="12"/>
  <c r="L48" i="12"/>
  <c r="M84" i="12"/>
  <c r="M52" i="12"/>
  <c r="M20" i="12"/>
  <c r="N93" i="12"/>
  <c r="N61" i="12"/>
  <c r="N29" i="12"/>
  <c r="O102" i="12"/>
  <c r="O70" i="12"/>
  <c r="O38" i="12"/>
  <c r="O6" i="12"/>
  <c r="L16" i="12"/>
  <c r="L12" i="12"/>
  <c r="L38" i="12"/>
  <c r="L6" i="12"/>
  <c r="L79" i="12"/>
  <c r="L47" i="12"/>
  <c r="M83" i="12"/>
  <c r="M51" i="12"/>
  <c r="M19" i="12"/>
  <c r="N92" i="12"/>
  <c r="N60" i="12"/>
  <c r="N28" i="12"/>
  <c r="O101" i="12"/>
  <c r="O69" i="12"/>
  <c r="O37" i="12"/>
  <c r="O5" i="12"/>
  <c r="L62" i="12"/>
  <c r="L82" i="12"/>
  <c r="L37" i="12"/>
  <c r="L5" i="12"/>
  <c r="L78" i="12"/>
  <c r="L46" i="12"/>
  <c r="M82" i="12"/>
  <c r="M50" i="12"/>
  <c r="M18" i="12"/>
  <c r="N91" i="12"/>
  <c r="N59" i="12"/>
  <c r="N27" i="12"/>
  <c r="O100" i="12"/>
  <c r="O68" i="12"/>
  <c r="O36" i="12"/>
  <c r="O4" i="12"/>
  <c r="L11" i="12"/>
  <c r="L36" i="12"/>
  <c r="L4" i="12"/>
  <c r="L77" i="12"/>
  <c r="L45" i="12"/>
  <c r="M81" i="12"/>
  <c r="M49" i="12"/>
  <c r="M17" i="12"/>
  <c r="N90" i="12"/>
  <c r="N58" i="12"/>
  <c r="N26" i="12"/>
  <c r="O99" i="12"/>
  <c r="O67" i="12"/>
  <c r="O35" i="12"/>
  <c r="L94" i="12"/>
  <c r="M80" i="12"/>
  <c r="M48" i="12"/>
  <c r="M16" i="12"/>
  <c r="N89" i="12"/>
  <c r="N57" i="12"/>
  <c r="N25" i="12"/>
  <c r="O98" i="12"/>
  <c r="O66" i="12"/>
  <c r="O34" i="12"/>
  <c r="M98" i="12"/>
  <c r="O52" i="12"/>
  <c r="L107" i="12"/>
  <c r="L75" i="12"/>
  <c r="L43" i="12"/>
  <c r="M79" i="12"/>
  <c r="M47" i="12"/>
  <c r="M15" i="12"/>
  <c r="N88" i="12"/>
  <c r="N56" i="12"/>
  <c r="N24" i="12"/>
  <c r="O97" i="12"/>
  <c r="O65" i="12"/>
  <c r="O33" i="12"/>
  <c r="L15" i="12"/>
  <c r="L106" i="12"/>
  <c r="L74" i="12"/>
  <c r="L42" i="12"/>
  <c r="M78" i="12"/>
  <c r="M46" i="12"/>
  <c r="M14" i="12"/>
  <c r="N87" i="12"/>
  <c r="N55" i="12"/>
  <c r="N23" i="12"/>
  <c r="O96" i="12"/>
  <c r="O64" i="12"/>
  <c r="O32" i="12"/>
  <c r="M77" i="12"/>
  <c r="M45" i="12"/>
  <c r="M13" i="12"/>
  <c r="N86" i="12"/>
  <c r="N54" i="12"/>
  <c r="N22" i="12"/>
  <c r="O95" i="12"/>
  <c r="O63" i="12"/>
  <c r="O31" i="12"/>
  <c r="L104" i="12"/>
  <c r="M44" i="12"/>
  <c r="N85" i="12"/>
  <c r="N53" i="12"/>
  <c r="O94" i="12"/>
  <c r="O62" i="12"/>
  <c r="O30" i="12"/>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5" i="29"/>
  <c r="C4" i="29"/>
  <c r="N3" i="12" l="1"/>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E11" i="12"/>
  <c r="D4" i="29"/>
  <c r="C16" i="12"/>
  <c r="E13" i="12"/>
  <c r="E7" i="12"/>
  <c r="E8" i="12"/>
  <c r="C7" i="12"/>
  <c r="C11" i="12"/>
  <c r="E5" i="12"/>
  <c r="D5" i="29"/>
  <c r="C17" i="12"/>
  <c r="E12" i="12"/>
  <c r="E4" i="29"/>
  <c r="C12" i="12"/>
  <c r="D7" i="12"/>
  <c r="E6" i="12"/>
  <c r="E14" i="12"/>
  <c r="C9" i="12"/>
  <c r="E4" i="12"/>
  <c r="E5" i="29"/>
  <c r="C14" i="12"/>
  <c r="D5" i="12"/>
  <c r="E10" i="12"/>
  <c r="C19" i="12"/>
  <c r="E18" i="12"/>
  <c r="D4" i="12"/>
  <c r="F4" i="29" l="1"/>
  <c r="G4" i="29" s="1"/>
  <c r="F5" i="29"/>
  <c r="G5" i="29" s="1"/>
  <c r="E19" i="12"/>
  <c r="D16" i="12"/>
  <c r="D8" i="12"/>
  <c r="E15" i="12"/>
  <c r="E16" i="12"/>
  <c r="E9" i="12"/>
  <c r="D17" i="12"/>
  <c r="D9" i="12"/>
  <c r="D10" i="12"/>
  <c r="E17" i="12"/>
  <c r="C15" i="12"/>
  <c r="D13" i="12"/>
  <c r="C6" i="12"/>
  <c r="D18" i="12"/>
  <c r="C18" i="12"/>
  <c r="C13" i="12"/>
  <c r="C8" i="12"/>
  <c r="D6" i="12"/>
  <c r="D19" i="12"/>
  <c r="D12" i="12"/>
  <c r="D11" i="12"/>
  <c r="C10" i="12"/>
  <c r="D14" i="12"/>
  <c r="D15"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D3" i="12"/>
  <c r="C5" i="12"/>
  <c r="D3" i="29"/>
  <c r="C3" i="29"/>
  <c r="E3" i="29"/>
  <c r="E3" i="12"/>
  <c r="C3" i="12"/>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<sst xmlns="http://schemas.openxmlformats.org/spreadsheetml/2006/main" count="4922" uniqueCount="2283">
  <si>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</si>
  <si>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</si>
  <si>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</si>
  <si>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</si>
  <si>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</si>
  <si>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</si>
  <si>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</si>
  <si>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</si>
  <si>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</si>
  <si>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</si>
  <si>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</si>
  <si>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</si>
  <si>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</si>
  <si>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</si>
  <si>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</si>
  <si>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</si>
  <si>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</si>
  <si>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</si>
  <si>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</si>
  <si>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</si>
  <si>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</si>
  <si>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</si>
  <si>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</si>
  <si>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</si>
  <si>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</si>
  <si>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</si>
  <si>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</si>
  <si>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</si>
  <si>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</si>
  <si>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</si>
  <si>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</si>
  <si>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</si>
  <si>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</si>
  <si>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</si>
  <si>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</si>
  <si>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</si>
  <si>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</si>
  <si>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</si>
  <si>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</si>
  <si>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</si>
  <si>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</si>
  <si>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</si>
  <si>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</si>
  <si>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</si>
  <si>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</si>
  <si>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</si>
  <si>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</si>
  <si>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</si>
  <si>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</si>
  <si>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</si>
  <si>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</si>
  <si>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</si>
  <si>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</si>
  <si>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</si>
  <si>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</si>
  <si>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</si>
  <si>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</si>
  <si>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</si>
  <si>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</si>
  <si>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</si>
  <si>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</si>
  <si>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</si>
  <si>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</si>
  <si>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</si>
  <si>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</si>
  <si>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</si>
  <si>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</si>
  <si>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</si>
  <si>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</si>
  <si>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</si>
  <si>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</si>
  <si>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</si>
  <si>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</si>
  <si>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</si>
  <si>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</si>
  <si>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</si>
  <si>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</si>
  <si>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</si>
  <si>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</si>
  <si>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</si>
  <si>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</si>
  <si>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</si>
  <si>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</si>
  <si>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</si>
  <si>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</si>
  <si>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</si>
  <si>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</si>
  <si>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</si>
  <si>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</si>
  <si>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</si>
  <si>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</si>
  <si>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</si>
  <si>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</si>
  <si>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</si>
  <si>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</si>
  <si>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</si>
  <si>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</si>
  <si>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</si>
  <si>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</si>
  <si>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</si>
  <si>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</si>
  <si>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</si>
  <si>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</si>
  <si>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</si>
  <si>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</si>
  <si>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</si>
  <si>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</si>
  <si>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</si>
  <si>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</si>
  <si>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</si>
  <si>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</si>
  <si>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</si>
  <si>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</si>
  <si>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</si>
  <si>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</si>
  <si>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</si>
  <si>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Wastage</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</si>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</sst>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C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34">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0" xfId="0"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0" fillId="7" borderId="0" xfId="0" applyFill="1"/>
    <xf numFmtId="0" fontId="0" fillId="7" borderId="0" xfId="0" applyFill="1" applyAlignment="1">
      <alignment horizontal="center"/>
    </xf>
    <xf numFmtId="4" fontId="0" fillId="7" borderId="0" xfId="0" applyNumberFormat="1" applyFill="1"/>
    <xf numFmtId="0" fontId="0" fillId="0" borderId="2" xfId="0" applyBorder="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116</v>
      </c>
      <c r="G1" t="s">
        <v>2257</v>
      </c>
      <c r="H1" t="s">
        <v>22</v>
      </c>
      <c r="I1" t="s">
        <v>2258</v>
      </c>
      <c r="J1" t="s">
        <v>51</v>
      </c>
    </row>
    <row r="2" spans="1:10" x14ac:dyDescent="0.25">
      <c r="A2" t="s">
        <v>2259</v>
      </c>
      <c r="B2" s="23" t="s">
        <v>325</v>
      </c>
      <c r="C2" t="s">
        <v>8</v>
      </c>
      <c r="D2">
        <v>65</v>
      </c>
      <c r="E2">
        <v>2</v>
      </c>
      <c r="F2">
        <v>0</v>
      </c>
      <c r="G2">
        <v>2</v>
      </c>
      <c r="H2">
        <v>130</v>
      </c>
      <c r="I2" t="s">
        <v>2260</v>
      </c>
      <c r="J2">
        <v>3</v>
      </c>
    </row>
    <row r="3" spans="1:10" x14ac:dyDescent="0.25">
      <c r="A3" t="s">
        <v>2259</v>
      </c>
      <c r="B3" s="23" t="s">
        <v>326</v>
      </c>
      <c r="C3" t="s">
        <v>327</v>
      </c>
      <c r="D3">
        <v>15</v>
      </c>
      <c r="E3">
        <v>1</v>
      </c>
      <c r="F3">
        <v>0</v>
      </c>
      <c r="G3">
        <v>1</v>
      </c>
      <c r="H3">
        <v>15</v>
      </c>
      <c r="I3" t="s">
        <v>2260</v>
      </c>
      <c r="J3">
        <v>4</v>
      </c>
    </row>
    <row r="4" spans="1:10" x14ac:dyDescent="0.25">
      <c r="A4" t="s">
        <v>2259</v>
      </c>
      <c r="B4" s="23" t="s">
        <v>329</v>
      </c>
      <c r="C4" t="s">
        <v>8</v>
      </c>
      <c r="D4">
        <v>4</v>
      </c>
      <c r="E4">
        <v>1</v>
      </c>
      <c r="F4">
        <v>0</v>
      </c>
      <c r="G4">
        <v>1</v>
      </c>
      <c r="H4">
        <v>4</v>
      </c>
      <c r="I4" t="s">
        <v>2260</v>
      </c>
      <c r="J4">
        <v>5</v>
      </c>
    </row>
    <row r="5" spans="1:10" x14ac:dyDescent="0.25">
      <c r="A5" t="s">
        <v>2261</v>
      </c>
      <c r="B5" s="23" t="s">
        <v>322</v>
      </c>
      <c r="C5" t="s">
        <v>33</v>
      </c>
      <c r="D5">
        <v>22.5</v>
      </c>
      <c r="E5">
        <v>14</v>
      </c>
      <c r="F5">
        <v>0</v>
      </c>
      <c r="G5">
        <v>14</v>
      </c>
      <c r="H5">
        <v>315</v>
      </c>
      <c r="I5" t="s">
        <v>2260</v>
      </c>
      <c r="J5">
        <v>3</v>
      </c>
    </row>
    <row r="6" spans="1:10" x14ac:dyDescent="0.25">
      <c r="A6" t="s">
        <v>2262</v>
      </c>
      <c r="B6" s="23" t="s">
        <v>564</v>
      </c>
      <c r="C6" t="s">
        <v>565</v>
      </c>
      <c r="D6">
        <v>650</v>
      </c>
      <c r="E6">
        <v>1</v>
      </c>
      <c r="F6">
        <v>0</v>
      </c>
      <c r="G6">
        <v>1</v>
      </c>
      <c r="H6">
        <v>650</v>
      </c>
      <c r="I6" t="s">
        <v>2260</v>
      </c>
      <c r="J6">
        <v>3</v>
      </c>
    </row>
    <row r="7" spans="1:10" x14ac:dyDescent="0.25">
      <c r="A7" t="s">
        <v>2262</v>
      </c>
      <c r="B7" s="23" t="s">
        <v>1456</v>
      </c>
      <c r="C7" t="s">
        <v>565</v>
      </c>
      <c r="D7">
        <v>450</v>
      </c>
      <c r="E7">
        <v>1</v>
      </c>
      <c r="F7">
        <v>0</v>
      </c>
      <c r="G7">
        <v>1</v>
      </c>
      <c r="H7">
        <v>450</v>
      </c>
      <c r="I7" t="s">
        <v>2260</v>
      </c>
      <c r="J7">
        <v>4</v>
      </c>
    </row>
    <row r="8" spans="1:10" x14ac:dyDescent="0.25">
      <c r="A8" t="s">
        <v>2262</v>
      </c>
      <c r="B8" s="23" t="s">
        <v>35</v>
      </c>
      <c r="C8" t="s">
        <v>10</v>
      </c>
      <c r="D8">
        <v>45</v>
      </c>
      <c r="E8">
        <v>60</v>
      </c>
      <c r="F8">
        <v>0</v>
      </c>
      <c r="G8">
        <v>60</v>
      </c>
      <c r="H8">
        <v>2700</v>
      </c>
      <c r="I8" t="s">
        <v>2260</v>
      </c>
      <c r="J8">
        <v>5</v>
      </c>
    </row>
    <row r="9" spans="1:10" x14ac:dyDescent="0.25">
      <c r="A9" t="s">
        <v>2261</v>
      </c>
      <c r="B9" s="23" t="s">
        <v>322</v>
      </c>
      <c r="C9" t="s">
        <v>33</v>
      </c>
      <c r="D9">
        <v>22.5</v>
      </c>
      <c r="E9">
        <v>100</v>
      </c>
      <c r="F9">
        <v>0</v>
      </c>
      <c r="G9">
        <v>100</v>
      </c>
      <c r="H9">
        <v>2250</v>
      </c>
      <c r="I9" t="s">
        <v>2263</v>
      </c>
      <c r="J9">
        <v>3</v>
      </c>
    </row>
    <row r="10" spans="1:10" x14ac:dyDescent="0.25">
      <c r="A10" t="s">
        <v>2259</v>
      </c>
      <c r="B10" s="23" t="s">
        <v>552</v>
      </c>
      <c r="C10" t="s">
        <v>11</v>
      </c>
      <c r="D10">
        <v>830</v>
      </c>
      <c r="E10">
        <v>0.26</v>
      </c>
      <c r="F10">
        <v>0</v>
      </c>
      <c r="G10">
        <v>0.26</v>
      </c>
      <c r="H10">
        <v>215.8</v>
      </c>
      <c r="I10" t="s">
        <v>2264</v>
      </c>
      <c r="J10">
        <v>3</v>
      </c>
    </row>
    <row r="11" spans="1:10" x14ac:dyDescent="0.25">
      <c r="A11" t="s">
        <v>2259</v>
      </c>
      <c r="B11" s="23" t="s">
        <v>553</v>
      </c>
      <c r="C11" t="s">
        <v>11</v>
      </c>
      <c r="D11">
        <v>950</v>
      </c>
      <c r="E11">
        <v>0.05</v>
      </c>
      <c r="F11">
        <v>0</v>
      </c>
      <c r="G11">
        <v>0.05</v>
      </c>
      <c r="H11">
        <v>47.5</v>
      </c>
      <c r="I11" t="s">
        <v>2264</v>
      </c>
      <c r="J11">
        <v>4</v>
      </c>
    </row>
    <row r="12" spans="1:10" x14ac:dyDescent="0.25">
      <c r="A12" t="s">
        <v>2259</v>
      </c>
      <c r="B12" s="23" t="s">
        <v>711</v>
      </c>
      <c r="C12" t="s">
        <v>327</v>
      </c>
      <c r="D12">
        <v>180</v>
      </c>
      <c r="E12">
        <v>1</v>
      </c>
      <c r="F12">
        <v>0</v>
      </c>
      <c r="G12">
        <v>1</v>
      </c>
      <c r="H12">
        <v>180</v>
      </c>
      <c r="I12" t="s">
        <v>2264</v>
      </c>
      <c r="J12">
        <v>5</v>
      </c>
    </row>
    <row r="13" spans="1:10" x14ac:dyDescent="0.25">
      <c r="A13" t="s">
        <v>2259</v>
      </c>
      <c r="B13" s="23" t="s">
        <v>554</v>
      </c>
      <c r="C13" t="s">
        <v>8</v>
      </c>
      <c r="D13">
        <v>215</v>
      </c>
      <c r="E13">
        <v>4.41</v>
      </c>
      <c r="F13">
        <v>0</v>
      </c>
      <c r="G13">
        <v>4.41</v>
      </c>
      <c r="H13">
        <v>948.15</v>
      </c>
      <c r="I13" t="s">
        <v>2264</v>
      </c>
      <c r="J13">
        <v>6</v>
      </c>
    </row>
    <row r="14" spans="1:10" x14ac:dyDescent="0.25">
      <c r="A14" t="s">
        <v>2259</v>
      </c>
      <c r="B14" s="23" t="s">
        <v>556</v>
      </c>
      <c r="C14" t="s">
        <v>557</v>
      </c>
      <c r="D14">
        <v>330</v>
      </c>
      <c r="E14">
        <v>5.2</v>
      </c>
      <c r="F14">
        <v>0</v>
      </c>
      <c r="G14">
        <v>5.2</v>
      </c>
      <c r="H14">
        <v>1716</v>
      </c>
      <c r="I14" t="s">
        <v>2264</v>
      </c>
      <c r="J14">
        <v>7</v>
      </c>
    </row>
    <row r="15" spans="1:10" x14ac:dyDescent="0.25">
      <c r="A15" t="s">
        <v>2259</v>
      </c>
      <c r="B15" s="23" t="s">
        <v>552</v>
      </c>
      <c r="C15" t="s">
        <v>11</v>
      </c>
      <c r="D15">
        <v>830</v>
      </c>
      <c r="E15">
        <v>0.08</v>
      </c>
      <c r="F15">
        <v>0</v>
      </c>
      <c r="G15">
        <v>0.08</v>
      </c>
      <c r="H15">
        <v>66.400000000000006</v>
      </c>
      <c r="I15" t="s">
        <v>2264</v>
      </c>
      <c r="J15">
        <v>8</v>
      </c>
    </row>
    <row r="16" spans="1:10" x14ac:dyDescent="0.25">
      <c r="A16" t="s">
        <v>2259</v>
      </c>
      <c r="B16" s="23" t="s">
        <v>553</v>
      </c>
      <c r="C16" t="s">
        <v>11</v>
      </c>
      <c r="D16">
        <v>950</v>
      </c>
      <c r="E16">
        <v>0.02</v>
      </c>
      <c r="F16">
        <v>0</v>
      </c>
      <c r="G16">
        <v>0.02</v>
      </c>
      <c r="H16">
        <v>19</v>
      </c>
      <c r="I16" t="s">
        <v>2264</v>
      </c>
      <c r="J16">
        <v>9</v>
      </c>
    </row>
    <row r="17" spans="1:10" x14ac:dyDescent="0.25">
      <c r="A17" t="s">
        <v>2259</v>
      </c>
      <c r="B17" s="23" t="s">
        <v>554</v>
      </c>
      <c r="C17" t="s">
        <v>8</v>
      </c>
      <c r="D17">
        <v>215</v>
      </c>
      <c r="E17">
        <v>1.33</v>
      </c>
      <c r="F17">
        <v>0</v>
      </c>
      <c r="G17">
        <v>1.33</v>
      </c>
      <c r="H17">
        <v>285.95</v>
      </c>
      <c r="I17" t="s">
        <v>2264</v>
      </c>
      <c r="J17">
        <v>10</v>
      </c>
    </row>
    <row r="18" spans="1:10" x14ac:dyDescent="0.25">
      <c r="A18" t="s">
        <v>2259</v>
      </c>
      <c r="B18" s="23" t="s">
        <v>556</v>
      </c>
      <c r="C18" t="s">
        <v>557</v>
      </c>
      <c r="D18">
        <v>330</v>
      </c>
      <c r="E18">
        <v>1.57</v>
      </c>
      <c r="F18">
        <v>0</v>
      </c>
      <c r="G18">
        <v>1.57</v>
      </c>
      <c r="H18">
        <v>518.1</v>
      </c>
      <c r="I18" t="s">
        <v>2264</v>
      </c>
      <c r="J18">
        <v>11</v>
      </c>
    </row>
    <row r="19" spans="1:10" x14ac:dyDescent="0.25">
      <c r="A19" t="s">
        <v>2259</v>
      </c>
      <c r="B19" s="23" t="s">
        <v>714</v>
      </c>
      <c r="C19" t="s">
        <v>715</v>
      </c>
      <c r="D19">
        <v>130</v>
      </c>
      <c r="E19">
        <v>1</v>
      </c>
      <c r="F19">
        <v>0</v>
      </c>
      <c r="G19">
        <v>1</v>
      </c>
      <c r="H19">
        <v>130</v>
      </c>
      <c r="I19" t="s">
        <v>2264</v>
      </c>
      <c r="J19">
        <v>12</v>
      </c>
    </row>
    <row r="20" spans="1:10" x14ac:dyDescent="0.25">
      <c r="A20" t="s">
        <v>2261</v>
      </c>
      <c r="B20" s="23" t="s">
        <v>322</v>
      </c>
      <c r="C20" t="s">
        <v>33</v>
      </c>
      <c r="D20">
        <v>22.5</v>
      </c>
      <c r="E20">
        <v>81</v>
      </c>
      <c r="F20">
        <v>0</v>
      </c>
      <c r="G20">
        <v>81</v>
      </c>
      <c r="H20">
        <v>1822.5</v>
      </c>
      <c r="I20" t="s">
        <v>2264</v>
      </c>
      <c r="J20">
        <v>3</v>
      </c>
    </row>
    <row r="21" spans="1:10" x14ac:dyDescent="0.25">
      <c r="A21" t="s">
        <v>2262</v>
      </c>
      <c r="B21" s="23" t="s">
        <v>591</v>
      </c>
      <c r="C21" t="s">
        <v>592</v>
      </c>
      <c r="D21">
        <v>900</v>
      </c>
      <c r="E21">
        <v>1</v>
      </c>
      <c r="F21">
        <v>0</v>
      </c>
      <c r="G21">
        <v>1</v>
      </c>
      <c r="H21">
        <v>900</v>
      </c>
      <c r="I21" t="s">
        <v>2264</v>
      </c>
      <c r="J21">
        <v>3</v>
      </c>
    </row>
    <row r="22" spans="1:10" x14ac:dyDescent="0.25">
      <c r="A22" t="s">
        <v>2259</v>
      </c>
      <c r="B22" s="23" t="s">
        <v>717</v>
      </c>
      <c r="C22" t="s">
        <v>557</v>
      </c>
      <c r="D22">
        <v>340</v>
      </c>
      <c r="E22">
        <v>0.45</v>
      </c>
      <c r="F22">
        <v>0</v>
      </c>
      <c r="G22">
        <v>0.45</v>
      </c>
      <c r="H22">
        <v>153</v>
      </c>
      <c r="I22" t="s">
        <v>2265</v>
      </c>
      <c r="J22">
        <v>3</v>
      </c>
    </row>
    <row r="23" spans="1:10" x14ac:dyDescent="0.25">
      <c r="A23" t="s">
        <v>2259</v>
      </c>
      <c r="B23" s="23" t="s">
        <v>717</v>
      </c>
      <c r="C23" t="s">
        <v>557</v>
      </c>
      <c r="D23">
        <v>340</v>
      </c>
      <c r="E23">
        <v>4.0999999999999996</v>
      </c>
      <c r="F23">
        <v>0</v>
      </c>
      <c r="G23">
        <v>4.0999999999999996</v>
      </c>
      <c r="H23">
        <v>1393.9999999999998</v>
      </c>
      <c r="I23" t="s">
        <v>2265</v>
      </c>
      <c r="J23">
        <v>4</v>
      </c>
    </row>
    <row r="24" spans="1:10" x14ac:dyDescent="0.25">
      <c r="A24" t="s">
        <v>2259</v>
      </c>
      <c r="B24" s="23" t="s">
        <v>661</v>
      </c>
      <c r="C24" t="s">
        <v>662</v>
      </c>
      <c r="D24">
        <v>28</v>
      </c>
      <c r="E24">
        <v>28</v>
      </c>
      <c r="F24">
        <v>0.05</v>
      </c>
      <c r="G24">
        <v>29.400000000000002</v>
      </c>
      <c r="H24">
        <v>823.2</v>
      </c>
      <c r="I24" t="s">
        <v>2265</v>
      </c>
      <c r="J24">
        <v>5</v>
      </c>
    </row>
    <row r="25" spans="1:10" x14ac:dyDescent="0.25">
      <c r="A25" t="s">
        <v>2259</v>
      </c>
      <c r="B25" s="23" t="s">
        <v>663</v>
      </c>
      <c r="C25" t="s">
        <v>662</v>
      </c>
      <c r="D25">
        <v>15</v>
      </c>
      <c r="E25">
        <v>13</v>
      </c>
      <c r="F25">
        <v>0.05</v>
      </c>
      <c r="G25">
        <v>13.65</v>
      </c>
      <c r="H25">
        <v>204.75</v>
      </c>
      <c r="I25" t="s">
        <v>2265</v>
      </c>
      <c r="J25">
        <v>6</v>
      </c>
    </row>
    <row r="26" spans="1:10" x14ac:dyDescent="0.25">
      <c r="A26" t="s">
        <v>2259</v>
      </c>
      <c r="B26" s="23" t="s">
        <v>665</v>
      </c>
      <c r="C26" t="s">
        <v>666</v>
      </c>
      <c r="D26">
        <v>45</v>
      </c>
      <c r="E26">
        <v>12</v>
      </c>
      <c r="F26">
        <v>0.05</v>
      </c>
      <c r="G26">
        <v>12.600000000000001</v>
      </c>
      <c r="H26">
        <v>567.00000000000011</v>
      </c>
      <c r="I26" t="s">
        <v>2265</v>
      </c>
      <c r="J26">
        <v>7</v>
      </c>
    </row>
    <row r="27" spans="1:10" x14ac:dyDescent="0.25">
      <c r="A27" t="s">
        <v>2259</v>
      </c>
      <c r="B27" s="23" t="s">
        <v>722</v>
      </c>
      <c r="C27" t="s">
        <v>723</v>
      </c>
      <c r="D27">
        <v>15</v>
      </c>
      <c r="E27">
        <v>20</v>
      </c>
      <c r="F27">
        <v>0.05</v>
      </c>
      <c r="G27">
        <v>21</v>
      </c>
      <c r="H27">
        <v>315</v>
      </c>
      <c r="I27" t="s">
        <v>2265</v>
      </c>
      <c r="J27">
        <v>8</v>
      </c>
    </row>
    <row r="28" spans="1:10" x14ac:dyDescent="0.25">
      <c r="A28" t="s">
        <v>2259</v>
      </c>
      <c r="B28" s="23" t="s">
        <v>714</v>
      </c>
      <c r="C28" t="s">
        <v>715</v>
      </c>
      <c r="D28">
        <v>130</v>
      </c>
      <c r="E28">
        <v>1</v>
      </c>
      <c r="F28">
        <v>0</v>
      </c>
      <c r="G28">
        <v>1</v>
      </c>
      <c r="H28">
        <v>130</v>
      </c>
      <c r="I28" t="s">
        <v>2265</v>
      </c>
      <c r="J28">
        <v>9</v>
      </c>
    </row>
    <row r="29" spans="1:10" x14ac:dyDescent="0.25">
      <c r="A29" t="s">
        <v>2261</v>
      </c>
      <c r="B29" s="23" t="s">
        <v>322</v>
      </c>
      <c r="C29" t="s">
        <v>33</v>
      </c>
      <c r="D29">
        <v>22.5</v>
      </c>
      <c r="E29">
        <v>141</v>
      </c>
      <c r="F29">
        <v>0</v>
      </c>
      <c r="G29">
        <v>141</v>
      </c>
      <c r="H29">
        <v>3172.5</v>
      </c>
      <c r="I29" t="s">
        <v>2265</v>
      </c>
      <c r="J29">
        <v>3</v>
      </c>
    </row>
    <row r="30" spans="1:10" x14ac:dyDescent="0.25">
      <c r="A30" t="s">
        <v>2262</v>
      </c>
      <c r="B30" s="23" t="s">
        <v>591</v>
      </c>
      <c r="C30" t="s">
        <v>592</v>
      </c>
      <c r="D30">
        <v>900</v>
      </c>
      <c r="E30">
        <v>1</v>
      </c>
      <c r="F30">
        <v>0</v>
      </c>
      <c r="G30">
        <v>1</v>
      </c>
      <c r="H30">
        <v>900</v>
      </c>
      <c r="I30" t="s">
        <v>2265</v>
      </c>
      <c r="J30">
        <v>3</v>
      </c>
    </row>
    <row r="31" spans="1:10" x14ac:dyDescent="0.25">
      <c r="A31" t="s">
        <v>2259</v>
      </c>
      <c r="B31" s="23" t="s">
        <v>717</v>
      </c>
      <c r="C31" t="s">
        <v>557</v>
      </c>
      <c r="D31">
        <v>340</v>
      </c>
      <c r="E31">
        <v>1.5</v>
      </c>
      <c r="F31">
        <v>0</v>
      </c>
      <c r="G31">
        <v>1.5</v>
      </c>
      <c r="H31">
        <v>510</v>
      </c>
      <c r="I31" t="s">
        <v>2266</v>
      </c>
      <c r="J31">
        <v>3</v>
      </c>
    </row>
    <row r="32" spans="1:10" x14ac:dyDescent="0.25">
      <c r="A32" t="s">
        <v>2259</v>
      </c>
      <c r="B32" s="23" t="s">
        <v>661</v>
      </c>
      <c r="C32" t="s">
        <v>662</v>
      </c>
      <c r="D32">
        <v>28</v>
      </c>
      <c r="E32">
        <v>12</v>
      </c>
      <c r="F32">
        <v>0.05</v>
      </c>
      <c r="G32">
        <v>12.600000000000001</v>
      </c>
      <c r="H32">
        <v>352.80000000000007</v>
      </c>
      <c r="I32" t="s">
        <v>2266</v>
      </c>
      <c r="J32">
        <v>4</v>
      </c>
    </row>
    <row r="33" spans="1:10" x14ac:dyDescent="0.25">
      <c r="A33" t="s">
        <v>2259</v>
      </c>
      <c r="B33" s="23" t="s">
        <v>866</v>
      </c>
      <c r="C33" t="s">
        <v>662</v>
      </c>
      <c r="D33">
        <v>22</v>
      </c>
      <c r="E33">
        <v>17</v>
      </c>
      <c r="F33">
        <v>0.05</v>
      </c>
      <c r="G33">
        <v>17.850000000000001</v>
      </c>
      <c r="H33">
        <v>392.70000000000005</v>
      </c>
      <c r="I33" t="s">
        <v>2266</v>
      </c>
      <c r="J33">
        <v>5</v>
      </c>
    </row>
    <row r="34" spans="1:10" x14ac:dyDescent="0.25">
      <c r="A34" t="s">
        <v>2259</v>
      </c>
      <c r="B34" s="23" t="s">
        <v>663</v>
      </c>
      <c r="C34" t="s">
        <v>662</v>
      </c>
      <c r="D34">
        <v>15</v>
      </c>
      <c r="E34">
        <v>17</v>
      </c>
      <c r="F34">
        <v>0.05</v>
      </c>
      <c r="G34">
        <v>17.850000000000001</v>
      </c>
      <c r="H34">
        <v>267.75</v>
      </c>
      <c r="I34" t="s">
        <v>2266</v>
      </c>
      <c r="J34">
        <v>6</v>
      </c>
    </row>
    <row r="35" spans="1:10" x14ac:dyDescent="0.25">
      <c r="A35" t="s">
        <v>2259</v>
      </c>
      <c r="B35" s="23" t="s">
        <v>665</v>
      </c>
      <c r="C35" t="s">
        <v>666</v>
      </c>
      <c r="D35">
        <v>45</v>
      </c>
      <c r="E35">
        <v>14</v>
      </c>
      <c r="F35">
        <v>0.05</v>
      </c>
      <c r="G35">
        <v>14.700000000000001</v>
      </c>
      <c r="H35">
        <v>661.5</v>
      </c>
      <c r="I35" t="s">
        <v>2266</v>
      </c>
      <c r="J35">
        <v>7</v>
      </c>
    </row>
    <row r="36" spans="1:10" x14ac:dyDescent="0.25">
      <c r="A36" t="s">
        <v>2259</v>
      </c>
      <c r="B36" s="23" t="s">
        <v>722</v>
      </c>
      <c r="C36" t="s">
        <v>723</v>
      </c>
      <c r="D36">
        <v>15</v>
      </c>
      <c r="E36">
        <v>24</v>
      </c>
      <c r="F36">
        <v>0.05</v>
      </c>
      <c r="G36">
        <v>25.200000000000003</v>
      </c>
      <c r="H36">
        <v>378.00000000000006</v>
      </c>
      <c r="I36" t="s">
        <v>2266</v>
      </c>
      <c r="J36">
        <v>8</v>
      </c>
    </row>
    <row r="37" spans="1:10" x14ac:dyDescent="0.25">
      <c r="A37" t="s">
        <v>2259</v>
      </c>
      <c r="B37" s="23" t="s">
        <v>714</v>
      </c>
      <c r="C37" t="s">
        <v>715</v>
      </c>
      <c r="D37">
        <v>130</v>
      </c>
      <c r="E37">
        <v>1</v>
      </c>
      <c r="F37">
        <v>0</v>
      </c>
      <c r="G37">
        <v>1</v>
      </c>
      <c r="H37">
        <v>130</v>
      </c>
      <c r="I37" t="s">
        <v>2266</v>
      </c>
      <c r="J37">
        <v>9</v>
      </c>
    </row>
    <row r="38" spans="1:10" x14ac:dyDescent="0.25">
      <c r="A38" t="s">
        <v>2261</v>
      </c>
      <c r="B38" s="23" t="s">
        <v>322</v>
      </c>
      <c r="C38" t="s">
        <v>33</v>
      </c>
      <c r="D38">
        <v>22.5</v>
      </c>
      <c r="E38">
        <v>110</v>
      </c>
      <c r="F38">
        <v>0</v>
      </c>
      <c r="G38">
        <v>110</v>
      </c>
      <c r="H38">
        <v>2475</v>
      </c>
      <c r="I38" t="s">
        <v>2266</v>
      </c>
      <c r="J38">
        <v>3</v>
      </c>
    </row>
    <row r="39" spans="1:10" x14ac:dyDescent="0.25">
      <c r="A39" t="s">
        <v>2259</v>
      </c>
      <c r="B39" s="23" t="s">
        <v>948</v>
      </c>
      <c r="C39" t="s">
        <v>723</v>
      </c>
      <c r="D39">
        <v>12.6</v>
      </c>
      <c r="E39">
        <v>4</v>
      </c>
      <c r="F39">
        <v>0.05</v>
      </c>
      <c r="G39">
        <v>4.2</v>
      </c>
      <c r="H39">
        <v>52.92</v>
      </c>
      <c r="I39" t="s">
        <v>2267</v>
      </c>
      <c r="J39">
        <v>3</v>
      </c>
    </row>
    <row r="40" spans="1:10" x14ac:dyDescent="0.25">
      <c r="A40" t="s">
        <v>2259</v>
      </c>
      <c r="B40" s="23" t="s">
        <v>2000</v>
      </c>
      <c r="C40" t="s">
        <v>8</v>
      </c>
      <c r="D40">
        <v>3</v>
      </c>
      <c r="E40">
        <v>5</v>
      </c>
      <c r="F40">
        <v>0.05</v>
      </c>
      <c r="G40">
        <v>5.25</v>
      </c>
      <c r="H40">
        <v>15.75</v>
      </c>
      <c r="I40" t="s">
        <v>2267</v>
      </c>
      <c r="J40">
        <v>4</v>
      </c>
    </row>
    <row r="41" spans="1:10" x14ac:dyDescent="0.25">
      <c r="A41" t="s">
        <v>2259</v>
      </c>
      <c r="B41" s="23" t="s">
        <v>950</v>
      </c>
      <c r="C41" t="s">
        <v>8</v>
      </c>
      <c r="D41">
        <v>13</v>
      </c>
      <c r="E41">
        <v>2</v>
      </c>
      <c r="F41">
        <v>0</v>
      </c>
      <c r="G41">
        <v>2</v>
      </c>
      <c r="H41">
        <v>26</v>
      </c>
      <c r="I41" t="s">
        <v>2267</v>
      </c>
      <c r="J41">
        <v>5</v>
      </c>
    </row>
    <row r="42" spans="1:10" x14ac:dyDescent="0.25">
      <c r="A42" t="s">
        <v>2259</v>
      </c>
      <c r="B42" s="23" t="s">
        <v>951</v>
      </c>
      <c r="C42" t="s">
        <v>8</v>
      </c>
      <c r="D42">
        <v>8</v>
      </c>
      <c r="E42">
        <v>1</v>
      </c>
      <c r="F42">
        <v>0</v>
      </c>
      <c r="G42">
        <v>1</v>
      </c>
      <c r="H42">
        <v>8</v>
      </c>
      <c r="I42" t="s">
        <v>2267</v>
      </c>
      <c r="J42">
        <v>6</v>
      </c>
    </row>
    <row r="43" spans="1:10" x14ac:dyDescent="0.25">
      <c r="A43" t="s">
        <v>2259</v>
      </c>
      <c r="B43" s="23" t="s">
        <v>953</v>
      </c>
      <c r="C43" t="s">
        <v>8</v>
      </c>
      <c r="D43">
        <v>49</v>
      </c>
      <c r="E43">
        <v>3</v>
      </c>
      <c r="F43">
        <v>0.05</v>
      </c>
      <c r="G43">
        <v>3.1500000000000004</v>
      </c>
      <c r="H43">
        <v>154.35000000000002</v>
      </c>
      <c r="I43" t="s">
        <v>2267</v>
      </c>
      <c r="J43">
        <v>7</v>
      </c>
    </row>
    <row r="44" spans="1:10" x14ac:dyDescent="0.25">
      <c r="A44" t="s">
        <v>2259</v>
      </c>
      <c r="B44" s="23" t="s">
        <v>954</v>
      </c>
      <c r="C44" t="s">
        <v>8</v>
      </c>
      <c r="D44">
        <v>4.3</v>
      </c>
      <c r="E44">
        <v>6</v>
      </c>
      <c r="F44">
        <v>0.05</v>
      </c>
      <c r="G44">
        <v>6.3000000000000007</v>
      </c>
      <c r="H44">
        <v>27.090000000000003</v>
      </c>
      <c r="I44" t="s">
        <v>2267</v>
      </c>
      <c r="J44">
        <v>8</v>
      </c>
    </row>
    <row r="45" spans="1:10" x14ac:dyDescent="0.25">
      <c r="A45" t="s">
        <v>2259</v>
      </c>
      <c r="B45" s="23" t="s">
        <v>63</v>
      </c>
      <c r="C45" t="s">
        <v>8</v>
      </c>
      <c r="D45">
        <v>15</v>
      </c>
      <c r="E45">
        <v>1</v>
      </c>
      <c r="F45">
        <v>0</v>
      </c>
      <c r="G45">
        <v>1</v>
      </c>
      <c r="H45">
        <v>15</v>
      </c>
      <c r="I45" t="s">
        <v>2267</v>
      </c>
      <c r="J45">
        <v>9</v>
      </c>
    </row>
    <row r="46" spans="1:10" x14ac:dyDescent="0.25">
      <c r="A46" t="s">
        <v>2259</v>
      </c>
      <c r="B46" s="23" t="s">
        <v>2006</v>
      </c>
      <c r="C46" t="s">
        <v>8</v>
      </c>
      <c r="D46">
        <v>4</v>
      </c>
      <c r="E46">
        <v>1</v>
      </c>
      <c r="F46">
        <v>0</v>
      </c>
      <c r="G46">
        <v>1</v>
      </c>
      <c r="H46">
        <v>4</v>
      </c>
      <c r="I46" t="s">
        <v>2267</v>
      </c>
      <c r="J46">
        <v>10</v>
      </c>
    </row>
    <row r="47" spans="1:10" x14ac:dyDescent="0.25">
      <c r="A47" t="s">
        <v>2259</v>
      </c>
      <c r="B47" s="23" t="s">
        <v>2008</v>
      </c>
      <c r="C47" t="s">
        <v>8</v>
      </c>
      <c r="D47">
        <v>8</v>
      </c>
      <c r="E47">
        <v>1</v>
      </c>
      <c r="F47">
        <v>0</v>
      </c>
      <c r="G47">
        <v>1</v>
      </c>
      <c r="H47">
        <v>8</v>
      </c>
      <c r="I47" t="s">
        <v>2267</v>
      </c>
      <c r="J47">
        <v>11</v>
      </c>
    </row>
    <row r="48" spans="1:10" x14ac:dyDescent="0.25">
      <c r="A48" t="s">
        <v>2259</v>
      </c>
      <c r="B48" s="23" t="s">
        <v>956</v>
      </c>
      <c r="C48" t="s">
        <v>8</v>
      </c>
      <c r="D48">
        <v>91</v>
      </c>
      <c r="E48">
        <v>2</v>
      </c>
      <c r="F48">
        <v>0.05</v>
      </c>
      <c r="G48">
        <v>2.1</v>
      </c>
      <c r="H48">
        <v>191.1</v>
      </c>
      <c r="I48" t="s">
        <v>2267</v>
      </c>
      <c r="J48">
        <v>12</v>
      </c>
    </row>
    <row r="49" spans="1:10" x14ac:dyDescent="0.25">
      <c r="A49" t="s">
        <v>2259</v>
      </c>
      <c r="B49" s="23" t="s">
        <v>957</v>
      </c>
      <c r="C49" t="s">
        <v>8</v>
      </c>
      <c r="D49">
        <v>9.5</v>
      </c>
      <c r="E49">
        <v>2</v>
      </c>
      <c r="F49">
        <v>0.05</v>
      </c>
      <c r="G49">
        <v>2.1</v>
      </c>
      <c r="H49">
        <v>19.95</v>
      </c>
      <c r="I49" t="s">
        <v>2267</v>
      </c>
      <c r="J49">
        <v>13</v>
      </c>
    </row>
    <row r="50" spans="1:10" x14ac:dyDescent="0.25">
      <c r="A50" t="s">
        <v>2259</v>
      </c>
      <c r="B50" s="23" t="s">
        <v>958</v>
      </c>
      <c r="C50" t="s">
        <v>959</v>
      </c>
      <c r="D50">
        <v>8.4</v>
      </c>
      <c r="E50">
        <v>1</v>
      </c>
      <c r="F50">
        <v>0</v>
      </c>
      <c r="G50">
        <v>1</v>
      </c>
      <c r="H50">
        <v>8.4</v>
      </c>
      <c r="I50" t="s">
        <v>2267</v>
      </c>
      <c r="J50">
        <v>14</v>
      </c>
    </row>
    <row r="51" spans="1:10" x14ac:dyDescent="0.25">
      <c r="A51" t="s">
        <v>2259</v>
      </c>
      <c r="B51" s="23" t="s">
        <v>961</v>
      </c>
      <c r="C51" t="s">
        <v>8</v>
      </c>
      <c r="D51">
        <v>1</v>
      </c>
      <c r="E51">
        <v>1</v>
      </c>
      <c r="F51">
        <v>0</v>
      </c>
      <c r="G51">
        <v>1</v>
      </c>
      <c r="H51">
        <v>1</v>
      </c>
      <c r="I51" t="s">
        <v>2267</v>
      </c>
      <c r="J51">
        <v>15</v>
      </c>
    </row>
    <row r="52" spans="1:10" x14ac:dyDescent="0.25">
      <c r="A52" t="s">
        <v>2261</v>
      </c>
      <c r="B52" s="23" t="s">
        <v>322</v>
      </c>
      <c r="C52" t="s">
        <v>33</v>
      </c>
      <c r="D52">
        <v>22.5</v>
      </c>
      <c r="E52">
        <v>64</v>
      </c>
      <c r="F52">
        <v>0</v>
      </c>
      <c r="G52">
        <v>64</v>
      </c>
      <c r="H52">
        <v>1440</v>
      </c>
      <c r="I52" t="s">
        <v>2267</v>
      </c>
      <c r="J52">
        <v>3</v>
      </c>
    </row>
    <row r="53" spans="1:10" x14ac:dyDescent="0.25">
      <c r="A53" t="s">
        <v>2259</v>
      </c>
      <c r="B53" s="23" t="s">
        <v>2049</v>
      </c>
      <c r="C53" t="s">
        <v>723</v>
      </c>
      <c r="D53">
        <v>55</v>
      </c>
      <c r="E53">
        <v>16</v>
      </c>
      <c r="F53">
        <v>0.05</v>
      </c>
      <c r="G53">
        <v>16.8</v>
      </c>
      <c r="H53">
        <v>924</v>
      </c>
      <c r="I53" t="s">
        <v>2268</v>
      </c>
      <c r="J53">
        <v>3</v>
      </c>
    </row>
    <row r="54" spans="1:10" x14ac:dyDescent="0.25">
      <c r="A54" t="s">
        <v>2259</v>
      </c>
      <c r="B54" s="23" t="s">
        <v>1005</v>
      </c>
      <c r="C54" t="s">
        <v>8</v>
      </c>
      <c r="D54">
        <v>22</v>
      </c>
      <c r="E54">
        <v>26</v>
      </c>
      <c r="F54">
        <v>0.05</v>
      </c>
      <c r="G54">
        <v>27.3</v>
      </c>
      <c r="H54">
        <v>600.6</v>
      </c>
      <c r="I54" t="s">
        <v>2268</v>
      </c>
      <c r="J54">
        <v>4</v>
      </c>
    </row>
    <row r="55" spans="1:10" x14ac:dyDescent="0.25">
      <c r="A55" t="s">
        <v>2259</v>
      </c>
      <c r="B55" s="23" t="s">
        <v>1007</v>
      </c>
      <c r="C55" t="s">
        <v>1008</v>
      </c>
      <c r="D55">
        <v>5.5</v>
      </c>
      <c r="E55">
        <v>958</v>
      </c>
      <c r="F55">
        <v>0.05</v>
      </c>
      <c r="G55">
        <v>1005.9000000000001</v>
      </c>
      <c r="H55">
        <v>5532.4500000000007</v>
      </c>
      <c r="I55" t="s">
        <v>2268</v>
      </c>
      <c r="J55">
        <v>5</v>
      </c>
    </row>
    <row r="56" spans="1:10" x14ac:dyDescent="0.25">
      <c r="A56" t="s">
        <v>2259</v>
      </c>
      <c r="B56" s="23" t="s">
        <v>1513</v>
      </c>
      <c r="C56" t="s">
        <v>8</v>
      </c>
      <c r="D56">
        <v>0.13</v>
      </c>
      <c r="E56">
        <v>1200</v>
      </c>
      <c r="F56">
        <v>0.05</v>
      </c>
      <c r="G56">
        <v>1260</v>
      </c>
      <c r="H56">
        <v>163.80000000000001</v>
      </c>
      <c r="I56" t="s">
        <v>2268</v>
      </c>
      <c r="J56">
        <v>6</v>
      </c>
    </row>
    <row r="57" spans="1:10" x14ac:dyDescent="0.25">
      <c r="A57" t="s">
        <v>2259</v>
      </c>
      <c r="B57" s="23" t="s">
        <v>1011</v>
      </c>
      <c r="C57" t="s">
        <v>8</v>
      </c>
      <c r="D57">
        <v>28</v>
      </c>
      <c r="E57">
        <v>10</v>
      </c>
      <c r="F57">
        <v>0.05</v>
      </c>
      <c r="G57">
        <v>10.5</v>
      </c>
      <c r="H57">
        <v>294</v>
      </c>
      <c r="I57" t="s">
        <v>2268</v>
      </c>
      <c r="J57">
        <v>7</v>
      </c>
    </row>
    <row r="58" spans="1:10" x14ac:dyDescent="0.25">
      <c r="A58" t="s">
        <v>2259</v>
      </c>
      <c r="B58" s="23" t="s">
        <v>1012</v>
      </c>
      <c r="C58" t="s">
        <v>327</v>
      </c>
      <c r="D58">
        <v>15</v>
      </c>
      <c r="E58">
        <v>3</v>
      </c>
      <c r="F58">
        <v>0.05</v>
      </c>
      <c r="G58">
        <v>3.1500000000000004</v>
      </c>
      <c r="H58">
        <v>47.250000000000007</v>
      </c>
      <c r="I58" t="s">
        <v>2268</v>
      </c>
      <c r="J58">
        <v>8</v>
      </c>
    </row>
    <row r="59" spans="1:10" x14ac:dyDescent="0.25">
      <c r="A59" t="s">
        <v>2259</v>
      </c>
      <c r="B59" s="23" t="s">
        <v>1514</v>
      </c>
      <c r="C59" t="s">
        <v>723</v>
      </c>
      <c r="D59">
        <v>45</v>
      </c>
      <c r="E59">
        <v>8</v>
      </c>
      <c r="F59">
        <v>0.05</v>
      </c>
      <c r="G59">
        <v>8.4</v>
      </c>
      <c r="H59">
        <v>378</v>
      </c>
      <c r="I59" t="s">
        <v>2268</v>
      </c>
      <c r="J59">
        <v>9</v>
      </c>
    </row>
    <row r="60" spans="1:10" x14ac:dyDescent="0.25">
      <c r="A60" t="s">
        <v>2259</v>
      </c>
      <c r="B60" s="23" t="s">
        <v>1516</v>
      </c>
      <c r="C60" t="s">
        <v>8</v>
      </c>
      <c r="D60">
        <v>7.5</v>
      </c>
      <c r="E60">
        <v>24</v>
      </c>
      <c r="F60">
        <v>0.05</v>
      </c>
      <c r="G60">
        <v>25.200000000000003</v>
      </c>
      <c r="H60">
        <v>189.00000000000003</v>
      </c>
      <c r="I60" t="s">
        <v>2268</v>
      </c>
      <c r="J60">
        <v>10</v>
      </c>
    </row>
    <row r="61" spans="1:10" x14ac:dyDescent="0.25">
      <c r="A61" t="s">
        <v>2259</v>
      </c>
      <c r="B61" s="23" t="s">
        <v>1517</v>
      </c>
      <c r="C61" t="s">
        <v>8</v>
      </c>
      <c r="D61">
        <v>10</v>
      </c>
      <c r="E61">
        <v>4</v>
      </c>
      <c r="F61">
        <v>0</v>
      </c>
      <c r="G61">
        <v>4</v>
      </c>
      <c r="H61">
        <v>40</v>
      </c>
      <c r="I61" t="s">
        <v>2268</v>
      </c>
      <c r="J61">
        <v>11</v>
      </c>
    </row>
    <row r="62" spans="1:10" x14ac:dyDescent="0.25">
      <c r="A62" t="s">
        <v>2259</v>
      </c>
      <c r="B62" s="23" t="s">
        <v>1520</v>
      </c>
      <c r="C62" t="s">
        <v>723</v>
      </c>
      <c r="D62">
        <v>59</v>
      </c>
      <c r="E62">
        <v>4</v>
      </c>
      <c r="F62">
        <v>0.05</v>
      </c>
      <c r="G62">
        <v>4.2</v>
      </c>
      <c r="H62">
        <v>247.8</v>
      </c>
      <c r="I62" t="s">
        <v>2268</v>
      </c>
      <c r="J62">
        <v>12</v>
      </c>
    </row>
    <row r="63" spans="1:10" x14ac:dyDescent="0.25">
      <c r="A63" t="s">
        <v>2259</v>
      </c>
      <c r="B63" s="23" t="s">
        <v>1522</v>
      </c>
      <c r="C63" t="s">
        <v>8</v>
      </c>
      <c r="D63">
        <v>6.2</v>
      </c>
      <c r="E63">
        <v>4</v>
      </c>
      <c r="F63">
        <v>0.05</v>
      </c>
      <c r="G63">
        <v>4.2</v>
      </c>
      <c r="H63">
        <v>26.040000000000003</v>
      </c>
      <c r="I63" t="s">
        <v>2268</v>
      </c>
      <c r="J63">
        <v>13</v>
      </c>
    </row>
    <row r="64" spans="1:10" x14ac:dyDescent="0.25">
      <c r="A64" t="s">
        <v>2259</v>
      </c>
      <c r="B64" s="23" t="s">
        <v>1524</v>
      </c>
      <c r="C64" t="s">
        <v>8</v>
      </c>
      <c r="D64">
        <v>5.6</v>
      </c>
      <c r="E64">
        <v>8</v>
      </c>
      <c r="F64">
        <v>0.05</v>
      </c>
      <c r="G64">
        <v>8.4</v>
      </c>
      <c r="H64">
        <v>47.04</v>
      </c>
      <c r="I64" t="s">
        <v>2268</v>
      </c>
      <c r="J64">
        <v>14</v>
      </c>
    </row>
    <row r="65" spans="1:10" x14ac:dyDescent="0.25">
      <c r="A65" t="s">
        <v>2259</v>
      </c>
      <c r="B65" s="23" t="s">
        <v>1014</v>
      </c>
      <c r="C65" t="s">
        <v>8</v>
      </c>
      <c r="D65">
        <v>3</v>
      </c>
      <c r="E65">
        <v>12</v>
      </c>
      <c r="F65">
        <v>0.05</v>
      </c>
      <c r="G65">
        <v>12.600000000000001</v>
      </c>
      <c r="H65">
        <v>37.800000000000004</v>
      </c>
      <c r="I65" t="s">
        <v>2268</v>
      </c>
      <c r="J65">
        <v>15</v>
      </c>
    </row>
    <row r="66" spans="1:10" x14ac:dyDescent="0.25">
      <c r="A66" t="s">
        <v>2261</v>
      </c>
      <c r="B66" s="23" t="s">
        <v>322</v>
      </c>
      <c r="C66" t="s">
        <v>33</v>
      </c>
      <c r="D66">
        <v>22.5</v>
      </c>
      <c r="E66">
        <v>89</v>
      </c>
      <c r="F66">
        <v>0</v>
      </c>
      <c r="G66">
        <v>89</v>
      </c>
      <c r="H66">
        <v>2002.5</v>
      </c>
      <c r="I66" t="s">
        <v>2268</v>
      </c>
      <c r="J66">
        <v>3</v>
      </c>
    </row>
    <row r="67" spans="1:10" x14ac:dyDescent="0.25">
      <c r="A67" t="s">
        <v>2259</v>
      </c>
      <c r="B67" s="23" t="s">
        <v>1202</v>
      </c>
      <c r="C67" t="s">
        <v>8</v>
      </c>
      <c r="D67">
        <v>0.28000000000000003</v>
      </c>
      <c r="E67">
        <v>3900</v>
      </c>
      <c r="F67">
        <v>0.03</v>
      </c>
      <c r="G67">
        <v>4017</v>
      </c>
      <c r="H67">
        <v>1124.7600000000002</v>
      </c>
      <c r="I67" t="s">
        <v>2269</v>
      </c>
      <c r="J67">
        <v>3</v>
      </c>
    </row>
    <row r="68" spans="1:10" x14ac:dyDescent="0.25">
      <c r="A68" t="s">
        <v>2259</v>
      </c>
      <c r="B68" s="23" t="s">
        <v>2076</v>
      </c>
      <c r="C68" t="s">
        <v>9</v>
      </c>
      <c r="D68">
        <v>24</v>
      </c>
      <c r="E68">
        <v>12</v>
      </c>
      <c r="F68">
        <v>0.05</v>
      </c>
      <c r="G68">
        <v>12.600000000000001</v>
      </c>
      <c r="H68">
        <v>302.40000000000003</v>
      </c>
      <c r="I68" t="s">
        <v>2269</v>
      </c>
      <c r="J68">
        <v>4</v>
      </c>
    </row>
    <row r="69" spans="1:10" x14ac:dyDescent="0.25">
      <c r="A69" t="s">
        <v>2259</v>
      </c>
      <c r="B69" s="23" t="s">
        <v>733</v>
      </c>
      <c r="C69" t="s">
        <v>11</v>
      </c>
      <c r="D69">
        <v>850</v>
      </c>
      <c r="E69">
        <v>0.2</v>
      </c>
      <c r="F69">
        <v>0.05</v>
      </c>
      <c r="G69">
        <v>0.21000000000000002</v>
      </c>
      <c r="H69">
        <v>178.50000000000003</v>
      </c>
      <c r="I69" t="s">
        <v>2269</v>
      </c>
      <c r="J69">
        <v>5</v>
      </c>
    </row>
    <row r="70" spans="1:10" x14ac:dyDescent="0.25">
      <c r="A70" t="s">
        <v>2259</v>
      </c>
      <c r="B70" s="23" t="s">
        <v>866</v>
      </c>
      <c r="C70" t="s">
        <v>662</v>
      </c>
      <c r="D70">
        <v>22</v>
      </c>
      <c r="E70">
        <v>2</v>
      </c>
      <c r="F70">
        <v>0.05</v>
      </c>
      <c r="G70">
        <v>2.1</v>
      </c>
      <c r="H70">
        <v>46.2</v>
      </c>
      <c r="I70" t="s">
        <v>2269</v>
      </c>
      <c r="J70">
        <v>6</v>
      </c>
    </row>
    <row r="71" spans="1:10" x14ac:dyDescent="0.25">
      <c r="A71" t="s">
        <v>2259</v>
      </c>
      <c r="B71" s="23" t="s">
        <v>663</v>
      </c>
      <c r="C71" t="s">
        <v>662</v>
      </c>
      <c r="D71">
        <v>15</v>
      </c>
      <c r="E71">
        <v>2</v>
      </c>
      <c r="F71">
        <v>0.05</v>
      </c>
      <c r="G71">
        <v>2.1</v>
      </c>
      <c r="H71">
        <v>31.5</v>
      </c>
      <c r="I71" t="s">
        <v>2269</v>
      </c>
      <c r="J71">
        <v>7</v>
      </c>
    </row>
    <row r="72" spans="1:10" x14ac:dyDescent="0.25">
      <c r="A72" t="s">
        <v>2259</v>
      </c>
      <c r="B72" s="23" t="s">
        <v>665</v>
      </c>
      <c r="C72" t="s">
        <v>666</v>
      </c>
      <c r="D72">
        <v>45</v>
      </c>
      <c r="E72">
        <v>2</v>
      </c>
      <c r="F72">
        <v>0.05</v>
      </c>
      <c r="G72">
        <v>2.1</v>
      </c>
      <c r="H72">
        <v>94.5</v>
      </c>
      <c r="I72" t="s">
        <v>2269</v>
      </c>
      <c r="J72">
        <v>8</v>
      </c>
    </row>
    <row r="73" spans="1:10" x14ac:dyDescent="0.25">
      <c r="A73" t="s">
        <v>2259</v>
      </c>
      <c r="B73" s="23" t="s">
        <v>722</v>
      </c>
      <c r="C73" t="s">
        <v>723</v>
      </c>
      <c r="D73">
        <v>15</v>
      </c>
      <c r="E73">
        <v>4</v>
      </c>
      <c r="F73">
        <v>0.05</v>
      </c>
      <c r="G73">
        <v>4.2</v>
      </c>
      <c r="H73">
        <v>63</v>
      </c>
      <c r="I73" t="s">
        <v>2269</v>
      </c>
      <c r="J73">
        <v>9</v>
      </c>
    </row>
    <row r="74" spans="1:10" x14ac:dyDescent="0.25">
      <c r="A74" t="s">
        <v>2261</v>
      </c>
      <c r="B74" s="23" t="s">
        <v>322</v>
      </c>
      <c r="C74" t="s">
        <v>33</v>
      </c>
      <c r="D74">
        <v>22.5</v>
      </c>
      <c r="E74">
        <v>136</v>
      </c>
      <c r="F74">
        <v>0</v>
      </c>
      <c r="G74">
        <v>136</v>
      </c>
      <c r="H74">
        <v>3060</v>
      </c>
      <c r="I74" t="s">
        <v>2269</v>
      </c>
      <c r="J74">
        <v>3</v>
      </c>
    </row>
    <row r="75" spans="1:10" x14ac:dyDescent="0.25">
      <c r="A75" t="s">
        <v>2259</v>
      </c>
      <c r="B75" s="23" t="s">
        <v>2093</v>
      </c>
      <c r="C75" t="s">
        <v>10</v>
      </c>
      <c r="D75">
        <v>480</v>
      </c>
      <c r="E75">
        <v>1</v>
      </c>
      <c r="F75">
        <v>0</v>
      </c>
      <c r="G75">
        <v>1</v>
      </c>
      <c r="H75">
        <v>480</v>
      </c>
      <c r="I75" t="s">
        <v>2270</v>
      </c>
      <c r="J75">
        <v>3</v>
      </c>
    </row>
    <row r="76" spans="1:10" x14ac:dyDescent="0.25">
      <c r="A76" t="s">
        <v>2259</v>
      </c>
      <c r="B76" s="23" t="s">
        <v>2095</v>
      </c>
      <c r="C76" t="s">
        <v>10</v>
      </c>
      <c r="D76">
        <v>300</v>
      </c>
      <c r="E76">
        <v>3</v>
      </c>
      <c r="F76">
        <v>0</v>
      </c>
      <c r="G76">
        <v>3</v>
      </c>
      <c r="H76">
        <v>900</v>
      </c>
      <c r="I76" t="s">
        <v>2270</v>
      </c>
      <c r="J76">
        <v>4</v>
      </c>
    </row>
    <row r="77" spans="1:10" x14ac:dyDescent="0.25">
      <c r="A77" t="s">
        <v>2259</v>
      </c>
      <c r="B77" s="23" t="s">
        <v>2097</v>
      </c>
      <c r="C77" t="s">
        <v>10</v>
      </c>
      <c r="D77">
        <v>240</v>
      </c>
      <c r="E77">
        <v>1</v>
      </c>
      <c r="F77">
        <v>0</v>
      </c>
      <c r="G77">
        <v>1</v>
      </c>
      <c r="H77">
        <v>240</v>
      </c>
      <c r="I77" t="s">
        <v>2270</v>
      </c>
      <c r="J77">
        <v>5</v>
      </c>
    </row>
    <row r="78" spans="1:10" x14ac:dyDescent="0.25">
      <c r="A78" t="s">
        <v>2259</v>
      </c>
      <c r="B78" s="23" t="s">
        <v>2100</v>
      </c>
      <c r="C78" t="s">
        <v>10</v>
      </c>
      <c r="D78">
        <v>800</v>
      </c>
      <c r="E78">
        <v>1</v>
      </c>
      <c r="F78">
        <v>0</v>
      </c>
      <c r="G78">
        <v>1</v>
      </c>
      <c r="H78">
        <v>800</v>
      </c>
      <c r="I78" t="s">
        <v>2270</v>
      </c>
      <c r="J78">
        <v>6</v>
      </c>
    </row>
    <row r="79" spans="1:10" x14ac:dyDescent="0.25">
      <c r="A79" t="s">
        <v>2259</v>
      </c>
      <c r="B79" s="23" t="s">
        <v>2102</v>
      </c>
      <c r="C79" t="s">
        <v>10</v>
      </c>
      <c r="D79">
        <v>180</v>
      </c>
      <c r="E79">
        <v>3</v>
      </c>
      <c r="F79">
        <v>0</v>
      </c>
      <c r="G79">
        <v>3</v>
      </c>
      <c r="H79">
        <v>540</v>
      </c>
      <c r="I79" t="s">
        <v>2270</v>
      </c>
      <c r="J79">
        <v>7</v>
      </c>
    </row>
    <row r="80" spans="1:10" x14ac:dyDescent="0.25">
      <c r="A80" t="s">
        <v>2259</v>
      </c>
      <c r="B80" s="23" t="s">
        <v>2104</v>
      </c>
      <c r="C80" t="s">
        <v>10</v>
      </c>
      <c r="D80">
        <v>170</v>
      </c>
      <c r="E80">
        <v>1</v>
      </c>
      <c r="F80">
        <v>0</v>
      </c>
      <c r="G80">
        <v>1</v>
      </c>
      <c r="H80">
        <v>170</v>
      </c>
      <c r="I80" t="s">
        <v>2270</v>
      </c>
      <c r="J80">
        <v>8</v>
      </c>
    </row>
    <row r="81" spans="1:10" x14ac:dyDescent="0.25">
      <c r="A81" t="s">
        <v>2259</v>
      </c>
      <c r="B81" s="23" t="s">
        <v>1286</v>
      </c>
      <c r="C81" t="s">
        <v>8</v>
      </c>
      <c r="D81">
        <v>150</v>
      </c>
      <c r="E81">
        <v>1</v>
      </c>
      <c r="F81">
        <v>0</v>
      </c>
      <c r="G81">
        <v>1</v>
      </c>
      <c r="H81">
        <v>150</v>
      </c>
      <c r="I81" t="s">
        <v>2270</v>
      </c>
      <c r="J81">
        <v>9</v>
      </c>
    </row>
    <row r="82" spans="1:10" x14ac:dyDescent="0.25">
      <c r="A82" t="s">
        <v>2259</v>
      </c>
      <c r="B82" s="23" t="s">
        <v>722</v>
      </c>
      <c r="C82" t="s">
        <v>723</v>
      </c>
      <c r="D82">
        <v>15</v>
      </c>
      <c r="E82">
        <v>2</v>
      </c>
      <c r="F82">
        <v>0.05</v>
      </c>
      <c r="G82">
        <v>2.1</v>
      </c>
      <c r="H82">
        <v>31.5</v>
      </c>
      <c r="I82" t="s">
        <v>2270</v>
      </c>
      <c r="J82">
        <v>10</v>
      </c>
    </row>
    <row r="83" spans="1:10" x14ac:dyDescent="0.25">
      <c r="A83" t="s">
        <v>2259</v>
      </c>
      <c r="B83" s="23" t="s">
        <v>2271</v>
      </c>
      <c r="C83" t="s">
        <v>715</v>
      </c>
      <c r="D83">
        <v>160</v>
      </c>
      <c r="E83">
        <v>0.05</v>
      </c>
      <c r="F83">
        <v>0</v>
      </c>
      <c r="G83">
        <v>0.05</v>
      </c>
      <c r="H83">
        <v>8</v>
      </c>
      <c r="I83" t="s">
        <v>2270</v>
      </c>
      <c r="J83">
        <v>11</v>
      </c>
    </row>
    <row r="84" spans="1:10" x14ac:dyDescent="0.25">
      <c r="A84" t="s">
        <v>2259</v>
      </c>
      <c r="B84" s="23" t="s">
        <v>1290</v>
      </c>
      <c r="C84" t="s">
        <v>32</v>
      </c>
      <c r="D84">
        <v>94</v>
      </c>
      <c r="E84">
        <v>0.05</v>
      </c>
      <c r="F84">
        <v>0</v>
      </c>
      <c r="G84">
        <v>0.05</v>
      </c>
      <c r="H84">
        <v>4.7</v>
      </c>
      <c r="I84" t="s">
        <v>2270</v>
      </c>
      <c r="J84">
        <v>12</v>
      </c>
    </row>
    <row r="85" spans="1:10" x14ac:dyDescent="0.25">
      <c r="A85" t="s">
        <v>2259</v>
      </c>
      <c r="B85" s="23" t="s">
        <v>1291</v>
      </c>
      <c r="C85" t="s">
        <v>8</v>
      </c>
      <c r="D85">
        <v>0.3</v>
      </c>
      <c r="E85">
        <v>2</v>
      </c>
      <c r="F85">
        <v>0.1</v>
      </c>
      <c r="G85">
        <v>2.2000000000000002</v>
      </c>
      <c r="H85">
        <v>0.66</v>
      </c>
      <c r="I85" t="s">
        <v>2270</v>
      </c>
      <c r="J85">
        <v>13</v>
      </c>
    </row>
    <row r="86" spans="1:10" x14ac:dyDescent="0.25">
      <c r="A86" t="s">
        <v>2259</v>
      </c>
      <c r="B86" s="23" t="s">
        <v>1292</v>
      </c>
      <c r="C86" t="s">
        <v>8</v>
      </c>
      <c r="D86">
        <v>0.3</v>
      </c>
      <c r="E86">
        <v>2</v>
      </c>
      <c r="F86">
        <v>0.1</v>
      </c>
      <c r="G86">
        <v>2.2000000000000002</v>
      </c>
      <c r="H86">
        <v>0.66</v>
      </c>
      <c r="I86" t="s">
        <v>2270</v>
      </c>
      <c r="J86">
        <v>14</v>
      </c>
    </row>
    <row r="87" spans="1:10" x14ac:dyDescent="0.25">
      <c r="A87" t="s">
        <v>2259</v>
      </c>
      <c r="B87" s="23" t="s">
        <v>1293</v>
      </c>
      <c r="C87" t="s">
        <v>8</v>
      </c>
      <c r="D87">
        <v>0.3</v>
      </c>
      <c r="E87">
        <v>2</v>
      </c>
      <c r="F87">
        <v>0.1</v>
      </c>
      <c r="G87">
        <v>2.2000000000000002</v>
      </c>
      <c r="H87">
        <v>0.66</v>
      </c>
      <c r="I87" t="s">
        <v>2270</v>
      </c>
      <c r="J87">
        <v>15</v>
      </c>
    </row>
    <row r="88" spans="1:10" x14ac:dyDescent="0.25">
      <c r="A88" t="s">
        <v>2259</v>
      </c>
      <c r="B88" s="23" t="s">
        <v>1296</v>
      </c>
      <c r="C88" t="s">
        <v>8</v>
      </c>
      <c r="D88">
        <v>0.85</v>
      </c>
      <c r="E88">
        <v>3</v>
      </c>
      <c r="F88">
        <v>0.05</v>
      </c>
      <c r="G88">
        <v>3.1500000000000004</v>
      </c>
      <c r="H88">
        <v>2.6775000000000002</v>
      </c>
      <c r="I88" t="s">
        <v>2270</v>
      </c>
      <c r="J88">
        <v>16</v>
      </c>
    </row>
    <row r="89" spans="1:10" x14ac:dyDescent="0.25">
      <c r="A89" t="s">
        <v>2259</v>
      </c>
      <c r="B89" s="23" t="s">
        <v>1298</v>
      </c>
      <c r="C89" t="s">
        <v>10</v>
      </c>
      <c r="D89">
        <v>60</v>
      </c>
      <c r="E89">
        <v>1</v>
      </c>
      <c r="F89">
        <v>0</v>
      </c>
      <c r="G89">
        <v>1</v>
      </c>
      <c r="H89">
        <v>60</v>
      </c>
      <c r="I89" t="s">
        <v>2270</v>
      </c>
      <c r="J89">
        <v>17</v>
      </c>
    </row>
    <row r="90" spans="1:10" x14ac:dyDescent="0.25">
      <c r="A90" t="s">
        <v>2261</v>
      </c>
      <c r="B90" s="23" t="s">
        <v>322</v>
      </c>
      <c r="C90" t="s">
        <v>33</v>
      </c>
      <c r="D90">
        <v>22.5</v>
      </c>
      <c r="E90">
        <v>85</v>
      </c>
      <c r="F90">
        <v>0</v>
      </c>
      <c r="G90">
        <v>85</v>
      </c>
      <c r="H90">
        <v>1912.5</v>
      </c>
      <c r="I90" t="s">
        <v>2270</v>
      </c>
      <c r="J90">
        <v>3</v>
      </c>
    </row>
    <row r="91" spans="1:10" x14ac:dyDescent="0.25">
      <c r="A91" t="s">
        <v>2259</v>
      </c>
      <c r="B91" s="23" t="s">
        <v>2076</v>
      </c>
      <c r="C91" t="s">
        <v>9</v>
      </c>
      <c r="D91">
        <v>24</v>
      </c>
      <c r="E91">
        <v>12</v>
      </c>
      <c r="F91">
        <v>0.05</v>
      </c>
      <c r="G91">
        <v>12.600000000000001</v>
      </c>
      <c r="H91">
        <v>302.40000000000003</v>
      </c>
      <c r="I91" t="s">
        <v>2272</v>
      </c>
      <c r="J91">
        <v>3</v>
      </c>
    </row>
    <row r="92" spans="1:10" x14ac:dyDescent="0.25">
      <c r="A92" t="s">
        <v>2259</v>
      </c>
      <c r="B92" s="23" t="s">
        <v>733</v>
      </c>
      <c r="C92" t="s">
        <v>11</v>
      </c>
      <c r="D92">
        <v>850</v>
      </c>
      <c r="E92">
        <v>0.15</v>
      </c>
      <c r="F92">
        <v>0.05</v>
      </c>
      <c r="G92">
        <v>0.1575</v>
      </c>
      <c r="H92">
        <v>133.875</v>
      </c>
      <c r="I92" t="s">
        <v>2272</v>
      </c>
      <c r="J92">
        <v>4</v>
      </c>
    </row>
    <row r="93" spans="1:10" x14ac:dyDescent="0.25">
      <c r="A93" t="s">
        <v>2259</v>
      </c>
      <c r="B93" s="23" t="s">
        <v>60</v>
      </c>
      <c r="C93" t="s">
        <v>9</v>
      </c>
      <c r="D93">
        <v>22</v>
      </c>
      <c r="E93">
        <v>4</v>
      </c>
      <c r="F93">
        <v>0.05</v>
      </c>
      <c r="G93">
        <v>4.2</v>
      </c>
      <c r="H93">
        <v>92.4</v>
      </c>
      <c r="I93" t="s">
        <v>2272</v>
      </c>
      <c r="J93">
        <v>5</v>
      </c>
    </row>
    <row r="94" spans="1:10" x14ac:dyDescent="0.25">
      <c r="A94" t="s">
        <v>2259</v>
      </c>
      <c r="B94" s="23" t="s">
        <v>1356</v>
      </c>
      <c r="C94" t="s">
        <v>9</v>
      </c>
      <c r="D94">
        <v>17.5</v>
      </c>
      <c r="E94">
        <v>4</v>
      </c>
      <c r="F94">
        <v>0.05</v>
      </c>
      <c r="G94">
        <v>4.2</v>
      </c>
      <c r="H94">
        <v>73.5</v>
      </c>
      <c r="I94" t="s">
        <v>2272</v>
      </c>
      <c r="J94">
        <v>6</v>
      </c>
    </row>
    <row r="95" spans="1:10" x14ac:dyDescent="0.25">
      <c r="A95" t="s">
        <v>2259</v>
      </c>
      <c r="B95" s="23" t="s">
        <v>1357</v>
      </c>
      <c r="C95" t="s">
        <v>9</v>
      </c>
      <c r="D95">
        <v>17.5</v>
      </c>
      <c r="E95">
        <v>4</v>
      </c>
      <c r="F95">
        <v>0.05</v>
      </c>
      <c r="G95">
        <v>4.2</v>
      </c>
      <c r="H95">
        <v>73.5</v>
      </c>
      <c r="I95" t="s">
        <v>2272</v>
      </c>
      <c r="J95">
        <v>7</v>
      </c>
    </row>
    <row r="96" spans="1:10" x14ac:dyDescent="0.25">
      <c r="A96" t="s">
        <v>2261</v>
      </c>
      <c r="B96" s="23" t="s">
        <v>322</v>
      </c>
      <c r="C96" t="s">
        <v>33</v>
      </c>
      <c r="D96">
        <v>22.5</v>
      </c>
      <c r="E96">
        <v>110</v>
      </c>
      <c r="F96">
        <v>0</v>
      </c>
      <c r="G96">
        <v>110</v>
      </c>
      <c r="H96">
        <v>2475</v>
      </c>
      <c r="I96" t="s">
        <v>2272</v>
      </c>
      <c r="J96">
        <v>3</v>
      </c>
    </row>
    <row r="97" spans="1:10" x14ac:dyDescent="0.25">
      <c r="A97" t="s">
        <v>2259</v>
      </c>
      <c r="B97" s="23" t="s">
        <v>1360</v>
      </c>
      <c r="C97" t="s">
        <v>666</v>
      </c>
      <c r="D97">
        <v>25</v>
      </c>
      <c r="E97">
        <v>13</v>
      </c>
      <c r="F97">
        <v>0.05</v>
      </c>
      <c r="G97">
        <v>13.65</v>
      </c>
      <c r="H97">
        <v>341.25</v>
      </c>
      <c r="I97" t="s">
        <v>2273</v>
      </c>
      <c r="J97">
        <v>3</v>
      </c>
    </row>
    <row r="98" spans="1:10" x14ac:dyDescent="0.25">
      <c r="A98" t="s">
        <v>2259</v>
      </c>
      <c r="B98" s="23" t="s">
        <v>1361</v>
      </c>
      <c r="C98" t="s">
        <v>666</v>
      </c>
      <c r="D98">
        <v>13</v>
      </c>
      <c r="E98">
        <v>5</v>
      </c>
      <c r="F98">
        <v>0.05</v>
      </c>
      <c r="G98">
        <v>5.25</v>
      </c>
      <c r="H98">
        <v>68.25</v>
      </c>
      <c r="I98" t="s">
        <v>2273</v>
      </c>
      <c r="J98">
        <v>4</v>
      </c>
    </row>
    <row r="99" spans="1:10" x14ac:dyDescent="0.25">
      <c r="A99" t="s">
        <v>2259</v>
      </c>
      <c r="B99" s="23" t="s">
        <v>1362</v>
      </c>
      <c r="C99" t="s">
        <v>723</v>
      </c>
      <c r="D99">
        <v>3.5</v>
      </c>
      <c r="E99">
        <v>30</v>
      </c>
      <c r="F99">
        <v>0.05</v>
      </c>
      <c r="G99">
        <v>31.5</v>
      </c>
      <c r="H99">
        <v>110.25</v>
      </c>
      <c r="I99" t="s">
        <v>2273</v>
      </c>
      <c r="J99">
        <v>5</v>
      </c>
    </row>
    <row r="100" spans="1:10" x14ac:dyDescent="0.25">
      <c r="A100" t="s">
        <v>2259</v>
      </c>
      <c r="B100" s="23" t="s">
        <v>1363</v>
      </c>
      <c r="C100" t="s">
        <v>8</v>
      </c>
      <c r="D100">
        <v>20</v>
      </c>
      <c r="E100">
        <v>12</v>
      </c>
      <c r="F100">
        <v>0.05</v>
      </c>
      <c r="G100">
        <v>12.600000000000001</v>
      </c>
      <c r="H100">
        <v>252.00000000000003</v>
      </c>
      <c r="I100" t="s">
        <v>2273</v>
      </c>
      <c r="J100">
        <v>6</v>
      </c>
    </row>
    <row r="101" spans="1:10" x14ac:dyDescent="0.25">
      <c r="A101" t="s">
        <v>2259</v>
      </c>
      <c r="B101" s="23" t="s">
        <v>1364</v>
      </c>
      <c r="C101" t="s">
        <v>723</v>
      </c>
      <c r="D101">
        <v>8.5</v>
      </c>
      <c r="E101">
        <v>12</v>
      </c>
      <c r="F101">
        <v>0.05</v>
      </c>
      <c r="G101">
        <v>12.600000000000001</v>
      </c>
      <c r="H101">
        <v>107.10000000000001</v>
      </c>
      <c r="I101" t="s">
        <v>2273</v>
      </c>
      <c r="J101">
        <v>7</v>
      </c>
    </row>
    <row r="102" spans="1:10" x14ac:dyDescent="0.25">
      <c r="A102" t="s">
        <v>2259</v>
      </c>
      <c r="B102" s="23" t="s">
        <v>1366</v>
      </c>
      <c r="C102" t="s">
        <v>8</v>
      </c>
      <c r="D102">
        <v>3</v>
      </c>
      <c r="E102">
        <v>2</v>
      </c>
      <c r="F102">
        <v>0.05</v>
      </c>
      <c r="G102">
        <v>2.1</v>
      </c>
      <c r="H102">
        <v>6.3000000000000007</v>
      </c>
      <c r="I102" t="s">
        <v>2273</v>
      </c>
      <c r="J102">
        <v>8</v>
      </c>
    </row>
    <row r="103" spans="1:10" x14ac:dyDescent="0.25">
      <c r="A103" t="s">
        <v>2259</v>
      </c>
      <c r="B103" s="23" t="s">
        <v>60</v>
      </c>
      <c r="C103" t="s">
        <v>9</v>
      </c>
      <c r="D103">
        <v>16.5</v>
      </c>
      <c r="E103">
        <v>3</v>
      </c>
      <c r="F103">
        <v>0.05</v>
      </c>
      <c r="G103">
        <v>3.1500000000000004</v>
      </c>
      <c r="H103">
        <v>51.975000000000009</v>
      </c>
      <c r="I103" t="s">
        <v>2273</v>
      </c>
      <c r="J103">
        <v>9</v>
      </c>
    </row>
    <row r="104" spans="1:10" x14ac:dyDescent="0.25">
      <c r="A104" t="s">
        <v>2259</v>
      </c>
      <c r="B104" s="23" t="s">
        <v>1368</v>
      </c>
      <c r="C104" t="s">
        <v>8</v>
      </c>
      <c r="D104">
        <v>13</v>
      </c>
      <c r="E104">
        <v>2</v>
      </c>
      <c r="F104">
        <v>0</v>
      </c>
      <c r="G104">
        <v>2</v>
      </c>
      <c r="H104">
        <v>26</v>
      </c>
      <c r="I104" t="s">
        <v>2273</v>
      </c>
      <c r="J104">
        <v>10</v>
      </c>
    </row>
    <row r="105" spans="1:10" x14ac:dyDescent="0.25">
      <c r="A105" t="s">
        <v>2261</v>
      </c>
      <c r="B105" s="23" t="s">
        <v>322</v>
      </c>
      <c r="C105" t="s">
        <v>33</v>
      </c>
      <c r="D105">
        <v>22.5</v>
      </c>
      <c r="E105">
        <v>85</v>
      </c>
      <c r="F105">
        <v>0</v>
      </c>
      <c r="G105">
        <v>85</v>
      </c>
      <c r="H105">
        <v>1912.5</v>
      </c>
      <c r="I105" t="s">
        <v>2273</v>
      </c>
      <c r="J105">
        <v>3</v>
      </c>
    </row>
    <row r="106" spans="1:10" x14ac:dyDescent="0.25">
      <c r="A106" t="s">
        <v>2259</v>
      </c>
      <c r="B106" s="23" t="s">
        <v>1617</v>
      </c>
      <c r="C106" t="s">
        <v>10</v>
      </c>
      <c r="D106">
        <v>105</v>
      </c>
      <c r="E106">
        <v>5</v>
      </c>
      <c r="F106">
        <v>0</v>
      </c>
      <c r="G106">
        <v>5</v>
      </c>
      <c r="H106">
        <v>525</v>
      </c>
      <c r="I106" t="s">
        <v>2274</v>
      </c>
      <c r="J106">
        <v>3</v>
      </c>
    </row>
    <row r="107" spans="1:10" x14ac:dyDescent="0.25">
      <c r="A107" t="s">
        <v>2259</v>
      </c>
      <c r="B107" s="23" t="s">
        <v>1619</v>
      </c>
      <c r="C107" t="s">
        <v>8</v>
      </c>
      <c r="D107">
        <v>15</v>
      </c>
      <c r="E107">
        <v>84</v>
      </c>
      <c r="F107">
        <v>0</v>
      </c>
      <c r="G107">
        <v>84</v>
      </c>
      <c r="H107">
        <v>1260</v>
      </c>
      <c r="I107" t="s">
        <v>2274</v>
      </c>
      <c r="J107">
        <v>4</v>
      </c>
    </row>
    <row r="108" spans="1:10" x14ac:dyDescent="0.25">
      <c r="A108" t="s">
        <v>2259</v>
      </c>
      <c r="B108" s="23" t="s">
        <v>1621</v>
      </c>
      <c r="C108" t="s">
        <v>8</v>
      </c>
      <c r="D108">
        <v>4.5</v>
      </c>
      <c r="E108">
        <v>75</v>
      </c>
      <c r="F108">
        <v>0</v>
      </c>
      <c r="G108">
        <v>75</v>
      </c>
      <c r="H108">
        <v>337.5</v>
      </c>
      <c r="I108" t="s">
        <v>2274</v>
      </c>
      <c r="J108">
        <v>5</v>
      </c>
    </row>
    <row r="109" spans="1:10" x14ac:dyDescent="0.25">
      <c r="A109" t="s">
        <v>2259</v>
      </c>
      <c r="B109" s="23" t="s">
        <v>1621</v>
      </c>
      <c r="C109" t="s">
        <v>8</v>
      </c>
      <c r="D109">
        <v>4.5</v>
      </c>
      <c r="E109">
        <v>198</v>
      </c>
      <c r="F109">
        <v>0</v>
      </c>
      <c r="G109">
        <v>198</v>
      </c>
      <c r="H109">
        <v>891</v>
      </c>
      <c r="I109" t="s">
        <v>2274</v>
      </c>
      <c r="J109">
        <v>6</v>
      </c>
    </row>
    <row r="110" spans="1:10" x14ac:dyDescent="0.25">
      <c r="A110" t="s">
        <v>2259</v>
      </c>
      <c r="B110" s="23" t="s">
        <v>7</v>
      </c>
      <c r="C110" t="s">
        <v>8</v>
      </c>
      <c r="D110">
        <v>6.5</v>
      </c>
      <c r="E110">
        <v>132</v>
      </c>
      <c r="F110">
        <v>0</v>
      </c>
      <c r="G110">
        <v>132</v>
      </c>
      <c r="H110">
        <v>858</v>
      </c>
      <c r="I110" t="s">
        <v>2274</v>
      </c>
      <c r="J110">
        <v>7</v>
      </c>
    </row>
    <row r="111" spans="1:10" x14ac:dyDescent="0.25">
      <c r="A111" t="s">
        <v>2259</v>
      </c>
      <c r="B111" s="23" t="s">
        <v>7</v>
      </c>
      <c r="C111" t="s">
        <v>8</v>
      </c>
      <c r="D111">
        <v>6.5</v>
      </c>
      <c r="E111">
        <v>34</v>
      </c>
      <c r="F111">
        <v>0</v>
      </c>
      <c r="G111">
        <v>34</v>
      </c>
      <c r="H111">
        <v>221</v>
      </c>
      <c r="I111" t="s">
        <v>2274</v>
      </c>
      <c r="J111">
        <v>8</v>
      </c>
    </row>
    <row r="112" spans="1:10" x14ac:dyDescent="0.25">
      <c r="A112" t="s">
        <v>2259</v>
      </c>
      <c r="B112" s="23" t="s">
        <v>57</v>
      </c>
      <c r="C112" t="s">
        <v>9</v>
      </c>
      <c r="D112">
        <v>25</v>
      </c>
      <c r="E112">
        <v>29</v>
      </c>
      <c r="F112">
        <v>0</v>
      </c>
      <c r="G112">
        <v>29</v>
      </c>
      <c r="H112">
        <v>725</v>
      </c>
      <c r="I112" t="s">
        <v>2274</v>
      </c>
      <c r="J112">
        <v>9</v>
      </c>
    </row>
    <row r="113" spans="1:10" x14ac:dyDescent="0.25">
      <c r="A113" t="s">
        <v>2259</v>
      </c>
      <c r="B113" s="23" t="s">
        <v>1629</v>
      </c>
      <c r="C113" t="s">
        <v>1630</v>
      </c>
      <c r="D113">
        <v>1</v>
      </c>
      <c r="E113">
        <v>12</v>
      </c>
      <c r="F113">
        <v>0</v>
      </c>
      <c r="G113">
        <v>12</v>
      </c>
      <c r="H113">
        <v>12</v>
      </c>
      <c r="I113" t="s">
        <v>2274</v>
      </c>
      <c r="J113">
        <v>10</v>
      </c>
    </row>
    <row r="114" spans="1:10" x14ac:dyDescent="0.25">
      <c r="A114" t="s">
        <v>2259</v>
      </c>
      <c r="B114" s="23" t="s">
        <v>58</v>
      </c>
      <c r="C114" t="s">
        <v>9</v>
      </c>
      <c r="D114">
        <v>18</v>
      </c>
      <c r="E114">
        <v>12</v>
      </c>
      <c r="F114">
        <v>0</v>
      </c>
      <c r="G114">
        <v>12</v>
      </c>
      <c r="H114">
        <v>216</v>
      </c>
      <c r="I114" t="s">
        <v>2274</v>
      </c>
      <c r="J114">
        <v>11</v>
      </c>
    </row>
    <row r="115" spans="1:10" x14ac:dyDescent="0.25">
      <c r="A115" t="s">
        <v>2259</v>
      </c>
      <c r="B115" s="23" t="s">
        <v>2076</v>
      </c>
      <c r="C115" t="s">
        <v>9</v>
      </c>
      <c r="D115">
        <v>24</v>
      </c>
      <c r="E115">
        <v>3</v>
      </c>
      <c r="F115">
        <v>0</v>
      </c>
      <c r="G115">
        <v>3</v>
      </c>
      <c r="H115">
        <v>72</v>
      </c>
      <c r="I115" t="s">
        <v>2274</v>
      </c>
      <c r="J115">
        <v>12</v>
      </c>
    </row>
    <row r="116" spans="1:10" x14ac:dyDescent="0.25">
      <c r="A116" t="s">
        <v>2259</v>
      </c>
      <c r="B116" s="23" t="s">
        <v>1635</v>
      </c>
      <c r="C116" t="s">
        <v>59</v>
      </c>
      <c r="D116">
        <v>80</v>
      </c>
      <c r="E116">
        <v>2</v>
      </c>
      <c r="F116">
        <v>0</v>
      </c>
      <c r="G116">
        <v>2</v>
      </c>
      <c r="H116">
        <v>160</v>
      </c>
      <c r="I116" t="s">
        <v>2274</v>
      </c>
      <c r="J116">
        <v>13</v>
      </c>
    </row>
    <row r="117" spans="1:10" x14ac:dyDescent="0.25">
      <c r="A117" t="s">
        <v>2261</v>
      </c>
      <c r="B117" s="23" t="s">
        <v>322</v>
      </c>
      <c r="C117" t="s">
        <v>33</v>
      </c>
      <c r="D117">
        <v>22.5</v>
      </c>
      <c r="E117">
        <v>224</v>
      </c>
      <c r="F117">
        <v>0</v>
      </c>
      <c r="G117">
        <v>224</v>
      </c>
      <c r="H117">
        <v>5040</v>
      </c>
      <c r="I117" t="s">
        <v>2274</v>
      </c>
      <c r="J117">
        <v>3</v>
      </c>
    </row>
    <row r="118" spans="1:10" x14ac:dyDescent="0.25">
      <c r="A118" t="s">
        <v>2259</v>
      </c>
      <c r="B118" s="23" t="s">
        <v>1723</v>
      </c>
      <c r="C118" t="s">
        <v>327</v>
      </c>
      <c r="D118">
        <v>92</v>
      </c>
      <c r="E118">
        <v>1</v>
      </c>
      <c r="F118">
        <v>0</v>
      </c>
      <c r="G118">
        <v>1</v>
      </c>
      <c r="H118">
        <v>92</v>
      </c>
      <c r="I118" t="s">
        <v>2275</v>
      </c>
      <c r="J118">
        <v>3</v>
      </c>
    </row>
    <row r="119" spans="1:10" x14ac:dyDescent="0.25">
      <c r="A119" t="s">
        <v>2259</v>
      </c>
      <c r="B119" s="23" t="s">
        <v>1724</v>
      </c>
      <c r="C119" t="s">
        <v>327</v>
      </c>
      <c r="D119">
        <v>92</v>
      </c>
      <c r="E119">
        <v>1</v>
      </c>
      <c r="F119">
        <v>0</v>
      </c>
      <c r="G119">
        <v>1</v>
      </c>
      <c r="H119">
        <v>92</v>
      </c>
      <c r="I119" t="s">
        <v>2275</v>
      </c>
      <c r="J119">
        <v>4</v>
      </c>
    </row>
    <row r="120" spans="1:10" x14ac:dyDescent="0.25">
      <c r="A120" t="s">
        <v>2259</v>
      </c>
      <c r="B120" s="23" t="s">
        <v>1725</v>
      </c>
      <c r="C120" t="s">
        <v>327</v>
      </c>
      <c r="D120">
        <v>92</v>
      </c>
      <c r="E120">
        <v>1</v>
      </c>
      <c r="F120">
        <v>0</v>
      </c>
      <c r="G120">
        <v>1</v>
      </c>
      <c r="H120">
        <v>92</v>
      </c>
      <c r="I120" t="s">
        <v>2275</v>
      </c>
      <c r="J120">
        <v>5</v>
      </c>
    </row>
    <row r="121" spans="1:10" x14ac:dyDescent="0.25">
      <c r="A121" t="s">
        <v>2259</v>
      </c>
      <c r="B121" s="23" t="s">
        <v>1727</v>
      </c>
      <c r="C121" t="s">
        <v>327</v>
      </c>
      <c r="D121">
        <v>146</v>
      </c>
      <c r="E121">
        <v>1</v>
      </c>
      <c r="F121">
        <v>0</v>
      </c>
      <c r="G121">
        <v>1</v>
      </c>
      <c r="H121">
        <v>146</v>
      </c>
      <c r="I121" t="s">
        <v>2275</v>
      </c>
      <c r="J121">
        <v>6</v>
      </c>
    </row>
    <row r="122" spans="1:10" x14ac:dyDescent="0.25">
      <c r="A122" t="s">
        <v>2259</v>
      </c>
      <c r="B122" s="23" t="s">
        <v>1728</v>
      </c>
      <c r="C122" t="s">
        <v>327</v>
      </c>
      <c r="D122">
        <v>146</v>
      </c>
      <c r="E122">
        <v>1</v>
      </c>
      <c r="F122">
        <v>0</v>
      </c>
      <c r="G122">
        <v>1</v>
      </c>
      <c r="H122">
        <v>146</v>
      </c>
      <c r="I122" t="s">
        <v>2275</v>
      </c>
      <c r="J122">
        <v>7</v>
      </c>
    </row>
    <row r="123" spans="1:10" x14ac:dyDescent="0.25">
      <c r="A123" t="s">
        <v>2259</v>
      </c>
      <c r="B123" s="23" t="s">
        <v>1729</v>
      </c>
      <c r="C123" t="s">
        <v>327</v>
      </c>
      <c r="D123">
        <v>146</v>
      </c>
      <c r="E123">
        <v>1</v>
      </c>
      <c r="F123">
        <v>0</v>
      </c>
      <c r="G123">
        <v>1</v>
      </c>
      <c r="H123">
        <v>146</v>
      </c>
      <c r="I123" t="s">
        <v>2275</v>
      </c>
      <c r="J123">
        <v>8</v>
      </c>
    </row>
    <row r="124" spans="1:10" x14ac:dyDescent="0.25">
      <c r="A124" t="s">
        <v>2259</v>
      </c>
      <c r="B124" s="23" t="s">
        <v>1732</v>
      </c>
      <c r="C124" t="s">
        <v>1733</v>
      </c>
      <c r="D124">
        <v>10.5</v>
      </c>
      <c r="E124">
        <v>15</v>
      </c>
      <c r="F124">
        <v>0</v>
      </c>
      <c r="G124">
        <v>15</v>
      </c>
      <c r="H124">
        <v>157.5</v>
      </c>
      <c r="I124" t="s">
        <v>2275</v>
      </c>
      <c r="J124">
        <v>9</v>
      </c>
    </row>
    <row r="125" spans="1:10" x14ac:dyDescent="0.25">
      <c r="A125" t="s">
        <v>2259</v>
      </c>
      <c r="B125" s="23" t="s">
        <v>1736</v>
      </c>
      <c r="C125" t="s">
        <v>723</v>
      </c>
      <c r="D125">
        <v>6.8</v>
      </c>
      <c r="E125">
        <v>15</v>
      </c>
      <c r="F125">
        <v>0</v>
      </c>
      <c r="G125">
        <v>15</v>
      </c>
      <c r="H125">
        <v>102</v>
      </c>
      <c r="I125" t="s">
        <v>2275</v>
      </c>
      <c r="J125">
        <v>10</v>
      </c>
    </row>
    <row r="126" spans="1:10" x14ac:dyDescent="0.25">
      <c r="A126" t="s">
        <v>2259</v>
      </c>
      <c r="B126" s="23" t="s">
        <v>1738</v>
      </c>
      <c r="C126" t="s">
        <v>723</v>
      </c>
      <c r="D126">
        <v>10.199999999999999</v>
      </c>
      <c r="E126">
        <v>12</v>
      </c>
      <c r="F126">
        <v>0</v>
      </c>
      <c r="G126">
        <v>12</v>
      </c>
      <c r="H126">
        <v>122.39999999999999</v>
      </c>
      <c r="I126" t="s">
        <v>2275</v>
      </c>
      <c r="J126">
        <v>11</v>
      </c>
    </row>
    <row r="127" spans="1:10" x14ac:dyDescent="0.25">
      <c r="A127" t="s">
        <v>2259</v>
      </c>
      <c r="B127" s="23" t="s">
        <v>1740</v>
      </c>
      <c r="C127" t="s">
        <v>959</v>
      </c>
      <c r="D127">
        <v>1.36</v>
      </c>
      <c r="E127">
        <v>2</v>
      </c>
      <c r="F127">
        <v>0</v>
      </c>
      <c r="G127">
        <v>2</v>
      </c>
      <c r="H127">
        <v>2.72</v>
      </c>
      <c r="I127" t="s">
        <v>2275</v>
      </c>
      <c r="J127">
        <v>12</v>
      </c>
    </row>
    <row r="128" spans="1:10" x14ac:dyDescent="0.25">
      <c r="A128" t="s">
        <v>2259</v>
      </c>
      <c r="B128" s="23" t="s">
        <v>1743</v>
      </c>
      <c r="C128" t="s">
        <v>34</v>
      </c>
      <c r="D128">
        <v>0.35</v>
      </c>
      <c r="E128">
        <v>15</v>
      </c>
      <c r="F128">
        <v>0</v>
      </c>
      <c r="G128">
        <v>15</v>
      </c>
      <c r="H128">
        <v>5.25</v>
      </c>
      <c r="I128" t="s">
        <v>2275</v>
      </c>
      <c r="J128">
        <v>13</v>
      </c>
    </row>
    <row r="129" spans="1:10" x14ac:dyDescent="0.25">
      <c r="A129" t="s">
        <v>2259</v>
      </c>
      <c r="B129" s="23" t="s">
        <v>1745</v>
      </c>
      <c r="C129" t="s">
        <v>34</v>
      </c>
      <c r="D129">
        <v>8.5</v>
      </c>
      <c r="E129">
        <v>10</v>
      </c>
      <c r="F129">
        <v>0</v>
      </c>
      <c r="G129">
        <v>10</v>
      </c>
      <c r="H129">
        <v>85</v>
      </c>
      <c r="I129" t="s">
        <v>2275</v>
      </c>
      <c r="J129">
        <v>14</v>
      </c>
    </row>
    <row r="130" spans="1:10" x14ac:dyDescent="0.25">
      <c r="A130" t="s">
        <v>2259</v>
      </c>
      <c r="B130" s="23" t="s">
        <v>1747</v>
      </c>
      <c r="C130" t="s">
        <v>34</v>
      </c>
      <c r="D130">
        <v>5.9</v>
      </c>
      <c r="E130">
        <v>5</v>
      </c>
      <c r="F130">
        <v>0</v>
      </c>
      <c r="G130">
        <v>5</v>
      </c>
      <c r="H130">
        <v>29.5</v>
      </c>
      <c r="I130" t="s">
        <v>2275</v>
      </c>
      <c r="J130">
        <v>15</v>
      </c>
    </row>
    <row r="131" spans="1:10" x14ac:dyDescent="0.25">
      <c r="A131" t="s">
        <v>2259</v>
      </c>
      <c r="B131" s="23" t="s">
        <v>61</v>
      </c>
      <c r="C131" t="s">
        <v>8</v>
      </c>
      <c r="D131">
        <v>9.9</v>
      </c>
      <c r="E131">
        <v>10</v>
      </c>
      <c r="F131">
        <v>0</v>
      </c>
      <c r="G131">
        <v>10</v>
      </c>
      <c r="H131">
        <v>99</v>
      </c>
      <c r="I131" t="s">
        <v>2275</v>
      </c>
      <c r="J131">
        <v>16</v>
      </c>
    </row>
    <row r="132" spans="1:10" x14ac:dyDescent="0.25">
      <c r="A132" t="s">
        <v>2259</v>
      </c>
      <c r="B132" s="23" t="s">
        <v>1750</v>
      </c>
      <c r="C132" t="s">
        <v>10</v>
      </c>
      <c r="D132">
        <v>13</v>
      </c>
      <c r="E132">
        <v>2</v>
      </c>
      <c r="F132">
        <v>0</v>
      </c>
      <c r="G132">
        <v>2</v>
      </c>
      <c r="H132">
        <v>26</v>
      </c>
      <c r="I132" t="s">
        <v>2275</v>
      </c>
      <c r="J132">
        <v>17</v>
      </c>
    </row>
    <row r="133" spans="1:10" x14ac:dyDescent="0.25">
      <c r="A133" t="s">
        <v>2259</v>
      </c>
      <c r="B133" s="23" t="s">
        <v>1753</v>
      </c>
      <c r="C133" t="s">
        <v>34</v>
      </c>
      <c r="D133">
        <v>185</v>
      </c>
      <c r="E133">
        <v>1</v>
      </c>
      <c r="F133">
        <v>0</v>
      </c>
      <c r="G133">
        <v>1</v>
      </c>
      <c r="H133">
        <v>185</v>
      </c>
      <c r="I133" t="s">
        <v>2275</v>
      </c>
      <c r="J133">
        <v>18</v>
      </c>
    </row>
    <row r="134" spans="1:10" x14ac:dyDescent="0.25">
      <c r="A134" t="s">
        <v>2259</v>
      </c>
      <c r="B134" s="23" t="s">
        <v>1755</v>
      </c>
      <c r="C134" t="s">
        <v>8</v>
      </c>
      <c r="D134">
        <v>4.5999999999999996</v>
      </c>
      <c r="E134">
        <v>4</v>
      </c>
      <c r="F134">
        <v>0</v>
      </c>
      <c r="G134">
        <v>4</v>
      </c>
      <c r="H134">
        <v>18.399999999999999</v>
      </c>
      <c r="I134" t="s">
        <v>2275</v>
      </c>
      <c r="J134">
        <v>19</v>
      </c>
    </row>
    <row r="135" spans="1:10" x14ac:dyDescent="0.25">
      <c r="A135" t="s">
        <v>2259</v>
      </c>
      <c r="B135" s="23" t="s">
        <v>1757</v>
      </c>
      <c r="C135" t="s">
        <v>8</v>
      </c>
      <c r="D135">
        <v>59</v>
      </c>
      <c r="E135">
        <v>1</v>
      </c>
      <c r="F135">
        <v>0</v>
      </c>
      <c r="G135">
        <v>1</v>
      </c>
      <c r="H135">
        <v>59</v>
      </c>
      <c r="I135" t="s">
        <v>2275</v>
      </c>
      <c r="J135">
        <v>20</v>
      </c>
    </row>
    <row r="136" spans="1:10" x14ac:dyDescent="0.25">
      <c r="A136" t="s">
        <v>2259</v>
      </c>
      <c r="B136" s="23" t="s">
        <v>1759</v>
      </c>
      <c r="C136" t="s">
        <v>8</v>
      </c>
      <c r="D136">
        <v>165</v>
      </c>
      <c r="E136">
        <v>1</v>
      </c>
      <c r="F136">
        <v>0</v>
      </c>
      <c r="G136">
        <v>1</v>
      </c>
      <c r="H136">
        <v>165</v>
      </c>
      <c r="I136" t="s">
        <v>2275</v>
      </c>
      <c r="J136">
        <v>21</v>
      </c>
    </row>
    <row r="137" spans="1:10" x14ac:dyDescent="0.25">
      <c r="A137" t="s">
        <v>2259</v>
      </c>
      <c r="B137" s="23" t="s">
        <v>1761</v>
      </c>
      <c r="C137" t="s">
        <v>723</v>
      </c>
      <c r="D137">
        <v>48</v>
      </c>
      <c r="E137">
        <v>1</v>
      </c>
      <c r="F137">
        <v>0</v>
      </c>
      <c r="G137">
        <v>1</v>
      </c>
      <c r="H137">
        <v>48</v>
      </c>
      <c r="I137" t="s">
        <v>2275</v>
      </c>
      <c r="J137">
        <v>22</v>
      </c>
    </row>
    <row r="138" spans="1:10" x14ac:dyDescent="0.25">
      <c r="A138" t="s">
        <v>2259</v>
      </c>
      <c r="B138" s="23" t="s">
        <v>1763</v>
      </c>
      <c r="C138" t="s">
        <v>8</v>
      </c>
      <c r="D138">
        <v>6.5</v>
      </c>
      <c r="E138">
        <v>1</v>
      </c>
      <c r="F138">
        <v>0</v>
      </c>
      <c r="G138">
        <v>1</v>
      </c>
      <c r="H138">
        <v>6.5</v>
      </c>
      <c r="I138" t="s">
        <v>2275</v>
      </c>
      <c r="J138">
        <v>23</v>
      </c>
    </row>
    <row r="139" spans="1:10" x14ac:dyDescent="0.25">
      <c r="A139" t="s">
        <v>2261</v>
      </c>
      <c r="B139" s="23" t="s">
        <v>322</v>
      </c>
      <c r="C139" t="s">
        <v>33</v>
      </c>
      <c r="D139">
        <v>22.5</v>
      </c>
      <c r="E139">
        <v>38</v>
      </c>
      <c r="F139">
        <v>0</v>
      </c>
      <c r="G139">
        <v>38</v>
      </c>
      <c r="H139">
        <v>855</v>
      </c>
      <c r="I139" t="s">
        <v>2275</v>
      </c>
      <c r="J139">
        <v>3</v>
      </c>
    </row>
    <row r="140" spans="1:10" x14ac:dyDescent="0.25">
      <c r="A140" t="s">
        <v>2261</v>
      </c>
      <c r="B140" s="23" t="s">
        <v>322</v>
      </c>
      <c r="C140" t="s">
        <v>33</v>
      </c>
      <c r="D140">
        <v>22.5</v>
      </c>
      <c r="E140">
        <v>17</v>
      </c>
      <c r="F140">
        <v>0</v>
      </c>
      <c r="G140">
        <v>17</v>
      </c>
      <c r="H140">
        <v>382.5</v>
      </c>
      <c r="I140" t="s">
        <v>2275</v>
      </c>
      <c r="J140">
        <v>4</v>
      </c>
    </row>
    <row r="141" spans="1:10" x14ac:dyDescent="0.25">
      <c r="A141" t="s">
        <v>2261</v>
      </c>
      <c r="B141" s="23" t="s">
        <v>322</v>
      </c>
      <c r="C141" t="s">
        <v>33</v>
      </c>
      <c r="D141">
        <v>22.5</v>
      </c>
      <c r="E141">
        <v>9</v>
      </c>
      <c r="F141">
        <v>0</v>
      </c>
      <c r="G141">
        <v>9</v>
      </c>
      <c r="H141">
        <v>202.5</v>
      </c>
      <c r="I141" t="s">
        <v>2275</v>
      </c>
      <c r="J141">
        <v>5</v>
      </c>
    </row>
    <row r="142" spans="1:10" x14ac:dyDescent="0.25">
      <c r="A142" t="s">
        <v>2259</v>
      </c>
      <c r="B142" s="23" t="s">
        <v>2271</v>
      </c>
      <c r="C142" t="s">
        <v>715</v>
      </c>
      <c r="D142">
        <v>160</v>
      </c>
      <c r="E142">
        <v>1</v>
      </c>
      <c r="F142">
        <v>0.05</v>
      </c>
      <c r="G142">
        <v>1.05</v>
      </c>
      <c r="H142">
        <v>168</v>
      </c>
      <c r="I142" t="s">
        <v>2276</v>
      </c>
      <c r="J142">
        <v>3</v>
      </c>
    </row>
    <row r="143" spans="1:10" x14ac:dyDescent="0.25">
      <c r="A143" t="s">
        <v>2259</v>
      </c>
      <c r="B143" s="23" t="s">
        <v>1865</v>
      </c>
      <c r="C143" t="s">
        <v>715</v>
      </c>
      <c r="D143">
        <v>80</v>
      </c>
      <c r="E143">
        <v>2</v>
      </c>
      <c r="F143">
        <v>0.05</v>
      </c>
      <c r="G143">
        <v>2.1</v>
      </c>
      <c r="H143">
        <v>168</v>
      </c>
      <c r="I143" t="s">
        <v>2276</v>
      </c>
      <c r="J143">
        <v>4</v>
      </c>
    </row>
    <row r="144" spans="1:10" x14ac:dyDescent="0.25">
      <c r="A144" t="s">
        <v>2259</v>
      </c>
      <c r="B144" s="23" t="s">
        <v>1290</v>
      </c>
      <c r="C144" t="s">
        <v>32</v>
      </c>
      <c r="D144">
        <v>94</v>
      </c>
      <c r="E144">
        <v>1</v>
      </c>
      <c r="F144">
        <v>0.05</v>
      </c>
      <c r="G144">
        <v>1.05</v>
      </c>
      <c r="H144">
        <v>98.7</v>
      </c>
      <c r="I144" t="s">
        <v>2276</v>
      </c>
      <c r="J144">
        <v>5</v>
      </c>
    </row>
    <row r="145" spans="1:10" x14ac:dyDescent="0.25">
      <c r="A145" t="s">
        <v>2259</v>
      </c>
      <c r="B145" s="23" t="s">
        <v>1291</v>
      </c>
      <c r="C145" t="s">
        <v>8</v>
      </c>
      <c r="D145">
        <v>0.3</v>
      </c>
      <c r="E145">
        <v>4</v>
      </c>
      <c r="F145">
        <v>0.1</v>
      </c>
      <c r="G145">
        <v>4.4000000000000004</v>
      </c>
      <c r="H145">
        <v>1.32</v>
      </c>
      <c r="I145" t="s">
        <v>2276</v>
      </c>
      <c r="J145">
        <v>6</v>
      </c>
    </row>
    <row r="146" spans="1:10" x14ac:dyDescent="0.25">
      <c r="A146" t="s">
        <v>2259</v>
      </c>
      <c r="B146" s="23" t="s">
        <v>1292</v>
      </c>
      <c r="C146" t="s">
        <v>8</v>
      </c>
      <c r="D146">
        <v>0.3</v>
      </c>
      <c r="E146">
        <v>4</v>
      </c>
      <c r="F146">
        <v>0.1</v>
      </c>
      <c r="G146">
        <v>4.4000000000000004</v>
      </c>
      <c r="H146">
        <v>1.32</v>
      </c>
      <c r="I146" t="s">
        <v>2276</v>
      </c>
      <c r="J146">
        <v>7</v>
      </c>
    </row>
    <row r="147" spans="1:10" x14ac:dyDescent="0.25">
      <c r="A147" t="s">
        <v>2259</v>
      </c>
      <c r="B147" s="23" t="s">
        <v>1293</v>
      </c>
      <c r="C147" t="s">
        <v>8</v>
      </c>
      <c r="D147">
        <v>0.3</v>
      </c>
      <c r="E147">
        <v>4</v>
      </c>
      <c r="F147">
        <v>0.1</v>
      </c>
      <c r="G147">
        <v>4.4000000000000004</v>
      </c>
      <c r="H147">
        <v>1.32</v>
      </c>
      <c r="I147" t="s">
        <v>2276</v>
      </c>
      <c r="J147">
        <v>8</v>
      </c>
    </row>
    <row r="148" spans="1:10" x14ac:dyDescent="0.25">
      <c r="A148" t="s">
        <v>2259</v>
      </c>
      <c r="B148" s="23" t="s">
        <v>1873</v>
      </c>
      <c r="C148" t="s">
        <v>8</v>
      </c>
      <c r="D148">
        <v>5.5</v>
      </c>
      <c r="E148">
        <v>4</v>
      </c>
      <c r="F148">
        <v>0.05</v>
      </c>
      <c r="G148">
        <v>4.2</v>
      </c>
      <c r="H148">
        <v>23.1</v>
      </c>
      <c r="I148" t="s">
        <v>2276</v>
      </c>
      <c r="J148">
        <v>9</v>
      </c>
    </row>
    <row r="149" spans="1:10" x14ac:dyDescent="0.25">
      <c r="A149" t="s">
        <v>2259</v>
      </c>
      <c r="B149" s="23" t="s">
        <v>2277</v>
      </c>
      <c r="C149" t="s">
        <v>8</v>
      </c>
      <c r="D149">
        <v>650</v>
      </c>
      <c r="E149">
        <v>1</v>
      </c>
      <c r="F149">
        <v>0</v>
      </c>
      <c r="G149">
        <v>1</v>
      </c>
      <c r="H149">
        <v>650</v>
      </c>
      <c r="I149" t="s">
        <v>2276</v>
      </c>
      <c r="J149">
        <v>10</v>
      </c>
    </row>
    <row r="150" spans="1:10" x14ac:dyDescent="0.25">
      <c r="A150" t="s">
        <v>2259</v>
      </c>
      <c r="B150" s="23" t="s">
        <v>1878</v>
      </c>
      <c r="C150" t="s">
        <v>62</v>
      </c>
      <c r="D150">
        <v>35</v>
      </c>
      <c r="E150">
        <v>1</v>
      </c>
      <c r="F150">
        <v>0</v>
      </c>
      <c r="G150">
        <v>1</v>
      </c>
      <c r="H150">
        <v>35</v>
      </c>
      <c r="I150" t="s">
        <v>2276</v>
      </c>
      <c r="J150">
        <v>11</v>
      </c>
    </row>
    <row r="151" spans="1:10" x14ac:dyDescent="0.25">
      <c r="A151" t="s">
        <v>2259</v>
      </c>
      <c r="B151" s="23" t="s">
        <v>1880</v>
      </c>
      <c r="C151" t="s">
        <v>62</v>
      </c>
      <c r="D151">
        <v>60</v>
      </c>
      <c r="E151">
        <v>1</v>
      </c>
      <c r="F151">
        <v>0</v>
      </c>
      <c r="G151">
        <v>1</v>
      </c>
      <c r="H151">
        <v>60</v>
      </c>
      <c r="I151" t="s">
        <v>2276</v>
      </c>
      <c r="J151">
        <v>12</v>
      </c>
    </row>
    <row r="152" spans="1:10" x14ac:dyDescent="0.25">
      <c r="A152" t="s">
        <v>2259</v>
      </c>
      <c r="B152" s="23" t="s">
        <v>63</v>
      </c>
      <c r="C152" t="s">
        <v>62</v>
      </c>
      <c r="D152">
        <v>15</v>
      </c>
      <c r="E152">
        <v>1</v>
      </c>
      <c r="F152">
        <v>0</v>
      </c>
      <c r="G152">
        <v>1</v>
      </c>
      <c r="H152">
        <v>15</v>
      </c>
      <c r="I152" t="s">
        <v>2276</v>
      </c>
      <c r="J152">
        <v>13</v>
      </c>
    </row>
    <row r="153" spans="1:10" x14ac:dyDescent="0.25">
      <c r="A153" t="s">
        <v>2259</v>
      </c>
      <c r="B153" s="23" t="s">
        <v>1883</v>
      </c>
      <c r="C153" t="s">
        <v>8</v>
      </c>
      <c r="D153">
        <v>6</v>
      </c>
      <c r="E153">
        <v>2</v>
      </c>
      <c r="F153">
        <v>0</v>
      </c>
      <c r="G153">
        <v>2</v>
      </c>
      <c r="H153">
        <v>12</v>
      </c>
      <c r="I153" t="s">
        <v>2276</v>
      </c>
      <c r="J153">
        <v>14</v>
      </c>
    </row>
    <row r="154" spans="1:10" x14ac:dyDescent="0.25">
      <c r="A154" t="s">
        <v>2261</v>
      </c>
      <c r="B154" s="23" t="s">
        <v>322</v>
      </c>
      <c r="C154" t="s">
        <v>33</v>
      </c>
      <c r="D154">
        <v>22.5</v>
      </c>
      <c r="E154">
        <v>21</v>
      </c>
      <c r="F154">
        <v>0</v>
      </c>
      <c r="G154">
        <v>21</v>
      </c>
      <c r="H154">
        <v>472.5</v>
      </c>
      <c r="I154" t="s">
        <v>2276</v>
      </c>
      <c r="J154">
        <v>3</v>
      </c>
    </row>
    <row r="155" spans="1:10" x14ac:dyDescent="0.25">
      <c r="A155" t="s">
        <v>2261</v>
      </c>
      <c r="B155" s="23" t="s">
        <v>322</v>
      </c>
      <c r="C155" t="s">
        <v>33</v>
      </c>
      <c r="D155">
        <v>22.5</v>
      </c>
      <c r="E155">
        <v>17</v>
      </c>
      <c r="F155">
        <v>0</v>
      </c>
      <c r="G155">
        <v>17</v>
      </c>
      <c r="H155">
        <v>382.5</v>
      </c>
      <c r="I155" t="s">
        <v>2276</v>
      </c>
      <c r="J155">
        <v>4</v>
      </c>
    </row>
    <row r="156" spans="1:10" x14ac:dyDescent="0.25">
      <c r="A156" t="s">
        <v>2261</v>
      </c>
      <c r="B156" s="23" t="s">
        <v>322</v>
      </c>
      <c r="C156" t="s">
        <v>33</v>
      </c>
      <c r="D156">
        <v>22.5</v>
      </c>
      <c r="E156">
        <v>9</v>
      </c>
      <c r="F156">
        <v>0</v>
      </c>
      <c r="G156">
        <v>9</v>
      </c>
      <c r="H156">
        <v>202.5</v>
      </c>
      <c r="I156" t="s">
        <v>2276</v>
      </c>
      <c r="J156">
        <v>5</v>
      </c>
    </row>
    <row r="157" spans="1:10" x14ac:dyDescent="0.25">
      <c r="A157" t="s">
        <v>2259</v>
      </c>
      <c r="B157" s="23" t="s">
        <v>552</v>
      </c>
      <c r="C157" t="s">
        <v>11</v>
      </c>
      <c r="D157">
        <v>830</v>
      </c>
      <c r="E157">
        <v>0.26</v>
      </c>
      <c r="F157">
        <v>0</v>
      </c>
      <c r="G157">
        <v>0.26</v>
      </c>
      <c r="H157">
        <v>215.8</v>
      </c>
      <c r="I157" t="s">
        <v>2278</v>
      </c>
      <c r="J157">
        <v>3</v>
      </c>
    </row>
    <row r="158" spans="1:10" x14ac:dyDescent="0.25">
      <c r="A158" t="s">
        <v>2259</v>
      </c>
      <c r="B158" s="23" t="s">
        <v>553</v>
      </c>
      <c r="C158" t="s">
        <v>11</v>
      </c>
      <c r="D158">
        <v>950</v>
      </c>
      <c r="E158">
        <v>0.05</v>
      </c>
      <c r="F158">
        <v>0</v>
      </c>
      <c r="G158">
        <v>0.05</v>
      </c>
      <c r="H158">
        <v>47.5</v>
      </c>
      <c r="I158" t="s">
        <v>2278</v>
      </c>
      <c r="J158">
        <v>4</v>
      </c>
    </row>
    <row r="159" spans="1:10" x14ac:dyDescent="0.25">
      <c r="A159" t="s">
        <v>2259</v>
      </c>
      <c r="B159" s="23" t="s">
        <v>711</v>
      </c>
      <c r="C159" t="s">
        <v>327</v>
      </c>
      <c r="D159">
        <v>180</v>
      </c>
      <c r="E159">
        <v>1</v>
      </c>
      <c r="F159">
        <v>0</v>
      </c>
      <c r="G159">
        <v>1</v>
      </c>
      <c r="H159">
        <v>180</v>
      </c>
      <c r="I159" t="s">
        <v>2278</v>
      </c>
      <c r="J159">
        <v>5</v>
      </c>
    </row>
    <row r="160" spans="1:10" x14ac:dyDescent="0.25">
      <c r="A160" t="s">
        <v>2259</v>
      </c>
      <c r="B160" s="23" t="s">
        <v>554</v>
      </c>
      <c r="C160" t="s">
        <v>8</v>
      </c>
      <c r="D160">
        <v>215</v>
      </c>
      <c r="E160">
        <v>4.41</v>
      </c>
      <c r="F160">
        <v>0</v>
      </c>
      <c r="G160">
        <v>4.41</v>
      </c>
      <c r="H160">
        <v>948.15</v>
      </c>
      <c r="I160" t="s">
        <v>2278</v>
      </c>
      <c r="J160">
        <v>6</v>
      </c>
    </row>
    <row r="161" spans="1:10" x14ac:dyDescent="0.25">
      <c r="A161" t="s">
        <v>2259</v>
      </c>
      <c r="B161" s="23" t="s">
        <v>2076</v>
      </c>
      <c r="C161" t="s">
        <v>9</v>
      </c>
      <c r="D161">
        <v>24</v>
      </c>
      <c r="E161">
        <v>33</v>
      </c>
      <c r="F161">
        <v>0</v>
      </c>
      <c r="G161">
        <v>33</v>
      </c>
      <c r="H161">
        <v>792</v>
      </c>
      <c r="I161" t="s">
        <v>2278</v>
      </c>
      <c r="J161">
        <v>7</v>
      </c>
    </row>
    <row r="162" spans="1:10" x14ac:dyDescent="0.25">
      <c r="A162" t="s">
        <v>2259</v>
      </c>
      <c r="B162" s="23" t="s">
        <v>733</v>
      </c>
      <c r="C162" t="s">
        <v>11</v>
      </c>
      <c r="D162">
        <v>850</v>
      </c>
      <c r="E162">
        <v>0.23</v>
      </c>
      <c r="F162">
        <v>0</v>
      </c>
      <c r="G162">
        <v>0.23</v>
      </c>
      <c r="H162">
        <v>195.5</v>
      </c>
      <c r="I162" t="s">
        <v>2278</v>
      </c>
      <c r="J162">
        <v>8</v>
      </c>
    </row>
    <row r="163" spans="1:10" x14ac:dyDescent="0.25">
      <c r="A163" t="s">
        <v>2259</v>
      </c>
      <c r="B163" s="23" t="s">
        <v>734</v>
      </c>
      <c r="C163" t="s">
        <v>11</v>
      </c>
      <c r="D163">
        <v>830</v>
      </c>
      <c r="E163">
        <v>0.46</v>
      </c>
      <c r="F163">
        <v>0</v>
      </c>
      <c r="G163">
        <v>0.46</v>
      </c>
      <c r="H163">
        <v>381.8</v>
      </c>
      <c r="I163" t="s">
        <v>2278</v>
      </c>
      <c r="J163">
        <v>9</v>
      </c>
    </row>
    <row r="164" spans="1:10" x14ac:dyDescent="0.25">
      <c r="A164" t="s">
        <v>2259</v>
      </c>
      <c r="B164" s="23" t="s">
        <v>552</v>
      </c>
      <c r="C164" t="s">
        <v>11</v>
      </c>
      <c r="D164">
        <v>830</v>
      </c>
      <c r="E164">
        <v>0.08</v>
      </c>
      <c r="F164">
        <v>0</v>
      </c>
      <c r="G164">
        <v>0.08</v>
      </c>
      <c r="H164">
        <v>66.400000000000006</v>
      </c>
      <c r="I164" t="s">
        <v>2278</v>
      </c>
      <c r="J164">
        <v>10</v>
      </c>
    </row>
    <row r="165" spans="1:10" x14ac:dyDescent="0.25">
      <c r="A165" t="s">
        <v>2259</v>
      </c>
      <c r="B165" s="23" t="s">
        <v>553</v>
      </c>
      <c r="C165" t="s">
        <v>11</v>
      </c>
      <c r="D165">
        <v>950</v>
      </c>
      <c r="E165">
        <v>0.02</v>
      </c>
      <c r="F165">
        <v>0</v>
      </c>
      <c r="G165">
        <v>0.02</v>
      </c>
      <c r="H165">
        <v>19</v>
      </c>
      <c r="I165" t="s">
        <v>2278</v>
      </c>
      <c r="J165">
        <v>11</v>
      </c>
    </row>
    <row r="166" spans="1:10" x14ac:dyDescent="0.25">
      <c r="A166" t="s">
        <v>2259</v>
      </c>
      <c r="B166" s="23" t="s">
        <v>554</v>
      </c>
      <c r="C166" t="s">
        <v>8</v>
      </c>
      <c r="D166">
        <v>215</v>
      </c>
      <c r="E166">
        <v>1.33</v>
      </c>
      <c r="F166">
        <v>0</v>
      </c>
      <c r="G166">
        <v>1.33</v>
      </c>
      <c r="H166">
        <v>285.95</v>
      </c>
      <c r="I166" t="s">
        <v>2278</v>
      </c>
      <c r="J166">
        <v>12</v>
      </c>
    </row>
    <row r="167" spans="1:10" x14ac:dyDescent="0.25">
      <c r="A167" t="s">
        <v>2259</v>
      </c>
      <c r="B167" s="23" t="s">
        <v>2076</v>
      </c>
      <c r="C167" t="s">
        <v>9</v>
      </c>
      <c r="D167">
        <v>24</v>
      </c>
      <c r="E167">
        <v>10</v>
      </c>
      <c r="F167">
        <v>0</v>
      </c>
      <c r="G167">
        <v>10</v>
      </c>
      <c r="H167">
        <v>240</v>
      </c>
      <c r="I167" t="s">
        <v>2278</v>
      </c>
      <c r="J167">
        <v>13</v>
      </c>
    </row>
    <row r="168" spans="1:10" x14ac:dyDescent="0.25">
      <c r="A168" t="s">
        <v>2259</v>
      </c>
      <c r="B168" s="23" t="s">
        <v>733</v>
      </c>
      <c r="C168" t="s">
        <v>11</v>
      </c>
      <c r="D168">
        <v>850</v>
      </c>
      <c r="E168">
        <v>7.0000000000000007E-2</v>
      </c>
      <c r="F168">
        <v>0</v>
      </c>
      <c r="G168">
        <v>7.0000000000000007E-2</v>
      </c>
      <c r="H168">
        <v>59.500000000000007</v>
      </c>
      <c r="I168" t="s">
        <v>2278</v>
      </c>
      <c r="J168">
        <v>14</v>
      </c>
    </row>
    <row r="169" spans="1:10" x14ac:dyDescent="0.25">
      <c r="A169" t="s">
        <v>2259</v>
      </c>
      <c r="B169" s="23" t="s">
        <v>734</v>
      </c>
      <c r="C169" t="s">
        <v>11</v>
      </c>
      <c r="D169">
        <v>830</v>
      </c>
      <c r="E169">
        <v>0.14000000000000001</v>
      </c>
      <c r="F169">
        <v>0</v>
      </c>
      <c r="G169">
        <v>0.14000000000000001</v>
      </c>
      <c r="H169">
        <v>116.20000000000002</v>
      </c>
      <c r="I169" t="s">
        <v>2278</v>
      </c>
      <c r="J169">
        <v>15</v>
      </c>
    </row>
    <row r="170" spans="1:10" x14ac:dyDescent="0.25">
      <c r="A170" t="s">
        <v>2259</v>
      </c>
      <c r="B170" s="23" t="s">
        <v>714</v>
      </c>
      <c r="C170" t="s">
        <v>715</v>
      </c>
      <c r="D170">
        <v>130</v>
      </c>
      <c r="E170">
        <v>1</v>
      </c>
      <c r="F170">
        <v>0</v>
      </c>
      <c r="G170">
        <v>1</v>
      </c>
      <c r="H170">
        <v>130</v>
      </c>
      <c r="I170" t="s">
        <v>2278</v>
      </c>
      <c r="J170">
        <v>16</v>
      </c>
    </row>
    <row r="171" spans="1:10" x14ac:dyDescent="0.25">
      <c r="A171" t="s">
        <v>2261</v>
      </c>
      <c r="B171" s="23" t="s">
        <v>322</v>
      </c>
      <c r="C171" t="s">
        <v>33</v>
      </c>
      <c r="D171">
        <v>22.5</v>
      </c>
      <c r="E171">
        <v>120</v>
      </c>
      <c r="F171">
        <v>0</v>
      </c>
      <c r="G171">
        <v>120</v>
      </c>
      <c r="H171">
        <v>2700</v>
      </c>
      <c r="I171" t="s">
        <v>2278</v>
      </c>
      <c r="J171">
        <v>3</v>
      </c>
    </row>
    <row r="172" spans="1:10" x14ac:dyDescent="0.25">
      <c r="A172" t="s">
        <v>2259</v>
      </c>
      <c r="B172" s="23" t="s">
        <v>2076</v>
      </c>
      <c r="C172" t="s">
        <v>9</v>
      </c>
      <c r="D172">
        <v>24</v>
      </c>
      <c r="E172">
        <v>3</v>
      </c>
      <c r="F172">
        <v>0</v>
      </c>
      <c r="G172">
        <v>3</v>
      </c>
      <c r="H172">
        <v>72</v>
      </c>
      <c r="I172" t="s">
        <v>2279</v>
      </c>
      <c r="J172">
        <v>3</v>
      </c>
    </row>
    <row r="173" spans="1:10" x14ac:dyDescent="0.25">
      <c r="A173" t="s">
        <v>2259</v>
      </c>
      <c r="B173" s="23" t="s">
        <v>733</v>
      </c>
      <c r="C173" t="s">
        <v>11</v>
      </c>
      <c r="D173">
        <v>850</v>
      </c>
      <c r="E173">
        <v>0.02</v>
      </c>
      <c r="F173">
        <v>0</v>
      </c>
      <c r="G173">
        <v>0.02</v>
      </c>
      <c r="H173">
        <v>17</v>
      </c>
      <c r="I173" t="s">
        <v>2279</v>
      </c>
      <c r="J173">
        <v>4</v>
      </c>
    </row>
    <row r="174" spans="1:10" x14ac:dyDescent="0.25">
      <c r="A174" t="s">
        <v>2259</v>
      </c>
      <c r="B174" s="23" t="s">
        <v>734</v>
      </c>
      <c r="C174" t="s">
        <v>11</v>
      </c>
      <c r="D174">
        <v>830</v>
      </c>
      <c r="E174">
        <v>0.04</v>
      </c>
      <c r="F174">
        <v>0</v>
      </c>
      <c r="G174">
        <v>0.04</v>
      </c>
      <c r="H174">
        <v>33.200000000000003</v>
      </c>
      <c r="I174" t="s">
        <v>2279</v>
      </c>
      <c r="J174">
        <v>5</v>
      </c>
    </row>
    <row r="175" spans="1:10" x14ac:dyDescent="0.25">
      <c r="A175" t="s">
        <v>2259</v>
      </c>
      <c r="B175" s="23" t="s">
        <v>2076</v>
      </c>
      <c r="C175" t="s">
        <v>9</v>
      </c>
      <c r="D175">
        <v>24</v>
      </c>
      <c r="E175">
        <v>26</v>
      </c>
      <c r="F175">
        <v>0</v>
      </c>
      <c r="G175">
        <v>26</v>
      </c>
      <c r="H175">
        <v>624</v>
      </c>
      <c r="I175" t="s">
        <v>2279</v>
      </c>
      <c r="J175">
        <v>6</v>
      </c>
    </row>
    <row r="176" spans="1:10" x14ac:dyDescent="0.25">
      <c r="A176" t="s">
        <v>2259</v>
      </c>
      <c r="B176" s="23" t="s">
        <v>733</v>
      </c>
      <c r="C176" t="s">
        <v>11</v>
      </c>
      <c r="D176">
        <v>850</v>
      </c>
      <c r="E176">
        <v>0.18</v>
      </c>
      <c r="F176">
        <v>0</v>
      </c>
      <c r="G176">
        <v>0.18</v>
      </c>
      <c r="H176">
        <v>153</v>
      </c>
      <c r="I176" t="s">
        <v>2279</v>
      </c>
      <c r="J176">
        <v>7</v>
      </c>
    </row>
    <row r="177" spans="1:10" x14ac:dyDescent="0.25">
      <c r="A177" t="s">
        <v>2259</v>
      </c>
      <c r="B177" s="23" t="s">
        <v>734</v>
      </c>
      <c r="C177" t="s">
        <v>11</v>
      </c>
      <c r="D177">
        <v>830</v>
      </c>
      <c r="E177">
        <v>0.36</v>
      </c>
      <c r="F177">
        <v>0</v>
      </c>
      <c r="G177">
        <v>0.36</v>
      </c>
      <c r="H177">
        <v>298.8</v>
      </c>
      <c r="I177" t="s">
        <v>2279</v>
      </c>
      <c r="J177">
        <v>8</v>
      </c>
    </row>
    <row r="178" spans="1:10" x14ac:dyDescent="0.25">
      <c r="A178" t="s">
        <v>2259</v>
      </c>
      <c r="B178" s="23" t="s">
        <v>661</v>
      </c>
      <c r="C178" t="s">
        <v>662</v>
      </c>
      <c r="D178">
        <v>28</v>
      </c>
      <c r="E178">
        <v>30</v>
      </c>
      <c r="F178">
        <v>0</v>
      </c>
      <c r="G178">
        <v>30</v>
      </c>
      <c r="H178">
        <v>840</v>
      </c>
      <c r="I178" t="s">
        <v>2279</v>
      </c>
      <c r="J178">
        <v>9</v>
      </c>
    </row>
    <row r="179" spans="1:10" x14ac:dyDescent="0.25">
      <c r="A179" t="s">
        <v>2259</v>
      </c>
      <c r="B179" s="23" t="s">
        <v>663</v>
      </c>
      <c r="C179" t="s">
        <v>662</v>
      </c>
      <c r="D179">
        <v>15</v>
      </c>
      <c r="E179">
        <v>12</v>
      </c>
      <c r="F179">
        <v>0</v>
      </c>
      <c r="G179">
        <v>12</v>
      </c>
      <c r="H179">
        <v>180</v>
      </c>
      <c r="I179" t="s">
        <v>2279</v>
      </c>
      <c r="J179">
        <v>10</v>
      </c>
    </row>
    <row r="180" spans="1:10" x14ac:dyDescent="0.25">
      <c r="A180" t="s">
        <v>2259</v>
      </c>
      <c r="B180" s="23" t="s">
        <v>665</v>
      </c>
      <c r="C180" t="s">
        <v>666</v>
      </c>
      <c r="D180">
        <v>45</v>
      </c>
      <c r="E180">
        <v>8</v>
      </c>
      <c r="F180">
        <v>0</v>
      </c>
      <c r="G180">
        <v>8</v>
      </c>
      <c r="H180">
        <v>360</v>
      </c>
      <c r="I180" t="s">
        <v>2279</v>
      </c>
      <c r="J180">
        <v>11</v>
      </c>
    </row>
    <row r="181" spans="1:10" x14ac:dyDescent="0.25">
      <c r="A181" t="s">
        <v>2259</v>
      </c>
      <c r="B181" s="23" t="s">
        <v>722</v>
      </c>
      <c r="C181" t="s">
        <v>723</v>
      </c>
      <c r="D181">
        <v>15</v>
      </c>
      <c r="E181">
        <v>12</v>
      </c>
      <c r="F181">
        <v>0</v>
      </c>
      <c r="G181">
        <v>12</v>
      </c>
      <c r="H181">
        <v>180</v>
      </c>
      <c r="I181" t="s">
        <v>2279</v>
      </c>
      <c r="J181">
        <v>12</v>
      </c>
    </row>
    <row r="182" spans="1:10" x14ac:dyDescent="0.25">
      <c r="A182" t="s">
        <v>2259</v>
      </c>
      <c r="B182" s="23" t="s">
        <v>714</v>
      </c>
      <c r="C182" t="s">
        <v>715</v>
      </c>
      <c r="D182">
        <v>130</v>
      </c>
      <c r="E182">
        <v>1</v>
      </c>
      <c r="F182">
        <v>0</v>
      </c>
      <c r="G182">
        <v>1</v>
      </c>
      <c r="H182">
        <v>130</v>
      </c>
      <c r="I182" t="s">
        <v>2279</v>
      </c>
      <c r="J182">
        <v>13</v>
      </c>
    </row>
    <row r="183" spans="1:10" x14ac:dyDescent="0.25">
      <c r="A183" t="s">
        <v>2261</v>
      </c>
      <c r="B183" s="23" t="s">
        <v>322</v>
      </c>
      <c r="C183" t="s">
        <v>33</v>
      </c>
      <c r="D183">
        <v>22.5</v>
      </c>
      <c r="E183">
        <v>112</v>
      </c>
      <c r="F183">
        <v>0</v>
      </c>
      <c r="G183">
        <v>112</v>
      </c>
      <c r="H183">
        <v>2520</v>
      </c>
      <c r="I183" t="s">
        <v>2279</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E39" sqref="E39"/>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118</v>
      </c>
    </row>
    <row r="2" spans="1:1" x14ac:dyDescent="0.25">
      <c r="A2" s="3" t="s">
        <v>119</v>
      </c>
    </row>
    <row r="3" spans="1:1" x14ac:dyDescent="0.25">
      <c r="A3" s="3" t="s">
        <v>120</v>
      </c>
    </row>
    <row r="5" spans="1:1" x14ac:dyDescent="0.25">
      <c r="A5" s="3" t="s">
        <v>64</v>
      </c>
    </row>
    <row r="6" spans="1:1" x14ac:dyDescent="0.25">
      <c r="A6" s="3" t="s">
        <v>121</v>
      </c>
    </row>
    <row r="7" spans="1:1" x14ac:dyDescent="0.25">
      <c r="A7" s="3" t="s">
        <v>64</v>
      </c>
    </row>
    <row r="8" spans="1:1" x14ac:dyDescent="0.25">
      <c r="A8" s="3" t="s">
        <v>122</v>
      </c>
    </row>
    <row r="9" spans="1:1" x14ac:dyDescent="0.25">
      <c r="A9" s="3" t="s">
        <v>123</v>
      </c>
    </row>
    <row r="10" spans="1:1" x14ac:dyDescent="0.25">
      <c r="A10" s="3" t="s">
        <v>124</v>
      </c>
    </row>
    <row r="12" spans="1:1" x14ac:dyDescent="0.25">
      <c r="A12" s="3" t="s">
        <v>125</v>
      </c>
    </row>
    <row r="13" spans="1:1" x14ac:dyDescent="0.25">
      <c r="A13" s="3" t="s">
        <v>126</v>
      </c>
    </row>
    <row r="14" spans="1:1" x14ac:dyDescent="0.25">
      <c r="A14" s="3" t="s">
        <v>127</v>
      </c>
    </row>
    <row r="15" spans="1:1" x14ac:dyDescent="0.25">
      <c r="A15" s="3" t="s">
        <v>128</v>
      </c>
    </row>
    <row r="16" spans="1:1" x14ac:dyDescent="0.25">
      <c r="A16" s="3" t="s">
        <v>129</v>
      </c>
    </row>
    <row r="17" spans="1:1" x14ac:dyDescent="0.25">
      <c r="A17" s="3" t="s">
        <v>130</v>
      </c>
    </row>
    <row r="18" spans="1:1" x14ac:dyDescent="0.25">
      <c r="A18" s="3" t="s">
        <v>131</v>
      </c>
    </row>
    <row r="19" spans="1:1" x14ac:dyDescent="0.25">
      <c r="A19" s="3" t="s">
        <v>132</v>
      </c>
    </row>
    <row r="21" spans="1:1" x14ac:dyDescent="0.25">
      <c r="A21" s="3" t="s">
        <v>64</v>
      </c>
    </row>
    <row r="22" spans="1:1" x14ac:dyDescent="0.25">
      <c r="A22" s="3" t="s">
        <v>133</v>
      </c>
    </row>
    <row r="23" spans="1:1" x14ac:dyDescent="0.25">
      <c r="A23" s="3" t="s">
        <v>64</v>
      </c>
    </row>
    <row r="24" spans="1:1" x14ac:dyDescent="0.25">
      <c r="A24" s="3" t="s">
        <v>134</v>
      </c>
    </row>
    <row r="25" spans="1:1" x14ac:dyDescent="0.25">
      <c r="A25" s="3" t="s">
        <v>135</v>
      </c>
    </row>
    <row r="26" spans="1:1" x14ac:dyDescent="0.25">
      <c r="A26" s="3" t="s">
        <v>136</v>
      </c>
    </row>
    <row r="27" spans="1:1" x14ac:dyDescent="0.25">
      <c r="A27" s="3" t="s">
        <v>137</v>
      </c>
    </row>
    <row r="28" spans="1:1" x14ac:dyDescent="0.25">
      <c r="A28" s="3" t="s">
        <v>138</v>
      </c>
    </row>
    <row r="29" spans="1:1" x14ac:dyDescent="0.25">
      <c r="A29" s="3" t="s">
        <v>139</v>
      </c>
    </row>
    <row r="30" spans="1:1" x14ac:dyDescent="0.25">
      <c r="A30" s="3" t="s">
        <v>140</v>
      </c>
    </row>
    <row r="32" spans="1:1" x14ac:dyDescent="0.25">
      <c r="A32" s="3" t="s">
        <v>64</v>
      </c>
    </row>
    <row r="33" spans="1:1" x14ac:dyDescent="0.25">
      <c r="A33" s="3" t="s">
        <v>141</v>
      </c>
    </row>
    <row r="34" spans="1:1" x14ac:dyDescent="0.25">
      <c r="A34" s="3" t="s">
        <v>64</v>
      </c>
    </row>
    <row r="35" spans="1:1" x14ac:dyDescent="0.25">
      <c r="A35" s="3" t="s">
        <v>142</v>
      </c>
    </row>
    <row r="36" spans="1:1" x14ac:dyDescent="0.25">
      <c r="A36" s="3" t="s">
        <v>143</v>
      </c>
    </row>
    <row r="37" spans="1:1" x14ac:dyDescent="0.25">
      <c r="A37" s="3" t="s">
        <v>144</v>
      </c>
    </row>
    <row r="38" spans="1:1" x14ac:dyDescent="0.25">
      <c r="A38" s="3" t="s">
        <v>145</v>
      </c>
    </row>
    <row r="39" spans="1:1" x14ac:dyDescent="0.25">
      <c r="A39" s="3" t="s">
        <v>146</v>
      </c>
    </row>
    <row r="40" spans="1:1" x14ac:dyDescent="0.25">
      <c r="A40" s="3" t="s">
        <v>147</v>
      </c>
    </row>
    <row r="41" spans="1:1" x14ac:dyDescent="0.25">
      <c r="A41" s="3" t="s">
        <v>148</v>
      </c>
    </row>
    <row r="42" spans="1:1" x14ac:dyDescent="0.25">
      <c r="A42" s="3" t="s">
        <v>149</v>
      </c>
    </row>
    <row r="43" spans="1:1" x14ac:dyDescent="0.25">
      <c r="A43" s="3" t="s">
        <v>150</v>
      </c>
    </row>
    <row r="45" spans="1:1" x14ac:dyDescent="0.25">
      <c r="A45" s="3" t="s">
        <v>64</v>
      </c>
    </row>
    <row r="46" spans="1:1" x14ac:dyDescent="0.25">
      <c r="A46" s="3" t="s">
        <v>151</v>
      </c>
    </row>
    <row r="47" spans="1:1" x14ac:dyDescent="0.25">
      <c r="A47" s="3" t="s">
        <v>64</v>
      </c>
    </row>
    <row r="48" spans="1:1" x14ac:dyDescent="0.25">
      <c r="A48" s="3" t="s">
        <v>152</v>
      </c>
    </row>
    <row r="49" spans="1:1" x14ac:dyDescent="0.25">
      <c r="A49" s="3" t="s">
        <v>153</v>
      </c>
    </row>
    <row r="50" spans="1:1" x14ac:dyDescent="0.25">
      <c r="A50" s="3" t="s">
        <v>154</v>
      </c>
    </row>
    <row r="51" spans="1:1" x14ac:dyDescent="0.25">
      <c r="A51" s="3" t="s">
        <v>155</v>
      </c>
    </row>
    <row r="52" spans="1:1" x14ac:dyDescent="0.25">
      <c r="A52" s="3" t="s">
        <v>156</v>
      </c>
    </row>
    <row r="53" spans="1:1" x14ac:dyDescent="0.25">
      <c r="A53" s="3" t="s">
        <v>157</v>
      </c>
    </row>
    <row r="54" spans="1:1" x14ac:dyDescent="0.25">
      <c r="A54" s="3" t="s">
        <v>158</v>
      </c>
    </row>
    <row r="55" spans="1:1" x14ac:dyDescent="0.25">
      <c r="A55" s="3" t="s">
        <v>159</v>
      </c>
    </row>
    <row r="56" spans="1:1" x14ac:dyDescent="0.25">
      <c r="A56" s="3" t="s">
        <v>160</v>
      </c>
    </row>
    <row r="58" spans="1:1" x14ac:dyDescent="0.25">
      <c r="A58" s="3" t="s">
        <v>64</v>
      </c>
    </row>
    <row r="59" spans="1:1" x14ac:dyDescent="0.25">
      <c r="A59" s="3" t="s">
        <v>161</v>
      </c>
    </row>
    <row r="60" spans="1:1" x14ac:dyDescent="0.25">
      <c r="A60" s="3" t="s">
        <v>64</v>
      </c>
    </row>
    <row r="61" spans="1:1" x14ac:dyDescent="0.25">
      <c r="A61" s="3" t="s">
        <v>162</v>
      </c>
    </row>
    <row r="62" spans="1:1" x14ac:dyDescent="0.25">
      <c r="A62" s="3" t="s">
        <v>163</v>
      </c>
    </row>
    <row r="63" spans="1:1" x14ac:dyDescent="0.25">
      <c r="A63" s="3" t="s">
        <v>164</v>
      </c>
    </row>
    <row r="64" spans="1:1" x14ac:dyDescent="0.25">
      <c r="A64" s="3" t="s">
        <v>165</v>
      </c>
    </row>
    <row r="65" spans="1:1" x14ac:dyDescent="0.25">
      <c r="A65" s="3" t="s">
        <v>166</v>
      </c>
    </row>
    <row r="66" spans="1:1" x14ac:dyDescent="0.25">
      <c r="A66" s="3" t="s">
        <v>167</v>
      </c>
    </row>
    <row r="67" spans="1:1" x14ac:dyDescent="0.25">
      <c r="A67" s="3" t="s">
        <v>168</v>
      </c>
    </row>
    <row r="68" spans="1:1" x14ac:dyDescent="0.25">
      <c r="A68" s="3" t="s">
        <v>169</v>
      </c>
    </row>
    <row r="69" spans="1:1" x14ac:dyDescent="0.25">
      <c r="A69" s="3" t="s">
        <v>170</v>
      </c>
    </row>
    <row r="70" spans="1:1" x14ac:dyDescent="0.25">
      <c r="A70" s="3" t="s">
        <v>171</v>
      </c>
    </row>
    <row r="71" spans="1:1" x14ac:dyDescent="0.25">
      <c r="A71" s="3" t="s">
        <v>172</v>
      </c>
    </row>
    <row r="72" spans="1:1" x14ac:dyDescent="0.25">
      <c r="A72" s="3" t="s">
        <v>173</v>
      </c>
    </row>
    <row r="73" spans="1:1" x14ac:dyDescent="0.25">
      <c r="A73" s="3" t="s">
        <v>174</v>
      </c>
    </row>
    <row r="74" spans="1:1" x14ac:dyDescent="0.25">
      <c r="A74" s="3" t="s">
        <v>175</v>
      </c>
    </row>
    <row r="75" spans="1:1" x14ac:dyDescent="0.25">
      <c r="A75" s="3" t="s">
        <v>176</v>
      </c>
    </row>
    <row r="76" spans="1:1" x14ac:dyDescent="0.25">
      <c r="A76" s="3" t="s">
        <v>177</v>
      </c>
    </row>
    <row r="77" spans="1:1" x14ac:dyDescent="0.25">
      <c r="A77" s="3" t="s">
        <v>178</v>
      </c>
    </row>
    <row r="79" spans="1:1" x14ac:dyDescent="0.25">
      <c r="A79" s="3" t="s">
        <v>64</v>
      </c>
    </row>
    <row r="80" spans="1:1" x14ac:dyDescent="0.25">
      <c r="A80" s="3" t="s">
        <v>179</v>
      </c>
    </row>
    <row r="81" spans="1:1" x14ac:dyDescent="0.25">
      <c r="A81" s="3" t="s">
        <v>64</v>
      </c>
    </row>
    <row r="82" spans="1:1" x14ac:dyDescent="0.25">
      <c r="A82" s="3" t="s">
        <v>180</v>
      </c>
    </row>
    <row r="83" spans="1:1" x14ac:dyDescent="0.25">
      <c r="A83" s="3" t="s">
        <v>181</v>
      </c>
    </row>
    <row r="84" spans="1:1" x14ac:dyDescent="0.25">
      <c r="A84" s="3" t="s">
        <v>182</v>
      </c>
    </row>
    <row r="85" spans="1:1" x14ac:dyDescent="0.25">
      <c r="A85" s="3" t="s">
        <v>183</v>
      </c>
    </row>
    <row r="86" spans="1:1" x14ac:dyDescent="0.25">
      <c r="A86" s="3" t="s">
        <v>184</v>
      </c>
    </row>
    <row r="87" spans="1:1" x14ac:dyDescent="0.25">
      <c r="A87" s="3" t="s">
        <v>185</v>
      </c>
    </row>
    <row r="88" spans="1:1" x14ac:dyDescent="0.25">
      <c r="A88" s="3" t="s">
        <v>186</v>
      </c>
    </row>
    <row r="89" spans="1:1" x14ac:dyDescent="0.25">
      <c r="A89" s="3" t="s">
        <v>187</v>
      </c>
    </row>
    <row r="90" spans="1:1" x14ac:dyDescent="0.25">
      <c r="A90" s="3" t="s">
        <v>188</v>
      </c>
    </row>
    <row r="91" spans="1:1" x14ac:dyDescent="0.25">
      <c r="A91" s="3" t="s">
        <v>189</v>
      </c>
    </row>
    <row r="92" spans="1:1" x14ac:dyDescent="0.25">
      <c r="A92" s="3" t="s">
        <v>190</v>
      </c>
    </row>
    <row r="94" spans="1:1" x14ac:dyDescent="0.25">
      <c r="A94" s="3" t="s">
        <v>64</v>
      </c>
    </row>
    <row r="95" spans="1:1" x14ac:dyDescent="0.25">
      <c r="A95" s="3" t="s">
        <v>191</v>
      </c>
    </row>
    <row r="96" spans="1:1" x14ac:dyDescent="0.25">
      <c r="A96" s="3" t="s">
        <v>64</v>
      </c>
    </row>
    <row r="97" spans="1:1" x14ac:dyDescent="0.25">
      <c r="A97" s="3" t="s">
        <v>192</v>
      </c>
    </row>
    <row r="98" spans="1:1" x14ac:dyDescent="0.25">
      <c r="A98" s="3" t="s">
        <v>193</v>
      </c>
    </row>
    <row r="99" spans="1:1" x14ac:dyDescent="0.25">
      <c r="A99" s="3" t="s">
        <v>194</v>
      </c>
    </row>
    <row r="100" spans="1:1" x14ac:dyDescent="0.25">
      <c r="A100" s="3" t="s">
        <v>195</v>
      </c>
    </row>
    <row r="101" spans="1:1" x14ac:dyDescent="0.25">
      <c r="A101" s="3" t="s">
        <v>196</v>
      </c>
    </row>
    <row r="103" spans="1:1" x14ac:dyDescent="0.25">
      <c r="A103" s="3" t="s">
        <v>197</v>
      </c>
    </row>
    <row r="104" spans="1:1" x14ac:dyDescent="0.25">
      <c r="A104" s="3" t="s">
        <v>198</v>
      </c>
    </row>
    <row r="105" spans="1:1" x14ac:dyDescent="0.25">
      <c r="A105" s="3" t="s">
        <v>199</v>
      </c>
    </row>
    <row r="106" spans="1:1" x14ac:dyDescent="0.25">
      <c r="A106" s="3" t="s">
        <v>200</v>
      </c>
    </row>
    <row r="107" spans="1:1" x14ac:dyDescent="0.25">
      <c r="A107" s="3" t="s">
        <v>201</v>
      </c>
    </row>
    <row r="108" spans="1:1" x14ac:dyDescent="0.25">
      <c r="A108" s="3" t="s">
        <v>202</v>
      </c>
    </row>
    <row r="110" spans="1:1" x14ac:dyDescent="0.25">
      <c r="A110" s="3" t="s">
        <v>203</v>
      </c>
    </row>
    <row r="111" spans="1:1" x14ac:dyDescent="0.25">
      <c r="A111" s="3" t="s">
        <v>204</v>
      </c>
    </row>
    <row r="112" spans="1:1" x14ac:dyDescent="0.25">
      <c r="A112" s="3" t="s">
        <v>205</v>
      </c>
    </row>
    <row r="113" spans="1:1" x14ac:dyDescent="0.25">
      <c r="A113" s="3" t="s">
        <v>206</v>
      </c>
    </row>
    <row r="114" spans="1:1" x14ac:dyDescent="0.25">
      <c r="A114" s="3" t="s">
        <v>207</v>
      </c>
    </row>
    <row r="116" spans="1:1" x14ac:dyDescent="0.25">
      <c r="A116" s="3" t="s">
        <v>208</v>
      </c>
    </row>
    <row r="117" spans="1:1" x14ac:dyDescent="0.25">
      <c r="A117" s="3" t="s">
        <v>209</v>
      </c>
    </row>
    <row r="118" spans="1:1" x14ac:dyDescent="0.25">
      <c r="A118" s="3" t="s">
        <v>210</v>
      </c>
    </row>
    <row r="119" spans="1:1" x14ac:dyDescent="0.25">
      <c r="A119" s="3" t="s">
        <v>211</v>
      </c>
    </row>
    <row r="121" spans="1:1" x14ac:dyDescent="0.25">
      <c r="A121" s="3" t="s">
        <v>212</v>
      </c>
    </row>
    <row r="122" spans="1:1" x14ac:dyDescent="0.25">
      <c r="A122" s="3" t="s">
        <v>213</v>
      </c>
    </row>
    <row r="123" spans="1:1" x14ac:dyDescent="0.25">
      <c r="A123" s="3" t="s">
        <v>214</v>
      </c>
    </row>
    <row r="125" spans="1:1" x14ac:dyDescent="0.25">
      <c r="A125" s="3" t="s">
        <v>215</v>
      </c>
    </row>
    <row r="126" spans="1:1" x14ac:dyDescent="0.25">
      <c r="A126" s="3" t="s">
        <v>216</v>
      </c>
    </row>
    <row r="127" spans="1:1" x14ac:dyDescent="0.25">
      <c r="A127" s="3" t="s">
        <v>217</v>
      </c>
    </row>
    <row r="128" spans="1:1" x14ac:dyDescent="0.25">
      <c r="A128" s="3" t="s">
        <v>218</v>
      </c>
    </row>
    <row r="129" spans="1:1" x14ac:dyDescent="0.25">
      <c r="A129" s="3" t="s">
        <v>219</v>
      </c>
    </row>
    <row r="131" spans="1:1" x14ac:dyDescent="0.25">
      <c r="A131" s="3" t="s">
        <v>220</v>
      </c>
    </row>
    <row r="132" spans="1:1" x14ac:dyDescent="0.25">
      <c r="A132" s="3" t="s">
        <v>221</v>
      </c>
    </row>
    <row r="133" spans="1:1" x14ac:dyDescent="0.25">
      <c r="A133" s="3" t="s">
        <v>222</v>
      </c>
    </row>
    <row r="134" spans="1:1" x14ac:dyDescent="0.25">
      <c r="A134" s="3" t="s">
        <v>223</v>
      </c>
    </row>
    <row r="136" spans="1:1" x14ac:dyDescent="0.25">
      <c r="A136" s="3" t="s">
        <v>224</v>
      </c>
    </row>
    <row r="137" spans="1:1" x14ac:dyDescent="0.25">
      <c r="A137" s="3" t="s">
        <v>225</v>
      </c>
    </row>
    <row r="138" spans="1:1" x14ac:dyDescent="0.25">
      <c r="A138" s="3" t="s">
        <v>226</v>
      </c>
    </row>
    <row r="139" spans="1:1" x14ac:dyDescent="0.25">
      <c r="A139" s="3" t="s">
        <v>227</v>
      </c>
    </row>
    <row r="141" spans="1:1" x14ac:dyDescent="0.25">
      <c r="A141" s="3" t="s">
        <v>228</v>
      </c>
    </row>
    <row r="142" spans="1:1" x14ac:dyDescent="0.25">
      <c r="A142" s="3" t="s">
        <v>229</v>
      </c>
    </row>
    <row r="143" spans="1:1" x14ac:dyDescent="0.25">
      <c r="A143" s="3" t="s">
        <v>230</v>
      </c>
    </row>
    <row r="144" spans="1:1" x14ac:dyDescent="0.25">
      <c r="A144" s="3" t="s">
        <v>231</v>
      </c>
    </row>
    <row r="145" spans="1:1" x14ac:dyDescent="0.25">
      <c r="A145" s="3" t="s">
        <v>232</v>
      </c>
    </row>
    <row r="146" spans="1:1" x14ac:dyDescent="0.25">
      <c r="A146" s="3" t="s">
        <v>233</v>
      </c>
    </row>
    <row r="147" spans="1:1" x14ac:dyDescent="0.25">
      <c r="A147" s="3" t="s">
        <v>234</v>
      </c>
    </row>
    <row r="148" spans="1:1" x14ac:dyDescent="0.25">
      <c r="A148" s="3" t="s">
        <v>235</v>
      </c>
    </row>
    <row r="149" spans="1:1" x14ac:dyDescent="0.25">
      <c r="A149" s="3" t="s">
        <v>236</v>
      </c>
    </row>
    <row r="150" spans="1:1" x14ac:dyDescent="0.25">
      <c r="A150" s="3" t="s">
        <v>237</v>
      </c>
    </row>
    <row r="152" spans="1:1" x14ac:dyDescent="0.25">
      <c r="A152" s="3" t="s">
        <v>238</v>
      </c>
    </row>
    <row r="153" spans="1:1" x14ac:dyDescent="0.25">
      <c r="A153" s="3" t="s">
        <v>239</v>
      </c>
    </row>
    <row r="154" spans="1:1" x14ac:dyDescent="0.25">
      <c r="A154" s="3" t="s">
        <v>240</v>
      </c>
    </row>
    <row r="155" spans="1:1" x14ac:dyDescent="0.25">
      <c r="A155" s="3" t="s">
        <v>241</v>
      </c>
    </row>
    <row r="157" spans="1:1" x14ac:dyDescent="0.25">
      <c r="A157" s="3" t="s">
        <v>197</v>
      </c>
    </row>
    <row r="158" spans="1:1" x14ac:dyDescent="0.25">
      <c r="A158" s="3" t="s">
        <v>198</v>
      </c>
    </row>
    <row r="159" spans="1:1" x14ac:dyDescent="0.25">
      <c r="A159" s="3" t="s">
        <v>199</v>
      </c>
    </row>
    <row r="160" spans="1:1" x14ac:dyDescent="0.25">
      <c r="A160" s="3" t="s">
        <v>200</v>
      </c>
    </row>
    <row r="161" spans="1:1" x14ac:dyDescent="0.25">
      <c r="A161" s="3" t="s">
        <v>201</v>
      </c>
    </row>
    <row r="162" spans="1:1" x14ac:dyDescent="0.25">
      <c r="A162" s="3" t="s">
        <v>202</v>
      </c>
    </row>
    <row r="164" spans="1:1" x14ac:dyDescent="0.25">
      <c r="A164" s="3" t="s">
        <v>64</v>
      </c>
    </row>
    <row r="165" spans="1:1" x14ac:dyDescent="0.25">
      <c r="A165" s="3" t="s">
        <v>242</v>
      </c>
    </row>
    <row r="166" spans="1:1" x14ac:dyDescent="0.25">
      <c r="A166" s="3" t="s">
        <v>64</v>
      </c>
    </row>
    <row r="167" spans="1:1" x14ac:dyDescent="0.25">
      <c r="A167" s="3" t="s">
        <v>243</v>
      </c>
    </row>
    <row r="168" spans="1:1" x14ac:dyDescent="0.25">
      <c r="A168" s="3" t="s">
        <v>244</v>
      </c>
    </row>
    <row r="169" spans="1:1" x14ac:dyDescent="0.25">
      <c r="A169" s="3" t="s">
        <v>245</v>
      </c>
    </row>
    <row r="170" spans="1:1" x14ac:dyDescent="0.25">
      <c r="A170" s="3" t="s">
        <v>246</v>
      </c>
    </row>
    <row r="171" spans="1:1" x14ac:dyDescent="0.25">
      <c r="A171" s="3" t="s">
        <v>247</v>
      </c>
    </row>
    <row r="172" spans="1:1" x14ac:dyDescent="0.25">
      <c r="A172" s="3" t="s">
        <v>248</v>
      </c>
    </row>
    <row r="173" spans="1:1" x14ac:dyDescent="0.25">
      <c r="A173" s="3" t="s">
        <v>247</v>
      </c>
    </row>
    <row r="174" spans="1:1" x14ac:dyDescent="0.25">
      <c r="A174" s="3" t="s">
        <v>249</v>
      </c>
    </row>
    <row r="175" spans="1:1" x14ac:dyDescent="0.25">
      <c r="A175" s="3" t="s">
        <v>250</v>
      </c>
    </row>
    <row r="176" spans="1:1" x14ac:dyDescent="0.25">
      <c r="A176" s="3" t="s">
        <v>251</v>
      </c>
    </row>
    <row r="177" spans="1:1" x14ac:dyDescent="0.25">
      <c r="A177" s="3" t="s">
        <v>252</v>
      </c>
    </row>
    <row r="179" spans="1:1" x14ac:dyDescent="0.25">
      <c r="A179" s="3" t="s">
        <v>64</v>
      </c>
    </row>
    <row r="180" spans="1:1" x14ac:dyDescent="0.25">
      <c r="A180" s="3" t="s">
        <v>253</v>
      </c>
    </row>
    <row r="181" spans="1:1" x14ac:dyDescent="0.25">
      <c r="A181" s="3" t="s">
        <v>64</v>
      </c>
    </row>
    <row r="182" spans="1:1" x14ac:dyDescent="0.25">
      <c r="A182" s="3" t="s">
        <v>254</v>
      </c>
    </row>
    <row r="183" spans="1:1" x14ac:dyDescent="0.25">
      <c r="A183" s="3" t="s">
        <v>255</v>
      </c>
    </row>
    <row r="184" spans="1:1" x14ac:dyDescent="0.25">
      <c r="A184" s="3" t="s">
        <v>256</v>
      </c>
    </row>
    <row r="185" spans="1:1" x14ac:dyDescent="0.25">
      <c r="A185" s="3" t="s">
        <v>257</v>
      </c>
    </row>
    <row r="186" spans="1:1" x14ac:dyDescent="0.25">
      <c r="A186" s="3" t="s">
        <v>258</v>
      </c>
    </row>
    <row r="187" spans="1:1" x14ac:dyDescent="0.25">
      <c r="A187" s="3" t="s">
        <v>259</v>
      </c>
    </row>
    <row r="188" spans="1:1" x14ac:dyDescent="0.25">
      <c r="A188" s="3" t="s">
        <v>260</v>
      </c>
    </row>
    <row r="190" spans="1:1" x14ac:dyDescent="0.25">
      <c r="A190" s="3" t="s">
        <v>64</v>
      </c>
    </row>
    <row r="191" spans="1:1" x14ac:dyDescent="0.25">
      <c r="A191" s="3" t="s">
        <v>261</v>
      </c>
    </row>
    <row r="192" spans="1:1" x14ac:dyDescent="0.25">
      <c r="A192" s="3" t="s">
        <v>64</v>
      </c>
    </row>
    <row r="193" spans="1:1" x14ac:dyDescent="0.25">
      <c r="A193" s="3" t="s">
        <v>262</v>
      </c>
    </row>
    <row r="194" spans="1:1" x14ac:dyDescent="0.25">
      <c r="A194" s="3" t="s">
        <v>263</v>
      </c>
    </row>
    <row r="195" spans="1:1" x14ac:dyDescent="0.25">
      <c r="A195" s="3" t="s">
        <v>264</v>
      </c>
    </row>
    <row r="196" spans="1:1" x14ac:dyDescent="0.25">
      <c r="A196" s="3" t="s">
        <v>265</v>
      </c>
    </row>
    <row r="197" spans="1:1" x14ac:dyDescent="0.25">
      <c r="A197" s="3" t="s">
        <v>266</v>
      </c>
    </row>
    <row r="199" spans="1:1" x14ac:dyDescent="0.25">
      <c r="A199" s="3" t="s">
        <v>64</v>
      </c>
    </row>
    <row r="200" spans="1:1" x14ac:dyDescent="0.25">
      <c r="A200" s="3" t="s">
        <v>267</v>
      </c>
    </row>
    <row r="201" spans="1:1" x14ac:dyDescent="0.25">
      <c r="A201" s="3" t="s">
        <v>64</v>
      </c>
    </row>
    <row r="202" spans="1:1" x14ac:dyDescent="0.25">
      <c r="A202" s="3" t="s">
        <v>268</v>
      </c>
    </row>
    <row r="203" spans="1:1" x14ac:dyDescent="0.25">
      <c r="A203" s="3" t="s">
        <v>269</v>
      </c>
    </row>
    <row r="204" spans="1:1" x14ac:dyDescent="0.25">
      <c r="A204" s="3" t="s">
        <v>270</v>
      </c>
    </row>
    <row r="205" spans="1:1" x14ac:dyDescent="0.25">
      <c r="A205" s="3" t="s">
        <v>271</v>
      </c>
    </row>
    <row r="206" spans="1:1" x14ac:dyDescent="0.25">
      <c r="A206" s="3" t="s">
        <v>272</v>
      </c>
    </row>
    <row r="208" spans="1:1" x14ac:dyDescent="0.25">
      <c r="A208" s="3" t="s">
        <v>64</v>
      </c>
    </row>
    <row r="209" spans="1:1" x14ac:dyDescent="0.25">
      <c r="A209" s="3" t="s">
        <v>273</v>
      </c>
    </row>
    <row r="210" spans="1:1" x14ac:dyDescent="0.25">
      <c r="A210" s="3" t="s">
        <v>64</v>
      </c>
    </row>
    <row r="211" spans="1:1" x14ac:dyDescent="0.25">
      <c r="A211" s="3" t="s">
        <v>274</v>
      </c>
    </row>
    <row r="212" spans="1:1" x14ac:dyDescent="0.25">
      <c r="A212" s="3" t="s">
        <v>275</v>
      </c>
    </row>
    <row r="213" spans="1:1" x14ac:dyDescent="0.25">
      <c r="A213" s="3" t="s">
        <v>276</v>
      </c>
    </row>
    <row r="214" spans="1:1" x14ac:dyDescent="0.25">
      <c r="A214" s="3" t="s">
        <v>277</v>
      </c>
    </row>
    <row r="215" spans="1:1" x14ac:dyDescent="0.25">
      <c r="A215" s="3" t="s">
        <v>278</v>
      </c>
    </row>
    <row r="216" spans="1:1" x14ac:dyDescent="0.25">
      <c r="A216" s="3" t="s">
        <v>279</v>
      </c>
    </row>
    <row r="217" spans="1:1" x14ac:dyDescent="0.25">
      <c r="A217" s="3" t="s">
        <v>280</v>
      </c>
    </row>
    <row r="218" spans="1:1" x14ac:dyDescent="0.25">
      <c r="A218" s="3" t="s">
        <v>281</v>
      </c>
    </row>
    <row r="219" spans="1:1" x14ac:dyDescent="0.25">
      <c r="A219" s="3" t="s">
        <v>282</v>
      </c>
    </row>
    <row r="220" spans="1:1" x14ac:dyDescent="0.25">
      <c r="A220" s="3" t="s">
        <v>283</v>
      </c>
    </row>
    <row r="221" spans="1:1" x14ac:dyDescent="0.25">
      <c r="A221" s="3" t="s">
        <v>284</v>
      </c>
    </row>
    <row r="222" spans="1:1" x14ac:dyDescent="0.25">
      <c r="A222" s="3" t="s">
        <v>285</v>
      </c>
    </row>
    <row r="223" spans="1:1" x14ac:dyDescent="0.25">
      <c r="A223" s="3" t="s">
        <v>286</v>
      </c>
    </row>
    <row r="225" spans="1:1" x14ac:dyDescent="0.25">
      <c r="A225" s="3" t="s">
        <v>64</v>
      </c>
    </row>
    <row r="226" spans="1:1" x14ac:dyDescent="0.25">
      <c r="A226" s="3" t="s">
        <v>287</v>
      </c>
    </row>
    <row r="227" spans="1:1" x14ac:dyDescent="0.25">
      <c r="A227" s="3" t="s">
        <v>64</v>
      </c>
    </row>
    <row r="228" spans="1:1" x14ac:dyDescent="0.25">
      <c r="A228" s="3" t="s">
        <v>288</v>
      </c>
    </row>
    <row r="229" spans="1:1" x14ac:dyDescent="0.25">
      <c r="A229" s="3" t="s">
        <v>289</v>
      </c>
    </row>
    <row r="230" spans="1:1" x14ac:dyDescent="0.25">
      <c r="A230" s="3" t="s">
        <v>290</v>
      </c>
    </row>
    <row r="231" spans="1:1" x14ac:dyDescent="0.25">
      <c r="A231" s="3" t="s">
        <v>291</v>
      </c>
    </row>
    <row r="232" spans="1:1" x14ac:dyDescent="0.25">
      <c r="A232" s="3" t="s">
        <v>292</v>
      </c>
    </row>
    <row r="233" spans="1:1" x14ac:dyDescent="0.25">
      <c r="A233" s="3" t="s">
        <v>293</v>
      </c>
    </row>
    <row r="234" spans="1:1" x14ac:dyDescent="0.25">
      <c r="A234" s="3" t="s">
        <v>294</v>
      </c>
    </row>
    <row r="235" spans="1:1" x14ac:dyDescent="0.25">
      <c r="A235" s="3" t="s">
        <v>295</v>
      </c>
    </row>
    <row r="236" spans="1:1" x14ac:dyDescent="0.25">
      <c r="A236" s="3" t="s">
        <v>296</v>
      </c>
    </row>
    <row r="237" spans="1:1" x14ac:dyDescent="0.25">
      <c r="A237" s="3" t="s">
        <v>297</v>
      </c>
    </row>
    <row r="238" spans="1:1" x14ac:dyDescent="0.25">
      <c r="A238" s="3" t="s">
        <v>298</v>
      </c>
    </row>
    <row r="240" spans="1:1" x14ac:dyDescent="0.25">
      <c r="A240" s="3" t="s">
        <v>64</v>
      </c>
    </row>
    <row r="241" spans="1:1" x14ac:dyDescent="0.25">
      <c r="A241" s="3" t="s">
        <v>299</v>
      </c>
    </row>
    <row r="242" spans="1:1" x14ac:dyDescent="0.25">
      <c r="A242" s="3" t="s">
        <v>64</v>
      </c>
    </row>
    <row r="243" spans="1:1" x14ac:dyDescent="0.25">
      <c r="A243" s="3" t="s">
        <v>300</v>
      </c>
    </row>
    <row r="244" spans="1:1" x14ac:dyDescent="0.25">
      <c r="A244" s="3" t="s">
        <v>301</v>
      </c>
    </row>
    <row r="245" spans="1:1" x14ac:dyDescent="0.25">
      <c r="A245" s="3" t="s">
        <v>302</v>
      </c>
    </row>
    <row r="246" spans="1:1" x14ac:dyDescent="0.25">
      <c r="A246" s="3" t="s">
        <v>303</v>
      </c>
    </row>
    <row r="247" spans="1:1" x14ac:dyDescent="0.25">
      <c r="A247" s="3" t="s">
        <v>304</v>
      </c>
    </row>
    <row r="248" spans="1:1" x14ac:dyDescent="0.25">
      <c r="A248" s="3" t="s">
        <v>305</v>
      </c>
    </row>
    <row r="249" spans="1:1" x14ac:dyDescent="0.25">
      <c r="A249" s="3" t="s">
        <v>306</v>
      </c>
    </row>
    <row r="250" spans="1:1" x14ac:dyDescent="0.25">
      <c r="A250" s="3" t="s">
        <v>307</v>
      </c>
    </row>
    <row r="252" spans="1:1" x14ac:dyDescent="0.25">
      <c r="A252" s="3" t="s">
        <v>64</v>
      </c>
    </row>
    <row r="253" spans="1:1" x14ac:dyDescent="0.25">
      <c r="A253" s="3" t="s">
        <v>308</v>
      </c>
    </row>
    <row r="254" spans="1:1" x14ac:dyDescent="0.25">
      <c r="A254" s="3" t="s">
        <v>64</v>
      </c>
    </row>
    <row r="255" spans="1:1" x14ac:dyDescent="0.25">
      <c r="A255" s="3" t="s">
        <v>309</v>
      </c>
    </row>
    <row r="256" spans="1:1" x14ac:dyDescent="0.25">
      <c r="A256" s="3" t="s">
        <v>310</v>
      </c>
    </row>
    <row r="257" spans="1:1" x14ac:dyDescent="0.25">
      <c r="A257" s="3" t="s">
        <v>311</v>
      </c>
    </row>
    <row r="258" spans="1:1" x14ac:dyDescent="0.25">
      <c r="A258" s="3" t="s">
        <v>312</v>
      </c>
    </row>
    <row r="259" spans="1:1" x14ac:dyDescent="0.25">
      <c r="A259" s="3" t="s">
        <v>313</v>
      </c>
    </row>
    <row r="260" spans="1:1" x14ac:dyDescent="0.25">
      <c r="A260" s="3" t="s">
        <v>314</v>
      </c>
    </row>
    <row r="261" spans="1:1" x14ac:dyDescent="0.25">
      <c r="A261" s="3" t="s">
        <v>315</v>
      </c>
    </row>
    <row r="262" spans="1:1" x14ac:dyDescent="0.25">
      <c r="A262" s="3" t="s">
        <v>316</v>
      </c>
    </row>
    <row r="263" spans="1:1" x14ac:dyDescent="0.25">
      <c r="A263" s="3" t="s">
        <v>317</v>
      </c>
    </row>
    <row r="264" spans="1:1" x14ac:dyDescent="0.25">
      <c r="A264" s="3" t="s">
        <v>318</v>
      </c>
    </row>
    <row r="265" spans="1:1" x14ac:dyDescent="0.25">
      <c r="A265" s="3" t="s">
        <v>319</v>
      </c>
    </row>
    <row r="267" spans="1:1" x14ac:dyDescent="0.25">
      <c r="A267" s="3" t="s">
        <v>320</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8" sqref="B8"/>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117</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selection sqref="A1:S1048576"/>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I15" sqref="I15"/>
    </sheetView>
  </sheetViews>
  <sheetFormatPr defaultColWidth="8.7109375" defaultRowHeight="15" x14ac:dyDescent="0.25"/>
  <cols>
    <col min="1" max="1" width="8" bestFit="1" customWidth="1"/>
    <col min="2" max="2" width="6.42578125" style="23"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33"/>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s="25">
        <f>SUMIFS(SummaryHelper!$H$2:$H$5000,SummaryHelper!$A$2:$A$5000,"MATERIALS")</f>
        <v>41385.787499999999</v>
      </c>
      <c r="R1" s="10">
        <f>SUM(R3:R300)</f>
        <v>43824.572857142848</v>
      </c>
      <c r="S1" s="26"/>
      <c r="U1" s="11"/>
      <c r="V1" s="11"/>
      <c r="W1" s="11"/>
      <c r="X1" s="11"/>
      <c r="Y1" s="11"/>
      <c r="Z1" s="11"/>
      <c r="AA1" s="11"/>
      <c r="AB1" s="25">
        <f>SUMIFS(SummaryHelper!$H$2:$H$5000,SummaryHelper!$A$2:$A$5000,"LABOUR")</f>
        <v>35595</v>
      </c>
      <c r="AC1" s="10">
        <f>SUM(AC3:AC300)</f>
        <v>35595</v>
      </c>
      <c r="AM1" s="24">
        <f>SUMIFS(SummaryHelper!$H$2:$H$5000,SummaryHelper!$A$2:$A$5000,"RENTAL / SERVICE")</f>
        <v>5600</v>
      </c>
      <c r="AN1" s="10">
        <f>SUM(AN3:AN300)</f>
        <v>5600</v>
      </c>
    </row>
    <row r="2" spans="1:40" x14ac:dyDescent="0.25">
      <c r="A2" s="12" t="s">
        <v>18</v>
      </c>
      <c r="B2" s="12" t="s">
        <v>6</v>
      </c>
      <c r="C2" s="15" t="s">
        <v>2280</v>
      </c>
      <c r="D2" s="15" t="s">
        <v>2281</v>
      </c>
      <c r="E2" s="15" t="s">
        <v>2282</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3"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3"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3"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3"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3"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c r="B20" s="23" t="str">
        <f t="shared" si="12"/>
        <v/>
      </c>
      <c r="C20" s="9" t="str">
        <f t="shared" ca="1" si="1"/>
        <v/>
      </c>
      <c r="D20" s="9" t="str">
        <f t="shared" ca="1" si="2"/>
        <v/>
      </c>
      <c r="E20" s="9" t="str">
        <f t="shared" ca="1" si="3"/>
        <v/>
      </c>
      <c r="F20" s="9" t="str">
        <f t="shared" si="4"/>
        <v/>
      </c>
      <c r="G20" s="9">
        <f t="shared" si="5"/>
        <v>0</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3"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3"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3"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3"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3"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3"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3"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3"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3"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3"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3"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3"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3"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3"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3"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3"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3"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3"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3"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3"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3"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3"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3"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3"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3"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3"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3"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3"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3"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3"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3"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3"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3"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3"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3"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3"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3"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3"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3"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3"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3"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3"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3"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3"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3"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3"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3"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3"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3"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3"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3"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3"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3"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3"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3"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3"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3"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3"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3"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3"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3"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3"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3"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3"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3"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3"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3"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3"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3"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3"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3"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3"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3"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3"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3"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3"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3"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3"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3"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3"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3"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3"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3"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3"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3"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3"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3"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3"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3"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3"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3"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3"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3"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3"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3"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3"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3"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3"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3"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3"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3"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3"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3"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3"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3"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3"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3"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3"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3"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3"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3"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3"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3"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3"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3"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3"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3"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3"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3"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3"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3"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3"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3"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3"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3"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3"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3"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3"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3"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3"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3"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3"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3"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3"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3"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3"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3"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3"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3"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3"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3"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3"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3"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3"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3"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3"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3"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3"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3"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3"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3"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3"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3"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3"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3"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3"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3"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3"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3"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3"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3"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3"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3"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3"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3"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3"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3"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3"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3"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3"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3"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3"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3"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3"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3"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3"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3"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3"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3"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3"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3"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3"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3"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3"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3"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3"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3"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3"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3"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3"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3"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3"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3"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3"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3"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3"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3"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3"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3"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3"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3"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3"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3"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3"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3"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3"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3"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3"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3"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3"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3"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3"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3"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3"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3"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3"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3"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3"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3"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3"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3"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3"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3"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3"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3"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3"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3"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3"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3"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3"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3"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3"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3"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3"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3"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3"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3"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3"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3"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3"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3"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3"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3"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3"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3"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3"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3"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3"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3"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3"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3"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3"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3"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3"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3"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3"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3"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3"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3"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3"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3"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3"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3"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3"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3"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3"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3"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3"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3"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3"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3"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3"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3"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3"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3"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3"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3"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3"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3"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3"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260:AN300" si="61">IF($AF300="","",$AM300*$AH300)</f>
        <v/>
      </c>
    </row>
    <row r="301" spans="1:40" s="30" customFormat="1" x14ac:dyDescent="0.25">
      <c r="B301" s="31"/>
      <c r="L301" s="32" t="str">
        <f>IF($J301="","",IFERROR(SUMIFS(SummaryHelper!$H$2:$H$5000,SummaryHelper!$A$2:$A$5000,$I301,SummaryHelper!$B$2:$B$5000,$J301,SummaryHelper!$C$2:$C$5000,$K301)/SUMIFS(SummaryHelper!$G$2:$G$5000,SummaryHelper!$A$2:$A$5000,$I301,SummaryHelper!$B$2:$B$5000,$J301,SummaryHelper!$C$2:$C$5000,$K301),""))</f>
        <v/>
      </c>
      <c r="M301" s="32"/>
      <c r="N301" s="32"/>
      <c r="O301" s="32"/>
      <c r="P301" s="32"/>
      <c r="Q301" s="32"/>
      <c r="R301" s="32"/>
      <c r="W301" s="32"/>
      <c r="X301" s="32"/>
      <c r="Y301" s="32"/>
      <c r="Z301" s="32"/>
      <c r="AA301" s="32"/>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S01</v>
      </c>
      <c r="B1" s="28"/>
      <c r="C1" s="28"/>
      <c r="E1" s="27" t="str" cm="1">
        <f t="array" aca="1" ref="E1" ca="1">IFERROR(MID(CELL("filename",$A$1),FIND("]",CELL("filename",$A$1))+1,99),"SXX")&amp;" MATERIALS (USAGE + STANDALONE)"</f>
        <v>S01 MATERIALS (USAGE + STANDALONE)</v>
      </c>
      <c r="F1" s="27"/>
      <c r="G1" s="27"/>
      <c r="H1" s="27"/>
      <c r="I1" s="27"/>
      <c r="J1" s="27"/>
      <c r="K1" s="27"/>
      <c r="L1" s="13"/>
      <c r="M1" s="13"/>
      <c r="N1" s="19">
        <f>SUM(N3:N49)</f>
        <v>149</v>
      </c>
      <c r="P1" s="27" t="str" cm="1">
        <f t="array" aca="1" ref="P1" ca="1">IFERROR(MID(CELL("filename",$A$1),FIND("]",CELL("filename",$A$1))+1,99),"SXX")&amp;" LABOUR (USAGE + STANDALONE)"</f>
        <v>S01 LABOUR (USAGE + STANDALONE)</v>
      </c>
      <c r="Q1" s="27"/>
      <c r="R1" s="27"/>
      <c r="S1" s="27"/>
      <c r="T1" s="27"/>
      <c r="U1" s="27"/>
      <c r="V1" s="27"/>
      <c r="Y1" s="19">
        <f>SUM(Y3:Y49)</f>
        <v>315</v>
      </c>
      <c r="AA1" s="29" t="str" cm="1">
        <f t="array" aca="1" ref="AA1" ca="1">IFERROR(MID(CELL("filename",$A$1),FIND("]",CELL("filename",$A$1))+1,99),"SXX")&amp;" RENTAL / SERVICE (USAGE + STANDALONE)"</f>
        <v>S01 RENTAL / SERVICE (USAGE + STANDALONE)</v>
      </c>
      <c r="AB1" s="29"/>
      <c r="AC1" s="29"/>
      <c r="AD1" s="29"/>
      <c r="AE1" s="29"/>
      <c r="AF1" s="29"/>
      <c r="AG1" s="29"/>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1436</v>
      </c>
      <c r="C3" s="3" t="s">
        <v>1885</v>
      </c>
      <c r="E3" t="s">
        <v>1916</v>
      </c>
      <c r="F3" t="s">
        <v>324</v>
      </c>
      <c r="G3" t="s">
        <v>325</v>
      </c>
      <c r="H3" t="s">
        <v>8</v>
      </c>
      <c r="I3">
        <v>2</v>
      </c>
      <c r="J3" s="22">
        <v>0</v>
      </c>
      <c r="K3">
        <v>65</v>
      </c>
      <c r="L3" s="8">
        <f t="shared" ref="L3:L49" si="0">IF($G3="","",$I3*(1+IF($J3="",0,$J3)))</f>
        <v>2</v>
      </c>
      <c r="M3" s="8">
        <f t="shared" ref="M3:M49" si="1">IF($G3="","",$L3)</f>
        <v>2</v>
      </c>
      <c r="N3" s="8">
        <f t="shared" ref="N3:N49" si="2">IF($G3="","",IF($K3="","",$M3*$K3))</f>
        <v>130</v>
      </c>
      <c r="P3" t="s">
        <v>1962</v>
      </c>
      <c r="Q3" t="s">
        <v>1919</v>
      </c>
      <c r="R3" t="s">
        <v>322</v>
      </c>
      <c r="S3" t="s">
        <v>33</v>
      </c>
      <c r="T3">
        <v>14</v>
      </c>
      <c r="U3" s="22">
        <v>0</v>
      </c>
      <c r="V3">
        <v>22.5</v>
      </c>
      <c r="W3" s="8">
        <f>IF($R3="","",$T3*(1+IF($U3="",0,$U3)))</f>
        <v>14</v>
      </c>
      <c r="X3" s="8">
        <f>IF($R3="","",$W3)</f>
        <v>14</v>
      </c>
      <c r="Y3" s="8">
        <f>IF($R3="","",IF($V3="","",$X3*$V3))</f>
        <v>315</v>
      </c>
      <c r="AA3" s="6" t="s">
        <v>1453</v>
      </c>
      <c r="AB3" t="s">
        <v>1454</v>
      </c>
      <c r="AC3" t="s">
        <v>564</v>
      </c>
      <c r="AD3" t="s">
        <v>565</v>
      </c>
      <c r="AE3">
        <v>1</v>
      </c>
      <c r="AF3">
        <v>0</v>
      </c>
      <c r="AG3">
        <v>650</v>
      </c>
      <c r="AH3" s="8">
        <f>IF($AC3="","",$AE3*(1+IF($AF3="",0,$AF3)))</f>
        <v>1</v>
      </c>
      <c r="AI3" s="8">
        <f>IF($AC3="","",$AH3)</f>
        <v>1</v>
      </c>
      <c r="AJ3" s="8">
        <f>IF($AC3="","",IF($AG3="","",$AI3*$AG3))</f>
        <v>650</v>
      </c>
    </row>
    <row r="4" spans="1:37" x14ac:dyDescent="0.25">
      <c r="A4" s="3" t="s">
        <v>56</v>
      </c>
      <c r="B4" s="3" t="s">
        <v>1886</v>
      </c>
      <c r="C4" s="3" t="s">
        <v>1887</v>
      </c>
      <c r="E4" t="s">
        <v>1917</v>
      </c>
      <c r="F4" t="s">
        <v>324</v>
      </c>
      <c r="G4" t="s">
        <v>326</v>
      </c>
      <c r="H4" t="s">
        <v>327</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1455</v>
      </c>
      <c r="AB4" t="s">
        <v>1454</v>
      </c>
      <c r="AC4" t="s">
        <v>1456</v>
      </c>
      <c r="AD4" t="s">
        <v>565</v>
      </c>
      <c r="AE4">
        <v>1</v>
      </c>
      <c r="AF4">
        <v>0</v>
      </c>
      <c r="AG4">
        <v>450</v>
      </c>
      <c r="AH4" s="8">
        <f t="shared" ref="AH4:AH49" si="6">IF($AC4="","",$AE4*(1+IF($AF4="",0,$AF4)))</f>
        <v>1</v>
      </c>
      <c r="AI4" s="8">
        <f t="shared" ref="AI4:AI49" si="7">IF($AC4="","",$AH4)</f>
        <v>1</v>
      </c>
      <c r="AJ4" s="8">
        <f t="shared" ref="AJ4:AJ49" si="8">IF($AC4="","",IF($AG4="","",$AI4*$AG4))</f>
        <v>450</v>
      </c>
    </row>
    <row r="5" spans="1:37" x14ac:dyDescent="0.25">
      <c r="A5" s="3" t="s">
        <v>323</v>
      </c>
      <c r="B5" s="3" t="s">
        <v>1437</v>
      </c>
      <c r="C5" s="3" t="s">
        <v>1888</v>
      </c>
      <c r="E5" t="s">
        <v>1918</v>
      </c>
      <c r="F5" t="s">
        <v>328</v>
      </c>
      <c r="G5" t="s">
        <v>329</v>
      </c>
      <c r="H5" t="s">
        <v>8</v>
      </c>
      <c r="I5">
        <v>1</v>
      </c>
      <c r="J5" s="22">
        <v>0</v>
      </c>
      <c r="K5">
        <v>4</v>
      </c>
      <c r="L5" s="8">
        <f t="shared" si="0"/>
        <v>1</v>
      </c>
      <c r="M5" s="8">
        <f t="shared" si="1"/>
        <v>1</v>
      </c>
      <c r="N5" s="8">
        <f t="shared" si="2"/>
        <v>4</v>
      </c>
      <c r="W5" s="8" t="str">
        <f t="shared" si="3"/>
        <v/>
      </c>
      <c r="X5" s="8" t="str">
        <f t="shared" si="4"/>
        <v/>
      </c>
      <c r="Y5" s="8" t="str">
        <f t="shared" si="5"/>
        <v/>
      </c>
      <c r="AA5" s="6" t="s">
        <v>1457</v>
      </c>
      <c r="AB5" t="s">
        <v>1458</v>
      </c>
      <c r="AC5" t="s">
        <v>35</v>
      </c>
      <c r="AD5" t="s">
        <v>10</v>
      </c>
      <c r="AE5">
        <v>60</v>
      </c>
      <c r="AF5">
        <v>0</v>
      </c>
      <c r="AG5">
        <v>45</v>
      </c>
      <c r="AH5" s="8">
        <f t="shared" si="6"/>
        <v>60</v>
      </c>
      <c r="AI5" s="8">
        <f t="shared" si="7"/>
        <v>60</v>
      </c>
      <c r="AJ5" s="8">
        <f t="shared" si="8"/>
        <v>2700</v>
      </c>
    </row>
    <row r="6" spans="1:37" x14ac:dyDescent="0.25">
      <c r="A6" s="3" t="s">
        <v>363</v>
      </c>
      <c r="B6" s="3" t="s">
        <v>438</v>
      </c>
      <c r="C6" s="3" t="s">
        <v>1438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439</v>
      </c>
      <c r="B7" s="3" t="s">
        <v>440</v>
      </c>
      <c r="C7" s="3" t="s">
        <v>1889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439</v>
      </c>
      <c r="B8" s="3" t="s">
        <v>441</v>
      </c>
      <c r="C8" s="3" t="s">
        <v>1890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364</v>
      </c>
      <c r="B9" s="3" t="s">
        <v>442</v>
      </c>
      <c r="C9" s="3" t="s">
        <v>1439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439</v>
      </c>
      <c r="B10" s="3" t="s">
        <v>443</v>
      </c>
      <c r="C10" s="3" t="s">
        <v>444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364</v>
      </c>
      <c r="B11" s="3" t="s">
        <v>445</v>
      </c>
      <c r="C11" s="3" t="s">
        <v>1440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439</v>
      </c>
      <c r="B12" s="3" t="s">
        <v>446</v>
      </c>
      <c r="C12" s="3" t="s">
        <v>1891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364</v>
      </c>
      <c r="B13" s="3" t="s">
        <v>1441</v>
      </c>
      <c r="C13" s="3" t="s">
        <v>1892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364</v>
      </c>
      <c r="B14" s="3" t="s">
        <v>1442</v>
      </c>
      <c r="C14" s="3" t="s">
        <v>1893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1443</v>
      </c>
      <c r="B15" s="3" t="s">
        <v>1444</v>
      </c>
      <c r="C15" s="3" t="s">
        <v>1894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1445</v>
      </c>
      <c r="B16" s="3" t="s">
        <v>1446</v>
      </c>
      <c r="C16" s="3" t="s">
        <v>1895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1447</v>
      </c>
      <c r="B17" s="3" t="s">
        <v>1448</v>
      </c>
      <c r="C17" s="3" t="s">
        <v>1896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558</v>
      </c>
      <c r="C18" s="3" t="s">
        <v>1897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439</v>
      </c>
      <c r="B19" s="3" t="s">
        <v>559</v>
      </c>
      <c r="C19" s="3" t="s">
        <v>1898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439</v>
      </c>
      <c r="B20" s="3" t="s">
        <v>563</v>
      </c>
      <c r="C20" s="3" t="s">
        <v>1899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439</v>
      </c>
      <c r="B21" s="3" t="s">
        <v>1900</v>
      </c>
      <c r="C21" s="3" t="s">
        <v>1901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439</v>
      </c>
      <c r="B22" s="3" t="s">
        <v>1902</v>
      </c>
      <c r="C22" s="3" t="s">
        <v>1903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447</v>
      </c>
      <c r="B23" s="3" t="s">
        <v>448</v>
      </c>
      <c r="C23" s="3" t="s">
        <v>449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364</v>
      </c>
      <c r="B24" s="3" t="s">
        <v>457</v>
      </c>
      <c r="C24" s="3" t="s">
        <v>1904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447</v>
      </c>
      <c r="B25" s="3" t="s">
        <v>1449</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364</v>
      </c>
      <c r="B26" s="3" t="s">
        <v>1905</v>
      </c>
      <c r="C26" s="3" t="s">
        <v>1961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447</v>
      </c>
      <c r="B27" s="3" t="s">
        <v>450</v>
      </c>
      <c r="C27" s="3" t="s">
        <v>451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458</v>
      </c>
      <c r="C28" s="3" t="s">
        <v>459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447</v>
      </c>
      <c r="B29" s="3" t="s">
        <v>1449</v>
      </c>
      <c r="C29" s="3" t="s">
        <v>452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1905</v>
      </c>
      <c r="C30" s="3" t="s">
        <v>1906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447</v>
      </c>
      <c r="B31" s="3" t="s">
        <v>560</v>
      </c>
      <c r="C31" s="3" t="s">
        <v>1450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1907</v>
      </c>
      <c r="C32" s="3" t="s">
        <v>1908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447</v>
      </c>
      <c r="B33" s="3" t="s">
        <v>561</v>
      </c>
      <c r="C33" s="3" t="s">
        <v>1451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364</v>
      </c>
      <c r="B34" s="3" t="s">
        <v>1909</v>
      </c>
      <c r="C34" s="3" t="s">
        <v>1910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447</v>
      </c>
      <c r="B35" s="3" t="s">
        <v>1452</v>
      </c>
      <c r="C35" s="3" t="s">
        <v>562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364</v>
      </c>
      <c r="B36" s="3" t="s">
        <v>1911</v>
      </c>
      <c r="C36" s="3" t="s">
        <v>1912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439</v>
      </c>
      <c r="B37" s="3" t="s">
        <v>453</v>
      </c>
      <c r="C37" s="3" t="s">
        <v>1913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454</v>
      </c>
      <c r="B38" s="3" t="s">
        <v>455</v>
      </c>
      <c r="C38" s="3" t="s">
        <v>456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321</v>
      </c>
      <c r="B39" s="3" t="s">
        <v>1914</v>
      </c>
      <c r="C39" s="3" t="s">
        <v>1915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S02</v>
      </c>
      <c r="B1" s="28"/>
      <c r="C1" s="28"/>
      <c r="E1" s="27" t="str" cm="1">
        <f t="array" aca="1" ref="E1" ca="1">IFERROR(MID(CELL("filename",$A$1),FIND("]",CELL("filename",$A$1))+1,99),"SXX")&amp;" MATERIALS (USAGE + STANDALONE)"</f>
        <v>S02 MATERIALS (USAGE + STANDALONE)</v>
      </c>
      <c r="F1" s="27"/>
      <c r="G1" s="27"/>
      <c r="H1" s="27"/>
      <c r="I1" s="27"/>
      <c r="J1" s="27"/>
      <c r="K1" s="27"/>
      <c r="L1" s="13"/>
      <c r="M1" s="13"/>
      <c r="N1" s="19">
        <f>SUM(N3:N49)</f>
        <v>0</v>
      </c>
      <c r="P1" s="27" t="str" cm="1">
        <f t="array" aca="1" ref="P1" ca="1">IFERROR(MID(CELL("filename",$A$1),FIND("]",CELL("filename",$A$1))+1,99),"SXX")&amp;" LABOUR (USAGE + STANDALONE)"</f>
        <v>S02 LABOUR (USAGE + STANDALONE)</v>
      </c>
      <c r="Q1" s="27"/>
      <c r="R1" s="27"/>
      <c r="S1" s="27"/>
      <c r="T1" s="27"/>
      <c r="U1" s="27"/>
      <c r="V1" s="27"/>
      <c r="Y1" s="19">
        <f>SUM(Y3:Y49)</f>
        <v>0</v>
      </c>
      <c r="AA1" s="29" t="str" cm="1">
        <f t="array" aca="1" ref="AA1" ca="1">IFERROR(MID(CELL("filename",$A$1),FIND("]",CELL("filename",$A$1))+1,99),"SXX")&amp;" RENTAL / SERVICE (USAGE + STANDALONE)"</f>
        <v>S02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333</v>
      </c>
      <c r="B3" s="3" t="s">
        <v>460</v>
      </c>
      <c r="C3" s="3" t="s">
        <v>461</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334</v>
      </c>
      <c r="B4" s="3" t="s">
        <v>462</v>
      </c>
      <c r="C4" s="3" t="s">
        <v>463</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464</v>
      </c>
      <c r="B5" s="3" t="s">
        <v>465</v>
      </c>
      <c r="C5" s="3" t="s">
        <v>466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335</v>
      </c>
      <c r="B6" s="3" t="s">
        <v>467</v>
      </c>
      <c r="C6" s="3" t="s">
        <v>468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335</v>
      </c>
      <c r="B7" s="3" t="s">
        <v>469</v>
      </c>
      <c r="C7" s="3" t="s">
        <v>470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335</v>
      </c>
      <c r="B8" s="3" t="s">
        <v>471</v>
      </c>
      <c r="C8" s="3" t="s">
        <v>472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335</v>
      </c>
      <c r="B9" s="3" t="s">
        <v>473</v>
      </c>
      <c r="C9" s="3" t="s">
        <v>474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335</v>
      </c>
      <c r="B10" s="3" t="s">
        <v>475</v>
      </c>
      <c r="C10" s="3" t="s">
        <v>476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477</v>
      </c>
      <c r="C11" s="3" t="s">
        <v>478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479</v>
      </c>
      <c r="C12" s="3" t="s">
        <v>480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481</v>
      </c>
      <c r="B13" s="3" t="s">
        <v>482</v>
      </c>
      <c r="C13" s="3" t="s">
        <v>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337</v>
      </c>
      <c r="B14" s="3" t="s">
        <v>484</v>
      </c>
      <c r="C14" s="3" t="s">
        <v>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S03</v>
      </c>
      <c r="B1" s="28"/>
      <c r="C1" s="28"/>
      <c r="E1" s="27" t="str" cm="1">
        <f t="array" aca="1" ref="E1" ca="1">IFERROR(MID(CELL("filename",$A$1),FIND("]",CELL("filename",$A$1))+1,99),"SXX")&amp;" MATERIALS (USAGE + STANDALONE)"</f>
        <v>S03 MATERIALS (USAGE + STANDALONE)</v>
      </c>
      <c r="F1" s="27"/>
      <c r="G1" s="27"/>
      <c r="H1" s="27"/>
      <c r="I1" s="27"/>
      <c r="J1" s="27"/>
      <c r="K1" s="27"/>
      <c r="L1" s="13"/>
      <c r="M1" s="13"/>
      <c r="N1" s="19">
        <f>SUM(N3:N49)</f>
        <v>0</v>
      </c>
      <c r="P1" s="27" t="str" cm="1">
        <f t="array" aca="1" ref="P1" ca="1">IFERROR(MID(CELL("filename",$A$1),FIND("]",CELL("filename",$A$1))+1,99),"SXX")&amp;" LABOUR (USAGE + STANDALONE)"</f>
        <v>S03 LABOUR (USAGE + STANDALONE)</v>
      </c>
      <c r="Q1" s="27"/>
      <c r="R1" s="27"/>
      <c r="S1" s="27"/>
      <c r="T1" s="27"/>
      <c r="U1" s="27"/>
      <c r="V1" s="27"/>
      <c r="Y1" s="19">
        <f>SUM(Y3:Y49)</f>
        <v>2250</v>
      </c>
      <c r="AA1" s="29" t="str" cm="1">
        <f t="array" aca="1" ref="AA1" ca="1">IFERROR(MID(CELL("filename",$A$1),FIND("]",CELL("filename",$A$1))+1,99),"SXX")&amp;" RENTAL / SERVICE (USAGE + STANDALONE)"</f>
        <v>S03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503</v>
      </c>
      <c r="C3" s="3" t="s">
        <v>504</v>
      </c>
      <c r="J3" s="22"/>
      <c r="L3" s="8" t="str">
        <f t="shared" ref="L3:L49" si="0">IF($G3="","",$I3*(1+IF($J3="",0,$J3)))</f>
        <v/>
      </c>
      <c r="M3" s="8" t="str">
        <f t="shared" ref="M3:M49" si="1">IF($G3="","",$L3)</f>
        <v/>
      </c>
      <c r="N3" s="8" t="str">
        <f t="shared" ref="N3:N49" si="2">IF($G3="","",IF($K3="","",$M3*$K3))</f>
        <v/>
      </c>
      <c r="P3" t="s">
        <v>1966</v>
      </c>
      <c r="Q3" t="s">
        <v>540</v>
      </c>
      <c r="R3" t="s">
        <v>322</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339</v>
      </c>
      <c r="B4" s="3" t="s">
        <v>1920</v>
      </c>
      <c r="C4" s="3" t="s">
        <v>505</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486</v>
      </c>
      <c r="B5" s="3" t="s">
        <v>487</v>
      </c>
      <c r="C5" s="3" t="s">
        <v>506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488</v>
      </c>
      <c r="B6" s="3" t="s">
        <v>489</v>
      </c>
      <c r="C6" s="3" t="s">
        <v>507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490</v>
      </c>
      <c r="B7" s="3" t="s">
        <v>491</v>
      </c>
      <c r="C7" s="3" t="s">
        <v>492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493</v>
      </c>
      <c r="B8" s="3" t="s">
        <v>491</v>
      </c>
      <c r="C8" s="3" t="s">
        <v>494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495</v>
      </c>
      <c r="B9" s="3" t="s">
        <v>496</v>
      </c>
      <c r="C9" s="3" t="s">
        <v>497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508</v>
      </c>
      <c r="C10" s="3" t="s">
        <v>509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340</v>
      </c>
      <c r="B11" s="3" t="s">
        <v>499</v>
      </c>
      <c r="C11" s="3" t="s">
        <v>510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511</v>
      </c>
      <c r="C12" s="3" t="s">
        <v>512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341</v>
      </c>
      <c r="B13" s="3" t="s">
        <v>498</v>
      </c>
      <c r="C13" s="3" t="s">
        <v>513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341</v>
      </c>
      <c r="B14" s="3" t="s">
        <v>514</v>
      </c>
      <c r="C14" s="3" t="s">
        <v>515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341</v>
      </c>
      <c r="B15" s="3" t="s">
        <v>516</v>
      </c>
      <c r="C15" s="3" t="s">
        <v>517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341</v>
      </c>
      <c r="B16" s="3" t="s">
        <v>518</v>
      </c>
      <c r="C16" s="3" t="s">
        <v>519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341</v>
      </c>
      <c r="B17" s="3" t="s">
        <v>520</v>
      </c>
      <c r="C17" s="3" t="s">
        <v>521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341</v>
      </c>
      <c r="B18" s="3" t="s">
        <v>522</v>
      </c>
      <c r="C18" s="3" t="s">
        <v>523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341</v>
      </c>
      <c r="B19" s="3" t="s">
        <v>524</v>
      </c>
      <c r="C19" s="3" t="s">
        <v>525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341</v>
      </c>
      <c r="B20" s="3" t="s">
        <v>526</v>
      </c>
      <c r="C20" s="3" t="s">
        <v>527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341</v>
      </c>
      <c r="B21" s="3" t="s">
        <v>500</v>
      </c>
      <c r="C21" s="3" t="s">
        <v>528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341</v>
      </c>
      <c r="B22" s="3" t="s">
        <v>501</v>
      </c>
      <c r="C22" s="3" t="s">
        <v>529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341</v>
      </c>
      <c r="B23" s="3" t="s">
        <v>366</v>
      </c>
      <c r="C23" s="3" t="s">
        <v>530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531</v>
      </c>
      <c r="B24" s="3" t="s">
        <v>532</v>
      </c>
      <c r="C24" s="3" t="s">
        <v>533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531</v>
      </c>
      <c r="B25" s="3" t="s">
        <v>1921</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340</v>
      </c>
      <c r="B26" s="3" t="s">
        <v>1963</v>
      </c>
      <c r="C26" s="3" t="s">
        <v>1964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341</v>
      </c>
      <c r="B27" s="3" t="s">
        <v>534</v>
      </c>
      <c r="C27" s="3" t="s">
        <v>1965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341</v>
      </c>
      <c r="B28" s="3" t="s">
        <v>535</v>
      </c>
      <c r="C28" s="3" t="s">
        <v>536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537</v>
      </c>
      <c r="B29" s="3" t="s">
        <v>538</v>
      </c>
      <c r="C29" s="3" t="s">
        <v>539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502</v>
      </c>
      <c r="C30" s="3" t="s">
        <v>1922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S04</v>
      </c>
      <c r="B1" s="28"/>
      <c r="C1" s="28"/>
      <c r="E1" s="27" t="str" cm="1">
        <f t="array" aca="1" ref="E1" ca="1">IFERROR(MID(CELL("filename",$A$1),FIND("]",CELL("filename",$A$1))+1,99),"SXX")&amp;" MATERIALS (USAGE + STANDALONE)"</f>
        <v>S04 MATERIALS (USAGE + STANDALONE)</v>
      </c>
      <c r="F1" s="27"/>
      <c r="G1" s="27"/>
      <c r="H1" s="27"/>
      <c r="I1" s="27"/>
      <c r="J1" s="27"/>
      <c r="K1" s="27"/>
      <c r="L1" s="13"/>
      <c r="M1" s="13"/>
      <c r="N1" s="19">
        <f>SUM(N3:N49)</f>
        <v>4126.8999999999996</v>
      </c>
      <c r="P1" s="27" t="str" cm="1">
        <f t="array" aca="1" ref="P1" ca="1">IFERROR(MID(CELL("filename",$A$1),FIND("]",CELL("filename",$A$1))+1,99),"SXX")&amp;" LABOUR (USAGE + STANDALONE)"</f>
        <v>S04 LABOUR (USAGE + STANDALONE)</v>
      </c>
      <c r="Q1" s="27"/>
      <c r="R1" s="27"/>
      <c r="S1" s="27"/>
      <c r="T1" s="27"/>
      <c r="U1" s="27"/>
      <c r="V1" s="27"/>
      <c r="Y1" s="19">
        <f>SUM(Y3:Y49)</f>
        <v>1822.5</v>
      </c>
      <c r="AA1" s="29" t="str" cm="1">
        <f t="array" aca="1" ref="AA1" ca="1">IFERROR(MID(CELL("filename",$A$1),FIND("]",CELL("filename",$A$1))+1,99),"SXX")&amp;" RENTAL / SERVICE (USAGE + STANDALONE)"</f>
        <v>S04 RENTAL / SERVICE (USAGE + STANDALONE)</v>
      </c>
      <c r="AB1" s="29"/>
      <c r="AC1" s="29"/>
      <c r="AD1" s="29"/>
      <c r="AE1" s="29"/>
      <c r="AF1" s="29"/>
      <c r="AG1" s="29"/>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343</v>
      </c>
      <c r="B3" s="3" t="s">
        <v>1028</v>
      </c>
      <c r="C3" s="3" t="s">
        <v>1029</v>
      </c>
      <c r="E3" t="s">
        <v>1927</v>
      </c>
      <c r="F3" t="s">
        <v>551</v>
      </c>
      <c r="G3" t="s">
        <v>552</v>
      </c>
      <c r="H3" t="s">
        <v>11</v>
      </c>
      <c r="I3">
        <v>0.26</v>
      </c>
      <c r="J3" s="22">
        <v>0</v>
      </c>
      <c r="K3">
        <v>830</v>
      </c>
      <c r="L3" s="8">
        <f t="shared" ref="L3:L49" si="0">IF($G3="","",$I3*(1+IF($J3="",0,$J3)))</f>
        <v>0.26</v>
      </c>
      <c r="M3" s="8">
        <f t="shared" ref="M3:M49" si="1">IF($G3="","",$L3)</f>
        <v>0.26</v>
      </c>
      <c r="N3" s="8">
        <f t="shared" ref="N3:N49" si="2">IF($G3="","",IF($K3="","",$M3*$K3))</f>
        <v>215.8</v>
      </c>
      <c r="P3" t="s">
        <v>1970</v>
      </c>
      <c r="Q3" t="s">
        <v>589</v>
      </c>
      <c r="R3" t="s">
        <v>322</v>
      </c>
      <c r="S3" t="s">
        <v>33</v>
      </c>
      <c r="T3">
        <v>81</v>
      </c>
      <c r="U3" s="22">
        <v>0</v>
      </c>
      <c r="V3">
        <v>22.5</v>
      </c>
      <c r="W3" s="8">
        <f>IF($R3="","",$T3*(1+IF($U3="",0,$U3)))</f>
        <v>81</v>
      </c>
      <c r="X3" s="8">
        <f>IF($R3="","",$W3)</f>
        <v>81</v>
      </c>
      <c r="Y3" s="8">
        <f>IF($R3="","",IF($V3="","",$X3*$V3))</f>
        <v>1822.5</v>
      </c>
      <c r="AA3" s="6" t="s">
        <v>1936</v>
      </c>
      <c r="AB3" t="s">
        <v>590</v>
      </c>
      <c r="AC3" t="s">
        <v>591</v>
      </c>
      <c r="AD3" t="s">
        <v>592</v>
      </c>
      <c r="AE3">
        <v>1</v>
      </c>
      <c r="AF3">
        <v>0</v>
      </c>
      <c r="AG3">
        <v>900</v>
      </c>
      <c r="AH3" s="8">
        <f>IF($AC3="","",$AE3*(1+IF($AF3="",0,$AF3)))</f>
        <v>1</v>
      </c>
      <c r="AI3" s="8">
        <f>IF($AC3="","",$AH3)</f>
        <v>1</v>
      </c>
      <c r="AJ3" s="8">
        <f>IF($AC3="","",IF($AG3="","",$AI3*$AG3))</f>
        <v>900</v>
      </c>
    </row>
    <row r="4" spans="1:37" x14ac:dyDescent="0.25">
      <c r="A4" s="3" t="s">
        <v>344</v>
      </c>
      <c r="B4" s="3" t="s">
        <v>1923</v>
      </c>
      <c r="C4" s="3" t="s">
        <v>1030</v>
      </c>
      <c r="E4" t="s">
        <v>1928</v>
      </c>
      <c r="F4" t="s">
        <v>551</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541</v>
      </c>
      <c r="B5" s="3" t="s">
        <v>1031</v>
      </c>
      <c r="C5" s="3" t="s">
        <v>1032</v>
      </c>
      <c r="E5" t="s">
        <v>1929</v>
      </c>
      <c r="F5" t="s">
        <v>710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1034</v>
      </c>
      <c r="C6" s="3" t="s">
        <v>1416</v>
      </c>
      <c r="E6" t="s">
        <v>1930</v>
      </c>
      <c r="F6" t="s">
        <v>712</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367</v>
      </c>
      <c r="B7" s="3" t="s">
        <v>1035</v>
      </c>
      <c r="C7" s="3" t="s">
        <v>1036</v>
      </c>
      <c r="E7" t="s">
        <v>1022</v>
      </c>
      <c r="F7" t="s">
        <v>555</v>
      </c>
      <c r="G7" t="s">
        <v>556</v>
      </c>
      <c r="H7" t="s">
        <v>557</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367</v>
      </c>
      <c r="B8" s="3" t="s">
        <v>1037</v>
      </c>
      <c r="C8" s="3" t="s">
        <v>1038</v>
      </c>
      <c r="E8" t="s">
        <v>1931</v>
      </c>
      <c r="F8" t="s">
        <v>1932</v>
      </c>
      <c r="G8" t="s">
        <v>552</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367</v>
      </c>
      <c r="B9" s="3" t="s">
        <v>542</v>
      </c>
      <c r="C9" s="3" t="s">
        <v>566</v>
      </c>
      <c r="E9" t="s">
        <v>1931</v>
      </c>
      <c r="F9" t="s">
        <v>1932</v>
      </c>
      <c r="G9" t="s">
        <v>553</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367</v>
      </c>
      <c r="B10" s="3" t="s">
        <v>1039</v>
      </c>
      <c r="C10" s="3" t="s">
        <v>1040</v>
      </c>
      <c r="E10" t="s">
        <v>1933</v>
      </c>
      <c r="F10" t="s">
        <v>1932</v>
      </c>
      <c r="G10" t="s">
        <v>554</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367</v>
      </c>
      <c r="B11" s="3" t="s">
        <v>1417</v>
      </c>
      <c r="C11" s="3" t="s">
        <v>1924</v>
      </c>
      <c r="E11" t="s">
        <v>1934</v>
      </c>
      <c r="F11" t="s">
        <v>1932</v>
      </c>
      <c r="G11" t="s">
        <v>556</v>
      </c>
      <c r="H11" t="s">
        <v>557</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367</v>
      </c>
      <c r="B12" s="3" t="s">
        <v>1041</v>
      </c>
      <c r="C12" s="3" t="s">
        <v>1419</v>
      </c>
      <c r="E12" t="s">
        <v>1935</v>
      </c>
      <c r="F12" t="s">
        <v>713</v>
      </c>
      <c r="G12" t="s">
        <v>714</v>
      </c>
      <c r="H12" t="s">
        <v>715</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367</v>
      </c>
      <c r="B13" s="3" t="s">
        <v>1042</v>
      </c>
      <c r="C13" s="3" t="s">
        <v>1420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543</v>
      </c>
      <c r="C14" s="3" t="s">
        <v>1043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345</v>
      </c>
      <c r="B15" s="3" t="s">
        <v>693</v>
      </c>
      <c r="C15" s="3" t="s">
        <v>694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345</v>
      </c>
      <c r="B16" s="3" t="s">
        <v>544</v>
      </c>
      <c r="C16" s="3" t="s">
        <v>1044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345</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345</v>
      </c>
      <c r="B18" s="3" t="s">
        <v>567</v>
      </c>
      <c r="C18" s="3" t="s">
        <v>1046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345</v>
      </c>
      <c r="B19" s="3" t="s">
        <v>568</v>
      </c>
      <c r="C19" s="3" t="s">
        <v>1047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345</v>
      </c>
      <c r="B20" s="3" t="s">
        <v>569</v>
      </c>
      <c r="C20" s="3" t="s">
        <v>1048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367</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367</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367</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346</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367</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346</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367</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367</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345</v>
      </c>
      <c r="B30" s="3" t="s">
        <v>696</v>
      </c>
      <c r="C30" s="3" t="s">
        <v>1064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345</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345</v>
      </c>
      <c r="B32" s="3" t="s">
        <v>698</v>
      </c>
      <c r="C32" s="3" t="s">
        <v>1066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345</v>
      </c>
      <c r="B33" s="3" t="s">
        <v>1067</v>
      </c>
      <c r="C33" s="3" t="s">
        <v>1068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345</v>
      </c>
      <c r="B34" s="3" t="s">
        <v>699</v>
      </c>
      <c r="C34" s="3" t="s">
        <v>1069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346</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367</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345</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367</v>
      </c>
      <c r="B38" s="3" t="s">
        <v>1074</v>
      </c>
      <c r="C38" s="3" t="s">
        <v>1075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346</v>
      </c>
      <c r="B39" s="3" t="s">
        <v>1076</v>
      </c>
      <c r="C39" s="3" t="s">
        <v>549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367</v>
      </c>
      <c r="B40" s="3" t="s">
        <v>1077</v>
      </c>
      <c r="C40" s="3" t="s">
        <v>1421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367</v>
      </c>
      <c r="B41" s="3" t="s">
        <v>1078</v>
      </c>
      <c r="C41" s="3" t="s">
        <v>1422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367</v>
      </c>
      <c r="B42" s="3" t="s">
        <v>1079</v>
      </c>
      <c r="C42" s="3" t="s">
        <v>1423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367</v>
      </c>
      <c r="B43" s="3" t="s">
        <v>1080</v>
      </c>
      <c r="C43" s="3" t="s">
        <v>1424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367</v>
      </c>
      <c r="B44" s="3" t="s">
        <v>1081</v>
      </c>
      <c r="C44" s="3" t="s">
        <v>1425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367</v>
      </c>
      <c r="B45" s="3" t="s">
        <v>1082</v>
      </c>
      <c r="C45" s="3" t="s">
        <v>1426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367</v>
      </c>
      <c r="B46" s="3" t="s">
        <v>1083</v>
      </c>
      <c r="C46" s="3" t="s">
        <v>1427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345</v>
      </c>
      <c r="B47" s="3" t="s">
        <v>1084</v>
      </c>
      <c r="C47" s="3" t="s">
        <v>1085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345</v>
      </c>
      <c r="B48" s="3" t="s">
        <v>1086</v>
      </c>
      <c r="C48" s="3" t="s">
        <v>1087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345</v>
      </c>
      <c r="B49" s="3" t="s">
        <v>1088</v>
      </c>
      <c r="C49" s="3" t="s">
        <v>1089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345</v>
      </c>
      <c r="B50" s="3" t="s">
        <v>1090</v>
      </c>
      <c r="C50" s="3" t="s">
        <v>1091</v>
      </c>
    </row>
    <row r="51" spans="1:36" x14ac:dyDescent="0.25">
      <c r="A51" s="3" t="s">
        <v>346</v>
      </c>
      <c r="B51" s="3" t="s">
        <v>700</v>
      </c>
      <c r="C51" s="3" t="s">
        <v>701</v>
      </c>
    </row>
    <row r="52" spans="1:36" x14ac:dyDescent="0.25">
      <c r="A52" s="3" t="s">
        <v>367</v>
      </c>
      <c r="B52" s="3" t="s">
        <v>728</v>
      </c>
      <c r="C52" s="3" t="s">
        <v>1092</v>
      </c>
    </row>
    <row r="53" spans="1:36" x14ac:dyDescent="0.25">
      <c r="A53" s="3" t="s">
        <v>345</v>
      </c>
      <c r="B53" s="3" t="s">
        <v>702</v>
      </c>
      <c r="C53" s="3" t="s">
        <v>1093</v>
      </c>
    </row>
    <row r="54" spans="1:36" x14ac:dyDescent="0.25">
      <c r="A54" s="3" t="s">
        <v>367</v>
      </c>
      <c r="B54" s="3" t="s">
        <v>571</v>
      </c>
      <c r="C54" s="3" t="s">
        <v>1094</v>
      </c>
    </row>
    <row r="55" spans="1:36" x14ac:dyDescent="0.25">
      <c r="A55" s="3" t="s">
        <v>367</v>
      </c>
      <c r="B55" s="3" t="s">
        <v>550</v>
      </c>
      <c r="C55" s="3" t="s">
        <v>1095</v>
      </c>
    </row>
    <row r="56" spans="1:36" x14ac:dyDescent="0.25">
      <c r="A56" s="3" t="s">
        <v>345</v>
      </c>
      <c r="B56" s="3" t="s">
        <v>572</v>
      </c>
      <c r="C56" s="3" t="s">
        <v>573</v>
      </c>
    </row>
    <row r="57" spans="1:36" x14ac:dyDescent="0.25">
      <c r="A57" s="3" t="s">
        <v>345</v>
      </c>
      <c r="B57" s="3" t="s">
        <v>574</v>
      </c>
      <c r="C57" s="3" t="s">
        <v>575</v>
      </c>
    </row>
    <row r="58" spans="1:36" x14ac:dyDescent="0.25">
      <c r="A58" s="3" t="s">
        <v>345</v>
      </c>
      <c r="B58" s="3" t="s">
        <v>576</v>
      </c>
      <c r="C58" s="3" t="s">
        <v>1096</v>
      </c>
    </row>
    <row r="59" spans="1:36" x14ac:dyDescent="0.25">
      <c r="A59" s="3" t="s">
        <v>345</v>
      </c>
      <c r="B59" s="3" t="s">
        <v>577</v>
      </c>
      <c r="C59" s="3" t="s">
        <v>578</v>
      </c>
    </row>
    <row r="60" spans="1:36" x14ac:dyDescent="0.25">
      <c r="A60" s="3" t="s">
        <v>345</v>
      </c>
      <c r="B60" s="3" t="s">
        <v>579</v>
      </c>
      <c r="C60" s="3" t="s">
        <v>703</v>
      </c>
    </row>
    <row r="61" spans="1:36" x14ac:dyDescent="0.25">
      <c r="A61" s="3" t="s">
        <v>580</v>
      </c>
      <c r="B61" s="3" t="s">
        <v>581</v>
      </c>
      <c r="C61" s="3" t="s">
        <v>452</v>
      </c>
    </row>
    <row r="62" spans="1:36" x14ac:dyDescent="0.25">
      <c r="A62" s="3" t="s">
        <v>345</v>
      </c>
      <c r="B62" s="3" t="s">
        <v>1925</v>
      </c>
      <c r="C62" s="3" t="s">
        <v>1967</v>
      </c>
    </row>
    <row r="63" spans="1:36" x14ac:dyDescent="0.25">
      <c r="A63" s="3" t="s">
        <v>367</v>
      </c>
      <c r="B63" s="3" t="s">
        <v>1968</v>
      </c>
      <c r="C63" s="3" t="s">
        <v>1969</v>
      </c>
    </row>
    <row r="64" spans="1:36" x14ac:dyDescent="0.25">
      <c r="A64" s="3" t="s">
        <v>345</v>
      </c>
      <c r="B64" s="3" t="s">
        <v>582</v>
      </c>
      <c r="C64" s="3" t="s">
        <v>1097</v>
      </c>
    </row>
    <row r="65" spans="1:3" x14ac:dyDescent="0.25">
      <c r="A65" s="3" t="s">
        <v>583</v>
      </c>
      <c r="B65" s="3" t="s">
        <v>584</v>
      </c>
      <c r="C65" s="3" t="s">
        <v>585</v>
      </c>
    </row>
    <row r="66" spans="1:3" x14ac:dyDescent="0.25">
      <c r="A66" s="3" t="s">
        <v>367</v>
      </c>
      <c r="B66" s="3" t="s">
        <v>652</v>
      </c>
      <c r="C66" s="3" t="s">
        <v>1098</v>
      </c>
    </row>
    <row r="67" spans="1:3" x14ac:dyDescent="0.25">
      <c r="A67" s="3" t="s">
        <v>345</v>
      </c>
      <c r="B67" s="3" t="s">
        <v>586</v>
      </c>
      <c r="C67" s="3" t="s">
        <v>587</v>
      </c>
    </row>
    <row r="68" spans="1:3" x14ac:dyDescent="0.25">
      <c r="A68" s="3" t="s">
        <v>345</v>
      </c>
      <c r="B68" s="3" t="s">
        <v>365</v>
      </c>
      <c r="C68" s="3" t="s">
        <v>704</v>
      </c>
    </row>
    <row r="69" spans="1:3" x14ac:dyDescent="0.25">
      <c r="A69" s="3" t="s">
        <v>347</v>
      </c>
      <c r="B69" s="3" t="s">
        <v>1428</v>
      </c>
      <c r="C69" s="3" t="s">
        <v>1926</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S05</v>
      </c>
      <c r="B1" s="28"/>
      <c r="C1" s="28"/>
      <c r="E1" s="27" t="str" cm="1">
        <f t="array" aca="1" ref="E1" ca="1">IFERROR(MID(CELL("filename",$A$1),FIND("]",CELL("filename",$A$1))+1,99),"SXX")&amp;" MATERIALS (USAGE + STANDALONE)"</f>
        <v>S05 MATERIALS (USAGE + STANDALONE)</v>
      </c>
      <c r="F1" s="27"/>
      <c r="G1" s="27"/>
      <c r="H1" s="27"/>
      <c r="I1" s="27"/>
      <c r="J1" s="27"/>
      <c r="K1" s="27"/>
      <c r="L1" s="13"/>
      <c r="M1" s="13"/>
      <c r="N1" s="19">
        <f>SUM(N3:N49)</f>
        <v>3586.95</v>
      </c>
      <c r="P1" s="27" t="str" cm="1">
        <f t="array" aca="1" ref="P1" ca="1">IFERROR(MID(CELL("filename",$A$1),FIND("]",CELL("filename",$A$1))+1,99),"SXX")&amp;" LABOUR (USAGE + STANDALONE)"</f>
        <v>S05 LABOUR (USAGE + STANDALONE)</v>
      </c>
      <c r="Q1" s="27"/>
      <c r="R1" s="27"/>
      <c r="S1" s="27"/>
      <c r="T1" s="27"/>
      <c r="U1" s="27"/>
      <c r="V1" s="27"/>
      <c r="Y1" s="19">
        <f>SUM(Y3:Y49)</f>
        <v>3172.5</v>
      </c>
      <c r="AA1" s="29" t="str" cm="1">
        <f t="array" aca="1" ref="AA1" ca="1">IFERROR(MID(CELL("filename",$A$1),FIND("]",CELL("filename",$A$1))+1,99),"SXX")&amp;" RENTAL / SERVICE (USAGE + STANDALONE)"</f>
        <v>S05 RENTAL / SERVICE (USAGE + STANDALONE)</v>
      </c>
      <c r="AB1" s="29"/>
      <c r="AC1" s="29"/>
      <c r="AD1" s="29"/>
      <c r="AE1" s="29"/>
      <c r="AF1" s="29"/>
      <c r="AG1" s="29"/>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593</v>
      </c>
      <c r="C3" s="3" t="s">
        <v>594</v>
      </c>
      <c r="E3" t="s">
        <v>1943</v>
      </c>
      <c r="F3" t="s">
        <v>716</v>
      </c>
      <c r="G3" t="s">
        <v>717</v>
      </c>
      <c r="H3" t="s">
        <v>557</v>
      </c>
      <c r="I3">
        <v>0.45</v>
      </c>
      <c r="J3" s="22">
        <v>0</v>
      </c>
      <c r="K3">
        <v>340</v>
      </c>
      <c r="L3" s="8">
        <f t="shared" ref="L3:L49" si="0">IF($G3="","",$I3*(1+IF($J3="",0,$J3)))</f>
        <v>0.45</v>
      </c>
      <c r="M3" s="8">
        <f t="shared" ref="M3:M49" si="1">IF($G3="","",$L3)</f>
        <v>0.45</v>
      </c>
      <c r="N3" s="8">
        <f t="shared" ref="N3:N49" si="2">IF($G3="","",IF($K3="","",$M3*$K3))</f>
        <v>153</v>
      </c>
      <c r="P3" t="s">
        <v>1972</v>
      </c>
      <c r="Q3" t="s">
        <v>667</v>
      </c>
      <c r="R3" t="s">
        <v>322</v>
      </c>
      <c r="S3" t="s">
        <v>33</v>
      </c>
      <c r="T3">
        <v>141</v>
      </c>
      <c r="U3" s="22">
        <v>0</v>
      </c>
      <c r="V3">
        <v>22.5</v>
      </c>
      <c r="W3" s="8">
        <f>IF($R3="","",$T3*(1+IF($U3="",0,$U3)))</f>
        <v>141</v>
      </c>
      <c r="X3" s="8">
        <f>IF($R3="","",$W3)</f>
        <v>141</v>
      </c>
      <c r="Y3" s="8">
        <f>IF($R3="","",IF($V3="","",$X3*$V3))</f>
        <v>3172.5</v>
      </c>
      <c r="AA3" s="6" t="s">
        <v>1950</v>
      </c>
      <c r="AB3" t="s">
        <v>668</v>
      </c>
      <c r="AC3" t="s">
        <v>591</v>
      </c>
      <c r="AD3" t="s">
        <v>592</v>
      </c>
      <c r="AE3">
        <v>1</v>
      </c>
      <c r="AF3">
        <v>0</v>
      </c>
      <c r="AG3">
        <v>900</v>
      </c>
      <c r="AH3" s="8">
        <f>IF($AC3="","",$AE3*(1+IF($AF3="",0,$AF3)))</f>
        <v>1</v>
      </c>
      <c r="AI3" s="8">
        <f>IF($AC3="","",$AH3)</f>
        <v>1</v>
      </c>
      <c r="AJ3" s="8">
        <f>IF($AC3="","",IF($AG3="","",$AI3*$AG3))</f>
        <v>900</v>
      </c>
    </row>
    <row r="4" spans="1:37" x14ac:dyDescent="0.25">
      <c r="A4" s="3" t="s">
        <v>349</v>
      </c>
      <c r="B4" s="3" t="s">
        <v>595</v>
      </c>
      <c r="C4" s="3" t="s">
        <v>1937</v>
      </c>
      <c r="E4" t="s">
        <v>1944</v>
      </c>
      <c r="F4" t="s">
        <v>659</v>
      </c>
      <c r="G4" t="s">
        <v>717</v>
      </c>
      <c r="H4" t="s">
        <v>557</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596</v>
      </c>
      <c r="B5" s="3" t="s">
        <v>597</v>
      </c>
      <c r="C5" s="3" t="s">
        <v>598</v>
      </c>
      <c r="E5" t="s">
        <v>1945</v>
      </c>
      <c r="F5" t="s">
        <v>660</v>
      </c>
      <c r="G5" t="s">
        <v>661</v>
      </c>
      <c r="H5" t="s">
        <v>662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350</v>
      </c>
      <c r="B6" s="3" t="s">
        <v>599</v>
      </c>
      <c r="C6" s="3" t="s">
        <v>600</v>
      </c>
      <c r="E6" t="s">
        <v>1946</v>
      </c>
      <c r="F6" t="s">
        <v>660</v>
      </c>
      <c r="G6" t="s">
        <v>663</v>
      </c>
      <c r="H6" t="s">
        <v>662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350</v>
      </c>
      <c r="B7" s="3" t="s">
        <v>601</v>
      </c>
      <c r="C7" s="3" t="s">
        <v>602</v>
      </c>
      <c r="E7" t="s">
        <v>1947</v>
      </c>
      <c r="F7" t="s">
        <v>664</v>
      </c>
      <c r="G7" t="s">
        <v>665</v>
      </c>
      <c r="H7" t="s">
        <v>666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350</v>
      </c>
      <c r="B8" s="3" t="s">
        <v>603</v>
      </c>
      <c r="C8" s="3" t="s">
        <v>604</v>
      </c>
      <c r="E8" t="s">
        <v>1948</v>
      </c>
      <c r="F8" t="s">
        <v>664</v>
      </c>
      <c r="G8" t="s">
        <v>722</v>
      </c>
      <c r="H8" t="s">
        <v>723</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350</v>
      </c>
      <c r="B9" s="3" t="s">
        <v>351</v>
      </c>
      <c r="C9" s="3" t="s">
        <v>605</v>
      </c>
      <c r="E9" t="s">
        <v>1949</v>
      </c>
      <c r="F9" t="s">
        <v>724</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350</v>
      </c>
      <c r="B10" s="3" t="s">
        <v>352</v>
      </c>
      <c r="C10" s="3" t="s">
        <v>606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350</v>
      </c>
      <c r="B11" s="3" t="s">
        <v>607</v>
      </c>
      <c r="C11" s="3" t="s">
        <v>608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350</v>
      </c>
      <c r="B12" s="3" t="s">
        <v>609</v>
      </c>
      <c r="C12" s="3" t="s">
        <v>610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350</v>
      </c>
      <c r="B13" s="3" t="s">
        <v>611</v>
      </c>
      <c r="C13" s="3" t="s">
        <v>612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615</v>
      </c>
      <c r="C15" s="3" t="s">
        <v>616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617</v>
      </c>
      <c r="C16" s="3" t="s">
        <v>618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619</v>
      </c>
      <c r="C17" s="3" t="s">
        <v>620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621</v>
      </c>
      <c r="C18" s="3" t="s">
        <v>622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623</v>
      </c>
      <c r="C19" s="3" t="s">
        <v>624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625</v>
      </c>
      <c r="C20" s="3" t="s">
        <v>626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350</v>
      </c>
      <c r="B21" s="3" t="s">
        <v>705</v>
      </c>
      <c r="C21" s="3" t="s">
        <v>706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350</v>
      </c>
      <c r="B22" s="3" t="s">
        <v>746</v>
      </c>
      <c r="C22" s="3" t="s">
        <v>747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353</v>
      </c>
      <c r="B24" s="3" t="s">
        <v>627</v>
      </c>
      <c r="C24" s="3" t="s">
        <v>628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353</v>
      </c>
      <c r="B25" s="3" t="s">
        <v>629</v>
      </c>
      <c r="C25" s="3" t="s">
        <v>630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353</v>
      </c>
      <c r="B26" s="3" t="s">
        <v>631</v>
      </c>
      <c r="C26" s="3" t="s">
        <v>1938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632</v>
      </c>
      <c r="C27" s="3" t="s">
        <v>1939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633</v>
      </c>
      <c r="B28" s="3" t="s">
        <v>634</v>
      </c>
      <c r="C28" s="3" t="s">
        <v>845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633</v>
      </c>
      <c r="B29" s="3" t="s">
        <v>635</v>
      </c>
      <c r="C29" s="3" t="s">
        <v>771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633</v>
      </c>
      <c r="B30" s="3" t="s">
        <v>636</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633</v>
      </c>
      <c r="B31" s="3" t="s">
        <v>637</v>
      </c>
      <c r="C31" s="3" t="s">
        <v>773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633</v>
      </c>
      <c r="B32" s="3" t="s">
        <v>1940</v>
      </c>
      <c r="C32" s="3" t="s">
        <v>775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638</v>
      </c>
      <c r="C33" s="3" t="s">
        <v>639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640</v>
      </c>
      <c r="C34" s="3" t="s">
        <v>641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353</v>
      </c>
      <c r="B35" s="3" t="s">
        <v>642</v>
      </c>
      <c r="C35" s="3" t="s">
        <v>643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353</v>
      </c>
      <c r="B36" s="3" t="s">
        <v>644</v>
      </c>
      <c r="C36" s="3" t="s">
        <v>645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646</v>
      </c>
      <c r="C37" s="3" t="s">
        <v>647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350</v>
      </c>
      <c r="B38" s="3" t="s">
        <v>648</v>
      </c>
      <c r="C38" s="3" t="s">
        <v>649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650</v>
      </c>
      <c r="B39" s="3" t="s">
        <v>581</v>
      </c>
      <c r="C39" s="3" t="s">
        <v>452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353</v>
      </c>
      <c r="B40" s="3" t="s">
        <v>1925</v>
      </c>
      <c r="C40" s="3" t="s">
        <v>1967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350</v>
      </c>
      <c r="B41" s="3" t="s">
        <v>1968</v>
      </c>
      <c r="C41" s="3" t="s">
        <v>1971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353</v>
      </c>
      <c r="B42" s="3" t="s">
        <v>582</v>
      </c>
      <c r="C42" s="3" t="s">
        <v>1941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651</v>
      </c>
      <c r="B43" s="3" t="s">
        <v>584</v>
      </c>
      <c r="C43" s="3" t="s">
        <v>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350</v>
      </c>
      <c r="B44" s="3" t="s">
        <v>652</v>
      </c>
      <c r="C44" s="3" t="s">
        <v>653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353</v>
      </c>
      <c r="B45" s="3" t="s">
        <v>654</v>
      </c>
      <c r="C45" s="3" t="s">
        <v>655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353</v>
      </c>
      <c r="B46" s="3" t="s">
        <v>656</v>
      </c>
      <c r="C46" s="3" t="s">
        <v>657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633</v>
      </c>
      <c r="B47" s="3" t="s">
        <v>700</v>
      </c>
      <c r="C47" s="3" t="s">
        <v>701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702</v>
      </c>
      <c r="C48" s="3" t="s">
        <v>709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365</v>
      </c>
      <c r="C49" s="3" t="s">
        <v>658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354</v>
      </c>
      <c r="B50" s="3" t="s">
        <v>588</v>
      </c>
      <c r="C50" s="3" t="s">
        <v>1942</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S06</v>
      </c>
      <c r="B1" s="28"/>
      <c r="C1" s="28"/>
      <c r="E1" s="27" t="str" cm="1">
        <f t="array" aca="1" ref="E1" ca="1">IFERROR(MID(CELL("filename",$A$1),FIND("]",CELL("filename",$A$1))+1,99),"SXX")&amp;" MATERIALS (USAGE + STANDALONE)"</f>
        <v>S06 MATERIALS (USAGE + STANDALONE)</v>
      </c>
      <c r="F1" s="27"/>
      <c r="G1" s="27"/>
      <c r="H1" s="27"/>
      <c r="I1" s="27"/>
      <c r="J1" s="27"/>
      <c r="K1" s="27"/>
      <c r="L1" s="13"/>
      <c r="M1" s="13"/>
      <c r="N1" s="19">
        <f>SUM(N3:N49)</f>
        <v>2692.75</v>
      </c>
      <c r="P1" s="27" t="str" cm="1">
        <f t="array" aca="1" ref="P1" ca="1">IFERROR(MID(CELL("filename",$A$1),FIND("]",CELL("filename",$A$1))+1,99),"SXX")&amp;" LABOUR (USAGE + STANDALONE)"</f>
        <v>S06 LABOUR (USAGE + STANDALONE)</v>
      </c>
      <c r="Q1" s="27"/>
      <c r="R1" s="27"/>
      <c r="S1" s="27"/>
      <c r="T1" s="27"/>
      <c r="U1" s="27"/>
      <c r="V1" s="27"/>
      <c r="Y1" s="19">
        <f>SUM(Y3:Y49)</f>
        <v>2475</v>
      </c>
      <c r="AA1" s="29" t="str" cm="1">
        <f t="array" aca="1" ref="AA1" ca="1">IFERROR(MID(CELL("filename",$A$1),FIND("]",CELL("filename",$A$1))+1,99),"SXX")&amp;" RENTAL / SERVICE (USAGE + STANDALONE)"</f>
        <v>S06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798</v>
      </c>
      <c r="C3" s="3" t="s">
        <v>799</v>
      </c>
      <c r="E3" t="s">
        <v>1953</v>
      </c>
      <c r="F3" t="s">
        <v>865</v>
      </c>
      <c r="G3" t="s">
        <v>717</v>
      </c>
      <c r="H3" t="s">
        <v>557</v>
      </c>
      <c r="I3">
        <v>1.5</v>
      </c>
      <c r="J3" s="22">
        <v>0</v>
      </c>
      <c r="K3">
        <v>340</v>
      </c>
      <c r="L3" s="8">
        <f t="shared" ref="L3:L49" si="0">IF($G3="","",$I3*(1+IF($J3="",0,$J3)))</f>
        <v>1.5</v>
      </c>
      <c r="M3" s="8">
        <f t="shared" ref="M3:M49" si="1">IF($G3="","",$L3)</f>
        <v>1.5</v>
      </c>
      <c r="N3" s="8">
        <f t="shared" ref="N3:N49" si="2">IF($G3="","",IF($K3="","",$M3*$K3))</f>
        <v>510</v>
      </c>
      <c r="P3" t="s">
        <v>1975</v>
      </c>
      <c r="Q3" t="s">
        <v>869</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356</v>
      </c>
      <c r="B4" s="3" t="s">
        <v>800</v>
      </c>
      <c r="C4" s="3" t="s">
        <v>801</v>
      </c>
      <c r="E4" t="s">
        <v>1954</v>
      </c>
      <c r="F4" t="s">
        <v>1955</v>
      </c>
      <c r="G4" t="s">
        <v>661</v>
      </c>
      <c r="H4" t="s">
        <v>662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802</v>
      </c>
      <c r="B5" s="3" t="s">
        <v>803</v>
      </c>
      <c r="C5" s="3" t="s">
        <v>804</v>
      </c>
      <c r="E5" t="s">
        <v>1956</v>
      </c>
      <c r="F5" t="s">
        <v>1955</v>
      </c>
      <c r="G5" t="s">
        <v>866</v>
      </c>
      <c r="H5" t="s">
        <v>662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331</v>
      </c>
      <c r="B6" s="3" t="s">
        <v>805</v>
      </c>
      <c r="C6" s="3" t="s">
        <v>806</v>
      </c>
      <c r="E6" t="s">
        <v>1957</v>
      </c>
      <c r="F6" t="s">
        <v>1955</v>
      </c>
      <c r="G6" t="s">
        <v>663</v>
      </c>
      <c r="H6" t="s">
        <v>662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331</v>
      </c>
      <c r="B7" s="3" t="s">
        <v>807</v>
      </c>
      <c r="C7" s="3" t="s">
        <v>808</v>
      </c>
      <c r="E7" t="s">
        <v>1958</v>
      </c>
      <c r="F7" t="s">
        <v>867</v>
      </c>
      <c r="G7" t="s">
        <v>665</v>
      </c>
      <c r="H7" t="s">
        <v>666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331</v>
      </c>
      <c r="B8" s="3" t="s">
        <v>809</v>
      </c>
      <c r="C8" s="3" t="s">
        <v>810</v>
      </c>
      <c r="E8" t="s">
        <v>1959</v>
      </c>
      <c r="F8" t="s">
        <v>867</v>
      </c>
      <c r="G8" t="s">
        <v>722</v>
      </c>
      <c r="H8" t="s">
        <v>723</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331</v>
      </c>
      <c r="B9" s="3" t="s">
        <v>357</v>
      </c>
      <c r="C9" s="3" t="s">
        <v>811</v>
      </c>
      <c r="E9" t="s">
        <v>1960</v>
      </c>
      <c r="F9" t="s">
        <v>868</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331</v>
      </c>
      <c r="B10" s="3" t="s">
        <v>358</v>
      </c>
      <c r="C10" s="3" t="s">
        <v>812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331</v>
      </c>
      <c r="B11" s="3" t="s">
        <v>813</v>
      </c>
      <c r="C11" s="3" t="s">
        <v>814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815</v>
      </c>
      <c r="C12" s="3" t="s">
        <v>816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331</v>
      </c>
      <c r="B13" s="3" t="s">
        <v>817</v>
      </c>
      <c r="C13" s="3" t="s">
        <v>818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331</v>
      </c>
      <c r="B14" s="3" t="s">
        <v>819</v>
      </c>
      <c r="C14" s="3" t="s">
        <v>820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331</v>
      </c>
      <c r="B15" s="3" t="s">
        <v>821</v>
      </c>
      <c r="C15" s="3" t="s">
        <v>822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331</v>
      </c>
      <c r="B16" s="3" t="s">
        <v>823</v>
      </c>
      <c r="C16" s="3" t="s">
        <v>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370</v>
      </c>
      <c r="C17" s="3" t="s">
        <v>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368</v>
      </c>
      <c r="C18" s="3" t="s">
        <v>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371</v>
      </c>
      <c r="C19" s="3" t="s">
        <v>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828</v>
      </c>
      <c r="C20" s="3" t="s">
        <v>829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330</v>
      </c>
      <c r="B21" s="3" t="s">
        <v>830</v>
      </c>
      <c r="C21" s="3" t="s">
        <v>831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330</v>
      </c>
      <c r="B22" s="3" t="s">
        <v>372</v>
      </c>
      <c r="C22" s="3" t="s">
        <v>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833</v>
      </c>
      <c r="C23" s="3" t="s">
        <v>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330</v>
      </c>
      <c r="B24" s="3" t="s">
        <v>373</v>
      </c>
      <c r="C24" s="3" t="s">
        <v>835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330</v>
      </c>
      <c r="B25" s="3" t="s">
        <v>374</v>
      </c>
      <c r="C25" s="3" t="s">
        <v>836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330</v>
      </c>
      <c r="B26" s="3" t="s">
        <v>837</v>
      </c>
      <c r="C26" s="3" t="s">
        <v>838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839</v>
      </c>
      <c r="C27" s="3" t="s">
        <v>840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841</v>
      </c>
      <c r="C28" s="3" t="s">
        <v>842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843</v>
      </c>
      <c r="B29" s="3" t="s">
        <v>844</v>
      </c>
      <c r="C29" s="3" t="s">
        <v>845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843</v>
      </c>
      <c r="B30" s="3" t="s">
        <v>846</v>
      </c>
      <c r="C30" s="3" t="s">
        <v>771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843</v>
      </c>
      <c r="B31" s="3" t="s">
        <v>847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843</v>
      </c>
      <c r="B32" s="3" t="s">
        <v>636</v>
      </c>
      <c r="C32" s="3" t="s">
        <v>772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843</v>
      </c>
      <c r="B33" s="3" t="s">
        <v>637</v>
      </c>
      <c r="C33" s="3" t="s">
        <v>773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843</v>
      </c>
      <c r="B34" s="3" t="s">
        <v>774</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843</v>
      </c>
      <c r="B35" s="3" t="s">
        <v>700</v>
      </c>
      <c r="C35" s="3" t="s">
        <v>701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638</v>
      </c>
      <c r="C36" s="3" t="s">
        <v>848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640</v>
      </c>
      <c r="C37" s="3" t="s">
        <v>849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702</v>
      </c>
      <c r="C38" s="3" t="s">
        <v>850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331</v>
      </c>
      <c r="B39" s="3" t="s">
        <v>359</v>
      </c>
      <c r="C39" s="3" t="s">
        <v>851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360</v>
      </c>
      <c r="C40" s="3" t="s">
        <v>852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361</v>
      </c>
      <c r="C41" s="3" t="s">
        <v>853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330</v>
      </c>
      <c r="B42" s="3" t="s">
        <v>369</v>
      </c>
      <c r="C42" s="3" t="s">
        <v>854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330</v>
      </c>
      <c r="B43" s="3" t="s">
        <v>855</v>
      </c>
      <c r="C43" s="3" t="s">
        <v>856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330</v>
      </c>
      <c r="B44" s="3" t="s">
        <v>857</v>
      </c>
      <c r="C44" s="3" t="s">
        <v>858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330</v>
      </c>
      <c r="B45" s="3" t="s">
        <v>362</v>
      </c>
      <c r="C45" s="3" t="s">
        <v>859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860</v>
      </c>
      <c r="C46" s="3" t="s">
        <v>861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330</v>
      </c>
      <c r="B47" s="3" t="s">
        <v>862</v>
      </c>
      <c r="C47" s="3" t="s">
        <v>863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330</v>
      </c>
      <c r="B48" s="3" t="s">
        <v>1925</v>
      </c>
      <c r="C48" s="3" t="s">
        <v>1973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331</v>
      </c>
      <c r="B49" s="3" t="s">
        <v>1968</v>
      </c>
      <c r="C49" s="3" t="s">
        <v>1974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330</v>
      </c>
      <c r="B50" s="3" t="s">
        <v>365</v>
      </c>
      <c r="C50" s="3" t="s">
        <v>864</v>
      </c>
    </row>
    <row r="51" spans="1:36" x14ac:dyDescent="0.25">
      <c r="A51" s="3" t="s">
        <v>332</v>
      </c>
      <c r="B51" s="3" t="s">
        <v>375</v>
      </c>
      <c r="C51" s="3" t="s">
        <v>1952</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S07</v>
      </c>
      <c r="B1" s="28"/>
      <c r="C1" s="28"/>
      <c r="E1" s="27" t="str" cm="1">
        <f t="array" aca="1" ref="E1" ca="1">IFERROR(MID(CELL("filename",$A$1),FIND("]",CELL("filename",$A$1))+1,99),"SXX")&amp;" MATERIALS (USAGE + STANDALONE)"</f>
        <v>S07 MATERIALS (USAGE + STANDALONE)</v>
      </c>
      <c r="F1" s="27"/>
      <c r="G1" s="27"/>
      <c r="H1" s="27"/>
      <c r="I1" s="27"/>
      <c r="J1" s="27"/>
      <c r="K1" s="27"/>
      <c r="L1" s="13"/>
      <c r="M1" s="13"/>
      <c r="N1" s="19">
        <f>SUM(N3:N49)</f>
        <v>531.56000000000006</v>
      </c>
      <c r="P1" s="27" t="str" cm="1">
        <f t="array" aca="1" ref="P1" ca="1">IFERROR(MID(CELL("filename",$A$1),FIND("]",CELL("filename",$A$1))+1,99),"SXX")&amp;" LABOUR (USAGE + STANDALONE)"</f>
        <v>S07 LABOUR (USAGE + STANDALONE)</v>
      </c>
      <c r="Q1" s="27"/>
      <c r="R1" s="27"/>
      <c r="S1" s="27"/>
      <c r="T1" s="27"/>
      <c r="U1" s="27"/>
      <c r="V1" s="27"/>
      <c r="Y1" s="19">
        <f>SUM(Y3:Y49)</f>
        <v>1440</v>
      </c>
      <c r="AA1" s="29" t="str" cm="1">
        <f t="array" aca="1" ref="AA1" ca="1">IFERROR(MID(CELL("filename",$A$1),FIND("]",CELL("filename",$A$1))+1,99),"SXX")&amp;" RENTAL / SERVICE (USAGE + STANDALONE)"</f>
        <v>S07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376</v>
      </c>
      <c r="B3" s="3" t="s">
        <v>377</v>
      </c>
      <c r="C3" s="3" t="s">
        <v>870</v>
      </c>
      <c r="E3" t="s">
        <v>1997</v>
      </c>
      <c r="F3" t="s">
        <v>1998</v>
      </c>
      <c r="G3" t="s">
        <v>948</v>
      </c>
      <c r="H3" t="s">
        <v>723</v>
      </c>
      <c r="I3">
        <v>4</v>
      </c>
      <c r="J3" s="22">
        <v>0.05</v>
      </c>
      <c r="K3">
        <v>12.6</v>
      </c>
      <c r="L3" s="8">
        <f t="shared" ref="L3:L49" si="0">IF($G3="","",$I3*(1+IF($J3="",0,$J3)))</f>
        <v>4.2</v>
      </c>
      <c r="M3" s="8">
        <f t="shared" ref="M3:M49" si="1">IF($G3="","",$L3)</f>
        <v>4.2</v>
      </c>
      <c r="N3" s="8">
        <f t="shared" ref="N3:N49" si="2">IF($G3="","",IF($K3="","",$M3*$K3))</f>
        <v>52.92</v>
      </c>
      <c r="P3" t="s">
        <v>2013</v>
      </c>
      <c r="Q3" t="s">
        <v>962</v>
      </c>
      <c r="R3" t="s">
        <v>322</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378</v>
      </c>
      <c r="B4" s="3" t="s">
        <v>871</v>
      </c>
      <c r="C4" s="3" t="s">
        <v>1525</v>
      </c>
      <c r="E4" t="s">
        <v>1999</v>
      </c>
      <c r="F4" t="s">
        <v>1998</v>
      </c>
      <c r="G4" t="s">
        <v>2000</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872</v>
      </c>
      <c r="B5" s="3" t="s">
        <v>873</v>
      </c>
      <c r="C5" s="3" t="s">
        <v>1526</v>
      </c>
      <c r="E5" t="s">
        <v>949</v>
      </c>
      <c r="F5" t="s">
        <v>1998</v>
      </c>
      <c r="G5" t="s">
        <v>950</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379</v>
      </c>
      <c r="B6" s="3" t="s">
        <v>380</v>
      </c>
      <c r="C6" s="3" t="s">
        <v>1527</v>
      </c>
      <c r="E6" t="s">
        <v>2001</v>
      </c>
      <c r="F6" t="s">
        <v>1998</v>
      </c>
      <c r="G6" t="s">
        <v>951</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381</v>
      </c>
      <c r="B7" s="3" t="s">
        <v>382</v>
      </c>
      <c r="C7" s="3" t="s">
        <v>1528</v>
      </c>
      <c r="E7" t="s">
        <v>2002</v>
      </c>
      <c r="F7" t="s">
        <v>952</v>
      </c>
      <c r="G7" t="s">
        <v>953</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381</v>
      </c>
      <c r="B8" s="3" t="s">
        <v>383</v>
      </c>
      <c r="C8" s="3" t="s">
        <v>1529</v>
      </c>
      <c r="E8" t="s">
        <v>2003</v>
      </c>
      <c r="F8" t="s">
        <v>952</v>
      </c>
      <c r="G8" t="s">
        <v>954</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381</v>
      </c>
      <c r="B9" s="3" t="s">
        <v>384</v>
      </c>
      <c r="C9" s="3" t="s">
        <v>1530</v>
      </c>
      <c r="E9" t="s">
        <v>2004</v>
      </c>
      <c r="F9" t="s">
        <v>952</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381</v>
      </c>
      <c r="B10" s="3" t="s">
        <v>874</v>
      </c>
      <c r="C10" s="3" t="s">
        <v>875</v>
      </c>
      <c r="E10" t="s">
        <v>2005</v>
      </c>
      <c r="F10" t="s">
        <v>952</v>
      </c>
      <c r="G10" t="s">
        <v>2006</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381</v>
      </c>
      <c r="B11" s="3" t="s">
        <v>876</v>
      </c>
      <c r="C11" s="3" t="s">
        <v>1531</v>
      </c>
      <c r="E11" t="s">
        <v>2007</v>
      </c>
      <c r="F11" t="s">
        <v>952</v>
      </c>
      <c r="G11" t="s">
        <v>2008</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379</v>
      </c>
      <c r="B12" s="3" t="s">
        <v>877</v>
      </c>
      <c r="C12" s="3" t="s">
        <v>878</v>
      </c>
      <c r="E12" t="s">
        <v>2009</v>
      </c>
      <c r="F12" t="s">
        <v>955</v>
      </c>
      <c r="G12" t="s">
        <v>956</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379</v>
      </c>
      <c r="B13" s="3" t="s">
        <v>879</v>
      </c>
      <c r="C13" s="3" t="s">
        <v>880</v>
      </c>
      <c r="E13" t="s">
        <v>2010</v>
      </c>
      <c r="F13" t="s">
        <v>955</v>
      </c>
      <c r="G13" t="s">
        <v>957</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379</v>
      </c>
      <c r="B14" s="3" t="s">
        <v>881</v>
      </c>
      <c r="C14" s="3" t="s">
        <v>882</v>
      </c>
      <c r="E14" t="s">
        <v>2011</v>
      </c>
      <c r="F14" t="s">
        <v>955</v>
      </c>
      <c r="G14" t="s">
        <v>958</v>
      </c>
      <c r="H14" t="s">
        <v>959</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381</v>
      </c>
      <c r="B15" s="3" t="s">
        <v>1532</v>
      </c>
      <c r="C15" s="3" t="s">
        <v>1533</v>
      </c>
      <c r="E15" t="s">
        <v>2012</v>
      </c>
      <c r="F15" t="s">
        <v>960</v>
      </c>
      <c r="G15" t="s">
        <v>961</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379</v>
      </c>
      <c r="B16" s="3" t="s">
        <v>1534</v>
      </c>
      <c r="C16" s="3" t="s">
        <v>1535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381</v>
      </c>
      <c r="B17" s="3" t="s">
        <v>1536</v>
      </c>
      <c r="C17" s="3" t="s">
        <v>1537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381</v>
      </c>
      <c r="B18" s="3" t="s">
        <v>1538</v>
      </c>
      <c r="C18" s="3" t="s">
        <v>1539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379</v>
      </c>
      <c r="B19" s="3" t="s">
        <v>1540</v>
      </c>
      <c r="C19" s="3" t="s">
        <v>1541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381</v>
      </c>
      <c r="B20" s="3" t="s">
        <v>883</v>
      </c>
      <c r="C20" s="3" t="s">
        <v>884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385</v>
      </c>
      <c r="C21" s="3" t="s">
        <v>1542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885</v>
      </c>
      <c r="C22" s="3" t="s">
        <v>1543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381</v>
      </c>
      <c r="B23" s="3" t="s">
        <v>886</v>
      </c>
      <c r="C23" s="3" t="s">
        <v>887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379</v>
      </c>
      <c r="B24" s="3" t="s">
        <v>386</v>
      </c>
      <c r="C24" s="3" t="s">
        <v>1544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387</v>
      </c>
      <c r="C25" s="3" t="s">
        <v>1545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381</v>
      </c>
      <c r="B26" s="3" t="s">
        <v>888</v>
      </c>
      <c r="C26" s="3" t="s">
        <v>1546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889</v>
      </c>
      <c r="C27" s="3" t="s">
        <v>1547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379</v>
      </c>
      <c r="B28" s="3" t="s">
        <v>890</v>
      </c>
      <c r="C28" s="3" t="s">
        <v>891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892</v>
      </c>
      <c r="C29" s="3" t="s">
        <v>893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379</v>
      </c>
      <c r="B30" s="3" t="s">
        <v>894</v>
      </c>
      <c r="C30" s="3" t="s">
        <v>895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379</v>
      </c>
      <c r="B31" s="3" t="s">
        <v>896</v>
      </c>
      <c r="C31" s="3" t="s">
        <v>897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381</v>
      </c>
      <c r="B32" s="3" t="s">
        <v>898</v>
      </c>
      <c r="C32" s="3" t="s">
        <v>899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379</v>
      </c>
      <c r="B33" s="3" t="s">
        <v>900</v>
      </c>
      <c r="C33" s="3" t="s">
        <v>1548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379</v>
      </c>
      <c r="B34" s="3" t="s">
        <v>901</v>
      </c>
      <c r="C34" s="3" t="s">
        <v>902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379</v>
      </c>
      <c r="B35" s="3" t="s">
        <v>903</v>
      </c>
      <c r="C35" s="3" t="s">
        <v>904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905</v>
      </c>
      <c r="C36" s="3" t="s">
        <v>1549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379</v>
      </c>
      <c r="B37" s="3" t="s">
        <v>906</v>
      </c>
      <c r="C37" s="3" t="s">
        <v>907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908</v>
      </c>
      <c r="C38" s="3" t="s">
        <v>1550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381</v>
      </c>
      <c r="B39" s="3" t="s">
        <v>909</v>
      </c>
      <c r="C39" s="3" t="s">
        <v>910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381</v>
      </c>
      <c r="B40" s="3" t="s">
        <v>911</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381</v>
      </c>
      <c r="B41" s="3" t="s">
        <v>913</v>
      </c>
      <c r="C41" s="3" t="s">
        <v>914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381</v>
      </c>
      <c r="B42" s="3" t="s">
        <v>915</v>
      </c>
      <c r="C42" s="3" t="s">
        <v>916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381</v>
      </c>
      <c r="B43" s="3" t="s">
        <v>917</v>
      </c>
      <c r="C43" s="3" t="s">
        <v>918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381</v>
      </c>
      <c r="B44" s="3" t="s">
        <v>919</v>
      </c>
      <c r="C44" s="3" t="s">
        <v>1551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920</v>
      </c>
      <c r="C45" s="3" t="s">
        <v>1552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921</v>
      </c>
      <c r="C46" s="3" t="s">
        <v>922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379</v>
      </c>
      <c r="B47" s="3" t="s">
        <v>923</v>
      </c>
      <c r="C47" s="3" t="s">
        <v>1553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379</v>
      </c>
      <c r="B48" s="3" t="s">
        <v>388</v>
      </c>
      <c r="C48" s="3" t="s">
        <v>1554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379</v>
      </c>
      <c r="B49" s="3" t="s">
        <v>924</v>
      </c>
      <c r="C49" s="3" t="s">
        <v>1555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379</v>
      </c>
      <c r="B50" s="3" t="s">
        <v>389</v>
      </c>
      <c r="C50" s="3" t="s">
        <v>1556</v>
      </c>
    </row>
    <row r="51" spans="1:36" x14ac:dyDescent="0.25">
      <c r="A51" s="3" t="s">
        <v>379</v>
      </c>
      <c r="B51" s="3" t="s">
        <v>925</v>
      </c>
      <c r="C51" s="3" t="s">
        <v>926</v>
      </c>
    </row>
    <row r="52" spans="1:36" x14ac:dyDescent="0.25">
      <c r="A52" s="3" t="s">
        <v>379</v>
      </c>
      <c r="B52" s="3" t="s">
        <v>1557</v>
      </c>
      <c r="C52" s="3" t="s">
        <v>927</v>
      </c>
    </row>
    <row r="53" spans="1:36" x14ac:dyDescent="0.25">
      <c r="A53" s="3" t="s">
        <v>379</v>
      </c>
      <c r="B53" s="3" t="s">
        <v>928</v>
      </c>
      <c r="C53" s="3" t="s">
        <v>1558</v>
      </c>
    </row>
    <row r="54" spans="1:36" x14ac:dyDescent="0.25">
      <c r="A54" s="3" t="s">
        <v>379</v>
      </c>
      <c r="B54" s="3" t="s">
        <v>365</v>
      </c>
      <c r="C54" s="3" t="s">
        <v>929</v>
      </c>
    </row>
    <row r="55" spans="1:36" x14ac:dyDescent="0.25">
      <c r="A55" s="3" t="s">
        <v>930</v>
      </c>
      <c r="B55" s="3" t="s">
        <v>931</v>
      </c>
      <c r="C55" s="3" t="s">
        <v>1976</v>
      </c>
    </row>
    <row r="56" spans="1:36" x14ac:dyDescent="0.25">
      <c r="A56" s="3" t="s">
        <v>930</v>
      </c>
      <c r="B56" s="3" t="s">
        <v>932</v>
      </c>
      <c r="C56" s="3" t="s">
        <v>1977</v>
      </c>
    </row>
    <row r="57" spans="1:36" x14ac:dyDescent="0.25">
      <c r="A57" s="3" t="s">
        <v>930</v>
      </c>
      <c r="B57" s="3" t="s">
        <v>933</v>
      </c>
      <c r="C57" s="3" t="s">
        <v>1978</v>
      </c>
    </row>
    <row r="58" spans="1:36" x14ac:dyDescent="0.25">
      <c r="A58" s="3" t="s">
        <v>930</v>
      </c>
      <c r="B58" s="3" t="s">
        <v>934</v>
      </c>
      <c r="C58" s="3" t="s">
        <v>1979</v>
      </c>
    </row>
    <row r="59" spans="1:36" x14ac:dyDescent="0.25">
      <c r="A59" s="3" t="s">
        <v>930</v>
      </c>
      <c r="B59" s="3" t="s">
        <v>935</v>
      </c>
      <c r="C59" s="3" t="s">
        <v>1980</v>
      </c>
    </row>
    <row r="60" spans="1:36" x14ac:dyDescent="0.25">
      <c r="A60" s="3" t="s">
        <v>930</v>
      </c>
      <c r="B60" s="3" t="s">
        <v>936</v>
      </c>
      <c r="C60" s="3" t="s">
        <v>1981</v>
      </c>
    </row>
    <row r="61" spans="1:36" x14ac:dyDescent="0.25">
      <c r="A61" s="3" t="s">
        <v>930</v>
      </c>
      <c r="B61" s="3" t="s">
        <v>937</v>
      </c>
      <c r="C61" s="3" t="s">
        <v>1982</v>
      </c>
    </row>
    <row r="62" spans="1:36" x14ac:dyDescent="0.25">
      <c r="A62" s="3" t="s">
        <v>930</v>
      </c>
      <c r="B62" s="3" t="s">
        <v>938</v>
      </c>
      <c r="C62" s="3" t="s">
        <v>1983</v>
      </c>
    </row>
    <row r="63" spans="1:36" x14ac:dyDescent="0.25">
      <c r="A63" s="3" t="s">
        <v>930</v>
      </c>
      <c r="B63" s="3" t="s">
        <v>939</v>
      </c>
      <c r="C63" s="3" t="s">
        <v>1984</v>
      </c>
    </row>
    <row r="64" spans="1:36" x14ac:dyDescent="0.25">
      <c r="A64" s="3" t="s">
        <v>930</v>
      </c>
      <c r="B64" s="3" t="s">
        <v>940</v>
      </c>
      <c r="C64" s="3" t="s">
        <v>1985</v>
      </c>
    </row>
    <row r="65" spans="1:3" x14ac:dyDescent="0.25">
      <c r="A65" s="3" t="s">
        <v>930</v>
      </c>
      <c r="B65" s="3" t="s">
        <v>941</v>
      </c>
      <c r="C65" s="3" t="s">
        <v>942</v>
      </c>
    </row>
    <row r="66" spans="1:3" x14ac:dyDescent="0.25">
      <c r="A66" s="3" t="s">
        <v>930</v>
      </c>
      <c r="B66" s="3" t="s">
        <v>943</v>
      </c>
      <c r="C66" s="3" t="s">
        <v>944</v>
      </c>
    </row>
    <row r="67" spans="1:3" x14ac:dyDescent="0.25">
      <c r="A67" s="3" t="s">
        <v>930</v>
      </c>
      <c r="B67" s="3" t="s">
        <v>945</v>
      </c>
      <c r="C67" s="3" t="s">
        <v>946</v>
      </c>
    </row>
    <row r="68" spans="1:3" x14ac:dyDescent="0.25">
      <c r="A68" s="3" t="s">
        <v>947</v>
      </c>
      <c r="B68" s="3" t="s">
        <v>1510</v>
      </c>
      <c r="C68" s="3" t="s">
        <v>452</v>
      </c>
    </row>
    <row r="69" spans="1:3" x14ac:dyDescent="0.25">
      <c r="A69" s="3" t="s">
        <v>381</v>
      </c>
      <c r="B69" s="3" t="s">
        <v>1986</v>
      </c>
      <c r="C69" s="3" t="s">
        <v>1987</v>
      </c>
    </row>
    <row r="70" spans="1:3" x14ac:dyDescent="0.25">
      <c r="A70" s="3" t="s">
        <v>381</v>
      </c>
      <c r="B70" s="3" t="s">
        <v>1988</v>
      </c>
      <c r="C70" s="3" t="s">
        <v>1989</v>
      </c>
    </row>
    <row r="71" spans="1:3" x14ac:dyDescent="0.25">
      <c r="A71" s="3" t="s">
        <v>381</v>
      </c>
      <c r="B71" s="3" t="s">
        <v>1990</v>
      </c>
      <c r="C71" s="3" t="s">
        <v>1991</v>
      </c>
    </row>
    <row r="72" spans="1:3" x14ac:dyDescent="0.25">
      <c r="A72" s="3" t="s">
        <v>381</v>
      </c>
      <c r="B72" s="3" t="s">
        <v>1992</v>
      </c>
      <c r="C72" s="3" t="s">
        <v>1993</v>
      </c>
    </row>
    <row r="73" spans="1:3" x14ac:dyDescent="0.25">
      <c r="A73" s="3" t="s">
        <v>381</v>
      </c>
      <c r="B73" s="3" t="s">
        <v>1968</v>
      </c>
      <c r="C73" s="3" t="s">
        <v>1994</v>
      </c>
    </row>
    <row r="74" spans="1:3" x14ac:dyDescent="0.25">
      <c r="A74" s="3" t="s">
        <v>379</v>
      </c>
      <c r="B74" s="3" t="s">
        <v>582</v>
      </c>
      <c r="C74" s="3" t="s">
        <v>1995</v>
      </c>
    </row>
    <row r="75" spans="1:3" x14ac:dyDescent="0.25">
      <c r="A75" s="3" t="s">
        <v>390</v>
      </c>
      <c r="B75" s="3" t="s">
        <v>391</v>
      </c>
      <c r="C75" s="3" t="s">
        <v>1996</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S08</v>
      </c>
      <c r="B1" s="28"/>
      <c r="C1" s="28"/>
      <c r="E1" s="27" t="str" cm="1">
        <f t="array" aca="1" ref="E1" ca="1">IFERROR(MID(CELL("filename",$A$1),FIND("]",CELL("filename",$A$1))+1,99),"SXX")&amp;" MATERIALS (USAGE + STANDALONE)"</f>
        <v>S08 MATERIALS (USAGE + STANDALONE)</v>
      </c>
      <c r="F1" s="27"/>
      <c r="G1" s="27"/>
      <c r="H1" s="27"/>
      <c r="I1" s="27"/>
      <c r="J1" s="27"/>
      <c r="K1" s="27"/>
      <c r="L1" s="13"/>
      <c r="M1" s="13"/>
      <c r="N1" s="19">
        <f>SUM(N3:N49)</f>
        <v>8527.7800000000025</v>
      </c>
      <c r="P1" s="27" t="str" cm="1">
        <f t="array" aca="1" ref="P1" ca="1">IFERROR(MID(CELL("filename",$A$1),FIND("]",CELL("filename",$A$1))+1,99),"SXX")&amp;" LABOUR (USAGE + STANDALONE)"</f>
        <v>S08 LABOUR (USAGE + STANDALONE)</v>
      </c>
      <c r="Q1" s="27"/>
      <c r="R1" s="27"/>
      <c r="S1" s="27"/>
      <c r="T1" s="27"/>
      <c r="U1" s="27"/>
      <c r="V1" s="27"/>
      <c r="Y1" s="19">
        <f>SUM(Y3:Y49)</f>
        <v>2002.5</v>
      </c>
      <c r="AA1" s="29" t="str" cm="1">
        <f t="array" aca="1" ref="AA1" ca="1">IFERROR(MID(CELL("filename",$A$1),FIND("]",CELL("filename",$A$1))+1,99),"SXX")&amp;" RENTAL / SERVICE (USAGE + STANDALONE)"</f>
        <v>S08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392</v>
      </c>
      <c r="B3" s="3" t="s">
        <v>1459</v>
      </c>
      <c r="C3" s="3" t="s">
        <v>963</v>
      </c>
      <c r="E3" t="s">
        <v>2048</v>
      </c>
      <c r="F3" t="s">
        <v>1003</v>
      </c>
      <c r="G3" t="s">
        <v>2049</v>
      </c>
      <c r="H3" t="s">
        <v>723</v>
      </c>
      <c r="I3">
        <v>16</v>
      </c>
      <c r="J3" s="22">
        <v>0.05</v>
      </c>
      <c r="K3">
        <v>55</v>
      </c>
      <c r="L3" s="8">
        <f t="shared" ref="L3:L49" si="0">IF($G3="","",$I3*(1+IF($J3="",0,$J3)))</f>
        <v>16.8</v>
      </c>
      <c r="M3" s="8">
        <f t="shared" ref="M3:M49" si="1">IF($G3="","",$L3)</f>
        <v>16.8</v>
      </c>
      <c r="N3" s="8">
        <f t="shared" ref="N3:N49" si="2">IF($G3="","",IF($K3="","",$M3*$K3))</f>
        <v>924</v>
      </c>
      <c r="P3" t="s">
        <v>2058</v>
      </c>
      <c r="Q3" t="s">
        <v>1017</v>
      </c>
      <c r="R3" t="s">
        <v>322</v>
      </c>
      <c r="S3" t="s">
        <v>33</v>
      </c>
      <c r="T3">
        <v>89</v>
      </c>
      <c r="U3" s="22">
        <v>0</v>
      </c>
      <c r="V3">
        <v>22.5</v>
      </c>
      <c r="W3" s="8">
        <f>IF($R3="","",$T3*(1+IF($U3="",0,$U3)))</f>
        <v>89</v>
      </c>
      <c r="X3" s="8">
        <f>IF($R3="","",$W3)</f>
        <v>89</v>
      </c>
      <c r="Y3" s="8">
        <f>IF($R3="","",IF($V3="","",$X3*$V3))</f>
        <v>2002.5</v>
      </c>
      <c r="AA3" s="6" t="s">
        <v>1015</v>
      </c>
      <c r="AB3" t="s">
        <v>1016</v>
      </c>
      <c r="AE3">
        <v>0</v>
      </c>
      <c r="AF3">
        <v>0</v>
      </c>
      <c r="AG3">
        <v>0</v>
      </c>
      <c r="AH3" s="8" t="str">
        <f>IF($AC3="","",$AE3*(1+IF($AF3="",0,$AF3)))</f>
        <v/>
      </c>
      <c r="AI3" s="8" t="str">
        <f>IF($AC3="","",$AH3)</f>
        <v/>
      </c>
      <c r="AJ3" s="8" t="str">
        <f>IF($AC3="","",IF($AG3="","",$AI3*$AG3))</f>
        <v/>
      </c>
    </row>
    <row r="4" spans="1:37" x14ac:dyDescent="0.25">
      <c r="A4" s="3" t="s">
        <v>393</v>
      </c>
      <c r="B4" s="3" t="s">
        <v>1460</v>
      </c>
      <c r="C4" s="3" t="s">
        <v>1461</v>
      </c>
      <c r="E4" t="s">
        <v>2050</v>
      </c>
      <c r="F4" t="s">
        <v>1004</v>
      </c>
      <c r="G4" t="s">
        <v>1005</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965</v>
      </c>
      <c r="B5" s="3" t="s">
        <v>966</v>
      </c>
      <c r="C5" s="3" t="s">
        <v>1462</v>
      </c>
      <c r="E5" t="s">
        <v>2051</v>
      </c>
      <c r="F5" t="s">
        <v>1006</v>
      </c>
      <c r="G5" t="s">
        <v>1007</v>
      </c>
      <c r="H5" t="s">
        <v>1008</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964</v>
      </c>
      <c r="B6" s="3" t="s">
        <v>1463</v>
      </c>
      <c r="C6" s="3" t="s">
        <v>1464</v>
      </c>
      <c r="E6" t="s">
        <v>2052</v>
      </c>
      <c r="F6" t="s">
        <v>1009</v>
      </c>
      <c r="G6" t="s">
        <v>1513</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394</v>
      </c>
      <c r="B7" s="3" t="s">
        <v>967</v>
      </c>
      <c r="C7" s="3" t="s">
        <v>968</v>
      </c>
      <c r="E7" t="s">
        <v>2053</v>
      </c>
      <c r="F7" t="s">
        <v>1010</v>
      </c>
      <c r="G7" t="s">
        <v>1011</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394</v>
      </c>
      <c r="B8" s="3" t="s">
        <v>1465</v>
      </c>
      <c r="C8" s="3" t="s">
        <v>1466</v>
      </c>
      <c r="E8" t="s">
        <v>2054</v>
      </c>
      <c r="F8" t="s">
        <v>1010</v>
      </c>
      <c r="G8" t="s">
        <v>1012</v>
      </c>
      <c r="H8" t="s">
        <v>327</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396</v>
      </c>
      <c r="B9" s="3" t="s">
        <v>969</v>
      </c>
      <c r="C9" s="3" t="s">
        <v>1467</v>
      </c>
      <c r="E9" t="s">
        <v>2055</v>
      </c>
      <c r="F9" t="s">
        <v>1013</v>
      </c>
      <c r="G9" t="s">
        <v>1514</v>
      </c>
      <c r="H9" t="s">
        <v>723</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396</v>
      </c>
      <c r="B10" s="3" t="s">
        <v>970</v>
      </c>
      <c r="C10" s="3" t="s">
        <v>971</v>
      </c>
      <c r="E10" t="s">
        <v>1515</v>
      </c>
      <c r="F10" t="s">
        <v>1013</v>
      </c>
      <c r="G10" t="s">
        <v>1516</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396</v>
      </c>
      <c r="B11" s="3" t="s">
        <v>1468</v>
      </c>
      <c r="C11" s="3" t="s">
        <v>972</v>
      </c>
      <c r="E11" t="s">
        <v>2056</v>
      </c>
      <c r="F11" t="s">
        <v>1013</v>
      </c>
      <c r="G11" t="s">
        <v>1517</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394</v>
      </c>
      <c r="B12" s="3" t="s">
        <v>973</v>
      </c>
      <c r="C12" s="3" t="s">
        <v>974</v>
      </c>
      <c r="E12" t="s">
        <v>1518</v>
      </c>
      <c r="F12" t="s">
        <v>1519</v>
      </c>
      <c r="G12" t="s">
        <v>1520</v>
      </c>
      <c r="H12" t="s">
        <v>723</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394</v>
      </c>
      <c r="B13" s="3" t="s">
        <v>975</v>
      </c>
      <c r="C13" s="3" t="s">
        <v>1469</v>
      </c>
      <c r="E13" t="s">
        <v>1521</v>
      </c>
      <c r="F13" t="s">
        <v>1519</v>
      </c>
      <c r="G13" t="s">
        <v>1522</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394</v>
      </c>
      <c r="B14" s="3" t="s">
        <v>2014</v>
      </c>
      <c r="C14" s="3" t="s">
        <v>2015</v>
      </c>
      <c r="E14" t="s">
        <v>1523</v>
      </c>
      <c r="F14" t="s">
        <v>1519</v>
      </c>
      <c r="G14" t="s">
        <v>1524</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394</v>
      </c>
      <c r="B15" s="3" t="s">
        <v>2016</v>
      </c>
      <c r="C15" s="3" t="s">
        <v>2017</v>
      </c>
      <c r="E15" t="s">
        <v>2057</v>
      </c>
      <c r="F15" t="s">
        <v>1519</v>
      </c>
      <c r="G15" t="s">
        <v>1014</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394</v>
      </c>
      <c r="B16" s="3" t="s">
        <v>395</v>
      </c>
      <c r="C16" s="3" t="s">
        <v>976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394</v>
      </c>
      <c r="B17" s="3" t="s">
        <v>977</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394</v>
      </c>
      <c r="B18" s="3" t="s">
        <v>979</v>
      </c>
      <c r="C18" s="3" t="s">
        <v>980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394</v>
      </c>
      <c r="B19" s="3" t="s">
        <v>981</v>
      </c>
      <c r="C19" s="3" t="s">
        <v>982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394</v>
      </c>
      <c r="B20" s="3" t="s">
        <v>988</v>
      </c>
      <c r="C20" s="3" t="s">
        <v>989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394</v>
      </c>
      <c r="B21" s="3" t="s">
        <v>990</v>
      </c>
      <c r="C21" s="3" t="s">
        <v>1470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394</v>
      </c>
      <c r="B22" s="3" t="s">
        <v>1471</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396</v>
      </c>
      <c r="B23" s="3" t="s">
        <v>1473</v>
      </c>
      <c r="C23" s="3" t="s">
        <v>1474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396</v>
      </c>
      <c r="B24" s="3" t="s">
        <v>1475</v>
      </c>
      <c r="C24" s="3" t="s">
        <v>1476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396</v>
      </c>
      <c r="B25" s="3" t="s">
        <v>1477</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396</v>
      </c>
      <c r="B26" s="3" t="s">
        <v>1479</v>
      </c>
      <c r="C26" s="3" t="s">
        <v>1480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396</v>
      </c>
      <c r="B27" s="3" t="s">
        <v>1481</v>
      </c>
      <c r="C27" s="3" t="s">
        <v>1482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394</v>
      </c>
      <c r="B28" s="3" t="s">
        <v>983</v>
      </c>
      <c r="C28" s="3" t="s">
        <v>984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394</v>
      </c>
      <c r="B29" s="3" t="s">
        <v>985</v>
      </c>
      <c r="C29" s="3" t="s">
        <v>986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394</v>
      </c>
      <c r="B30" s="3" t="s">
        <v>987</v>
      </c>
      <c r="C30" s="3" t="s">
        <v>1483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394</v>
      </c>
      <c r="B31" s="3" t="s">
        <v>1484</v>
      </c>
      <c r="C31" s="3" t="s">
        <v>2018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394</v>
      </c>
      <c r="B32" s="3" t="s">
        <v>991</v>
      </c>
      <c r="C32" s="3" t="s">
        <v>1485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394</v>
      </c>
      <c r="B33" s="3" t="s">
        <v>992</v>
      </c>
      <c r="C33" s="3" t="s">
        <v>1486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396</v>
      </c>
      <c r="B34" s="3" t="s">
        <v>2019</v>
      </c>
      <c r="C34" s="3" t="s">
        <v>2020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396</v>
      </c>
      <c r="B35" s="3" t="s">
        <v>2021</v>
      </c>
      <c r="C35" s="3" t="s">
        <v>2022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396</v>
      </c>
      <c r="B36" s="3" t="s">
        <v>2023</v>
      </c>
      <c r="C36" s="3" t="s">
        <v>2024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396</v>
      </c>
      <c r="B37" s="3" t="s">
        <v>2025</v>
      </c>
      <c r="C37" s="3" t="s">
        <v>2026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396</v>
      </c>
      <c r="B38" s="3" t="s">
        <v>2027</v>
      </c>
      <c r="C38" s="3" t="s">
        <v>2028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396</v>
      </c>
      <c r="B39" s="3" t="s">
        <v>2029</v>
      </c>
      <c r="C39" s="3" t="s">
        <v>2030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396</v>
      </c>
      <c r="B40" s="3" t="s">
        <v>2031</v>
      </c>
      <c r="C40" s="3" t="s">
        <v>2032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396</v>
      </c>
      <c r="B41" s="3" t="s">
        <v>2033</v>
      </c>
      <c r="C41" s="3" t="s">
        <v>2034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396</v>
      </c>
      <c r="B42" s="3" t="s">
        <v>2035</v>
      </c>
      <c r="C42" s="3" t="s">
        <v>2036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396</v>
      </c>
      <c r="B43" s="3" t="s">
        <v>2037</v>
      </c>
      <c r="C43" s="3" t="s">
        <v>2038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396</v>
      </c>
      <c r="B44" s="3" t="s">
        <v>2039</v>
      </c>
      <c r="C44" s="3" t="s">
        <v>2040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396</v>
      </c>
      <c r="B45" s="3" t="s">
        <v>2041</v>
      </c>
      <c r="C45" s="3" t="s">
        <v>2042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396</v>
      </c>
      <c r="B46" s="3" t="s">
        <v>2043</v>
      </c>
      <c r="C46" s="3" t="s">
        <v>2044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993</v>
      </c>
      <c r="B47" s="3" t="s">
        <v>1487</v>
      </c>
      <c r="C47" s="3" t="s">
        <v>2045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993</v>
      </c>
      <c r="B48" s="3" t="s">
        <v>1488</v>
      </c>
      <c r="C48" s="3" t="s">
        <v>1489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993</v>
      </c>
      <c r="B49" s="3" t="s">
        <v>1490</v>
      </c>
      <c r="C49" s="3" t="s">
        <v>1491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993</v>
      </c>
      <c r="B50" s="3" t="s">
        <v>1492</v>
      </c>
      <c r="C50" s="3" t="s">
        <v>1493</v>
      </c>
    </row>
    <row r="51" spans="1:36" x14ac:dyDescent="0.25">
      <c r="A51" s="3" t="s">
        <v>993</v>
      </c>
      <c r="B51" s="3" t="s">
        <v>1494</v>
      </c>
      <c r="C51" s="3" t="s">
        <v>1495</v>
      </c>
    </row>
    <row r="52" spans="1:36" x14ac:dyDescent="0.25">
      <c r="A52" s="3" t="s">
        <v>993</v>
      </c>
      <c r="B52" s="3" t="s">
        <v>994</v>
      </c>
      <c r="C52" s="3" t="s">
        <v>995</v>
      </c>
    </row>
    <row r="53" spans="1:36" x14ac:dyDescent="0.25">
      <c r="A53" s="3" t="s">
        <v>993</v>
      </c>
      <c r="B53" s="3" t="s">
        <v>1496</v>
      </c>
      <c r="C53" s="3" t="s">
        <v>1497</v>
      </c>
    </row>
    <row r="54" spans="1:36" x14ac:dyDescent="0.25">
      <c r="A54" s="3" t="s">
        <v>993</v>
      </c>
      <c r="B54" s="3" t="s">
        <v>1498</v>
      </c>
      <c r="C54" s="3" t="s">
        <v>1499</v>
      </c>
    </row>
    <row r="55" spans="1:36" x14ac:dyDescent="0.25">
      <c r="A55" s="3" t="s">
        <v>993</v>
      </c>
      <c r="B55" s="3" t="s">
        <v>1500</v>
      </c>
      <c r="C55" s="3" t="s">
        <v>1501</v>
      </c>
    </row>
    <row r="56" spans="1:36" x14ac:dyDescent="0.25">
      <c r="A56" s="3" t="s">
        <v>993</v>
      </c>
      <c r="B56" s="3" t="s">
        <v>1502</v>
      </c>
      <c r="C56" s="3" t="s">
        <v>1503</v>
      </c>
    </row>
    <row r="57" spans="1:36" x14ac:dyDescent="0.25">
      <c r="A57" s="3" t="s">
        <v>993</v>
      </c>
      <c r="B57" s="3" t="s">
        <v>1504</v>
      </c>
      <c r="C57" s="3" t="s">
        <v>1505</v>
      </c>
    </row>
    <row r="58" spans="1:36" x14ac:dyDescent="0.25">
      <c r="A58" s="3" t="s">
        <v>993</v>
      </c>
      <c r="B58" s="3" t="s">
        <v>996</v>
      </c>
      <c r="C58" s="3" t="s">
        <v>1506</v>
      </c>
    </row>
    <row r="59" spans="1:36" x14ac:dyDescent="0.25">
      <c r="A59" s="3" t="s">
        <v>993</v>
      </c>
      <c r="B59" s="3" t="s">
        <v>997</v>
      </c>
      <c r="C59" s="3" t="s">
        <v>998</v>
      </c>
    </row>
    <row r="60" spans="1:36" x14ac:dyDescent="0.25">
      <c r="A60" s="3" t="s">
        <v>394</v>
      </c>
      <c r="B60" s="3" t="s">
        <v>999</v>
      </c>
      <c r="C60" s="3" t="s">
        <v>1507</v>
      </c>
    </row>
    <row r="61" spans="1:36" x14ac:dyDescent="0.25">
      <c r="A61" s="3" t="s">
        <v>394</v>
      </c>
      <c r="B61" s="3" t="s">
        <v>1508</v>
      </c>
      <c r="C61" s="3" t="s">
        <v>1509</v>
      </c>
    </row>
    <row r="62" spans="1:36" x14ac:dyDescent="0.25">
      <c r="A62" s="3" t="s">
        <v>1000</v>
      </c>
      <c r="B62" s="3" t="s">
        <v>1510</v>
      </c>
      <c r="C62" s="3" t="s">
        <v>452</v>
      </c>
    </row>
    <row r="63" spans="1:36" x14ac:dyDescent="0.25">
      <c r="A63" s="3" t="s">
        <v>396</v>
      </c>
      <c r="B63" s="3" t="s">
        <v>1968</v>
      </c>
      <c r="C63" s="3" t="s">
        <v>2046</v>
      </c>
    </row>
    <row r="64" spans="1:36" x14ac:dyDescent="0.25">
      <c r="A64" s="3" t="s">
        <v>394</v>
      </c>
      <c r="B64" s="3" t="s">
        <v>582</v>
      </c>
      <c r="C64" s="3" t="s">
        <v>2047</v>
      </c>
    </row>
    <row r="65" spans="1:3" x14ac:dyDescent="0.25">
      <c r="A65" s="3" t="s">
        <v>394</v>
      </c>
      <c r="B65" s="3" t="s">
        <v>453</v>
      </c>
      <c r="C65" s="3" t="s">
        <v>1511</v>
      </c>
    </row>
    <row r="66" spans="1:3" x14ac:dyDescent="0.25">
      <c r="A66" s="3" t="s">
        <v>394</v>
      </c>
      <c r="B66" s="3" t="s">
        <v>365</v>
      </c>
      <c r="C66" s="3" t="s">
        <v>1001</v>
      </c>
    </row>
    <row r="67" spans="1:3" x14ac:dyDescent="0.25">
      <c r="A67" s="3" t="s">
        <v>397</v>
      </c>
      <c r="B67" s="3" t="s">
        <v>1002</v>
      </c>
      <c r="C67" s="3" t="s">
        <v>1512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S09</v>
      </c>
      <c r="B1" s="28"/>
      <c r="C1" s="28"/>
      <c r="E1" s="27" t="str" cm="1">
        <f t="array" aca="1" ref="E1" ca="1">IFERROR(MID(CELL("filename",$A$1),FIND("]",CELL("filename",$A$1))+1,99),"SXX")&amp;" MATERIALS (USAGE + STANDALONE)"</f>
        <v>S09 MATERIALS (USAGE + STANDALONE)</v>
      </c>
      <c r="F1" s="27"/>
      <c r="G1" s="27"/>
      <c r="H1" s="27"/>
      <c r="I1" s="27"/>
      <c r="J1" s="27"/>
      <c r="K1" s="27"/>
      <c r="L1" s="13"/>
      <c r="M1" s="13"/>
      <c r="N1" s="19">
        <f>SUM(N3:N49)</f>
        <v>1840.8600000000004</v>
      </c>
      <c r="P1" s="27" t="str" cm="1">
        <f t="array" aca="1" ref="P1" ca="1">IFERROR(MID(CELL("filename",$A$1),FIND("]",CELL("filename",$A$1))+1,99),"SXX")&amp;" LABOUR (USAGE + STANDALONE)"</f>
        <v>S09 LABOUR (USAGE + STANDALONE)</v>
      </c>
      <c r="Q1" s="27"/>
      <c r="R1" s="27"/>
      <c r="S1" s="27"/>
      <c r="T1" s="27"/>
      <c r="U1" s="27"/>
      <c r="V1" s="27"/>
      <c r="Y1" s="19">
        <f>SUM(Y3:Y49)</f>
        <v>3060</v>
      </c>
      <c r="AA1" s="29" t="str" cm="1">
        <f t="array" aca="1" ref="AA1" ca="1">IFERROR(MID(CELL("filename",$A$1),FIND("]",CELL("filename",$A$1))+1,99),"SXX")&amp;" RENTAL / SERVICE (USAGE + STANDALONE)"</f>
        <v>S09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398</v>
      </c>
      <c r="B3" s="3" t="s">
        <v>1130</v>
      </c>
      <c r="C3" s="3" t="s">
        <v>1131</v>
      </c>
      <c r="E3" t="s">
        <v>2074</v>
      </c>
      <c r="F3" t="s">
        <v>1201</v>
      </c>
      <c r="G3" t="s">
        <v>1202</v>
      </c>
      <c r="H3" t="s">
        <v>8</v>
      </c>
      <c r="I3">
        <v>3900</v>
      </c>
      <c r="J3" s="22">
        <v>0.03</v>
      </c>
      <c r="K3">
        <v>0.28000000000000003</v>
      </c>
      <c r="L3" s="8">
        <f t="shared" ref="L3:L49" si="0">IF($G3="","",$I3*(1+IF($J3="",0,$J3)))</f>
        <v>4017</v>
      </c>
      <c r="M3" s="8">
        <f t="shared" ref="M3:M49" si="1">IF($G3="","",$L3)</f>
        <v>4017</v>
      </c>
      <c r="N3" s="8">
        <f t="shared" ref="N3:N49" si="2">IF($G3="","",IF($K3="","",$M3*$K3))</f>
        <v>1124.7600000000002</v>
      </c>
      <c r="P3" t="s">
        <v>2082</v>
      </c>
      <c r="Q3" t="s">
        <v>1205</v>
      </c>
      <c r="R3" t="s">
        <v>322</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399</v>
      </c>
      <c r="B4" s="3" t="s">
        <v>1132</v>
      </c>
      <c r="C4" s="3" t="s">
        <v>1133</v>
      </c>
      <c r="E4" t="s">
        <v>2075</v>
      </c>
      <c r="F4" t="s">
        <v>1203</v>
      </c>
      <c r="G4" t="s">
        <v>2076</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1134</v>
      </c>
      <c r="B5" s="3" t="s">
        <v>1135</v>
      </c>
      <c r="C5" s="3" t="s">
        <v>1136</v>
      </c>
      <c r="E5" t="s">
        <v>2077</v>
      </c>
      <c r="F5" t="s">
        <v>1203</v>
      </c>
      <c r="G5" t="s">
        <v>733</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1137</v>
      </c>
      <c r="B6" s="3" t="s">
        <v>1138</v>
      </c>
      <c r="C6" s="3" t="s">
        <v>1139</v>
      </c>
      <c r="E6" t="s">
        <v>2078</v>
      </c>
      <c r="F6" t="s">
        <v>1204</v>
      </c>
      <c r="G6" t="s">
        <v>866</v>
      </c>
      <c r="H6" t="s">
        <v>662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401</v>
      </c>
      <c r="B7" s="3" t="s">
        <v>1140</v>
      </c>
      <c r="C7" s="3" t="s">
        <v>1141</v>
      </c>
      <c r="E7" t="s">
        <v>2079</v>
      </c>
      <c r="F7" t="s">
        <v>1204</v>
      </c>
      <c r="G7" t="s">
        <v>663</v>
      </c>
      <c r="H7" t="s">
        <v>662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400</v>
      </c>
      <c r="B8" s="3" t="s">
        <v>1142</v>
      </c>
      <c r="C8" s="3" t="s">
        <v>1143</v>
      </c>
      <c r="E8" t="s">
        <v>2080</v>
      </c>
      <c r="F8" t="s">
        <v>1204</v>
      </c>
      <c r="G8" t="s">
        <v>665</v>
      </c>
      <c r="H8" t="s">
        <v>666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400</v>
      </c>
      <c r="B9" s="3" t="s">
        <v>1144</v>
      </c>
      <c r="C9" s="3" t="s">
        <v>2059</v>
      </c>
      <c r="E9" t="s">
        <v>2081</v>
      </c>
      <c r="F9" t="s">
        <v>1204</v>
      </c>
      <c r="G9" t="s">
        <v>722</v>
      </c>
      <c r="H9" t="s">
        <v>723</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400</v>
      </c>
      <c r="B10" s="3" t="s">
        <v>1145</v>
      </c>
      <c r="C10" s="3" t="s">
        <v>726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1146</v>
      </c>
      <c r="C11" s="3" t="s">
        <v>1147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402</v>
      </c>
      <c r="B12" s="3" t="s">
        <v>1148</v>
      </c>
      <c r="C12" s="3" t="s">
        <v>1149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401</v>
      </c>
      <c r="B13" s="3" t="s">
        <v>1150</v>
      </c>
      <c r="C13" s="3" t="s">
        <v>1151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401</v>
      </c>
      <c r="B14" s="3" t="s">
        <v>1152</v>
      </c>
      <c r="C14" s="3" t="s">
        <v>1153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401</v>
      </c>
      <c r="B15" s="3" t="s">
        <v>1154</v>
      </c>
      <c r="C15" s="3" t="s">
        <v>1155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401</v>
      </c>
      <c r="B16" s="3" t="s">
        <v>1156</v>
      </c>
      <c r="C16" s="3" t="s">
        <v>1157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401</v>
      </c>
      <c r="B17" s="3" t="s">
        <v>1158</v>
      </c>
      <c r="C17" s="3" t="s">
        <v>1159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401</v>
      </c>
      <c r="B18" s="3" t="s">
        <v>404</v>
      </c>
      <c r="C18" s="3" t="s">
        <v>1160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401</v>
      </c>
      <c r="B19" s="3" t="s">
        <v>1161</v>
      </c>
      <c r="C19" s="3" t="s">
        <v>1162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401</v>
      </c>
      <c r="B20" s="3" t="s">
        <v>1163</v>
      </c>
      <c r="C20" s="3" t="s">
        <v>1164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1165</v>
      </c>
      <c r="C21" s="3" t="s">
        <v>1166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1167</v>
      </c>
      <c r="C22" s="3" t="s">
        <v>1168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2060</v>
      </c>
      <c r="C23" s="3" t="s">
        <v>2061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402</v>
      </c>
      <c r="B24" s="3" t="s">
        <v>1169</v>
      </c>
      <c r="C24" s="3" t="s">
        <v>1170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402</v>
      </c>
      <c r="B25" s="3" t="s">
        <v>1171</v>
      </c>
      <c r="C25" s="3" t="s">
        <v>1172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402</v>
      </c>
      <c r="B26" s="3" t="s">
        <v>1173</v>
      </c>
      <c r="C26" s="3" t="s">
        <v>1174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1175</v>
      </c>
      <c r="C27" s="3" t="s">
        <v>1176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401</v>
      </c>
      <c r="B28" s="3" t="s">
        <v>1177</v>
      </c>
      <c r="C28" s="3" t="s">
        <v>1178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401</v>
      </c>
      <c r="B29" s="3" t="s">
        <v>403</v>
      </c>
      <c r="C29" s="3" t="s">
        <v>1179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400</v>
      </c>
      <c r="B30" s="3" t="s">
        <v>1180</v>
      </c>
      <c r="C30" s="3" t="s">
        <v>1951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400</v>
      </c>
      <c r="B31" s="3" t="s">
        <v>1181</v>
      </c>
      <c r="C31" s="3" t="s">
        <v>772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400</v>
      </c>
      <c r="B32" s="3" t="s">
        <v>1182</v>
      </c>
      <c r="C32" s="3" t="s">
        <v>773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400</v>
      </c>
      <c r="B33" s="3" t="s">
        <v>2062</v>
      </c>
      <c r="C33" s="3" t="s">
        <v>775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1183</v>
      </c>
      <c r="C34" s="3" t="s">
        <v>1184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1185</v>
      </c>
      <c r="C35" s="3" t="s">
        <v>1186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1187</v>
      </c>
      <c r="C36" s="3" t="s">
        <v>1188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1189</v>
      </c>
      <c r="C37" s="3" t="s">
        <v>1190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1191</v>
      </c>
      <c r="C38" s="3" t="s">
        <v>1192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1193</v>
      </c>
      <c r="C39" s="3" t="s">
        <v>1194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1195</v>
      </c>
      <c r="C40" s="3" t="s">
        <v>1196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1197</v>
      </c>
      <c r="C41" s="3" t="s">
        <v>1198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402</v>
      </c>
      <c r="B42" s="3" t="s">
        <v>2063</v>
      </c>
      <c r="C42" s="3" t="s">
        <v>2064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402</v>
      </c>
      <c r="B43" s="3" t="s">
        <v>2065</v>
      </c>
      <c r="C43" s="3" t="s">
        <v>2066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402</v>
      </c>
      <c r="B44" s="3" t="s">
        <v>2067</v>
      </c>
      <c r="C44" s="3" t="s">
        <v>2068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402</v>
      </c>
      <c r="B45" s="3" t="s">
        <v>2069</v>
      </c>
      <c r="C45" s="3" t="s">
        <v>2070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365</v>
      </c>
      <c r="C46" s="3" t="s">
        <v>1199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1200</v>
      </c>
      <c r="B47" s="3" t="s">
        <v>1510</v>
      </c>
      <c r="C47" s="3" t="s">
        <v>452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402</v>
      </c>
      <c r="B48" s="3" t="s">
        <v>1968</v>
      </c>
      <c r="C48" s="3" t="s">
        <v>2071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401</v>
      </c>
      <c r="B49" s="3" t="s">
        <v>582</v>
      </c>
      <c r="C49" s="3" t="s">
        <v>2072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405</v>
      </c>
      <c r="B50" s="3" t="s">
        <v>406</v>
      </c>
      <c r="C50" s="3" t="s">
        <v>2073</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S10</v>
      </c>
      <c r="B1" s="28"/>
      <c r="C1" s="28"/>
      <c r="E1" s="27" t="str" cm="1">
        <f t="array" aca="1" ref="E1" ca="1">IFERROR(MID(CELL("filename",$A$1),FIND("]",CELL("filename",$A$1))+1,99),"SXX")&amp;" MATERIALS (USAGE + STANDALONE)"</f>
        <v>S10 MATERIALS (USAGE + STANDALONE)</v>
      </c>
      <c r="F1" s="27"/>
      <c r="G1" s="27"/>
      <c r="H1" s="27"/>
      <c r="I1" s="27"/>
      <c r="J1" s="27"/>
      <c r="K1" s="27"/>
      <c r="L1" s="13"/>
      <c r="M1" s="13"/>
      <c r="N1" s="19">
        <f>SUM(N3:N49)</f>
        <v>3388.8574999999992</v>
      </c>
      <c r="P1" s="27" t="str" cm="1">
        <f t="array" aca="1" ref="P1" ca="1">IFERROR(MID(CELL("filename",$A$1),FIND("]",CELL("filename",$A$1))+1,99),"SXX")&amp;" LABOUR (USAGE + STANDALONE)"</f>
        <v>S10 LABOUR (USAGE + STANDALONE)</v>
      </c>
      <c r="Q1" s="27"/>
      <c r="R1" s="27"/>
      <c r="S1" s="27"/>
      <c r="T1" s="27"/>
      <c r="U1" s="27"/>
      <c r="V1" s="27"/>
      <c r="Y1" s="19">
        <f>SUM(Y3:Y49)</f>
        <v>1912.5</v>
      </c>
      <c r="AA1" s="29" t="str" cm="1">
        <f t="array" aca="1" ref="AA1" ca="1">IFERROR(MID(CELL("filename",$A$1),FIND("]",CELL("filename",$A$1))+1,99),"SXX")&amp;" RENTAL / SERVICE (USAGE + STANDALONE)"</f>
        <v>S10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407</v>
      </c>
      <c r="B3" s="3" t="s">
        <v>1206</v>
      </c>
      <c r="C3" s="3" t="s">
        <v>1207</v>
      </c>
      <c r="E3" t="s">
        <v>2092</v>
      </c>
      <c r="F3" t="s">
        <v>1284</v>
      </c>
      <c r="G3" t="s">
        <v>2093</v>
      </c>
      <c r="H3" t="s">
        <v>10</v>
      </c>
      <c r="I3">
        <v>1</v>
      </c>
      <c r="J3" s="22">
        <v>0</v>
      </c>
      <c r="K3">
        <v>480</v>
      </c>
      <c r="L3" s="8">
        <f t="shared" ref="L3:L49" si="0">IF($G3="","",$I3*(1+IF($J3="",0,$J3)))</f>
        <v>1</v>
      </c>
      <c r="M3" s="8">
        <f t="shared" ref="M3:M49" si="1">IF($G3="","",$L3)</f>
        <v>1</v>
      </c>
      <c r="N3" s="8">
        <f t="shared" ref="N3:N49" si="2">IF($G3="","",IF($K3="","",$M3*$K3))</f>
        <v>480</v>
      </c>
      <c r="P3" t="s">
        <v>2111</v>
      </c>
      <c r="Q3" t="s">
        <v>1299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408</v>
      </c>
      <c r="B4" s="3" t="s">
        <v>1208</v>
      </c>
      <c r="C4" s="3" t="s">
        <v>1209</v>
      </c>
      <c r="E4" t="s">
        <v>2094</v>
      </c>
      <c r="F4" t="s">
        <v>1285</v>
      </c>
      <c r="G4" t="s">
        <v>2095</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1210</v>
      </c>
      <c r="B5" s="3" t="s">
        <v>1211</v>
      </c>
      <c r="C5" s="3" t="s">
        <v>1212</v>
      </c>
      <c r="E5" t="s">
        <v>2096</v>
      </c>
      <c r="F5" t="s">
        <v>1285</v>
      </c>
      <c r="G5" t="s">
        <v>2097</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409</v>
      </c>
      <c r="B6" s="3" t="s">
        <v>410</v>
      </c>
      <c r="C6" s="3" t="s">
        <v>1213</v>
      </c>
      <c r="E6" t="s">
        <v>2098</v>
      </c>
      <c r="F6" t="s">
        <v>2099</v>
      </c>
      <c r="G6" t="s">
        <v>2100</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409</v>
      </c>
      <c r="B7" s="3" t="s">
        <v>1214</v>
      </c>
      <c r="C7" s="3" t="s">
        <v>1215</v>
      </c>
      <c r="E7" t="s">
        <v>2101</v>
      </c>
      <c r="F7" t="s">
        <v>2099</v>
      </c>
      <c r="G7" t="s">
        <v>2102</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409</v>
      </c>
      <c r="B8" s="3" t="s">
        <v>1216</v>
      </c>
      <c r="C8" s="3" t="s">
        <v>1217</v>
      </c>
      <c r="E8" t="s">
        <v>2103</v>
      </c>
      <c r="F8" t="s">
        <v>2099</v>
      </c>
      <c r="G8" t="s">
        <v>2104</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411</v>
      </c>
      <c r="B9" s="3" t="s">
        <v>1218</v>
      </c>
      <c r="C9" s="3" t="s">
        <v>1219</v>
      </c>
      <c r="E9" t="s">
        <v>2105</v>
      </c>
      <c r="F9" t="s">
        <v>2106</v>
      </c>
      <c r="G9" t="s">
        <v>1286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409</v>
      </c>
      <c r="B10" s="3" t="s">
        <v>1220</v>
      </c>
      <c r="C10" s="3" t="s">
        <v>1221</v>
      </c>
      <c r="E10" t="s">
        <v>2107</v>
      </c>
      <c r="F10" t="s">
        <v>1287</v>
      </c>
      <c r="G10" t="s">
        <v>722</v>
      </c>
      <c r="H10" t="s">
        <v>723</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411</v>
      </c>
      <c r="B11" s="3" t="s">
        <v>1222</v>
      </c>
      <c r="C11" s="3" t="s">
        <v>1223</v>
      </c>
      <c r="E11" t="s">
        <v>2108</v>
      </c>
      <c r="F11" t="s">
        <v>1288</v>
      </c>
      <c r="G11" t="s">
        <v>1289</v>
      </c>
      <c r="H11" t="s">
        <v>715</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409</v>
      </c>
      <c r="B12" s="3" t="s">
        <v>1224</v>
      </c>
      <c r="C12" s="3" t="s">
        <v>1225</v>
      </c>
      <c r="E12" t="s">
        <v>2109</v>
      </c>
      <c r="F12" t="s">
        <v>1288</v>
      </c>
      <c r="G12" t="s">
        <v>1290</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1226</v>
      </c>
      <c r="C13" s="3" t="s">
        <v>1227</v>
      </c>
      <c r="E13" t="s">
        <v>2110</v>
      </c>
      <c r="F13" t="s">
        <v>1288</v>
      </c>
      <c r="G13" t="s">
        <v>1291</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1228</v>
      </c>
      <c r="C14" s="3" t="s">
        <v>1229</v>
      </c>
      <c r="E14" t="s">
        <v>2110</v>
      </c>
      <c r="F14" t="s">
        <v>1288</v>
      </c>
      <c r="G14" t="s">
        <v>1292</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1230</v>
      </c>
      <c r="C15" s="3" t="s">
        <v>1231</v>
      </c>
      <c r="E15" t="s">
        <v>2110</v>
      </c>
      <c r="F15" t="s">
        <v>1288</v>
      </c>
      <c r="G15" t="s">
        <v>1293</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1232</v>
      </c>
      <c r="C16" s="3" t="s">
        <v>1233</v>
      </c>
      <c r="E16" t="s">
        <v>1294</v>
      </c>
      <c r="F16" t="s">
        <v>1295</v>
      </c>
      <c r="G16" t="s">
        <v>1296</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411</v>
      </c>
      <c r="B17" s="3" t="s">
        <v>1234</v>
      </c>
      <c r="C17" s="3" t="s">
        <v>1235</v>
      </c>
      <c r="E17" t="s">
        <v>1297</v>
      </c>
      <c r="F17" t="s">
        <v>1295</v>
      </c>
      <c r="G17" t="s">
        <v>1298</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411</v>
      </c>
      <c r="B18" s="3" t="s">
        <v>1236</v>
      </c>
      <c r="C18" s="3" t="s">
        <v>1237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1238</v>
      </c>
      <c r="C19" s="3" t="s">
        <v>1239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1240</v>
      </c>
      <c r="C20" s="3" t="s">
        <v>1241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411</v>
      </c>
      <c r="B21" s="3" t="s">
        <v>1242</v>
      </c>
      <c r="C21" s="3" t="s">
        <v>1243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411</v>
      </c>
      <c r="B22" s="3" t="s">
        <v>1244</v>
      </c>
      <c r="C22" s="3" t="s">
        <v>1245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411</v>
      </c>
      <c r="B23" s="3" t="s">
        <v>1246</v>
      </c>
      <c r="C23" s="3" t="s">
        <v>1247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409</v>
      </c>
      <c r="B24" s="3" t="s">
        <v>412</v>
      </c>
      <c r="C24" s="3" t="s">
        <v>1248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409</v>
      </c>
      <c r="B25" s="3" t="s">
        <v>1249</v>
      </c>
      <c r="C25" s="3" t="s">
        <v>1250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409</v>
      </c>
      <c r="B26" s="3" t="s">
        <v>1251</v>
      </c>
      <c r="C26" s="3" t="s">
        <v>1252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413</v>
      </c>
      <c r="C27" s="3" t="s">
        <v>1253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1254</v>
      </c>
      <c r="C28" s="3" t="s">
        <v>1255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1256</v>
      </c>
      <c r="C29" s="3" t="s">
        <v>1257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409</v>
      </c>
      <c r="B30" s="3" t="s">
        <v>1258</v>
      </c>
      <c r="C30" s="3" t="s">
        <v>1259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409</v>
      </c>
      <c r="B31" s="3" t="s">
        <v>1260</v>
      </c>
      <c r="C31" s="3" t="s">
        <v>1261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409</v>
      </c>
      <c r="B32" s="3" t="s">
        <v>1262</v>
      </c>
      <c r="C32" s="3" t="s">
        <v>1263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1265</v>
      </c>
      <c r="C33" s="3" t="s">
        <v>1266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2083</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1264</v>
      </c>
      <c r="B35" s="3" t="s">
        <v>1267</v>
      </c>
      <c r="C35" s="3" t="s">
        <v>1268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1264</v>
      </c>
      <c r="B36" s="3" t="s">
        <v>1269</v>
      </c>
      <c r="C36" s="3" t="s">
        <v>1270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1264</v>
      </c>
      <c r="B37" s="3" t="s">
        <v>1271</v>
      </c>
      <c r="C37" s="3" t="s">
        <v>1272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1264</v>
      </c>
      <c r="B38" s="3" t="s">
        <v>1273</v>
      </c>
      <c r="C38" s="3" t="s">
        <v>1274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1264</v>
      </c>
      <c r="B39" s="3" t="s">
        <v>1275</v>
      </c>
      <c r="C39" s="3" t="s">
        <v>1276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1264</v>
      </c>
      <c r="B40" s="3" t="s">
        <v>2084</v>
      </c>
      <c r="C40" s="3" t="s">
        <v>2085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1264</v>
      </c>
      <c r="B41" s="3" t="s">
        <v>2086</v>
      </c>
      <c r="C41" s="3" t="s">
        <v>2087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1264</v>
      </c>
      <c r="B42" s="3" t="s">
        <v>1277</v>
      </c>
      <c r="C42" s="3" t="s">
        <v>1278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409</v>
      </c>
      <c r="B43" s="3" t="s">
        <v>1279</v>
      </c>
      <c r="C43" s="3" t="s">
        <v>2088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409</v>
      </c>
      <c r="B44" s="3" t="s">
        <v>1280</v>
      </c>
      <c r="C44" s="3" t="s">
        <v>1281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1282</v>
      </c>
      <c r="B45" s="3" t="s">
        <v>1510</v>
      </c>
      <c r="C45" s="3" t="s">
        <v>452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411</v>
      </c>
      <c r="B46" s="3" t="s">
        <v>1968</v>
      </c>
      <c r="C46" s="3" t="s">
        <v>2089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409</v>
      </c>
      <c r="B47" s="3" t="s">
        <v>582</v>
      </c>
      <c r="C47" s="3" t="s">
        <v>2090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409</v>
      </c>
      <c r="B48" s="3" t="s">
        <v>365</v>
      </c>
      <c r="C48" s="3" t="s">
        <v>1283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414</v>
      </c>
      <c r="B49" s="3" t="s">
        <v>415</v>
      </c>
      <c r="C49" s="3" t="s">
        <v>2091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S11</v>
      </c>
      <c r="B1" s="28"/>
      <c r="C1" s="28"/>
      <c r="E1" s="27" t="str" cm="1">
        <f t="array" aca="1" ref="E1" ca="1">IFERROR(MID(CELL("filename",$A$1),FIND("]",CELL("filename",$A$1))+1,99),"SXX")&amp;" MATERIALS (USAGE + STANDALONE)"</f>
        <v>S11 MATERIALS (USAGE + STANDALONE)</v>
      </c>
      <c r="F1" s="27"/>
      <c r="G1" s="27"/>
      <c r="H1" s="27"/>
      <c r="I1" s="27"/>
      <c r="J1" s="27"/>
      <c r="K1" s="27"/>
      <c r="L1" s="13"/>
      <c r="M1" s="13"/>
      <c r="N1" s="19">
        <f>SUM(N3:N49)</f>
        <v>675.67500000000007</v>
      </c>
      <c r="P1" s="27" t="str" cm="1">
        <f t="array" aca="1" ref="P1" ca="1">IFERROR(MID(CELL("filename",$A$1),FIND("]",CELL("filename",$A$1))+1,99),"SXX")&amp;" LABOUR (USAGE + STANDALONE)"</f>
        <v>S11 LABOUR (USAGE + STANDALONE)</v>
      </c>
      <c r="Q1" s="27"/>
      <c r="R1" s="27"/>
      <c r="S1" s="27"/>
      <c r="T1" s="27"/>
      <c r="U1" s="27"/>
      <c r="V1" s="27"/>
      <c r="Y1" s="19">
        <f>SUM(Y3:Y49)</f>
        <v>2475</v>
      </c>
      <c r="AA1" s="29" t="str" cm="1">
        <f t="array" aca="1" ref="AA1" ca="1">IFERROR(MID(CELL("filename",$A$1),FIND("]",CELL("filename",$A$1))+1,99),"SXX")&amp;" RENTAL / SERVICE (USAGE + STANDALONE)"</f>
        <v>S11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416</v>
      </c>
      <c r="B3" s="3" t="s">
        <v>417</v>
      </c>
      <c r="C3" s="3" t="s">
        <v>1300</v>
      </c>
      <c r="E3" t="s">
        <v>2126</v>
      </c>
      <c r="F3" t="s">
        <v>2127</v>
      </c>
      <c r="G3" t="s">
        <v>2076</v>
      </c>
      <c r="H3" t="s">
        <v>9</v>
      </c>
      <c r="I3">
        <v>12</v>
      </c>
      <c r="J3" s="22">
        <v>0.05</v>
      </c>
      <c r="K3">
        <v>24</v>
      </c>
      <c r="L3" s="8">
        <f t="shared" ref="L3:L49" si="0">IF($G3="","",$I3*(1+IF($J3="",0,$J3)))</f>
        <v>12.600000000000001</v>
      </c>
      <c r="M3" s="8">
        <f t="shared" ref="M3:M49" si="1">IF($G3="","",$L3)</f>
        <v>12.600000000000001</v>
      </c>
      <c r="N3" s="8">
        <f t="shared" ref="N3:N49" si="2">IF($G3="","",IF($K3="","",$M3*$K3))</f>
        <v>302.40000000000003</v>
      </c>
      <c r="P3" t="s">
        <v>2132</v>
      </c>
      <c r="Q3" t="s">
        <v>1358</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418</v>
      </c>
      <c r="B4" s="3" t="s">
        <v>1301</v>
      </c>
      <c r="C4" s="3" t="s">
        <v>1302</v>
      </c>
      <c r="E4" t="s">
        <v>2128</v>
      </c>
      <c r="F4" t="s">
        <v>2127</v>
      </c>
      <c r="G4" t="s">
        <v>733</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1304</v>
      </c>
      <c r="C5" s="3" t="s">
        <v>1305</v>
      </c>
      <c r="E5" t="s">
        <v>2129</v>
      </c>
      <c r="F5" t="s">
        <v>1354</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419</v>
      </c>
      <c r="B6" s="3" t="s">
        <v>1306</v>
      </c>
      <c r="C6" s="3" t="s">
        <v>1307</v>
      </c>
      <c r="E6" t="s">
        <v>2130</v>
      </c>
      <c r="F6" t="s">
        <v>1355</v>
      </c>
      <c r="G6" t="s">
        <v>1356</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419</v>
      </c>
      <c r="B7" s="3" t="s">
        <v>1308</v>
      </c>
      <c r="C7" s="3" t="s">
        <v>1309</v>
      </c>
      <c r="E7" t="s">
        <v>2131</v>
      </c>
      <c r="F7" t="s">
        <v>1355</v>
      </c>
      <c r="G7" t="s">
        <v>1357</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419</v>
      </c>
      <c r="B8" s="3" t="s">
        <v>693</v>
      </c>
      <c r="C8" s="3" t="s">
        <v>1310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419</v>
      </c>
      <c r="B9" s="3" t="s">
        <v>420</v>
      </c>
      <c r="C9" s="3" t="s">
        <v>1311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419</v>
      </c>
      <c r="B10" s="3" t="s">
        <v>421</v>
      </c>
      <c r="C10" s="3" t="s">
        <v>1312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419</v>
      </c>
      <c r="B11" s="3" t="s">
        <v>422</v>
      </c>
      <c r="C11" s="3" t="s">
        <v>1313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419</v>
      </c>
      <c r="B12" s="3" t="s">
        <v>1314</v>
      </c>
      <c r="C12" s="3" t="s">
        <v>1315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419</v>
      </c>
      <c r="B13" s="3" t="s">
        <v>423</v>
      </c>
      <c r="C13" s="3" t="s">
        <v>1316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419</v>
      </c>
      <c r="B14" s="3" t="s">
        <v>1317</v>
      </c>
      <c r="C14" s="3" t="s">
        <v>1318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419</v>
      </c>
      <c r="B15" s="3" t="s">
        <v>1319</v>
      </c>
      <c r="C15" s="3" t="s">
        <v>1320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419</v>
      </c>
      <c r="B16" s="3" t="s">
        <v>424</v>
      </c>
      <c r="C16" s="3" t="s">
        <v>1321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419</v>
      </c>
      <c r="B17" s="3" t="s">
        <v>990</v>
      </c>
      <c r="C17" s="3" t="s">
        <v>1322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419</v>
      </c>
      <c r="B18" s="3" t="s">
        <v>425</v>
      </c>
      <c r="C18" s="3" t="s">
        <v>1323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419</v>
      </c>
      <c r="B19" s="3" t="s">
        <v>426</v>
      </c>
      <c r="C19" s="3" t="s">
        <v>1324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419</v>
      </c>
      <c r="B20" s="3" t="s">
        <v>1325</v>
      </c>
      <c r="C20" s="3" t="s">
        <v>1326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1327</v>
      </c>
      <c r="C21" s="3" t="s">
        <v>1328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1329</v>
      </c>
      <c r="C22" s="3" t="s">
        <v>1330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1331</v>
      </c>
      <c r="C23" s="3" t="s">
        <v>1332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419</v>
      </c>
      <c r="B24" s="3" t="s">
        <v>1333</v>
      </c>
      <c r="C24" s="3" t="s">
        <v>1334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2112</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2112</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2112</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2112</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2112</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1335</v>
      </c>
      <c r="B30" s="3" t="s">
        <v>1336</v>
      </c>
      <c r="C30" s="3" t="s">
        <v>2059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1335</v>
      </c>
      <c r="B31" s="3" t="s">
        <v>1337</v>
      </c>
      <c r="C31" s="3" t="s">
        <v>726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1335</v>
      </c>
      <c r="B32" s="3" t="s">
        <v>1338</v>
      </c>
      <c r="C32" s="3" t="s">
        <v>1339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1335</v>
      </c>
      <c r="B33" s="3" t="s">
        <v>1340</v>
      </c>
      <c r="C33" s="3" t="s">
        <v>1341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1335</v>
      </c>
      <c r="B34" s="3" t="s">
        <v>1342</v>
      </c>
      <c r="C34" s="3" t="s">
        <v>1343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419</v>
      </c>
      <c r="B35" s="3" t="s">
        <v>1344</v>
      </c>
      <c r="C35" s="3" t="s">
        <v>1345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419</v>
      </c>
      <c r="B36" s="3" t="s">
        <v>1346</v>
      </c>
      <c r="C36" s="3" t="s">
        <v>1347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419</v>
      </c>
      <c r="B37" s="3" t="s">
        <v>1348</v>
      </c>
      <c r="C37" s="3" t="s">
        <v>1349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419</v>
      </c>
      <c r="B38" s="3" t="s">
        <v>1350</v>
      </c>
      <c r="C38" s="3" t="s">
        <v>1351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419</v>
      </c>
      <c r="B39" s="3" t="s">
        <v>365</v>
      </c>
      <c r="C39" s="3" t="s">
        <v>1352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1353</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2112</v>
      </c>
      <c r="B41" s="3" t="s">
        <v>1968</v>
      </c>
      <c r="C41" s="3" t="s">
        <v>2123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419</v>
      </c>
      <c r="B42" s="3" t="s">
        <v>582</v>
      </c>
      <c r="C42" s="3" t="s">
        <v>2124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427</v>
      </c>
      <c r="B43" s="3" t="s">
        <v>428</v>
      </c>
      <c r="C43" s="3" t="s">
        <v>2125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S12</v>
      </c>
      <c r="B1" s="28"/>
      <c r="C1" s="28"/>
      <c r="E1" s="27" t="str" cm="1">
        <f t="array" aca="1" ref="E1" ca="1">IFERROR(MID(CELL("filename",$A$1),FIND("]",CELL("filename",$A$1))+1,99),"SXX")&amp;" MATERIALS (USAGE + STANDALONE)"</f>
        <v>S12 MATERIALS (USAGE + STANDALONE)</v>
      </c>
      <c r="F1" s="27"/>
      <c r="G1" s="27"/>
      <c r="H1" s="27"/>
      <c r="I1" s="27"/>
      <c r="J1" s="27"/>
      <c r="K1" s="27"/>
      <c r="L1" s="13"/>
      <c r="M1" s="13"/>
      <c r="N1" s="19">
        <f>SUM(N3:N49)</f>
        <v>963.125</v>
      </c>
      <c r="P1" s="27" t="str" cm="1">
        <f t="array" aca="1" ref="P1" ca="1">IFERROR(MID(CELL("filename",$A$1),FIND("]",CELL("filename",$A$1))+1,99),"SXX")&amp;" LABOUR (USAGE + STANDALONE)"</f>
        <v>S12 LABOUR (USAGE + STANDALONE)</v>
      </c>
      <c r="Q1" s="27"/>
      <c r="R1" s="27"/>
      <c r="S1" s="27"/>
      <c r="T1" s="27"/>
      <c r="U1" s="27"/>
      <c r="V1" s="27"/>
      <c r="Y1" s="19">
        <f>SUM(Y3:Y49)</f>
        <v>1912.5</v>
      </c>
      <c r="AA1" s="29" t="str" cm="1">
        <f t="array" aca="1" ref="AA1" ca="1">IFERROR(MID(CELL("filename",$A$1),FIND("]",CELL("filename",$A$1))+1,99),"SXX")&amp;" RENTAL / SERVICE (USAGE + STANDALONE)"</f>
        <v>S12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2133</v>
      </c>
      <c r="B3" s="3" t="s">
        <v>2134</v>
      </c>
      <c r="C3" s="3" t="s">
        <v>2135</v>
      </c>
      <c r="E3" t="s">
        <v>2215</v>
      </c>
      <c r="F3" t="s">
        <v>1359</v>
      </c>
      <c r="G3" t="s">
        <v>1360</v>
      </c>
      <c r="H3" t="s">
        <v>666</v>
      </c>
      <c r="I3">
        <v>13</v>
      </c>
      <c r="J3" s="22">
        <v>0.05</v>
      </c>
      <c r="K3">
        <v>25</v>
      </c>
      <c r="L3" s="8">
        <f t="shared" ref="L3:L49" si="0">IF($G3="","",$I3*(1+IF($J3="",0,$J3)))</f>
        <v>13.65</v>
      </c>
      <c r="M3" s="8">
        <f t="shared" ref="M3:M49" si="1">IF($G3="","",$L3)</f>
        <v>13.65</v>
      </c>
      <c r="N3" s="8">
        <f t="shared" ref="N3:N49" si="2">IF($G3="","",IF($K3="","",$M3*$K3))</f>
        <v>341.25</v>
      </c>
      <c r="P3" t="s">
        <v>2225</v>
      </c>
      <c r="Q3" t="s">
        <v>1369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2136</v>
      </c>
      <c r="B4" s="3" t="s">
        <v>2137</v>
      </c>
      <c r="C4" s="3" t="s">
        <v>2138</v>
      </c>
      <c r="E4" t="s">
        <v>2216</v>
      </c>
      <c r="F4" t="s">
        <v>1359</v>
      </c>
      <c r="G4" t="s">
        <v>1361</v>
      </c>
      <c r="H4" t="s">
        <v>666</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2139</v>
      </c>
      <c r="B5" s="3" t="s">
        <v>2140</v>
      </c>
      <c r="C5" s="3" t="s">
        <v>2141</v>
      </c>
      <c r="E5" t="s">
        <v>2217</v>
      </c>
      <c r="F5" t="s">
        <v>2218</v>
      </c>
      <c r="G5" t="s">
        <v>1362</v>
      </c>
      <c r="H5" t="s">
        <v>723</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2142</v>
      </c>
      <c r="B6" s="3" t="s">
        <v>2143</v>
      </c>
      <c r="C6" s="3" t="s">
        <v>2144</v>
      </c>
      <c r="E6" t="s">
        <v>2219</v>
      </c>
      <c r="F6" t="s">
        <v>2218</v>
      </c>
      <c r="G6" t="s">
        <v>1363</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2142</v>
      </c>
      <c r="B7" s="3" t="s">
        <v>2145</v>
      </c>
      <c r="C7" s="3" t="s">
        <v>2146</v>
      </c>
      <c r="E7" t="s">
        <v>2220</v>
      </c>
      <c r="F7" t="s">
        <v>2221</v>
      </c>
      <c r="G7" t="s">
        <v>1364</v>
      </c>
      <c r="H7" t="s">
        <v>723</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2147</v>
      </c>
      <c r="B8" s="3" t="s">
        <v>2148</v>
      </c>
      <c r="C8" s="3" t="s">
        <v>2149</v>
      </c>
      <c r="E8" t="s">
        <v>1365</v>
      </c>
      <c r="F8" t="s">
        <v>2222</v>
      </c>
      <c r="G8" t="s">
        <v>1366</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2142</v>
      </c>
      <c r="B9" s="3" t="s">
        <v>1150</v>
      </c>
      <c r="C9" s="3" t="s">
        <v>2150</v>
      </c>
      <c r="E9" t="s">
        <v>2223</v>
      </c>
      <c r="F9" t="s">
        <v>2222</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2142</v>
      </c>
      <c r="B10" s="3" t="s">
        <v>2151</v>
      </c>
      <c r="C10" s="3" t="s">
        <v>2152</v>
      </c>
      <c r="E10" t="s">
        <v>2224</v>
      </c>
      <c r="F10" t="s">
        <v>1367</v>
      </c>
      <c r="G10" t="s">
        <v>1368</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2147</v>
      </c>
      <c r="B11" s="3" t="s">
        <v>2153</v>
      </c>
      <c r="C11" s="3" t="s">
        <v>2154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2147</v>
      </c>
      <c r="B12" s="3" t="s">
        <v>2155</v>
      </c>
      <c r="C12" s="3" t="s">
        <v>2156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2147</v>
      </c>
      <c r="B13" s="3" t="s">
        <v>2157</v>
      </c>
      <c r="C13" s="3" t="s">
        <v>2158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2142</v>
      </c>
      <c r="B14" s="3" t="s">
        <v>2159</v>
      </c>
      <c r="C14" s="3" t="s">
        <v>2160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2142</v>
      </c>
      <c r="B15" s="3" t="s">
        <v>2161</v>
      </c>
      <c r="C15" s="3" t="s">
        <v>2162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2142</v>
      </c>
      <c r="B16" s="3" t="s">
        <v>2163</v>
      </c>
      <c r="C16" s="3" t="s">
        <v>2164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2142</v>
      </c>
      <c r="B17" s="3" t="s">
        <v>2165</v>
      </c>
      <c r="C17" s="3" t="s">
        <v>2166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2142</v>
      </c>
      <c r="B18" s="3" t="s">
        <v>2167</v>
      </c>
      <c r="C18" s="3" t="s">
        <v>2168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2142</v>
      </c>
      <c r="B19" s="3" t="s">
        <v>2169</v>
      </c>
      <c r="C19" s="3" t="s">
        <v>2170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2142</v>
      </c>
      <c r="B20" s="3" t="s">
        <v>2171</v>
      </c>
      <c r="C20" s="3" t="s">
        <v>2172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2142</v>
      </c>
      <c r="B21" s="3" t="s">
        <v>2173</v>
      </c>
      <c r="C21" s="3" t="s">
        <v>2174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2142</v>
      </c>
      <c r="B22" s="3" t="s">
        <v>579</v>
      </c>
      <c r="C22" s="3" t="s">
        <v>2175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2142</v>
      </c>
      <c r="B23" s="3" t="s">
        <v>365</v>
      </c>
      <c r="C23" s="3" t="s">
        <v>2176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2177</v>
      </c>
      <c r="B24" s="3" t="s">
        <v>2178</v>
      </c>
      <c r="C24" s="3" t="s">
        <v>2179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2177</v>
      </c>
      <c r="B25" s="3" t="s">
        <v>2180</v>
      </c>
      <c r="C25" s="3" t="s">
        <v>2181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2177</v>
      </c>
      <c r="B26" s="3" t="s">
        <v>2182</v>
      </c>
      <c r="C26" s="3" t="s">
        <v>2183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2177</v>
      </c>
      <c r="B27" s="3" t="s">
        <v>2184</v>
      </c>
      <c r="C27" s="3" t="s">
        <v>2185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2177</v>
      </c>
      <c r="B28" s="3" t="s">
        <v>2186</v>
      </c>
      <c r="C28" s="3" t="s">
        <v>2187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2177</v>
      </c>
      <c r="B29" s="3" t="s">
        <v>2188</v>
      </c>
      <c r="C29" s="3" t="s">
        <v>2189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2177</v>
      </c>
      <c r="B30" s="3" t="s">
        <v>2190</v>
      </c>
      <c r="C30" s="3" t="s">
        <v>1339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2177</v>
      </c>
      <c r="B31" s="3" t="s">
        <v>2191</v>
      </c>
      <c r="C31" s="3" t="s">
        <v>2192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2147</v>
      </c>
      <c r="B32" s="3" t="s">
        <v>2193</v>
      </c>
      <c r="C32" s="3" t="s">
        <v>2194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2147</v>
      </c>
      <c r="B33" s="3" t="s">
        <v>2195</v>
      </c>
      <c r="C33" s="3" t="s">
        <v>2196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2147</v>
      </c>
      <c r="B34" s="3" t="s">
        <v>2197</v>
      </c>
      <c r="C34" s="3" t="s">
        <v>2198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2147</v>
      </c>
      <c r="B35" s="3" t="s">
        <v>2199</v>
      </c>
      <c r="C35" s="3" t="s">
        <v>2200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2147</v>
      </c>
      <c r="B36" s="3" t="s">
        <v>2201</v>
      </c>
      <c r="C36" s="3" t="s">
        <v>2202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2147</v>
      </c>
      <c r="B37" s="3" t="s">
        <v>2203</v>
      </c>
      <c r="C37" s="3" t="s">
        <v>2204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2147</v>
      </c>
      <c r="B38" s="3" t="s">
        <v>2205</v>
      </c>
      <c r="C38" s="3" t="s">
        <v>2206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2147</v>
      </c>
      <c r="B39" s="3" t="s">
        <v>2207</v>
      </c>
      <c r="C39" s="3" t="s">
        <v>2208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2209</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2147</v>
      </c>
      <c r="B41" s="3" t="s">
        <v>1968</v>
      </c>
      <c r="C41" s="3" t="s">
        <v>2210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2142</v>
      </c>
      <c r="B42" s="3" t="s">
        <v>582</v>
      </c>
      <c r="C42" s="3" t="s">
        <v>2211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2212</v>
      </c>
      <c r="B43" s="3" t="s">
        <v>2213</v>
      </c>
      <c r="C43" s="3" t="s">
        <v>2214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S13</v>
      </c>
      <c r="B1" s="28"/>
      <c r="C1" s="28"/>
      <c r="E1" s="27" t="str" cm="1">
        <f t="array" aca="1" ref="E1" ca="1">IFERROR(MID(CELL("filename",$A$1),FIND("]",CELL("filename",$A$1))+1,99),"SXX")&amp;" MATERIALS (USAGE + STANDALONE)"</f>
        <v>S13 MATERIALS (USAGE + STANDALONE)</v>
      </c>
      <c r="F1" s="27"/>
      <c r="G1" s="27"/>
      <c r="H1" s="27"/>
      <c r="I1" s="27"/>
      <c r="J1" s="27"/>
      <c r="K1" s="27"/>
      <c r="L1" s="13"/>
      <c r="M1" s="13"/>
      <c r="N1" s="19">
        <f>SUM(N3:N49)</f>
        <v>5277.5</v>
      </c>
      <c r="P1" s="27" t="str" cm="1">
        <f t="array" aca="1" ref="P1" ca="1">IFERROR(MID(CELL("filename",$A$1),FIND("]",CELL("filename",$A$1))+1,99),"SXX")&amp;" LABOUR (USAGE + STANDALONE)"</f>
        <v>S13 LABOUR (USAGE + STANDALONE)</v>
      </c>
      <c r="Q1" s="27"/>
      <c r="R1" s="27"/>
      <c r="S1" s="27"/>
      <c r="T1" s="27"/>
      <c r="U1" s="27"/>
      <c r="V1" s="27"/>
      <c r="Y1" s="19">
        <f>SUM(Y3:Y49)</f>
        <v>5040</v>
      </c>
      <c r="AA1" s="29" t="str" cm="1">
        <f t="array" aca="1" ref="AA1" ca="1">IFERROR(MID(CELL("filename",$A$1),FIND("]",CELL("filename",$A$1))+1,99),"SXX")&amp;" RENTAL / SERVICE (USAGE + STANDALONE)"</f>
        <v>S13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429</v>
      </c>
      <c r="B3" s="3" t="s">
        <v>1559</v>
      </c>
      <c r="C3" s="3" t="s">
        <v>1560</v>
      </c>
      <c r="E3" t="s">
        <v>1615</v>
      </c>
      <c r="F3" t="s">
        <v>1616</v>
      </c>
      <c r="G3" t="s">
        <v>1617</v>
      </c>
      <c r="H3" t="s">
        <v>10</v>
      </c>
      <c r="I3">
        <v>5</v>
      </c>
      <c r="J3" s="22">
        <v>0</v>
      </c>
      <c r="K3">
        <v>105</v>
      </c>
      <c r="L3" s="8">
        <f t="shared" ref="L3:L49" si="0">IF($G3="","",$I3*(1+IF($J3="",0,$J3)))</f>
        <v>5</v>
      </c>
      <c r="M3" s="8">
        <f t="shared" ref="M3:M49" si="1">IF($G3="","",$L3)</f>
        <v>5</v>
      </c>
      <c r="N3" s="8">
        <f t="shared" ref="N3:N49" si="2">IF($G3="","",IF($K3="","",$M3*$K3))</f>
        <v>525</v>
      </c>
      <c r="P3" t="s">
        <v>2234</v>
      </c>
      <c r="Q3" t="s">
        <v>1636</v>
      </c>
      <c r="R3" t="s">
        <v>322</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430</v>
      </c>
      <c r="B4" s="3" t="s">
        <v>1561</v>
      </c>
      <c r="C4" s="3" t="s">
        <v>1562</v>
      </c>
      <c r="E4" t="s">
        <v>2228</v>
      </c>
      <c r="F4" t="s">
        <v>1618</v>
      </c>
      <c r="G4" t="s">
        <v>1619</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1370</v>
      </c>
      <c r="B5" s="3" t="s">
        <v>1563</v>
      </c>
      <c r="C5" s="3" t="s">
        <v>1564</v>
      </c>
      <c r="E5" t="s">
        <v>2229</v>
      </c>
      <c r="F5" t="s">
        <v>1620</v>
      </c>
      <c r="G5" t="s">
        <v>1621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431</v>
      </c>
      <c r="B6" s="3" t="s">
        <v>1565</v>
      </c>
      <c r="C6" s="3" t="s">
        <v>1566</v>
      </c>
      <c r="E6" t="s">
        <v>2230</v>
      </c>
      <c r="F6" t="s">
        <v>1622</v>
      </c>
      <c r="G6" t="s">
        <v>1621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431</v>
      </c>
      <c r="B7" s="3" t="s">
        <v>1567</v>
      </c>
      <c r="C7" s="3" t="s">
        <v>1568</v>
      </c>
      <c r="E7" t="s">
        <v>2231</v>
      </c>
      <c r="F7" t="s">
        <v>1623</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431</v>
      </c>
      <c r="B8" s="3" t="s">
        <v>1569</v>
      </c>
      <c r="C8" s="3" t="s">
        <v>1570</v>
      </c>
      <c r="E8" t="s">
        <v>2232</v>
      </c>
      <c r="F8" t="s">
        <v>1624</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431</v>
      </c>
      <c r="B9" s="3" t="s">
        <v>1571</v>
      </c>
      <c r="C9" s="3" t="s">
        <v>1572</v>
      </c>
      <c r="E9" t="s">
        <v>1625</v>
      </c>
      <c r="F9" t="s">
        <v>1626</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1371</v>
      </c>
      <c r="B10" s="3" t="s">
        <v>1372</v>
      </c>
      <c r="C10" s="3" t="s">
        <v>1573</v>
      </c>
      <c r="E10" t="s">
        <v>1627</v>
      </c>
      <c r="F10" t="s">
        <v>1628</v>
      </c>
      <c r="G10" t="s">
        <v>1629</v>
      </c>
      <c r="H10" t="s">
        <v>1630</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1371</v>
      </c>
      <c r="B11" s="3" t="s">
        <v>1373</v>
      </c>
      <c r="C11" s="3" t="s">
        <v>1374</v>
      </c>
      <c r="E11" t="s">
        <v>1631</v>
      </c>
      <c r="F11" t="s">
        <v>1632</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1371</v>
      </c>
      <c r="B12" s="3" t="s">
        <v>1375</v>
      </c>
      <c r="C12" s="3" t="s">
        <v>1574</v>
      </c>
      <c r="E12" t="s">
        <v>2233</v>
      </c>
      <c r="F12" t="s">
        <v>1633</v>
      </c>
      <c r="G12" t="s">
        <v>2076</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1371</v>
      </c>
      <c r="B13" s="3" t="s">
        <v>1575</v>
      </c>
      <c r="C13" s="3" t="s">
        <v>1576</v>
      </c>
      <c r="E13" t="s">
        <v>1634</v>
      </c>
      <c r="F13" t="s">
        <v>1633</v>
      </c>
      <c r="G13" t="s">
        <v>1635</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1371</v>
      </c>
      <c r="B14" s="3" t="s">
        <v>1577</v>
      </c>
      <c r="C14" s="3" t="s">
        <v>1578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1579</v>
      </c>
      <c r="C15" s="3" t="s">
        <v>1580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1376</v>
      </c>
      <c r="C16" s="3" t="s">
        <v>1377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1378</v>
      </c>
      <c r="C17" s="3" t="s">
        <v>1379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1086</v>
      </c>
      <c r="C18" s="3" t="s">
        <v>1581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1371</v>
      </c>
      <c r="B19" s="3" t="s">
        <v>1380</v>
      </c>
      <c r="C19" s="3" t="s">
        <v>1381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1371</v>
      </c>
      <c r="B20" s="3" t="s">
        <v>1382</v>
      </c>
      <c r="C20" s="3" t="s">
        <v>1582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1371</v>
      </c>
      <c r="B21" s="3" t="s">
        <v>1383</v>
      </c>
      <c r="C21" s="3" t="s">
        <v>1384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1371</v>
      </c>
      <c r="B22" s="3" t="s">
        <v>1385</v>
      </c>
      <c r="C22" s="3" t="s">
        <v>1386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1387</v>
      </c>
      <c r="C23" s="3" t="s">
        <v>1583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1371</v>
      </c>
      <c r="B24" s="3" t="s">
        <v>1584</v>
      </c>
      <c r="C24" s="3" t="s">
        <v>1585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1371</v>
      </c>
      <c r="B25" s="3" t="s">
        <v>1586</v>
      </c>
      <c r="C25" s="3" t="s">
        <v>1587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1371</v>
      </c>
      <c r="B26" s="3" t="s">
        <v>1588</v>
      </c>
      <c r="C26" s="3" t="s">
        <v>1589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1371</v>
      </c>
      <c r="B27" s="3" t="s">
        <v>1590</v>
      </c>
      <c r="C27" s="3" t="s">
        <v>1591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431</v>
      </c>
      <c r="B28" s="3" t="s">
        <v>1592</v>
      </c>
      <c r="C28" s="3" t="s">
        <v>1593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431</v>
      </c>
      <c r="B29" s="3" t="s">
        <v>1594</v>
      </c>
      <c r="C29" s="3" t="s">
        <v>1595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1388</v>
      </c>
      <c r="C30" s="3" t="s">
        <v>1596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1389</v>
      </c>
      <c r="B31" s="3" t="s">
        <v>1390</v>
      </c>
      <c r="C31" s="3" t="s">
        <v>1391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1392</v>
      </c>
      <c r="C32" s="3" t="s">
        <v>1597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1389</v>
      </c>
      <c r="B33" s="3" t="s">
        <v>1393</v>
      </c>
      <c r="C33" s="3" t="s">
        <v>1394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1389</v>
      </c>
      <c r="B34" s="3" t="s">
        <v>1395</v>
      </c>
      <c r="C34" s="3" t="s">
        <v>1396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1389</v>
      </c>
      <c r="B35" s="3" t="s">
        <v>1397</v>
      </c>
      <c r="C35" s="3" t="s">
        <v>1396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1389</v>
      </c>
      <c r="B36" s="3" t="s">
        <v>1398</v>
      </c>
      <c r="C36" s="3" t="s">
        <v>1399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1389</v>
      </c>
      <c r="B37" s="3" t="s">
        <v>1598</v>
      </c>
      <c r="C37" s="3" t="s">
        <v>1399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1389</v>
      </c>
      <c r="B38" s="3" t="s">
        <v>1401</v>
      </c>
      <c r="C38" s="3" t="s">
        <v>1402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1389</v>
      </c>
      <c r="B39" s="3" t="s">
        <v>1403</v>
      </c>
      <c r="C39" s="3" t="s">
        <v>1404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1389</v>
      </c>
      <c r="B40" s="3" t="s">
        <v>1405</v>
      </c>
      <c r="C40" s="3" t="s">
        <v>1406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1389</v>
      </c>
      <c r="B41" s="3" t="s">
        <v>1599</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1389</v>
      </c>
      <c r="B42" s="3" t="s">
        <v>1600</v>
      </c>
      <c r="C42" s="3" t="s">
        <v>1601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431</v>
      </c>
      <c r="B43" s="3" t="s">
        <v>1400</v>
      </c>
      <c r="C43" s="3" t="s">
        <v>1602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431</v>
      </c>
      <c r="B44" s="3" t="s">
        <v>1603</v>
      </c>
      <c r="C44" s="3" t="s">
        <v>1604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431</v>
      </c>
      <c r="B45" s="3" t="s">
        <v>1407</v>
      </c>
      <c r="C45" s="3" t="s">
        <v>1605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431</v>
      </c>
      <c r="B46" s="3" t="s">
        <v>1408</v>
      </c>
      <c r="C46" s="3" t="s">
        <v>1606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431</v>
      </c>
      <c r="B47" s="3" t="s">
        <v>1607</v>
      </c>
      <c r="C47" s="3" t="s">
        <v>1608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431</v>
      </c>
      <c r="B48" s="3" t="s">
        <v>1409</v>
      </c>
      <c r="C48" s="3" t="s">
        <v>1609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431</v>
      </c>
      <c r="B49" s="3" t="s">
        <v>1410</v>
      </c>
      <c r="C49" s="3" t="s">
        <v>1610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431</v>
      </c>
      <c r="B50" s="3" t="s">
        <v>1411</v>
      </c>
      <c r="C50" s="3" t="s">
        <v>1611</v>
      </c>
    </row>
    <row r="51" spans="1:36" x14ac:dyDescent="0.25">
      <c r="A51" s="3" t="s">
        <v>431</v>
      </c>
      <c r="B51" s="3" t="s">
        <v>1412</v>
      </c>
      <c r="C51" s="3" t="s">
        <v>1612</v>
      </c>
    </row>
    <row r="52" spans="1:36" x14ac:dyDescent="0.25">
      <c r="A52" s="3" t="s">
        <v>431</v>
      </c>
      <c r="B52" s="3" t="s">
        <v>1413</v>
      </c>
      <c r="C52" s="3" t="s">
        <v>1613</v>
      </c>
    </row>
    <row r="53" spans="1:36" x14ac:dyDescent="0.25">
      <c r="A53" s="3" t="s">
        <v>431</v>
      </c>
      <c r="B53" s="3" t="s">
        <v>365</v>
      </c>
      <c r="C53" s="3" t="s">
        <v>1414</v>
      </c>
    </row>
    <row r="54" spans="1:36" x14ac:dyDescent="0.25">
      <c r="A54" s="3" t="s">
        <v>1415</v>
      </c>
      <c r="B54" s="3" t="s">
        <v>1510</v>
      </c>
      <c r="C54" s="3" t="s">
        <v>452</v>
      </c>
    </row>
    <row r="55" spans="1:36" x14ac:dyDescent="0.25">
      <c r="A55" s="3" t="s">
        <v>1371</v>
      </c>
      <c r="B55" s="3" t="s">
        <v>1968</v>
      </c>
      <c r="C55" s="3" t="s">
        <v>2226</v>
      </c>
    </row>
    <row r="56" spans="1:36" x14ac:dyDescent="0.25">
      <c r="A56" s="3" t="s">
        <v>431</v>
      </c>
      <c r="B56" s="3" t="s">
        <v>582</v>
      </c>
      <c r="C56" s="3" t="s">
        <v>1614</v>
      </c>
    </row>
    <row r="57" spans="1:36" x14ac:dyDescent="0.25">
      <c r="A57" s="3" t="s">
        <v>432</v>
      </c>
      <c r="B57" s="3" t="s">
        <v>433</v>
      </c>
      <c r="C57" s="3" t="s">
        <v>2227</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S14</v>
      </c>
      <c r="B1" s="28"/>
      <c r="C1" s="28"/>
      <c r="E1" s="27" t="str" cm="1">
        <f t="array" aca="1" ref="E1" ca="1">IFERROR(MID(CELL("filename",$A$1),FIND("]",CELL("filename",$A$1))+1,99),"SXX")&amp;" MATERIALS (USAGE + STANDALONE)"</f>
        <v>S14 MATERIALS (USAGE + STANDALONE)</v>
      </c>
      <c r="F1" s="27"/>
      <c r="G1" s="27"/>
      <c r="H1" s="27"/>
      <c r="I1" s="27"/>
      <c r="J1" s="27"/>
      <c r="K1" s="27"/>
      <c r="L1" s="13"/>
      <c r="M1" s="13"/>
      <c r="N1" s="19">
        <f>SUM(N3:N49)</f>
        <v>1825.2700000000002</v>
      </c>
      <c r="P1" s="27" t="str" cm="1">
        <f t="array" aca="1" ref="P1" ca="1">IFERROR(MID(CELL("filename",$A$1),FIND("]",CELL("filename",$A$1))+1,99),"SXX")&amp;" LABOUR (USAGE + STANDALONE)"</f>
        <v>S14 LABOUR (USAGE + STANDALONE)</v>
      </c>
      <c r="Q1" s="27"/>
      <c r="R1" s="27"/>
      <c r="S1" s="27"/>
      <c r="T1" s="27"/>
      <c r="U1" s="27"/>
      <c r="V1" s="27"/>
      <c r="Y1" s="19">
        <f>SUM(Y3:Y49)</f>
        <v>1440</v>
      </c>
      <c r="AA1" s="29" t="str" cm="1">
        <f t="array" aca="1" ref="AA1" ca="1">IFERROR(MID(CELL("filename",$A$1),FIND("]",CELL("filename",$A$1))+1,99),"SXX")&amp;" RENTAL / SERVICE (USAGE + STANDALONE)"</f>
        <v>S14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1637</v>
      </c>
      <c r="C3" s="3" t="s">
        <v>1765</v>
      </c>
      <c r="E3" t="s">
        <v>1721</v>
      </c>
      <c r="F3" t="s">
        <v>1722</v>
      </c>
      <c r="G3" t="s">
        <v>1723</v>
      </c>
      <c r="H3" t="s">
        <v>327</v>
      </c>
      <c r="I3">
        <v>1</v>
      </c>
      <c r="J3" s="22">
        <v>0</v>
      </c>
      <c r="K3">
        <v>92</v>
      </c>
      <c r="L3" s="8">
        <f t="shared" ref="L3:L49" si="0">IF($G3="","",$I3*(1+IF($J3="",0,$J3)))</f>
        <v>1</v>
      </c>
      <c r="M3" s="8">
        <f t="shared" ref="M3:M49" si="1">IF($G3="","",$L3)</f>
        <v>1</v>
      </c>
      <c r="N3" s="8">
        <f t="shared" ref="N3:N49" si="2">IF($G3="","",IF($K3="","",$M3*$K3))</f>
        <v>92</v>
      </c>
      <c r="P3" t="s">
        <v>2237</v>
      </c>
      <c r="Q3" t="s">
        <v>1764</v>
      </c>
      <c r="R3" t="s">
        <v>322</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435</v>
      </c>
      <c r="B4" s="3" t="s">
        <v>1766</v>
      </c>
      <c r="C4" s="3" t="s">
        <v>1767</v>
      </c>
      <c r="E4" t="s">
        <v>1721</v>
      </c>
      <c r="F4" t="s">
        <v>1722</v>
      </c>
      <c r="G4" t="s">
        <v>1724</v>
      </c>
      <c r="H4" t="s">
        <v>327</v>
      </c>
      <c r="I4">
        <v>1</v>
      </c>
      <c r="J4" s="22">
        <v>0</v>
      </c>
      <c r="K4">
        <v>92</v>
      </c>
      <c r="L4" s="8">
        <f t="shared" si="0"/>
        <v>1</v>
      </c>
      <c r="M4" s="8">
        <f t="shared" si="1"/>
        <v>1</v>
      </c>
      <c r="N4" s="8">
        <f t="shared" si="2"/>
        <v>92</v>
      </c>
      <c r="P4" t="s">
        <v>2238</v>
      </c>
      <c r="Q4" t="s">
        <v>1764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1638</v>
      </c>
      <c r="B5" s="3" t="s">
        <v>1639</v>
      </c>
      <c r="C5" s="3" t="s">
        <v>1768</v>
      </c>
      <c r="E5" t="s">
        <v>1721</v>
      </c>
      <c r="F5" t="s">
        <v>1722</v>
      </c>
      <c r="G5" t="s">
        <v>1725</v>
      </c>
      <c r="H5" t="s">
        <v>327</v>
      </c>
      <c r="I5">
        <v>1</v>
      </c>
      <c r="J5" s="22">
        <v>0</v>
      </c>
      <c r="K5">
        <v>92</v>
      </c>
      <c r="L5" s="8">
        <f t="shared" si="0"/>
        <v>1</v>
      </c>
      <c r="M5" s="8">
        <f t="shared" si="1"/>
        <v>1</v>
      </c>
      <c r="N5" s="8">
        <f t="shared" si="2"/>
        <v>92</v>
      </c>
      <c r="P5" t="s">
        <v>2239</v>
      </c>
      <c r="Q5" t="s">
        <v>1764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436</v>
      </c>
      <c r="B6" s="3" t="s">
        <v>1640</v>
      </c>
      <c r="C6" s="3" t="s">
        <v>1769</v>
      </c>
      <c r="E6" t="s">
        <v>1726</v>
      </c>
      <c r="F6" t="s">
        <v>1722</v>
      </c>
      <c r="G6" t="s">
        <v>1727</v>
      </c>
      <c r="H6" t="s">
        <v>327</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436</v>
      </c>
      <c r="B7" s="3" t="s">
        <v>1641</v>
      </c>
      <c r="C7" s="3" t="s">
        <v>1770</v>
      </c>
      <c r="E7" t="s">
        <v>1726</v>
      </c>
      <c r="F7" t="s">
        <v>1722</v>
      </c>
      <c r="G7" t="s">
        <v>1728</v>
      </c>
      <c r="H7" t="s">
        <v>327</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436</v>
      </c>
      <c r="B8" s="3" t="s">
        <v>1642</v>
      </c>
      <c r="C8" s="3" t="s">
        <v>1771</v>
      </c>
      <c r="E8" t="s">
        <v>1726</v>
      </c>
      <c r="F8" t="s">
        <v>1722</v>
      </c>
      <c r="G8" t="s">
        <v>1729</v>
      </c>
      <c r="H8" t="s">
        <v>327</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436</v>
      </c>
      <c r="B9" s="3" t="s">
        <v>1643</v>
      </c>
      <c r="C9" s="3" t="s">
        <v>1772</v>
      </c>
      <c r="E9" t="s">
        <v>1730</v>
      </c>
      <c r="F9" t="s">
        <v>1731</v>
      </c>
      <c r="G9" t="s">
        <v>1732</v>
      </c>
      <c r="H9" t="s">
        <v>1733</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436</v>
      </c>
      <c r="B10" s="3" t="s">
        <v>1644</v>
      </c>
      <c r="C10" s="3" t="s">
        <v>1773</v>
      </c>
      <c r="E10" t="s">
        <v>1734</v>
      </c>
      <c r="F10" t="s">
        <v>1735</v>
      </c>
      <c r="G10" t="s">
        <v>1736</v>
      </c>
      <c r="H10" t="s">
        <v>723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436</v>
      </c>
      <c r="B11" s="3" t="s">
        <v>1667</v>
      </c>
      <c r="C11" s="3" t="s">
        <v>1668</v>
      </c>
      <c r="E11" t="s">
        <v>1737</v>
      </c>
      <c r="F11" t="s">
        <v>1735</v>
      </c>
      <c r="G11" t="s">
        <v>1738</v>
      </c>
      <c r="H11" t="s">
        <v>723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1645</v>
      </c>
      <c r="B12" s="3" t="s">
        <v>1646</v>
      </c>
      <c r="C12" s="3" t="s">
        <v>1774</v>
      </c>
      <c r="E12" t="s">
        <v>1739</v>
      </c>
      <c r="F12" t="s">
        <v>1735</v>
      </c>
      <c r="G12" t="s">
        <v>1740</v>
      </c>
      <c r="H12" t="s">
        <v>959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1645</v>
      </c>
      <c r="B13" s="3" t="s">
        <v>1647</v>
      </c>
      <c r="C13" s="3" t="s">
        <v>1648</v>
      </c>
      <c r="E13" t="s">
        <v>1741</v>
      </c>
      <c r="F13" t="s">
        <v>1742</v>
      </c>
      <c r="G13" t="s">
        <v>1743</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1645</v>
      </c>
      <c r="B14" s="3" t="s">
        <v>1649</v>
      </c>
      <c r="C14" s="3" t="s">
        <v>1775</v>
      </c>
      <c r="E14" t="s">
        <v>1785</v>
      </c>
      <c r="F14" t="s">
        <v>1744</v>
      </c>
      <c r="G14" t="s">
        <v>1745</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1645</v>
      </c>
      <c r="B15" s="3" t="s">
        <v>1650</v>
      </c>
      <c r="C15" s="3" t="s">
        <v>1776</v>
      </c>
      <c r="E15" t="s">
        <v>1786</v>
      </c>
      <c r="F15" t="s">
        <v>1746</v>
      </c>
      <c r="G15" t="s">
        <v>1747</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1645</v>
      </c>
      <c r="B16" s="3" t="s">
        <v>1651</v>
      </c>
      <c r="C16" s="3" t="s">
        <v>1652</v>
      </c>
      <c r="E16" t="s">
        <v>1748</v>
      </c>
      <c r="F16" t="s">
        <v>1749</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1645</v>
      </c>
      <c r="B17" s="3" t="s">
        <v>1653</v>
      </c>
      <c r="C17" s="3" t="s">
        <v>1654</v>
      </c>
      <c r="E17" t="s">
        <v>1787</v>
      </c>
      <c r="F17" t="s">
        <v>1749</v>
      </c>
      <c r="G17" t="s">
        <v>1750</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1645</v>
      </c>
      <c r="B18" s="3" t="s">
        <v>1655</v>
      </c>
      <c r="C18" s="3" t="s">
        <v>1656</v>
      </c>
      <c r="E18" t="s">
        <v>1751</v>
      </c>
      <c r="F18" t="s">
        <v>1752</v>
      </c>
      <c r="G18" t="s">
        <v>1753</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1645</v>
      </c>
      <c r="B19" s="3" t="s">
        <v>1657</v>
      </c>
      <c r="C19" s="3" t="s">
        <v>1777</v>
      </c>
      <c r="E19" t="s">
        <v>1754</v>
      </c>
      <c r="F19" t="s">
        <v>1752</v>
      </c>
      <c r="G19" t="s">
        <v>1755</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1645</v>
      </c>
      <c r="B20" s="3" t="s">
        <v>1658</v>
      </c>
      <c r="C20" s="3" t="s">
        <v>1659</v>
      </c>
      <c r="E20" t="s">
        <v>1756</v>
      </c>
      <c r="F20" t="s">
        <v>1752</v>
      </c>
      <c r="G20" t="s">
        <v>1757</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436</v>
      </c>
      <c r="B21" s="3" t="s">
        <v>1660</v>
      </c>
      <c r="C21" s="3" t="s">
        <v>1661</v>
      </c>
      <c r="E21" t="s">
        <v>1758</v>
      </c>
      <c r="F21" t="s">
        <v>1752</v>
      </c>
      <c r="G21" t="s">
        <v>1759</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436</v>
      </c>
      <c r="B22" s="3" t="s">
        <v>1662</v>
      </c>
      <c r="C22" s="3" t="s">
        <v>1778</v>
      </c>
      <c r="E22" t="s">
        <v>1760</v>
      </c>
      <c r="F22" t="s">
        <v>1731</v>
      </c>
      <c r="G22" t="s">
        <v>1761</v>
      </c>
      <c r="H22" t="s">
        <v>723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1663</v>
      </c>
      <c r="C23" s="3" t="s">
        <v>1664</v>
      </c>
      <c r="E23" t="s">
        <v>1762</v>
      </c>
      <c r="F23" t="s">
        <v>1731</v>
      </c>
      <c r="G23" t="s">
        <v>1763</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436</v>
      </c>
      <c r="B24" s="3" t="s">
        <v>1665</v>
      </c>
      <c r="C24" s="3" t="s">
        <v>1666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436</v>
      </c>
      <c r="B25" s="3" t="s">
        <v>1669</v>
      </c>
      <c r="C25" s="3" t="s">
        <v>1670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436</v>
      </c>
      <c r="B26" s="3" t="s">
        <v>1671</v>
      </c>
      <c r="C26" s="3" t="s">
        <v>1672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436</v>
      </c>
      <c r="B27" s="3" t="s">
        <v>1673</v>
      </c>
      <c r="C27" s="3" t="s">
        <v>1674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1675</v>
      </c>
      <c r="C28" s="3" t="s">
        <v>1779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1780</v>
      </c>
      <c r="C29" s="3" t="s">
        <v>1781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1676</v>
      </c>
      <c r="B30" s="3" t="s">
        <v>1677</v>
      </c>
      <c r="C30" s="3" t="s">
        <v>1678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1676</v>
      </c>
      <c r="B31" s="3" t="s">
        <v>1679</v>
      </c>
      <c r="C31" s="3" t="s">
        <v>1680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1676</v>
      </c>
      <c r="B32" s="3" t="s">
        <v>1681</v>
      </c>
      <c r="C32" s="3" t="s">
        <v>1682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1676</v>
      </c>
      <c r="B33" s="3" t="s">
        <v>1683</v>
      </c>
      <c r="C33" s="3" t="s">
        <v>1684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1676</v>
      </c>
      <c r="B34" s="3" t="s">
        <v>1685</v>
      </c>
      <c r="C34" s="3" t="s">
        <v>1686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1676</v>
      </c>
      <c r="B35" s="3" t="s">
        <v>1687</v>
      </c>
      <c r="C35" s="3" t="s">
        <v>1688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1676</v>
      </c>
      <c r="B36" s="3" t="s">
        <v>1689</v>
      </c>
      <c r="C36" s="3" t="s">
        <v>1690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1676</v>
      </c>
      <c r="B37" s="3" t="s">
        <v>1691</v>
      </c>
      <c r="C37" s="3" t="s">
        <v>1692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1676</v>
      </c>
      <c r="B38" s="3" t="s">
        <v>1693</v>
      </c>
      <c r="C38" s="3" t="s">
        <v>1694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1676</v>
      </c>
      <c r="B39" s="3" t="s">
        <v>1695</v>
      </c>
      <c r="C39" s="3" t="s">
        <v>1696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1676</v>
      </c>
      <c r="B40" s="3" t="s">
        <v>1697</v>
      </c>
      <c r="C40" s="3" t="s">
        <v>1698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1676</v>
      </c>
      <c r="B41" s="3" t="s">
        <v>1699</v>
      </c>
      <c r="C41" s="3" t="s">
        <v>1700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1676</v>
      </c>
      <c r="B42" s="3" t="s">
        <v>1701</v>
      </c>
      <c r="C42" s="3" t="s">
        <v>1702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1676</v>
      </c>
      <c r="B43" s="3" t="s">
        <v>1703</v>
      </c>
      <c r="C43" s="3" t="s">
        <v>1704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1676</v>
      </c>
      <c r="B44" s="3" t="s">
        <v>1705</v>
      </c>
      <c r="C44" s="3" t="s">
        <v>1706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1676</v>
      </c>
      <c r="B45" s="3" t="s">
        <v>1707</v>
      </c>
      <c r="C45" s="3" t="s">
        <v>1708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1676</v>
      </c>
      <c r="B46" s="3" t="s">
        <v>1709</v>
      </c>
      <c r="C46" s="3" t="s">
        <v>1710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1676</v>
      </c>
      <c r="B47" s="3" t="s">
        <v>1711</v>
      </c>
      <c r="C47" s="3" t="s">
        <v>1712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1676</v>
      </c>
      <c r="B48" s="3" t="s">
        <v>1713</v>
      </c>
      <c r="C48" s="3" t="s">
        <v>1714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1676</v>
      </c>
      <c r="B49" s="3" t="s">
        <v>1715</v>
      </c>
      <c r="C49" s="3" t="s">
        <v>1716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1676</v>
      </c>
      <c r="B50" s="3" t="s">
        <v>1717</v>
      </c>
      <c r="C50" s="3" t="s">
        <v>1718</v>
      </c>
    </row>
    <row r="51" spans="1:36" x14ac:dyDescent="0.25">
      <c r="A51" s="3" t="s">
        <v>1719</v>
      </c>
      <c r="B51" s="3" t="s">
        <v>1782</v>
      </c>
      <c r="C51" s="3" t="s">
        <v>452</v>
      </c>
    </row>
    <row r="52" spans="1:36" x14ac:dyDescent="0.25">
      <c r="A52" s="3" t="s">
        <v>1645</v>
      </c>
      <c r="B52" s="3" t="s">
        <v>1968</v>
      </c>
      <c r="C52" s="3" t="s">
        <v>2235</v>
      </c>
    </row>
    <row r="53" spans="1:36" x14ac:dyDescent="0.25">
      <c r="A53" s="3" t="s">
        <v>436</v>
      </c>
      <c r="B53" s="3" t="s">
        <v>582</v>
      </c>
      <c r="C53" s="3" t="s">
        <v>2236</v>
      </c>
    </row>
    <row r="54" spans="1:36" x14ac:dyDescent="0.25">
      <c r="A54" s="3" t="s">
        <v>437</v>
      </c>
      <c r="B54" s="3" t="s">
        <v>1783</v>
      </c>
      <c r="C54" s="3" t="s">
        <v>1784</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S15</v>
      </c>
      <c r="B1" s="28"/>
      <c r="C1" s="28"/>
      <c r="E1" s="27" t="str" cm="1">
        <f t="array" aca="1" ref="E1" ca="1">IFERROR(MID(CELL("filename",$A$1),FIND("]",CELL("filename",$A$1))+1,99),"SXX")&amp;" MATERIALS (USAGE + STANDALONE)"</f>
        <v>S15 MATERIALS (USAGE + STANDALONE)</v>
      </c>
      <c r="F1" s="27"/>
      <c r="G1" s="27"/>
      <c r="H1" s="27"/>
      <c r="I1" s="27"/>
      <c r="J1" s="27"/>
      <c r="K1" s="27"/>
      <c r="L1" s="13"/>
      <c r="M1" s="13"/>
      <c r="N1" s="19">
        <f>SUM(N3:N49)</f>
        <v>1233.76</v>
      </c>
      <c r="P1" s="27" t="str" cm="1">
        <f t="array" aca="1" ref="P1" ca="1">IFERROR(MID(CELL("filename",$A$1),FIND("]",CELL("filename",$A$1))+1,99),"SXX")&amp;" LABOUR (USAGE + STANDALONE)"</f>
        <v>S15 LABOUR (USAGE + STANDALONE)</v>
      </c>
      <c r="Q1" s="27"/>
      <c r="R1" s="27"/>
      <c r="S1" s="27"/>
      <c r="T1" s="27"/>
      <c r="U1" s="27"/>
      <c r="V1" s="27"/>
      <c r="Y1" s="19">
        <f>SUM(Y3:Y49)</f>
        <v>1057.5</v>
      </c>
      <c r="AA1" s="29" t="str" cm="1">
        <f t="array" aca="1" ref="AA1" ca="1">IFERROR(MID(CELL("filename",$A$1),FIND("]",CELL("filename",$A$1))+1,99),"SXX")&amp;" RENTAL / SERVICE (USAGE + STANDALONE)"</f>
        <v>S15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1788</v>
      </c>
      <c r="B3" s="3" t="s">
        <v>1789</v>
      </c>
      <c r="C3" s="3" t="s">
        <v>1790</v>
      </c>
      <c r="E3" t="s">
        <v>1862</v>
      </c>
      <c r="F3" t="s">
        <v>1863</v>
      </c>
      <c r="G3" t="s">
        <v>1289</v>
      </c>
      <c r="H3" t="s">
        <v>715</v>
      </c>
      <c r="I3">
        <v>1</v>
      </c>
      <c r="J3" s="22">
        <v>0.05</v>
      </c>
      <c r="K3">
        <v>160</v>
      </c>
      <c r="L3" s="8">
        <f t="shared" ref="L3:L49" si="0">IF($G3="","",$I3*(1+IF($J3="",0,$J3)))</f>
        <v>1.05</v>
      </c>
      <c r="M3" s="8">
        <f t="shared" ref="M3:M49" si="1">IF($G3="","",$L3)</f>
        <v>1.05</v>
      </c>
      <c r="N3" s="8">
        <f t="shared" ref="N3:N49" si="2">IF($G3="","",IF($K3="","",$M3*$K3))</f>
        <v>168</v>
      </c>
      <c r="P3" t="s">
        <v>2242</v>
      </c>
      <c r="Q3" t="s">
        <v>1884</v>
      </c>
      <c r="R3" t="s">
        <v>322</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1791</v>
      </c>
      <c r="B4" s="3" t="s">
        <v>1792</v>
      </c>
      <c r="C4" s="3" t="s">
        <v>1793</v>
      </c>
      <c r="E4" t="s">
        <v>1864</v>
      </c>
      <c r="F4" t="s">
        <v>1863</v>
      </c>
      <c r="G4" t="s">
        <v>1865</v>
      </c>
      <c r="H4" t="s">
        <v>715</v>
      </c>
      <c r="I4">
        <v>2</v>
      </c>
      <c r="J4" s="22">
        <v>0.05</v>
      </c>
      <c r="K4">
        <v>80</v>
      </c>
      <c r="L4" s="8">
        <f t="shared" si="0"/>
        <v>2.1</v>
      </c>
      <c r="M4" s="8">
        <f t="shared" si="1"/>
        <v>2.1</v>
      </c>
      <c r="N4" s="8">
        <f t="shared" si="2"/>
        <v>168</v>
      </c>
      <c r="P4" t="s">
        <v>2243</v>
      </c>
      <c r="Q4" t="s">
        <v>1884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1794</v>
      </c>
      <c r="B5" s="3" t="s">
        <v>1795</v>
      </c>
      <c r="C5" s="3" t="s">
        <v>1796</v>
      </c>
      <c r="E5" t="s">
        <v>1866</v>
      </c>
      <c r="F5" t="s">
        <v>1863</v>
      </c>
      <c r="G5" t="s">
        <v>1290</v>
      </c>
      <c r="H5" t="s">
        <v>32</v>
      </c>
      <c r="I5">
        <v>1</v>
      </c>
      <c r="J5" s="22">
        <v>0.05</v>
      </c>
      <c r="K5">
        <v>94</v>
      </c>
      <c r="L5" s="8">
        <f t="shared" si="0"/>
        <v>1.05</v>
      </c>
      <c r="M5" s="8">
        <f t="shared" si="1"/>
        <v>1.05</v>
      </c>
      <c r="N5" s="8">
        <f t="shared" si="2"/>
        <v>98.7</v>
      </c>
      <c r="P5" t="s">
        <v>2244</v>
      </c>
      <c r="Q5" t="s">
        <v>1884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1797</v>
      </c>
      <c r="B6" s="3" t="s">
        <v>1798</v>
      </c>
      <c r="C6" s="3" t="s">
        <v>1799</v>
      </c>
      <c r="E6" t="s">
        <v>1867</v>
      </c>
      <c r="F6" t="s">
        <v>1868</v>
      </c>
      <c r="G6" t="s">
        <v>1291</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1797</v>
      </c>
      <c r="B7" s="3" t="s">
        <v>1800</v>
      </c>
      <c r="C7" s="3" t="s">
        <v>1801</v>
      </c>
      <c r="E7" t="s">
        <v>1869</v>
      </c>
      <c r="F7" t="s">
        <v>1868</v>
      </c>
      <c r="G7" t="s">
        <v>1292</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1797</v>
      </c>
      <c r="B8" s="3" t="s">
        <v>1802</v>
      </c>
      <c r="C8" s="3" t="s">
        <v>1803</v>
      </c>
      <c r="E8" t="s">
        <v>1870</v>
      </c>
      <c r="F8" t="s">
        <v>1868</v>
      </c>
      <c r="G8" t="s">
        <v>1293</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1797</v>
      </c>
      <c r="B9" s="3" t="s">
        <v>1804</v>
      </c>
      <c r="C9" s="3" t="s">
        <v>1805</v>
      </c>
      <c r="E9" t="s">
        <v>1871</v>
      </c>
      <c r="F9" t="s">
        <v>1872</v>
      </c>
      <c r="G9" t="s">
        <v>1873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1797</v>
      </c>
      <c r="B10" s="3" t="s">
        <v>1806</v>
      </c>
      <c r="C10" s="3" t="s">
        <v>1807</v>
      </c>
      <c r="E10" t="s">
        <v>1874</v>
      </c>
      <c r="F10" t="s">
        <v>1875</v>
      </c>
      <c r="G10" t="s">
        <v>1876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1797</v>
      </c>
      <c r="B11" s="3" t="s">
        <v>1808</v>
      </c>
      <c r="C11" s="3" t="s">
        <v>1809</v>
      </c>
      <c r="E11" t="s">
        <v>1877</v>
      </c>
      <c r="F11" t="s">
        <v>1875</v>
      </c>
      <c r="G11" t="s">
        <v>1878</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1797</v>
      </c>
      <c r="B12" s="3" t="s">
        <v>1810</v>
      </c>
      <c r="C12" s="3" t="s">
        <v>1811</v>
      </c>
      <c r="E12" t="s">
        <v>1879</v>
      </c>
      <c r="F12" t="s">
        <v>1875</v>
      </c>
      <c r="G12" t="s">
        <v>1880</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1797</v>
      </c>
      <c r="B13" s="3" t="s">
        <v>1812</v>
      </c>
      <c r="C13" s="3" t="s">
        <v>1813</v>
      </c>
      <c r="E13" t="s">
        <v>1881</v>
      </c>
      <c r="F13" t="s">
        <v>1875</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1797</v>
      </c>
      <c r="B14" s="3" t="s">
        <v>1814</v>
      </c>
      <c r="C14" s="3" t="s">
        <v>1815</v>
      </c>
      <c r="E14" t="s">
        <v>1882</v>
      </c>
      <c r="F14" t="s">
        <v>1875</v>
      </c>
      <c r="G14" t="s">
        <v>1883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1816</v>
      </c>
      <c r="B15" s="3" t="s">
        <v>1817</v>
      </c>
      <c r="C15" s="3" t="s">
        <v>1818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1816</v>
      </c>
      <c r="B16" s="3" t="s">
        <v>1819</v>
      </c>
      <c r="C16" s="3" t="s">
        <v>1820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1816</v>
      </c>
      <c r="B17" s="3" t="s">
        <v>1821</v>
      </c>
      <c r="C17" s="3" t="s">
        <v>1822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1816</v>
      </c>
      <c r="B18" s="3" t="s">
        <v>1823</v>
      </c>
      <c r="C18" s="3" t="s">
        <v>1824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1816</v>
      </c>
      <c r="B19" s="3" t="s">
        <v>1825</v>
      </c>
      <c r="C19" s="3" t="s">
        <v>1826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1816</v>
      </c>
      <c r="B20" s="3" t="s">
        <v>1827</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1816</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1816</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1816</v>
      </c>
      <c r="B23" s="3" t="s">
        <v>1833</v>
      </c>
      <c r="C23" s="3" t="s">
        <v>1834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1816</v>
      </c>
      <c r="B24" s="3" t="s">
        <v>1835</v>
      </c>
      <c r="C24" s="3" t="s">
        <v>1836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1837</v>
      </c>
      <c r="B25" s="3" t="s">
        <v>1838</v>
      </c>
      <c r="C25" s="3" t="s">
        <v>1839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1837</v>
      </c>
      <c r="B26" s="3" t="s">
        <v>1840</v>
      </c>
      <c r="C26" s="3" t="s">
        <v>1841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1837</v>
      </c>
      <c r="B27" s="3" t="s">
        <v>1842</v>
      </c>
      <c r="C27" s="3" t="s">
        <v>1270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1837</v>
      </c>
      <c r="B28" s="3" t="s">
        <v>1843</v>
      </c>
      <c r="C28" s="3" t="s">
        <v>1272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1837</v>
      </c>
      <c r="B29" s="3" t="s">
        <v>1844</v>
      </c>
      <c r="C29" s="3" t="s">
        <v>1274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1837</v>
      </c>
      <c r="B30" s="3" t="s">
        <v>1845</v>
      </c>
      <c r="C30" s="3" t="s">
        <v>1276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1837</v>
      </c>
      <c r="B31" s="3" t="s">
        <v>1846</v>
      </c>
      <c r="C31" s="3" t="s">
        <v>1847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1837</v>
      </c>
      <c r="B32" s="3" t="s">
        <v>1848</v>
      </c>
      <c r="C32" s="3" t="s">
        <v>1849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1837</v>
      </c>
      <c r="B33" s="3" t="s">
        <v>1850</v>
      </c>
      <c r="C33" s="3" t="s">
        <v>1851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1837</v>
      </c>
      <c r="B34" s="3" t="s">
        <v>1852</v>
      </c>
      <c r="C34" s="3" t="s">
        <v>1853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1837</v>
      </c>
      <c r="B35" s="3" t="s">
        <v>1854</v>
      </c>
      <c r="C35" s="3" t="s">
        <v>1855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1837</v>
      </c>
      <c r="B36" s="3" t="s">
        <v>1856</v>
      </c>
      <c r="C36" s="3" t="s">
        <v>1857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1858</v>
      </c>
      <c r="B37" s="3" t="s">
        <v>1782</v>
      </c>
      <c r="C37" s="3" t="s">
        <v>452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1816</v>
      </c>
      <c r="B38" s="3" t="s">
        <v>1968</v>
      </c>
      <c r="C38" s="3" t="s">
        <v>2240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1797</v>
      </c>
      <c r="B39" s="3" t="s">
        <v>582</v>
      </c>
      <c r="C39" s="3" t="s">
        <v>2241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1859</v>
      </c>
      <c r="B40" s="3" t="s">
        <v>1860</v>
      </c>
      <c r="C40" s="3" t="s">
        <v>1861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S16</v>
      </c>
      <c r="B1" s="28"/>
      <c r="C1" s="28"/>
      <c r="E1" s="27" t="str" cm="1">
        <f t="array" aca="1" ref="E1" ca="1">IFERROR(MID(CELL("filename",$A$1),FIND("]",CELL("filename",$A$1))+1,99),"SXX")&amp;" MATERIALS (USAGE + STANDALONE)"</f>
        <v>S16 MATERIALS (USAGE + STANDALONE)</v>
      </c>
      <c r="F1" s="27"/>
      <c r="G1" s="27"/>
      <c r="H1" s="27"/>
      <c r="I1" s="27"/>
      <c r="J1" s="27"/>
      <c r="K1" s="27"/>
      <c r="L1" s="13"/>
      <c r="M1" s="13"/>
      <c r="N1" s="19">
        <f>SUM(N3:N49)</f>
        <v>3677.7999999999997</v>
      </c>
      <c r="P1" s="27" t="str" cm="1">
        <f t="array" aca="1" ref="P1" ca="1">IFERROR(MID(CELL("filename",$A$1),FIND("]",CELL("filename",$A$1))+1,99),"SXX")&amp;" LABOUR (USAGE + STANDALONE)"</f>
        <v>S16 LABOUR (USAGE + STANDALONE)</v>
      </c>
      <c r="Q1" s="27"/>
      <c r="R1" s="27"/>
      <c r="S1" s="27"/>
      <c r="T1" s="27"/>
      <c r="U1" s="27"/>
      <c r="V1" s="27"/>
      <c r="Y1" s="19">
        <f>SUM(Y3:Y49)</f>
        <v>2700</v>
      </c>
      <c r="AA1" s="29" t="str" cm="1">
        <f t="array" aca="1" ref="AA1" ca="1">IFERROR(MID(CELL("filename",$A$1),FIND("]",CELL("filename",$A$1))+1,99),"SXX")&amp;" RENTAL / SERVICE (USAGE + STANDALONE)"</f>
        <v>S16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669</v>
      </c>
      <c r="B3" s="3" t="s">
        <v>1099</v>
      </c>
      <c r="C3" s="3" t="s">
        <v>1100</v>
      </c>
      <c r="E3" t="s">
        <v>1018</v>
      </c>
      <c r="F3" t="s">
        <v>729</v>
      </c>
      <c r="G3" t="s">
        <v>552</v>
      </c>
      <c r="H3" t="s">
        <v>11</v>
      </c>
      <c r="I3">
        <v>0.26</v>
      </c>
      <c r="J3" s="22">
        <v>0</v>
      </c>
      <c r="K3">
        <v>830</v>
      </c>
      <c r="L3" s="8">
        <f t="shared" ref="L3:L49" si="0">IF($G3="","",$I3*(1+IF($J3="",0,$J3)))</f>
        <v>0.26</v>
      </c>
      <c r="M3" s="8">
        <f t="shared" ref="M3:M49" si="1">IF($G3="","",$L3)</f>
        <v>0.26</v>
      </c>
      <c r="N3" s="8">
        <f t="shared" ref="N3:N49" si="2">IF($G3="","",IF($K3="","",$M3*$K3))</f>
        <v>215.8</v>
      </c>
      <c r="P3" t="s">
        <v>2250</v>
      </c>
      <c r="Q3" t="s">
        <v>736</v>
      </c>
      <c r="R3" t="s">
        <v>322</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670</v>
      </c>
      <c r="B4" s="3" t="s">
        <v>1101</v>
      </c>
      <c r="C4" s="3" t="s">
        <v>1102</v>
      </c>
      <c r="E4" t="s">
        <v>1019</v>
      </c>
      <c r="F4" t="s">
        <v>729</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671</v>
      </c>
      <c r="B5" s="3" t="s">
        <v>1031</v>
      </c>
      <c r="C5" s="3" t="s">
        <v>1103</v>
      </c>
      <c r="E5" t="s">
        <v>1020</v>
      </c>
      <c r="F5" t="s">
        <v>730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1104</v>
      </c>
      <c r="B6" s="3" t="s">
        <v>1034</v>
      </c>
      <c r="C6" s="3" t="s">
        <v>1416</v>
      </c>
      <c r="E6" t="s">
        <v>1021</v>
      </c>
      <c r="F6" t="s">
        <v>731</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672</v>
      </c>
      <c r="B7" s="3" t="s">
        <v>1035</v>
      </c>
      <c r="C7" s="3" t="s">
        <v>1036</v>
      </c>
      <c r="E7" t="s">
        <v>2248</v>
      </c>
      <c r="F7" t="s">
        <v>732</v>
      </c>
      <c r="G7" t="s">
        <v>2076</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672</v>
      </c>
      <c r="B8" s="3" t="s">
        <v>1037</v>
      </c>
      <c r="C8" s="3" t="s">
        <v>1038</v>
      </c>
      <c r="E8" t="s">
        <v>1023</v>
      </c>
      <c r="F8" t="s">
        <v>732</v>
      </c>
      <c r="G8" t="s">
        <v>733</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672</v>
      </c>
      <c r="B9" s="3" t="s">
        <v>542</v>
      </c>
      <c r="C9" s="3" t="s">
        <v>566</v>
      </c>
      <c r="E9" t="s">
        <v>1023</v>
      </c>
      <c r="F9" t="s">
        <v>732</v>
      </c>
      <c r="G9" t="s">
        <v>734</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672</v>
      </c>
      <c r="B10" s="3" t="s">
        <v>1039</v>
      </c>
      <c r="C10" s="3" t="s">
        <v>1040</v>
      </c>
      <c r="E10" t="s">
        <v>1429</v>
      </c>
      <c r="F10" t="s">
        <v>1024</v>
      </c>
      <c r="G10" t="s">
        <v>552</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672</v>
      </c>
      <c r="B11" s="3" t="s">
        <v>1417</v>
      </c>
      <c r="C11" s="3" t="s">
        <v>1418</v>
      </c>
      <c r="E11" t="s">
        <v>1429</v>
      </c>
      <c r="F11" t="s">
        <v>1024</v>
      </c>
      <c r="G11" t="s">
        <v>553</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672</v>
      </c>
      <c r="B12" s="3" t="s">
        <v>1041</v>
      </c>
      <c r="C12" s="3" t="s">
        <v>1419</v>
      </c>
      <c r="E12" t="s">
        <v>1429</v>
      </c>
      <c r="F12" t="s">
        <v>1025</v>
      </c>
      <c r="G12" t="s">
        <v>554</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672</v>
      </c>
      <c r="B13" s="3" t="s">
        <v>1042</v>
      </c>
      <c r="C13" s="3" t="s">
        <v>1430</v>
      </c>
      <c r="E13" t="s">
        <v>2249</v>
      </c>
      <c r="F13" t="s">
        <v>1026</v>
      </c>
      <c r="G13" t="s">
        <v>2076</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673</v>
      </c>
      <c r="B14" s="3" t="s">
        <v>543</v>
      </c>
      <c r="C14" s="3" t="s">
        <v>1043</v>
      </c>
      <c r="E14" t="s">
        <v>1435</v>
      </c>
      <c r="F14" t="s">
        <v>1026</v>
      </c>
      <c r="G14" t="s">
        <v>733</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673</v>
      </c>
      <c r="B15" s="3" t="s">
        <v>693</v>
      </c>
      <c r="C15" s="3" t="s">
        <v>725</v>
      </c>
      <c r="E15" t="s">
        <v>1435</v>
      </c>
      <c r="F15" t="s">
        <v>1026</v>
      </c>
      <c r="G15" t="s">
        <v>734</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673</v>
      </c>
      <c r="B16" s="3" t="s">
        <v>544</v>
      </c>
      <c r="C16" s="3" t="s">
        <v>1044</v>
      </c>
      <c r="E16" t="s">
        <v>1027</v>
      </c>
      <c r="F16" t="s">
        <v>735</v>
      </c>
      <c r="G16" t="s">
        <v>714</v>
      </c>
      <c r="H16" t="s">
        <v>715</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673</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673</v>
      </c>
      <c r="B18" s="3" t="s">
        <v>567</v>
      </c>
      <c r="C18" s="3" t="s">
        <v>1105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673</v>
      </c>
      <c r="B19" s="3" t="s">
        <v>674</v>
      </c>
      <c r="C19" s="3" t="s">
        <v>675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673</v>
      </c>
      <c r="B20" s="3" t="s">
        <v>676</v>
      </c>
      <c r="C20" s="3" t="s">
        <v>1106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672</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672</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672</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672</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672</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672</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673</v>
      </c>
      <c r="B30" s="3" t="s">
        <v>696</v>
      </c>
      <c r="C30" s="3" t="s">
        <v>1107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673</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673</v>
      </c>
      <c r="B32" s="3" t="s">
        <v>698</v>
      </c>
      <c r="C32" s="3" t="s">
        <v>1108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673</v>
      </c>
      <c r="B33" s="3" t="s">
        <v>1067</v>
      </c>
      <c r="C33" s="3" t="s">
        <v>1109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673</v>
      </c>
      <c r="B34" s="3" t="s">
        <v>699</v>
      </c>
      <c r="C34" s="3" t="s">
        <v>1110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677</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672</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673</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672</v>
      </c>
      <c r="B38" s="3" t="s">
        <v>1111</v>
      </c>
      <c r="C38" s="3" t="s">
        <v>1112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673</v>
      </c>
      <c r="B39" s="3" t="s">
        <v>1113</v>
      </c>
      <c r="C39" s="3" t="s">
        <v>1114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673</v>
      </c>
      <c r="B40" s="3" t="s">
        <v>679</v>
      </c>
      <c r="C40" s="3" t="s">
        <v>757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677</v>
      </c>
      <c r="B41" s="3" t="s">
        <v>680</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677</v>
      </c>
      <c r="B42" s="3" t="s">
        <v>682</v>
      </c>
      <c r="C42" s="3" t="s">
        <v>726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683</v>
      </c>
      <c r="C43" s="3" t="s">
        <v>727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672</v>
      </c>
      <c r="B44" s="3" t="s">
        <v>1115</v>
      </c>
      <c r="C44" s="3" t="s">
        <v>1116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672</v>
      </c>
      <c r="B45" s="3" t="s">
        <v>1117</v>
      </c>
      <c r="C45" s="3" t="s">
        <v>1118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672</v>
      </c>
      <c r="B46" s="3" t="s">
        <v>1119</v>
      </c>
      <c r="C46" s="3" t="s">
        <v>1120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672</v>
      </c>
      <c r="B47" s="3" t="s">
        <v>1077</v>
      </c>
      <c r="C47" s="3" t="s">
        <v>1421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672</v>
      </c>
      <c r="B48" s="3" t="s">
        <v>1078</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672</v>
      </c>
      <c r="B49" s="3" t="s">
        <v>1079</v>
      </c>
      <c r="C49" s="3" t="s">
        <v>1423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672</v>
      </c>
      <c r="B50" s="3" t="s">
        <v>1080</v>
      </c>
      <c r="C50" s="3" t="s">
        <v>1424</v>
      </c>
    </row>
    <row r="51" spans="1:36" x14ac:dyDescent="0.25">
      <c r="A51" s="3" t="s">
        <v>672</v>
      </c>
      <c r="B51" s="3" t="s">
        <v>1081</v>
      </c>
      <c r="C51" s="3" t="s">
        <v>1425</v>
      </c>
    </row>
    <row r="52" spans="1:36" x14ac:dyDescent="0.25">
      <c r="A52" s="3" t="s">
        <v>672</v>
      </c>
      <c r="B52" s="3" t="s">
        <v>1082</v>
      </c>
      <c r="C52" s="3" t="s">
        <v>1426</v>
      </c>
    </row>
    <row r="53" spans="1:36" x14ac:dyDescent="0.25">
      <c r="A53" s="3" t="s">
        <v>672</v>
      </c>
      <c r="B53" s="3" t="s">
        <v>1121</v>
      </c>
      <c r="C53" s="3" t="s">
        <v>1431</v>
      </c>
    </row>
    <row r="54" spans="1:36" x14ac:dyDescent="0.25">
      <c r="A54" s="3" t="s">
        <v>672</v>
      </c>
      <c r="B54" s="3" t="s">
        <v>1122</v>
      </c>
      <c r="C54" s="3" t="s">
        <v>1432</v>
      </c>
    </row>
    <row r="55" spans="1:36" x14ac:dyDescent="0.25">
      <c r="A55" s="3" t="s">
        <v>672</v>
      </c>
      <c r="B55" s="3" t="s">
        <v>1123</v>
      </c>
      <c r="C55" s="3" t="s">
        <v>1433</v>
      </c>
    </row>
    <row r="56" spans="1:36" x14ac:dyDescent="0.25">
      <c r="A56" s="3" t="s">
        <v>672</v>
      </c>
      <c r="B56" s="3" t="s">
        <v>1124</v>
      </c>
      <c r="C56" s="3" t="s">
        <v>1434</v>
      </c>
    </row>
    <row r="57" spans="1:36" x14ac:dyDescent="0.25">
      <c r="A57" s="3" t="s">
        <v>673</v>
      </c>
      <c r="B57" s="3" t="s">
        <v>1084</v>
      </c>
      <c r="C57" s="3" t="s">
        <v>1085</v>
      </c>
    </row>
    <row r="58" spans="1:36" x14ac:dyDescent="0.25">
      <c r="A58" s="3" t="s">
        <v>673</v>
      </c>
      <c r="B58" s="3" t="s">
        <v>1086</v>
      </c>
      <c r="C58" s="3" t="s">
        <v>1087</v>
      </c>
    </row>
    <row r="59" spans="1:36" x14ac:dyDescent="0.25">
      <c r="A59" s="3" t="s">
        <v>673</v>
      </c>
      <c r="B59" s="3" t="s">
        <v>1088</v>
      </c>
      <c r="C59" s="3" t="s">
        <v>1125</v>
      </c>
    </row>
    <row r="60" spans="1:36" x14ac:dyDescent="0.25">
      <c r="A60" s="3" t="s">
        <v>673</v>
      </c>
      <c r="B60" s="3" t="s">
        <v>1090</v>
      </c>
      <c r="C60" s="3" t="s">
        <v>1126</v>
      </c>
    </row>
    <row r="61" spans="1:36" x14ac:dyDescent="0.25">
      <c r="A61" s="3" t="s">
        <v>677</v>
      </c>
      <c r="B61" s="3" t="s">
        <v>700</v>
      </c>
      <c r="C61" s="3" t="s">
        <v>701</v>
      </c>
    </row>
    <row r="62" spans="1:36" x14ac:dyDescent="0.25">
      <c r="A62" s="3" t="s">
        <v>672</v>
      </c>
      <c r="B62" s="3" t="s">
        <v>728</v>
      </c>
      <c r="C62" s="3" t="s">
        <v>1127</v>
      </c>
    </row>
    <row r="63" spans="1:36" x14ac:dyDescent="0.25">
      <c r="A63" s="3" t="s">
        <v>673</v>
      </c>
      <c r="B63" s="3" t="s">
        <v>702</v>
      </c>
      <c r="C63" s="3" t="s">
        <v>1128</v>
      </c>
    </row>
    <row r="64" spans="1:36" x14ac:dyDescent="0.25">
      <c r="A64" s="3" t="s">
        <v>672</v>
      </c>
      <c r="B64" s="3" t="s">
        <v>571</v>
      </c>
      <c r="C64" s="3" t="s">
        <v>1094</v>
      </c>
    </row>
    <row r="65" spans="1:3" x14ac:dyDescent="0.25">
      <c r="A65" s="3" t="s">
        <v>672</v>
      </c>
      <c r="B65" s="3" t="s">
        <v>550</v>
      </c>
      <c r="C65" s="3" t="s">
        <v>1095</v>
      </c>
    </row>
    <row r="66" spans="1:3" x14ac:dyDescent="0.25">
      <c r="A66" s="3" t="s">
        <v>673</v>
      </c>
      <c r="B66" s="3" t="s">
        <v>572</v>
      </c>
      <c r="C66" s="3" t="s">
        <v>573</v>
      </c>
    </row>
    <row r="67" spans="1:3" x14ac:dyDescent="0.25">
      <c r="A67" s="3" t="s">
        <v>673</v>
      </c>
      <c r="B67" s="3" t="s">
        <v>574</v>
      </c>
      <c r="C67" s="3" t="s">
        <v>575</v>
      </c>
    </row>
    <row r="68" spans="1:3" x14ac:dyDescent="0.25">
      <c r="A68" s="3" t="s">
        <v>673</v>
      </c>
      <c r="B68" s="3" t="s">
        <v>576</v>
      </c>
      <c r="C68" s="3" t="s">
        <v>1096</v>
      </c>
    </row>
    <row r="69" spans="1:3" x14ac:dyDescent="0.25">
      <c r="A69" s="3" t="s">
        <v>673</v>
      </c>
      <c r="B69" s="3" t="s">
        <v>577</v>
      </c>
      <c r="C69" s="3" t="s">
        <v>685</v>
      </c>
    </row>
    <row r="70" spans="1:3" x14ac:dyDescent="0.25">
      <c r="A70" s="3" t="s">
        <v>673</v>
      </c>
      <c r="B70" s="3" t="s">
        <v>579</v>
      </c>
      <c r="C70" s="3" t="s">
        <v>703</v>
      </c>
    </row>
    <row r="71" spans="1:3" x14ac:dyDescent="0.25">
      <c r="A71" s="3" t="s">
        <v>686</v>
      </c>
      <c r="B71" s="3" t="s">
        <v>581</v>
      </c>
      <c r="C71" s="3" t="s">
        <v>452</v>
      </c>
    </row>
    <row r="72" spans="1:3" x14ac:dyDescent="0.25">
      <c r="A72" s="3" t="s">
        <v>673</v>
      </c>
      <c r="B72" s="3" t="s">
        <v>1925</v>
      </c>
      <c r="C72" s="3" t="s">
        <v>2245</v>
      </c>
    </row>
    <row r="73" spans="1:3" x14ac:dyDescent="0.25">
      <c r="A73" s="3" t="s">
        <v>672</v>
      </c>
      <c r="B73" s="3" t="s">
        <v>1968</v>
      </c>
      <c r="C73" s="3" t="s">
        <v>2246</v>
      </c>
    </row>
    <row r="74" spans="1:3" x14ac:dyDescent="0.25">
      <c r="A74" s="3" t="s">
        <v>673</v>
      </c>
      <c r="B74" s="3" t="s">
        <v>582</v>
      </c>
      <c r="C74" s="3" t="s">
        <v>1129</v>
      </c>
    </row>
    <row r="75" spans="1:3" x14ac:dyDescent="0.25">
      <c r="A75" s="3" t="s">
        <v>673</v>
      </c>
      <c r="B75" s="3" t="s">
        <v>688</v>
      </c>
      <c r="C75" s="3" t="s">
        <v>689</v>
      </c>
    </row>
    <row r="76" spans="1:3" x14ac:dyDescent="0.25">
      <c r="A76" s="3" t="s">
        <v>673</v>
      </c>
      <c r="B76" s="3" t="s">
        <v>586</v>
      </c>
      <c r="C76" s="3" t="s">
        <v>690</v>
      </c>
    </row>
    <row r="77" spans="1:3" x14ac:dyDescent="0.25">
      <c r="A77" s="3" t="s">
        <v>673</v>
      </c>
      <c r="B77" s="3" t="s">
        <v>365</v>
      </c>
      <c r="C77" s="3" t="s">
        <v>691</v>
      </c>
    </row>
    <row r="78" spans="1:3" x14ac:dyDescent="0.25">
      <c r="A78" s="3" t="s">
        <v>692</v>
      </c>
      <c r="B78" s="3" t="s">
        <v>1428</v>
      </c>
      <c r="C78" s="3" t="s">
        <v>2247</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8" t="str" cm="1">
        <f t="array" aca="1" ref="A1" ca="1">IFERROR(MID(CELL("filename",$A$1),FIND("]",CELL("filename",$A$1))+1,99),"SXX")</f>
        <v>S17</v>
      </c>
      <c r="B1" s="28"/>
      <c r="C1" s="28"/>
      <c r="E1" s="27" t="str" cm="1">
        <f t="array" aca="1" ref="E1" ca="1">IFERROR(MID(CELL("filename",$A$1),FIND("]",CELL("filename",$A$1))+1,99),"SXX")&amp;" MATERIALS (USAGE + STANDALONE)"</f>
        <v>S17 MATERIALS (USAGE + STANDALONE)</v>
      </c>
      <c r="F1" s="27"/>
      <c r="G1" s="27"/>
      <c r="H1" s="27"/>
      <c r="I1" s="27"/>
      <c r="J1" s="27"/>
      <c r="K1" s="27"/>
      <c r="L1" s="13"/>
      <c r="M1" s="13"/>
      <c r="N1" s="19">
        <f>SUM(N3:N49)</f>
        <v>2888</v>
      </c>
      <c r="P1" s="27" t="str" cm="1">
        <f t="array" aca="1" ref="P1" ca="1">IFERROR(MID(CELL("filename",$A$1),FIND("]",CELL("filename",$A$1))+1,99),"SXX")&amp;" LABOUR (USAGE + STANDALONE)"</f>
        <v>S17 LABOUR (USAGE + STANDALONE)</v>
      </c>
      <c r="Q1" s="27"/>
      <c r="R1" s="27"/>
      <c r="S1" s="27"/>
      <c r="T1" s="27"/>
      <c r="U1" s="27"/>
      <c r="V1" s="27"/>
      <c r="Y1" s="19">
        <f>SUM(Y3:Y49)</f>
        <v>2520</v>
      </c>
      <c r="AA1" s="29" t="str" cm="1">
        <f t="array" aca="1" ref="AA1" ca="1">IFERROR(MID(CELL("filename",$A$1),FIND("]",CELL("filename",$A$1))+1,99),"SXX")&amp;" RENTAL / SERVICE (USAGE + STANDALONE)"</f>
        <v>S17 RENTAL / SERVICE (USAGE + STANDALONE)</v>
      </c>
      <c r="AB1" s="29"/>
      <c r="AC1" s="29"/>
      <c r="AD1" s="29"/>
      <c r="AE1" s="29"/>
      <c r="AF1" s="29"/>
      <c r="AG1" s="29"/>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SummaryHelper</vt:lpstr>
      <vt:lpstr>Button</vt:lpstr>
      <vt:lpstr>README</vt:lpstr>
      <vt:lpstr>Search</vt:lpstr>
      <vt:lpstr>Purchase</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2026-04-01T06:14:58Z</dcterms:modified>
</cp:coreProperties>
</file>