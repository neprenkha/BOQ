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7B9082CF-9FAB-4B63-AEDD-45627808222D}" xr6:coauthVersionLast="47" xr6:coauthVersionMax="47" xr10:uidLastSave="{00000000-0000-0000-0000-000000000000}"/>
  <bookViews>
    <workbookView xWindow="57480" yWindow="-120" windowWidth="29040" windowHeight="15840" firstSheet="4" activeTab="17" xr2:uid="{00000000-000D-0000-FFFF-FFFF00000000}"/>
  </bookViews>
  <sheets>
    <sheet name="PurchaseBAK" sheetId="25" state="hidden" r:id="rId1"/>
    <sheet name="Button" sheetId="28" r:id="rId2"/>
    <sheet name="README" sheetId="16" r:id="rId3"/>
    <sheet name="Search" sheetId="24" r:id="rId4"/>
    <sheet name="Purchase" sheetId="23" r:id="rId5"/>
    <sheet name="Summary" sheetId="12" r:id="rId6"/>
    <sheet name="S01" sheetId="21" r:id="rId7"/>
    <sheet name="S02" sheetId="30" r:id="rId8"/>
    <sheet name="S03" sheetId="34" r:id="rId9"/>
    <sheet name="S04" sheetId="33" r:id="rId10"/>
    <sheet name="S05" sheetId="32" r:id="rId11"/>
    <sheet name="S06" sheetId="31" r:id="rId12"/>
    <sheet name="S07" sheetId="35" r:id="rId13"/>
    <sheet name="S08" sheetId="36" r:id="rId14"/>
    <sheet name="S09" sheetId="37" r:id="rId15"/>
    <sheet name="S10" sheetId="38" r:id="rId16"/>
    <sheet name="S11" sheetId="39" r:id="rId17"/>
    <sheet name="S12" sheetId="40" r:id="rId18"/>
    <sheet name="S13" sheetId="41" r:id="rId19"/>
    <sheet name="S14" sheetId="42" r:id="rId20"/>
    <sheet name="S15" sheetId="43" r:id="rId21"/>
    <sheet name="S16" sheetId="44" r:id="rId22"/>
    <sheet name="S17" sheetId="45" r:id="rId23"/>
    <sheet name="_SummaryBackup" sheetId="29" state="veryHidden" r:id="rId24"/>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49" i="45" l="1"/>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Y1" i="44" l="1"/>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M14" i="43"/>
  <c r="N14" i="43" s="1"/>
  <c r="L14" i="43"/>
  <c r="AJ13" i="43"/>
  <c r="AI13" i="43"/>
  <c r="AH13" i="43"/>
  <c r="Y13" i="43"/>
  <c r="X13" i="43"/>
  <c r="W13" i="43"/>
  <c r="L13" i="43"/>
  <c r="M13" i="43" s="1"/>
  <c r="N13" i="43" s="1"/>
  <c r="AJ12" i="43"/>
  <c r="AI12" i="43"/>
  <c r="AH12" i="43"/>
  <c r="Y12" i="43"/>
  <c r="X12" i="43"/>
  <c r="W12" i="43"/>
  <c r="N12" i="43"/>
  <c r="M12" i="43"/>
  <c r="L12" i="43"/>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M6" i="43"/>
  <c r="N6" i="43" s="1"/>
  <c r="L6" i="43"/>
  <c r="AJ5" i="43"/>
  <c r="AI5" i="43"/>
  <c r="AH5" i="43"/>
  <c r="W5" i="43"/>
  <c r="X5" i="43" s="1"/>
  <c r="Y5" i="43" s="1"/>
  <c r="N5" i="43"/>
  <c r="M5" i="43"/>
  <c r="L5" i="43"/>
  <c r="AJ4" i="43"/>
  <c r="AI4" i="43"/>
  <c r="AH4" i="43"/>
  <c r="W4" i="43"/>
  <c r="X4" i="43" s="1"/>
  <c r="Y4" i="43" s="1"/>
  <c r="L4" i="43"/>
  <c r="M4" i="43" s="1"/>
  <c r="N4" i="43" s="1"/>
  <c r="AJ3" i="43"/>
  <c r="AJ1" i="43" s="1"/>
  <c r="AI3" i="43"/>
  <c r="AH3" i="43"/>
  <c r="W3" i="43"/>
  <c r="X3" i="43" s="1"/>
  <c r="Y3" i="43" s="1"/>
  <c r="M3" i="43"/>
  <c r="N3" i="43" s="1"/>
  <c r="L3" i="43"/>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M6" i="42"/>
  <c r="N6" i="42" s="1"/>
  <c r="L6" i="42"/>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N12" i="41"/>
  <c r="M12" i="41"/>
  <c r="L12" i="4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M7" i="41"/>
  <c r="N7" i="41" s="1"/>
  <c r="L7" i="41"/>
  <c r="AJ6" i="41"/>
  <c r="AI6" i="41"/>
  <c r="AH6" i="41"/>
  <c r="Y6" i="41"/>
  <c r="X6" i="41"/>
  <c r="W6" i="41"/>
  <c r="L6" i="41"/>
  <c r="M6" i="41" s="1"/>
  <c r="N6" i="41" s="1"/>
  <c r="AJ5" i="41"/>
  <c r="AI5" i="41"/>
  <c r="AH5" i="41"/>
  <c r="Y5" i="41"/>
  <c r="X5" i="41"/>
  <c r="W5" i="41"/>
  <c r="N5" i="41"/>
  <c r="M5" i="41"/>
  <c r="L5" i="41"/>
  <c r="AJ4" i="41"/>
  <c r="AI4" i="41"/>
  <c r="AH4" i="41"/>
  <c r="Y4" i="41"/>
  <c r="X4" i="41"/>
  <c r="W4" i="41"/>
  <c r="M4" i="41"/>
  <c r="N4" i="41" s="1"/>
  <c r="L4" i="41"/>
  <c r="AJ3" i="41"/>
  <c r="AJ1" i="41" s="1"/>
  <c r="AI3" i="41"/>
  <c r="AH3" i="41"/>
  <c r="X3" i="41"/>
  <c r="Y3" i="41" s="1"/>
  <c r="W3" i="41"/>
  <c r="M3" i="41"/>
  <c r="N3" i="41" s="1"/>
  <c r="L3" i="4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M10" i="40"/>
  <c r="N10" i="40" s="1"/>
  <c r="L10" i="40"/>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N6" i="40"/>
  <c r="M6" i="40"/>
  <c r="L6" i="40"/>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1" i="29"/>
  <c r="D1" i="29"/>
  <c r="E1" i="29"/>
  <c r="F1" i="29"/>
  <c r="G1" i="29"/>
  <c r="B3" i="29"/>
  <c r="B4" i="29"/>
  <c r="B5" i="29"/>
  <c r="B6" i="29"/>
  <c r="C6" i="29" s="1"/>
  <c r="D6" i="29"/>
  <c r="E6" i="29"/>
  <c r="F6" i="29"/>
  <c r="G6" i="29"/>
  <c r="B7" i="29"/>
  <c r="E7" i="29" s="1"/>
  <c r="C7" i="29"/>
  <c r="D7" i="29"/>
  <c r="G7" i="29"/>
  <c r="B8" i="29"/>
  <c r="C8" i="29"/>
  <c r="D8" i="29"/>
  <c r="E8" i="29"/>
  <c r="F8" i="29"/>
  <c r="G8" i="29"/>
  <c r="B9" i="29"/>
  <c r="C9" i="29" s="1"/>
  <c r="D9" i="29"/>
  <c r="G9" i="29"/>
  <c r="B10" i="29"/>
  <c r="C10" i="29" s="1"/>
  <c r="D10" i="29"/>
  <c r="E10" i="29"/>
  <c r="F10" i="29"/>
  <c r="G10" i="29"/>
  <c r="B11" i="29"/>
  <c r="C11" i="29"/>
  <c r="D11" i="29"/>
  <c r="E11" i="29"/>
  <c r="F11" i="29"/>
  <c r="G11" i="29"/>
  <c r="B12" i="29"/>
  <c r="C12" i="29"/>
  <c r="D12" i="29"/>
  <c r="E12" i="29"/>
  <c r="F12" i="29"/>
  <c r="G12" i="29"/>
  <c r="B13" i="29"/>
  <c r="C13" i="29" s="1"/>
  <c r="F13" i="29"/>
  <c r="G13" i="29"/>
  <c r="B14" i="29"/>
  <c r="C14" i="29"/>
  <c r="D14" i="29"/>
  <c r="E14" i="29"/>
  <c r="F14" i="29"/>
  <c r="G14" i="29"/>
  <c r="B15" i="29"/>
  <c r="C15" i="29"/>
  <c r="D15" i="29"/>
  <c r="E15" i="29"/>
  <c r="F15" i="29"/>
  <c r="G15" i="29"/>
  <c r="B16" i="29"/>
  <c r="C16" i="29" s="1"/>
  <c r="E16" i="29"/>
  <c r="F16" i="29"/>
  <c r="G16" i="29"/>
  <c r="B17" i="29"/>
  <c r="D17" i="29" s="1"/>
  <c r="C17" i="29"/>
  <c r="E17" i="29"/>
  <c r="F17" i="29"/>
  <c r="G17" i="29"/>
  <c r="B18" i="29"/>
  <c r="C18" i="29" s="1"/>
  <c r="G18" i="29"/>
  <c r="B19" i="29"/>
  <c r="C19" i="29" s="1"/>
  <c r="E19" i="29"/>
  <c r="F19" i="29"/>
  <c r="G19" i="29"/>
  <c r="B20" i="29"/>
  <c r="C20" i="29" s="1"/>
  <c r="G20" i="29"/>
  <c r="B21" i="29"/>
  <c r="C21" i="29" s="1"/>
  <c r="G21" i="29"/>
  <c r="B22" i="29"/>
  <c r="C22" i="29" s="1"/>
  <c r="D22" i="29"/>
  <c r="E22" i="29"/>
  <c r="F22" i="29"/>
  <c r="G22" i="29"/>
  <c r="B23" i="29"/>
  <c r="E23" i="29" s="1"/>
  <c r="C23" i="29"/>
  <c r="D23" i="29"/>
  <c r="G23" i="29"/>
  <c r="B24" i="29"/>
  <c r="C24" i="29" s="1"/>
  <c r="D24" i="29"/>
  <c r="E24" i="29"/>
  <c r="F24" i="29"/>
  <c r="G24" i="29"/>
  <c r="B25" i="29"/>
  <c r="C25" i="29" s="1"/>
  <c r="D25" i="29"/>
  <c r="G25" i="29"/>
  <c r="B26" i="29"/>
  <c r="C26" i="29"/>
  <c r="D26" i="29"/>
  <c r="E26" i="29"/>
  <c r="F26" i="29"/>
  <c r="G26" i="29"/>
  <c r="B27" i="29"/>
  <c r="C27" i="29"/>
  <c r="D27" i="29"/>
  <c r="E27" i="29"/>
  <c r="F27" i="29"/>
  <c r="G27" i="29"/>
  <c r="B28" i="29"/>
  <c r="C28" i="29"/>
  <c r="D28" i="29"/>
  <c r="E28" i="29"/>
  <c r="F28" i="29"/>
  <c r="G28" i="29"/>
  <c r="B29" i="29"/>
  <c r="E29" i="29" s="1"/>
  <c r="C29" i="29"/>
  <c r="D29" i="29"/>
  <c r="F29" i="29"/>
  <c r="G29" i="29"/>
  <c r="B30" i="29"/>
  <c r="C30" i="29"/>
  <c r="D30" i="29"/>
  <c r="E30" i="29"/>
  <c r="F30" i="29"/>
  <c r="G30" i="29"/>
  <c r="B31" i="29"/>
  <c r="C31" i="29"/>
  <c r="D31" i="29"/>
  <c r="E31" i="29"/>
  <c r="F31" i="29"/>
  <c r="G31" i="29"/>
  <c r="B32" i="29"/>
  <c r="C32" i="29" s="1"/>
  <c r="D32" i="29"/>
  <c r="E32" i="29"/>
  <c r="F32" i="29"/>
  <c r="G32" i="29"/>
  <c r="B33" i="29"/>
  <c r="C33" i="29"/>
  <c r="D33" i="29"/>
  <c r="E33" i="29"/>
  <c r="F33" i="29"/>
  <c r="G33" i="29"/>
  <c r="B34" i="29"/>
  <c r="C34" i="29" s="1"/>
  <c r="G34" i="29"/>
  <c r="B35" i="29"/>
  <c r="C35" i="29" s="1"/>
  <c r="E35" i="29"/>
  <c r="F35" i="29"/>
  <c r="G35" i="29"/>
  <c r="B36" i="29"/>
  <c r="C36" i="29" s="1"/>
  <c r="G36" i="29"/>
  <c r="B37" i="29"/>
  <c r="C37" i="29" s="1"/>
  <c r="G37" i="29"/>
  <c r="B38" i="29"/>
  <c r="C38" i="29" s="1"/>
  <c r="D38" i="29"/>
  <c r="E38" i="29"/>
  <c r="F38" i="29"/>
  <c r="G38" i="29"/>
  <c r="B39" i="29"/>
  <c r="E39" i="29" s="1"/>
  <c r="D39" i="29"/>
  <c r="G39" i="29"/>
  <c r="B40" i="29"/>
  <c r="C40" i="29" s="1"/>
  <c r="D40" i="29"/>
  <c r="E40" i="29"/>
  <c r="G40" i="29"/>
  <c r="B41" i="29"/>
  <c r="E41" i="29" s="1"/>
  <c r="C41" i="29"/>
  <c r="D41" i="29"/>
  <c r="G41" i="29"/>
  <c r="B42" i="29"/>
  <c r="C42" i="29"/>
  <c r="D42" i="29"/>
  <c r="E42" i="29"/>
  <c r="F42" i="29"/>
  <c r="G42" i="29"/>
  <c r="B43" i="29"/>
  <c r="C43" i="29" s="1"/>
  <c r="D43" i="29"/>
  <c r="E43" i="29"/>
  <c r="F43" i="29"/>
  <c r="G43" i="29"/>
  <c r="B44" i="29"/>
  <c r="C44" i="29"/>
  <c r="D44" i="29"/>
  <c r="E44" i="29"/>
  <c r="F44" i="29"/>
  <c r="G44" i="29"/>
  <c r="B45" i="29"/>
  <c r="E45" i="29" s="1"/>
  <c r="C45" i="29"/>
  <c r="D45" i="29"/>
  <c r="F45" i="29"/>
  <c r="G45" i="29"/>
  <c r="B46" i="29"/>
  <c r="C46" i="29"/>
  <c r="D46" i="29"/>
  <c r="E46" i="29"/>
  <c r="F46" i="29"/>
  <c r="G46" i="29"/>
  <c r="B47" i="29"/>
  <c r="C47" i="29"/>
  <c r="D47" i="29"/>
  <c r="E47" i="29"/>
  <c r="F47" i="29"/>
  <c r="G47" i="29"/>
  <c r="B48" i="29"/>
  <c r="E48" i="29" s="1"/>
  <c r="F48" i="29"/>
  <c r="G48" i="29"/>
  <c r="B49" i="29"/>
  <c r="C49" i="29"/>
  <c r="D49" i="29"/>
  <c r="E49" i="29"/>
  <c r="F49" i="29"/>
  <c r="G49" i="29"/>
  <c r="C5" i="29"/>
  <c r="C4" i="29"/>
  <c r="Y1" i="38" l="1"/>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F37" i="29"/>
  <c r="F21" i="29"/>
  <c r="D16" i="29"/>
  <c r="C48" i="29"/>
  <c r="E37" i="29"/>
  <c r="E21" i="29"/>
  <c r="D37" i="29"/>
  <c r="D21" i="29"/>
  <c r="F36" i="29"/>
  <c r="E36" i="29"/>
  <c r="F41" i="29"/>
  <c r="D36" i="29"/>
  <c r="F25" i="29"/>
  <c r="D20" i="29"/>
  <c r="F9" i="29"/>
  <c r="F20" i="29"/>
  <c r="E20" i="29"/>
  <c r="E25" i="29"/>
  <c r="E9" i="29"/>
  <c r="D48" i="29"/>
  <c r="F40" i="29"/>
  <c r="D35" i="29"/>
  <c r="D19" i="29"/>
  <c r="C39" i="29"/>
  <c r="E13" i="29"/>
  <c r="F34" i="29"/>
  <c r="F18" i="29"/>
  <c r="D13" i="29"/>
  <c r="E34" i="29"/>
  <c r="E18" i="29"/>
  <c r="F39" i="29"/>
  <c r="D34" i="29"/>
  <c r="F23" i="29"/>
  <c r="D18" i="29"/>
  <c r="F7" i="29"/>
  <c r="K266" i="25"/>
  <c r="K265" i="25"/>
  <c r="K264" i="25"/>
  <c r="K263" i="25"/>
  <c r="K262" i="25"/>
  <c r="K261" i="25"/>
  <c r="K260" i="25"/>
  <c r="K259" i="25"/>
  <c r="K258" i="25"/>
  <c r="K257" i="25"/>
  <c r="K256" i="25"/>
  <c r="K255" i="25"/>
  <c r="K254" i="25"/>
  <c r="K253" i="25"/>
  <c r="K252" i="25"/>
  <c r="K251" i="25"/>
  <c r="K250" i="25"/>
  <c r="K249" i="25"/>
  <c r="K248" i="25"/>
  <c r="K247" i="25"/>
  <c r="K246" i="25"/>
  <c r="K245" i="25"/>
  <c r="K244" i="25"/>
  <c r="K243" i="25"/>
  <c r="K242" i="25"/>
  <c r="K241" i="25"/>
  <c r="K240" i="25"/>
  <c r="K239" i="25"/>
  <c r="K238" i="25"/>
  <c r="K237" i="25"/>
  <c r="K236" i="25"/>
  <c r="K235"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L131" i="25"/>
  <c r="K131" i="25"/>
  <c r="L130" i="25"/>
  <c r="K130" i="25"/>
  <c r="L129" i="25"/>
  <c r="K129" i="25"/>
  <c r="L128" i="25"/>
  <c r="K128" i="25"/>
  <c r="M127" i="25"/>
  <c r="L127" i="25"/>
  <c r="K127" i="25"/>
  <c r="M126" i="25"/>
  <c r="L126" i="25"/>
  <c r="K126" i="25"/>
  <c r="M125" i="25"/>
  <c r="L125" i="25"/>
  <c r="K125" i="25"/>
  <c r="M124" i="25"/>
  <c r="L124" i="25"/>
  <c r="K124" i="25"/>
  <c r="M123" i="25"/>
  <c r="L123" i="25"/>
  <c r="K123" i="25"/>
  <c r="M122" i="25"/>
  <c r="L122" i="25"/>
  <c r="K122" i="25"/>
  <c r="M121" i="25"/>
  <c r="L121" i="25"/>
  <c r="K121" i="25"/>
  <c r="M120" i="25"/>
  <c r="L120" i="25"/>
  <c r="K120" i="25"/>
  <c r="M119" i="25"/>
  <c r="L119" i="25"/>
  <c r="K119" i="25"/>
  <c r="M118" i="25"/>
  <c r="L118" i="25"/>
  <c r="K118" i="25"/>
  <c r="M117" i="25"/>
  <c r="L117" i="25"/>
  <c r="K117" i="25"/>
  <c r="M116" i="25"/>
  <c r="L116" i="25"/>
  <c r="K116" i="25"/>
  <c r="M115" i="25"/>
  <c r="L115" i="25"/>
  <c r="K115" i="25"/>
  <c r="M114" i="25"/>
  <c r="L114" i="25"/>
  <c r="K114" i="25"/>
  <c r="M113" i="25"/>
  <c r="L113" i="25"/>
  <c r="K113" i="25"/>
  <c r="M112" i="25"/>
  <c r="L112" i="25"/>
  <c r="K112" i="25"/>
  <c r="M111" i="25"/>
  <c r="L111" i="25"/>
  <c r="K111" i="25"/>
  <c r="M110" i="25"/>
  <c r="L110" i="25"/>
  <c r="K110" i="25"/>
  <c r="M109" i="25"/>
  <c r="L109" i="25"/>
  <c r="K109" i="25"/>
  <c r="M108" i="25"/>
  <c r="L108" i="25"/>
  <c r="K108" i="25"/>
  <c r="M107" i="25"/>
  <c r="L107" i="25"/>
  <c r="K107" i="25"/>
  <c r="M106" i="25"/>
  <c r="L106" i="25"/>
  <c r="K106" i="25"/>
  <c r="M105" i="25"/>
  <c r="L105" i="25"/>
  <c r="K105" i="25"/>
  <c r="M104" i="25"/>
  <c r="L104" i="25"/>
  <c r="K104" i="25"/>
  <c r="M103" i="25"/>
  <c r="L103" i="25"/>
  <c r="K103" i="25"/>
  <c r="M102" i="25"/>
  <c r="L102" i="25"/>
  <c r="K102" i="25"/>
  <c r="M101" i="25"/>
  <c r="L101" i="25"/>
  <c r="K101" i="25"/>
  <c r="M100" i="25"/>
  <c r="L100" i="25"/>
  <c r="K100" i="25"/>
  <c r="M99" i="25"/>
  <c r="L99" i="25"/>
  <c r="K99" i="25"/>
  <c r="M98" i="25"/>
  <c r="L98" i="25"/>
  <c r="K98" i="25"/>
  <c r="M97" i="25"/>
  <c r="L97" i="25"/>
  <c r="K97" i="25"/>
  <c r="M96" i="25"/>
  <c r="L96" i="25"/>
  <c r="K96" i="25"/>
  <c r="M95" i="25"/>
  <c r="L95" i="25"/>
  <c r="K95" i="25"/>
  <c r="M94" i="25"/>
  <c r="L94" i="25"/>
  <c r="K94" i="25"/>
  <c r="M93" i="25"/>
  <c r="L93" i="25"/>
  <c r="K93" i="25"/>
  <c r="M92" i="25"/>
  <c r="L92" i="25"/>
  <c r="K92" i="25"/>
  <c r="M91" i="25"/>
  <c r="L91" i="25"/>
  <c r="K91" i="25"/>
  <c r="M90" i="25"/>
  <c r="L90" i="25"/>
  <c r="K90" i="25"/>
  <c r="M89" i="25"/>
  <c r="L89" i="25"/>
  <c r="K89" i="25"/>
  <c r="M88" i="25"/>
  <c r="L88" i="25"/>
  <c r="K88" i="25"/>
  <c r="M87" i="25"/>
  <c r="L87" i="25"/>
  <c r="K87" i="25"/>
  <c r="M86" i="25"/>
  <c r="L86" i="25"/>
  <c r="K86" i="25"/>
  <c r="M85" i="25"/>
  <c r="L85" i="25"/>
  <c r="K85" i="25"/>
  <c r="M84" i="25"/>
  <c r="L84" i="25"/>
  <c r="K84" i="25"/>
  <c r="M83" i="25"/>
  <c r="L83" i="25"/>
  <c r="K83" i="25"/>
  <c r="M82" i="25"/>
  <c r="L82" i="25"/>
  <c r="K82" i="25"/>
  <c r="M81" i="25"/>
  <c r="L81" i="25"/>
  <c r="K81" i="25"/>
  <c r="M80" i="25"/>
  <c r="L80" i="25"/>
  <c r="K80" i="25"/>
  <c r="M79" i="25"/>
  <c r="L79" i="25"/>
  <c r="K79" i="25"/>
  <c r="M78" i="25"/>
  <c r="L78" i="25"/>
  <c r="K78" i="25"/>
  <c r="M77" i="25"/>
  <c r="L77" i="25"/>
  <c r="K77" i="25"/>
  <c r="M76" i="25"/>
  <c r="L76" i="25"/>
  <c r="K76" i="25"/>
  <c r="M75" i="25"/>
  <c r="L75" i="25"/>
  <c r="K75" i="25"/>
  <c r="M74" i="25"/>
  <c r="L74" i="25"/>
  <c r="K74" i="25"/>
  <c r="M73" i="25"/>
  <c r="L73" i="25"/>
  <c r="K73" i="25"/>
  <c r="M72" i="25"/>
  <c r="L72" i="25"/>
  <c r="K72" i="25"/>
  <c r="M71" i="25"/>
  <c r="L71" i="25"/>
  <c r="K71" i="25"/>
  <c r="M70" i="25"/>
  <c r="L70" i="25"/>
  <c r="K70" i="25"/>
  <c r="M69" i="25"/>
  <c r="L69" i="25"/>
  <c r="K69" i="25"/>
  <c r="M68" i="25"/>
  <c r="L68" i="25"/>
  <c r="K68" i="25"/>
  <c r="M67" i="25"/>
  <c r="L67" i="25"/>
  <c r="K67" i="25"/>
  <c r="M66" i="25"/>
  <c r="L66" i="25"/>
  <c r="K66" i="25"/>
  <c r="M65" i="25"/>
  <c r="L65" i="25"/>
  <c r="K65" i="25"/>
  <c r="M64" i="25"/>
  <c r="L64" i="25"/>
  <c r="K64" i="25"/>
  <c r="M63" i="25"/>
  <c r="L63" i="25"/>
  <c r="K63" i="25"/>
  <c r="M62" i="25"/>
  <c r="L62" i="25"/>
  <c r="K62" i="25"/>
  <c r="M61" i="25"/>
  <c r="L61" i="25"/>
  <c r="K61" i="25"/>
  <c r="J61" i="25"/>
  <c r="B15" i="12"/>
  <c r="B16" i="12"/>
  <c r="B17" i="12"/>
  <c r="B18" i="12"/>
  <c r="B19" i="12"/>
  <c r="B20" i="12"/>
  <c r="B21" i="12"/>
  <c r="C21" i="12" s="1"/>
  <c r="B22" i="12"/>
  <c r="C22" i="12" s="1"/>
  <c r="B23" i="12"/>
  <c r="D23" i="12" s="1"/>
  <c r="B24" i="12"/>
  <c r="B25" i="12"/>
  <c r="D25" i="12" s="1"/>
  <c r="B26" i="12"/>
  <c r="C26" i="12" s="1"/>
  <c r="B27" i="12"/>
  <c r="B28" i="12"/>
  <c r="B29" i="12"/>
  <c r="D29" i="12" s="1"/>
  <c r="B30" i="12"/>
  <c r="C30" i="12" s="1"/>
  <c r="B31" i="12"/>
  <c r="D31" i="12" s="1"/>
  <c r="B32" i="12"/>
  <c r="D32" i="12" s="1"/>
  <c r="B33" i="12"/>
  <c r="D33" i="12" s="1"/>
  <c r="B34" i="12"/>
  <c r="D34" i="12" s="1"/>
  <c r="B35" i="12"/>
  <c r="D35" i="12" s="1"/>
  <c r="B36" i="12"/>
  <c r="D36" i="12" s="1"/>
  <c r="B37" i="12"/>
  <c r="B38" i="12"/>
  <c r="D38" i="12" s="1"/>
  <c r="B39" i="12"/>
  <c r="B40" i="12"/>
  <c r="C40" i="12" s="1"/>
  <c r="B41" i="12"/>
  <c r="E41" i="12" s="1"/>
  <c r="B42" i="12"/>
  <c r="C42" i="12" s="1"/>
  <c r="B43" i="12"/>
  <c r="B44" i="12"/>
  <c r="B45" i="12"/>
  <c r="B46" i="12"/>
  <c r="B47" i="12"/>
  <c r="B48" i="12"/>
  <c r="E48" i="12" s="1"/>
  <c r="B49" i="12"/>
  <c r="C49" i="12" s="1"/>
  <c r="C46" i="12"/>
  <c r="C47" i="12"/>
  <c r="C44" i="12"/>
  <c r="C43" i="12"/>
  <c r="D28" i="12"/>
  <c r="D26" i="12"/>
  <c r="D24" i="12"/>
  <c r="C20" i="12"/>
  <c r="C45" i="12"/>
  <c r="D27" i="12"/>
  <c r="E43" i="12"/>
  <c r="E46" i="12"/>
  <c r="C28" i="12"/>
  <c r="D37" i="12"/>
  <c r="E45" i="12"/>
  <c r="D20" i="12"/>
  <c r="E42" i="12"/>
  <c r="E44" i="12"/>
  <c r="E47" i="12"/>
  <c r="C27" i="12"/>
  <c r="D5" i="29"/>
  <c r="E14" i="12"/>
  <c r="C9" i="12"/>
  <c r="C11" i="12"/>
  <c r="C14" i="12"/>
  <c r="D4" i="12"/>
  <c r="D5" i="12"/>
  <c r="C16" i="12"/>
  <c r="E18" i="12"/>
  <c r="D4" i="29"/>
  <c r="E13" i="12"/>
  <c r="E10" i="12"/>
  <c r="C7" i="12"/>
  <c r="E6" i="12"/>
  <c r="C12" i="12"/>
  <c r="E7" i="12"/>
  <c r="E5" i="29"/>
  <c r="E11" i="12"/>
  <c r="E12" i="12"/>
  <c r="C19" i="12"/>
  <c r="C17" i="12"/>
  <c r="E4" i="12"/>
  <c r="D7" i="12"/>
  <c r="E4" i="29"/>
  <c r="E5" i="12"/>
  <c r="E8" i="12"/>
  <c r="C31" i="12" l="1"/>
  <c r="C25" i="12"/>
  <c r="C48" i="12"/>
  <c r="C29" i="12"/>
  <c r="C41" i="12"/>
  <c r="D30" i="12"/>
  <c r="D21" i="12"/>
  <c r="D22" i="12"/>
  <c r="F4" i="29"/>
  <c r="G4" i="29" s="1"/>
  <c r="F5" i="29"/>
  <c r="G5" i="29" s="1"/>
  <c r="C39" i="12"/>
  <c r="C33" i="12"/>
  <c r="D42" i="12"/>
  <c r="D41" i="12"/>
  <c r="E49" i="12"/>
  <c r="E33" i="12"/>
  <c r="C24" i="12"/>
  <c r="D45" i="12"/>
  <c r="E27" i="12"/>
  <c r="D48" i="12"/>
  <c r="C32" i="12"/>
  <c r="C37" i="12"/>
  <c r="E31" i="12"/>
  <c r="D47" i="12"/>
  <c r="E35" i="12"/>
  <c r="E40" i="12"/>
  <c r="C36" i="12"/>
  <c r="D44" i="12"/>
  <c r="E25" i="12"/>
  <c r="D40" i="12"/>
  <c r="E37" i="12"/>
  <c r="D39" i="12"/>
  <c r="C23" i="12"/>
  <c r="D46" i="12"/>
  <c r="E36" i="12"/>
  <c r="E20" i="12"/>
  <c r="C38" i="12"/>
  <c r="E39" i="12"/>
  <c r="E23" i="12"/>
  <c r="E34" i="12"/>
  <c r="E30" i="12"/>
  <c r="E22" i="12"/>
  <c r="E26" i="12"/>
  <c r="E32" i="12"/>
  <c r="D49" i="12"/>
  <c r="E24" i="12"/>
  <c r="E38" i="12"/>
  <c r="E21" i="12"/>
  <c r="D43" i="12"/>
  <c r="E29" i="12"/>
  <c r="E28" i="12"/>
  <c r="C35" i="12"/>
  <c r="C34" i="12"/>
  <c r="D17" i="12"/>
  <c r="E19" i="12"/>
  <c r="D19" i="12"/>
  <c r="C15" i="12"/>
  <c r="D18" i="12"/>
  <c r="D16" i="12"/>
  <c r="D15" i="12"/>
  <c r="C10" i="12"/>
  <c r="D6" i="12"/>
  <c r="C6" i="12"/>
  <c r="D10" i="12"/>
  <c r="D9" i="12"/>
  <c r="E16" i="12"/>
  <c r="D14" i="12"/>
  <c r="D11" i="12"/>
  <c r="E15" i="12"/>
  <c r="D13" i="12"/>
  <c r="D8" i="12"/>
  <c r="E17" i="12"/>
  <c r="E9" i="12"/>
  <c r="C8" i="12"/>
  <c r="D12" i="12"/>
  <c r="C18" i="12"/>
  <c r="C13" i="12"/>
  <c r="F6" i="12" l="1"/>
  <c r="G6" i="12" s="1"/>
  <c r="F34" i="12"/>
  <c r="G34" i="12" s="1"/>
  <c r="F12" i="12"/>
  <c r="G12" i="12" s="1"/>
  <c r="F35" i="12"/>
  <c r="G35" i="12" s="1"/>
  <c r="F28" i="12"/>
  <c r="G28" i="12" s="1"/>
  <c r="F29" i="12"/>
  <c r="G29" i="12" s="1"/>
  <c r="F43" i="12"/>
  <c r="G43" i="12" s="1"/>
  <c r="F13" i="12"/>
  <c r="G13" i="12" s="1"/>
  <c r="F21" i="12"/>
  <c r="G21" i="12" s="1"/>
  <c r="F49" i="12"/>
  <c r="G49" i="12" s="1"/>
  <c r="F19" i="12"/>
  <c r="G19" i="12" s="1"/>
  <c r="F15" i="12"/>
  <c r="G15" i="12" s="1"/>
  <c r="F26" i="12"/>
  <c r="G26" i="12" s="1"/>
  <c r="F22" i="12"/>
  <c r="G22" i="12" s="1"/>
  <c r="F30" i="12"/>
  <c r="G30" i="12" s="1"/>
  <c r="F18" i="12"/>
  <c r="G18" i="12" s="1"/>
  <c r="F38" i="12"/>
  <c r="G38" i="12" s="1"/>
  <c r="F20" i="12"/>
  <c r="G20" i="12" s="1"/>
  <c r="F46" i="12"/>
  <c r="G46" i="12" s="1"/>
  <c r="F17" i="12"/>
  <c r="G17" i="12" s="1"/>
  <c r="F23" i="12"/>
  <c r="G23" i="12" s="1"/>
  <c r="F40" i="12"/>
  <c r="G40" i="12" s="1"/>
  <c r="F25" i="12"/>
  <c r="G25" i="12" s="1"/>
  <c r="F11" i="12"/>
  <c r="G11" i="12" s="1"/>
  <c r="F44" i="12"/>
  <c r="G44" i="12" s="1"/>
  <c r="F36" i="12"/>
  <c r="G36" i="12" s="1"/>
  <c r="F14" i="12"/>
  <c r="G14" i="12" s="1"/>
  <c r="F47" i="12"/>
  <c r="G47" i="12" s="1"/>
  <c r="F10" i="12"/>
  <c r="G10" i="12" s="1"/>
  <c r="F16" i="12"/>
  <c r="G16" i="12" s="1"/>
  <c r="F31" i="12"/>
  <c r="G31" i="12" s="1"/>
  <c r="F37" i="12"/>
  <c r="G37" i="12" s="1"/>
  <c r="F32" i="12"/>
  <c r="G32" i="12" s="1"/>
  <c r="F48" i="12"/>
  <c r="G48" i="12" s="1"/>
  <c r="F27" i="12"/>
  <c r="G27" i="12" s="1"/>
  <c r="F45" i="12"/>
  <c r="G45" i="12" s="1"/>
  <c r="F24" i="12"/>
  <c r="G24" i="12" s="1"/>
  <c r="F9" i="12"/>
  <c r="G9" i="12" s="1"/>
  <c r="F41" i="12"/>
  <c r="G41" i="12" s="1"/>
  <c r="F42" i="12"/>
  <c r="G42" i="12" s="1"/>
  <c r="F33" i="12"/>
  <c r="G33" i="12" s="1"/>
  <c r="F39" i="12"/>
  <c r="G39" i="12" s="1"/>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C3" i="12"/>
  <c r="C5" i="12"/>
  <c r="E3" i="29"/>
  <c r="D3" i="29"/>
  <c r="C3" i="29"/>
  <c r="D3" i="12"/>
  <c r="E3" i="12"/>
  <c r="F3" i="29" l="1"/>
  <c r="G3" i="29" s="1"/>
  <c r="AJ1" i="21"/>
  <c r="Y1" i="21"/>
  <c r="F5" i="12"/>
  <c r="G5" i="12" s="1"/>
  <c r="N1" i="21"/>
  <c r="C4" i="12"/>
  <c r="F4" i="12" l="1"/>
  <c r="G4" i="12" s="1"/>
  <c r="AB1" i="12"/>
  <c r="E1" i="12" a="1"/>
  <c r="E1" i="12" s="1"/>
  <c r="D1" i="12" a="1"/>
  <c r="D1" i="12" s="1"/>
  <c r="C1" i="12" a="1"/>
  <c r="C1" i="12" s="1"/>
  <c r="F3" i="12"/>
  <c r="F1" i="12" l="1" a="1"/>
  <c r="F1" i="12" s="1"/>
  <c r="G3" i="12"/>
  <c r="G1" i="12" s="1" a="1"/>
  <c r="G1" i="12" s="1"/>
  <c r="R1" i="12" l="1"/>
  <c r="B3" i="25" a="1"/>
  <c r="N25" i="25" l="1"/>
  <c r="N42" i="25"/>
  <c r="N43" i="25"/>
  <c r="N19" i="25"/>
  <c r="N30" i="25"/>
  <c r="N24" i="25"/>
  <c r="N51" i="25"/>
  <c r="N23" i="25"/>
  <c r="N4" i="25"/>
  <c r="N37" i="25"/>
  <c r="N6" i="25"/>
  <c r="N38" i="25"/>
  <c r="N36" i="25"/>
  <c r="N17" i="25"/>
  <c r="N49" i="25"/>
  <c r="N11" i="25"/>
  <c r="N5" i="25"/>
  <c r="N32" i="25"/>
  <c r="N13" i="25"/>
  <c r="N45" i="25"/>
  <c r="N26" i="25"/>
  <c r="N7" i="25"/>
  <c r="N39" i="25"/>
  <c r="N20" i="25"/>
  <c r="N33" i="25"/>
  <c r="N14" i="25"/>
  <c r="N18" i="25"/>
  <c r="N44" i="25"/>
  <c r="N46" i="25"/>
  <c r="N50" i="25"/>
  <c r="N27" i="25"/>
  <c r="N8" i="25"/>
  <c r="N31" i="25"/>
  <c r="N40" i="25"/>
  <c r="N12" i="25"/>
  <c r="N21" i="25"/>
  <c r="N34" i="25"/>
  <c r="B3" i="25"/>
  <c r="N15" i="25"/>
  <c r="N47" i="25"/>
  <c r="N28" i="25"/>
  <c r="N9" i="25"/>
  <c r="N41" i="25"/>
  <c r="N22" i="25"/>
  <c r="N35" i="25"/>
  <c r="N16" i="25"/>
  <c r="N48" i="25"/>
  <c r="N29" i="25"/>
  <c r="N10" i="25"/>
  <c r="L47" i="25" l="1"/>
  <c r="K29" i="25"/>
  <c r="L55" i="25"/>
  <c r="J4" i="25"/>
  <c r="K30" i="25"/>
  <c r="K36" i="25"/>
  <c r="J26" i="25"/>
  <c r="L21" i="25"/>
  <c r="K58" i="25"/>
  <c r="J58" i="25"/>
  <c r="K28" i="25"/>
  <c r="K38" i="25"/>
  <c r="K53" i="25"/>
  <c r="J44" i="25"/>
  <c r="L15" i="25"/>
  <c r="K16" i="25"/>
  <c r="K20" i="25"/>
  <c r="L30" i="25"/>
  <c r="L31" i="25"/>
  <c r="L44" i="25"/>
  <c r="L60" i="25"/>
  <c r="J22" i="25"/>
  <c r="K55" i="25"/>
  <c r="M55" i="25" s="1"/>
  <c r="K26" i="25"/>
  <c r="K56" i="25"/>
  <c r="L58" i="25"/>
  <c r="K25" i="25"/>
  <c r="K11" i="25"/>
  <c r="K41" i="25"/>
  <c r="J48" i="25"/>
  <c r="L32" i="25"/>
  <c r="L36" i="25"/>
  <c r="K43" i="25"/>
  <c r="J19" i="25"/>
  <c r="K18" i="25"/>
  <c r="K19" i="25"/>
  <c r="J23" i="25"/>
  <c r="L41" i="25"/>
  <c r="K24" i="25"/>
  <c r="K33" i="25"/>
  <c r="L54" i="25"/>
  <c r="L40" i="25"/>
  <c r="J40" i="25"/>
  <c r="J51" i="25"/>
  <c r="J33" i="25"/>
  <c r="J34" i="25"/>
  <c r="L43" i="25"/>
  <c r="J56" i="25"/>
  <c r="L16" i="25"/>
  <c r="L45" i="25"/>
  <c r="K45" i="25"/>
  <c r="J54" i="25"/>
  <c r="L59" i="25"/>
  <c r="L29" i="25"/>
  <c r="L49" i="25"/>
  <c r="K59" i="25"/>
  <c r="M59" i="25" s="1"/>
  <c r="L7" i="25"/>
  <c r="K23" i="25"/>
  <c r="J38" i="25"/>
  <c r="L23" i="25"/>
  <c r="J46" i="25"/>
  <c r="L12" i="25"/>
  <c r="J57" i="25"/>
  <c r="K6" i="25"/>
  <c r="K60" i="25"/>
  <c r="M60" i="25" s="1"/>
  <c r="K12" i="25"/>
  <c r="K51" i="25"/>
  <c r="L56" i="25"/>
  <c r="J17" i="25"/>
  <c r="J15" i="25"/>
  <c r="J47" i="25"/>
  <c r="L13" i="25"/>
  <c r="K31" i="25"/>
  <c r="J24" i="25"/>
  <c r="K39" i="25"/>
  <c r="J14" i="25"/>
  <c r="L33" i="25"/>
  <c r="L52" i="25"/>
  <c r="J32" i="25"/>
  <c r="K15" i="25"/>
  <c r="J31" i="25"/>
  <c r="J60" i="25"/>
  <c r="K40" i="25"/>
  <c r="J53" i="25"/>
  <c r="J28" i="25"/>
  <c r="L37" i="25"/>
  <c r="K10" i="25"/>
  <c r="L19" i="25"/>
  <c r="J10" i="25"/>
  <c r="L28" i="25"/>
  <c r="J30" i="25"/>
  <c r="J12" i="25"/>
  <c r="L34" i="25"/>
  <c r="K5" i="25"/>
  <c r="L51" i="25"/>
  <c r="L35" i="25"/>
  <c r="K49" i="25"/>
  <c r="M49" i="25" s="1"/>
  <c r="L5" i="25"/>
  <c r="J37" i="25"/>
  <c r="K13" i="25"/>
  <c r="K22" i="25"/>
  <c r="L26" i="25"/>
  <c r="J25" i="25"/>
  <c r="J29" i="25"/>
  <c r="L11" i="25"/>
  <c r="J21" i="25"/>
  <c r="L57" i="25"/>
  <c r="L25" i="25"/>
  <c r="L24" i="25"/>
  <c r="L10" i="25"/>
  <c r="L6" i="25"/>
  <c r="J59" i="25"/>
  <c r="K4" i="25"/>
  <c r="L22" i="25"/>
  <c r="J36" i="25"/>
  <c r="K50" i="25"/>
  <c r="L8" i="25"/>
  <c r="J13" i="25"/>
  <c r="J39" i="25"/>
  <c r="J43" i="25"/>
  <c r="K17" i="25"/>
  <c r="K46" i="25"/>
  <c r="J8" i="25"/>
  <c r="L46" i="25"/>
  <c r="J7" i="25"/>
  <c r="L53" i="25"/>
  <c r="L20" i="25"/>
  <c r="J55" i="25"/>
  <c r="J5" i="25"/>
  <c r="L3" i="25"/>
  <c r="K3" i="25"/>
  <c r="J3" i="25"/>
  <c r="A3" i="25" a="1"/>
  <c r="A3" i="25" s="1"/>
  <c r="J16" i="25"/>
  <c r="L14" i="25"/>
  <c r="J18" i="25"/>
  <c r="L38" i="25"/>
  <c r="J9" i="25"/>
  <c r="K37" i="25"/>
  <c r="L42" i="25"/>
  <c r="K47" i="25"/>
  <c r="M47" i="25" s="1"/>
  <c r="J35" i="25"/>
  <c r="K8" i="25"/>
  <c r="J41" i="25"/>
  <c r="L39" i="25"/>
  <c r="K34" i="25"/>
  <c r="L18" i="25"/>
  <c r="L4" i="25"/>
  <c r="J20" i="25"/>
  <c r="K27" i="25"/>
  <c r="J52" i="25"/>
  <c r="K52" i="25"/>
  <c r="M52" i="25" s="1"/>
  <c r="J45" i="25"/>
  <c r="K32" i="25"/>
  <c r="K44" i="25"/>
  <c r="J6" i="25"/>
  <c r="L9" i="25"/>
  <c r="J11" i="25"/>
  <c r="K54" i="25"/>
  <c r="M54" i="25" s="1"/>
  <c r="L48" i="25"/>
  <c r="J50" i="25"/>
  <c r="K9" i="25"/>
  <c r="K14" i="25"/>
  <c r="K42" i="25"/>
  <c r="J49" i="25"/>
  <c r="L17" i="25"/>
  <c r="K57" i="25"/>
  <c r="M57" i="25" s="1"/>
  <c r="J27" i="25"/>
  <c r="K48" i="25"/>
  <c r="J42" i="25"/>
  <c r="K7" i="25"/>
  <c r="K21" i="25"/>
  <c r="M21" i="25" s="1"/>
  <c r="L27" i="25"/>
  <c r="L50" i="25"/>
  <c r="K35" i="25"/>
  <c r="M40" i="25" l="1"/>
  <c r="M44" i="25"/>
  <c r="M42" i="25"/>
  <c r="M43" i="25"/>
  <c r="M37" i="25"/>
  <c r="M32" i="25"/>
  <c r="M34" i="25"/>
  <c r="M31" i="25"/>
  <c r="M29" i="25"/>
  <c r="M5" i="25"/>
  <c r="M14" i="25"/>
  <c r="M22" i="25"/>
  <c r="M15" i="25"/>
  <c r="M8" i="25"/>
  <c r="M10" i="25"/>
  <c r="M3" i="25"/>
  <c r="M12" i="25"/>
  <c r="M7" i="25"/>
  <c r="M35" i="25"/>
  <c r="M50" i="25"/>
  <c r="M48" i="25"/>
  <c r="M58" i="25"/>
  <c r="M51" i="25"/>
  <c r="M25" i="25"/>
  <c r="M56" i="25"/>
  <c r="M27" i="25"/>
  <c r="M24" i="25"/>
  <c r="M36" i="25"/>
  <c r="M18" i="25"/>
  <c r="M9" i="25"/>
  <c r="M6" i="25"/>
  <c r="M41" i="25"/>
  <c r="M11" i="25"/>
  <c r="M46" i="25"/>
  <c r="M23" i="25"/>
  <c r="M17" i="25"/>
  <c r="M26" i="25"/>
  <c r="M45" i="25"/>
  <c r="M4" i="25"/>
  <c r="M20" i="25"/>
  <c r="M16" i="25"/>
  <c r="M53" i="25"/>
  <c r="M38" i="25"/>
  <c r="M39" i="25"/>
  <c r="M28" i="25"/>
  <c r="M33" i="25"/>
  <c r="M30" i="25"/>
  <c r="M13" i="25"/>
  <c r="M19"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<sst xmlns="http://schemas.openxmlformats.org/spreadsheetml/2006/main" count="4169" uniqueCount="2184">
  <si>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</si>
  <si>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</si>
  <si>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</si>
  <si>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</si>
  <si>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</si>
  <si>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</si>
  <si>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</si>
  <si>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</si>
  <si>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</si>
  <si>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</si>
  <si>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</si>
  <si>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</si>
  <si>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</si>
  <si>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</si>
  <si>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</si>
  <si>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</si>
  <si>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</si>
  <si>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</si>
  <si>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</si>
  <si>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Materials RM</t>
  </si>
  <si>
    <t>Labour RM</t>
  </si>
  <si>
    <t>Service RM</t>
  </si>
  <si>
    <t>Total RM</t>
  </si>
  <si>
    <t>Override Qty</t>
  </si>
  <si>
    <t>SUMMARY PARAMS (editable)</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</si>
  <si>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</si>
  <si>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</si>
  <si>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</si>
  <si>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</si>
  <si>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</si>
  <si>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</si>
  <si>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</si>
  <si>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</si>
  <si>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</si>
  <si>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</si>
  <si>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</si>
  <si>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t>
  </si>
  <si>
    <t>Base UOM</t>
  </si>
  <si>
    <t>Base Rate</t>
  </si>
  <si>
    <t>Auto Qty (Usage+Waste)</t>
  </si>
  <si>
    <t>Key</t>
  </si>
  <si>
    <t>Final UOM</t>
  </si>
  <si>
    <t>Final Rate</t>
  </si>
  <si>
    <t>Purchase UOM</t>
  </si>
  <si>
    <t>Pack Size</t>
  </si>
  <si>
    <t>Override Rate</t>
  </si>
  <si>
    <t>Active (1/0)</t>
  </si>
  <si>
    <t>SUMMARY LIST</t>
  </si>
  <si>
    <t>Rate</t>
  </si>
  <si>
    <t>Auto Qty</t>
  </si>
  <si>
    <t>Active</t>
  </si>
  <si>
    <t>No</t>
  </si>
  <si>
    <t>Status</t>
  </si>
  <si>
    <t>Source Row</t>
  </si>
  <si>
    <t>Search</t>
  </si>
  <si>
    <t>Purchase Row</t>
  </si>
  <si>
    <t>Seq</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</si>
  <si>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</si>
  <si>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</si>
  <si>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</si>
  <si>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</si>
  <si>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</si>
  <si>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</si>
  <si>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</si>
  <si>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</si>
  <si>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</si>
  <si>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</si>
  <si>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BUTTON FUNCTIONS (SEARCH SHEET)</t>
  </si>
  <si>
    <t>1) Add All</t>
  </si>
  <si>
    <t>- Apa yang berlaku:</t>
  </si>
  <si>
    <t xml:space="preserve">  - Sistem akan loop semua baris Summary, bina "Key" = Category|Description|UOM.</t>
  </si>
  <si>
    <t xml:space="preserve">  - Jika Key belum wujud dalam Purchase!T:Z, ia akan tambah baris baru dan set Active=1.</t>
  </si>
  <si>
    <t>- Bila guna:</t>
  </si>
  <si>
    <t xml:space="preserve">  - Kali pertama setup Purchase override table.</t>
  </si>
  <si>
    <t xml:space="preserve">  - Bila Summary ada item baru dan kau nak sync masuk Purchase.</t>
  </si>
  <si>
    <t>2) Refresh</t>
  </si>
  <si>
    <t xml:space="preserve">  - Refresh Summary List (A5:E) ikut filter keyword di B2.</t>
  </si>
  <si>
    <t xml:space="preserve">  - Refresh Purchase List (I11:M) ikut filter keyword di B3.</t>
  </si>
  <si>
    <t xml:space="preserve">  - Kalau auto-refresh tak jalan.</t>
  </si>
  <si>
    <t xml:space="preserve">  - Lepas buat perubahan dan nak paksa update paparan.</t>
  </si>
  <si>
    <t>3) Final View</t>
  </si>
  <si>
    <t>- Tujuan: Jana "final purchase view" dalam Purchase!A:S (bukan override table T:Z).</t>
  </si>
  <si>
    <t xml:space="preserve">  - Ambil base data dari Summary: Category, Description, UOM, Rate, Auto Qty.</t>
  </si>
  <si>
    <t xml:space="preserve">  - Padankan dengan override dalam Purchase!T:Z (Purchase UOM / Pack / Override Qty / Override Rate / Active / Note).</t>
  </si>
  <si>
    <t xml:space="preserve">  - Kira Final UOM, Final Qty, Final Rate, Total RM.</t>
  </si>
  <si>
    <t xml:space="preserve">  - Isi Status seperti OK / INACTIVE / INPUT NEEDED (Override Rate).</t>
  </si>
  <si>
    <t xml:space="preserve">  - Isi Source Row = nombor baris asal dalam Summary untuk trace.</t>
  </si>
  <si>
    <t xml:space="preserve">  - Untuk tengok senarai pembelian akhir yang dah dicampur dengan override.</t>
  </si>
  <si>
    <t>4) Add To Edit</t>
  </si>
  <si>
    <t xml:space="preserve">  - Kau highlight satu atau banyak baris di Summary list (A5:E).</t>
  </si>
  <si>
    <t xml:space="preserve">  - Sistem ambil Key setiap baris dan tambah ke Edit Grid.</t>
  </si>
  <si>
    <t xml:space="preserve">  - Jika Key sudah ada dalam Edit Grid, sistem akan skip dan bagi message "Key already exists in edit grid."</t>
  </si>
  <si>
    <t xml:space="preserve">  - Jika Key sudah wujud dalam Purchase override table, sistem akan auto-load value (Purchase UOM/Pack/Override/Rate/Note/Active) masuk Edit Grid.</t>
  </si>
  <si>
    <t xml:space="preserve">  - Nak buat override untuk beberapa item sekali gus tanpa pergi ke Purchase sheet.</t>
  </si>
  <si>
    <t>5) Save Edit Grid</t>
  </si>
  <si>
    <t>- Tujuan: Simpan semua perubahan dari Edit Grid (H:P) ke Purchase override table (Purchase!T:Z).</t>
  </si>
  <si>
    <t xml:space="preserve">  - Sistem baca setiap row dalam Edit Grid yang ada Key.</t>
  </si>
  <si>
    <t xml:space="preserve">  - Jika Key belum wujud dalam Purchase override table, sistem akan auto-add row baru.</t>
  </si>
  <si>
    <t xml:space="preserve">  - Sistem update column T:Z: Purchase UOM, Pack Size, Override Qty, Override Rate, Note, Active.</t>
  </si>
  <si>
    <t xml:space="preserve">  - Lepas kau isi override dan nak apply betul-betul ke Purchase.</t>
  </si>
  <si>
    <t>6) Clear Edit</t>
  </si>
  <si>
    <t xml:space="preserve">  - Padam contents dalam ruang Edit Grid untuk mula edit batch baru.</t>
  </si>
  <si>
    <t xml:space="preserve">  - Bila kau nak reset batch edit (tak ganggu Purchase data).</t>
  </si>
  <si>
    <t>7) Delete</t>
  </si>
  <si>
    <t>- Tujuan: "Soft delete" item (bukan buang row).</t>
  </si>
  <si>
    <t xml:space="preserve">  - Sistem set Active=0 untuk Key yang dipilih.</t>
  </si>
  <si>
    <t xml:space="preserve">  - Item masih kekal dalam table untuk trace/undo (update-only).</t>
  </si>
  <si>
    <t xml:space="preserve">  - Bila kau nak exclude item daripada final purchase list, tanpa hilangkan rekod.</t>
  </si>
  <si>
    <t xml:space="preserve">  - Contoh: item pasir guni tak nak pakai sebab dah guna pasir trip.</t>
  </si>
  <si>
    <t>8) Undo Last</t>
  </si>
  <si>
    <t xml:space="preserve">  - Sistem simpan snapshot row T:Z sebelum update/delete.</t>
  </si>
  <si>
    <t xml:space="preserve">  - Undo akan restore T:Z row tersebut semula.</t>
  </si>
  <si>
    <t xml:space="preserve">  - Bila tersalah set Active=0 / tersalah edit override qty/rate/note.</t>
  </si>
  <si>
    <t>- Tujuan: Masukkan semua item yang wujud dalam Summary (Consolidated) ke dalam Purchase override table.</t>
  </si>
  <si>
    <t>- Tujuan: Refresh paparan Search.</t>
  </si>
  <si>
    <t>- Tujuan: Masukkan item yang kau pilih dari Summary List ke dalam Edit Grid (H:P) untuk edit beramai-ramai.</t>
  </si>
  <si>
    <t>- Tujuan: Kosongkan Edit Grid (H:P) sahaja.</t>
  </si>
  <si>
    <t>- Tujuan: Undo perubahan terakhir yang dibuat dalam Purchase override table.</t>
  </si>
  <si>
    <t>UsageQty</t>
  </si>
  <si>
    <t>Wastage</t>
  </si>
  <si>
    <t>UsePlusWaste</t>
  </si>
  <si>
    <t>TotalRM</t>
  </si>
  <si>
    <t>SourceSheet</t>
  </si>
  <si>
    <t>SourceRow</t>
  </si>
  <si>
    <t>SERVICE|Scaffolding Jack + U-Head Deposit (Refundable)|UNIT</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</si>
  <si>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</si>
  <si>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</si>
  <si>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</si>
  <si>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</si>
  <si>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</si>
  <si>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</si>
  <si>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</si>
  <si>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</si>
  <si>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</si>
  <si>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</si>
  <si>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</si>
  <si>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</si>
  <si>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</si>
  <si>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</si>
  <si>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</si>
  <si>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</si>
  <si>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</si>
  <si>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</si>
  <si>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</si>
  <si>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</si>
  <si>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</si>
  <si>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</si>
  <si>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</si>
  <si>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</si>
  <si>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</si>
  <si>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</si>
  <si>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</si>
  <si>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</si>
  <si>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</si>
  <si>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</si>
  <si>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</si>
  <si>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</si>
  <si>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</si>
  <si>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</si>
  <si>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</si>
  <si>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</si>
  <si>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</si>
  <si>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</si>
  <si>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</si>
  <si>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</si>
  <si>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</si>
  <si>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</si>
  <si>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</si>
  <si>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</si>
  <si>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</si>
  <si>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</si>
  <si>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</si>
  <si>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</si>
  <si>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</si>
  <si>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</si>
  <si>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</si>
  <si>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</si>
  <si>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</si>
  <si>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</si>
  <si>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</si>
  <si>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</si>
  <si>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</si>
  <si>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</si>
  <si>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</si>
  <si>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</si>
  <si>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</si>
  <si>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</si>
  <si>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</si>
  <si>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</si>
  <si>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</si>
  <si>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</si>
  <si>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</si>
  <si>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</si>
  <si>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</si>
  <si>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</si>
  <si>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</si>
  <si>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</si>
  <si>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</si>
  <si>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</si>
  <si>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</si>
  <si>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</si>
  <si>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</si>
  <si>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</si>
  <si>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</si>
  <si>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</si>
  <si>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</si>
  <si>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</si>
  <si>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</si>
  <si>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</si>
  <si>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</si>
  <si>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</si>
  <si>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</si>
  <si>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</si>
  <si>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</si>
  <si>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</si>
  <si>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</si>
  <si>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</si>
  <si>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</si>
  <si>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</si>
  <si>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</si>
  <si>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</si>
  <si>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</si>
  <si>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</si>
  <si>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</si>
  <si>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</si>
  <si>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</si>
  <si>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</si>
  <si>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</si>
  <si>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</si>
  <si>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</si>
  <si>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</si>
  <si>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</si>
  <si>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</si>
  <si>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</si>
  <si>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</si>
  <si>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</si>
  <si>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</si>
  <si>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</si>
  <si>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</si>
  <si>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</si>
  <si>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</si>
  <si>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</si>
  <si>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</si>
  <si>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</si>
  <si>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</si>
  <si>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</si>
  <si>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</si>
  <si>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</si>
  <si>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</si>
  <si>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</si>
  <si>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</si>
  <si>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</si>
  <si>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</si>
  <si>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</si>
  <si>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</si>
  <si>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</si>
  <si>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</si>
  <si>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</si>
  <si>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</si>
  <si>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</si>
  <si>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</si>
  <si>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</si>
  <si>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</si>
  <si>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</si>
  <si>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</si>
  <si>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</si>
  <si>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</si>
  <si>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</si>
  <si>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</si>
  <si>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</si>
  <si>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</si>
  <si>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</si>
  <si>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</si>
  <si>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</si>
  <si>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</si>
  <si>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</si>
  <si>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</si>
  <si>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</si>
  <si>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</si>
  <si>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</si>
  <si>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</si>
  <si>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</si>
  <si>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</si>
  <si>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</si>
  <si>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</si>
  <si>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</si>
  <si>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</si>
  <si>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</si>
  <si>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</si>
  <si>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</si>
  <si>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</si>
  <si>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</si>
  <si>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</si>
  <si>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</si>
  <si>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</si>
  <si>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</si>
  <si>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</si>
  <si>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</si>
  <si>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</si>
  <si>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</si>
  <si>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</si>
  <si>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</si>
  <si>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</si>
  <si>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</si>
  <si>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</si>
  <si>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</si>
  <si>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</si>
  <si>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</si>
  <si>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</si>
  <si>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</si>
  <si>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</si>
  <si>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</si>
  <si>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</si>
  <si>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</si>
  <si>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</si>
  <si>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</si>
  <si>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</si>
  <si>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</si>
  <si>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</si>
  <si>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</si>
  <si>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</si>
  <si>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</si>
  <si>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</si>
  <si>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</si>
  <si>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</si>
  <si>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</si>
  <si>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</si>
  <si>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</si>
  <si>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</si>
  <si>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</si>
  <si>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Labour - General Helper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</si>
  <si>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</si>
  <si>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</si>
  <si>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</si>
  <si>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</si>
  <si>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</si>
  <si>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</si>
  <si>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</si>
  <si>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</si>
  <si>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</si>
  <si>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</si>
  <si>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</si>
  <si>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</si>
  <si>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</si>
  <si>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</si>
  <si>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</si>
  <si>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</si>
  <si>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</si>
  <si>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</si>
  <si>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</si>
  <si>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</si>
  <si>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</si>
  <si>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</si>
  <si>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</si>
  <si>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</si>
  <si>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</si>
  <si>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</si>
  <si>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</si>
  <si>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</si>
  <si>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</si>
  <si>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</si>
  <si>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</si>
  <si>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</si>
  <si>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</si>
  <si>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</si>
  <si>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</si>
  <si>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</si>
  <si>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</si>
  <si>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</si>
  <si>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</si>
  <si>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</si>
  <si>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</si>
  <si>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</si>
  <si>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</si>
  <si>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</si>
  <si>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</si>
  <si>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</si>
  <si>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</si>
  <si>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</si>
  <si>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</si>
  <si>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</si>
  <si>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</si>
  <si>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</si>
  <si>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</si>
  <si>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</si>
  <si>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</si>
  <si>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</si>
  <si>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</si>
  <si>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</si>
  <si>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</si>
  <si>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</si>
  <si>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</si>
  <si>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</si>
  <si>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</si>
  <si>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</si>
  <si>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</si>
  <si>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</si>
  <si>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</si>
  <si>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</si>
  <si>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</si>
  <si>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</si>
  <si>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</si>
  <si>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</si>
  <si>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</si>
  <si>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</si>
  <si>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</si>
  <si>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</si>
  <si>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</si>
  <si>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</si>
  <si>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</si>
  <si>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</si>
  <si>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</si>
  <si>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</si>
  <si>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</si>
  <si>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</si>
  <si>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</si>
  <si>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</si>
  <si>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</si>
  <si>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</si>
  <si>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</si>
  <si>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</si>
  <si>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</si>
  <si>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</si>
  <si>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</si>
  <si>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</si>
  <si>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</si>
  <si>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</si>
  <si>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</si>
  <si>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</si>
  <si>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</si>
  <si>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</si>
  <si>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</si>
  <si>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</si>
  <si>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</si>
  <si>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</si>
  <si>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</si>
  <si>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</si>
  <si>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</si>
  <si>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</si>
  <si>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</si>
  <si>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</si>
  <si>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</si>
  <si>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</si>
  <si>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</si>
  <si>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</si>
  <si>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</si>
  <si>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</si>
  <si>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</si>
  <si>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</si>
  <si>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</si>
  <si>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</si>
  <si>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</si>
  <si>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</si>
  <si>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</si>
  <si>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</si>
  <si>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</si>
  <si>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</si>
  <si>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</si>
  <si>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</si>
  <si>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</si>
  <si>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</si>
  <si>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Use same Description as Labour.txt item: Labour - General Helper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</si>
  <si>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</si>
  <si>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</si>
  <si>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</si>
  <si>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</si>
  <si>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</si>
  <si>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</si>
  <si>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</si>
  <si>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</si>
  <si>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</si>
  <si>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</si>
  <si>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</si>
  <si>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</si>
  <si>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</si>
  <si>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</si>
  <si>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</si>
  <si>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</si>
  <si>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</si>
  <si>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</si>
  <si>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</si>
  <si>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</si>
  <si>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</si>
  <si>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</si>
  <si>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</si>
  <si>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</si>
  <si>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</si>
  <si>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</si>
  <si>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</si>
  <si>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</si>
  <si>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</si>
  <si>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</si>
  <si>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</si>
  <si>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</si>
  <si>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</si>
  <si>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</si>
  <si>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</si>
  <si>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</si>
  <si>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</si>
  <si>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</si>
  <si>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</si>
  <si>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</si>
  <si>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</si>
  <si>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</si>
  <si>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</si>
  <si>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</si>
  <si>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</si>
  <si>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</si>
  <si>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</si>
  <si>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</si>
  <si>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</si>
  <si>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</si>
  <si>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</si>
  <si>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</si>
  <si>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</si>
  <si>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</si>
  <si>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</si>
  <si>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</si>
  <si>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</si>
  <si>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</si>
  <si>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</si>
  <si>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</si>
  <si>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</si>
  <si>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</si>
  <si>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</si>
  <si>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</si>
  <si>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</si>
  <si>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</si>
  <si>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</si>
  <si>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</si>
  <si>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</si>
  <si>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</si>
  <si>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</si>
  <si>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</si>
  <si>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</si>
  <si>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</si>
  <si>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</si>
  <si>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</si>
  <si>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</si>
  <si>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</si>
  <si>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</si>
  <si>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</si>
  <si>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</si>
  <si>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</si>
  <si>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</si>
  <si>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</si>
  <si>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</si>
  <si>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</si>
  <si>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</si>
  <si>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</si>
  <si>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</si>
  <si>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</si>
  <si>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</si>
  <si>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</si>
  <si>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</si>
  <si>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</si>
  <si>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</si>
  <si>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</si>
  <si>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</si>
  <si>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</si>
  <si>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</si>
  <si>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</si>
  <si>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</si>
  <si>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</si>
  <si>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</si>
  <si>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</si>
  <si>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</si>
  <si>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</si>
  <si>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</si>
  <si>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</si>
  <si>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</si>
  <si>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</si>
  <si>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</si>
  <si>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</si>
  <si>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</si>
  <si>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</si>
  <si>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</si>
  <si>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</si>
  <si>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</si>
  <si>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</si>
  <si>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</si>
  <si>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</si>
  <si>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</si>
  <si>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</si>
  <si>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</si>
  <si>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</si>
  <si>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</si>
  <si>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</si>
  <si>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</si>
  <si>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</si>
  <si>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</si>
  <si>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Helper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</si>
  <si>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</si>
  <si>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</si>
  <si>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</si>
  <si>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</si>
  <si>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</si>
  <si>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</si>
  <si>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</si>
  <si>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</si>
  <si>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</si>
  <si>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</si>
  <si>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</si>
  <si>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</si>
  <si>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</si>
  <si>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</si>
  <si>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</si>
  <si>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</si>
  <si>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</si>
  <si>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</si>
  <si>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</si>
  <si>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</si>
  <si>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</si>
  <si>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</si>
  <si>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</si>
  <si>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</si>
  <si>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</si>
  <si>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</si>
  <si>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</si>
  <si>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</si>
  <si>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</si>
  <si>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</si>
  <si>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</si>
  <si>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</si>
  <si>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</si>
  <si>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</si>
  <si>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</si>
  <si>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</si>
  <si>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</si>
  <si>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</si>
  <si>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</si>
  <si>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</si>
  <si>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</si>
  <si>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</si>
  <si>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</si>
  <si>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</si>
  <si>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</si>
  <si>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</si>
  <si>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</si>
  <si>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</si>
  <si>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</si>
  <si>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</si>
  <si>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</si>
  <si>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</si>
  <si>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</si>
  <si>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</si>
  <si>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</si>
  <si>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</si>
  <si>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</si>
  <si>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</si>
  <si>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</si>
  <si>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</si>
  <si>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</si>
  <si>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</si>
  <si>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</si>
  <si>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</si>
  <si>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</si>
  <si>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</si>
  <si>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</si>
  <si>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</si>
  <si>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</si>
  <si>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</si>
  <si>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</si>
  <si>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</si>
  <si>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</si>
  <si>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</si>
  <si>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</si>
  <si>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</si>
  <si>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</si>
  <si>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</si>
  <si>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</si>
  <si>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</si>
  <si>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</si>
  <si>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</si>
  <si>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</si>
  <si>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</si>
  <si>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</si>
  <si>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</si>
  <si>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</si>
  <si>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</si>
  <si>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</si>
  <si>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</si>
  <si>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</si>
  <si>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</si>
  <si>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</si>
  <si>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</si>
  <si>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</si>
  <si>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</si>
  <si>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</si>
  <si>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</si>
  <si>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</si>
  <si>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Use same Description as Materials.txt item: Cement 50kg Bag</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</si>
  <si>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</si>
  <si>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</si>
  <si>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</si>
  <si>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</si>
  <si>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</si>
  <si>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</si>
  <si>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</si>
  <si>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</si>
  <si>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</si>
  <si>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</si>
  <si>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</si>
  <si>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</si>
  <si>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</si>
  <si>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</si>
  <si>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</si>
  <si>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</si>
  <si>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</si>
  <si>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</si>
  <si>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</si>
  <si>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</si>
  <si>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</si>
  <si>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</si>
  <si>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</si>
  <si>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</si>
  <si>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</si>
  <si>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</si>
  <si>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</si>
  <si>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</si>
  <si>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</si>
  <si>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</si>
  <si>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</si>
  <si>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</si>
  <si>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</si>
  <si>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</si>
  <si>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</si>
  <si>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</si>
  <si>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</si>
  <si>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</si>
  <si>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</si>
  <si>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</si>
  <si>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</si>
  <si>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</si>
  <si>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</si>
  <si>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</si>
  <si>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</si>
  <si>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</si>
  <si>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</si>
  <si>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</si>
  <si>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</si>
  <si>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</si>
  <si>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</si>
  <si>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</si>
  <si>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Cement 50kg Bag</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</si>
  <si>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</si>
  <si>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</si>
  <si>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</si>
  <si>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</si>
  <si>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</si>
  <si>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</si>
  <si>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</si>
  <si>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</si>
  <si>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</si>
  <si>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</si>
  <si>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</si>
  <si>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</si>
  <si>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</si>
  <si>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</si>
  <si>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</si>
  <si>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</si>
  <si>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</si>
  <si>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</si>
  <si>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</si>
  <si>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</si>
  <si>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</si>
  <si>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</si>
  <si>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</si>
  <si>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</si>
  <si>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</si>
  <si>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</si>
  <si>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</si>
  <si>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</si>
  <si>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</si>
  <si>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</si>
  <si>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</si>
  <si>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</si>
  <si>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</si>
  <si>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</si>
  <si>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</si>
  <si>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</si>
  <si>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</si>
  <si>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</si>
  <si>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</si>
  <si>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</si>
  <si>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</si>
  <si>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</si>
  <si>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</si>
  <si>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</si>
  <si>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</si>
  <si>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</si>
  <si>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</si>
  <si>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</si>
  <si>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</si>
  <si>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</si>
  <si>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</si>
  <si>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</si>
  <si>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DEFAULT USED: self-mix footing pad and ground beam labour shall be budgeted higher than ready-mix lower-structure labour because batching, feeding, transport and placing are done on site</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</si>
  <si>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</si>
  <si>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</si>
  <si>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</si>
  <si>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</si>
  <si>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User locked S17 as footing pad + ground beam SELF-MIX option sheet only; mixer and scaffolding must stay outside the option sheets</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</si>
  <si>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</si>
  <si>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</si>
  <si>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</si>
  <si>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</si>
  <si>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</si>
  <si>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</si>
  <si>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</si>
  <si>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</si>
  <si>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DEFAULT USED: 2 skilled workers x 2 days for footing center confirmation, blinding control, beam line confirmation, batching supervision, rebar cage fixing, formwork alignment, placing supervision and curing control for 11 footing pads plus all ground beam lines</t>
  </si>
  <si>
    <t>S17-LABOUR</t>
  </si>
  <si>
    <t>DEFAULT USED: 5 helpers x 2 days for blinding preparation, mixer feeding, rebar handling, shuttering support, wheelbarrow transport, concrete placing, rodding and basic finishing for 11 footing pads plus all ground beam lines</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</si>
  <si>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</si>
  <si>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</si>
  <si>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</si>
  <si>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</si>
  <si>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</si>
  <si>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</si>
  <si>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</si>
  <si>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</si>
  <si>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</si>
  <si>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</si>
  <si>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</si>
  <si>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</si>
  <si>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</si>
  <si>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</si>
  <si>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</si>
  <si>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</si>
  <si>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</si>
  <si>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</si>
  <si>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</si>
  <si>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</si>
  <si>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</si>
  <si>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</si>
  <si>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</si>
  <si>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</si>
  <si>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</si>
  <si>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</si>
  <si>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</si>
  <si>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</si>
  <si>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</si>
  <si>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</si>
  <si>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</si>
  <si>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</si>
  <si>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</si>
  <si>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</si>
  <si>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</si>
  <si>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</si>
  <si>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</si>
  <si>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</si>
  <si>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</si>
  <si>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</si>
  <si>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</si>
  <si>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</si>
  <si>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</si>
  <si>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</si>
  <si>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</si>
  <si>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</si>
  <si>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</si>
  <si>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</si>
  <si>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</si>
  <si>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</si>
  <si>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</si>
  <si>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</si>
  <si>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</si>
  <si>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</si>
  <si>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</si>
  <si>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</si>
  <si>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</si>
  <si>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</si>
  <si>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</si>
  <si>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</si>
  <si>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</si>
  <si>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</si>
  <si>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</si>
  <si>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</si>
  <si>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</si>
  <si>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</si>
  <si>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</si>
  <si>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</si>
  <si>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</si>
  <si>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</si>
  <si>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</si>
  <si>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</si>
  <si>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</si>
  <si>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</si>
  <si>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</si>
  <si>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</si>
  <si>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</si>
  <si>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</si>
  <si>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</si>
  <si>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</si>
  <si>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</si>
  <si>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</si>
  <si>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</si>
  <si>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</si>
  <si>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</si>
  <si>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</si>
  <si>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</si>
  <si>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</si>
  <si>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</si>
  <si>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</si>
  <si>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</si>
  <si>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</si>
  <si>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</si>
  <si>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</si>
  <si>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</si>
  <si>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</si>
  <si>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</si>
  <si>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</si>
  <si>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</si>
  <si>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</si>
  <si>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</si>
  <si>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</si>
  <si>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</si>
  <si>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</si>
  <si>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</si>
  <si>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</si>
  <si>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</si>
  <si>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</si>
  <si>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</si>
  <si>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</si>
  <si>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</si>
  <si>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</si>
  <si>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</si>
  <si>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</si>
  <si>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</si>
  <si>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</si>
  <si>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</si>
  <si>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</si>
  <si>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</si>
  <si>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</si>
  <si>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</si>
  <si>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</si>
  <si>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</si>
  <si>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</si>
  <si>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</si>
  <si>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</si>
  <si>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</si>
  <si>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</si>
  <si>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</si>
  <si>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</si>
  <si>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</si>
  <si>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</si>
  <si>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</si>
  <si>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</si>
  <si>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</si>
  <si>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</si>
  <si>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</si>
  <si>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</si>
  <si>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</si>
  <si>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</si>
  <si>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</si>
  <si>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</si>
  <si>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</si>
  <si>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</si>
  <si>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</si>
  <si>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</si>
  <si>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</si>
  <si>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</si>
  <si>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</si>
  <si>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</si>
  <si>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Labour basis item 1</t>
  </si>
  <si>
    <t>Labour basis item 2</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</si>
  <si>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</si>
  <si>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</si>
  <si>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</si>
  <si>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</si>
  <si>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</si>
  <si>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</si>
  <si>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</si>
  <si>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</si>
  <si>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</si>
  <si>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</si>
  <si>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</si>
  <si>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</si>
  <si>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</si>
  <si>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</si>
  <si>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</si>
  <si>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</si>
  <si>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</si>
  <si>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</si>
  <si>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</si>
  <si>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</si>
  <si>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</si>
  <si>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</si>
  <si>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</si>
  <si>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</si>
  <si>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</si>
  <si>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</si>
  <si>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</si>
  <si>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</si>
  <si>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</si>
  <si>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</si>
  <si>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</si>
  <si>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</si>
  <si>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</si>
  <si>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</si>
  <si>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</si>
  <si>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</si>
  <si>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</si>
  <si>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</si>
  <si>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</si>
  <si>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</si>
  <si>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</si>
  <si>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</si>
  <si>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</si>
  <si>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</si>
  <si>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</si>
  <si>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</si>
  <si>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</si>
  <si>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</si>
  <si>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</si>
  <si>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</si>
  <si>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</si>
  <si>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</si>
  <si>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</si>
  <si>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</si>
  <si>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</si>
  <si>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</si>
  <si>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</si>
  <si>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</si>
  <si>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</si>
  <si>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</si>
  <si>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</si>
  <si>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</si>
  <si>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</si>
  <si>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</si>
  <si>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</si>
  <si>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</si>
  <si>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</si>
  <si>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</si>
  <si>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</si>
  <si>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</si>
  <si>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</si>
  <si>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</si>
  <si>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</si>
  <si>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</si>
  <si>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</si>
  <si>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</si>
  <si>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</si>
  <si>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</si>
  <si>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</si>
  <si>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</si>
  <si>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DEFAULT USED: skilled labour for internal self-mix slab plus minimum roofed walkway strip including level control, bathroom drop-level control, DPM coordination, batching supervision, pour sequencing and screed control</t>
  </si>
  <si>
    <t>DEFAULT USED: helper labour for internal self-mix slab plus minimum roofed walkway strip including crusher run top-up, sand blinding, DPM laying, BRC laying, mixer feeding, wheelbarrow transport, concrete placing and basic finishing</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</si>
  <si>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</si>
  <si>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</si>
  <si>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</si>
  <si>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</si>
  <si>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</si>
  <si>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</si>
  <si>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</si>
  <si>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</si>
  <si>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</si>
  <si>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</si>
  <si>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</si>
  <si>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</si>
  <si>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</si>
  <si>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</si>
  <si>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</si>
  <si>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</si>
  <si>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</si>
  <si>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</si>
  <si>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</si>
  <si>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</si>
  <si>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</si>
  <si>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</si>
  <si>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</si>
  <si>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</si>
  <si>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</si>
  <si>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</si>
  <si>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</si>
  <si>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</si>
  <si>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</si>
  <si>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</si>
  <si>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</si>
  <si>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</si>
  <si>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</si>
  <si>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</si>
  <si>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</si>
  <si>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</si>
  <si>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</si>
  <si>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</si>
  <si>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</si>
  <si>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</si>
  <si>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</si>
  <si>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</si>
  <si>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</si>
  <si>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</si>
  <si>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</si>
  <si>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</si>
  <si>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</si>
  <si>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</si>
  <si>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</si>
  <si>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</si>
  <si>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</si>
  <si>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</si>
  <si>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</si>
  <si>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</si>
  <si>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</si>
  <si>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</si>
  <si>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</si>
  <si>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</si>
  <si>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</si>
  <si>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</si>
  <si>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</si>
  <si>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</si>
  <si>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</si>
  <si>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</si>
  <si>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</si>
  <si>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</si>
  <si>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</si>
  <si>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</si>
  <si>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</si>
  <si>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Labour quantity basis</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</si>
  <si>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</si>
  <si>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</si>
  <si>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</si>
  <si>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</si>
  <si>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</si>
  <si>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</si>
  <si>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</si>
  <si>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</si>
  <si>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</si>
  <si>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</si>
  <si>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</si>
  <si>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</si>
  <si>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</si>
  <si>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</si>
  <si>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</si>
  <si>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</si>
  <si>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</si>
  <si>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</si>
  <si>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</si>
  <si>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</si>
  <si>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</si>
  <si>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</si>
  <si>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</si>
  <si>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</si>
  <si>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</si>
  <si>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</si>
  <si>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</si>
  <si>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</si>
  <si>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</si>
  <si>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</si>
  <si>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</si>
  <si>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</si>
  <si>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DEFAULT USED: skilled labour = 24 MH and helper labour = 96 MH for combined internal slab plus walkway strip self-mix works</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</si>
  <si>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</si>
  <si>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</si>
  <si>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</si>
  <si>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</si>
  <si>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</si>
  <si>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</si>
  <si>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</si>
  <si>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</si>
  <si>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</si>
  <si>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</si>
  <si>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</si>
  <si>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</si>
  <si>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</si>
  <si>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</si>
  <si>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</si>
  <si>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</si>
  <si>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</si>
  <si>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</si>
  <si>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</si>
  <si>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</si>
  <si>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</si>
  <si>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</si>
  <si>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</si>
  <si>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</si>
  <si>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</si>
  <si>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</si>
  <si>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</si>
  <si>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</si>
  <si>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</si>
  <si>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</si>
  <si>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</si>
  <si>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</si>
  <si>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</si>
  <si>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</si>
  <si>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</si>
  <si>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</si>
  <si>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</si>
  <si>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</si>
  <si>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</si>
  <si>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</si>
  <si>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</si>
  <si>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</si>
  <si>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</si>
  <si>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</si>
  <si>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</si>
  <si>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</si>
  <si>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</si>
  <si>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</si>
  <si>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</si>
  <si>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</si>
  <si>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</si>
  <si>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</si>
  <si>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</si>
  <si>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</si>
  <si>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</si>
  <si>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</si>
  <si>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</si>
  <si>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</si>
  <si>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</si>
  <si>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</si>
  <si>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</si>
  <si>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</si>
  <si>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</si>
  <si>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</si>
  <si>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</si>
  <si>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</si>
  <si>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</si>
  <si>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</si>
  <si>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</si>
  <si>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</si>
  <si>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</si>
  <si>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</si>
  <si>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</si>
  <si>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</si>
  <si>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</si>
  <si>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</si>
  <si>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</si>
  <si>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</si>
  <si>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</si>
  <si>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</si>
  <si>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</si>
  <si>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</si>
  <si>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</si>
  <si>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</si>
  <si>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</si>
  <si>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</si>
  <si>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</si>
  <si>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</si>
  <si>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</si>
  <si>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</si>
  <si>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</si>
  <si>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</si>
  <si>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</si>
  <si>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</si>
  <si>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</si>
  <si>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</si>
  <si>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</si>
  <si>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</si>
  <si>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</si>
  <si>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</si>
  <si>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</si>
  <si>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</si>
  <si>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</si>
  <si>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</si>
  <si>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</si>
  <si>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</si>
  <si>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</si>
  <si>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</si>
  <si>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</si>
  <si>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</si>
  <si>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</si>
  <si>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</si>
  <si>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</si>
  <si>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</si>
  <si>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</si>
  <si>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</si>
  <si>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</si>
  <si>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</si>
  <si>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</si>
  <si>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</si>
  <si>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</si>
  <si>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</si>
  <si>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</si>
  <si>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</si>
  <si>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</si>
  <si>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</si>
  <si>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</si>
  <si>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</si>
  <si>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</si>
  <si>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</si>
  <si>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</si>
  <si>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</si>
  <si>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</si>
  <si>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</si>
  <si>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</si>
  <si>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</si>
  <si>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</si>
  <si>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</si>
  <si>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</si>
  <si>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</si>
  <si>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</si>
  <si>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</si>
  <si>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</si>
  <si>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</si>
  <si>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</si>
  <si>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</si>
  <si>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</si>
  <si>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</si>
  <si>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</si>
  <si>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</si>
  <si>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</si>
  <si>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</si>
  <si>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</si>
  <si>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</si>
  <si>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</si>
  <si>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</si>
  <si>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</si>
  <si>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</si>
  <si>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</si>
  <si>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</si>
  <si>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</si>
  <si>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</si>
  <si>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</si>
  <si>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</si>
  <si>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</si>
  <si>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</si>
  <si>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</si>
  <si>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</si>
  <si>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</si>
  <si>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</si>
  <si>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</si>
  <si>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</si>
  <si>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</si>
  <si>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</si>
  <si>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</si>
  <si>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</si>
  <si>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</si>
  <si>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</si>
  <si>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</si>
  <si>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</si>
  <si>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</si>
  <si>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</si>
  <si>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</si>
  <si>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</si>
  <si>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</si>
  <si>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</si>
  <si>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</si>
  <si>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</si>
  <si>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</si>
  <si>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</si>
  <si>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</si>
  <si>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</si>
  <si>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</si>
  <si>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</si>
  <si>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</si>
  <si>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</si>
  <si>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</si>
  <si>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</si>
  <si>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</si>
  <si>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</si>
  <si>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</si>
  <si>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</si>
  <si>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</si>
  <si>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</si>
  <si>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</si>
  <si>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</si>
  <si>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</si>
  <si>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</si>
  <si>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</si>
  <si>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</si>
  <si>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</si>
  <si>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</si>
  <si>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</si>
  <si>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</si>
  <si>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</si>
  <si>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</si>
  <si>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</si>
  <si>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</si>
  <si>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</si>
  <si>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</si>
  <si>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</si>
  <si>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</si>
  <si>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</si>
  <si>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</si>
  <si>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</si>
  <si>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 labour later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</si>
  <si>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and spec must be detailed enough for accurate BOQ continuation without re-explaining the project</t>
  </si>
  <si>
    <t>S11-STOPPING</t>
  </si>
  <si>
    <t>S11-SKIM</t>
  </si>
  <si>
    <t>Sika Wall 191 Coarse (White) 25kg</t>
  </si>
  <si>
    <t>Sika Wall 192 Fine (White) 25kg</t>
  </si>
  <si>
    <t>S11-LABOUR</t>
  </si>
  <si>
    <t>DEFAULT USED: dry-area ceiling board for enclosed kitchen and other normal enclosed dry ceiling zones based on about 28.68 sqm plus cutting/manhole allowance</t>
  </si>
  <si>
    <t>S12-CEILING-BOARD</t>
  </si>
  <si>
    <t>Gyproc Gypsum Board 4.00ft x 6.00ft x 9.00mm</t>
  </si>
  <si>
    <t>DEFAULT USED: wet-area ceiling board for enclosed bathroom ceiling zone based on about 6.43 sqm plus cutting/manhole allowance</t>
  </si>
  <si>
    <t>Primaflex Fibre Cement Board 4.00ft x 4.00ft</t>
  </si>
  <si>
    <t>DEFAULT USED: secondary ceiling framing/support allowance for about 35.11 sqm enclosed ceiling area with mixed kitchen and bathroom zones</t>
  </si>
  <si>
    <t>S12-CEILING-FRAME</t>
  </si>
  <si>
    <t>GI Bracing 2440mm</t>
  </si>
  <si>
    <t>DEFAULT USED: main ceiling carrier/support allowance for about 35.11 sqm enclosed ceiling area</t>
  </si>
  <si>
    <t>GI Carrier Rail (MF) 4880.00mm</t>
  </si>
  <si>
    <t>DEFAULT USED: perimeter trim allowance for enclosed kitchen and bathroom ceiling edges with two separate enclosed zones and manhole framing support</t>
  </si>
  <si>
    <t>S12-CEILING-TRIM</t>
  </si>
  <si>
    <t>Aluminium Ceiling Trim (STD) 3660mm</t>
  </si>
  <si>
    <t>DEFAULT USED: joint treatment allowance for full enclosed ceiling board joints and manhole edge treatment</t>
  </si>
  <si>
    <t>S12-CEILING-JOINT</t>
  </si>
  <si>
    <t>Drywall Fibre Joint Tape 50mm x 50m</t>
  </si>
  <si>
    <t>DEFAULT USED: stopping allowance for ceiling joints, screw-line touch-up, manhole edge treatment and final ceiling surface preparation</t>
  </si>
  <si>
    <t>DEFAULT USED: 2 no. ceiling manholes total, 1 kitchen and 1 bathroom, as locked in project logic</t>
  </si>
  <si>
    <t>S12-MANHOLE</t>
  </si>
  <si>
    <t>Plaster Ceiling Manhole 12"</t>
  </si>
  <si>
    <t>DEFAULT USED: 2 skilled workers x 4 days for ceiling framing/support fixing, board fixing, wet-area board handling, manhole installation, trim fixing, joint treatment and ceiling alignment for full enclosed ceiling scope</t>
  </si>
  <si>
    <t>S12-LABOUR</t>
  </si>
  <si>
    <t>DEFAULT USED: 2 helpers x 3 days for board handling, passing, holding, framing support, material movement, joint-treatment support and cleanup for full enclosed ceiling scope</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</si>
  <si>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</si>
  <si>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</si>
  <si>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</si>
  <si>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</si>
  <si>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</si>
  <si>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</si>
  <si>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</si>
  <si>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</si>
  <si>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</si>
  <si>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</si>
  <si>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</si>
  <si>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</si>
  <si>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</si>
  <si>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</si>
  <si>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</si>
  <si>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</si>
  <si>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</si>
  <si>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</si>
  <si>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</si>
  <si>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</si>
  <si>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</si>
  <si>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</si>
  <si>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</si>
  <si>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</si>
  <si>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</si>
  <si>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</si>
  <si>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</si>
  <si>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</si>
  <si>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</si>
  <si>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</si>
  <si>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</si>
  <si>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</si>
  <si>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</si>
  <si>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</si>
  <si>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</si>
  <si>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</si>
  <si>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</si>
  <si>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</si>
  <si>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</si>
  <si>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</si>
  <si>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</si>
  <si>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</si>
  <si>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</si>
  <si>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</si>
  <si>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</si>
  <si>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</si>
  <si>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</si>
  <si>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</si>
  <si>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</si>
  <si>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</si>
  <si>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</si>
  <si>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</si>
  <si>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</si>
  <si>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</si>
  <si>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</si>
  <si>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</si>
  <si>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</si>
  <si>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</si>
  <si>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</si>
  <si>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</si>
  <si>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</si>
  <si>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</si>
  <si>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</si>
  <si>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</si>
  <si>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</si>
  <si>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User confirmed corrected external wall perimeter = 25.705m, walkway length follows the same perimeter and is added outside the current coloured wall line, roof covers all areas including walkway, and S16 must include the walkway slab in addition to the internal coloured extension slab</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</si>
  <si>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</si>
  <si>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</si>
  <si>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</si>
  <si>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</si>
  <si>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</si>
  <si>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</si>
  <si>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</si>
  <si>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</si>
  <si>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</si>
  <si>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</si>
  <si>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</si>
  <si>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</si>
  <si>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</si>
  <si>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</si>
  <si>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</si>
  <si>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</si>
  <si>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</si>
  <si>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</si>
  <si>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</si>
  <si>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</si>
  <si>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</si>
  <si>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</si>
  <si>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</si>
  <si>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</si>
  <si>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</si>
  <si>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</si>
  <si>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</si>
  <si>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</si>
  <si>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</si>
  <si>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</si>
  <si>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</si>
  <si>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</si>
  <si>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</si>
  <si>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</si>
  <si>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</si>
  <si>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</si>
  <si>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</si>
  <si>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</si>
  <si>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</si>
  <si>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</si>
  <si>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</si>
  <si>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</si>
  <si>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</si>
  <si>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</si>
  <si>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</si>
  <si>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</si>
  <si>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</si>
  <si>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</si>
  <si>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</si>
  <si>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</si>
  <si>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</si>
  <si>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</si>
  <si>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</si>
  <si>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</si>
  <si>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</si>
  <si>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</si>
  <si>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</si>
  <si>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</si>
  <si>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</si>
  <si>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</si>
  <si>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</si>
  <si>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</si>
  <si>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</si>
  <si>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</si>
  <si>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</si>
  <si>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</si>
  <si>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</si>
  <si>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</si>
  <si>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</si>
  <si>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</si>
  <si>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</si>
  <si>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</si>
  <si>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</si>
  <si>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</si>
  <si>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</si>
  <si>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</si>
  <si>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</si>
  <si>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</si>
  <si>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</si>
  <si>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</si>
  <si>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</si>
  <si>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</si>
  <si>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</si>
  <si>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</si>
  <si>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</si>
  <si>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</si>
  <si>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</si>
  <si>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</si>
  <si>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</si>
  <si>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</si>
  <si>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</si>
  <si>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</si>
  <si>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</si>
  <si>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</si>
  <si>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</si>
  <si>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</si>
  <si>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</si>
  <si>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</si>
  <si>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</si>
  <si>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</si>
  <si>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</si>
  <si>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</si>
  <si>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</si>
  <si>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</si>
  <si>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</si>
  <si>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</si>
  <si>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</si>
  <si>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</si>
  <si>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</si>
  <si>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</si>
  <si>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</si>
  <si>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</si>
  <si>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</si>
  <si>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</si>
  <si>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</si>
  <si>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</si>
  <si>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</si>
  <si>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</si>
  <si>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</si>
  <si>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</si>
  <si>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</si>
  <si>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</si>
  <si>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</si>
  <si>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</si>
  <si>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</si>
  <si>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</si>
  <si>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</si>
  <si>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</si>
  <si>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</si>
  <si>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</si>
  <si>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</si>
  <si>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</si>
  <si>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</si>
  <si>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</si>
  <si>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</si>
  <si>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</si>
  <si>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</si>
  <si>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</si>
  <si>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</si>
  <si>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</si>
  <si>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</si>
  <si>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</si>
  <si>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</si>
  <si>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</si>
  <si>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</si>
  <si>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</si>
  <si>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</si>
  <si>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</si>
  <si>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</si>
  <si>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</si>
  <si>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</si>
  <si>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</si>
  <si>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</si>
  <si>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</si>
  <si>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</si>
  <si>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</si>
  <si>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</si>
  <si>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</si>
  <si>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</si>
  <si>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</si>
  <si>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</si>
  <si>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</si>
  <si>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</si>
  <si>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</si>
  <si>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</si>
  <si>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</si>
  <si>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</si>
  <si>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</si>
  <si>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</si>
  <si>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</si>
  <si>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</si>
  <si>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</si>
  <si>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</si>
  <si>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</si>
  <si>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</si>
  <si>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</si>
  <si>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</si>
  <si>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</si>
  <si>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</si>
  <si>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</si>
  <si>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User confirmed floor tiles at kitchen, bathroom and yard only; walkway has no tiles and must use cement licin biasa; bathroom walls are full-height tiled to 8ft; kitchen L-shape table-top area uses wall tiles to standard 5ft height based on new extension T.TOP = 1829 + 1945</t>
  </si>
  <si>
    <t>DEFAULT USED: bathroom wet-area waterproofing to bathroom floor plus bathroom wall tile zones before tile installation</t>
  </si>
  <si>
    <t>S13-WATERPROOFING</t>
  </si>
  <si>
    <t>SIKA Waterproof Compound Top Seal 107 (A+B) 25.00kg</t>
  </si>
  <si>
    <t>DEFAULT USED: kitchen floor tile allowance based on 28.65 sqm using 600mm x 600mm tile with normal cutting allowance</t>
  </si>
  <si>
    <t>S13-KITCHEN-FLOOR</t>
  </si>
  <si>
    <t>Tile 600mm x 600mm</t>
  </si>
  <si>
    <t>DEFAULT USED: bathroom floor tile allowance based on 6.43 sqm using 300mm x 300mm tile with normal cutting allowance</t>
  </si>
  <si>
    <t>S13-BATHROOM-FLOOR</t>
  </si>
  <si>
    <t>Tile 300mm x 300mm</t>
  </si>
  <si>
    <t>DEFAULT USED: yard floor tile allowance based on 16.96 sqm using 300mm x 300mm tile with normal cutting allowance</t>
  </si>
  <si>
    <t>S13-YARD-FLOOR</t>
  </si>
  <si>
    <t>DEFAULT USED: bathroom full-height wall tile allowance based on 22.67 sqm net wall area using 300mm x 600mm tile with normal cutting allowance</t>
  </si>
  <si>
    <t>S13-BATHROOM-WALL</t>
  </si>
  <si>
    <t>DEFAULT USED: kitchen L-shape table-top wall tile allowance based on 5.75 sqm using 300mm x 600mm tile with normal cutting allowance</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</si>
  <si>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</si>
  <si>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</si>
  <si>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</si>
  <si>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</si>
  <si>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</si>
  <si>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</si>
  <si>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</si>
  <si>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</si>
  <si>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</si>
  <si>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DEFAULT USED: walkway cement licin biasa finish cement allowance for 15.68 sqm roofed walkway strip</t>
  </si>
  <si>
    <t>S13-WALKWAY-FINISH</t>
  </si>
  <si>
    <t>DEFAULT USED: walkway cement licin biasa finish sand allowance for 15.68 sqm roofed walkway strip</t>
  </si>
  <si>
    <t>Fine Sand (Scoop)</t>
  </si>
  <si>
    <t>DEFAULT USED: all tiling labour in this project uses skilled worker rate only; 4 skilled workers x 7 days for waterproofing, tile setting, cutting, alignment, grouting and walkway cement-smooth finishing across full S13 scope</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</si>
  <si>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</si>
  <si>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</si>
  <si>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</si>
  <si>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</si>
  <si>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</si>
  <si>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</si>
  <si>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</si>
  <si>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</si>
  <si>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</si>
  <si>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</si>
  <si>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</si>
  <si>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</si>
  <si>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</si>
  <si>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</si>
  <si>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</si>
  <si>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</si>
  <si>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</si>
  <si>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</si>
  <si>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</si>
  <si>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</si>
  <si>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</si>
  <si>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</si>
  <si>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</si>
  <si>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</si>
  <si>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</si>
  <si>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</si>
  <si>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</si>
  <si>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</si>
  <si>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</si>
  <si>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</si>
  <si>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</si>
  <si>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</si>
  <si>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</si>
  <si>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</si>
  <si>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</si>
  <si>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</si>
  <si>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</si>
  <si>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</si>
  <si>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</si>
  <si>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</si>
  <si>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</si>
  <si>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</si>
  <si>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</si>
  <si>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</si>
  <si>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</si>
  <si>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</si>
  <si>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</si>
  <si>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</si>
  <si>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</si>
  <si>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</si>
  <si>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</si>
  <si>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</si>
  <si>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</si>
  <si>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</si>
  <si>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</si>
  <si>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</si>
  <si>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</si>
  <si>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</si>
  <si>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</si>
  <si>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</si>
  <si>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</si>
  <si>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</si>
  <si>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</si>
  <si>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</si>
  <si>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</si>
  <si>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</si>
  <si>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</si>
  <si>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</si>
  <si>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</si>
  <si>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</si>
  <si>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</si>
  <si>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</si>
  <si>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</si>
  <si>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</si>
  <si>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</si>
  <si>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</si>
  <si>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</si>
  <si>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</si>
  <si>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</si>
  <si>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</si>
  <si>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</si>
  <si>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</si>
  <si>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</si>
  <si>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</si>
  <si>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</si>
  <si>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</si>
  <si>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</si>
  <si>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</si>
  <si>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</si>
  <si>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</si>
  <si>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</si>
  <si>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</si>
  <si>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</si>
  <si>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</si>
  <si>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</si>
  <si>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</si>
  <si>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</si>
  <si>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</si>
  <si>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</si>
  <si>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</si>
  <si>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</si>
  <si>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</si>
  <si>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</si>
  <si>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</si>
  <si>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</si>
  <si>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</si>
  <si>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</si>
  <si>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</si>
  <si>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</si>
  <si>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</si>
  <si>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</si>
  <si>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</si>
  <si>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</si>
  <si>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</si>
  <si>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</si>
  <si>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</si>
  <si>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</si>
  <si>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</si>
  <si>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</si>
  <si>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</si>
  <si>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</si>
  <si>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</si>
  <si>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</si>
  <si>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</si>
  <si>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</si>
  <si>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</si>
  <si>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</si>
  <si>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</si>
  <si>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</si>
  <si>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</si>
  <si>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</si>
  <si>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</si>
  <si>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</si>
  <si>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</si>
  <si>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</si>
  <si>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</si>
  <si>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</si>
  <si>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</si>
  <si>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</si>
  <si>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</si>
  <si>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</si>
  <si>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</si>
  <si>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</si>
  <si>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</si>
  <si>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</si>
  <si>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</si>
  <si>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</si>
  <si>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</si>
  <si>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</si>
  <si>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</si>
  <si>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</si>
  <si>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</si>
  <si>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CALC NOTE: base MH 18 for first-fix routing, concealed/exposed conduit work, back box fixing and cable pulling for 10 socket points, 10 downlights, 2 batten lights and 5 switch points; medium-work default 18/0.65 x 1.20 x 1.15 = 38.22 rounded</t>
  </si>
  <si>
    <t>CALC NOTE: base MH 8 for second-fix socket, switch, light and water-heater point termination; medium-work default 8/0.65 x 1.20 x 1.15 = 16.99 rounded</t>
  </si>
  <si>
    <t>CALC NOTE: base MH 4 for DB setup, MCB/RCCB/SPD arrangement, earthing connection, testing and final checking; medium-work default 4/0.65 x 1.20 x 1.15 = 8.49 rounded</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</si>
  <si>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</si>
  <si>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</si>
  <si>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</si>
  <si>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</si>
  <si>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</si>
  <si>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</si>
  <si>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</si>
  <si>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</si>
  <si>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</si>
  <si>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</si>
  <si>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</si>
  <si>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</si>
  <si>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</si>
  <si>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</si>
  <si>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</si>
  <si>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</si>
  <si>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</si>
  <si>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</si>
  <si>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</si>
  <si>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</si>
  <si>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</si>
  <si>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</si>
  <si>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</si>
  <si>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</si>
  <si>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</si>
  <si>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</si>
  <si>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</si>
  <si>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</si>
  <si>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</si>
  <si>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</si>
  <si>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</si>
  <si>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</si>
  <si>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</si>
  <si>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</si>
  <si>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</si>
  <si>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</si>
  <si>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</si>
  <si>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</si>
  <si>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</si>
  <si>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</si>
  <si>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</si>
  <si>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</si>
  <si>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</si>
  <si>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</si>
  <si>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</si>
  <si>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</si>
  <si>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</si>
  <si>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</si>
  <si>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</si>
  <si>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</si>
  <si>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</si>
  <si>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</si>
  <si>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</si>
  <si>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</si>
  <si>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</si>
  <si>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</si>
  <si>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</si>
  <si>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</si>
  <si>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</si>
  <si>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</si>
  <si>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</si>
  <si>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</si>
  <si>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</si>
  <si>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</si>
  <si>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</si>
  <si>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</si>
  <si>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</si>
  <si>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</si>
  <si>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</si>
  <si>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</si>
  <si>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</si>
  <si>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</si>
  <si>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</si>
  <si>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</si>
  <si>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</si>
  <si>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</si>
  <si>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</si>
  <si>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</si>
  <si>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</si>
  <si>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</si>
  <si>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</si>
  <si>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</si>
  <si>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</si>
  <si>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</si>
  <si>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</si>
  <si>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</si>
  <si>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</si>
  <si>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</si>
  <si>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</si>
  <si>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</si>
  <si>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</si>
  <si>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</si>
  <si>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</si>
  <si>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</si>
  <si>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</si>
  <si>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</si>
  <si>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CALC NOTE: base MH 10 for sealer/undercoat application, emulsion coating, gloss touch-up, local sanding and paint making-good for enclosed extension finish layer; medium-work default 10/0.65 x 1.20 x 1.15 = 21.23 rounded</t>
  </si>
  <si>
    <t>S15-LABOUR</t>
  </si>
  <si>
    <t>CALC NOTE: base MH 8 for final sanitary fixture installation of 1 bathroom combo set, 1 shower set, 1 hand bidet, 1 floor trap cover and final connection/tightening; medium-work default 8/0.65 x 1.20 x 1.15 = 16.99 rounded</t>
  </si>
  <si>
    <t>CALC NOTE: base MH 4 for local sealant, service testing, flushing/checking, visual inspection, touch-up and final builders cleaning/handover readiness; medium-work default 4/0.65 x 1.20 x 1.15 = 8.49 rounded</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</si>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</sst>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b/>
      <sz val="11"/>
      <color theme="1"/>
      <name val="Calibri"/>
      <family val="2"/>
      <scheme val="minor"/>
    </font>
    <font>
      <sz val="11"/>
      <color rgb="FF000000"/>
      <name val="Calibri"/>
      <family val="2"/>
    </font>
  </fonts>
  <fills count="6">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28">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2" fillId="0" borderId="0" xfId="0" applyFont="1" applyAlignment="1">
      <alignment horizontal="center"/>
    </xf>
    <xf numFmtId="0" fontId="2" fillId="0" borderId="0" xfId="0" applyFont="1"/>
    <xf numFmtId="0" fontId="0" fillId="5" borderId="0" xfId="0" applyFill="1"/>
    <xf numFmtId="0" fontId="0" fillId="0" borderId="0" xfId="0" applyAlignment="1">
      <alignment horizontal="right" vertical="center"/>
    </xf>
    <xf numFmtId="49" fontId="2" fillId="0" borderId="0" xfId="0" applyNumberFormat="1" applyFont="1"/>
    <xf numFmtId="9" fontId="0" fillId="0" borderId="0" xfId="0" applyNumberFormat="1"/>
    <xf numFmtId="0" fontId="0" fillId="0" borderId="0" xfId="0" applyAlignment="1">
      <alignment horizontal="center"/>
    </xf>
    <xf numFmtId="0" fontId="0" fillId="0" borderId="0" xfId="0" applyAlignment="1">
      <alignment horizontal="center" vertical="center"/>
    </xf>
    <xf numFmtId="0" fontId="0" fillId="0" borderId="2" xfId="0" applyBorder="1" applyAlignment="1">
      <alignment horizontal="center" vertical="center"/>
    </xf>
    <xf numFmtId="0" fontId="0" fillId="0" borderId="0" xfId="0" applyAlignment="1">
      <alignment horizontal="center"/>
    </xf>
    <xf numFmtId="0" fontId="1"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2</xdr:row>
          <xdr:rowOff>19050</xdr:rowOff>
        </xdr:from>
        <xdr:to>
          <xdr:col>6</xdr:col>
          <xdr:colOff>990600</xdr:colOff>
          <xdr:row>2</xdr:row>
          <xdr:rowOff>161925</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300-00004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3</xdr:row>
          <xdr:rowOff>19050</xdr:rowOff>
        </xdr:from>
        <xdr:to>
          <xdr:col>6</xdr:col>
          <xdr:colOff>990600</xdr:colOff>
          <xdr:row>3</xdr:row>
          <xdr:rowOff>161925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300-00004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4</xdr:row>
          <xdr:rowOff>19050</xdr:rowOff>
        </xdr:from>
        <xdr:to>
          <xdr:col>6</xdr:col>
          <xdr:colOff>990600</xdr:colOff>
          <xdr:row>4</xdr:row>
          <xdr:rowOff>161925</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300-00004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Final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5</xdr:row>
          <xdr:rowOff>19050</xdr:rowOff>
        </xdr:from>
        <xdr:to>
          <xdr:col>6</xdr:col>
          <xdr:colOff>990600</xdr:colOff>
          <xdr:row>5</xdr:row>
          <xdr:rowOff>161925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300-00004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6</xdr:row>
          <xdr:rowOff>19050</xdr:rowOff>
        </xdr:from>
        <xdr:to>
          <xdr:col>6</xdr:col>
          <xdr:colOff>990600</xdr:colOff>
          <xdr:row>6</xdr:row>
          <xdr:rowOff>161925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300-00005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Save Edit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7</xdr:row>
          <xdr:rowOff>19050</xdr:rowOff>
        </xdr:from>
        <xdr:to>
          <xdr:col>6</xdr:col>
          <xdr:colOff>990600</xdr:colOff>
          <xdr:row>7</xdr:row>
          <xdr:rowOff>161925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3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Clear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8</xdr:row>
          <xdr:rowOff>19050</xdr:rowOff>
        </xdr:from>
        <xdr:to>
          <xdr:col>6</xdr:col>
          <xdr:colOff>990600</xdr:colOff>
          <xdr:row>8</xdr:row>
          <xdr:rowOff>161925</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300-00005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Delete Override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9</xdr:row>
          <xdr:rowOff>19050</xdr:rowOff>
        </xdr:from>
        <xdr:to>
          <xdr:col>6</xdr:col>
          <xdr:colOff>990600</xdr:colOff>
          <xdr:row>9</xdr:row>
          <xdr:rowOff>161925</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300-00005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Undo Last</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A708C-D966-4AB1-84A6-E7F6D6095B24}">
  <sheetPr codeName="Sheet1"/>
  <dimension ref="A2:N300"/>
  <sheetViews>
    <sheetView zoomScale="75" zoomScaleNormal="75" workbookViewId="0">
      <selection activeCell="I33" sqref="I33"/>
    </sheetView>
  </sheetViews>
  <sheetFormatPr defaultRowHeight="15" x14ac:dyDescent="0.25"/>
  <cols>
    <col min="2" max="2" width="9.85546875" bestFit="1" customWidth="1"/>
    <col min="3" max="3" width="110" bestFit="1" customWidth="1"/>
    <col min="4" max="4" width="10.42578125" bestFit="1" customWidth="1"/>
    <col min="5" max="5" width="7" bestFit="1" customWidth="1"/>
    <col min="6" max="6" width="11.5703125" bestFit="1" customWidth="1"/>
    <col min="7" max="7" width="5.85546875" bestFit="1" customWidth="1"/>
    <col min="8" max="8" width="13.85546875" bestFit="1" customWidth="1"/>
    <col min="9" max="9" width="124.85546875" bestFit="1" customWidth="1"/>
  </cols>
  <sheetData>
    <row r="2" spans="1:14" x14ac:dyDescent="0.25">
      <c r="A2" s="12" t="s">
        <v>36</v>
      </c>
      <c r="B2" s="12" t="s">
        <v>30</v>
      </c>
      <c r="C2" s="12" t="s">
        <v>3</v>
      </c>
      <c r="D2" s="12" t="s">
        <v>37</v>
      </c>
      <c r="E2" s="12" t="s">
        <v>38</v>
      </c>
      <c r="F2" s="12" t="s">
        <v>27</v>
      </c>
      <c r="G2" s="12" t="s">
        <v>4</v>
      </c>
      <c r="H2" s="12" t="s">
        <v>39</v>
      </c>
      <c r="I2" s="12" t="s">
        <v>40</v>
      </c>
      <c r="J2" s="12" t="s">
        <v>41</v>
      </c>
      <c r="K2" s="12" t="s">
        <v>2</v>
      </c>
      <c r="L2" s="12" t="s">
        <v>42</v>
      </c>
      <c r="M2" s="12" t="s">
        <v>22</v>
      </c>
      <c r="N2" s="12" t="s">
        <v>5</v>
      </c>
    </row>
    <row r="3" spans="1:14" x14ac:dyDescent="0.25">
      <c r="A3" t="e" cm="1" vm="1">
        <f t="array" ref="A3:A300">_xlfn.LET(_xlpm.b,B3:B300,_xlpm.c,MMULT(--(ROW(_xlpm.b)&gt;=TRANSPOSE(ROW(_xlpm.b))),--(_xlpm.b&lt;&gt;"")),IF(_xlpm.b="","",_xlpm.c))</f>
        <v>#VALUE!</v>
      </c>
      <c r="B3" t="e" cm="1" vm="2">
        <f t="array" ref="B3:I3">_xlfn.LET(_xlpm.x,_xlfn._xlws.FILTER(Summary!I3:O300,Summary!I3:I300&lt;&gt;""),CHOOSE({1,2,3,4,5,6,7,8},INDEX(_xlpm.x,0,1),INDEX(_xlpm.x,0,2),INDEX(_xlpm.x,0,3),INDEX(_xlpm.x,0,4),INDEX(_xlpm.x,0,5),INDEX(_xlpm.x,0,6),INDEX(_xlpm.x,0,7),INDEX(_xlpm.x,0,1)&amp;"|"&amp;INDEX(_xlpm.x,0,2)&amp;"|"&amp;INDEX(_xlpm.x,0,3)))</f>
        <v>#VALUE!</v>
      </c>
      <c r="C3" t="e" vm="2">
        <v>#VALUE!</v>
      </c>
      <c r="D3" t="e" vm="2">
        <v>#VALUE!</v>
      </c>
      <c r="E3" t="e" vm="2">
        <v>#VALUE!</v>
      </c>
      <c r="F3" t="e" vm="2">
        <v>#VALUE!</v>
      </c>
      <c r="G3" t="e" vm="2">
        <v>#VALUE!</v>
      </c>
      <c r="H3" t="e" vm="2">
        <v>#VALUE!</v>
      </c>
      <c r="I3" t="e" vm="2">
        <v>#VALUE!</v>
      </c>
      <c r="J3" t="e" vm="1">
        <f>IF($B3="","",_xlfn.LET(_xlpm.pu,_xlfn.XLOOKUP($I3,$N$3:$N$300,$O$3:$O$300,""),IF(_xlpm.pu&lt;&gt;"",_xlpm.pu,$D3)))</f>
        <v>#VALUE!</v>
      </c>
      <c r="K3" t="e" vm="1">
        <f>IF($B3="","",_xlfn.LET(_xlpm.pu,_xlfn.XLOOKUP($I3,$N$3:$N$300,$O$3:$O$300,""),_xlpm.ps,_xlfn.XLOOKUP($I3,$N$3:$N$300,$P$3:$P$300,""),_xlpm.oq,_xlfn.XLOOKUP($I3,$N$3:$N$300,$Q$3:$Q$300,""),_xlpm.base,$H3,IF(_xlpm.oq&lt;&gt;"",_xlpm.oq,IF(_xlpm.ps="",_xlpm.base,IF(OR(_xlpm.pu="",_xlpm.pu=$D3),CEILING(_xlpm.base,_xlpm.ps),CEILING(_xlpm.base/_xlpm.ps,1))))))</f>
        <v>#VALUE!</v>
      </c>
      <c r="L3" t="e" vm="1">
        <f>IF($B3="","",_xlfn.LET(_xlpm.orate,_xlfn.XLOOKUP($I3,$N$3:$N$300,$R$3:$R$300,""),IF(_xlpm.orate&lt;&gt;"",_xlpm.orate,$E3)))</f>
        <v>#VALUE!</v>
      </c>
      <c r="M3" t="e" vm="1">
        <f>IF($B3="","",$K3*$L3)</f>
        <v>#VALUE!</v>
      </c>
    </row>
    <row r="4" spans="1:14" x14ac:dyDescent="0.25">
      <c r="A4" t="str">
        <v/>
      </c>
      <c r="J4" t="str">
        <f t="shared" ref="J4:J61" si="0">IF($B4="","",_xlfn.LET(_xlpm.pu,_xlfn.XLOOKUP($I4,$N$3:$N$300,$O$3:$O$300,""),IF(_xlpm.pu&lt;&gt;"",_xlpm.pu,$D4)))</f>
        <v/>
      </c>
      <c r="K4" t="str">
        <f t="shared" ref="K4:K67" si="1">IF($B4="","",_xlfn.LET(_xlpm.pu,_xlfn.XLOOKUP($I4,$N$3:$N$300,$O$3:$O$300,""),_xlpm.ps,_xlfn.XLOOKUP($I4,$N$3:$N$300,$P$3:$P$300,""),_xlpm.oq,_xlfn.XLOOKUP($I4,$N$3:$N$300,$Q$3:$Q$300,""),_xlpm.base,$H4,IF(_xlpm.oq&lt;&gt;"",_xlpm.oq,IF(_xlpm.ps="",_xlpm.base,IF(OR(_xlpm.pu="",_xlpm.pu=$D4),CEILING(_xlpm.base,_xlpm.ps),CEILING(_xlpm.base/_xlpm.ps,1))))))</f>
        <v/>
      </c>
      <c r="L4" t="str">
        <f t="shared" ref="L4:L67" si="2">IF($B4="","",_xlfn.LET(_xlpm.orate,_xlfn.XLOOKUP($I4,$N$3:$N$300,$R$3:$R$300,""),IF(_xlpm.orate&lt;&gt;"",_xlpm.orate,$E4)))</f>
        <v/>
      </c>
      <c r="M4" t="str">
        <f t="shared" ref="M4:M67" si="3">IF($B4="","",$K4*$L4)</f>
        <v/>
      </c>
      <c r="N4" t="str">
        <f t="shared" ref="N4:N51" si="4">IF($B4="","",_xlfn.XLOOKUP($I4,$T$3:$T$300,$Y$3:$Y$300,""))</f>
        <v/>
      </c>
    </row>
    <row r="5" spans="1:14" x14ac:dyDescent="0.25">
      <c r="A5" t="str">
        <v/>
      </c>
      <c r="J5" t="str">
        <f t="shared" si="0"/>
        <v/>
      </c>
      <c r="K5" t="str">
        <f t="shared" si="1"/>
        <v/>
      </c>
      <c r="L5" t="str">
        <f t="shared" si="2"/>
        <v/>
      </c>
      <c r="M5" t="str">
        <f t="shared" si="3"/>
        <v/>
      </c>
      <c r="N5" t="str">
        <f t="shared" si="4"/>
        <v/>
      </c>
    </row>
    <row r="6" spans="1:14" x14ac:dyDescent="0.25">
      <c r="A6" t="str">
        <v/>
      </c>
      <c r="J6" t="str">
        <f t="shared" si="0"/>
        <v/>
      </c>
      <c r="K6" t="str">
        <f t="shared" si="1"/>
        <v/>
      </c>
      <c r="L6" t="str">
        <f t="shared" si="2"/>
        <v/>
      </c>
      <c r="M6" t="str">
        <f t="shared" si="3"/>
        <v/>
      </c>
      <c r="N6" t="str">
        <f t="shared" si="4"/>
        <v/>
      </c>
    </row>
    <row r="7" spans="1:14" x14ac:dyDescent="0.25">
      <c r="A7" t="str">
        <v/>
      </c>
      <c r="J7" t="str">
        <f t="shared" si="0"/>
        <v/>
      </c>
      <c r="K7" t="str">
        <f t="shared" si="1"/>
        <v/>
      </c>
      <c r="L7" t="str">
        <f t="shared" si="2"/>
        <v/>
      </c>
      <c r="M7" t="str">
        <f t="shared" si="3"/>
        <v/>
      </c>
      <c r="N7" t="str">
        <f t="shared" si="4"/>
        <v/>
      </c>
    </row>
    <row r="8" spans="1:14" x14ac:dyDescent="0.25">
      <c r="A8" t="str">
        <v/>
      </c>
      <c r="J8" t="str">
        <f t="shared" si="0"/>
        <v/>
      </c>
      <c r="K8" t="str">
        <f t="shared" si="1"/>
        <v/>
      </c>
      <c r="L8" t="str">
        <f t="shared" si="2"/>
        <v/>
      </c>
      <c r="M8" t="str">
        <f t="shared" si="3"/>
        <v/>
      </c>
      <c r="N8" t="str">
        <f t="shared" si="4"/>
        <v/>
      </c>
    </row>
    <row r="9" spans="1:14" x14ac:dyDescent="0.25">
      <c r="A9" t="str">
        <v/>
      </c>
      <c r="J9" t="str">
        <f t="shared" si="0"/>
        <v/>
      </c>
      <c r="K9" t="str">
        <f t="shared" si="1"/>
        <v/>
      </c>
      <c r="L9" t="str">
        <f t="shared" si="2"/>
        <v/>
      </c>
      <c r="M9" t="str">
        <f t="shared" si="3"/>
        <v/>
      </c>
      <c r="N9" t="str">
        <f t="shared" si="4"/>
        <v/>
      </c>
    </row>
    <row r="10" spans="1:14" x14ac:dyDescent="0.25">
      <c r="A10" t="str">
        <v/>
      </c>
      <c r="J10" t="str">
        <f t="shared" si="0"/>
        <v/>
      </c>
      <c r="K10" t="str">
        <f t="shared" si="1"/>
        <v/>
      </c>
      <c r="L10" t="str">
        <f t="shared" si="2"/>
        <v/>
      </c>
      <c r="M10" t="str">
        <f t="shared" si="3"/>
        <v/>
      </c>
      <c r="N10" t="str">
        <f t="shared" si="4"/>
        <v/>
      </c>
    </row>
    <row r="11" spans="1:14" x14ac:dyDescent="0.25">
      <c r="A11" t="str">
        <v/>
      </c>
      <c r="J11" t="str">
        <f t="shared" si="0"/>
        <v/>
      </c>
      <c r="K11" t="str">
        <f t="shared" si="1"/>
        <v/>
      </c>
      <c r="L11" t="str">
        <f t="shared" si="2"/>
        <v/>
      </c>
      <c r="M11" t="str">
        <f t="shared" si="3"/>
        <v/>
      </c>
      <c r="N11" t="str">
        <f t="shared" si="4"/>
        <v/>
      </c>
    </row>
    <row r="12" spans="1:14" x14ac:dyDescent="0.25">
      <c r="A12" t="str">
        <v/>
      </c>
      <c r="J12" t="str">
        <f t="shared" si="0"/>
        <v/>
      </c>
      <c r="K12" t="str">
        <f t="shared" si="1"/>
        <v/>
      </c>
      <c r="L12" t="str">
        <f t="shared" si="2"/>
        <v/>
      </c>
      <c r="M12" t="str">
        <f t="shared" si="3"/>
        <v/>
      </c>
      <c r="N12" t="str">
        <f t="shared" si="4"/>
        <v/>
      </c>
    </row>
    <row r="13" spans="1:14" x14ac:dyDescent="0.25">
      <c r="A13" t="str">
        <v/>
      </c>
      <c r="J13" t="str">
        <f t="shared" si="0"/>
        <v/>
      </c>
      <c r="K13" t="str">
        <f t="shared" si="1"/>
        <v/>
      </c>
      <c r="L13" t="str">
        <f t="shared" si="2"/>
        <v/>
      </c>
      <c r="M13" t="str">
        <f t="shared" si="3"/>
        <v/>
      </c>
      <c r="N13" t="str">
        <f t="shared" si="4"/>
        <v/>
      </c>
    </row>
    <row r="14" spans="1:14" x14ac:dyDescent="0.25">
      <c r="A14" t="str">
        <v/>
      </c>
      <c r="J14" t="str">
        <f t="shared" si="0"/>
        <v/>
      </c>
      <c r="K14" t="str">
        <f t="shared" si="1"/>
        <v/>
      </c>
      <c r="L14" t="str">
        <f t="shared" si="2"/>
        <v/>
      </c>
      <c r="M14" t="str">
        <f t="shared" si="3"/>
        <v/>
      </c>
      <c r="N14" t="str">
        <f t="shared" si="4"/>
        <v/>
      </c>
    </row>
    <row r="15" spans="1:14" x14ac:dyDescent="0.25">
      <c r="A15" t="str">
        <v/>
      </c>
      <c r="J15" t="str">
        <f t="shared" si="0"/>
        <v/>
      </c>
      <c r="K15" t="str">
        <f t="shared" si="1"/>
        <v/>
      </c>
      <c r="L15" t="str">
        <f t="shared" si="2"/>
        <v/>
      </c>
      <c r="M15" t="str">
        <f t="shared" si="3"/>
        <v/>
      </c>
      <c r="N15" t="str">
        <f t="shared" si="4"/>
        <v/>
      </c>
    </row>
    <row r="16" spans="1:14" x14ac:dyDescent="0.25">
      <c r="A16" t="str">
        <v/>
      </c>
      <c r="J16" t="str">
        <f t="shared" si="0"/>
        <v/>
      </c>
      <c r="K16" t="str">
        <f t="shared" si="1"/>
        <v/>
      </c>
      <c r="L16" t="str">
        <f t="shared" si="2"/>
        <v/>
      </c>
      <c r="M16" t="str">
        <f t="shared" si="3"/>
        <v/>
      </c>
      <c r="N16" t="str">
        <f t="shared" si="4"/>
        <v/>
      </c>
    </row>
    <row r="17" spans="1:14" x14ac:dyDescent="0.25">
      <c r="A17" t="str">
        <v/>
      </c>
      <c r="J17" t="str">
        <f t="shared" si="0"/>
        <v/>
      </c>
      <c r="K17" t="str">
        <f t="shared" si="1"/>
        <v/>
      </c>
      <c r="L17" t="str">
        <f t="shared" si="2"/>
        <v/>
      </c>
      <c r="M17" t="str">
        <f t="shared" si="3"/>
        <v/>
      </c>
      <c r="N17" t="str">
        <f t="shared" si="4"/>
        <v/>
      </c>
    </row>
    <row r="18" spans="1:14" x14ac:dyDescent="0.25">
      <c r="A18" t="str">
        <v/>
      </c>
      <c r="J18" t="str">
        <f t="shared" si="0"/>
        <v/>
      </c>
      <c r="K18" t="str">
        <f t="shared" si="1"/>
        <v/>
      </c>
      <c r="L18" t="str">
        <f t="shared" si="2"/>
        <v/>
      </c>
      <c r="M18" t="str">
        <f t="shared" si="3"/>
        <v/>
      </c>
      <c r="N18" t="str">
        <f t="shared" si="4"/>
        <v/>
      </c>
    </row>
    <row r="19" spans="1:14" x14ac:dyDescent="0.25">
      <c r="A19" t="str">
        <v/>
      </c>
      <c r="J19" t="str">
        <f t="shared" si="0"/>
        <v/>
      </c>
      <c r="K19" t="str">
        <f t="shared" si="1"/>
        <v/>
      </c>
      <c r="L19" t="str">
        <f t="shared" si="2"/>
        <v/>
      </c>
      <c r="M19" t="str">
        <f t="shared" si="3"/>
        <v/>
      </c>
      <c r="N19" t="str">
        <f t="shared" si="4"/>
        <v/>
      </c>
    </row>
    <row r="20" spans="1:14" x14ac:dyDescent="0.25">
      <c r="A20" t="str">
        <v/>
      </c>
      <c r="J20" t="str">
        <f t="shared" si="0"/>
        <v/>
      </c>
      <c r="K20" t="str">
        <f t="shared" si="1"/>
        <v/>
      </c>
      <c r="L20" t="str">
        <f t="shared" si="2"/>
        <v/>
      </c>
      <c r="M20" t="str">
        <f t="shared" si="3"/>
        <v/>
      </c>
      <c r="N20" t="str">
        <f t="shared" si="4"/>
        <v/>
      </c>
    </row>
    <row r="21" spans="1:14" x14ac:dyDescent="0.25">
      <c r="A21" t="str">
        <v/>
      </c>
      <c r="J21" t="str">
        <f t="shared" si="0"/>
        <v/>
      </c>
      <c r="K21" t="str">
        <f t="shared" si="1"/>
        <v/>
      </c>
      <c r="L21" t="str">
        <f t="shared" si="2"/>
        <v/>
      </c>
      <c r="M21" t="str">
        <f t="shared" si="3"/>
        <v/>
      </c>
      <c r="N21" t="str">
        <f t="shared" si="4"/>
        <v/>
      </c>
    </row>
    <row r="22" spans="1:14" x14ac:dyDescent="0.25">
      <c r="A22" t="str">
        <v/>
      </c>
      <c r="J22" t="str">
        <f t="shared" si="0"/>
        <v/>
      </c>
      <c r="K22" t="str">
        <f t="shared" si="1"/>
        <v/>
      </c>
      <c r="L22" t="str">
        <f t="shared" si="2"/>
        <v/>
      </c>
      <c r="M22" t="str">
        <f t="shared" si="3"/>
        <v/>
      </c>
      <c r="N22" t="str">
        <f t="shared" si="4"/>
        <v/>
      </c>
    </row>
    <row r="23" spans="1:14" x14ac:dyDescent="0.25">
      <c r="A23" t="str">
        <v/>
      </c>
      <c r="J23" t="str">
        <f t="shared" si="0"/>
        <v/>
      </c>
      <c r="K23" t="str">
        <f t="shared" si="1"/>
        <v/>
      </c>
      <c r="L23" t="str">
        <f t="shared" si="2"/>
        <v/>
      </c>
      <c r="M23" t="str">
        <f t="shared" si="3"/>
        <v/>
      </c>
      <c r="N23" t="str">
        <f t="shared" si="4"/>
        <v/>
      </c>
    </row>
    <row r="24" spans="1:14" x14ac:dyDescent="0.25">
      <c r="A24" t="str">
        <v/>
      </c>
      <c r="J24" t="str">
        <f t="shared" si="0"/>
        <v/>
      </c>
      <c r="K24" t="str">
        <f t="shared" si="1"/>
        <v/>
      </c>
      <c r="L24" t="str">
        <f t="shared" si="2"/>
        <v/>
      </c>
      <c r="M24" t="str">
        <f t="shared" si="3"/>
        <v/>
      </c>
      <c r="N24" t="str">
        <f t="shared" si="4"/>
        <v/>
      </c>
    </row>
    <row r="25" spans="1:14" x14ac:dyDescent="0.25">
      <c r="A25" t="str">
        <v/>
      </c>
      <c r="J25" t="str">
        <f t="shared" si="0"/>
        <v/>
      </c>
      <c r="K25" t="str">
        <f t="shared" si="1"/>
        <v/>
      </c>
      <c r="L25" t="str">
        <f t="shared" si="2"/>
        <v/>
      </c>
      <c r="M25" t="str">
        <f t="shared" si="3"/>
        <v/>
      </c>
      <c r="N25" t="str">
        <f t="shared" si="4"/>
        <v/>
      </c>
    </row>
    <row r="26" spans="1:14" x14ac:dyDescent="0.25">
      <c r="A26" t="str">
        <v/>
      </c>
      <c r="J26" t="str">
        <f t="shared" si="0"/>
        <v/>
      </c>
      <c r="K26" t="str">
        <f t="shared" si="1"/>
        <v/>
      </c>
      <c r="L26" t="str">
        <f t="shared" si="2"/>
        <v/>
      </c>
      <c r="M26" t="str">
        <f t="shared" si="3"/>
        <v/>
      </c>
      <c r="N26" t="str">
        <f t="shared" si="4"/>
        <v/>
      </c>
    </row>
    <row r="27" spans="1:14" x14ac:dyDescent="0.25">
      <c r="A27" t="str">
        <v/>
      </c>
      <c r="J27" t="str">
        <f t="shared" si="0"/>
        <v/>
      </c>
      <c r="K27" t="str">
        <f t="shared" si="1"/>
        <v/>
      </c>
      <c r="L27" t="str">
        <f t="shared" si="2"/>
        <v/>
      </c>
      <c r="M27" t="str">
        <f t="shared" si="3"/>
        <v/>
      </c>
      <c r="N27" t="str">
        <f t="shared" si="4"/>
        <v/>
      </c>
    </row>
    <row r="28" spans="1:14" x14ac:dyDescent="0.25">
      <c r="A28" t="str">
        <v/>
      </c>
      <c r="J28" t="str">
        <f t="shared" si="0"/>
        <v/>
      </c>
      <c r="K28" t="str">
        <f t="shared" si="1"/>
        <v/>
      </c>
      <c r="L28" t="str">
        <f t="shared" si="2"/>
        <v/>
      </c>
      <c r="M28" t="str">
        <f t="shared" si="3"/>
        <v/>
      </c>
      <c r="N28" t="str">
        <f t="shared" si="4"/>
        <v/>
      </c>
    </row>
    <row r="29" spans="1:14" x14ac:dyDescent="0.25">
      <c r="A29" t="str">
        <v/>
      </c>
      <c r="J29" t="str">
        <f t="shared" si="0"/>
        <v/>
      </c>
      <c r="K29" t="str">
        <f t="shared" si="1"/>
        <v/>
      </c>
      <c r="L29" t="str">
        <f t="shared" si="2"/>
        <v/>
      </c>
      <c r="M29" t="str">
        <f t="shared" si="3"/>
        <v/>
      </c>
      <c r="N29" t="str">
        <f t="shared" si="4"/>
        <v/>
      </c>
    </row>
    <row r="30" spans="1:14" x14ac:dyDescent="0.25">
      <c r="A30" t="str">
        <v/>
      </c>
      <c r="J30" t="str">
        <f t="shared" si="0"/>
        <v/>
      </c>
      <c r="K30" t="str">
        <f t="shared" si="1"/>
        <v/>
      </c>
      <c r="L30" t="str">
        <f t="shared" si="2"/>
        <v/>
      </c>
      <c r="M30" t="str">
        <f t="shared" si="3"/>
        <v/>
      </c>
      <c r="N30" t="str">
        <f t="shared" si="4"/>
        <v/>
      </c>
    </row>
    <row r="31" spans="1:14" x14ac:dyDescent="0.25">
      <c r="A31" t="str">
        <v/>
      </c>
      <c r="J31" t="str">
        <f t="shared" si="0"/>
        <v/>
      </c>
      <c r="K31" t="str">
        <f t="shared" si="1"/>
        <v/>
      </c>
      <c r="L31" t="str">
        <f t="shared" si="2"/>
        <v/>
      </c>
      <c r="M31" t="str">
        <f t="shared" si="3"/>
        <v/>
      </c>
      <c r="N31" t="str">
        <f t="shared" si="4"/>
        <v/>
      </c>
    </row>
    <row r="32" spans="1:14" x14ac:dyDescent="0.25">
      <c r="A32" t="str">
        <v/>
      </c>
      <c r="J32" t="str">
        <f t="shared" si="0"/>
        <v/>
      </c>
      <c r="K32" t="str">
        <f t="shared" si="1"/>
        <v/>
      </c>
      <c r="L32" t="str">
        <f t="shared" si="2"/>
        <v/>
      </c>
      <c r="M32" t="str">
        <f t="shared" si="3"/>
        <v/>
      </c>
      <c r="N32" t="str">
        <f t="shared" si="4"/>
        <v/>
      </c>
    </row>
    <row r="33" spans="1:14" x14ac:dyDescent="0.25">
      <c r="A33" t="str">
        <v/>
      </c>
      <c r="J33" t="str">
        <f t="shared" si="0"/>
        <v/>
      </c>
      <c r="K33" t="str">
        <f t="shared" si="1"/>
        <v/>
      </c>
      <c r="L33" t="str">
        <f t="shared" si="2"/>
        <v/>
      </c>
      <c r="M33" t="str">
        <f t="shared" si="3"/>
        <v/>
      </c>
      <c r="N33" t="str">
        <f t="shared" si="4"/>
        <v/>
      </c>
    </row>
    <row r="34" spans="1:14" x14ac:dyDescent="0.25">
      <c r="A34" t="str">
        <v/>
      </c>
      <c r="J34" t="str">
        <f t="shared" si="0"/>
        <v/>
      </c>
      <c r="K34" t="str">
        <f t="shared" si="1"/>
        <v/>
      </c>
      <c r="L34" t="str">
        <f t="shared" si="2"/>
        <v/>
      </c>
      <c r="M34" t="str">
        <f t="shared" si="3"/>
        <v/>
      </c>
      <c r="N34" t="str">
        <f t="shared" si="4"/>
        <v/>
      </c>
    </row>
    <row r="35" spans="1:14" x14ac:dyDescent="0.25">
      <c r="A35" t="str">
        <v/>
      </c>
      <c r="J35" t="str">
        <f t="shared" si="0"/>
        <v/>
      </c>
      <c r="K35" t="str">
        <f t="shared" si="1"/>
        <v/>
      </c>
      <c r="L35" t="str">
        <f t="shared" si="2"/>
        <v/>
      </c>
      <c r="M35" t="str">
        <f t="shared" si="3"/>
        <v/>
      </c>
      <c r="N35" t="str">
        <f t="shared" si="4"/>
        <v/>
      </c>
    </row>
    <row r="36" spans="1:14" x14ac:dyDescent="0.25">
      <c r="A36" t="str">
        <v/>
      </c>
      <c r="J36" t="str">
        <f t="shared" si="0"/>
        <v/>
      </c>
      <c r="K36" t="str">
        <f t="shared" si="1"/>
        <v/>
      </c>
      <c r="L36" t="str">
        <f t="shared" si="2"/>
        <v/>
      </c>
      <c r="M36" t="str">
        <f t="shared" si="3"/>
        <v/>
      </c>
      <c r="N36" t="str">
        <f t="shared" si="4"/>
        <v/>
      </c>
    </row>
    <row r="37" spans="1:14" x14ac:dyDescent="0.25">
      <c r="A37" t="str">
        <v/>
      </c>
      <c r="J37" t="str">
        <f t="shared" si="0"/>
        <v/>
      </c>
      <c r="K37" t="str">
        <f t="shared" si="1"/>
        <v/>
      </c>
      <c r="L37" t="str">
        <f t="shared" si="2"/>
        <v/>
      </c>
      <c r="M37" t="str">
        <f t="shared" si="3"/>
        <v/>
      </c>
      <c r="N37" t="str">
        <f t="shared" si="4"/>
        <v/>
      </c>
    </row>
    <row r="38" spans="1:14" x14ac:dyDescent="0.25">
      <c r="A38" t="str">
        <v/>
      </c>
      <c r="J38" t="str">
        <f t="shared" si="0"/>
        <v/>
      </c>
      <c r="K38" t="str">
        <f t="shared" si="1"/>
        <v/>
      </c>
      <c r="L38" t="str">
        <f t="shared" si="2"/>
        <v/>
      </c>
      <c r="M38" t="str">
        <f t="shared" si="3"/>
        <v/>
      </c>
      <c r="N38" t="str">
        <f t="shared" si="4"/>
        <v/>
      </c>
    </row>
    <row r="39" spans="1:14" x14ac:dyDescent="0.25">
      <c r="A39" t="str">
        <v/>
      </c>
      <c r="J39" t="str">
        <f t="shared" si="0"/>
        <v/>
      </c>
      <c r="K39" t="str">
        <f t="shared" si="1"/>
        <v/>
      </c>
      <c r="L39" t="str">
        <f t="shared" si="2"/>
        <v/>
      </c>
      <c r="M39" t="str">
        <f t="shared" si="3"/>
        <v/>
      </c>
      <c r="N39" t="str">
        <f t="shared" si="4"/>
        <v/>
      </c>
    </row>
    <row r="40" spans="1:14" x14ac:dyDescent="0.25">
      <c r="A40" t="str">
        <v/>
      </c>
      <c r="J40" t="str">
        <f t="shared" si="0"/>
        <v/>
      </c>
      <c r="K40" t="str">
        <f t="shared" si="1"/>
        <v/>
      </c>
      <c r="L40" t="str">
        <f t="shared" si="2"/>
        <v/>
      </c>
      <c r="M40" t="str">
        <f t="shared" si="3"/>
        <v/>
      </c>
      <c r="N40" t="str">
        <f t="shared" si="4"/>
        <v/>
      </c>
    </row>
    <row r="41" spans="1:14" x14ac:dyDescent="0.25">
      <c r="A41" t="str">
        <v/>
      </c>
      <c r="J41" t="str">
        <f t="shared" si="0"/>
        <v/>
      </c>
      <c r="K41" t="str">
        <f t="shared" si="1"/>
        <v/>
      </c>
      <c r="L41" t="str">
        <f t="shared" si="2"/>
        <v/>
      </c>
      <c r="M41" t="str">
        <f t="shared" si="3"/>
        <v/>
      </c>
      <c r="N41" t="str">
        <f t="shared" si="4"/>
        <v/>
      </c>
    </row>
    <row r="42" spans="1:14" x14ac:dyDescent="0.25">
      <c r="A42" t="str">
        <v/>
      </c>
      <c r="J42" t="str">
        <f t="shared" si="0"/>
        <v/>
      </c>
      <c r="K42" t="str">
        <f t="shared" si="1"/>
        <v/>
      </c>
      <c r="L42" t="str">
        <f t="shared" si="2"/>
        <v/>
      </c>
      <c r="M42" t="str">
        <f t="shared" si="3"/>
        <v/>
      </c>
      <c r="N42" t="str">
        <f t="shared" si="4"/>
        <v/>
      </c>
    </row>
    <row r="43" spans="1:14" x14ac:dyDescent="0.25">
      <c r="A43" t="str">
        <v/>
      </c>
      <c r="J43" t="str">
        <f t="shared" si="0"/>
        <v/>
      </c>
      <c r="K43" t="str">
        <f t="shared" si="1"/>
        <v/>
      </c>
      <c r="L43" t="str">
        <f t="shared" si="2"/>
        <v/>
      </c>
      <c r="M43" t="str">
        <f t="shared" si="3"/>
        <v/>
      </c>
      <c r="N43" t="str">
        <f t="shared" si="4"/>
        <v/>
      </c>
    </row>
    <row r="44" spans="1:14" x14ac:dyDescent="0.25">
      <c r="A44" t="str">
        <v/>
      </c>
      <c r="J44" t="str">
        <f t="shared" si="0"/>
        <v/>
      </c>
      <c r="K44" t="str">
        <f t="shared" si="1"/>
        <v/>
      </c>
      <c r="L44" t="str">
        <f t="shared" si="2"/>
        <v/>
      </c>
      <c r="M44" t="str">
        <f t="shared" si="3"/>
        <v/>
      </c>
      <c r="N44" t="str">
        <f t="shared" si="4"/>
        <v/>
      </c>
    </row>
    <row r="45" spans="1:14" x14ac:dyDescent="0.25">
      <c r="A45" t="str">
        <v/>
      </c>
      <c r="J45" t="str">
        <f t="shared" si="0"/>
        <v/>
      </c>
      <c r="K45" t="str">
        <f t="shared" si="1"/>
        <v/>
      </c>
      <c r="L45" t="str">
        <f t="shared" si="2"/>
        <v/>
      </c>
      <c r="M45" t="str">
        <f t="shared" si="3"/>
        <v/>
      </c>
      <c r="N45" t="str">
        <f t="shared" si="4"/>
        <v/>
      </c>
    </row>
    <row r="46" spans="1:14" x14ac:dyDescent="0.25">
      <c r="A46" t="str">
        <v/>
      </c>
      <c r="J46" t="str">
        <f t="shared" si="0"/>
        <v/>
      </c>
      <c r="K46" t="str">
        <f t="shared" si="1"/>
        <v/>
      </c>
      <c r="L46" t="str">
        <f t="shared" si="2"/>
        <v/>
      </c>
      <c r="M46" t="str">
        <f t="shared" si="3"/>
        <v/>
      </c>
      <c r="N46" t="str">
        <f t="shared" si="4"/>
        <v/>
      </c>
    </row>
    <row r="47" spans="1:14" x14ac:dyDescent="0.25">
      <c r="A47" t="str">
        <v/>
      </c>
      <c r="J47" t="str">
        <f t="shared" si="0"/>
        <v/>
      </c>
      <c r="K47" t="str">
        <f t="shared" si="1"/>
        <v/>
      </c>
      <c r="L47" t="str">
        <f t="shared" si="2"/>
        <v/>
      </c>
      <c r="M47" t="str">
        <f t="shared" si="3"/>
        <v/>
      </c>
      <c r="N47" t="str">
        <f t="shared" si="4"/>
        <v/>
      </c>
    </row>
    <row r="48" spans="1:14" x14ac:dyDescent="0.25">
      <c r="A48" t="str">
        <v/>
      </c>
      <c r="J48" t="str">
        <f t="shared" si="0"/>
        <v/>
      </c>
      <c r="K48" t="str">
        <f t="shared" si="1"/>
        <v/>
      </c>
      <c r="L48" t="str">
        <f t="shared" si="2"/>
        <v/>
      </c>
      <c r="M48" t="str">
        <f t="shared" si="3"/>
        <v/>
      </c>
      <c r="N48" t="str">
        <f t="shared" si="4"/>
        <v/>
      </c>
    </row>
    <row r="49" spans="1:14" x14ac:dyDescent="0.25">
      <c r="A49" t="str">
        <v/>
      </c>
      <c r="J49" t="str">
        <f t="shared" si="0"/>
        <v/>
      </c>
      <c r="K49" t="str">
        <f t="shared" si="1"/>
        <v/>
      </c>
      <c r="L49" t="str">
        <f t="shared" si="2"/>
        <v/>
      </c>
      <c r="M49" t="str">
        <f t="shared" si="3"/>
        <v/>
      </c>
      <c r="N49" t="str">
        <f t="shared" si="4"/>
        <v/>
      </c>
    </row>
    <row r="50" spans="1:14" x14ac:dyDescent="0.25">
      <c r="A50" t="str">
        <v/>
      </c>
      <c r="J50" t="str">
        <f t="shared" si="0"/>
        <v/>
      </c>
      <c r="K50" t="str">
        <f t="shared" si="1"/>
        <v/>
      </c>
      <c r="L50" t="str">
        <f t="shared" si="2"/>
        <v/>
      </c>
      <c r="M50" t="str">
        <f t="shared" si="3"/>
        <v/>
      </c>
      <c r="N50" t="str">
        <f t="shared" si="4"/>
        <v/>
      </c>
    </row>
    <row r="51" spans="1:14" x14ac:dyDescent="0.25">
      <c r="A51" t="str">
        <v/>
      </c>
      <c r="J51" t="str">
        <f t="shared" si="0"/>
        <v/>
      </c>
      <c r="K51" t="str">
        <f t="shared" si="1"/>
        <v/>
      </c>
      <c r="L51" t="str">
        <f t="shared" si="2"/>
        <v/>
      </c>
      <c r="M51" t="str">
        <f t="shared" si="3"/>
        <v/>
      </c>
      <c r="N51" t="str">
        <f t="shared" si="4"/>
        <v/>
      </c>
    </row>
    <row r="52" spans="1:14" x14ac:dyDescent="0.25">
      <c r="A52" t="str">
        <v/>
      </c>
      <c r="J52" t="str">
        <f>IF($B52="","",_xlfn.LET(_xlpm.pu,_xlfn.XLOOKUP($I52,$N$3:$N$300,$O$3:$O$300,""),IF(_xlpm.pu&lt;&gt;"",_xlpm.pu,$D52)))</f>
        <v/>
      </c>
      <c r="K52" t="str">
        <f t="shared" si="1"/>
        <v/>
      </c>
      <c r="L52" t="str">
        <f t="shared" si="2"/>
        <v/>
      </c>
      <c r="M52" t="str">
        <f t="shared" si="3"/>
        <v/>
      </c>
    </row>
    <row r="53" spans="1:14" x14ac:dyDescent="0.25">
      <c r="A53" t="str">
        <v/>
      </c>
      <c r="J53" t="str">
        <f t="shared" si="0"/>
        <v/>
      </c>
      <c r="K53" t="str">
        <f t="shared" si="1"/>
        <v/>
      </c>
      <c r="L53" t="str">
        <f t="shared" si="2"/>
        <v/>
      </c>
      <c r="M53" t="str">
        <f t="shared" si="3"/>
        <v/>
      </c>
    </row>
    <row r="54" spans="1:14" x14ac:dyDescent="0.25">
      <c r="A54" t="str">
        <v/>
      </c>
      <c r="J54" t="str">
        <f t="shared" si="0"/>
        <v/>
      </c>
      <c r="K54" t="str">
        <f t="shared" si="1"/>
        <v/>
      </c>
      <c r="L54" t="str">
        <f t="shared" si="2"/>
        <v/>
      </c>
      <c r="M54" t="str">
        <f t="shared" si="3"/>
        <v/>
      </c>
    </row>
    <row r="55" spans="1:14" x14ac:dyDescent="0.25">
      <c r="A55" t="str">
        <v/>
      </c>
      <c r="J55" t="str">
        <f t="shared" si="0"/>
        <v/>
      </c>
      <c r="K55" t="str">
        <f t="shared" si="1"/>
        <v/>
      </c>
      <c r="L55" t="str">
        <f t="shared" si="2"/>
        <v/>
      </c>
      <c r="M55" t="str">
        <f t="shared" si="3"/>
        <v/>
      </c>
    </row>
    <row r="56" spans="1:14" x14ac:dyDescent="0.25">
      <c r="A56" t="str">
        <v/>
      </c>
      <c r="J56" t="str">
        <f t="shared" si="0"/>
        <v/>
      </c>
      <c r="K56" t="str">
        <f t="shared" si="1"/>
        <v/>
      </c>
      <c r="L56" t="str">
        <f t="shared" si="2"/>
        <v/>
      </c>
      <c r="M56" t="str">
        <f t="shared" si="3"/>
        <v/>
      </c>
    </row>
    <row r="57" spans="1:14" x14ac:dyDescent="0.25">
      <c r="A57" t="str">
        <v/>
      </c>
      <c r="J57" t="str">
        <f t="shared" si="0"/>
        <v/>
      </c>
      <c r="K57" t="str">
        <f t="shared" si="1"/>
        <v/>
      </c>
      <c r="L57" t="str">
        <f t="shared" si="2"/>
        <v/>
      </c>
      <c r="M57" t="str">
        <f t="shared" si="3"/>
        <v/>
      </c>
    </row>
    <row r="58" spans="1:14" x14ac:dyDescent="0.25">
      <c r="A58" t="str">
        <v/>
      </c>
      <c r="J58" t="str">
        <f t="shared" si="0"/>
        <v/>
      </c>
      <c r="K58" t="str">
        <f t="shared" si="1"/>
        <v/>
      </c>
      <c r="L58" t="str">
        <f t="shared" si="2"/>
        <v/>
      </c>
      <c r="M58" t="str">
        <f t="shared" si="3"/>
        <v/>
      </c>
    </row>
    <row r="59" spans="1:14" x14ac:dyDescent="0.25">
      <c r="A59" t="str">
        <v/>
      </c>
      <c r="J59" t="str">
        <f t="shared" si="0"/>
        <v/>
      </c>
      <c r="K59" t="str">
        <f t="shared" si="1"/>
        <v/>
      </c>
      <c r="L59" t="str">
        <f t="shared" si="2"/>
        <v/>
      </c>
      <c r="M59" t="str">
        <f t="shared" si="3"/>
        <v/>
      </c>
    </row>
    <row r="60" spans="1:14" x14ac:dyDescent="0.25">
      <c r="A60" t="str">
        <v/>
      </c>
      <c r="J60" t="str">
        <f t="shared" si="0"/>
        <v/>
      </c>
      <c r="K60" t="str">
        <f t="shared" si="1"/>
        <v/>
      </c>
      <c r="L60" t="str">
        <f t="shared" si="2"/>
        <v/>
      </c>
      <c r="M60" t="str">
        <f t="shared" si="3"/>
        <v/>
      </c>
    </row>
    <row r="61" spans="1:14" x14ac:dyDescent="0.25">
      <c r="A61" t="str">
        <v/>
      </c>
      <c r="J61" t="str">
        <f t="shared" si="0"/>
        <v/>
      </c>
      <c r="K61" t="str">
        <f t="shared" si="1"/>
        <v/>
      </c>
      <c r="L61" t="str">
        <f t="shared" si="2"/>
        <v/>
      </c>
      <c r="M61" t="str">
        <f t="shared" si="3"/>
        <v/>
      </c>
    </row>
    <row r="62" spans="1:14" x14ac:dyDescent="0.25">
      <c r="A62" t="str">
        <v/>
      </c>
      <c r="K62" t="str">
        <f t="shared" si="1"/>
        <v/>
      </c>
      <c r="L62" t="str">
        <f t="shared" si="2"/>
        <v/>
      </c>
      <c r="M62" t="str">
        <f t="shared" si="3"/>
        <v/>
      </c>
    </row>
    <row r="63" spans="1:14" x14ac:dyDescent="0.25">
      <c r="A63" t="str">
        <v/>
      </c>
      <c r="K63" t="str">
        <f t="shared" si="1"/>
        <v/>
      </c>
      <c r="L63" t="str">
        <f t="shared" si="2"/>
        <v/>
      </c>
      <c r="M63" t="str">
        <f t="shared" si="3"/>
        <v/>
      </c>
    </row>
    <row r="64" spans="1:14" x14ac:dyDescent="0.25">
      <c r="A64" t="str">
        <v/>
      </c>
      <c r="K64" t="str">
        <f t="shared" si="1"/>
        <v/>
      </c>
      <c r="L64" t="str">
        <f t="shared" si="2"/>
        <v/>
      </c>
      <c r="M64" t="str">
        <f t="shared" si="3"/>
        <v/>
      </c>
    </row>
    <row r="65" spans="1:13" x14ac:dyDescent="0.25">
      <c r="A65" t="str">
        <v/>
      </c>
      <c r="K65" t="str">
        <f t="shared" si="1"/>
        <v/>
      </c>
      <c r="L65" t="str">
        <f t="shared" si="2"/>
        <v/>
      </c>
      <c r="M65" t="str">
        <f t="shared" si="3"/>
        <v/>
      </c>
    </row>
    <row r="66" spans="1:13" x14ac:dyDescent="0.25">
      <c r="A66" t="str">
        <v/>
      </c>
      <c r="K66" t="str">
        <f t="shared" si="1"/>
        <v/>
      </c>
      <c r="L66" t="str">
        <f t="shared" si="2"/>
        <v/>
      </c>
      <c r="M66" t="str">
        <f t="shared" si="3"/>
        <v/>
      </c>
    </row>
    <row r="67" spans="1:13" x14ac:dyDescent="0.25">
      <c r="A67" t="str">
        <v/>
      </c>
      <c r="K67" t="str">
        <f t="shared" si="1"/>
        <v/>
      </c>
      <c r="L67" t="str">
        <f t="shared" si="2"/>
        <v/>
      </c>
      <c r="M67" t="str">
        <f t="shared" si="3"/>
        <v/>
      </c>
    </row>
    <row r="68" spans="1:13" x14ac:dyDescent="0.25">
      <c r="A68" t="str">
        <v/>
      </c>
      <c r="K68" t="str">
        <f t="shared" ref="K68:K131" si="5">IF($B68="","",_xlfn.LET(_xlpm.pu,_xlfn.XLOOKUP($I68,$N$3:$N$300,$O$3:$O$300,""),_xlpm.ps,_xlfn.XLOOKUP($I68,$N$3:$N$300,$P$3:$P$300,""),_xlpm.oq,_xlfn.XLOOKUP($I68,$N$3:$N$300,$Q$3:$Q$300,""),_xlpm.base,$H68,IF(_xlpm.oq&lt;&gt;"",_xlpm.oq,IF(_xlpm.ps="",_xlpm.base,IF(OR(_xlpm.pu="",_xlpm.pu=$D68),CEILING(_xlpm.base,_xlpm.ps),CEILING(_xlpm.base/_xlpm.ps,1))))))</f>
        <v/>
      </c>
      <c r="L68" t="str">
        <f t="shared" ref="L68:L131" si="6">IF($B68="","",_xlfn.LET(_xlpm.orate,_xlfn.XLOOKUP($I68,$N$3:$N$300,$R$3:$R$300,""),IF(_xlpm.orate&lt;&gt;"",_xlpm.orate,$E68)))</f>
        <v/>
      </c>
      <c r="M68" t="str">
        <f t="shared" ref="M68:M127" si="7">IF($B68="","",$K68*$L68)</f>
        <v/>
      </c>
    </row>
    <row r="69" spans="1:13" x14ac:dyDescent="0.25">
      <c r="A69" t="str">
        <v/>
      </c>
      <c r="K69" t="str">
        <f t="shared" si="5"/>
        <v/>
      </c>
      <c r="L69" t="str">
        <f t="shared" si="6"/>
        <v/>
      </c>
      <c r="M69" t="str">
        <f t="shared" si="7"/>
        <v/>
      </c>
    </row>
    <row r="70" spans="1:13" x14ac:dyDescent="0.25">
      <c r="A70" t="str">
        <v/>
      </c>
      <c r="K70" t="str">
        <f t="shared" si="5"/>
        <v/>
      </c>
      <c r="L70" t="str">
        <f t="shared" si="6"/>
        <v/>
      </c>
      <c r="M70" t="str">
        <f t="shared" si="7"/>
        <v/>
      </c>
    </row>
    <row r="71" spans="1:13" x14ac:dyDescent="0.25">
      <c r="A71" t="str">
        <v/>
      </c>
      <c r="K71" t="str">
        <f t="shared" si="5"/>
        <v/>
      </c>
      <c r="L71" t="str">
        <f t="shared" si="6"/>
        <v/>
      </c>
      <c r="M71" t="str">
        <f t="shared" si="7"/>
        <v/>
      </c>
    </row>
    <row r="72" spans="1:13" x14ac:dyDescent="0.25">
      <c r="A72" t="str">
        <v/>
      </c>
      <c r="K72" t="str">
        <f t="shared" si="5"/>
        <v/>
      </c>
      <c r="L72" t="str">
        <f t="shared" si="6"/>
        <v/>
      </c>
      <c r="M72" t="str">
        <f t="shared" si="7"/>
        <v/>
      </c>
    </row>
    <row r="73" spans="1:13" x14ac:dyDescent="0.25">
      <c r="A73" t="str">
        <v/>
      </c>
      <c r="K73" t="str">
        <f t="shared" si="5"/>
        <v/>
      </c>
      <c r="L73" t="str">
        <f t="shared" si="6"/>
        <v/>
      </c>
      <c r="M73" t="str">
        <f t="shared" si="7"/>
        <v/>
      </c>
    </row>
    <row r="74" spans="1:13" x14ac:dyDescent="0.25">
      <c r="A74" t="str">
        <v/>
      </c>
      <c r="K74" t="str">
        <f t="shared" si="5"/>
        <v/>
      </c>
      <c r="L74" t="str">
        <f t="shared" si="6"/>
        <v/>
      </c>
      <c r="M74" t="str">
        <f t="shared" si="7"/>
        <v/>
      </c>
    </row>
    <row r="75" spans="1:13" x14ac:dyDescent="0.25">
      <c r="A75" t="str">
        <v/>
      </c>
      <c r="K75" t="str">
        <f t="shared" si="5"/>
        <v/>
      </c>
      <c r="L75" t="str">
        <f t="shared" si="6"/>
        <v/>
      </c>
      <c r="M75" t="str">
        <f t="shared" si="7"/>
        <v/>
      </c>
    </row>
    <row r="76" spans="1:13" x14ac:dyDescent="0.25">
      <c r="A76" t="str">
        <v/>
      </c>
      <c r="K76" t="str">
        <f t="shared" si="5"/>
        <v/>
      </c>
      <c r="L76" t="str">
        <f t="shared" si="6"/>
        <v/>
      </c>
      <c r="M76" t="str">
        <f t="shared" si="7"/>
        <v/>
      </c>
    </row>
    <row r="77" spans="1:13" x14ac:dyDescent="0.25">
      <c r="A77" t="str">
        <v/>
      </c>
      <c r="K77" t="str">
        <f t="shared" si="5"/>
        <v/>
      </c>
      <c r="L77" t="str">
        <f t="shared" si="6"/>
        <v/>
      </c>
      <c r="M77" t="str">
        <f t="shared" si="7"/>
        <v/>
      </c>
    </row>
    <row r="78" spans="1:13" x14ac:dyDescent="0.25">
      <c r="A78" t="str">
        <v/>
      </c>
      <c r="K78" t="str">
        <f t="shared" si="5"/>
        <v/>
      </c>
      <c r="L78" t="str">
        <f t="shared" si="6"/>
        <v/>
      </c>
      <c r="M78" t="str">
        <f t="shared" si="7"/>
        <v/>
      </c>
    </row>
    <row r="79" spans="1:13" x14ac:dyDescent="0.25">
      <c r="A79" t="str">
        <v/>
      </c>
      <c r="K79" t="str">
        <f t="shared" si="5"/>
        <v/>
      </c>
      <c r="L79" t="str">
        <f t="shared" si="6"/>
        <v/>
      </c>
      <c r="M79" t="str">
        <f t="shared" si="7"/>
        <v/>
      </c>
    </row>
    <row r="80" spans="1:13" x14ac:dyDescent="0.25">
      <c r="A80" t="str">
        <v/>
      </c>
      <c r="K80" t="str">
        <f t="shared" si="5"/>
        <v/>
      </c>
      <c r="L80" t="str">
        <f t="shared" si="6"/>
        <v/>
      </c>
      <c r="M80" t="str">
        <f t="shared" si="7"/>
        <v/>
      </c>
    </row>
    <row r="81" spans="1:13" x14ac:dyDescent="0.25">
      <c r="A81" t="str">
        <v/>
      </c>
      <c r="K81" t="str">
        <f t="shared" si="5"/>
        <v/>
      </c>
      <c r="L81" t="str">
        <f t="shared" si="6"/>
        <v/>
      </c>
      <c r="M81" t="str">
        <f t="shared" si="7"/>
        <v/>
      </c>
    </row>
    <row r="82" spans="1:13" x14ac:dyDescent="0.25">
      <c r="A82" t="str">
        <v/>
      </c>
      <c r="K82" t="str">
        <f t="shared" si="5"/>
        <v/>
      </c>
      <c r="L82" t="str">
        <f t="shared" si="6"/>
        <v/>
      </c>
      <c r="M82" t="str">
        <f t="shared" si="7"/>
        <v/>
      </c>
    </row>
    <row r="83" spans="1:13" x14ac:dyDescent="0.25">
      <c r="A83" t="str">
        <v/>
      </c>
      <c r="K83" t="str">
        <f t="shared" si="5"/>
        <v/>
      </c>
      <c r="L83" t="str">
        <f t="shared" si="6"/>
        <v/>
      </c>
      <c r="M83" t="str">
        <f t="shared" si="7"/>
        <v/>
      </c>
    </row>
    <row r="84" spans="1:13" x14ac:dyDescent="0.25">
      <c r="A84" t="str">
        <v/>
      </c>
      <c r="K84" t="str">
        <f t="shared" si="5"/>
        <v/>
      </c>
      <c r="L84" t="str">
        <f t="shared" si="6"/>
        <v/>
      </c>
      <c r="M84" t="str">
        <f t="shared" si="7"/>
        <v/>
      </c>
    </row>
    <row r="85" spans="1:13" x14ac:dyDescent="0.25">
      <c r="A85" t="str">
        <v/>
      </c>
      <c r="K85" t="str">
        <f t="shared" si="5"/>
        <v/>
      </c>
      <c r="L85" t="str">
        <f t="shared" si="6"/>
        <v/>
      </c>
      <c r="M85" t="str">
        <f t="shared" si="7"/>
        <v/>
      </c>
    </row>
    <row r="86" spans="1:13" x14ac:dyDescent="0.25">
      <c r="A86" t="str">
        <v/>
      </c>
      <c r="K86" t="str">
        <f t="shared" si="5"/>
        <v/>
      </c>
      <c r="L86" t="str">
        <f t="shared" si="6"/>
        <v/>
      </c>
      <c r="M86" t="str">
        <f t="shared" si="7"/>
        <v/>
      </c>
    </row>
    <row r="87" spans="1:13" x14ac:dyDescent="0.25">
      <c r="A87" t="str">
        <v/>
      </c>
      <c r="K87" t="str">
        <f t="shared" si="5"/>
        <v/>
      </c>
      <c r="L87" t="str">
        <f t="shared" si="6"/>
        <v/>
      </c>
      <c r="M87" t="str">
        <f t="shared" si="7"/>
        <v/>
      </c>
    </row>
    <row r="88" spans="1:13" x14ac:dyDescent="0.25">
      <c r="A88" t="str">
        <v/>
      </c>
      <c r="K88" t="str">
        <f t="shared" si="5"/>
        <v/>
      </c>
      <c r="L88" t="str">
        <f t="shared" si="6"/>
        <v/>
      </c>
      <c r="M88" t="str">
        <f t="shared" si="7"/>
        <v/>
      </c>
    </row>
    <row r="89" spans="1:13" x14ac:dyDescent="0.25">
      <c r="A89" t="str">
        <v/>
      </c>
      <c r="K89" t="str">
        <f t="shared" si="5"/>
        <v/>
      </c>
      <c r="L89" t="str">
        <f t="shared" si="6"/>
        <v/>
      </c>
      <c r="M89" t="str">
        <f t="shared" si="7"/>
        <v/>
      </c>
    </row>
    <row r="90" spans="1:13" x14ac:dyDescent="0.25">
      <c r="A90" t="str">
        <v/>
      </c>
      <c r="K90" t="str">
        <f t="shared" si="5"/>
        <v/>
      </c>
      <c r="L90" t="str">
        <f t="shared" si="6"/>
        <v/>
      </c>
      <c r="M90" t="str">
        <f t="shared" si="7"/>
        <v/>
      </c>
    </row>
    <row r="91" spans="1:13" x14ac:dyDescent="0.25">
      <c r="A91" t="str">
        <v/>
      </c>
      <c r="K91" t="str">
        <f t="shared" si="5"/>
        <v/>
      </c>
      <c r="L91" t="str">
        <f t="shared" si="6"/>
        <v/>
      </c>
      <c r="M91" t="str">
        <f t="shared" si="7"/>
        <v/>
      </c>
    </row>
    <row r="92" spans="1:13" x14ac:dyDescent="0.25">
      <c r="A92" t="str">
        <v/>
      </c>
      <c r="K92" t="str">
        <f t="shared" si="5"/>
        <v/>
      </c>
      <c r="L92" t="str">
        <f t="shared" si="6"/>
        <v/>
      </c>
      <c r="M92" t="str">
        <f t="shared" si="7"/>
        <v/>
      </c>
    </row>
    <row r="93" spans="1:13" x14ac:dyDescent="0.25">
      <c r="A93" t="str">
        <v/>
      </c>
      <c r="K93" t="str">
        <f t="shared" si="5"/>
        <v/>
      </c>
      <c r="L93" t="str">
        <f t="shared" si="6"/>
        <v/>
      </c>
      <c r="M93" t="str">
        <f t="shared" si="7"/>
        <v/>
      </c>
    </row>
    <row r="94" spans="1:13" x14ac:dyDescent="0.25">
      <c r="A94" t="str">
        <v/>
      </c>
      <c r="K94" t="str">
        <f t="shared" si="5"/>
        <v/>
      </c>
      <c r="L94" t="str">
        <f t="shared" si="6"/>
        <v/>
      </c>
      <c r="M94" t="str">
        <f t="shared" si="7"/>
        <v/>
      </c>
    </row>
    <row r="95" spans="1:13" x14ac:dyDescent="0.25">
      <c r="A95" t="str">
        <v/>
      </c>
      <c r="K95" t="str">
        <f t="shared" si="5"/>
        <v/>
      </c>
      <c r="L95" t="str">
        <f t="shared" si="6"/>
        <v/>
      </c>
      <c r="M95" t="str">
        <f t="shared" si="7"/>
        <v/>
      </c>
    </row>
    <row r="96" spans="1:13" x14ac:dyDescent="0.25">
      <c r="A96" t="str">
        <v/>
      </c>
      <c r="K96" t="str">
        <f t="shared" si="5"/>
        <v/>
      </c>
      <c r="L96" t="str">
        <f t="shared" si="6"/>
        <v/>
      </c>
      <c r="M96" t="str">
        <f t="shared" si="7"/>
        <v/>
      </c>
    </row>
    <row r="97" spans="1:13" x14ac:dyDescent="0.25">
      <c r="A97" t="str">
        <v/>
      </c>
      <c r="K97" t="str">
        <f t="shared" si="5"/>
        <v/>
      </c>
      <c r="L97" t="str">
        <f t="shared" si="6"/>
        <v/>
      </c>
      <c r="M97" t="str">
        <f t="shared" si="7"/>
        <v/>
      </c>
    </row>
    <row r="98" spans="1:13" x14ac:dyDescent="0.25">
      <c r="A98" t="str">
        <v/>
      </c>
      <c r="K98" t="str">
        <f t="shared" si="5"/>
        <v/>
      </c>
      <c r="L98" t="str">
        <f t="shared" si="6"/>
        <v/>
      </c>
      <c r="M98" t="str">
        <f t="shared" si="7"/>
        <v/>
      </c>
    </row>
    <row r="99" spans="1:13" x14ac:dyDescent="0.25">
      <c r="A99" t="str">
        <v/>
      </c>
      <c r="K99" t="str">
        <f t="shared" si="5"/>
        <v/>
      </c>
      <c r="L99" t="str">
        <f t="shared" si="6"/>
        <v/>
      </c>
      <c r="M99" t="str">
        <f t="shared" si="7"/>
        <v/>
      </c>
    </row>
    <row r="100" spans="1:13" x14ac:dyDescent="0.25">
      <c r="A100" t="str">
        <v/>
      </c>
      <c r="K100" t="str">
        <f t="shared" si="5"/>
        <v/>
      </c>
      <c r="L100" t="str">
        <f t="shared" si="6"/>
        <v/>
      </c>
      <c r="M100" t="str">
        <f t="shared" si="7"/>
        <v/>
      </c>
    </row>
    <row r="101" spans="1:13" x14ac:dyDescent="0.25">
      <c r="A101" t="str">
        <v/>
      </c>
      <c r="K101" t="str">
        <f t="shared" si="5"/>
        <v/>
      </c>
      <c r="L101" t="str">
        <f t="shared" si="6"/>
        <v/>
      </c>
      <c r="M101" t="str">
        <f t="shared" si="7"/>
        <v/>
      </c>
    </row>
    <row r="102" spans="1:13" x14ac:dyDescent="0.25">
      <c r="A102" t="str">
        <v/>
      </c>
      <c r="K102" t="str">
        <f t="shared" si="5"/>
        <v/>
      </c>
      <c r="L102" t="str">
        <f t="shared" si="6"/>
        <v/>
      </c>
      <c r="M102" t="str">
        <f t="shared" si="7"/>
        <v/>
      </c>
    </row>
    <row r="103" spans="1:13" x14ac:dyDescent="0.25">
      <c r="A103" t="str">
        <v/>
      </c>
      <c r="K103" t="str">
        <f t="shared" si="5"/>
        <v/>
      </c>
      <c r="L103" t="str">
        <f t="shared" si="6"/>
        <v/>
      </c>
      <c r="M103" t="str">
        <f t="shared" si="7"/>
        <v/>
      </c>
    </row>
    <row r="104" spans="1:13" x14ac:dyDescent="0.25">
      <c r="A104" t="str">
        <v/>
      </c>
      <c r="K104" t="str">
        <f t="shared" si="5"/>
        <v/>
      </c>
      <c r="L104" t="str">
        <f t="shared" si="6"/>
        <v/>
      </c>
      <c r="M104" t="str">
        <f t="shared" si="7"/>
        <v/>
      </c>
    </row>
    <row r="105" spans="1:13" x14ac:dyDescent="0.25">
      <c r="A105" t="str">
        <v/>
      </c>
      <c r="K105" t="str">
        <f t="shared" si="5"/>
        <v/>
      </c>
      <c r="L105" t="str">
        <f t="shared" si="6"/>
        <v/>
      </c>
      <c r="M105" t="str">
        <f t="shared" si="7"/>
        <v/>
      </c>
    </row>
    <row r="106" spans="1:13" x14ac:dyDescent="0.25">
      <c r="A106" t="str">
        <v/>
      </c>
      <c r="K106" t="str">
        <f t="shared" si="5"/>
        <v/>
      </c>
      <c r="L106" t="str">
        <f t="shared" si="6"/>
        <v/>
      </c>
      <c r="M106" t="str">
        <f t="shared" si="7"/>
        <v/>
      </c>
    </row>
    <row r="107" spans="1:13" x14ac:dyDescent="0.25">
      <c r="A107" t="str">
        <v/>
      </c>
      <c r="K107" t="str">
        <f t="shared" si="5"/>
        <v/>
      </c>
      <c r="L107" t="str">
        <f t="shared" si="6"/>
        <v/>
      </c>
      <c r="M107" t="str">
        <f t="shared" si="7"/>
        <v/>
      </c>
    </row>
    <row r="108" spans="1:13" x14ac:dyDescent="0.25">
      <c r="A108" t="str">
        <v/>
      </c>
      <c r="K108" t="str">
        <f t="shared" si="5"/>
        <v/>
      </c>
      <c r="L108" t="str">
        <f t="shared" si="6"/>
        <v/>
      </c>
      <c r="M108" t="str">
        <f t="shared" si="7"/>
        <v/>
      </c>
    </row>
    <row r="109" spans="1:13" x14ac:dyDescent="0.25">
      <c r="A109" t="str">
        <v/>
      </c>
      <c r="K109" t="str">
        <f t="shared" si="5"/>
        <v/>
      </c>
      <c r="L109" t="str">
        <f t="shared" si="6"/>
        <v/>
      </c>
      <c r="M109" t="str">
        <f t="shared" si="7"/>
        <v/>
      </c>
    </row>
    <row r="110" spans="1:13" x14ac:dyDescent="0.25">
      <c r="A110" t="str">
        <v/>
      </c>
      <c r="K110" t="str">
        <f t="shared" si="5"/>
        <v/>
      </c>
      <c r="L110" t="str">
        <f t="shared" si="6"/>
        <v/>
      </c>
      <c r="M110" t="str">
        <f t="shared" si="7"/>
        <v/>
      </c>
    </row>
    <row r="111" spans="1:13" x14ac:dyDescent="0.25">
      <c r="A111" t="str">
        <v/>
      </c>
      <c r="K111" t="str">
        <f t="shared" si="5"/>
        <v/>
      </c>
      <c r="L111" t="str">
        <f t="shared" si="6"/>
        <v/>
      </c>
      <c r="M111" t="str">
        <f t="shared" si="7"/>
        <v/>
      </c>
    </row>
    <row r="112" spans="1:13" x14ac:dyDescent="0.25">
      <c r="A112" t="str">
        <v/>
      </c>
      <c r="K112" t="str">
        <f t="shared" si="5"/>
        <v/>
      </c>
      <c r="L112" t="str">
        <f t="shared" si="6"/>
        <v/>
      </c>
      <c r="M112" t="str">
        <f t="shared" si="7"/>
        <v/>
      </c>
    </row>
    <row r="113" spans="1:13" x14ac:dyDescent="0.25">
      <c r="A113" t="str">
        <v/>
      </c>
      <c r="K113" t="str">
        <f t="shared" si="5"/>
        <v/>
      </c>
      <c r="L113" t="str">
        <f t="shared" si="6"/>
        <v/>
      </c>
      <c r="M113" t="str">
        <f t="shared" si="7"/>
        <v/>
      </c>
    </row>
    <row r="114" spans="1:13" x14ac:dyDescent="0.25">
      <c r="A114" t="str">
        <v/>
      </c>
      <c r="K114" t="str">
        <f t="shared" si="5"/>
        <v/>
      </c>
      <c r="L114" t="str">
        <f t="shared" si="6"/>
        <v/>
      </c>
      <c r="M114" t="str">
        <f t="shared" si="7"/>
        <v/>
      </c>
    </row>
    <row r="115" spans="1:13" x14ac:dyDescent="0.25">
      <c r="A115" t="str">
        <v/>
      </c>
      <c r="K115" t="str">
        <f t="shared" si="5"/>
        <v/>
      </c>
      <c r="L115" t="str">
        <f t="shared" si="6"/>
        <v/>
      </c>
      <c r="M115" t="str">
        <f t="shared" si="7"/>
        <v/>
      </c>
    </row>
    <row r="116" spans="1:13" x14ac:dyDescent="0.25">
      <c r="A116" t="str">
        <v/>
      </c>
      <c r="K116" t="str">
        <f t="shared" si="5"/>
        <v/>
      </c>
      <c r="L116" t="str">
        <f t="shared" si="6"/>
        <v/>
      </c>
      <c r="M116" t="str">
        <f t="shared" si="7"/>
        <v/>
      </c>
    </row>
    <row r="117" spans="1:13" x14ac:dyDescent="0.25">
      <c r="A117" t="str">
        <v/>
      </c>
      <c r="K117" t="str">
        <f t="shared" si="5"/>
        <v/>
      </c>
      <c r="L117" t="str">
        <f t="shared" si="6"/>
        <v/>
      </c>
      <c r="M117" t="str">
        <f t="shared" si="7"/>
        <v/>
      </c>
    </row>
    <row r="118" spans="1:13" x14ac:dyDescent="0.25">
      <c r="A118" t="str">
        <v/>
      </c>
      <c r="K118" t="str">
        <f t="shared" si="5"/>
        <v/>
      </c>
      <c r="L118" t="str">
        <f t="shared" si="6"/>
        <v/>
      </c>
      <c r="M118" t="str">
        <f t="shared" si="7"/>
        <v/>
      </c>
    </row>
    <row r="119" spans="1:13" x14ac:dyDescent="0.25">
      <c r="A119" t="str">
        <v/>
      </c>
      <c r="K119" t="str">
        <f t="shared" si="5"/>
        <v/>
      </c>
      <c r="L119" t="str">
        <f t="shared" si="6"/>
        <v/>
      </c>
      <c r="M119" t="str">
        <f t="shared" si="7"/>
        <v/>
      </c>
    </row>
    <row r="120" spans="1:13" x14ac:dyDescent="0.25">
      <c r="A120" t="str">
        <v/>
      </c>
      <c r="K120" t="str">
        <f t="shared" si="5"/>
        <v/>
      </c>
      <c r="L120" t="str">
        <f t="shared" si="6"/>
        <v/>
      </c>
      <c r="M120" t="str">
        <f t="shared" si="7"/>
        <v/>
      </c>
    </row>
    <row r="121" spans="1:13" x14ac:dyDescent="0.25">
      <c r="A121" t="str">
        <v/>
      </c>
      <c r="K121" t="str">
        <f t="shared" si="5"/>
        <v/>
      </c>
      <c r="L121" t="str">
        <f t="shared" si="6"/>
        <v/>
      </c>
      <c r="M121" t="str">
        <f t="shared" si="7"/>
        <v/>
      </c>
    </row>
    <row r="122" spans="1:13" x14ac:dyDescent="0.25">
      <c r="A122" t="str">
        <v/>
      </c>
      <c r="K122" t="str">
        <f t="shared" si="5"/>
        <v/>
      </c>
      <c r="L122" t="str">
        <f t="shared" si="6"/>
        <v/>
      </c>
      <c r="M122" t="str">
        <f t="shared" si="7"/>
        <v/>
      </c>
    </row>
    <row r="123" spans="1:13" x14ac:dyDescent="0.25">
      <c r="A123" t="str">
        <v/>
      </c>
      <c r="K123" t="str">
        <f t="shared" si="5"/>
        <v/>
      </c>
      <c r="L123" t="str">
        <f t="shared" si="6"/>
        <v/>
      </c>
      <c r="M123" t="str">
        <f t="shared" si="7"/>
        <v/>
      </c>
    </row>
    <row r="124" spans="1:13" x14ac:dyDescent="0.25">
      <c r="A124" t="str">
        <v/>
      </c>
      <c r="K124" t="str">
        <f t="shared" si="5"/>
        <v/>
      </c>
      <c r="L124" t="str">
        <f t="shared" si="6"/>
        <v/>
      </c>
      <c r="M124" t="str">
        <f t="shared" si="7"/>
        <v/>
      </c>
    </row>
    <row r="125" spans="1:13" x14ac:dyDescent="0.25">
      <c r="A125" t="str">
        <v/>
      </c>
      <c r="K125" t="str">
        <f t="shared" si="5"/>
        <v/>
      </c>
      <c r="L125" t="str">
        <f t="shared" si="6"/>
        <v/>
      </c>
      <c r="M125" t="str">
        <f t="shared" si="7"/>
        <v/>
      </c>
    </row>
    <row r="126" spans="1:13" x14ac:dyDescent="0.25">
      <c r="A126" t="str">
        <v/>
      </c>
      <c r="K126" t="str">
        <f t="shared" si="5"/>
        <v/>
      </c>
      <c r="L126" t="str">
        <f t="shared" si="6"/>
        <v/>
      </c>
      <c r="M126" t="str">
        <f t="shared" si="7"/>
        <v/>
      </c>
    </row>
    <row r="127" spans="1:13" x14ac:dyDescent="0.25">
      <c r="A127" t="str">
        <v/>
      </c>
      <c r="K127" t="str">
        <f t="shared" si="5"/>
        <v/>
      </c>
      <c r="L127" t="str">
        <f t="shared" si="6"/>
        <v/>
      </c>
      <c r="M127" t="str">
        <f t="shared" si="7"/>
        <v/>
      </c>
    </row>
    <row r="128" spans="1:13" x14ac:dyDescent="0.25">
      <c r="A128" t="str">
        <v/>
      </c>
      <c r="K128" t="str">
        <f t="shared" si="5"/>
        <v/>
      </c>
      <c r="L128" t="str">
        <f t="shared" si="6"/>
        <v/>
      </c>
    </row>
    <row r="129" spans="1:12" x14ac:dyDescent="0.25">
      <c r="A129" t="str">
        <v/>
      </c>
      <c r="K129" t="str">
        <f t="shared" si="5"/>
        <v/>
      </c>
      <c r="L129" t="str">
        <f t="shared" si="6"/>
        <v/>
      </c>
    </row>
    <row r="130" spans="1:12" x14ac:dyDescent="0.25">
      <c r="A130" t="str">
        <v/>
      </c>
      <c r="K130" t="str">
        <f t="shared" si="5"/>
        <v/>
      </c>
      <c r="L130" t="str">
        <f t="shared" si="6"/>
        <v/>
      </c>
    </row>
    <row r="131" spans="1:12" x14ac:dyDescent="0.25">
      <c r="A131" t="str">
        <v/>
      </c>
      <c r="K131" t="str">
        <f t="shared" si="5"/>
        <v/>
      </c>
      <c r="L131" t="str">
        <f t="shared" si="6"/>
        <v/>
      </c>
    </row>
    <row r="132" spans="1:12" x14ac:dyDescent="0.25">
      <c r="A132" t="str">
        <v/>
      </c>
      <c r="K132" t="str">
        <f t="shared" ref="K132:K195" si="8">IF($B132="","",_xlfn.LET(_xlpm.pu,_xlfn.XLOOKUP($I132,$N$3:$N$300,$O$3:$O$300,""),_xlpm.ps,_xlfn.XLOOKUP($I132,$N$3:$N$300,$P$3:$P$300,""),_xlpm.oq,_xlfn.XLOOKUP($I132,$N$3:$N$300,$Q$3:$Q$300,""),_xlpm.base,$H132,IF(_xlpm.oq&lt;&gt;"",_xlpm.oq,IF(_xlpm.ps="",_xlpm.base,IF(OR(_xlpm.pu="",_xlpm.pu=$D132),CEILING(_xlpm.base,_xlpm.ps),CEILING(_xlpm.base/_xlpm.ps,1))))))</f>
        <v/>
      </c>
    </row>
    <row r="133" spans="1:12" x14ac:dyDescent="0.25">
      <c r="A133" t="str">
        <v/>
      </c>
      <c r="K133" t="str">
        <f t="shared" si="8"/>
        <v/>
      </c>
    </row>
    <row r="134" spans="1:12" x14ac:dyDescent="0.25">
      <c r="A134" t="str">
        <v/>
      </c>
      <c r="K134" t="str">
        <f t="shared" si="8"/>
        <v/>
      </c>
    </row>
    <row r="135" spans="1:12" x14ac:dyDescent="0.25">
      <c r="A135" t="str">
        <v/>
      </c>
      <c r="K135" t="str">
        <f t="shared" si="8"/>
        <v/>
      </c>
    </row>
    <row r="136" spans="1:12" x14ac:dyDescent="0.25">
      <c r="A136" t="str">
        <v/>
      </c>
      <c r="K136" t="str">
        <f t="shared" si="8"/>
        <v/>
      </c>
    </row>
    <row r="137" spans="1:12" x14ac:dyDescent="0.25">
      <c r="A137" t="str">
        <v/>
      </c>
      <c r="K137" t="str">
        <f t="shared" si="8"/>
        <v/>
      </c>
    </row>
    <row r="138" spans="1:12" x14ac:dyDescent="0.25">
      <c r="A138" t="str">
        <v/>
      </c>
      <c r="K138" t="str">
        <f t="shared" si="8"/>
        <v/>
      </c>
    </row>
    <row r="139" spans="1:12" x14ac:dyDescent="0.25">
      <c r="A139" t="str">
        <v/>
      </c>
      <c r="K139" t="str">
        <f t="shared" si="8"/>
        <v/>
      </c>
    </row>
    <row r="140" spans="1:12" x14ac:dyDescent="0.25">
      <c r="A140" t="str">
        <v/>
      </c>
      <c r="K140" t="str">
        <f t="shared" si="8"/>
        <v/>
      </c>
    </row>
    <row r="141" spans="1:12" x14ac:dyDescent="0.25">
      <c r="A141" t="str">
        <v/>
      </c>
      <c r="K141" t="str">
        <f t="shared" si="8"/>
        <v/>
      </c>
    </row>
    <row r="142" spans="1:12" x14ac:dyDescent="0.25">
      <c r="A142" t="str">
        <v/>
      </c>
      <c r="K142" t="str">
        <f t="shared" si="8"/>
        <v/>
      </c>
    </row>
    <row r="143" spans="1:12" x14ac:dyDescent="0.25">
      <c r="A143" t="str">
        <v/>
      </c>
      <c r="K143" t="str">
        <f t="shared" si="8"/>
        <v/>
      </c>
    </row>
    <row r="144" spans="1:12" x14ac:dyDescent="0.25">
      <c r="A144" t="str">
        <v/>
      </c>
      <c r="K144" t="str">
        <f t="shared" si="8"/>
        <v/>
      </c>
    </row>
    <row r="145" spans="1:11" x14ac:dyDescent="0.25">
      <c r="A145" t="str">
        <v/>
      </c>
      <c r="K145" t="str">
        <f t="shared" si="8"/>
        <v/>
      </c>
    </row>
    <row r="146" spans="1:11" x14ac:dyDescent="0.25">
      <c r="A146" t="str">
        <v/>
      </c>
      <c r="K146" t="str">
        <f t="shared" si="8"/>
        <v/>
      </c>
    </row>
    <row r="147" spans="1:11" x14ac:dyDescent="0.25">
      <c r="A147" t="str">
        <v/>
      </c>
      <c r="K147" t="str">
        <f t="shared" si="8"/>
        <v/>
      </c>
    </row>
    <row r="148" spans="1:11" x14ac:dyDescent="0.25">
      <c r="A148" t="str">
        <v/>
      </c>
      <c r="K148" t="str">
        <f t="shared" si="8"/>
        <v/>
      </c>
    </row>
    <row r="149" spans="1:11" x14ac:dyDescent="0.25">
      <c r="A149" t="str">
        <v/>
      </c>
      <c r="K149" t="str">
        <f t="shared" si="8"/>
        <v/>
      </c>
    </row>
    <row r="150" spans="1:11" x14ac:dyDescent="0.25">
      <c r="A150" t="str">
        <v/>
      </c>
      <c r="K150" t="str">
        <f t="shared" si="8"/>
        <v/>
      </c>
    </row>
    <row r="151" spans="1:11" x14ac:dyDescent="0.25">
      <c r="A151" t="str">
        <v/>
      </c>
      <c r="K151" t="str">
        <f t="shared" si="8"/>
        <v/>
      </c>
    </row>
    <row r="152" spans="1:11" x14ac:dyDescent="0.25">
      <c r="A152" t="str">
        <v/>
      </c>
      <c r="K152" t="str">
        <f t="shared" si="8"/>
        <v/>
      </c>
    </row>
    <row r="153" spans="1:11" x14ac:dyDescent="0.25">
      <c r="A153" t="str">
        <v/>
      </c>
      <c r="K153" t="str">
        <f t="shared" si="8"/>
        <v/>
      </c>
    </row>
    <row r="154" spans="1:11" x14ac:dyDescent="0.25">
      <c r="A154" t="str">
        <v/>
      </c>
      <c r="K154" t="str">
        <f t="shared" si="8"/>
        <v/>
      </c>
    </row>
    <row r="155" spans="1:11" x14ac:dyDescent="0.25">
      <c r="A155" t="str">
        <v/>
      </c>
      <c r="K155" t="str">
        <f t="shared" si="8"/>
        <v/>
      </c>
    </row>
    <row r="156" spans="1:11" x14ac:dyDescent="0.25">
      <c r="A156" t="str">
        <v/>
      </c>
      <c r="K156" t="str">
        <f t="shared" si="8"/>
        <v/>
      </c>
    </row>
    <row r="157" spans="1:11" x14ac:dyDescent="0.25">
      <c r="A157" t="str">
        <v/>
      </c>
      <c r="K157" t="str">
        <f t="shared" si="8"/>
        <v/>
      </c>
    </row>
    <row r="158" spans="1:11" x14ac:dyDescent="0.25">
      <c r="A158" t="str">
        <v/>
      </c>
      <c r="K158" t="str">
        <f t="shared" si="8"/>
        <v/>
      </c>
    </row>
    <row r="159" spans="1:11" x14ac:dyDescent="0.25">
      <c r="A159" t="str">
        <v/>
      </c>
      <c r="K159" t="str">
        <f t="shared" si="8"/>
        <v/>
      </c>
    </row>
    <row r="160" spans="1:11" x14ac:dyDescent="0.25">
      <c r="A160" t="str">
        <v/>
      </c>
      <c r="K160" t="str">
        <f t="shared" si="8"/>
        <v/>
      </c>
    </row>
    <row r="161" spans="1:11" x14ac:dyDescent="0.25">
      <c r="A161" t="str">
        <v/>
      </c>
      <c r="K161" t="str">
        <f t="shared" si="8"/>
        <v/>
      </c>
    </row>
    <row r="162" spans="1:11" x14ac:dyDescent="0.25">
      <c r="A162" t="str">
        <v/>
      </c>
      <c r="K162" t="str">
        <f t="shared" si="8"/>
        <v/>
      </c>
    </row>
    <row r="163" spans="1:11" x14ac:dyDescent="0.25">
      <c r="A163" t="str">
        <v/>
      </c>
      <c r="K163" t="str">
        <f t="shared" si="8"/>
        <v/>
      </c>
    </row>
    <row r="164" spans="1:11" x14ac:dyDescent="0.25">
      <c r="A164" t="str">
        <v/>
      </c>
      <c r="K164" t="str">
        <f t="shared" si="8"/>
        <v/>
      </c>
    </row>
    <row r="165" spans="1:11" x14ac:dyDescent="0.25">
      <c r="A165" t="str">
        <v/>
      </c>
      <c r="K165" t="str">
        <f t="shared" si="8"/>
        <v/>
      </c>
    </row>
    <row r="166" spans="1:11" x14ac:dyDescent="0.25">
      <c r="A166" t="str">
        <v/>
      </c>
      <c r="K166" t="str">
        <f t="shared" si="8"/>
        <v/>
      </c>
    </row>
    <row r="167" spans="1:11" x14ac:dyDescent="0.25">
      <c r="A167" t="str">
        <v/>
      </c>
      <c r="K167" t="str">
        <f t="shared" si="8"/>
        <v/>
      </c>
    </row>
    <row r="168" spans="1:11" x14ac:dyDescent="0.25">
      <c r="A168" t="str">
        <v/>
      </c>
      <c r="K168" t="str">
        <f t="shared" si="8"/>
        <v/>
      </c>
    </row>
    <row r="169" spans="1:11" x14ac:dyDescent="0.25">
      <c r="A169" t="str">
        <v/>
      </c>
      <c r="K169" t="str">
        <f t="shared" si="8"/>
        <v/>
      </c>
    </row>
    <row r="170" spans="1:11" x14ac:dyDescent="0.25">
      <c r="A170" t="str">
        <v/>
      </c>
      <c r="K170" t="str">
        <f t="shared" si="8"/>
        <v/>
      </c>
    </row>
    <row r="171" spans="1:11" x14ac:dyDescent="0.25">
      <c r="A171" t="str">
        <v/>
      </c>
      <c r="K171" t="str">
        <f t="shared" si="8"/>
        <v/>
      </c>
    </row>
    <row r="172" spans="1:11" x14ac:dyDescent="0.25">
      <c r="A172" t="str">
        <v/>
      </c>
      <c r="K172" t="str">
        <f t="shared" si="8"/>
        <v/>
      </c>
    </row>
    <row r="173" spans="1:11" x14ac:dyDescent="0.25">
      <c r="A173" t="str">
        <v/>
      </c>
      <c r="K173" t="str">
        <f t="shared" si="8"/>
        <v/>
      </c>
    </row>
    <row r="174" spans="1:11" x14ac:dyDescent="0.25">
      <c r="A174" t="str">
        <v/>
      </c>
      <c r="K174" t="str">
        <f t="shared" si="8"/>
        <v/>
      </c>
    </row>
    <row r="175" spans="1:11" x14ac:dyDescent="0.25">
      <c r="A175" t="str">
        <v/>
      </c>
      <c r="K175" t="str">
        <f t="shared" si="8"/>
        <v/>
      </c>
    </row>
    <row r="176" spans="1:11" x14ac:dyDescent="0.25">
      <c r="A176" t="str">
        <v/>
      </c>
      <c r="K176" t="str">
        <f t="shared" si="8"/>
        <v/>
      </c>
    </row>
    <row r="177" spans="1:11" x14ac:dyDescent="0.25">
      <c r="A177" t="str">
        <v/>
      </c>
      <c r="K177" t="str">
        <f t="shared" si="8"/>
        <v/>
      </c>
    </row>
    <row r="178" spans="1:11" x14ac:dyDescent="0.25">
      <c r="A178" t="str">
        <v/>
      </c>
      <c r="K178" t="str">
        <f t="shared" si="8"/>
        <v/>
      </c>
    </row>
    <row r="179" spans="1:11" x14ac:dyDescent="0.25">
      <c r="A179" t="str">
        <v/>
      </c>
      <c r="K179" t="str">
        <f t="shared" si="8"/>
        <v/>
      </c>
    </row>
    <row r="180" spans="1:11" x14ac:dyDescent="0.25">
      <c r="A180" t="str">
        <v/>
      </c>
      <c r="K180" t="str">
        <f t="shared" si="8"/>
        <v/>
      </c>
    </row>
    <row r="181" spans="1:11" x14ac:dyDescent="0.25">
      <c r="A181" t="str">
        <v/>
      </c>
      <c r="K181" t="str">
        <f t="shared" si="8"/>
        <v/>
      </c>
    </row>
    <row r="182" spans="1:11" x14ac:dyDescent="0.25">
      <c r="A182" t="str">
        <v/>
      </c>
      <c r="K182" t="str">
        <f t="shared" si="8"/>
        <v/>
      </c>
    </row>
    <row r="183" spans="1:11" x14ac:dyDescent="0.25">
      <c r="A183" t="str">
        <v/>
      </c>
      <c r="K183" t="str">
        <f t="shared" si="8"/>
        <v/>
      </c>
    </row>
    <row r="184" spans="1:11" x14ac:dyDescent="0.25">
      <c r="A184" t="str">
        <v/>
      </c>
      <c r="K184" t="str">
        <f t="shared" si="8"/>
        <v/>
      </c>
    </row>
    <row r="185" spans="1:11" x14ac:dyDescent="0.25">
      <c r="A185" t="str">
        <v/>
      </c>
      <c r="K185" t="str">
        <f t="shared" si="8"/>
        <v/>
      </c>
    </row>
    <row r="186" spans="1:11" x14ac:dyDescent="0.25">
      <c r="A186" t="str">
        <v/>
      </c>
      <c r="K186" t="str">
        <f t="shared" si="8"/>
        <v/>
      </c>
    </row>
    <row r="187" spans="1:11" x14ac:dyDescent="0.25">
      <c r="A187" t="str">
        <v/>
      </c>
      <c r="K187" t="str">
        <f t="shared" si="8"/>
        <v/>
      </c>
    </row>
    <row r="188" spans="1:11" x14ac:dyDescent="0.25">
      <c r="A188" t="str">
        <v/>
      </c>
      <c r="K188" t="str">
        <f t="shared" si="8"/>
        <v/>
      </c>
    </row>
    <row r="189" spans="1:11" x14ac:dyDescent="0.25">
      <c r="A189" t="str">
        <v/>
      </c>
      <c r="K189" t="str">
        <f t="shared" si="8"/>
        <v/>
      </c>
    </row>
    <row r="190" spans="1:11" x14ac:dyDescent="0.25">
      <c r="A190" t="str">
        <v/>
      </c>
      <c r="K190" t="str">
        <f t="shared" si="8"/>
        <v/>
      </c>
    </row>
    <row r="191" spans="1:11" x14ac:dyDescent="0.25">
      <c r="A191" t="str">
        <v/>
      </c>
      <c r="K191" t="str">
        <f t="shared" si="8"/>
        <v/>
      </c>
    </row>
    <row r="192" spans="1:11" x14ac:dyDescent="0.25">
      <c r="A192" t="str">
        <v/>
      </c>
      <c r="K192" t="str">
        <f t="shared" si="8"/>
        <v/>
      </c>
    </row>
    <row r="193" spans="1:11" x14ac:dyDescent="0.25">
      <c r="A193" t="str">
        <v/>
      </c>
      <c r="K193" t="str">
        <f t="shared" si="8"/>
        <v/>
      </c>
    </row>
    <row r="194" spans="1:11" x14ac:dyDescent="0.25">
      <c r="A194" t="str">
        <v/>
      </c>
      <c r="K194" t="str">
        <f t="shared" si="8"/>
        <v/>
      </c>
    </row>
    <row r="195" spans="1:11" x14ac:dyDescent="0.25">
      <c r="A195" t="str">
        <v/>
      </c>
      <c r="K195" t="str">
        <f t="shared" si="8"/>
        <v/>
      </c>
    </row>
    <row r="196" spans="1:11" x14ac:dyDescent="0.25">
      <c r="A196" t="str">
        <v/>
      </c>
      <c r="K196" t="str">
        <f t="shared" ref="K196:K259" si="9">IF($B196="","",_xlfn.LET(_xlpm.pu,_xlfn.XLOOKUP($I196,$N$3:$N$300,$O$3:$O$300,""),_xlpm.ps,_xlfn.XLOOKUP($I196,$N$3:$N$300,$P$3:$P$300,""),_xlpm.oq,_xlfn.XLOOKUP($I196,$N$3:$N$300,$Q$3:$Q$300,""),_xlpm.base,$H196,IF(_xlpm.oq&lt;&gt;"",_xlpm.oq,IF(_xlpm.ps="",_xlpm.base,IF(OR(_xlpm.pu="",_xlpm.pu=$D196),CEILING(_xlpm.base,_xlpm.ps),CEILING(_xlpm.base/_xlpm.ps,1))))))</f>
        <v/>
      </c>
    </row>
    <row r="197" spans="1:11" x14ac:dyDescent="0.25">
      <c r="A197" t="str">
        <v/>
      </c>
      <c r="K197" t="str">
        <f t="shared" si="9"/>
        <v/>
      </c>
    </row>
    <row r="198" spans="1:11" x14ac:dyDescent="0.25">
      <c r="A198" t="str">
        <v/>
      </c>
      <c r="K198" t="str">
        <f t="shared" si="9"/>
        <v/>
      </c>
    </row>
    <row r="199" spans="1:11" x14ac:dyDescent="0.25">
      <c r="A199" t="str">
        <v/>
      </c>
      <c r="K199" t="str">
        <f t="shared" si="9"/>
        <v/>
      </c>
    </row>
    <row r="200" spans="1:11" x14ac:dyDescent="0.25">
      <c r="A200" t="str">
        <v/>
      </c>
      <c r="K200" t="str">
        <f t="shared" si="9"/>
        <v/>
      </c>
    </row>
    <row r="201" spans="1:11" x14ac:dyDescent="0.25">
      <c r="A201" t="str">
        <v/>
      </c>
      <c r="K201" t="str">
        <f t="shared" si="9"/>
        <v/>
      </c>
    </row>
    <row r="202" spans="1:11" x14ac:dyDescent="0.25">
      <c r="A202" t="str">
        <v/>
      </c>
      <c r="K202" t="str">
        <f t="shared" si="9"/>
        <v/>
      </c>
    </row>
    <row r="203" spans="1:11" x14ac:dyDescent="0.25">
      <c r="A203" t="str">
        <v/>
      </c>
      <c r="K203" t="str">
        <f t="shared" si="9"/>
        <v/>
      </c>
    </row>
    <row r="204" spans="1:11" x14ac:dyDescent="0.25">
      <c r="A204" t="str">
        <v/>
      </c>
      <c r="K204" t="str">
        <f t="shared" si="9"/>
        <v/>
      </c>
    </row>
    <row r="205" spans="1:11" x14ac:dyDescent="0.25">
      <c r="A205" t="str">
        <v/>
      </c>
      <c r="K205" t="str">
        <f t="shared" si="9"/>
        <v/>
      </c>
    </row>
    <row r="206" spans="1:11" x14ac:dyDescent="0.25">
      <c r="A206" t="str">
        <v/>
      </c>
      <c r="K206" t="str">
        <f t="shared" si="9"/>
        <v/>
      </c>
    </row>
    <row r="207" spans="1:11" x14ac:dyDescent="0.25">
      <c r="A207" t="str">
        <v/>
      </c>
      <c r="K207" t="str">
        <f t="shared" si="9"/>
        <v/>
      </c>
    </row>
    <row r="208" spans="1:11" x14ac:dyDescent="0.25">
      <c r="A208" t="str">
        <v/>
      </c>
      <c r="K208" t="str">
        <f t="shared" si="9"/>
        <v/>
      </c>
    </row>
    <row r="209" spans="1:11" x14ac:dyDescent="0.25">
      <c r="A209" t="str">
        <v/>
      </c>
      <c r="K209" t="str">
        <f t="shared" si="9"/>
        <v/>
      </c>
    </row>
    <row r="210" spans="1:11" x14ac:dyDescent="0.25">
      <c r="A210" t="str">
        <v/>
      </c>
      <c r="K210" t="str">
        <f t="shared" si="9"/>
        <v/>
      </c>
    </row>
    <row r="211" spans="1:11" x14ac:dyDescent="0.25">
      <c r="A211" t="str">
        <v/>
      </c>
      <c r="K211" t="str">
        <f t="shared" si="9"/>
        <v/>
      </c>
    </row>
    <row r="212" spans="1:11" x14ac:dyDescent="0.25">
      <c r="A212" t="str">
        <v/>
      </c>
      <c r="K212" t="str">
        <f t="shared" si="9"/>
        <v/>
      </c>
    </row>
    <row r="213" spans="1:11" x14ac:dyDescent="0.25">
      <c r="A213" t="str">
        <v/>
      </c>
      <c r="K213" t="str">
        <f t="shared" si="9"/>
        <v/>
      </c>
    </row>
    <row r="214" spans="1:11" x14ac:dyDescent="0.25">
      <c r="A214" t="str">
        <v/>
      </c>
      <c r="K214" t="str">
        <f t="shared" si="9"/>
        <v/>
      </c>
    </row>
    <row r="215" spans="1:11" x14ac:dyDescent="0.25">
      <c r="A215" t="str">
        <v/>
      </c>
      <c r="K215" t="str">
        <f t="shared" si="9"/>
        <v/>
      </c>
    </row>
    <row r="216" spans="1:11" x14ac:dyDescent="0.25">
      <c r="A216" t="str">
        <v/>
      </c>
      <c r="K216" t="str">
        <f t="shared" si="9"/>
        <v/>
      </c>
    </row>
    <row r="217" spans="1:11" x14ac:dyDescent="0.25">
      <c r="A217" t="str">
        <v/>
      </c>
      <c r="K217" t="str">
        <f t="shared" si="9"/>
        <v/>
      </c>
    </row>
    <row r="218" spans="1:11" x14ac:dyDescent="0.25">
      <c r="A218" t="str">
        <v/>
      </c>
      <c r="K218" t="str">
        <f t="shared" si="9"/>
        <v/>
      </c>
    </row>
    <row r="219" spans="1:11" x14ac:dyDescent="0.25">
      <c r="A219" t="str">
        <v/>
      </c>
      <c r="K219" t="str">
        <f t="shared" si="9"/>
        <v/>
      </c>
    </row>
    <row r="220" spans="1:11" x14ac:dyDescent="0.25">
      <c r="A220" t="str">
        <v/>
      </c>
      <c r="K220" t="str">
        <f t="shared" si="9"/>
        <v/>
      </c>
    </row>
    <row r="221" spans="1:11" x14ac:dyDescent="0.25">
      <c r="A221" t="str">
        <v/>
      </c>
      <c r="K221" t="str">
        <f t="shared" si="9"/>
        <v/>
      </c>
    </row>
    <row r="222" spans="1:11" x14ac:dyDescent="0.25">
      <c r="A222" t="str">
        <v/>
      </c>
      <c r="K222" t="str">
        <f t="shared" si="9"/>
        <v/>
      </c>
    </row>
    <row r="223" spans="1:11" x14ac:dyDescent="0.25">
      <c r="A223" t="str">
        <v/>
      </c>
      <c r="K223" t="str">
        <f t="shared" si="9"/>
        <v/>
      </c>
    </row>
    <row r="224" spans="1:11" x14ac:dyDescent="0.25">
      <c r="A224" t="str">
        <v/>
      </c>
      <c r="K224" t="str">
        <f t="shared" si="9"/>
        <v/>
      </c>
    </row>
    <row r="225" spans="1:11" x14ac:dyDescent="0.25">
      <c r="A225" t="str">
        <v/>
      </c>
      <c r="K225" t="str">
        <f t="shared" si="9"/>
        <v/>
      </c>
    </row>
    <row r="226" spans="1:11" x14ac:dyDescent="0.25">
      <c r="A226" t="str">
        <v/>
      </c>
      <c r="K226" t="str">
        <f t="shared" si="9"/>
        <v/>
      </c>
    </row>
    <row r="227" spans="1:11" x14ac:dyDescent="0.25">
      <c r="A227" t="str">
        <v/>
      </c>
      <c r="K227" t="str">
        <f t="shared" si="9"/>
        <v/>
      </c>
    </row>
    <row r="228" spans="1:11" x14ac:dyDescent="0.25">
      <c r="A228" t="str">
        <v/>
      </c>
      <c r="K228" t="str">
        <f t="shared" si="9"/>
        <v/>
      </c>
    </row>
    <row r="229" spans="1:11" x14ac:dyDescent="0.25">
      <c r="A229" t="str">
        <v/>
      </c>
      <c r="K229" t="str">
        <f t="shared" si="9"/>
        <v/>
      </c>
    </row>
    <row r="230" spans="1:11" x14ac:dyDescent="0.25">
      <c r="A230" t="str">
        <v/>
      </c>
      <c r="K230" t="str">
        <f t="shared" si="9"/>
        <v/>
      </c>
    </row>
    <row r="231" spans="1:11" x14ac:dyDescent="0.25">
      <c r="A231" t="str">
        <v/>
      </c>
      <c r="K231" t="str">
        <f t="shared" si="9"/>
        <v/>
      </c>
    </row>
    <row r="232" spans="1:11" x14ac:dyDescent="0.25">
      <c r="A232" t="str">
        <v/>
      </c>
      <c r="K232" t="str">
        <f t="shared" si="9"/>
        <v/>
      </c>
    </row>
    <row r="233" spans="1:11" x14ac:dyDescent="0.25">
      <c r="A233" t="str">
        <v/>
      </c>
      <c r="K233" t="str">
        <f t="shared" si="9"/>
        <v/>
      </c>
    </row>
    <row r="234" spans="1:11" x14ac:dyDescent="0.25">
      <c r="A234" t="str">
        <v/>
      </c>
      <c r="K234" t="str">
        <f t="shared" si="9"/>
        <v/>
      </c>
    </row>
    <row r="235" spans="1:11" x14ac:dyDescent="0.25">
      <c r="A235" t="str">
        <v/>
      </c>
      <c r="K235" t="str">
        <f t="shared" si="9"/>
        <v/>
      </c>
    </row>
    <row r="236" spans="1:11" x14ac:dyDescent="0.25">
      <c r="A236" t="str">
        <v/>
      </c>
      <c r="K236" t="str">
        <f t="shared" si="9"/>
        <v/>
      </c>
    </row>
    <row r="237" spans="1:11" x14ac:dyDescent="0.25">
      <c r="A237" t="str">
        <v/>
      </c>
      <c r="K237" t="str">
        <f t="shared" si="9"/>
        <v/>
      </c>
    </row>
    <row r="238" spans="1:11" x14ac:dyDescent="0.25">
      <c r="A238" t="str">
        <v/>
      </c>
      <c r="K238" t="str">
        <f t="shared" si="9"/>
        <v/>
      </c>
    </row>
    <row r="239" spans="1:11" x14ac:dyDescent="0.25">
      <c r="A239" t="str">
        <v/>
      </c>
      <c r="K239" t="str">
        <f t="shared" si="9"/>
        <v/>
      </c>
    </row>
    <row r="240" spans="1:11" x14ac:dyDescent="0.25">
      <c r="A240" t="str">
        <v/>
      </c>
      <c r="K240" t="str">
        <f t="shared" si="9"/>
        <v/>
      </c>
    </row>
    <row r="241" spans="1:11" x14ac:dyDescent="0.25">
      <c r="A241" t="str">
        <v/>
      </c>
      <c r="K241" t="str">
        <f t="shared" si="9"/>
        <v/>
      </c>
    </row>
    <row r="242" spans="1:11" x14ac:dyDescent="0.25">
      <c r="A242" t="str">
        <v/>
      </c>
      <c r="K242" t="str">
        <f t="shared" si="9"/>
        <v/>
      </c>
    </row>
    <row r="243" spans="1:11" x14ac:dyDescent="0.25">
      <c r="A243" t="str">
        <v/>
      </c>
      <c r="K243" t="str">
        <f t="shared" si="9"/>
        <v/>
      </c>
    </row>
    <row r="244" spans="1:11" x14ac:dyDescent="0.25">
      <c r="A244" t="str">
        <v/>
      </c>
      <c r="K244" t="str">
        <f t="shared" si="9"/>
        <v/>
      </c>
    </row>
    <row r="245" spans="1:11" x14ac:dyDescent="0.25">
      <c r="A245" t="str">
        <v/>
      </c>
      <c r="K245" t="str">
        <f t="shared" si="9"/>
        <v/>
      </c>
    </row>
    <row r="246" spans="1:11" x14ac:dyDescent="0.25">
      <c r="A246" t="str">
        <v/>
      </c>
      <c r="K246" t="str">
        <f t="shared" si="9"/>
        <v/>
      </c>
    </row>
    <row r="247" spans="1:11" x14ac:dyDescent="0.25">
      <c r="A247" t="str">
        <v/>
      </c>
      <c r="K247" t="str">
        <f t="shared" si="9"/>
        <v/>
      </c>
    </row>
    <row r="248" spans="1:11" x14ac:dyDescent="0.25">
      <c r="A248" t="str">
        <v/>
      </c>
      <c r="K248" t="str">
        <f t="shared" si="9"/>
        <v/>
      </c>
    </row>
    <row r="249" spans="1:11" x14ac:dyDescent="0.25">
      <c r="A249" t="str">
        <v/>
      </c>
      <c r="K249" t="str">
        <f t="shared" si="9"/>
        <v/>
      </c>
    </row>
    <row r="250" spans="1:11" x14ac:dyDescent="0.25">
      <c r="A250" t="str">
        <v/>
      </c>
      <c r="K250" t="str">
        <f t="shared" si="9"/>
        <v/>
      </c>
    </row>
    <row r="251" spans="1:11" x14ac:dyDescent="0.25">
      <c r="A251" t="str">
        <v/>
      </c>
      <c r="K251" t="str">
        <f t="shared" si="9"/>
        <v/>
      </c>
    </row>
    <row r="252" spans="1:11" x14ac:dyDescent="0.25">
      <c r="A252" t="str">
        <v/>
      </c>
      <c r="K252" t="str">
        <f t="shared" si="9"/>
        <v/>
      </c>
    </row>
    <row r="253" spans="1:11" x14ac:dyDescent="0.25">
      <c r="A253" t="str">
        <v/>
      </c>
      <c r="K253" t="str">
        <f t="shared" si="9"/>
        <v/>
      </c>
    </row>
    <row r="254" spans="1:11" x14ac:dyDescent="0.25">
      <c r="A254" t="str">
        <v/>
      </c>
      <c r="K254" t="str">
        <f t="shared" si="9"/>
        <v/>
      </c>
    </row>
    <row r="255" spans="1:11" x14ac:dyDescent="0.25">
      <c r="A255" t="str">
        <v/>
      </c>
      <c r="K255" t="str">
        <f t="shared" si="9"/>
        <v/>
      </c>
    </row>
    <row r="256" spans="1:11" x14ac:dyDescent="0.25">
      <c r="A256" t="str">
        <v/>
      </c>
      <c r="K256" t="str">
        <f t="shared" si="9"/>
        <v/>
      </c>
    </row>
    <row r="257" spans="1:11" x14ac:dyDescent="0.25">
      <c r="A257" t="str">
        <v/>
      </c>
      <c r="K257" t="str">
        <f t="shared" si="9"/>
        <v/>
      </c>
    </row>
    <row r="258" spans="1:11" x14ac:dyDescent="0.25">
      <c r="A258" t="str">
        <v/>
      </c>
      <c r="K258" t="str">
        <f t="shared" si="9"/>
        <v/>
      </c>
    </row>
    <row r="259" spans="1:11" x14ac:dyDescent="0.25">
      <c r="A259" t="str">
        <v/>
      </c>
      <c r="K259" t="str">
        <f t="shared" si="9"/>
        <v/>
      </c>
    </row>
    <row r="260" spans="1:11" x14ac:dyDescent="0.25">
      <c r="A260" t="str">
        <v/>
      </c>
      <c r="K260" t="str">
        <f t="shared" ref="K260:K266" si="10">IF($B260="","",_xlfn.LET(_xlpm.pu,_xlfn.XLOOKUP($I260,$N$3:$N$300,$O$3:$O$300,""),_xlpm.ps,_xlfn.XLOOKUP($I260,$N$3:$N$300,$P$3:$P$300,""),_xlpm.oq,_xlfn.XLOOKUP($I260,$N$3:$N$300,$Q$3:$Q$300,""),_xlpm.base,$H260,IF(_xlpm.oq&lt;&gt;"",_xlpm.oq,IF(_xlpm.ps="",_xlpm.base,IF(OR(_xlpm.pu="",_xlpm.pu=$D260),CEILING(_xlpm.base,_xlpm.ps),CEILING(_xlpm.base/_xlpm.ps,1))))))</f>
        <v/>
      </c>
    </row>
    <row r="261" spans="1:11" x14ac:dyDescent="0.25">
      <c r="A261" t="str">
        <v/>
      </c>
      <c r="K261" t="str">
        <f t="shared" si="10"/>
        <v/>
      </c>
    </row>
    <row r="262" spans="1:11" x14ac:dyDescent="0.25">
      <c r="A262" t="str">
        <v/>
      </c>
      <c r="K262" t="str">
        <f t="shared" si="10"/>
        <v/>
      </c>
    </row>
    <row r="263" spans="1:11" x14ac:dyDescent="0.25">
      <c r="A263" t="str">
        <v/>
      </c>
      <c r="K263" t="str">
        <f t="shared" si="10"/>
        <v/>
      </c>
    </row>
    <row r="264" spans="1:11" x14ac:dyDescent="0.25">
      <c r="A264" t="str">
        <v/>
      </c>
      <c r="K264" t="str">
        <f t="shared" si="10"/>
        <v/>
      </c>
    </row>
    <row r="265" spans="1:11" x14ac:dyDescent="0.25">
      <c r="A265" t="str">
        <v/>
      </c>
      <c r="K265" t="str">
        <f t="shared" si="10"/>
        <v/>
      </c>
    </row>
    <row r="266" spans="1:11" x14ac:dyDescent="0.25">
      <c r="A266" t="str">
        <v/>
      </c>
      <c r="K266" t="str">
        <f t="shared" si="10"/>
        <v/>
      </c>
    </row>
    <row r="267" spans="1:11" x14ac:dyDescent="0.25">
      <c r="A267" t="str">
        <v/>
      </c>
    </row>
    <row r="268" spans="1:11" x14ac:dyDescent="0.25">
      <c r="A268" t="str">
        <v/>
      </c>
    </row>
    <row r="269" spans="1:11" x14ac:dyDescent="0.25">
      <c r="A269" t="str">
        <v/>
      </c>
    </row>
    <row r="270" spans="1:11" x14ac:dyDescent="0.25">
      <c r="A270" t="str">
        <v/>
      </c>
    </row>
    <row r="271" spans="1:11" x14ac:dyDescent="0.25">
      <c r="A271" t="str">
        <v/>
      </c>
    </row>
    <row r="272" spans="1:11" x14ac:dyDescent="0.25">
      <c r="A272" t="str">
        <v/>
      </c>
    </row>
    <row r="273" spans="1:1" x14ac:dyDescent="0.25">
      <c r="A273" t="str">
        <v/>
      </c>
    </row>
    <row r="274" spans="1:1" x14ac:dyDescent="0.25">
      <c r="A274" t="str">
        <v/>
      </c>
    </row>
    <row r="275" spans="1:1" x14ac:dyDescent="0.25">
      <c r="A275" t="str">
        <v/>
      </c>
    </row>
    <row r="276" spans="1:1" x14ac:dyDescent="0.25">
      <c r="A276" t="str">
        <v/>
      </c>
    </row>
    <row r="277" spans="1:1" x14ac:dyDescent="0.25">
      <c r="A277" t="str">
        <v/>
      </c>
    </row>
    <row r="278" spans="1:1" x14ac:dyDescent="0.25">
      <c r="A278" t="str">
        <v/>
      </c>
    </row>
    <row r="279" spans="1:1" x14ac:dyDescent="0.25">
      <c r="A279" t="str">
        <v/>
      </c>
    </row>
    <row r="280" spans="1:1" x14ac:dyDescent="0.25">
      <c r="A280" t="str">
        <v/>
      </c>
    </row>
    <row r="281" spans="1:1" x14ac:dyDescent="0.25">
      <c r="A281" t="str">
        <v/>
      </c>
    </row>
    <row r="282" spans="1:1" x14ac:dyDescent="0.25">
      <c r="A282" t="str">
        <v/>
      </c>
    </row>
    <row r="283" spans="1:1" x14ac:dyDescent="0.25">
      <c r="A283" t="str">
        <v/>
      </c>
    </row>
    <row r="284" spans="1:1" x14ac:dyDescent="0.25">
      <c r="A284" t="str">
        <v/>
      </c>
    </row>
    <row r="285" spans="1:1" x14ac:dyDescent="0.25">
      <c r="A285" t="str">
        <v/>
      </c>
    </row>
    <row r="286" spans="1:1" x14ac:dyDescent="0.25">
      <c r="A286" t="str">
        <v/>
      </c>
    </row>
    <row r="287" spans="1:1" x14ac:dyDescent="0.25">
      <c r="A287" t="str">
        <v/>
      </c>
    </row>
    <row r="288" spans="1:1" x14ac:dyDescent="0.25">
      <c r="A288" t="str">
        <v/>
      </c>
    </row>
    <row r="289" spans="1:1" x14ac:dyDescent="0.25">
      <c r="A289" t="str">
        <v/>
      </c>
    </row>
    <row r="290" spans="1:1" x14ac:dyDescent="0.25">
      <c r="A290" t="str">
        <v/>
      </c>
    </row>
    <row r="291" spans="1:1" x14ac:dyDescent="0.25">
      <c r="A291" t="str">
        <v/>
      </c>
    </row>
    <row r="292" spans="1:1" x14ac:dyDescent="0.25">
      <c r="A292" t="str">
        <v/>
      </c>
    </row>
    <row r="293" spans="1:1" x14ac:dyDescent="0.25">
      <c r="A293" t="str">
        <v/>
      </c>
    </row>
    <row r="294" spans="1:1" x14ac:dyDescent="0.25">
      <c r="A294" t="str">
        <v/>
      </c>
    </row>
    <row r="295" spans="1:1" x14ac:dyDescent="0.25">
      <c r="A295" t="str">
        <v/>
      </c>
    </row>
    <row r="296" spans="1:1" x14ac:dyDescent="0.25">
      <c r="A296" t="str">
        <v/>
      </c>
    </row>
    <row r="297" spans="1:1" x14ac:dyDescent="0.25">
      <c r="A297" t="str">
        <v/>
      </c>
    </row>
    <row r="298" spans="1:1" x14ac:dyDescent="0.25">
      <c r="A298" t="str">
        <v/>
      </c>
    </row>
    <row r="299" spans="1:1" x14ac:dyDescent="0.25">
      <c r="A299" t="str">
        <v/>
      </c>
    </row>
    <row r="300" spans="1:1" x14ac:dyDescent="0.25">
      <c r="A300" t="str">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480D7-5902-42CA-A0ED-7E7DF71B5AAC}">
  <sheetPr codeName="Sheet5"/>
  <dimension ref="A1:A75"/>
  <sheetViews>
    <sheetView topLeftCell="A31" zoomScale="75" zoomScaleNormal="75" workbookViewId="0">
      <selection sqref="A1:A75"/>
    </sheetView>
  </sheetViews>
  <sheetFormatPr defaultRowHeight="15" x14ac:dyDescent="0.25"/>
  <cols>
    <col min="1" max="1" width="140.7109375" style="3" bestFit="1" customWidth="1"/>
  </cols>
  <sheetData>
    <row r="1" spans="1:1" x14ac:dyDescent="0.25">
      <c r="A1" s="3" t="s">
        <v>66</v>
      </c>
    </row>
    <row r="2" spans="1:1" x14ac:dyDescent="0.25">
      <c r="A2" s="3" t="s">
        <v>67</v>
      </c>
    </row>
    <row r="3" spans="1:1" x14ac:dyDescent="0.25">
      <c r="A3" s="3" t="s">
        <v>66</v>
      </c>
    </row>
    <row r="5" spans="1:1" x14ac:dyDescent="0.25">
      <c r="A5" s="21" t="s">
        <v>68</v>
      </c>
    </row>
    <row r="6" spans="1:1" x14ac:dyDescent="0.25">
      <c r="A6" s="3" t="s">
        <v>113</v>
      </c>
    </row>
    <row r="7" spans="1:1" x14ac:dyDescent="0.25">
      <c r="A7" s="3" t="s">
        <v>69</v>
      </c>
    </row>
    <row r="8" spans="1:1" x14ac:dyDescent="0.25">
      <c r="A8" s="3" t="s">
        <v>70</v>
      </c>
    </row>
    <row r="9" spans="1:1" x14ac:dyDescent="0.25">
      <c r="A9" s="3" t="s">
        <v>71</v>
      </c>
    </row>
    <row r="10" spans="1:1" x14ac:dyDescent="0.25">
      <c r="A10" s="3" t="s">
        <v>72</v>
      </c>
    </row>
    <row r="11" spans="1:1" x14ac:dyDescent="0.25">
      <c r="A11" s="3" t="s">
        <v>73</v>
      </c>
    </row>
    <row r="12" spans="1:1" x14ac:dyDescent="0.25">
      <c r="A12" s="3" t="s">
        <v>74</v>
      </c>
    </row>
    <row r="14" spans="1:1" x14ac:dyDescent="0.25">
      <c r="A14" s="21" t="s">
        <v>75</v>
      </c>
    </row>
    <row r="15" spans="1:1" x14ac:dyDescent="0.25">
      <c r="A15" s="3" t="s">
        <v>114</v>
      </c>
    </row>
    <row r="16" spans="1:1" x14ac:dyDescent="0.25">
      <c r="A16" s="3" t="s">
        <v>69</v>
      </c>
    </row>
    <row r="17" spans="1:1" x14ac:dyDescent="0.25">
      <c r="A17" s="3" t="s">
        <v>76</v>
      </c>
    </row>
    <row r="18" spans="1:1" x14ac:dyDescent="0.25">
      <c r="A18" s="3" t="s">
        <v>77</v>
      </c>
    </row>
    <row r="19" spans="1:1" x14ac:dyDescent="0.25">
      <c r="A19" s="3" t="s">
        <v>72</v>
      </c>
    </row>
    <row r="20" spans="1:1" x14ac:dyDescent="0.25">
      <c r="A20" s="3" t="s">
        <v>78</v>
      </c>
    </row>
    <row r="21" spans="1:1" x14ac:dyDescent="0.25">
      <c r="A21" s="3" t="s">
        <v>79</v>
      </c>
    </row>
    <row r="23" spans="1:1" x14ac:dyDescent="0.25">
      <c r="A23" s="21" t="s">
        <v>80</v>
      </c>
    </row>
    <row r="24" spans="1:1" x14ac:dyDescent="0.25">
      <c r="A24" s="3" t="s">
        <v>81</v>
      </c>
    </row>
    <row r="25" spans="1:1" x14ac:dyDescent="0.25">
      <c r="A25" s="3" t="s">
        <v>69</v>
      </c>
    </row>
    <row r="26" spans="1:1" x14ac:dyDescent="0.25">
      <c r="A26" s="3" t="s">
        <v>82</v>
      </c>
    </row>
    <row r="27" spans="1:1" x14ac:dyDescent="0.25">
      <c r="A27" s="3" t="s">
        <v>83</v>
      </c>
    </row>
    <row r="28" spans="1:1" x14ac:dyDescent="0.25">
      <c r="A28" s="3" t="s">
        <v>84</v>
      </c>
    </row>
    <row r="29" spans="1:1" x14ac:dyDescent="0.25">
      <c r="A29" s="3" t="s">
        <v>85</v>
      </c>
    </row>
    <row r="30" spans="1:1" x14ac:dyDescent="0.25">
      <c r="A30" s="3" t="s">
        <v>86</v>
      </c>
    </row>
    <row r="31" spans="1:1" x14ac:dyDescent="0.25">
      <c r="A31" s="3" t="s">
        <v>72</v>
      </c>
    </row>
    <row r="32" spans="1:1" x14ac:dyDescent="0.25">
      <c r="A32" s="3" t="s">
        <v>87</v>
      </c>
    </row>
    <row r="34" spans="1:1" x14ac:dyDescent="0.25">
      <c r="A34" s="21" t="s">
        <v>88</v>
      </c>
    </row>
    <row r="35" spans="1:1" x14ac:dyDescent="0.25">
      <c r="A35" s="3" t="s">
        <v>115</v>
      </c>
    </row>
    <row r="36" spans="1:1" x14ac:dyDescent="0.25">
      <c r="A36" s="3" t="s">
        <v>69</v>
      </c>
    </row>
    <row r="37" spans="1:1" x14ac:dyDescent="0.25">
      <c r="A37" s="3" t="s">
        <v>89</v>
      </c>
    </row>
    <row r="38" spans="1:1" x14ac:dyDescent="0.25">
      <c r="A38" s="3" t="s">
        <v>90</v>
      </c>
    </row>
    <row r="39" spans="1:1" x14ac:dyDescent="0.25">
      <c r="A39" s="3" t="s">
        <v>91</v>
      </c>
    </row>
    <row r="40" spans="1:1" x14ac:dyDescent="0.25">
      <c r="A40" s="3" t="s">
        <v>92</v>
      </c>
    </row>
    <row r="41" spans="1:1" x14ac:dyDescent="0.25">
      <c r="A41" s="3" t="s">
        <v>72</v>
      </c>
    </row>
    <row r="42" spans="1:1" x14ac:dyDescent="0.25">
      <c r="A42" s="3" t="s">
        <v>93</v>
      </c>
    </row>
    <row r="44" spans="1:1" x14ac:dyDescent="0.25">
      <c r="A44" s="21" t="s">
        <v>94</v>
      </c>
    </row>
    <row r="45" spans="1:1" x14ac:dyDescent="0.25">
      <c r="A45" s="3" t="s">
        <v>95</v>
      </c>
    </row>
    <row r="46" spans="1:1" x14ac:dyDescent="0.25">
      <c r="A46" s="3" t="s">
        <v>69</v>
      </c>
    </row>
    <row r="47" spans="1:1" x14ac:dyDescent="0.25">
      <c r="A47" s="3" t="s">
        <v>96</v>
      </c>
    </row>
    <row r="48" spans="1:1" x14ac:dyDescent="0.25">
      <c r="A48" s="3" t="s">
        <v>97</v>
      </c>
    </row>
    <row r="49" spans="1:1" x14ac:dyDescent="0.25">
      <c r="A49" s="3" t="s">
        <v>98</v>
      </c>
    </row>
    <row r="50" spans="1:1" x14ac:dyDescent="0.25">
      <c r="A50" s="3" t="s">
        <v>72</v>
      </c>
    </row>
    <row r="51" spans="1:1" x14ac:dyDescent="0.25">
      <c r="A51" s="3" t="s">
        <v>99</v>
      </c>
    </row>
    <row r="53" spans="1:1" x14ac:dyDescent="0.25">
      <c r="A53" s="21" t="s">
        <v>100</v>
      </c>
    </row>
    <row r="54" spans="1:1" x14ac:dyDescent="0.25">
      <c r="A54" s="3" t="s">
        <v>116</v>
      </c>
    </row>
    <row r="55" spans="1:1" x14ac:dyDescent="0.25">
      <c r="A55" s="3" t="s">
        <v>69</v>
      </c>
    </row>
    <row r="56" spans="1:1" x14ac:dyDescent="0.25">
      <c r="A56" s="3" t="s">
        <v>101</v>
      </c>
    </row>
    <row r="57" spans="1:1" x14ac:dyDescent="0.25">
      <c r="A57" s="3" t="s">
        <v>72</v>
      </c>
    </row>
    <row r="58" spans="1:1" x14ac:dyDescent="0.25">
      <c r="A58" s="3" t="s">
        <v>102</v>
      </c>
    </row>
    <row r="60" spans="1:1" x14ac:dyDescent="0.25">
      <c r="A60" s="21" t="s">
        <v>103</v>
      </c>
    </row>
    <row r="61" spans="1:1" x14ac:dyDescent="0.25">
      <c r="A61" s="3" t="s">
        <v>104</v>
      </c>
    </row>
    <row r="62" spans="1:1" x14ac:dyDescent="0.25">
      <c r="A62" s="3" t="s">
        <v>69</v>
      </c>
    </row>
    <row r="63" spans="1:1" x14ac:dyDescent="0.25">
      <c r="A63" s="3" t="s">
        <v>105</v>
      </c>
    </row>
    <row r="64" spans="1:1" x14ac:dyDescent="0.25">
      <c r="A64" s="3" t="s">
        <v>106</v>
      </c>
    </row>
    <row r="65" spans="1:1" x14ac:dyDescent="0.25">
      <c r="A65" s="3" t="s">
        <v>72</v>
      </c>
    </row>
    <row r="66" spans="1:1" x14ac:dyDescent="0.25">
      <c r="A66" s="3" t="s">
        <v>107</v>
      </c>
    </row>
    <row r="67" spans="1:1" x14ac:dyDescent="0.25">
      <c r="A67" s="3" t="s">
        <v>108</v>
      </c>
    </row>
    <row r="69" spans="1:1" x14ac:dyDescent="0.25">
      <c r="A69" s="21" t="s">
        <v>109</v>
      </c>
    </row>
    <row r="70" spans="1:1" x14ac:dyDescent="0.25">
      <c r="A70" s="3" t="s">
        <v>117</v>
      </c>
    </row>
    <row r="71" spans="1:1" x14ac:dyDescent="0.25">
      <c r="A71" s="3" t="s">
        <v>69</v>
      </c>
    </row>
    <row r="72" spans="1:1" x14ac:dyDescent="0.25">
      <c r="A72" s="3" t="s">
        <v>110</v>
      </c>
    </row>
    <row r="73" spans="1:1" x14ac:dyDescent="0.25">
      <c r="A73" s="3" t="s">
        <v>111</v>
      </c>
    </row>
    <row r="74" spans="1:1" x14ac:dyDescent="0.25">
      <c r="A74" s="3" t="s">
        <v>72</v>
      </c>
    </row>
    <row r="75" spans="1:1" x14ac:dyDescent="0.25">
      <c r="A75" s="3" t="s">
        <v>112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125</v>
      </c>
    </row>
    <row r="2" spans="1:1" x14ac:dyDescent="0.25">
      <c r="A2" s="3" t="s">
        <v>126</v>
      </c>
    </row>
    <row r="3" spans="1:1" x14ac:dyDescent="0.25">
      <c r="A3" s="3" t="s">
        <v>127</v>
      </c>
    </row>
    <row r="5" spans="1:1" x14ac:dyDescent="0.25">
      <c r="A5" s="3" t="s">
        <v>66</v>
      </c>
    </row>
    <row r="6" spans="1:1" x14ac:dyDescent="0.25">
      <c r="A6" s="3" t="s">
        <v>128</v>
      </c>
    </row>
    <row r="7" spans="1:1" x14ac:dyDescent="0.25">
      <c r="A7" s="3" t="s">
        <v>66</v>
      </c>
    </row>
    <row r="8" spans="1:1" x14ac:dyDescent="0.25">
      <c r="A8" s="3" t="s">
        <v>129</v>
      </c>
    </row>
    <row r="9" spans="1:1" x14ac:dyDescent="0.25">
      <c r="A9" s="3" t="s">
        <v>130</v>
      </c>
    </row>
    <row r="10" spans="1:1" x14ac:dyDescent="0.25">
      <c r="A10" s="3" t="s">
        <v>131</v>
      </c>
    </row>
    <row r="12" spans="1:1" x14ac:dyDescent="0.25">
      <c r="A12" s="3" t="s">
        <v>132</v>
      </c>
    </row>
    <row r="13" spans="1:1" x14ac:dyDescent="0.25">
      <c r="A13" s="3" t="s">
        <v>133</v>
      </c>
    </row>
    <row r="14" spans="1:1" x14ac:dyDescent="0.25">
      <c r="A14" s="3" t="s">
        <v>134</v>
      </c>
    </row>
    <row r="15" spans="1:1" x14ac:dyDescent="0.25">
      <c r="A15" s="3" t="s">
        <v>135</v>
      </c>
    </row>
    <row r="16" spans="1:1" x14ac:dyDescent="0.25">
      <c r="A16" s="3" t="s">
        <v>136</v>
      </c>
    </row>
    <row r="17" spans="1:1" x14ac:dyDescent="0.25">
      <c r="A17" s="3" t="s">
        <v>137</v>
      </c>
    </row>
    <row r="18" spans="1:1" x14ac:dyDescent="0.25">
      <c r="A18" s="3" t="s">
        <v>138</v>
      </c>
    </row>
    <row r="19" spans="1:1" x14ac:dyDescent="0.25">
      <c r="A19" s="3" t="s">
        <v>139</v>
      </c>
    </row>
    <row r="21" spans="1:1" x14ac:dyDescent="0.25">
      <c r="A21" s="3" t="s">
        <v>66</v>
      </c>
    </row>
    <row r="22" spans="1:1" x14ac:dyDescent="0.25">
      <c r="A22" s="3" t="s">
        <v>140</v>
      </c>
    </row>
    <row r="23" spans="1:1" x14ac:dyDescent="0.25">
      <c r="A23" s="3" t="s">
        <v>66</v>
      </c>
    </row>
    <row r="24" spans="1:1" x14ac:dyDescent="0.25">
      <c r="A24" s="3" t="s">
        <v>141</v>
      </c>
    </row>
    <row r="25" spans="1:1" x14ac:dyDescent="0.25">
      <c r="A25" s="3" t="s">
        <v>142</v>
      </c>
    </row>
    <row r="26" spans="1:1" x14ac:dyDescent="0.25">
      <c r="A26" s="3" t="s">
        <v>143</v>
      </c>
    </row>
    <row r="27" spans="1:1" x14ac:dyDescent="0.25">
      <c r="A27" s="3" t="s">
        <v>144</v>
      </c>
    </row>
    <row r="28" spans="1:1" x14ac:dyDescent="0.25">
      <c r="A28" s="3" t="s">
        <v>145</v>
      </c>
    </row>
    <row r="29" spans="1:1" x14ac:dyDescent="0.25">
      <c r="A29" s="3" t="s">
        <v>146</v>
      </c>
    </row>
    <row r="30" spans="1:1" x14ac:dyDescent="0.25">
      <c r="A30" s="3" t="s">
        <v>147</v>
      </c>
    </row>
    <row r="32" spans="1:1" x14ac:dyDescent="0.25">
      <c r="A32" s="3" t="s">
        <v>66</v>
      </c>
    </row>
    <row r="33" spans="1:1" x14ac:dyDescent="0.25">
      <c r="A33" s="3" t="s">
        <v>148</v>
      </c>
    </row>
    <row r="34" spans="1:1" x14ac:dyDescent="0.25">
      <c r="A34" s="3" t="s">
        <v>66</v>
      </c>
    </row>
    <row r="35" spans="1:1" x14ac:dyDescent="0.25">
      <c r="A35" s="3" t="s">
        <v>149</v>
      </c>
    </row>
    <row r="36" spans="1:1" x14ac:dyDescent="0.25">
      <c r="A36" s="3" t="s">
        <v>150</v>
      </c>
    </row>
    <row r="37" spans="1:1" x14ac:dyDescent="0.25">
      <c r="A37" s="3" t="s">
        <v>151</v>
      </c>
    </row>
    <row r="38" spans="1:1" x14ac:dyDescent="0.25">
      <c r="A38" s="3" t="s">
        <v>152</v>
      </c>
    </row>
    <row r="39" spans="1:1" x14ac:dyDescent="0.25">
      <c r="A39" s="3" t="s">
        <v>153</v>
      </c>
    </row>
    <row r="40" spans="1:1" x14ac:dyDescent="0.25">
      <c r="A40" s="3" t="s">
        <v>154</v>
      </c>
    </row>
    <row r="41" spans="1:1" x14ac:dyDescent="0.25">
      <c r="A41" s="3" t="s">
        <v>155</v>
      </c>
    </row>
    <row r="42" spans="1:1" x14ac:dyDescent="0.25">
      <c r="A42" s="3" t="s">
        <v>156</v>
      </c>
    </row>
    <row r="43" spans="1:1" x14ac:dyDescent="0.25">
      <c r="A43" s="3" t="s">
        <v>157</v>
      </c>
    </row>
    <row r="45" spans="1:1" x14ac:dyDescent="0.25">
      <c r="A45" s="3" t="s">
        <v>66</v>
      </c>
    </row>
    <row r="46" spans="1:1" x14ac:dyDescent="0.25">
      <c r="A46" s="3" t="s">
        <v>158</v>
      </c>
    </row>
    <row r="47" spans="1:1" x14ac:dyDescent="0.25">
      <c r="A47" s="3" t="s">
        <v>66</v>
      </c>
    </row>
    <row r="48" spans="1:1" x14ac:dyDescent="0.25">
      <c r="A48" s="3" t="s">
        <v>159</v>
      </c>
    </row>
    <row r="49" spans="1:1" x14ac:dyDescent="0.25">
      <c r="A49" s="3" t="s">
        <v>160</v>
      </c>
    </row>
    <row r="50" spans="1:1" x14ac:dyDescent="0.25">
      <c r="A50" s="3" t="s">
        <v>161</v>
      </c>
    </row>
    <row r="51" spans="1:1" x14ac:dyDescent="0.25">
      <c r="A51" s="3" t="s">
        <v>162</v>
      </c>
    </row>
    <row r="52" spans="1:1" x14ac:dyDescent="0.25">
      <c r="A52" s="3" t="s">
        <v>163</v>
      </c>
    </row>
    <row r="53" spans="1:1" x14ac:dyDescent="0.25">
      <c r="A53" s="3" t="s">
        <v>164</v>
      </c>
    </row>
    <row r="54" spans="1:1" x14ac:dyDescent="0.25">
      <c r="A54" s="3" t="s">
        <v>165</v>
      </c>
    </row>
    <row r="55" spans="1:1" x14ac:dyDescent="0.25">
      <c r="A55" s="3" t="s">
        <v>166</v>
      </c>
    </row>
    <row r="56" spans="1:1" x14ac:dyDescent="0.25">
      <c r="A56" s="3" t="s">
        <v>167</v>
      </c>
    </row>
    <row r="58" spans="1:1" x14ac:dyDescent="0.25">
      <c r="A58" s="3" t="s">
        <v>66</v>
      </c>
    </row>
    <row r="59" spans="1:1" x14ac:dyDescent="0.25">
      <c r="A59" s="3" t="s">
        <v>168</v>
      </c>
    </row>
    <row r="60" spans="1:1" x14ac:dyDescent="0.25">
      <c r="A60" s="3" t="s">
        <v>66</v>
      </c>
    </row>
    <row r="61" spans="1:1" x14ac:dyDescent="0.25">
      <c r="A61" s="3" t="s">
        <v>169</v>
      </c>
    </row>
    <row r="62" spans="1:1" x14ac:dyDescent="0.25">
      <c r="A62" s="3" t="s">
        <v>170</v>
      </c>
    </row>
    <row r="63" spans="1:1" x14ac:dyDescent="0.25">
      <c r="A63" s="3" t="s">
        <v>171</v>
      </c>
    </row>
    <row r="64" spans="1:1" x14ac:dyDescent="0.25">
      <c r="A64" s="3" t="s">
        <v>172</v>
      </c>
    </row>
    <row r="65" spans="1:1" x14ac:dyDescent="0.25">
      <c r="A65" s="3" t="s">
        <v>173</v>
      </c>
    </row>
    <row r="66" spans="1:1" x14ac:dyDescent="0.25">
      <c r="A66" s="3" t="s">
        <v>174</v>
      </c>
    </row>
    <row r="67" spans="1:1" x14ac:dyDescent="0.25">
      <c r="A67" s="3" t="s">
        <v>175</v>
      </c>
    </row>
    <row r="68" spans="1:1" x14ac:dyDescent="0.25">
      <c r="A68" s="3" t="s">
        <v>176</v>
      </c>
    </row>
    <row r="69" spans="1:1" x14ac:dyDescent="0.25">
      <c r="A69" s="3" t="s">
        <v>177</v>
      </c>
    </row>
    <row r="70" spans="1:1" x14ac:dyDescent="0.25">
      <c r="A70" s="3" t="s">
        <v>178</v>
      </c>
    </row>
    <row r="71" spans="1:1" x14ac:dyDescent="0.25">
      <c r="A71" s="3" t="s">
        <v>179</v>
      </c>
    </row>
    <row r="72" spans="1:1" x14ac:dyDescent="0.25">
      <c r="A72" s="3" t="s">
        <v>180</v>
      </c>
    </row>
    <row r="73" spans="1:1" x14ac:dyDescent="0.25">
      <c r="A73" s="3" t="s">
        <v>181</v>
      </c>
    </row>
    <row r="74" spans="1:1" x14ac:dyDescent="0.25">
      <c r="A74" s="3" t="s">
        <v>182</v>
      </c>
    </row>
    <row r="75" spans="1:1" x14ac:dyDescent="0.25">
      <c r="A75" s="3" t="s">
        <v>183</v>
      </c>
    </row>
    <row r="76" spans="1:1" x14ac:dyDescent="0.25">
      <c r="A76" s="3" t="s">
        <v>184</v>
      </c>
    </row>
    <row r="77" spans="1:1" x14ac:dyDescent="0.25">
      <c r="A77" s="3" t="s">
        <v>185</v>
      </c>
    </row>
    <row r="79" spans="1:1" x14ac:dyDescent="0.25">
      <c r="A79" s="3" t="s">
        <v>66</v>
      </c>
    </row>
    <row r="80" spans="1:1" x14ac:dyDescent="0.25">
      <c r="A80" s="3" t="s">
        <v>186</v>
      </c>
    </row>
    <row r="81" spans="1:1" x14ac:dyDescent="0.25">
      <c r="A81" s="3" t="s">
        <v>66</v>
      </c>
    </row>
    <row r="82" spans="1:1" x14ac:dyDescent="0.25">
      <c r="A82" s="3" t="s">
        <v>187</v>
      </c>
    </row>
    <row r="83" spans="1:1" x14ac:dyDescent="0.25">
      <c r="A83" s="3" t="s">
        <v>188</v>
      </c>
    </row>
    <row r="84" spans="1:1" x14ac:dyDescent="0.25">
      <c r="A84" s="3" t="s">
        <v>189</v>
      </c>
    </row>
    <row r="85" spans="1:1" x14ac:dyDescent="0.25">
      <c r="A85" s="3" t="s">
        <v>190</v>
      </c>
    </row>
    <row r="86" spans="1:1" x14ac:dyDescent="0.25">
      <c r="A86" s="3" t="s">
        <v>191</v>
      </c>
    </row>
    <row r="87" spans="1:1" x14ac:dyDescent="0.25">
      <c r="A87" s="3" t="s">
        <v>192</v>
      </c>
    </row>
    <row r="88" spans="1:1" x14ac:dyDescent="0.25">
      <c r="A88" s="3" t="s">
        <v>193</v>
      </c>
    </row>
    <row r="89" spans="1:1" x14ac:dyDescent="0.25">
      <c r="A89" s="3" t="s">
        <v>194</v>
      </c>
    </row>
    <row r="90" spans="1:1" x14ac:dyDescent="0.25">
      <c r="A90" s="3" t="s">
        <v>195</v>
      </c>
    </row>
    <row r="91" spans="1:1" x14ac:dyDescent="0.25">
      <c r="A91" s="3" t="s">
        <v>196</v>
      </c>
    </row>
    <row r="92" spans="1:1" x14ac:dyDescent="0.25">
      <c r="A92" s="3" t="s">
        <v>197</v>
      </c>
    </row>
    <row r="94" spans="1:1" x14ac:dyDescent="0.25">
      <c r="A94" s="3" t="s">
        <v>66</v>
      </c>
    </row>
    <row r="95" spans="1:1" x14ac:dyDescent="0.25">
      <c r="A95" s="3" t="s">
        <v>198</v>
      </c>
    </row>
    <row r="96" spans="1:1" x14ac:dyDescent="0.25">
      <c r="A96" s="3" t="s">
        <v>66</v>
      </c>
    </row>
    <row r="97" spans="1:1" x14ac:dyDescent="0.25">
      <c r="A97" s="3" t="s">
        <v>199</v>
      </c>
    </row>
    <row r="98" spans="1:1" x14ac:dyDescent="0.25">
      <c r="A98" s="3" t="s">
        <v>200</v>
      </c>
    </row>
    <row r="99" spans="1:1" x14ac:dyDescent="0.25">
      <c r="A99" s="3" t="s">
        <v>201</v>
      </c>
    </row>
    <row r="100" spans="1:1" x14ac:dyDescent="0.25">
      <c r="A100" s="3" t="s">
        <v>202</v>
      </c>
    </row>
    <row r="101" spans="1:1" x14ac:dyDescent="0.25">
      <c r="A101" s="3" t="s">
        <v>203</v>
      </c>
    </row>
    <row r="103" spans="1:1" x14ac:dyDescent="0.25">
      <c r="A103" s="3" t="s">
        <v>204</v>
      </c>
    </row>
    <row r="104" spans="1:1" x14ac:dyDescent="0.25">
      <c r="A104" s="3" t="s">
        <v>205</v>
      </c>
    </row>
    <row r="105" spans="1:1" x14ac:dyDescent="0.25">
      <c r="A105" s="3" t="s">
        <v>206</v>
      </c>
    </row>
    <row r="106" spans="1:1" x14ac:dyDescent="0.25">
      <c r="A106" s="3" t="s">
        <v>207</v>
      </c>
    </row>
    <row r="107" spans="1:1" x14ac:dyDescent="0.25">
      <c r="A107" s="3" t="s">
        <v>208</v>
      </c>
    </row>
    <row r="108" spans="1:1" x14ac:dyDescent="0.25">
      <c r="A108" s="3" t="s">
        <v>209</v>
      </c>
    </row>
    <row r="110" spans="1:1" x14ac:dyDescent="0.25">
      <c r="A110" s="3" t="s">
        <v>210</v>
      </c>
    </row>
    <row r="111" spans="1:1" x14ac:dyDescent="0.25">
      <c r="A111" s="3" t="s">
        <v>211</v>
      </c>
    </row>
    <row r="112" spans="1:1" x14ac:dyDescent="0.25">
      <c r="A112" s="3" t="s">
        <v>212</v>
      </c>
    </row>
    <row r="113" spans="1:1" x14ac:dyDescent="0.25">
      <c r="A113" s="3" t="s">
        <v>213</v>
      </c>
    </row>
    <row r="114" spans="1:1" x14ac:dyDescent="0.25">
      <c r="A114" s="3" t="s">
        <v>214</v>
      </c>
    </row>
    <row r="116" spans="1:1" x14ac:dyDescent="0.25">
      <c r="A116" s="3" t="s">
        <v>215</v>
      </c>
    </row>
    <row r="117" spans="1:1" x14ac:dyDescent="0.25">
      <c r="A117" s="3" t="s">
        <v>216</v>
      </c>
    </row>
    <row r="118" spans="1:1" x14ac:dyDescent="0.25">
      <c r="A118" s="3" t="s">
        <v>217</v>
      </c>
    </row>
    <row r="119" spans="1:1" x14ac:dyDescent="0.25">
      <c r="A119" s="3" t="s">
        <v>218</v>
      </c>
    </row>
    <row r="121" spans="1:1" x14ac:dyDescent="0.25">
      <c r="A121" s="3" t="s">
        <v>219</v>
      </c>
    </row>
    <row r="122" spans="1:1" x14ac:dyDescent="0.25">
      <c r="A122" s="3" t="s">
        <v>220</v>
      </c>
    </row>
    <row r="123" spans="1:1" x14ac:dyDescent="0.25">
      <c r="A123" s="3" t="s">
        <v>221</v>
      </c>
    </row>
    <row r="125" spans="1:1" x14ac:dyDescent="0.25">
      <c r="A125" s="3" t="s">
        <v>222</v>
      </c>
    </row>
    <row r="126" spans="1:1" x14ac:dyDescent="0.25">
      <c r="A126" s="3" t="s">
        <v>223</v>
      </c>
    </row>
    <row r="127" spans="1:1" x14ac:dyDescent="0.25">
      <c r="A127" s="3" t="s">
        <v>224</v>
      </c>
    </row>
    <row r="128" spans="1:1" x14ac:dyDescent="0.25">
      <c r="A128" s="3" t="s">
        <v>225</v>
      </c>
    </row>
    <row r="129" spans="1:1" x14ac:dyDescent="0.25">
      <c r="A129" s="3" t="s">
        <v>226</v>
      </c>
    </row>
    <row r="131" spans="1:1" x14ac:dyDescent="0.25">
      <c r="A131" s="3" t="s">
        <v>227</v>
      </c>
    </row>
    <row r="132" spans="1:1" x14ac:dyDescent="0.25">
      <c r="A132" s="3" t="s">
        <v>228</v>
      </c>
    </row>
    <row r="133" spans="1:1" x14ac:dyDescent="0.25">
      <c r="A133" s="3" t="s">
        <v>229</v>
      </c>
    </row>
    <row r="134" spans="1:1" x14ac:dyDescent="0.25">
      <c r="A134" s="3" t="s">
        <v>230</v>
      </c>
    </row>
    <row r="136" spans="1:1" x14ac:dyDescent="0.25">
      <c r="A136" s="3" t="s">
        <v>231</v>
      </c>
    </row>
    <row r="137" spans="1:1" x14ac:dyDescent="0.25">
      <c r="A137" s="3" t="s">
        <v>232</v>
      </c>
    </row>
    <row r="138" spans="1:1" x14ac:dyDescent="0.25">
      <c r="A138" s="3" t="s">
        <v>233</v>
      </c>
    </row>
    <row r="139" spans="1:1" x14ac:dyDescent="0.25">
      <c r="A139" s="3" t="s">
        <v>234</v>
      </c>
    </row>
    <row r="141" spans="1:1" x14ac:dyDescent="0.25">
      <c r="A141" s="3" t="s">
        <v>235</v>
      </c>
    </row>
    <row r="142" spans="1:1" x14ac:dyDescent="0.25">
      <c r="A142" s="3" t="s">
        <v>236</v>
      </c>
    </row>
    <row r="143" spans="1:1" x14ac:dyDescent="0.25">
      <c r="A143" s="3" t="s">
        <v>237</v>
      </c>
    </row>
    <row r="144" spans="1:1" x14ac:dyDescent="0.25">
      <c r="A144" s="3" t="s">
        <v>238</v>
      </c>
    </row>
    <row r="145" spans="1:1" x14ac:dyDescent="0.25">
      <c r="A145" s="3" t="s">
        <v>239</v>
      </c>
    </row>
    <row r="146" spans="1:1" x14ac:dyDescent="0.25">
      <c r="A146" s="3" t="s">
        <v>240</v>
      </c>
    </row>
    <row r="147" spans="1:1" x14ac:dyDescent="0.25">
      <c r="A147" s="3" t="s">
        <v>241</v>
      </c>
    </row>
    <row r="148" spans="1:1" x14ac:dyDescent="0.25">
      <c r="A148" s="3" t="s">
        <v>242</v>
      </c>
    </row>
    <row r="149" spans="1:1" x14ac:dyDescent="0.25">
      <c r="A149" s="3" t="s">
        <v>243</v>
      </c>
    </row>
    <row r="150" spans="1:1" x14ac:dyDescent="0.25">
      <c r="A150" s="3" t="s">
        <v>244</v>
      </c>
    </row>
    <row r="152" spans="1:1" x14ac:dyDescent="0.25">
      <c r="A152" s="3" t="s">
        <v>245</v>
      </c>
    </row>
    <row r="153" spans="1:1" x14ac:dyDescent="0.25">
      <c r="A153" s="3" t="s">
        <v>246</v>
      </c>
    </row>
    <row r="154" spans="1:1" x14ac:dyDescent="0.25">
      <c r="A154" s="3" t="s">
        <v>247</v>
      </c>
    </row>
    <row r="155" spans="1:1" x14ac:dyDescent="0.25">
      <c r="A155" s="3" t="s">
        <v>248</v>
      </c>
    </row>
    <row r="157" spans="1:1" x14ac:dyDescent="0.25">
      <c r="A157" s="3" t="s">
        <v>204</v>
      </c>
    </row>
    <row r="158" spans="1:1" x14ac:dyDescent="0.25">
      <c r="A158" s="3" t="s">
        <v>205</v>
      </c>
    </row>
    <row r="159" spans="1:1" x14ac:dyDescent="0.25">
      <c r="A159" s="3" t="s">
        <v>206</v>
      </c>
    </row>
    <row r="160" spans="1:1" x14ac:dyDescent="0.25">
      <c r="A160" s="3" t="s">
        <v>207</v>
      </c>
    </row>
    <row r="161" spans="1:1" x14ac:dyDescent="0.25">
      <c r="A161" s="3" t="s">
        <v>208</v>
      </c>
    </row>
    <row r="162" spans="1:1" x14ac:dyDescent="0.25">
      <c r="A162" s="3" t="s">
        <v>209</v>
      </c>
    </row>
    <row r="164" spans="1:1" x14ac:dyDescent="0.25">
      <c r="A164" s="3" t="s">
        <v>66</v>
      </c>
    </row>
    <row r="165" spans="1:1" x14ac:dyDescent="0.25">
      <c r="A165" s="3" t="s">
        <v>249</v>
      </c>
    </row>
    <row r="166" spans="1:1" x14ac:dyDescent="0.25">
      <c r="A166" s="3" t="s">
        <v>66</v>
      </c>
    </row>
    <row r="167" spans="1:1" x14ac:dyDescent="0.25">
      <c r="A167" s="3" t="s">
        <v>250</v>
      </c>
    </row>
    <row r="168" spans="1:1" x14ac:dyDescent="0.25">
      <c r="A168" s="3" t="s">
        <v>251</v>
      </c>
    </row>
    <row r="169" spans="1:1" x14ac:dyDescent="0.25">
      <c r="A169" s="3" t="s">
        <v>252</v>
      </c>
    </row>
    <row r="170" spans="1:1" x14ac:dyDescent="0.25">
      <c r="A170" s="3" t="s">
        <v>253</v>
      </c>
    </row>
    <row r="171" spans="1:1" x14ac:dyDescent="0.25">
      <c r="A171" s="3" t="s">
        <v>254</v>
      </c>
    </row>
    <row r="172" spans="1:1" x14ac:dyDescent="0.25">
      <c r="A172" s="3" t="s">
        <v>255</v>
      </c>
    </row>
    <row r="173" spans="1:1" x14ac:dyDescent="0.25">
      <c r="A173" s="3" t="s">
        <v>254</v>
      </c>
    </row>
    <row r="174" spans="1:1" x14ac:dyDescent="0.25">
      <c r="A174" s="3" t="s">
        <v>256</v>
      </c>
    </row>
    <row r="175" spans="1:1" x14ac:dyDescent="0.25">
      <c r="A175" s="3" t="s">
        <v>257</v>
      </c>
    </row>
    <row r="176" spans="1:1" x14ac:dyDescent="0.25">
      <c r="A176" s="3" t="s">
        <v>258</v>
      </c>
    </row>
    <row r="177" spans="1:1" x14ac:dyDescent="0.25">
      <c r="A177" s="3" t="s">
        <v>259</v>
      </c>
    </row>
    <row r="179" spans="1:1" x14ac:dyDescent="0.25">
      <c r="A179" s="3" t="s">
        <v>66</v>
      </c>
    </row>
    <row r="180" spans="1:1" x14ac:dyDescent="0.25">
      <c r="A180" s="3" t="s">
        <v>260</v>
      </c>
    </row>
    <row r="181" spans="1:1" x14ac:dyDescent="0.25">
      <c r="A181" s="3" t="s">
        <v>66</v>
      </c>
    </row>
    <row r="182" spans="1:1" x14ac:dyDescent="0.25">
      <c r="A182" s="3" t="s">
        <v>261</v>
      </c>
    </row>
    <row r="183" spans="1:1" x14ac:dyDescent="0.25">
      <c r="A183" s="3" t="s">
        <v>262</v>
      </c>
    </row>
    <row r="184" spans="1:1" x14ac:dyDescent="0.25">
      <c r="A184" s="3" t="s">
        <v>263</v>
      </c>
    </row>
    <row r="185" spans="1:1" x14ac:dyDescent="0.25">
      <c r="A185" s="3" t="s">
        <v>264</v>
      </c>
    </row>
    <row r="186" spans="1:1" x14ac:dyDescent="0.25">
      <c r="A186" s="3" t="s">
        <v>265</v>
      </c>
    </row>
    <row r="187" spans="1:1" x14ac:dyDescent="0.25">
      <c r="A187" s="3" t="s">
        <v>266</v>
      </c>
    </row>
    <row r="188" spans="1:1" x14ac:dyDescent="0.25">
      <c r="A188" s="3" t="s">
        <v>267</v>
      </c>
    </row>
    <row r="190" spans="1:1" x14ac:dyDescent="0.25">
      <c r="A190" s="3" t="s">
        <v>66</v>
      </c>
    </row>
    <row r="191" spans="1:1" x14ac:dyDescent="0.25">
      <c r="A191" s="3" t="s">
        <v>268</v>
      </c>
    </row>
    <row r="192" spans="1:1" x14ac:dyDescent="0.25">
      <c r="A192" s="3" t="s">
        <v>66</v>
      </c>
    </row>
    <row r="193" spans="1:1" x14ac:dyDescent="0.25">
      <c r="A193" s="3" t="s">
        <v>269</v>
      </c>
    </row>
    <row r="194" spans="1:1" x14ac:dyDescent="0.25">
      <c r="A194" s="3" t="s">
        <v>270</v>
      </c>
    </row>
    <row r="195" spans="1:1" x14ac:dyDescent="0.25">
      <c r="A195" s="3" t="s">
        <v>271</v>
      </c>
    </row>
    <row r="196" spans="1:1" x14ac:dyDescent="0.25">
      <c r="A196" s="3" t="s">
        <v>272</v>
      </c>
    </row>
    <row r="197" spans="1:1" x14ac:dyDescent="0.25">
      <c r="A197" s="3" t="s">
        <v>273</v>
      </c>
    </row>
    <row r="199" spans="1:1" x14ac:dyDescent="0.25">
      <c r="A199" s="3" t="s">
        <v>66</v>
      </c>
    </row>
    <row r="200" spans="1:1" x14ac:dyDescent="0.25">
      <c r="A200" s="3" t="s">
        <v>274</v>
      </c>
    </row>
    <row r="201" spans="1:1" x14ac:dyDescent="0.25">
      <c r="A201" s="3" t="s">
        <v>66</v>
      </c>
    </row>
    <row r="202" spans="1:1" x14ac:dyDescent="0.25">
      <c r="A202" s="3" t="s">
        <v>275</v>
      </c>
    </row>
    <row r="203" spans="1:1" x14ac:dyDescent="0.25">
      <c r="A203" s="3" t="s">
        <v>276</v>
      </c>
    </row>
    <row r="204" spans="1:1" x14ac:dyDescent="0.25">
      <c r="A204" s="3" t="s">
        <v>277</v>
      </c>
    </row>
    <row r="205" spans="1:1" x14ac:dyDescent="0.25">
      <c r="A205" s="3" t="s">
        <v>278</v>
      </c>
    </row>
    <row r="206" spans="1:1" x14ac:dyDescent="0.25">
      <c r="A206" s="3" t="s">
        <v>279</v>
      </c>
    </row>
    <row r="208" spans="1:1" x14ac:dyDescent="0.25">
      <c r="A208" s="3" t="s">
        <v>66</v>
      </c>
    </row>
    <row r="209" spans="1:1" x14ac:dyDescent="0.25">
      <c r="A209" s="3" t="s">
        <v>280</v>
      </c>
    </row>
    <row r="210" spans="1:1" x14ac:dyDescent="0.25">
      <c r="A210" s="3" t="s">
        <v>66</v>
      </c>
    </row>
    <row r="211" spans="1:1" x14ac:dyDescent="0.25">
      <c r="A211" s="3" t="s">
        <v>281</v>
      </c>
    </row>
    <row r="212" spans="1:1" x14ac:dyDescent="0.25">
      <c r="A212" s="3" t="s">
        <v>282</v>
      </c>
    </row>
    <row r="213" spans="1:1" x14ac:dyDescent="0.25">
      <c r="A213" s="3" t="s">
        <v>283</v>
      </c>
    </row>
    <row r="214" spans="1:1" x14ac:dyDescent="0.25">
      <c r="A214" s="3" t="s">
        <v>284</v>
      </c>
    </row>
    <row r="215" spans="1:1" x14ac:dyDescent="0.25">
      <c r="A215" s="3" t="s">
        <v>285</v>
      </c>
    </row>
    <row r="216" spans="1:1" x14ac:dyDescent="0.25">
      <c r="A216" s="3" t="s">
        <v>286</v>
      </c>
    </row>
    <row r="217" spans="1:1" x14ac:dyDescent="0.25">
      <c r="A217" s="3" t="s">
        <v>287</v>
      </c>
    </row>
    <row r="218" spans="1:1" x14ac:dyDescent="0.25">
      <c r="A218" s="3" t="s">
        <v>288</v>
      </c>
    </row>
    <row r="219" spans="1:1" x14ac:dyDescent="0.25">
      <c r="A219" s="3" t="s">
        <v>289</v>
      </c>
    </row>
    <row r="220" spans="1:1" x14ac:dyDescent="0.25">
      <c r="A220" s="3" t="s">
        <v>290</v>
      </c>
    </row>
    <row r="221" spans="1:1" x14ac:dyDescent="0.25">
      <c r="A221" s="3" t="s">
        <v>291</v>
      </c>
    </row>
    <row r="222" spans="1:1" x14ac:dyDescent="0.25">
      <c r="A222" s="3" t="s">
        <v>292</v>
      </c>
    </row>
    <row r="223" spans="1:1" x14ac:dyDescent="0.25">
      <c r="A223" s="3" t="s">
        <v>293</v>
      </c>
    </row>
    <row r="225" spans="1:1" x14ac:dyDescent="0.25">
      <c r="A225" s="3" t="s">
        <v>66</v>
      </c>
    </row>
    <row r="226" spans="1:1" x14ac:dyDescent="0.25">
      <c r="A226" s="3" t="s">
        <v>294</v>
      </c>
    </row>
    <row r="227" spans="1:1" x14ac:dyDescent="0.25">
      <c r="A227" s="3" t="s">
        <v>66</v>
      </c>
    </row>
    <row r="228" spans="1:1" x14ac:dyDescent="0.25">
      <c r="A228" s="3" t="s">
        <v>295</v>
      </c>
    </row>
    <row r="229" spans="1:1" x14ac:dyDescent="0.25">
      <c r="A229" s="3" t="s">
        <v>296</v>
      </c>
    </row>
    <row r="230" spans="1:1" x14ac:dyDescent="0.25">
      <c r="A230" s="3" t="s">
        <v>297</v>
      </c>
    </row>
    <row r="231" spans="1:1" x14ac:dyDescent="0.25">
      <c r="A231" s="3" t="s">
        <v>298</v>
      </c>
    </row>
    <row r="232" spans="1:1" x14ac:dyDescent="0.25">
      <c r="A232" s="3" t="s">
        <v>299</v>
      </c>
    </row>
    <row r="233" spans="1:1" x14ac:dyDescent="0.25">
      <c r="A233" s="3" t="s">
        <v>300</v>
      </c>
    </row>
    <row r="234" spans="1:1" x14ac:dyDescent="0.25">
      <c r="A234" s="3" t="s">
        <v>301</v>
      </c>
    </row>
    <row r="235" spans="1:1" x14ac:dyDescent="0.25">
      <c r="A235" s="3" t="s">
        <v>302</v>
      </c>
    </row>
    <row r="236" spans="1:1" x14ac:dyDescent="0.25">
      <c r="A236" s="3" t="s">
        <v>303</v>
      </c>
    </row>
    <row r="237" spans="1:1" x14ac:dyDescent="0.25">
      <c r="A237" s="3" t="s">
        <v>304</v>
      </c>
    </row>
    <row r="238" spans="1:1" x14ac:dyDescent="0.25">
      <c r="A238" s="3" t="s">
        <v>305</v>
      </c>
    </row>
    <row r="240" spans="1:1" x14ac:dyDescent="0.25">
      <c r="A240" s="3" t="s">
        <v>66</v>
      </c>
    </row>
    <row r="241" spans="1:1" x14ac:dyDescent="0.25">
      <c r="A241" s="3" t="s">
        <v>306</v>
      </c>
    </row>
    <row r="242" spans="1:1" x14ac:dyDescent="0.25">
      <c r="A242" s="3" t="s">
        <v>66</v>
      </c>
    </row>
    <row r="243" spans="1:1" x14ac:dyDescent="0.25">
      <c r="A243" s="3" t="s">
        <v>307</v>
      </c>
    </row>
    <row r="244" spans="1:1" x14ac:dyDescent="0.25">
      <c r="A244" s="3" t="s">
        <v>308</v>
      </c>
    </row>
    <row r="245" spans="1:1" x14ac:dyDescent="0.25">
      <c r="A245" s="3" t="s">
        <v>309</v>
      </c>
    </row>
    <row r="246" spans="1:1" x14ac:dyDescent="0.25">
      <c r="A246" s="3" t="s">
        <v>310</v>
      </c>
    </row>
    <row r="247" spans="1:1" x14ac:dyDescent="0.25">
      <c r="A247" s="3" t="s">
        <v>311</v>
      </c>
    </row>
    <row r="248" spans="1:1" x14ac:dyDescent="0.25">
      <c r="A248" s="3" t="s">
        <v>312</v>
      </c>
    </row>
    <row r="249" spans="1:1" x14ac:dyDescent="0.25">
      <c r="A249" s="3" t="s">
        <v>313</v>
      </c>
    </row>
    <row r="250" spans="1:1" x14ac:dyDescent="0.25">
      <c r="A250" s="3" t="s">
        <v>314</v>
      </c>
    </row>
    <row r="252" spans="1:1" x14ac:dyDescent="0.25">
      <c r="A252" s="3" t="s">
        <v>66</v>
      </c>
    </row>
    <row r="253" spans="1:1" x14ac:dyDescent="0.25">
      <c r="A253" s="3" t="s">
        <v>315</v>
      </c>
    </row>
    <row r="254" spans="1:1" x14ac:dyDescent="0.25">
      <c r="A254" s="3" t="s">
        <v>66</v>
      </c>
    </row>
    <row r="255" spans="1:1" x14ac:dyDescent="0.25">
      <c r="A255" s="3" t="s">
        <v>316</v>
      </c>
    </row>
    <row r="256" spans="1:1" x14ac:dyDescent="0.25">
      <c r="A256" s="3" t="s">
        <v>317</v>
      </c>
    </row>
    <row r="257" spans="1:1" x14ac:dyDescent="0.25">
      <c r="A257" s="3" t="s">
        <v>318</v>
      </c>
    </row>
    <row r="258" spans="1:1" x14ac:dyDescent="0.25">
      <c r="A258" s="3" t="s">
        <v>319</v>
      </c>
    </row>
    <row r="259" spans="1:1" x14ac:dyDescent="0.25">
      <c r="A259" s="3" t="s">
        <v>320</v>
      </c>
    </row>
    <row r="260" spans="1:1" x14ac:dyDescent="0.25">
      <c r="A260" s="3" t="s">
        <v>321</v>
      </c>
    </row>
    <row r="261" spans="1:1" x14ac:dyDescent="0.25">
      <c r="A261" s="3" t="s">
        <v>322</v>
      </c>
    </row>
    <row r="262" spans="1:1" x14ac:dyDescent="0.25">
      <c r="A262" s="3" t="s">
        <v>323</v>
      </c>
    </row>
    <row r="263" spans="1:1" x14ac:dyDescent="0.25">
      <c r="A263" s="3" t="s">
        <v>324</v>
      </c>
    </row>
    <row r="264" spans="1:1" x14ac:dyDescent="0.25">
      <c r="A264" s="3" t="s">
        <v>325</v>
      </c>
    </row>
    <row r="265" spans="1:1" x14ac:dyDescent="0.25">
      <c r="A265" s="3" t="s">
        <v>326</v>
      </c>
    </row>
    <row r="267" spans="1:1" x14ac:dyDescent="0.25">
      <c r="A267" s="3" t="s">
        <v>327</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50EC1-1F33-48D9-8A71-655C9F451812}">
  <sheetPr codeName="Sheet3"/>
  <dimension ref="A1:AF10"/>
  <sheetViews>
    <sheetView zoomScale="75" zoomScaleNormal="75" workbookViewId="0">
      <selection activeCell="B8" sqref="B8"/>
    </sheetView>
  </sheetViews>
  <sheetFormatPr defaultRowHeight="15" x14ac:dyDescent="0.25"/>
  <cols>
    <col min="1" max="1" width="14.140625" bestFit="1" customWidth="1"/>
    <col min="2" max="2" width="75.7109375" customWidth="1"/>
    <col min="7" max="8" width="15.7109375" customWidth="1"/>
    <col min="9" max="9" width="75.7109375" customWidth="1"/>
    <col min="10" max="17" width="15.7109375" customWidth="1"/>
  </cols>
  <sheetData>
    <row r="1" spans="1:32" x14ac:dyDescent="0.25">
      <c r="A1" s="18" t="s">
        <v>47</v>
      </c>
      <c r="H1" s="16" t="s">
        <v>56</v>
      </c>
      <c r="I1" s="16" t="s">
        <v>40</v>
      </c>
      <c r="J1" s="16" t="s">
        <v>43</v>
      </c>
      <c r="K1" s="16" t="s">
        <v>44</v>
      </c>
      <c r="L1" s="16" t="s">
        <v>23</v>
      </c>
      <c r="M1" s="16" t="s">
        <v>45</v>
      </c>
      <c r="N1" s="16" t="s">
        <v>5</v>
      </c>
      <c r="O1" s="16" t="s">
        <v>46</v>
      </c>
      <c r="P1" s="16" t="s">
        <v>55</v>
      </c>
      <c r="Z1">
        <v>48</v>
      </c>
    </row>
    <row r="2" spans="1:32" x14ac:dyDescent="0.25">
      <c r="A2" s="18" t="s">
        <v>54</v>
      </c>
      <c r="Z2" t="s">
        <v>124</v>
      </c>
      <c r="AC2">
        <v>1</v>
      </c>
      <c r="AD2">
        <v>48</v>
      </c>
      <c r="AF2">
        <v>1</v>
      </c>
    </row>
    <row r="4" spans="1:32" x14ac:dyDescent="0.25">
      <c r="A4" s="17" t="s">
        <v>30</v>
      </c>
      <c r="B4" s="17" t="s">
        <v>3</v>
      </c>
      <c r="C4" s="17" t="s">
        <v>1</v>
      </c>
      <c r="D4" s="17" t="s">
        <v>48</v>
      </c>
      <c r="E4" s="17" t="s">
        <v>49</v>
      </c>
    </row>
    <row r="10" spans="1:32" x14ac:dyDescent="0.25">
      <c r="I10" s="16" t="s">
        <v>40</v>
      </c>
      <c r="J10" s="16" t="s">
        <v>23</v>
      </c>
      <c r="K10" s="16" t="s">
        <v>45</v>
      </c>
      <c r="L10" s="16" t="s">
        <v>50</v>
      </c>
      <c r="M10" s="16" t="s">
        <v>55</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00" r:id="rId4" name="Button 76">
              <controlPr defaultSize="0" print="0" autoFill="0" autoPict="0" macro="[0]!SEARCH_AddAllSummaryToPurchase">
                <anchor moveWithCells="1" sizeWithCells="1">
                  <from>
                    <xdr:col>6</xdr:col>
                    <xdr:colOff>47625</xdr:colOff>
                    <xdr:row>2</xdr:row>
                    <xdr:rowOff>19050</xdr:rowOff>
                  </from>
                  <to>
                    <xdr:col>6</xdr:col>
                    <xdr:colOff>990600</xdr:colOff>
                    <xdr:row>2</xdr:row>
                    <xdr:rowOff>161925</xdr:rowOff>
                  </to>
                </anchor>
              </controlPr>
            </control>
          </mc:Choice>
        </mc:AlternateContent>
        <mc:AlternateContent xmlns:mc="http://schemas.openxmlformats.org/markup-compatibility/2006">
          <mc:Choice Requires="x14">
            <control shapeId="1101" r:id="rId5" name="Button 77">
              <controlPr defaultSize="0" print="0" autoFill="0" autoPict="0" macro="[0]!SEARCH_Refresh">
                <anchor moveWithCells="1" sizeWithCells="1">
                  <from>
                    <xdr:col>6</xdr:col>
                    <xdr:colOff>47625</xdr:colOff>
                    <xdr:row>3</xdr:row>
                    <xdr:rowOff>19050</xdr:rowOff>
                  </from>
                  <to>
                    <xdr:col>6</xdr:col>
                    <xdr:colOff>990600</xdr:colOff>
                    <xdr:row>3</xdr:row>
                    <xdr:rowOff>161925</xdr:rowOff>
                  </to>
                </anchor>
              </controlPr>
            </control>
          </mc:Choice>
        </mc:AlternateContent>
        <mc:AlternateContent xmlns:mc="http://schemas.openxmlformats.org/markup-compatibility/2006">
          <mc:Choice Requires="x14">
            <control shapeId="1102" r:id="rId6" name="Button 78">
              <controlPr defaultSize="0" print="0" autoFill="0" autoPict="0" macro="[0]!SEARCH_BuildFinalView">
                <anchor moveWithCells="1" sizeWithCells="1">
                  <from>
                    <xdr:col>6</xdr:col>
                    <xdr:colOff>47625</xdr:colOff>
                    <xdr:row>4</xdr:row>
                    <xdr:rowOff>19050</xdr:rowOff>
                  </from>
                  <to>
                    <xdr:col>6</xdr:col>
                    <xdr:colOff>990600</xdr:colOff>
                    <xdr:row>4</xdr:row>
                    <xdr:rowOff>161925</xdr:rowOff>
                  </to>
                </anchor>
              </controlPr>
            </control>
          </mc:Choice>
        </mc:AlternateContent>
        <mc:AlternateContent xmlns:mc="http://schemas.openxmlformats.org/markup-compatibility/2006">
          <mc:Choice Requires="x14">
            <control shapeId="1103" r:id="rId7" name="Button 79">
              <controlPr defaultSize="0" print="0" autoFill="0" autoPict="0" macro="[0]!SEARCH_AddSelectedToEdit">
                <anchor moveWithCells="1" sizeWithCells="1">
                  <from>
                    <xdr:col>6</xdr:col>
                    <xdr:colOff>47625</xdr:colOff>
                    <xdr:row>5</xdr:row>
                    <xdr:rowOff>19050</xdr:rowOff>
                  </from>
                  <to>
                    <xdr:col>6</xdr:col>
                    <xdr:colOff>990600</xdr:colOff>
                    <xdr:row>5</xdr:row>
                    <xdr:rowOff>161925</xdr:rowOff>
                  </to>
                </anchor>
              </controlPr>
            </control>
          </mc:Choice>
        </mc:AlternateContent>
        <mc:AlternateContent xmlns:mc="http://schemas.openxmlformats.org/markup-compatibility/2006">
          <mc:Choice Requires="x14">
            <control shapeId="1104" r:id="rId8" name="Button 80">
              <controlPr defaultSize="0" print="0" autoFill="0" autoPict="0" macro="[0]!SEARCH_SaveEditGrid">
                <anchor moveWithCells="1" sizeWithCells="1">
                  <from>
                    <xdr:col>6</xdr:col>
                    <xdr:colOff>47625</xdr:colOff>
                    <xdr:row>6</xdr:row>
                    <xdr:rowOff>19050</xdr:rowOff>
                  </from>
                  <to>
                    <xdr:col>6</xdr:col>
                    <xdr:colOff>990600</xdr:colOff>
                    <xdr:row>6</xdr:row>
                    <xdr:rowOff>161925</xdr:rowOff>
                  </to>
                </anchor>
              </controlPr>
            </control>
          </mc:Choice>
        </mc:AlternateContent>
        <mc:AlternateContent xmlns:mc="http://schemas.openxmlformats.org/markup-compatibility/2006">
          <mc:Choice Requires="x14">
            <control shapeId="1105" r:id="rId9" name="Button 81">
              <controlPr defaultSize="0" print="0" autoFill="0" autoPict="0" macro="[0]!SEARCH_ClearEditGrid">
                <anchor moveWithCells="1" sizeWithCells="1">
                  <from>
                    <xdr:col>6</xdr:col>
                    <xdr:colOff>47625</xdr:colOff>
                    <xdr:row>7</xdr:row>
                    <xdr:rowOff>19050</xdr:rowOff>
                  </from>
                  <to>
                    <xdr:col>6</xdr:col>
                    <xdr:colOff>990600</xdr:colOff>
                    <xdr:row>7</xdr:row>
                    <xdr:rowOff>161925</xdr:rowOff>
                  </to>
                </anchor>
              </controlPr>
            </control>
          </mc:Choice>
        </mc:AlternateContent>
        <mc:AlternateContent xmlns:mc="http://schemas.openxmlformats.org/markup-compatibility/2006">
          <mc:Choice Requires="x14">
            <control shapeId="1106" r:id="rId10" name="Button 82">
              <controlPr defaultSize="0" print="0" autoFill="0" autoPict="0" macro="[0]!SEARCH_DeleteSelectedOverride">
                <anchor moveWithCells="1" sizeWithCells="1">
                  <from>
                    <xdr:col>6</xdr:col>
                    <xdr:colOff>47625</xdr:colOff>
                    <xdr:row>8</xdr:row>
                    <xdr:rowOff>19050</xdr:rowOff>
                  </from>
                  <to>
                    <xdr:col>6</xdr:col>
                    <xdr:colOff>990600</xdr:colOff>
                    <xdr:row>8</xdr:row>
                    <xdr:rowOff>161925</xdr:rowOff>
                  </to>
                </anchor>
              </controlPr>
            </control>
          </mc:Choice>
        </mc:AlternateContent>
        <mc:AlternateContent xmlns:mc="http://schemas.openxmlformats.org/markup-compatibility/2006">
          <mc:Choice Requires="x14">
            <control shapeId="1107" r:id="rId11" name="Button 83">
              <controlPr defaultSize="0" print="0" autoFill="0" autoPict="0" macro="[0]!SEARCH_UndoLast">
                <anchor moveWithCells="1" sizeWithCells="1">
                  <from>
                    <xdr:col>6</xdr:col>
                    <xdr:colOff>47625</xdr:colOff>
                    <xdr:row>9</xdr:row>
                    <xdr:rowOff>19050</xdr:rowOff>
                  </from>
                  <to>
                    <xdr:col>6</xdr:col>
                    <xdr:colOff>990600</xdr:colOff>
                    <xdr:row>9</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06739-C211-4AD4-BD32-959B13B83F74}">
  <sheetPr codeName="Sheet4"/>
  <dimension ref="A1:S2"/>
  <sheetViews>
    <sheetView zoomScale="75" zoomScaleNormal="75" workbookViewId="0">
      <selection sqref="A1:S1048576"/>
    </sheetView>
  </sheetViews>
  <sheetFormatPr defaultRowHeight="15" x14ac:dyDescent="0.25"/>
  <cols>
    <col min="1" max="1" width="3.7109375" bestFit="1" customWidth="1"/>
    <col min="2" max="2" width="4.5703125" bestFit="1" customWidth="1"/>
    <col min="3" max="3" width="9.28515625" bestFit="1" customWidth="1"/>
    <col min="4" max="4" width="11.7109375" bestFit="1" customWidth="1"/>
    <col min="5" max="5" width="10.42578125" style="12" bestFit="1" customWidth="1"/>
    <col min="6" max="6" width="10.28515625" style="20" bestFit="1" customWidth="1"/>
    <col min="7" max="7" width="8.85546875" style="12" bestFit="1" customWidth="1"/>
    <col min="8" max="8" width="14.42578125" style="12" bestFit="1" customWidth="1"/>
    <col min="9" max="9" width="9.28515625" style="12" bestFit="1" customWidth="1"/>
    <col min="10" max="10" width="12.5703125" style="12" bestFit="1" customWidth="1"/>
    <col min="11" max="11" width="13.7109375" style="12" bestFit="1" customWidth="1"/>
    <col min="12" max="12" width="10.42578125" style="12" bestFit="1" customWidth="1"/>
    <col min="13" max="13" width="9.140625" style="12"/>
    <col min="14" max="14" width="10.28515625" style="20" bestFit="1" customWidth="1"/>
    <col min="15" max="15" width="9.140625" style="20"/>
    <col min="16" max="16" width="6.85546875" style="12" bestFit="1" customWidth="1"/>
    <col min="17" max="17" width="5.7109375" style="12" bestFit="1" customWidth="1"/>
    <col min="18" max="18" width="7" style="12" bestFit="1" customWidth="1"/>
    <col min="19" max="19" width="11.5703125" style="12" bestFit="1" customWidth="1"/>
    <col min="20" max="20" width="44.28515625" bestFit="1" customWidth="1"/>
  </cols>
  <sheetData>
    <row r="1" spans="1:19" x14ac:dyDescent="0.25">
      <c r="A1" t="s">
        <v>51</v>
      </c>
      <c r="B1" t="s">
        <v>40</v>
      </c>
      <c r="C1" t="s">
        <v>30</v>
      </c>
      <c r="D1" t="s">
        <v>3</v>
      </c>
      <c r="E1" s="12" t="s">
        <v>37</v>
      </c>
      <c r="F1" s="12" t="s">
        <v>38</v>
      </c>
      <c r="G1" s="12" t="s">
        <v>49</v>
      </c>
      <c r="H1" s="12" t="s">
        <v>43</v>
      </c>
      <c r="I1" s="12" t="s">
        <v>44</v>
      </c>
      <c r="J1" s="12" t="s">
        <v>23</v>
      </c>
      <c r="K1" s="12" t="s">
        <v>45</v>
      </c>
      <c r="L1" s="12" t="s">
        <v>41</v>
      </c>
      <c r="M1" s="12" t="s">
        <v>2</v>
      </c>
      <c r="N1" s="12" t="s">
        <v>42</v>
      </c>
      <c r="O1" s="12" t="s">
        <v>22</v>
      </c>
      <c r="P1" s="12" t="s">
        <v>50</v>
      </c>
      <c r="Q1" s="12" t="s">
        <v>5</v>
      </c>
      <c r="R1" s="12" t="s">
        <v>52</v>
      </c>
      <c r="S1" s="12" t="s">
        <v>53</v>
      </c>
    </row>
    <row r="2" spans="1:19" x14ac:dyDescent="0.25">
      <c r="A2" s="12"/>
      <c r="B2" s="12"/>
      <c r="C2" s="12"/>
      <c r="D2" s="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D51"/>
  <sheetViews>
    <sheetView zoomScale="75" zoomScaleNormal="75" workbookViewId="0">
      <pane ySplit="49" topLeftCell="A50" activePane="bottomLeft" state="frozen"/>
      <selection pane="bottomLeft" activeCell="N17" sqref="N17"/>
    </sheetView>
  </sheetViews>
  <sheetFormatPr defaultColWidth="8.7109375" defaultRowHeight="15" x14ac:dyDescent="0.25"/>
  <cols>
    <col min="1" max="1" width="13.7109375" customWidth="1"/>
    <col min="2" max="2" width="13.7109375" style="23" customWidth="1"/>
    <col min="3"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7" width="8.7109375" style="9" customWidth="1"/>
    <col min="18" max="18" width="10.42578125" style="9" bestFit="1" customWidth="1"/>
    <col min="19" max="19" width="10.7109375" customWidth="1"/>
    <col min="20" max="20" width="1.7109375" style="1" customWidth="1"/>
    <col min="21" max="21" width="9.85546875" bestFit="1" customWidth="1"/>
    <col min="22" max="22" width="50.7109375"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s>
  <sheetData>
    <row r="1" spans="1:30" x14ac:dyDescent="0.25">
      <c r="A1" s="24" t="s">
        <v>24</v>
      </c>
      <c r="B1" s="25"/>
      <c r="C1" s="14" cm="1">
        <f t="array" aca="1" ref="C1" ca="1">_xlfn.LET(_xlpm.v,IFERROR(--C$3:C$49,0),IF(SUMPRODUCT(--(_xlpm.v&lt;&gt;0))=0,"",SUM(_xlpm.v)))</f>
        <v>41140.662500000006</v>
      </c>
      <c r="D1" s="14" cm="1">
        <f t="array" aca="1" ref="D1" ca="1">_xlfn.LET(_xlpm.v,IFERROR(--D$3:D$49,0),IF(SUMPRODUCT(--(_xlpm.v&lt;&gt;0))=0,"",SUM(_xlpm.v)))</f>
        <v>35602.5</v>
      </c>
      <c r="E1" s="14" cm="1">
        <f t="array" aca="1" ref="E1" ca="1">_xlfn.LET(_xlpm.v,IFERROR(--E$3:E$49,0),IF(SUMPRODUCT(--(_xlpm.v&lt;&gt;0))=0,"",SUM(_xlpm.v)))</f>
        <v>5600</v>
      </c>
      <c r="F1" s="14" cm="1">
        <f t="array" aca="1" ref="F1" ca="1">_xlfn.LET(_xlpm.v,IFERROR(--F$3:F$49,0),IF(SUMPRODUCT(--(_xlpm.v&lt;&gt;0))=0,"",SUM(_xlpm.v)))</f>
        <v>82343.162500000006</v>
      </c>
      <c r="G1" s="14" cm="1">
        <f t="array" aca="1" ref="G1" ca="1">_xlfn.LET(_xlpm.v,IFERROR(--G$3:G$49,0),IF(SUMPRODUCT(--(_xlpm.v&lt;&gt;0))=0,"",SUM(_xlpm.v)))</f>
        <v>82343.162500000006</v>
      </c>
      <c r="I1" t="s">
        <v>29</v>
      </c>
      <c r="L1"/>
      <c r="M1"/>
      <c r="N1"/>
      <c r="O1"/>
      <c r="P1"/>
      <c r="Q1"/>
      <c r="R1" s="10">
        <f>SUM(R3:R500)</f>
        <v>0</v>
      </c>
      <c r="S1" s="11"/>
      <c r="U1" s="11"/>
      <c r="V1" s="11"/>
      <c r="W1" s="11"/>
      <c r="X1" s="11"/>
      <c r="Y1" s="11"/>
      <c r="Z1" s="11"/>
      <c r="AA1" s="11"/>
      <c r="AB1" s="10">
        <f>SUM(AA3:AA500)</f>
        <v>0</v>
      </c>
    </row>
    <row r="2" spans="1:30" x14ac:dyDescent="0.25">
      <c r="A2" s="12" t="s">
        <v>18</v>
      </c>
      <c r="B2" s="12" t="s">
        <v>6</v>
      </c>
      <c r="C2" s="15" t="s">
        <v>19</v>
      </c>
      <c r="D2" s="15" t="s">
        <v>20</v>
      </c>
      <c r="E2" s="15" t="s">
        <v>21</v>
      </c>
      <c r="F2" s="15" t="s">
        <v>25</v>
      </c>
      <c r="G2" s="15" t="s">
        <v>26</v>
      </c>
      <c r="I2" t="s">
        <v>30</v>
      </c>
      <c r="J2" t="s">
        <v>31</v>
      </c>
      <c r="K2" t="s">
        <v>1</v>
      </c>
      <c r="L2" s="9" t="s">
        <v>17</v>
      </c>
      <c r="M2" s="9" t="s">
        <v>27</v>
      </c>
      <c r="N2" s="9" t="s">
        <v>4</v>
      </c>
      <c r="O2" s="9" t="s">
        <v>28</v>
      </c>
      <c r="P2" s="9" t="s">
        <v>23</v>
      </c>
      <c r="Q2" s="9" t="s">
        <v>2</v>
      </c>
      <c r="R2" s="9" t="s">
        <v>22</v>
      </c>
      <c r="U2" t="s">
        <v>30</v>
      </c>
      <c r="V2" t="s">
        <v>3</v>
      </c>
      <c r="W2" t="s">
        <v>1</v>
      </c>
      <c r="X2" t="s">
        <v>48</v>
      </c>
      <c r="Y2" t="s">
        <v>118</v>
      </c>
      <c r="Z2" t="s">
        <v>119</v>
      </c>
      <c r="AA2" t="s">
        <v>120</v>
      </c>
      <c r="AB2" t="s">
        <v>121</v>
      </c>
      <c r="AC2" t="s">
        <v>122</v>
      </c>
      <c r="AD2" t="s">
        <v>123</v>
      </c>
    </row>
    <row r="3" spans="1:3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row>
    <row r="4" spans="1:30" x14ac:dyDescent="0.25">
      <c r="A4" s="12">
        <v>1</v>
      </c>
      <c r="B4" s="12" t="str">
        <f t="shared" ref="B4:B14" si="0">IF($A4=1,"S"&amp;TEXT(ROW()-2,"00"),"")</f>
        <v>S02</v>
      </c>
      <c r="C4" s="9">
        <f t="shared" ref="C4:C49" ca="1" si="1">_xlfn.LET(_xlpm.sh,IFERROR(MID($B4,SEARCH("S",$B4),3),$B4),IF($B4="","",IFERROR(SUMIFS(INDIRECT("'"&amp;_xlpm.sh&amp;"'!N3:N300"),INDIRECT("'"&amp;_xlpm.sh&amp;"'!F3:F300"),"&lt;&gt;",INDIRECT("'"&amp;_xlpm.sh&amp;"'!H3:H300"),"&lt;&gt;"),0)))</f>
        <v>0</v>
      </c>
      <c r="D4" s="9">
        <f t="shared" ref="D4:D49" ca="1" si="2">_xlfn.LET(_xlpm.sh,IFERROR(MID($B4,SEARCH("S",$B4),3),$B4),IF($B4="","",IFERROR(SUMIFS(INDIRECT("'"&amp;_xlpm.sh&amp;"'!Y3:Y300"),INDIRECT("'"&amp;_xlpm.sh&amp;"'!Q3:Q300"),"&lt;&gt;",INDIRECT("'"&amp;_xlpm.sh&amp;"'!S3:S300"),"&lt;&gt;"),0)))</f>
        <v>0</v>
      </c>
      <c r="E4" s="9">
        <f t="shared" ref="E4:E49" ca="1" si="3">_xlfn.LET(_xlpm.sh,IFERROR(MID($B4,SEARCH("S",$B4),3),$B4),IF($B4="","",IFERROR(SUMIFS(INDIRECT("'"&amp;_xlpm.sh&amp;"'!AJ3:AJ300"),INDIRECT("'"&amp;_xlpm.sh&amp;"'!AB3:AB300"),"&lt;&gt;",INDIRECT("'"&amp;_xlpm.sh&amp;"'!AD3:AD300"),"&lt;&gt;"),0)))</f>
        <v>0</v>
      </c>
      <c r="F4" s="9">
        <f t="shared" ref="F4:F49" ca="1" si="4">IF($B4="","",C4+D4+E4)</f>
        <v>0</v>
      </c>
      <c r="G4" s="9">
        <f t="shared" ref="G4:G49" ca="1" si="5">IF($A4=1,$F4,0)</f>
        <v>0</v>
      </c>
    </row>
    <row r="5" spans="1:30" x14ac:dyDescent="0.25">
      <c r="A5" s="12">
        <v>1</v>
      </c>
      <c r="B5" s="12" t="str">
        <f t="shared" si="0"/>
        <v>S03</v>
      </c>
      <c r="C5" s="9">
        <f t="shared" ca="1" si="1"/>
        <v>0</v>
      </c>
      <c r="D5" s="9">
        <f t="shared" ca="1" si="2"/>
        <v>2250</v>
      </c>
      <c r="E5" s="9">
        <f t="shared" ca="1" si="3"/>
        <v>0</v>
      </c>
      <c r="F5" s="9">
        <f t="shared" ca="1" si="4"/>
        <v>2250</v>
      </c>
      <c r="G5" s="9">
        <f t="shared" ca="1" si="5"/>
        <v>2250</v>
      </c>
    </row>
    <row r="6" spans="1:30" x14ac:dyDescent="0.25">
      <c r="A6" s="12">
        <v>1</v>
      </c>
      <c r="B6" s="12" t="str">
        <f t="shared" si="0"/>
        <v>S04</v>
      </c>
      <c r="C6" s="9">
        <f t="shared" ca="1" si="1"/>
        <v>4126.8999999999996</v>
      </c>
      <c r="D6" s="9">
        <f t="shared" ca="1" si="2"/>
        <v>1822.5</v>
      </c>
      <c r="E6" s="9">
        <f t="shared" ca="1" si="3"/>
        <v>900</v>
      </c>
      <c r="F6" s="9">
        <f t="shared" ca="1" si="4"/>
        <v>6849.4</v>
      </c>
      <c r="G6" s="9">
        <f t="shared" ca="1" si="5"/>
        <v>6849.4</v>
      </c>
    </row>
    <row r="7" spans="1:30" x14ac:dyDescent="0.25">
      <c r="A7" s="12">
        <v>1</v>
      </c>
      <c r="B7" s="12" t="str">
        <f t="shared" si="0"/>
        <v>S05</v>
      </c>
      <c r="C7" s="9">
        <f t="shared" ca="1" si="1"/>
        <v>3586.95</v>
      </c>
      <c r="D7" s="9">
        <f t="shared" ca="1" si="2"/>
        <v>3172.5</v>
      </c>
      <c r="E7" s="9">
        <f t="shared" ca="1" si="3"/>
        <v>900</v>
      </c>
      <c r="F7" s="9">
        <f t="shared" ca="1" si="4"/>
        <v>7659.45</v>
      </c>
      <c r="G7" s="9">
        <f t="shared" ca="1" si="5"/>
        <v>7659.45</v>
      </c>
    </row>
    <row r="8" spans="1:30" x14ac:dyDescent="0.25">
      <c r="A8" s="12">
        <v>1</v>
      </c>
      <c r="B8" s="12" t="str">
        <f t="shared" si="0"/>
        <v>S06</v>
      </c>
      <c r="C8" s="9">
        <f t="shared" ca="1" si="1"/>
        <v>2692.75</v>
      </c>
      <c r="D8" s="9">
        <f t="shared" ca="1" si="2"/>
        <v>2475</v>
      </c>
      <c r="E8" s="9">
        <f t="shared" ca="1" si="3"/>
        <v>0</v>
      </c>
      <c r="F8" s="9">
        <f t="shared" ca="1" si="4"/>
        <v>5167.75</v>
      </c>
      <c r="G8" s="9">
        <f t="shared" ca="1" si="5"/>
        <v>5167.75</v>
      </c>
    </row>
    <row r="9" spans="1:30" x14ac:dyDescent="0.25">
      <c r="A9" s="12">
        <v>1</v>
      </c>
      <c r="B9" s="12" t="str">
        <f t="shared" si="0"/>
        <v>S07</v>
      </c>
      <c r="C9" s="9">
        <f t="shared" ca="1" si="1"/>
        <v>531.56000000000006</v>
      </c>
      <c r="D9" s="9">
        <f t="shared" ca="1" si="2"/>
        <v>1440</v>
      </c>
      <c r="E9" s="9">
        <f t="shared" ca="1" si="3"/>
        <v>0</v>
      </c>
      <c r="F9" s="9">
        <f t="shared" ca="1" si="4"/>
        <v>1971.56</v>
      </c>
      <c r="G9" s="9">
        <f t="shared" ca="1" si="5"/>
        <v>1971.56</v>
      </c>
    </row>
    <row r="10" spans="1:3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row>
    <row r="11" spans="1:3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row>
    <row r="12" spans="1:3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row>
    <row r="13" spans="1:3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row>
    <row r="14" spans="1:30" x14ac:dyDescent="0.25">
      <c r="A14" s="12">
        <v>1</v>
      </c>
      <c r="B14" s="12" t="str">
        <f t="shared" si="0"/>
        <v>S12</v>
      </c>
      <c r="C14" s="9">
        <f t="shared" ca="1" si="1"/>
        <v>868</v>
      </c>
      <c r="D14" s="9">
        <f t="shared" ca="1" si="2"/>
        <v>2520</v>
      </c>
      <c r="E14" s="9">
        <f t="shared" ca="1" si="3"/>
        <v>0</v>
      </c>
      <c r="F14" s="9">
        <f t="shared" ca="1" si="4"/>
        <v>3388</v>
      </c>
      <c r="G14" s="9">
        <f t="shared" ca="1" si="5"/>
        <v>3388</v>
      </c>
    </row>
    <row r="15" spans="1:30" x14ac:dyDescent="0.25">
      <c r="A15" s="12">
        <v>1</v>
      </c>
      <c r="B15" s="23" t="str">
        <f t="shared" ref="B15:B49" si="6">IF($A15=1,"S"&amp;TEXT(ROW()-2,"00"),"")</f>
        <v>S13</v>
      </c>
      <c r="C15" s="9">
        <f t="shared" ca="1" si="1"/>
        <v>5271.5</v>
      </c>
      <c r="D15" s="9">
        <f t="shared" ca="1" si="2"/>
        <v>5040</v>
      </c>
      <c r="E15" s="9">
        <f t="shared" ca="1" si="3"/>
        <v>0</v>
      </c>
      <c r="F15" s="9">
        <f t="shared" ca="1" si="4"/>
        <v>10311.5</v>
      </c>
      <c r="G15" s="9">
        <f t="shared" ca="1" si="5"/>
        <v>10311.5</v>
      </c>
    </row>
    <row r="16" spans="1:30" x14ac:dyDescent="0.25">
      <c r="A16" s="12">
        <v>1</v>
      </c>
      <c r="B16" s="23" t="str">
        <f t="shared" si="6"/>
        <v>S14</v>
      </c>
      <c r="C16" s="9">
        <f t="shared" ca="1" si="1"/>
        <v>1825.2700000000002</v>
      </c>
      <c r="D16" s="9">
        <f t="shared" ca="1" si="2"/>
        <v>1440</v>
      </c>
      <c r="E16" s="9">
        <f t="shared" ca="1" si="3"/>
        <v>0</v>
      </c>
      <c r="F16" s="9">
        <f t="shared" ca="1" si="4"/>
        <v>3265.2700000000004</v>
      </c>
      <c r="G16" s="9">
        <f t="shared" ca="1" si="5"/>
        <v>3265.2700000000004</v>
      </c>
    </row>
    <row r="17" spans="1:7" x14ac:dyDescent="0.25">
      <c r="A17" s="12">
        <v>1</v>
      </c>
      <c r="B17" s="23" t="str">
        <f t="shared" si="6"/>
        <v>S15</v>
      </c>
      <c r="C17" s="9">
        <f t="shared" ca="1" si="1"/>
        <v>1233.76</v>
      </c>
      <c r="D17" s="9">
        <f t="shared" ca="1" si="2"/>
        <v>1057.5</v>
      </c>
      <c r="E17" s="9">
        <f t="shared" ca="1" si="3"/>
        <v>0</v>
      </c>
      <c r="F17" s="9">
        <f t="shared" ca="1" si="4"/>
        <v>2291.2600000000002</v>
      </c>
      <c r="G17" s="9">
        <f t="shared" ca="1" si="5"/>
        <v>2291.2600000000002</v>
      </c>
    </row>
    <row r="18" spans="1:7" x14ac:dyDescent="0.25">
      <c r="A18" s="12">
        <v>1</v>
      </c>
      <c r="B18" s="23" t="str">
        <f t="shared" si="6"/>
        <v>S16</v>
      </c>
      <c r="C18" s="9">
        <f t="shared" ca="1" si="1"/>
        <v>3591.7999999999997</v>
      </c>
      <c r="D18" s="9">
        <f t="shared" ca="1" si="2"/>
        <v>2100</v>
      </c>
      <c r="E18" s="9">
        <f t="shared" ca="1" si="3"/>
        <v>0</v>
      </c>
      <c r="F18" s="9">
        <f t="shared" ca="1" si="4"/>
        <v>5691.7999999999993</v>
      </c>
      <c r="G18" s="9">
        <f t="shared" ca="1" si="5"/>
        <v>5691.7999999999993</v>
      </c>
    </row>
    <row r="19" spans="1:7" x14ac:dyDescent="0.25">
      <c r="A19" s="12">
        <v>1</v>
      </c>
      <c r="B19" s="23" t="str">
        <f t="shared" si="6"/>
        <v>S17</v>
      </c>
      <c r="C19" s="9">
        <f t="shared" ca="1" si="1"/>
        <v>2830</v>
      </c>
      <c r="D19" s="9">
        <f t="shared" ca="1" si="2"/>
        <v>2520</v>
      </c>
      <c r="E19" s="9">
        <f t="shared" ca="1" si="3"/>
        <v>0</v>
      </c>
      <c r="F19" s="9">
        <f t="shared" ca="1" si="4"/>
        <v>5350</v>
      </c>
      <c r="G19" s="9">
        <f t="shared" ca="1" si="5"/>
        <v>5350</v>
      </c>
    </row>
    <row r="20" spans="1:7" x14ac:dyDescent="0.25">
      <c r="B20" s="23" t="str">
        <f t="shared" si="6"/>
        <v/>
      </c>
      <c r="C20" s="9" t="str">
        <f t="shared" ca="1" si="1"/>
        <v/>
      </c>
      <c r="D20" s="9" t="str">
        <f t="shared" ca="1" si="2"/>
        <v/>
      </c>
      <c r="E20" s="9" t="str">
        <f t="shared" ca="1" si="3"/>
        <v/>
      </c>
      <c r="F20" s="9" t="str">
        <f t="shared" si="4"/>
        <v/>
      </c>
      <c r="G20" s="9">
        <f t="shared" si="5"/>
        <v>0</v>
      </c>
    </row>
    <row r="21" spans="1:7" x14ac:dyDescent="0.25">
      <c r="B21" s="23" t="str">
        <f t="shared" si="6"/>
        <v/>
      </c>
      <c r="C21" s="9" t="str">
        <f t="shared" ca="1" si="1"/>
        <v/>
      </c>
      <c r="D21" s="9" t="str">
        <f t="shared" ca="1" si="2"/>
        <v/>
      </c>
      <c r="E21" s="9" t="str">
        <f t="shared" ca="1" si="3"/>
        <v/>
      </c>
      <c r="F21" s="9" t="str">
        <f t="shared" si="4"/>
        <v/>
      </c>
      <c r="G21" s="9">
        <f t="shared" si="5"/>
        <v>0</v>
      </c>
    </row>
    <row r="22" spans="1:7" x14ac:dyDescent="0.25">
      <c r="B22" s="23" t="str">
        <f t="shared" si="6"/>
        <v/>
      </c>
      <c r="C22" s="9" t="str">
        <f t="shared" ca="1" si="1"/>
        <v/>
      </c>
      <c r="D22" s="9" t="str">
        <f t="shared" ca="1" si="2"/>
        <v/>
      </c>
      <c r="E22" s="9" t="str">
        <f t="shared" ca="1" si="3"/>
        <v/>
      </c>
      <c r="F22" s="9" t="str">
        <f t="shared" si="4"/>
        <v/>
      </c>
      <c r="G22" s="9">
        <f t="shared" si="5"/>
        <v>0</v>
      </c>
    </row>
    <row r="23" spans="1:7" x14ac:dyDescent="0.25">
      <c r="B23" s="23" t="str">
        <f t="shared" si="6"/>
        <v/>
      </c>
      <c r="C23" s="9" t="str">
        <f t="shared" ca="1" si="1"/>
        <v/>
      </c>
      <c r="D23" s="9" t="str">
        <f t="shared" ca="1" si="2"/>
        <v/>
      </c>
      <c r="E23" s="9" t="str">
        <f t="shared" ca="1" si="3"/>
        <v/>
      </c>
      <c r="F23" s="9" t="str">
        <f t="shared" si="4"/>
        <v/>
      </c>
      <c r="G23" s="9">
        <f t="shared" si="5"/>
        <v>0</v>
      </c>
    </row>
    <row r="24" spans="1:7" x14ac:dyDescent="0.25">
      <c r="B24" s="23" t="str">
        <f t="shared" si="6"/>
        <v/>
      </c>
      <c r="C24" s="9" t="str">
        <f t="shared" ca="1" si="1"/>
        <v/>
      </c>
      <c r="D24" s="9" t="str">
        <f t="shared" ca="1" si="2"/>
        <v/>
      </c>
      <c r="E24" s="9" t="str">
        <f t="shared" ca="1" si="3"/>
        <v/>
      </c>
      <c r="F24" s="9" t="str">
        <f t="shared" si="4"/>
        <v/>
      </c>
      <c r="G24" s="9">
        <f t="shared" si="5"/>
        <v>0</v>
      </c>
    </row>
    <row r="25" spans="1:7" x14ac:dyDescent="0.25">
      <c r="B25" s="23" t="str">
        <f t="shared" si="6"/>
        <v/>
      </c>
      <c r="C25" s="9" t="str">
        <f t="shared" ca="1" si="1"/>
        <v/>
      </c>
      <c r="D25" s="9" t="str">
        <f t="shared" ca="1" si="2"/>
        <v/>
      </c>
      <c r="E25" s="9" t="str">
        <f t="shared" ca="1" si="3"/>
        <v/>
      </c>
      <c r="F25" s="9" t="str">
        <f t="shared" si="4"/>
        <v/>
      </c>
      <c r="G25" s="9">
        <f t="shared" si="5"/>
        <v>0</v>
      </c>
    </row>
    <row r="26" spans="1:7" x14ac:dyDescent="0.25">
      <c r="B26" s="23" t="str">
        <f t="shared" si="6"/>
        <v/>
      </c>
      <c r="C26" s="9" t="str">
        <f t="shared" ca="1" si="1"/>
        <v/>
      </c>
      <c r="D26" s="9" t="str">
        <f t="shared" ca="1" si="2"/>
        <v/>
      </c>
      <c r="E26" s="9" t="str">
        <f t="shared" ca="1" si="3"/>
        <v/>
      </c>
      <c r="F26" s="9" t="str">
        <f t="shared" si="4"/>
        <v/>
      </c>
      <c r="G26" s="9">
        <f t="shared" si="5"/>
        <v>0</v>
      </c>
    </row>
    <row r="27" spans="1:7" x14ac:dyDescent="0.25">
      <c r="B27" s="23" t="str">
        <f t="shared" si="6"/>
        <v/>
      </c>
      <c r="C27" s="9" t="str">
        <f t="shared" ca="1" si="1"/>
        <v/>
      </c>
      <c r="D27" s="9" t="str">
        <f t="shared" ca="1" si="2"/>
        <v/>
      </c>
      <c r="E27" s="9" t="str">
        <f t="shared" ca="1" si="3"/>
        <v/>
      </c>
      <c r="F27" s="9" t="str">
        <f t="shared" si="4"/>
        <v/>
      </c>
      <c r="G27" s="9">
        <f t="shared" si="5"/>
        <v>0</v>
      </c>
    </row>
    <row r="28" spans="1:7" x14ac:dyDescent="0.25">
      <c r="B28" s="23" t="str">
        <f t="shared" si="6"/>
        <v/>
      </c>
      <c r="C28" s="9" t="str">
        <f t="shared" ca="1" si="1"/>
        <v/>
      </c>
      <c r="D28" s="9" t="str">
        <f t="shared" ca="1" si="2"/>
        <v/>
      </c>
      <c r="E28" s="9" t="str">
        <f t="shared" ca="1" si="3"/>
        <v/>
      </c>
      <c r="F28" s="9" t="str">
        <f t="shared" si="4"/>
        <v/>
      </c>
      <c r="G28" s="9">
        <f t="shared" si="5"/>
        <v>0</v>
      </c>
    </row>
    <row r="29" spans="1:7" x14ac:dyDescent="0.25">
      <c r="B29" s="23" t="str">
        <f t="shared" si="6"/>
        <v/>
      </c>
      <c r="C29" s="9" t="str">
        <f t="shared" ca="1" si="1"/>
        <v/>
      </c>
      <c r="D29" s="9" t="str">
        <f t="shared" ca="1" si="2"/>
        <v/>
      </c>
      <c r="E29" s="9" t="str">
        <f t="shared" ca="1" si="3"/>
        <v/>
      </c>
      <c r="F29" s="9" t="str">
        <f t="shared" si="4"/>
        <v/>
      </c>
      <c r="G29" s="9">
        <f t="shared" si="5"/>
        <v>0</v>
      </c>
    </row>
    <row r="30" spans="1:7" x14ac:dyDescent="0.25">
      <c r="B30" s="23" t="str">
        <f t="shared" si="6"/>
        <v/>
      </c>
      <c r="C30" s="9" t="str">
        <f t="shared" ca="1" si="1"/>
        <v/>
      </c>
      <c r="D30" s="9" t="str">
        <f t="shared" ca="1" si="2"/>
        <v/>
      </c>
      <c r="E30" s="9" t="str">
        <f t="shared" ca="1" si="3"/>
        <v/>
      </c>
      <c r="F30" s="9" t="str">
        <f t="shared" si="4"/>
        <v/>
      </c>
      <c r="G30" s="9">
        <f t="shared" si="5"/>
        <v>0</v>
      </c>
    </row>
    <row r="31" spans="1:7" x14ac:dyDescent="0.25">
      <c r="B31" s="23" t="str">
        <f t="shared" si="6"/>
        <v/>
      </c>
      <c r="C31" s="9" t="str">
        <f t="shared" ca="1" si="1"/>
        <v/>
      </c>
      <c r="D31" s="9" t="str">
        <f t="shared" ca="1" si="2"/>
        <v/>
      </c>
      <c r="E31" s="9" t="str">
        <f t="shared" ca="1" si="3"/>
        <v/>
      </c>
      <c r="F31" s="9" t="str">
        <f t="shared" si="4"/>
        <v/>
      </c>
      <c r="G31" s="9">
        <f t="shared" si="5"/>
        <v>0</v>
      </c>
    </row>
    <row r="32" spans="1:7" x14ac:dyDescent="0.25">
      <c r="B32" s="23" t="str">
        <f t="shared" si="6"/>
        <v/>
      </c>
      <c r="C32" s="9" t="str">
        <f t="shared" ca="1" si="1"/>
        <v/>
      </c>
      <c r="D32" s="9" t="str">
        <f t="shared" ca="1" si="2"/>
        <v/>
      </c>
      <c r="E32" s="9" t="str">
        <f t="shared" ca="1" si="3"/>
        <v/>
      </c>
      <c r="F32" s="9" t="str">
        <f t="shared" si="4"/>
        <v/>
      </c>
      <c r="G32" s="9">
        <f t="shared" si="5"/>
        <v>0</v>
      </c>
    </row>
    <row r="33" spans="2:7" x14ac:dyDescent="0.25">
      <c r="B33" s="23" t="str">
        <f t="shared" si="6"/>
        <v/>
      </c>
      <c r="C33" s="9" t="str">
        <f t="shared" ca="1" si="1"/>
        <v/>
      </c>
      <c r="D33" s="9" t="str">
        <f t="shared" ca="1" si="2"/>
        <v/>
      </c>
      <c r="E33" s="9" t="str">
        <f t="shared" ca="1" si="3"/>
        <v/>
      </c>
      <c r="F33" s="9" t="str">
        <f t="shared" si="4"/>
        <v/>
      </c>
      <c r="G33" s="9">
        <f t="shared" si="5"/>
        <v>0</v>
      </c>
    </row>
    <row r="34" spans="2:7" x14ac:dyDescent="0.25">
      <c r="B34" s="23" t="str">
        <f t="shared" si="6"/>
        <v/>
      </c>
      <c r="C34" s="9" t="str">
        <f t="shared" ca="1" si="1"/>
        <v/>
      </c>
      <c r="D34" s="9" t="str">
        <f t="shared" ca="1" si="2"/>
        <v/>
      </c>
      <c r="E34" s="9" t="str">
        <f t="shared" ca="1" si="3"/>
        <v/>
      </c>
      <c r="F34" s="9" t="str">
        <f t="shared" si="4"/>
        <v/>
      </c>
      <c r="G34" s="9">
        <f t="shared" si="5"/>
        <v>0</v>
      </c>
    </row>
    <row r="35" spans="2:7" x14ac:dyDescent="0.25">
      <c r="B35" s="23" t="str">
        <f t="shared" si="6"/>
        <v/>
      </c>
      <c r="C35" s="9" t="str">
        <f t="shared" ca="1" si="1"/>
        <v/>
      </c>
      <c r="D35" s="9" t="str">
        <f t="shared" ca="1" si="2"/>
        <v/>
      </c>
      <c r="E35" s="9" t="str">
        <f t="shared" ca="1" si="3"/>
        <v/>
      </c>
      <c r="F35" s="9" t="str">
        <f t="shared" si="4"/>
        <v/>
      </c>
      <c r="G35" s="9">
        <f t="shared" si="5"/>
        <v>0</v>
      </c>
    </row>
    <row r="36" spans="2:7" x14ac:dyDescent="0.25">
      <c r="B36" s="23" t="str">
        <f t="shared" si="6"/>
        <v/>
      </c>
      <c r="C36" s="9" t="str">
        <f t="shared" ca="1" si="1"/>
        <v/>
      </c>
      <c r="D36" s="9" t="str">
        <f t="shared" ca="1" si="2"/>
        <v/>
      </c>
      <c r="E36" s="9" t="str">
        <f t="shared" ca="1" si="3"/>
        <v/>
      </c>
      <c r="F36" s="9" t="str">
        <f t="shared" si="4"/>
        <v/>
      </c>
      <c r="G36" s="9">
        <f t="shared" si="5"/>
        <v>0</v>
      </c>
    </row>
    <row r="37" spans="2:7" x14ac:dyDescent="0.25">
      <c r="B37" s="23" t="str">
        <f t="shared" si="6"/>
        <v/>
      </c>
      <c r="C37" s="9" t="str">
        <f t="shared" ca="1" si="1"/>
        <v/>
      </c>
      <c r="D37" s="9" t="str">
        <f t="shared" ca="1" si="2"/>
        <v/>
      </c>
      <c r="E37" s="9" t="str">
        <f t="shared" ca="1" si="3"/>
        <v/>
      </c>
      <c r="F37" s="9" t="str">
        <f t="shared" si="4"/>
        <v/>
      </c>
      <c r="G37" s="9">
        <f t="shared" si="5"/>
        <v>0</v>
      </c>
    </row>
    <row r="38" spans="2:7" x14ac:dyDescent="0.25">
      <c r="B38" s="23" t="str">
        <f t="shared" si="6"/>
        <v/>
      </c>
      <c r="C38" s="9" t="str">
        <f t="shared" ca="1" si="1"/>
        <v/>
      </c>
      <c r="D38" s="9" t="str">
        <f t="shared" ca="1" si="2"/>
        <v/>
      </c>
      <c r="E38" s="9" t="str">
        <f t="shared" ca="1" si="3"/>
        <v/>
      </c>
      <c r="F38" s="9" t="str">
        <f t="shared" si="4"/>
        <v/>
      </c>
      <c r="G38" s="9">
        <f t="shared" si="5"/>
        <v>0</v>
      </c>
    </row>
    <row r="39" spans="2:7" x14ac:dyDescent="0.25">
      <c r="B39" s="23" t="str">
        <f t="shared" si="6"/>
        <v/>
      </c>
      <c r="C39" s="9" t="str">
        <f t="shared" ca="1" si="1"/>
        <v/>
      </c>
      <c r="D39" s="9" t="str">
        <f t="shared" ca="1" si="2"/>
        <v/>
      </c>
      <c r="E39" s="9" t="str">
        <f t="shared" ca="1" si="3"/>
        <v/>
      </c>
      <c r="F39" s="9" t="str">
        <f t="shared" si="4"/>
        <v/>
      </c>
      <c r="G39" s="9">
        <f t="shared" si="5"/>
        <v>0</v>
      </c>
    </row>
    <row r="40" spans="2:7" x14ac:dyDescent="0.25">
      <c r="B40" s="23" t="str">
        <f t="shared" si="6"/>
        <v/>
      </c>
      <c r="C40" s="9" t="str">
        <f t="shared" ca="1" si="1"/>
        <v/>
      </c>
      <c r="D40" s="9" t="str">
        <f t="shared" ca="1" si="2"/>
        <v/>
      </c>
      <c r="E40" s="9" t="str">
        <f t="shared" ca="1" si="3"/>
        <v/>
      </c>
      <c r="F40" s="9" t="str">
        <f t="shared" si="4"/>
        <v/>
      </c>
      <c r="G40" s="9">
        <f t="shared" si="5"/>
        <v>0</v>
      </c>
    </row>
    <row r="41" spans="2:7" x14ac:dyDescent="0.25">
      <c r="B41" s="23" t="str">
        <f t="shared" si="6"/>
        <v/>
      </c>
      <c r="C41" s="9" t="str">
        <f t="shared" ca="1" si="1"/>
        <v/>
      </c>
      <c r="D41" s="9" t="str">
        <f t="shared" ca="1" si="2"/>
        <v/>
      </c>
      <c r="E41" s="9" t="str">
        <f t="shared" ca="1" si="3"/>
        <v/>
      </c>
      <c r="F41" s="9" t="str">
        <f t="shared" si="4"/>
        <v/>
      </c>
      <c r="G41" s="9">
        <f t="shared" si="5"/>
        <v>0</v>
      </c>
    </row>
    <row r="42" spans="2:7" x14ac:dyDescent="0.25">
      <c r="B42" s="23" t="str">
        <f t="shared" si="6"/>
        <v/>
      </c>
      <c r="C42" s="9" t="str">
        <f t="shared" ca="1" si="1"/>
        <v/>
      </c>
      <c r="D42" s="9" t="str">
        <f t="shared" ca="1" si="2"/>
        <v/>
      </c>
      <c r="E42" s="9" t="str">
        <f t="shared" ca="1" si="3"/>
        <v/>
      </c>
      <c r="F42" s="9" t="str">
        <f t="shared" si="4"/>
        <v/>
      </c>
      <c r="G42" s="9">
        <f t="shared" si="5"/>
        <v>0</v>
      </c>
    </row>
    <row r="43" spans="2:7" x14ac:dyDescent="0.25">
      <c r="B43" s="23" t="str">
        <f t="shared" si="6"/>
        <v/>
      </c>
      <c r="C43" s="9" t="str">
        <f t="shared" ca="1" si="1"/>
        <v/>
      </c>
      <c r="D43" s="9" t="str">
        <f t="shared" ca="1" si="2"/>
        <v/>
      </c>
      <c r="E43" s="9" t="str">
        <f t="shared" ca="1" si="3"/>
        <v/>
      </c>
      <c r="F43" s="9" t="str">
        <f t="shared" si="4"/>
        <v/>
      </c>
      <c r="G43" s="9">
        <f t="shared" si="5"/>
        <v>0</v>
      </c>
    </row>
    <row r="44" spans="2:7" x14ac:dyDescent="0.25">
      <c r="B44" s="23" t="str">
        <f t="shared" si="6"/>
        <v/>
      </c>
      <c r="C44" s="9" t="str">
        <f t="shared" ca="1" si="1"/>
        <v/>
      </c>
      <c r="D44" s="9" t="str">
        <f t="shared" ca="1" si="2"/>
        <v/>
      </c>
      <c r="E44" s="9" t="str">
        <f t="shared" ca="1" si="3"/>
        <v/>
      </c>
      <c r="F44" s="9" t="str">
        <f t="shared" si="4"/>
        <v/>
      </c>
      <c r="G44" s="9">
        <f t="shared" si="5"/>
        <v>0</v>
      </c>
    </row>
    <row r="45" spans="2:7" x14ac:dyDescent="0.25">
      <c r="B45" s="23" t="str">
        <f t="shared" si="6"/>
        <v/>
      </c>
      <c r="C45" s="9" t="str">
        <f t="shared" ca="1" si="1"/>
        <v/>
      </c>
      <c r="D45" s="9" t="str">
        <f t="shared" ca="1" si="2"/>
        <v/>
      </c>
      <c r="E45" s="9" t="str">
        <f t="shared" ca="1" si="3"/>
        <v/>
      </c>
      <c r="F45" s="9" t="str">
        <f t="shared" si="4"/>
        <v/>
      </c>
      <c r="G45" s="9">
        <f t="shared" si="5"/>
        <v>0</v>
      </c>
    </row>
    <row r="46" spans="2:7" x14ac:dyDescent="0.25">
      <c r="B46" s="23" t="str">
        <f t="shared" si="6"/>
        <v/>
      </c>
      <c r="C46" s="9" t="str">
        <f t="shared" ca="1" si="1"/>
        <v/>
      </c>
      <c r="D46" s="9" t="str">
        <f t="shared" ca="1" si="2"/>
        <v/>
      </c>
      <c r="E46" s="9" t="str">
        <f t="shared" ca="1" si="3"/>
        <v/>
      </c>
      <c r="F46" s="9" t="str">
        <f t="shared" si="4"/>
        <v/>
      </c>
      <c r="G46" s="9">
        <f t="shared" si="5"/>
        <v>0</v>
      </c>
    </row>
    <row r="47" spans="2:7" x14ac:dyDescent="0.25">
      <c r="B47" s="23" t="str">
        <f t="shared" si="6"/>
        <v/>
      </c>
      <c r="C47" s="9" t="str">
        <f t="shared" ca="1" si="1"/>
        <v/>
      </c>
      <c r="D47" s="9" t="str">
        <f t="shared" ca="1" si="2"/>
        <v/>
      </c>
      <c r="E47" s="9" t="str">
        <f t="shared" ca="1" si="3"/>
        <v/>
      </c>
      <c r="F47" s="9" t="str">
        <f t="shared" si="4"/>
        <v/>
      </c>
      <c r="G47" s="9">
        <f t="shared" si="5"/>
        <v>0</v>
      </c>
    </row>
    <row r="48" spans="2:7" x14ac:dyDescent="0.25">
      <c r="B48" s="23" t="str">
        <f t="shared" si="6"/>
        <v/>
      </c>
      <c r="C48" s="9" t="str">
        <f t="shared" ca="1" si="1"/>
        <v/>
      </c>
      <c r="D48" s="9" t="str">
        <f t="shared" ca="1" si="2"/>
        <v/>
      </c>
      <c r="E48" s="9" t="str">
        <f t="shared" ca="1" si="3"/>
        <v/>
      </c>
      <c r="F48" s="9" t="str">
        <f t="shared" si="4"/>
        <v/>
      </c>
      <c r="G48" s="9">
        <f t="shared" si="5"/>
        <v>0</v>
      </c>
    </row>
    <row r="49" spans="2:7" x14ac:dyDescent="0.25">
      <c r="B49" s="23" t="str">
        <f t="shared" si="6"/>
        <v/>
      </c>
      <c r="C49" s="9" t="str">
        <f t="shared" ca="1" si="1"/>
        <v/>
      </c>
      <c r="D49" s="9" t="str">
        <f t="shared" ca="1" si="2"/>
        <v/>
      </c>
      <c r="E49" s="9" t="str">
        <f t="shared" ca="1" si="3"/>
        <v/>
      </c>
      <c r="F49" s="9" t="str">
        <f t="shared" si="4"/>
        <v/>
      </c>
      <c r="G49" s="9">
        <f t="shared" si="5"/>
        <v>0</v>
      </c>
    </row>
    <row r="51" spans="2:7" x14ac:dyDescent="0.25">
      <c r="C51" s="9"/>
      <c r="D51" s="9"/>
      <c r="E51" s="9"/>
      <c r="F51" s="9"/>
      <c r="G51" s="9"/>
    </row>
  </sheetData>
  <mergeCells count="1">
    <mergeCell ref="A1:B1"/>
  </mergeCells>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activeCell="P2" sqref="P2"/>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S01</v>
      </c>
      <c r="B1" s="26"/>
      <c r="C1" s="26"/>
      <c r="E1" s="24" t="str" cm="1">
        <f t="array" aca="1" ref="E1" ca="1">IFERROR(MID(CELL("filename",$A$1),FIND("]",CELL("filename",$A$1))+1,99),"SXX")&amp;" MATERIALS (USAGE + STANDALONE)"</f>
        <v>S01 MATERIALS (USAGE + STANDALONE)</v>
      </c>
      <c r="F1" s="24"/>
      <c r="G1" s="24"/>
      <c r="H1" s="24"/>
      <c r="I1" s="24"/>
      <c r="J1" s="24"/>
      <c r="K1" s="24"/>
      <c r="L1" s="13"/>
      <c r="M1" s="13"/>
      <c r="N1" s="19">
        <f>SUM(N3:N49)</f>
        <v>149</v>
      </c>
      <c r="P1" s="24" t="str" cm="1">
        <f t="array" aca="1" ref="P1" ca="1">IFERROR(MID(CELL("filename",$A$1),FIND("]",CELL("filename",$A$1))+1,99),"SXX")&amp;" LABOUR (USAGE + STANDALONE)"</f>
        <v>S01 LABOUR (USAGE + STANDALONE)</v>
      </c>
      <c r="Q1" s="24"/>
      <c r="R1" s="24"/>
      <c r="S1" s="24"/>
      <c r="T1" s="24"/>
      <c r="U1" s="24"/>
      <c r="V1" s="24"/>
      <c r="Y1" s="19">
        <f>SUM(Y3:Y49)</f>
        <v>315</v>
      </c>
      <c r="AA1" s="27" t="str" cm="1">
        <f t="array" aca="1" ref="AA1" ca="1">IFERROR(MID(CELL("filename",$A$1),FIND("]",CELL("filename",$A$1))+1,99),"SXX")&amp;" RENTAL / SERVICE (USAGE + STANDALONE)"</f>
        <v>S01 RENTAL / SERVICE (USAGE + STANDALONE)</v>
      </c>
      <c r="AB1" s="27"/>
      <c r="AC1" s="27"/>
      <c r="AD1" s="27"/>
      <c r="AE1" s="27"/>
      <c r="AF1" s="27"/>
      <c r="AG1" s="27"/>
      <c r="AH1" s="6"/>
      <c r="AI1" s="6"/>
      <c r="AJ1" s="19">
        <f>SUM(AJ3:AJ49)</f>
        <v>3800</v>
      </c>
    </row>
    <row r="2" spans="1:37" s="2" customFormat="1" x14ac:dyDescent="0.25">
      <c r="A2" s="4" t="s">
        <v>0</v>
      </c>
      <c r="B2" s="4" t="s">
        <v>3</v>
      </c>
      <c r="C2" s="4" t="s">
        <v>5</v>
      </c>
      <c r="D2" s="1"/>
      <c r="E2" s="2" t="s">
        <v>5</v>
      </c>
      <c r="F2" s="2" t="s">
        <v>0</v>
      </c>
      <c r="G2" s="2" t="s">
        <v>3</v>
      </c>
      <c r="H2" s="2" t="s">
        <v>1</v>
      </c>
      <c r="I2" s="2" t="s">
        <v>12</v>
      </c>
      <c r="J2" s="2" t="s">
        <v>4</v>
      </c>
      <c r="K2" s="2" t="s">
        <v>1765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57</v>
      </c>
      <c r="B3" s="3" t="s">
        <v>1473</v>
      </c>
      <c r="C3" s="3" t="s">
        <v>1936</v>
      </c>
      <c r="E3" t="s">
        <v>1967</v>
      </c>
      <c r="F3" t="s">
        <v>332</v>
      </c>
      <c r="G3" t="s">
        <v>333</v>
      </c>
      <c r="H3" t="s">
        <v>8</v>
      </c>
      <c r="I3">
        <v>2</v>
      </c>
      <c r="J3" s="22">
        <v>0</v>
      </c>
      <c r="K3">
        <v>65</v>
      </c>
      <c r="L3" s="8">
        <f t="shared" ref="L3:L49" si="0">IF($G3="","",$I3*(1+IF($J3="",0,$J3)))</f>
        <v>2</v>
      </c>
      <c r="M3" s="8">
        <f t="shared" ref="M3:M49" si="1">IF($G3="","",$L3)</f>
        <v>2</v>
      </c>
      <c r="N3" s="8">
        <f t="shared" ref="N3:N49" si="2">IF($G3="","",IF($K3="","",$M3*$K3))</f>
        <v>130</v>
      </c>
      <c r="P3" t="s">
        <v>2013</v>
      </c>
      <c r="Q3" t="s">
        <v>1970</v>
      </c>
      <c r="R3" t="s">
        <v>329</v>
      </c>
      <c r="S3" t="s">
        <v>33</v>
      </c>
      <c r="T3">
        <v>14</v>
      </c>
      <c r="U3" s="22">
        <v>0</v>
      </c>
      <c r="V3">
        <v>22.5</v>
      </c>
      <c r="W3" s="8">
        <f>IF($R3="","",$T3*(1+IF($U3="",0,$U3)))</f>
        <v>14</v>
      </c>
      <c r="X3" s="8">
        <f>IF($R3="","",$W3)</f>
        <v>14</v>
      </c>
      <c r="Y3" s="8">
        <f>IF($R3="","",IF($V3="","",$X3*$V3))</f>
        <v>315</v>
      </c>
      <c r="AA3" s="6" t="s">
        <v>1490</v>
      </c>
      <c r="AB3" t="s">
        <v>1491</v>
      </c>
      <c r="AC3" t="s">
        <v>573</v>
      </c>
      <c r="AD3" t="s">
        <v>574</v>
      </c>
      <c r="AE3">
        <v>1</v>
      </c>
      <c r="AF3">
        <v>0</v>
      </c>
      <c r="AG3">
        <v>650</v>
      </c>
      <c r="AH3" s="8">
        <f>IF($AC3="","",$AE3*(1+IF($AF3="",0,$AF3)))</f>
        <v>1</v>
      </c>
      <c r="AI3" s="8">
        <f>IF($AC3="","",$AH3)</f>
        <v>1</v>
      </c>
      <c r="AJ3" s="8">
        <f>IF($AC3="","",IF($AG3="","",$AI3*$AG3))</f>
        <v>650</v>
      </c>
    </row>
    <row r="4" spans="1:37" x14ac:dyDescent="0.25">
      <c r="A4" s="3" t="s">
        <v>58</v>
      </c>
      <c r="B4" s="3" t="s">
        <v>1937</v>
      </c>
      <c r="C4" s="3" t="s">
        <v>1938</v>
      </c>
      <c r="E4" t="s">
        <v>1968</v>
      </c>
      <c r="F4" t="s">
        <v>332</v>
      </c>
      <c r="G4" t="s">
        <v>334</v>
      </c>
      <c r="H4" t="s">
        <v>335</v>
      </c>
      <c r="I4">
        <v>1</v>
      </c>
      <c r="J4" s="22">
        <v>0</v>
      </c>
      <c r="K4">
        <v>15</v>
      </c>
      <c r="L4" s="8">
        <f t="shared" si="0"/>
        <v>1</v>
      </c>
      <c r="M4" s="8">
        <f t="shared" si="1"/>
        <v>1</v>
      </c>
      <c r="N4" s="8">
        <f t="shared" si="2"/>
        <v>15</v>
      </c>
      <c r="U4" s="22"/>
      <c r="W4" s="8" t="str">
        <f t="shared" ref="W4:W49" si="3">IF($R4="","",$T4*(1+IF($U4="",0,$U4)))</f>
        <v/>
      </c>
      <c r="X4" s="8" t="str">
        <f t="shared" ref="X4:X49" si="4">IF($R4="","",$W4)</f>
        <v/>
      </c>
      <c r="Y4" s="8" t="str">
        <f t="shared" ref="Y4:Y49" si="5">IF($R4="","",IF($V4="","",$X4*$V4))</f>
        <v/>
      </c>
      <c r="AA4" s="6" t="s">
        <v>1492</v>
      </c>
      <c r="AB4" t="s">
        <v>1491</v>
      </c>
      <c r="AC4" t="s">
        <v>1493</v>
      </c>
      <c r="AD4" t="s">
        <v>574</v>
      </c>
      <c r="AE4">
        <v>1</v>
      </c>
      <c r="AF4">
        <v>0</v>
      </c>
      <c r="AG4">
        <v>450</v>
      </c>
      <c r="AH4" s="8">
        <f t="shared" ref="AH4:AH49" si="6">IF($AC4="","",$AE4*(1+IF($AF4="",0,$AF4)))</f>
        <v>1</v>
      </c>
      <c r="AI4" s="8">
        <f t="shared" ref="AI4:AI49" si="7">IF($AC4="","",$AH4)</f>
        <v>1</v>
      </c>
      <c r="AJ4" s="8">
        <f t="shared" ref="AJ4:AJ49" si="8">IF($AC4="","",IF($AG4="","",$AI4*$AG4))</f>
        <v>450</v>
      </c>
    </row>
    <row r="5" spans="1:37" x14ac:dyDescent="0.25">
      <c r="A5" s="3" t="s">
        <v>331</v>
      </c>
      <c r="B5" s="3" t="s">
        <v>1474</v>
      </c>
      <c r="C5" s="3" t="s">
        <v>1939</v>
      </c>
      <c r="E5" t="s">
        <v>1969</v>
      </c>
      <c r="F5" t="s">
        <v>336</v>
      </c>
      <c r="G5" t="s">
        <v>337</v>
      </c>
      <c r="H5" t="s">
        <v>8</v>
      </c>
      <c r="I5">
        <v>1</v>
      </c>
      <c r="J5" s="22">
        <v>0</v>
      </c>
      <c r="K5">
        <v>4</v>
      </c>
      <c r="L5" s="8">
        <f t="shared" si="0"/>
        <v>1</v>
      </c>
      <c r="M5" s="8">
        <f t="shared" si="1"/>
        <v>1</v>
      </c>
      <c r="N5" s="8">
        <f t="shared" si="2"/>
        <v>4</v>
      </c>
      <c r="W5" s="8" t="str">
        <f t="shared" si="3"/>
        <v/>
      </c>
      <c r="X5" s="8" t="str">
        <f t="shared" si="4"/>
        <v/>
      </c>
      <c r="Y5" s="8" t="str">
        <f t="shared" si="5"/>
        <v/>
      </c>
      <c r="AA5" s="6" t="s">
        <v>1494</v>
      </c>
      <c r="AB5" t="s">
        <v>1495</v>
      </c>
      <c r="AC5" t="s">
        <v>35</v>
      </c>
      <c r="AD5" t="s">
        <v>10</v>
      </c>
      <c r="AE5">
        <v>60</v>
      </c>
      <c r="AF5">
        <v>0</v>
      </c>
      <c r="AG5">
        <v>45</v>
      </c>
      <c r="AH5" s="8">
        <f t="shared" si="6"/>
        <v>60</v>
      </c>
      <c r="AI5" s="8">
        <f t="shared" si="7"/>
        <v>60</v>
      </c>
      <c r="AJ5" s="8">
        <f t="shared" si="8"/>
        <v>2700</v>
      </c>
    </row>
    <row r="6" spans="1:37" x14ac:dyDescent="0.25">
      <c r="A6" s="3" t="s">
        <v>371</v>
      </c>
      <c r="B6" s="3" t="s">
        <v>446</v>
      </c>
      <c r="C6" s="3" t="s">
        <v>1475</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447</v>
      </c>
      <c r="B7" s="3" t="s">
        <v>448</v>
      </c>
      <c r="C7" s="3" t="s">
        <v>1940</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447</v>
      </c>
      <c r="B8" s="3" t="s">
        <v>449</v>
      </c>
      <c r="C8" s="3" t="s">
        <v>1941</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372</v>
      </c>
      <c r="B9" s="3" t="s">
        <v>450</v>
      </c>
      <c r="C9" s="3" t="s">
        <v>1476</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447</v>
      </c>
      <c r="B10" s="3" t="s">
        <v>451</v>
      </c>
      <c r="C10" s="3" t="s">
        <v>452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372</v>
      </c>
      <c r="B11" s="3" t="s">
        <v>453</v>
      </c>
      <c r="C11" s="3" t="s">
        <v>1477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447</v>
      </c>
      <c r="B12" s="3" t="s">
        <v>454</v>
      </c>
      <c r="C12" s="3" t="s">
        <v>1942</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372</v>
      </c>
      <c r="B13" s="3" t="s">
        <v>1478</v>
      </c>
      <c r="C13" s="3" t="s">
        <v>1943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372</v>
      </c>
      <c r="B14" s="3" t="s">
        <v>1479</v>
      </c>
      <c r="C14" s="3" t="s">
        <v>1944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1480</v>
      </c>
      <c r="B15" s="3" t="s">
        <v>1481</v>
      </c>
      <c r="C15" s="3" t="s">
        <v>1945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1482</v>
      </c>
      <c r="B16" s="3" t="s">
        <v>1483</v>
      </c>
      <c r="C16" s="3" t="s">
        <v>1946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1484</v>
      </c>
      <c r="B17" s="3" t="s">
        <v>1485</v>
      </c>
      <c r="C17" s="3" t="s">
        <v>1947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447</v>
      </c>
      <c r="B18" s="3" t="s">
        <v>567</v>
      </c>
      <c r="C18" s="3" t="s">
        <v>1948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447</v>
      </c>
      <c r="B19" s="3" t="s">
        <v>568</v>
      </c>
      <c r="C19" s="3" t="s">
        <v>1949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447</v>
      </c>
      <c r="B20" s="3" t="s">
        <v>572</v>
      </c>
      <c r="C20" s="3" t="s">
        <v>1950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447</v>
      </c>
      <c r="B21" s="3" t="s">
        <v>1951</v>
      </c>
      <c r="C21" s="3" t="s">
        <v>1952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447</v>
      </c>
      <c r="B22" s="3" t="s">
        <v>1953</v>
      </c>
      <c r="C22" s="3" t="s">
        <v>1954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455</v>
      </c>
      <c r="B23" s="3" t="s">
        <v>456</v>
      </c>
      <c r="C23" s="3" t="s">
        <v>457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372</v>
      </c>
      <c r="B24" s="3" t="s">
        <v>466</v>
      </c>
      <c r="C24" s="3" t="s">
        <v>1955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455</v>
      </c>
      <c r="B25" s="3" t="s">
        <v>1486</v>
      </c>
      <c r="C25" s="3" t="s">
        <v>460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372</v>
      </c>
      <c r="B26" s="3" t="s">
        <v>1956</v>
      </c>
      <c r="C26" s="3" t="s">
        <v>2012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455</v>
      </c>
      <c r="B27" s="3" t="s">
        <v>458</v>
      </c>
      <c r="C27" s="3" t="s">
        <v>459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372</v>
      </c>
      <c r="B28" s="3" t="s">
        <v>467</v>
      </c>
      <c r="C28" s="3" t="s">
        <v>468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455</v>
      </c>
      <c r="B29" s="3" t="s">
        <v>1486</v>
      </c>
      <c r="C29" s="3" t="s">
        <v>460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372</v>
      </c>
      <c r="B30" s="3" t="s">
        <v>1956</v>
      </c>
      <c r="C30" s="3" t="s">
        <v>1957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455</v>
      </c>
      <c r="B31" s="3" t="s">
        <v>569</v>
      </c>
      <c r="C31" s="3" t="s">
        <v>1487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372</v>
      </c>
      <c r="B32" s="3" t="s">
        <v>1958</v>
      </c>
      <c r="C32" s="3" t="s">
        <v>1959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455</v>
      </c>
      <c r="B33" s="3" t="s">
        <v>570</v>
      </c>
      <c r="C33" s="3" t="s">
        <v>1488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372</v>
      </c>
      <c r="B34" s="3" t="s">
        <v>1960</v>
      </c>
      <c r="C34" s="3" t="s">
        <v>1961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455</v>
      </c>
      <c r="B35" s="3" t="s">
        <v>1489</v>
      </c>
      <c r="C35" s="3" t="s">
        <v>571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372</v>
      </c>
      <c r="B36" s="3" t="s">
        <v>1962</v>
      </c>
      <c r="C36" s="3" t="s">
        <v>1963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447</v>
      </c>
      <c r="B37" s="3" t="s">
        <v>462</v>
      </c>
      <c r="C37" s="3" t="s">
        <v>1964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463</v>
      </c>
      <c r="B38" s="3" t="s">
        <v>464</v>
      </c>
      <c r="C38" s="3" t="s">
        <v>465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328</v>
      </c>
      <c r="B39" s="3" t="s">
        <v>1965</v>
      </c>
      <c r="C39" s="3" t="s">
        <v>1966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activeCell="J41" sqref="J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S02</v>
      </c>
      <c r="B1" s="26"/>
      <c r="C1" s="26"/>
      <c r="E1" s="24" t="str" cm="1">
        <f t="array" aca="1" ref="E1" ca="1">IFERROR(MID(CELL("filename",$A$1),FIND("]",CELL("filename",$A$1))+1,99),"SXX")&amp;" MATERIALS (USAGE + STANDALONE)"</f>
        <v>S02 MATERIALS (USAGE + STANDALONE)</v>
      </c>
      <c r="F1" s="24"/>
      <c r="G1" s="24"/>
      <c r="H1" s="24"/>
      <c r="I1" s="24"/>
      <c r="J1" s="24"/>
      <c r="K1" s="24"/>
      <c r="L1" s="13"/>
      <c r="M1" s="13"/>
      <c r="N1" s="19">
        <f>SUM(N3:N49)</f>
        <v>0</v>
      </c>
      <c r="P1" s="24" t="str" cm="1">
        <f t="array" aca="1" ref="P1" ca="1">IFERROR(MID(CELL("filename",$A$1),FIND("]",CELL("filename",$A$1))+1,99),"SXX")&amp;" LABOUR (USAGE + STANDALONE)"</f>
        <v>S02 LABOUR (USAGE + STANDALONE)</v>
      </c>
      <c r="Q1" s="24"/>
      <c r="R1" s="24"/>
      <c r="S1" s="24"/>
      <c r="T1" s="24"/>
      <c r="U1" s="24"/>
      <c r="V1" s="24"/>
      <c r="Y1" s="19">
        <f>SUM(Y3:Y49)</f>
        <v>0</v>
      </c>
      <c r="AA1" s="27" t="str" cm="1">
        <f t="array" aca="1" ref="AA1" ca="1">IFERROR(MID(CELL("filename",$A$1),FIND("]",CELL("filename",$A$1))+1,99),"SXX")&amp;" RENTAL / SERVICE (USAGE + STANDALONE)"</f>
        <v>S02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341</v>
      </c>
      <c r="B3" s="3" t="s">
        <v>469</v>
      </c>
      <c r="C3" s="3" t="s">
        <v>470</v>
      </c>
      <c r="J3" s="22"/>
      <c r="L3" s="8" t="str">
        <f t="shared" ref="L3:L49" si="0">IF($G3="","",$I3*(1+IF($J3="",0,$J3)))</f>
        <v/>
      </c>
      <c r="M3" s="8" t="str">
        <f t="shared" ref="M3:M49" si="1">IF($G3="","",$L3)</f>
        <v/>
      </c>
      <c r="N3" s="8" t="str">
        <f t="shared" ref="N3:N49" si="2">IF($G3="","",IF($K3="","",$M3*$K3))</f>
        <v/>
      </c>
      <c r="U3" s="22"/>
      <c r="W3" s="8" t="str">
        <f>IF($R3="","",$T3*(1+IF($U3="",0,$U3)))</f>
        <v/>
      </c>
      <c r="X3" s="8" t="str">
        <f>IF($R3="","",$W3)</f>
        <v/>
      </c>
      <c r="Y3" s="8" t="str">
        <f>IF($R3="","",IF($V3="","",$X3*$V3))</f>
        <v/>
      </c>
      <c r="AH3" s="8" t="str">
        <f>IF($AC3="","",$AE3*(1+IF($AF3="",0,$AF3)))</f>
        <v/>
      </c>
      <c r="AI3" s="8" t="str">
        <f>IF($AC3="","",$AH3)</f>
        <v/>
      </c>
      <c r="AJ3" s="8" t="str">
        <f>IF($AC3="","",IF($AG3="","",$AI3*$AG3))</f>
        <v/>
      </c>
    </row>
    <row r="4" spans="1:37" x14ac:dyDescent="0.25">
      <c r="A4" s="3" t="s">
        <v>342</v>
      </c>
      <c r="B4" s="3" t="s">
        <v>471</v>
      </c>
      <c r="C4" s="3" t="s">
        <v>472</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473</v>
      </c>
      <c r="B5" s="3" t="s">
        <v>474</v>
      </c>
      <c r="C5" s="3" t="s">
        <v>475</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343</v>
      </c>
      <c r="B6" s="3" t="s">
        <v>476</v>
      </c>
      <c r="C6" s="3" t="s">
        <v>477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343</v>
      </c>
      <c r="B7" s="3" t="s">
        <v>478</v>
      </c>
      <c r="C7" s="3" t="s">
        <v>479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343</v>
      </c>
      <c r="B8" s="3" t="s">
        <v>480</v>
      </c>
      <c r="C8" s="3" t="s">
        <v>481</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343</v>
      </c>
      <c r="B9" s="3" t="s">
        <v>482</v>
      </c>
      <c r="C9" s="3" t="s">
        <v>483</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343</v>
      </c>
      <c r="B10" s="3" t="s">
        <v>484</v>
      </c>
      <c r="C10" s="3" t="s">
        <v>485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344</v>
      </c>
      <c r="B11" s="3" t="s">
        <v>486</v>
      </c>
      <c r="C11" s="3" t="s">
        <v>487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343</v>
      </c>
      <c r="B12" s="3" t="s">
        <v>488</v>
      </c>
      <c r="C12" s="3" t="s">
        <v>489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490</v>
      </c>
      <c r="B13" s="3" t="s">
        <v>491</v>
      </c>
      <c r="C13" s="3" t="s">
        <v>492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345</v>
      </c>
      <c r="B14" s="3" t="s">
        <v>493</v>
      </c>
      <c r="C14" s="3" t="s">
        <v>494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activeCell="A24" sqref="A24"/>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S03</v>
      </c>
      <c r="B1" s="26"/>
      <c r="C1" s="26"/>
      <c r="E1" s="24" t="str" cm="1">
        <f t="array" aca="1" ref="E1" ca="1">IFERROR(MID(CELL("filename",$A$1),FIND("]",CELL("filename",$A$1))+1,99),"SXX")&amp;" MATERIALS (USAGE + STANDALONE)"</f>
        <v>S03 MATERIALS (USAGE + STANDALONE)</v>
      </c>
      <c r="F1" s="24"/>
      <c r="G1" s="24"/>
      <c r="H1" s="24"/>
      <c r="I1" s="24"/>
      <c r="J1" s="24"/>
      <c r="K1" s="24"/>
      <c r="L1" s="13"/>
      <c r="M1" s="13"/>
      <c r="N1" s="19">
        <f>SUM(N3:N49)</f>
        <v>0</v>
      </c>
      <c r="P1" s="24" t="str" cm="1">
        <f t="array" aca="1" ref="P1" ca="1">IFERROR(MID(CELL("filename",$A$1),FIND("]",CELL("filename",$A$1))+1,99),"SXX")&amp;" LABOUR (USAGE + STANDALONE)"</f>
        <v>S03 LABOUR (USAGE + STANDALONE)</v>
      </c>
      <c r="Q1" s="24"/>
      <c r="R1" s="24"/>
      <c r="S1" s="24"/>
      <c r="T1" s="24"/>
      <c r="U1" s="24"/>
      <c r="V1" s="24"/>
      <c r="Y1" s="19">
        <f>SUM(Y3:Y49)</f>
        <v>2250</v>
      </c>
      <c r="AA1" s="27" t="str" cm="1">
        <f t="array" aca="1" ref="AA1" ca="1">IFERROR(MID(CELL("filename",$A$1),FIND("]",CELL("filename",$A$1))+1,99),"SXX")&amp;" RENTAL / SERVICE (USAGE + STANDALONE)"</f>
        <v>S03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346</v>
      </c>
      <c r="B3" s="3" t="s">
        <v>512</v>
      </c>
      <c r="C3" s="3" t="s">
        <v>513</v>
      </c>
      <c r="J3" s="22"/>
      <c r="L3" s="8" t="str">
        <f t="shared" ref="L3:L49" si="0">IF($G3="","",$I3*(1+IF($J3="",0,$J3)))</f>
        <v/>
      </c>
      <c r="M3" s="8" t="str">
        <f t="shared" ref="M3:M49" si="1">IF($G3="","",$L3)</f>
        <v/>
      </c>
      <c r="N3" s="8" t="str">
        <f t="shared" ref="N3:N49" si="2">IF($G3="","",IF($K3="","",$M3*$K3))</f>
        <v/>
      </c>
      <c r="P3" t="s">
        <v>2017</v>
      </c>
      <c r="Q3" t="s">
        <v>549</v>
      </c>
      <c r="R3" t="s">
        <v>329</v>
      </c>
      <c r="S3" t="s">
        <v>33</v>
      </c>
      <c r="T3">
        <v>100</v>
      </c>
      <c r="U3" s="22">
        <v>0</v>
      </c>
      <c r="V3">
        <v>22.5</v>
      </c>
      <c r="W3" s="8">
        <f>IF($R3="","",$T3*(1+IF($U3="",0,$U3)))</f>
        <v>100</v>
      </c>
      <c r="X3" s="8">
        <f>IF($R3="","",$W3)</f>
        <v>100</v>
      </c>
      <c r="Y3" s="8">
        <f>IF($R3="","",IF($V3="","",$X3*$V3))</f>
        <v>2250</v>
      </c>
      <c r="AH3" s="8" t="str">
        <f>IF($AC3="","",$AE3*(1+IF($AF3="",0,$AF3)))</f>
        <v/>
      </c>
      <c r="AI3" s="8" t="str">
        <f>IF($AC3="","",$AH3)</f>
        <v/>
      </c>
      <c r="AJ3" s="8" t="str">
        <f>IF($AC3="","",IF($AG3="","",$AI3*$AG3))</f>
        <v/>
      </c>
    </row>
    <row r="4" spans="1:37" x14ac:dyDescent="0.25">
      <c r="A4" s="3" t="s">
        <v>347</v>
      </c>
      <c r="B4" s="3" t="s">
        <v>1971</v>
      </c>
      <c r="C4" s="3" t="s">
        <v>514</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495</v>
      </c>
      <c r="B5" s="3" t="s">
        <v>496</v>
      </c>
      <c r="C5" s="3" t="s">
        <v>515</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497</v>
      </c>
      <c r="B6" s="3" t="s">
        <v>498</v>
      </c>
      <c r="C6" s="3" t="s">
        <v>516</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499</v>
      </c>
      <c r="B7" s="3" t="s">
        <v>500</v>
      </c>
      <c r="C7" s="3" t="s">
        <v>501</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502</v>
      </c>
      <c r="B8" s="3" t="s">
        <v>500</v>
      </c>
      <c r="C8" s="3" t="s">
        <v>503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504</v>
      </c>
      <c r="B9" s="3" t="s">
        <v>505</v>
      </c>
      <c r="C9" s="3" t="s">
        <v>506</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348</v>
      </c>
      <c r="B10" s="3" t="s">
        <v>517</v>
      </c>
      <c r="C10" s="3" t="s">
        <v>518</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348</v>
      </c>
      <c r="B11" s="3" t="s">
        <v>508</v>
      </c>
      <c r="C11" s="3" t="s">
        <v>519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348</v>
      </c>
      <c r="B12" s="3" t="s">
        <v>520</v>
      </c>
      <c r="C12" s="3" t="s">
        <v>521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349</v>
      </c>
      <c r="B13" s="3" t="s">
        <v>507</v>
      </c>
      <c r="C13" s="3" t="s">
        <v>522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349</v>
      </c>
      <c r="B14" s="3" t="s">
        <v>523</v>
      </c>
      <c r="C14" s="3" t="s">
        <v>524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349</v>
      </c>
      <c r="B15" s="3" t="s">
        <v>525</v>
      </c>
      <c r="C15" s="3" t="s">
        <v>526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349</v>
      </c>
      <c r="B16" s="3" t="s">
        <v>527</v>
      </c>
      <c r="C16" s="3" t="s">
        <v>528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349</v>
      </c>
      <c r="B17" s="3" t="s">
        <v>529</v>
      </c>
      <c r="C17" s="3" t="s">
        <v>530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349</v>
      </c>
      <c r="B18" s="3" t="s">
        <v>531</v>
      </c>
      <c r="C18" s="3" t="s">
        <v>532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349</v>
      </c>
      <c r="B19" s="3" t="s">
        <v>533</v>
      </c>
      <c r="C19" s="3" t="s">
        <v>534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349</v>
      </c>
      <c r="B20" s="3" t="s">
        <v>535</v>
      </c>
      <c r="C20" s="3" t="s">
        <v>536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349</v>
      </c>
      <c r="B21" s="3" t="s">
        <v>509</v>
      </c>
      <c r="C21" s="3" t="s">
        <v>537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349</v>
      </c>
      <c r="B22" s="3" t="s">
        <v>510</v>
      </c>
      <c r="C22" s="3" t="s">
        <v>538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349</v>
      </c>
      <c r="B23" s="3" t="s">
        <v>374</v>
      </c>
      <c r="C23" s="3" t="s">
        <v>539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540</v>
      </c>
      <c r="B24" s="3" t="s">
        <v>541</v>
      </c>
      <c r="C24" s="3" t="s">
        <v>542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540</v>
      </c>
      <c r="B25" s="3" t="s">
        <v>1972</v>
      </c>
      <c r="C25" s="3" t="s">
        <v>460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348</v>
      </c>
      <c r="B26" s="3" t="s">
        <v>2014</v>
      </c>
      <c r="C26" s="3" t="s">
        <v>2015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349</v>
      </c>
      <c r="B27" s="3" t="s">
        <v>543</v>
      </c>
      <c r="C27" s="3" t="s">
        <v>2016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349</v>
      </c>
      <c r="B28" s="3" t="s">
        <v>544</v>
      </c>
      <c r="C28" s="3" t="s">
        <v>545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546</v>
      </c>
      <c r="B29" s="3" t="s">
        <v>547</v>
      </c>
      <c r="C29" s="3" t="s">
        <v>548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350</v>
      </c>
      <c r="B30" s="3" t="s">
        <v>511</v>
      </c>
      <c r="C30" s="3" t="s">
        <v>1973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64" activePane="bottomLeft" state="frozen"/>
      <selection pane="bottomLeft" activeCell="P2" sqref="P2:V3"/>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S04</v>
      </c>
      <c r="B1" s="26"/>
      <c r="C1" s="26"/>
      <c r="E1" s="24" t="str" cm="1">
        <f t="array" aca="1" ref="E1" ca="1">IFERROR(MID(CELL("filename",$A$1),FIND("]",CELL("filename",$A$1))+1,99),"SXX")&amp;" MATERIALS (USAGE + STANDALONE)"</f>
        <v>S04 MATERIALS (USAGE + STANDALONE)</v>
      </c>
      <c r="F1" s="24"/>
      <c r="G1" s="24"/>
      <c r="H1" s="24"/>
      <c r="I1" s="24"/>
      <c r="J1" s="24"/>
      <c r="K1" s="24"/>
      <c r="L1" s="13"/>
      <c r="M1" s="13"/>
      <c r="N1" s="19">
        <f>SUM(N3:N49)</f>
        <v>4126.8999999999996</v>
      </c>
      <c r="P1" s="24" t="str" cm="1">
        <f t="array" aca="1" ref="P1" ca="1">IFERROR(MID(CELL("filename",$A$1),FIND("]",CELL("filename",$A$1))+1,99),"SXX")&amp;" LABOUR (USAGE + STANDALONE)"</f>
        <v>S04 LABOUR (USAGE + STANDALONE)</v>
      </c>
      <c r="Q1" s="24"/>
      <c r="R1" s="24"/>
      <c r="S1" s="24"/>
      <c r="T1" s="24"/>
      <c r="U1" s="24"/>
      <c r="V1" s="24"/>
      <c r="Y1" s="19">
        <f>SUM(Y3:Y49)</f>
        <v>1822.5</v>
      </c>
      <c r="AA1" s="27" t="str" cm="1">
        <f t="array" aca="1" ref="AA1" ca="1">IFERROR(MID(CELL("filename",$A$1),FIND("]",CELL("filename",$A$1))+1,99),"SXX")&amp;" RENTAL / SERVICE (USAGE + STANDALONE)"</f>
        <v>S04 RENTAL / SERVICE (USAGE + STANDALONE)</v>
      </c>
      <c r="AB1" s="27"/>
      <c r="AC1" s="27"/>
      <c r="AD1" s="27"/>
      <c r="AE1" s="27"/>
      <c r="AF1" s="27"/>
      <c r="AG1" s="27"/>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1765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351</v>
      </c>
      <c r="B3" s="3" t="s">
        <v>1048</v>
      </c>
      <c r="C3" s="3" t="s">
        <v>1049</v>
      </c>
      <c r="E3" t="s">
        <v>1978</v>
      </c>
      <c r="F3" t="s">
        <v>560</v>
      </c>
      <c r="G3" t="s">
        <v>561</v>
      </c>
      <c r="H3" t="s">
        <v>11</v>
      </c>
      <c r="I3">
        <v>0.26</v>
      </c>
      <c r="J3" s="22">
        <v>0</v>
      </c>
      <c r="K3">
        <v>830</v>
      </c>
      <c r="L3" s="8">
        <f t="shared" ref="L3:L49" si="0">IF($G3="","",$I3*(1+IF($J3="",0,$J3)))</f>
        <v>0.26</v>
      </c>
      <c r="M3" s="8">
        <f t="shared" ref="M3:M49" si="1">IF($G3="","",$L3)</f>
        <v>0.26</v>
      </c>
      <c r="N3" s="8">
        <f t="shared" ref="N3:N49" si="2">IF($G3="","",IF($K3="","",$M3*$K3))</f>
        <v>215.8</v>
      </c>
      <c r="P3" t="s">
        <v>2021</v>
      </c>
      <c r="Q3" t="s">
        <v>599</v>
      </c>
      <c r="R3" t="s">
        <v>329</v>
      </c>
      <c r="S3" t="s">
        <v>33</v>
      </c>
      <c r="T3">
        <v>81</v>
      </c>
      <c r="U3" s="22">
        <v>0</v>
      </c>
      <c r="V3">
        <v>22.5</v>
      </c>
      <c r="W3" s="8">
        <f>IF($R3="","",$T3*(1+IF($U3="",0,$U3)))</f>
        <v>81</v>
      </c>
      <c r="X3" s="8">
        <f>IF($R3="","",$W3)</f>
        <v>81</v>
      </c>
      <c r="Y3" s="8">
        <f>IF($R3="","",IF($V3="","",$X3*$V3))</f>
        <v>1822.5</v>
      </c>
      <c r="AA3" s="6" t="s">
        <v>1987</v>
      </c>
      <c r="AB3" t="s">
        <v>600</v>
      </c>
      <c r="AC3" t="s">
        <v>601</v>
      </c>
      <c r="AD3" t="s">
        <v>602</v>
      </c>
      <c r="AE3">
        <v>1</v>
      </c>
      <c r="AF3">
        <v>0</v>
      </c>
      <c r="AG3">
        <v>900</v>
      </c>
      <c r="AH3" s="8">
        <f>IF($AC3="","",$AE3*(1+IF($AF3="",0,$AF3)))</f>
        <v>1</v>
      </c>
      <c r="AI3" s="8">
        <f>IF($AC3="","",$AH3)</f>
        <v>1</v>
      </c>
      <c r="AJ3" s="8">
        <f>IF($AC3="","",IF($AG3="","",$AI3*$AG3))</f>
        <v>900</v>
      </c>
    </row>
    <row r="4" spans="1:37" x14ac:dyDescent="0.25">
      <c r="A4" s="3" t="s">
        <v>352</v>
      </c>
      <c r="B4" s="3" t="s">
        <v>1974</v>
      </c>
      <c r="C4" s="3" t="s">
        <v>1050</v>
      </c>
      <c r="E4" t="s">
        <v>1979</v>
      </c>
      <c r="F4" t="s">
        <v>560</v>
      </c>
      <c r="G4" t="s">
        <v>562</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550</v>
      </c>
      <c r="B5" s="3" t="s">
        <v>1051</v>
      </c>
      <c r="C5" s="3" t="s">
        <v>1052</v>
      </c>
      <c r="E5" t="s">
        <v>1980</v>
      </c>
      <c r="F5" t="s">
        <v>721</v>
      </c>
      <c r="G5" t="s">
        <v>722</v>
      </c>
      <c r="H5" t="s">
        <v>335</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1053</v>
      </c>
      <c r="B6" s="3" t="s">
        <v>1054</v>
      </c>
      <c r="C6" s="3" t="s">
        <v>1452</v>
      </c>
      <c r="E6" t="s">
        <v>1981</v>
      </c>
      <c r="F6" t="s">
        <v>723</v>
      </c>
      <c r="G6" t="s">
        <v>563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375</v>
      </c>
      <c r="B7" s="3" t="s">
        <v>1055</v>
      </c>
      <c r="C7" s="3" t="s">
        <v>1056</v>
      </c>
      <c r="E7" t="s">
        <v>1040</v>
      </c>
      <c r="F7" t="s">
        <v>564</v>
      </c>
      <c r="G7" t="s">
        <v>565</v>
      </c>
      <c r="H7" t="s">
        <v>566</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375</v>
      </c>
      <c r="B8" s="3" t="s">
        <v>1057</v>
      </c>
      <c r="C8" s="3" t="s">
        <v>1058</v>
      </c>
      <c r="E8" t="s">
        <v>1982</v>
      </c>
      <c r="F8" t="s">
        <v>1983</v>
      </c>
      <c r="G8" t="s">
        <v>561</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375</v>
      </c>
      <c r="B9" s="3" t="s">
        <v>551</v>
      </c>
      <c r="C9" s="3" t="s">
        <v>575</v>
      </c>
      <c r="E9" t="s">
        <v>1982</v>
      </c>
      <c r="F9" t="s">
        <v>1983</v>
      </c>
      <c r="G9" t="s">
        <v>562</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375</v>
      </c>
      <c r="B10" s="3" t="s">
        <v>1059</v>
      </c>
      <c r="C10" s="3" t="s">
        <v>1060</v>
      </c>
      <c r="E10" t="s">
        <v>1984</v>
      </c>
      <c r="F10" t="s">
        <v>1983</v>
      </c>
      <c r="G10" t="s">
        <v>563</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375</v>
      </c>
      <c r="B11" s="3" t="s">
        <v>1453</v>
      </c>
      <c r="C11" s="3" t="s">
        <v>1975</v>
      </c>
      <c r="E11" t="s">
        <v>1985</v>
      </c>
      <c r="F11" t="s">
        <v>1983</v>
      </c>
      <c r="G11" t="s">
        <v>565</v>
      </c>
      <c r="H11" t="s">
        <v>566</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375</v>
      </c>
      <c r="B12" s="3" t="s">
        <v>1061</v>
      </c>
      <c r="C12" s="3" t="s">
        <v>1455</v>
      </c>
      <c r="E12" t="s">
        <v>1986</v>
      </c>
      <c r="F12" t="s">
        <v>724</v>
      </c>
      <c r="G12" t="s">
        <v>725</v>
      </c>
      <c r="H12" t="s">
        <v>726</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375</v>
      </c>
      <c r="B13" s="3" t="s">
        <v>1062</v>
      </c>
      <c r="C13" s="3" t="s">
        <v>1456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353</v>
      </c>
      <c r="B14" s="3" t="s">
        <v>552</v>
      </c>
      <c r="C14" s="3" t="s">
        <v>1063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353</v>
      </c>
      <c r="B15" s="3" t="s">
        <v>704</v>
      </c>
      <c r="C15" s="3" t="s">
        <v>705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353</v>
      </c>
      <c r="B16" s="3" t="s">
        <v>553</v>
      </c>
      <c r="C16" s="3" t="s">
        <v>1064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353</v>
      </c>
      <c r="B17" s="3" t="s">
        <v>554</v>
      </c>
      <c r="C17" s="3" t="s">
        <v>1065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353</v>
      </c>
      <c r="B18" s="3" t="s">
        <v>576</v>
      </c>
      <c r="C18" s="3" t="s">
        <v>1066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353</v>
      </c>
      <c r="B19" s="3" t="s">
        <v>577</v>
      </c>
      <c r="C19" s="3" t="s">
        <v>1067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353</v>
      </c>
      <c r="B20" s="3" t="s">
        <v>578</v>
      </c>
      <c r="C20" s="3" t="s">
        <v>1068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375</v>
      </c>
      <c r="B21" s="3" t="s">
        <v>1069</v>
      </c>
      <c r="C21" s="3" t="s">
        <v>1070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375</v>
      </c>
      <c r="B22" s="3" t="s">
        <v>1071</v>
      </c>
      <c r="C22" s="3" t="s">
        <v>1072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375</v>
      </c>
      <c r="B23" s="3" t="s">
        <v>1073</v>
      </c>
      <c r="C23" s="3" t="s">
        <v>1074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354</v>
      </c>
      <c r="B24" s="3" t="s">
        <v>1075</v>
      </c>
      <c r="C24" s="3" t="s">
        <v>555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375</v>
      </c>
      <c r="B25" s="3" t="s">
        <v>1076</v>
      </c>
      <c r="C25" s="3" t="s">
        <v>1077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354</v>
      </c>
      <c r="B26" s="3" t="s">
        <v>1078</v>
      </c>
      <c r="C26" s="3" t="s">
        <v>556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375</v>
      </c>
      <c r="B27" s="3" t="s">
        <v>1079</v>
      </c>
      <c r="C27" s="3" t="s">
        <v>1080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354</v>
      </c>
      <c r="B28" s="3" t="s">
        <v>1081</v>
      </c>
      <c r="C28" s="3" t="s">
        <v>706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375</v>
      </c>
      <c r="B29" s="3" t="s">
        <v>1082</v>
      </c>
      <c r="C29" s="3" t="s">
        <v>1083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353</v>
      </c>
      <c r="B30" s="3" t="s">
        <v>707</v>
      </c>
      <c r="C30" s="3" t="s">
        <v>1084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353</v>
      </c>
      <c r="B31" s="3" t="s">
        <v>708</v>
      </c>
      <c r="C31" s="3" t="s">
        <v>1085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353</v>
      </c>
      <c r="B32" s="3" t="s">
        <v>709</v>
      </c>
      <c r="C32" s="3" t="s">
        <v>1086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353</v>
      </c>
      <c r="B33" s="3" t="s">
        <v>1087</v>
      </c>
      <c r="C33" s="3" t="s">
        <v>1088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353</v>
      </c>
      <c r="B34" s="3" t="s">
        <v>710</v>
      </c>
      <c r="C34" s="3" t="s">
        <v>1089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354</v>
      </c>
      <c r="B35" s="3" t="s">
        <v>1090</v>
      </c>
      <c r="C35" s="3" t="s">
        <v>557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375</v>
      </c>
      <c r="B36" s="3" t="s">
        <v>1091</v>
      </c>
      <c r="C36" s="3" t="s">
        <v>1092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353</v>
      </c>
      <c r="B37" s="3" t="s">
        <v>1093</v>
      </c>
      <c r="C37" s="3" t="s">
        <v>579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375</v>
      </c>
      <c r="B38" s="3" t="s">
        <v>1094</v>
      </c>
      <c r="C38" s="3" t="s">
        <v>1095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354</v>
      </c>
      <c r="B39" s="3" t="s">
        <v>1096</v>
      </c>
      <c r="C39" s="3" t="s">
        <v>558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375</v>
      </c>
      <c r="B40" s="3" t="s">
        <v>1097</v>
      </c>
      <c r="C40" s="3" t="s">
        <v>1457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375</v>
      </c>
      <c r="B41" s="3" t="s">
        <v>1098</v>
      </c>
      <c r="C41" s="3" t="s">
        <v>1458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375</v>
      </c>
      <c r="B42" s="3" t="s">
        <v>1099</v>
      </c>
      <c r="C42" s="3" t="s">
        <v>1459</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375</v>
      </c>
      <c r="B43" s="3" t="s">
        <v>1100</v>
      </c>
      <c r="C43" s="3" t="s">
        <v>1460</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375</v>
      </c>
      <c r="B44" s="3" t="s">
        <v>1101</v>
      </c>
      <c r="C44" s="3" t="s">
        <v>1461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375</v>
      </c>
      <c r="B45" s="3" t="s">
        <v>1102</v>
      </c>
      <c r="C45" s="3" t="s">
        <v>1462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375</v>
      </c>
      <c r="B46" s="3" t="s">
        <v>1103</v>
      </c>
      <c r="C46" s="3" t="s">
        <v>1463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353</v>
      </c>
      <c r="B47" s="3" t="s">
        <v>1104</v>
      </c>
      <c r="C47" s="3" t="s">
        <v>1105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353</v>
      </c>
      <c r="B48" s="3" t="s">
        <v>1106</v>
      </c>
      <c r="C48" s="3" t="s">
        <v>1107</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353</v>
      </c>
      <c r="B49" s="3" t="s">
        <v>1108</v>
      </c>
      <c r="C49" s="3" t="s">
        <v>1109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353</v>
      </c>
      <c r="B50" s="3" t="s">
        <v>1110</v>
      </c>
      <c r="C50" s="3" t="s">
        <v>1111</v>
      </c>
    </row>
    <row r="51" spans="1:36" x14ac:dyDescent="0.25">
      <c r="A51" s="3" t="s">
        <v>354</v>
      </c>
      <c r="B51" s="3" t="s">
        <v>711</v>
      </c>
      <c r="C51" s="3" t="s">
        <v>712</v>
      </c>
    </row>
    <row r="52" spans="1:36" x14ac:dyDescent="0.25">
      <c r="A52" s="3" t="s">
        <v>375</v>
      </c>
      <c r="B52" s="3" t="s">
        <v>739</v>
      </c>
      <c r="C52" s="3" t="s">
        <v>1112</v>
      </c>
    </row>
    <row r="53" spans="1:36" x14ac:dyDescent="0.25">
      <c r="A53" s="3" t="s">
        <v>353</v>
      </c>
      <c r="B53" s="3" t="s">
        <v>713</v>
      </c>
      <c r="C53" s="3" t="s">
        <v>1113</v>
      </c>
    </row>
    <row r="54" spans="1:36" x14ac:dyDescent="0.25">
      <c r="A54" s="3" t="s">
        <v>375</v>
      </c>
      <c r="B54" s="3" t="s">
        <v>580</v>
      </c>
      <c r="C54" s="3" t="s">
        <v>1114</v>
      </c>
    </row>
    <row r="55" spans="1:36" x14ac:dyDescent="0.25">
      <c r="A55" s="3" t="s">
        <v>375</v>
      </c>
      <c r="B55" s="3" t="s">
        <v>559</v>
      </c>
      <c r="C55" s="3" t="s">
        <v>1115</v>
      </c>
    </row>
    <row r="56" spans="1:36" x14ac:dyDescent="0.25">
      <c r="A56" s="3" t="s">
        <v>353</v>
      </c>
      <c r="B56" s="3" t="s">
        <v>581</v>
      </c>
      <c r="C56" s="3" t="s">
        <v>582</v>
      </c>
    </row>
    <row r="57" spans="1:36" x14ac:dyDescent="0.25">
      <c r="A57" s="3" t="s">
        <v>353</v>
      </c>
      <c r="B57" s="3" t="s">
        <v>583</v>
      </c>
      <c r="C57" s="3" t="s">
        <v>584</v>
      </c>
    </row>
    <row r="58" spans="1:36" x14ac:dyDescent="0.25">
      <c r="A58" s="3" t="s">
        <v>353</v>
      </c>
      <c r="B58" s="3" t="s">
        <v>585</v>
      </c>
      <c r="C58" s="3" t="s">
        <v>1116</v>
      </c>
    </row>
    <row r="59" spans="1:36" x14ac:dyDescent="0.25">
      <c r="A59" s="3" t="s">
        <v>353</v>
      </c>
      <c r="B59" s="3" t="s">
        <v>586</v>
      </c>
      <c r="C59" s="3" t="s">
        <v>587</v>
      </c>
    </row>
    <row r="60" spans="1:36" x14ac:dyDescent="0.25">
      <c r="A60" s="3" t="s">
        <v>353</v>
      </c>
      <c r="B60" s="3" t="s">
        <v>588</v>
      </c>
      <c r="C60" s="3" t="s">
        <v>714</v>
      </c>
    </row>
    <row r="61" spans="1:36" x14ac:dyDescent="0.25">
      <c r="A61" s="3" t="s">
        <v>589</v>
      </c>
      <c r="B61" s="3" t="s">
        <v>590</v>
      </c>
      <c r="C61" s="3" t="s">
        <v>460</v>
      </c>
    </row>
    <row r="62" spans="1:36" x14ac:dyDescent="0.25">
      <c r="A62" s="3" t="s">
        <v>353</v>
      </c>
      <c r="B62" s="3" t="s">
        <v>1976</v>
      </c>
      <c r="C62" s="3" t="s">
        <v>2018</v>
      </c>
    </row>
    <row r="63" spans="1:36" x14ac:dyDescent="0.25">
      <c r="A63" s="3" t="s">
        <v>375</v>
      </c>
      <c r="B63" s="3" t="s">
        <v>2019</v>
      </c>
      <c r="C63" s="3" t="s">
        <v>2020</v>
      </c>
    </row>
    <row r="64" spans="1:36" x14ac:dyDescent="0.25">
      <c r="A64" s="3" t="s">
        <v>353</v>
      </c>
      <c r="B64" s="3" t="s">
        <v>592</v>
      </c>
      <c r="C64" s="3" t="s">
        <v>1118</v>
      </c>
    </row>
    <row r="65" spans="1:3" x14ac:dyDescent="0.25">
      <c r="A65" s="3" t="s">
        <v>593</v>
      </c>
      <c r="B65" s="3" t="s">
        <v>594</v>
      </c>
      <c r="C65" s="3" t="s">
        <v>595</v>
      </c>
    </row>
    <row r="66" spans="1:3" x14ac:dyDescent="0.25">
      <c r="A66" s="3" t="s">
        <v>375</v>
      </c>
      <c r="B66" s="3" t="s">
        <v>662</v>
      </c>
      <c r="C66" s="3" t="s">
        <v>1119</v>
      </c>
    </row>
    <row r="67" spans="1:3" x14ac:dyDescent="0.25">
      <c r="A67" s="3" t="s">
        <v>353</v>
      </c>
      <c r="B67" s="3" t="s">
        <v>596</v>
      </c>
      <c r="C67" s="3" t="s">
        <v>597</v>
      </c>
    </row>
    <row r="68" spans="1:3" x14ac:dyDescent="0.25">
      <c r="A68" s="3" t="s">
        <v>353</v>
      </c>
      <c r="B68" s="3" t="s">
        <v>373</v>
      </c>
      <c r="C68" s="3" t="s">
        <v>715</v>
      </c>
    </row>
    <row r="69" spans="1:3" x14ac:dyDescent="0.25">
      <c r="A69" s="3" t="s">
        <v>355</v>
      </c>
      <c r="B69" s="3" t="s">
        <v>1464</v>
      </c>
      <c r="C69" s="3" t="s">
        <v>1977</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0" activePane="bottomLeft" state="frozen"/>
      <selection pane="bottomLeft" activeCell="P2" sqref="P2:V3"/>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S05</v>
      </c>
      <c r="B1" s="26"/>
      <c r="C1" s="26"/>
      <c r="E1" s="24" t="str" cm="1">
        <f t="array" aca="1" ref="E1" ca="1">IFERROR(MID(CELL("filename",$A$1),FIND("]",CELL("filename",$A$1))+1,99),"SXX")&amp;" MATERIALS (USAGE + STANDALONE)"</f>
        <v>S05 MATERIALS (USAGE + STANDALONE)</v>
      </c>
      <c r="F1" s="24"/>
      <c r="G1" s="24"/>
      <c r="H1" s="24"/>
      <c r="I1" s="24"/>
      <c r="J1" s="24"/>
      <c r="K1" s="24"/>
      <c r="L1" s="13"/>
      <c r="M1" s="13"/>
      <c r="N1" s="19">
        <f>SUM(N3:N49)</f>
        <v>3586.95</v>
      </c>
      <c r="P1" s="24" t="str" cm="1">
        <f t="array" aca="1" ref="P1" ca="1">IFERROR(MID(CELL("filename",$A$1),FIND("]",CELL("filename",$A$1))+1,99),"SXX")&amp;" LABOUR (USAGE + STANDALONE)"</f>
        <v>S05 LABOUR (USAGE + STANDALONE)</v>
      </c>
      <c r="Q1" s="24"/>
      <c r="R1" s="24"/>
      <c r="S1" s="24"/>
      <c r="T1" s="24"/>
      <c r="U1" s="24"/>
      <c r="V1" s="24"/>
      <c r="Y1" s="19">
        <f>SUM(Y3:Y49)</f>
        <v>3172.5</v>
      </c>
      <c r="AA1" s="27" t="str" cm="1">
        <f t="array" aca="1" ref="AA1" ca="1">IFERROR(MID(CELL("filename",$A$1),FIND("]",CELL("filename",$A$1))+1,99),"SXX")&amp;" RENTAL / SERVICE (USAGE + STANDALONE)"</f>
        <v>S05 RENTAL / SERVICE (USAGE + STANDALONE)</v>
      </c>
      <c r="AB1" s="27"/>
      <c r="AC1" s="27"/>
      <c r="AD1" s="27"/>
      <c r="AE1" s="27"/>
      <c r="AF1" s="27"/>
      <c r="AG1" s="27"/>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1765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356</v>
      </c>
      <c r="B3" s="3" t="s">
        <v>603</v>
      </c>
      <c r="C3" s="3" t="s">
        <v>604</v>
      </c>
      <c r="E3" t="s">
        <v>1994</v>
      </c>
      <c r="F3" t="s">
        <v>727</v>
      </c>
      <c r="G3" t="s">
        <v>728</v>
      </c>
      <c r="H3" t="s">
        <v>566</v>
      </c>
      <c r="I3">
        <v>0.45</v>
      </c>
      <c r="J3" s="22">
        <v>0</v>
      </c>
      <c r="K3">
        <v>340</v>
      </c>
      <c r="L3" s="8">
        <f t="shared" ref="L3:L49" si="0">IF($G3="","",$I3*(1+IF($J3="",0,$J3)))</f>
        <v>0.45</v>
      </c>
      <c r="M3" s="8">
        <f t="shared" ref="M3:M49" si="1">IF($G3="","",$L3)</f>
        <v>0.45</v>
      </c>
      <c r="N3" s="8">
        <f t="shared" ref="N3:N49" si="2">IF($G3="","",IF($K3="","",$M3*$K3))</f>
        <v>153</v>
      </c>
      <c r="P3" t="s">
        <v>2023</v>
      </c>
      <c r="Q3" t="s">
        <v>677</v>
      </c>
      <c r="R3" t="s">
        <v>329</v>
      </c>
      <c r="S3" t="s">
        <v>33</v>
      </c>
      <c r="T3">
        <v>141</v>
      </c>
      <c r="U3" s="22">
        <v>0</v>
      </c>
      <c r="V3">
        <v>22.5</v>
      </c>
      <c r="W3" s="8">
        <f>IF($R3="","",$T3*(1+IF($U3="",0,$U3)))</f>
        <v>141</v>
      </c>
      <c r="X3" s="8">
        <f>IF($R3="","",$W3)</f>
        <v>141</v>
      </c>
      <c r="Y3" s="8">
        <f>IF($R3="","",IF($V3="","",$X3*$V3))</f>
        <v>3172.5</v>
      </c>
      <c r="AA3" s="6" t="s">
        <v>2001</v>
      </c>
      <c r="AB3" t="s">
        <v>678</v>
      </c>
      <c r="AC3" t="s">
        <v>601</v>
      </c>
      <c r="AD3" t="s">
        <v>602</v>
      </c>
      <c r="AE3">
        <v>1</v>
      </c>
      <c r="AF3">
        <v>0</v>
      </c>
      <c r="AG3">
        <v>900</v>
      </c>
      <c r="AH3" s="8">
        <f>IF($AC3="","",$AE3*(1+IF($AF3="",0,$AF3)))</f>
        <v>1</v>
      </c>
      <c r="AI3" s="8">
        <f>IF($AC3="","",$AH3)</f>
        <v>1</v>
      </c>
      <c r="AJ3" s="8">
        <f>IF($AC3="","",IF($AG3="","",$AI3*$AG3))</f>
        <v>900</v>
      </c>
    </row>
    <row r="4" spans="1:37" x14ac:dyDescent="0.25">
      <c r="A4" s="3" t="s">
        <v>357</v>
      </c>
      <c r="B4" s="3" t="s">
        <v>605</v>
      </c>
      <c r="C4" s="3" t="s">
        <v>1988</v>
      </c>
      <c r="E4" t="s">
        <v>1995</v>
      </c>
      <c r="F4" t="s">
        <v>669</v>
      </c>
      <c r="G4" t="s">
        <v>728</v>
      </c>
      <c r="H4" t="s">
        <v>566</v>
      </c>
      <c r="I4">
        <v>4.0999999999999996</v>
      </c>
      <c r="J4" s="22">
        <v>0</v>
      </c>
      <c r="K4">
        <v>340</v>
      </c>
      <c r="L4" s="8">
        <f t="shared" si="0"/>
        <v>4.0999999999999996</v>
      </c>
      <c r="M4" s="8">
        <f t="shared" si="1"/>
        <v>4.0999999999999996</v>
      </c>
      <c r="N4" s="8">
        <f t="shared" si="2"/>
        <v>1393.9999999999998</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606</v>
      </c>
      <c r="B5" s="3" t="s">
        <v>607</v>
      </c>
      <c r="C5" s="3" t="s">
        <v>608</v>
      </c>
      <c r="E5" t="s">
        <v>1996</v>
      </c>
      <c r="F5" t="s">
        <v>670</v>
      </c>
      <c r="G5" t="s">
        <v>671</v>
      </c>
      <c r="H5" t="s">
        <v>672</v>
      </c>
      <c r="I5">
        <v>28</v>
      </c>
      <c r="J5" s="22">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358</v>
      </c>
      <c r="B6" s="3" t="s">
        <v>609</v>
      </c>
      <c r="C6" s="3" t="s">
        <v>610</v>
      </c>
      <c r="E6" t="s">
        <v>1997</v>
      </c>
      <c r="F6" t="s">
        <v>670</v>
      </c>
      <c r="G6" t="s">
        <v>673</v>
      </c>
      <c r="H6" t="s">
        <v>672</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358</v>
      </c>
      <c r="B7" s="3" t="s">
        <v>611</v>
      </c>
      <c r="C7" s="3" t="s">
        <v>612</v>
      </c>
      <c r="E7" t="s">
        <v>1998</v>
      </c>
      <c r="F7" t="s">
        <v>674</v>
      </c>
      <c r="G7" t="s">
        <v>675</v>
      </c>
      <c r="H7" t="s">
        <v>676</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358</v>
      </c>
      <c r="B8" s="3" t="s">
        <v>613</v>
      </c>
      <c r="C8" s="3" t="s">
        <v>614</v>
      </c>
      <c r="E8" t="s">
        <v>1999</v>
      </c>
      <c r="F8" t="s">
        <v>674</v>
      </c>
      <c r="G8" t="s">
        <v>733</v>
      </c>
      <c r="H8" t="s">
        <v>734</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358</v>
      </c>
      <c r="B9" s="3" t="s">
        <v>359</v>
      </c>
      <c r="C9" s="3" t="s">
        <v>615</v>
      </c>
      <c r="E9" t="s">
        <v>2000</v>
      </c>
      <c r="F9" t="s">
        <v>735</v>
      </c>
      <c r="G9" t="s">
        <v>725</v>
      </c>
      <c r="H9" t="s">
        <v>726</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358</v>
      </c>
      <c r="B10" s="3" t="s">
        <v>360</v>
      </c>
      <c r="C10" s="3" t="s">
        <v>616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358</v>
      </c>
      <c r="B11" s="3" t="s">
        <v>617</v>
      </c>
      <c r="C11" s="3" t="s">
        <v>618</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358</v>
      </c>
      <c r="B12" s="3" t="s">
        <v>619</v>
      </c>
      <c r="C12" s="3" t="s">
        <v>620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358</v>
      </c>
      <c r="B13" s="3" t="s">
        <v>621</v>
      </c>
      <c r="C13" s="3" t="s">
        <v>622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358</v>
      </c>
      <c r="B14" s="3" t="s">
        <v>623</v>
      </c>
      <c r="C14" s="3" t="s">
        <v>624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361</v>
      </c>
      <c r="B15" s="3" t="s">
        <v>625</v>
      </c>
      <c r="C15" s="3" t="s">
        <v>626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361</v>
      </c>
      <c r="B16" s="3" t="s">
        <v>627</v>
      </c>
      <c r="C16" s="3" t="s">
        <v>628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361</v>
      </c>
      <c r="B17" s="3" t="s">
        <v>629</v>
      </c>
      <c r="C17" s="3" t="s">
        <v>630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361</v>
      </c>
      <c r="B18" s="3" t="s">
        <v>631</v>
      </c>
      <c r="C18" s="3" t="s">
        <v>632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361</v>
      </c>
      <c r="B19" s="3" t="s">
        <v>633</v>
      </c>
      <c r="C19" s="3" t="s">
        <v>634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358</v>
      </c>
      <c r="B20" s="3" t="s">
        <v>635</v>
      </c>
      <c r="C20" s="3" t="s">
        <v>636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358</v>
      </c>
      <c r="B21" s="3" t="s">
        <v>716</v>
      </c>
      <c r="C21" s="3" t="s">
        <v>717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358</v>
      </c>
      <c r="B22" s="3" t="s">
        <v>758</v>
      </c>
      <c r="C22" s="3" t="s">
        <v>759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361</v>
      </c>
      <c r="B23" s="3" t="s">
        <v>718</v>
      </c>
      <c r="C23" s="3" t="s">
        <v>719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361</v>
      </c>
      <c r="B24" s="3" t="s">
        <v>637</v>
      </c>
      <c r="C24" s="3" t="s">
        <v>638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361</v>
      </c>
      <c r="B25" s="3" t="s">
        <v>639</v>
      </c>
      <c r="C25" s="3" t="s">
        <v>640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361</v>
      </c>
      <c r="B26" s="3" t="s">
        <v>641</v>
      </c>
      <c r="C26" s="3" t="s">
        <v>1989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361</v>
      </c>
      <c r="B27" s="3" t="s">
        <v>642</v>
      </c>
      <c r="C27" s="3" t="s">
        <v>1990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643</v>
      </c>
      <c r="B28" s="3" t="s">
        <v>644</v>
      </c>
      <c r="C28" s="3" t="s">
        <v>861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643</v>
      </c>
      <c r="B29" s="3" t="s">
        <v>645</v>
      </c>
      <c r="C29" s="3" t="s">
        <v>783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643</v>
      </c>
      <c r="B30" s="3" t="s">
        <v>646</v>
      </c>
      <c r="C30" s="3" t="s">
        <v>784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643</v>
      </c>
      <c r="B31" s="3" t="s">
        <v>647</v>
      </c>
      <c r="C31" s="3" t="s">
        <v>785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643</v>
      </c>
      <c r="B32" s="3" t="s">
        <v>1991</v>
      </c>
      <c r="C32" s="3" t="s">
        <v>787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361</v>
      </c>
      <c r="B33" s="3" t="s">
        <v>648</v>
      </c>
      <c r="C33" s="3" t="s">
        <v>649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361</v>
      </c>
      <c r="B34" s="3" t="s">
        <v>650</v>
      </c>
      <c r="C34" s="3" t="s">
        <v>651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361</v>
      </c>
      <c r="B35" s="3" t="s">
        <v>652</v>
      </c>
      <c r="C35" s="3" t="s">
        <v>653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361</v>
      </c>
      <c r="B36" s="3" t="s">
        <v>654</v>
      </c>
      <c r="C36" s="3" t="s">
        <v>655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361</v>
      </c>
      <c r="B37" s="3" t="s">
        <v>656</v>
      </c>
      <c r="C37" s="3" t="s">
        <v>657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358</v>
      </c>
      <c r="B38" s="3" t="s">
        <v>658</v>
      </c>
      <c r="C38" s="3" t="s">
        <v>659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660</v>
      </c>
      <c r="B39" s="3" t="s">
        <v>590</v>
      </c>
      <c r="C39" s="3" t="s">
        <v>460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361</v>
      </c>
      <c r="B40" s="3" t="s">
        <v>1976</v>
      </c>
      <c r="C40" s="3" t="s">
        <v>2018</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358</v>
      </c>
      <c r="B41" s="3" t="s">
        <v>2019</v>
      </c>
      <c r="C41" s="3" t="s">
        <v>2022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361</v>
      </c>
      <c r="B42" s="3" t="s">
        <v>592</v>
      </c>
      <c r="C42" s="3" t="s">
        <v>1992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661</v>
      </c>
      <c r="B43" s="3" t="s">
        <v>594</v>
      </c>
      <c r="C43" s="3" t="s">
        <v>595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358</v>
      </c>
      <c r="B44" s="3" t="s">
        <v>662</v>
      </c>
      <c r="C44" s="3" t="s">
        <v>663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361</v>
      </c>
      <c r="B45" s="3" t="s">
        <v>664</v>
      </c>
      <c r="C45" s="3" t="s">
        <v>665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361</v>
      </c>
      <c r="B46" s="3" t="s">
        <v>666</v>
      </c>
      <c r="C46" s="3" t="s">
        <v>667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643</v>
      </c>
      <c r="B47" s="3" t="s">
        <v>711</v>
      </c>
      <c r="C47" s="3" t="s">
        <v>712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361</v>
      </c>
      <c r="B48" s="3" t="s">
        <v>713</v>
      </c>
      <c r="C48" s="3" t="s">
        <v>720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361</v>
      </c>
      <c r="B49" s="3" t="s">
        <v>373</v>
      </c>
      <c r="C49" s="3" t="s">
        <v>668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362</v>
      </c>
      <c r="B50" s="3" t="s">
        <v>598</v>
      </c>
      <c r="C50" s="3" t="s">
        <v>1993</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0" activePane="bottomLeft" state="frozen"/>
      <selection pane="bottomLeft" activeCell="P2" sqref="P2:V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S06</v>
      </c>
      <c r="B1" s="26"/>
      <c r="C1" s="26"/>
      <c r="E1" s="24" t="str" cm="1">
        <f t="array" aca="1" ref="E1" ca="1">IFERROR(MID(CELL("filename",$A$1),FIND("]",CELL("filename",$A$1))+1,99),"SXX")&amp;" MATERIALS (USAGE + STANDALONE)"</f>
        <v>S06 MATERIALS (USAGE + STANDALONE)</v>
      </c>
      <c r="F1" s="24"/>
      <c r="G1" s="24"/>
      <c r="H1" s="24"/>
      <c r="I1" s="24"/>
      <c r="J1" s="24"/>
      <c r="K1" s="24"/>
      <c r="L1" s="13"/>
      <c r="M1" s="13"/>
      <c r="N1" s="19">
        <f>SUM(N3:N49)</f>
        <v>2692.75</v>
      </c>
      <c r="P1" s="24" t="str" cm="1">
        <f t="array" aca="1" ref="P1" ca="1">IFERROR(MID(CELL("filename",$A$1),FIND("]",CELL("filename",$A$1))+1,99),"SXX")&amp;" LABOUR (USAGE + STANDALONE)"</f>
        <v>S06 LABOUR (USAGE + STANDALONE)</v>
      </c>
      <c r="Q1" s="24"/>
      <c r="R1" s="24"/>
      <c r="S1" s="24"/>
      <c r="T1" s="24"/>
      <c r="U1" s="24"/>
      <c r="V1" s="24"/>
      <c r="Y1" s="19">
        <f>SUM(Y3:Y49)</f>
        <v>2475</v>
      </c>
      <c r="AA1" s="27" t="str" cm="1">
        <f t="array" aca="1" ref="AA1" ca="1">IFERROR(MID(CELL("filename",$A$1),FIND("]",CELL("filename",$A$1))+1,99),"SXX")&amp;" RENTAL / SERVICE (USAGE + STANDALONE)"</f>
        <v>S06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1765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363</v>
      </c>
      <c r="B3" s="3" t="s">
        <v>814</v>
      </c>
      <c r="C3" s="3" t="s">
        <v>815</v>
      </c>
      <c r="E3" t="s">
        <v>2004</v>
      </c>
      <c r="F3" t="s">
        <v>881</v>
      </c>
      <c r="G3" t="s">
        <v>728</v>
      </c>
      <c r="H3" t="s">
        <v>566</v>
      </c>
      <c r="I3">
        <v>1.5</v>
      </c>
      <c r="J3" s="22">
        <v>0</v>
      </c>
      <c r="K3">
        <v>340</v>
      </c>
      <c r="L3" s="8">
        <f t="shared" ref="L3:L49" si="0">IF($G3="","",$I3*(1+IF($J3="",0,$J3)))</f>
        <v>1.5</v>
      </c>
      <c r="M3" s="8">
        <f t="shared" ref="M3:M49" si="1">IF($G3="","",$L3)</f>
        <v>1.5</v>
      </c>
      <c r="N3" s="8">
        <f t="shared" ref="N3:N49" si="2">IF($G3="","",IF($K3="","",$M3*$K3))</f>
        <v>510</v>
      </c>
      <c r="P3" t="s">
        <v>2026</v>
      </c>
      <c r="Q3" t="s">
        <v>885</v>
      </c>
      <c r="R3" t="s">
        <v>329</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364</v>
      </c>
      <c r="B4" s="3" t="s">
        <v>816</v>
      </c>
      <c r="C4" s="3" t="s">
        <v>817</v>
      </c>
      <c r="E4" t="s">
        <v>2005</v>
      </c>
      <c r="F4" t="s">
        <v>2006</v>
      </c>
      <c r="G4" t="s">
        <v>671</v>
      </c>
      <c r="H4" t="s">
        <v>672</v>
      </c>
      <c r="I4">
        <v>12</v>
      </c>
      <c r="J4" s="22">
        <v>0.05</v>
      </c>
      <c r="K4">
        <v>28</v>
      </c>
      <c r="L4" s="8">
        <f t="shared" si="0"/>
        <v>12.600000000000001</v>
      </c>
      <c r="M4" s="8">
        <f t="shared" si="1"/>
        <v>12.600000000000001</v>
      </c>
      <c r="N4" s="8">
        <f t="shared" si="2"/>
        <v>352.80000000000007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818</v>
      </c>
      <c r="B5" s="3" t="s">
        <v>819</v>
      </c>
      <c r="C5" s="3" t="s">
        <v>820</v>
      </c>
      <c r="E5" t="s">
        <v>2007</v>
      </c>
      <c r="F5" t="s">
        <v>2006</v>
      </c>
      <c r="G5" t="s">
        <v>882</v>
      </c>
      <c r="H5" t="s">
        <v>672</v>
      </c>
      <c r="I5">
        <v>17</v>
      </c>
      <c r="J5" s="22">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339</v>
      </c>
      <c r="B6" s="3" t="s">
        <v>821</v>
      </c>
      <c r="C6" s="3" t="s">
        <v>822</v>
      </c>
      <c r="E6" t="s">
        <v>2008</v>
      </c>
      <c r="F6" t="s">
        <v>2006</v>
      </c>
      <c r="G6" t="s">
        <v>673</v>
      </c>
      <c r="H6" t="s">
        <v>672</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339</v>
      </c>
      <c r="B7" s="3" t="s">
        <v>823</v>
      </c>
      <c r="C7" s="3" t="s">
        <v>824</v>
      </c>
      <c r="E7" t="s">
        <v>2009</v>
      </c>
      <c r="F7" t="s">
        <v>883</v>
      </c>
      <c r="G7" t="s">
        <v>675</v>
      </c>
      <c r="H7" t="s">
        <v>676</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339</v>
      </c>
      <c r="B8" s="3" t="s">
        <v>825</v>
      </c>
      <c r="C8" s="3" t="s">
        <v>826</v>
      </c>
      <c r="E8" t="s">
        <v>2010</v>
      </c>
      <c r="F8" t="s">
        <v>883</v>
      </c>
      <c r="G8" t="s">
        <v>733</v>
      </c>
      <c r="H8" t="s">
        <v>734</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339</v>
      </c>
      <c r="B9" s="3" t="s">
        <v>365</v>
      </c>
      <c r="C9" s="3" t="s">
        <v>827</v>
      </c>
      <c r="E9" t="s">
        <v>2011</v>
      </c>
      <c r="F9" t="s">
        <v>884</v>
      </c>
      <c r="G9" t="s">
        <v>725</v>
      </c>
      <c r="H9" t="s">
        <v>726</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339</v>
      </c>
      <c r="B10" s="3" t="s">
        <v>366</v>
      </c>
      <c r="C10" s="3" t="s">
        <v>828</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339</v>
      </c>
      <c r="B11" s="3" t="s">
        <v>829</v>
      </c>
      <c r="C11" s="3" t="s">
        <v>830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339</v>
      </c>
      <c r="B12" s="3" t="s">
        <v>831</v>
      </c>
      <c r="C12" s="3" t="s">
        <v>832</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339</v>
      </c>
      <c r="B13" s="3" t="s">
        <v>833</v>
      </c>
      <c r="C13" s="3" t="s">
        <v>834</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339</v>
      </c>
      <c r="B14" s="3" t="s">
        <v>835</v>
      </c>
      <c r="C14" s="3" t="s">
        <v>836</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339</v>
      </c>
      <c r="B15" s="3" t="s">
        <v>837</v>
      </c>
      <c r="C15" s="3" t="s">
        <v>838</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339</v>
      </c>
      <c r="B16" s="3" t="s">
        <v>839</v>
      </c>
      <c r="C16" s="3" t="s">
        <v>840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338</v>
      </c>
      <c r="B17" s="3" t="s">
        <v>378</v>
      </c>
      <c r="C17" s="3" t="s">
        <v>841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338</v>
      </c>
      <c r="B18" s="3" t="s">
        <v>376</v>
      </c>
      <c r="C18" s="3" t="s">
        <v>842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338</v>
      </c>
      <c r="B19" s="3" t="s">
        <v>379</v>
      </c>
      <c r="C19" s="3" t="s">
        <v>843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338</v>
      </c>
      <c r="B20" s="3" t="s">
        <v>844</v>
      </c>
      <c r="C20" s="3" t="s">
        <v>845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338</v>
      </c>
      <c r="B21" s="3" t="s">
        <v>846</v>
      </c>
      <c r="C21" s="3" t="s">
        <v>847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338</v>
      </c>
      <c r="B22" s="3" t="s">
        <v>380</v>
      </c>
      <c r="C22" s="3" t="s">
        <v>848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338</v>
      </c>
      <c r="B23" s="3" t="s">
        <v>849</v>
      </c>
      <c r="C23" s="3" t="s">
        <v>850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338</v>
      </c>
      <c r="B24" s="3" t="s">
        <v>381</v>
      </c>
      <c r="C24" s="3" t="s">
        <v>851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338</v>
      </c>
      <c r="B25" s="3" t="s">
        <v>382</v>
      </c>
      <c r="C25" s="3" t="s">
        <v>852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338</v>
      </c>
      <c r="B26" s="3" t="s">
        <v>853</v>
      </c>
      <c r="C26" s="3" t="s">
        <v>854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338</v>
      </c>
      <c r="B27" s="3" t="s">
        <v>855</v>
      </c>
      <c r="C27" s="3" t="s">
        <v>856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338</v>
      </c>
      <c r="B28" s="3" t="s">
        <v>857</v>
      </c>
      <c r="C28" s="3" t="s">
        <v>858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859</v>
      </c>
      <c r="B29" s="3" t="s">
        <v>860</v>
      </c>
      <c r="C29" s="3" t="s">
        <v>861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859</v>
      </c>
      <c r="B30" s="3" t="s">
        <v>862</v>
      </c>
      <c r="C30" s="3" t="s">
        <v>783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859</v>
      </c>
      <c r="B31" s="3" t="s">
        <v>863</v>
      </c>
      <c r="C31" s="3" t="s">
        <v>2002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859</v>
      </c>
      <c r="B32" s="3" t="s">
        <v>646</v>
      </c>
      <c r="C32" s="3" t="s">
        <v>784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859</v>
      </c>
      <c r="B33" s="3" t="s">
        <v>647</v>
      </c>
      <c r="C33" s="3" t="s">
        <v>785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859</v>
      </c>
      <c r="B34" s="3" t="s">
        <v>786</v>
      </c>
      <c r="C34" s="3" t="s">
        <v>787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859</v>
      </c>
      <c r="B35" s="3" t="s">
        <v>711</v>
      </c>
      <c r="C35" s="3" t="s">
        <v>712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338</v>
      </c>
      <c r="B36" s="3" t="s">
        <v>648</v>
      </c>
      <c r="C36" s="3" t="s">
        <v>864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338</v>
      </c>
      <c r="B37" s="3" t="s">
        <v>650</v>
      </c>
      <c r="C37" s="3" t="s">
        <v>865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338</v>
      </c>
      <c r="B38" s="3" t="s">
        <v>713</v>
      </c>
      <c r="C38" s="3" t="s">
        <v>866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339</v>
      </c>
      <c r="B39" s="3" t="s">
        <v>367</v>
      </c>
      <c r="C39" s="3" t="s">
        <v>867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338</v>
      </c>
      <c r="B40" s="3" t="s">
        <v>368</v>
      </c>
      <c r="C40" s="3" t="s">
        <v>868</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338</v>
      </c>
      <c r="B41" s="3" t="s">
        <v>369</v>
      </c>
      <c r="C41" s="3" t="s">
        <v>869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338</v>
      </c>
      <c r="B42" s="3" t="s">
        <v>377</v>
      </c>
      <c r="C42" s="3" t="s">
        <v>870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338</v>
      </c>
      <c r="B43" s="3" t="s">
        <v>871</v>
      </c>
      <c r="C43" s="3" t="s">
        <v>872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338</v>
      </c>
      <c r="B44" s="3" t="s">
        <v>873</v>
      </c>
      <c r="C44" s="3" t="s">
        <v>874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338</v>
      </c>
      <c r="B45" s="3" t="s">
        <v>370</v>
      </c>
      <c r="C45" s="3" t="s">
        <v>875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338</v>
      </c>
      <c r="B46" s="3" t="s">
        <v>876</v>
      </c>
      <c r="C46" s="3" t="s">
        <v>877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338</v>
      </c>
      <c r="B47" s="3" t="s">
        <v>878</v>
      </c>
      <c r="C47" s="3" t="s">
        <v>879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338</v>
      </c>
      <c r="B48" s="3" t="s">
        <v>1976</v>
      </c>
      <c r="C48" s="3" t="s">
        <v>2024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339</v>
      </c>
      <c r="B49" s="3" t="s">
        <v>2019</v>
      </c>
      <c r="C49" s="3" t="s">
        <v>2025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338</v>
      </c>
      <c r="B50" s="3" t="s">
        <v>373</v>
      </c>
      <c r="C50" s="3" t="s">
        <v>880</v>
      </c>
    </row>
    <row r="51" spans="1:36" x14ac:dyDescent="0.25">
      <c r="A51" s="3" t="s">
        <v>340</v>
      </c>
      <c r="B51" s="3" t="s">
        <v>383</v>
      </c>
      <c r="C51" s="3" t="s">
        <v>2003</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50" activePane="bottomLeft" state="frozen"/>
      <selection pane="bottomLeft" activeCell="G18" sqref="G1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S07</v>
      </c>
      <c r="B1" s="26"/>
      <c r="C1" s="26"/>
      <c r="E1" s="24" t="str" cm="1">
        <f t="array" aca="1" ref="E1" ca="1">IFERROR(MID(CELL("filename",$A$1),FIND("]",CELL("filename",$A$1))+1,99),"SXX")&amp;" MATERIALS (USAGE + STANDALONE)"</f>
        <v>S07 MATERIALS (USAGE + STANDALONE)</v>
      </c>
      <c r="F1" s="24"/>
      <c r="G1" s="24"/>
      <c r="H1" s="24"/>
      <c r="I1" s="24"/>
      <c r="J1" s="24"/>
      <c r="K1" s="24"/>
      <c r="L1" s="13"/>
      <c r="M1" s="13"/>
      <c r="N1" s="19">
        <f>SUM(N3:N49)</f>
        <v>531.56000000000006</v>
      </c>
      <c r="P1" s="24" t="str" cm="1">
        <f t="array" aca="1" ref="P1" ca="1">IFERROR(MID(CELL("filename",$A$1),FIND("]",CELL("filename",$A$1))+1,99),"SXX")&amp;" LABOUR (USAGE + STANDALONE)"</f>
        <v>S07 LABOUR (USAGE + STANDALONE)</v>
      </c>
      <c r="Q1" s="24"/>
      <c r="R1" s="24"/>
      <c r="S1" s="24"/>
      <c r="T1" s="24"/>
      <c r="U1" s="24"/>
      <c r="V1" s="24"/>
      <c r="Y1" s="19">
        <f>SUM(Y3:Y49)</f>
        <v>1440</v>
      </c>
      <c r="AA1" s="27" t="str" cm="1">
        <f t="array" aca="1" ref="AA1" ca="1">IFERROR(MID(CELL("filename",$A$1),FIND("]",CELL("filename",$A$1))+1,99),"SXX")&amp;" RENTAL / SERVICE (USAGE + STANDALONE)"</f>
        <v>S07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1765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384</v>
      </c>
      <c r="B3" s="3" t="s">
        <v>385</v>
      </c>
      <c r="C3" s="3" t="s">
        <v>886</v>
      </c>
      <c r="E3" t="s">
        <v>2048</v>
      </c>
      <c r="F3" t="s">
        <v>2049</v>
      </c>
      <c r="G3" t="s">
        <v>966</v>
      </c>
      <c r="H3" t="s">
        <v>734</v>
      </c>
      <c r="I3">
        <v>4</v>
      </c>
      <c r="J3" s="22">
        <v>0.05</v>
      </c>
      <c r="K3">
        <v>12.6</v>
      </c>
      <c r="L3" s="8">
        <f t="shared" ref="L3:L49" si="0">IF($G3="","",$I3*(1+IF($J3="",0,$J3)))</f>
        <v>4.2</v>
      </c>
      <c r="M3" s="8">
        <f t="shared" ref="M3:M49" si="1">IF($G3="","",$L3)</f>
        <v>4.2</v>
      </c>
      <c r="N3" s="8">
        <f t="shared" ref="N3:N49" si="2">IF($G3="","",IF($K3="","",$M3*$K3))</f>
        <v>52.92</v>
      </c>
      <c r="P3" t="s">
        <v>2064</v>
      </c>
      <c r="Q3" t="s">
        <v>980</v>
      </c>
      <c r="R3" t="s">
        <v>329</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386</v>
      </c>
      <c r="B4" s="3" t="s">
        <v>887</v>
      </c>
      <c r="C4" s="3" t="s">
        <v>1562</v>
      </c>
      <c r="E4" t="s">
        <v>2050</v>
      </c>
      <c r="F4" t="s">
        <v>2049</v>
      </c>
      <c r="G4" t="s">
        <v>2051</v>
      </c>
      <c r="H4" t="s">
        <v>8</v>
      </c>
      <c r="I4">
        <v>5</v>
      </c>
      <c r="J4" s="22">
        <v>0.05</v>
      </c>
      <c r="K4">
        <v>3</v>
      </c>
      <c r="L4" s="8">
        <f t="shared" si="0"/>
        <v>5.25</v>
      </c>
      <c r="M4" s="8">
        <f t="shared" si="1"/>
        <v>5.25</v>
      </c>
      <c r="N4" s="8">
        <f t="shared" si="2"/>
        <v>15.75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888</v>
      </c>
      <c r="B5" s="3" t="s">
        <v>889</v>
      </c>
      <c r="C5" s="3" t="s">
        <v>1563</v>
      </c>
      <c r="E5" t="s">
        <v>967</v>
      </c>
      <c r="F5" t="s">
        <v>2049</v>
      </c>
      <c r="G5" t="s">
        <v>968</v>
      </c>
      <c r="H5" t="s">
        <v>8</v>
      </c>
      <c r="I5">
        <v>2</v>
      </c>
      <c r="J5" s="22">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387</v>
      </c>
      <c r="B6" s="3" t="s">
        <v>388</v>
      </c>
      <c r="C6" s="3" t="s">
        <v>1564</v>
      </c>
      <c r="E6" t="s">
        <v>2052</v>
      </c>
      <c r="F6" t="s">
        <v>2049</v>
      </c>
      <c r="G6" t="s">
        <v>969</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389</v>
      </c>
      <c r="B7" s="3" t="s">
        <v>390</v>
      </c>
      <c r="C7" s="3" t="s">
        <v>1565</v>
      </c>
      <c r="E7" t="s">
        <v>2053</v>
      </c>
      <c r="F7" t="s">
        <v>970</v>
      </c>
      <c r="G7" t="s">
        <v>971</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389</v>
      </c>
      <c r="B8" s="3" t="s">
        <v>391</v>
      </c>
      <c r="C8" s="3" t="s">
        <v>1566</v>
      </c>
      <c r="E8" t="s">
        <v>2054</v>
      </c>
      <c r="F8" t="s">
        <v>970</v>
      </c>
      <c r="G8" t="s">
        <v>972</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389</v>
      </c>
      <c r="B9" s="3" t="s">
        <v>392</v>
      </c>
      <c r="C9" s="3" t="s">
        <v>1567</v>
      </c>
      <c r="E9" t="s">
        <v>2055</v>
      </c>
      <c r="F9" t="s">
        <v>970</v>
      </c>
      <c r="G9" t="s">
        <v>65</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389</v>
      </c>
      <c r="B10" s="3" t="s">
        <v>890</v>
      </c>
      <c r="C10" s="3" t="s">
        <v>891</v>
      </c>
      <c r="E10" t="s">
        <v>2056</v>
      </c>
      <c r="F10" t="s">
        <v>970</v>
      </c>
      <c r="G10" t="s">
        <v>2057</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389</v>
      </c>
      <c r="B11" s="3" t="s">
        <v>892</v>
      </c>
      <c r="C11" s="3" t="s">
        <v>1568</v>
      </c>
      <c r="E11" t="s">
        <v>2058</v>
      </c>
      <c r="F11" t="s">
        <v>970</v>
      </c>
      <c r="G11" t="s">
        <v>2059</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387</v>
      </c>
      <c r="B12" s="3" t="s">
        <v>893</v>
      </c>
      <c r="C12" s="3" t="s">
        <v>894</v>
      </c>
      <c r="E12" t="s">
        <v>2060</v>
      </c>
      <c r="F12" t="s">
        <v>973</v>
      </c>
      <c r="G12" t="s">
        <v>974</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387</v>
      </c>
      <c r="B13" s="3" t="s">
        <v>895</v>
      </c>
      <c r="C13" s="3" t="s">
        <v>896</v>
      </c>
      <c r="E13" t="s">
        <v>2061</v>
      </c>
      <c r="F13" t="s">
        <v>973</v>
      </c>
      <c r="G13" t="s">
        <v>975</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387</v>
      </c>
      <c r="B14" s="3" t="s">
        <v>897</v>
      </c>
      <c r="C14" s="3" t="s">
        <v>898</v>
      </c>
      <c r="E14" t="s">
        <v>2062</v>
      </c>
      <c r="F14" t="s">
        <v>973</v>
      </c>
      <c r="G14" t="s">
        <v>976</v>
      </c>
      <c r="H14" t="s">
        <v>977</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389</v>
      </c>
      <c r="B15" s="3" t="s">
        <v>1569</v>
      </c>
      <c r="C15" s="3" t="s">
        <v>1570</v>
      </c>
      <c r="E15" t="s">
        <v>2063</v>
      </c>
      <c r="F15" t="s">
        <v>978</v>
      </c>
      <c r="G15" t="s">
        <v>979</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387</v>
      </c>
      <c r="B16" s="3" t="s">
        <v>1571</v>
      </c>
      <c r="C16" s="3" t="s">
        <v>1572</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389</v>
      </c>
      <c r="B17" s="3" t="s">
        <v>1573</v>
      </c>
      <c r="C17" s="3" t="s">
        <v>1574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389</v>
      </c>
      <c r="B18" s="3" t="s">
        <v>1575</v>
      </c>
      <c r="C18" s="3" t="s">
        <v>1576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387</v>
      </c>
      <c r="B19" s="3" t="s">
        <v>1577</v>
      </c>
      <c r="C19" s="3" t="s">
        <v>1578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389</v>
      </c>
      <c r="B20" s="3" t="s">
        <v>899</v>
      </c>
      <c r="C20" s="3" t="s">
        <v>900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387</v>
      </c>
      <c r="B21" s="3" t="s">
        <v>393</v>
      </c>
      <c r="C21" s="3" t="s">
        <v>1579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387</v>
      </c>
      <c r="B22" s="3" t="s">
        <v>901</v>
      </c>
      <c r="C22" s="3" t="s">
        <v>1580</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389</v>
      </c>
      <c r="B23" s="3" t="s">
        <v>902</v>
      </c>
      <c r="C23" s="3" t="s">
        <v>903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387</v>
      </c>
      <c r="B24" s="3" t="s">
        <v>394</v>
      </c>
      <c r="C24" s="3" t="s">
        <v>1581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387</v>
      </c>
      <c r="B25" s="3" t="s">
        <v>395</v>
      </c>
      <c r="C25" s="3" t="s">
        <v>1582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389</v>
      </c>
      <c r="B26" s="3" t="s">
        <v>904</v>
      </c>
      <c r="C26" s="3" t="s">
        <v>1583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387</v>
      </c>
      <c r="B27" s="3" t="s">
        <v>905</v>
      </c>
      <c r="C27" s="3" t="s">
        <v>1584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387</v>
      </c>
      <c r="B28" s="3" t="s">
        <v>906</v>
      </c>
      <c r="C28" s="3" t="s">
        <v>907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387</v>
      </c>
      <c r="B29" s="3" t="s">
        <v>908</v>
      </c>
      <c r="C29" s="3" t="s">
        <v>909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387</v>
      </c>
      <c r="B30" s="3" t="s">
        <v>910</v>
      </c>
      <c r="C30" s="3" t="s">
        <v>911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387</v>
      </c>
      <c r="B31" s="3" t="s">
        <v>912</v>
      </c>
      <c r="C31" s="3" t="s">
        <v>913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389</v>
      </c>
      <c r="B32" s="3" t="s">
        <v>914</v>
      </c>
      <c r="C32" s="3" t="s">
        <v>915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387</v>
      </c>
      <c r="B33" s="3" t="s">
        <v>916</v>
      </c>
      <c r="C33" s="3" t="s">
        <v>1585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387</v>
      </c>
      <c r="B34" s="3" t="s">
        <v>917</v>
      </c>
      <c r="C34" s="3" t="s">
        <v>918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387</v>
      </c>
      <c r="B35" s="3" t="s">
        <v>919</v>
      </c>
      <c r="C35" s="3" t="s">
        <v>920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387</v>
      </c>
      <c r="B36" s="3" t="s">
        <v>921</v>
      </c>
      <c r="C36" s="3" t="s">
        <v>1586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387</v>
      </c>
      <c r="B37" s="3" t="s">
        <v>922</v>
      </c>
      <c r="C37" s="3" t="s">
        <v>923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387</v>
      </c>
      <c r="B38" s="3" t="s">
        <v>924</v>
      </c>
      <c r="C38" s="3" t="s">
        <v>1587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389</v>
      </c>
      <c r="B39" s="3" t="s">
        <v>925</v>
      </c>
      <c r="C39" s="3" t="s">
        <v>926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389</v>
      </c>
      <c r="B40" s="3" t="s">
        <v>927</v>
      </c>
      <c r="C40" s="3" t="s">
        <v>928</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389</v>
      </c>
      <c r="B41" s="3" t="s">
        <v>929</v>
      </c>
      <c r="C41" s="3" t="s">
        <v>930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389</v>
      </c>
      <c r="B42" s="3" t="s">
        <v>931</v>
      </c>
      <c r="C42" s="3" t="s">
        <v>932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389</v>
      </c>
      <c r="B43" s="3" t="s">
        <v>933</v>
      </c>
      <c r="C43" s="3" t="s">
        <v>934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389</v>
      </c>
      <c r="B44" s="3" t="s">
        <v>935</v>
      </c>
      <c r="C44" s="3" t="s">
        <v>1588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387</v>
      </c>
      <c r="B45" s="3" t="s">
        <v>936</v>
      </c>
      <c r="C45" s="3" t="s">
        <v>1589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387</v>
      </c>
      <c r="B46" s="3" t="s">
        <v>937</v>
      </c>
      <c r="C46" s="3" t="s">
        <v>938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387</v>
      </c>
      <c r="B47" s="3" t="s">
        <v>939</v>
      </c>
      <c r="C47" s="3" t="s">
        <v>1590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387</v>
      </c>
      <c r="B48" s="3" t="s">
        <v>396</v>
      </c>
      <c r="C48" s="3" t="s">
        <v>1591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387</v>
      </c>
      <c r="B49" s="3" t="s">
        <v>940</v>
      </c>
      <c r="C49" s="3" t="s">
        <v>1592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387</v>
      </c>
      <c r="B50" s="3" t="s">
        <v>397</v>
      </c>
      <c r="C50" s="3" t="s">
        <v>1593</v>
      </c>
    </row>
    <row r="51" spans="1:36" x14ac:dyDescent="0.25">
      <c r="A51" s="3" t="s">
        <v>387</v>
      </c>
      <c r="B51" s="3" t="s">
        <v>941</v>
      </c>
      <c r="C51" s="3" t="s">
        <v>942</v>
      </c>
    </row>
    <row r="52" spans="1:36" x14ac:dyDescent="0.25">
      <c r="A52" s="3" t="s">
        <v>387</v>
      </c>
      <c r="B52" s="3" t="s">
        <v>1594</v>
      </c>
      <c r="C52" s="3" t="s">
        <v>943</v>
      </c>
    </row>
    <row r="53" spans="1:36" x14ac:dyDescent="0.25">
      <c r="A53" s="3" t="s">
        <v>387</v>
      </c>
      <c r="B53" s="3" t="s">
        <v>944</v>
      </c>
      <c r="C53" s="3" t="s">
        <v>1595</v>
      </c>
    </row>
    <row r="54" spans="1:36" x14ac:dyDescent="0.25">
      <c r="A54" s="3" t="s">
        <v>387</v>
      </c>
      <c r="B54" s="3" t="s">
        <v>373</v>
      </c>
      <c r="C54" s="3" t="s">
        <v>945</v>
      </c>
    </row>
    <row r="55" spans="1:36" x14ac:dyDescent="0.25">
      <c r="A55" s="3" t="s">
        <v>946</v>
      </c>
      <c r="B55" s="3" t="s">
        <v>947</v>
      </c>
      <c r="C55" s="3" t="s">
        <v>2027</v>
      </c>
    </row>
    <row r="56" spans="1:36" x14ac:dyDescent="0.25">
      <c r="A56" s="3" t="s">
        <v>946</v>
      </c>
      <c r="B56" s="3" t="s">
        <v>948</v>
      </c>
      <c r="C56" s="3" t="s">
        <v>2028</v>
      </c>
    </row>
    <row r="57" spans="1:36" x14ac:dyDescent="0.25">
      <c r="A57" s="3" t="s">
        <v>946</v>
      </c>
      <c r="B57" s="3" t="s">
        <v>949</v>
      </c>
      <c r="C57" s="3" t="s">
        <v>2029</v>
      </c>
    </row>
    <row r="58" spans="1:36" x14ac:dyDescent="0.25">
      <c r="A58" s="3" t="s">
        <v>946</v>
      </c>
      <c r="B58" s="3" t="s">
        <v>950</v>
      </c>
      <c r="C58" s="3" t="s">
        <v>2030</v>
      </c>
    </row>
    <row r="59" spans="1:36" x14ac:dyDescent="0.25">
      <c r="A59" s="3" t="s">
        <v>946</v>
      </c>
      <c r="B59" s="3" t="s">
        <v>951</v>
      </c>
      <c r="C59" s="3" t="s">
        <v>2031</v>
      </c>
    </row>
    <row r="60" spans="1:36" x14ac:dyDescent="0.25">
      <c r="A60" s="3" t="s">
        <v>946</v>
      </c>
      <c r="B60" s="3" t="s">
        <v>952</v>
      </c>
      <c r="C60" s="3" t="s">
        <v>2032</v>
      </c>
    </row>
    <row r="61" spans="1:36" x14ac:dyDescent="0.25">
      <c r="A61" s="3" t="s">
        <v>946</v>
      </c>
      <c r="B61" s="3" t="s">
        <v>953</v>
      </c>
      <c r="C61" s="3" t="s">
        <v>2033</v>
      </c>
    </row>
    <row r="62" spans="1:36" x14ac:dyDescent="0.25">
      <c r="A62" s="3" t="s">
        <v>946</v>
      </c>
      <c r="B62" s="3" t="s">
        <v>954</v>
      </c>
      <c r="C62" s="3" t="s">
        <v>2034</v>
      </c>
    </row>
    <row r="63" spans="1:36" x14ac:dyDescent="0.25">
      <c r="A63" s="3" t="s">
        <v>946</v>
      </c>
      <c r="B63" s="3" t="s">
        <v>955</v>
      </c>
      <c r="C63" s="3" t="s">
        <v>2035</v>
      </c>
    </row>
    <row r="64" spans="1:36" x14ac:dyDescent="0.25">
      <c r="A64" s="3" t="s">
        <v>946</v>
      </c>
      <c r="B64" s="3" t="s">
        <v>956</v>
      </c>
      <c r="C64" s="3" t="s">
        <v>2036</v>
      </c>
    </row>
    <row r="65" spans="1:3" x14ac:dyDescent="0.25">
      <c r="A65" s="3" t="s">
        <v>946</v>
      </c>
      <c r="B65" s="3" t="s">
        <v>957</v>
      </c>
      <c r="C65" s="3" t="s">
        <v>958</v>
      </c>
    </row>
    <row r="66" spans="1:3" x14ac:dyDescent="0.25">
      <c r="A66" s="3" t="s">
        <v>946</v>
      </c>
      <c r="B66" s="3" t="s">
        <v>959</v>
      </c>
      <c r="C66" s="3" t="s">
        <v>960</v>
      </c>
    </row>
    <row r="67" spans="1:3" x14ac:dyDescent="0.25">
      <c r="A67" s="3" t="s">
        <v>946</v>
      </c>
      <c r="B67" s="3" t="s">
        <v>961</v>
      </c>
      <c r="C67" s="3" t="s">
        <v>962</v>
      </c>
    </row>
    <row r="68" spans="1:3" x14ac:dyDescent="0.25">
      <c r="A68" s="3" t="s">
        <v>963</v>
      </c>
      <c r="B68" s="3" t="s">
        <v>1547</v>
      </c>
      <c r="C68" s="3" t="s">
        <v>460</v>
      </c>
    </row>
    <row r="69" spans="1:3" x14ac:dyDescent="0.25">
      <c r="A69" s="3" t="s">
        <v>389</v>
      </c>
      <c r="B69" s="3" t="s">
        <v>2037</v>
      </c>
      <c r="C69" s="3" t="s">
        <v>2038</v>
      </c>
    </row>
    <row r="70" spans="1:3" x14ac:dyDescent="0.25">
      <c r="A70" s="3" t="s">
        <v>389</v>
      </c>
      <c r="B70" s="3" t="s">
        <v>2039</v>
      </c>
      <c r="C70" s="3" t="s">
        <v>2040</v>
      </c>
    </row>
    <row r="71" spans="1:3" x14ac:dyDescent="0.25">
      <c r="A71" s="3" t="s">
        <v>389</v>
      </c>
      <c r="B71" s="3" t="s">
        <v>2041</v>
      </c>
      <c r="C71" s="3" t="s">
        <v>2042</v>
      </c>
    </row>
    <row r="72" spans="1:3" x14ac:dyDescent="0.25">
      <c r="A72" s="3" t="s">
        <v>389</v>
      </c>
      <c r="B72" s="3" t="s">
        <v>2043</v>
      </c>
      <c r="C72" s="3" t="s">
        <v>2044</v>
      </c>
    </row>
    <row r="73" spans="1:3" x14ac:dyDescent="0.25">
      <c r="A73" s="3" t="s">
        <v>389</v>
      </c>
      <c r="B73" s="3" t="s">
        <v>2019</v>
      </c>
      <c r="C73" s="3" t="s">
        <v>2045</v>
      </c>
    </row>
    <row r="74" spans="1:3" x14ac:dyDescent="0.25">
      <c r="A74" s="3" t="s">
        <v>387</v>
      </c>
      <c r="B74" s="3" t="s">
        <v>592</v>
      </c>
      <c r="C74" s="3" t="s">
        <v>2046</v>
      </c>
    </row>
    <row r="75" spans="1:3" x14ac:dyDescent="0.25">
      <c r="A75" s="3" t="s">
        <v>398</v>
      </c>
      <c r="B75" s="3" t="s">
        <v>399</v>
      </c>
      <c r="C75" s="3" t="s">
        <v>2047</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50" activePane="bottomLeft" state="frozen"/>
      <selection pane="bottomLeft" activeCell="P2" sqref="P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S08</v>
      </c>
      <c r="B1" s="26"/>
      <c r="C1" s="26"/>
      <c r="E1" s="24" t="str" cm="1">
        <f t="array" aca="1" ref="E1" ca="1">IFERROR(MID(CELL("filename",$A$1),FIND("]",CELL("filename",$A$1))+1,99),"SXX")&amp;" MATERIALS (USAGE + STANDALONE)"</f>
        <v>S08 MATERIALS (USAGE + STANDALONE)</v>
      </c>
      <c r="F1" s="24"/>
      <c r="G1" s="24"/>
      <c r="H1" s="24"/>
      <c r="I1" s="24"/>
      <c r="J1" s="24"/>
      <c r="K1" s="24"/>
      <c r="L1" s="13"/>
      <c r="M1" s="13"/>
      <c r="N1" s="19">
        <f>SUM(N3:N49)</f>
        <v>8527.7800000000025</v>
      </c>
      <c r="P1" s="24" t="str" cm="1">
        <f t="array" aca="1" ref="P1" ca="1">IFERROR(MID(CELL("filename",$A$1),FIND("]",CELL("filename",$A$1))+1,99),"SXX")&amp;" LABOUR (USAGE + STANDALONE)"</f>
        <v>S08 LABOUR (USAGE + STANDALONE)</v>
      </c>
      <c r="Q1" s="24"/>
      <c r="R1" s="24"/>
      <c r="S1" s="24"/>
      <c r="T1" s="24"/>
      <c r="U1" s="24"/>
      <c r="V1" s="24"/>
      <c r="Y1" s="19">
        <f>SUM(Y3:Y49)</f>
        <v>2002.5</v>
      </c>
      <c r="AA1" s="27" t="str" cm="1">
        <f t="array" aca="1" ref="AA1" ca="1">IFERROR(MID(CELL("filename",$A$1),FIND("]",CELL("filename",$A$1))+1,99),"SXX")&amp;" RENTAL / SERVICE (USAGE + STANDALONE)"</f>
        <v>S08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1765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400</v>
      </c>
      <c r="B3" s="3" t="s">
        <v>1496</v>
      </c>
      <c r="C3" s="3" t="s">
        <v>981</v>
      </c>
      <c r="E3" t="s">
        <v>2099</v>
      </c>
      <c r="F3" t="s">
        <v>1021</v>
      </c>
      <c r="G3" t="s">
        <v>2100</v>
      </c>
      <c r="H3" t="s">
        <v>734</v>
      </c>
      <c r="I3">
        <v>16</v>
      </c>
      <c r="J3" s="22">
        <v>0.05</v>
      </c>
      <c r="K3">
        <v>55</v>
      </c>
      <c r="L3" s="8">
        <f t="shared" ref="L3:L49" si="0">IF($G3="","",$I3*(1+IF($J3="",0,$J3)))</f>
        <v>16.8</v>
      </c>
      <c r="M3" s="8">
        <f t="shared" ref="M3:M49" si="1">IF($G3="","",$L3)</f>
        <v>16.8</v>
      </c>
      <c r="N3" s="8">
        <f t="shared" ref="N3:N49" si="2">IF($G3="","",IF($K3="","",$M3*$K3))</f>
        <v>924</v>
      </c>
      <c r="P3" t="s">
        <v>2109</v>
      </c>
      <c r="Q3" t="s">
        <v>1035</v>
      </c>
      <c r="R3" t="s">
        <v>329</v>
      </c>
      <c r="S3" t="s">
        <v>33</v>
      </c>
      <c r="T3">
        <v>89</v>
      </c>
      <c r="U3" s="22">
        <v>0</v>
      </c>
      <c r="V3">
        <v>22.5</v>
      </c>
      <c r="W3" s="8">
        <f>IF($R3="","",$T3*(1+IF($U3="",0,$U3)))</f>
        <v>89</v>
      </c>
      <c r="X3" s="8">
        <f>IF($R3="","",$W3)</f>
        <v>89</v>
      </c>
      <c r="Y3" s="8">
        <f>IF($R3="","",IF($V3="","",$X3*$V3))</f>
        <v>2002.5</v>
      </c>
      <c r="AA3" s="6" t="s">
        <v>1033</v>
      </c>
      <c r="AB3" t="s">
        <v>1034</v>
      </c>
      <c r="AE3">
        <v>0</v>
      </c>
      <c r="AF3">
        <v>0</v>
      </c>
      <c r="AG3">
        <v>0</v>
      </c>
      <c r="AH3" s="8" t="str">
        <f>IF($AC3="","",$AE3*(1+IF($AF3="",0,$AF3)))</f>
        <v/>
      </c>
      <c r="AI3" s="8" t="str">
        <f>IF($AC3="","",$AH3)</f>
        <v/>
      </c>
      <c r="AJ3" s="8" t="str">
        <f>IF($AC3="","",IF($AG3="","",$AI3*$AG3))</f>
        <v/>
      </c>
    </row>
    <row r="4" spans="1:37" x14ac:dyDescent="0.25">
      <c r="A4" s="3" t="s">
        <v>401</v>
      </c>
      <c r="B4" s="3" t="s">
        <v>1497</v>
      </c>
      <c r="C4" s="3" t="s">
        <v>1498</v>
      </c>
      <c r="E4" t="s">
        <v>2101</v>
      </c>
      <c r="F4" t="s">
        <v>1022</v>
      </c>
      <c r="G4" t="s">
        <v>1023</v>
      </c>
      <c r="H4" t="s">
        <v>8</v>
      </c>
      <c r="I4">
        <v>26</v>
      </c>
      <c r="J4" s="22">
        <v>0.05</v>
      </c>
      <c r="K4">
        <v>22</v>
      </c>
      <c r="L4" s="8">
        <f t="shared" si="0"/>
        <v>27.3</v>
      </c>
      <c r="M4" s="8">
        <f t="shared" si="1"/>
        <v>27.3</v>
      </c>
      <c r="N4" s="8">
        <f t="shared" si="2"/>
        <v>600.6</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983</v>
      </c>
      <c r="B5" s="3" t="s">
        <v>984</v>
      </c>
      <c r="C5" s="3" t="s">
        <v>1499</v>
      </c>
      <c r="E5" t="s">
        <v>2102</v>
      </c>
      <c r="F5" t="s">
        <v>1024</v>
      </c>
      <c r="G5" t="s">
        <v>1025</v>
      </c>
      <c r="H5" t="s">
        <v>1026</v>
      </c>
      <c r="I5">
        <v>958</v>
      </c>
      <c r="J5" s="22">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982</v>
      </c>
      <c r="B6" s="3" t="s">
        <v>1500</v>
      </c>
      <c r="C6" s="3" t="s">
        <v>1501</v>
      </c>
      <c r="E6" t="s">
        <v>2103</v>
      </c>
      <c r="F6" t="s">
        <v>1027</v>
      </c>
      <c r="G6" t="s">
        <v>1550</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402</v>
      </c>
      <c r="B7" s="3" t="s">
        <v>985</v>
      </c>
      <c r="C7" s="3" t="s">
        <v>986</v>
      </c>
      <c r="E7" t="s">
        <v>2104</v>
      </c>
      <c r="F7" t="s">
        <v>1028</v>
      </c>
      <c r="G7" t="s">
        <v>1029</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402</v>
      </c>
      <c r="B8" s="3" t="s">
        <v>1502</v>
      </c>
      <c r="C8" s="3" t="s">
        <v>1503</v>
      </c>
      <c r="E8" t="s">
        <v>2105</v>
      </c>
      <c r="F8" t="s">
        <v>1028</v>
      </c>
      <c r="G8" t="s">
        <v>1030</v>
      </c>
      <c r="H8" t="s">
        <v>335</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404</v>
      </c>
      <c r="B9" s="3" t="s">
        <v>987</v>
      </c>
      <c r="C9" s="3" t="s">
        <v>1504</v>
      </c>
      <c r="E9" t="s">
        <v>2106</v>
      </c>
      <c r="F9" t="s">
        <v>1031</v>
      </c>
      <c r="G9" t="s">
        <v>1551</v>
      </c>
      <c r="H9" t="s">
        <v>734</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404</v>
      </c>
      <c r="B10" s="3" t="s">
        <v>988</v>
      </c>
      <c r="C10" s="3" t="s">
        <v>989</v>
      </c>
      <c r="E10" t="s">
        <v>1552</v>
      </c>
      <c r="F10" t="s">
        <v>1031</v>
      </c>
      <c r="G10" t="s">
        <v>1553</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404</v>
      </c>
      <c r="B11" s="3" t="s">
        <v>1505</v>
      </c>
      <c r="C11" s="3" t="s">
        <v>990</v>
      </c>
      <c r="E11" t="s">
        <v>2107</v>
      </c>
      <c r="F11" t="s">
        <v>1031</v>
      </c>
      <c r="G11" t="s">
        <v>1554</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402</v>
      </c>
      <c r="B12" s="3" t="s">
        <v>991</v>
      </c>
      <c r="C12" s="3" t="s">
        <v>992</v>
      </c>
      <c r="E12" t="s">
        <v>1555</v>
      </c>
      <c r="F12" t="s">
        <v>1556</v>
      </c>
      <c r="G12" t="s">
        <v>1557</v>
      </c>
      <c r="H12" t="s">
        <v>734</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402</v>
      </c>
      <c r="B13" s="3" t="s">
        <v>993</v>
      </c>
      <c r="C13" s="3" t="s">
        <v>1506</v>
      </c>
      <c r="E13" t="s">
        <v>1558</v>
      </c>
      <c r="F13" t="s">
        <v>1556</v>
      </c>
      <c r="G13" t="s">
        <v>1559</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402</v>
      </c>
      <c r="B14" s="3" t="s">
        <v>2065</v>
      </c>
      <c r="C14" s="3" t="s">
        <v>2066</v>
      </c>
      <c r="E14" t="s">
        <v>1560</v>
      </c>
      <c r="F14" t="s">
        <v>1556</v>
      </c>
      <c r="G14" t="s">
        <v>1561</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402</v>
      </c>
      <c r="B15" s="3" t="s">
        <v>2067</v>
      </c>
      <c r="C15" s="3" t="s">
        <v>2068</v>
      </c>
      <c r="E15" t="s">
        <v>2108</v>
      </c>
      <c r="F15" t="s">
        <v>1556</v>
      </c>
      <c r="G15" t="s">
        <v>1032</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402</v>
      </c>
      <c r="B16" s="3" t="s">
        <v>403</v>
      </c>
      <c r="C16" s="3" t="s">
        <v>994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402</v>
      </c>
      <c r="B17" s="3" t="s">
        <v>995</v>
      </c>
      <c r="C17" s="3" t="s">
        <v>996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402</v>
      </c>
      <c r="B18" s="3" t="s">
        <v>997</v>
      </c>
      <c r="C18" s="3" t="s">
        <v>998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402</v>
      </c>
      <c r="B19" s="3" t="s">
        <v>999</v>
      </c>
      <c r="C19" s="3" t="s">
        <v>1000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402</v>
      </c>
      <c r="B20" s="3" t="s">
        <v>1006</v>
      </c>
      <c r="C20" s="3" t="s">
        <v>1007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402</v>
      </c>
      <c r="B21" s="3" t="s">
        <v>1008</v>
      </c>
      <c r="C21" s="3" t="s">
        <v>1507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402</v>
      </c>
      <c r="B22" s="3" t="s">
        <v>1508</v>
      </c>
      <c r="C22" s="3" t="s">
        <v>1509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404</v>
      </c>
      <c r="B23" s="3" t="s">
        <v>1510</v>
      </c>
      <c r="C23" s="3" t="s">
        <v>1511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404</v>
      </c>
      <c r="B24" s="3" t="s">
        <v>1512</v>
      </c>
      <c r="C24" s="3" t="s">
        <v>1513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404</v>
      </c>
      <c r="B25" s="3" t="s">
        <v>1514</v>
      </c>
      <c r="C25" s="3" t="s">
        <v>1515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404</v>
      </c>
      <c r="B26" s="3" t="s">
        <v>1516</v>
      </c>
      <c r="C26" s="3" t="s">
        <v>1517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404</v>
      </c>
      <c r="B27" s="3" t="s">
        <v>1518</v>
      </c>
      <c r="C27" s="3" t="s">
        <v>1519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402</v>
      </c>
      <c r="B28" s="3" t="s">
        <v>1001</v>
      </c>
      <c r="C28" s="3" t="s">
        <v>1002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402</v>
      </c>
      <c r="B29" s="3" t="s">
        <v>1003</v>
      </c>
      <c r="C29" s="3" t="s">
        <v>1004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402</v>
      </c>
      <c r="B30" s="3" t="s">
        <v>1005</v>
      </c>
      <c r="C30" s="3" t="s">
        <v>1520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402</v>
      </c>
      <c r="B31" s="3" t="s">
        <v>1521</v>
      </c>
      <c r="C31" s="3" t="s">
        <v>2069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402</v>
      </c>
      <c r="B32" s="3" t="s">
        <v>1009</v>
      </c>
      <c r="C32" s="3" t="s">
        <v>1522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402</v>
      </c>
      <c r="B33" s="3" t="s">
        <v>1010</v>
      </c>
      <c r="C33" s="3" t="s">
        <v>1523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404</v>
      </c>
      <c r="B34" s="3" t="s">
        <v>2070</v>
      </c>
      <c r="C34" s="3" t="s">
        <v>2071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404</v>
      </c>
      <c r="B35" s="3" t="s">
        <v>2072</v>
      </c>
      <c r="C35" s="3" t="s">
        <v>2073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404</v>
      </c>
      <c r="B36" s="3" t="s">
        <v>2074</v>
      </c>
      <c r="C36" s="3" t="s">
        <v>2075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404</v>
      </c>
      <c r="B37" s="3" t="s">
        <v>2076</v>
      </c>
      <c r="C37" s="3" t="s">
        <v>2077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404</v>
      </c>
      <c r="B38" s="3" t="s">
        <v>2078</v>
      </c>
      <c r="C38" s="3" t="s">
        <v>2079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404</v>
      </c>
      <c r="B39" s="3" t="s">
        <v>2080</v>
      </c>
      <c r="C39" s="3" t="s">
        <v>2081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404</v>
      </c>
      <c r="B40" s="3" t="s">
        <v>2082</v>
      </c>
      <c r="C40" s="3" t="s">
        <v>2083</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404</v>
      </c>
      <c r="B41" s="3" t="s">
        <v>2084</v>
      </c>
      <c r="C41" s="3" t="s">
        <v>2085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404</v>
      </c>
      <c r="B42" s="3" t="s">
        <v>2086</v>
      </c>
      <c r="C42" s="3" t="s">
        <v>2087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404</v>
      </c>
      <c r="B43" s="3" t="s">
        <v>2088</v>
      </c>
      <c r="C43" s="3" t="s">
        <v>2089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404</v>
      </c>
      <c r="B44" s="3" t="s">
        <v>2090</v>
      </c>
      <c r="C44" s="3" t="s">
        <v>2091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404</v>
      </c>
      <c r="B45" s="3" t="s">
        <v>2092</v>
      </c>
      <c r="C45" s="3" t="s">
        <v>2093</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404</v>
      </c>
      <c r="B46" s="3" t="s">
        <v>2094</v>
      </c>
      <c r="C46" s="3" t="s">
        <v>2095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1011</v>
      </c>
      <c r="B47" s="3" t="s">
        <v>1524</v>
      </c>
      <c r="C47" s="3" t="s">
        <v>2096</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1011</v>
      </c>
      <c r="B48" s="3" t="s">
        <v>1525</v>
      </c>
      <c r="C48" s="3" t="s">
        <v>1526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1011</v>
      </c>
      <c r="B49" s="3" t="s">
        <v>1527</v>
      </c>
      <c r="C49" s="3" t="s">
        <v>1528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1011</v>
      </c>
      <c r="B50" s="3" t="s">
        <v>1529</v>
      </c>
      <c r="C50" s="3" t="s">
        <v>1530</v>
      </c>
    </row>
    <row r="51" spans="1:36" x14ac:dyDescent="0.25">
      <c r="A51" s="3" t="s">
        <v>1011</v>
      </c>
      <c r="B51" s="3" t="s">
        <v>1531</v>
      </c>
      <c r="C51" s="3" t="s">
        <v>1532</v>
      </c>
    </row>
    <row r="52" spans="1:36" x14ac:dyDescent="0.25">
      <c r="A52" s="3" t="s">
        <v>1011</v>
      </c>
      <c r="B52" s="3" t="s">
        <v>1012</v>
      </c>
      <c r="C52" s="3" t="s">
        <v>1013</v>
      </c>
    </row>
    <row r="53" spans="1:36" x14ac:dyDescent="0.25">
      <c r="A53" s="3" t="s">
        <v>1011</v>
      </c>
      <c r="B53" s="3" t="s">
        <v>1533</v>
      </c>
      <c r="C53" s="3" t="s">
        <v>1534</v>
      </c>
    </row>
    <row r="54" spans="1:36" x14ac:dyDescent="0.25">
      <c r="A54" s="3" t="s">
        <v>1011</v>
      </c>
      <c r="B54" s="3" t="s">
        <v>1535</v>
      </c>
      <c r="C54" s="3" t="s">
        <v>1536</v>
      </c>
    </row>
    <row r="55" spans="1:36" x14ac:dyDescent="0.25">
      <c r="A55" s="3" t="s">
        <v>1011</v>
      </c>
      <c r="B55" s="3" t="s">
        <v>1537</v>
      </c>
      <c r="C55" s="3" t="s">
        <v>1538</v>
      </c>
    </row>
    <row r="56" spans="1:36" x14ac:dyDescent="0.25">
      <c r="A56" s="3" t="s">
        <v>1011</v>
      </c>
      <c r="B56" s="3" t="s">
        <v>1539</v>
      </c>
      <c r="C56" s="3" t="s">
        <v>1540</v>
      </c>
    </row>
    <row r="57" spans="1:36" x14ac:dyDescent="0.25">
      <c r="A57" s="3" t="s">
        <v>1011</v>
      </c>
      <c r="B57" s="3" t="s">
        <v>1541</v>
      </c>
      <c r="C57" s="3" t="s">
        <v>1542</v>
      </c>
    </row>
    <row r="58" spans="1:36" x14ac:dyDescent="0.25">
      <c r="A58" s="3" t="s">
        <v>1011</v>
      </c>
      <c r="B58" s="3" t="s">
        <v>1014</v>
      </c>
      <c r="C58" s="3" t="s">
        <v>1543</v>
      </c>
    </row>
    <row r="59" spans="1:36" x14ac:dyDescent="0.25">
      <c r="A59" s="3" t="s">
        <v>1011</v>
      </c>
      <c r="B59" s="3" t="s">
        <v>1015</v>
      </c>
      <c r="C59" s="3" t="s">
        <v>1016</v>
      </c>
    </row>
    <row r="60" spans="1:36" x14ac:dyDescent="0.25">
      <c r="A60" s="3" t="s">
        <v>402</v>
      </c>
      <c r="B60" s="3" t="s">
        <v>1017</v>
      </c>
      <c r="C60" s="3" t="s">
        <v>1544</v>
      </c>
    </row>
    <row r="61" spans="1:36" x14ac:dyDescent="0.25">
      <c r="A61" s="3" t="s">
        <v>402</v>
      </c>
      <c r="B61" s="3" t="s">
        <v>1545</v>
      </c>
      <c r="C61" s="3" t="s">
        <v>1546</v>
      </c>
    </row>
    <row r="62" spans="1:36" x14ac:dyDescent="0.25">
      <c r="A62" s="3" t="s">
        <v>1018</v>
      </c>
      <c r="B62" s="3" t="s">
        <v>1547</v>
      </c>
      <c r="C62" s="3" t="s">
        <v>460</v>
      </c>
    </row>
    <row r="63" spans="1:36" x14ac:dyDescent="0.25">
      <c r="A63" s="3" t="s">
        <v>404</v>
      </c>
      <c r="B63" s="3" t="s">
        <v>2019</v>
      </c>
      <c r="C63" s="3" t="s">
        <v>2097</v>
      </c>
    </row>
    <row r="64" spans="1:36" x14ac:dyDescent="0.25">
      <c r="A64" s="3" t="s">
        <v>402</v>
      </c>
      <c r="B64" s="3" t="s">
        <v>592</v>
      </c>
      <c r="C64" s="3" t="s">
        <v>2098</v>
      </c>
    </row>
    <row r="65" spans="1:3" x14ac:dyDescent="0.25">
      <c r="A65" s="3" t="s">
        <v>402</v>
      </c>
      <c r="B65" s="3" t="s">
        <v>462</v>
      </c>
      <c r="C65" s="3" t="s">
        <v>1548</v>
      </c>
    </row>
    <row r="66" spans="1:3" x14ac:dyDescent="0.25">
      <c r="A66" s="3" t="s">
        <v>402</v>
      </c>
      <c r="B66" s="3" t="s">
        <v>373</v>
      </c>
      <c r="C66" s="3" t="s">
        <v>1019</v>
      </c>
    </row>
    <row r="67" spans="1:3" x14ac:dyDescent="0.25">
      <c r="A67" s="3" t="s">
        <v>405</v>
      </c>
      <c r="B67" s="3" t="s">
        <v>1020</v>
      </c>
      <c r="C67" s="3" t="s">
        <v>1549</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50" activePane="bottomLeft" state="frozen"/>
      <selection pane="bottomLeft" activeCell="P2" sqref="P2:V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S09</v>
      </c>
      <c r="B1" s="26"/>
      <c r="C1" s="26"/>
      <c r="E1" s="24" t="str" cm="1">
        <f t="array" aca="1" ref="E1" ca="1">IFERROR(MID(CELL("filename",$A$1),FIND("]",CELL("filename",$A$1))+1,99),"SXX")&amp;" MATERIALS (USAGE + STANDALONE)"</f>
        <v>S09 MATERIALS (USAGE + STANDALONE)</v>
      </c>
      <c r="F1" s="24"/>
      <c r="G1" s="24"/>
      <c r="H1" s="24"/>
      <c r="I1" s="24"/>
      <c r="J1" s="24"/>
      <c r="K1" s="24"/>
      <c r="L1" s="13"/>
      <c r="M1" s="13"/>
      <c r="N1" s="19">
        <f>SUM(N3:N49)</f>
        <v>1840.8600000000004</v>
      </c>
      <c r="P1" s="24" t="str" cm="1">
        <f t="array" aca="1" ref="P1" ca="1">IFERROR(MID(CELL("filename",$A$1),FIND("]",CELL("filename",$A$1))+1,99),"SXX")&amp;" LABOUR (USAGE + STANDALONE)"</f>
        <v>S09 LABOUR (USAGE + STANDALONE)</v>
      </c>
      <c r="Q1" s="24"/>
      <c r="R1" s="24"/>
      <c r="S1" s="24"/>
      <c r="T1" s="24"/>
      <c r="U1" s="24"/>
      <c r="V1" s="24"/>
      <c r="Y1" s="19">
        <f>SUM(Y3:Y49)</f>
        <v>3060</v>
      </c>
      <c r="AA1" s="27" t="str" cm="1">
        <f t="array" aca="1" ref="AA1" ca="1">IFERROR(MID(CELL("filename",$A$1),FIND("]",CELL("filename",$A$1))+1,99),"SXX")&amp;" RENTAL / SERVICE (USAGE + STANDALONE)"</f>
        <v>S09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1765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406</v>
      </c>
      <c r="B3" s="3" t="s">
        <v>1152</v>
      </c>
      <c r="C3" s="3" t="s">
        <v>1153</v>
      </c>
      <c r="E3" t="s">
        <v>2125</v>
      </c>
      <c r="F3" t="s">
        <v>1223</v>
      </c>
      <c r="G3" t="s">
        <v>1224</v>
      </c>
      <c r="H3" t="s">
        <v>8</v>
      </c>
      <c r="I3">
        <v>3900</v>
      </c>
      <c r="J3" s="22">
        <v>0.03</v>
      </c>
      <c r="K3">
        <v>0.28000000000000003</v>
      </c>
      <c r="L3" s="8">
        <f t="shared" ref="L3:L49" si="0">IF($G3="","",$I3*(1+IF($J3="",0,$J3)))</f>
        <v>4017</v>
      </c>
      <c r="M3" s="8">
        <f t="shared" ref="M3:M49" si="1">IF($G3="","",$L3)</f>
        <v>4017</v>
      </c>
      <c r="N3" s="8">
        <f t="shared" ref="N3:N49" si="2">IF($G3="","",IF($K3="","",$M3*$K3))</f>
        <v>1124.7600000000002</v>
      </c>
      <c r="P3" t="s">
        <v>2133</v>
      </c>
      <c r="Q3" t="s">
        <v>1227</v>
      </c>
      <c r="R3" t="s">
        <v>329</v>
      </c>
      <c r="S3" t="s">
        <v>33</v>
      </c>
      <c r="T3">
        <v>136</v>
      </c>
      <c r="U3" s="22">
        <v>0</v>
      </c>
      <c r="V3">
        <v>22.5</v>
      </c>
      <c r="W3" s="8">
        <f>IF($R3="","",$T3*(1+IF($U3="",0,$U3)))</f>
        <v>136</v>
      </c>
      <c r="X3" s="8">
        <f>IF($R3="","",$W3)</f>
        <v>136</v>
      </c>
      <c r="Y3" s="8">
        <f>IF($R3="","",IF($V3="","",$X3*$V3))</f>
        <v>3060</v>
      </c>
      <c r="AH3" s="8" t="str">
        <f>IF($AC3="","",$AE3*(1+IF($AF3="",0,$AF3)))</f>
        <v/>
      </c>
      <c r="AI3" s="8" t="str">
        <f>IF($AC3="","",$AH3)</f>
        <v/>
      </c>
      <c r="AJ3" s="8" t="str">
        <f>IF($AC3="","",IF($AG3="","",$AI3*$AG3))</f>
        <v/>
      </c>
    </row>
    <row r="4" spans="1:37" x14ac:dyDescent="0.25">
      <c r="A4" s="3" t="s">
        <v>407</v>
      </c>
      <c r="B4" s="3" t="s">
        <v>1154</v>
      </c>
      <c r="C4" s="3" t="s">
        <v>1155</v>
      </c>
      <c r="E4" t="s">
        <v>2126</v>
      </c>
      <c r="F4" t="s">
        <v>1225</v>
      </c>
      <c r="G4" t="s">
        <v>2127</v>
      </c>
      <c r="H4" t="s">
        <v>9</v>
      </c>
      <c r="I4">
        <v>12</v>
      </c>
      <c r="J4" s="22">
        <v>0.05</v>
      </c>
      <c r="K4">
        <v>24</v>
      </c>
      <c r="L4" s="8">
        <f t="shared" si="0"/>
        <v>12.600000000000001</v>
      </c>
      <c r="M4" s="8">
        <f t="shared" si="1"/>
        <v>12.600000000000001</v>
      </c>
      <c r="N4" s="8">
        <f t="shared" si="2"/>
        <v>302.40000000000003</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1156</v>
      </c>
      <c r="B5" s="3" t="s">
        <v>1157</v>
      </c>
      <c r="C5" s="3" t="s">
        <v>1158</v>
      </c>
      <c r="E5" t="s">
        <v>2128</v>
      </c>
      <c r="F5" t="s">
        <v>1225</v>
      </c>
      <c r="G5" t="s">
        <v>745</v>
      </c>
      <c r="H5" t="s">
        <v>11</v>
      </c>
      <c r="I5">
        <v>0.2</v>
      </c>
      <c r="J5" s="22">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1159</v>
      </c>
      <c r="B6" s="3" t="s">
        <v>1160</v>
      </c>
      <c r="C6" s="3" t="s">
        <v>1161</v>
      </c>
      <c r="E6" t="s">
        <v>2129</v>
      </c>
      <c r="F6" t="s">
        <v>1226</v>
      </c>
      <c r="G6" t="s">
        <v>882</v>
      </c>
      <c r="H6" t="s">
        <v>672</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409</v>
      </c>
      <c r="B7" s="3" t="s">
        <v>1162</v>
      </c>
      <c r="C7" s="3" t="s">
        <v>1163</v>
      </c>
      <c r="E7" t="s">
        <v>2130</v>
      </c>
      <c r="F7" t="s">
        <v>1226</v>
      </c>
      <c r="G7" t="s">
        <v>673</v>
      </c>
      <c r="H7" t="s">
        <v>672</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408</v>
      </c>
      <c r="B8" s="3" t="s">
        <v>1164</v>
      </c>
      <c r="C8" s="3" t="s">
        <v>1165</v>
      </c>
      <c r="E8" t="s">
        <v>2131</v>
      </c>
      <c r="F8" t="s">
        <v>1226</v>
      </c>
      <c r="G8" t="s">
        <v>675</v>
      </c>
      <c r="H8" t="s">
        <v>676</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408</v>
      </c>
      <c r="B9" s="3" t="s">
        <v>1166</v>
      </c>
      <c r="C9" s="3" t="s">
        <v>2110</v>
      </c>
      <c r="E9" t="s">
        <v>2132</v>
      </c>
      <c r="F9" t="s">
        <v>1226</v>
      </c>
      <c r="G9" t="s">
        <v>733</v>
      </c>
      <c r="H9" t="s">
        <v>734</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408</v>
      </c>
      <c r="B10" s="3" t="s">
        <v>1167</v>
      </c>
      <c r="C10" s="3" t="s">
        <v>737</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409</v>
      </c>
      <c r="B11" s="3" t="s">
        <v>1168</v>
      </c>
      <c r="C11" s="3" t="s">
        <v>1169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410</v>
      </c>
      <c r="B12" s="3" t="s">
        <v>1170</v>
      </c>
      <c r="C12" s="3" t="s">
        <v>1171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409</v>
      </c>
      <c r="B13" s="3" t="s">
        <v>1172</v>
      </c>
      <c r="C13" s="3" t="s">
        <v>1173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409</v>
      </c>
      <c r="B14" s="3" t="s">
        <v>1174</v>
      </c>
      <c r="C14" s="3" t="s">
        <v>1175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409</v>
      </c>
      <c r="B15" s="3" t="s">
        <v>1176</v>
      </c>
      <c r="C15" s="3" t="s">
        <v>1177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409</v>
      </c>
      <c r="B16" s="3" t="s">
        <v>1178</v>
      </c>
      <c r="C16" s="3" t="s">
        <v>1179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409</v>
      </c>
      <c r="B17" s="3" t="s">
        <v>1180</v>
      </c>
      <c r="C17" s="3" t="s">
        <v>1181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409</v>
      </c>
      <c r="B18" s="3" t="s">
        <v>412</v>
      </c>
      <c r="C18" s="3" t="s">
        <v>1182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409</v>
      </c>
      <c r="B19" s="3" t="s">
        <v>1183</v>
      </c>
      <c r="C19" s="3" t="s">
        <v>1184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409</v>
      </c>
      <c r="B20" s="3" t="s">
        <v>1185</v>
      </c>
      <c r="C20" s="3" t="s">
        <v>1186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410</v>
      </c>
      <c r="B21" s="3" t="s">
        <v>1187</v>
      </c>
      <c r="C21" s="3" t="s">
        <v>1188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410</v>
      </c>
      <c r="B22" s="3" t="s">
        <v>1189</v>
      </c>
      <c r="C22" s="3" t="s">
        <v>1190</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409</v>
      </c>
      <c r="B23" s="3" t="s">
        <v>2111</v>
      </c>
      <c r="C23" s="3" t="s">
        <v>2112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410</v>
      </c>
      <c r="B24" s="3" t="s">
        <v>1191</v>
      </c>
      <c r="C24" s="3" t="s">
        <v>1192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410</v>
      </c>
      <c r="B25" s="3" t="s">
        <v>1193</v>
      </c>
      <c r="C25" s="3" t="s">
        <v>1194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410</v>
      </c>
      <c r="B26" s="3" t="s">
        <v>1195</v>
      </c>
      <c r="C26" s="3" t="s">
        <v>1196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409</v>
      </c>
      <c r="B27" s="3" t="s">
        <v>1197</v>
      </c>
      <c r="C27" s="3" t="s">
        <v>1198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409</v>
      </c>
      <c r="B28" s="3" t="s">
        <v>1199</v>
      </c>
      <c r="C28" s="3" t="s">
        <v>1200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409</v>
      </c>
      <c r="B29" s="3" t="s">
        <v>411</v>
      </c>
      <c r="C29" s="3" t="s">
        <v>1201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408</v>
      </c>
      <c r="B30" s="3" t="s">
        <v>1202</v>
      </c>
      <c r="C30" s="3" t="s">
        <v>2002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408</v>
      </c>
      <c r="B31" s="3" t="s">
        <v>1203</v>
      </c>
      <c r="C31" s="3" t="s">
        <v>784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408</v>
      </c>
      <c r="B32" s="3" t="s">
        <v>1204</v>
      </c>
      <c r="C32" s="3" t="s">
        <v>785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408</v>
      </c>
      <c r="B33" s="3" t="s">
        <v>2113</v>
      </c>
      <c r="C33" s="3" t="s">
        <v>787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409</v>
      </c>
      <c r="B34" s="3" t="s">
        <v>1205</v>
      </c>
      <c r="C34" s="3" t="s">
        <v>1206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409</v>
      </c>
      <c r="B35" s="3" t="s">
        <v>1207</v>
      </c>
      <c r="C35" s="3" t="s">
        <v>1208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409</v>
      </c>
      <c r="B36" s="3" t="s">
        <v>1209</v>
      </c>
      <c r="C36" s="3" t="s">
        <v>1210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409</v>
      </c>
      <c r="B37" s="3" t="s">
        <v>1211</v>
      </c>
      <c r="C37" s="3" t="s">
        <v>1212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409</v>
      </c>
      <c r="B38" s="3" t="s">
        <v>1213</v>
      </c>
      <c r="C38" s="3" t="s">
        <v>1214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409</v>
      </c>
      <c r="B39" s="3" t="s">
        <v>1215</v>
      </c>
      <c r="C39" s="3" t="s">
        <v>1216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409</v>
      </c>
      <c r="B40" s="3" t="s">
        <v>1217</v>
      </c>
      <c r="C40" s="3" t="s">
        <v>1218</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409</v>
      </c>
      <c r="B41" s="3" t="s">
        <v>1219</v>
      </c>
      <c r="C41" s="3" t="s">
        <v>1220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410</v>
      </c>
      <c r="B42" s="3" t="s">
        <v>2114</v>
      </c>
      <c r="C42" s="3" t="s">
        <v>2115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410</v>
      </c>
      <c r="B43" s="3" t="s">
        <v>2116</v>
      </c>
      <c r="C43" s="3" t="s">
        <v>2117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410</v>
      </c>
      <c r="B44" s="3" t="s">
        <v>2118</v>
      </c>
      <c r="C44" s="3" t="s">
        <v>2119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410</v>
      </c>
      <c r="B45" s="3" t="s">
        <v>2120</v>
      </c>
      <c r="C45" s="3" t="s">
        <v>2121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409</v>
      </c>
      <c r="B46" s="3" t="s">
        <v>373</v>
      </c>
      <c r="C46" s="3" t="s">
        <v>1221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1222</v>
      </c>
      <c r="B47" s="3" t="s">
        <v>1547</v>
      </c>
      <c r="C47" s="3" t="s">
        <v>460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410</v>
      </c>
      <c r="B48" s="3" t="s">
        <v>2019</v>
      </c>
      <c r="C48" s="3" t="s">
        <v>2122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409</v>
      </c>
      <c r="B49" s="3" t="s">
        <v>592</v>
      </c>
      <c r="C49" s="3" t="s">
        <v>2123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413</v>
      </c>
      <c r="B50" s="3" t="s">
        <v>414</v>
      </c>
      <c r="C50" s="3" t="s">
        <v>2124</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50" activePane="bottomLeft" state="frozen"/>
      <selection pane="bottomLeft" activeCell="P2" sqref="P2:V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S10</v>
      </c>
      <c r="B1" s="26"/>
      <c r="C1" s="26"/>
      <c r="E1" s="24" t="str" cm="1">
        <f t="array" aca="1" ref="E1" ca="1">IFERROR(MID(CELL("filename",$A$1),FIND("]",CELL("filename",$A$1))+1,99),"SXX")&amp;" MATERIALS (USAGE + STANDALONE)"</f>
        <v>S10 MATERIALS (USAGE + STANDALONE)</v>
      </c>
      <c r="F1" s="24"/>
      <c r="G1" s="24"/>
      <c r="H1" s="24"/>
      <c r="I1" s="24"/>
      <c r="J1" s="24"/>
      <c r="K1" s="24"/>
      <c r="L1" s="13"/>
      <c r="M1" s="13"/>
      <c r="N1" s="19">
        <f>SUM(N3:N49)</f>
        <v>3388.8574999999992</v>
      </c>
      <c r="P1" s="24" t="str" cm="1">
        <f t="array" aca="1" ref="P1" ca="1">IFERROR(MID(CELL("filename",$A$1),FIND("]",CELL("filename",$A$1))+1,99),"SXX")&amp;" LABOUR (USAGE + STANDALONE)"</f>
        <v>S10 LABOUR (USAGE + STANDALONE)</v>
      </c>
      <c r="Q1" s="24"/>
      <c r="R1" s="24"/>
      <c r="S1" s="24"/>
      <c r="T1" s="24"/>
      <c r="U1" s="24"/>
      <c r="V1" s="24"/>
      <c r="Y1" s="19">
        <f>SUM(Y3:Y49)</f>
        <v>1912.5</v>
      </c>
      <c r="AA1" s="27" t="str" cm="1">
        <f t="array" aca="1" ref="AA1" ca="1">IFERROR(MID(CELL("filename",$A$1),FIND("]",CELL("filename",$A$1))+1,99),"SXX")&amp;" RENTAL / SERVICE (USAGE + STANDALONE)"</f>
        <v>S10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1765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415</v>
      </c>
      <c r="B3" s="3" t="s">
        <v>1228</v>
      </c>
      <c r="C3" s="3" t="s">
        <v>1229</v>
      </c>
      <c r="E3" t="s">
        <v>2143</v>
      </c>
      <c r="F3" t="s">
        <v>1306</v>
      </c>
      <c r="G3" t="s">
        <v>2144</v>
      </c>
      <c r="H3" t="s">
        <v>10</v>
      </c>
      <c r="I3">
        <v>1</v>
      </c>
      <c r="J3" s="22">
        <v>0</v>
      </c>
      <c r="K3">
        <v>480</v>
      </c>
      <c r="L3" s="8">
        <f t="shared" ref="L3:L49" si="0">IF($G3="","",$I3*(1+IF($J3="",0,$J3)))</f>
        <v>1</v>
      </c>
      <c r="M3" s="8">
        <f t="shared" ref="M3:M49" si="1">IF($G3="","",$L3)</f>
        <v>1</v>
      </c>
      <c r="N3" s="8">
        <f t="shared" ref="N3:N49" si="2">IF($G3="","",IF($K3="","",$M3*$K3))</f>
        <v>480</v>
      </c>
      <c r="P3" t="s">
        <v>2162</v>
      </c>
      <c r="Q3" t="s">
        <v>1321</v>
      </c>
      <c r="R3" t="s">
        <v>329</v>
      </c>
      <c r="S3" t="s">
        <v>33</v>
      </c>
      <c r="T3">
        <v>85</v>
      </c>
      <c r="U3" s="22">
        <v>0</v>
      </c>
      <c r="V3">
        <v>22.5</v>
      </c>
      <c r="W3" s="8">
        <f>IF($R3="","",$T3*(1+IF($U3="",0,$U3)))</f>
        <v>85</v>
      </c>
      <c r="X3" s="8">
        <f>IF($R3="","",$W3)</f>
        <v>85</v>
      </c>
      <c r="Y3" s="8">
        <f>IF($R3="","",IF($V3="","",$X3*$V3))</f>
        <v>1912.5</v>
      </c>
      <c r="AH3" s="8" t="str">
        <f>IF($AC3="","",$AE3*(1+IF($AF3="",0,$AF3)))</f>
        <v/>
      </c>
      <c r="AI3" s="8" t="str">
        <f>IF($AC3="","",$AH3)</f>
        <v/>
      </c>
      <c r="AJ3" s="8" t="str">
        <f>IF($AC3="","",IF($AG3="","",$AI3*$AG3))</f>
        <v/>
      </c>
    </row>
    <row r="4" spans="1:37" x14ac:dyDescent="0.25">
      <c r="A4" s="3" t="s">
        <v>416</v>
      </c>
      <c r="B4" s="3" t="s">
        <v>1230</v>
      </c>
      <c r="C4" s="3" t="s">
        <v>1231</v>
      </c>
      <c r="E4" t="s">
        <v>2145</v>
      </c>
      <c r="F4" t="s">
        <v>1307</v>
      </c>
      <c r="G4" t="s">
        <v>2146</v>
      </c>
      <c r="H4" t="s">
        <v>10</v>
      </c>
      <c r="I4">
        <v>3</v>
      </c>
      <c r="J4" s="22">
        <v>0</v>
      </c>
      <c r="K4">
        <v>300</v>
      </c>
      <c r="L4" s="8">
        <f t="shared" si="0"/>
        <v>3</v>
      </c>
      <c r="M4" s="8">
        <f t="shared" si="1"/>
        <v>3</v>
      </c>
      <c r="N4" s="8">
        <f t="shared" si="2"/>
        <v>900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1232</v>
      </c>
      <c r="B5" s="3" t="s">
        <v>1233</v>
      </c>
      <c r="C5" s="3" t="s">
        <v>1234</v>
      </c>
      <c r="E5" t="s">
        <v>2147</v>
      </c>
      <c r="F5" t="s">
        <v>1307</v>
      </c>
      <c r="G5" t="s">
        <v>2148</v>
      </c>
      <c r="H5" t="s">
        <v>10</v>
      </c>
      <c r="I5">
        <v>1</v>
      </c>
      <c r="J5" s="22">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417</v>
      </c>
      <c r="B6" s="3" t="s">
        <v>418</v>
      </c>
      <c r="C6" s="3" t="s">
        <v>1235</v>
      </c>
      <c r="E6" t="s">
        <v>2149</v>
      </c>
      <c r="F6" t="s">
        <v>2150</v>
      </c>
      <c r="G6" t="s">
        <v>2151</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417</v>
      </c>
      <c r="B7" s="3" t="s">
        <v>1236</v>
      </c>
      <c r="C7" s="3" t="s">
        <v>1237</v>
      </c>
      <c r="E7" t="s">
        <v>2152</v>
      </c>
      <c r="F7" t="s">
        <v>2150</v>
      </c>
      <c r="G7" t="s">
        <v>2153</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417</v>
      </c>
      <c r="B8" s="3" t="s">
        <v>1238</v>
      </c>
      <c r="C8" s="3" t="s">
        <v>1239</v>
      </c>
      <c r="E8" t="s">
        <v>2154</v>
      </c>
      <c r="F8" t="s">
        <v>2150</v>
      </c>
      <c r="G8" t="s">
        <v>2155</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419</v>
      </c>
      <c r="B9" s="3" t="s">
        <v>1240</v>
      </c>
      <c r="C9" s="3" t="s">
        <v>1241</v>
      </c>
      <c r="E9" t="s">
        <v>2156</v>
      </c>
      <c r="F9" t="s">
        <v>2157</v>
      </c>
      <c r="G9" t="s">
        <v>1308</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417</v>
      </c>
      <c r="B10" s="3" t="s">
        <v>1242</v>
      </c>
      <c r="C10" s="3" t="s">
        <v>1243</v>
      </c>
      <c r="E10" t="s">
        <v>2158</v>
      </c>
      <c r="F10" t="s">
        <v>1309</v>
      </c>
      <c r="G10" t="s">
        <v>733</v>
      </c>
      <c r="H10" t="s">
        <v>734</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419</v>
      </c>
      <c r="B11" s="3" t="s">
        <v>1244</v>
      </c>
      <c r="C11" s="3" t="s">
        <v>1245</v>
      </c>
      <c r="E11" t="s">
        <v>2159</v>
      </c>
      <c r="F11" t="s">
        <v>1310</v>
      </c>
      <c r="G11" t="s">
        <v>1311</v>
      </c>
      <c r="H11" t="s">
        <v>726</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417</v>
      </c>
      <c r="B12" s="3" t="s">
        <v>1246</v>
      </c>
      <c r="C12" s="3" t="s">
        <v>1247</v>
      </c>
      <c r="E12" t="s">
        <v>2160</v>
      </c>
      <c r="F12" t="s">
        <v>1310</v>
      </c>
      <c r="G12" t="s">
        <v>1312</v>
      </c>
      <c r="H12" t="s">
        <v>32</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417</v>
      </c>
      <c r="B13" s="3" t="s">
        <v>1248</v>
      </c>
      <c r="C13" s="3" t="s">
        <v>1249</v>
      </c>
      <c r="E13" t="s">
        <v>2161</v>
      </c>
      <c r="F13" t="s">
        <v>1310</v>
      </c>
      <c r="G13" t="s">
        <v>1313</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417</v>
      </c>
      <c r="B14" s="3" t="s">
        <v>1250</v>
      </c>
      <c r="C14" s="3" t="s">
        <v>1251</v>
      </c>
      <c r="E14" t="s">
        <v>2161</v>
      </c>
      <c r="F14" t="s">
        <v>1310</v>
      </c>
      <c r="G14" t="s">
        <v>1314</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417</v>
      </c>
      <c r="B15" s="3" t="s">
        <v>1252</v>
      </c>
      <c r="C15" s="3" t="s">
        <v>1253</v>
      </c>
      <c r="E15" t="s">
        <v>2161</v>
      </c>
      <c r="F15" t="s">
        <v>1310</v>
      </c>
      <c r="G15" t="s">
        <v>1315</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417</v>
      </c>
      <c r="B16" s="3" t="s">
        <v>1254</v>
      </c>
      <c r="C16" s="3" t="s">
        <v>1255</v>
      </c>
      <c r="E16" t="s">
        <v>1316</v>
      </c>
      <c r="F16" t="s">
        <v>1317</v>
      </c>
      <c r="G16" t="s">
        <v>1318</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419</v>
      </c>
      <c r="B17" s="3" t="s">
        <v>1256</v>
      </c>
      <c r="C17" s="3" t="s">
        <v>1257</v>
      </c>
      <c r="E17" t="s">
        <v>1319</v>
      </c>
      <c r="F17" t="s">
        <v>1317</v>
      </c>
      <c r="G17" t="s">
        <v>1320</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419</v>
      </c>
      <c r="B18" s="3" t="s">
        <v>1258</v>
      </c>
      <c r="C18" s="3" t="s">
        <v>1259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417</v>
      </c>
      <c r="B19" s="3" t="s">
        <v>1260</v>
      </c>
      <c r="C19" s="3" t="s">
        <v>1261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417</v>
      </c>
      <c r="B20" s="3" t="s">
        <v>1262</v>
      </c>
      <c r="C20" s="3" t="s">
        <v>1263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419</v>
      </c>
      <c r="B21" s="3" t="s">
        <v>1264</v>
      </c>
      <c r="C21" s="3" t="s">
        <v>1265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419</v>
      </c>
      <c r="B22" s="3" t="s">
        <v>1266</v>
      </c>
      <c r="C22" s="3" t="s">
        <v>1267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419</v>
      </c>
      <c r="B23" s="3" t="s">
        <v>1268</v>
      </c>
      <c r="C23" s="3" t="s">
        <v>1269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417</v>
      </c>
      <c r="B24" s="3" t="s">
        <v>420</v>
      </c>
      <c r="C24" s="3" t="s">
        <v>1270</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417</v>
      </c>
      <c r="B25" s="3" t="s">
        <v>1271</v>
      </c>
      <c r="C25" s="3" t="s">
        <v>1272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417</v>
      </c>
      <c r="B26" s="3" t="s">
        <v>1273</v>
      </c>
      <c r="C26" s="3" t="s">
        <v>1274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417</v>
      </c>
      <c r="B27" s="3" t="s">
        <v>421</v>
      </c>
      <c r="C27" s="3" t="s">
        <v>1275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417</v>
      </c>
      <c r="B28" s="3" t="s">
        <v>1276</v>
      </c>
      <c r="C28" s="3" t="s">
        <v>1277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417</v>
      </c>
      <c r="B29" s="3" t="s">
        <v>1278</v>
      </c>
      <c r="C29" s="3" t="s">
        <v>1279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417</v>
      </c>
      <c r="B30" s="3" t="s">
        <v>1280</v>
      </c>
      <c r="C30" s="3" t="s">
        <v>1281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417</v>
      </c>
      <c r="B31" s="3" t="s">
        <v>1282</v>
      </c>
      <c r="C31" s="3" t="s">
        <v>1283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417</v>
      </c>
      <c r="B32" s="3" t="s">
        <v>1284</v>
      </c>
      <c r="C32" s="3" t="s">
        <v>1285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1286</v>
      </c>
      <c r="B33" s="3" t="s">
        <v>1287</v>
      </c>
      <c r="C33" s="3" t="s">
        <v>1288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1286</v>
      </c>
      <c r="B34" s="3" t="s">
        <v>2134</v>
      </c>
      <c r="C34" s="3" t="s">
        <v>787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1286</v>
      </c>
      <c r="B35" s="3" t="s">
        <v>1289</v>
      </c>
      <c r="C35" s="3" t="s">
        <v>1290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1286</v>
      </c>
      <c r="B36" s="3" t="s">
        <v>1291</v>
      </c>
      <c r="C36" s="3" t="s">
        <v>1292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1286</v>
      </c>
      <c r="B37" s="3" t="s">
        <v>1293</v>
      </c>
      <c r="C37" s="3" t="s">
        <v>1294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1286</v>
      </c>
      <c r="B38" s="3" t="s">
        <v>1295</v>
      </c>
      <c r="C38" s="3" t="s">
        <v>1296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1286</v>
      </c>
      <c r="B39" s="3" t="s">
        <v>1297</v>
      </c>
      <c r="C39" s="3" t="s">
        <v>1298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1286</v>
      </c>
      <c r="B40" s="3" t="s">
        <v>2135</v>
      </c>
      <c r="C40" s="3" t="s">
        <v>2136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1286</v>
      </c>
      <c r="B41" s="3" t="s">
        <v>2137</v>
      </c>
      <c r="C41" s="3" t="s">
        <v>2138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1286</v>
      </c>
      <c r="B42" s="3" t="s">
        <v>1299</v>
      </c>
      <c r="C42" s="3" t="s">
        <v>1300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417</v>
      </c>
      <c r="B43" s="3" t="s">
        <v>1301</v>
      </c>
      <c r="C43" s="3" t="s">
        <v>2139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417</v>
      </c>
      <c r="B44" s="3" t="s">
        <v>1302</v>
      </c>
      <c r="C44" s="3" t="s">
        <v>1303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1304</v>
      </c>
      <c r="B45" s="3" t="s">
        <v>1547</v>
      </c>
      <c r="C45" s="3" t="s">
        <v>460</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419</v>
      </c>
      <c r="B46" s="3" t="s">
        <v>2019</v>
      </c>
      <c r="C46" s="3" t="s">
        <v>2140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417</v>
      </c>
      <c r="B47" s="3" t="s">
        <v>592</v>
      </c>
      <c r="C47" s="3" t="s">
        <v>2141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417</v>
      </c>
      <c r="B48" s="3" t="s">
        <v>373</v>
      </c>
      <c r="C48" s="3" t="s">
        <v>1305</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422</v>
      </c>
      <c r="B49" s="3" t="s">
        <v>423</v>
      </c>
      <c r="C49" s="3" t="s">
        <v>2142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activeCell="P2" sqref="P2:V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S11</v>
      </c>
      <c r="B1" s="26"/>
      <c r="C1" s="26"/>
      <c r="E1" s="24" t="str" cm="1">
        <f t="array" aca="1" ref="E1" ca="1">IFERROR(MID(CELL("filename",$A$1),FIND("]",CELL("filename",$A$1))+1,99),"SXX")&amp;" MATERIALS (USAGE + STANDALONE)"</f>
        <v>S11 MATERIALS (USAGE + STANDALONE)</v>
      </c>
      <c r="F1" s="24"/>
      <c r="G1" s="24"/>
      <c r="H1" s="24"/>
      <c r="I1" s="24"/>
      <c r="J1" s="24"/>
      <c r="K1" s="24"/>
      <c r="L1" s="13"/>
      <c r="M1" s="13"/>
      <c r="N1" s="19">
        <f>SUM(N3:N49)</f>
        <v>675.67500000000007</v>
      </c>
      <c r="P1" s="24" t="str" cm="1">
        <f t="array" aca="1" ref="P1" ca="1">IFERROR(MID(CELL("filename",$A$1),FIND("]",CELL("filename",$A$1))+1,99),"SXX")&amp;" LABOUR (USAGE + STANDALONE)"</f>
        <v>S11 LABOUR (USAGE + STANDALONE)</v>
      </c>
      <c r="Q1" s="24"/>
      <c r="R1" s="24"/>
      <c r="S1" s="24"/>
      <c r="T1" s="24"/>
      <c r="U1" s="24"/>
      <c r="V1" s="24"/>
      <c r="Y1" s="19">
        <f>SUM(Y3:Y49)</f>
        <v>2475</v>
      </c>
      <c r="AA1" s="27" t="str" cm="1">
        <f t="array" aca="1" ref="AA1" ca="1">IFERROR(MID(CELL("filename",$A$1),FIND("]",CELL("filename",$A$1))+1,99),"SXX")&amp;" RENTAL / SERVICE (USAGE + STANDALONE)"</f>
        <v>S11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1765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424</v>
      </c>
      <c r="B3" s="3" t="s">
        <v>425</v>
      </c>
      <c r="C3" s="3" t="s">
        <v>1322</v>
      </c>
      <c r="E3" t="s">
        <v>2177</v>
      </c>
      <c r="F3" t="s">
        <v>2178</v>
      </c>
      <c r="G3" t="s">
        <v>2127</v>
      </c>
      <c r="H3" t="s">
        <v>9</v>
      </c>
      <c r="I3">
        <v>12</v>
      </c>
      <c r="J3" s="22">
        <v>0.05</v>
      </c>
      <c r="K3">
        <v>24</v>
      </c>
      <c r="L3" s="8">
        <f t="shared" ref="L3:L49" si="0">IF($G3="","",$I3*(1+IF($J3="",0,$J3)))</f>
        <v>12.600000000000001</v>
      </c>
      <c r="M3" s="8">
        <f t="shared" ref="M3:M49" si="1">IF($G3="","",$L3)</f>
        <v>12.600000000000001</v>
      </c>
      <c r="N3" s="8">
        <f t="shared" ref="N3:N49" si="2">IF($G3="","",IF($K3="","",$M3*$K3))</f>
        <v>302.40000000000003</v>
      </c>
      <c r="P3" t="s">
        <v>2183</v>
      </c>
      <c r="Q3" t="s">
        <v>1382</v>
      </c>
      <c r="R3" t="s">
        <v>329</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426</v>
      </c>
      <c r="B4" s="3" t="s">
        <v>1323</v>
      </c>
      <c r="C4" s="3" t="s">
        <v>1324</v>
      </c>
      <c r="E4" t="s">
        <v>2179</v>
      </c>
      <c r="F4" t="s">
        <v>2178</v>
      </c>
      <c r="G4" t="s">
        <v>745</v>
      </c>
      <c r="H4" t="s">
        <v>11</v>
      </c>
      <c r="I4">
        <v>0.15</v>
      </c>
      <c r="J4" s="22">
        <v>0.05</v>
      </c>
      <c r="K4">
        <v>850</v>
      </c>
      <c r="L4" s="8">
        <f t="shared" si="0"/>
        <v>0.1575</v>
      </c>
      <c r="M4" s="8">
        <f t="shared" si="1"/>
        <v>0.1575</v>
      </c>
      <c r="N4" s="8">
        <f t="shared" si="2"/>
        <v>133.875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1325</v>
      </c>
      <c r="B5" s="3" t="s">
        <v>1326</v>
      </c>
      <c r="C5" s="3" t="s">
        <v>1327</v>
      </c>
      <c r="E5" t="s">
        <v>2180</v>
      </c>
      <c r="F5" t="s">
        <v>1378</v>
      </c>
      <c r="G5" t="s">
        <v>62</v>
      </c>
      <c r="H5" t="s">
        <v>9</v>
      </c>
      <c r="I5">
        <v>4</v>
      </c>
      <c r="J5" s="22">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427</v>
      </c>
      <c r="B6" s="3" t="s">
        <v>1328</v>
      </c>
      <c r="C6" s="3" t="s">
        <v>1329</v>
      </c>
      <c r="E6" t="s">
        <v>2181</v>
      </c>
      <c r="F6" t="s">
        <v>1379</v>
      </c>
      <c r="G6" t="s">
        <v>1380</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427</v>
      </c>
      <c r="B7" s="3" t="s">
        <v>1330</v>
      </c>
      <c r="C7" s="3" t="s">
        <v>1331</v>
      </c>
      <c r="E7" t="s">
        <v>2182</v>
      </c>
      <c r="F7" t="s">
        <v>1379</v>
      </c>
      <c r="G7" t="s">
        <v>1381</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427</v>
      </c>
      <c r="B8" s="3" t="s">
        <v>704</v>
      </c>
      <c r="C8" s="3" t="s">
        <v>1332</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427</v>
      </c>
      <c r="B9" s="3" t="s">
        <v>428</v>
      </c>
      <c r="C9" s="3" t="s">
        <v>1333</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427</v>
      </c>
      <c r="B10" s="3" t="s">
        <v>429</v>
      </c>
      <c r="C10" s="3" t="s">
        <v>1334</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427</v>
      </c>
      <c r="B11" s="3" t="s">
        <v>430</v>
      </c>
      <c r="C11" s="3" t="s">
        <v>1335</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427</v>
      </c>
      <c r="B12" s="3" t="s">
        <v>1336</v>
      </c>
      <c r="C12" s="3" t="s">
        <v>1337</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427</v>
      </c>
      <c r="B13" s="3" t="s">
        <v>431</v>
      </c>
      <c r="C13" s="3" t="s">
        <v>1338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427</v>
      </c>
      <c r="B14" s="3" t="s">
        <v>1339</v>
      </c>
      <c r="C14" s="3" t="s">
        <v>1340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427</v>
      </c>
      <c r="B15" s="3" t="s">
        <v>1341</v>
      </c>
      <c r="C15" s="3" t="s">
        <v>1342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427</v>
      </c>
      <c r="B16" s="3" t="s">
        <v>432</v>
      </c>
      <c r="C16" s="3" t="s">
        <v>1343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427</v>
      </c>
      <c r="B17" s="3" t="s">
        <v>1008</v>
      </c>
      <c r="C17" s="3" t="s">
        <v>1344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427</v>
      </c>
      <c r="B18" s="3" t="s">
        <v>433</v>
      </c>
      <c r="C18" s="3" t="s">
        <v>1345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427</v>
      </c>
      <c r="B19" s="3" t="s">
        <v>434</v>
      </c>
      <c r="C19" s="3" t="s">
        <v>1346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427</v>
      </c>
      <c r="B20" s="3" t="s">
        <v>1347</v>
      </c>
      <c r="C20" s="3" t="s">
        <v>1348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427</v>
      </c>
      <c r="B21" s="3" t="s">
        <v>1349</v>
      </c>
      <c r="C21" s="3" t="s">
        <v>1350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427</v>
      </c>
      <c r="B22" s="3" t="s">
        <v>1351</v>
      </c>
      <c r="C22" s="3" t="s">
        <v>1352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427</v>
      </c>
      <c r="B23" s="3" t="s">
        <v>1353</v>
      </c>
      <c r="C23" s="3" t="s">
        <v>1354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427</v>
      </c>
      <c r="B24" s="3" t="s">
        <v>1355</v>
      </c>
      <c r="C24" s="3" t="s">
        <v>1356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2163</v>
      </c>
      <c r="B25" s="3" t="s">
        <v>2164</v>
      </c>
      <c r="C25" s="3" t="s">
        <v>2165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2163</v>
      </c>
      <c r="B26" s="3" t="s">
        <v>2166</v>
      </c>
      <c r="C26" s="3" t="s">
        <v>2167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2163</v>
      </c>
      <c r="B27" s="3" t="s">
        <v>2168</v>
      </c>
      <c r="C27" s="3" t="s">
        <v>2169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2163</v>
      </c>
      <c r="B28" s="3" t="s">
        <v>2170</v>
      </c>
      <c r="C28" s="3" t="s">
        <v>2171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2163</v>
      </c>
      <c r="B29" s="3" t="s">
        <v>2172</v>
      </c>
      <c r="C29" s="3" t="s">
        <v>2173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1357</v>
      </c>
      <c r="B30" s="3" t="s">
        <v>1358</v>
      </c>
      <c r="C30" s="3" t="s">
        <v>2110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1357</v>
      </c>
      <c r="B31" s="3" t="s">
        <v>1359</v>
      </c>
      <c r="C31" s="3" t="s">
        <v>737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1357</v>
      </c>
      <c r="B32" s="3" t="s">
        <v>1360</v>
      </c>
      <c r="C32" s="3" t="s">
        <v>1361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1357</v>
      </c>
      <c r="B33" s="3" t="s">
        <v>1362</v>
      </c>
      <c r="C33" s="3" t="s">
        <v>1363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1357</v>
      </c>
      <c r="B34" s="3" t="s">
        <v>1364</v>
      </c>
      <c r="C34" s="3" t="s">
        <v>1365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427</v>
      </c>
      <c r="B35" s="3" t="s">
        <v>1366</v>
      </c>
      <c r="C35" s="3" t="s">
        <v>1367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427</v>
      </c>
      <c r="B36" s="3" t="s">
        <v>1368</v>
      </c>
      <c r="C36" s="3" t="s">
        <v>1369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427</v>
      </c>
      <c r="B37" s="3" t="s">
        <v>1370</v>
      </c>
      <c r="C37" s="3" t="s">
        <v>1371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427</v>
      </c>
      <c r="B38" s="3" t="s">
        <v>1372</v>
      </c>
      <c r="C38" s="3" t="s">
        <v>1373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427</v>
      </c>
      <c r="B39" s="3" t="s">
        <v>373</v>
      </c>
      <c r="C39" s="3" t="s">
        <v>1374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1375</v>
      </c>
      <c r="B40" s="3" t="s">
        <v>1547</v>
      </c>
      <c r="C40" s="3" t="s">
        <v>460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2163</v>
      </c>
      <c r="B41" s="3" t="s">
        <v>2019</v>
      </c>
      <c r="C41" s="3" t="s">
        <v>2174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427</v>
      </c>
      <c r="B42" s="3" t="s">
        <v>592</v>
      </c>
      <c r="C42" s="3" t="s">
        <v>2175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435</v>
      </c>
      <c r="B43" s="3" t="s">
        <v>436</v>
      </c>
      <c r="C43" s="3" t="s">
        <v>2176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tabSelected="1" zoomScale="75" zoomScaleNormal="75" workbookViewId="0">
      <pane ySplit="49" topLeftCell="A50" activePane="bottomLeft" state="frozen"/>
      <selection pane="bottomLeft" sqref="A1:C3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S12</v>
      </c>
      <c r="B1" s="26"/>
      <c r="C1" s="26"/>
      <c r="E1" s="24" t="str" cm="1">
        <f t="array" aca="1" ref="E1" ca="1">IFERROR(MID(CELL("filename",$A$1),FIND("]",CELL("filename",$A$1))+1,99),"SXX")&amp;" MATERIALS (USAGE + STANDALONE)"</f>
        <v>S12 MATERIALS (USAGE + STANDALONE)</v>
      </c>
      <c r="F1" s="24"/>
      <c r="G1" s="24"/>
      <c r="H1" s="24"/>
      <c r="I1" s="24"/>
      <c r="J1" s="24"/>
      <c r="K1" s="24"/>
      <c r="L1" s="13"/>
      <c r="M1" s="13"/>
      <c r="N1" s="19">
        <f>SUM(N3:N49)</f>
        <v>868</v>
      </c>
      <c r="P1" s="24" t="str" cm="1">
        <f t="array" aca="1" ref="P1" ca="1">IFERROR(MID(CELL("filename",$A$1),FIND("]",CELL("filename",$A$1))+1,99),"SXX")&amp;" LABOUR (USAGE + STANDALONE)"</f>
        <v>S12 LABOUR (USAGE + STANDALONE)</v>
      </c>
      <c r="Q1" s="24"/>
      <c r="R1" s="24"/>
      <c r="S1" s="24"/>
      <c r="T1" s="24"/>
      <c r="U1" s="24"/>
      <c r="V1" s="24"/>
      <c r="Y1" s="19">
        <f>SUM(Y3:Y49)</f>
        <v>2520</v>
      </c>
      <c r="AA1" s="27" t="str" cm="1">
        <f t="array" aca="1" ref="AA1" ca="1">IFERROR(MID(CELL("filename",$A$1),FIND("]",CELL("filename",$A$1))+1,99),"SXX")&amp;" RENTAL / SERVICE (USAGE + STANDALONE)"</f>
        <v>S12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424</v>
      </c>
      <c r="B3" s="3" t="s">
        <v>425</v>
      </c>
      <c r="C3" s="3" t="s">
        <v>1322</v>
      </c>
      <c r="E3" t="s">
        <v>1383</v>
      </c>
      <c r="F3" t="s">
        <v>1384</v>
      </c>
      <c r="G3" t="s">
        <v>1385</v>
      </c>
      <c r="H3" t="s">
        <v>676</v>
      </c>
      <c r="I3">
        <v>14</v>
      </c>
      <c r="J3" s="22">
        <v>0</v>
      </c>
      <c r="K3">
        <v>25</v>
      </c>
      <c r="L3" s="8">
        <f t="shared" ref="L3:L49" si="0">IF($G3="","",$I3*(1+IF($J3="",0,$J3)))</f>
        <v>14</v>
      </c>
      <c r="M3" s="8">
        <f t="shared" ref="M3:M49" si="1">IF($G3="","",$L3)</f>
        <v>14</v>
      </c>
      <c r="N3" s="8">
        <f t="shared" ref="N3:N49" si="2">IF($G3="","",IF($K3="","",$M3*$K3))</f>
        <v>350</v>
      </c>
      <c r="P3" t="s">
        <v>1403</v>
      </c>
      <c r="Q3" t="s">
        <v>1404</v>
      </c>
      <c r="R3" t="s">
        <v>329</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426</v>
      </c>
      <c r="B4" s="3" t="s">
        <v>1323</v>
      </c>
      <c r="C4" s="3" t="s">
        <v>1324</v>
      </c>
      <c r="E4" t="s">
        <v>1386</v>
      </c>
      <c r="F4" t="s">
        <v>1384</v>
      </c>
      <c r="G4" t="s">
        <v>1387</v>
      </c>
      <c r="H4" t="s">
        <v>676</v>
      </c>
      <c r="I4">
        <v>5</v>
      </c>
      <c r="J4" s="22">
        <v>0</v>
      </c>
      <c r="K4">
        <v>13</v>
      </c>
      <c r="L4" s="8">
        <f t="shared" si="0"/>
        <v>5</v>
      </c>
      <c r="M4" s="8">
        <f t="shared" si="1"/>
        <v>5</v>
      </c>
      <c r="N4" s="8">
        <f t="shared" si="2"/>
        <v>65</v>
      </c>
      <c r="P4" t="s">
        <v>1405</v>
      </c>
      <c r="Q4" t="s">
        <v>1404</v>
      </c>
      <c r="R4" t="s">
        <v>330</v>
      </c>
      <c r="S4" t="s">
        <v>33</v>
      </c>
      <c r="T4">
        <v>48</v>
      </c>
      <c r="U4" s="22">
        <v>0</v>
      </c>
      <c r="V4">
        <v>22.5</v>
      </c>
      <c r="W4" s="8">
        <f t="shared" ref="W4:W49" si="3">IF($R4="","",$T4*(1+IF($U4="",0,$U4)))</f>
        <v>48</v>
      </c>
      <c r="X4" s="8">
        <f t="shared" ref="X4:X49" si="4">IF($R4="","",$W4)</f>
        <v>48</v>
      </c>
      <c r="Y4" s="8">
        <f t="shared" ref="Y4:Y49" si="5">IF($R4="","",IF($V4="","",$X4*$V4))</f>
        <v>1080</v>
      </c>
      <c r="AH4" s="8" t="str">
        <f t="shared" ref="AH4:AH49" si="6">IF($AC4="","",$AE4*(1+IF($AF4="",0,$AF4)))</f>
        <v/>
      </c>
      <c r="AI4" s="8" t="str">
        <f t="shared" ref="AI4:AI49" si="7">IF($AC4="","",$AH4)</f>
        <v/>
      </c>
      <c r="AJ4" s="8" t="str">
        <f t="shared" ref="AJ4:AJ49" si="8">IF($AC4="","",IF($AG4="","",$AI4*$AG4))</f>
        <v/>
      </c>
    </row>
    <row r="5" spans="1:37" x14ac:dyDescent="0.25">
      <c r="A5" s="3" t="s">
        <v>1325</v>
      </c>
      <c r="B5" s="3" t="s">
        <v>1326</v>
      </c>
      <c r="C5" s="3" t="s">
        <v>1327</v>
      </c>
      <c r="E5" t="s">
        <v>1388</v>
      </c>
      <c r="F5" t="s">
        <v>1389</v>
      </c>
      <c r="G5" t="s">
        <v>1390</v>
      </c>
      <c r="H5" t="s">
        <v>734</v>
      </c>
      <c r="I5">
        <v>20</v>
      </c>
      <c r="J5" s="22">
        <v>0</v>
      </c>
      <c r="K5">
        <v>3.5</v>
      </c>
      <c r="L5" s="8">
        <f t="shared" si="0"/>
        <v>20</v>
      </c>
      <c r="M5" s="8">
        <f t="shared" si="1"/>
        <v>20</v>
      </c>
      <c r="N5" s="8">
        <f t="shared" si="2"/>
        <v>70</v>
      </c>
      <c r="W5" s="8" t="str">
        <f t="shared" si="3"/>
        <v/>
      </c>
      <c r="X5" s="8" t="str">
        <f t="shared" si="4"/>
        <v/>
      </c>
      <c r="Y5" s="8" t="str">
        <f t="shared" si="5"/>
        <v/>
      </c>
      <c r="AH5" s="8" t="str">
        <f t="shared" si="6"/>
        <v/>
      </c>
      <c r="AI5" s="8" t="str">
        <f t="shared" si="7"/>
        <v/>
      </c>
      <c r="AJ5" s="8" t="str">
        <f t="shared" si="8"/>
        <v/>
      </c>
    </row>
    <row r="6" spans="1:37" x14ac:dyDescent="0.25">
      <c r="A6" s="3" t="s">
        <v>427</v>
      </c>
      <c r="B6" s="3" t="s">
        <v>1328</v>
      </c>
      <c r="C6" s="3" t="s">
        <v>1329</v>
      </c>
      <c r="E6" t="s">
        <v>1391</v>
      </c>
      <c r="F6" t="s">
        <v>1389</v>
      </c>
      <c r="G6" t="s">
        <v>1392</v>
      </c>
      <c r="H6" t="s">
        <v>8</v>
      </c>
      <c r="I6">
        <v>10</v>
      </c>
      <c r="J6">
        <v>0</v>
      </c>
      <c r="K6">
        <v>20</v>
      </c>
      <c r="L6" s="8">
        <f t="shared" si="0"/>
        <v>10</v>
      </c>
      <c r="M6" s="8">
        <f t="shared" si="1"/>
        <v>10</v>
      </c>
      <c r="N6" s="8">
        <f t="shared" si="2"/>
        <v>200</v>
      </c>
      <c r="W6" s="8" t="str">
        <f t="shared" si="3"/>
        <v/>
      </c>
      <c r="X6" s="8" t="str">
        <f t="shared" si="4"/>
        <v/>
      </c>
      <c r="Y6" s="8" t="str">
        <f t="shared" si="5"/>
        <v/>
      </c>
      <c r="AH6" s="8" t="str">
        <f t="shared" si="6"/>
        <v/>
      </c>
      <c r="AI6" s="8" t="str">
        <f t="shared" si="7"/>
        <v/>
      </c>
      <c r="AJ6" s="8" t="str">
        <f t="shared" si="8"/>
        <v/>
      </c>
    </row>
    <row r="7" spans="1:37" x14ac:dyDescent="0.25">
      <c r="A7" s="3" t="s">
        <v>427</v>
      </c>
      <c r="B7" s="3" t="s">
        <v>1330</v>
      </c>
      <c r="C7" s="3" t="s">
        <v>1331</v>
      </c>
      <c r="E7" t="s">
        <v>1393</v>
      </c>
      <c r="F7" t="s">
        <v>1394</v>
      </c>
      <c r="G7" t="s">
        <v>1395</v>
      </c>
      <c r="H7" t="s">
        <v>8</v>
      </c>
      <c r="I7">
        <v>10</v>
      </c>
      <c r="J7">
        <v>0</v>
      </c>
      <c r="K7">
        <v>8.5</v>
      </c>
      <c r="L7" s="8">
        <f t="shared" si="0"/>
        <v>10</v>
      </c>
      <c r="M7" s="8">
        <f t="shared" si="1"/>
        <v>10</v>
      </c>
      <c r="N7" s="8">
        <f t="shared" si="2"/>
        <v>85</v>
      </c>
      <c r="W7" s="8" t="str">
        <f t="shared" si="3"/>
        <v/>
      </c>
      <c r="X7" s="8" t="str">
        <f t="shared" si="4"/>
        <v/>
      </c>
      <c r="Y7" s="8" t="str">
        <f t="shared" si="5"/>
        <v/>
      </c>
      <c r="AH7" s="8" t="str">
        <f t="shared" si="6"/>
        <v/>
      </c>
      <c r="AI7" s="8" t="str">
        <f t="shared" si="7"/>
        <v/>
      </c>
      <c r="AJ7" s="8" t="str">
        <f t="shared" si="8"/>
        <v/>
      </c>
    </row>
    <row r="8" spans="1:37" x14ac:dyDescent="0.25">
      <c r="A8" s="3" t="s">
        <v>427</v>
      </c>
      <c r="B8" s="3" t="s">
        <v>704</v>
      </c>
      <c r="C8" s="3" t="s">
        <v>1332</v>
      </c>
      <c r="E8" t="s">
        <v>1396</v>
      </c>
      <c r="F8" t="s">
        <v>1397</v>
      </c>
      <c r="G8" t="s">
        <v>1398</v>
      </c>
      <c r="H8" t="s">
        <v>8</v>
      </c>
      <c r="I8">
        <v>2</v>
      </c>
      <c r="J8">
        <v>0</v>
      </c>
      <c r="K8">
        <v>3</v>
      </c>
      <c r="L8" s="8">
        <f t="shared" si="0"/>
        <v>2</v>
      </c>
      <c r="M8" s="8">
        <f t="shared" si="1"/>
        <v>2</v>
      </c>
      <c r="N8" s="8">
        <f t="shared" si="2"/>
        <v>6</v>
      </c>
      <c r="W8" s="8" t="str">
        <f t="shared" si="3"/>
        <v/>
      </c>
      <c r="X8" s="8" t="str">
        <f t="shared" si="4"/>
        <v/>
      </c>
      <c r="Y8" s="8" t="str">
        <f t="shared" si="5"/>
        <v/>
      </c>
      <c r="AH8" s="8" t="str">
        <f t="shared" si="6"/>
        <v/>
      </c>
      <c r="AI8" s="8" t="str">
        <f t="shared" si="7"/>
        <v/>
      </c>
      <c r="AJ8" s="8" t="str">
        <f t="shared" si="8"/>
        <v/>
      </c>
    </row>
    <row r="9" spans="1:37" x14ac:dyDescent="0.25">
      <c r="A9" s="3" t="s">
        <v>427</v>
      </c>
      <c r="B9" s="3" t="s">
        <v>428</v>
      </c>
      <c r="C9" s="3" t="s">
        <v>1333</v>
      </c>
      <c r="E9" t="s">
        <v>1399</v>
      </c>
      <c r="F9" t="s">
        <v>1397</v>
      </c>
      <c r="G9" t="s">
        <v>62</v>
      </c>
      <c r="H9" t="s">
        <v>9</v>
      </c>
      <c r="I9">
        <v>4</v>
      </c>
      <c r="J9">
        <v>0</v>
      </c>
      <c r="K9">
        <v>16.5</v>
      </c>
      <c r="L9" s="8">
        <f t="shared" si="0"/>
        <v>4</v>
      </c>
      <c r="M9" s="8">
        <f t="shared" si="1"/>
        <v>4</v>
      </c>
      <c r="N9" s="8">
        <f t="shared" si="2"/>
        <v>66</v>
      </c>
      <c r="W9" s="8" t="str">
        <f t="shared" si="3"/>
        <v/>
      </c>
      <c r="X9" s="8" t="str">
        <f t="shared" si="4"/>
        <v/>
      </c>
      <c r="Y9" s="8" t="str">
        <f t="shared" si="5"/>
        <v/>
      </c>
      <c r="AH9" s="8" t="str">
        <f t="shared" si="6"/>
        <v/>
      </c>
      <c r="AI9" s="8" t="str">
        <f t="shared" si="7"/>
        <v/>
      </c>
      <c r="AJ9" s="8" t="str">
        <f t="shared" si="8"/>
        <v/>
      </c>
    </row>
    <row r="10" spans="1:37" x14ac:dyDescent="0.25">
      <c r="A10" s="3" t="s">
        <v>427</v>
      </c>
      <c r="B10" s="3" t="s">
        <v>429</v>
      </c>
      <c r="C10" s="3" t="s">
        <v>1334</v>
      </c>
      <c r="E10" t="s">
        <v>1400</v>
      </c>
      <c r="F10" t="s">
        <v>1401</v>
      </c>
      <c r="G10" t="s">
        <v>1402</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427</v>
      </c>
      <c r="B11" s="3" t="s">
        <v>430</v>
      </c>
      <c r="C11" s="3" t="s">
        <v>1335</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427</v>
      </c>
      <c r="B12" s="3" t="s">
        <v>1336</v>
      </c>
      <c r="C12" s="3" t="s">
        <v>1337</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427</v>
      </c>
      <c r="B13" s="3" t="s">
        <v>431</v>
      </c>
      <c r="C13" s="3" t="s">
        <v>1338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427</v>
      </c>
      <c r="B14" s="3" t="s">
        <v>1339</v>
      </c>
      <c r="C14" s="3" t="s">
        <v>1340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427</v>
      </c>
      <c r="B15" s="3" t="s">
        <v>1341</v>
      </c>
      <c r="C15" s="3" t="s">
        <v>1342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427</v>
      </c>
      <c r="B16" s="3" t="s">
        <v>432</v>
      </c>
      <c r="C16" s="3" t="s">
        <v>1343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427</v>
      </c>
      <c r="B17" s="3" t="s">
        <v>1008</v>
      </c>
      <c r="C17" s="3" t="s">
        <v>1344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427</v>
      </c>
      <c r="B18" s="3" t="s">
        <v>433</v>
      </c>
      <c r="C18" s="3" t="s">
        <v>1345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427</v>
      </c>
      <c r="B19" s="3" t="s">
        <v>434</v>
      </c>
      <c r="C19" s="3" t="s">
        <v>1346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427</v>
      </c>
      <c r="B20" s="3" t="s">
        <v>1347</v>
      </c>
      <c r="C20" s="3" t="s">
        <v>1348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427</v>
      </c>
      <c r="B21" s="3" t="s">
        <v>1349</v>
      </c>
      <c r="C21" s="3" t="s">
        <v>1350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427</v>
      </c>
      <c r="B22" s="3" t="s">
        <v>1351</v>
      </c>
      <c r="C22" s="3" t="s">
        <v>1352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427</v>
      </c>
      <c r="B23" s="3" t="s">
        <v>1353</v>
      </c>
      <c r="C23" s="3" t="s">
        <v>1354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427</v>
      </c>
      <c r="B24" s="3" t="s">
        <v>1355</v>
      </c>
      <c r="C24" s="3" t="s">
        <v>1356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1357</v>
      </c>
      <c r="B25" s="3" t="s">
        <v>1358</v>
      </c>
      <c r="C25" s="3" t="s">
        <v>691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1357</v>
      </c>
      <c r="B26" s="3" t="s">
        <v>1359</v>
      </c>
      <c r="C26" s="3" t="s">
        <v>737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1357</v>
      </c>
      <c r="B27" s="3" t="s">
        <v>1360</v>
      </c>
      <c r="C27" s="3" t="s">
        <v>1361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1357</v>
      </c>
      <c r="B28" s="3" t="s">
        <v>1362</v>
      </c>
      <c r="C28" s="3" t="s">
        <v>1363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1357</v>
      </c>
      <c r="B29" s="3" t="s">
        <v>1364</v>
      </c>
      <c r="C29" s="3" t="s">
        <v>1365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427</v>
      </c>
      <c r="B30" s="3" t="s">
        <v>1366</v>
      </c>
      <c r="C30" s="3" t="s">
        <v>1367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427</v>
      </c>
      <c r="B31" s="3" t="s">
        <v>1368</v>
      </c>
      <c r="C31" s="3" t="s">
        <v>1369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427</v>
      </c>
      <c r="B32" s="3" t="s">
        <v>1370</v>
      </c>
      <c r="C32" s="3" t="s">
        <v>1371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427</v>
      </c>
      <c r="B33" s="3" t="s">
        <v>1372</v>
      </c>
      <c r="C33" s="3" t="s">
        <v>1373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427</v>
      </c>
      <c r="B34" s="3" t="s">
        <v>373</v>
      </c>
      <c r="C34" s="3" t="s">
        <v>1374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1375</v>
      </c>
      <c r="B35" s="3" t="s">
        <v>964</v>
      </c>
      <c r="C35" s="3" t="s">
        <v>460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1375</v>
      </c>
      <c r="B36" s="3" t="s">
        <v>965</v>
      </c>
      <c r="C36" s="3" t="s">
        <v>461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427</v>
      </c>
      <c r="B37" s="3" t="s">
        <v>592</v>
      </c>
      <c r="C37" s="3" t="s">
        <v>1376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435</v>
      </c>
      <c r="B38" s="3" t="s">
        <v>436</v>
      </c>
      <c r="C38" s="3" t="s">
        <v>1377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6"/>
  <sheetViews>
    <sheetView zoomScale="75" zoomScaleNormal="75" workbookViewId="0">
      <pane ySplit="49" topLeftCell="A50" activePane="bottomLeft" state="frozen"/>
      <selection pane="bottomLeft" activeCell="G7" sqref="G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S13</v>
      </c>
      <c r="B1" s="26"/>
      <c r="C1" s="26"/>
      <c r="E1" s="24" t="str" cm="1">
        <f t="array" aca="1" ref="E1" ca="1">IFERROR(MID(CELL("filename",$A$1),FIND("]",CELL("filename",$A$1))+1,99),"SXX")&amp;" MATERIALS (USAGE + STANDALONE)"</f>
        <v>S13 MATERIALS (USAGE + STANDALONE)</v>
      </c>
      <c r="F1" s="24"/>
      <c r="G1" s="24"/>
      <c r="H1" s="24"/>
      <c r="I1" s="24"/>
      <c r="J1" s="24"/>
      <c r="K1" s="24"/>
      <c r="L1" s="13"/>
      <c r="M1" s="13"/>
      <c r="N1" s="19">
        <f>SUM(N3:N49)</f>
        <v>5271.5</v>
      </c>
      <c r="P1" s="24" t="str" cm="1">
        <f t="array" aca="1" ref="P1" ca="1">IFERROR(MID(CELL("filename",$A$1),FIND("]",CELL("filename",$A$1))+1,99),"SXX")&amp;" LABOUR (USAGE + STANDALONE)"</f>
        <v>S13 LABOUR (USAGE + STANDALONE)</v>
      </c>
      <c r="Q1" s="24"/>
      <c r="R1" s="24"/>
      <c r="S1" s="24"/>
      <c r="T1" s="24"/>
      <c r="U1" s="24"/>
      <c r="V1" s="24"/>
      <c r="Y1" s="19">
        <f>SUM(Y3:Y49)</f>
        <v>5040</v>
      </c>
      <c r="AA1" s="27" t="str" cm="1">
        <f t="array" aca="1" ref="AA1" ca="1">IFERROR(MID(CELL("filename",$A$1),FIND("]",CELL("filename",$A$1))+1,99),"SXX")&amp;" RENTAL / SERVICE (USAGE + STANDALONE)"</f>
        <v>S13 RENTAL / SERVICE (USAGE + STANDALONE)</v>
      </c>
      <c r="AB1" s="27"/>
      <c r="AC1" s="27"/>
      <c r="AD1" s="27"/>
      <c r="AE1" s="27"/>
      <c r="AF1" s="27"/>
      <c r="AG1" s="27"/>
      <c r="AH1" s="6"/>
      <c r="AI1" s="6"/>
      <c r="AJ1" s="19">
        <f>SUM(AJ3:AJ49)</f>
        <v>0</v>
      </c>
    </row>
    <row r="2" spans="1:37" s="2" customFormat="1" x14ac:dyDescent="0.25">
      <c r="A2" s="4" t="s">
        <v>0</v>
      </c>
      <c r="B2" s="4" t="s">
        <v>3</v>
      </c>
      <c r="C2" s="4" t="s">
        <v>5</v>
      </c>
      <c r="D2" s="1"/>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437</v>
      </c>
      <c r="B3" s="3" t="s">
        <v>1596</v>
      </c>
      <c r="C3" s="3" t="s">
        <v>1597</v>
      </c>
      <c r="E3" t="s">
        <v>1653</v>
      </c>
      <c r="F3" t="s">
        <v>1654</v>
      </c>
      <c r="G3" t="s">
        <v>1655</v>
      </c>
      <c r="H3" t="s">
        <v>10</v>
      </c>
      <c r="I3">
        <v>5</v>
      </c>
      <c r="J3" s="22">
        <v>0</v>
      </c>
      <c r="K3">
        <v>105</v>
      </c>
      <c r="L3" s="8">
        <f t="shared" ref="L3:L49" si="0">IF($G3="","",$I3*(1+IF($J3="",0,$J3)))</f>
        <v>5</v>
      </c>
      <c r="M3" s="8">
        <f t="shared" ref="M3:M49" si="1">IF($G3="","",$L3)</f>
        <v>5</v>
      </c>
      <c r="N3" s="8">
        <f t="shared" ref="N3:N49" si="2">IF($G3="","",IF($K3="","",$M3*$K3))</f>
        <v>525</v>
      </c>
      <c r="P3" t="s">
        <v>1680</v>
      </c>
      <c r="Q3" t="s">
        <v>1681</v>
      </c>
      <c r="R3" t="s">
        <v>329</v>
      </c>
      <c r="S3" t="s">
        <v>33</v>
      </c>
      <c r="T3">
        <v>224</v>
      </c>
      <c r="U3" s="22">
        <v>0</v>
      </c>
      <c r="V3">
        <v>22.5</v>
      </c>
      <c r="W3" s="8">
        <f>IF($R3="","",$T3*(1+IF($U3="",0,$U3)))</f>
        <v>224</v>
      </c>
      <c r="X3" s="8">
        <f>IF($R3="","",$W3)</f>
        <v>224</v>
      </c>
      <c r="Y3" s="8">
        <f>IF($R3="","",IF($V3="","",$X3*$V3))</f>
        <v>5040</v>
      </c>
      <c r="AH3" s="8" t="str">
        <f>IF($AC3="","",$AE3*(1+IF($AF3="",0,$AF3)))</f>
        <v/>
      </c>
      <c r="AI3" s="8" t="str">
        <f>IF($AC3="","",$AH3)</f>
        <v/>
      </c>
      <c r="AJ3" s="8" t="str">
        <f>IF($AC3="","",IF($AG3="","",$AI3*$AG3))</f>
        <v/>
      </c>
    </row>
    <row r="4" spans="1:37" x14ac:dyDescent="0.25">
      <c r="A4" s="3" t="s">
        <v>438</v>
      </c>
      <c r="B4" s="3" t="s">
        <v>1598</v>
      </c>
      <c r="C4" s="3" t="s">
        <v>1599</v>
      </c>
      <c r="E4" t="s">
        <v>1656</v>
      </c>
      <c r="F4" t="s">
        <v>1657</v>
      </c>
      <c r="G4" t="s">
        <v>1658</v>
      </c>
      <c r="H4" t="s">
        <v>8</v>
      </c>
      <c r="I4">
        <v>84</v>
      </c>
      <c r="J4" s="22">
        <v>0</v>
      </c>
      <c r="K4">
        <v>15</v>
      </c>
      <c r="L4" s="8">
        <f t="shared" si="0"/>
        <v>84</v>
      </c>
      <c r="M4" s="8">
        <f t="shared" si="1"/>
        <v>84</v>
      </c>
      <c r="N4" s="8">
        <f t="shared" si="2"/>
        <v>1260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1406</v>
      </c>
      <c r="B5" s="3" t="s">
        <v>1600</v>
      </c>
      <c r="C5" s="3" t="s">
        <v>1601</v>
      </c>
      <c r="E5" t="s">
        <v>1659</v>
      </c>
      <c r="F5" t="s">
        <v>1660</v>
      </c>
      <c r="G5" t="s">
        <v>1661</v>
      </c>
      <c r="H5" t="s">
        <v>8</v>
      </c>
      <c r="I5">
        <v>75</v>
      </c>
      <c r="J5" s="22">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439</v>
      </c>
      <c r="B6" s="3" t="s">
        <v>1602</v>
      </c>
      <c r="C6" s="3" t="s">
        <v>1603</v>
      </c>
      <c r="E6" t="s">
        <v>1662</v>
      </c>
      <c r="F6" t="s">
        <v>1663</v>
      </c>
      <c r="G6" t="s">
        <v>1661</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439</v>
      </c>
      <c r="B7" s="3" t="s">
        <v>1604</v>
      </c>
      <c r="C7" s="3" t="s">
        <v>1605</v>
      </c>
      <c r="E7" t="s">
        <v>1664</v>
      </c>
      <c r="F7" t="s">
        <v>1665</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439</v>
      </c>
      <c r="B8" s="3" t="s">
        <v>1606</v>
      </c>
      <c r="C8" s="3" t="s">
        <v>1607</v>
      </c>
      <c r="E8" t="s">
        <v>1666</v>
      </c>
      <c r="F8" t="s">
        <v>1667</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439</v>
      </c>
      <c r="B9" s="3" t="s">
        <v>1608</v>
      </c>
      <c r="C9" s="3" t="s">
        <v>1609</v>
      </c>
      <c r="E9" t="s">
        <v>1668</v>
      </c>
      <c r="F9" t="s">
        <v>1669</v>
      </c>
      <c r="G9" t="s">
        <v>59</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1407</v>
      </c>
      <c r="B10" s="3" t="s">
        <v>1408</v>
      </c>
      <c r="C10" s="3" t="s">
        <v>1610</v>
      </c>
      <c r="E10" t="s">
        <v>1670</v>
      </c>
      <c r="F10" t="s">
        <v>1671</v>
      </c>
      <c r="G10" t="s">
        <v>1672</v>
      </c>
      <c r="H10" t="s">
        <v>1673</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1407</v>
      </c>
      <c r="B11" s="3" t="s">
        <v>1409</v>
      </c>
      <c r="C11" s="3" t="s">
        <v>1410</v>
      </c>
      <c r="E11" t="s">
        <v>1674</v>
      </c>
      <c r="F11" t="s">
        <v>1675</v>
      </c>
      <c r="G11" t="s">
        <v>60</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1407</v>
      </c>
      <c r="B12" s="3" t="s">
        <v>1411</v>
      </c>
      <c r="C12" s="3" t="s">
        <v>1611</v>
      </c>
      <c r="E12" t="s">
        <v>1676</v>
      </c>
      <c r="F12" t="s">
        <v>1677</v>
      </c>
      <c r="G12" t="s">
        <v>744</v>
      </c>
      <c r="H12" t="s">
        <v>9</v>
      </c>
      <c r="I12">
        <v>3</v>
      </c>
      <c r="J12">
        <v>0</v>
      </c>
      <c r="K12">
        <v>22</v>
      </c>
      <c r="L12" s="8">
        <f t="shared" si="0"/>
        <v>3</v>
      </c>
      <c r="M12" s="8">
        <f t="shared" si="1"/>
        <v>3</v>
      </c>
      <c r="N12" s="8">
        <f t="shared" si="2"/>
        <v>66</v>
      </c>
      <c r="W12" s="8" t="str">
        <f t="shared" si="3"/>
        <v/>
      </c>
      <c r="X12" s="8" t="str">
        <f t="shared" si="4"/>
        <v/>
      </c>
      <c r="Y12" s="8" t="str">
        <f t="shared" si="5"/>
        <v/>
      </c>
      <c r="AH12" s="8" t="str">
        <f t="shared" si="6"/>
        <v/>
      </c>
      <c r="AI12" s="8" t="str">
        <f t="shared" si="7"/>
        <v/>
      </c>
      <c r="AJ12" s="8" t="str">
        <f t="shared" si="8"/>
        <v/>
      </c>
    </row>
    <row r="13" spans="1:37" x14ac:dyDescent="0.25">
      <c r="A13" s="3" t="s">
        <v>1407</v>
      </c>
      <c r="B13" s="3" t="s">
        <v>1612</v>
      </c>
      <c r="C13" s="3" t="s">
        <v>1613</v>
      </c>
      <c r="E13" t="s">
        <v>1678</v>
      </c>
      <c r="F13" t="s">
        <v>1677</v>
      </c>
      <c r="G13" t="s">
        <v>1679</v>
      </c>
      <c r="H13" t="s">
        <v>61</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1407</v>
      </c>
      <c r="B14" s="3" t="s">
        <v>1614</v>
      </c>
      <c r="C14" s="3" t="s">
        <v>1615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439</v>
      </c>
      <c r="B15" s="3" t="s">
        <v>1616</v>
      </c>
      <c r="C15" s="3" t="s">
        <v>1617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439</v>
      </c>
      <c r="B16" s="3" t="s">
        <v>1412</v>
      </c>
      <c r="C16" s="3" t="s">
        <v>1413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439</v>
      </c>
      <c r="B17" s="3" t="s">
        <v>1414</v>
      </c>
      <c r="C17" s="3" t="s">
        <v>1415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439</v>
      </c>
      <c r="B18" s="3" t="s">
        <v>1106</v>
      </c>
      <c r="C18" s="3" t="s">
        <v>1618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1407</v>
      </c>
      <c r="B19" s="3" t="s">
        <v>1416</v>
      </c>
      <c r="C19" s="3" t="s">
        <v>1417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1407</v>
      </c>
      <c r="B20" s="3" t="s">
        <v>1418</v>
      </c>
      <c r="C20" s="3" t="s">
        <v>1619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1407</v>
      </c>
      <c r="B21" s="3" t="s">
        <v>1419</v>
      </c>
      <c r="C21" s="3" t="s">
        <v>1420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1407</v>
      </c>
      <c r="B22" s="3" t="s">
        <v>1421</v>
      </c>
      <c r="C22" s="3" t="s">
        <v>1422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439</v>
      </c>
      <c r="B23" s="3" t="s">
        <v>1423</v>
      </c>
      <c r="C23" s="3" t="s">
        <v>1620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1407</v>
      </c>
      <c r="B24" s="3" t="s">
        <v>1621</v>
      </c>
      <c r="C24" s="3" t="s">
        <v>1622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1407</v>
      </c>
      <c r="B25" s="3" t="s">
        <v>1623</v>
      </c>
      <c r="C25" s="3" t="s">
        <v>1624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1407</v>
      </c>
      <c r="B26" s="3" t="s">
        <v>1625</v>
      </c>
      <c r="C26" s="3" t="s">
        <v>1626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1407</v>
      </c>
      <c r="B27" s="3" t="s">
        <v>1627</v>
      </c>
      <c r="C27" s="3" t="s">
        <v>1628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439</v>
      </c>
      <c r="B28" s="3" t="s">
        <v>1629</v>
      </c>
      <c r="C28" s="3" t="s">
        <v>1630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439</v>
      </c>
      <c r="B29" s="3" t="s">
        <v>1631</v>
      </c>
      <c r="C29" s="3" t="s">
        <v>1632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439</v>
      </c>
      <c r="B30" s="3" t="s">
        <v>1424</v>
      </c>
      <c r="C30" s="3" t="s">
        <v>1633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1425</v>
      </c>
      <c r="B31" s="3" t="s">
        <v>1426</v>
      </c>
      <c r="C31" s="3" t="s">
        <v>1427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439</v>
      </c>
      <c r="B32" s="3" t="s">
        <v>1428</v>
      </c>
      <c r="C32" s="3" t="s">
        <v>1634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1425</v>
      </c>
      <c r="B33" s="3" t="s">
        <v>1429</v>
      </c>
      <c r="C33" s="3" t="s">
        <v>1430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1425</v>
      </c>
      <c r="B34" s="3" t="s">
        <v>1431</v>
      </c>
      <c r="C34" s="3" t="s">
        <v>1432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1425</v>
      </c>
      <c r="B35" s="3" t="s">
        <v>1433</v>
      </c>
      <c r="C35" s="3" t="s">
        <v>1432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1425</v>
      </c>
      <c r="B36" s="3" t="s">
        <v>1434</v>
      </c>
      <c r="C36" s="3" t="s">
        <v>1435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1425</v>
      </c>
      <c r="B37" s="3" t="s">
        <v>1635</v>
      </c>
      <c r="C37" s="3" t="s">
        <v>1435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1425</v>
      </c>
      <c r="B38" s="3" t="s">
        <v>1437</v>
      </c>
      <c r="C38" s="3" t="s">
        <v>1438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1425</v>
      </c>
      <c r="B39" s="3" t="s">
        <v>1439</v>
      </c>
      <c r="C39" s="3" t="s">
        <v>1440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1425</v>
      </c>
      <c r="B40" s="3" t="s">
        <v>1441</v>
      </c>
      <c r="C40" s="3" t="s">
        <v>1442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1425</v>
      </c>
      <c r="B41" s="3" t="s">
        <v>1636</v>
      </c>
      <c r="C41" s="3" t="s">
        <v>691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1425</v>
      </c>
      <c r="B42" s="3" t="s">
        <v>1637</v>
      </c>
      <c r="C42" s="3" t="s">
        <v>1638</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439</v>
      </c>
      <c r="B43" s="3" t="s">
        <v>1436</v>
      </c>
      <c r="C43" s="3" t="s">
        <v>1639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439</v>
      </c>
      <c r="B44" s="3" t="s">
        <v>1640</v>
      </c>
      <c r="C44" s="3" t="s">
        <v>1641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439</v>
      </c>
      <c r="B45" s="3" t="s">
        <v>1443</v>
      </c>
      <c r="C45" s="3" t="s">
        <v>1642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439</v>
      </c>
      <c r="B46" s="3" t="s">
        <v>1444</v>
      </c>
      <c r="C46" s="3" t="s">
        <v>1643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439</v>
      </c>
      <c r="B47" s="3" t="s">
        <v>1644</v>
      </c>
      <c r="C47" s="3" t="s">
        <v>1645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439</v>
      </c>
      <c r="B48" s="3" t="s">
        <v>1445</v>
      </c>
      <c r="C48" s="3" t="s">
        <v>1646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439</v>
      </c>
      <c r="B49" s="3" t="s">
        <v>1446</v>
      </c>
      <c r="C49" s="3" t="s">
        <v>1647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439</v>
      </c>
      <c r="B50" s="3" t="s">
        <v>1447</v>
      </c>
      <c r="C50" s="3" t="s">
        <v>1648</v>
      </c>
    </row>
    <row r="51" spans="1:36" x14ac:dyDescent="0.25">
      <c r="A51" s="3" t="s">
        <v>439</v>
      </c>
      <c r="B51" s="3" t="s">
        <v>1448</v>
      </c>
      <c r="C51" s="3" t="s">
        <v>1649</v>
      </c>
    </row>
    <row r="52" spans="1:36" x14ac:dyDescent="0.25">
      <c r="A52" s="3" t="s">
        <v>439</v>
      </c>
      <c r="B52" s="3" t="s">
        <v>1449</v>
      </c>
      <c r="C52" s="3" t="s">
        <v>1650</v>
      </c>
    </row>
    <row r="53" spans="1:36" x14ac:dyDescent="0.25">
      <c r="A53" s="3" t="s">
        <v>439</v>
      </c>
      <c r="B53" s="3" t="s">
        <v>373</v>
      </c>
      <c r="C53" s="3" t="s">
        <v>1450</v>
      </c>
    </row>
    <row r="54" spans="1:36" x14ac:dyDescent="0.25">
      <c r="A54" s="3" t="s">
        <v>1451</v>
      </c>
      <c r="B54" s="3" t="s">
        <v>1547</v>
      </c>
      <c r="C54" s="3" t="s">
        <v>460</v>
      </c>
    </row>
    <row r="55" spans="1:36" x14ac:dyDescent="0.25">
      <c r="A55" s="3" t="s">
        <v>439</v>
      </c>
      <c r="B55" s="3" t="s">
        <v>592</v>
      </c>
      <c r="C55" s="3" t="s">
        <v>1651</v>
      </c>
    </row>
    <row r="56" spans="1:36" x14ac:dyDescent="0.25">
      <c r="A56" s="3" t="s">
        <v>440</v>
      </c>
      <c r="B56" s="3" t="s">
        <v>441</v>
      </c>
      <c r="C56" s="3" t="s">
        <v>1652</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2"/>
  <sheetViews>
    <sheetView zoomScale="75" zoomScaleNormal="75" workbookViewId="0">
      <pane ySplit="49" topLeftCell="A50" activePane="bottomLeft" state="frozen"/>
      <selection pane="bottomLeft" activeCell="J2" sqref="J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S14</v>
      </c>
      <c r="B1" s="26"/>
      <c r="C1" s="26"/>
      <c r="E1" s="24" t="str" cm="1">
        <f t="array" aca="1" ref="E1" ca="1">IFERROR(MID(CELL("filename",$A$1),FIND("]",CELL("filename",$A$1))+1,99),"SXX")&amp;" MATERIALS (USAGE + STANDALONE)"</f>
        <v>S14 MATERIALS (USAGE + STANDALONE)</v>
      </c>
      <c r="F1" s="24"/>
      <c r="G1" s="24"/>
      <c r="H1" s="24"/>
      <c r="I1" s="24"/>
      <c r="J1" s="24"/>
      <c r="K1" s="24"/>
      <c r="L1" s="13"/>
      <c r="M1" s="13"/>
      <c r="N1" s="19">
        <f>SUM(N3:N49)</f>
        <v>1825.2700000000002</v>
      </c>
      <c r="P1" s="24" t="str" cm="1">
        <f t="array" aca="1" ref="P1" ca="1">IFERROR(MID(CELL("filename",$A$1),FIND("]",CELL("filename",$A$1))+1,99),"SXX")&amp;" LABOUR (USAGE + STANDALONE)"</f>
        <v>S14 LABOUR (USAGE + STANDALONE)</v>
      </c>
      <c r="Q1" s="24"/>
      <c r="R1" s="24"/>
      <c r="S1" s="24"/>
      <c r="T1" s="24"/>
      <c r="U1" s="24"/>
      <c r="V1" s="24"/>
      <c r="Y1" s="19">
        <f>SUM(Y3:Y49)</f>
        <v>1440</v>
      </c>
      <c r="AA1" s="27" t="str" cm="1">
        <f t="array" aca="1" ref="AA1" ca="1">IFERROR(MID(CELL("filename",$A$1),FIND("]",CELL("filename",$A$1))+1,99),"SXX")&amp;" RENTAL / SERVICE (USAGE + STANDALONE)"</f>
        <v>S14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1765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442</v>
      </c>
      <c r="B3" s="3" t="s">
        <v>1682</v>
      </c>
      <c r="C3" s="3" t="s">
        <v>1810</v>
      </c>
      <c r="E3" t="s">
        <v>1766</v>
      </c>
      <c r="F3" t="s">
        <v>1767</v>
      </c>
      <c r="G3" t="s">
        <v>1768</v>
      </c>
      <c r="H3" t="s">
        <v>335</v>
      </c>
      <c r="I3">
        <v>1</v>
      </c>
      <c r="J3" s="22">
        <v>0</v>
      </c>
      <c r="K3">
        <v>92</v>
      </c>
      <c r="L3" s="8">
        <f t="shared" ref="L3:L49" si="0">IF($G3="","",$I3*(1+IF($J3="",0,$J3)))</f>
        <v>1</v>
      </c>
      <c r="M3" s="8">
        <f t="shared" ref="M3:M49" si="1">IF($G3="","",$L3)</f>
        <v>1</v>
      </c>
      <c r="N3" s="8">
        <f t="shared" ref="N3:N49" si="2">IF($G3="","",IF($K3="","",$M3*$K3))</f>
        <v>92</v>
      </c>
      <c r="P3" t="s">
        <v>1833</v>
      </c>
      <c r="Q3" t="s">
        <v>1809</v>
      </c>
      <c r="R3" t="s">
        <v>329</v>
      </c>
      <c r="S3" t="s">
        <v>33</v>
      </c>
      <c r="T3">
        <v>38</v>
      </c>
      <c r="U3" s="22">
        <v>0</v>
      </c>
      <c r="V3">
        <v>22.5</v>
      </c>
      <c r="W3" s="8">
        <f>IF($R3="","",$T3*(1+IF($U3="",0,$U3)))</f>
        <v>38</v>
      </c>
      <c r="X3" s="8">
        <f>IF($R3="","",$W3)</f>
        <v>38</v>
      </c>
      <c r="Y3" s="8">
        <f>IF($R3="","",IF($V3="","",$X3*$V3))</f>
        <v>855</v>
      </c>
      <c r="AH3" s="8" t="str">
        <f>IF($AC3="","",$AE3*(1+IF($AF3="",0,$AF3)))</f>
        <v/>
      </c>
      <c r="AI3" s="8" t="str">
        <f>IF($AC3="","",$AH3)</f>
        <v/>
      </c>
      <c r="AJ3" s="8" t="str">
        <f>IF($AC3="","",IF($AG3="","",$AI3*$AG3))</f>
        <v/>
      </c>
    </row>
    <row r="4" spans="1:37" x14ac:dyDescent="0.25">
      <c r="A4" s="3" t="s">
        <v>443</v>
      </c>
      <c r="B4" s="3" t="s">
        <v>1811</v>
      </c>
      <c r="C4" s="3" t="s">
        <v>1812</v>
      </c>
      <c r="E4" t="s">
        <v>1766</v>
      </c>
      <c r="F4" t="s">
        <v>1767</v>
      </c>
      <c r="G4" t="s">
        <v>1769</v>
      </c>
      <c r="H4" t="s">
        <v>335</v>
      </c>
      <c r="I4">
        <v>1</v>
      </c>
      <c r="J4" s="22">
        <v>0</v>
      </c>
      <c r="K4">
        <v>92</v>
      </c>
      <c r="L4" s="8">
        <f t="shared" si="0"/>
        <v>1</v>
      </c>
      <c r="M4" s="8">
        <f t="shared" si="1"/>
        <v>1</v>
      </c>
      <c r="N4" s="8">
        <f t="shared" si="2"/>
        <v>92</v>
      </c>
      <c r="P4" t="s">
        <v>1834</v>
      </c>
      <c r="Q4" t="s">
        <v>1809</v>
      </c>
      <c r="R4" t="s">
        <v>329</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1683</v>
      </c>
      <c r="B5" s="3" t="s">
        <v>1684</v>
      </c>
      <c r="C5" s="3" t="s">
        <v>1813</v>
      </c>
      <c r="E5" t="s">
        <v>1766</v>
      </c>
      <c r="F5" t="s">
        <v>1767</v>
      </c>
      <c r="G5" t="s">
        <v>1770</v>
      </c>
      <c r="H5" t="s">
        <v>335</v>
      </c>
      <c r="I5">
        <v>1</v>
      </c>
      <c r="J5" s="22">
        <v>0</v>
      </c>
      <c r="K5">
        <v>92</v>
      </c>
      <c r="L5" s="8">
        <f t="shared" si="0"/>
        <v>1</v>
      </c>
      <c r="M5" s="8">
        <f t="shared" si="1"/>
        <v>1</v>
      </c>
      <c r="N5" s="8">
        <f t="shared" si="2"/>
        <v>92</v>
      </c>
      <c r="P5" t="s">
        <v>1835</v>
      </c>
      <c r="Q5" t="s">
        <v>1809</v>
      </c>
      <c r="R5" t="s">
        <v>329</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444</v>
      </c>
      <c r="B6" s="3" t="s">
        <v>1685</v>
      </c>
      <c r="C6" s="3" t="s">
        <v>1814</v>
      </c>
      <c r="E6" t="s">
        <v>1771</v>
      </c>
      <c r="F6" t="s">
        <v>1767</v>
      </c>
      <c r="G6" t="s">
        <v>1772</v>
      </c>
      <c r="H6" t="s">
        <v>335</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444</v>
      </c>
      <c r="B7" s="3" t="s">
        <v>1686</v>
      </c>
      <c r="C7" s="3" t="s">
        <v>1815</v>
      </c>
      <c r="E7" t="s">
        <v>1771</v>
      </c>
      <c r="F7" t="s">
        <v>1767</v>
      </c>
      <c r="G7" t="s">
        <v>1773</v>
      </c>
      <c r="H7" t="s">
        <v>335</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444</v>
      </c>
      <c r="B8" s="3" t="s">
        <v>1687</v>
      </c>
      <c r="C8" s="3" t="s">
        <v>1816</v>
      </c>
      <c r="E8" t="s">
        <v>1771</v>
      </c>
      <c r="F8" t="s">
        <v>1767</v>
      </c>
      <c r="G8" t="s">
        <v>1774</v>
      </c>
      <c r="H8" t="s">
        <v>335</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444</v>
      </c>
      <c r="B9" s="3" t="s">
        <v>1688</v>
      </c>
      <c r="C9" s="3" t="s">
        <v>1817</v>
      </c>
      <c r="E9" t="s">
        <v>1775</v>
      </c>
      <c r="F9" t="s">
        <v>1776</v>
      </c>
      <c r="G9" t="s">
        <v>1777</v>
      </c>
      <c r="H9" t="s">
        <v>1778</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444</v>
      </c>
      <c r="B10" s="3" t="s">
        <v>1689</v>
      </c>
      <c r="C10" s="3" t="s">
        <v>1818</v>
      </c>
      <c r="E10" t="s">
        <v>1779</v>
      </c>
      <c r="F10" t="s">
        <v>1780</v>
      </c>
      <c r="G10" t="s">
        <v>1781</v>
      </c>
      <c r="H10" t="s">
        <v>734</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444</v>
      </c>
      <c r="B11" s="3" t="s">
        <v>1712</v>
      </c>
      <c r="C11" s="3" t="s">
        <v>1713</v>
      </c>
      <c r="E11" t="s">
        <v>1782</v>
      </c>
      <c r="F11" t="s">
        <v>1780</v>
      </c>
      <c r="G11" t="s">
        <v>1783</v>
      </c>
      <c r="H11" t="s">
        <v>734</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1690</v>
      </c>
      <c r="B12" s="3" t="s">
        <v>1691</v>
      </c>
      <c r="C12" s="3" t="s">
        <v>1819</v>
      </c>
      <c r="E12" t="s">
        <v>1784</v>
      </c>
      <c r="F12" t="s">
        <v>1780</v>
      </c>
      <c r="G12" t="s">
        <v>1785</v>
      </c>
      <c r="H12" t="s">
        <v>977</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1690</v>
      </c>
      <c r="B13" s="3" t="s">
        <v>1692</v>
      </c>
      <c r="C13" s="3" t="s">
        <v>1693</v>
      </c>
      <c r="E13" t="s">
        <v>1786</v>
      </c>
      <c r="F13" t="s">
        <v>1787</v>
      </c>
      <c r="G13" t="s">
        <v>1788</v>
      </c>
      <c r="H13" t="s">
        <v>34</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1690</v>
      </c>
      <c r="B14" s="3" t="s">
        <v>1694</v>
      </c>
      <c r="C14" s="3" t="s">
        <v>1820</v>
      </c>
      <c r="E14" t="s">
        <v>1830</v>
      </c>
      <c r="F14" t="s">
        <v>1789</v>
      </c>
      <c r="G14" t="s">
        <v>1790</v>
      </c>
      <c r="H14" t="s">
        <v>34</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1690</v>
      </c>
      <c r="B15" s="3" t="s">
        <v>1695</v>
      </c>
      <c r="C15" s="3" t="s">
        <v>1821</v>
      </c>
      <c r="E15" t="s">
        <v>1831</v>
      </c>
      <c r="F15" t="s">
        <v>1791</v>
      </c>
      <c r="G15" t="s">
        <v>1792</v>
      </c>
      <c r="H15" t="s">
        <v>34</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1690</v>
      </c>
      <c r="B16" s="3" t="s">
        <v>1696</v>
      </c>
      <c r="C16" s="3" t="s">
        <v>1697</v>
      </c>
      <c r="E16" t="s">
        <v>1793</v>
      </c>
      <c r="F16" t="s">
        <v>1794</v>
      </c>
      <c r="G16" t="s">
        <v>63</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1690</v>
      </c>
      <c r="B17" s="3" t="s">
        <v>1698</v>
      </c>
      <c r="C17" s="3" t="s">
        <v>1699</v>
      </c>
      <c r="E17" t="s">
        <v>1832</v>
      </c>
      <c r="F17" t="s">
        <v>1794</v>
      </c>
      <c r="G17" t="s">
        <v>1795</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1690</v>
      </c>
      <c r="B18" s="3" t="s">
        <v>1700</v>
      </c>
      <c r="C18" s="3" t="s">
        <v>1701</v>
      </c>
      <c r="E18" t="s">
        <v>1796</v>
      </c>
      <c r="F18" t="s">
        <v>1797</v>
      </c>
      <c r="G18" t="s">
        <v>1798</v>
      </c>
      <c r="H18" t="s">
        <v>34</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1690</v>
      </c>
      <c r="B19" s="3" t="s">
        <v>1702</v>
      </c>
      <c r="C19" s="3" t="s">
        <v>1822</v>
      </c>
      <c r="E19" t="s">
        <v>1799</v>
      </c>
      <c r="F19" t="s">
        <v>1797</v>
      </c>
      <c r="G19" t="s">
        <v>1800</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1690</v>
      </c>
      <c r="B20" s="3" t="s">
        <v>1703</v>
      </c>
      <c r="C20" s="3" t="s">
        <v>1704</v>
      </c>
      <c r="E20" t="s">
        <v>1801</v>
      </c>
      <c r="F20" t="s">
        <v>1797</v>
      </c>
      <c r="G20" t="s">
        <v>1802</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444</v>
      </c>
      <c r="B21" s="3" t="s">
        <v>1705</v>
      </c>
      <c r="C21" s="3" t="s">
        <v>1706</v>
      </c>
      <c r="E21" t="s">
        <v>1803</v>
      </c>
      <c r="F21" t="s">
        <v>1797</v>
      </c>
      <c r="G21" t="s">
        <v>1804</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444</v>
      </c>
      <c r="B22" s="3" t="s">
        <v>1707</v>
      </c>
      <c r="C22" s="3" t="s">
        <v>1823</v>
      </c>
      <c r="E22" t="s">
        <v>1805</v>
      </c>
      <c r="F22" t="s">
        <v>1776</v>
      </c>
      <c r="G22" t="s">
        <v>1806</v>
      </c>
      <c r="H22" t="s">
        <v>734</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444</v>
      </c>
      <c r="B23" s="3" t="s">
        <v>1708</v>
      </c>
      <c r="C23" s="3" t="s">
        <v>1709</v>
      </c>
      <c r="E23" t="s">
        <v>1807</v>
      </c>
      <c r="F23" t="s">
        <v>1776</v>
      </c>
      <c r="G23" t="s">
        <v>1808</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444</v>
      </c>
      <c r="B24" s="3" t="s">
        <v>1710</v>
      </c>
      <c r="C24" s="3" t="s">
        <v>1711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444</v>
      </c>
      <c r="B25" s="3" t="s">
        <v>1714</v>
      </c>
      <c r="C25" s="3" t="s">
        <v>1715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444</v>
      </c>
      <c r="B26" s="3" t="s">
        <v>1716</v>
      </c>
      <c r="C26" s="3" t="s">
        <v>1717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444</v>
      </c>
      <c r="B27" s="3" t="s">
        <v>1718</v>
      </c>
      <c r="C27" s="3" t="s">
        <v>1719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444</v>
      </c>
      <c r="B28" s="3" t="s">
        <v>1720</v>
      </c>
      <c r="C28" s="3" t="s">
        <v>1824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444</v>
      </c>
      <c r="B29" s="3" t="s">
        <v>1825</v>
      </c>
      <c r="C29" s="3" t="s">
        <v>1826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1721</v>
      </c>
      <c r="B30" s="3" t="s">
        <v>1722</v>
      </c>
      <c r="C30" s="3" t="s">
        <v>1723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1721</v>
      </c>
      <c r="B31" s="3" t="s">
        <v>1724</v>
      </c>
      <c r="C31" s="3" t="s">
        <v>1725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1721</v>
      </c>
      <c r="B32" s="3" t="s">
        <v>1726</v>
      </c>
      <c r="C32" s="3" t="s">
        <v>1727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1721</v>
      </c>
      <c r="B33" s="3" t="s">
        <v>1728</v>
      </c>
      <c r="C33" s="3" t="s">
        <v>1729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1721</v>
      </c>
      <c r="B34" s="3" t="s">
        <v>1730</v>
      </c>
      <c r="C34" s="3" t="s">
        <v>1731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1721</v>
      </c>
      <c r="B35" s="3" t="s">
        <v>1732</v>
      </c>
      <c r="C35" s="3" t="s">
        <v>1733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1721</v>
      </c>
      <c r="B36" s="3" t="s">
        <v>1734</v>
      </c>
      <c r="C36" s="3" t="s">
        <v>1735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1721</v>
      </c>
      <c r="B37" s="3" t="s">
        <v>1736</v>
      </c>
      <c r="C37" s="3" t="s">
        <v>1737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1721</v>
      </c>
      <c r="B38" s="3" t="s">
        <v>1738</v>
      </c>
      <c r="C38" s="3" t="s">
        <v>1739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1721</v>
      </c>
      <c r="B39" s="3" t="s">
        <v>1740</v>
      </c>
      <c r="C39" s="3" t="s">
        <v>1741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1721</v>
      </c>
      <c r="B40" s="3" t="s">
        <v>1742</v>
      </c>
      <c r="C40" s="3" t="s">
        <v>1743</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1721</v>
      </c>
      <c r="B41" s="3" t="s">
        <v>1744</v>
      </c>
      <c r="C41" s="3" t="s">
        <v>1745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1721</v>
      </c>
      <c r="B42" s="3" t="s">
        <v>1746</v>
      </c>
      <c r="C42" s="3" t="s">
        <v>1747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1721</v>
      </c>
      <c r="B43" s="3" t="s">
        <v>1748</v>
      </c>
      <c r="C43" s="3" t="s">
        <v>1749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1721</v>
      </c>
      <c r="B44" s="3" t="s">
        <v>1750</v>
      </c>
      <c r="C44" s="3" t="s">
        <v>1751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1721</v>
      </c>
      <c r="B45" s="3" t="s">
        <v>1752</v>
      </c>
      <c r="C45" s="3" t="s">
        <v>1753</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1721</v>
      </c>
      <c r="B46" s="3" t="s">
        <v>1754</v>
      </c>
      <c r="C46" s="3" t="s">
        <v>1755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1721</v>
      </c>
      <c r="B47" s="3" t="s">
        <v>1756</v>
      </c>
      <c r="C47" s="3" t="s">
        <v>1757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1721</v>
      </c>
      <c r="B48" s="3" t="s">
        <v>1758</v>
      </c>
      <c r="C48" s="3" t="s">
        <v>1759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1721</v>
      </c>
      <c r="B49" s="3" t="s">
        <v>1760</v>
      </c>
      <c r="C49" s="3" t="s">
        <v>1761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1721</v>
      </c>
      <c r="B50" s="3" t="s">
        <v>1762</v>
      </c>
      <c r="C50" s="3" t="s">
        <v>1763</v>
      </c>
    </row>
    <row r="51" spans="1:36" x14ac:dyDescent="0.25">
      <c r="A51" s="3" t="s">
        <v>1764</v>
      </c>
      <c r="B51" s="3" t="s">
        <v>1827</v>
      </c>
      <c r="C51" s="3" t="s">
        <v>460</v>
      </c>
    </row>
    <row r="52" spans="1:36" x14ac:dyDescent="0.25">
      <c r="A52" s="3" t="s">
        <v>445</v>
      </c>
      <c r="B52" s="3" t="s">
        <v>1828</v>
      </c>
      <c r="C52" s="3" t="s">
        <v>1829</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activeCell="P2" sqref="P2:V5"/>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S15</v>
      </c>
      <c r="B1" s="26"/>
      <c r="C1" s="26"/>
      <c r="E1" s="24" t="str" cm="1">
        <f t="array" aca="1" ref="E1" ca="1">IFERROR(MID(CELL("filename",$A$1),FIND("]",CELL("filename",$A$1))+1,99),"SXX")&amp;" MATERIALS (USAGE + STANDALONE)"</f>
        <v>S15 MATERIALS (USAGE + STANDALONE)</v>
      </c>
      <c r="F1" s="24"/>
      <c r="G1" s="24"/>
      <c r="H1" s="24"/>
      <c r="I1" s="24"/>
      <c r="J1" s="24"/>
      <c r="K1" s="24"/>
      <c r="L1" s="13"/>
      <c r="M1" s="13"/>
      <c r="N1" s="19">
        <f>SUM(N3:N49)</f>
        <v>1233.76</v>
      </c>
      <c r="P1" s="24" t="str" cm="1">
        <f t="array" aca="1" ref="P1" ca="1">IFERROR(MID(CELL("filename",$A$1),FIND("]",CELL("filename",$A$1))+1,99),"SXX")&amp;" LABOUR (USAGE + STANDALONE)"</f>
        <v>S15 LABOUR (USAGE + STANDALONE)</v>
      </c>
      <c r="Q1" s="24"/>
      <c r="R1" s="24"/>
      <c r="S1" s="24"/>
      <c r="T1" s="24"/>
      <c r="U1" s="24"/>
      <c r="V1" s="24"/>
      <c r="Y1" s="19">
        <f>SUM(Y3:Y49)</f>
        <v>1057.5</v>
      </c>
      <c r="AA1" s="27" t="str" cm="1">
        <f t="array" aca="1" ref="AA1" ca="1">IFERROR(MID(CELL("filename",$A$1),FIND("]",CELL("filename",$A$1))+1,99),"SXX")&amp;" RENTAL / SERVICE (USAGE + STANDALONE)"</f>
        <v>S15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1765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1836</v>
      </c>
      <c r="B3" s="3" t="s">
        <v>1837</v>
      </c>
      <c r="C3" s="3" t="s">
        <v>1838</v>
      </c>
      <c r="E3" t="s">
        <v>1910</v>
      </c>
      <c r="F3" t="s">
        <v>1911</v>
      </c>
      <c r="G3" t="s">
        <v>1311</v>
      </c>
      <c r="H3" t="s">
        <v>726</v>
      </c>
      <c r="I3">
        <v>1</v>
      </c>
      <c r="J3" s="22">
        <v>0.05</v>
      </c>
      <c r="K3">
        <v>160</v>
      </c>
      <c r="L3" s="8">
        <f t="shared" ref="L3:L49" si="0">IF($G3="","",$I3*(1+IF($J3="",0,$J3)))</f>
        <v>1.05</v>
      </c>
      <c r="M3" s="8">
        <f t="shared" ref="M3:M49" si="1">IF($G3="","",$L3)</f>
        <v>1.05</v>
      </c>
      <c r="N3" s="8">
        <f t="shared" ref="N3:N49" si="2">IF($G3="","",IF($K3="","",$M3*$K3))</f>
        <v>168</v>
      </c>
      <c r="P3" t="s">
        <v>1932</v>
      </c>
      <c r="Q3" t="s">
        <v>1933</v>
      </c>
      <c r="R3" t="s">
        <v>329</v>
      </c>
      <c r="S3" t="s">
        <v>33</v>
      </c>
      <c r="T3">
        <v>21</v>
      </c>
      <c r="U3" s="22">
        <v>0</v>
      </c>
      <c r="V3">
        <v>22.5</v>
      </c>
      <c r="W3" s="8">
        <f>IF($R3="","",$T3*(1+IF($U3="",0,$U3)))</f>
        <v>21</v>
      </c>
      <c r="X3" s="8">
        <f>IF($R3="","",$W3)</f>
        <v>21</v>
      </c>
      <c r="Y3" s="8">
        <f>IF($R3="","",IF($V3="","",$X3*$V3))</f>
        <v>472.5</v>
      </c>
      <c r="AH3" s="8" t="str">
        <f>IF($AC3="","",$AE3*(1+IF($AF3="",0,$AF3)))</f>
        <v/>
      </c>
      <c r="AI3" s="8" t="str">
        <f>IF($AC3="","",$AH3)</f>
        <v/>
      </c>
      <c r="AJ3" s="8" t="str">
        <f>IF($AC3="","",IF($AG3="","",$AI3*$AG3))</f>
        <v/>
      </c>
    </row>
    <row r="4" spans="1:37" x14ac:dyDescent="0.25">
      <c r="A4" s="3" t="s">
        <v>1839</v>
      </c>
      <c r="B4" s="3" t="s">
        <v>1840</v>
      </c>
      <c r="C4" s="3" t="s">
        <v>1841</v>
      </c>
      <c r="E4" t="s">
        <v>1912</v>
      </c>
      <c r="F4" t="s">
        <v>1911</v>
      </c>
      <c r="G4" t="s">
        <v>1913</v>
      </c>
      <c r="H4" t="s">
        <v>726</v>
      </c>
      <c r="I4">
        <v>2</v>
      </c>
      <c r="J4" s="22">
        <v>0.05</v>
      </c>
      <c r="K4">
        <v>80</v>
      </c>
      <c r="L4" s="8">
        <f t="shared" si="0"/>
        <v>2.1</v>
      </c>
      <c r="M4" s="8">
        <f t="shared" si="1"/>
        <v>2.1</v>
      </c>
      <c r="N4" s="8">
        <f t="shared" si="2"/>
        <v>168</v>
      </c>
      <c r="P4" t="s">
        <v>1934</v>
      </c>
      <c r="Q4" t="s">
        <v>1933</v>
      </c>
      <c r="R4" t="s">
        <v>329</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1842</v>
      </c>
      <c r="B5" s="3" t="s">
        <v>1843</v>
      </c>
      <c r="C5" s="3" t="s">
        <v>1844</v>
      </c>
      <c r="E5" t="s">
        <v>1914</v>
      </c>
      <c r="F5" t="s">
        <v>1911</v>
      </c>
      <c r="G5" t="s">
        <v>1312</v>
      </c>
      <c r="H5" t="s">
        <v>32</v>
      </c>
      <c r="I5">
        <v>1</v>
      </c>
      <c r="J5" s="22">
        <v>0.05</v>
      </c>
      <c r="K5">
        <v>94</v>
      </c>
      <c r="L5" s="8">
        <f t="shared" si="0"/>
        <v>1.05</v>
      </c>
      <c r="M5" s="8">
        <f t="shared" si="1"/>
        <v>1.05</v>
      </c>
      <c r="N5" s="8">
        <f t="shared" si="2"/>
        <v>98.7</v>
      </c>
      <c r="P5" t="s">
        <v>1935</v>
      </c>
      <c r="Q5" t="s">
        <v>1933</v>
      </c>
      <c r="R5" t="s">
        <v>329</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1845</v>
      </c>
      <c r="B6" s="3" t="s">
        <v>1846</v>
      </c>
      <c r="C6" s="3" t="s">
        <v>1847</v>
      </c>
      <c r="E6" t="s">
        <v>1915</v>
      </c>
      <c r="F6" t="s">
        <v>1916</v>
      </c>
      <c r="G6" t="s">
        <v>1313</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1845</v>
      </c>
      <c r="B7" s="3" t="s">
        <v>1848</v>
      </c>
      <c r="C7" s="3" t="s">
        <v>1849</v>
      </c>
      <c r="E7" t="s">
        <v>1917</v>
      </c>
      <c r="F7" t="s">
        <v>1916</v>
      </c>
      <c r="G7" t="s">
        <v>1314</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1845</v>
      </c>
      <c r="B8" s="3" t="s">
        <v>1850</v>
      </c>
      <c r="C8" s="3" t="s">
        <v>1851</v>
      </c>
      <c r="E8" t="s">
        <v>1918</v>
      </c>
      <c r="F8" t="s">
        <v>1916</v>
      </c>
      <c r="G8" t="s">
        <v>1315</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1845</v>
      </c>
      <c r="B9" s="3" t="s">
        <v>1852</v>
      </c>
      <c r="C9" s="3" t="s">
        <v>1853</v>
      </c>
      <c r="E9" t="s">
        <v>1919</v>
      </c>
      <c r="F9" t="s">
        <v>1920</v>
      </c>
      <c r="G9" t="s">
        <v>1921</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1845</v>
      </c>
      <c r="B10" s="3" t="s">
        <v>1854</v>
      </c>
      <c r="C10" s="3" t="s">
        <v>1855</v>
      </c>
      <c r="E10" t="s">
        <v>1922</v>
      </c>
      <c r="F10" t="s">
        <v>1923</v>
      </c>
      <c r="G10" t="s">
        <v>1924</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1845</v>
      </c>
      <c r="B11" s="3" t="s">
        <v>1856</v>
      </c>
      <c r="C11" s="3" t="s">
        <v>1857</v>
      </c>
      <c r="E11" t="s">
        <v>1925</v>
      </c>
      <c r="F11" t="s">
        <v>1923</v>
      </c>
      <c r="G11" t="s">
        <v>1926</v>
      </c>
      <c r="H11" t="s">
        <v>64</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1845</v>
      </c>
      <c r="B12" s="3" t="s">
        <v>1858</v>
      </c>
      <c r="C12" s="3" t="s">
        <v>1859</v>
      </c>
      <c r="E12" t="s">
        <v>1927</v>
      </c>
      <c r="F12" t="s">
        <v>1923</v>
      </c>
      <c r="G12" t="s">
        <v>1928</v>
      </c>
      <c r="H12" t="s">
        <v>64</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1845</v>
      </c>
      <c r="B13" s="3" t="s">
        <v>1860</v>
      </c>
      <c r="C13" s="3" t="s">
        <v>1861</v>
      </c>
      <c r="E13" t="s">
        <v>1929</v>
      </c>
      <c r="F13" t="s">
        <v>1923</v>
      </c>
      <c r="G13" t="s">
        <v>65</v>
      </c>
      <c r="H13" t="s">
        <v>64</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1845</v>
      </c>
      <c r="B14" s="3" t="s">
        <v>1862</v>
      </c>
      <c r="C14" s="3" t="s">
        <v>1863</v>
      </c>
      <c r="E14" t="s">
        <v>1930</v>
      </c>
      <c r="F14" t="s">
        <v>1923</v>
      </c>
      <c r="G14" t="s">
        <v>1931</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1864</v>
      </c>
      <c r="B15" s="3" t="s">
        <v>1865</v>
      </c>
      <c r="C15" s="3" t="s">
        <v>1866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1864</v>
      </c>
      <c r="B16" s="3" t="s">
        <v>1867</v>
      </c>
      <c r="C16" s="3" t="s">
        <v>1868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1864</v>
      </c>
      <c r="B17" s="3" t="s">
        <v>1869</v>
      </c>
      <c r="C17" s="3" t="s">
        <v>1870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1864</v>
      </c>
      <c r="B18" s="3" t="s">
        <v>1871</v>
      </c>
      <c r="C18" s="3" t="s">
        <v>1872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1864</v>
      </c>
      <c r="B19" s="3" t="s">
        <v>1873</v>
      </c>
      <c r="C19" s="3" t="s">
        <v>1874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1864</v>
      </c>
      <c r="B20" s="3" t="s">
        <v>1875</v>
      </c>
      <c r="C20" s="3" t="s">
        <v>1876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1864</v>
      </c>
      <c r="B21" s="3" t="s">
        <v>1877</v>
      </c>
      <c r="C21" s="3" t="s">
        <v>1878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1864</v>
      </c>
      <c r="B22" s="3" t="s">
        <v>1879</v>
      </c>
      <c r="C22" s="3" t="s">
        <v>1880</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1864</v>
      </c>
      <c r="B23" s="3" t="s">
        <v>1881</v>
      </c>
      <c r="C23" s="3" t="s">
        <v>1882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1864</v>
      </c>
      <c r="B24" s="3" t="s">
        <v>1883</v>
      </c>
      <c r="C24" s="3" t="s">
        <v>1884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1885</v>
      </c>
      <c r="B25" s="3" t="s">
        <v>1886</v>
      </c>
      <c r="C25" s="3" t="s">
        <v>1887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1885</v>
      </c>
      <c r="B26" s="3" t="s">
        <v>1888</v>
      </c>
      <c r="C26" s="3" t="s">
        <v>1889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1885</v>
      </c>
      <c r="B27" s="3" t="s">
        <v>1890</v>
      </c>
      <c r="C27" s="3" t="s">
        <v>1292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1885</v>
      </c>
      <c r="B28" s="3" t="s">
        <v>1891</v>
      </c>
      <c r="C28" s="3" t="s">
        <v>1294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1885</v>
      </c>
      <c r="B29" s="3" t="s">
        <v>1892</v>
      </c>
      <c r="C29" s="3" t="s">
        <v>1296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1885</v>
      </c>
      <c r="B30" s="3" t="s">
        <v>1893</v>
      </c>
      <c r="C30" s="3" t="s">
        <v>1298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1885</v>
      </c>
      <c r="B31" s="3" t="s">
        <v>1894</v>
      </c>
      <c r="C31" s="3" t="s">
        <v>1895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1885</v>
      </c>
      <c r="B32" s="3" t="s">
        <v>1896</v>
      </c>
      <c r="C32" s="3" t="s">
        <v>1897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1885</v>
      </c>
      <c r="B33" s="3" t="s">
        <v>1898</v>
      </c>
      <c r="C33" s="3" t="s">
        <v>1899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1885</v>
      </c>
      <c r="B34" s="3" t="s">
        <v>1900</v>
      </c>
      <c r="C34" s="3" t="s">
        <v>1901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1885</v>
      </c>
      <c r="B35" s="3" t="s">
        <v>1902</v>
      </c>
      <c r="C35" s="3" t="s">
        <v>1903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1885</v>
      </c>
      <c r="B36" s="3" t="s">
        <v>1904</v>
      </c>
      <c r="C36" s="3" t="s">
        <v>1905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1906</v>
      </c>
      <c r="B37" s="3" t="s">
        <v>1827</v>
      </c>
      <c r="C37" s="3" t="s">
        <v>460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1907</v>
      </c>
      <c r="B38" s="3" t="s">
        <v>1908</v>
      </c>
      <c r="C38" s="3" t="s">
        <v>1909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50" activePane="bottomLeft" state="frozen"/>
      <selection pane="bottomLeft" activeCell="P3" sqref="P3:V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S16</v>
      </c>
      <c r="B1" s="26"/>
      <c r="C1" s="26"/>
      <c r="E1" s="24" t="str" cm="1">
        <f t="array" aca="1" ref="E1" ca="1">IFERROR(MID(CELL("filename",$A$1),FIND("]",CELL("filename",$A$1))+1,99),"SXX")&amp;" MATERIALS (USAGE + STANDALONE)"</f>
        <v>S16 MATERIALS (USAGE + STANDALONE)</v>
      </c>
      <c r="F1" s="24"/>
      <c r="G1" s="24"/>
      <c r="H1" s="24"/>
      <c r="I1" s="24"/>
      <c r="J1" s="24"/>
      <c r="K1" s="24"/>
      <c r="L1" s="13"/>
      <c r="M1" s="13"/>
      <c r="N1" s="19">
        <f>SUM(N3:N49)</f>
        <v>3591.7999999999997</v>
      </c>
      <c r="P1" s="24" t="str" cm="1">
        <f t="array" aca="1" ref="P1" ca="1">IFERROR(MID(CELL("filename",$A$1),FIND("]",CELL("filename",$A$1))+1,99),"SXX")&amp;" LABOUR (USAGE + STANDALONE)"</f>
        <v>S16 LABOUR (USAGE + STANDALONE)</v>
      </c>
      <c r="Q1" s="24"/>
      <c r="R1" s="24"/>
      <c r="S1" s="24"/>
      <c r="T1" s="24"/>
      <c r="U1" s="24"/>
      <c r="V1" s="24"/>
      <c r="Y1" s="19">
        <f>SUM(Y3:Y49)</f>
        <v>2100</v>
      </c>
      <c r="AA1" s="27" t="str" cm="1">
        <f t="array" aca="1" ref="AA1" ca="1">IFERROR(MID(CELL("filename",$A$1),FIND("]",CELL("filename",$A$1))+1,99),"SXX")&amp;" RENTAL / SERVICE (USAGE + STANDALONE)"</f>
        <v>S16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679</v>
      </c>
      <c r="B3" s="3" t="s">
        <v>1120</v>
      </c>
      <c r="C3" s="3" t="s">
        <v>1121</v>
      </c>
      <c r="E3" t="s">
        <v>1036</v>
      </c>
      <c r="F3" t="s">
        <v>740</v>
      </c>
      <c r="G3" t="s">
        <v>561</v>
      </c>
      <c r="H3" t="s">
        <v>11</v>
      </c>
      <c r="I3">
        <v>0.26</v>
      </c>
      <c r="J3" s="22">
        <v>0</v>
      </c>
      <c r="K3">
        <v>830</v>
      </c>
      <c r="L3" s="8">
        <f t="shared" ref="L3:L49" si="0">IF($G3="","",$I3*(1+IF($J3="",0,$J3)))</f>
        <v>0.26</v>
      </c>
      <c r="M3" s="8">
        <f t="shared" ref="M3:M49" si="1">IF($G3="","",$L3)</f>
        <v>0.26</v>
      </c>
      <c r="N3" s="8">
        <f t="shared" ref="N3:N49" si="2">IF($G3="","",IF($K3="","",$M3*$K3))</f>
        <v>215.8</v>
      </c>
      <c r="P3" t="s">
        <v>1046</v>
      </c>
      <c r="Q3" t="s">
        <v>748</v>
      </c>
      <c r="R3" t="s">
        <v>329</v>
      </c>
      <c r="S3" t="s">
        <v>33</v>
      </c>
      <c r="T3">
        <v>24</v>
      </c>
      <c r="U3" s="22">
        <v>0</v>
      </c>
      <c r="V3">
        <v>22.5</v>
      </c>
      <c r="W3" s="8">
        <f>IF($R3="","",$T3*(1+IF($U3="",0,$U3)))</f>
        <v>24</v>
      </c>
      <c r="X3" s="8">
        <f>IF($R3="","",$W3)</f>
        <v>24</v>
      </c>
      <c r="Y3" s="8">
        <f>IF($R3="","",IF($V3="","",$X3*$V3))</f>
        <v>540</v>
      </c>
      <c r="AH3" s="8" t="str">
        <f>IF($AC3="","",$AE3*(1+IF($AF3="",0,$AF3)))</f>
        <v/>
      </c>
      <c r="AI3" s="8" t="str">
        <f>IF($AC3="","",$AH3)</f>
        <v/>
      </c>
      <c r="AJ3" s="8" t="str">
        <f>IF($AC3="","",IF($AG3="","",$AI3*$AG3))</f>
        <v/>
      </c>
    </row>
    <row r="4" spans="1:37" x14ac:dyDescent="0.25">
      <c r="A4" s="3" t="s">
        <v>680</v>
      </c>
      <c r="B4" s="3" t="s">
        <v>1122</v>
      </c>
      <c r="C4" s="3" t="s">
        <v>1123</v>
      </c>
      <c r="E4" t="s">
        <v>1037</v>
      </c>
      <c r="F4" t="s">
        <v>740</v>
      </c>
      <c r="G4" t="s">
        <v>562</v>
      </c>
      <c r="H4" t="s">
        <v>11</v>
      </c>
      <c r="I4">
        <v>0.05</v>
      </c>
      <c r="J4" s="22">
        <v>0</v>
      </c>
      <c r="K4">
        <v>950</v>
      </c>
      <c r="L4" s="8">
        <f t="shared" si="0"/>
        <v>0.05</v>
      </c>
      <c r="M4" s="8">
        <f t="shared" si="1"/>
        <v>0.05</v>
      </c>
      <c r="N4" s="8">
        <f t="shared" si="2"/>
        <v>47.5</v>
      </c>
      <c r="P4" t="s">
        <v>1047</v>
      </c>
      <c r="Q4" t="s">
        <v>748</v>
      </c>
      <c r="R4" t="s">
        <v>330</v>
      </c>
      <c r="S4" t="s">
        <v>33</v>
      </c>
      <c r="T4">
        <v>96</v>
      </c>
      <c r="U4" s="22">
        <v>0</v>
      </c>
      <c r="V4">
        <v>16.25</v>
      </c>
      <c r="W4" s="8">
        <f t="shared" ref="W4:W49" si="3">IF($R4="","",$T4*(1+IF($U4="",0,$U4)))</f>
        <v>96</v>
      </c>
      <c r="X4" s="8">
        <f t="shared" ref="X4:X49" si="4">IF($R4="","",$W4)</f>
        <v>96</v>
      </c>
      <c r="Y4" s="8">
        <f t="shared" ref="Y4:Y49" si="5">IF($R4="","",IF($V4="","",$X4*$V4))</f>
        <v>1560</v>
      </c>
      <c r="AH4" s="8" t="str">
        <f t="shared" ref="AH4:AH49" si="6">IF($AC4="","",$AE4*(1+IF($AF4="",0,$AF4)))</f>
        <v/>
      </c>
      <c r="AI4" s="8" t="str">
        <f t="shared" ref="AI4:AI49" si="7">IF($AC4="","",$AH4)</f>
        <v/>
      </c>
      <c r="AJ4" s="8" t="str">
        <f t="shared" ref="AJ4:AJ49" si="8">IF($AC4="","",IF($AG4="","",$AI4*$AG4))</f>
        <v/>
      </c>
    </row>
    <row r="5" spans="1:37" x14ac:dyDescent="0.25">
      <c r="A5" s="3" t="s">
        <v>681</v>
      </c>
      <c r="B5" s="3" t="s">
        <v>1051</v>
      </c>
      <c r="C5" s="3" t="s">
        <v>1124</v>
      </c>
      <c r="E5" t="s">
        <v>1038</v>
      </c>
      <c r="F5" t="s">
        <v>741</v>
      </c>
      <c r="G5" t="s">
        <v>722</v>
      </c>
      <c r="H5" t="s">
        <v>335</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1125</v>
      </c>
      <c r="B6" s="3" t="s">
        <v>1054</v>
      </c>
      <c r="C6" s="3" t="s">
        <v>1452</v>
      </c>
      <c r="E6" t="s">
        <v>1039</v>
      </c>
      <c r="F6" t="s">
        <v>742</v>
      </c>
      <c r="G6" t="s">
        <v>563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682</v>
      </c>
      <c r="B7" s="3" t="s">
        <v>1055</v>
      </c>
      <c r="C7" s="3" t="s">
        <v>1056</v>
      </c>
      <c r="E7" t="s">
        <v>1041</v>
      </c>
      <c r="F7" t="s">
        <v>743</v>
      </c>
      <c r="G7" t="s">
        <v>744</v>
      </c>
      <c r="H7" t="s">
        <v>9</v>
      </c>
      <c r="I7">
        <v>33</v>
      </c>
      <c r="J7">
        <v>0</v>
      </c>
      <c r="K7">
        <v>22</v>
      </c>
      <c r="L7" s="8">
        <f t="shared" si="0"/>
        <v>33</v>
      </c>
      <c r="M7" s="8">
        <f t="shared" si="1"/>
        <v>33</v>
      </c>
      <c r="N7" s="8">
        <f t="shared" si="2"/>
        <v>726</v>
      </c>
      <c r="W7" s="8" t="str">
        <f t="shared" si="3"/>
        <v/>
      </c>
      <c r="X7" s="8" t="str">
        <f t="shared" si="4"/>
        <v/>
      </c>
      <c r="Y7" s="8" t="str">
        <f t="shared" si="5"/>
        <v/>
      </c>
      <c r="AH7" s="8" t="str">
        <f t="shared" si="6"/>
        <v/>
      </c>
      <c r="AI7" s="8" t="str">
        <f t="shared" si="7"/>
        <v/>
      </c>
      <c r="AJ7" s="8" t="str">
        <f t="shared" si="8"/>
        <v/>
      </c>
    </row>
    <row r="8" spans="1:37" x14ac:dyDescent="0.25">
      <c r="A8" s="3" t="s">
        <v>682</v>
      </c>
      <c r="B8" s="3" t="s">
        <v>1057</v>
      </c>
      <c r="C8" s="3" t="s">
        <v>1058</v>
      </c>
      <c r="E8" t="s">
        <v>1041</v>
      </c>
      <c r="F8" t="s">
        <v>743</v>
      </c>
      <c r="G8" t="s">
        <v>745</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682</v>
      </c>
      <c r="B9" s="3" t="s">
        <v>551</v>
      </c>
      <c r="C9" s="3" t="s">
        <v>575</v>
      </c>
      <c r="E9" t="s">
        <v>1041</v>
      </c>
      <c r="F9" t="s">
        <v>743</v>
      </c>
      <c r="G9" t="s">
        <v>746</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682</v>
      </c>
      <c r="B10" s="3" t="s">
        <v>1059</v>
      </c>
      <c r="C10" s="3" t="s">
        <v>1060</v>
      </c>
      <c r="E10" t="s">
        <v>1465</v>
      </c>
      <c r="F10" t="s">
        <v>1042</v>
      </c>
      <c r="G10" t="s">
        <v>561</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682</v>
      </c>
      <c r="B11" s="3" t="s">
        <v>1453</v>
      </c>
      <c r="C11" s="3" t="s">
        <v>1454</v>
      </c>
      <c r="E11" t="s">
        <v>1465</v>
      </c>
      <c r="F11" t="s">
        <v>1042</v>
      </c>
      <c r="G11" t="s">
        <v>562</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682</v>
      </c>
      <c r="B12" s="3" t="s">
        <v>1061</v>
      </c>
      <c r="C12" s="3" t="s">
        <v>1455</v>
      </c>
      <c r="E12" t="s">
        <v>1465</v>
      </c>
      <c r="F12" t="s">
        <v>1043</v>
      </c>
      <c r="G12" t="s">
        <v>563</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682</v>
      </c>
      <c r="B13" s="3" t="s">
        <v>1062</v>
      </c>
      <c r="C13" s="3" t="s">
        <v>1466</v>
      </c>
      <c r="E13" t="s">
        <v>1472</v>
      </c>
      <c r="F13" t="s">
        <v>1044</v>
      </c>
      <c r="G13" t="s">
        <v>744</v>
      </c>
      <c r="H13" t="s">
        <v>9</v>
      </c>
      <c r="I13">
        <v>10</v>
      </c>
      <c r="J13">
        <v>0</v>
      </c>
      <c r="K13">
        <v>22</v>
      </c>
      <c r="L13" s="8">
        <f t="shared" si="0"/>
        <v>10</v>
      </c>
      <c r="M13" s="8">
        <f t="shared" si="1"/>
        <v>10</v>
      </c>
      <c r="N13" s="8">
        <f t="shared" si="2"/>
        <v>220</v>
      </c>
      <c r="W13" s="8" t="str">
        <f t="shared" si="3"/>
        <v/>
      </c>
      <c r="X13" s="8" t="str">
        <f t="shared" si="4"/>
        <v/>
      </c>
      <c r="Y13" s="8" t="str">
        <f t="shared" si="5"/>
        <v/>
      </c>
      <c r="AH13" s="8" t="str">
        <f t="shared" si="6"/>
        <v/>
      </c>
      <c r="AI13" s="8" t="str">
        <f t="shared" si="7"/>
        <v/>
      </c>
      <c r="AJ13" s="8" t="str">
        <f t="shared" si="8"/>
        <v/>
      </c>
    </row>
    <row r="14" spans="1:37" x14ac:dyDescent="0.25">
      <c r="A14" s="3" t="s">
        <v>683</v>
      </c>
      <c r="B14" s="3" t="s">
        <v>552</v>
      </c>
      <c r="C14" s="3" t="s">
        <v>1063</v>
      </c>
      <c r="E14" t="s">
        <v>1472</v>
      </c>
      <c r="F14" t="s">
        <v>1044</v>
      </c>
      <c r="G14" t="s">
        <v>745</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683</v>
      </c>
      <c r="B15" s="3" t="s">
        <v>704</v>
      </c>
      <c r="C15" s="3" t="s">
        <v>736</v>
      </c>
      <c r="E15" t="s">
        <v>1472</v>
      </c>
      <c r="F15" t="s">
        <v>1044</v>
      </c>
      <c r="G15" t="s">
        <v>746</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683</v>
      </c>
      <c r="B16" s="3" t="s">
        <v>553</v>
      </c>
      <c r="C16" s="3" t="s">
        <v>1064</v>
      </c>
      <c r="E16" t="s">
        <v>1045</v>
      </c>
      <c r="F16" t="s">
        <v>747</v>
      </c>
      <c r="G16" t="s">
        <v>725</v>
      </c>
      <c r="H16" t="s">
        <v>726</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683</v>
      </c>
      <c r="B17" s="3" t="s">
        <v>554</v>
      </c>
      <c r="C17" s="3" t="s">
        <v>1065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683</v>
      </c>
      <c r="B18" s="3" t="s">
        <v>576</v>
      </c>
      <c r="C18" s="3" t="s">
        <v>1126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683</v>
      </c>
      <c r="B19" s="3" t="s">
        <v>684</v>
      </c>
      <c r="C19" s="3" t="s">
        <v>685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683</v>
      </c>
      <c r="B20" s="3" t="s">
        <v>686</v>
      </c>
      <c r="C20" s="3" t="s">
        <v>1127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682</v>
      </c>
      <c r="B21" s="3" t="s">
        <v>1069</v>
      </c>
      <c r="C21" s="3" t="s">
        <v>1070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682</v>
      </c>
      <c r="B22" s="3" t="s">
        <v>1071</v>
      </c>
      <c r="C22" s="3" t="s">
        <v>1072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682</v>
      </c>
      <c r="B23" s="3" t="s">
        <v>1073</v>
      </c>
      <c r="C23" s="3" t="s">
        <v>1074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687</v>
      </c>
      <c r="B24" s="3" t="s">
        <v>1075</v>
      </c>
      <c r="C24" s="3" t="s">
        <v>555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682</v>
      </c>
      <c r="B25" s="3" t="s">
        <v>1076</v>
      </c>
      <c r="C25" s="3" t="s">
        <v>1077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687</v>
      </c>
      <c r="B26" s="3" t="s">
        <v>1078</v>
      </c>
      <c r="C26" s="3" t="s">
        <v>556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682</v>
      </c>
      <c r="B27" s="3" t="s">
        <v>1079</v>
      </c>
      <c r="C27" s="3" t="s">
        <v>1080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687</v>
      </c>
      <c r="B28" s="3" t="s">
        <v>1081</v>
      </c>
      <c r="C28" s="3" t="s">
        <v>706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682</v>
      </c>
      <c r="B29" s="3" t="s">
        <v>1082</v>
      </c>
      <c r="C29" s="3" t="s">
        <v>1083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683</v>
      </c>
      <c r="B30" s="3" t="s">
        <v>707</v>
      </c>
      <c r="C30" s="3" t="s">
        <v>1128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683</v>
      </c>
      <c r="B31" s="3" t="s">
        <v>708</v>
      </c>
      <c r="C31" s="3" t="s">
        <v>1085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683</v>
      </c>
      <c r="B32" s="3" t="s">
        <v>709</v>
      </c>
      <c r="C32" s="3" t="s">
        <v>1129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683</v>
      </c>
      <c r="B33" s="3" t="s">
        <v>1087</v>
      </c>
      <c r="C33" s="3" t="s">
        <v>1130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683</v>
      </c>
      <c r="B34" s="3" t="s">
        <v>710</v>
      </c>
      <c r="C34" s="3" t="s">
        <v>1131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687</v>
      </c>
      <c r="B35" s="3" t="s">
        <v>1090</v>
      </c>
      <c r="C35" s="3" t="s">
        <v>557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682</v>
      </c>
      <c r="B36" s="3" t="s">
        <v>1091</v>
      </c>
      <c r="C36" s="3" t="s">
        <v>1092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683</v>
      </c>
      <c r="B37" s="3" t="s">
        <v>1093</v>
      </c>
      <c r="C37" s="3" t="s">
        <v>579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682</v>
      </c>
      <c r="B38" s="3" t="s">
        <v>1132</v>
      </c>
      <c r="C38" s="3" t="s">
        <v>1133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683</v>
      </c>
      <c r="B39" s="3" t="s">
        <v>1134</v>
      </c>
      <c r="C39" s="3" t="s">
        <v>1135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683</v>
      </c>
      <c r="B40" s="3" t="s">
        <v>689</v>
      </c>
      <c r="C40" s="3" t="s">
        <v>769</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687</v>
      </c>
      <c r="B41" s="3" t="s">
        <v>690</v>
      </c>
      <c r="C41" s="3" t="s">
        <v>691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687</v>
      </c>
      <c r="B42" s="3" t="s">
        <v>693</v>
      </c>
      <c r="C42" s="3" t="s">
        <v>737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687</v>
      </c>
      <c r="B43" s="3" t="s">
        <v>694</v>
      </c>
      <c r="C43" s="3" t="s">
        <v>738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682</v>
      </c>
      <c r="B44" s="3" t="s">
        <v>1136</v>
      </c>
      <c r="C44" s="3" t="s">
        <v>1137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682</v>
      </c>
      <c r="B45" s="3" t="s">
        <v>1138</v>
      </c>
      <c r="C45" s="3" t="s">
        <v>1139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682</v>
      </c>
      <c r="B46" s="3" t="s">
        <v>1140</v>
      </c>
      <c r="C46" s="3" t="s">
        <v>1141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682</v>
      </c>
      <c r="B47" s="3" t="s">
        <v>1097</v>
      </c>
      <c r="C47" s="3" t="s">
        <v>1457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682</v>
      </c>
      <c r="B48" s="3" t="s">
        <v>1098</v>
      </c>
      <c r="C48" s="3" t="s">
        <v>1458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682</v>
      </c>
      <c r="B49" s="3" t="s">
        <v>1099</v>
      </c>
      <c r="C49" s="3" t="s">
        <v>1459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682</v>
      </c>
      <c r="B50" s="3" t="s">
        <v>1100</v>
      </c>
      <c r="C50" s="3" t="s">
        <v>1460</v>
      </c>
    </row>
    <row r="51" spans="1:36" x14ac:dyDescent="0.25">
      <c r="A51" s="3" t="s">
        <v>682</v>
      </c>
      <c r="B51" s="3" t="s">
        <v>1101</v>
      </c>
      <c r="C51" s="3" t="s">
        <v>1461</v>
      </c>
    </row>
    <row r="52" spans="1:36" x14ac:dyDescent="0.25">
      <c r="A52" s="3" t="s">
        <v>682</v>
      </c>
      <c r="B52" s="3" t="s">
        <v>1102</v>
      </c>
      <c r="C52" s="3" t="s">
        <v>1462</v>
      </c>
    </row>
    <row r="53" spans="1:36" x14ac:dyDescent="0.25">
      <c r="A53" s="3" t="s">
        <v>682</v>
      </c>
      <c r="B53" s="3" t="s">
        <v>1142</v>
      </c>
      <c r="C53" s="3" t="s">
        <v>1467</v>
      </c>
    </row>
    <row r="54" spans="1:36" x14ac:dyDescent="0.25">
      <c r="A54" s="3" t="s">
        <v>682</v>
      </c>
      <c r="B54" s="3" t="s">
        <v>1143</v>
      </c>
      <c r="C54" s="3" t="s">
        <v>1468</v>
      </c>
    </row>
    <row r="55" spans="1:36" x14ac:dyDescent="0.25">
      <c r="A55" s="3" t="s">
        <v>682</v>
      </c>
      <c r="B55" s="3" t="s">
        <v>1144</v>
      </c>
      <c r="C55" s="3" t="s">
        <v>1469</v>
      </c>
    </row>
    <row r="56" spans="1:36" x14ac:dyDescent="0.25">
      <c r="A56" s="3" t="s">
        <v>682</v>
      </c>
      <c r="B56" s="3" t="s">
        <v>1145</v>
      </c>
      <c r="C56" s="3" t="s">
        <v>1470</v>
      </c>
    </row>
    <row r="57" spans="1:36" x14ac:dyDescent="0.25">
      <c r="A57" s="3" t="s">
        <v>683</v>
      </c>
      <c r="B57" s="3" t="s">
        <v>1104</v>
      </c>
      <c r="C57" s="3" t="s">
        <v>1105</v>
      </c>
    </row>
    <row r="58" spans="1:36" x14ac:dyDescent="0.25">
      <c r="A58" s="3" t="s">
        <v>683</v>
      </c>
      <c r="B58" s="3" t="s">
        <v>1106</v>
      </c>
      <c r="C58" s="3" t="s">
        <v>1107</v>
      </c>
    </row>
    <row r="59" spans="1:36" x14ac:dyDescent="0.25">
      <c r="A59" s="3" t="s">
        <v>683</v>
      </c>
      <c r="B59" s="3" t="s">
        <v>1108</v>
      </c>
      <c r="C59" s="3" t="s">
        <v>1146</v>
      </c>
    </row>
    <row r="60" spans="1:36" x14ac:dyDescent="0.25">
      <c r="A60" s="3" t="s">
        <v>683</v>
      </c>
      <c r="B60" s="3" t="s">
        <v>1110</v>
      </c>
      <c r="C60" s="3" t="s">
        <v>1147</v>
      </c>
    </row>
    <row r="61" spans="1:36" x14ac:dyDescent="0.25">
      <c r="A61" s="3" t="s">
        <v>687</v>
      </c>
      <c r="B61" s="3" t="s">
        <v>711</v>
      </c>
      <c r="C61" s="3" t="s">
        <v>712</v>
      </c>
    </row>
    <row r="62" spans="1:36" x14ac:dyDescent="0.25">
      <c r="A62" s="3" t="s">
        <v>682</v>
      </c>
      <c r="B62" s="3" t="s">
        <v>739</v>
      </c>
      <c r="C62" s="3" t="s">
        <v>1148</v>
      </c>
    </row>
    <row r="63" spans="1:36" x14ac:dyDescent="0.25">
      <c r="A63" s="3" t="s">
        <v>683</v>
      </c>
      <c r="B63" s="3" t="s">
        <v>713</v>
      </c>
      <c r="C63" s="3" t="s">
        <v>1149</v>
      </c>
    </row>
    <row r="64" spans="1:36" x14ac:dyDescent="0.25">
      <c r="A64" s="3" t="s">
        <v>682</v>
      </c>
      <c r="B64" s="3" t="s">
        <v>580</v>
      </c>
      <c r="C64" s="3" t="s">
        <v>1114</v>
      </c>
    </row>
    <row r="65" spans="1:3" x14ac:dyDescent="0.25">
      <c r="A65" s="3" t="s">
        <v>682</v>
      </c>
      <c r="B65" s="3" t="s">
        <v>559</v>
      </c>
      <c r="C65" s="3" t="s">
        <v>1115</v>
      </c>
    </row>
    <row r="66" spans="1:3" x14ac:dyDescent="0.25">
      <c r="A66" s="3" t="s">
        <v>683</v>
      </c>
      <c r="B66" s="3" t="s">
        <v>581</v>
      </c>
      <c r="C66" s="3" t="s">
        <v>582</v>
      </c>
    </row>
    <row r="67" spans="1:3" x14ac:dyDescent="0.25">
      <c r="A67" s="3" t="s">
        <v>683</v>
      </c>
      <c r="B67" s="3" t="s">
        <v>583</v>
      </c>
      <c r="C67" s="3" t="s">
        <v>584</v>
      </c>
    </row>
    <row r="68" spans="1:3" x14ac:dyDescent="0.25">
      <c r="A68" s="3" t="s">
        <v>683</v>
      </c>
      <c r="B68" s="3" t="s">
        <v>585</v>
      </c>
      <c r="C68" s="3" t="s">
        <v>1116</v>
      </c>
    </row>
    <row r="69" spans="1:3" x14ac:dyDescent="0.25">
      <c r="A69" s="3" t="s">
        <v>683</v>
      </c>
      <c r="B69" s="3" t="s">
        <v>586</v>
      </c>
      <c r="C69" s="3" t="s">
        <v>696</v>
      </c>
    </row>
    <row r="70" spans="1:3" x14ac:dyDescent="0.25">
      <c r="A70" s="3" t="s">
        <v>683</v>
      </c>
      <c r="B70" s="3" t="s">
        <v>588</v>
      </c>
      <c r="C70" s="3" t="s">
        <v>714</v>
      </c>
    </row>
    <row r="71" spans="1:3" x14ac:dyDescent="0.25">
      <c r="A71" s="3" t="s">
        <v>697</v>
      </c>
      <c r="B71" s="3" t="s">
        <v>590</v>
      </c>
      <c r="C71" s="3" t="s">
        <v>460</v>
      </c>
    </row>
    <row r="72" spans="1:3" x14ac:dyDescent="0.25">
      <c r="A72" s="3" t="s">
        <v>697</v>
      </c>
      <c r="B72" s="3" t="s">
        <v>591</v>
      </c>
      <c r="C72" s="3" t="s">
        <v>461</v>
      </c>
    </row>
    <row r="73" spans="1:3" x14ac:dyDescent="0.25">
      <c r="A73" s="3" t="s">
        <v>682</v>
      </c>
      <c r="B73" s="3" t="s">
        <v>1117</v>
      </c>
      <c r="C73" s="3" t="s">
        <v>1150</v>
      </c>
    </row>
    <row r="74" spans="1:3" x14ac:dyDescent="0.25">
      <c r="A74" s="3" t="s">
        <v>683</v>
      </c>
      <c r="B74" s="3" t="s">
        <v>592</v>
      </c>
      <c r="C74" s="3" t="s">
        <v>1151</v>
      </c>
    </row>
    <row r="75" spans="1:3" x14ac:dyDescent="0.25">
      <c r="A75" s="3" t="s">
        <v>683</v>
      </c>
      <c r="B75" s="3" t="s">
        <v>699</v>
      </c>
      <c r="C75" s="3" t="s">
        <v>700</v>
      </c>
    </row>
    <row r="76" spans="1:3" x14ac:dyDescent="0.25">
      <c r="A76" s="3" t="s">
        <v>683</v>
      </c>
      <c r="B76" s="3" t="s">
        <v>596</v>
      </c>
      <c r="C76" s="3" t="s">
        <v>701</v>
      </c>
    </row>
    <row r="77" spans="1:3" x14ac:dyDescent="0.25">
      <c r="A77" s="3" t="s">
        <v>683</v>
      </c>
      <c r="B77" s="3" t="s">
        <v>373</v>
      </c>
      <c r="C77" s="3" t="s">
        <v>702</v>
      </c>
    </row>
    <row r="78" spans="1:3" x14ac:dyDescent="0.25">
      <c r="A78" s="3" t="s">
        <v>703</v>
      </c>
      <c r="B78" s="3" t="s">
        <v>1464</v>
      </c>
      <c r="C78" s="3" t="s">
        <v>1471</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50" activePane="bottomLeft" state="frozen"/>
      <selection pane="bottomLeft" activeCell="V3" sqref="V3:V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S17</v>
      </c>
      <c r="B1" s="26"/>
      <c r="C1" s="26"/>
      <c r="E1" s="24" t="str" cm="1">
        <f t="array" aca="1" ref="E1" ca="1">IFERROR(MID(CELL("filename",$A$1),FIND("]",CELL("filename",$A$1))+1,99),"SXX")&amp;" MATERIALS (USAGE + STANDALONE)"</f>
        <v>S17 MATERIALS (USAGE + STANDALONE)</v>
      </c>
      <c r="F1" s="24"/>
      <c r="G1" s="24"/>
      <c r="H1" s="24"/>
      <c r="I1" s="24"/>
      <c r="J1" s="24"/>
      <c r="K1" s="24"/>
      <c r="L1" s="13"/>
      <c r="M1" s="13"/>
      <c r="N1" s="19">
        <f>SUM(N3:N49)</f>
        <v>2830</v>
      </c>
      <c r="P1" s="24" t="str" cm="1">
        <f t="array" aca="1" ref="P1" ca="1">IFERROR(MID(CELL("filename",$A$1),FIND("]",CELL("filename",$A$1))+1,99),"SXX")&amp;" LABOUR (USAGE + STANDALONE)"</f>
        <v>S17 LABOUR (USAGE + STANDALONE)</v>
      </c>
      <c r="Q1" s="24"/>
      <c r="R1" s="24"/>
      <c r="S1" s="24"/>
      <c r="T1" s="24"/>
      <c r="U1" s="24"/>
      <c r="V1" s="24"/>
      <c r="Y1" s="19">
        <f>SUM(Y3:Y49)</f>
        <v>2520</v>
      </c>
      <c r="AA1" s="27" t="str" cm="1">
        <f t="array" aca="1" ref="AA1" ca="1">IFERROR(MID(CELL("filename",$A$1),FIND("]",CELL("filename",$A$1))+1,99),"SXX")&amp;" RENTAL / SERVICE (USAGE + STANDALONE)"</f>
        <v>S17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v>3</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749</v>
      </c>
      <c r="B3" s="3" t="s">
        <v>750</v>
      </c>
      <c r="C3" s="3" t="s">
        <v>751</v>
      </c>
      <c r="E3" t="s">
        <v>803</v>
      </c>
      <c r="F3" t="s">
        <v>804</v>
      </c>
      <c r="G3" t="s">
        <v>744</v>
      </c>
      <c r="H3" t="s">
        <v>9</v>
      </c>
      <c r="I3">
        <v>3</v>
      </c>
      <c r="J3" s="22">
        <v>0</v>
      </c>
      <c r="K3">
        <v>22</v>
      </c>
      <c r="L3" s="8">
        <f t="shared" ref="L3:L49" si="0">IF($G3="","",$I3*(1+IF($J3="",0,$J3)))</f>
        <v>3</v>
      </c>
      <c r="M3" s="8">
        <f t="shared" ref="M3:M49" si="1">IF($G3="","",$L3)</f>
        <v>3</v>
      </c>
      <c r="N3" s="8">
        <f t="shared" ref="N3:N49" si="2">IF($G3="","",IF($K3="","",$M3*$K3))</f>
        <v>66</v>
      </c>
      <c r="P3" t="s">
        <v>811</v>
      </c>
      <c r="Q3" t="s">
        <v>812</v>
      </c>
      <c r="R3" t="s">
        <v>329</v>
      </c>
      <c r="S3" t="s">
        <v>33</v>
      </c>
      <c r="T3">
        <v>32</v>
      </c>
      <c r="U3" s="22">
        <v>0</v>
      </c>
      <c r="V3">
        <v>22.5</v>
      </c>
      <c r="W3" s="8">
        <f>IF($R3="","",$T3*(1+IF($U3="",0,$U3)))</f>
        <v>32</v>
      </c>
      <c r="X3" s="8">
        <f>IF($R3="","",$W3)</f>
        <v>32</v>
      </c>
      <c r="Y3" s="8">
        <f>IF($R3="","",IF($V3="","",$X3*$V3))</f>
        <v>720</v>
      </c>
      <c r="AH3" s="8" t="str">
        <f>IF($AC3="","",$AE3*(1+IF($AF3="",0,$AF3)))</f>
        <v/>
      </c>
      <c r="AI3" s="8" t="str">
        <f>IF($AC3="","",$AH3)</f>
        <v/>
      </c>
      <c r="AJ3" s="8" t="str">
        <f>IF($AC3="","",IF($AG3="","",$AI3*$AG3))</f>
        <v/>
      </c>
    </row>
    <row r="4" spans="1:37" x14ac:dyDescent="0.25">
      <c r="A4" s="3" t="s">
        <v>752</v>
      </c>
      <c r="B4" s="3" t="s">
        <v>753</v>
      </c>
      <c r="C4" s="3" t="s">
        <v>754</v>
      </c>
      <c r="E4" t="s">
        <v>803</v>
      </c>
      <c r="F4" t="s">
        <v>804</v>
      </c>
      <c r="G4" t="s">
        <v>745</v>
      </c>
      <c r="H4" t="s">
        <v>11</v>
      </c>
      <c r="I4">
        <v>0.02</v>
      </c>
      <c r="J4" s="22">
        <v>0</v>
      </c>
      <c r="K4">
        <v>850</v>
      </c>
      <c r="L4" s="8">
        <f t="shared" si="0"/>
        <v>0.02</v>
      </c>
      <c r="M4" s="8">
        <f t="shared" si="1"/>
        <v>0.02</v>
      </c>
      <c r="N4" s="8">
        <f t="shared" si="2"/>
        <v>17</v>
      </c>
      <c r="P4" t="s">
        <v>813</v>
      </c>
      <c r="Q4" t="s">
        <v>812</v>
      </c>
      <c r="R4" t="s">
        <v>330</v>
      </c>
      <c r="S4" t="s">
        <v>33</v>
      </c>
      <c r="T4">
        <v>80</v>
      </c>
      <c r="U4" s="22">
        <v>0</v>
      </c>
      <c r="V4">
        <v>22.5</v>
      </c>
      <c r="W4" s="8">
        <f t="shared" ref="W4:W49" si="3">IF($R4="","",$T4*(1+IF($U4="",0,$U4)))</f>
        <v>80</v>
      </c>
      <c r="X4" s="8">
        <f t="shared" ref="X4:X49" si="4">IF($R4="","",$W4)</f>
        <v>80</v>
      </c>
      <c r="Y4" s="8">
        <f t="shared" ref="Y4:Y49" si="5">IF($R4="","",IF($V4="","",$X4*$V4))</f>
        <v>1800</v>
      </c>
      <c r="AH4" s="8" t="str">
        <f t="shared" ref="AH4:AH49" si="6">IF($AC4="","",$AE4*(1+IF($AF4="",0,$AF4)))</f>
        <v/>
      </c>
      <c r="AI4" s="8" t="str">
        <f t="shared" ref="AI4:AI49" si="7">IF($AC4="","",$AH4)</f>
        <v/>
      </c>
      <c r="AJ4" s="8" t="str">
        <f t="shared" ref="AJ4:AJ49" si="8">IF($AC4="","",IF($AG4="","",$AI4*$AG4))</f>
        <v/>
      </c>
    </row>
    <row r="5" spans="1:37" x14ac:dyDescent="0.25">
      <c r="A5" s="3" t="s">
        <v>755</v>
      </c>
      <c r="B5" s="3" t="s">
        <v>607</v>
      </c>
      <c r="C5" s="3" t="s">
        <v>756</v>
      </c>
      <c r="E5" t="s">
        <v>803</v>
      </c>
      <c r="F5" t="s">
        <v>804</v>
      </c>
      <c r="G5" t="s">
        <v>746</v>
      </c>
      <c r="H5" t="s">
        <v>11</v>
      </c>
      <c r="I5">
        <v>0.04</v>
      </c>
      <c r="J5" s="22">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757</v>
      </c>
      <c r="B6" s="3" t="s">
        <v>609</v>
      </c>
      <c r="C6" s="3" t="s">
        <v>610</v>
      </c>
      <c r="E6" t="s">
        <v>805</v>
      </c>
      <c r="F6" t="s">
        <v>806</v>
      </c>
      <c r="G6" t="s">
        <v>744</v>
      </c>
      <c r="H6" t="s">
        <v>9</v>
      </c>
      <c r="I6">
        <v>26</v>
      </c>
      <c r="J6">
        <v>0</v>
      </c>
      <c r="K6">
        <v>22</v>
      </c>
      <c r="L6" s="8">
        <f t="shared" si="0"/>
        <v>26</v>
      </c>
      <c r="M6" s="8">
        <f t="shared" si="1"/>
        <v>26</v>
      </c>
      <c r="N6" s="8">
        <f t="shared" si="2"/>
        <v>572</v>
      </c>
      <c r="W6" s="8" t="str">
        <f t="shared" si="3"/>
        <v/>
      </c>
      <c r="X6" s="8" t="str">
        <f t="shared" si="4"/>
        <v/>
      </c>
      <c r="Y6" s="8" t="str">
        <f t="shared" si="5"/>
        <v/>
      </c>
      <c r="AH6" s="8" t="str">
        <f t="shared" si="6"/>
        <v/>
      </c>
      <c r="AI6" s="8" t="str">
        <f t="shared" si="7"/>
        <v/>
      </c>
      <c r="AJ6" s="8" t="str">
        <f t="shared" si="8"/>
        <v/>
      </c>
    </row>
    <row r="7" spans="1:37" x14ac:dyDescent="0.25">
      <c r="A7" s="3" t="s">
        <v>757</v>
      </c>
      <c r="B7" s="3" t="s">
        <v>611</v>
      </c>
      <c r="C7" s="3" t="s">
        <v>612</v>
      </c>
      <c r="E7" t="s">
        <v>805</v>
      </c>
      <c r="F7" t="s">
        <v>806</v>
      </c>
      <c r="G7" t="s">
        <v>745</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757</v>
      </c>
      <c r="B8" s="3" t="s">
        <v>613</v>
      </c>
      <c r="C8" s="3" t="s">
        <v>614</v>
      </c>
      <c r="E8" t="s">
        <v>805</v>
      </c>
      <c r="F8" t="s">
        <v>806</v>
      </c>
      <c r="G8" t="s">
        <v>746</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757</v>
      </c>
      <c r="B9" s="3" t="s">
        <v>359</v>
      </c>
      <c r="C9" s="3" t="s">
        <v>615</v>
      </c>
      <c r="E9" t="s">
        <v>729</v>
      </c>
      <c r="F9" t="s">
        <v>807</v>
      </c>
      <c r="G9" t="s">
        <v>671</v>
      </c>
      <c r="H9" t="s">
        <v>672</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757</v>
      </c>
      <c r="B10" s="3" t="s">
        <v>360</v>
      </c>
      <c r="C10" s="3" t="s">
        <v>616</v>
      </c>
      <c r="E10" t="s">
        <v>730</v>
      </c>
      <c r="F10" t="s">
        <v>807</v>
      </c>
      <c r="G10" t="s">
        <v>673</v>
      </c>
      <c r="H10" t="s">
        <v>672</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757</v>
      </c>
      <c r="B11" s="3" t="s">
        <v>617</v>
      </c>
      <c r="C11" s="3" t="s">
        <v>618</v>
      </c>
      <c r="E11" t="s">
        <v>731</v>
      </c>
      <c r="F11" t="s">
        <v>808</v>
      </c>
      <c r="G11" t="s">
        <v>675</v>
      </c>
      <c r="H11" t="s">
        <v>676</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757</v>
      </c>
      <c r="B12" s="3" t="s">
        <v>619</v>
      </c>
      <c r="C12" s="3" t="s">
        <v>620</v>
      </c>
      <c r="E12" t="s">
        <v>732</v>
      </c>
      <c r="F12" t="s">
        <v>808</v>
      </c>
      <c r="G12" t="s">
        <v>733</v>
      </c>
      <c r="H12" t="s">
        <v>734</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757</v>
      </c>
      <c r="B13" s="3" t="s">
        <v>621</v>
      </c>
      <c r="C13" s="3" t="s">
        <v>622</v>
      </c>
      <c r="E13" t="s">
        <v>809</v>
      </c>
      <c r="F13" t="s">
        <v>810</v>
      </c>
      <c r="G13" t="s">
        <v>725</v>
      </c>
      <c r="H13" t="s">
        <v>726</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757</v>
      </c>
      <c r="B14" s="3" t="s">
        <v>623</v>
      </c>
      <c r="C14" s="3" t="s">
        <v>624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757</v>
      </c>
      <c r="B15" s="3" t="s">
        <v>716</v>
      </c>
      <c r="C15" s="3" t="s">
        <v>717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757</v>
      </c>
      <c r="B16" s="3" t="s">
        <v>758</v>
      </c>
      <c r="C16" s="3" t="s">
        <v>759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760</v>
      </c>
      <c r="B17" s="3" t="s">
        <v>625</v>
      </c>
      <c r="C17" s="3" t="s">
        <v>761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760</v>
      </c>
      <c r="B18" s="3" t="s">
        <v>627</v>
      </c>
      <c r="C18" s="3" t="s">
        <v>762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760</v>
      </c>
      <c r="B19" s="3" t="s">
        <v>629</v>
      </c>
      <c r="C19" s="3" t="s">
        <v>630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760</v>
      </c>
      <c r="B20" s="3" t="s">
        <v>631</v>
      </c>
      <c r="C20" s="3" t="s">
        <v>763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760</v>
      </c>
      <c r="B21" s="3" t="s">
        <v>633</v>
      </c>
      <c r="C21" s="3" t="s">
        <v>764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757</v>
      </c>
      <c r="B22" s="3" t="s">
        <v>635</v>
      </c>
      <c r="C22" s="3" t="s">
        <v>636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760</v>
      </c>
      <c r="B23" s="3" t="s">
        <v>718</v>
      </c>
      <c r="C23" s="3" t="s">
        <v>719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760</v>
      </c>
      <c r="B24" s="3" t="s">
        <v>637</v>
      </c>
      <c r="C24" s="3" t="s">
        <v>765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760</v>
      </c>
      <c r="B25" s="3" t="s">
        <v>639</v>
      </c>
      <c r="C25" s="3" t="s">
        <v>766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760</v>
      </c>
      <c r="B26" s="3" t="s">
        <v>576</v>
      </c>
      <c r="C26" s="3" t="s">
        <v>767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760</v>
      </c>
      <c r="B27" s="3" t="s">
        <v>688</v>
      </c>
      <c r="C27" s="3" t="s">
        <v>768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760</v>
      </c>
      <c r="B28" s="3" t="s">
        <v>689</v>
      </c>
      <c r="C28" s="3" t="s">
        <v>769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760</v>
      </c>
      <c r="B29" s="3" t="s">
        <v>770</v>
      </c>
      <c r="C29" s="3" t="s">
        <v>685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760</v>
      </c>
      <c r="B30" s="3" t="s">
        <v>771</v>
      </c>
      <c r="C30" s="3" t="s">
        <v>772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757</v>
      </c>
      <c r="B31" s="3" t="s">
        <v>773</v>
      </c>
      <c r="C31" s="3" t="s">
        <v>774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757</v>
      </c>
      <c r="B32" s="3" t="s">
        <v>775</v>
      </c>
      <c r="C32" s="3" t="s">
        <v>776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777</v>
      </c>
      <c r="B33" s="3" t="s">
        <v>690</v>
      </c>
      <c r="C33" s="3" t="s">
        <v>691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777</v>
      </c>
      <c r="B34" s="3" t="s">
        <v>778</v>
      </c>
      <c r="C34" s="3" t="s">
        <v>737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777</v>
      </c>
      <c r="B35" s="3" t="s">
        <v>694</v>
      </c>
      <c r="C35" s="3" t="s">
        <v>738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757</v>
      </c>
      <c r="B36" s="3" t="s">
        <v>692</v>
      </c>
      <c r="C36" s="3" t="s">
        <v>779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757</v>
      </c>
      <c r="B37" s="3" t="s">
        <v>780</v>
      </c>
      <c r="C37" s="3" t="s">
        <v>781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757</v>
      </c>
      <c r="B38" s="3" t="s">
        <v>695</v>
      </c>
      <c r="C38" s="3" t="s">
        <v>782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777</v>
      </c>
      <c r="B39" s="3" t="s">
        <v>645</v>
      </c>
      <c r="C39" s="3" t="s">
        <v>783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777</v>
      </c>
      <c r="B40" s="3" t="s">
        <v>646</v>
      </c>
      <c r="C40" s="3" t="s">
        <v>784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777</v>
      </c>
      <c r="B41" s="3" t="s">
        <v>647</v>
      </c>
      <c r="C41" s="3" t="s">
        <v>785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777</v>
      </c>
      <c r="B42" s="3" t="s">
        <v>786</v>
      </c>
      <c r="C42" s="3" t="s">
        <v>787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760</v>
      </c>
      <c r="B43" s="3" t="s">
        <v>648</v>
      </c>
      <c r="C43" s="3" t="s">
        <v>788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760</v>
      </c>
      <c r="B44" s="3" t="s">
        <v>650</v>
      </c>
      <c r="C44" s="3" t="s">
        <v>789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760</v>
      </c>
      <c r="B45" s="3" t="s">
        <v>652</v>
      </c>
      <c r="C45" s="3" t="s">
        <v>790</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760</v>
      </c>
      <c r="B46" s="3" t="s">
        <v>654</v>
      </c>
      <c r="C46" s="3" t="s">
        <v>791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760</v>
      </c>
      <c r="B47" s="3" t="s">
        <v>656</v>
      </c>
      <c r="C47" s="3" t="s">
        <v>792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757</v>
      </c>
      <c r="B48" s="3" t="s">
        <v>658</v>
      </c>
      <c r="C48" s="3" t="s">
        <v>793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777</v>
      </c>
      <c r="B49" s="3" t="s">
        <v>711</v>
      </c>
      <c r="C49" s="3" t="s">
        <v>712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760</v>
      </c>
      <c r="B50" s="3" t="s">
        <v>713</v>
      </c>
      <c r="C50" s="3" t="s">
        <v>794</v>
      </c>
    </row>
    <row r="51" spans="1:36" x14ac:dyDescent="0.25">
      <c r="A51" s="3" t="s">
        <v>795</v>
      </c>
      <c r="B51" s="3" t="s">
        <v>590</v>
      </c>
      <c r="C51" s="3" t="s">
        <v>460</v>
      </c>
    </row>
    <row r="52" spans="1:36" x14ac:dyDescent="0.25">
      <c r="A52" s="3" t="s">
        <v>795</v>
      </c>
      <c r="B52" s="3" t="s">
        <v>591</v>
      </c>
      <c r="C52" s="3" t="s">
        <v>461</v>
      </c>
    </row>
    <row r="53" spans="1:36" x14ac:dyDescent="0.25">
      <c r="A53" s="3" t="s">
        <v>760</v>
      </c>
      <c r="B53" s="3" t="s">
        <v>592</v>
      </c>
      <c r="C53" s="3" t="s">
        <v>796</v>
      </c>
    </row>
    <row r="54" spans="1:36" x14ac:dyDescent="0.25">
      <c r="A54" s="3" t="s">
        <v>757</v>
      </c>
      <c r="B54" s="3" t="s">
        <v>698</v>
      </c>
      <c r="C54" s="3" t="s">
        <v>797</v>
      </c>
    </row>
    <row r="55" spans="1:36" x14ac:dyDescent="0.25">
      <c r="A55" s="3" t="s">
        <v>760</v>
      </c>
      <c r="B55" s="3" t="s">
        <v>699</v>
      </c>
      <c r="C55" s="3" t="s">
        <v>798</v>
      </c>
    </row>
    <row r="56" spans="1:36" x14ac:dyDescent="0.25">
      <c r="A56" s="3" t="s">
        <v>760</v>
      </c>
      <c r="B56" s="3" t="s">
        <v>596</v>
      </c>
      <c r="C56" s="3" t="s">
        <v>799</v>
      </c>
    </row>
    <row r="57" spans="1:36" x14ac:dyDescent="0.25">
      <c r="A57" s="3" t="s">
        <v>760</v>
      </c>
      <c r="B57" s="3" t="s">
        <v>373</v>
      </c>
      <c r="C57" s="3" t="s">
        <v>800</v>
      </c>
    </row>
    <row r="58" spans="1:36" x14ac:dyDescent="0.25">
      <c r="A58" s="3" t="s">
        <v>801</v>
      </c>
      <c r="B58" s="3" t="s">
        <v>598</v>
      </c>
      <c r="C58" s="3" t="s">
        <v>802</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D1D6-3577-497F-BFCD-37DC30A20610}">
  <sheetPr codeName="Sheet7"/>
  <dimension ref="A1:G49"/>
  <sheetViews>
    <sheetView workbookViewId="0"/>
  </sheetViews>
  <sheetFormatPr defaultRowHeight="15" x14ac:dyDescent="0.25"/>
  <sheetData>
    <row r="1" spans="1:7" x14ac:dyDescent="0.25">
      <c r="A1" t="s">
        <v>24</v>
      </c>
      <c r="C1" t="str">
        <f>_xlfn.LET(_xlpm.v,IFERROR(--C$3:C$49,0),IF(SUMPRODUCT(--(_xlpm.v&lt;&gt;0))=0,"",SUM(_xlpm.v)))</f>
        <v/>
      </c>
      <c r="D1" t="str">
        <f>_xlfn.LET(_xlpm.v,IFERROR(--D$3:D$49,0),IF(SUMPRODUCT(--(_xlpm.v&lt;&gt;0))=0,"",SUM(_xlpm.v)))</f>
        <v/>
      </c>
      <c r="E1" t="str">
        <f>_xlfn.LET(_xlpm.v,IFERROR(--E$3:E$49,0),IF(SUMPRODUCT(--(_xlpm.v&lt;&gt;0))=0,"",SUM(_xlpm.v)))</f>
        <v/>
      </c>
      <c r="F1" t="str">
        <f>_xlfn.LET(_xlpm.v,IFERROR(--F$3:F$49,0),IF(SUMPRODUCT(--(_xlpm.v&lt;&gt;0))=0,"",SUM(_xlpm.v)))</f>
        <v/>
      </c>
      <c r="G1" t="str">
        <f>_xlfn.LET(_xlpm.v,IFERROR(--G$3:G$49,0),IF(SUMPRODUCT(--(_xlpm.v&lt;&gt;0))=0,"",SUM(_xlpm.v)))</f>
        <v/>
      </c>
    </row>
    <row r="2" spans="1:7" x14ac:dyDescent="0.25">
      <c r="A2" t="s">
        <v>18</v>
      </c>
      <c r="B2" t="s">
        <v>6</v>
      </c>
      <c r="C2" t="s">
        <v>19</v>
      </c>
      <c r="D2" t="s">
        <v>20</v>
      </c>
      <c r="E2" t="s">
        <v>21</v>
      </c>
      <c r="F2" t="s">
        <v>25</v>
      </c>
      <c r="G2" t="s">
        <v>26</v>
      </c>
    </row>
    <row r="3" spans="1:7" x14ac:dyDescent="0.25">
      <c r="A3">
        <v>1</v>
      </c>
      <c r="B3" t="str">
        <f t="shared" ref="B3:B49" si="0">IF($A3=1,"S"&amp;TEXT(ROW()-2,"00"),"")</f>
        <v>S01</v>
      </c>
      <c r="C3">
        <f t="shared" ref="C3:C49" ca="1" si="1">_xlfn.LET(_xlpm.sh,IFERROR(MID($B3,SEARCH("S",$B3),3),$B3),IF($B3="","",IFERROR(SUMIFS(INDIRECT("'"&amp;_xlpm.sh&amp;"'!N3:N300"),INDIRECT("'"&amp;_xlpm.sh&amp;"'!F3:F300"),"&lt;&gt;",INDIRECT("'"&amp;_xlpm.sh&amp;"'!H3:H300"),"&lt;&gt;"),0)))</f>
        <v>149</v>
      </c>
      <c r="D3">
        <f t="shared" ref="D3:D49" ca="1" si="2">_xlfn.LET(_xlpm.sh,IFERROR(MID($B3,SEARCH("S",$B3),3),$B3),IF($B3="","",IFERROR(SUMIFS(INDIRECT("'"&amp;_xlpm.sh&amp;"'!Y3:Y300"),INDIRECT("'"&amp;_xlpm.sh&amp;"'!Q3:Q300"),"&lt;&gt;",INDIRECT("'"&amp;_xlpm.sh&amp;"'!S3:S300"),"&lt;&gt;"),0)))</f>
        <v>315</v>
      </c>
      <c r="E3">
        <f t="shared" ref="E3:E49" ca="1" si="3">_xlfn.LET(_xlpm.sh,IFERROR(MID($B3,SEARCH("S",$B3),3),$B3),IF($B3="","",IFERROR(SUMIFS(INDIRECT("'"&amp;_xlpm.sh&amp;"'!AJ3:AJ300"),INDIRECT("'"&amp;_xlpm.sh&amp;"'!AB3:AB300"),"&lt;&gt;",INDIRECT("'"&amp;_xlpm.sh&amp;"'!AD3:AD300"),"&lt;&gt;"),0)))</f>
        <v>3800</v>
      </c>
      <c r="F3">
        <f t="shared" ref="F3:F49" ca="1" si="4">IF($B3="","",C3+D3+E3)</f>
        <v>4264</v>
      </c>
      <c r="G3">
        <f t="shared" ref="G3:G49" ca="1" si="5">IF($A3=1,$F3,0)</f>
        <v>4264</v>
      </c>
    </row>
    <row r="4" spans="1:7" x14ac:dyDescent="0.25">
      <c r="A4">
        <v>1</v>
      </c>
      <c r="B4" t="str">
        <f t="shared" si="0"/>
        <v>S02</v>
      </c>
      <c r="C4">
        <f t="shared" ca="1" si="1"/>
        <v>0</v>
      </c>
      <c r="D4">
        <f t="shared" ca="1" si="2"/>
        <v>0</v>
      </c>
      <c r="E4">
        <f t="shared" ca="1" si="3"/>
        <v>0</v>
      </c>
      <c r="F4">
        <f t="shared" ca="1" si="4"/>
        <v>0</v>
      </c>
      <c r="G4">
        <f t="shared" ca="1" si="5"/>
        <v>0</v>
      </c>
    </row>
    <row r="5" spans="1:7" x14ac:dyDescent="0.25">
      <c r="A5">
        <v>1</v>
      </c>
      <c r="B5" t="str">
        <f t="shared" si="0"/>
        <v>S03</v>
      </c>
      <c r="C5">
        <f t="shared" ca="1" si="1"/>
        <v>0</v>
      </c>
      <c r="D5">
        <f t="shared" ca="1" si="2"/>
        <v>2250</v>
      </c>
      <c r="E5">
        <f t="shared" ca="1" si="3"/>
        <v>0</v>
      </c>
      <c r="F5">
        <f t="shared" ca="1" si="4"/>
        <v>2250</v>
      </c>
      <c r="G5">
        <f t="shared" ca="1" si="5"/>
        <v>2250</v>
      </c>
    </row>
    <row r="6" spans="1:7" x14ac:dyDescent="0.25">
      <c r="B6" t="str">
        <f t="shared" si="0"/>
        <v/>
      </c>
      <c r="C6" t="str">
        <f t="shared" ca="1" si="1"/>
        <v/>
      </c>
      <c r="D6" t="str">
        <f t="shared" ca="1" si="2"/>
        <v/>
      </c>
      <c r="E6" t="str">
        <f t="shared" ca="1" si="3"/>
        <v/>
      </c>
      <c r="F6" t="str">
        <f t="shared" si="4"/>
        <v/>
      </c>
      <c r="G6">
        <f t="shared" si="5"/>
        <v>0</v>
      </c>
    </row>
    <row r="7" spans="1:7" x14ac:dyDescent="0.25">
      <c r="B7" t="str">
        <f t="shared" si="0"/>
        <v/>
      </c>
      <c r="C7" t="str">
        <f t="shared" ca="1" si="1"/>
        <v/>
      </c>
      <c r="D7" t="str">
        <f t="shared" ca="1" si="2"/>
        <v/>
      </c>
      <c r="E7" t="str">
        <f t="shared" ca="1" si="3"/>
        <v/>
      </c>
      <c r="F7" t="str">
        <f t="shared" si="4"/>
        <v/>
      </c>
      <c r="G7">
        <f t="shared" si="5"/>
        <v>0</v>
      </c>
    </row>
    <row r="8" spans="1:7" x14ac:dyDescent="0.25">
      <c r="B8" t="str">
        <f t="shared" si="0"/>
        <v/>
      </c>
      <c r="C8" t="str">
        <f t="shared" ca="1" si="1"/>
        <v/>
      </c>
      <c r="D8" t="str">
        <f t="shared" ca="1" si="2"/>
        <v/>
      </c>
      <c r="E8" t="str">
        <f t="shared" ca="1" si="3"/>
        <v/>
      </c>
      <c r="F8" t="str">
        <f t="shared" si="4"/>
        <v/>
      </c>
      <c r="G8">
        <f t="shared" si="5"/>
        <v>0</v>
      </c>
    </row>
    <row r="9" spans="1:7" x14ac:dyDescent="0.25">
      <c r="B9" t="str">
        <f t="shared" si="0"/>
        <v/>
      </c>
      <c r="C9" t="str">
        <f t="shared" ca="1" si="1"/>
        <v/>
      </c>
      <c r="D9" t="str">
        <f t="shared" ca="1" si="2"/>
        <v/>
      </c>
      <c r="E9" t="str">
        <f t="shared" ca="1" si="3"/>
        <v/>
      </c>
      <c r="F9" t="str">
        <f t="shared" si="4"/>
        <v/>
      </c>
      <c r="G9">
        <f t="shared" si="5"/>
        <v>0</v>
      </c>
    </row>
    <row r="10" spans="1:7" x14ac:dyDescent="0.25">
      <c r="B10" t="str">
        <f t="shared" si="0"/>
        <v/>
      </c>
      <c r="C10" t="str">
        <f t="shared" ca="1" si="1"/>
        <v/>
      </c>
      <c r="D10" t="str">
        <f t="shared" ca="1" si="2"/>
        <v/>
      </c>
      <c r="E10" t="str">
        <f t="shared" ca="1" si="3"/>
        <v/>
      </c>
      <c r="F10" t="str">
        <f t="shared" si="4"/>
        <v/>
      </c>
      <c r="G10">
        <f t="shared" si="5"/>
        <v>0</v>
      </c>
    </row>
    <row r="11" spans="1:7" x14ac:dyDescent="0.25">
      <c r="B11" t="str">
        <f t="shared" si="0"/>
        <v/>
      </c>
      <c r="C11" t="str">
        <f t="shared" ca="1" si="1"/>
        <v/>
      </c>
      <c r="D11" t="str">
        <f t="shared" ca="1" si="2"/>
        <v/>
      </c>
      <c r="E11" t="str">
        <f t="shared" ca="1" si="3"/>
        <v/>
      </c>
      <c r="F11" t="str">
        <f t="shared" si="4"/>
        <v/>
      </c>
      <c r="G11">
        <f t="shared" si="5"/>
        <v>0</v>
      </c>
    </row>
    <row r="12" spans="1:7" x14ac:dyDescent="0.25">
      <c r="B12" t="str">
        <f t="shared" si="0"/>
        <v/>
      </c>
      <c r="C12" t="str">
        <f t="shared" ca="1" si="1"/>
        <v/>
      </c>
      <c r="D12" t="str">
        <f t="shared" ca="1" si="2"/>
        <v/>
      </c>
      <c r="E12" t="str">
        <f t="shared" ca="1" si="3"/>
        <v/>
      </c>
      <c r="F12" t="str">
        <f t="shared" si="4"/>
        <v/>
      </c>
      <c r="G12">
        <f t="shared" si="5"/>
        <v>0</v>
      </c>
    </row>
    <row r="13" spans="1:7" x14ac:dyDescent="0.25">
      <c r="B13" t="str">
        <f t="shared" si="0"/>
        <v/>
      </c>
      <c r="C13" t="str">
        <f t="shared" ca="1" si="1"/>
        <v/>
      </c>
      <c r="D13" t="str">
        <f t="shared" ca="1" si="2"/>
        <v/>
      </c>
      <c r="E13" t="str">
        <f t="shared" ca="1" si="3"/>
        <v/>
      </c>
      <c r="F13" t="str">
        <f t="shared" si="4"/>
        <v/>
      </c>
      <c r="G13">
        <f t="shared" si="5"/>
        <v>0</v>
      </c>
    </row>
    <row r="14" spans="1:7" x14ac:dyDescent="0.25">
      <c r="B14" t="str">
        <f t="shared" si="0"/>
        <v/>
      </c>
      <c r="C14" t="str">
        <f t="shared" ca="1" si="1"/>
        <v/>
      </c>
      <c r="D14" t="str">
        <f t="shared" ca="1" si="2"/>
        <v/>
      </c>
      <c r="E14" t="str">
        <f t="shared" ca="1" si="3"/>
        <v/>
      </c>
      <c r="F14" t="str">
        <f t="shared" si="4"/>
        <v/>
      </c>
      <c r="G14">
        <f t="shared" si="5"/>
        <v>0</v>
      </c>
    </row>
    <row r="15" spans="1:7" x14ac:dyDescent="0.25">
      <c r="B15" t="str">
        <f t="shared" si="0"/>
        <v/>
      </c>
      <c r="C15" t="str">
        <f t="shared" ca="1" si="1"/>
        <v/>
      </c>
      <c r="D15" t="str">
        <f t="shared" ca="1" si="2"/>
        <v/>
      </c>
      <c r="E15" t="str">
        <f t="shared" ca="1" si="3"/>
        <v/>
      </c>
      <c r="F15" t="str">
        <f t="shared" si="4"/>
        <v/>
      </c>
      <c r="G15">
        <f t="shared" si="5"/>
        <v>0</v>
      </c>
    </row>
    <row r="16" spans="1:7" x14ac:dyDescent="0.25">
      <c r="B16" t="str">
        <f t="shared" si="0"/>
        <v/>
      </c>
      <c r="C16" t="str">
        <f t="shared" ca="1" si="1"/>
        <v/>
      </c>
      <c r="D16" t="str">
        <f t="shared" ca="1" si="2"/>
        <v/>
      </c>
      <c r="E16" t="str">
        <f t="shared" ca="1" si="3"/>
        <v/>
      </c>
      <c r="F16" t="str">
        <f t="shared" si="4"/>
        <v/>
      </c>
      <c r="G16">
        <f t="shared" si="5"/>
        <v>0</v>
      </c>
    </row>
    <row r="17" spans="2:7" x14ac:dyDescent="0.25">
      <c r="B17" t="str">
        <f t="shared" si="0"/>
        <v/>
      </c>
      <c r="C17" t="str">
        <f t="shared" ca="1" si="1"/>
        <v/>
      </c>
      <c r="D17" t="str">
        <f t="shared" ca="1" si="2"/>
        <v/>
      </c>
      <c r="E17" t="str">
        <f t="shared" ca="1" si="3"/>
        <v/>
      </c>
      <c r="F17" t="str">
        <f t="shared" si="4"/>
        <v/>
      </c>
      <c r="G17">
        <f t="shared" si="5"/>
        <v>0</v>
      </c>
    </row>
    <row r="18" spans="2:7" x14ac:dyDescent="0.25">
      <c r="B18" t="str">
        <f t="shared" si="0"/>
        <v/>
      </c>
      <c r="C18" t="str">
        <f t="shared" ca="1" si="1"/>
        <v/>
      </c>
      <c r="D18" t="str">
        <f t="shared" ca="1" si="2"/>
        <v/>
      </c>
      <c r="E18" t="str">
        <f t="shared" ca="1" si="3"/>
        <v/>
      </c>
      <c r="F18" t="str">
        <f t="shared" si="4"/>
        <v/>
      </c>
      <c r="G18">
        <f t="shared" si="5"/>
        <v>0</v>
      </c>
    </row>
    <row r="19" spans="2:7" x14ac:dyDescent="0.25">
      <c r="B19" t="str">
        <f t="shared" si="0"/>
        <v/>
      </c>
      <c r="C19" t="str">
        <f t="shared" ca="1" si="1"/>
        <v/>
      </c>
      <c r="D19" t="str">
        <f t="shared" ca="1" si="2"/>
        <v/>
      </c>
      <c r="E19" t="str">
        <f t="shared" ca="1" si="3"/>
        <v/>
      </c>
      <c r="F19" t="str">
        <f t="shared" si="4"/>
        <v/>
      </c>
      <c r="G19">
        <f t="shared" si="5"/>
        <v>0</v>
      </c>
    </row>
    <row r="20" spans="2:7" x14ac:dyDescent="0.25">
      <c r="B20" t="str">
        <f t="shared" si="0"/>
        <v/>
      </c>
      <c r="C20" t="str">
        <f t="shared" ca="1" si="1"/>
        <v/>
      </c>
      <c r="D20" t="str">
        <f t="shared" ca="1" si="2"/>
        <v/>
      </c>
      <c r="E20" t="str">
        <f t="shared" ca="1" si="3"/>
        <v/>
      </c>
      <c r="F20" t="str">
        <f t="shared" si="4"/>
        <v/>
      </c>
      <c r="G20">
        <f t="shared" si="5"/>
        <v>0</v>
      </c>
    </row>
    <row r="21" spans="2:7" x14ac:dyDescent="0.25">
      <c r="B21" t="str">
        <f t="shared" si="0"/>
        <v/>
      </c>
      <c r="C21" t="str">
        <f t="shared" ca="1" si="1"/>
        <v/>
      </c>
      <c r="D21" t="str">
        <f t="shared" ca="1" si="2"/>
        <v/>
      </c>
      <c r="E21" t="str">
        <f t="shared" ca="1" si="3"/>
        <v/>
      </c>
      <c r="F21" t="str">
        <f t="shared" si="4"/>
        <v/>
      </c>
      <c r="G21">
        <f t="shared" si="5"/>
        <v>0</v>
      </c>
    </row>
    <row r="22" spans="2:7" x14ac:dyDescent="0.25">
      <c r="B22" t="str">
        <f t="shared" si="0"/>
        <v/>
      </c>
      <c r="C22" t="str">
        <f t="shared" ca="1" si="1"/>
        <v/>
      </c>
      <c r="D22" t="str">
        <f t="shared" ca="1" si="2"/>
        <v/>
      </c>
      <c r="E22" t="str">
        <f t="shared" ca="1" si="3"/>
        <v/>
      </c>
      <c r="F22" t="str">
        <f t="shared" si="4"/>
        <v/>
      </c>
      <c r="G22">
        <f t="shared" si="5"/>
        <v>0</v>
      </c>
    </row>
    <row r="23" spans="2:7" x14ac:dyDescent="0.25">
      <c r="B23" t="str">
        <f t="shared" si="0"/>
        <v/>
      </c>
      <c r="C23" t="str">
        <f t="shared" ca="1" si="1"/>
        <v/>
      </c>
      <c r="D23" t="str">
        <f t="shared" ca="1" si="2"/>
        <v/>
      </c>
      <c r="E23" t="str">
        <f t="shared" ca="1" si="3"/>
        <v/>
      </c>
      <c r="F23" t="str">
        <f t="shared" si="4"/>
        <v/>
      </c>
      <c r="G23">
        <f t="shared" si="5"/>
        <v>0</v>
      </c>
    </row>
    <row r="24" spans="2:7" x14ac:dyDescent="0.25">
      <c r="B24" t="str">
        <f t="shared" si="0"/>
        <v/>
      </c>
      <c r="C24" t="str">
        <f t="shared" ca="1" si="1"/>
        <v/>
      </c>
      <c r="D24" t="str">
        <f t="shared" ca="1" si="2"/>
        <v/>
      </c>
      <c r="E24" t="str">
        <f t="shared" ca="1" si="3"/>
        <v/>
      </c>
      <c r="F24" t="str">
        <f t="shared" si="4"/>
        <v/>
      </c>
      <c r="G24">
        <f t="shared" si="5"/>
        <v>0</v>
      </c>
    </row>
    <row r="25" spans="2:7" x14ac:dyDescent="0.25">
      <c r="B25" t="str">
        <f t="shared" si="0"/>
        <v/>
      </c>
      <c r="C25" t="str">
        <f t="shared" ca="1" si="1"/>
        <v/>
      </c>
      <c r="D25" t="str">
        <f t="shared" ca="1" si="2"/>
        <v/>
      </c>
      <c r="E25" t="str">
        <f t="shared" ca="1" si="3"/>
        <v/>
      </c>
      <c r="F25" t="str">
        <f t="shared" si="4"/>
        <v/>
      </c>
      <c r="G25">
        <f t="shared" si="5"/>
        <v>0</v>
      </c>
    </row>
    <row r="26" spans="2:7" x14ac:dyDescent="0.25">
      <c r="B26" t="str">
        <f t="shared" si="0"/>
        <v/>
      </c>
      <c r="C26" t="str">
        <f t="shared" ca="1" si="1"/>
        <v/>
      </c>
      <c r="D26" t="str">
        <f t="shared" ca="1" si="2"/>
        <v/>
      </c>
      <c r="E26" t="str">
        <f t="shared" ca="1" si="3"/>
        <v/>
      </c>
      <c r="F26" t="str">
        <f t="shared" si="4"/>
        <v/>
      </c>
      <c r="G26">
        <f t="shared" si="5"/>
        <v>0</v>
      </c>
    </row>
    <row r="27" spans="2:7" x14ac:dyDescent="0.25">
      <c r="B27" t="str">
        <f t="shared" si="0"/>
        <v/>
      </c>
      <c r="C27" t="str">
        <f t="shared" ca="1" si="1"/>
        <v/>
      </c>
      <c r="D27" t="str">
        <f t="shared" ca="1" si="2"/>
        <v/>
      </c>
      <c r="E27" t="str">
        <f t="shared" ca="1" si="3"/>
        <v/>
      </c>
      <c r="F27" t="str">
        <f t="shared" si="4"/>
        <v/>
      </c>
      <c r="G27">
        <f t="shared" si="5"/>
        <v>0</v>
      </c>
    </row>
    <row r="28" spans="2:7" x14ac:dyDescent="0.25">
      <c r="B28" t="str">
        <f t="shared" si="0"/>
        <v/>
      </c>
      <c r="C28" t="str">
        <f t="shared" ca="1" si="1"/>
        <v/>
      </c>
      <c r="D28" t="str">
        <f t="shared" ca="1" si="2"/>
        <v/>
      </c>
      <c r="E28" t="str">
        <f t="shared" ca="1" si="3"/>
        <v/>
      </c>
      <c r="F28" t="str">
        <f t="shared" si="4"/>
        <v/>
      </c>
      <c r="G28">
        <f t="shared" si="5"/>
        <v>0</v>
      </c>
    </row>
    <row r="29" spans="2:7" x14ac:dyDescent="0.25">
      <c r="B29" t="str">
        <f t="shared" si="0"/>
        <v/>
      </c>
      <c r="C29" t="str">
        <f t="shared" ca="1" si="1"/>
        <v/>
      </c>
      <c r="D29" t="str">
        <f t="shared" ca="1" si="2"/>
        <v/>
      </c>
      <c r="E29" t="str">
        <f t="shared" ca="1" si="3"/>
        <v/>
      </c>
      <c r="F29" t="str">
        <f t="shared" si="4"/>
        <v/>
      </c>
      <c r="G29">
        <f t="shared" si="5"/>
        <v>0</v>
      </c>
    </row>
    <row r="30" spans="2:7" x14ac:dyDescent="0.25">
      <c r="B30" t="str">
        <f t="shared" si="0"/>
        <v/>
      </c>
      <c r="C30" t="str">
        <f t="shared" ca="1" si="1"/>
        <v/>
      </c>
      <c r="D30" t="str">
        <f t="shared" ca="1" si="2"/>
        <v/>
      </c>
      <c r="E30" t="str">
        <f t="shared" ca="1" si="3"/>
        <v/>
      </c>
      <c r="F30" t="str">
        <f t="shared" si="4"/>
        <v/>
      </c>
      <c r="G30">
        <f t="shared" si="5"/>
        <v>0</v>
      </c>
    </row>
    <row r="31" spans="2:7" x14ac:dyDescent="0.25">
      <c r="B31" t="str">
        <f t="shared" si="0"/>
        <v/>
      </c>
      <c r="C31" t="str">
        <f t="shared" ca="1" si="1"/>
        <v/>
      </c>
      <c r="D31" t="str">
        <f t="shared" ca="1" si="2"/>
        <v/>
      </c>
      <c r="E31" t="str">
        <f t="shared" ca="1" si="3"/>
        <v/>
      </c>
      <c r="F31" t="str">
        <f t="shared" si="4"/>
        <v/>
      </c>
      <c r="G31">
        <f t="shared" si="5"/>
        <v>0</v>
      </c>
    </row>
    <row r="32" spans="2:7" x14ac:dyDescent="0.25">
      <c r="B32" t="str">
        <f t="shared" si="0"/>
        <v/>
      </c>
      <c r="C32" t="str">
        <f t="shared" ca="1" si="1"/>
        <v/>
      </c>
      <c r="D32" t="str">
        <f t="shared" ca="1" si="2"/>
        <v/>
      </c>
      <c r="E32" t="str">
        <f t="shared" ca="1" si="3"/>
        <v/>
      </c>
      <c r="F32" t="str">
        <f t="shared" si="4"/>
        <v/>
      </c>
      <c r="G32">
        <f t="shared" si="5"/>
        <v>0</v>
      </c>
    </row>
    <row r="33" spans="2:7" x14ac:dyDescent="0.25">
      <c r="B33" t="str">
        <f t="shared" si="0"/>
        <v/>
      </c>
      <c r="C33" t="str">
        <f t="shared" ca="1" si="1"/>
        <v/>
      </c>
      <c r="D33" t="str">
        <f t="shared" ca="1" si="2"/>
        <v/>
      </c>
      <c r="E33" t="str">
        <f t="shared" ca="1" si="3"/>
        <v/>
      </c>
      <c r="F33" t="str">
        <f t="shared" si="4"/>
        <v/>
      </c>
      <c r="G33">
        <f t="shared" si="5"/>
        <v>0</v>
      </c>
    </row>
    <row r="34" spans="2:7" x14ac:dyDescent="0.25">
      <c r="B34" t="str">
        <f t="shared" si="0"/>
        <v/>
      </c>
      <c r="C34" t="str">
        <f t="shared" ca="1" si="1"/>
        <v/>
      </c>
      <c r="D34" t="str">
        <f t="shared" ca="1" si="2"/>
        <v/>
      </c>
      <c r="E34" t="str">
        <f t="shared" ca="1" si="3"/>
        <v/>
      </c>
      <c r="F34" t="str">
        <f t="shared" si="4"/>
        <v/>
      </c>
      <c r="G34">
        <f t="shared" si="5"/>
        <v>0</v>
      </c>
    </row>
    <row r="35" spans="2:7" x14ac:dyDescent="0.25">
      <c r="B35" t="str">
        <f t="shared" si="0"/>
        <v/>
      </c>
      <c r="C35" t="str">
        <f t="shared" ca="1" si="1"/>
        <v/>
      </c>
      <c r="D35" t="str">
        <f t="shared" ca="1" si="2"/>
        <v/>
      </c>
      <c r="E35" t="str">
        <f t="shared" ca="1" si="3"/>
        <v/>
      </c>
      <c r="F35" t="str">
        <f t="shared" si="4"/>
        <v/>
      </c>
      <c r="G35">
        <f t="shared" si="5"/>
        <v>0</v>
      </c>
    </row>
    <row r="36" spans="2:7" x14ac:dyDescent="0.25">
      <c r="B36" t="str">
        <f t="shared" si="0"/>
        <v/>
      </c>
      <c r="C36" t="str">
        <f t="shared" ca="1" si="1"/>
        <v/>
      </c>
      <c r="D36" t="str">
        <f t="shared" ca="1" si="2"/>
        <v/>
      </c>
      <c r="E36" t="str">
        <f t="shared" ca="1" si="3"/>
        <v/>
      </c>
      <c r="F36" t="str">
        <f t="shared" si="4"/>
        <v/>
      </c>
      <c r="G36">
        <f t="shared" si="5"/>
        <v>0</v>
      </c>
    </row>
    <row r="37" spans="2:7" x14ac:dyDescent="0.25">
      <c r="B37" t="str">
        <f t="shared" si="0"/>
        <v/>
      </c>
      <c r="C37" t="str">
        <f t="shared" ca="1" si="1"/>
        <v/>
      </c>
      <c r="D37" t="str">
        <f t="shared" ca="1" si="2"/>
        <v/>
      </c>
      <c r="E37" t="str">
        <f t="shared" ca="1" si="3"/>
        <v/>
      </c>
      <c r="F37" t="str">
        <f t="shared" si="4"/>
        <v/>
      </c>
      <c r="G37">
        <f t="shared" si="5"/>
        <v>0</v>
      </c>
    </row>
    <row r="38" spans="2:7" x14ac:dyDescent="0.25">
      <c r="B38" t="str">
        <f t="shared" si="0"/>
        <v/>
      </c>
      <c r="C38" t="str">
        <f t="shared" ca="1" si="1"/>
        <v/>
      </c>
      <c r="D38" t="str">
        <f t="shared" ca="1" si="2"/>
        <v/>
      </c>
      <c r="E38" t="str">
        <f t="shared" ca="1" si="3"/>
        <v/>
      </c>
      <c r="F38" t="str">
        <f t="shared" si="4"/>
        <v/>
      </c>
      <c r="G38">
        <f t="shared" si="5"/>
        <v>0</v>
      </c>
    </row>
    <row r="39" spans="2:7" x14ac:dyDescent="0.25">
      <c r="B39" t="str">
        <f t="shared" si="0"/>
        <v/>
      </c>
      <c r="C39" t="str">
        <f t="shared" ca="1" si="1"/>
        <v/>
      </c>
      <c r="D39" t="str">
        <f t="shared" ca="1" si="2"/>
        <v/>
      </c>
      <c r="E39" t="str">
        <f t="shared" ca="1" si="3"/>
        <v/>
      </c>
      <c r="F39" t="str">
        <f t="shared" si="4"/>
        <v/>
      </c>
      <c r="G39">
        <f t="shared" si="5"/>
        <v>0</v>
      </c>
    </row>
    <row r="40" spans="2:7" x14ac:dyDescent="0.25">
      <c r="B40" t="str">
        <f t="shared" si="0"/>
        <v/>
      </c>
      <c r="C40" t="str">
        <f t="shared" ca="1" si="1"/>
        <v/>
      </c>
      <c r="D40" t="str">
        <f t="shared" ca="1" si="2"/>
        <v/>
      </c>
      <c r="E40" t="str">
        <f t="shared" ca="1" si="3"/>
        <v/>
      </c>
      <c r="F40" t="str">
        <f t="shared" si="4"/>
        <v/>
      </c>
      <c r="G40">
        <f t="shared" si="5"/>
        <v>0</v>
      </c>
    </row>
    <row r="41" spans="2:7" x14ac:dyDescent="0.25">
      <c r="B41" t="str">
        <f t="shared" si="0"/>
        <v/>
      </c>
      <c r="C41" t="str">
        <f t="shared" ca="1" si="1"/>
        <v/>
      </c>
      <c r="D41" t="str">
        <f t="shared" ca="1" si="2"/>
        <v/>
      </c>
      <c r="E41" t="str">
        <f t="shared" ca="1" si="3"/>
        <v/>
      </c>
      <c r="F41" t="str">
        <f t="shared" si="4"/>
        <v/>
      </c>
      <c r="G41">
        <f t="shared" si="5"/>
        <v>0</v>
      </c>
    </row>
    <row r="42" spans="2:7" x14ac:dyDescent="0.25">
      <c r="B42" t="str">
        <f t="shared" si="0"/>
        <v/>
      </c>
      <c r="C42" t="str">
        <f t="shared" ca="1" si="1"/>
        <v/>
      </c>
      <c r="D42" t="str">
        <f t="shared" ca="1" si="2"/>
        <v/>
      </c>
      <c r="E42" t="str">
        <f t="shared" ca="1" si="3"/>
        <v/>
      </c>
      <c r="F42" t="str">
        <f t="shared" si="4"/>
        <v/>
      </c>
      <c r="G42">
        <f t="shared" si="5"/>
        <v>0</v>
      </c>
    </row>
    <row r="43" spans="2:7" x14ac:dyDescent="0.25">
      <c r="B43" t="str">
        <f t="shared" si="0"/>
        <v/>
      </c>
      <c r="C43" t="str">
        <f t="shared" ca="1" si="1"/>
        <v/>
      </c>
      <c r="D43" t="str">
        <f t="shared" ca="1" si="2"/>
        <v/>
      </c>
      <c r="E43" t="str">
        <f t="shared" ca="1" si="3"/>
        <v/>
      </c>
      <c r="F43" t="str">
        <f t="shared" si="4"/>
        <v/>
      </c>
      <c r="G43">
        <f t="shared" si="5"/>
        <v>0</v>
      </c>
    </row>
    <row r="44" spans="2:7" x14ac:dyDescent="0.25">
      <c r="B44" t="str">
        <f t="shared" si="0"/>
        <v/>
      </c>
      <c r="C44" t="str">
        <f t="shared" ca="1" si="1"/>
        <v/>
      </c>
      <c r="D44" t="str">
        <f t="shared" ca="1" si="2"/>
        <v/>
      </c>
      <c r="E44" t="str">
        <f t="shared" ca="1" si="3"/>
        <v/>
      </c>
      <c r="F44" t="str">
        <f t="shared" si="4"/>
        <v/>
      </c>
      <c r="G44">
        <f t="shared" si="5"/>
        <v>0</v>
      </c>
    </row>
    <row r="45" spans="2:7" x14ac:dyDescent="0.25">
      <c r="B45" t="str">
        <f t="shared" si="0"/>
        <v/>
      </c>
      <c r="C45" t="str">
        <f t="shared" ca="1" si="1"/>
        <v/>
      </c>
      <c r="D45" t="str">
        <f t="shared" ca="1" si="2"/>
        <v/>
      </c>
      <c r="E45" t="str">
        <f t="shared" ca="1" si="3"/>
        <v/>
      </c>
      <c r="F45" t="str">
        <f t="shared" si="4"/>
        <v/>
      </c>
      <c r="G45">
        <f t="shared" si="5"/>
        <v>0</v>
      </c>
    </row>
    <row r="46" spans="2:7" x14ac:dyDescent="0.25">
      <c r="B46" t="str">
        <f t="shared" si="0"/>
        <v/>
      </c>
      <c r="C46" t="str">
        <f t="shared" ca="1" si="1"/>
        <v/>
      </c>
      <c r="D46" t="str">
        <f t="shared" ca="1" si="2"/>
        <v/>
      </c>
      <c r="E46" t="str">
        <f t="shared" ca="1" si="3"/>
        <v/>
      </c>
      <c r="F46" t="str">
        <f t="shared" si="4"/>
        <v/>
      </c>
      <c r="G46">
        <f t="shared" si="5"/>
        <v>0</v>
      </c>
    </row>
    <row r="47" spans="2:7" x14ac:dyDescent="0.25">
      <c r="B47" t="str">
        <f t="shared" si="0"/>
        <v/>
      </c>
      <c r="C47" t="str">
        <f t="shared" ca="1" si="1"/>
        <v/>
      </c>
      <c r="D47" t="str">
        <f t="shared" ca="1" si="2"/>
        <v/>
      </c>
      <c r="E47" t="str">
        <f t="shared" ca="1" si="3"/>
        <v/>
      </c>
      <c r="F47" t="str">
        <f t="shared" si="4"/>
        <v/>
      </c>
      <c r="G47">
        <f t="shared" si="5"/>
        <v>0</v>
      </c>
    </row>
    <row r="48" spans="2:7" x14ac:dyDescent="0.25">
      <c r="B48" t="str">
        <f t="shared" si="0"/>
        <v/>
      </c>
      <c r="C48" t="str">
        <f t="shared" ca="1" si="1"/>
        <v/>
      </c>
      <c r="D48" t="str">
        <f t="shared" ca="1" si="2"/>
        <v/>
      </c>
      <c r="E48" t="str">
        <f t="shared" ca="1" si="3"/>
        <v/>
      </c>
      <c r="F48" t="str">
        <f t="shared" si="4"/>
        <v/>
      </c>
      <c r="G48">
        <f t="shared" si="5"/>
        <v>0</v>
      </c>
    </row>
    <row r="49" spans="2:7" x14ac:dyDescent="0.25">
      <c r="B49" t="str">
        <f t="shared" si="0"/>
        <v/>
      </c>
      <c r="C49" t="str">
        <f t="shared" ca="1" si="1"/>
        <v/>
      </c>
      <c r="D49" t="str">
        <f t="shared" ca="1" si="2"/>
        <v/>
      </c>
      <c r="E49" t="str">
        <f t="shared" ca="1" si="3"/>
        <v/>
      </c>
      <c r="F49" t="str">
        <f t="shared" si="4"/>
        <v/>
      </c>
      <c r="G49">
        <f t="shared" si="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PurchaseBAK</vt:lpstr>
      <vt:lpstr>Button</vt:lpstr>
      <vt:lpstr>README</vt:lpstr>
      <vt:lpstr>Search</vt:lpstr>
      <vt:lpstr>Purchase</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2026-03-31T12:39:54Z</dcterms:modified>
</cp:coreProperties>
</file>