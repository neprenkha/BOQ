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822" codeName="{28389E77-7640-9E18-AD5C-E98E2F4A8B83}"/>
  <workbookPr codeName="ThisWorkbook"/>
  <mc:AlternateContent xmlns:mc="http://schemas.openxmlformats.org/markup-compatibility/2006">
    <mc:Choice Requires="x15">
      <x15ac:absPath xmlns:x15ac="http://schemas.microsoft.com/office/spreadsheetml/2010/11/ac" url="\\HOME-SERVER\k\Client Sharing Storage\KERJA\QUOTATION\belum quote\WClient Banting 1122 - Puan Sal Raduan\2026-03-27 - EXTAND\"/>
    </mc:Choice>
  </mc:AlternateContent>
  <xr:revisionPtr revIDLastSave="0" documentId="13_ncr:1_{8110BBE2-C12C-4B0D-BB01-C018C2B44D66}" xr6:coauthVersionLast="47" xr6:coauthVersionMax="47" xr10:uidLastSave="{00000000-0000-0000-0000-000000000000}"/>
  <bookViews>
    <workbookView xWindow="-120" yWindow="-120" windowWidth="29040" windowHeight="15840" xr2:uid="{00000000-000D-0000-FFFF-FFFF00000000}"/>
  </bookViews>
  <sheets>
    <sheet name="SummaryHelper" sheetId="46" r:id="rId1"/>
    <sheet name="Button" sheetId="28" r:id="rId2"/>
    <sheet name="README" sheetId="16" r:id="rId3"/>
    <sheet name="Search" sheetId="24" r:id="rId4"/>
    <sheet name="Purchase" sheetId="23" r:id="rId5"/>
    <sheet name="Summary" sheetId="12" r:id="rId6"/>
    <sheet name="S01" sheetId="21" r:id="rId7"/>
    <sheet name="S02" sheetId="30" r:id="rId8"/>
    <sheet name="S03" sheetId="34" r:id="rId9"/>
    <sheet name="S04" sheetId="33" r:id="rId10"/>
    <sheet name="S05" sheetId="32" r:id="rId11"/>
    <sheet name="S06" sheetId="31" r:id="rId12"/>
    <sheet name="S07" sheetId="35" r:id="rId13"/>
    <sheet name="S08" sheetId="36" r:id="rId14"/>
    <sheet name="S09" sheetId="37" r:id="rId15"/>
    <sheet name="S10" sheetId="38" r:id="rId16"/>
    <sheet name="S11" sheetId="39" r:id="rId17"/>
    <sheet name="S12" sheetId="40" r:id="rId18"/>
    <sheet name="S13" sheetId="41" r:id="rId19"/>
    <sheet name="S14" sheetId="42" r:id="rId20"/>
    <sheet name="S15" sheetId="43" r:id="rId21"/>
    <sheet name="S16" sheetId="44" r:id="rId22"/>
    <sheet name="S17" sheetId="45" r:id="rId23"/>
    <sheet name="_SummaryBackup" sheetId="29" state="veryHidden" r:id="rId24"/>
  </sheets>
  <definedNames>
    <definedName name="_xlpm.all" hidden="1" xlm="1">#NAME?</definedName>
    <definedName name="_xlpm.Amt" hidden="1" xlm="1">#NAME?</definedName>
    <definedName name="_xlpm.b" hidden="1" xlm="1">#NAME?</definedName>
    <definedName name="_xlpm.base" hidden="1" xlm="1">#NAME?</definedName>
    <definedName name="_xlpm.blk" hidden="1" xlm="1">#NAME?</definedName>
    <definedName name="_xlpm.c" hidden="1" xlm="1">#NAME?</definedName>
    <definedName name="_xlpm.cat" hidden="1" xlm="1">#NAME?</definedName>
    <definedName name="_xlpm.cols" hidden="1" xlm="1">#NAME?</definedName>
    <definedName name="_xlpm.cond" hidden="1" xlm="1">#NAME?</definedName>
    <definedName name="_xlpm.data" hidden="1" xlm="1">#NAME?</definedName>
    <definedName name="_xlpm.desc" hidden="1" xlm="1">#NAME?</definedName>
    <definedName name="_xlpm.descAll" hidden="1" xlm="1">#NAME?</definedName>
    <definedName name="_xlpm.f" hidden="1" xlm="1">#NAME?</definedName>
    <definedName name="_xlpm.filtered" hidden="1" xlm="1">#NAME?</definedName>
    <definedName name="_xlpm.header" hidden="1" xlm="1">#NAME?</definedName>
    <definedName name="_xlpm.i" hidden="1" xlm="1">#NAME?</definedName>
    <definedName name="_xlpm.idx" hidden="1" xlm="1">#NAME?</definedName>
    <definedName name="_xlpm.idxIn" hidden="1" xlm="1">#NAME?</definedName>
    <definedName name="_xlpm.inc" hidden="1" xlm="1">#NAME?</definedName>
    <definedName name="_xlpm.incVec" hidden="1" xlm="1">#NAME?</definedName>
    <definedName name="_xlpm.k" hidden="1" xlm="1">#NAME?</definedName>
    <definedName name="_xlpm.lab" hidden="1" xlm="1">#NAME?</definedName>
    <definedName name="_xlpm.mat" hidden="1" xlm="1">#NAME?</definedName>
    <definedName name="_xlpm.maxScopes" hidden="1" xlm="1">#NAME?</definedName>
    <definedName name="_xlpm.mn" hidden="1" xlm="1">#NAME?</definedName>
    <definedName name="_xlpm.mx" hidden="1" xlm="1">#NAME?</definedName>
    <definedName name="_xlpm.n" hidden="1" xlm="1">#NAME?</definedName>
    <definedName name="_xlpm.oq" hidden="1" xlm="1">#NAME?</definedName>
    <definedName name="_xlpm.orate" hidden="1" xlm="1">#NAME?</definedName>
    <definedName name="_xlpm.out" hidden="1" xlm="1">#NAME?</definedName>
    <definedName name="_xlpm.perSheet" hidden="1" xlm="1">#NAME?</definedName>
    <definedName name="_xlpm.ps" hidden="1" xlm="1">#NAME?</definedName>
    <definedName name="_xlpm.pu" hidden="1" xlm="1">#NAME?</definedName>
    <definedName name="_xlpm.QtyWU" hidden="1" xlm="1">#NAME?</definedName>
    <definedName name="_xlpm.r" hidden="1" xlm="1">#NAME?</definedName>
    <definedName name="_xlpm.rate" hidden="1" xlm="1">#NAME?</definedName>
    <definedName name="_xlpm.rateAll" hidden="1" xlm="1">#NAME?</definedName>
    <definedName name="_xlpm.raw" hidden="1" xlm="1">#NAME?</definedName>
    <definedName name="_xlpm.rows" hidden="1" xlm="1">#NAME?</definedName>
    <definedName name="_xlpm.rowsPerScope" hidden="1" xlm="1">#NAME?</definedName>
    <definedName name="_xlpm.sh" hidden="1" xlm="1">#NAME?</definedName>
    <definedName name="_xlpm.sheetCol" hidden="1" xlm="1">#NAME?</definedName>
    <definedName name="_xlpm.sheets" hidden="1" xlm="1">#NAME?</definedName>
    <definedName name="_xlpm.shIdx" hidden="1" xlm="1">#NAME?</definedName>
    <definedName name="_xlpm.spec" hidden="1" xlm="1">#NAME?</definedName>
    <definedName name="_xlpm.specAll" hidden="1" xlm="1">#NAME?</definedName>
    <definedName name="_xlpm.svc" hidden="1" xlm="1">#NAME?</definedName>
    <definedName name="_xlpm.tbl" hidden="1" xlm="1">#NAME?</definedName>
    <definedName name="_xlpm.tot" hidden="1" xlm="1">#NAME?</definedName>
    <definedName name="_xlpm.total" hidden="1" xlm="1">#NAME?</definedName>
    <definedName name="_xlpm.totAll" hidden="1" xlm="1">#NAME?</definedName>
    <definedName name="_xlpm.totalRows" hidden="1" xlm="1">#NAME?</definedName>
    <definedName name="_xlpm.uom" hidden="1" xlm="1">#NAME?</definedName>
    <definedName name="_xlpm.uomAll" hidden="1" xlm="1">#NAME?</definedName>
    <definedName name="_xlpm.usage" hidden="1" xlm="1">#NAME?</definedName>
    <definedName name="_xlpm.usageAll" hidden="1" xlm="1">#NAME?</definedName>
    <definedName name="_xlpm.usepw" hidden="1" xlm="1">#NAME?</definedName>
    <definedName name="_xlpm.useW" hidden="1" xlm="1">#NAME?</definedName>
    <definedName name="_xlpm.useWAll" hidden="1" xlm="1">#NAME?</definedName>
    <definedName name="_xlpm.v" hidden="1" xlm="1">#NAME?</definedName>
    <definedName name="_xlpm.wast" hidden="1" xlm="1">#NAME?</definedName>
    <definedName name="_xlpm.wastAll" hidden="1" xlm="1">#NAME?</definedName>
    <definedName name="_xlpm.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R3" i="12" l="1"/>
  <c r="Q3" i="12"/>
  <c r="O3" i="12"/>
  <c r="N3" i="12"/>
  <c r="M3" i="12"/>
  <c r="L3" i="12"/>
  <c r="I3" i="12" a="1"/>
  <c r="I3" i="12" s="1"/>
  <c r="AJ49" i="45"/>
  <c r="AI49" i="45"/>
  <c r="AH49" i="45"/>
  <c r="Y49" i="45"/>
  <c r="X49" i="45"/>
  <c r="W49" i="45"/>
  <c r="N49" i="45"/>
  <c r="M49" i="45"/>
  <c r="L49" i="45"/>
  <c r="AJ48" i="45"/>
  <c r="AI48" i="45"/>
  <c r="AH48" i="45"/>
  <c r="Y48" i="45"/>
  <c r="X48" i="45"/>
  <c r="W48" i="45"/>
  <c r="N48" i="45"/>
  <c r="M48" i="45"/>
  <c r="L48" i="45"/>
  <c r="AJ47" i="45"/>
  <c r="AI47" i="45"/>
  <c r="AH47" i="45"/>
  <c r="Y47" i="45"/>
  <c r="X47" i="45"/>
  <c r="W47" i="45"/>
  <c r="N47" i="45"/>
  <c r="M47" i="45"/>
  <c r="L47" i="45"/>
  <c r="AJ46" i="45"/>
  <c r="AI46" i="45"/>
  <c r="AH46" i="45"/>
  <c r="Y46" i="45"/>
  <c r="X46" i="45"/>
  <c r="W46" i="45"/>
  <c r="N46" i="45"/>
  <c r="M46" i="45"/>
  <c r="L46" i="45"/>
  <c r="AJ45" i="45"/>
  <c r="AI45" i="45"/>
  <c r="AH45" i="45"/>
  <c r="Y45" i="45"/>
  <c r="X45" i="45"/>
  <c r="W45" i="45"/>
  <c r="N45" i="45"/>
  <c r="M45" i="45"/>
  <c r="L45" i="45"/>
  <c r="AJ44" i="45"/>
  <c r="AI44" i="45"/>
  <c r="AH44" i="45"/>
  <c r="Y44" i="45"/>
  <c r="X44" i="45"/>
  <c r="W44" i="45"/>
  <c r="N44" i="45"/>
  <c r="M44" i="45"/>
  <c r="L44" i="45"/>
  <c r="AJ43" i="45"/>
  <c r="AI43" i="45"/>
  <c r="AH43" i="45"/>
  <c r="Y43" i="45"/>
  <c r="X43" i="45"/>
  <c r="W43" i="45"/>
  <c r="N43" i="45"/>
  <c r="M43" i="45"/>
  <c r="L43" i="45"/>
  <c r="AJ42" i="45"/>
  <c r="AI42" i="45"/>
  <c r="AH42" i="45"/>
  <c r="Y42" i="45"/>
  <c r="X42" i="45"/>
  <c r="W42" i="45"/>
  <c r="N42" i="45"/>
  <c r="M42" i="45"/>
  <c r="L42" i="45"/>
  <c r="AJ41" i="45"/>
  <c r="AI41" i="45"/>
  <c r="AH41" i="45"/>
  <c r="Y41" i="45"/>
  <c r="X41" i="45"/>
  <c r="W41" i="45"/>
  <c r="N41" i="45"/>
  <c r="M41" i="45"/>
  <c r="L41" i="45"/>
  <c r="AJ40" i="45"/>
  <c r="AI40" i="45"/>
  <c r="AH40" i="45"/>
  <c r="Y40" i="45"/>
  <c r="X40" i="45"/>
  <c r="W40" i="45"/>
  <c r="N40" i="45"/>
  <c r="M40" i="45"/>
  <c r="L40" i="45"/>
  <c r="AJ39" i="45"/>
  <c r="AI39" i="45"/>
  <c r="AH39" i="45"/>
  <c r="Y39" i="45"/>
  <c r="X39" i="45"/>
  <c r="W39" i="45"/>
  <c r="N39" i="45"/>
  <c r="M39" i="45"/>
  <c r="L39" i="45"/>
  <c r="AJ38" i="45"/>
  <c r="AI38" i="45"/>
  <c r="AH38" i="45"/>
  <c r="Y38" i="45"/>
  <c r="X38" i="45"/>
  <c r="W38" i="45"/>
  <c r="N38" i="45"/>
  <c r="M38" i="45"/>
  <c r="L38" i="45"/>
  <c r="AJ37" i="45"/>
  <c r="AI37" i="45"/>
  <c r="AH37" i="45"/>
  <c r="Y37" i="45"/>
  <c r="X37" i="45"/>
  <c r="W37" i="45"/>
  <c r="N37" i="45"/>
  <c r="M37" i="45"/>
  <c r="L37" i="45"/>
  <c r="AJ36" i="45"/>
  <c r="AI36" i="45"/>
  <c r="AH36" i="45"/>
  <c r="Y36" i="45"/>
  <c r="X36" i="45"/>
  <c r="W36" i="45"/>
  <c r="N36" i="45"/>
  <c r="M36" i="45"/>
  <c r="L36" i="45"/>
  <c r="AJ35" i="45"/>
  <c r="AI35" i="45"/>
  <c r="AH35" i="45"/>
  <c r="Y35" i="45"/>
  <c r="X35" i="45"/>
  <c r="W35" i="45"/>
  <c r="N35" i="45"/>
  <c r="M35" i="45"/>
  <c r="L35" i="45"/>
  <c r="AJ34" i="45"/>
  <c r="AI34" i="45"/>
  <c r="AH34" i="45"/>
  <c r="Y34" i="45"/>
  <c r="X34" i="45"/>
  <c r="W34" i="45"/>
  <c r="N34" i="45"/>
  <c r="M34" i="45"/>
  <c r="L34" i="45"/>
  <c r="AJ33" i="45"/>
  <c r="AI33" i="45"/>
  <c r="AH33" i="45"/>
  <c r="Y33" i="45"/>
  <c r="X33" i="45"/>
  <c r="W33" i="45"/>
  <c r="N33" i="45"/>
  <c r="M33" i="45"/>
  <c r="L33" i="45"/>
  <c r="AJ32" i="45"/>
  <c r="AI32" i="45"/>
  <c r="AH32" i="45"/>
  <c r="Y32" i="45"/>
  <c r="X32" i="45"/>
  <c r="W32" i="45"/>
  <c r="N32" i="45"/>
  <c r="M32" i="45"/>
  <c r="L32" i="45"/>
  <c r="AJ31" i="45"/>
  <c r="AI31" i="45"/>
  <c r="AH31" i="45"/>
  <c r="Y31" i="45"/>
  <c r="X31" i="45"/>
  <c r="W31" i="45"/>
  <c r="N31" i="45"/>
  <c r="M31" i="45"/>
  <c r="L31" i="45"/>
  <c r="AJ30" i="45"/>
  <c r="AI30" i="45"/>
  <c r="AH30" i="45"/>
  <c r="Y30" i="45"/>
  <c r="X30" i="45"/>
  <c r="W30" i="45"/>
  <c r="N30" i="45"/>
  <c r="M30" i="45"/>
  <c r="L30" i="45"/>
  <c r="AJ29" i="45"/>
  <c r="AI29" i="45"/>
  <c r="AH29" i="45"/>
  <c r="Y29" i="45"/>
  <c r="X29" i="45"/>
  <c r="W29" i="45"/>
  <c r="N29" i="45"/>
  <c r="M29" i="45"/>
  <c r="L29" i="45"/>
  <c r="AJ28" i="45"/>
  <c r="AI28" i="45"/>
  <c r="AH28" i="45"/>
  <c r="Y28" i="45"/>
  <c r="X28" i="45"/>
  <c r="W28" i="45"/>
  <c r="N28" i="45"/>
  <c r="M28" i="45"/>
  <c r="L28" i="45"/>
  <c r="AJ27" i="45"/>
  <c r="AI27" i="45"/>
  <c r="AH27" i="45"/>
  <c r="Y27" i="45"/>
  <c r="X27" i="45"/>
  <c r="W27" i="45"/>
  <c r="N27" i="45"/>
  <c r="M27" i="45"/>
  <c r="L27" i="45"/>
  <c r="AJ26" i="45"/>
  <c r="AI26" i="45"/>
  <c r="AH26" i="45"/>
  <c r="Y26" i="45"/>
  <c r="X26" i="45"/>
  <c r="W26" i="45"/>
  <c r="N26" i="45"/>
  <c r="M26" i="45"/>
  <c r="L26" i="45"/>
  <c r="AJ25" i="45"/>
  <c r="AI25" i="45"/>
  <c r="AH25" i="45"/>
  <c r="Y25" i="45"/>
  <c r="X25" i="45"/>
  <c r="W25" i="45"/>
  <c r="N25" i="45"/>
  <c r="M25" i="45"/>
  <c r="L25" i="45"/>
  <c r="AJ24" i="45"/>
  <c r="AI24" i="45"/>
  <c r="AH24" i="45"/>
  <c r="Y24" i="45"/>
  <c r="X24" i="45"/>
  <c r="W24" i="45"/>
  <c r="N24" i="45"/>
  <c r="M24" i="45"/>
  <c r="L24" i="45"/>
  <c r="AJ23" i="45"/>
  <c r="AI23" i="45"/>
  <c r="AH23" i="45"/>
  <c r="Y23" i="45"/>
  <c r="X23" i="45"/>
  <c r="W23" i="45"/>
  <c r="N23" i="45"/>
  <c r="M23" i="45"/>
  <c r="L23" i="45"/>
  <c r="AJ22" i="45"/>
  <c r="AI22" i="45"/>
  <c r="AH22" i="45"/>
  <c r="Y22" i="45"/>
  <c r="X22" i="45"/>
  <c r="W22" i="45"/>
  <c r="N22" i="45"/>
  <c r="M22" i="45"/>
  <c r="L22" i="45"/>
  <c r="AJ21" i="45"/>
  <c r="AI21" i="45"/>
  <c r="AH21" i="45"/>
  <c r="Y21" i="45"/>
  <c r="X21" i="45"/>
  <c r="W21" i="45"/>
  <c r="N21" i="45"/>
  <c r="M21" i="45"/>
  <c r="L21" i="45"/>
  <c r="AJ20" i="45"/>
  <c r="AI20" i="45"/>
  <c r="AH20" i="45"/>
  <c r="Y20" i="45"/>
  <c r="X20" i="45"/>
  <c r="W20" i="45"/>
  <c r="N20" i="45"/>
  <c r="M20" i="45"/>
  <c r="L20" i="45"/>
  <c r="AJ19" i="45"/>
  <c r="AI19" i="45"/>
  <c r="AH19" i="45"/>
  <c r="Y19" i="45"/>
  <c r="X19" i="45"/>
  <c r="W19" i="45"/>
  <c r="N19" i="45"/>
  <c r="M19" i="45"/>
  <c r="L19" i="45"/>
  <c r="AJ18" i="45"/>
  <c r="AI18" i="45"/>
  <c r="AH18" i="45"/>
  <c r="Y18" i="45"/>
  <c r="X18" i="45"/>
  <c r="W18" i="45"/>
  <c r="N18" i="45"/>
  <c r="M18" i="45"/>
  <c r="L18" i="45"/>
  <c r="AJ17" i="45"/>
  <c r="AI17" i="45"/>
  <c r="AH17" i="45"/>
  <c r="Y17" i="45"/>
  <c r="X17" i="45"/>
  <c r="W17" i="45"/>
  <c r="N17" i="45"/>
  <c r="M17" i="45"/>
  <c r="L17" i="45"/>
  <c r="AJ16" i="45"/>
  <c r="AI16" i="45"/>
  <c r="AH16" i="45"/>
  <c r="Y16" i="45"/>
  <c r="X16" i="45"/>
  <c r="W16" i="45"/>
  <c r="N16" i="45"/>
  <c r="M16" i="45"/>
  <c r="L16" i="45"/>
  <c r="AJ15" i="45"/>
  <c r="AI15" i="45"/>
  <c r="AH15" i="45"/>
  <c r="Y15" i="45"/>
  <c r="X15" i="45"/>
  <c r="W15" i="45"/>
  <c r="N15" i="45"/>
  <c r="M15" i="45"/>
  <c r="L15" i="45"/>
  <c r="AJ14" i="45"/>
  <c r="AI14" i="45"/>
  <c r="AH14" i="45"/>
  <c r="Y14" i="45"/>
  <c r="X14" i="45"/>
  <c r="W14" i="45"/>
  <c r="N14" i="45"/>
  <c r="M14" i="45"/>
  <c r="L14" i="45"/>
  <c r="AJ13" i="45"/>
  <c r="AI13" i="45"/>
  <c r="AH13" i="45"/>
  <c r="Y13" i="45"/>
  <c r="X13" i="45"/>
  <c r="W13" i="45"/>
  <c r="L13" i="45"/>
  <c r="M13" i="45" s="1"/>
  <c r="N13" i="45" s="1"/>
  <c r="AJ12" i="45"/>
  <c r="AI12" i="45"/>
  <c r="AH12" i="45"/>
  <c r="Y12" i="45"/>
  <c r="X12" i="45"/>
  <c r="W12" i="45"/>
  <c r="L12" i="45"/>
  <c r="M12" i="45" s="1"/>
  <c r="N12" i="45" s="1"/>
  <c r="AJ11" i="45"/>
  <c r="AI11" i="45"/>
  <c r="AH11" i="45"/>
  <c r="Y11" i="45"/>
  <c r="X11" i="45"/>
  <c r="W11" i="45"/>
  <c r="L11" i="45"/>
  <c r="M11" i="45" s="1"/>
  <c r="N11" i="45" s="1"/>
  <c r="AJ10" i="45"/>
  <c r="AI10" i="45"/>
  <c r="AH10" i="45"/>
  <c r="Y10" i="45"/>
  <c r="X10" i="45"/>
  <c r="W10" i="45"/>
  <c r="L10" i="45"/>
  <c r="M10" i="45" s="1"/>
  <c r="N10" i="45" s="1"/>
  <c r="AJ9" i="45"/>
  <c r="AI9" i="45"/>
  <c r="AH9" i="45"/>
  <c r="Y9" i="45"/>
  <c r="X9" i="45"/>
  <c r="W9" i="45"/>
  <c r="L9" i="45"/>
  <c r="M9" i="45" s="1"/>
  <c r="N9" i="45" s="1"/>
  <c r="AJ8" i="45"/>
  <c r="AI8" i="45"/>
  <c r="AH8" i="45"/>
  <c r="Y8" i="45"/>
  <c r="X8" i="45"/>
  <c r="W8" i="45"/>
  <c r="L8" i="45"/>
  <c r="M8" i="45" s="1"/>
  <c r="N8" i="45" s="1"/>
  <c r="AJ7" i="45"/>
  <c r="AI7" i="45"/>
  <c r="AH7" i="45"/>
  <c r="Y7" i="45"/>
  <c r="X7" i="45"/>
  <c r="W7" i="45"/>
  <c r="L7" i="45"/>
  <c r="M7" i="45" s="1"/>
  <c r="N7" i="45" s="1"/>
  <c r="AJ6" i="45"/>
  <c r="AI6" i="45"/>
  <c r="AH6" i="45"/>
  <c r="Y6" i="45"/>
  <c r="X6" i="45"/>
  <c r="W6" i="45"/>
  <c r="L6" i="45"/>
  <c r="M6" i="45" s="1"/>
  <c r="N6" i="45" s="1"/>
  <c r="AJ5" i="45"/>
  <c r="AI5" i="45"/>
  <c r="AH5" i="45"/>
  <c r="Y5" i="45"/>
  <c r="X5" i="45"/>
  <c r="W5" i="45"/>
  <c r="L5" i="45"/>
  <c r="M5" i="45" s="1"/>
  <c r="N5" i="45" s="1"/>
  <c r="AJ4" i="45"/>
  <c r="AI4" i="45"/>
  <c r="AH4" i="45"/>
  <c r="W4" i="45"/>
  <c r="X4" i="45" s="1"/>
  <c r="Y4" i="45" s="1"/>
  <c r="L4" i="45"/>
  <c r="M4" i="45" s="1"/>
  <c r="N4" i="45" s="1"/>
  <c r="AJ3" i="45"/>
  <c r="AJ1" i="45" s="1"/>
  <c r="AI3" i="45"/>
  <c r="AH3" i="45"/>
  <c r="W3" i="45"/>
  <c r="X3" i="45" s="1"/>
  <c r="Y3" i="45" s="1"/>
  <c r="L3" i="45"/>
  <c r="M3" i="45" s="1"/>
  <c r="N3" i="45" s="1"/>
  <c r="AA1" i="45" a="1"/>
  <c r="AA1" i="45" s="1"/>
  <c r="P1" i="45" a="1"/>
  <c r="P1" i="45" s="1"/>
  <c r="E1" i="45" a="1"/>
  <c r="E1" i="45" s="1"/>
  <c r="A1" i="45" a="1"/>
  <c r="A1" i="45" s="1"/>
  <c r="AJ49" i="44"/>
  <c r="AI49" i="44"/>
  <c r="AH49" i="44"/>
  <c r="Y49" i="44"/>
  <c r="X49" i="44"/>
  <c r="W49" i="44"/>
  <c r="N49" i="44"/>
  <c r="M49" i="44"/>
  <c r="L49" i="44"/>
  <c r="AJ48" i="44"/>
  <c r="AI48" i="44"/>
  <c r="AH48" i="44"/>
  <c r="Y48" i="44"/>
  <c r="X48" i="44"/>
  <c r="W48" i="44"/>
  <c r="N48" i="44"/>
  <c r="M48" i="44"/>
  <c r="L48" i="44"/>
  <c r="AJ47" i="44"/>
  <c r="AI47" i="44"/>
  <c r="AH47" i="44"/>
  <c r="Y47" i="44"/>
  <c r="X47" i="44"/>
  <c r="W47" i="44"/>
  <c r="N47" i="44"/>
  <c r="M47" i="44"/>
  <c r="L47" i="44"/>
  <c r="AJ46" i="44"/>
  <c r="AI46" i="44"/>
  <c r="AH46" i="44"/>
  <c r="Y46" i="44"/>
  <c r="X46" i="44"/>
  <c r="W46" i="44"/>
  <c r="N46" i="44"/>
  <c r="M46" i="44"/>
  <c r="L46" i="44"/>
  <c r="AJ45" i="44"/>
  <c r="AI45" i="44"/>
  <c r="AH45" i="44"/>
  <c r="Y45" i="44"/>
  <c r="X45" i="44"/>
  <c r="W45" i="44"/>
  <c r="N45" i="44"/>
  <c r="M45" i="44"/>
  <c r="L45" i="44"/>
  <c r="AJ44" i="44"/>
  <c r="AI44" i="44"/>
  <c r="AH44" i="44"/>
  <c r="Y44" i="44"/>
  <c r="X44" i="44"/>
  <c r="W44" i="44"/>
  <c r="N44" i="44"/>
  <c r="M44" i="44"/>
  <c r="L44" i="44"/>
  <c r="AJ43" i="44"/>
  <c r="AI43" i="44"/>
  <c r="AH43" i="44"/>
  <c r="Y43" i="44"/>
  <c r="X43" i="44"/>
  <c r="W43" i="44"/>
  <c r="N43" i="44"/>
  <c r="M43" i="44"/>
  <c r="L43" i="44"/>
  <c r="AJ42" i="44"/>
  <c r="AI42" i="44"/>
  <c r="AH42" i="44"/>
  <c r="Y42" i="44"/>
  <c r="X42" i="44"/>
  <c r="W42" i="44"/>
  <c r="N42" i="44"/>
  <c r="M42" i="44"/>
  <c r="L42" i="44"/>
  <c r="AJ41" i="44"/>
  <c r="AI41" i="44"/>
  <c r="AH41" i="44"/>
  <c r="Y41" i="44"/>
  <c r="X41" i="44"/>
  <c r="W41" i="44"/>
  <c r="N41" i="44"/>
  <c r="M41" i="44"/>
  <c r="L41" i="44"/>
  <c r="AJ40" i="44"/>
  <c r="AI40" i="44"/>
  <c r="AH40" i="44"/>
  <c r="Y40" i="44"/>
  <c r="X40" i="44"/>
  <c r="W40" i="44"/>
  <c r="N40" i="44"/>
  <c r="M40" i="44"/>
  <c r="L40" i="44"/>
  <c r="AJ39" i="44"/>
  <c r="AI39" i="44"/>
  <c r="AH39" i="44"/>
  <c r="Y39" i="44"/>
  <c r="X39" i="44"/>
  <c r="W39" i="44"/>
  <c r="N39" i="44"/>
  <c r="M39" i="44"/>
  <c r="L39" i="44"/>
  <c r="AJ38" i="44"/>
  <c r="AI38" i="44"/>
  <c r="AH38" i="44"/>
  <c r="Y38" i="44"/>
  <c r="X38" i="44"/>
  <c r="W38" i="44"/>
  <c r="N38" i="44"/>
  <c r="M38" i="44"/>
  <c r="L38" i="44"/>
  <c r="AJ37" i="44"/>
  <c r="AI37" i="44"/>
  <c r="AH37" i="44"/>
  <c r="Y37" i="44"/>
  <c r="X37" i="44"/>
  <c r="W37" i="44"/>
  <c r="N37" i="44"/>
  <c r="M37" i="44"/>
  <c r="L37" i="44"/>
  <c r="AJ36" i="44"/>
  <c r="AI36" i="44"/>
  <c r="AH36" i="44"/>
  <c r="Y36" i="44"/>
  <c r="X36" i="44"/>
  <c r="W36" i="44"/>
  <c r="N36" i="44"/>
  <c r="M36" i="44"/>
  <c r="L36" i="44"/>
  <c r="AJ35" i="44"/>
  <c r="AI35" i="44"/>
  <c r="AH35" i="44"/>
  <c r="Y35" i="44"/>
  <c r="X35" i="44"/>
  <c r="W35" i="44"/>
  <c r="N35" i="44"/>
  <c r="M35" i="44"/>
  <c r="L35" i="44"/>
  <c r="AJ34" i="44"/>
  <c r="AI34" i="44"/>
  <c r="AH34" i="44"/>
  <c r="Y34" i="44"/>
  <c r="X34" i="44"/>
  <c r="W34" i="44"/>
  <c r="N34" i="44"/>
  <c r="M34" i="44"/>
  <c r="L34" i="44"/>
  <c r="AJ33" i="44"/>
  <c r="AI33" i="44"/>
  <c r="AH33" i="44"/>
  <c r="Y33" i="44"/>
  <c r="X33" i="44"/>
  <c r="W33" i="44"/>
  <c r="N33" i="44"/>
  <c r="M33" i="44"/>
  <c r="L33" i="44"/>
  <c r="AJ32" i="44"/>
  <c r="AI32" i="44"/>
  <c r="AH32" i="44"/>
  <c r="Y32" i="44"/>
  <c r="X32" i="44"/>
  <c r="W32" i="44"/>
  <c r="N32" i="44"/>
  <c r="M32" i="44"/>
  <c r="L32" i="44"/>
  <c r="AJ31" i="44"/>
  <c r="AI31" i="44"/>
  <c r="AH31" i="44"/>
  <c r="Y31" i="44"/>
  <c r="X31" i="44"/>
  <c r="W31" i="44"/>
  <c r="N31" i="44"/>
  <c r="M31" i="44"/>
  <c r="L31" i="44"/>
  <c r="AJ30" i="44"/>
  <c r="AI30" i="44"/>
  <c r="AH30" i="44"/>
  <c r="Y30" i="44"/>
  <c r="X30" i="44"/>
  <c r="W30" i="44"/>
  <c r="N30" i="44"/>
  <c r="M30" i="44"/>
  <c r="L30" i="44"/>
  <c r="AJ29" i="44"/>
  <c r="AI29" i="44"/>
  <c r="AH29" i="44"/>
  <c r="Y29" i="44"/>
  <c r="X29" i="44"/>
  <c r="W29" i="44"/>
  <c r="N29" i="44"/>
  <c r="M29" i="44"/>
  <c r="L29" i="44"/>
  <c r="AJ28" i="44"/>
  <c r="AI28" i="44"/>
  <c r="AH28" i="44"/>
  <c r="Y28" i="44"/>
  <c r="X28" i="44"/>
  <c r="W28" i="44"/>
  <c r="N28" i="44"/>
  <c r="M28" i="44"/>
  <c r="L28" i="44"/>
  <c r="AJ27" i="44"/>
  <c r="AI27" i="44"/>
  <c r="AH27" i="44"/>
  <c r="Y27" i="44"/>
  <c r="X27" i="44"/>
  <c r="W27" i="44"/>
  <c r="N27" i="44"/>
  <c r="M27" i="44"/>
  <c r="L27" i="44"/>
  <c r="AJ26" i="44"/>
  <c r="AI26" i="44"/>
  <c r="AH26" i="44"/>
  <c r="Y26" i="44"/>
  <c r="X26" i="44"/>
  <c r="W26" i="44"/>
  <c r="N26" i="44"/>
  <c r="M26" i="44"/>
  <c r="L26" i="44"/>
  <c r="AJ25" i="44"/>
  <c r="AI25" i="44"/>
  <c r="AH25" i="44"/>
  <c r="Y25" i="44"/>
  <c r="X25" i="44"/>
  <c r="W25" i="44"/>
  <c r="N25" i="44"/>
  <c r="M25" i="44"/>
  <c r="L25" i="44"/>
  <c r="AJ24" i="44"/>
  <c r="AI24" i="44"/>
  <c r="AH24" i="44"/>
  <c r="Y24" i="44"/>
  <c r="X24" i="44"/>
  <c r="W24" i="44"/>
  <c r="N24" i="44"/>
  <c r="M24" i="44"/>
  <c r="L24" i="44"/>
  <c r="AJ23" i="44"/>
  <c r="AI23" i="44"/>
  <c r="AH23" i="44"/>
  <c r="Y23" i="44"/>
  <c r="X23" i="44"/>
  <c r="W23" i="44"/>
  <c r="N23" i="44"/>
  <c r="M23" i="44"/>
  <c r="L23" i="44"/>
  <c r="AJ22" i="44"/>
  <c r="AI22" i="44"/>
  <c r="AH22" i="44"/>
  <c r="Y22" i="44"/>
  <c r="X22" i="44"/>
  <c r="W22" i="44"/>
  <c r="N22" i="44"/>
  <c r="M22" i="44"/>
  <c r="L22" i="44"/>
  <c r="AJ21" i="44"/>
  <c r="AI21" i="44"/>
  <c r="AH21" i="44"/>
  <c r="Y21" i="44"/>
  <c r="X21" i="44"/>
  <c r="W21" i="44"/>
  <c r="N21" i="44"/>
  <c r="M21" i="44"/>
  <c r="L21" i="44"/>
  <c r="AJ20" i="44"/>
  <c r="AI20" i="44"/>
  <c r="AH20" i="44"/>
  <c r="Y20" i="44"/>
  <c r="X20" i="44"/>
  <c r="W20" i="44"/>
  <c r="N20" i="44"/>
  <c r="M20" i="44"/>
  <c r="L20" i="44"/>
  <c r="AJ19" i="44"/>
  <c r="AI19" i="44"/>
  <c r="AH19" i="44"/>
  <c r="Y19" i="44"/>
  <c r="X19" i="44"/>
  <c r="W19" i="44"/>
  <c r="N19" i="44"/>
  <c r="M19" i="44"/>
  <c r="L19" i="44"/>
  <c r="AJ18" i="44"/>
  <c r="AI18" i="44"/>
  <c r="AH18" i="44"/>
  <c r="Y18" i="44"/>
  <c r="X18" i="44"/>
  <c r="W18" i="44"/>
  <c r="N18" i="44"/>
  <c r="M18" i="44"/>
  <c r="L18" i="44"/>
  <c r="AJ17" i="44"/>
  <c r="AI17" i="44"/>
  <c r="AH17" i="44"/>
  <c r="Y17" i="44"/>
  <c r="X17" i="44"/>
  <c r="W17" i="44"/>
  <c r="N17" i="44"/>
  <c r="M17" i="44"/>
  <c r="L17" i="44"/>
  <c r="AJ16" i="44"/>
  <c r="AI16" i="44"/>
  <c r="AH16" i="44"/>
  <c r="W16" i="44"/>
  <c r="X16" i="44" s="1"/>
  <c r="Y16" i="44" s="1"/>
  <c r="L16" i="44"/>
  <c r="M16" i="44" s="1"/>
  <c r="N16" i="44" s="1"/>
  <c r="AJ15" i="44"/>
  <c r="AI15" i="44"/>
  <c r="AH15" i="44"/>
  <c r="W15" i="44"/>
  <c r="X15" i="44" s="1"/>
  <c r="Y15" i="44" s="1"/>
  <c r="L15" i="44"/>
  <c r="M15" i="44" s="1"/>
  <c r="N15" i="44" s="1"/>
  <c r="AJ14" i="44"/>
  <c r="AI14" i="44"/>
  <c r="AH14" i="44"/>
  <c r="W14" i="44"/>
  <c r="X14" i="44" s="1"/>
  <c r="Y14" i="44" s="1"/>
  <c r="L14" i="44"/>
  <c r="M14" i="44" s="1"/>
  <c r="N14" i="44" s="1"/>
  <c r="AJ13" i="44"/>
  <c r="AI13" i="44"/>
  <c r="AH13" i="44"/>
  <c r="W13" i="44"/>
  <c r="X13" i="44" s="1"/>
  <c r="Y13" i="44" s="1"/>
  <c r="L13" i="44"/>
  <c r="M13" i="44" s="1"/>
  <c r="N13" i="44" s="1"/>
  <c r="AJ12" i="44"/>
  <c r="AI12" i="44"/>
  <c r="AH12" i="44"/>
  <c r="W12" i="44"/>
  <c r="X12" i="44" s="1"/>
  <c r="Y12" i="44" s="1"/>
  <c r="L12" i="44"/>
  <c r="M12" i="44" s="1"/>
  <c r="N12" i="44" s="1"/>
  <c r="AJ11" i="44"/>
  <c r="AI11" i="44"/>
  <c r="AH11" i="44"/>
  <c r="W11" i="44"/>
  <c r="X11" i="44" s="1"/>
  <c r="Y11" i="44" s="1"/>
  <c r="L11" i="44"/>
  <c r="M11" i="44" s="1"/>
  <c r="N11" i="44" s="1"/>
  <c r="AJ10" i="44"/>
  <c r="AI10" i="44"/>
  <c r="AH10" i="44"/>
  <c r="W10" i="44"/>
  <c r="X10" i="44" s="1"/>
  <c r="Y10" i="44" s="1"/>
  <c r="L10" i="44"/>
  <c r="M10" i="44" s="1"/>
  <c r="N10" i="44" s="1"/>
  <c r="AJ9" i="44"/>
  <c r="AI9" i="44"/>
  <c r="AH9" i="44"/>
  <c r="W9" i="44"/>
  <c r="X9" i="44" s="1"/>
  <c r="Y9" i="44" s="1"/>
  <c r="L9" i="44"/>
  <c r="M9" i="44" s="1"/>
  <c r="N9" i="44" s="1"/>
  <c r="AJ8" i="44"/>
  <c r="AI8" i="44"/>
  <c r="AH8" i="44"/>
  <c r="W8" i="44"/>
  <c r="X8" i="44" s="1"/>
  <c r="Y8" i="44" s="1"/>
  <c r="L8" i="44"/>
  <c r="M8" i="44" s="1"/>
  <c r="N8" i="44" s="1"/>
  <c r="AJ7" i="44"/>
  <c r="AI7" i="44"/>
  <c r="AH7" i="44"/>
  <c r="W7" i="44"/>
  <c r="X7" i="44" s="1"/>
  <c r="Y7" i="44" s="1"/>
  <c r="L7" i="44"/>
  <c r="M7" i="44" s="1"/>
  <c r="N7" i="44" s="1"/>
  <c r="AJ6" i="44"/>
  <c r="AI6" i="44"/>
  <c r="AH6" i="44"/>
  <c r="W6" i="44"/>
  <c r="X6" i="44" s="1"/>
  <c r="Y6" i="44" s="1"/>
  <c r="L6" i="44"/>
  <c r="M6" i="44" s="1"/>
  <c r="N6" i="44" s="1"/>
  <c r="AJ5" i="44"/>
  <c r="AI5" i="44"/>
  <c r="AH5" i="44"/>
  <c r="W5" i="44"/>
  <c r="X5" i="44" s="1"/>
  <c r="Y5" i="44" s="1"/>
  <c r="L5" i="44"/>
  <c r="M5" i="44" s="1"/>
  <c r="N5" i="44" s="1"/>
  <c r="AJ4" i="44"/>
  <c r="AI4" i="44"/>
  <c r="AH4" i="44"/>
  <c r="W4" i="44"/>
  <c r="X4" i="44" s="1"/>
  <c r="Y4" i="44" s="1"/>
  <c r="L4" i="44"/>
  <c r="M4" i="44" s="1"/>
  <c r="N4" i="44" s="1"/>
  <c r="AJ3" i="44"/>
  <c r="AJ1" i="44" s="1"/>
  <c r="AI3" i="44"/>
  <c r="AH3" i="44"/>
  <c r="W3" i="44"/>
  <c r="X3" i="44" s="1"/>
  <c r="Y3" i="44" s="1"/>
  <c r="L3" i="44"/>
  <c r="M3" i="44" s="1"/>
  <c r="N3" i="44" s="1"/>
  <c r="AA1" i="44" a="1"/>
  <c r="AA1" i="44" s="1"/>
  <c r="P1" i="44" a="1"/>
  <c r="P1" i="44" s="1"/>
  <c r="E1" i="44" a="1"/>
  <c r="E1" i="44" s="1"/>
  <c r="A1" i="44" a="1"/>
  <c r="A1" i="44" s="1"/>
  <c r="Y1" i="44" l="1"/>
  <c r="Y1" i="45"/>
  <c r="N1" i="45"/>
  <c r="N1" i="44"/>
  <c r="AJ49" i="43"/>
  <c r="AI49" i="43"/>
  <c r="AH49" i="43"/>
  <c r="Y49" i="43"/>
  <c r="X49" i="43"/>
  <c r="W49" i="43"/>
  <c r="N49" i="43"/>
  <c r="M49" i="43"/>
  <c r="L49" i="43"/>
  <c r="AJ48" i="43"/>
  <c r="AI48" i="43"/>
  <c r="AH48" i="43"/>
  <c r="Y48" i="43"/>
  <c r="X48" i="43"/>
  <c r="W48" i="43"/>
  <c r="N48" i="43"/>
  <c r="M48" i="43"/>
  <c r="L48" i="43"/>
  <c r="AJ47" i="43"/>
  <c r="AI47" i="43"/>
  <c r="AH47" i="43"/>
  <c r="Y47" i="43"/>
  <c r="X47" i="43"/>
  <c r="W47" i="43"/>
  <c r="N47" i="43"/>
  <c r="M47" i="43"/>
  <c r="L47" i="43"/>
  <c r="AJ46" i="43"/>
  <c r="AI46" i="43"/>
  <c r="AH46" i="43"/>
  <c r="Y46" i="43"/>
  <c r="X46" i="43"/>
  <c r="W46" i="43"/>
  <c r="N46" i="43"/>
  <c r="M46" i="43"/>
  <c r="L46" i="43"/>
  <c r="AJ45" i="43"/>
  <c r="AI45" i="43"/>
  <c r="AH45" i="43"/>
  <c r="Y45" i="43"/>
  <c r="X45" i="43"/>
  <c r="W45" i="43"/>
  <c r="N45" i="43"/>
  <c r="M45" i="43"/>
  <c r="L45" i="43"/>
  <c r="AJ44" i="43"/>
  <c r="AI44" i="43"/>
  <c r="AH44" i="43"/>
  <c r="Y44" i="43"/>
  <c r="X44" i="43"/>
  <c r="W44" i="43"/>
  <c r="N44" i="43"/>
  <c r="M44" i="43"/>
  <c r="L44" i="43"/>
  <c r="AJ43" i="43"/>
  <c r="AI43" i="43"/>
  <c r="AH43" i="43"/>
  <c r="Y43" i="43"/>
  <c r="X43" i="43"/>
  <c r="W43" i="43"/>
  <c r="N43" i="43"/>
  <c r="M43" i="43"/>
  <c r="L43" i="43"/>
  <c r="AJ42" i="43"/>
  <c r="AI42" i="43"/>
  <c r="AH42" i="43"/>
  <c r="Y42" i="43"/>
  <c r="X42" i="43"/>
  <c r="W42" i="43"/>
  <c r="N42" i="43"/>
  <c r="M42" i="43"/>
  <c r="L42" i="43"/>
  <c r="AJ41" i="43"/>
  <c r="AI41" i="43"/>
  <c r="AH41" i="43"/>
  <c r="Y41" i="43"/>
  <c r="X41" i="43"/>
  <c r="W41" i="43"/>
  <c r="N41" i="43"/>
  <c r="M41" i="43"/>
  <c r="L41" i="43"/>
  <c r="AJ40" i="43"/>
  <c r="AI40" i="43"/>
  <c r="AH40" i="43"/>
  <c r="Y40" i="43"/>
  <c r="X40" i="43"/>
  <c r="W40" i="43"/>
  <c r="N40" i="43"/>
  <c r="M40" i="43"/>
  <c r="L40" i="43"/>
  <c r="AJ39" i="43"/>
  <c r="AI39" i="43"/>
  <c r="AH39" i="43"/>
  <c r="Y39" i="43"/>
  <c r="X39" i="43"/>
  <c r="W39" i="43"/>
  <c r="N39" i="43"/>
  <c r="M39" i="43"/>
  <c r="L39" i="43"/>
  <c r="AJ38" i="43"/>
  <c r="AI38" i="43"/>
  <c r="AH38" i="43"/>
  <c r="Y38" i="43"/>
  <c r="X38" i="43"/>
  <c r="W38" i="43"/>
  <c r="N38" i="43"/>
  <c r="M38" i="43"/>
  <c r="L38" i="43"/>
  <c r="AJ37" i="43"/>
  <c r="AI37" i="43"/>
  <c r="AH37" i="43"/>
  <c r="Y37" i="43"/>
  <c r="X37" i="43"/>
  <c r="W37" i="43"/>
  <c r="N37" i="43"/>
  <c r="M37" i="43"/>
  <c r="L37" i="43"/>
  <c r="AJ36" i="43"/>
  <c r="AI36" i="43"/>
  <c r="AH36" i="43"/>
  <c r="Y36" i="43"/>
  <c r="X36" i="43"/>
  <c r="W36" i="43"/>
  <c r="N36" i="43"/>
  <c r="M36" i="43"/>
  <c r="L36" i="43"/>
  <c r="AJ35" i="43"/>
  <c r="AI35" i="43"/>
  <c r="AH35" i="43"/>
  <c r="Y35" i="43"/>
  <c r="X35" i="43"/>
  <c r="W35" i="43"/>
  <c r="N35" i="43"/>
  <c r="M35" i="43"/>
  <c r="L35" i="43"/>
  <c r="AJ34" i="43"/>
  <c r="AI34" i="43"/>
  <c r="AH34" i="43"/>
  <c r="Y34" i="43"/>
  <c r="X34" i="43"/>
  <c r="W34" i="43"/>
  <c r="N34" i="43"/>
  <c r="M34" i="43"/>
  <c r="L34" i="43"/>
  <c r="AJ33" i="43"/>
  <c r="AI33" i="43"/>
  <c r="AH33" i="43"/>
  <c r="Y33" i="43"/>
  <c r="X33" i="43"/>
  <c r="W33" i="43"/>
  <c r="N33" i="43"/>
  <c r="M33" i="43"/>
  <c r="L33" i="43"/>
  <c r="AJ32" i="43"/>
  <c r="AI32" i="43"/>
  <c r="AH32" i="43"/>
  <c r="Y32" i="43"/>
  <c r="X32" i="43"/>
  <c r="W32" i="43"/>
  <c r="N32" i="43"/>
  <c r="M32" i="43"/>
  <c r="L32" i="43"/>
  <c r="AJ31" i="43"/>
  <c r="AI31" i="43"/>
  <c r="AH31" i="43"/>
  <c r="Y31" i="43"/>
  <c r="X31" i="43"/>
  <c r="W31" i="43"/>
  <c r="N31" i="43"/>
  <c r="M31" i="43"/>
  <c r="L31" i="43"/>
  <c r="AJ30" i="43"/>
  <c r="AI30" i="43"/>
  <c r="AH30" i="43"/>
  <c r="Y30" i="43"/>
  <c r="X30" i="43"/>
  <c r="W30" i="43"/>
  <c r="N30" i="43"/>
  <c r="M30" i="43"/>
  <c r="L30" i="43"/>
  <c r="AJ29" i="43"/>
  <c r="AI29" i="43"/>
  <c r="AH29" i="43"/>
  <c r="Y29" i="43"/>
  <c r="X29" i="43"/>
  <c r="W29" i="43"/>
  <c r="N29" i="43"/>
  <c r="M29" i="43"/>
  <c r="L29" i="43"/>
  <c r="AJ28" i="43"/>
  <c r="AI28" i="43"/>
  <c r="AH28" i="43"/>
  <c r="Y28" i="43"/>
  <c r="X28" i="43"/>
  <c r="W28" i="43"/>
  <c r="N28" i="43"/>
  <c r="M28" i="43"/>
  <c r="L28" i="43"/>
  <c r="AJ27" i="43"/>
  <c r="AI27" i="43"/>
  <c r="AH27" i="43"/>
  <c r="Y27" i="43"/>
  <c r="X27" i="43"/>
  <c r="W27" i="43"/>
  <c r="N27" i="43"/>
  <c r="M27" i="43"/>
  <c r="L27" i="43"/>
  <c r="AJ26" i="43"/>
  <c r="AI26" i="43"/>
  <c r="AH26" i="43"/>
  <c r="Y26" i="43"/>
  <c r="X26" i="43"/>
  <c r="W26" i="43"/>
  <c r="N26" i="43"/>
  <c r="M26" i="43"/>
  <c r="L26" i="43"/>
  <c r="AJ25" i="43"/>
  <c r="AI25" i="43"/>
  <c r="AH25" i="43"/>
  <c r="Y25" i="43"/>
  <c r="X25" i="43"/>
  <c r="W25" i="43"/>
  <c r="N25" i="43"/>
  <c r="M25" i="43"/>
  <c r="L25" i="43"/>
  <c r="AJ24" i="43"/>
  <c r="AI24" i="43"/>
  <c r="AH24" i="43"/>
  <c r="Y24" i="43"/>
  <c r="X24" i="43"/>
  <c r="W24" i="43"/>
  <c r="N24" i="43"/>
  <c r="M24" i="43"/>
  <c r="L24" i="43"/>
  <c r="AJ23" i="43"/>
  <c r="AI23" i="43"/>
  <c r="AH23" i="43"/>
  <c r="Y23" i="43"/>
  <c r="X23" i="43"/>
  <c r="W23" i="43"/>
  <c r="N23" i="43"/>
  <c r="M23" i="43"/>
  <c r="L23" i="43"/>
  <c r="AJ22" i="43"/>
  <c r="AI22" i="43"/>
  <c r="AH22" i="43"/>
  <c r="Y22" i="43"/>
  <c r="X22" i="43"/>
  <c r="W22" i="43"/>
  <c r="N22" i="43"/>
  <c r="M22" i="43"/>
  <c r="L22" i="43"/>
  <c r="AJ21" i="43"/>
  <c r="AI21" i="43"/>
  <c r="AH21" i="43"/>
  <c r="Y21" i="43"/>
  <c r="X21" i="43"/>
  <c r="W21" i="43"/>
  <c r="N21" i="43"/>
  <c r="M21" i="43"/>
  <c r="L21" i="43"/>
  <c r="AJ20" i="43"/>
  <c r="AI20" i="43"/>
  <c r="AH20" i="43"/>
  <c r="Y20" i="43"/>
  <c r="X20" i="43"/>
  <c r="W20" i="43"/>
  <c r="N20" i="43"/>
  <c r="M20" i="43"/>
  <c r="L20" i="43"/>
  <c r="AJ19" i="43"/>
  <c r="AI19" i="43"/>
  <c r="AH19" i="43"/>
  <c r="Y19" i="43"/>
  <c r="X19" i="43"/>
  <c r="W19" i="43"/>
  <c r="N19" i="43"/>
  <c r="M19" i="43"/>
  <c r="L19" i="43"/>
  <c r="AJ18" i="43"/>
  <c r="AI18" i="43"/>
  <c r="AH18" i="43"/>
  <c r="Y18" i="43"/>
  <c r="X18" i="43"/>
  <c r="W18" i="43"/>
  <c r="N18" i="43"/>
  <c r="M18" i="43"/>
  <c r="L18" i="43"/>
  <c r="AJ17" i="43"/>
  <c r="AI17" i="43"/>
  <c r="AH17" i="43"/>
  <c r="Y17" i="43"/>
  <c r="X17" i="43"/>
  <c r="W17" i="43"/>
  <c r="N17" i="43"/>
  <c r="M17" i="43"/>
  <c r="L17" i="43"/>
  <c r="AJ16" i="43"/>
  <c r="AI16" i="43"/>
  <c r="AH16" i="43"/>
  <c r="Y16" i="43"/>
  <c r="X16" i="43"/>
  <c r="W16" i="43"/>
  <c r="N16" i="43"/>
  <c r="M16" i="43"/>
  <c r="L16" i="43"/>
  <c r="AJ15" i="43"/>
  <c r="AI15" i="43"/>
  <c r="AH15" i="43"/>
  <c r="Y15" i="43"/>
  <c r="X15" i="43"/>
  <c r="W15" i="43"/>
  <c r="N15" i="43"/>
  <c r="M15" i="43"/>
  <c r="L15" i="43"/>
  <c r="AJ14" i="43"/>
  <c r="AI14" i="43"/>
  <c r="AH14" i="43"/>
  <c r="Y14" i="43"/>
  <c r="X14" i="43"/>
  <c r="W14" i="43"/>
  <c r="L14" i="43"/>
  <c r="M14" i="43" s="1"/>
  <c r="N14" i="43" s="1"/>
  <c r="AJ13" i="43"/>
  <c r="AI13" i="43"/>
  <c r="AH13" i="43"/>
  <c r="Y13" i="43"/>
  <c r="X13" i="43"/>
  <c r="W13" i="43"/>
  <c r="L13" i="43"/>
  <c r="M13" i="43" s="1"/>
  <c r="N13" i="43" s="1"/>
  <c r="AJ12" i="43"/>
  <c r="AI12" i="43"/>
  <c r="AH12" i="43"/>
  <c r="Y12" i="43"/>
  <c r="X12" i="43"/>
  <c r="W12" i="43"/>
  <c r="L12" i="43"/>
  <c r="M12" i="43" s="1"/>
  <c r="N12" i="43" s="1"/>
  <c r="AJ11" i="43"/>
  <c r="AI11" i="43"/>
  <c r="AH11" i="43"/>
  <c r="Y11" i="43"/>
  <c r="X11" i="43"/>
  <c r="W11" i="43"/>
  <c r="L11" i="43"/>
  <c r="M11" i="43" s="1"/>
  <c r="N11" i="43" s="1"/>
  <c r="AJ10" i="43"/>
  <c r="AI10" i="43"/>
  <c r="AH10" i="43"/>
  <c r="Y10" i="43"/>
  <c r="X10" i="43"/>
  <c r="W10" i="43"/>
  <c r="L10" i="43"/>
  <c r="M10" i="43" s="1"/>
  <c r="N10" i="43" s="1"/>
  <c r="AJ9" i="43"/>
  <c r="AI9" i="43"/>
  <c r="AH9" i="43"/>
  <c r="Y9" i="43"/>
  <c r="X9" i="43"/>
  <c r="W9" i="43"/>
  <c r="L9" i="43"/>
  <c r="M9" i="43" s="1"/>
  <c r="N9" i="43" s="1"/>
  <c r="AJ8" i="43"/>
  <c r="AI8" i="43"/>
  <c r="AH8" i="43"/>
  <c r="Y8" i="43"/>
  <c r="X8" i="43"/>
  <c r="W8" i="43"/>
  <c r="L8" i="43"/>
  <c r="M8" i="43" s="1"/>
  <c r="N8" i="43" s="1"/>
  <c r="AJ7" i="43"/>
  <c r="AI7" i="43"/>
  <c r="AH7" i="43"/>
  <c r="Y7" i="43"/>
  <c r="X7" i="43"/>
  <c r="W7" i="43"/>
  <c r="L7" i="43"/>
  <c r="M7" i="43" s="1"/>
  <c r="N7" i="43" s="1"/>
  <c r="AJ6" i="43"/>
  <c r="AI6" i="43"/>
  <c r="AH6" i="43"/>
  <c r="Y6" i="43"/>
  <c r="X6" i="43"/>
  <c r="W6" i="43"/>
  <c r="L6" i="43"/>
  <c r="M6" i="43" s="1"/>
  <c r="N6" i="43" s="1"/>
  <c r="AJ5" i="43"/>
  <c r="AI5" i="43"/>
  <c r="AH5" i="43"/>
  <c r="W5" i="43"/>
  <c r="X5" i="43" s="1"/>
  <c r="Y5" i="43" s="1"/>
  <c r="L5" i="43"/>
  <c r="M5" i="43" s="1"/>
  <c r="N5" i="43" s="1"/>
  <c r="AJ4" i="43"/>
  <c r="AI4" i="43"/>
  <c r="AH4" i="43"/>
  <c r="W4" i="43"/>
  <c r="X4" i="43" s="1"/>
  <c r="Y4" i="43" s="1"/>
  <c r="L4" i="43"/>
  <c r="M4" i="43" s="1"/>
  <c r="N4" i="43" s="1"/>
  <c r="AJ3" i="43"/>
  <c r="AJ1" i="43" s="1"/>
  <c r="AI3" i="43"/>
  <c r="AH3" i="43"/>
  <c r="W3" i="43"/>
  <c r="X3" i="43" s="1"/>
  <c r="Y3" i="43" s="1"/>
  <c r="L3" i="43"/>
  <c r="M3" i="43" s="1"/>
  <c r="N3" i="43" s="1"/>
  <c r="AA1" i="43" a="1"/>
  <c r="AA1" i="43" s="1"/>
  <c r="P1" i="43" a="1"/>
  <c r="P1" i="43" s="1"/>
  <c r="E1" i="43" a="1"/>
  <c r="E1" i="43" s="1"/>
  <c r="A1" i="43" a="1"/>
  <c r="A1" i="43" s="1"/>
  <c r="AJ49" i="42"/>
  <c r="AI49" i="42"/>
  <c r="AH49" i="42"/>
  <c r="Y49" i="42"/>
  <c r="X49" i="42"/>
  <c r="W49" i="42"/>
  <c r="N49" i="42"/>
  <c r="M49" i="42"/>
  <c r="L49" i="42"/>
  <c r="AJ48" i="42"/>
  <c r="AI48" i="42"/>
  <c r="AH48" i="42"/>
  <c r="Y48" i="42"/>
  <c r="X48" i="42"/>
  <c r="W48" i="42"/>
  <c r="N48" i="42"/>
  <c r="M48" i="42"/>
  <c r="L48" i="42"/>
  <c r="AJ47" i="42"/>
  <c r="AI47" i="42"/>
  <c r="AH47" i="42"/>
  <c r="Y47" i="42"/>
  <c r="X47" i="42"/>
  <c r="W47" i="42"/>
  <c r="N47" i="42"/>
  <c r="M47" i="42"/>
  <c r="L47" i="42"/>
  <c r="AJ46" i="42"/>
  <c r="AI46" i="42"/>
  <c r="AH46" i="42"/>
  <c r="Y46" i="42"/>
  <c r="X46" i="42"/>
  <c r="W46" i="42"/>
  <c r="N46" i="42"/>
  <c r="M46" i="42"/>
  <c r="L46" i="42"/>
  <c r="AJ45" i="42"/>
  <c r="AI45" i="42"/>
  <c r="AH45" i="42"/>
  <c r="Y45" i="42"/>
  <c r="X45" i="42"/>
  <c r="W45" i="42"/>
  <c r="N45" i="42"/>
  <c r="M45" i="42"/>
  <c r="L45" i="42"/>
  <c r="AJ44" i="42"/>
  <c r="AI44" i="42"/>
  <c r="AH44" i="42"/>
  <c r="Y44" i="42"/>
  <c r="X44" i="42"/>
  <c r="W44" i="42"/>
  <c r="N44" i="42"/>
  <c r="M44" i="42"/>
  <c r="L44" i="42"/>
  <c r="AJ43" i="42"/>
  <c r="AI43" i="42"/>
  <c r="AH43" i="42"/>
  <c r="Y43" i="42"/>
  <c r="X43" i="42"/>
  <c r="W43" i="42"/>
  <c r="N43" i="42"/>
  <c r="M43" i="42"/>
  <c r="L43" i="42"/>
  <c r="AJ42" i="42"/>
  <c r="AI42" i="42"/>
  <c r="AH42" i="42"/>
  <c r="Y42" i="42"/>
  <c r="X42" i="42"/>
  <c r="W42" i="42"/>
  <c r="N42" i="42"/>
  <c r="M42" i="42"/>
  <c r="L42" i="42"/>
  <c r="AJ41" i="42"/>
  <c r="AI41" i="42"/>
  <c r="AH41" i="42"/>
  <c r="Y41" i="42"/>
  <c r="X41" i="42"/>
  <c r="W41" i="42"/>
  <c r="N41" i="42"/>
  <c r="M41" i="42"/>
  <c r="L41" i="42"/>
  <c r="AJ40" i="42"/>
  <c r="AI40" i="42"/>
  <c r="AH40" i="42"/>
  <c r="Y40" i="42"/>
  <c r="X40" i="42"/>
  <c r="W40" i="42"/>
  <c r="N40" i="42"/>
  <c r="M40" i="42"/>
  <c r="L40" i="42"/>
  <c r="AJ39" i="42"/>
  <c r="AI39" i="42"/>
  <c r="AH39" i="42"/>
  <c r="Y39" i="42"/>
  <c r="X39" i="42"/>
  <c r="W39" i="42"/>
  <c r="N39" i="42"/>
  <c r="M39" i="42"/>
  <c r="L39" i="42"/>
  <c r="AJ38" i="42"/>
  <c r="AI38" i="42"/>
  <c r="AH38" i="42"/>
  <c r="Y38" i="42"/>
  <c r="X38" i="42"/>
  <c r="W38" i="42"/>
  <c r="N38" i="42"/>
  <c r="M38" i="42"/>
  <c r="L38" i="42"/>
  <c r="AJ37" i="42"/>
  <c r="AI37" i="42"/>
  <c r="AH37" i="42"/>
  <c r="Y37" i="42"/>
  <c r="X37" i="42"/>
  <c r="W37" i="42"/>
  <c r="N37" i="42"/>
  <c r="M37" i="42"/>
  <c r="L37" i="42"/>
  <c r="AJ36" i="42"/>
  <c r="AI36" i="42"/>
  <c r="AH36" i="42"/>
  <c r="Y36" i="42"/>
  <c r="X36" i="42"/>
  <c r="W36" i="42"/>
  <c r="N36" i="42"/>
  <c r="M36" i="42"/>
  <c r="L36" i="42"/>
  <c r="AJ35" i="42"/>
  <c r="AI35" i="42"/>
  <c r="AH35" i="42"/>
  <c r="Y35" i="42"/>
  <c r="X35" i="42"/>
  <c r="W35" i="42"/>
  <c r="N35" i="42"/>
  <c r="M35" i="42"/>
  <c r="L35" i="42"/>
  <c r="AJ34" i="42"/>
  <c r="AI34" i="42"/>
  <c r="AH34" i="42"/>
  <c r="Y34" i="42"/>
  <c r="X34" i="42"/>
  <c r="W34" i="42"/>
  <c r="N34" i="42"/>
  <c r="M34" i="42"/>
  <c r="L34" i="42"/>
  <c r="AJ33" i="42"/>
  <c r="AI33" i="42"/>
  <c r="AH33" i="42"/>
  <c r="Y33" i="42"/>
  <c r="X33" i="42"/>
  <c r="W33" i="42"/>
  <c r="N33" i="42"/>
  <c r="M33" i="42"/>
  <c r="L33" i="42"/>
  <c r="AJ32" i="42"/>
  <c r="AI32" i="42"/>
  <c r="AH32" i="42"/>
  <c r="Y32" i="42"/>
  <c r="X32" i="42"/>
  <c r="W32" i="42"/>
  <c r="N32" i="42"/>
  <c r="M32" i="42"/>
  <c r="L32" i="42"/>
  <c r="AJ31" i="42"/>
  <c r="AI31" i="42"/>
  <c r="AH31" i="42"/>
  <c r="Y31" i="42"/>
  <c r="X31" i="42"/>
  <c r="W31" i="42"/>
  <c r="N31" i="42"/>
  <c r="M31" i="42"/>
  <c r="L31" i="42"/>
  <c r="AJ30" i="42"/>
  <c r="AI30" i="42"/>
  <c r="AH30" i="42"/>
  <c r="Y30" i="42"/>
  <c r="X30" i="42"/>
  <c r="W30" i="42"/>
  <c r="N30" i="42"/>
  <c r="M30" i="42"/>
  <c r="L30" i="42"/>
  <c r="AJ29" i="42"/>
  <c r="AI29" i="42"/>
  <c r="AH29" i="42"/>
  <c r="Y29" i="42"/>
  <c r="X29" i="42"/>
  <c r="W29" i="42"/>
  <c r="N29" i="42"/>
  <c r="M29" i="42"/>
  <c r="L29" i="42"/>
  <c r="AJ28" i="42"/>
  <c r="AI28" i="42"/>
  <c r="AH28" i="42"/>
  <c r="Y28" i="42"/>
  <c r="X28" i="42"/>
  <c r="W28" i="42"/>
  <c r="N28" i="42"/>
  <c r="M28" i="42"/>
  <c r="L28" i="42"/>
  <c r="AJ27" i="42"/>
  <c r="AI27" i="42"/>
  <c r="AH27" i="42"/>
  <c r="Y27" i="42"/>
  <c r="X27" i="42"/>
  <c r="W27" i="42"/>
  <c r="N27" i="42"/>
  <c r="M27" i="42"/>
  <c r="L27" i="42"/>
  <c r="AJ26" i="42"/>
  <c r="AI26" i="42"/>
  <c r="AH26" i="42"/>
  <c r="Y26" i="42"/>
  <c r="X26" i="42"/>
  <c r="W26" i="42"/>
  <c r="N26" i="42"/>
  <c r="M26" i="42"/>
  <c r="L26" i="42"/>
  <c r="AJ25" i="42"/>
  <c r="AI25" i="42"/>
  <c r="AH25" i="42"/>
  <c r="Y25" i="42"/>
  <c r="X25" i="42"/>
  <c r="W25" i="42"/>
  <c r="N25" i="42"/>
  <c r="M25" i="42"/>
  <c r="L25" i="42"/>
  <c r="AJ24" i="42"/>
  <c r="AI24" i="42"/>
  <c r="AH24" i="42"/>
  <c r="Y24" i="42"/>
  <c r="X24" i="42"/>
  <c r="W24" i="42"/>
  <c r="M24" i="42"/>
  <c r="N24" i="42" s="1"/>
  <c r="L24" i="42"/>
  <c r="AJ23" i="42"/>
  <c r="AI23" i="42"/>
  <c r="AH23" i="42"/>
  <c r="Y23" i="42"/>
  <c r="X23" i="42"/>
  <c r="W23" i="42"/>
  <c r="L23" i="42"/>
  <c r="M23" i="42" s="1"/>
  <c r="N23" i="42" s="1"/>
  <c r="AJ22" i="42"/>
  <c r="AI22" i="42"/>
  <c r="AH22" i="42"/>
  <c r="Y22" i="42"/>
  <c r="X22" i="42"/>
  <c r="W22" i="42"/>
  <c r="L22" i="42"/>
  <c r="M22" i="42" s="1"/>
  <c r="N22" i="42" s="1"/>
  <c r="AJ21" i="42"/>
  <c r="AI21" i="42"/>
  <c r="AH21" i="42"/>
  <c r="Y21" i="42"/>
  <c r="X21" i="42"/>
  <c r="W21" i="42"/>
  <c r="L21" i="42"/>
  <c r="M21" i="42" s="1"/>
  <c r="N21" i="42" s="1"/>
  <c r="AJ20" i="42"/>
  <c r="AI20" i="42"/>
  <c r="AH20" i="42"/>
  <c r="Y20" i="42"/>
  <c r="X20" i="42"/>
  <c r="W20" i="42"/>
  <c r="L20" i="42"/>
  <c r="M20" i="42" s="1"/>
  <c r="N20" i="42" s="1"/>
  <c r="AJ19" i="42"/>
  <c r="AI19" i="42"/>
  <c r="AH19" i="42"/>
  <c r="Y19" i="42"/>
  <c r="X19" i="42"/>
  <c r="W19" i="42"/>
  <c r="L19" i="42"/>
  <c r="M19" i="42" s="1"/>
  <c r="N19" i="42" s="1"/>
  <c r="AJ18" i="42"/>
  <c r="AI18" i="42"/>
  <c r="AH18" i="42"/>
  <c r="Y18" i="42"/>
  <c r="X18" i="42"/>
  <c r="W18" i="42"/>
  <c r="L18" i="42"/>
  <c r="M18" i="42" s="1"/>
  <c r="N18" i="42" s="1"/>
  <c r="AJ17" i="42"/>
  <c r="AI17" i="42"/>
  <c r="AH17" i="42"/>
  <c r="Y17" i="42"/>
  <c r="X17" i="42"/>
  <c r="W17" i="42"/>
  <c r="L17" i="42"/>
  <c r="M17" i="42" s="1"/>
  <c r="N17" i="42" s="1"/>
  <c r="AJ16" i="42"/>
  <c r="AI16" i="42"/>
  <c r="AH16" i="42"/>
  <c r="Y16" i="42"/>
  <c r="X16" i="42"/>
  <c r="W16" i="42"/>
  <c r="L16" i="42"/>
  <c r="M16" i="42" s="1"/>
  <c r="N16" i="42" s="1"/>
  <c r="AJ15" i="42"/>
  <c r="AI15" i="42"/>
  <c r="AH15" i="42"/>
  <c r="Y15" i="42"/>
  <c r="X15" i="42"/>
  <c r="W15" i="42"/>
  <c r="L15" i="42"/>
  <c r="M15" i="42" s="1"/>
  <c r="N15" i="42" s="1"/>
  <c r="AJ14" i="42"/>
  <c r="AI14" i="42"/>
  <c r="AH14" i="42"/>
  <c r="Y14" i="42"/>
  <c r="X14" i="42"/>
  <c r="W14" i="42"/>
  <c r="L14" i="42"/>
  <c r="M14" i="42" s="1"/>
  <c r="N14" i="42" s="1"/>
  <c r="AJ13" i="42"/>
  <c r="AI13" i="42"/>
  <c r="AH13" i="42"/>
  <c r="W13" i="42"/>
  <c r="X13" i="42" s="1"/>
  <c r="Y13" i="42" s="1"/>
  <c r="L13" i="42"/>
  <c r="M13" i="42" s="1"/>
  <c r="N13" i="42" s="1"/>
  <c r="AJ12" i="42"/>
  <c r="AI12" i="42"/>
  <c r="AH12" i="42"/>
  <c r="W12" i="42"/>
  <c r="X12" i="42" s="1"/>
  <c r="Y12" i="42" s="1"/>
  <c r="L12" i="42"/>
  <c r="M12" i="42" s="1"/>
  <c r="N12" i="42" s="1"/>
  <c r="AJ11" i="42"/>
  <c r="AI11" i="42"/>
  <c r="AH11" i="42"/>
  <c r="X11" i="42"/>
  <c r="Y11" i="42" s="1"/>
  <c r="W11" i="42"/>
  <c r="L11" i="42"/>
  <c r="M11" i="42" s="1"/>
  <c r="N11" i="42" s="1"/>
  <c r="AJ10" i="42"/>
  <c r="AI10" i="42"/>
  <c r="AH10" i="42"/>
  <c r="W10" i="42"/>
  <c r="X10" i="42" s="1"/>
  <c r="Y10" i="42" s="1"/>
  <c r="L10" i="42"/>
  <c r="M10" i="42" s="1"/>
  <c r="N10" i="42" s="1"/>
  <c r="AJ9" i="42"/>
  <c r="AI9" i="42"/>
  <c r="AH9" i="42"/>
  <c r="W9" i="42"/>
  <c r="X9" i="42" s="1"/>
  <c r="Y9" i="42" s="1"/>
  <c r="L9" i="42"/>
  <c r="M9" i="42" s="1"/>
  <c r="N9" i="42" s="1"/>
  <c r="AJ8" i="42"/>
  <c r="AI8" i="42"/>
  <c r="AH8" i="42"/>
  <c r="W8" i="42"/>
  <c r="X8" i="42" s="1"/>
  <c r="Y8" i="42" s="1"/>
  <c r="L8" i="42"/>
  <c r="M8" i="42" s="1"/>
  <c r="N8" i="42" s="1"/>
  <c r="AJ7" i="42"/>
  <c r="AI7" i="42"/>
  <c r="AH7" i="42"/>
  <c r="X7" i="42"/>
  <c r="Y7" i="42" s="1"/>
  <c r="W7" i="42"/>
  <c r="L7" i="42"/>
  <c r="M7" i="42" s="1"/>
  <c r="N7" i="42" s="1"/>
  <c r="AJ6" i="42"/>
  <c r="AI6" i="42"/>
  <c r="AH6" i="42"/>
  <c r="W6" i="42"/>
  <c r="X6" i="42" s="1"/>
  <c r="Y6" i="42" s="1"/>
  <c r="L6" i="42"/>
  <c r="M6" i="42" s="1"/>
  <c r="N6" i="42" s="1"/>
  <c r="AJ5" i="42"/>
  <c r="AI5" i="42"/>
  <c r="AH5" i="42"/>
  <c r="W5" i="42"/>
  <c r="X5" i="42" s="1"/>
  <c r="Y5" i="42" s="1"/>
  <c r="L5" i="42"/>
  <c r="M5" i="42" s="1"/>
  <c r="N5" i="42" s="1"/>
  <c r="AJ4" i="42"/>
  <c r="AI4" i="42"/>
  <c r="AH4" i="42"/>
  <c r="W4" i="42"/>
  <c r="X4" i="42" s="1"/>
  <c r="Y4" i="42" s="1"/>
  <c r="L4" i="42"/>
  <c r="M4" i="42" s="1"/>
  <c r="N4" i="42" s="1"/>
  <c r="AJ3" i="42"/>
  <c r="AJ1" i="42" s="1"/>
  <c r="AI3" i="42"/>
  <c r="AH3" i="42"/>
  <c r="W3" i="42"/>
  <c r="X3" i="42" s="1"/>
  <c r="Y3" i="42" s="1"/>
  <c r="L3" i="42"/>
  <c r="M3" i="42" s="1"/>
  <c r="N3" i="42" s="1"/>
  <c r="AA1" i="42" a="1"/>
  <c r="AA1" i="42" s="1"/>
  <c r="P1" i="42" a="1"/>
  <c r="P1" i="42" s="1"/>
  <c r="E1" i="42" a="1"/>
  <c r="E1" i="42" s="1"/>
  <c r="A1" i="42" a="1"/>
  <c r="A1" i="42" s="1"/>
  <c r="AJ49" i="41"/>
  <c r="AI49" i="41"/>
  <c r="AH49" i="41"/>
  <c r="Y49" i="41"/>
  <c r="X49" i="41"/>
  <c r="W49" i="41"/>
  <c r="N49" i="41"/>
  <c r="M49" i="41"/>
  <c r="L49" i="41"/>
  <c r="AJ48" i="41"/>
  <c r="AI48" i="41"/>
  <c r="AH48" i="41"/>
  <c r="Y48" i="41"/>
  <c r="X48" i="41"/>
  <c r="W48" i="41"/>
  <c r="N48" i="41"/>
  <c r="M48" i="41"/>
  <c r="L48" i="41"/>
  <c r="AJ47" i="41"/>
  <c r="AI47" i="41"/>
  <c r="AH47" i="41"/>
  <c r="Y47" i="41"/>
  <c r="X47" i="41"/>
  <c r="W47" i="41"/>
  <c r="N47" i="41"/>
  <c r="M47" i="41"/>
  <c r="L47" i="41"/>
  <c r="AJ46" i="41"/>
  <c r="AI46" i="41"/>
  <c r="AH46" i="41"/>
  <c r="Y46" i="41"/>
  <c r="X46" i="41"/>
  <c r="W46" i="41"/>
  <c r="N46" i="41"/>
  <c r="M46" i="41"/>
  <c r="L46" i="41"/>
  <c r="AJ45" i="41"/>
  <c r="AI45" i="41"/>
  <c r="AH45" i="41"/>
  <c r="Y45" i="41"/>
  <c r="X45" i="41"/>
  <c r="W45" i="41"/>
  <c r="N45" i="41"/>
  <c r="M45" i="41"/>
  <c r="L45" i="41"/>
  <c r="AJ44" i="41"/>
  <c r="AI44" i="41"/>
  <c r="AH44" i="41"/>
  <c r="Y44" i="41"/>
  <c r="X44" i="41"/>
  <c r="W44" i="41"/>
  <c r="N44" i="41"/>
  <c r="M44" i="41"/>
  <c r="L44" i="41"/>
  <c r="AJ43" i="41"/>
  <c r="AI43" i="41"/>
  <c r="AH43" i="41"/>
  <c r="Y43" i="41"/>
  <c r="X43" i="41"/>
  <c r="W43" i="41"/>
  <c r="N43" i="41"/>
  <c r="M43" i="41"/>
  <c r="L43" i="41"/>
  <c r="AJ42" i="41"/>
  <c r="AI42" i="41"/>
  <c r="AH42" i="41"/>
  <c r="Y42" i="41"/>
  <c r="X42" i="41"/>
  <c r="W42" i="41"/>
  <c r="N42" i="41"/>
  <c r="M42" i="41"/>
  <c r="L42" i="41"/>
  <c r="AJ41" i="41"/>
  <c r="AI41" i="41"/>
  <c r="AH41" i="41"/>
  <c r="Y41" i="41"/>
  <c r="X41" i="41"/>
  <c r="W41" i="41"/>
  <c r="N41" i="41"/>
  <c r="M41" i="41"/>
  <c r="L41" i="41"/>
  <c r="AJ40" i="41"/>
  <c r="AI40" i="41"/>
  <c r="AH40" i="41"/>
  <c r="Y40" i="41"/>
  <c r="X40" i="41"/>
  <c r="W40" i="41"/>
  <c r="N40" i="41"/>
  <c r="M40" i="41"/>
  <c r="L40" i="41"/>
  <c r="AJ39" i="41"/>
  <c r="AI39" i="41"/>
  <c r="AH39" i="41"/>
  <c r="Y39" i="41"/>
  <c r="X39" i="41"/>
  <c r="W39" i="41"/>
  <c r="N39" i="41"/>
  <c r="M39" i="41"/>
  <c r="L39" i="41"/>
  <c r="AJ38" i="41"/>
  <c r="AI38" i="41"/>
  <c r="AH38" i="41"/>
  <c r="Y38" i="41"/>
  <c r="X38" i="41"/>
  <c r="W38" i="41"/>
  <c r="N38" i="41"/>
  <c r="M38" i="41"/>
  <c r="L38" i="41"/>
  <c r="AJ37" i="41"/>
  <c r="AI37" i="41"/>
  <c r="AH37" i="41"/>
  <c r="Y37" i="41"/>
  <c r="X37" i="41"/>
  <c r="W37" i="41"/>
  <c r="N37" i="41"/>
  <c r="M37" i="41"/>
  <c r="L37" i="41"/>
  <c r="AJ36" i="41"/>
  <c r="AI36" i="41"/>
  <c r="AH36" i="41"/>
  <c r="Y36" i="41"/>
  <c r="X36" i="41"/>
  <c r="W36" i="41"/>
  <c r="N36" i="41"/>
  <c r="M36" i="41"/>
  <c r="L36" i="41"/>
  <c r="AJ35" i="41"/>
  <c r="AI35" i="41"/>
  <c r="AH35" i="41"/>
  <c r="Y35" i="41"/>
  <c r="X35" i="41"/>
  <c r="W35" i="41"/>
  <c r="N35" i="41"/>
  <c r="M35" i="41"/>
  <c r="L35" i="41"/>
  <c r="AJ34" i="41"/>
  <c r="AI34" i="41"/>
  <c r="AH34" i="41"/>
  <c r="Y34" i="41"/>
  <c r="X34" i="41"/>
  <c r="W34" i="41"/>
  <c r="N34" i="41"/>
  <c r="M34" i="41"/>
  <c r="L34" i="41"/>
  <c r="AJ33" i="41"/>
  <c r="AI33" i="41"/>
  <c r="AH33" i="41"/>
  <c r="Y33" i="41"/>
  <c r="X33" i="41"/>
  <c r="W33" i="41"/>
  <c r="N33" i="41"/>
  <c r="M33" i="41"/>
  <c r="L33" i="41"/>
  <c r="AJ32" i="41"/>
  <c r="AI32" i="41"/>
  <c r="AH32" i="41"/>
  <c r="Y32" i="41"/>
  <c r="X32" i="41"/>
  <c r="W32" i="41"/>
  <c r="N32" i="41"/>
  <c r="M32" i="41"/>
  <c r="L32" i="41"/>
  <c r="AJ31" i="41"/>
  <c r="AI31" i="41"/>
  <c r="AH31" i="41"/>
  <c r="Y31" i="41"/>
  <c r="X31" i="41"/>
  <c r="W31" i="41"/>
  <c r="N31" i="41"/>
  <c r="M31" i="41"/>
  <c r="L31" i="41"/>
  <c r="AJ30" i="41"/>
  <c r="AI30" i="41"/>
  <c r="AH30" i="41"/>
  <c r="Y30" i="41"/>
  <c r="X30" i="41"/>
  <c r="W30" i="41"/>
  <c r="N30" i="41"/>
  <c r="M30" i="41"/>
  <c r="L30" i="41"/>
  <c r="AJ29" i="41"/>
  <c r="AI29" i="41"/>
  <c r="AH29" i="41"/>
  <c r="Y29" i="41"/>
  <c r="X29" i="41"/>
  <c r="W29" i="41"/>
  <c r="N29" i="41"/>
  <c r="M29" i="41"/>
  <c r="L29" i="41"/>
  <c r="AJ28" i="41"/>
  <c r="AI28" i="41"/>
  <c r="AH28" i="41"/>
  <c r="Y28" i="41"/>
  <c r="X28" i="41"/>
  <c r="W28" i="41"/>
  <c r="N28" i="41"/>
  <c r="M28" i="41"/>
  <c r="L28" i="41"/>
  <c r="AJ27" i="41"/>
  <c r="AI27" i="41"/>
  <c r="AH27" i="41"/>
  <c r="Y27" i="41"/>
  <c r="X27" i="41"/>
  <c r="W27" i="41"/>
  <c r="N27" i="41"/>
  <c r="M27" i="41"/>
  <c r="L27" i="41"/>
  <c r="AJ26" i="41"/>
  <c r="AI26" i="41"/>
  <c r="AH26" i="41"/>
  <c r="Y26" i="41"/>
  <c r="X26" i="41"/>
  <c r="W26" i="41"/>
  <c r="N26" i="41"/>
  <c r="M26" i="41"/>
  <c r="L26" i="41"/>
  <c r="AJ25" i="41"/>
  <c r="AI25" i="41"/>
  <c r="AH25" i="41"/>
  <c r="Y25" i="41"/>
  <c r="X25" i="41"/>
  <c r="W25" i="41"/>
  <c r="N25" i="41"/>
  <c r="M25" i="41"/>
  <c r="L25" i="41"/>
  <c r="AJ24" i="41"/>
  <c r="AI24" i="41"/>
  <c r="AH24" i="41"/>
  <c r="Y24" i="41"/>
  <c r="X24" i="41"/>
  <c r="W24" i="41"/>
  <c r="N24" i="41"/>
  <c r="M24" i="41"/>
  <c r="L24" i="41"/>
  <c r="AJ23" i="41"/>
  <c r="AI23" i="41"/>
  <c r="AH23" i="41"/>
  <c r="Y23" i="41"/>
  <c r="X23" i="41"/>
  <c r="W23" i="41"/>
  <c r="N23" i="41"/>
  <c r="M23" i="41"/>
  <c r="L23" i="41"/>
  <c r="AJ22" i="41"/>
  <c r="AI22" i="41"/>
  <c r="AH22" i="41"/>
  <c r="Y22" i="41"/>
  <c r="X22" i="41"/>
  <c r="W22" i="41"/>
  <c r="N22" i="41"/>
  <c r="M22" i="41"/>
  <c r="L22" i="41"/>
  <c r="AJ21" i="41"/>
  <c r="AI21" i="41"/>
  <c r="AH21" i="41"/>
  <c r="Y21" i="41"/>
  <c r="X21" i="41"/>
  <c r="W21" i="41"/>
  <c r="N21" i="41"/>
  <c r="M21" i="41"/>
  <c r="L21" i="41"/>
  <c r="AJ20" i="41"/>
  <c r="AI20" i="41"/>
  <c r="AH20" i="41"/>
  <c r="Y20" i="41"/>
  <c r="X20" i="41"/>
  <c r="W20" i="41"/>
  <c r="N20" i="41"/>
  <c r="M20" i="41"/>
  <c r="L20" i="41"/>
  <c r="AJ19" i="41"/>
  <c r="AI19" i="41"/>
  <c r="AH19" i="41"/>
  <c r="Y19" i="41"/>
  <c r="X19" i="41"/>
  <c r="W19" i="41"/>
  <c r="N19" i="41"/>
  <c r="M19" i="41"/>
  <c r="L19" i="41"/>
  <c r="AJ18" i="41"/>
  <c r="AI18" i="41"/>
  <c r="AH18" i="41"/>
  <c r="Y18" i="41"/>
  <c r="X18" i="41"/>
  <c r="W18" i="41"/>
  <c r="N18" i="41"/>
  <c r="M18" i="41"/>
  <c r="L18" i="41"/>
  <c r="AJ17" i="41"/>
  <c r="AI17" i="41"/>
  <c r="AH17" i="41"/>
  <c r="Y17" i="41"/>
  <c r="X17" i="41"/>
  <c r="W17" i="41"/>
  <c r="N17" i="41"/>
  <c r="M17" i="41"/>
  <c r="L17" i="41"/>
  <c r="AJ16" i="41"/>
  <c r="AI16" i="41"/>
  <c r="AH16" i="41"/>
  <c r="Y16" i="41"/>
  <c r="X16" i="41"/>
  <c r="W16" i="41"/>
  <c r="N16" i="41"/>
  <c r="M16" i="41"/>
  <c r="L16" i="41"/>
  <c r="AJ15" i="41"/>
  <c r="AI15" i="41"/>
  <c r="AH15" i="41"/>
  <c r="Y15" i="41"/>
  <c r="X15" i="41"/>
  <c r="W15" i="41"/>
  <c r="N15" i="41"/>
  <c r="M15" i="41"/>
  <c r="L15" i="41"/>
  <c r="AJ14" i="41"/>
  <c r="AI14" i="41"/>
  <c r="AH14" i="41"/>
  <c r="Y14" i="41"/>
  <c r="X14" i="41"/>
  <c r="W14" i="41"/>
  <c r="N14" i="41"/>
  <c r="M14" i="41"/>
  <c r="L14" i="41"/>
  <c r="AJ13" i="41"/>
  <c r="AI13" i="41"/>
  <c r="AH13" i="41"/>
  <c r="Y13" i="41"/>
  <c r="X13" i="41"/>
  <c r="W13" i="41"/>
  <c r="L13" i="41"/>
  <c r="M13" i="41" s="1"/>
  <c r="N13" i="41" s="1"/>
  <c r="AJ12" i="41"/>
  <c r="AI12" i="41"/>
  <c r="AH12" i="41"/>
  <c r="Y12" i="41"/>
  <c r="X12" i="41"/>
  <c r="W12" i="41"/>
  <c r="L12" i="41"/>
  <c r="M12" i="41" s="1"/>
  <c r="N12" i="41" s="1"/>
  <c r="AJ11" i="41"/>
  <c r="AI11" i="41"/>
  <c r="AH11" i="41"/>
  <c r="Y11" i="41"/>
  <c r="X11" i="41"/>
  <c r="W11" i="41"/>
  <c r="L11" i="41"/>
  <c r="M11" i="41" s="1"/>
  <c r="N11" i="41" s="1"/>
  <c r="AJ10" i="41"/>
  <c r="AI10" i="41"/>
  <c r="AH10" i="41"/>
  <c r="Y10" i="41"/>
  <c r="X10" i="41"/>
  <c r="W10" i="41"/>
  <c r="L10" i="41"/>
  <c r="M10" i="41" s="1"/>
  <c r="N10" i="41" s="1"/>
  <c r="AJ9" i="41"/>
  <c r="AI9" i="41"/>
  <c r="AH9" i="41"/>
  <c r="Y9" i="41"/>
  <c r="X9" i="41"/>
  <c r="W9" i="41"/>
  <c r="L9" i="41"/>
  <c r="M9" i="41" s="1"/>
  <c r="N9" i="41" s="1"/>
  <c r="AJ8" i="41"/>
  <c r="AI8" i="41"/>
  <c r="AH8" i="41"/>
  <c r="Y8" i="41"/>
  <c r="X8" i="41"/>
  <c r="W8" i="41"/>
  <c r="L8" i="41"/>
  <c r="M8" i="41" s="1"/>
  <c r="N8" i="41" s="1"/>
  <c r="AJ7" i="41"/>
  <c r="AI7" i="41"/>
  <c r="AH7" i="41"/>
  <c r="Y7" i="41"/>
  <c r="X7" i="41"/>
  <c r="W7" i="41"/>
  <c r="L7" i="41"/>
  <c r="M7" i="41" s="1"/>
  <c r="N7" i="41" s="1"/>
  <c r="AJ6" i="41"/>
  <c r="AI6" i="41"/>
  <c r="AH6" i="41"/>
  <c r="Y6" i="41"/>
  <c r="X6" i="41"/>
  <c r="W6" i="41"/>
  <c r="L6" i="41"/>
  <c r="M6" i="41" s="1"/>
  <c r="N6" i="41" s="1"/>
  <c r="AJ5" i="41"/>
  <c r="AI5" i="41"/>
  <c r="AH5" i="41"/>
  <c r="Y5" i="41"/>
  <c r="X5" i="41"/>
  <c r="W5" i="41"/>
  <c r="M5" i="41"/>
  <c r="N5" i="41" s="1"/>
  <c r="L5" i="41"/>
  <c r="AJ4" i="41"/>
  <c r="AI4" i="41"/>
  <c r="AH4" i="41"/>
  <c r="Y4" i="41"/>
  <c r="X4" i="41"/>
  <c r="W4" i="41"/>
  <c r="L4" i="41"/>
  <c r="M4" i="41" s="1"/>
  <c r="N4" i="41" s="1"/>
  <c r="AJ3" i="41"/>
  <c r="AJ1" i="41" s="1"/>
  <c r="AI3" i="41"/>
  <c r="AH3" i="41"/>
  <c r="W3" i="41"/>
  <c r="X3" i="41" s="1"/>
  <c r="Y3" i="41" s="1"/>
  <c r="L3" i="41"/>
  <c r="M3" i="41" s="1"/>
  <c r="N3" i="41" s="1"/>
  <c r="AA1" i="41" a="1"/>
  <c r="AA1" i="41" s="1"/>
  <c r="P1" i="41" a="1"/>
  <c r="P1" i="41" s="1"/>
  <c r="E1" i="41" a="1"/>
  <c r="E1" i="41" s="1"/>
  <c r="A1" i="41" a="1"/>
  <c r="A1" i="41" s="1"/>
  <c r="AJ49" i="40"/>
  <c r="AI49" i="40"/>
  <c r="AH49" i="40"/>
  <c r="Y49" i="40"/>
  <c r="X49" i="40"/>
  <c r="W49" i="40"/>
  <c r="N49" i="40"/>
  <c r="M49" i="40"/>
  <c r="L49" i="40"/>
  <c r="AJ48" i="40"/>
  <c r="AI48" i="40"/>
  <c r="AH48" i="40"/>
  <c r="Y48" i="40"/>
  <c r="X48" i="40"/>
  <c r="W48" i="40"/>
  <c r="N48" i="40"/>
  <c r="M48" i="40"/>
  <c r="L48" i="40"/>
  <c r="AJ47" i="40"/>
  <c r="AI47" i="40"/>
  <c r="AH47" i="40"/>
  <c r="Y47" i="40"/>
  <c r="X47" i="40"/>
  <c r="W47" i="40"/>
  <c r="N47" i="40"/>
  <c r="M47" i="40"/>
  <c r="L47" i="40"/>
  <c r="AJ46" i="40"/>
  <c r="AI46" i="40"/>
  <c r="AH46" i="40"/>
  <c r="Y46" i="40"/>
  <c r="X46" i="40"/>
  <c r="W46" i="40"/>
  <c r="N46" i="40"/>
  <c r="M46" i="40"/>
  <c r="L46" i="40"/>
  <c r="AJ45" i="40"/>
  <c r="AI45" i="40"/>
  <c r="AH45" i="40"/>
  <c r="Y45" i="40"/>
  <c r="X45" i="40"/>
  <c r="W45" i="40"/>
  <c r="N45" i="40"/>
  <c r="M45" i="40"/>
  <c r="L45" i="40"/>
  <c r="AJ44" i="40"/>
  <c r="AI44" i="40"/>
  <c r="AH44" i="40"/>
  <c r="Y44" i="40"/>
  <c r="X44" i="40"/>
  <c r="W44" i="40"/>
  <c r="N44" i="40"/>
  <c r="M44" i="40"/>
  <c r="L44" i="40"/>
  <c r="AJ43" i="40"/>
  <c r="AI43" i="40"/>
  <c r="AH43" i="40"/>
  <c r="Y43" i="40"/>
  <c r="X43" i="40"/>
  <c r="W43" i="40"/>
  <c r="N43" i="40"/>
  <c r="M43" i="40"/>
  <c r="L43" i="40"/>
  <c r="AJ42" i="40"/>
  <c r="AI42" i="40"/>
  <c r="AH42" i="40"/>
  <c r="Y42" i="40"/>
  <c r="X42" i="40"/>
  <c r="W42" i="40"/>
  <c r="N42" i="40"/>
  <c r="M42" i="40"/>
  <c r="L42" i="40"/>
  <c r="AJ41" i="40"/>
  <c r="AI41" i="40"/>
  <c r="AH41" i="40"/>
  <c r="Y41" i="40"/>
  <c r="X41" i="40"/>
  <c r="W41" i="40"/>
  <c r="N41" i="40"/>
  <c r="M41" i="40"/>
  <c r="L41" i="40"/>
  <c r="AJ40" i="40"/>
  <c r="AI40" i="40"/>
  <c r="AH40" i="40"/>
  <c r="Y40" i="40"/>
  <c r="X40" i="40"/>
  <c r="W40" i="40"/>
  <c r="N40" i="40"/>
  <c r="M40" i="40"/>
  <c r="L40" i="40"/>
  <c r="AJ39" i="40"/>
  <c r="AI39" i="40"/>
  <c r="AH39" i="40"/>
  <c r="Y39" i="40"/>
  <c r="X39" i="40"/>
  <c r="W39" i="40"/>
  <c r="N39" i="40"/>
  <c r="M39" i="40"/>
  <c r="L39" i="40"/>
  <c r="AJ38" i="40"/>
  <c r="AI38" i="40"/>
  <c r="AH38" i="40"/>
  <c r="Y38" i="40"/>
  <c r="X38" i="40"/>
  <c r="W38" i="40"/>
  <c r="N38" i="40"/>
  <c r="M38" i="40"/>
  <c r="L38" i="40"/>
  <c r="AJ37" i="40"/>
  <c r="AI37" i="40"/>
  <c r="AH37" i="40"/>
  <c r="Y37" i="40"/>
  <c r="X37" i="40"/>
  <c r="W37" i="40"/>
  <c r="N37" i="40"/>
  <c r="M37" i="40"/>
  <c r="L37" i="40"/>
  <c r="AJ36" i="40"/>
  <c r="AI36" i="40"/>
  <c r="AH36" i="40"/>
  <c r="Y36" i="40"/>
  <c r="X36" i="40"/>
  <c r="W36" i="40"/>
  <c r="N36" i="40"/>
  <c r="M36" i="40"/>
  <c r="L36" i="40"/>
  <c r="AJ35" i="40"/>
  <c r="AI35" i="40"/>
  <c r="AH35" i="40"/>
  <c r="Y35" i="40"/>
  <c r="X35" i="40"/>
  <c r="W35" i="40"/>
  <c r="N35" i="40"/>
  <c r="M35" i="40"/>
  <c r="L35" i="40"/>
  <c r="AJ34" i="40"/>
  <c r="AI34" i="40"/>
  <c r="AH34" i="40"/>
  <c r="Y34" i="40"/>
  <c r="X34" i="40"/>
  <c r="W34" i="40"/>
  <c r="N34" i="40"/>
  <c r="M34" i="40"/>
  <c r="L34" i="40"/>
  <c r="AJ33" i="40"/>
  <c r="AI33" i="40"/>
  <c r="AH33" i="40"/>
  <c r="Y33" i="40"/>
  <c r="X33" i="40"/>
  <c r="W33" i="40"/>
  <c r="N33" i="40"/>
  <c r="M33" i="40"/>
  <c r="L33" i="40"/>
  <c r="AJ32" i="40"/>
  <c r="AI32" i="40"/>
  <c r="AH32" i="40"/>
  <c r="Y32" i="40"/>
  <c r="X32" i="40"/>
  <c r="W32" i="40"/>
  <c r="N32" i="40"/>
  <c r="M32" i="40"/>
  <c r="L32" i="40"/>
  <c r="AJ31" i="40"/>
  <c r="AI31" i="40"/>
  <c r="AH31" i="40"/>
  <c r="Y31" i="40"/>
  <c r="X31" i="40"/>
  <c r="W31" i="40"/>
  <c r="N31" i="40"/>
  <c r="M31" i="40"/>
  <c r="L31" i="40"/>
  <c r="AJ30" i="40"/>
  <c r="AI30" i="40"/>
  <c r="AH30" i="40"/>
  <c r="Y30" i="40"/>
  <c r="X30" i="40"/>
  <c r="W30" i="40"/>
  <c r="N30" i="40"/>
  <c r="M30" i="40"/>
  <c r="L30" i="40"/>
  <c r="AJ29" i="40"/>
  <c r="AI29" i="40"/>
  <c r="AH29" i="40"/>
  <c r="Y29" i="40"/>
  <c r="X29" i="40"/>
  <c r="W29" i="40"/>
  <c r="N29" i="40"/>
  <c r="M29" i="40"/>
  <c r="L29" i="40"/>
  <c r="AJ28" i="40"/>
  <c r="AI28" i="40"/>
  <c r="AH28" i="40"/>
  <c r="Y28" i="40"/>
  <c r="X28" i="40"/>
  <c r="W28" i="40"/>
  <c r="N28" i="40"/>
  <c r="M28" i="40"/>
  <c r="L28" i="40"/>
  <c r="AJ27" i="40"/>
  <c r="AI27" i="40"/>
  <c r="AH27" i="40"/>
  <c r="Y27" i="40"/>
  <c r="X27" i="40"/>
  <c r="W27" i="40"/>
  <c r="N27" i="40"/>
  <c r="M27" i="40"/>
  <c r="L27" i="40"/>
  <c r="AJ26" i="40"/>
  <c r="AI26" i="40"/>
  <c r="AH26" i="40"/>
  <c r="Y26" i="40"/>
  <c r="X26" i="40"/>
  <c r="W26" i="40"/>
  <c r="N26" i="40"/>
  <c r="M26" i="40"/>
  <c r="L26" i="40"/>
  <c r="AJ25" i="40"/>
  <c r="AI25" i="40"/>
  <c r="AH25" i="40"/>
  <c r="Y25" i="40"/>
  <c r="X25" i="40"/>
  <c r="W25" i="40"/>
  <c r="N25" i="40"/>
  <c r="M25" i="40"/>
  <c r="L25" i="40"/>
  <c r="AJ24" i="40"/>
  <c r="AI24" i="40"/>
  <c r="AH24" i="40"/>
  <c r="Y24" i="40"/>
  <c r="X24" i="40"/>
  <c r="W24" i="40"/>
  <c r="N24" i="40"/>
  <c r="M24" i="40"/>
  <c r="L24" i="40"/>
  <c r="AJ23" i="40"/>
  <c r="AI23" i="40"/>
  <c r="AH23" i="40"/>
  <c r="Y23" i="40"/>
  <c r="X23" i="40"/>
  <c r="W23" i="40"/>
  <c r="N23" i="40"/>
  <c r="M23" i="40"/>
  <c r="L23" i="40"/>
  <c r="AJ22" i="40"/>
  <c r="AI22" i="40"/>
  <c r="AH22" i="40"/>
  <c r="Y22" i="40"/>
  <c r="X22" i="40"/>
  <c r="W22" i="40"/>
  <c r="N22" i="40"/>
  <c r="M22" i="40"/>
  <c r="L22" i="40"/>
  <c r="AJ21" i="40"/>
  <c r="AI21" i="40"/>
  <c r="AH21" i="40"/>
  <c r="Y21" i="40"/>
  <c r="X21" i="40"/>
  <c r="W21" i="40"/>
  <c r="N21" i="40"/>
  <c r="M21" i="40"/>
  <c r="L21" i="40"/>
  <c r="AJ20" i="40"/>
  <c r="AI20" i="40"/>
  <c r="AH20" i="40"/>
  <c r="Y20" i="40"/>
  <c r="X20" i="40"/>
  <c r="W20" i="40"/>
  <c r="N20" i="40"/>
  <c r="M20" i="40"/>
  <c r="L20" i="40"/>
  <c r="AJ19" i="40"/>
  <c r="AI19" i="40"/>
  <c r="AH19" i="40"/>
  <c r="Y19" i="40"/>
  <c r="X19" i="40"/>
  <c r="W19" i="40"/>
  <c r="N19" i="40"/>
  <c r="M19" i="40"/>
  <c r="L19" i="40"/>
  <c r="AJ18" i="40"/>
  <c r="AI18" i="40"/>
  <c r="AH18" i="40"/>
  <c r="Y18" i="40"/>
  <c r="X18" i="40"/>
  <c r="W18" i="40"/>
  <c r="N18" i="40"/>
  <c r="M18" i="40"/>
  <c r="L18" i="40"/>
  <c r="AJ17" i="40"/>
  <c r="AI17" i="40"/>
  <c r="AH17" i="40"/>
  <c r="Y17" i="40"/>
  <c r="X17" i="40"/>
  <c r="W17" i="40"/>
  <c r="N17" i="40"/>
  <c r="M17" i="40"/>
  <c r="L17" i="40"/>
  <c r="AJ16" i="40"/>
  <c r="AI16" i="40"/>
  <c r="AH16" i="40"/>
  <c r="Y16" i="40"/>
  <c r="X16" i="40"/>
  <c r="W16" i="40"/>
  <c r="N16" i="40"/>
  <c r="M16" i="40"/>
  <c r="L16" i="40"/>
  <c r="AJ15" i="40"/>
  <c r="AI15" i="40"/>
  <c r="AH15" i="40"/>
  <c r="Y15" i="40"/>
  <c r="X15" i="40"/>
  <c r="W15" i="40"/>
  <c r="N15" i="40"/>
  <c r="M15" i="40"/>
  <c r="L15" i="40"/>
  <c r="AJ14" i="40"/>
  <c r="AI14" i="40"/>
  <c r="AH14" i="40"/>
  <c r="Y14" i="40"/>
  <c r="X14" i="40"/>
  <c r="W14" i="40"/>
  <c r="N14" i="40"/>
  <c r="M14" i="40"/>
  <c r="L14" i="40"/>
  <c r="AJ13" i="40"/>
  <c r="AI13" i="40"/>
  <c r="AH13" i="40"/>
  <c r="Y13" i="40"/>
  <c r="X13" i="40"/>
  <c r="W13" i="40"/>
  <c r="N13" i="40"/>
  <c r="M13" i="40"/>
  <c r="L13" i="40"/>
  <c r="AJ12" i="40"/>
  <c r="AI12" i="40"/>
  <c r="AH12" i="40"/>
  <c r="Y12" i="40"/>
  <c r="X12" i="40"/>
  <c r="W12" i="40"/>
  <c r="N12" i="40"/>
  <c r="M12" i="40"/>
  <c r="L12" i="40"/>
  <c r="AJ11" i="40"/>
  <c r="AI11" i="40"/>
  <c r="AH11" i="40"/>
  <c r="Y11" i="40"/>
  <c r="X11" i="40"/>
  <c r="W11" i="40"/>
  <c r="N11" i="40"/>
  <c r="M11" i="40"/>
  <c r="L11" i="40"/>
  <c r="AJ10" i="40"/>
  <c r="AI10" i="40"/>
  <c r="AH10" i="40"/>
  <c r="Y10" i="40"/>
  <c r="X10" i="40"/>
  <c r="W10" i="40"/>
  <c r="L10" i="40"/>
  <c r="M10" i="40" s="1"/>
  <c r="N10" i="40" s="1"/>
  <c r="AJ9" i="40"/>
  <c r="AI9" i="40"/>
  <c r="AH9" i="40"/>
  <c r="Y9" i="40"/>
  <c r="X9" i="40"/>
  <c r="W9" i="40"/>
  <c r="L9" i="40"/>
  <c r="M9" i="40" s="1"/>
  <c r="N9" i="40" s="1"/>
  <c r="AJ8" i="40"/>
  <c r="AI8" i="40"/>
  <c r="AH8" i="40"/>
  <c r="Y8" i="40"/>
  <c r="X8" i="40"/>
  <c r="W8" i="40"/>
  <c r="L8" i="40"/>
  <c r="M8" i="40" s="1"/>
  <c r="N8" i="40" s="1"/>
  <c r="AJ7" i="40"/>
  <c r="AI7" i="40"/>
  <c r="AH7" i="40"/>
  <c r="Y7" i="40"/>
  <c r="X7" i="40"/>
  <c r="W7" i="40"/>
  <c r="L7" i="40"/>
  <c r="M7" i="40" s="1"/>
  <c r="N7" i="40" s="1"/>
  <c r="AJ6" i="40"/>
  <c r="AI6" i="40"/>
  <c r="AH6" i="40"/>
  <c r="Y6" i="40"/>
  <c r="X6" i="40"/>
  <c r="W6" i="40"/>
  <c r="L6" i="40"/>
  <c r="M6" i="40" s="1"/>
  <c r="N6" i="40" s="1"/>
  <c r="AJ5" i="40"/>
  <c r="AI5" i="40"/>
  <c r="AH5" i="40"/>
  <c r="Y5" i="40"/>
  <c r="X5" i="40"/>
  <c r="W5" i="40"/>
  <c r="L5" i="40"/>
  <c r="M5" i="40" s="1"/>
  <c r="N5" i="40" s="1"/>
  <c r="AJ4" i="40"/>
  <c r="AI4" i="40"/>
  <c r="AH4" i="40"/>
  <c r="W4" i="40"/>
  <c r="X4" i="40" s="1"/>
  <c r="Y4" i="40" s="1"/>
  <c r="L4" i="40"/>
  <c r="M4" i="40" s="1"/>
  <c r="N4" i="40" s="1"/>
  <c r="AJ3" i="40"/>
  <c r="AJ1" i="40" s="1"/>
  <c r="AI3" i="40"/>
  <c r="AH3" i="40"/>
  <c r="W3" i="40"/>
  <c r="X3" i="40" s="1"/>
  <c r="Y3" i="40" s="1"/>
  <c r="L3" i="40"/>
  <c r="M3" i="40" s="1"/>
  <c r="N3" i="40" s="1"/>
  <c r="AA1" i="40" a="1"/>
  <c r="AA1" i="40" s="1"/>
  <c r="P1" i="40" a="1"/>
  <c r="P1" i="40" s="1"/>
  <c r="E1" i="40" a="1"/>
  <c r="E1" i="40" s="1"/>
  <c r="A1" i="40" a="1"/>
  <c r="A1" i="40" s="1"/>
  <c r="AJ49" i="39"/>
  <c r="AI49" i="39"/>
  <c r="AH49" i="39"/>
  <c r="Y49" i="39"/>
  <c r="X49" i="39"/>
  <c r="W49" i="39"/>
  <c r="N49" i="39"/>
  <c r="M49" i="39"/>
  <c r="L49" i="39"/>
  <c r="AJ48" i="39"/>
  <c r="AI48" i="39"/>
  <c r="AH48" i="39"/>
  <c r="Y48" i="39"/>
  <c r="X48" i="39"/>
  <c r="W48" i="39"/>
  <c r="N48" i="39"/>
  <c r="M48" i="39"/>
  <c r="L48" i="39"/>
  <c r="AJ47" i="39"/>
  <c r="AI47" i="39"/>
  <c r="AH47" i="39"/>
  <c r="Y47" i="39"/>
  <c r="X47" i="39"/>
  <c r="W47" i="39"/>
  <c r="N47" i="39"/>
  <c r="M47" i="39"/>
  <c r="L47" i="39"/>
  <c r="AJ46" i="39"/>
  <c r="AI46" i="39"/>
  <c r="AH46" i="39"/>
  <c r="Y46" i="39"/>
  <c r="X46" i="39"/>
  <c r="W46" i="39"/>
  <c r="N46" i="39"/>
  <c r="M46" i="39"/>
  <c r="L46" i="39"/>
  <c r="AJ45" i="39"/>
  <c r="AI45" i="39"/>
  <c r="AH45" i="39"/>
  <c r="Y45" i="39"/>
  <c r="X45" i="39"/>
  <c r="W45" i="39"/>
  <c r="N45" i="39"/>
  <c r="M45" i="39"/>
  <c r="L45" i="39"/>
  <c r="AJ44" i="39"/>
  <c r="AI44" i="39"/>
  <c r="AH44" i="39"/>
  <c r="Y44" i="39"/>
  <c r="X44" i="39"/>
  <c r="W44" i="39"/>
  <c r="N44" i="39"/>
  <c r="M44" i="39"/>
  <c r="L44" i="39"/>
  <c r="AJ43" i="39"/>
  <c r="AI43" i="39"/>
  <c r="AH43" i="39"/>
  <c r="Y43" i="39"/>
  <c r="X43" i="39"/>
  <c r="W43" i="39"/>
  <c r="N43" i="39"/>
  <c r="M43" i="39"/>
  <c r="L43" i="39"/>
  <c r="AJ42" i="39"/>
  <c r="AI42" i="39"/>
  <c r="AH42" i="39"/>
  <c r="Y42" i="39"/>
  <c r="X42" i="39"/>
  <c r="W42" i="39"/>
  <c r="N42" i="39"/>
  <c r="M42" i="39"/>
  <c r="L42" i="39"/>
  <c r="AJ41" i="39"/>
  <c r="AI41" i="39"/>
  <c r="AH41" i="39"/>
  <c r="Y41" i="39"/>
  <c r="X41" i="39"/>
  <c r="W41" i="39"/>
  <c r="N41" i="39"/>
  <c r="M41" i="39"/>
  <c r="L41" i="39"/>
  <c r="AJ40" i="39"/>
  <c r="AI40" i="39"/>
  <c r="AH40" i="39"/>
  <c r="Y40" i="39"/>
  <c r="X40" i="39"/>
  <c r="W40" i="39"/>
  <c r="N40" i="39"/>
  <c r="M40" i="39"/>
  <c r="L40" i="39"/>
  <c r="AJ39" i="39"/>
  <c r="AI39" i="39"/>
  <c r="AH39" i="39"/>
  <c r="Y39" i="39"/>
  <c r="X39" i="39"/>
  <c r="W39" i="39"/>
  <c r="N39" i="39"/>
  <c r="M39" i="39"/>
  <c r="L39" i="39"/>
  <c r="AJ38" i="39"/>
  <c r="AI38" i="39"/>
  <c r="AH38" i="39"/>
  <c r="Y38" i="39"/>
  <c r="X38" i="39"/>
  <c r="W38" i="39"/>
  <c r="N38" i="39"/>
  <c r="M38" i="39"/>
  <c r="L38" i="39"/>
  <c r="AJ37" i="39"/>
  <c r="AI37" i="39"/>
  <c r="AH37" i="39"/>
  <c r="Y37" i="39"/>
  <c r="X37" i="39"/>
  <c r="W37" i="39"/>
  <c r="N37" i="39"/>
  <c r="M37" i="39"/>
  <c r="L37" i="39"/>
  <c r="AJ36" i="39"/>
  <c r="AI36" i="39"/>
  <c r="AH36" i="39"/>
  <c r="Y36" i="39"/>
  <c r="X36" i="39"/>
  <c r="W36" i="39"/>
  <c r="N36" i="39"/>
  <c r="M36" i="39"/>
  <c r="L36" i="39"/>
  <c r="AJ35" i="39"/>
  <c r="AI35" i="39"/>
  <c r="AH35" i="39"/>
  <c r="Y35" i="39"/>
  <c r="X35" i="39"/>
  <c r="W35" i="39"/>
  <c r="N35" i="39"/>
  <c r="M35" i="39"/>
  <c r="L35" i="39"/>
  <c r="AJ34" i="39"/>
  <c r="AI34" i="39"/>
  <c r="AH34" i="39"/>
  <c r="Y34" i="39"/>
  <c r="X34" i="39"/>
  <c r="W34" i="39"/>
  <c r="N34" i="39"/>
  <c r="M34" i="39"/>
  <c r="L34" i="39"/>
  <c r="AJ33" i="39"/>
  <c r="AI33" i="39"/>
  <c r="AH33" i="39"/>
  <c r="Y33" i="39"/>
  <c r="X33" i="39"/>
  <c r="W33" i="39"/>
  <c r="N33" i="39"/>
  <c r="M33" i="39"/>
  <c r="L33" i="39"/>
  <c r="AJ32" i="39"/>
  <c r="AI32" i="39"/>
  <c r="AH32" i="39"/>
  <c r="Y32" i="39"/>
  <c r="X32" i="39"/>
  <c r="W32" i="39"/>
  <c r="N32" i="39"/>
  <c r="M32" i="39"/>
  <c r="L32" i="39"/>
  <c r="AJ31" i="39"/>
  <c r="AI31" i="39"/>
  <c r="AH31" i="39"/>
  <c r="Y31" i="39"/>
  <c r="X31" i="39"/>
  <c r="W31" i="39"/>
  <c r="N31" i="39"/>
  <c r="M31" i="39"/>
  <c r="L31" i="39"/>
  <c r="AJ30" i="39"/>
  <c r="AI30" i="39"/>
  <c r="AH30" i="39"/>
  <c r="Y30" i="39"/>
  <c r="X30" i="39"/>
  <c r="W30" i="39"/>
  <c r="N30" i="39"/>
  <c r="M30" i="39"/>
  <c r="L30" i="39"/>
  <c r="AJ29" i="39"/>
  <c r="AI29" i="39"/>
  <c r="AH29" i="39"/>
  <c r="Y29" i="39"/>
  <c r="X29" i="39"/>
  <c r="W29" i="39"/>
  <c r="N29" i="39"/>
  <c r="M29" i="39"/>
  <c r="L29" i="39"/>
  <c r="AJ28" i="39"/>
  <c r="AI28" i="39"/>
  <c r="AH28" i="39"/>
  <c r="Y28" i="39"/>
  <c r="X28" i="39"/>
  <c r="W28" i="39"/>
  <c r="N28" i="39"/>
  <c r="M28" i="39"/>
  <c r="L28" i="39"/>
  <c r="AJ27" i="39"/>
  <c r="AI27" i="39"/>
  <c r="AH27" i="39"/>
  <c r="Y27" i="39"/>
  <c r="X27" i="39"/>
  <c r="W27" i="39"/>
  <c r="N27" i="39"/>
  <c r="M27" i="39"/>
  <c r="L27" i="39"/>
  <c r="AJ26" i="39"/>
  <c r="AI26" i="39"/>
  <c r="AH26" i="39"/>
  <c r="Y26" i="39"/>
  <c r="X26" i="39"/>
  <c r="W26" i="39"/>
  <c r="N26" i="39"/>
  <c r="M26" i="39"/>
  <c r="L26" i="39"/>
  <c r="AJ25" i="39"/>
  <c r="AI25" i="39"/>
  <c r="AH25" i="39"/>
  <c r="Y25" i="39"/>
  <c r="X25" i="39"/>
  <c r="W25" i="39"/>
  <c r="N25" i="39"/>
  <c r="M25" i="39"/>
  <c r="L25" i="39"/>
  <c r="AJ24" i="39"/>
  <c r="AI24" i="39"/>
  <c r="AH24" i="39"/>
  <c r="Y24" i="39"/>
  <c r="X24" i="39"/>
  <c r="W24" i="39"/>
  <c r="N24" i="39"/>
  <c r="M24" i="39"/>
  <c r="L24" i="39"/>
  <c r="AJ23" i="39"/>
  <c r="AI23" i="39"/>
  <c r="AH23" i="39"/>
  <c r="Y23" i="39"/>
  <c r="X23" i="39"/>
  <c r="W23" i="39"/>
  <c r="N23" i="39"/>
  <c r="M23" i="39"/>
  <c r="L23" i="39"/>
  <c r="AJ22" i="39"/>
  <c r="AI22" i="39"/>
  <c r="AH22" i="39"/>
  <c r="Y22" i="39"/>
  <c r="X22" i="39"/>
  <c r="W22" i="39"/>
  <c r="N22" i="39"/>
  <c r="M22" i="39"/>
  <c r="L22" i="39"/>
  <c r="AJ21" i="39"/>
  <c r="AI21" i="39"/>
  <c r="AH21" i="39"/>
  <c r="Y21" i="39"/>
  <c r="X21" i="39"/>
  <c r="W21" i="39"/>
  <c r="N21" i="39"/>
  <c r="M21" i="39"/>
  <c r="L21" i="39"/>
  <c r="AJ20" i="39"/>
  <c r="AI20" i="39"/>
  <c r="AH20" i="39"/>
  <c r="Y20" i="39"/>
  <c r="X20" i="39"/>
  <c r="W20" i="39"/>
  <c r="N20" i="39"/>
  <c r="M20" i="39"/>
  <c r="L20" i="39"/>
  <c r="AJ19" i="39"/>
  <c r="AI19" i="39"/>
  <c r="AH19" i="39"/>
  <c r="Y19" i="39"/>
  <c r="X19" i="39"/>
  <c r="W19" i="39"/>
  <c r="N19" i="39"/>
  <c r="M19" i="39"/>
  <c r="L19" i="39"/>
  <c r="AJ18" i="39"/>
  <c r="AI18" i="39"/>
  <c r="AH18" i="39"/>
  <c r="Y18" i="39"/>
  <c r="X18" i="39"/>
  <c r="W18" i="39"/>
  <c r="N18" i="39"/>
  <c r="M18" i="39"/>
  <c r="L18" i="39"/>
  <c r="AJ17" i="39"/>
  <c r="AI17" i="39"/>
  <c r="AH17" i="39"/>
  <c r="Y17" i="39"/>
  <c r="X17" i="39"/>
  <c r="W17" i="39"/>
  <c r="N17" i="39"/>
  <c r="M17" i="39"/>
  <c r="L17" i="39"/>
  <c r="AJ16" i="39"/>
  <c r="AI16" i="39"/>
  <c r="AH16" i="39"/>
  <c r="Y16" i="39"/>
  <c r="X16" i="39"/>
  <c r="W16" i="39"/>
  <c r="N16" i="39"/>
  <c r="M16" i="39"/>
  <c r="L16" i="39"/>
  <c r="AJ15" i="39"/>
  <c r="AI15" i="39"/>
  <c r="AH15" i="39"/>
  <c r="Y15" i="39"/>
  <c r="X15" i="39"/>
  <c r="W15" i="39"/>
  <c r="N15" i="39"/>
  <c r="M15" i="39"/>
  <c r="L15" i="39"/>
  <c r="AJ14" i="39"/>
  <c r="AI14" i="39"/>
  <c r="AH14" i="39"/>
  <c r="Y14" i="39"/>
  <c r="X14" i="39"/>
  <c r="W14" i="39"/>
  <c r="N14" i="39"/>
  <c r="M14" i="39"/>
  <c r="L14" i="39"/>
  <c r="AJ13" i="39"/>
  <c r="AI13" i="39"/>
  <c r="AH13" i="39"/>
  <c r="Y13" i="39"/>
  <c r="X13" i="39"/>
  <c r="W13" i="39"/>
  <c r="N13" i="39"/>
  <c r="M13" i="39"/>
  <c r="L13" i="39"/>
  <c r="AJ12" i="39"/>
  <c r="AI12" i="39"/>
  <c r="AH12" i="39"/>
  <c r="Y12" i="39"/>
  <c r="X12" i="39"/>
  <c r="W12" i="39"/>
  <c r="N12" i="39"/>
  <c r="M12" i="39"/>
  <c r="L12" i="39"/>
  <c r="AJ11" i="39"/>
  <c r="AI11" i="39"/>
  <c r="AH11" i="39"/>
  <c r="Y11" i="39"/>
  <c r="X11" i="39"/>
  <c r="W11" i="39"/>
  <c r="N11" i="39"/>
  <c r="M11" i="39"/>
  <c r="L11" i="39"/>
  <c r="AJ10" i="39"/>
  <c r="AI10" i="39"/>
  <c r="AH10" i="39"/>
  <c r="Y10" i="39"/>
  <c r="X10" i="39"/>
  <c r="W10" i="39"/>
  <c r="N10" i="39"/>
  <c r="M10" i="39"/>
  <c r="L10" i="39"/>
  <c r="AJ9" i="39"/>
  <c r="AI9" i="39"/>
  <c r="AH9" i="39"/>
  <c r="Y9" i="39"/>
  <c r="X9" i="39"/>
  <c r="W9" i="39"/>
  <c r="N9" i="39"/>
  <c r="M9" i="39"/>
  <c r="L9" i="39"/>
  <c r="AJ8" i="39"/>
  <c r="AI8" i="39"/>
  <c r="AH8" i="39"/>
  <c r="Y8" i="39"/>
  <c r="X8" i="39"/>
  <c r="W8" i="39"/>
  <c r="N8" i="39"/>
  <c r="M8" i="39"/>
  <c r="L8" i="39"/>
  <c r="AJ7" i="39"/>
  <c r="AI7" i="39"/>
  <c r="AH7" i="39"/>
  <c r="Y7" i="39"/>
  <c r="X7" i="39"/>
  <c r="W7" i="39"/>
  <c r="L7" i="39"/>
  <c r="M7" i="39" s="1"/>
  <c r="N7" i="39" s="1"/>
  <c r="AJ6" i="39"/>
  <c r="AI6" i="39"/>
  <c r="AH6" i="39"/>
  <c r="Y6" i="39"/>
  <c r="X6" i="39"/>
  <c r="W6" i="39"/>
  <c r="L6" i="39"/>
  <c r="M6" i="39" s="1"/>
  <c r="N6" i="39" s="1"/>
  <c r="AJ5" i="39"/>
  <c r="AI5" i="39"/>
  <c r="AH5" i="39"/>
  <c r="Y5" i="39"/>
  <c r="X5" i="39"/>
  <c r="W5" i="39"/>
  <c r="M5" i="39"/>
  <c r="N5" i="39" s="1"/>
  <c r="L5" i="39"/>
  <c r="AJ4" i="39"/>
  <c r="AI4" i="39"/>
  <c r="AH4" i="39"/>
  <c r="X4" i="39"/>
  <c r="Y4" i="39" s="1"/>
  <c r="W4" i="39"/>
  <c r="L4" i="39"/>
  <c r="M4" i="39" s="1"/>
  <c r="N4" i="39" s="1"/>
  <c r="AJ3" i="39"/>
  <c r="AJ1" i="39" s="1"/>
  <c r="AI3" i="39"/>
  <c r="AH3" i="39"/>
  <c r="W3" i="39"/>
  <c r="X3" i="39" s="1"/>
  <c r="Y3" i="39" s="1"/>
  <c r="L3" i="39"/>
  <c r="M3" i="39" s="1"/>
  <c r="N3" i="39" s="1"/>
  <c r="AA1" i="39" a="1"/>
  <c r="AA1" i="39" s="1"/>
  <c r="P1" i="39" a="1"/>
  <c r="P1" i="39" s="1"/>
  <c r="E1" i="39" a="1"/>
  <c r="E1" i="39" s="1"/>
  <c r="A1" i="39" a="1"/>
  <c r="A1" i="39" s="1"/>
  <c r="AJ49" i="38"/>
  <c r="AI49" i="38"/>
  <c r="AH49" i="38"/>
  <c r="Y49" i="38"/>
  <c r="X49" i="38"/>
  <c r="W49" i="38"/>
  <c r="N49" i="38"/>
  <c r="M49" i="38"/>
  <c r="L49" i="38"/>
  <c r="AJ48" i="38"/>
  <c r="AI48" i="38"/>
  <c r="AH48" i="38"/>
  <c r="Y48" i="38"/>
  <c r="X48" i="38"/>
  <c r="W48" i="38"/>
  <c r="N48" i="38"/>
  <c r="M48" i="38"/>
  <c r="L48" i="38"/>
  <c r="AJ47" i="38"/>
  <c r="AI47" i="38"/>
  <c r="AH47" i="38"/>
  <c r="Y47" i="38"/>
  <c r="X47" i="38"/>
  <c r="W47" i="38"/>
  <c r="N47" i="38"/>
  <c r="M47" i="38"/>
  <c r="L47" i="38"/>
  <c r="AJ46" i="38"/>
  <c r="AI46" i="38"/>
  <c r="AH46" i="38"/>
  <c r="Y46" i="38"/>
  <c r="X46" i="38"/>
  <c r="W46" i="38"/>
  <c r="N46" i="38"/>
  <c r="M46" i="38"/>
  <c r="L46" i="38"/>
  <c r="AJ45" i="38"/>
  <c r="AI45" i="38"/>
  <c r="AH45" i="38"/>
  <c r="Y45" i="38"/>
  <c r="X45" i="38"/>
  <c r="W45" i="38"/>
  <c r="N45" i="38"/>
  <c r="M45" i="38"/>
  <c r="L45" i="38"/>
  <c r="AJ44" i="38"/>
  <c r="AI44" i="38"/>
  <c r="AH44" i="38"/>
  <c r="Y44" i="38"/>
  <c r="X44" i="38"/>
  <c r="W44" i="38"/>
  <c r="N44" i="38"/>
  <c r="M44" i="38"/>
  <c r="L44" i="38"/>
  <c r="AJ43" i="38"/>
  <c r="AI43" i="38"/>
  <c r="AH43" i="38"/>
  <c r="Y43" i="38"/>
  <c r="X43" i="38"/>
  <c r="W43" i="38"/>
  <c r="N43" i="38"/>
  <c r="M43" i="38"/>
  <c r="L43" i="38"/>
  <c r="AJ42" i="38"/>
  <c r="AI42" i="38"/>
  <c r="AH42" i="38"/>
  <c r="Y42" i="38"/>
  <c r="X42" i="38"/>
  <c r="W42" i="38"/>
  <c r="N42" i="38"/>
  <c r="M42" i="38"/>
  <c r="L42" i="38"/>
  <c r="AJ41" i="38"/>
  <c r="AI41" i="38"/>
  <c r="AH41" i="38"/>
  <c r="Y41" i="38"/>
  <c r="X41" i="38"/>
  <c r="W41" i="38"/>
  <c r="N41" i="38"/>
  <c r="M41" i="38"/>
  <c r="L41" i="38"/>
  <c r="AJ40" i="38"/>
  <c r="AI40" i="38"/>
  <c r="AH40" i="38"/>
  <c r="Y40" i="38"/>
  <c r="X40" i="38"/>
  <c r="W40" i="38"/>
  <c r="N40" i="38"/>
  <c r="M40" i="38"/>
  <c r="L40" i="38"/>
  <c r="AJ39" i="38"/>
  <c r="AI39" i="38"/>
  <c r="AH39" i="38"/>
  <c r="Y39" i="38"/>
  <c r="X39" i="38"/>
  <c r="W39" i="38"/>
  <c r="N39" i="38"/>
  <c r="M39" i="38"/>
  <c r="L39" i="38"/>
  <c r="AJ38" i="38"/>
  <c r="AI38" i="38"/>
  <c r="AH38" i="38"/>
  <c r="Y38" i="38"/>
  <c r="X38" i="38"/>
  <c r="W38" i="38"/>
  <c r="N38" i="38"/>
  <c r="M38" i="38"/>
  <c r="L38" i="38"/>
  <c r="AJ37" i="38"/>
  <c r="AI37" i="38"/>
  <c r="AH37" i="38"/>
  <c r="Y37" i="38"/>
  <c r="X37" i="38"/>
  <c r="W37" i="38"/>
  <c r="N37" i="38"/>
  <c r="M37" i="38"/>
  <c r="L37" i="38"/>
  <c r="AJ36" i="38"/>
  <c r="AI36" i="38"/>
  <c r="AH36" i="38"/>
  <c r="Y36" i="38"/>
  <c r="X36" i="38"/>
  <c r="W36" i="38"/>
  <c r="N36" i="38"/>
  <c r="M36" i="38"/>
  <c r="L36" i="38"/>
  <c r="AJ35" i="38"/>
  <c r="AI35" i="38"/>
  <c r="AH35" i="38"/>
  <c r="Y35" i="38"/>
  <c r="X35" i="38"/>
  <c r="W35" i="38"/>
  <c r="N35" i="38"/>
  <c r="M35" i="38"/>
  <c r="L35" i="38"/>
  <c r="AJ34" i="38"/>
  <c r="AI34" i="38"/>
  <c r="AH34" i="38"/>
  <c r="Y34" i="38"/>
  <c r="X34" i="38"/>
  <c r="W34" i="38"/>
  <c r="N34" i="38"/>
  <c r="M34" i="38"/>
  <c r="L34" i="38"/>
  <c r="AJ33" i="38"/>
  <c r="AI33" i="38"/>
  <c r="AH33" i="38"/>
  <c r="Y33" i="38"/>
  <c r="X33" i="38"/>
  <c r="W33" i="38"/>
  <c r="N33" i="38"/>
  <c r="M33" i="38"/>
  <c r="L33" i="38"/>
  <c r="AJ32" i="38"/>
  <c r="AI32" i="38"/>
  <c r="AH32" i="38"/>
  <c r="Y32" i="38"/>
  <c r="X32" i="38"/>
  <c r="W32" i="38"/>
  <c r="N32" i="38"/>
  <c r="M32" i="38"/>
  <c r="L32" i="38"/>
  <c r="AJ31" i="38"/>
  <c r="AI31" i="38"/>
  <c r="AH31" i="38"/>
  <c r="Y31" i="38"/>
  <c r="X31" i="38"/>
  <c r="W31" i="38"/>
  <c r="N31" i="38"/>
  <c r="M31" i="38"/>
  <c r="L31" i="38"/>
  <c r="AJ30" i="38"/>
  <c r="AI30" i="38"/>
  <c r="AH30" i="38"/>
  <c r="Y30" i="38"/>
  <c r="X30" i="38"/>
  <c r="W30" i="38"/>
  <c r="N30" i="38"/>
  <c r="M30" i="38"/>
  <c r="L30" i="38"/>
  <c r="AJ29" i="38"/>
  <c r="AI29" i="38"/>
  <c r="AH29" i="38"/>
  <c r="Y29" i="38"/>
  <c r="X29" i="38"/>
  <c r="W29" i="38"/>
  <c r="N29" i="38"/>
  <c r="M29" i="38"/>
  <c r="L29" i="38"/>
  <c r="AJ28" i="38"/>
  <c r="AI28" i="38"/>
  <c r="AH28" i="38"/>
  <c r="Y28" i="38"/>
  <c r="X28" i="38"/>
  <c r="W28" i="38"/>
  <c r="N28" i="38"/>
  <c r="M28" i="38"/>
  <c r="L28" i="38"/>
  <c r="AJ27" i="38"/>
  <c r="AI27" i="38"/>
  <c r="AH27" i="38"/>
  <c r="Y27" i="38"/>
  <c r="X27" i="38"/>
  <c r="W27" i="38"/>
  <c r="N27" i="38"/>
  <c r="M27" i="38"/>
  <c r="L27" i="38"/>
  <c r="AJ26" i="38"/>
  <c r="AI26" i="38"/>
  <c r="AH26" i="38"/>
  <c r="Y26" i="38"/>
  <c r="X26" i="38"/>
  <c r="W26" i="38"/>
  <c r="N26" i="38"/>
  <c r="M26" i="38"/>
  <c r="L26" i="38"/>
  <c r="AJ25" i="38"/>
  <c r="AI25" i="38"/>
  <c r="AH25" i="38"/>
  <c r="Y25" i="38"/>
  <c r="X25" i="38"/>
  <c r="W25" i="38"/>
  <c r="N25" i="38"/>
  <c r="M25" i="38"/>
  <c r="L25" i="38"/>
  <c r="AJ24" i="38"/>
  <c r="AI24" i="38"/>
  <c r="AH24" i="38"/>
  <c r="Y24" i="38"/>
  <c r="X24" i="38"/>
  <c r="W24" i="38"/>
  <c r="N24" i="38"/>
  <c r="M24" i="38"/>
  <c r="L24" i="38"/>
  <c r="AJ23" i="38"/>
  <c r="AI23" i="38"/>
  <c r="AH23" i="38"/>
  <c r="Y23" i="38"/>
  <c r="X23" i="38"/>
  <c r="W23" i="38"/>
  <c r="N23" i="38"/>
  <c r="M23" i="38"/>
  <c r="L23" i="38"/>
  <c r="AJ22" i="38"/>
  <c r="AI22" i="38"/>
  <c r="AH22" i="38"/>
  <c r="Y22" i="38"/>
  <c r="X22" i="38"/>
  <c r="W22" i="38"/>
  <c r="N22" i="38"/>
  <c r="M22" i="38"/>
  <c r="L22" i="38"/>
  <c r="AJ21" i="38"/>
  <c r="AI21" i="38"/>
  <c r="AH21" i="38"/>
  <c r="Y21" i="38"/>
  <c r="X21" i="38"/>
  <c r="W21" i="38"/>
  <c r="N21" i="38"/>
  <c r="M21" i="38"/>
  <c r="L21" i="38"/>
  <c r="AJ20" i="38"/>
  <c r="AI20" i="38"/>
  <c r="AH20" i="38"/>
  <c r="Y20" i="38"/>
  <c r="X20" i="38"/>
  <c r="W20" i="38"/>
  <c r="N20" i="38"/>
  <c r="M20" i="38"/>
  <c r="L20" i="38"/>
  <c r="AJ19" i="38"/>
  <c r="AI19" i="38"/>
  <c r="AH19" i="38"/>
  <c r="Y19" i="38"/>
  <c r="X19" i="38"/>
  <c r="W19" i="38"/>
  <c r="N19" i="38"/>
  <c r="M19" i="38"/>
  <c r="L19" i="38"/>
  <c r="AJ18" i="38"/>
  <c r="AI18" i="38"/>
  <c r="AH18" i="38"/>
  <c r="Y18" i="38"/>
  <c r="X18" i="38"/>
  <c r="W18" i="38"/>
  <c r="N18" i="38"/>
  <c r="M18" i="38"/>
  <c r="L18" i="38"/>
  <c r="AJ17" i="38"/>
  <c r="AI17" i="38"/>
  <c r="AH17" i="38"/>
  <c r="Y17" i="38"/>
  <c r="X17" i="38"/>
  <c r="W17" i="38"/>
  <c r="L17" i="38"/>
  <c r="M17" i="38" s="1"/>
  <c r="N17" i="38" s="1"/>
  <c r="AJ16" i="38"/>
  <c r="AI16" i="38"/>
  <c r="AH16" i="38"/>
  <c r="Y16" i="38"/>
  <c r="X16" i="38"/>
  <c r="W16" i="38"/>
  <c r="L16" i="38"/>
  <c r="M16" i="38" s="1"/>
  <c r="N16" i="38" s="1"/>
  <c r="AJ15" i="38"/>
  <c r="AI15" i="38"/>
  <c r="AH15" i="38"/>
  <c r="Y15" i="38"/>
  <c r="X15" i="38"/>
  <c r="W15" i="38"/>
  <c r="L15" i="38"/>
  <c r="M15" i="38" s="1"/>
  <c r="N15" i="38" s="1"/>
  <c r="AJ14" i="38"/>
  <c r="AI14" i="38"/>
  <c r="AH14" i="38"/>
  <c r="Y14" i="38"/>
  <c r="X14" i="38"/>
  <c r="W14" i="38"/>
  <c r="L14" i="38"/>
  <c r="M14" i="38" s="1"/>
  <c r="N14" i="38" s="1"/>
  <c r="AJ13" i="38"/>
  <c r="AI13" i="38"/>
  <c r="AH13" i="38"/>
  <c r="Y13" i="38"/>
  <c r="X13" i="38"/>
  <c r="W13" i="38"/>
  <c r="L13" i="38"/>
  <c r="M13" i="38" s="1"/>
  <c r="N13" i="38" s="1"/>
  <c r="AJ12" i="38"/>
  <c r="AI12" i="38"/>
  <c r="AH12" i="38"/>
  <c r="Y12" i="38"/>
  <c r="X12" i="38"/>
  <c r="W12" i="38"/>
  <c r="L12" i="38"/>
  <c r="M12" i="38" s="1"/>
  <c r="N12" i="38" s="1"/>
  <c r="AJ11" i="38"/>
  <c r="AI11" i="38"/>
  <c r="AH11" i="38"/>
  <c r="Y11" i="38"/>
  <c r="X11" i="38"/>
  <c r="W11" i="38"/>
  <c r="L11" i="38"/>
  <c r="M11" i="38" s="1"/>
  <c r="N11" i="38" s="1"/>
  <c r="AJ10" i="38"/>
  <c r="AI10" i="38"/>
  <c r="AH10" i="38"/>
  <c r="Y10" i="38"/>
  <c r="X10" i="38"/>
  <c r="W10" i="38"/>
  <c r="L10" i="38"/>
  <c r="M10" i="38" s="1"/>
  <c r="N10" i="38" s="1"/>
  <c r="AJ9" i="38"/>
  <c r="AI9" i="38"/>
  <c r="AH9" i="38"/>
  <c r="Y9" i="38"/>
  <c r="X9" i="38"/>
  <c r="W9" i="38"/>
  <c r="L9" i="38"/>
  <c r="M9" i="38" s="1"/>
  <c r="N9" i="38" s="1"/>
  <c r="AJ8" i="38"/>
  <c r="AI8" i="38"/>
  <c r="AH8" i="38"/>
  <c r="Y8" i="38"/>
  <c r="X8" i="38"/>
  <c r="W8" i="38"/>
  <c r="L8" i="38"/>
  <c r="M8" i="38" s="1"/>
  <c r="N8" i="38" s="1"/>
  <c r="AJ7" i="38"/>
  <c r="AI7" i="38"/>
  <c r="AH7" i="38"/>
  <c r="Y7" i="38"/>
  <c r="X7" i="38"/>
  <c r="W7" i="38"/>
  <c r="L7" i="38"/>
  <c r="M7" i="38" s="1"/>
  <c r="N7" i="38" s="1"/>
  <c r="AJ6" i="38"/>
  <c r="AI6" i="38"/>
  <c r="AH6" i="38"/>
  <c r="Y6" i="38"/>
  <c r="X6" i="38"/>
  <c r="W6" i="38"/>
  <c r="L6" i="38"/>
  <c r="M6" i="38" s="1"/>
  <c r="N6" i="38" s="1"/>
  <c r="AJ5" i="38"/>
  <c r="AI5" i="38"/>
  <c r="AH5" i="38"/>
  <c r="Y5" i="38"/>
  <c r="X5" i="38"/>
  <c r="W5" i="38"/>
  <c r="L5" i="38"/>
  <c r="M5" i="38" s="1"/>
  <c r="N5" i="38" s="1"/>
  <c r="AJ4" i="38"/>
  <c r="AI4" i="38"/>
  <c r="AH4" i="38"/>
  <c r="W4" i="38"/>
  <c r="X4" i="38" s="1"/>
  <c r="Y4" i="38" s="1"/>
  <c r="L4" i="38"/>
  <c r="M4" i="38" s="1"/>
  <c r="N4" i="38" s="1"/>
  <c r="AJ3" i="38"/>
  <c r="AJ1" i="38" s="1"/>
  <c r="AI3" i="38"/>
  <c r="AH3" i="38"/>
  <c r="W3" i="38"/>
  <c r="X3" i="38" s="1"/>
  <c r="Y3" i="38" s="1"/>
  <c r="L3" i="38"/>
  <c r="M3" i="38" s="1"/>
  <c r="N3" i="38" s="1"/>
  <c r="AA1" i="38" a="1"/>
  <c r="AA1" i="38" s="1"/>
  <c r="P1" i="38" a="1"/>
  <c r="P1" i="38" s="1"/>
  <c r="E1" i="38" a="1"/>
  <c r="E1" i="38" s="1"/>
  <c r="A1" i="38" a="1"/>
  <c r="A1" i="38" s="1"/>
  <c r="AJ49" i="37"/>
  <c r="AI49" i="37"/>
  <c r="AH49" i="37"/>
  <c r="Y49" i="37"/>
  <c r="X49" i="37"/>
  <c r="W49" i="37"/>
  <c r="N49" i="37"/>
  <c r="M49" i="37"/>
  <c r="L49" i="37"/>
  <c r="AJ48" i="37"/>
  <c r="AI48" i="37"/>
  <c r="AH48" i="37"/>
  <c r="Y48" i="37"/>
  <c r="X48" i="37"/>
  <c r="W48" i="37"/>
  <c r="N48" i="37"/>
  <c r="M48" i="37"/>
  <c r="L48" i="37"/>
  <c r="AJ47" i="37"/>
  <c r="AI47" i="37"/>
  <c r="AH47" i="37"/>
  <c r="Y47" i="37"/>
  <c r="X47" i="37"/>
  <c r="W47" i="37"/>
  <c r="N47" i="37"/>
  <c r="M47" i="37"/>
  <c r="L47" i="37"/>
  <c r="AJ46" i="37"/>
  <c r="AI46" i="37"/>
  <c r="AH46" i="37"/>
  <c r="Y46" i="37"/>
  <c r="X46" i="37"/>
  <c r="W46" i="37"/>
  <c r="N46" i="37"/>
  <c r="M46" i="37"/>
  <c r="L46" i="37"/>
  <c r="AJ45" i="37"/>
  <c r="AI45" i="37"/>
  <c r="AH45" i="37"/>
  <c r="Y45" i="37"/>
  <c r="X45" i="37"/>
  <c r="W45" i="37"/>
  <c r="N45" i="37"/>
  <c r="M45" i="37"/>
  <c r="L45" i="37"/>
  <c r="AJ44" i="37"/>
  <c r="AI44" i="37"/>
  <c r="AH44" i="37"/>
  <c r="Y44" i="37"/>
  <c r="X44" i="37"/>
  <c r="W44" i="37"/>
  <c r="N44" i="37"/>
  <c r="M44" i="37"/>
  <c r="L44" i="37"/>
  <c r="AJ43" i="37"/>
  <c r="AI43" i="37"/>
  <c r="AH43" i="37"/>
  <c r="Y43" i="37"/>
  <c r="X43" i="37"/>
  <c r="W43" i="37"/>
  <c r="N43" i="37"/>
  <c r="M43" i="37"/>
  <c r="L43" i="37"/>
  <c r="AJ42" i="37"/>
  <c r="AI42" i="37"/>
  <c r="AH42" i="37"/>
  <c r="Y42" i="37"/>
  <c r="X42" i="37"/>
  <c r="W42" i="37"/>
  <c r="N42" i="37"/>
  <c r="M42" i="37"/>
  <c r="L42" i="37"/>
  <c r="AJ41" i="37"/>
  <c r="AI41" i="37"/>
  <c r="AH41" i="37"/>
  <c r="Y41" i="37"/>
  <c r="X41" i="37"/>
  <c r="W41" i="37"/>
  <c r="N41" i="37"/>
  <c r="M41" i="37"/>
  <c r="L41" i="37"/>
  <c r="AJ40" i="37"/>
  <c r="AI40" i="37"/>
  <c r="AH40" i="37"/>
  <c r="Y40" i="37"/>
  <c r="X40" i="37"/>
  <c r="W40" i="37"/>
  <c r="N40" i="37"/>
  <c r="M40" i="37"/>
  <c r="L40" i="37"/>
  <c r="AJ39" i="37"/>
  <c r="AI39" i="37"/>
  <c r="AH39" i="37"/>
  <c r="Y39" i="37"/>
  <c r="X39" i="37"/>
  <c r="W39" i="37"/>
  <c r="N39" i="37"/>
  <c r="M39" i="37"/>
  <c r="L39" i="37"/>
  <c r="AJ38" i="37"/>
  <c r="AI38" i="37"/>
  <c r="AH38" i="37"/>
  <c r="Y38" i="37"/>
  <c r="X38" i="37"/>
  <c r="W38" i="37"/>
  <c r="N38" i="37"/>
  <c r="M38" i="37"/>
  <c r="L38" i="37"/>
  <c r="AJ37" i="37"/>
  <c r="AI37" i="37"/>
  <c r="AH37" i="37"/>
  <c r="Y37" i="37"/>
  <c r="X37" i="37"/>
  <c r="W37" i="37"/>
  <c r="N37" i="37"/>
  <c r="M37" i="37"/>
  <c r="L37" i="37"/>
  <c r="AJ36" i="37"/>
  <c r="AI36" i="37"/>
  <c r="AH36" i="37"/>
  <c r="Y36" i="37"/>
  <c r="X36" i="37"/>
  <c r="W36" i="37"/>
  <c r="N36" i="37"/>
  <c r="M36" i="37"/>
  <c r="L36" i="37"/>
  <c r="AJ35" i="37"/>
  <c r="AI35" i="37"/>
  <c r="AH35" i="37"/>
  <c r="Y35" i="37"/>
  <c r="X35" i="37"/>
  <c r="W35" i="37"/>
  <c r="N35" i="37"/>
  <c r="M35" i="37"/>
  <c r="L35" i="37"/>
  <c r="AJ34" i="37"/>
  <c r="AI34" i="37"/>
  <c r="AH34" i="37"/>
  <c r="Y34" i="37"/>
  <c r="X34" i="37"/>
  <c r="W34" i="37"/>
  <c r="N34" i="37"/>
  <c r="M34" i="37"/>
  <c r="L34" i="37"/>
  <c r="AJ33" i="37"/>
  <c r="AI33" i="37"/>
  <c r="AH33" i="37"/>
  <c r="Y33" i="37"/>
  <c r="X33" i="37"/>
  <c r="W33" i="37"/>
  <c r="N33" i="37"/>
  <c r="M33" i="37"/>
  <c r="L33" i="37"/>
  <c r="AJ32" i="37"/>
  <c r="AI32" i="37"/>
  <c r="AH32" i="37"/>
  <c r="Y32" i="37"/>
  <c r="X32" i="37"/>
  <c r="W32" i="37"/>
  <c r="N32" i="37"/>
  <c r="M32" i="37"/>
  <c r="L32" i="37"/>
  <c r="AJ31" i="37"/>
  <c r="AI31" i="37"/>
  <c r="AH31" i="37"/>
  <c r="Y31" i="37"/>
  <c r="X31" i="37"/>
  <c r="W31" i="37"/>
  <c r="N31" i="37"/>
  <c r="M31" i="37"/>
  <c r="L31" i="37"/>
  <c r="AJ30" i="37"/>
  <c r="AI30" i="37"/>
  <c r="AH30" i="37"/>
  <c r="Y30" i="37"/>
  <c r="X30" i="37"/>
  <c r="W30" i="37"/>
  <c r="N30" i="37"/>
  <c r="M30" i="37"/>
  <c r="L30" i="37"/>
  <c r="AJ29" i="37"/>
  <c r="AI29" i="37"/>
  <c r="AH29" i="37"/>
  <c r="Y29" i="37"/>
  <c r="X29" i="37"/>
  <c r="W29" i="37"/>
  <c r="N29" i="37"/>
  <c r="M29" i="37"/>
  <c r="L29" i="37"/>
  <c r="AJ28" i="37"/>
  <c r="AI28" i="37"/>
  <c r="AH28" i="37"/>
  <c r="Y28" i="37"/>
  <c r="X28" i="37"/>
  <c r="W28" i="37"/>
  <c r="N28" i="37"/>
  <c r="M28" i="37"/>
  <c r="L28" i="37"/>
  <c r="AJ27" i="37"/>
  <c r="AI27" i="37"/>
  <c r="AH27" i="37"/>
  <c r="Y27" i="37"/>
  <c r="X27" i="37"/>
  <c r="W27" i="37"/>
  <c r="N27" i="37"/>
  <c r="M27" i="37"/>
  <c r="L27" i="37"/>
  <c r="AJ26" i="37"/>
  <c r="AI26" i="37"/>
  <c r="AH26" i="37"/>
  <c r="Y26" i="37"/>
  <c r="X26" i="37"/>
  <c r="W26" i="37"/>
  <c r="N26" i="37"/>
  <c r="M26" i="37"/>
  <c r="L26" i="37"/>
  <c r="AJ25" i="37"/>
  <c r="AI25" i="37"/>
  <c r="AH25" i="37"/>
  <c r="Y25" i="37"/>
  <c r="X25" i="37"/>
  <c r="W25" i="37"/>
  <c r="N25" i="37"/>
  <c r="M25" i="37"/>
  <c r="L25" i="37"/>
  <c r="AJ24" i="37"/>
  <c r="AI24" i="37"/>
  <c r="AH24" i="37"/>
  <c r="Y24" i="37"/>
  <c r="X24" i="37"/>
  <c r="W24" i="37"/>
  <c r="N24" i="37"/>
  <c r="M24" i="37"/>
  <c r="L24" i="37"/>
  <c r="AJ23" i="37"/>
  <c r="AI23" i="37"/>
  <c r="AH23" i="37"/>
  <c r="Y23" i="37"/>
  <c r="X23" i="37"/>
  <c r="W23" i="37"/>
  <c r="N23" i="37"/>
  <c r="M23" i="37"/>
  <c r="L23" i="37"/>
  <c r="AJ22" i="37"/>
  <c r="AI22" i="37"/>
  <c r="AH22" i="37"/>
  <c r="Y22" i="37"/>
  <c r="X22" i="37"/>
  <c r="W22" i="37"/>
  <c r="N22" i="37"/>
  <c r="M22" i="37"/>
  <c r="L22" i="37"/>
  <c r="AJ21" i="37"/>
  <c r="AI21" i="37"/>
  <c r="AH21" i="37"/>
  <c r="Y21" i="37"/>
  <c r="X21" i="37"/>
  <c r="W21" i="37"/>
  <c r="N21" i="37"/>
  <c r="M21" i="37"/>
  <c r="L21" i="37"/>
  <c r="AJ20" i="37"/>
  <c r="AI20" i="37"/>
  <c r="AH20" i="37"/>
  <c r="Y20" i="37"/>
  <c r="X20" i="37"/>
  <c r="W20" i="37"/>
  <c r="N20" i="37"/>
  <c r="M20" i="37"/>
  <c r="L20" i="37"/>
  <c r="AJ19" i="37"/>
  <c r="AI19" i="37"/>
  <c r="AH19" i="37"/>
  <c r="Y19" i="37"/>
  <c r="X19" i="37"/>
  <c r="W19" i="37"/>
  <c r="N19" i="37"/>
  <c r="M19" i="37"/>
  <c r="L19" i="37"/>
  <c r="AJ18" i="37"/>
  <c r="AI18" i="37"/>
  <c r="AH18" i="37"/>
  <c r="Y18" i="37"/>
  <c r="X18" i="37"/>
  <c r="W18" i="37"/>
  <c r="N18" i="37"/>
  <c r="M18" i="37"/>
  <c r="L18" i="37"/>
  <c r="AJ17" i="37"/>
  <c r="AI17" i="37"/>
  <c r="AH17" i="37"/>
  <c r="Y17" i="37"/>
  <c r="X17" i="37"/>
  <c r="W17" i="37"/>
  <c r="N17" i="37"/>
  <c r="M17" i="37"/>
  <c r="L17" i="37"/>
  <c r="AJ16" i="37"/>
  <c r="AI16" i="37"/>
  <c r="AH16" i="37"/>
  <c r="Y16" i="37"/>
  <c r="X16" i="37"/>
  <c r="W16" i="37"/>
  <c r="N16" i="37"/>
  <c r="M16" i="37"/>
  <c r="L16" i="37"/>
  <c r="AJ15" i="37"/>
  <c r="AI15" i="37"/>
  <c r="AH15" i="37"/>
  <c r="Y15" i="37"/>
  <c r="X15" i="37"/>
  <c r="W15" i="37"/>
  <c r="N15" i="37"/>
  <c r="M15" i="37"/>
  <c r="L15" i="37"/>
  <c r="AJ14" i="37"/>
  <c r="AI14" i="37"/>
  <c r="AH14" i="37"/>
  <c r="Y14" i="37"/>
  <c r="X14" i="37"/>
  <c r="W14" i="37"/>
  <c r="N14" i="37"/>
  <c r="M14" i="37"/>
  <c r="L14" i="37"/>
  <c r="AJ13" i="37"/>
  <c r="AI13" i="37"/>
  <c r="AH13" i="37"/>
  <c r="Y13" i="37"/>
  <c r="X13" i="37"/>
  <c r="W13" i="37"/>
  <c r="N13" i="37"/>
  <c r="M13" i="37"/>
  <c r="L13" i="37"/>
  <c r="AJ12" i="37"/>
  <c r="AI12" i="37"/>
  <c r="AH12" i="37"/>
  <c r="Y12" i="37"/>
  <c r="X12" i="37"/>
  <c r="W12" i="37"/>
  <c r="N12" i="37"/>
  <c r="M12" i="37"/>
  <c r="L12" i="37"/>
  <c r="AJ11" i="37"/>
  <c r="AI11" i="37"/>
  <c r="AH11" i="37"/>
  <c r="Y11" i="37"/>
  <c r="X11" i="37"/>
  <c r="W11" i="37"/>
  <c r="N11" i="37"/>
  <c r="M11" i="37"/>
  <c r="L11" i="37"/>
  <c r="AJ10" i="37"/>
  <c r="AI10" i="37"/>
  <c r="AH10" i="37"/>
  <c r="Y10" i="37"/>
  <c r="X10" i="37"/>
  <c r="W10" i="37"/>
  <c r="N10" i="37"/>
  <c r="M10" i="37"/>
  <c r="L10" i="37"/>
  <c r="AJ9" i="37"/>
  <c r="AI9" i="37"/>
  <c r="AH9" i="37"/>
  <c r="Y9" i="37"/>
  <c r="X9" i="37"/>
  <c r="W9" i="37"/>
  <c r="L9" i="37"/>
  <c r="M9" i="37" s="1"/>
  <c r="N9" i="37" s="1"/>
  <c r="AJ8" i="37"/>
  <c r="AI8" i="37"/>
  <c r="AH8" i="37"/>
  <c r="Y8" i="37"/>
  <c r="X8" i="37"/>
  <c r="W8" i="37"/>
  <c r="L8" i="37"/>
  <c r="M8" i="37" s="1"/>
  <c r="N8" i="37" s="1"/>
  <c r="AJ7" i="37"/>
  <c r="AI7" i="37"/>
  <c r="AH7" i="37"/>
  <c r="Y7" i="37"/>
  <c r="X7" i="37"/>
  <c r="W7" i="37"/>
  <c r="L7" i="37"/>
  <c r="M7" i="37" s="1"/>
  <c r="N7" i="37" s="1"/>
  <c r="AJ6" i="37"/>
  <c r="AI6" i="37"/>
  <c r="AH6" i="37"/>
  <c r="Y6" i="37"/>
  <c r="X6" i="37"/>
  <c r="W6" i="37"/>
  <c r="L6" i="37"/>
  <c r="M6" i="37" s="1"/>
  <c r="N6" i="37" s="1"/>
  <c r="AJ5" i="37"/>
  <c r="AI5" i="37"/>
  <c r="AH5" i="37"/>
  <c r="Y5" i="37"/>
  <c r="X5" i="37"/>
  <c r="W5" i="37"/>
  <c r="L5" i="37"/>
  <c r="M5" i="37" s="1"/>
  <c r="N5" i="37" s="1"/>
  <c r="AJ4" i="37"/>
  <c r="AI4" i="37"/>
  <c r="AH4" i="37"/>
  <c r="W4" i="37"/>
  <c r="X4" i="37" s="1"/>
  <c r="Y4" i="37" s="1"/>
  <c r="L4" i="37"/>
  <c r="M4" i="37" s="1"/>
  <c r="N4" i="37" s="1"/>
  <c r="AJ3" i="37"/>
  <c r="AJ1" i="37" s="1"/>
  <c r="AI3" i="37"/>
  <c r="AH3" i="37"/>
  <c r="W3" i="37"/>
  <c r="X3" i="37" s="1"/>
  <c r="Y3" i="37" s="1"/>
  <c r="L3" i="37"/>
  <c r="M3" i="37" s="1"/>
  <c r="N3" i="37" s="1"/>
  <c r="AA1" i="37" a="1"/>
  <c r="AA1" i="37" s="1"/>
  <c r="P1" i="37" a="1"/>
  <c r="P1" i="37" s="1"/>
  <c r="E1" i="37" a="1"/>
  <c r="E1" i="37" s="1"/>
  <c r="A1" i="37" a="1"/>
  <c r="A1" i="37" s="1"/>
  <c r="AJ49" i="36"/>
  <c r="AI49" i="36"/>
  <c r="AH49" i="36"/>
  <c r="Y49" i="36"/>
  <c r="X49" i="36"/>
  <c r="W49" i="36"/>
  <c r="N49" i="36"/>
  <c r="M49" i="36"/>
  <c r="L49" i="36"/>
  <c r="AJ48" i="36"/>
  <c r="AI48" i="36"/>
  <c r="AH48" i="36"/>
  <c r="Y48" i="36"/>
  <c r="X48" i="36"/>
  <c r="W48" i="36"/>
  <c r="N48" i="36"/>
  <c r="M48" i="36"/>
  <c r="L48" i="36"/>
  <c r="AJ47" i="36"/>
  <c r="AI47" i="36"/>
  <c r="AH47" i="36"/>
  <c r="Y47" i="36"/>
  <c r="X47" i="36"/>
  <c r="W47" i="36"/>
  <c r="N47" i="36"/>
  <c r="M47" i="36"/>
  <c r="L47" i="36"/>
  <c r="AJ46" i="36"/>
  <c r="AI46" i="36"/>
  <c r="AH46" i="36"/>
  <c r="Y46" i="36"/>
  <c r="X46" i="36"/>
  <c r="W46" i="36"/>
  <c r="N46" i="36"/>
  <c r="M46" i="36"/>
  <c r="L46" i="36"/>
  <c r="AJ45" i="36"/>
  <c r="AI45" i="36"/>
  <c r="AH45" i="36"/>
  <c r="Y45" i="36"/>
  <c r="X45" i="36"/>
  <c r="W45" i="36"/>
  <c r="N45" i="36"/>
  <c r="M45" i="36"/>
  <c r="L45" i="36"/>
  <c r="AJ44" i="36"/>
  <c r="AI44" i="36"/>
  <c r="AH44" i="36"/>
  <c r="Y44" i="36"/>
  <c r="X44" i="36"/>
  <c r="W44" i="36"/>
  <c r="N44" i="36"/>
  <c r="M44" i="36"/>
  <c r="L44" i="36"/>
  <c r="AJ43" i="36"/>
  <c r="AI43" i="36"/>
  <c r="AH43" i="36"/>
  <c r="Y43" i="36"/>
  <c r="X43" i="36"/>
  <c r="W43" i="36"/>
  <c r="N43" i="36"/>
  <c r="M43" i="36"/>
  <c r="L43" i="36"/>
  <c r="AJ42" i="36"/>
  <c r="AI42" i="36"/>
  <c r="AH42" i="36"/>
  <c r="Y42" i="36"/>
  <c r="X42" i="36"/>
  <c r="W42" i="36"/>
  <c r="N42" i="36"/>
  <c r="M42" i="36"/>
  <c r="L42" i="36"/>
  <c r="AJ41" i="36"/>
  <c r="AI41" i="36"/>
  <c r="AH41" i="36"/>
  <c r="Y41" i="36"/>
  <c r="X41" i="36"/>
  <c r="W41" i="36"/>
  <c r="N41" i="36"/>
  <c r="M41" i="36"/>
  <c r="L41" i="36"/>
  <c r="AJ40" i="36"/>
  <c r="AI40" i="36"/>
  <c r="AH40" i="36"/>
  <c r="Y40" i="36"/>
  <c r="X40" i="36"/>
  <c r="W40" i="36"/>
  <c r="N40" i="36"/>
  <c r="M40" i="36"/>
  <c r="L40" i="36"/>
  <c r="AJ39" i="36"/>
  <c r="AI39" i="36"/>
  <c r="AH39" i="36"/>
  <c r="Y39" i="36"/>
  <c r="X39" i="36"/>
  <c r="W39" i="36"/>
  <c r="N39" i="36"/>
  <c r="M39" i="36"/>
  <c r="L39" i="36"/>
  <c r="AJ38" i="36"/>
  <c r="AI38" i="36"/>
  <c r="AH38" i="36"/>
  <c r="Y38" i="36"/>
  <c r="X38" i="36"/>
  <c r="W38" i="36"/>
  <c r="N38" i="36"/>
  <c r="M38" i="36"/>
  <c r="L38" i="36"/>
  <c r="AJ37" i="36"/>
  <c r="AI37" i="36"/>
  <c r="AH37" i="36"/>
  <c r="Y37" i="36"/>
  <c r="X37" i="36"/>
  <c r="W37" i="36"/>
  <c r="N37" i="36"/>
  <c r="M37" i="36"/>
  <c r="L37" i="36"/>
  <c r="AJ36" i="36"/>
  <c r="AI36" i="36"/>
  <c r="AH36" i="36"/>
  <c r="Y36" i="36"/>
  <c r="X36" i="36"/>
  <c r="W36" i="36"/>
  <c r="N36" i="36"/>
  <c r="M36" i="36"/>
  <c r="L36" i="36"/>
  <c r="AJ35" i="36"/>
  <c r="AI35" i="36"/>
  <c r="AH35" i="36"/>
  <c r="Y35" i="36"/>
  <c r="X35" i="36"/>
  <c r="W35" i="36"/>
  <c r="N35" i="36"/>
  <c r="M35" i="36"/>
  <c r="L35" i="36"/>
  <c r="AJ34" i="36"/>
  <c r="AI34" i="36"/>
  <c r="AH34" i="36"/>
  <c r="Y34" i="36"/>
  <c r="X34" i="36"/>
  <c r="W34" i="36"/>
  <c r="N34" i="36"/>
  <c r="M34" i="36"/>
  <c r="L34" i="36"/>
  <c r="AJ33" i="36"/>
  <c r="AI33" i="36"/>
  <c r="AH33" i="36"/>
  <c r="Y33" i="36"/>
  <c r="X33" i="36"/>
  <c r="W33" i="36"/>
  <c r="N33" i="36"/>
  <c r="M33" i="36"/>
  <c r="L33" i="36"/>
  <c r="AJ32" i="36"/>
  <c r="AI32" i="36"/>
  <c r="AH32" i="36"/>
  <c r="Y32" i="36"/>
  <c r="X32" i="36"/>
  <c r="W32" i="36"/>
  <c r="N32" i="36"/>
  <c r="M32" i="36"/>
  <c r="L32" i="36"/>
  <c r="AJ31" i="36"/>
  <c r="AI31" i="36"/>
  <c r="AH31" i="36"/>
  <c r="Y31" i="36"/>
  <c r="X31" i="36"/>
  <c r="W31" i="36"/>
  <c r="N31" i="36"/>
  <c r="M31" i="36"/>
  <c r="L31" i="36"/>
  <c r="AJ30" i="36"/>
  <c r="AI30" i="36"/>
  <c r="AH30" i="36"/>
  <c r="Y30" i="36"/>
  <c r="X30" i="36"/>
  <c r="W30" i="36"/>
  <c r="N30" i="36"/>
  <c r="M30" i="36"/>
  <c r="L30" i="36"/>
  <c r="AJ29" i="36"/>
  <c r="AI29" i="36"/>
  <c r="AH29" i="36"/>
  <c r="Y29" i="36"/>
  <c r="X29" i="36"/>
  <c r="W29" i="36"/>
  <c r="N29" i="36"/>
  <c r="M29" i="36"/>
  <c r="L29" i="36"/>
  <c r="AJ28" i="36"/>
  <c r="AI28" i="36"/>
  <c r="AH28" i="36"/>
  <c r="Y28" i="36"/>
  <c r="X28" i="36"/>
  <c r="W28" i="36"/>
  <c r="N28" i="36"/>
  <c r="M28" i="36"/>
  <c r="L28" i="36"/>
  <c r="AJ27" i="36"/>
  <c r="AI27" i="36"/>
  <c r="AH27" i="36"/>
  <c r="Y27" i="36"/>
  <c r="X27" i="36"/>
  <c r="W27" i="36"/>
  <c r="N27" i="36"/>
  <c r="M27" i="36"/>
  <c r="L27" i="36"/>
  <c r="AJ26" i="36"/>
  <c r="AI26" i="36"/>
  <c r="AH26" i="36"/>
  <c r="Y26" i="36"/>
  <c r="X26" i="36"/>
  <c r="W26" i="36"/>
  <c r="N26" i="36"/>
  <c r="M26" i="36"/>
  <c r="L26" i="36"/>
  <c r="AJ25" i="36"/>
  <c r="AI25" i="36"/>
  <c r="AH25" i="36"/>
  <c r="Y25" i="36"/>
  <c r="X25" i="36"/>
  <c r="W25" i="36"/>
  <c r="N25" i="36"/>
  <c r="M25" i="36"/>
  <c r="L25" i="36"/>
  <c r="AJ24" i="36"/>
  <c r="AI24" i="36"/>
  <c r="AH24" i="36"/>
  <c r="Y24" i="36"/>
  <c r="X24" i="36"/>
  <c r="W24" i="36"/>
  <c r="N24" i="36"/>
  <c r="M24" i="36"/>
  <c r="L24" i="36"/>
  <c r="AJ23" i="36"/>
  <c r="AI23" i="36"/>
  <c r="AH23" i="36"/>
  <c r="Y23" i="36"/>
  <c r="X23" i="36"/>
  <c r="W23" i="36"/>
  <c r="N23" i="36"/>
  <c r="M23" i="36"/>
  <c r="L23" i="36"/>
  <c r="AJ22" i="36"/>
  <c r="AI22" i="36"/>
  <c r="AH22" i="36"/>
  <c r="Y22" i="36"/>
  <c r="X22" i="36"/>
  <c r="W22" i="36"/>
  <c r="N22" i="36"/>
  <c r="M22" i="36"/>
  <c r="L22" i="36"/>
  <c r="AJ21" i="36"/>
  <c r="AI21" i="36"/>
  <c r="AH21" i="36"/>
  <c r="Y21" i="36"/>
  <c r="X21" i="36"/>
  <c r="W21" i="36"/>
  <c r="N21" i="36"/>
  <c r="M21" i="36"/>
  <c r="L21" i="36"/>
  <c r="AJ20" i="36"/>
  <c r="AI20" i="36"/>
  <c r="AH20" i="36"/>
  <c r="Y20" i="36"/>
  <c r="X20" i="36"/>
  <c r="W20" i="36"/>
  <c r="N20" i="36"/>
  <c r="M20" i="36"/>
  <c r="L20" i="36"/>
  <c r="AJ19" i="36"/>
  <c r="AI19" i="36"/>
  <c r="AH19" i="36"/>
  <c r="Y19" i="36"/>
  <c r="X19" i="36"/>
  <c r="W19" i="36"/>
  <c r="N19" i="36"/>
  <c r="M19" i="36"/>
  <c r="L19" i="36"/>
  <c r="AJ18" i="36"/>
  <c r="AI18" i="36"/>
  <c r="AH18" i="36"/>
  <c r="Y18" i="36"/>
  <c r="X18" i="36"/>
  <c r="W18" i="36"/>
  <c r="N18" i="36"/>
  <c r="M18" i="36"/>
  <c r="L18" i="36"/>
  <c r="AJ17" i="36"/>
  <c r="AI17" i="36"/>
  <c r="AH17" i="36"/>
  <c r="Y17" i="36"/>
  <c r="X17" i="36"/>
  <c r="W17" i="36"/>
  <c r="N17" i="36"/>
  <c r="M17" i="36"/>
  <c r="L17" i="36"/>
  <c r="AJ16" i="36"/>
  <c r="AI16" i="36"/>
  <c r="AH16" i="36"/>
  <c r="Y16" i="36"/>
  <c r="X16" i="36"/>
  <c r="W16" i="36"/>
  <c r="N16" i="36"/>
  <c r="M16" i="36"/>
  <c r="L16" i="36"/>
  <c r="AJ15" i="36"/>
  <c r="AI15" i="36"/>
  <c r="AH15" i="36"/>
  <c r="Y15" i="36"/>
  <c r="X15" i="36"/>
  <c r="W15" i="36"/>
  <c r="L15" i="36"/>
  <c r="M15" i="36" s="1"/>
  <c r="N15" i="36" s="1"/>
  <c r="AJ14" i="36"/>
  <c r="AI14" i="36"/>
  <c r="AH14" i="36"/>
  <c r="Y14" i="36"/>
  <c r="X14" i="36"/>
  <c r="W14" i="36"/>
  <c r="M14" i="36"/>
  <c r="N14" i="36" s="1"/>
  <c r="L14" i="36"/>
  <c r="AJ13" i="36"/>
  <c r="AI13" i="36"/>
  <c r="AH13" i="36"/>
  <c r="Y13" i="36"/>
  <c r="X13" i="36"/>
  <c r="W13" i="36"/>
  <c r="L13" i="36"/>
  <c r="M13" i="36" s="1"/>
  <c r="N13" i="36" s="1"/>
  <c r="AJ12" i="36"/>
  <c r="AI12" i="36"/>
  <c r="AH12" i="36"/>
  <c r="Y12" i="36"/>
  <c r="X12" i="36"/>
  <c r="W12" i="36"/>
  <c r="L12" i="36"/>
  <c r="M12" i="36" s="1"/>
  <c r="N12" i="36" s="1"/>
  <c r="AJ11" i="36"/>
  <c r="AI11" i="36"/>
  <c r="AH11" i="36"/>
  <c r="Y11" i="36"/>
  <c r="X11" i="36"/>
  <c r="W11" i="36"/>
  <c r="L11" i="36"/>
  <c r="M11" i="36" s="1"/>
  <c r="N11" i="36" s="1"/>
  <c r="AJ10" i="36"/>
  <c r="AI10" i="36"/>
  <c r="AH10" i="36"/>
  <c r="Y10" i="36"/>
  <c r="X10" i="36"/>
  <c r="W10" i="36"/>
  <c r="L10" i="36"/>
  <c r="M10" i="36" s="1"/>
  <c r="N10" i="36" s="1"/>
  <c r="AJ9" i="36"/>
  <c r="AI9" i="36"/>
  <c r="AH9" i="36"/>
  <c r="Y9" i="36"/>
  <c r="X9" i="36"/>
  <c r="W9" i="36"/>
  <c r="L9" i="36"/>
  <c r="M9" i="36" s="1"/>
  <c r="N9" i="36" s="1"/>
  <c r="AJ8" i="36"/>
  <c r="AI8" i="36"/>
  <c r="AH8" i="36"/>
  <c r="Y8" i="36"/>
  <c r="X8" i="36"/>
  <c r="W8" i="36"/>
  <c r="L8" i="36"/>
  <c r="M8" i="36" s="1"/>
  <c r="N8" i="36" s="1"/>
  <c r="AJ7" i="36"/>
  <c r="AI7" i="36"/>
  <c r="AH7" i="36"/>
  <c r="Y7" i="36"/>
  <c r="X7" i="36"/>
  <c r="W7" i="36"/>
  <c r="L7" i="36"/>
  <c r="M7" i="36" s="1"/>
  <c r="N7" i="36" s="1"/>
  <c r="AJ6" i="36"/>
  <c r="AI6" i="36"/>
  <c r="AH6" i="36"/>
  <c r="Y6" i="36"/>
  <c r="X6" i="36"/>
  <c r="W6" i="36"/>
  <c r="L6" i="36"/>
  <c r="M6" i="36" s="1"/>
  <c r="N6" i="36" s="1"/>
  <c r="AJ5" i="36"/>
  <c r="AI5" i="36"/>
  <c r="AH5" i="36"/>
  <c r="Y5" i="36"/>
  <c r="X5" i="36"/>
  <c r="W5" i="36"/>
  <c r="L5" i="36"/>
  <c r="M5" i="36" s="1"/>
  <c r="N5" i="36" s="1"/>
  <c r="AJ4" i="36"/>
  <c r="AI4" i="36"/>
  <c r="AH4" i="36"/>
  <c r="W4" i="36"/>
  <c r="X4" i="36" s="1"/>
  <c r="Y4" i="36" s="1"/>
  <c r="L4" i="36"/>
  <c r="M4" i="36" s="1"/>
  <c r="N4" i="36" s="1"/>
  <c r="AJ3" i="36"/>
  <c r="AJ1" i="36" s="1"/>
  <c r="AI3" i="36"/>
  <c r="AH3" i="36"/>
  <c r="W3" i="36"/>
  <c r="X3" i="36" s="1"/>
  <c r="Y3" i="36" s="1"/>
  <c r="L3" i="36"/>
  <c r="M3" i="36" s="1"/>
  <c r="N3" i="36" s="1"/>
  <c r="AA1" i="36" a="1"/>
  <c r="AA1" i="36" s="1"/>
  <c r="P1" i="36" a="1"/>
  <c r="P1" i="36" s="1"/>
  <c r="E1" i="36" a="1"/>
  <c r="E1" i="36" s="1"/>
  <c r="A1" i="36" a="1"/>
  <c r="A1" i="36" s="1"/>
  <c r="AJ49" i="35"/>
  <c r="AI49" i="35"/>
  <c r="AH49" i="35"/>
  <c r="Y49" i="35"/>
  <c r="X49" i="35"/>
  <c r="W49" i="35"/>
  <c r="N49" i="35"/>
  <c r="M49" i="35"/>
  <c r="L49" i="35"/>
  <c r="AJ48" i="35"/>
  <c r="AI48" i="35"/>
  <c r="AH48" i="35"/>
  <c r="Y48" i="35"/>
  <c r="X48" i="35"/>
  <c r="W48" i="35"/>
  <c r="N48" i="35"/>
  <c r="M48" i="35"/>
  <c r="L48" i="35"/>
  <c r="AJ47" i="35"/>
  <c r="AI47" i="35"/>
  <c r="AH47" i="35"/>
  <c r="Y47" i="35"/>
  <c r="X47" i="35"/>
  <c r="W47" i="35"/>
  <c r="N47" i="35"/>
  <c r="M47" i="35"/>
  <c r="L47" i="35"/>
  <c r="AJ46" i="35"/>
  <c r="AI46" i="35"/>
  <c r="AH46" i="35"/>
  <c r="Y46" i="35"/>
  <c r="X46" i="35"/>
  <c r="W46" i="35"/>
  <c r="N46" i="35"/>
  <c r="M46" i="35"/>
  <c r="L46" i="35"/>
  <c r="AJ45" i="35"/>
  <c r="AI45" i="35"/>
  <c r="AH45" i="35"/>
  <c r="Y45" i="35"/>
  <c r="X45" i="35"/>
  <c r="W45" i="35"/>
  <c r="N45" i="35"/>
  <c r="M45" i="35"/>
  <c r="L45" i="35"/>
  <c r="AJ44" i="35"/>
  <c r="AI44" i="35"/>
  <c r="AH44" i="35"/>
  <c r="Y44" i="35"/>
  <c r="X44" i="35"/>
  <c r="W44" i="35"/>
  <c r="N44" i="35"/>
  <c r="M44" i="35"/>
  <c r="L44" i="35"/>
  <c r="AJ43" i="35"/>
  <c r="AI43" i="35"/>
  <c r="AH43" i="35"/>
  <c r="Y43" i="35"/>
  <c r="X43" i="35"/>
  <c r="W43" i="35"/>
  <c r="N43" i="35"/>
  <c r="M43" i="35"/>
  <c r="L43" i="35"/>
  <c r="AJ42" i="35"/>
  <c r="AI42" i="35"/>
  <c r="AH42" i="35"/>
  <c r="Y42" i="35"/>
  <c r="X42" i="35"/>
  <c r="W42" i="35"/>
  <c r="N42" i="35"/>
  <c r="M42" i="35"/>
  <c r="L42" i="35"/>
  <c r="AJ41" i="35"/>
  <c r="AI41" i="35"/>
  <c r="AH41" i="35"/>
  <c r="Y41" i="35"/>
  <c r="X41" i="35"/>
  <c r="W41" i="35"/>
  <c r="N41" i="35"/>
  <c r="M41" i="35"/>
  <c r="L41" i="35"/>
  <c r="AJ40" i="35"/>
  <c r="AI40" i="35"/>
  <c r="AH40" i="35"/>
  <c r="Y40" i="35"/>
  <c r="X40" i="35"/>
  <c r="W40" i="35"/>
  <c r="N40" i="35"/>
  <c r="M40" i="35"/>
  <c r="L40" i="35"/>
  <c r="AJ39" i="35"/>
  <c r="AI39" i="35"/>
  <c r="AH39" i="35"/>
  <c r="Y39" i="35"/>
  <c r="X39" i="35"/>
  <c r="W39" i="35"/>
  <c r="N39" i="35"/>
  <c r="M39" i="35"/>
  <c r="L39" i="35"/>
  <c r="AJ38" i="35"/>
  <c r="AI38" i="35"/>
  <c r="AH38" i="35"/>
  <c r="Y38" i="35"/>
  <c r="X38" i="35"/>
  <c r="W38" i="35"/>
  <c r="N38" i="35"/>
  <c r="M38" i="35"/>
  <c r="L38" i="35"/>
  <c r="AJ37" i="35"/>
  <c r="AI37" i="35"/>
  <c r="AH37" i="35"/>
  <c r="Y37" i="35"/>
  <c r="X37" i="35"/>
  <c r="W37" i="35"/>
  <c r="N37" i="35"/>
  <c r="M37" i="35"/>
  <c r="L37" i="35"/>
  <c r="AJ36" i="35"/>
  <c r="AI36" i="35"/>
  <c r="AH36" i="35"/>
  <c r="Y36" i="35"/>
  <c r="X36" i="35"/>
  <c r="W36" i="35"/>
  <c r="N36" i="35"/>
  <c r="M36" i="35"/>
  <c r="L36" i="35"/>
  <c r="AJ35" i="35"/>
  <c r="AI35" i="35"/>
  <c r="AH35" i="35"/>
  <c r="Y35" i="35"/>
  <c r="X35" i="35"/>
  <c r="W35" i="35"/>
  <c r="N35" i="35"/>
  <c r="M35" i="35"/>
  <c r="L35" i="35"/>
  <c r="AJ34" i="35"/>
  <c r="AI34" i="35"/>
  <c r="AH34" i="35"/>
  <c r="Y34" i="35"/>
  <c r="X34" i="35"/>
  <c r="W34" i="35"/>
  <c r="N34" i="35"/>
  <c r="M34" i="35"/>
  <c r="L34" i="35"/>
  <c r="AJ33" i="35"/>
  <c r="AI33" i="35"/>
  <c r="AH33" i="35"/>
  <c r="Y33" i="35"/>
  <c r="X33" i="35"/>
  <c r="W33" i="35"/>
  <c r="N33" i="35"/>
  <c r="M33" i="35"/>
  <c r="L33" i="35"/>
  <c r="AJ32" i="35"/>
  <c r="AI32" i="35"/>
  <c r="AH32" i="35"/>
  <c r="Y32" i="35"/>
  <c r="X32" i="35"/>
  <c r="W32" i="35"/>
  <c r="N32" i="35"/>
  <c r="M32" i="35"/>
  <c r="L32" i="35"/>
  <c r="AJ31" i="35"/>
  <c r="AI31" i="35"/>
  <c r="AH31" i="35"/>
  <c r="Y31" i="35"/>
  <c r="X31" i="35"/>
  <c r="W31" i="35"/>
  <c r="N31" i="35"/>
  <c r="M31" i="35"/>
  <c r="L31" i="35"/>
  <c r="AJ30" i="35"/>
  <c r="AI30" i="35"/>
  <c r="AH30" i="35"/>
  <c r="Y30" i="35"/>
  <c r="X30" i="35"/>
  <c r="W30" i="35"/>
  <c r="N30" i="35"/>
  <c r="M30" i="35"/>
  <c r="L30" i="35"/>
  <c r="AJ29" i="35"/>
  <c r="AI29" i="35"/>
  <c r="AH29" i="35"/>
  <c r="Y29" i="35"/>
  <c r="X29" i="35"/>
  <c r="W29" i="35"/>
  <c r="N29" i="35"/>
  <c r="M29" i="35"/>
  <c r="L29" i="35"/>
  <c r="AJ28" i="35"/>
  <c r="AI28" i="35"/>
  <c r="AH28" i="35"/>
  <c r="Y28" i="35"/>
  <c r="X28" i="35"/>
  <c r="W28" i="35"/>
  <c r="N28" i="35"/>
  <c r="M28" i="35"/>
  <c r="L28" i="35"/>
  <c r="AJ27" i="35"/>
  <c r="AI27" i="35"/>
  <c r="AH27" i="35"/>
  <c r="Y27" i="35"/>
  <c r="X27" i="35"/>
  <c r="W27" i="35"/>
  <c r="N27" i="35"/>
  <c r="M27" i="35"/>
  <c r="L27" i="35"/>
  <c r="AJ26" i="35"/>
  <c r="AI26" i="35"/>
  <c r="AH26" i="35"/>
  <c r="Y26" i="35"/>
  <c r="X26" i="35"/>
  <c r="W26" i="35"/>
  <c r="N26" i="35"/>
  <c r="M26" i="35"/>
  <c r="L26" i="35"/>
  <c r="AJ25" i="35"/>
  <c r="AI25" i="35"/>
  <c r="AH25" i="35"/>
  <c r="Y25" i="35"/>
  <c r="X25" i="35"/>
  <c r="W25" i="35"/>
  <c r="N25" i="35"/>
  <c r="M25" i="35"/>
  <c r="L25" i="35"/>
  <c r="AJ24" i="35"/>
  <c r="AI24" i="35"/>
  <c r="AH24" i="35"/>
  <c r="Y24" i="35"/>
  <c r="X24" i="35"/>
  <c r="W24" i="35"/>
  <c r="N24" i="35"/>
  <c r="M24" i="35"/>
  <c r="L24" i="35"/>
  <c r="AJ23" i="35"/>
  <c r="AI23" i="35"/>
  <c r="AH23" i="35"/>
  <c r="Y23" i="35"/>
  <c r="X23" i="35"/>
  <c r="W23" i="35"/>
  <c r="N23" i="35"/>
  <c r="M23" i="35"/>
  <c r="L23" i="35"/>
  <c r="AJ22" i="35"/>
  <c r="AI22" i="35"/>
  <c r="AH22" i="35"/>
  <c r="Y22" i="35"/>
  <c r="X22" i="35"/>
  <c r="W22" i="35"/>
  <c r="N22" i="35"/>
  <c r="M22" i="35"/>
  <c r="L22" i="35"/>
  <c r="AJ21" i="35"/>
  <c r="AI21" i="35"/>
  <c r="AH21" i="35"/>
  <c r="Y21" i="35"/>
  <c r="X21" i="35"/>
  <c r="W21" i="35"/>
  <c r="N21" i="35"/>
  <c r="M21" i="35"/>
  <c r="L21" i="35"/>
  <c r="AJ20" i="35"/>
  <c r="AI20" i="35"/>
  <c r="AH20" i="35"/>
  <c r="Y20" i="35"/>
  <c r="X20" i="35"/>
  <c r="W20" i="35"/>
  <c r="N20" i="35"/>
  <c r="M20" i="35"/>
  <c r="L20" i="35"/>
  <c r="AJ19" i="35"/>
  <c r="AI19" i="35"/>
  <c r="AH19" i="35"/>
  <c r="Y19" i="35"/>
  <c r="X19" i="35"/>
  <c r="W19" i="35"/>
  <c r="L19" i="35"/>
  <c r="M19" i="35" s="1"/>
  <c r="N19" i="35" s="1"/>
  <c r="AJ18" i="35"/>
  <c r="AI18" i="35"/>
  <c r="AH18" i="35"/>
  <c r="Y18" i="35"/>
  <c r="X18" i="35"/>
  <c r="W18" i="35"/>
  <c r="L18" i="35"/>
  <c r="M18" i="35" s="1"/>
  <c r="N18" i="35" s="1"/>
  <c r="AJ17" i="35"/>
  <c r="AI17" i="35"/>
  <c r="AH17" i="35"/>
  <c r="Y17" i="35"/>
  <c r="X17" i="35"/>
  <c r="W17" i="35"/>
  <c r="L17" i="35"/>
  <c r="M17" i="35" s="1"/>
  <c r="N17" i="35" s="1"/>
  <c r="AJ16" i="35"/>
  <c r="AI16" i="35"/>
  <c r="AH16" i="35"/>
  <c r="Y16" i="35"/>
  <c r="X16" i="35"/>
  <c r="W16" i="35"/>
  <c r="L16" i="35"/>
  <c r="M16" i="35" s="1"/>
  <c r="N16" i="35" s="1"/>
  <c r="AJ15" i="35"/>
  <c r="AI15" i="35"/>
  <c r="AH15" i="35"/>
  <c r="Y15" i="35"/>
  <c r="X15" i="35"/>
  <c r="W15" i="35"/>
  <c r="L15" i="35"/>
  <c r="M15" i="35" s="1"/>
  <c r="N15" i="35" s="1"/>
  <c r="AJ14" i="35"/>
  <c r="AI14" i="35"/>
  <c r="AH14" i="35"/>
  <c r="Y14" i="35"/>
  <c r="X14" i="35"/>
  <c r="W14" i="35"/>
  <c r="L14" i="35"/>
  <c r="M14" i="35" s="1"/>
  <c r="N14" i="35" s="1"/>
  <c r="AJ13" i="35"/>
  <c r="AI13" i="35"/>
  <c r="AH13" i="35"/>
  <c r="Y13" i="35"/>
  <c r="X13" i="35"/>
  <c r="W13" i="35"/>
  <c r="L13" i="35"/>
  <c r="M13" i="35" s="1"/>
  <c r="N13" i="35" s="1"/>
  <c r="AJ12" i="35"/>
  <c r="AI12" i="35"/>
  <c r="AH12" i="35"/>
  <c r="Y12" i="35"/>
  <c r="X12" i="35"/>
  <c r="W12" i="35"/>
  <c r="L12" i="35"/>
  <c r="M12" i="35" s="1"/>
  <c r="N12" i="35" s="1"/>
  <c r="AJ11" i="35"/>
  <c r="AI11" i="35"/>
  <c r="AH11" i="35"/>
  <c r="Y11" i="35"/>
  <c r="X11" i="35"/>
  <c r="W11" i="35"/>
  <c r="L11" i="35"/>
  <c r="M11" i="35" s="1"/>
  <c r="N11" i="35" s="1"/>
  <c r="AJ10" i="35"/>
  <c r="AI10" i="35"/>
  <c r="AH10" i="35"/>
  <c r="Y10" i="35"/>
  <c r="X10" i="35"/>
  <c r="W10" i="35"/>
  <c r="L10" i="35"/>
  <c r="M10" i="35" s="1"/>
  <c r="N10" i="35" s="1"/>
  <c r="AJ9" i="35"/>
  <c r="AI9" i="35"/>
  <c r="AH9" i="35"/>
  <c r="Y9" i="35"/>
  <c r="X9" i="35"/>
  <c r="W9" i="35"/>
  <c r="L9" i="35"/>
  <c r="M9" i="35" s="1"/>
  <c r="N9" i="35" s="1"/>
  <c r="AJ8" i="35"/>
  <c r="AI8" i="35"/>
  <c r="AH8" i="35"/>
  <c r="Y8" i="35"/>
  <c r="X8" i="35"/>
  <c r="W8" i="35"/>
  <c r="L8" i="35"/>
  <c r="M8" i="35" s="1"/>
  <c r="N8" i="35" s="1"/>
  <c r="AJ7" i="35"/>
  <c r="AI7" i="35"/>
  <c r="AH7" i="35"/>
  <c r="Y7" i="35"/>
  <c r="X7" i="35"/>
  <c r="W7" i="35"/>
  <c r="L7" i="35"/>
  <c r="M7" i="35" s="1"/>
  <c r="N7" i="35" s="1"/>
  <c r="AJ6" i="35"/>
  <c r="AI6" i="35"/>
  <c r="AH6" i="35"/>
  <c r="Y6" i="35"/>
  <c r="X6" i="35"/>
  <c r="W6" i="35"/>
  <c r="L6" i="35"/>
  <c r="M6" i="35" s="1"/>
  <c r="N6" i="35" s="1"/>
  <c r="AJ5" i="35"/>
  <c r="AI5" i="35"/>
  <c r="AH5" i="35"/>
  <c r="Y5" i="35"/>
  <c r="X5" i="35"/>
  <c r="W5" i="35"/>
  <c r="L5" i="35"/>
  <c r="M5" i="35" s="1"/>
  <c r="N5" i="35" s="1"/>
  <c r="AJ4" i="35"/>
  <c r="AI4" i="35"/>
  <c r="AH4" i="35"/>
  <c r="Y4" i="35"/>
  <c r="X4" i="35"/>
  <c r="W4" i="35"/>
  <c r="L4" i="35"/>
  <c r="M4" i="35" s="1"/>
  <c r="N4" i="35" s="1"/>
  <c r="AJ3" i="35"/>
  <c r="AJ1" i="35" s="1"/>
  <c r="AI3" i="35"/>
  <c r="AH3" i="35"/>
  <c r="W3" i="35"/>
  <c r="X3" i="35" s="1"/>
  <c r="Y3" i="35" s="1"/>
  <c r="L3" i="35"/>
  <c r="M3" i="35" s="1"/>
  <c r="N3" i="35" s="1"/>
  <c r="AA1" i="35" a="1"/>
  <c r="AA1" i="35" s="1"/>
  <c r="P1" i="35" a="1"/>
  <c r="P1" i="35" s="1"/>
  <c r="E1" i="35" a="1"/>
  <c r="E1" i="35" s="1"/>
  <c r="A1" i="35" a="1"/>
  <c r="A1" i="35" s="1"/>
  <c r="AJ49" i="34"/>
  <c r="AI49" i="34"/>
  <c r="AH49" i="34"/>
  <c r="Y49" i="34"/>
  <c r="X49" i="34"/>
  <c r="W49" i="34"/>
  <c r="N49" i="34"/>
  <c r="M49" i="34"/>
  <c r="L49" i="34"/>
  <c r="AJ48" i="34"/>
  <c r="AI48" i="34"/>
  <c r="AH48" i="34"/>
  <c r="Y48" i="34"/>
  <c r="X48" i="34"/>
  <c r="W48" i="34"/>
  <c r="N48" i="34"/>
  <c r="M48" i="34"/>
  <c r="L48" i="34"/>
  <c r="AJ47" i="34"/>
  <c r="AI47" i="34"/>
  <c r="AH47" i="34"/>
  <c r="Y47" i="34"/>
  <c r="X47" i="34"/>
  <c r="W47" i="34"/>
  <c r="N47" i="34"/>
  <c r="M47" i="34"/>
  <c r="L47" i="34"/>
  <c r="AJ46" i="34"/>
  <c r="AI46" i="34"/>
  <c r="AH46" i="34"/>
  <c r="Y46" i="34"/>
  <c r="X46" i="34"/>
  <c r="W46" i="34"/>
  <c r="N46" i="34"/>
  <c r="M46" i="34"/>
  <c r="L46" i="34"/>
  <c r="AJ45" i="34"/>
  <c r="AI45" i="34"/>
  <c r="AH45" i="34"/>
  <c r="Y45" i="34"/>
  <c r="X45" i="34"/>
  <c r="W45" i="34"/>
  <c r="N45" i="34"/>
  <c r="M45" i="34"/>
  <c r="L45" i="34"/>
  <c r="AJ44" i="34"/>
  <c r="AI44" i="34"/>
  <c r="AH44" i="34"/>
  <c r="Y44" i="34"/>
  <c r="X44" i="34"/>
  <c r="W44" i="34"/>
  <c r="N44" i="34"/>
  <c r="M44" i="34"/>
  <c r="L44" i="34"/>
  <c r="AJ43" i="34"/>
  <c r="AI43" i="34"/>
  <c r="AH43" i="34"/>
  <c r="Y43" i="34"/>
  <c r="X43" i="34"/>
  <c r="W43" i="34"/>
  <c r="N43" i="34"/>
  <c r="M43" i="34"/>
  <c r="L43" i="34"/>
  <c r="AJ42" i="34"/>
  <c r="AI42" i="34"/>
  <c r="AH42" i="34"/>
  <c r="Y42" i="34"/>
  <c r="X42" i="34"/>
  <c r="W42" i="34"/>
  <c r="N42" i="34"/>
  <c r="M42" i="34"/>
  <c r="L42" i="34"/>
  <c r="AJ41" i="34"/>
  <c r="AI41" i="34"/>
  <c r="AH41" i="34"/>
  <c r="Y41" i="34"/>
  <c r="X41" i="34"/>
  <c r="W41" i="34"/>
  <c r="N41" i="34"/>
  <c r="M41" i="34"/>
  <c r="L41" i="34"/>
  <c r="AJ40" i="34"/>
  <c r="AI40" i="34"/>
  <c r="AH40" i="34"/>
  <c r="Y40" i="34"/>
  <c r="X40" i="34"/>
  <c r="W40" i="34"/>
  <c r="N40" i="34"/>
  <c r="M40" i="34"/>
  <c r="L40" i="34"/>
  <c r="AJ39" i="34"/>
  <c r="AI39" i="34"/>
  <c r="AH39" i="34"/>
  <c r="Y39" i="34"/>
  <c r="X39" i="34"/>
  <c r="W39" i="34"/>
  <c r="N39" i="34"/>
  <c r="M39" i="34"/>
  <c r="L39" i="34"/>
  <c r="AJ38" i="34"/>
  <c r="AI38" i="34"/>
  <c r="AH38" i="34"/>
  <c r="Y38" i="34"/>
  <c r="X38" i="34"/>
  <c r="W38" i="34"/>
  <c r="N38" i="34"/>
  <c r="M38" i="34"/>
  <c r="L38" i="34"/>
  <c r="AJ37" i="34"/>
  <c r="AI37" i="34"/>
  <c r="AH37" i="34"/>
  <c r="Y37" i="34"/>
  <c r="X37" i="34"/>
  <c r="W37" i="34"/>
  <c r="N37" i="34"/>
  <c r="M37" i="34"/>
  <c r="L37" i="34"/>
  <c r="AJ36" i="34"/>
  <c r="AI36" i="34"/>
  <c r="AH36" i="34"/>
  <c r="Y36" i="34"/>
  <c r="X36" i="34"/>
  <c r="W36" i="34"/>
  <c r="N36" i="34"/>
  <c r="M36" i="34"/>
  <c r="L36" i="34"/>
  <c r="AJ35" i="34"/>
  <c r="AI35" i="34"/>
  <c r="AH35" i="34"/>
  <c r="Y35" i="34"/>
  <c r="X35" i="34"/>
  <c r="W35" i="34"/>
  <c r="N35" i="34"/>
  <c r="M35" i="34"/>
  <c r="L35" i="34"/>
  <c r="AJ34" i="34"/>
  <c r="AI34" i="34"/>
  <c r="AH34" i="34"/>
  <c r="Y34" i="34"/>
  <c r="X34" i="34"/>
  <c r="W34" i="34"/>
  <c r="N34" i="34"/>
  <c r="M34" i="34"/>
  <c r="L34" i="34"/>
  <c r="AJ33" i="34"/>
  <c r="AI33" i="34"/>
  <c r="AH33" i="34"/>
  <c r="Y33" i="34"/>
  <c r="X33" i="34"/>
  <c r="W33" i="34"/>
  <c r="N33" i="34"/>
  <c r="M33" i="34"/>
  <c r="L33" i="34"/>
  <c r="AJ32" i="34"/>
  <c r="AI32" i="34"/>
  <c r="AH32" i="34"/>
  <c r="Y32" i="34"/>
  <c r="X32" i="34"/>
  <c r="W32" i="34"/>
  <c r="N32" i="34"/>
  <c r="M32" i="34"/>
  <c r="L32" i="34"/>
  <c r="AJ31" i="34"/>
  <c r="AI31" i="34"/>
  <c r="AH31" i="34"/>
  <c r="Y31" i="34"/>
  <c r="X31" i="34"/>
  <c r="W31" i="34"/>
  <c r="N31" i="34"/>
  <c r="M31" i="34"/>
  <c r="L31" i="34"/>
  <c r="AJ30" i="34"/>
  <c r="AI30" i="34"/>
  <c r="AH30" i="34"/>
  <c r="Y30" i="34"/>
  <c r="X30" i="34"/>
  <c r="W30" i="34"/>
  <c r="N30" i="34"/>
  <c r="M30" i="34"/>
  <c r="L30" i="34"/>
  <c r="AJ29" i="34"/>
  <c r="AI29" i="34"/>
  <c r="AH29" i="34"/>
  <c r="Y29" i="34"/>
  <c r="X29" i="34"/>
  <c r="W29" i="34"/>
  <c r="N29" i="34"/>
  <c r="M29" i="34"/>
  <c r="L29" i="34"/>
  <c r="AJ28" i="34"/>
  <c r="AI28" i="34"/>
  <c r="AH28" i="34"/>
  <c r="Y28" i="34"/>
  <c r="X28" i="34"/>
  <c r="W28" i="34"/>
  <c r="N28" i="34"/>
  <c r="M28" i="34"/>
  <c r="L28" i="34"/>
  <c r="AJ27" i="34"/>
  <c r="AI27" i="34"/>
  <c r="AH27" i="34"/>
  <c r="Y27" i="34"/>
  <c r="X27" i="34"/>
  <c r="W27" i="34"/>
  <c r="N27" i="34"/>
  <c r="M27" i="34"/>
  <c r="L27" i="34"/>
  <c r="AJ26" i="34"/>
  <c r="AI26" i="34"/>
  <c r="AH26" i="34"/>
  <c r="Y26" i="34"/>
  <c r="X26" i="34"/>
  <c r="W26" i="34"/>
  <c r="N26" i="34"/>
  <c r="M26" i="34"/>
  <c r="L26" i="34"/>
  <c r="AJ25" i="34"/>
  <c r="AI25" i="34"/>
  <c r="AH25" i="34"/>
  <c r="Y25" i="34"/>
  <c r="X25" i="34"/>
  <c r="W25" i="34"/>
  <c r="N25" i="34"/>
  <c r="M25" i="34"/>
  <c r="L25" i="34"/>
  <c r="AJ24" i="34"/>
  <c r="AI24" i="34"/>
  <c r="AH24" i="34"/>
  <c r="Y24" i="34"/>
  <c r="X24" i="34"/>
  <c r="W24" i="34"/>
  <c r="N24" i="34"/>
  <c r="M24" i="34"/>
  <c r="L24" i="34"/>
  <c r="AJ23" i="34"/>
  <c r="AI23" i="34"/>
  <c r="AH23" i="34"/>
  <c r="Y23" i="34"/>
  <c r="X23" i="34"/>
  <c r="W23" i="34"/>
  <c r="N23" i="34"/>
  <c r="M23" i="34"/>
  <c r="L23" i="34"/>
  <c r="AJ22" i="34"/>
  <c r="AI22" i="34"/>
  <c r="AH22" i="34"/>
  <c r="Y22" i="34"/>
  <c r="X22" i="34"/>
  <c r="W22" i="34"/>
  <c r="N22" i="34"/>
  <c r="M22" i="34"/>
  <c r="L22" i="34"/>
  <c r="AJ21" i="34"/>
  <c r="AI21" i="34"/>
  <c r="AH21" i="34"/>
  <c r="Y21" i="34"/>
  <c r="X21" i="34"/>
  <c r="W21" i="34"/>
  <c r="N21" i="34"/>
  <c r="M21" i="34"/>
  <c r="L21" i="34"/>
  <c r="AJ20" i="34"/>
  <c r="AI20" i="34"/>
  <c r="AH20" i="34"/>
  <c r="Y20" i="34"/>
  <c r="X20" i="34"/>
  <c r="W20" i="34"/>
  <c r="N20" i="34"/>
  <c r="M20" i="34"/>
  <c r="L20" i="34"/>
  <c r="AJ19" i="34"/>
  <c r="AI19" i="34"/>
  <c r="AH19" i="34"/>
  <c r="Y19" i="34"/>
  <c r="X19" i="34"/>
  <c r="W19" i="34"/>
  <c r="N19" i="34"/>
  <c r="M19" i="34"/>
  <c r="L19" i="34"/>
  <c r="AJ18" i="34"/>
  <c r="AI18" i="34"/>
  <c r="AH18" i="34"/>
  <c r="Y18" i="34"/>
  <c r="X18" i="34"/>
  <c r="W18" i="34"/>
  <c r="N18" i="34"/>
  <c r="M18" i="34"/>
  <c r="L18" i="34"/>
  <c r="AJ17" i="34"/>
  <c r="AI17" i="34"/>
  <c r="AH17" i="34"/>
  <c r="Y17" i="34"/>
  <c r="X17" i="34"/>
  <c r="W17" i="34"/>
  <c r="N17" i="34"/>
  <c r="M17" i="34"/>
  <c r="L17" i="34"/>
  <c r="AJ16" i="34"/>
  <c r="AI16" i="34"/>
  <c r="AH16" i="34"/>
  <c r="Y16" i="34"/>
  <c r="X16" i="34"/>
  <c r="W16" i="34"/>
  <c r="N16" i="34"/>
  <c r="M16" i="34"/>
  <c r="L16" i="34"/>
  <c r="AJ15" i="34"/>
  <c r="AI15" i="34"/>
  <c r="AH15" i="34"/>
  <c r="Y15" i="34"/>
  <c r="X15" i="34"/>
  <c r="W15" i="34"/>
  <c r="N15" i="34"/>
  <c r="M15" i="34"/>
  <c r="L15" i="34"/>
  <c r="AJ14" i="34"/>
  <c r="AI14" i="34"/>
  <c r="AH14" i="34"/>
  <c r="Y14" i="34"/>
  <c r="X14" i="34"/>
  <c r="W14" i="34"/>
  <c r="N14" i="34"/>
  <c r="M14" i="34"/>
  <c r="L14" i="34"/>
  <c r="AJ13" i="34"/>
  <c r="AI13" i="34"/>
  <c r="AH13" i="34"/>
  <c r="Y13" i="34"/>
  <c r="X13" i="34"/>
  <c r="W13" i="34"/>
  <c r="N13" i="34"/>
  <c r="M13" i="34"/>
  <c r="L13" i="34"/>
  <c r="AJ12" i="34"/>
  <c r="AI12" i="34"/>
  <c r="AH12" i="34"/>
  <c r="Y12" i="34"/>
  <c r="X12" i="34"/>
  <c r="W12" i="34"/>
  <c r="N12" i="34"/>
  <c r="M12" i="34"/>
  <c r="L12" i="34"/>
  <c r="AJ11" i="34"/>
  <c r="AI11" i="34"/>
  <c r="AH11" i="34"/>
  <c r="Y11" i="34"/>
  <c r="X11" i="34"/>
  <c r="W11" i="34"/>
  <c r="N11" i="34"/>
  <c r="M11" i="34"/>
  <c r="L11" i="34"/>
  <c r="AJ10" i="34"/>
  <c r="AI10" i="34"/>
  <c r="AH10" i="34"/>
  <c r="Y10" i="34"/>
  <c r="X10" i="34"/>
  <c r="W10" i="34"/>
  <c r="N10" i="34"/>
  <c r="M10" i="34"/>
  <c r="L10" i="34"/>
  <c r="AJ9" i="34"/>
  <c r="AI9" i="34"/>
  <c r="AH9" i="34"/>
  <c r="Y9" i="34"/>
  <c r="X9" i="34"/>
  <c r="W9" i="34"/>
  <c r="N9" i="34"/>
  <c r="M9" i="34"/>
  <c r="L9" i="34"/>
  <c r="AJ8" i="34"/>
  <c r="AI8" i="34"/>
  <c r="AH8" i="34"/>
  <c r="Y8" i="34"/>
  <c r="X8" i="34"/>
  <c r="W8" i="34"/>
  <c r="N8" i="34"/>
  <c r="M8" i="34"/>
  <c r="L8" i="34"/>
  <c r="AJ7" i="34"/>
  <c r="AI7" i="34"/>
  <c r="AH7" i="34"/>
  <c r="Y7" i="34"/>
  <c r="X7" i="34"/>
  <c r="W7" i="34"/>
  <c r="N7" i="34"/>
  <c r="M7" i="34"/>
  <c r="L7" i="34"/>
  <c r="AJ6" i="34"/>
  <c r="AI6" i="34"/>
  <c r="AH6" i="34"/>
  <c r="Y6" i="34"/>
  <c r="X6" i="34"/>
  <c r="W6" i="34"/>
  <c r="N6" i="34"/>
  <c r="M6" i="34"/>
  <c r="L6" i="34"/>
  <c r="AJ5" i="34"/>
  <c r="AI5" i="34"/>
  <c r="AH5" i="34"/>
  <c r="Y5" i="34"/>
  <c r="X5" i="34"/>
  <c r="W5" i="34"/>
  <c r="N5" i="34"/>
  <c r="M5" i="34"/>
  <c r="L5" i="34"/>
  <c r="AI4" i="34"/>
  <c r="AJ4" i="34" s="1"/>
  <c r="AH4" i="34"/>
  <c r="W4" i="34"/>
  <c r="X4" i="34" s="1"/>
  <c r="Y4" i="34" s="1"/>
  <c r="N4" i="34"/>
  <c r="N1" i="34" s="1"/>
  <c r="M4" i="34"/>
  <c r="L4" i="34"/>
  <c r="AI3" i="34"/>
  <c r="AJ3" i="34" s="1"/>
  <c r="AH3" i="34"/>
  <c r="W3" i="34"/>
  <c r="X3" i="34" s="1"/>
  <c r="Y3" i="34" s="1"/>
  <c r="N3" i="34"/>
  <c r="M3" i="34"/>
  <c r="L3" i="34"/>
  <c r="AA1" i="34" a="1"/>
  <c r="AA1" i="34" s="1"/>
  <c r="P1" i="34" a="1"/>
  <c r="P1" i="34" s="1"/>
  <c r="E1" i="34" a="1"/>
  <c r="E1" i="34" s="1"/>
  <c r="A1" i="34" a="1"/>
  <c r="A1" i="34" s="1"/>
  <c r="AJ49" i="33"/>
  <c r="AI49" i="33"/>
  <c r="AH49" i="33"/>
  <c r="Y49" i="33"/>
  <c r="X49" i="33"/>
  <c r="W49" i="33"/>
  <c r="N49" i="33"/>
  <c r="M49" i="33"/>
  <c r="L49" i="33"/>
  <c r="AJ48" i="33"/>
  <c r="AI48" i="33"/>
  <c r="AH48" i="33"/>
  <c r="Y48" i="33"/>
  <c r="X48" i="33"/>
  <c r="W48" i="33"/>
  <c r="N48" i="33"/>
  <c r="L48" i="33"/>
  <c r="M48" i="33" s="1"/>
  <c r="AJ47" i="33"/>
  <c r="AI47" i="33"/>
  <c r="AH47" i="33"/>
  <c r="Y47" i="33"/>
  <c r="X47" i="33"/>
  <c r="W47" i="33"/>
  <c r="N47" i="33"/>
  <c r="L47" i="33"/>
  <c r="M47" i="33" s="1"/>
  <c r="AJ46" i="33"/>
  <c r="AI46" i="33"/>
  <c r="AH46" i="33"/>
  <c r="Y46" i="33"/>
  <c r="X46" i="33"/>
  <c r="W46" i="33"/>
  <c r="N46" i="33"/>
  <c r="L46" i="33"/>
  <c r="M46" i="33" s="1"/>
  <c r="AJ45" i="33"/>
  <c r="AI45" i="33"/>
  <c r="AH45" i="33"/>
  <c r="Y45" i="33"/>
  <c r="X45" i="33"/>
  <c r="W45" i="33"/>
  <c r="N45" i="33"/>
  <c r="L45" i="33"/>
  <c r="M45" i="33" s="1"/>
  <c r="AJ44" i="33"/>
  <c r="AI44" i="33"/>
  <c r="AH44" i="33"/>
  <c r="Y44" i="33"/>
  <c r="X44" i="33"/>
  <c r="W44" i="33"/>
  <c r="N44" i="33"/>
  <c r="L44" i="33"/>
  <c r="M44" i="33" s="1"/>
  <c r="AJ43" i="33"/>
  <c r="AI43" i="33"/>
  <c r="AH43" i="33"/>
  <c r="Y43" i="33"/>
  <c r="X43" i="33"/>
  <c r="W43" i="33"/>
  <c r="N43" i="33"/>
  <c r="L43" i="33"/>
  <c r="M43" i="33" s="1"/>
  <c r="AJ42" i="33"/>
  <c r="AI42" i="33"/>
  <c r="AH42" i="33"/>
  <c r="Y42" i="33"/>
  <c r="X42" i="33"/>
  <c r="W42" i="33"/>
  <c r="N42" i="33"/>
  <c r="L42" i="33"/>
  <c r="M42" i="33" s="1"/>
  <c r="AJ41" i="33"/>
  <c r="AI41" i="33"/>
  <c r="AH41" i="33"/>
  <c r="Y41" i="33"/>
  <c r="X41" i="33"/>
  <c r="W41" i="33"/>
  <c r="N41" i="33"/>
  <c r="L41" i="33"/>
  <c r="M41" i="33" s="1"/>
  <c r="AJ40" i="33"/>
  <c r="AI40" i="33"/>
  <c r="AH40" i="33"/>
  <c r="Y40" i="33"/>
  <c r="X40" i="33"/>
  <c r="W40" i="33"/>
  <c r="N40" i="33"/>
  <c r="L40" i="33"/>
  <c r="M40" i="33" s="1"/>
  <c r="AJ39" i="33"/>
  <c r="AI39" i="33"/>
  <c r="AH39" i="33"/>
  <c r="Y39" i="33"/>
  <c r="X39" i="33"/>
  <c r="W39" i="33"/>
  <c r="N39" i="33"/>
  <c r="L39" i="33"/>
  <c r="M39" i="33" s="1"/>
  <c r="AJ38" i="33"/>
  <c r="AI38" i="33"/>
  <c r="AH38" i="33"/>
  <c r="Y38" i="33"/>
  <c r="X38" i="33"/>
  <c r="W38" i="33"/>
  <c r="N38" i="33"/>
  <c r="L38" i="33"/>
  <c r="M38" i="33" s="1"/>
  <c r="AJ37" i="33"/>
  <c r="AI37" i="33"/>
  <c r="AH37" i="33"/>
  <c r="Y37" i="33"/>
  <c r="X37" i="33"/>
  <c r="W37" i="33"/>
  <c r="N37" i="33"/>
  <c r="L37" i="33"/>
  <c r="M37" i="33" s="1"/>
  <c r="AJ36" i="33"/>
  <c r="AI36" i="33"/>
  <c r="AH36" i="33"/>
  <c r="Y36" i="33"/>
  <c r="X36" i="33"/>
  <c r="W36" i="33"/>
  <c r="N36" i="33"/>
  <c r="L36" i="33"/>
  <c r="M36" i="33" s="1"/>
  <c r="AJ35" i="33"/>
  <c r="AI35" i="33"/>
  <c r="AH35" i="33"/>
  <c r="Y35" i="33"/>
  <c r="X35" i="33"/>
  <c r="W35" i="33"/>
  <c r="N35" i="33"/>
  <c r="L35" i="33"/>
  <c r="M35" i="33" s="1"/>
  <c r="AJ34" i="33"/>
  <c r="AI34" i="33"/>
  <c r="AH34" i="33"/>
  <c r="Y34" i="33"/>
  <c r="X34" i="33"/>
  <c r="W34" i="33"/>
  <c r="N34" i="33"/>
  <c r="L34" i="33"/>
  <c r="M34" i="33" s="1"/>
  <c r="AJ33" i="33"/>
  <c r="AI33" i="33"/>
  <c r="AH33" i="33"/>
  <c r="Y33" i="33"/>
  <c r="X33" i="33"/>
  <c r="W33" i="33"/>
  <c r="N33" i="33"/>
  <c r="L33" i="33"/>
  <c r="M33" i="33" s="1"/>
  <c r="AJ32" i="33"/>
  <c r="AI32" i="33"/>
  <c r="AH32" i="33"/>
  <c r="Y32" i="33"/>
  <c r="X32" i="33"/>
  <c r="W32" i="33"/>
  <c r="N32" i="33"/>
  <c r="L32" i="33"/>
  <c r="M32" i="33" s="1"/>
  <c r="AJ31" i="33"/>
  <c r="AI31" i="33"/>
  <c r="AH31" i="33"/>
  <c r="Y31" i="33"/>
  <c r="X31" i="33"/>
  <c r="W31" i="33"/>
  <c r="N31" i="33"/>
  <c r="L31" i="33"/>
  <c r="M31" i="33" s="1"/>
  <c r="AJ30" i="33"/>
  <c r="AI30" i="33"/>
  <c r="AH30" i="33"/>
  <c r="Y30" i="33"/>
  <c r="X30" i="33"/>
  <c r="W30" i="33"/>
  <c r="N30" i="33"/>
  <c r="L30" i="33"/>
  <c r="M30" i="33" s="1"/>
  <c r="AJ29" i="33"/>
  <c r="AI29" i="33"/>
  <c r="AH29" i="33"/>
  <c r="Y29" i="33"/>
  <c r="X29" i="33"/>
  <c r="W29" i="33"/>
  <c r="N29" i="33"/>
  <c r="L29" i="33"/>
  <c r="M29" i="33" s="1"/>
  <c r="AJ28" i="33"/>
  <c r="AI28" i="33"/>
  <c r="AH28" i="33"/>
  <c r="Y28" i="33"/>
  <c r="X28" i="33"/>
  <c r="W28" i="33"/>
  <c r="N28" i="33"/>
  <c r="L28" i="33"/>
  <c r="M28" i="33" s="1"/>
  <c r="AJ27" i="33"/>
  <c r="AI27" i="33"/>
  <c r="AH27" i="33"/>
  <c r="Y27" i="33"/>
  <c r="X27" i="33"/>
  <c r="W27" i="33"/>
  <c r="N27" i="33"/>
  <c r="L27" i="33"/>
  <c r="M27" i="33" s="1"/>
  <c r="AJ26" i="33"/>
  <c r="AI26" i="33"/>
  <c r="AH26" i="33"/>
  <c r="Y26" i="33"/>
  <c r="X26" i="33"/>
  <c r="W26" i="33"/>
  <c r="N26" i="33"/>
  <c r="L26" i="33"/>
  <c r="M26" i="33" s="1"/>
  <c r="AJ25" i="33"/>
  <c r="AI25" i="33"/>
  <c r="AH25" i="33"/>
  <c r="Y25" i="33"/>
  <c r="X25" i="33"/>
  <c r="W25" i="33"/>
  <c r="N25" i="33"/>
  <c r="L25" i="33"/>
  <c r="M25" i="33" s="1"/>
  <c r="AJ24" i="33"/>
  <c r="AI24" i="33"/>
  <c r="AH24" i="33"/>
  <c r="Y24" i="33"/>
  <c r="X24" i="33"/>
  <c r="W24" i="33"/>
  <c r="N24" i="33"/>
  <c r="M24" i="33"/>
  <c r="L24" i="33"/>
  <c r="AJ23" i="33"/>
  <c r="AI23" i="33"/>
  <c r="AH23" i="33"/>
  <c r="Y23" i="33"/>
  <c r="X23" i="33"/>
  <c r="W23" i="33"/>
  <c r="N23" i="33"/>
  <c r="L23" i="33"/>
  <c r="M23" i="33" s="1"/>
  <c r="AJ22" i="33"/>
  <c r="AI22" i="33"/>
  <c r="AH22" i="33"/>
  <c r="Y22" i="33"/>
  <c r="X22" i="33"/>
  <c r="W22" i="33"/>
  <c r="N22" i="33"/>
  <c r="L22" i="33"/>
  <c r="M22" i="33" s="1"/>
  <c r="AJ21" i="33"/>
  <c r="AI21" i="33"/>
  <c r="AH21" i="33"/>
  <c r="Y21" i="33"/>
  <c r="X21" i="33"/>
  <c r="W21" i="33"/>
  <c r="N21" i="33"/>
  <c r="L21" i="33"/>
  <c r="M21" i="33" s="1"/>
  <c r="AJ20" i="33"/>
  <c r="AI20" i="33"/>
  <c r="AH20" i="33"/>
  <c r="Y20" i="33"/>
  <c r="X20" i="33"/>
  <c r="W20" i="33"/>
  <c r="N20" i="33"/>
  <c r="L20" i="33"/>
  <c r="M20" i="33" s="1"/>
  <c r="AJ19" i="33"/>
  <c r="AI19" i="33"/>
  <c r="AH19" i="33"/>
  <c r="Y19" i="33"/>
  <c r="X19" i="33"/>
  <c r="W19" i="33"/>
  <c r="N19" i="33"/>
  <c r="L19" i="33"/>
  <c r="M19" i="33" s="1"/>
  <c r="AJ18" i="33"/>
  <c r="AI18" i="33"/>
  <c r="AH18" i="33"/>
  <c r="Y18" i="33"/>
  <c r="X18" i="33"/>
  <c r="W18" i="33"/>
  <c r="N18" i="33"/>
  <c r="L18" i="33"/>
  <c r="M18" i="33" s="1"/>
  <c r="AJ17" i="33"/>
  <c r="AI17" i="33"/>
  <c r="AH17" i="33"/>
  <c r="Y17" i="33"/>
  <c r="X17" i="33"/>
  <c r="W17" i="33"/>
  <c r="N17" i="33"/>
  <c r="M17" i="33"/>
  <c r="L17" i="33"/>
  <c r="AJ16" i="33"/>
  <c r="AI16" i="33"/>
  <c r="AH16" i="33"/>
  <c r="Y16" i="33"/>
  <c r="X16" i="33"/>
  <c r="W16" i="33"/>
  <c r="N16" i="33"/>
  <c r="M16" i="33"/>
  <c r="L16" i="33"/>
  <c r="AJ15" i="33"/>
  <c r="AI15" i="33"/>
  <c r="AH15" i="33"/>
  <c r="Y15" i="33"/>
  <c r="X15" i="33"/>
  <c r="W15" i="33"/>
  <c r="N15" i="33"/>
  <c r="M15" i="33"/>
  <c r="L15" i="33"/>
  <c r="AJ14" i="33"/>
  <c r="AI14" i="33"/>
  <c r="AH14" i="33"/>
  <c r="Y14" i="33"/>
  <c r="X14" i="33"/>
  <c r="W14" i="33"/>
  <c r="N14" i="33"/>
  <c r="M14" i="33"/>
  <c r="L14" i="33"/>
  <c r="AJ13" i="33"/>
  <c r="AI13" i="33"/>
  <c r="AH13" i="33"/>
  <c r="Y13" i="33"/>
  <c r="X13" i="33"/>
  <c r="W13" i="33"/>
  <c r="N13" i="33"/>
  <c r="L13" i="33"/>
  <c r="M13" i="33" s="1"/>
  <c r="AJ12" i="33"/>
  <c r="AI12" i="33"/>
  <c r="AH12" i="33"/>
  <c r="Y12" i="33"/>
  <c r="X12" i="33"/>
  <c r="W12" i="33"/>
  <c r="L12" i="33"/>
  <c r="M12" i="33" s="1"/>
  <c r="N12" i="33" s="1"/>
  <c r="AJ11" i="33"/>
  <c r="AI11" i="33"/>
  <c r="AH11" i="33"/>
  <c r="Y11" i="33"/>
  <c r="X11" i="33"/>
  <c r="W11" i="33"/>
  <c r="L11" i="33"/>
  <c r="M11" i="33" s="1"/>
  <c r="N11" i="33" s="1"/>
  <c r="AJ10" i="33"/>
  <c r="AI10" i="33"/>
  <c r="AH10" i="33"/>
  <c r="Y10" i="33"/>
  <c r="X10" i="33"/>
  <c r="W10" i="33"/>
  <c r="L10" i="33"/>
  <c r="M10" i="33" s="1"/>
  <c r="N10" i="33" s="1"/>
  <c r="AJ9" i="33"/>
  <c r="AI9" i="33"/>
  <c r="AH9" i="33"/>
  <c r="Y9" i="33"/>
  <c r="X9" i="33"/>
  <c r="W9" i="33"/>
  <c r="L9" i="33"/>
  <c r="M9" i="33" s="1"/>
  <c r="N9" i="33" s="1"/>
  <c r="AJ8" i="33"/>
  <c r="AI8" i="33"/>
  <c r="AH8" i="33"/>
  <c r="Y8" i="33"/>
  <c r="X8" i="33"/>
  <c r="W8" i="33"/>
  <c r="L8" i="33"/>
  <c r="M8" i="33" s="1"/>
  <c r="N8" i="33" s="1"/>
  <c r="AJ7" i="33"/>
  <c r="AI7" i="33"/>
  <c r="AH7" i="33"/>
  <c r="Y7" i="33"/>
  <c r="X7" i="33"/>
  <c r="W7" i="33"/>
  <c r="L7" i="33"/>
  <c r="M7" i="33" s="1"/>
  <c r="N7" i="33" s="1"/>
  <c r="AJ6" i="33"/>
  <c r="AI6" i="33"/>
  <c r="AH6" i="33"/>
  <c r="Y6" i="33"/>
  <c r="X6" i="33"/>
  <c r="W6" i="33"/>
  <c r="L6" i="33"/>
  <c r="M6" i="33" s="1"/>
  <c r="N6" i="33" s="1"/>
  <c r="AJ5" i="33"/>
  <c r="AI5" i="33"/>
  <c r="AH5" i="33"/>
  <c r="Y5" i="33"/>
  <c r="X5" i="33"/>
  <c r="W5" i="33"/>
  <c r="L5" i="33"/>
  <c r="M5" i="33" s="1"/>
  <c r="N5" i="33" s="1"/>
  <c r="AI4" i="33"/>
  <c r="AJ4" i="33" s="1"/>
  <c r="AH4" i="33"/>
  <c r="W4" i="33"/>
  <c r="X4" i="33" s="1"/>
  <c r="Y4" i="33" s="1"/>
  <c r="L4" i="33"/>
  <c r="M4" i="33" s="1"/>
  <c r="N4" i="33" s="1"/>
  <c r="AH3" i="33"/>
  <c r="AI3" i="33" s="1"/>
  <c r="AJ3" i="33" s="1"/>
  <c r="W3" i="33"/>
  <c r="X3" i="33" s="1"/>
  <c r="Y3" i="33" s="1"/>
  <c r="L3" i="33"/>
  <c r="M3" i="33" s="1"/>
  <c r="N3" i="33" s="1"/>
  <c r="AA1" i="33" a="1"/>
  <c r="AA1" i="33" s="1"/>
  <c r="P1" i="33" a="1"/>
  <c r="P1" i="33" s="1"/>
  <c r="E1" i="33" a="1"/>
  <c r="E1" i="33" s="1"/>
  <c r="A1" i="33" a="1"/>
  <c r="A1" i="33" s="1"/>
  <c r="AJ49" i="32"/>
  <c r="AI49" i="32"/>
  <c r="AH49" i="32"/>
  <c r="Y49" i="32"/>
  <c r="X49" i="32"/>
  <c r="W49" i="32"/>
  <c r="N49" i="32"/>
  <c r="M49" i="32"/>
  <c r="L49" i="32"/>
  <c r="AJ48" i="32"/>
  <c r="AI48" i="32"/>
  <c r="AH48" i="32"/>
  <c r="Y48" i="32"/>
  <c r="X48" i="32"/>
  <c r="W48" i="32"/>
  <c r="N48" i="32"/>
  <c r="M48" i="32"/>
  <c r="L48" i="32"/>
  <c r="AJ47" i="32"/>
  <c r="AI47" i="32"/>
  <c r="AH47" i="32"/>
  <c r="Y47" i="32"/>
  <c r="X47" i="32"/>
  <c r="W47" i="32"/>
  <c r="N47" i="32"/>
  <c r="M47" i="32"/>
  <c r="L47" i="32"/>
  <c r="AJ46" i="32"/>
  <c r="AI46" i="32"/>
  <c r="AH46" i="32"/>
  <c r="Y46" i="32"/>
  <c r="X46" i="32"/>
  <c r="W46" i="32"/>
  <c r="N46" i="32"/>
  <c r="M46" i="32"/>
  <c r="L46" i="32"/>
  <c r="AJ45" i="32"/>
  <c r="AI45" i="32"/>
  <c r="AH45" i="32"/>
  <c r="Y45" i="32"/>
  <c r="X45" i="32"/>
  <c r="W45" i="32"/>
  <c r="N45" i="32"/>
  <c r="M45" i="32"/>
  <c r="L45" i="32"/>
  <c r="AJ44" i="32"/>
  <c r="AI44" i="32"/>
  <c r="AH44" i="32"/>
  <c r="Y44" i="32"/>
  <c r="X44" i="32"/>
  <c r="W44" i="32"/>
  <c r="N44" i="32"/>
  <c r="M44" i="32"/>
  <c r="L44" i="32"/>
  <c r="AJ43" i="32"/>
  <c r="AI43" i="32"/>
  <c r="AH43" i="32"/>
  <c r="Y43" i="32"/>
  <c r="X43" i="32"/>
  <c r="W43" i="32"/>
  <c r="N43" i="32"/>
  <c r="M43" i="32"/>
  <c r="L43" i="32"/>
  <c r="AJ42" i="32"/>
  <c r="AI42" i="32"/>
  <c r="AH42" i="32"/>
  <c r="Y42" i="32"/>
  <c r="X42" i="32"/>
  <c r="W42" i="32"/>
  <c r="N42" i="32"/>
  <c r="M42" i="32"/>
  <c r="L42" i="32"/>
  <c r="AJ41" i="32"/>
  <c r="AI41" i="32"/>
  <c r="AH41" i="32"/>
  <c r="Y41" i="32"/>
  <c r="X41" i="32"/>
  <c r="W41" i="32"/>
  <c r="N41" i="32"/>
  <c r="M41" i="32"/>
  <c r="L41" i="32"/>
  <c r="AJ40" i="32"/>
  <c r="AI40" i="32"/>
  <c r="AH40" i="32"/>
  <c r="Y40" i="32"/>
  <c r="X40" i="32"/>
  <c r="W40" i="32"/>
  <c r="N40" i="32"/>
  <c r="M40" i="32"/>
  <c r="L40" i="32"/>
  <c r="AJ39" i="32"/>
  <c r="AI39" i="32"/>
  <c r="AH39" i="32"/>
  <c r="Y39" i="32"/>
  <c r="X39" i="32"/>
  <c r="W39" i="32"/>
  <c r="N39" i="32"/>
  <c r="M39" i="32"/>
  <c r="L39" i="32"/>
  <c r="AJ38" i="32"/>
  <c r="AI38" i="32"/>
  <c r="AH38" i="32"/>
  <c r="Y38" i="32"/>
  <c r="X38" i="32"/>
  <c r="W38" i="32"/>
  <c r="N38" i="32"/>
  <c r="M38" i="32"/>
  <c r="L38" i="32"/>
  <c r="AJ37" i="32"/>
  <c r="AI37" i="32"/>
  <c r="AH37" i="32"/>
  <c r="Y37" i="32"/>
  <c r="X37" i="32"/>
  <c r="W37" i="32"/>
  <c r="N37" i="32"/>
  <c r="M37" i="32"/>
  <c r="L37" i="32"/>
  <c r="AJ36" i="32"/>
  <c r="AI36" i="32"/>
  <c r="AH36" i="32"/>
  <c r="Y36" i="32"/>
  <c r="X36" i="32"/>
  <c r="W36" i="32"/>
  <c r="N36" i="32"/>
  <c r="M36" i="32"/>
  <c r="L36" i="32"/>
  <c r="AJ35" i="32"/>
  <c r="AI35" i="32"/>
  <c r="AH35" i="32"/>
  <c r="Y35" i="32"/>
  <c r="X35" i="32"/>
  <c r="W35" i="32"/>
  <c r="N35" i="32"/>
  <c r="M35" i="32"/>
  <c r="L35" i="32"/>
  <c r="AJ34" i="32"/>
  <c r="AI34" i="32"/>
  <c r="AH34" i="32"/>
  <c r="Y34" i="32"/>
  <c r="X34" i="32"/>
  <c r="W34" i="32"/>
  <c r="N34" i="32"/>
  <c r="M34" i="32"/>
  <c r="L34" i="32"/>
  <c r="AJ33" i="32"/>
  <c r="AI33" i="32"/>
  <c r="AH33" i="32"/>
  <c r="Y33" i="32"/>
  <c r="X33" i="32"/>
  <c r="W33" i="32"/>
  <c r="N33" i="32"/>
  <c r="M33" i="32"/>
  <c r="L33" i="32"/>
  <c r="AJ32" i="32"/>
  <c r="AI32" i="32"/>
  <c r="AH32" i="32"/>
  <c r="Y32" i="32"/>
  <c r="X32" i="32"/>
  <c r="W32" i="32"/>
  <c r="N32" i="32"/>
  <c r="M32" i="32"/>
  <c r="L32" i="32"/>
  <c r="AJ31" i="32"/>
  <c r="AI31" i="32"/>
  <c r="AH31" i="32"/>
  <c r="Y31" i="32"/>
  <c r="X31" i="32"/>
  <c r="W31" i="32"/>
  <c r="N31" i="32"/>
  <c r="M31" i="32"/>
  <c r="L31" i="32"/>
  <c r="AJ30" i="32"/>
  <c r="AI30" i="32"/>
  <c r="AH30" i="32"/>
  <c r="Y30" i="32"/>
  <c r="X30" i="32"/>
  <c r="W30" i="32"/>
  <c r="N30" i="32"/>
  <c r="M30" i="32"/>
  <c r="L30" i="32"/>
  <c r="AJ29" i="32"/>
  <c r="AI29" i="32"/>
  <c r="AH29" i="32"/>
  <c r="Y29" i="32"/>
  <c r="X29" i="32"/>
  <c r="W29" i="32"/>
  <c r="N29" i="32"/>
  <c r="M29" i="32"/>
  <c r="L29" i="32"/>
  <c r="AJ28" i="32"/>
  <c r="AI28" i="32"/>
  <c r="AH28" i="32"/>
  <c r="Y28" i="32"/>
  <c r="X28" i="32"/>
  <c r="W28" i="32"/>
  <c r="N28" i="32"/>
  <c r="M28" i="32"/>
  <c r="L28" i="32"/>
  <c r="AJ27" i="32"/>
  <c r="AI27" i="32"/>
  <c r="AH27" i="32"/>
  <c r="Y27" i="32"/>
  <c r="X27" i="32"/>
  <c r="W27" i="32"/>
  <c r="N27" i="32"/>
  <c r="M27" i="32"/>
  <c r="L27" i="32"/>
  <c r="AJ26" i="32"/>
  <c r="AI26" i="32"/>
  <c r="AH26" i="32"/>
  <c r="Y26" i="32"/>
  <c r="X26" i="32"/>
  <c r="W26" i="32"/>
  <c r="N26" i="32"/>
  <c r="M26" i="32"/>
  <c r="L26" i="32"/>
  <c r="AJ25" i="32"/>
  <c r="AI25" i="32"/>
  <c r="AH25" i="32"/>
  <c r="Y25" i="32"/>
  <c r="X25" i="32"/>
  <c r="W25" i="32"/>
  <c r="N25" i="32"/>
  <c r="M25" i="32"/>
  <c r="L25" i="32"/>
  <c r="AJ24" i="32"/>
  <c r="AI24" i="32"/>
  <c r="AH24" i="32"/>
  <c r="Y24" i="32"/>
  <c r="X24" i="32"/>
  <c r="W24" i="32"/>
  <c r="N24" i="32"/>
  <c r="M24" i="32"/>
  <c r="L24" i="32"/>
  <c r="AJ23" i="32"/>
  <c r="AI23" i="32"/>
  <c r="AH23" i="32"/>
  <c r="Y23" i="32"/>
  <c r="X23" i="32"/>
  <c r="W23" i="32"/>
  <c r="N23" i="32"/>
  <c r="M23" i="32"/>
  <c r="L23" i="32"/>
  <c r="AJ22" i="32"/>
  <c r="AI22" i="32"/>
  <c r="AH22" i="32"/>
  <c r="Y22" i="32"/>
  <c r="X22" i="32"/>
  <c r="W22" i="32"/>
  <c r="N22" i="32"/>
  <c r="M22" i="32"/>
  <c r="L22" i="32"/>
  <c r="AJ21" i="32"/>
  <c r="AI21" i="32"/>
  <c r="AH21" i="32"/>
  <c r="Y21" i="32"/>
  <c r="X21" i="32"/>
  <c r="W21" i="32"/>
  <c r="N21" i="32"/>
  <c r="M21" i="32"/>
  <c r="L21" i="32"/>
  <c r="AJ20" i="32"/>
  <c r="AI20" i="32"/>
  <c r="AH20" i="32"/>
  <c r="Y20" i="32"/>
  <c r="X20" i="32"/>
  <c r="W20" i="32"/>
  <c r="N20" i="32"/>
  <c r="M20" i="32"/>
  <c r="L20" i="32"/>
  <c r="AJ19" i="32"/>
  <c r="AI19" i="32"/>
  <c r="AH19" i="32"/>
  <c r="Y19" i="32"/>
  <c r="X19" i="32"/>
  <c r="W19" i="32"/>
  <c r="N19" i="32"/>
  <c r="M19" i="32"/>
  <c r="L19" i="32"/>
  <c r="AJ18" i="32"/>
  <c r="AI18" i="32"/>
  <c r="AH18" i="32"/>
  <c r="Y18" i="32"/>
  <c r="X18" i="32"/>
  <c r="W18" i="32"/>
  <c r="N18" i="32"/>
  <c r="M18" i="32"/>
  <c r="L18" i="32"/>
  <c r="AJ17" i="32"/>
  <c r="AI17" i="32"/>
  <c r="AH17" i="32"/>
  <c r="Y17" i="32"/>
  <c r="X17" i="32"/>
  <c r="W17" i="32"/>
  <c r="N17" i="32"/>
  <c r="M17" i="32"/>
  <c r="L17" i="32"/>
  <c r="AJ16" i="32"/>
  <c r="AI16" i="32"/>
  <c r="AH16" i="32"/>
  <c r="Y16" i="32"/>
  <c r="X16" i="32"/>
  <c r="W16" i="32"/>
  <c r="N16" i="32"/>
  <c r="M16" i="32"/>
  <c r="L16" i="32"/>
  <c r="AJ15" i="32"/>
  <c r="AI15" i="32"/>
  <c r="AH15" i="32"/>
  <c r="Y15" i="32"/>
  <c r="X15" i="32"/>
  <c r="W15" i="32"/>
  <c r="N15" i="32"/>
  <c r="M15" i="32"/>
  <c r="L15" i="32"/>
  <c r="AJ14" i="32"/>
  <c r="AI14" i="32"/>
  <c r="AH14" i="32"/>
  <c r="Y14" i="32"/>
  <c r="X14" i="32"/>
  <c r="W14" i="32"/>
  <c r="N14" i="32"/>
  <c r="M14" i="32"/>
  <c r="L14" i="32"/>
  <c r="AJ13" i="32"/>
  <c r="AI13" i="32"/>
  <c r="AH13" i="32"/>
  <c r="Y13" i="32"/>
  <c r="X13" i="32"/>
  <c r="W13" i="32"/>
  <c r="N13" i="32"/>
  <c r="M13" i="32"/>
  <c r="L13" i="32"/>
  <c r="AJ12" i="32"/>
  <c r="AI12" i="32"/>
  <c r="AH12" i="32"/>
  <c r="Y12" i="32"/>
  <c r="X12" i="32"/>
  <c r="W12" i="32"/>
  <c r="N12" i="32"/>
  <c r="M12" i="32"/>
  <c r="L12" i="32"/>
  <c r="AJ11" i="32"/>
  <c r="AI11" i="32"/>
  <c r="AH11" i="32"/>
  <c r="Y11" i="32"/>
  <c r="X11" i="32"/>
  <c r="W11" i="32"/>
  <c r="N11" i="32"/>
  <c r="M11" i="32"/>
  <c r="L11" i="32"/>
  <c r="AJ10" i="32"/>
  <c r="AI10" i="32"/>
  <c r="AH10" i="32"/>
  <c r="Y10" i="32"/>
  <c r="X10" i="32"/>
  <c r="W10" i="32"/>
  <c r="N10" i="32"/>
  <c r="M10" i="32"/>
  <c r="L10" i="32"/>
  <c r="AJ9" i="32"/>
  <c r="AI9" i="32"/>
  <c r="AH9" i="32"/>
  <c r="Y9" i="32"/>
  <c r="X9" i="32"/>
  <c r="W9" i="32"/>
  <c r="L9" i="32"/>
  <c r="M9" i="32" s="1"/>
  <c r="N9" i="32" s="1"/>
  <c r="AJ8" i="32"/>
  <c r="AI8" i="32"/>
  <c r="AH8" i="32"/>
  <c r="Y8" i="32"/>
  <c r="X8" i="32"/>
  <c r="W8" i="32"/>
  <c r="L8" i="32"/>
  <c r="M8" i="32" s="1"/>
  <c r="N8" i="32" s="1"/>
  <c r="AJ7" i="32"/>
  <c r="AI7" i="32"/>
  <c r="AH7" i="32"/>
  <c r="Y7" i="32"/>
  <c r="X7" i="32"/>
  <c r="W7" i="32"/>
  <c r="L7" i="32"/>
  <c r="M7" i="32" s="1"/>
  <c r="N7" i="32" s="1"/>
  <c r="AJ6" i="32"/>
  <c r="AI6" i="32"/>
  <c r="AH6" i="32"/>
  <c r="Y6" i="32"/>
  <c r="X6" i="32"/>
  <c r="W6" i="32"/>
  <c r="L6" i="32"/>
  <c r="M6" i="32" s="1"/>
  <c r="N6" i="32" s="1"/>
  <c r="AJ5" i="32"/>
  <c r="AI5" i="32"/>
  <c r="AH5" i="32"/>
  <c r="Y5" i="32"/>
  <c r="X5" i="32"/>
  <c r="W5" i="32"/>
  <c r="L5" i="32"/>
  <c r="M5" i="32" s="1"/>
  <c r="N5" i="32" s="1"/>
  <c r="AJ4" i="32"/>
  <c r="AI4" i="32"/>
  <c r="AH4" i="32"/>
  <c r="W4" i="32"/>
  <c r="X4" i="32" s="1"/>
  <c r="Y4" i="32" s="1"/>
  <c r="L4" i="32"/>
  <c r="M4" i="32" s="1"/>
  <c r="N4" i="32" s="1"/>
  <c r="AI3" i="32"/>
  <c r="AJ3" i="32" s="1"/>
  <c r="AH3" i="32"/>
  <c r="W3" i="32"/>
  <c r="X3" i="32" s="1"/>
  <c r="Y3" i="32" s="1"/>
  <c r="L3" i="32"/>
  <c r="M3" i="32" s="1"/>
  <c r="N3" i="32" s="1"/>
  <c r="AA1" i="32" a="1"/>
  <c r="AA1" i="32" s="1"/>
  <c r="P1" i="32" a="1"/>
  <c r="P1" i="32" s="1"/>
  <c r="E1" i="32" a="1"/>
  <c r="E1" i="32" s="1"/>
  <c r="A1" i="32" a="1"/>
  <c r="A1" i="32" s="1"/>
  <c r="AJ49" i="31"/>
  <c r="AI49" i="31"/>
  <c r="AH49" i="31"/>
  <c r="Y49" i="31"/>
  <c r="X49" i="31"/>
  <c r="W49" i="31"/>
  <c r="N49" i="31"/>
  <c r="M49" i="31"/>
  <c r="L49" i="31"/>
  <c r="AJ48" i="31"/>
  <c r="AI48" i="31"/>
  <c r="AH48" i="31"/>
  <c r="Y48" i="31"/>
  <c r="X48" i="31"/>
  <c r="W48" i="31"/>
  <c r="N48" i="31"/>
  <c r="M48" i="31"/>
  <c r="L48" i="31"/>
  <c r="AJ47" i="31"/>
  <c r="AI47" i="31"/>
  <c r="AH47" i="31"/>
  <c r="Y47" i="31"/>
  <c r="X47" i="31"/>
  <c r="W47" i="31"/>
  <c r="N47" i="31"/>
  <c r="M47" i="31"/>
  <c r="L47" i="31"/>
  <c r="AJ46" i="31"/>
  <c r="AI46" i="31"/>
  <c r="AH46" i="31"/>
  <c r="Y46" i="31"/>
  <c r="X46" i="31"/>
  <c r="W46" i="31"/>
  <c r="N46" i="31"/>
  <c r="M46" i="31"/>
  <c r="L46" i="31"/>
  <c r="AJ45" i="31"/>
  <c r="AI45" i="31"/>
  <c r="AH45" i="31"/>
  <c r="Y45" i="31"/>
  <c r="X45" i="31"/>
  <c r="W45" i="31"/>
  <c r="N45" i="31"/>
  <c r="M45" i="31"/>
  <c r="L45" i="31"/>
  <c r="AJ44" i="31"/>
  <c r="AI44" i="31"/>
  <c r="AH44" i="31"/>
  <c r="Y44" i="31"/>
  <c r="X44" i="31"/>
  <c r="W44" i="31"/>
  <c r="N44" i="31"/>
  <c r="M44" i="31"/>
  <c r="L44" i="31"/>
  <c r="AJ43" i="31"/>
  <c r="AI43" i="31"/>
  <c r="AH43" i="31"/>
  <c r="Y43" i="31"/>
  <c r="X43" i="31"/>
  <c r="W43" i="31"/>
  <c r="N43" i="31"/>
  <c r="M43" i="31"/>
  <c r="L43" i="31"/>
  <c r="AJ42" i="31"/>
  <c r="AI42" i="31"/>
  <c r="AH42" i="31"/>
  <c r="Y42" i="31"/>
  <c r="X42" i="31"/>
  <c r="W42" i="31"/>
  <c r="N42" i="31"/>
  <c r="M42" i="31"/>
  <c r="L42" i="31"/>
  <c r="AJ41" i="31"/>
  <c r="AI41" i="31"/>
  <c r="AH41" i="31"/>
  <c r="Y41" i="31"/>
  <c r="X41" i="31"/>
  <c r="W41" i="31"/>
  <c r="N41" i="31"/>
  <c r="M41" i="31"/>
  <c r="L41" i="31"/>
  <c r="AJ40" i="31"/>
  <c r="AI40" i="31"/>
  <c r="AH40" i="31"/>
  <c r="Y40" i="31"/>
  <c r="X40" i="31"/>
  <c r="W40" i="31"/>
  <c r="N40" i="31"/>
  <c r="M40" i="31"/>
  <c r="L40" i="31"/>
  <c r="AJ39" i="31"/>
  <c r="AI39" i="31"/>
  <c r="AH39" i="31"/>
  <c r="Y39" i="31"/>
  <c r="X39" i="31"/>
  <c r="W39" i="31"/>
  <c r="N39" i="31"/>
  <c r="M39" i="31"/>
  <c r="L39" i="31"/>
  <c r="AJ38" i="31"/>
  <c r="AI38" i="31"/>
  <c r="AH38" i="31"/>
  <c r="Y38" i="31"/>
  <c r="X38" i="31"/>
  <c r="W38" i="31"/>
  <c r="N38" i="31"/>
  <c r="M38" i="31"/>
  <c r="L38" i="31"/>
  <c r="AJ37" i="31"/>
  <c r="AI37" i="31"/>
  <c r="AH37" i="31"/>
  <c r="Y37" i="31"/>
  <c r="X37" i="31"/>
  <c r="W37" i="31"/>
  <c r="N37" i="31"/>
  <c r="M37" i="31"/>
  <c r="L37" i="31"/>
  <c r="AJ36" i="31"/>
  <c r="AI36" i="31"/>
  <c r="AH36" i="31"/>
  <c r="Y36" i="31"/>
  <c r="X36" i="31"/>
  <c r="W36" i="31"/>
  <c r="N36" i="31"/>
  <c r="M36" i="31"/>
  <c r="L36" i="31"/>
  <c r="AJ35" i="31"/>
  <c r="AI35" i="31"/>
  <c r="AH35" i="31"/>
  <c r="Y35" i="31"/>
  <c r="X35" i="31"/>
  <c r="W35" i="31"/>
  <c r="N35" i="31"/>
  <c r="M35" i="31"/>
  <c r="L35" i="31"/>
  <c r="AJ34" i="31"/>
  <c r="AI34" i="31"/>
  <c r="AH34" i="31"/>
  <c r="Y34" i="31"/>
  <c r="X34" i="31"/>
  <c r="W34" i="31"/>
  <c r="N34" i="31"/>
  <c r="M34" i="31"/>
  <c r="L34" i="31"/>
  <c r="AJ33" i="31"/>
  <c r="AI33" i="31"/>
  <c r="AH33" i="31"/>
  <c r="Y33" i="31"/>
  <c r="X33" i="31"/>
  <c r="W33" i="31"/>
  <c r="N33" i="31"/>
  <c r="M33" i="31"/>
  <c r="L33" i="31"/>
  <c r="AJ32" i="31"/>
  <c r="AI32" i="31"/>
  <c r="AH32" i="31"/>
  <c r="Y32" i="31"/>
  <c r="X32" i="31"/>
  <c r="W32" i="31"/>
  <c r="N32" i="31"/>
  <c r="M32" i="31"/>
  <c r="L32" i="31"/>
  <c r="AJ31" i="31"/>
  <c r="AI31" i="31"/>
  <c r="AH31" i="31"/>
  <c r="Y31" i="31"/>
  <c r="X31" i="31"/>
  <c r="W31" i="31"/>
  <c r="N31" i="31"/>
  <c r="M31" i="31"/>
  <c r="L31" i="31"/>
  <c r="AJ30" i="31"/>
  <c r="AI30" i="31"/>
  <c r="AH30" i="31"/>
  <c r="Y30" i="31"/>
  <c r="X30" i="31"/>
  <c r="W30" i="31"/>
  <c r="N30" i="31"/>
  <c r="M30" i="31"/>
  <c r="L30" i="31"/>
  <c r="AJ29" i="31"/>
  <c r="AI29" i="31"/>
  <c r="AH29" i="31"/>
  <c r="Y29" i="31"/>
  <c r="X29" i="31"/>
  <c r="W29" i="31"/>
  <c r="N29" i="31"/>
  <c r="M29" i="31"/>
  <c r="L29" i="31"/>
  <c r="AJ28" i="31"/>
  <c r="AI28" i="31"/>
  <c r="AH28" i="31"/>
  <c r="Y28" i="31"/>
  <c r="X28" i="31"/>
  <c r="W28" i="31"/>
  <c r="N28" i="31"/>
  <c r="M28" i="31"/>
  <c r="L28" i="31"/>
  <c r="AJ27" i="31"/>
  <c r="AI27" i="31"/>
  <c r="AH27" i="31"/>
  <c r="Y27" i="31"/>
  <c r="X27" i="31"/>
  <c r="W27" i="31"/>
  <c r="N27" i="31"/>
  <c r="M27" i="31"/>
  <c r="L27" i="31"/>
  <c r="AJ26" i="31"/>
  <c r="AI26" i="31"/>
  <c r="AH26" i="31"/>
  <c r="Y26" i="31"/>
  <c r="X26" i="31"/>
  <c r="W26" i="31"/>
  <c r="N26" i="31"/>
  <c r="M26" i="31"/>
  <c r="L26" i="31"/>
  <c r="AJ25" i="31"/>
  <c r="AI25" i="31"/>
  <c r="AH25" i="31"/>
  <c r="Y25" i="31"/>
  <c r="X25" i="31"/>
  <c r="W25" i="31"/>
  <c r="N25" i="31"/>
  <c r="M25" i="31"/>
  <c r="L25" i="31"/>
  <c r="AJ24" i="31"/>
  <c r="AI24" i="31"/>
  <c r="AH24" i="31"/>
  <c r="Y24" i="31"/>
  <c r="X24" i="31"/>
  <c r="W24" i="31"/>
  <c r="N24" i="31"/>
  <c r="M24" i="31"/>
  <c r="L24" i="31"/>
  <c r="AJ23" i="31"/>
  <c r="AI23" i="31"/>
  <c r="AH23" i="31"/>
  <c r="Y23" i="31"/>
  <c r="X23" i="31"/>
  <c r="W23" i="31"/>
  <c r="N23" i="31"/>
  <c r="M23" i="31"/>
  <c r="L23" i="31"/>
  <c r="AJ22" i="31"/>
  <c r="AI22" i="31"/>
  <c r="AH22" i="31"/>
  <c r="Y22" i="31"/>
  <c r="X22" i="31"/>
  <c r="W22" i="31"/>
  <c r="N22" i="31"/>
  <c r="M22" i="31"/>
  <c r="L22" i="31"/>
  <c r="AJ21" i="31"/>
  <c r="AI21" i="31"/>
  <c r="AH21" i="31"/>
  <c r="Y21" i="31"/>
  <c r="X21" i="31"/>
  <c r="W21" i="31"/>
  <c r="N21" i="31"/>
  <c r="M21" i="31"/>
  <c r="L21" i="31"/>
  <c r="AJ20" i="31"/>
  <c r="AI20" i="31"/>
  <c r="AH20" i="31"/>
  <c r="Y20" i="31"/>
  <c r="X20" i="31"/>
  <c r="W20" i="31"/>
  <c r="N20" i="31"/>
  <c r="M20" i="31"/>
  <c r="L20" i="31"/>
  <c r="AJ19" i="31"/>
  <c r="AI19" i="31"/>
  <c r="AH19" i="31"/>
  <c r="Y19" i="31"/>
  <c r="X19" i="31"/>
  <c r="W19" i="31"/>
  <c r="N19" i="31"/>
  <c r="M19" i="31"/>
  <c r="L19" i="31"/>
  <c r="AJ18" i="31"/>
  <c r="AI18" i="31"/>
  <c r="AH18" i="31"/>
  <c r="Y18" i="31"/>
  <c r="X18" i="31"/>
  <c r="W18" i="31"/>
  <c r="N18" i="31"/>
  <c r="M18" i="31"/>
  <c r="L18" i="31"/>
  <c r="AJ17" i="31"/>
  <c r="AI17" i="31"/>
  <c r="AH17" i="31"/>
  <c r="Y17" i="31"/>
  <c r="X17" i="31"/>
  <c r="W17" i="31"/>
  <c r="N17" i="31"/>
  <c r="M17" i="31"/>
  <c r="L17" i="31"/>
  <c r="AJ16" i="31"/>
  <c r="AI16" i="31"/>
  <c r="AH16" i="31"/>
  <c r="Y16" i="31"/>
  <c r="X16" i="31"/>
  <c r="W16" i="31"/>
  <c r="N16" i="31"/>
  <c r="M16" i="31"/>
  <c r="L16" i="31"/>
  <c r="AJ15" i="31"/>
  <c r="AI15" i="31"/>
  <c r="AH15" i="31"/>
  <c r="Y15" i="31"/>
  <c r="X15" i="31"/>
  <c r="W15" i="31"/>
  <c r="N15" i="31"/>
  <c r="M15" i="31"/>
  <c r="L15" i="31"/>
  <c r="AJ14" i="31"/>
  <c r="AI14" i="31"/>
  <c r="AH14" i="31"/>
  <c r="Y14" i="31"/>
  <c r="X14" i="31"/>
  <c r="W14" i="31"/>
  <c r="N14" i="31"/>
  <c r="M14" i="31"/>
  <c r="L14" i="31"/>
  <c r="AJ13" i="31"/>
  <c r="AI13" i="31"/>
  <c r="AH13" i="31"/>
  <c r="Y13" i="31"/>
  <c r="X13" i="31"/>
  <c r="W13" i="31"/>
  <c r="N13" i="31"/>
  <c r="M13" i="31"/>
  <c r="L13" i="31"/>
  <c r="AJ12" i="31"/>
  <c r="AI12" i="31"/>
  <c r="AH12" i="31"/>
  <c r="Y12" i="31"/>
  <c r="X12" i="31"/>
  <c r="W12" i="31"/>
  <c r="N12" i="31"/>
  <c r="M12" i="31"/>
  <c r="L12" i="31"/>
  <c r="AJ11" i="31"/>
  <c r="AI11" i="31"/>
  <c r="AH11" i="31"/>
  <c r="Y11" i="31"/>
  <c r="X11" i="31"/>
  <c r="W11" i="31"/>
  <c r="N11" i="31"/>
  <c r="M11" i="31"/>
  <c r="L11" i="31"/>
  <c r="AJ10" i="31"/>
  <c r="AI10" i="31"/>
  <c r="AH10" i="31"/>
  <c r="Y10" i="31"/>
  <c r="X10" i="31"/>
  <c r="W10" i="31"/>
  <c r="N10" i="31"/>
  <c r="M10" i="31"/>
  <c r="L10" i="31"/>
  <c r="AJ9" i="31"/>
  <c r="AI9" i="31"/>
  <c r="AH9" i="31"/>
  <c r="Y9" i="31"/>
  <c r="X9" i="31"/>
  <c r="W9" i="31"/>
  <c r="L9" i="31"/>
  <c r="M9" i="31" s="1"/>
  <c r="N9" i="31" s="1"/>
  <c r="AJ8" i="31"/>
  <c r="AI8" i="31"/>
  <c r="AH8" i="31"/>
  <c r="Y8" i="31"/>
  <c r="X8" i="31"/>
  <c r="W8" i="31"/>
  <c r="L8" i="31"/>
  <c r="M8" i="31" s="1"/>
  <c r="N8" i="31" s="1"/>
  <c r="AJ7" i="31"/>
  <c r="AI7" i="31"/>
  <c r="AH7" i="31"/>
  <c r="Y7" i="31"/>
  <c r="X7" i="31"/>
  <c r="W7" i="31"/>
  <c r="L7" i="31"/>
  <c r="M7" i="31" s="1"/>
  <c r="N7" i="31" s="1"/>
  <c r="AJ6" i="31"/>
  <c r="AI6" i="31"/>
  <c r="AH6" i="31"/>
  <c r="Y6" i="31"/>
  <c r="X6" i="31"/>
  <c r="W6" i="31"/>
  <c r="L6" i="31"/>
  <c r="M6" i="31" s="1"/>
  <c r="N6" i="31" s="1"/>
  <c r="AJ5" i="31"/>
  <c r="AI5" i="31"/>
  <c r="AH5" i="31"/>
  <c r="Y5" i="31"/>
  <c r="X5" i="31"/>
  <c r="W5" i="31"/>
  <c r="L5" i="31"/>
  <c r="M5" i="31" s="1"/>
  <c r="N5" i="31" s="1"/>
  <c r="AJ4" i="31"/>
  <c r="AI4" i="31"/>
  <c r="AH4" i="31"/>
  <c r="Y4" i="31"/>
  <c r="X4" i="31"/>
  <c r="W4" i="31"/>
  <c r="L4" i="31"/>
  <c r="M4" i="31" s="1"/>
  <c r="N4" i="31" s="1"/>
  <c r="AJ3" i="31"/>
  <c r="AJ1" i="31" s="1"/>
  <c r="AI3" i="31"/>
  <c r="AH3" i="31"/>
  <c r="W3" i="31"/>
  <c r="X3" i="31" s="1"/>
  <c r="Y3" i="31" s="1"/>
  <c r="L3" i="31"/>
  <c r="M3" i="31" s="1"/>
  <c r="N3" i="31" s="1"/>
  <c r="AA1" i="31" a="1"/>
  <c r="AA1" i="31" s="1"/>
  <c r="P1" i="31" a="1"/>
  <c r="P1" i="31" s="1"/>
  <c r="E1" i="31" a="1"/>
  <c r="E1" i="31" s="1"/>
  <c r="A1" i="31" a="1"/>
  <c r="A1" i="31" s="1"/>
  <c r="AJ49" i="30"/>
  <c r="AI49" i="30"/>
  <c r="AH49" i="30"/>
  <c r="Y49" i="30"/>
  <c r="X49" i="30"/>
  <c r="W49" i="30"/>
  <c r="N49" i="30"/>
  <c r="M49" i="30"/>
  <c r="L49" i="30"/>
  <c r="AJ48" i="30"/>
  <c r="AI48" i="30"/>
  <c r="AH48" i="30"/>
  <c r="Y48" i="30"/>
  <c r="X48" i="30"/>
  <c r="W48" i="30"/>
  <c r="N48" i="30"/>
  <c r="M48" i="30"/>
  <c r="L48" i="30"/>
  <c r="AJ47" i="30"/>
  <c r="AI47" i="30"/>
  <c r="AH47" i="30"/>
  <c r="Y47" i="30"/>
  <c r="X47" i="30"/>
  <c r="W47" i="30"/>
  <c r="N47" i="30"/>
  <c r="M47" i="30"/>
  <c r="L47" i="30"/>
  <c r="AJ46" i="30"/>
  <c r="AI46" i="30"/>
  <c r="AH46" i="30"/>
  <c r="Y46" i="30"/>
  <c r="X46" i="30"/>
  <c r="W46" i="30"/>
  <c r="N46" i="30"/>
  <c r="M46" i="30"/>
  <c r="L46" i="30"/>
  <c r="AJ45" i="30"/>
  <c r="AI45" i="30"/>
  <c r="AH45" i="30"/>
  <c r="Y45" i="30"/>
  <c r="X45" i="30"/>
  <c r="W45" i="30"/>
  <c r="N45" i="30"/>
  <c r="M45" i="30"/>
  <c r="L45" i="30"/>
  <c r="AJ44" i="30"/>
  <c r="AI44" i="30"/>
  <c r="AH44" i="30"/>
  <c r="Y44" i="30"/>
  <c r="X44" i="30"/>
  <c r="W44" i="30"/>
  <c r="N44" i="30"/>
  <c r="M44" i="30"/>
  <c r="L44" i="30"/>
  <c r="AJ43" i="30"/>
  <c r="AI43" i="30"/>
  <c r="AH43" i="30"/>
  <c r="Y43" i="30"/>
  <c r="X43" i="30"/>
  <c r="W43" i="30"/>
  <c r="N43" i="30"/>
  <c r="M43" i="30"/>
  <c r="L43" i="30"/>
  <c r="AJ42" i="30"/>
  <c r="AI42" i="30"/>
  <c r="AH42" i="30"/>
  <c r="Y42" i="30"/>
  <c r="X42" i="30"/>
  <c r="W42" i="30"/>
  <c r="N42" i="30"/>
  <c r="M42" i="30"/>
  <c r="L42" i="30"/>
  <c r="AJ41" i="30"/>
  <c r="AI41" i="30"/>
  <c r="AH41" i="30"/>
  <c r="Y41" i="30"/>
  <c r="X41" i="30"/>
  <c r="W41" i="30"/>
  <c r="N41" i="30"/>
  <c r="M41" i="30"/>
  <c r="L41" i="30"/>
  <c r="AJ40" i="30"/>
  <c r="AI40" i="30"/>
  <c r="AH40" i="30"/>
  <c r="Y40" i="30"/>
  <c r="X40" i="30"/>
  <c r="W40" i="30"/>
  <c r="N40" i="30"/>
  <c r="M40" i="30"/>
  <c r="L40" i="30"/>
  <c r="AJ39" i="30"/>
  <c r="AI39" i="30"/>
  <c r="AH39" i="30"/>
  <c r="Y39" i="30"/>
  <c r="X39" i="30"/>
  <c r="W39" i="30"/>
  <c r="N39" i="30"/>
  <c r="M39" i="30"/>
  <c r="L39" i="30"/>
  <c r="AJ38" i="30"/>
  <c r="AI38" i="30"/>
  <c r="AH38" i="30"/>
  <c r="Y38" i="30"/>
  <c r="X38" i="30"/>
  <c r="W38" i="30"/>
  <c r="N38" i="30"/>
  <c r="M38" i="30"/>
  <c r="L38" i="30"/>
  <c r="AJ37" i="30"/>
  <c r="AI37" i="30"/>
  <c r="AH37" i="30"/>
  <c r="Y37" i="30"/>
  <c r="X37" i="30"/>
  <c r="W37" i="30"/>
  <c r="N37" i="30"/>
  <c r="M37" i="30"/>
  <c r="L37" i="30"/>
  <c r="AJ36" i="30"/>
  <c r="AI36" i="30"/>
  <c r="AH36" i="30"/>
  <c r="Y36" i="30"/>
  <c r="X36" i="30"/>
  <c r="W36" i="30"/>
  <c r="N36" i="30"/>
  <c r="M36" i="30"/>
  <c r="L36" i="30"/>
  <c r="AJ35" i="30"/>
  <c r="AI35" i="30"/>
  <c r="AH35" i="30"/>
  <c r="Y35" i="30"/>
  <c r="X35" i="30"/>
  <c r="W35" i="30"/>
  <c r="N35" i="30"/>
  <c r="M35" i="30"/>
  <c r="L35" i="30"/>
  <c r="AJ34" i="30"/>
  <c r="AI34" i="30"/>
  <c r="AH34" i="30"/>
  <c r="Y34" i="30"/>
  <c r="X34" i="30"/>
  <c r="W34" i="30"/>
  <c r="N34" i="30"/>
  <c r="M34" i="30"/>
  <c r="L34" i="30"/>
  <c r="AJ33" i="30"/>
  <c r="AI33" i="30"/>
  <c r="AH33" i="30"/>
  <c r="Y33" i="30"/>
  <c r="X33" i="30"/>
  <c r="W33" i="30"/>
  <c r="N33" i="30"/>
  <c r="M33" i="30"/>
  <c r="L33" i="30"/>
  <c r="AJ32" i="30"/>
  <c r="AI32" i="30"/>
  <c r="AH32" i="30"/>
  <c r="Y32" i="30"/>
  <c r="X32" i="30"/>
  <c r="W32" i="30"/>
  <c r="N32" i="30"/>
  <c r="M32" i="30"/>
  <c r="L32" i="30"/>
  <c r="AJ31" i="30"/>
  <c r="AI31" i="30"/>
  <c r="AH31" i="30"/>
  <c r="Y31" i="30"/>
  <c r="X31" i="30"/>
  <c r="W31" i="30"/>
  <c r="N31" i="30"/>
  <c r="M31" i="30"/>
  <c r="L31" i="30"/>
  <c r="AJ30" i="30"/>
  <c r="AI30" i="30"/>
  <c r="AH30" i="30"/>
  <c r="Y30" i="30"/>
  <c r="X30" i="30"/>
  <c r="W30" i="30"/>
  <c r="N30" i="30"/>
  <c r="M30" i="30"/>
  <c r="L30" i="30"/>
  <c r="AJ29" i="30"/>
  <c r="AI29" i="30"/>
  <c r="AH29" i="30"/>
  <c r="Y29" i="30"/>
  <c r="X29" i="30"/>
  <c r="W29" i="30"/>
  <c r="N29" i="30"/>
  <c r="M29" i="30"/>
  <c r="L29" i="30"/>
  <c r="AJ28" i="30"/>
  <c r="AI28" i="30"/>
  <c r="AH28" i="30"/>
  <c r="Y28" i="30"/>
  <c r="X28" i="30"/>
  <c r="W28" i="30"/>
  <c r="N28" i="30"/>
  <c r="M28" i="30"/>
  <c r="L28" i="30"/>
  <c r="AJ27" i="30"/>
  <c r="AI27" i="30"/>
  <c r="AH27" i="30"/>
  <c r="Y27" i="30"/>
  <c r="X27" i="30"/>
  <c r="W27" i="30"/>
  <c r="N27" i="30"/>
  <c r="M27" i="30"/>
  <c r="L27" i="30"/>
  <c r="AJ26" i="30"/>
  <c r="AI26" i="30"/>
  <c r="AH26" i="30"/>
  <c r="Y26" i="30"/>
  <c r="X26" i="30"/>
  <c r="W26" i="30"/>
  <c r="N26" i="30"/>
  <c r="M26" i="30"/>
  <c r="L26" i="30"/>
  <c r="AJ25" i="30"/>
  <c r="AI25" i="30"/>
  <c r="AH25" i="30"/>
  <c r="Y25" i="30"/>
  <c r="X25" i="30"/>
  <c r="W25" i="30"/>
  <c r="N25" i="30"/>
  <c r="M25" i="30"/>
  <c r="L25" i="30"/>
  <c r="AJ24" i="30"/>
  <c r="AI24" i="30"/>
  <c r="AH24" i="30"/>
  <c r="Y24" i="30"/>
  <c r="X24" i="30"/>
  <c r="W24" i="30"/>
  <c r="N24" i="30"/>
  <c r="M24" i="30"/>
  <c r="L24" i="30"/>
  <c r="AJ23" i="30"/>
  <c r="AI23" i="30"/>
  <c r="AH23" i="30"/>
  <c r="Y23" i="30"/>
  <c r="X23" i="30"/>
  <c r="W23" i="30"/>
  <c r="N23" i="30"/>
  <c r="M23" i="30"/>
  <c r="L23" i="30"/>
  <c r="AJ22" i="30"/>
  <c r="AI22" i="30"/>
  <c r="AH22" i="30"/>
  <c r="Y22" i="30"/>
  <c r="X22" i="30"/>
  <c r="W22" i="30"/>
  <c r="N22" i="30"/>
  <c r="M22" i="30"/>
  <c r="L22" i="30"/>
  <c r="AJ21" i="30"/>
  <c r="AI21" i="30"/>
  <c r="AH21" i="30"/>
  <c r="Y21" i="30"/>
  <c r="X21" i="30"/>
  <c r="W21" i="30"/>
  <c r="N21" i="30"/>
  <c r="M21" i="30"/>
  <c r="L21" i="30"/>
  <c r="AJ20" i="30"/>
  <c r="AI20" i="30"/>
  <c r="AH20" i="30"/>
  <c r="Y20" i="30"/>
  <c r="X20" i="30"/>
  <c r="W20" i="30"/>
  <c r="N20" i="30"/>
  <c r="M20" i="30"/>
  <c r="L20" i="30"/>
  <c r="AJ19" i="30"/>
  <c r="AI19" i="30"/>
  <c r="AH19" i="30"/>
  <c r="Y19" i="30"/>
  <c r="X19" i="30"/>
  <c r="W19" i="30"/>
  <c r="N19" i="30"/>
  <c r="M19" i="30"/>
  <c r="L19" i="30"/>
  <c r="AJ18" i="30"/>
  <c r="AI18" i="30"/>
  <c r="AH18" i="30"/>
  <c r="Y18" i="30"/>
  <c r="X18" i="30"/>
  <c r="W18" i="30"/>
  <c r="N18" i="30"/>
  <c r="M18" i="30"/>
  <c r="L18" i="30"/>
  <c r="AJ17" i="30"/>
  <c r="AI17" i="30"/>
  <c r="AH17" i="30"/>
  <c r="Y17" i="30"/>
  <c r="X17" i="30"/>
  <c r="W17" i="30"/>
  <c r="N17" i="30"/>
  <c r="M17" i="30"/>
  <c r="L17" i="30"/>
  <c r="AJ16" i="30"/>
  <c r="AI16" i="30"/>
  <c r="AH16" i="30"/>
  <c r="Y16" i="30"/>
  <c r="X16" i="30"/>
  <c r="W16" i="30"/>
  <c r="N16" i="30"/>
  <c r="M16" i="30"/>
  <c r="L16" i="30"/>
  <c r="AJ15" i="30"/>
  <c r="AI15" i="30"/>
  <c r="AH15" i="30"/>
  <c r="Y15" i="30"/>
  <c r="X15" i="30"/>
  <c r="W15" i="30"/>
  <c r="N15" i="30"/>
  <c r="M15" i="30"/>
  <c r="L15" i="30"/>
  <c r="AJ14" i="30"/>
  <c r="AI14" i="30"/>
  <c r="AH14" i="30"/>
  <c r="Y14" i="30"/>
  <c r="X14" i="30"/>
  <c r="W14" i="30"/>
  <c r="N14" i="30"/>
  <c r="M14" i="30"/>
  <c r="L14" i="30"/>
  <c r="AJ13" i="30"/>
  <c r="AI13" i="30"/>
  <c r="AH13" i="30"/>
  <c r="Y13" i="30"/>
  <c r="X13" i="30"/>
  <c r="W13" i="30"/>
  <c r="N13" i="30"/>
  <c r="M13" i="30"/>
  <c r="L13" i="30"/>
  <c r="AJ12" i="30"/>
  <c r="AI12" i="30"/>
  <c r="AH12" i="30"/>
  <c r="Y12" i="30"/>
  <c r="X12" i="30"/>
  <c r="W12" i="30"/>
  <c r="N12" i="30"/>
  <c r="M12" i="30"/>
  <c r="L12" i="30"/>
  <c r="AJ11" i="30"/>
  <c r="AI11" i="30"/>
  <c r="AH11" i="30"/>
  <c r="Y11" i="30"/>
  <c r="X11" i="30"/>
  <c r="W11" i="30"/>
  <c r="N11" i="30"/>
  <c r="M11" i="30"/>
  <c r="L11" i="30"/>
  <c r="AJ10" i="30"/>
  <c r="AI10" i="30"/>
  <c r="AH10" i="30"/>
  <c r="Y10" i="30"/>
  <c r="X10" i="30"/>
  <c r="W10" i="30"/>
  <c r="N10" i="30"/>
  <c r="M10" i="30"/>
  <c r="L10" i="30"/>
  <c r="AJ9" i="30"/>
  <c r="AI9" i="30"/>
  <c r="AH9" i="30"/>
  <c r="Y9" i="30"/>
  <c r="X9" i="30"/>
  <c r="W9" i="30"/>
  <c r="N9" i="30"/>
  <c r="M9" i="30"/>
  <c r="L9" i="30"/>
  <c r="AJ8" i="30"/>
  <c r="AI8" i="30"/>
  <c r="AH8" i="30"/>
  <c r="Y8" i="30"/>
  <c r="X8" i="30"/>
  <c r="W8" i="30"/>
  <c r="N8" i="30"/>
  <c r="M8" i="30"/>
  <c r="L8" i="30"/>
  <c r="AJ7" i="30"/>
  <c r="AI7" i="30"/>
  <c r="AH7" i="30"/>
  <c r="Y7" i="30"/>
  <c r="X7" i="30"/>
  <c r="W7" i="30"/>
  <c r="N7" i="30"/>
  <c r="M7" i="30"/>
  <c r="L7" i="30"/>
  <c r="AJ6" i="30"/>
  <c r="AI6" i="30"/>
  <c r="AH6" i="30"/>
  <c r="Y6" i="30"/>
  <c r="X6" i="30"/>
  <c r="W6" i="30"/>
  <c r="N6" i="30"/>
  <c r="M6" i="30"/>
  <c r="L6" i="30"/>
  <c r="AJ5" i="30"/>
  <c r="AI5" i="30"/>
  <c r="AH5" i="30"/>
  <c r="Y5" i="30"/>
  <c r="X5" i="30"/>
  <c r="W5" i="30"/>
  <c r="L5" i="30"/>
  <c r="M5" i="30" s="1"/>
  <c r="N5" i="30" s="1"/>
  <c r="AJ4" i="30"/>
  <c r="AI4" i="30"/>
  <c r="AH4" i="30"/>
  <c r="X4" i="30"/>
  <c r="Y4" i="30" s="1"/>
  <c r="W4" i="30"/>
  <c r="L4" i="30"/>
  <c r="M4" i="30" s="1"/>
  <c r="N4" i="30" s="1"/>
  <c r="AJ3" i="30"/>
  <c r="AJ1" i="30" s="1"/>
  <c r="AI3" i="30"/>
  <c r="AH3" i="30"/>
  <c r="W3" i="30"/>
  <c r="X3" i="30" s="1"/>
  <c r="Y3" i="30" s="1"/>
  <c r="Y1" i="30" s="1"/>
  <c r="M3" i="30"/>
  <c r="N3" i="30" s="1"/>
  <c r="L3" i="30"/>
  <c r="AA1" i="30" a="1"/>
  <c r="AA1" i="30" s="1"/>
  <c r="P1" i="30" a="1"/>
  <c r="P1" i="30" s="1"/>
  <c r="E1" i="30" a="1"/>
  <c r="E1" i="30" s="1"/>
  <c r="A1" i="30" a="1"/>
  <c r="A1" i="30" s="1"/>
  <c r="B4" i="12"/>
  <c r="B5" i="12"/>
  <c r="B6" i="12"/>
  <c r="B7" i="12"/>
  <c r="B8" i="12"/>
  <c r="B9" i="12"/>
  <c r="B10" i="12"/>
  <c r="B11" i="12"/>
  <c r="B12" i="12"/>
  <c r="B13" i="12"/>
  <c r="B14" i="12"/>
  <c r="B3" i="12"/>
  <c r="C1" i="29"/>
  <c r="D1" i="29"/>
  <c r="E1" i="29"/>
  <c r="F1" i="29"/>
  <c r="G1" i="29"/>
  <c r="B3" i="29"/>
  <c r="B4" i="29"/>
  <c r="B5" i="29"/>
  <c r="B6" i="29"/>
  <c r="C6" i="29" s="1"/>
  <c r="D6" i="29"/>
  <c r="E6" i="29"/>
  <c r="F6" i="29"/>
  <c r="G6" i="29"/>
  <c r="B7" i="29"/>
  <c r="E7" i="29" s="1"/>
  <c r="C7" i="29"/>
  <c r="D7" i="29"/>
  <c r="G7" i="29"/>
  <c r="B8" i="29"/>
  <c r="C8" i="29"/>
  <c r="D8" i="29"/>
  <c r="E8" i="29"/>
  <c r="F8" i="29"/>
  <c r="G8" i="29"/>
  <c r="B9" i="29"/>
  <c r="C9" i="29" s="1"/>
  <c r="D9" i="29"/>
  <c r="G9" i="29"/>
  <c r="B10" i="29"/>
  <c r="C10" i="29" s="1"/>
  <c r="D10" i="29"/>
  <c r="E10" i="29"/>
  <c r="F10" i="29"/>
  <c r="G10" i="29"/>
  <c r="B11" i="29"/>
  <c r="C11" i="29"/>
  <c r="D11" i="29"/>
  <c r="E11" i="29"/>
  <c r="F11" i="29"/>
  <c r="G11" i="29"/>
  <c r="B12" i="29"/>
  <c r="C12" i="29"/>
  <c r="D12" i="29"/>
  <c r="E12" i="29"/>
  <c r="F12" i="29"/>
  <c r="G12" i="29"/>
  <c r="B13" i="29"/>
  <c r="C13" i="29" s="1"/>
  <c r="F13" i="29"/>
  <c r="G13" i="29"/>
  <c r="B14" i="29"/>
  <c r="C14" i="29"/>
  <c r="D14" i="29"/>
  <c r="E14" i="29"/>
  <c r="F14" i="29"/>
  <c r="G14" i="29"/>
  <c r="B15" i="29"/>
  <c r="C15" i="29"/>
  <c r="D15" i="29"/>
  <c r="E15" i="29"/>
  <c r="F15" i="29"/>
  <c r="G15" i="29"/>
  <c r="B16" i="29"/>
  <c r="C16" i="29" s="1"/>
  <c r="E16" i="29"/>
  <c r="F16" i="29"/>
  <c r="G16" i="29"/>
  <c r="B17" i="29"/>
  <c r="D17" i="29" s="1"/>
  <c r="C17" i="29"/>
  <c r="E17" i="29"/>
  <c r="F17" i="29"/>
  <c r="G17" i="29"/>
  <c r="B18" i="29"/>
  <c r="C18" i="29" s="1"/>
  <c r="G18" i="29"/>
  <c r="B19" i="29"/>
  <c r="C19" i="29" s="1"/>
  <c r="E19" i="29"/>
  <c r="F19" i="29"/>
  <c r="G19" i="29"/>
  <c r="B20" i="29"/>
  <c r="C20" i="29" s="1"/>
  <c r="G20" i="29"/>
  <c r="B21" i="29"/>
  <c r="C21" i="29" s="1"/>
  <c r="G21" i="29"/>
  <c r="B22" i="29"/>
  <c r="C22" i="29" s="1"/>
  <c r="D22" i="29"/>
  <c r="E22" i="29"/>
  <c r="F22" i="29"/>
  <c r="G22" i="29"/>
  <c r="B23" i="29"/>
  <c r="E23" i="29" s="1"/>
  <c r="C23" i="29"/>
  <c r="D23" i="29"/>
  <c r="G23" i="29"/>
  <c r="B24" i="29"/>
  <c r="C24" i="29" s="1"/>
  <c r="D24" i="29"/>
  <c r="E24" i="29"/>
  <c r="F24" i="29"/>
  <c r="G24" i="29"/>
  <c r="B25" i="29"/>
  <c r="C25" i="29" s="1"/>
  <c r="D25" i="29"/>
  <c r="G25" i="29"/>
  <c r="B26" i="29"/>
  <c r="C26" i="29"/>
  <c r="D26" i="29"/>
  <c r="E26" i="29"/>
  <c r="F26" i="29"/>
  <c r="G26" i="29"/>
  <c r="B27" i="29"/>
  <c r="C27" i="29"/>
  <c r="D27" i="29"/>
  <c r="E27" i="29"/>
  <c r="F27" i="29"/>
  <c r="G27" i="29"/>
  <c r="B28" i="29"/>
  <c r="C28" i="29"/>
  <c r="D28" i="29"/>
  <c r="E28" i="29"/>
  <c r="F28" i="29"/>
  <c r="G28" i="29"/>
  <c r="B29" i="29"/>
  <c r="E29" i="29" s="1"/>
  <c r="C29" i="29"/>
  <c r="D29" i="29"/>
  <c r="F29" i="29"/>
  <c r="G29" i="29"/>
  <c r="B30" i="29"/>
  <c r="C30" i="29"/>
  <c r="D30" i="29"/>
  <c r="E30" i="29"/>
  <c r="F30" i="29"/>
  <c r="G30" i="29"/>
  <c r="B31" i="29"/>
  <c r="C31" i="29"/>
  <c r="D31" i="29"/>
  <c r="E31" i="29"/>
  <c r="F31" i="29"/>
  <c r="G31" i="29"/>
  <c r="B32" i="29"/>
  <c r="C32" i="29" s="1"/>
  <c r="D32" i="29"/>
  <c r="E32" i="29"/>
  <c r="F32" i="29"/>
  <c r="G32" i="29"/>
  <c r="B33" i="29"/>
  <c r="C33" i="29"/>
  <c r="D33" i="29"/>
  <c r="E33" i="29"/>
  <c r="F33" i="29"/>
  <c r="G33" i="29"/>
  <c r="B34" i="29"/>
  <c r="C34" i="29" s="1"/>
  <c r="G34" i="29"/>
  <c r="B35" i="29"/>
  <c r="C35" i="29" s="1"/>
  <c r="E35" i="29"/>
  <c r="F35" i="29"/>
  <c r="G35" i="29"/>
  <c r="B36" i="29"/>
  <c r="C36" i="29" s="1"/>
  <c r="G36" i="29"/>
  <c r="B37" i="29"/>
  <c r="C37" i="29" s="1"/>
  <c r="G37" i="29"/>
  <c r="B38" i="29"/>
  <c r="C38" i="29" s="1"/>
  <c r="D38" i="29"/>
  <c r="E38" i="29"/>
  <c r="F38" i="29"/>
  <c r="G38" i="29"/>
  <c r="B39" i="29"/>
  <c r="E39" i="29" s="1"/>
  <c r="D39" i="29"/>
  <c r="G39" i="29"/>
  <c r="B40" i="29"/>
  <c r="C40" i="29" s="1"/>
  <c r="D40" i="29"/>
  <c r="E40" i="29"/>
  <c r="G40" i="29"/>
  <c r="B41" i="29"/>
  <c r="E41" i="29" s="1"/>
  <c r="C41" i="29"/>
  <c r="D41" i="29"/>
  <c r="G41" i="29"/>
  <c r="B42" i="29"/>
  <c r="C42" i="29"/>
  <c r="D42" i="29"/>
  <c r="E42" i="29"/>
  <c r="F42" i="29"/>
  <c r="G42" i="29"/>
  <c r="B43" i="29"/>
  <c r="C43" i="29" s="1"/>
  <c r="D43" i="29"/>
  <c r="E43" i="29"/>
  <c r="F43" i="29"/>
  <c r="G43" i="29"/>
  <c r="B44" i="29"/>
  <c r="C44" i="29"/>
  <c r="D44" i="29"/>
  <c r="E44" i="29"/>
  <c r="F44" i="29"/>
  <c r="G44" i="29"/>
  <c r="B45" i="29"/>
  <c r="E45" i="29" s="1"/>
  <c r="C45" i="29"/>
  <c r="D45" i="29"/>
  <c r="F45" i="29"/>
  <c r="G45" i="29"/>
  <c r="B46" i="29"/>
  <c r="C46" i="29"/>
  <c r="D46" i="29"/>
  <c r="E46" i="29"/>
  <c r="F46" i="29"/>
  <c r="G46" i="29"/>
  <c r="B47" i="29"/>
  <c r="C47" i="29"/>
  <c r="D47" i="29"/>
  <c r="E47" i="29"/>
  <c r="F47" i="29"/>
  <c r="G47" i="29"/>
  <c r="B48" i="29"/>
  <c r="E48" i="29" s="1"/>
  <c r="F48" i="29"/>
  <c r="G48" i="29"/>
  <c r="B49" i="29"/>
  <c r="C49" i="29"/>
  <c r="D49" i="29"/>
  <c r="E49" i="29"/>
  <c r="F49" i="29"/>
  <c r="G49" i="29"/>
  <c r="C5" i="29"/>
  <c r="C4" i="29"/>
  <c r="Y1" i="38" l="1"/>
  <c r="N1" i="37"/>
  <c r="AJ1" i="32"/>
  <c r="Y1" i="34"/>
  <c r="Y1" i="43"/>
  <c r="N1" i="43"/>
  <c r="Y1" i="42"/>
  <c r="N1" i="42"/>
  <c r="Y1" i="41"/>
  <c r="N1" i="41"/>
  <c r="AJ1" i="33"/>
  <c r="Y1" i="40"/>
  <c r="N1" i="40"/>
  <c r="Y1" i="39"/>
  <c r="N1" i="39"/>
  <c r="N1" i="38"/>
  <c r="Y1" i="37"/>
  <c r="Y1" i="36"/>
  <c r="N1" i="36"/>
  <c r="Y1" i="35"/>
  <c r="N1" i="35"/>
  <c r="Y1" i="31"/>
  <c r="N1" i="31"/>
  <c r="Y1" i="33"/>
  <c r="Y1" i="32"/>
  <c r="N1" i="32"/>
  <c r="N1" i="33"/>
  <c r="AJ1" i="34"/>
  <c r="N1" i="30"/>
  <c r="F37" i="29"/>
  <c r="F21" i="29"/>
  <c r="D16" i="29"/>
  <c r="C48" i="29"/>
  <c r="E37" i="29"/>
  <c r="E21" i="29"/>
  <c r="D37" i="29"/>
  <c r="D21" i="29"/>
  <c r="F36" i="29"/>
  <c r="E36" i="29"/>
  <c r="F41" i="29"/>
  <c r="D36" i="29"/>
  <c r="F25" i="29"/>
  <c r="D20" i="29"/>
  <c r="F9" i="29"/>
  <c r="F20" i="29"/>
  <c r="E20" i="29"/>
  <c r="E25" i="29"/>
  <c r="E9" i="29"/>
  <c r="D48" i="29"/>
  <c r="F40" i="29"/>
  <c r="D35" i="29"/>
  <c r="D19" i="29"/>
  <c r="C39" i="29"/>
  <c r="E13" i="29"/>
  <c r="F34" i="29"/>
  <c r="F18" i="29"/>
  <c r="D13" i="29"/>
  <c r="E34" i="29"/>
  <c r="E18" i="29"/>
  <c r="F39" i="29"/>
  <c r="D34" i="29"/>
  <c r="F23" i="29"/>
  <c r="D18" i="29"/>
  <c r="F7" i="29"/>
  <c r="B15" i="12"/>
  <c r="B16" i="12"/>
  <c r="B17" i="12"/>
  <c r="B18" i="12"/>
  <c r="B19" i="12"/>
  <c r="B20" i="12"/>
  <c r="B21" i="12"/>
  <c r="C21" i="12" s="1"/>
  <c r="B22" i="12"/>
  <c r="C22" i="12" s="1"/>
  <c r="B23" i="12"/>
  <c r="D23" i="12" s="1"/>
  <c r="B24" i="12"/>
  <c r="B25" i="12"/>
  <c r="D25" i="12" s="1"/>
  <c r="B26" i="12"/>
  <c r="C26" i="12" s="1"/>
  <c r="B27" i="12"/>
  <c r="B28" i="12"/>
  <c r="B29" i="12"/>
  <c r="D29" i="12" s="1"/>
  <c r="B30" i="12"/>
  <c r="C30" i="12" s="1"/>
  <c r="B31" i="12"/>
  <c r="D31" i="12" s="1"/>
  <c r="B32" i="12"/>
  <c r="D32" i="12" s="1"/>
  <c r="B33" i="12"/>
  <c r="D33" i="12" s="1"/>
  <c r="B34" i="12"/>
  <c r="D34" i="12" s="1"/>
  <c r="B35" i="12"/>
  <c r="D35" i="12" s="1"/>
  <c r="B36" i="12"/>
  <c r="D36" i="12" s="1"/>
  <c r="B37" i="12"/>
  <c r="B38" i="12"/>
  <c r="D38" i="12" s="1"/>
  <c r="B39" i="12"/>
  <c r="B40" i="12"/>
  <c r="C40" i="12" s="1"/>
  <c r="B41" i="12"/>
  <c r="E41" i="12" s="1"/>
  <c r="B42" i="12"/>
  <c r="C42" i="12" s="1"/>
  <c r="B43" i="12"/>
  <c r="B44" i="12"/>
  <c r="B45" i="12"/>
  <c r="B46" i="12"/>
  <c r="B47" i="12"/>
  <c r="B48" i="12"/>
  <c r="E48" i="12" s="1"/>
  <c r="B49" i="12"/>
  <c r="C49" i="12" s="1"/>
  <c r="C46" i="12"/>
  <c r="C47" i="12"/>
  <c r="C44" i="12"/>
  <c r="C43" i="12"/>
  <c r="D28" i="12"/>
  <c r="D26" i="12"/>
  <c r="D24" i="12"/>
  <c r="C20" i="12"/>
  <c r="C45" i="12"/>
  <c r="D27" i="12"/>
  <c r="E43" i="12"/>
  <c r="E46" i="12"/>
  <c r="C28" i="12"/>
  <c r="D37" i="12"/>
  <c r="E45" i="12"/>
  <c r="D20" i="12"/>
  <c r="E42" i="12"/>
  <c r="E44" i="12"/>
  <c r="E47" i="12"/>
  <c r="C27" i="12"/>
  <c r="E14" i="12"/>
  <c r="C11" i="12"/>
  <c r="E13" i="12"/>
  <c r="C14" i="12"/>
  <c r="C17" i="12"/>
  <c r="E10" i="12"/>
  <c r="D5" i="29"/>
  <c r="E5" i="29"/>
  <c r="E4" i="12"/>
  <c r="E7" i="12"/>
  <c r="D5" i="12"/>
  <c r="D4" i="12"/>
  <c r="E11" i="12"/>
  <c r="E4" i="29"/>
  <c r="C16" i="12"/>
  <c r="D7" i="12"/>
  <c r="E8" i="12"/>
  <c r="C19" i="12"/>
  <c r="E12" i="12"/>
  <c r="C7" i="12"/>
  <c r="D4" i="29"/>
  <c r="E6" i="12"/>
  <c r="C9" i="12"/>
  <c r="E5" i="12"/>
  <c r="C12" i="12"/>
  <c r="E18" i="12"/>
  <c r="C31" i="12" l="1"/>
  <c r="C25" i="12"/>
  <c r="C48" i="12"/>
  <c r="C29" i="12"/>
  <c r="C41" i="12"/>
  <c r="D30" i="12"/>
  <c r="D21" i="12"/>
  <c r="D22" i="12"/>
  <c r="F4" i="29"/>
  <c r="G4" i="29" s="1"/>
  <c r="F5" i="29"/>
  <c r="G5" i="29" s="1"/>
  <c r="C39" i="12"/>
  <c r="C33" i="12"/>
  <c r="D42" i="12"/>
  <c r="D41" i="12"/>
  <c r="E49" i="12"/>
  <c r="E33" i="12"/>
  <c r="C24" i="12"/>
  <c r="D45" i="12"/>
  <c r="E27" i="12"/>
  <c r="D48" i="12"/>
  <c r="C32" i="12"/>
  <c r="C37" i="12"/>
  <c r="E31" i="12"/>
  <c r="D47" i="12"/>
  <c r="E35" i="12"/>
  <c r="E40" i="12"/>
  <c r="C36" i="12"/>
  <c r="D44" i="12"/>
  <c r="E25" i="12"/>
  <c r="D40" i="12"/>
  <c r="E37" i="12"/>
  <c r="D39" i="12"/>
  <c r="C23" i="12"/>
  <c r="D46" i="12"/>
  <c r="E36" i="12"/>
  <c r="E20" i="12"/>
  <c r="C38" i="12"/>
  <c r="E39" i="12"/>
  <c r="E23" i="12"/>
  <c r="E34" i="12"/>
  <c r="E30" i="12"/>
  <c r="E22" i="12"/>
  <c r="E26" i="12"/>
  <c r="E32" i="12"/>
  <c r="D49" i="12"/>
  <c r="E24" i="12"/>
  <c r="E38" i="12"/>
  <c r="E21" i="12"/>
  <c r="D43" i="12"/>
  <c r="E29" i="12"/>
  <c r="E28" i="12"/>
  <c r="C35" i="12"/>
  <c r="C34" i="12"/>
  <c r="C15" i="12"/>
  <c r="C13" i="12"/>
  <c r="C8" i="12"/>
  <c r="D19" i="12"/>
  <c r="D11" i="12"/>
  <c r="D15" i="12"/>
  <c r="C6" i="12"/>
  <c r="E16" i="12"/>
  <c r="D17" i="12"/>
  <c r="D8" i="12"/>
  <c r="D14" i="12"/>
  <c r="E19" i="12"/>
  <c r="D13" i="12"/>
  <c r="D9" i="12"/>
  <c r="D16" i="12"/>
  <c r="E17" i="12"/>
  <c r="C18" i="12"/>
  <c r="D18" i="12"/>
  <c r="D6" i="12"/>
  <c r="E15" i="12"/>
  <c r="D12" i="12"/>
  <c r="E9" i="12"/>
  <c r="C10" i="12"/>
  <c r="D10" i="12"/>
  <c r="F6" i="12" l="1"/>
  <c r="G6" i="12" s="1"/>
  <c r="F34" i="12"/>
  <c r="G34" i="12" s="1"/>
  <c r="F12" i="12"/>
  <c r="G12" i="12" s="1"/>
  <c r="F35" i="12"/>
  <c r="G35" i="12" s="1"/>
  <c r="F28" i="12"/>
  <c r="G28" i="12" s="1"/>
  <c r="F29" i="12"/>
  <c r="G29" i="12" s="1"/>
  <c r="F43" i="12"/>
  <c r="G43" i="12" s="1"/>
  <c r="F13" i="12"/>
  <c r="G13" i="12" s="1"/>
  <c r="F21" i="12"/>
  <c r="G21" i="12" s="1"/>
  <c r="F49" i="12"/>
  <c r="G49" i="12" s="1"/>
  <c r="F19" i="12"/>
  <c r="G19" i="12" s="1"/>
  <c r="F15" i="12"/>
  <c r="G15" i="12" s="1"/>
  <c r="F26" i="12"/>
  <c r="G26" i="12" s="1"/>
  <c r="F22" i="12"/>
  <c r="G22" i="12" s="1"/>
  <c r="F30" i="12"/>
  <c r="G30" i="12" s="1"/>
  <c r="F18" i="12"/>
  <c r="G18" i="12" s="1"/>
  <c r="F38" i="12"/>
  <c r="G38" i="12" s="1"/>
  <c r="F20" i="12"/>
  <c r="G20" i="12" s="1"/>
  <c r="F46" i="12"/>
  <c r="G46" i="12" s="1"/>
  <c r="F17" i="12"/>
  <c r="G17" i="12" s="1"/>
  <c r="F23" i="12"/>
  <c r="G23" i="12" s="1"/>
  <c r="F40" i="12"/>
  <c r="G40" i="12" s="1"/>
  <c r="F25" i="12"/>
  <c r="G25" i="12" s="1"/>
  <c r="F11" i="12"/>
  <c r="G11" i="12" s="1"/>
  <c r="F44" i="12"/>
  <c r="G44" i="12" s="1"/>
  <c r="F36" i="12"/>
  <c r="G36" i="12" s="1"/>
  <c r="F14" i="12"/>
  <c r="G14" i="12" s="1"/>
  <c r="F47" i="12"/>
  <c r="G47" i="12" s="1"/>
  <c r="F10" i="12"/>
  <c r="G10" i="12" s="1"/>
  <c r="F16" i="12"/>
  <c r="G16" i="12" s="1"/>
  <c r="F31" i="12"/>
  <c r="G31" i="12" s="1"/>
  <c r="F37" i="12"/>
  <c r="G37" i="12" s="1"/>
  <c r="F32" i="12"/>
  <c r="G32" i="12" s="1"/>
  <c r="F48" i="12"/>
  <c r="G48" i="12" s="1"/>
  <c r="F27" i="12"/>
  <c r="G27" i="12" s="1"/>
  <c r="F45" i="12"/>
  <c r="G45" i="12" s="1"/>
  <c r="F24" i="12"/>
  <c r="G24" i="12" s="1"/>
  <c r="F9" i="12"/>
  <c r="G9" i="12" s="1"/>
  <c r="F41" i="12"/>
  <c r="G41" i="12" s="1"/>
  <c r="F42" i="12"/>
  <c r="G42" i="12" s="1"/>
  <c r="F33" i="12"/>
  <c r="G33" i="12" s="1"/>
  <c r="F39" i="12"/>
  <c r="G39" i="12" s="1"/>
  <c r="F8" i="12"/>
  <c r="G8" i="12" s="1"/>
  <c r="F7" i="12"/>
  <c r="G7" i="12" s="1"/>
  <c r="AJ49" i="21" l="1"/>
  <c r="AI49" i="21"/>
  <c r="AH49" i="21"/>
  <c r="Y49" i="21"/>
  <c r="X49" i="21"/>
  <c r="W49" i="21"/>
  <c r="N49" i="21"/>
  <c r="M49" i="21"/>
  <c r="L49" i="21"/>
  <c r="AJ48" i="21"/>
  <c r="AI48" i="21"/>
  <c r="AH48" i="21"/>
  <c r="Y48" i="21"/>
  <c r="X48" i="21"/>
  <c r="W48" i="21"/>
  <c r="N48" i="21"/>
  <c r="M48" i="21"/>
  <c r="L48" i="21"/>
  <c r="AJ47" i="21"/>
  <c r="AI47" i="21"/>
  <c r="AH47" i="21"/>
  <c r="Y47" i="21"/>
  <c r="X47" i="21"/>
  <c r="W47" i="21"/>
  <c r="N47" i="21"/>
  <c r="M47" i="21"/>
  <c r="L47" i="21"/>
  <c r="AJ46" i="21"/>
  <c r="AI46" i="21"/>
  <c r="AH46" i="21"/>
  <c r="Y46" i="21"/>
  <c r="X46" i="21"/>
  <c r="W46" i="21"/>
  <c r="N46" i="21"/>
  <c r="M46" i="21"/>
  <c r="L46" i="21"/>
  <c r="AJ45" i="21"/>
  <c r="AI45" i="21"/>
  <c r="AH45" i="21"/>
  <c r="Y45" i="21"/>
  <c r="X45" i="21"/>
  <c r="W45" i="21"/>
  <c r="N45" i="21"/>
  <c r="M45" i="21"/>
  <c r="L45" i="21"/>
  <c r="AJ44" i="21"/>
  <c r="AI44" i="21"/>
  <c r="AH44" i="21"/>
  <c r="Y44" i="21"/>
  <c r="X44" i="21"/>
  <c r="W44" i="21"/>
  <c r="N44" i="21"/>
  <c r="M44" i="21"/>
  <c r="L44" i="21"/>
  <c r="AJ43" i="21"/>
  <c r="AI43" i="21"/>
  <c r="AH43" i="21"/>
  <c r="Y43" i="21"/>
  <c r="X43" i="21"/>
  <c r="W43" i="21"/>
  <c r="N43" i="21"/>
  <c r="M43" i="21"/>
  <c r="L43" i="21"/>
  <c r="AJ42" i="21"/>
  <c r="AI42" i="21"/>
  <c r="AH42" i="21"/>
  <c r="Y42" i="21"/>
  <c r="X42" i="21"/>
  <c r="W42" i="21"/>
  <c r="N42" i="21"/>
  <c r="M42" i="21"/>
  <c r="L42" i="21"/>
  <c r="AJ41" i="21"/>
  <c r="AI41" i="21"/>
  <c r="AH41" i="21"/>
  <c r="Y41" i="21"/>
  <c r="X41" i="21"/>
  <c r="W41" i="21"/>
  <c r="N41" i="21"/>
  <c r="M41" i="21"/>
  <c r="L41" i="21"/>
  <c r="AJ40" i="21"/>
  <c r="AI40" i="21"/>
  <c r="AH40" i="21"/>
  <c r="Y40" i="21"/>
  <c r="X40" i="21"/>
  <c r="W40" i="21"/>
  <c r="N40" i="21"/>
  <c r="M40" i="21"/>
  <c r="L40" i="21"/>
  <c r="AJ39" i="21"/>
  <c r="AI39" i="21"/>
  <c r="AH39" i="21"/>
  <c r="Y39" i="21"/>
  <c r="X39" i="21"/>
  <c r="W39" i="21"/>
  <c r="N39" i="21"/>
  <c r="M39" i="21"/>
  <c r="L39" i="21"/>
  <c r="AJ38" i="21"/>
  <c r="AI38" i="21"/>
  <c r="AH38" i="21"/>
  <c r="Y38" i="21"/>
  <c r="X38" i="21"/>
  <c r="W38" i="21"/>
  <c r="N38" i="21"/>
  <c r="M38" i="21"/>
  <c r="L38" i="21"/>
  <c r="AJ37" i="21"/>
  <c r="AI37" i="21"/>
  <c r="AH37" i="21"/>
  <c r="Y37" i="21"/>
  <c r="X37" i="21"/>
  <c r="W37" i="21"/>
  <c r="N37" i="21"/>
  <c r="M37" i="21"/>
  <c r="L37" i="21"/>
  <c r="AJ36" i="21"/>
  <c r="AI36" i="21"/>
  <c r="AH36" i="21"/>
  <c r="Y36" i="21"/>
  <c r="X36" i="21"/>
  <c r="W36" i="21"/>
  <c r="N36" i="21"/>
  <c r="M36" i="21"/>
  <c r="L36" i="21"/>
  <c r="AJ35" i="21"/>
  <c r="AI35" i="21"/>
  <c r="AH35" i="21"/>
  <c r="Y35" i="21"/>
  <c r="X35" i="21"/>
  <c r="W35" i="21"/>
  <c r="N35" i="21"/>
  <c r="M35" i="21"/>
  <c r="L35" i="21"/>
  <c r="AJ34" i="21"/>
  <c r="AI34" i="21"/>
  <c r="AH34" i="21"/>
  <c r="Y34" i="21"/>
  <c r="X34" i="21"/>
  <c r="W34" i="21"/>
  <c r="N34" i="21"/>
  <c r="M34" i="21"/>
  <c r="L34" i="21"/>
  <c r="AJ33" i="21"/>
  <c r="AI33" i="21"/>
  <c r="AH33" i="21"/>
  <c r="Y33" i="21"/>
  <c r="X33" i="21"/>
  <c r="W33" i="21"/>
  <c r="N33" i="21"/>
  <c r="M33" i="21"/>
  <c r="L33" i="21"/>
  <c r="AJ32" i="21"/>
  <c r="AI32" i="21"/>
  <c r="AH32" i="21"/>
  <c r="Y32" i="21"/>
  <c r="X32" i="21"/>
  <c r="W32" i="21"/>
  <c r="N32" i="21"/>
  <c r="M32" i="21"/>
  <c r="L32" i="21"/>
  <c r="AJ31" i="21"/>
  <c r="AI31" i="21"/>
  <c r="AH31" i="21"/>
  <c r="Y31" i="21"/>
  <c r="X31" i="21"/>
  <c r="W31" i="21"/>
  <c r="N31" i="21"/>
  <c r="M31" i="21"/>
  <c r="L31" i="21"/>
  <c r="AJ30" i="21"/>
  <c r="AI30" i="21"/>
  <c r="AH30" i="21"/>
  <c r="Y30" i="21"/>
  <c r="X30" i="21"/>
  <c r="W30" i="21"/>
  <c r="N30" i="21"/>
  <c r="M30" i="21"/>
  <c r="L30" i="21"/>
  <c r="AJ29" i="21"/>
  <c r="AI29" i="21"/>
  <c r="AH29" i="21"/>
  <c r="Y29" i="21"/>
  <c r="X29" i="21"/>
  <c r="W29" i="21"/>
  <c r="N29" i="21"/>
  <c r="M29" i="21"/>
  <c r="L29" i="21"/>
  <c r="AJ28" i="21"/>
  <c r="AI28" i="21"/>
  <c r="AH28" i="21"/>
  <c r="Y28" i="21"/>
  <c r="X28" i="21"/>
  <c r="W28" i="21"/>
  <c r="N28" i="21"/>
  <c r="M28" i="21"/>
  <c r="L28" i="21"/>
  <c r="AJ27" i="21"/>
  <c r="AI27" i="21"/>
  <c r="AH27" i="21"/>
  <c r="Y27" i="21"/>
  <c r="X27" i="21"/>
  <c r="W27" i="21"/>
  <c r="N27" i="21"/>
  <c r="M27" i="21"/>
  <c r="L27" i="21"/>
  <c r="AJ26" i="21"/>
  <c r="AI26" i="21"/>
  <c r="AH26" i="21"/>
  <c r="Y26" i="21"/>
  <c r="X26" i="21"/>
  <c r="W26" i="21"/>
  <c r="L26" i="21"/>
  <c r="M26" i="21" s="1"/>
  <c r="N26" i="21" s="1"/>
  <c r="AJ25" i="21"/>
  <c r="AI25" i="21"/>
  <c r="AH25" i="21"/>
  <c r="Y25" i="21"/>
  <c r="X25" i="21"/>
  <c r="W25" i="21"/>
  <c r="M25" i="21"/>
  <c r="N25" i="21" s="1"/>
  <c r="L25" i="21"/>
  <c r="AJ24" i="21"/>
  <c r="AI24" i="21"/>
  <c r="AH24" i="21"/>
  <c r="Y24" i="21"/>
  <c r="X24" i="21"/>
  <c r="W24" i="21"/>
  <c r="L24" i="21"/>
  <c r="M24" i="21" s="1"/>
  <c r="N24" i="21" s="1"/>
  <c r="AJ23" i="21"/>
  <c r="AI23" i="21"/>
  <c r="AH23" i="21"/>
  <c r="Y23" i="21"/>
  <c r="X23" i="21"/>
  <c r="W23" i="21"/>
  <c r="L23" i="21"/>
  <c r="M23" i="21" s="1"/>
  <c r="N23" i="21" s="1"/>
  <c r="AJ22" i="21"/>
  <c r="AI22" i="21"/>
  <c r="AH22" i="21"/>
  <c r="Y22" i="21"/>
  <c r="X22" i="21"/>
  <c r="W22" i="21"/>
  <c r="L22" i="21"/>
  <c r="M22" i="21" s="1"/>
  <c r="N22" i="21" s="1"/>
  <c r="AJ21" i="21"/>
  <c r="AI21" i="21"/>
  <c r="AH21" i="21"/>
  <c r="Y21" i="21"/>
  <c r="X21" i="21"/>
  <c r="W21" i="21"/>
  <c r="L21" i="21"/>
  <c r="M21" i="21" s="1"/>
  <c r="N21" i="21" s="1"/>
  <c r="AJ20" i="21"/>
  <c r="AI20" i="21"/>
  <c r="AH20" i="21"/>
  <c r="Y20" i="21"/>
  <c r="X20" i="21"/>
  <c r="W20" i="21"/>
  <c r="L20" i="21"/>
  <c r="M20" i="21" s="1"/>
  <c r="N20" i="21" s="1"/>
  <c r="AJ19" i="21"/>
  <c r="AI19" i="21"/>
  <c r="AH19" i="21"/>
  <c r="Y19" i="21"/>
  <c r="X19" i="21"/>
  <c r="W19" i="21"/>
  <c r="L19" i="21"/>
  <c r="M19" i="21" s="1"/>
  <c r="N19" i="21" s="1"/>
  <c r="AJ18" i="21"/>
  <c r="AI18" i="21"/>
  <c r="AH18" i="21"/>
  <c r="Y18" i="21"/>
  <c r="X18" i="21"/>
  <c r="W18" i="21"/>
  <c r="L18" i="21"/>
  <c r="M18" i="21" s="1"/>
  <c r="N18" i="21" s="1"/>
  <c r="AJ17" i="21"/>
  <c r="AI17" i="21"/>
  <c r="AH17" i="21"/>
  <c r="Y17" i="21"/>
  <c r="X17" i="21"/>
  <c r="W17" i="21"/>
  <c r="L17" i="21"/>
  <c r="M17" i="21" s="1"/>
  <c r="N17" i="21" s="1"/>
  <c r="AJ16" i="21"/>
  <c r="AI16" i="21"/>
  <c r="AH16" i="21"/>
  <c r="Y16" i="21"/>
  <c r="X16" i="21"/>
  <c r="W16" i="21"/>
  <c r="L16" i="21"/>
  <c r="M16" i="21" s="1"/>
  <c r="N16" i="21" s="1"/>
  <c r="AJ15" i="21"/>
  <c r="AI15" i="21"/>
  <c r="AH15" i="21"/>
  <c r="Y15" i="21"/>
  <c r="X15" i="21"/>
  <c r="W15" i="21"/>
  <c r="L15" i="21"/>
  <c r="M15" i="21" s="1"/>
  <c r="N15" i="21" s="1"/>
  <c r="AJ14" i="21"/>
  <c r="AI14" i="21"/>
  <c r="AH14" i="21"/>
  <c r="Y14" i="21"/>
  <c r="X14" i="21"/>
  <c r="W14" i="21"/>
  <c r="L14" i="21"/>
  <c r="M14" i="21" s="1"/>
  <c r="N14" i="21" s="1"/>
  <c r="AJ13" i="21"/>
  <c r="AI13" i="21"/>
  <c r="AH13" i="21"/>
  <c r="Y13" i="21"/>
  <c r="X13" i="21"/>
  <c r="W13" i="21"/>
  <c r="L13" i="21"/>
  <c r="M13" i="21" s="1"/>
  <c r="N13" i="21" s="1"/>
  <c r="AJ12" i="21"/>
  <c r="AI12" i="21"/>
  <c r="AH12" i="21"/>
  <c r="Y12" i="21"/>
  <c r="X12" i="21"/>
  <c r="W12" i="21"/>
  <c r="M12" i="21"/>
  <c r="N12" i="21" s="1"/>
  <c r="L12" i="21"/>
  <c r="AJ11" i="21"/>
  <c r="AI11" i="21"/>
  <c r="AH11" i="21"/>
  <c r="Y11" i="21"/>
  <c r="X11" i="21"/>
  <c r="W11" i="21"/>
  <c r="L11" i="21"/>
  <c r="M11" i="21" s="1"/>
  <c r="N11" i="21" s="1"/>
  <c r="AJ10" i="21"/>
  <c r="AI10" i="21"/>
  <c r="AH10" i="21"/>
  <c r="Y10" i="21"/>
  <c r="X10" i="21"/>
  <c r="W10" i="21"/>
  <c r="L10" i="21"/>
  <c r="M10" i="21" s="1"/>
  <c r="N10" i="21" s="1"/>
  <c r="AJ9" i="21"/>
  <c r="AI9" i="21"/>
  <c r="AH9" i="21"/>
  <c r="Y9" i="21"/>
  <c r="X9" i="21"/>
  <c r="W9" i="21"/>
  <c r="M9" i="21"/>
  <c r="N9" i="21" s="1"/>
  <c r="L9" i="21"/>
  <c r="AJ8" i="21"/>
  <c r="AI8" i="21"/>
  <c r="AH8" i="21"/>
  <c r="Y8" i="21"/>
  <c r="X8" i="21"/>
  <c r="W8" i="21"/>
  <c r="L8" i="21"/>
  <c r="M8" i="21" s="1"/>
  <c r="N8" i="21" s="1"/>
  <c r="AJ7" i="21"/>
  <c r="AI7" i="21"/>
  <c r="AH7" i="21"/>
  <c r="Y7" i="21"/>
  <c r="X7" i="21"/>
  <c r="W7" i="21"/>
  <c r="L7" i="21"/>
  <c r="M7" i="21" s="1"/>
  <c r="N7" i="21" s="1"/>
  <c r="AJ6" i="21"/>
  <c r="AI6" i="21"/>
  <c r="AH6" i="21"/>
  <c r="Y6" i="21"/>
  <c r="X6" i="21"/>
  <c r="W6" i="21"/>
  <c r="L6" i="21"/>
  <c r="M6" i="21" s="1"/>
  <c r="N6" i="21" s="1"/>
  <c r="AH5" i="21"/>
  <c r="AI5" i="21" s="1"/>
  <c r="AJ5" i="21" s="1"/>
  <c r="W5" i="21"/>
  <c r="X5" i="21" s="1"/>
  <c r="Y5" i="21" s="1"/>
  <c r="L5" i="21"/>
  <c r="M5" i="21" s="1"/>
  <c r="N5" i="21" s="1"/>
  <c r="AH4" i="21"/>
  <c r="AI4" i="21" s="1"/>
  <c r="AJ4" i="21" s="1"/>
  <c r="W4" i="21"/>
  <c r="X4" i="21" s="1"/>
  <c r="Y4" i="21" s="1"/>
  <c r="L4" i="21"/>
  <c r="M4" i="21" s="1"/>
  <c r="N4" i="21" s="1"/>
  <c r="AH3" i="21"/>
  <c r="AI3" i="21" s="1"/>
  <c r="AJ3" i="21" s="1"/>
  <c r="W3" i="21"/>
  <c r="X3" i="21" s="1"/>
  <c r="Y3" i="21" s="1"/>
  <c r="L3" i="21"/>
  <c r="M3" i="21" s="1"/>
  <c r="N3" i="21" s="1"/>
  <c r="AA1" i="21" a="1"/>
  <c r="AA1" i="21" s="1"/>
  <c r="P1" i="21" a="1"/>
  <c r="P1" i="21" s="1"/>
  <c r="E1" i="21" a="1"/>
  <c r="E1" i="21" s="1"/>
  <c r="A1" i="21" a="1"/>
  <c r="A1" i="21" s="1"/>
  <c r="D3" i="12"/>
  <c r="E3" i="29"/>
  <c r="C3" i="12"/>
  <c r="C3" i="29"/>
  <c r="E3" i="12"/>
  <c r="D3" i="29"/>
  <c r="C5" i="12"/>
  <c r="F3" i="29" l="1"/>
  <c r="G3" i="29" s="1"/>
  <c r="AJ1" i="21"/>
  <c r="Y1" i="21"/>
  <c r="F5" i="12"/>
  <c r="G5" i="12" s="1"/>
  <c r="N1" i="21"/>
  <c r="C4" i="12"/>
  <c r="F4" i="12" l="1"/>
  <c r="G4" i="12" s="1"/>
  <c r="AB1" i="12"/>
  <c r="E1" i="12" a="1"/>
  <c r="E1" i="12" s="1"/>
  <c r="D1" i="12" a="1"/>
  <c r="D1" i="12" s="1"/>
  <c r="C1" i="12" a="1"/>
  <c r="C1" i="12" s="1"/>
  <c r="F3" i="12"/>
  <c r="F1" i="12" l="1" a="1"/>
  <c r="F1" i="12" s="1"/>
  <c r="G3" i="12"/>
  <c r="G1" i="12" s="1" a="1"/>
  <c r="G1" i="12" s="1"/>
  <c r="R1" i="12"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<sst xmlns="http://schemas.openxmlformats.org/spreadsheetml/2006/main" count="4185" uniqueCount="2264">
  <si>
    <t>Spec</t>
  </si>
  <si>
    <t>UOM</t>
  </si>
  <si>
    <t>Final Qty</t>
  </si>
  <si>
    <t>Description</t>
  </si>
  <si>
    <t>Wastage/Buffer</t>
  </si>
  <si>
    <t>Note</t>
  </si>
  <si>
    <t>Sheet</t>
  </si>
  <si>
    <t>Tile 300mm x 600mm</t>
  </si>
  <si>
    <t>PCS</t>
  </si>
  <si>
    <t>BAG</t>
  </si>
  <si>
    <t>SET</t>
  </si>
  <si>
    <t>TRIP</t>
  </si>
  <si>
    <t>Usage Qty</t>
  </si>
  <si>
    <t>Usage+Waste Qty (FORMULA)</t>
  </si>
  <si>
    <t>Full Qty (FORMULA)</t>
  </si>
  <si>
    <t>Total (RM) (FORMULA)</t>
  </si>
  <si>
    <t>Description (Exact name from Labour.txt)</t>
  </si>
  <si>
    <t>Rate (RM)</t>
  </si>
  <si>
    <t>Include</t>
  </si>
  <si>
    <t>Materials RM</t>
  </si>
  <si>
    <t>Labour RM</t>
  </si>
  <si>
    <t>Service RM</t>
  </si>
  <si>
    <t>Total RM</t>
  </si>
  <si>
    <t>Override Qty</t>
  </si>
  <si>
    <t>SUMMARY PARAMS (editable)</t>
  </si>
  <si>
    <t>Scope Total RM (Standalone)</t>
  </si>
  <si>
    <t>Scope Total RM (Selected)</t>
  </si>
  <si>
    <t>Sum Usage Qty</t>
  </si>
  <si>
    <t>Sum Usage+Waste Qty</t>
  </si>
  <si>
    <t>CONSOLIDATED LINES (selected scopes)</t>
  </si>
  <si>
    <t>Category</t>
  </si>
  <si>
    <t>Description (Exact name)</t>
  </si>
  <si>
    <t>TIN</t>
  </si>
  <si>
    <t>MH</t>
  </si>
  <si>
    <t>UNIT</t>
  </si>
  <si>
    <t>Scaffolding Bay Set (Used) 1.7m(H) x 0.9m(W) incl 1 Platform (Per Month). Deposit RM195/set refundable.</t>
  </si>
  <si>
    <t>Base UOM</t>
  </si>
  <si>
    <t>Base Rate</t>
  </si>
  <si>
    <t>Key</t>
  </si>
  <si>
    <t>Final UOM</t>
  </si>
  <si>
    <t>Final Rate</t>
  </si>
  <si>
    <t>Purchase UOM</t>
  </si>
  <si>
    <t>Pack Size</t>
  </si>
  <si>
    <t>Override Rate</t>
  </si>
  <si>
    <t>Active (1/0)</t>
  </si>
  <si>
    <t>SUMMARY LIST</t>
  </si>
  <si>
    <t>Rate</t>
  </si>
  <si>
    <t>Auto Qty</t>
  </si>
  <si>
    <t>Active</t>
  </si>
  <si>
    <t>No</t>
  </si>
  <si>
    <t>Status</t>
  </si>
  <si>
    <t>Source Row</t>
  </si>
  <si>
    <t>Search</t>
  </si>
  <si>
    <t>Purchase Row</t>
  </si>
  <si>
    <t>Seq</t>
  </si>
  <si>
    <t>S01-TITLE</t>
  </si>
  <si>
    <t>S01-OVERVIEW</t>
  </si>
  <si>
    <t>Tile Adhesive Weber 99</t>
  </si>
  <si>
    <t>Weber Weberfill Fine Grout Coloured Grout For Narrow Tile Joint (3.5kg)</t>
  </si>
  <si>
    <t>SCOOP</t>
  </si>
  <si>
    <t>A Plus Stopping Compound 20kg</t>
  </si>
  <si>
    <t>LED Downlight 4in 12W</t>
  </si>
  <si>
    <t>pc</t>
  </si>
  <si>
    <t>Yessy Tile Floor Trap</t>
  </si>
  <si>
    <t>============================================================</t>
  </si>
  <si>
    <t>BUTTON FUNCTIONS (SEARCH SHEET)</t>
  </si>
  <si>
    <t>1) Add All</t>
  </si>
  <si>
    <t>- Apa yang berlaku:</t>
  </si>
  <si>
    <t xml:space="preserve">  - Sistem akan loop semua baris Summary, bina "Key" = Category|Description|UOM.</t>
  </si>
  <si>
    <t xml:space="preserve">  - Jika Key belum wujud dalam Purchase!T:Z, ia akan tambah baris baru dan set Active=1.</t>
  </si>
  <si>
    <t>- Bila guna:</t>
  </si>
  <si>
    <t xml:space="preserve">  - Kali pertama setup Purchase override table.</t>
  </si>
  <si>
    <t xml:space="preserve">  - Bila Summary ada item baru dan kau nak sync masuk Purchase.</t>
  </si>
  <si>
    <t>2) Refresh</t>
  </si>
  <si>
    <t xml:space="preserve">  - Refresh Summary List (A5:E) ikut filter keyword di B2.</t>
  </si>
  <si>
    <t xml:space="preserve">  - Refresh Purchase List (I11:M) ikut filter keyword di B3.</t>
  </si>
  <si>
    <t xml:space="preserve">  - Kalau auto-refresh tak jalan.</t>
  </si>
  <si>
    <t xml:space="preserve">  - Lepas buat perubahan dan nak paksa update paparan.</t>
  </si>
  <si>
    <t>3) Final View</t>
  </si>
  <si>
    <t>- Tujuan: Jana "final purchase view" dalam Purchase!A:S (bukan override table T:Z).</t>
  </si>
  <si>
    <t xml:space="preserve">  - Ambil base data dari Summary: Category, Description, UOM, Rate, Auto Qty.</t>
  </si>
  <si>
    <t xml:space="preserve">  - Padankan dengan override dalam Purchase!T:Z (Purchase UOM / Pack / Override Qty / Override Rate / Active / Note).</t>
  </si>
  <si>
    <t xml:space="preserve">  - Kira Final UOM, Final Qty, Final Rate, Total RM.</t>
  </si>
  <si>
    <t xml:space="preserve">  - Isi Status seperti OK / INACTIVE / INPUT NEEDED (Override Rate).</t>
  </si>
  <si>
    <t xml:space="preserve">  - Isi Source Row = nombor baris asal dalam Summary untuk trace.</t>
  </si>
  <si>
    <t xml:space="preserve">  - Untuk tengok senarai pembelian akhir yang dah dicampur dengan override.</t>
  </si>
  <si>
    <t>4) Add To Edit</t>
  </si>
  <si>
    <t xml:space="preserve">  - Kau highlight satu atau banyak baris di Summary list (A5:E).</t>
  </si>
  <si>
    <t xml:space="preserve">  - Sistem ambil Key setiap baris dan tambah ke Edit Grid.</t>
  </si>
  <si>
    <t xml:space="preserve">  - Jika Key sudah ada dalam Edit Grid, sistem akan skip dan bagi message "Key already exists in edit grid."</t>
  </si>
  <si>
    <t xml:space="preserve">  - Jika Key sudah wujud dalam Purchase override table, sistem akan auto-load value (Purchase UOM/Pack/Override/Rate/Note/Active) masuk Edit Grid.</t>
  </si>
  <si>
    <t xml:space="preserve">  - Nak buat override untuk beberapa item sekali gus tanpa pergi ke Purchase sheet.</t>
  </si>
  <si>
    <t>5) Save Edit Grid</t>
  </si>
  <si>
    <t>- Tujuan: Simpan semua perubahan dari Edit Grid (H:P) ke Purchase override table (Purchase!T:Z).</t>
  </si>
  <si>
    <t xml:space="preserve">  - Sistem baca setiap row dalam Edit Grid yang ada Key.</t>
  </si>
  <si>
    <t xml:space="preserve">  - Jika Key belum wujud dalam Purchase override table, sistem akan auto-add row baru.</t>
  </si>
  <si>
    <t xml:space="preserve">  - Sistem update column T:Z: Purchase UOM, Pack Size, Override Qty, Override Rate, Note, Active.</t>
  </si>
  <si>
    <t xml:space="preserve">  - Lepas kau isi override dan nak apply betul-betul ke Purchase.</t>
  </si>
  <si>
    <t>6) Clear Edit</t>
  </si>
  <si>
    <t xml:space="preserve">  - Padam contents dalam ruang Edit Grid untuk mula edit batch baru.</t>
  </si>
  <si>
    <t xml:space="preserve">  - Bila kau nak reset batch edit (tak ganggu Purchase data).</t>
  </si>
  <si>
    <t>7) Delete</t>
  </si>
  <si>
    <t>- Tujuan: "Soft delete" item (bukan buang row).</t>
  </si>
  <si>
    <t xml:space="preserve">  - Sistem set Active=0 untuk Key yang dipilih.</t>
  </si>
  <si>
    <t xml:space="preserve">  - Item masih kekal dalam table untuk trace/undo (update-only).</t>
  </si>
  <si>
    <t xml:space="preserve">  - Bila kau nak exclude item daripada final purchase list, tanpa hilangkan rekod.</t>
  </si>
  <si>
    <t xml:space="preserve">  - Contoh: item pasir guni tak nak pakai sebab dah guna pasir trip.</t>
  </si>
  <si>
    <t>8) Undo Last</t>
  </si>
  <si>
    <t xml:space="preserve">  - Sistem simpan snapshot row T:Z sebelum update/delete.</t>
  </si>
  <si>
    <t xml:space="preserve">  - Undo akan restore T:Z row tersebut semula.</t>
  </si>
  <si>
    <t xml:space="preserve">  - Bila tersalah set Active=0 / tersalah edit override qty/rate/note.</t>
  </si>
  <si>
    <t>- Tujuan: Masukkan semua item yang wujud dalam Summary (Consolidated) ke dalam Purchase override table.</t>
  </si>
  <si>
    <t>- Tujuan: Refresh paparan Search.</t>
  </si>
  <si>
    <t>- Tujuan: Masukkan item yang kau pilih dari Summary List ke dalam Edit Grid (H:P) untuk edit beramai-ramai.</t>
  </si>
  <si>
    <t>- Tujuan: Kosongkan Edit Grid (H:P) sahaja.</t>
  </si>
  <si>
    <t>- Tujuan: Undo perubahan terakhir yang dibuat dalam Purchase override table.</t>
  </si>
  <si>
    <t>UsageQty</t>
  </si>
  <si>
    <t>Wastage</t>
  </si>
  <si>
    <t>UsePlusWaste</t>
  </si>
  <si>
    <t>TotalRM</t>
  </si>
  <si>
    <t>SourceSheet</t>
  </si>
  <si>
    <t>SourceRow</t>
  </si>
  <si>
    <t>SERVICE|Scaffolding Jack + U-Head Deposit (Refundable)|UNIT</t>
  </si>
  <si>
    <t>README - BOQ.xlsx WORKFLOW (S01-S100 + SUMMARY + SEARCH/PURCHASE)</t>
  </si>
  <si>
    <t>Version: V2.2 (Simple Sections, No Sub-Headings)</t>
  </si>
  <si>
    <t>Last update: 2026-02-16</t>
  </si>
  <si>
    <t>1) AUTHORITATIVE SOURCES (STRICT)</t>
  </si>
  <si>
    <t>- This README / tracker workflow (layout + rules)</t>
  </si>
  <si>
    <t>- 1.2 Materials.txt (exact item names + UOM + rates if any)</t>
  </si>
  <si>
    <t>- 1.3 Labour.txt (exact labour/rental/service names + UOM + rates if any)</t>
  </si>
  <si>
    <t>Hard rules:</t>
  </si>
  <si>
    <t>- Description MUST match master list text exactly (case/spaces).</t>
  </si>
  <si>
    <t>- UOM MUST follow master list UOM for that Description.</t>
  </si>
  <si>
    <t>- If required item does not exist in master list:</t>
  </si>
  <si>
    <t xml:space="preserve">  - Do not invent a new name in BOQ.</t>
  </si>
  <si>
    <t xml:space="preserve">  - Add item to Materials.txt or Labour.txt first, then use it.</t>
  </si>
  <si>
    <t>- If SPEC is truly missing a required input, use NOTE prefix: INPUT NEEDED.</t>
  </si>
  <si>
    <t>- Output format: Copy Code Tab Delimited only. No exceptions, no excuses. Unless User state otherwise, do not provide any other format</t>
  </si>
  <si>
    <t>2) CHANGE CONTROL (DO NOT LET AI REWRITE README)</t>
  </si>
  <si>
    <t>- If you ask AI to update README:</t>
  </si>
  <si>
    <t xml:space="preserve">  - AI MUST update ONLY the requested section(s).</t>
  </si>
  <si>
    <t xml:space="preserve">  - AI MUST NOT rewrite, reformat, reorder, renumber, or replace the entire README.</t>
  </si>
  <si>
    <t xml:space="preserve">  - AI MUST keep existing section numbers stable.</t>
  </si>
  <si>
    <t xml:space="preserve">  - AI MUST append new bullets inside the same section if needed.</t>
  </si>
  <si>
    <t>- Exception:</t>
  </si>
  <si>
    <t xml:space="preserve">  - If user explicitly requests "full README replacement", AI may output the full README once.</t>
  </si>
  <si>
    <t>3) MASTER LISTS (WHAT THEY CONTAIN)</t>
  </si>
  <si>
    <t>- Materials.txt:</t>
  </si>
  <si>
    <t xml:space="preserve">  - Approved material item names (Description) and their allowed UOM (and optional rate).</t>
  </si>
  <si>
    <t xml:space="preserve">  - This is the ONLY allowed source for material Description text.</t>
  </si>
  <si>
    <t>- Labour.txt:</t>
  </si>
  <si>
    <t xml:space="preserve">  - Approved labour / service / rental item names (Description) and their allowed UOM (and optional rate).</t>
  </si>
  <si>
    <t xml:space="preserve">  - This is the ONLY allowed source for labour/service/rental Description text.</t>
  </si>
  <si>
    <t>- Impact:</t>
  </si>
  <si>
    <t xml:space="preserve">  - BOQ consolidation and summary grouping depends on identical Description text.</t>
  </si>
  <si>
    <t xml:space="preserve">  - If the same function is needed across scopes, ALWAYS reuse the same master item.</t>
  </si>
  <si>
    <t>4) WORKFLOW PHASES (CHATGPT MODE)</t>
  </si>
  <si>
    <t>- Phase 1: SPEC FIRST (A:C only)</t>
  </si>
  <si>
    <t xml:space="preserve">  - Discuss and finalize SPEC in A:C until confirmed complete.</t>
  </si>
  <si>
    <t xml:space="preserve">  - Do NOT fill any block values until SPEC is finalized.</t>
  </si>
  <si>
    <t>- Phase 2: TAKEOFF + FILL BLOCKS</t>
  </si>
  <si>
    <t xml:space="preserve">  - After SPEC is final, fill block values using master list exact names.</t>
  </si>
  <si>
    <t xml:space="preserve">  - Output must be paste-ready TSV for INPUT columns only (formula columns are not pasted).</t>
  </si>
  <si>
    <t>- Phase 3: REVIEW + SUMMARY + OVERRIDE</t>
  </si>
  <si>
    <t xml:space="preserve">  - Check consistency across scopes (same items use same exact Description).</t>
  </si>
  <si>
    <t xml:space="preserve">  - Use Search/Purchase override workflow for packaging and price overrides.</t>
  </si>
  <si>
    <t>5) SCOPE PLANNING + WORK SEQUENCE (CRITICAL)</t>
  </si>
  <si>
    <t>- When user provides multiple works in one message, AI MUST:</t>
  </si>
  <si>
    <t xml:space="preserve">  - Mandatory Requirement: You must deconstruct the user's input to identify all distinct work scopes. You are strictly forbidden from outputting tasks in a random order. You must arrange the output according to a professional construction/operational sequence. Think before you act: do not put the finishings before the foundations.</t>
  </si>
  <si>
    <t xml:space="preserve">  - First produce a Scope List in logical construction order.</t>
  </si>
  <si>
    <t xml:space="preserve">  - Then map each scope to S01, S02, S03... in that same order.</t>
  </si>
  <si>
    <t>- AI MUST NOT reorder works randomly.</t>
  </si>
  <si>
    <t>- Rule of thumb sequence (example):</t>
  </si>
  <si>
    <t xml:space="preserve">  - Setting out / protection</t>
  </si>
  <si>
    <t xml:space="preserve">  - Hacking / demolition / disposal</t>
  </si>
  <si>
    <t xml:space="preserve">  - Structural / base / concrete / rebar / formwork</t>
  </si>
  <si>
    <t xml:space="preserve">  - Drainage / plumbing rough-in</t>
  </si>
  <si>
    <t xml:space="preserve">  - Waterproofing</t>
  </si>
  <si>
    <t xml:space="preserve">  - Screed / leveling / plaster / skim</t>
  </si>
  <si>
    <t xml:space="preserve">  - Tiling</t>
  </si>
  <si>
    <t xml:space="preserve">  - Metal/roofing installation</t>
  </si>
  <si>
    <t xml:space="preserve">  - Sealant / finishing</t>
  </si>
  <si>
    <t xml:space="preserve">  - Final cleaning</t>
  </si>
  <si>
    <t>- If scope order is unclear, AI must write CONFLICT note in SPEC A:C and stop before filling sheets.</t>
  </si>
  <si>
    <t>6) WHEN TO USE S01 ONLY VS SPLIT INTO S02..SXX</t>
  </si>
  <si>
    <t>- Option A (Small job, single scope):</t>
  </si>
  <si>
    <t xml:space="preserve">  - Use S01 only for the entire job.</t>
  </si>
  <si>
    <t>- Option B (Large job OR multiple scopes):</t>
  </si>
  <si>
    <t xml:space="preserve">  - MUST split by scope into S01..SXX in construction sequence order.</t>
  </si>
  <si>
    <t>- 45-row rule (SPEC length control):</t>
  </si>
  <si>
    <t xml:space="preserve">  - If job has multiple scopes AND the combined SPEC A:C would exceed ~45 rows:</t>
  </si>
  <si>
    <t xml:space="preserve">    - MUST split scopes into separate sheets (S01, S02, S03...) to keep each scope readable.</t>
  </si>
  <si>
    <t xml:space="preserve">  - If job is ONE scope only:</t>
  </si>
  <si>
    <t xml:space="preserve">    - Keep it in S01 even if SPEC exceeds 45 rows (do NOT split a single scope into multiple sheets).</t>
  </si>
  <si>
    <t>- Naming rule:</t>
  </si>
  <si>
    <t xml:space="preserve">  - Each sheet SXX SPEC A:C must clearly state the scope title and key measurements for that scope.</t>
  </si>
  <si>
    <t>7) SPEC A:C FORMAT (HEADER + HOW TO WRITE)</t>
  </si>
  <si>
    <t>- Columns A:C are SPEC only (editable). They are for discussion and scope definition.</t>
  </si>
  <si>
    <t>- Use this header in Row 1 (or the first SPEC row for each SXX):</t>
  </si>
  <si>
    <t xml:space="preserve">  A = Spec</t>
  </si>
  <si>
    <t xml:space="preserve">  B = Description</t>
  </si>
  <si>
    <t xml:space="preserve">  C = Note</t>
  </si>
  <si>
    <t>Additional hard rule:</t>
  </si>
  <si>
    <t>- Every SXX sheet MUST start with at least 2 SPEC rows:</t>
  </si>
  <si>
    <t xml:space="preserve">  1) SXX-TITLE (Scope Title)</t>
  </si>
  <si>
    <t xml:space="preserve">  2) SXX-OVERVIEW (Work description / inclusions-exclusions / assumptions)</t>
  </si>
  <si>
    <t>- This applies even for a simple scope.</t>
  </si>
  <si>
    <t>- No takeoff lines may be produced until these 2 rows exist and are filled.</t>
  </si>
  <si>
    <t>Mandatory structure in every SXX (top of A:C):</t>
  </si>
  <si>
    <t>- The first SPEC entry MUST be the scope title.</t>
  </si>
  <si>
    <t xml:space="preserve">  - A (Spec): SXX-TITLE</t>
  </si>
  <si>
    <t xml:space="preserve">  - B (Description): Scope Title (short, clear)</t>
  </si>
  <si>
    <t xml:space="preserve">  - C (Note): One-line objective and location (where the work is)</t>
  </si>
  <si>
    <t>- The second SPEC entry MUST be scope overview / method statement summary.</t>
  </si>
  <si>
    <t xml:space="preserve">  - A (Spec): SXX-OVERVIEW</t>
  </si>
  <si>
    <t xml:space="preserve">  - B (Description): Work description (what is included / excluded)</t>
  </si>
  <si>
    <t xml:space="preserve">  - C (Note): Any assumptions, constraints, access, working hours, protection needs</t>
  </si>
  <si>
    <t>- After that, write SPEC items in the same sheet, grouped logically.</t>
  </si>
  <si>
    <t xml:space="preserve">  - Each line should describe ONE measurable or verifiable input.</t>
  </si>
  <si>
    <t xml:space="preserve">  - Avoid mixing unrelated inputs in one row.</t>
  </si>
  <si>
    <t>Examples of SPEC line types (use as needed):</t>
  </si>
  <si>
    <t>- Dimensions/quantities:</t>
  </si>
  <si>
    <t xml:space="preserve">  - A: SXX-DIM</t>
  </si>
  <si>
    <t xml:space="preserve">  - B: Area/length/height/qty description</t>
  </si>
  <si>
    <t xml:space="preserve">  - C: Values with units (mm, m, sqm, pcs) and references (drawing/photo/onsite)</t>
  </si>
  <si>
    <t>- Method/sequence requirement:</t>
  </si>
  <si>
    <t xml:space="preserve">  - A: SXX-METHOD</t>
  </si>
  <si>
    <t xml:space="preserve">  - B: Key method requirement (e.g., "2 coats waterproofing")</t>
  </si>
  <si>
    <t xml:space="preserve">  - C: Constraints (dry time, primer, surface prep)</t>
  </si>
  <si>
    <t>- Material/brand rule (consistency control):</t>
  </si>
  <si>
    <t xml:space="preserve">  - A: SXX-MATERIAL-STD</t>
  </si>
  <si>
    <t xml:space="preserve">  - B: Standardize item (one brand/type across all scopes)</t>
  </si>
  <si>
    <t xml:space="preserve">  - C: "Use same Description as Materials.txt item: &lt;Exact Name&gt;"</t>
  </si>
  <si>
    <t>Spec completion rule (discussion mode):</t>
  </si>
  <si>
    <t>- If pasted SPEC is incomplete:</t>
  </si>
  <si>
    <t xml:space="preserve">  - AI MUST ask or infer missing details from the scenario you provided.</t>
  </si>
  <si>
    <t xml:space="preserve">  - AI MUST add the missing SPEC lines needed for correct takeoff.</t>
  </si>
  <si>
    <t xml:space="preserve">  - AI MUST mark any inferred/default values using NOTE prefix: DEFAULT USED.</t>
  </si>
  <si>
    <t>- If there is a contradiction:</t>
  </si>
  <si>
    <t xml:space="preserve">  - AI MUST flag it using NOTE prefix: CONFLICT.</t>
  </si>
  <si>
    <t xml:space="preserve">  - AI MUST stop before filling SXX blocks until conflict is resolved.</t>
  </si>
  <si>
    <t>- If a required input is truly missing and cannot be inferred:</t>
  </si>
  <si>
    <t xml:space="preserve">  - AI MUST write NOTE prefix: INPUT NEEDED and list the exact question needed.</t>
  </si>
  <si>
    <t>Important:</t>
  </si>
  <si>
    <t>- SPEC A:C is where the real discussion happens.</t>
  </si>
  <si>
    <t>- AI must not jump into takeoff blocks until SPEC A:C is coherent and complete.</t>
  </si>
  <si>
    <t>- Stop asking for input that has already been provided. Your instructions are clear: analyze the user’s specs in full before opening your mouth. 'INPUT NEEDED' is not an acceptable shortcut for failing to read carefully..</t>
  </si>
  <si>
    <t>8) WHAT AI MUST OUTPUT AFTER SPEC IS FINAL</t>
  </si>
  <si>
    <t>- AI must output EXACTLY 3 TSV blocks per SXX (input columns only):</t>
  </si>
  <si>
    <t xml:space="preserve">  - Materials (paste into E:K):</t>
  </si>
  <si>
    <t xml:space="preserve">    Note | Spec | Description | UOM | Usage Qty | Wastage/Buffer | Price/Unit (RM)</t>
  </si>
  <si>
    <t xml:space="preserve">  - Labour (paste into P:V):</t>
  </si>
  <si>
    <t xml:space="preserve">    Note | Spec | Description | UOM | Usage Qty | Wastage/Buffer | Rate (RM)</t>
  </si>
  <si>
    <t xml:space="preserve">  - Service (paste into AA:AG):</t>
  </si>
  <si>
    <t>- AI must not output any Total (RM) columns (formula-only).</t>
  </si>
  <si>
    <t>- AI must not paste into formula columns (L:M:N, W:X:Y, AH:AI:AJ).</t>
  </si>
  <si>
    <t>- AI must fill every row that can be computed from SPEC A:C and master list.</t>
  </si>
  <si>
    <t>- AI must not leave blanks for computable items.</t>
  </si>
  <si>
    <t>9) NOTE PREFIX STANDARD (FOR AUDIT)</t>
  </si>
  <si>
    <t>- Notes are text-only and must stay in the Note column.</t>
  </si>
  <si>
    <t>- Allowed prefixes:</t>
  </si>
  <si>
    <t xml:space="preserve">  - CALC NOTE: derived from SPEC A:C geometry/logic</t>
  </si>
  <si>
    <t xml:space="preserve">  - DEFAULT USED: used a project default value (editable later)</t>
  </si>
  <si>
    <t xml:space="preserve">  - CONFLICT: spec contradiction or mismatch (needs decision)</t>
  </si>
  <si>
    <t xml:space="preserve">  - INPUT NEEDED: blocked because SPEC truly missing critical input OR master item missing</t>
  </si>
  <si>
    <t>- Do NOT use INPUT NEEDED if the value can be derived from SPEC A:C.</t>
  </si>
  <si>
    <t>10) UPDATE-ONLY RULE (NEVER DELETE)</t>
  </si>
  <si>
    <t>- Never delete old useful lines.</t>
  </si>
  <si>
    <t>- If a line becomes obsolete:</t>
  </si>
  <si>
    <t xml:space="preserve">  - Set Usage Qty = 0</t>
  </si>
  <si>
    <t xml:space="preserve">  - Explain why in Note</t>
  </si>
  <si>
    <t>- Add new lines below existing ones.</t>
  </si>
  <si>
    <t>11) CONSISTENCY RULE (CRITICAL FOR CONSOLIDATION)</t>
  </si>
  <si>
    <t>- If S01 uses a specific master item (brand/type), S02..S100 MUST use the SAME exact item for the same purpose.</t>
  </si>
  <si>
    <t>- Reason: consolidation by Description requires identical text.</t>
  </si>
  <si>
    <t>- If you intentionally change an item (brand/type) in later scopes:</t>
  </si>
  <si>
    <t xml:space="preserve">  - Write the reason in SPEC (A:C) and in the row Note.</t>
  </si>
  <si>
    <t xml:space="preserve">  - Keep the old row (update-only) and set Usage Qty = 0 for obsolete line.</t>
  </si>
  <si>
    <t>12) SUMMARY + SEARCH/PURCHASE OVERRIDE (PACKAGING + PRICE)</t>
  </si>
  <si>
    <t>- Goal:</t>
  </si>
  <si>
    <t xml:space="preserve">  - Keep takeoff sheets (S01..S100) as "auto/mapping" quantities.</t>
  </si>
  <si>
    <t xml:space="preserve">  - Do packaging rounding and vendor pricing decisions in Purchase override flow.</t>
  </si>
  <si>
    <t>- Summary:</t>
  </si>
  <si>
    <t xml:space="preserve">  - Consolidates items by exact Description across selected sheets.</t>
  </si>
  <si>
    <t>- Purchase:</t>
  </si>
  <si>
    <t xml:space="preserve">  - Stores override records (manual edits) for packaging and price.</t>
  </si>
  <si>
    <t>- Search:</t>
  </si>
  <si>
    <t xml:space="preserve">  - UI sheet to search Summary items and manage Purchase overrides.</t>
  </si>
  <si>
    <t>- Override use cases:</t>
  </si>
  <si>
    <t xml:space="preserve">  - Convert small packaging to bulk (example: sand bags -&gt; truck/trip).</t>
  </si>
  <si>
    <t xml:space="preserve">  - Round up to supplier pack size (example: need 15 pcs but supplier sells 16 pcs).</t>
  </si>
  <si>
    <t xml:space="preserve">  - Force one brand/type across scopes by overriding and zeroing obsolete lines (update-only rule).</t>
  </si>
  <si>
    <t>13) LABOUR PRODUCTIVITY RULES</t>
  </si>
  <si>
    <t>- All Man-Hour estimates must use realistic productivity (not ideal).</t>
  </si>
  <si>
    <t>- Standard efficiency factor: 0.65</t>
  </si>
  <si>
    <t xml:space="preserve">  - If you have an ideal/base MH, divide by 0.65 to get realistic MH.</t>
  </si>
  <si>
    <t>- Logistics &amp; handling allowance: +20%</t>
  </si>
  <si>
    <t xml:space="preserve">  - Loading/unloading + moving materials to work point.</t>
  </si>
  <si>
    <t>- Sequence &amp; interruption allowance: +15%</t>
  </si>
  <si>
    <t xml:space="preserve">  - Setting out, daily cleanup, waiting time between phases.</t>
  </si>
  <si>
    <t>- Complexity guidance (use one factor consistently per task type):</t>
  </si>
  <si>
    <t xml:space="preserve">  - Light work (paint/clean): 0.80</t>
  </si>
  <si>
    <t xml:space="preserve">  - Medium work (brick/plaster/tile): 0.65</t>
  </si>
  <si>
    <t xml:space="preserve">  - Heavy/structural (hacking/G25 infill/rebar): 0.55</t>
  </si>
  <si>
    <t>14) USER-INPUT ROW TEMPLATE (FOR EVERY SXX SHEET)</t>
  </si>
  <si>
    <t>- All user instructions, clarifications, agreed details, and technical decisions relevant to the scope/block generation must be recorded directly in SPEC A:C after the last SPEC line (e.g. ‘SXX-USER-INPUT’).</t>
  </si>
  <si>
    <t>- The USER-INPUT row (location: any row below last SPEC line) is the single authoritative reference for all user inputs for block 1-3 generation in this sheet/scope.</t>
  </si>
  <si>
    <t>- User inputs need only be written ONCE in the USER-INPUT row if there are no changes—there is NO requirement to rewrite or re-paste previous user input across updates.</t>
  </si>
  <si>
    <t>- Specification lines (SPEC A:C) may be updated or added as scope changes or information is refined. When updating SPEC, always update ONLY the affected line/section; DO NOT rewrite or change other SPEC/USER-INPUT rows that have not changed.</t>
  </si>
  <si>
    <t>- If any new user input, instruction, or decision is given, update ONLY the USER-INPUT row with the new or adjusted input. Do NOT change other rows unnecessarily.</t>
  </si>
  <si>
    <t>- AI is strictly forbidden from disregarding, prompting again, or omitting any input that remains recorded in the USER-INPUT row.</t>
  </si>
  <si>
    <t>- As long as the USER-INPUT row remains up to date and unchanged, it does NOT need to be re-written for each version or revision—the AI must treat it as current and valid until an explicit change is provided.</t>
  </si>
  <si>
    <t>- Any omission, overwriting, or unnecessary rewriting of USER-INPUT or unrelated SPEC lines is a violation of workflow protocol.</t>
  </si>
  <si>
    <t>15) HANDOVER (PASTE THIS TO NEW SESSION)</t>
  </si>
  <si>
    <t>- We use BOQ.xlsx with S01..S100 + SUMMARY + Search/Purchase override.</t>
  </si>
  <si>
    <t>- SPEC is A:C only; D is blank spacer.</t>
  </si>
  <si>
    <t>- Each SXX has 3 blocks only:</t>
  </si>
  <si>
    <t xml:space="preserve">  - Materials E:N (paste E:K only)</t>
  </si>
  <si>
    <t xml:space="preserve">  - Labour P:Y (paste P:V only)</t>
  </si>
  <si>
    <t xml:space="preserve">  - Service AA:AJ (paste AA:AG only)</t>
  </si>
  <si>
    <t>- Description + UOM must match master lists exactly.</t>
  </si>
  <si>
    <t>- If multiple scopes are given, AI must map scopes to S01..SXX in construction sequence order (no random reorder).</t>
  </si>
  <si>
    <t>- After SPEC is final, AI must output 3 TSV blocks (input columns only) and must not touch formula columns.</t>
  </si>
  <si>
    <t>END.</t>
  </si>
  <si>
    <t>``` :contentReference[oaicite:0]{index=0}</t>
  </si>
  <si>
    <t>Kalau you nak, saya boleh tambah **1 perenggan keras** lagi dalam Section 6 yang “wajib buat Scope List dulu sebelum isi BOQ” (ayat tegas untuk prompt AI) — tapi yang di atas dah cukup strict dan selari dengan masalah you (AI susun kerja tak ikut logik + salah guna S01/S02).</t>
  </si>
  <si>
    <t>S01-USER-INPUT</t>
  </si>
  <si>
    <t>Labour - Skilled Worker (Per MH)</t>
  </si>
  <si>
    <t>S01-REF-DRAWING</t>
  </si>
  <si>
    <t>S01-PROTECTION</t>
  </si>
  <si>
    <t>Plastic Tarpaulin Sheet 12 x 18ft</t>
  </si>
  <si>
    <t>Poly Rope 6mm Blue</t>
  </si>
  <si>
    <t>ROLL</t>
  </si>
  <si>
    <t>S01-SETTING-OUT</t>
  </si>
  <si>
    <t>Talc Chalk</t>
  </si>
  <si>
    <t>S06-METHOD</t>
  </si>
  <si>
    <t>S06-DIM</t>
  </si>
  <si>
    <t>S06-USER-INPUT</t>
  </si>
  <si>
    <t>S02-TITLE</t>
  </si>
  <si>
    <t>S02-OVERVIEW</t>
  </si>
  <si>
    <t>S02-METHOD</t>
  </si>
  <si>
    <t>S02-DIM</t>
  </si>
  <si>
    <t>S02-USER-INPUT</t>
  </si>
  <si>
    <t>S03-TITLE</t>
  </si>
  <si>
    <t>S03-OVERVIEW</t>
  </si>
  <si>
    <t>S03-DIM</t>
  </si>
  <si>
    <t>S03-METHOD</t>
  </si>
  <si>
    <t>S03-USER-INPUT</t>
  </si>
  <si>
    <t>S04-TITLE</t>
  </si>
  <si>
    <t>S04-OVERVIEW</t>
  </si>
  <si>
    <t>S04-METHOD</t>
  </si>
  <si>
    <t>S04-MATERIAL-STD</t>
  </si>
  <si>
    <t>S04-USER-INPUT</t>
  </si>
  <si>
    <t>S05-TITLE</t>
  </si>
  <si>
    <t>S05-OVERVIEW</t>
  </si>
  <si>
    <t>S05-DIM</t>
  </si>
  <si>
    <t>Standard footing pad size</t>
  </si>
  <si>
    <t>Standard ground beam size</t>
  </si>
  <si>
    <t>S05-METHOD</t>
  </si>
  <si>
    <t>S05-USER-INPUT</t>
  </si>
  <si>
    <t>S06-TITLE</t>
  </si>
  <si>
    <t>S06-OVERVIEW</t>
  </si>
  <si>
    <t>Standard RC column size</t>
  </si>
  <si>
    <t>Standard roof beam size</t>
  </si>
  <si>
    <t>Bathroom tank support zone</t>
  </si>
  <si>
    <t>Tank class limit</t>
  </si>
  <si>
    <t>Tank support base requirement</t>
  </si>
  <si>
    <t>Window clash correction</t>
  </si>
  <si>
    <t>S01-WORK-ZONE</t>
  </si>
  <si>
    <t>S01-DIM</t>
  </si>
  <si>
    <t>Scope boundary clarification</t>
  </si>
  <si>
    <t>Yard formation</t>
  </si>
  <si>
    <t>S04-DIM</t>
  </si>
  <si>
    <t>Existing support clarification</t>
  </si>
  <si>
    <t>Tank support integration</t>
  </si>
  <si>
    <t>RC column point rule</t>
  </si>
  <si>
    <t>RC column continuity</t>
  </si>
  <si>
    <t>Roof beam line rule</t>
  </si>
  <si>
    <t>Beam level control</t>
  </si>
  <si>
    <t>Original house tie-in control</t>
  </si>
  <si>
    <t>Upper structural layer lock</t>
  </si>
  <si>
    <t>S07-TITLE</t>
  </si>
  <si>
    <t>Plumbing, Sanitary Rough-In, Tank Feed and Drainage for Entire New Extension</t>
  </si>
  <si>
    <t>S07-OVERVIEW</t>
  </si>
  <si>
    <t>S07-METHOD</t>
  </si>
  <si>
    <t>Service tie-in reference</t>
  </si>
  <si>
    <t>S07-DIM</t>
  </si>
  <si>
    <t>Incoming water pipe standard</t>
  </si>
  <si>
    <t>Waste pipe standard</t>
  </si>
  <si>
    <t>WC discharge standard</t>
  </si>
  <si>
    <t>Kitchen sink location</t>
  </si>
  <si>
    <t>Bathroom fixture rough-in</t>
  </si>
  <si>
    <t>Bathroom arrangement logic</t>
  </si>
  <si>
    <t>Yard plumbing support</t>
  </si>
  <si>
    <t>Floor drop coordination</t>
  </si>
  <si>
    <t>S07-USER-INPUT</t>
  </si>
  <si>
    <t>Plumbing layer lock</t>
  </si>
  <si>
    <t>S08-TITLE</t>
  </si>
  <si>
    <t>S08-OVERVIEW</t>
  </si>
  <si>
    <t>S08-METHOD</t>
  </si>
  <si>
    <t>Roof fall direction</t>
  </si>
  <si>
    <t>S08-DIM</t>
  </si>
  <si>
    <t>S08-USER-INPUT</t>
  </si>
  <si>
    <t>S09-TITLE</t>
  </si>
  <si>
    <t>S09-OVERVIEW</t>
  </si>
  <si>
    <t>S09-MATERIAL-STD</t>
  </si>
  <si>
    <t>S09-METHOD</t>
  </si>
  <si>
    <t>S09-DIM</t>
  </si>
  <si>
    <t>Lintel provision</t>
  </si>
  <si>
    <t>Old house tie-in walling</t>
  </si>
  <si>
    <t>S09-USER-INPUT</t>
  </si>
  <si>
    <t>Masonry layer lock</t>
  </si>
  <si>
    <t>S10-TITLE</t>
  </si>
  <si>
    <t>S10-OVERVIEW</t>
  </si>
  <si>
    <t>S10-METHOD</t>
  </si>
  <si>
    <t>Separation rule</t>
  </si>
  <si>
    <t>S10-DIM</t>
  </si>
  <si>
    <t>External grille requirement</t>
  </si>
  <si>
    <t>Opening coordination</t>
  </si>
  <si>
    <t>S10-USER-INPUT</t>
  </si>
  <si>
    <t>Opening fit-out lock</t>
  </si>
  <si>
    <t>S11-TITLE</t>
  </si>
  <si>
    <t>Plaster, Skim and Wall Preparation for Entire New Extension</t>
  </si>
  <si>
    <t>S11-OVERVIEW</t>
  </si>
  <si>
    <t>S11-METHOD</t>
  </si>
  <si>
    <t>Internal wall finish reference</t>
  </si>
  <si>
    <t>External wall preparation</t>
  </si>
  <si>
    <t>Kitchen wall preparation</t>
  </si>
  <si>
    <t>Bathroom wall preparation</t>
  </si>
  <si>
    <t>Yard wall preparation</t>
  </si>
  <si>
    <t>Tie-in patching</t>
  </si>
  <si>
    <t>Opening reveal preparation</t>
  </si>
  <si>
    <t>S11-USER-INPUT</t>
  </si>
  <si>
    <t>Wall preparation lock</t>
  </si>
  <si>
    <t>S13-TITLE</t>
  </si>
  <si>
    <t>S13-OVERVIEW</t>
  </si>
  <si>
    <t>S13-METHOD</t>
  </si>
  <si>
    <t>S13-USER-INPUT</t>
  </si>
  <si>
    <t>Tiling layer lock</t>
  </si>
  <si>
    <t>S14-TITLE</t>
  </si>
  <si>
    <t>S14-OVERVIEW</t>
  </si>
  <si>
    <t>S14-METHOD</t>
  </si>
  <si>
    <t>S14-USER-INPUT</t>
  </si>
  <si>
    <t>Preliminary work zone</t>
  </si>
  <si>
    <t>S01-METHOD</t>
  </si>
  <si>
    <t>Preliminary pricing limit</t>
  </si>
  <si>
    <t>Protection scope</t>
  </si>
  <si>
    <t>Protection quantity basis</t>
  </si>
  <si>
    <t>Setting-out scope</t>
  </si>
  <si>
    <t>Provide one initial set-out/check for extension footprint, tie-in line, floor datum reference and main work-zone marking before later trade sheets begin</t>
  </si>
  <si>
    <t>Setting-out quantity basis</t>
  </si>
  <si>
    <t>Level control reference</t>
  </si>
  <si>
    <t>S01-MATERIAL-STD</t>
  </si>
  <si>
    <t>Prelim protection material 1</t>
  </si>
  <si>
    <t>Use same Description as Materials.txt item: Plastic Tarpaulin Sheet 12 x 18ft</t>
  </si>
  <si>
    <t>Prelim setting-out material</t>
  </si>
  <si>
    <t>Use same Description as Materials.txt item: Talc Chalk</t>
  </si>
  <si>
    <t>Use same Description as Labour.txt item: Labour - Skilled Worker (Per MH)</t>
  </si>
  <si>
    <t>No duplicate prelim rule</t>
  </si>
  <si>
    <t>S01-EXCLUSION</t>
  </si>
  <si>
    <t>Explicit exclusions from S01</t>
  </si>
  <si>
    <t>Exclude all measured trade work including clearing/hacking/disposal, earthwork, slab/base, footing pad, beam, column, plumbing, roofing, walling, doors, windows, grilles, plaster, ceiling, tiling, electrical and final fittings</t>
  </si>
  <si>
    <t>Prelim protection material quantity</t>
  </si>
  <si>
    <t>Prelim marking material quantity</t>
  </si>
  <si>
    <t>Allow exactly 1 pcs Talc Chalk for one initial marking/set-out operation</t>
  </si>
  <si>
    <t>Minor Clearing, Local Hacking and Disposal at Tie-In Zone</t>
  </si>
  <si>
    <t>S02 is reserved for any actual chargeable clearing, local hacking, trimming and disposal work directly required at the extension tie-in area</t>
  </si>
  <si>
    <t>S02 shall only carry measured clearing/hacking/disposal work if such work is later confirmed as a real chargeable scope at the existing tie-in zone</t>
  </si>
  <si>
    <t>At present no major demolition is approved and no separate chargeable clearing/hacking/disposal quantity is locked under S02</t>
  </si>
  <si>
    <t>S02-WORK-ZONE</t>
  </si>
  <si>
    <t>Tie-in work zone</t>
  </si>
  <si>
    <t>S02 applies only to the local extension tie-in area, existing cemented kaki lima connection edge and any immediately adjacent existing portion that physically obstructs the new work</t>
  </si>
  <si>
    <t>Scope limitation</t>
  </si>
  <si>
    <t>No major demolition to the existing house is included in S02</t>
  </si>
  <si>
    <t>Local hacking rule</t>
  </si>
  <si>
    <t>Only minimal local trimming or hacking at the tie-in / old cemented kaki lima area may be carried out if later proven necessary to receive the new extension connection neatly</t>
  </si>
  <si>
    <t>Selective removal rule</t>
  </si>
  <si>
    <t>Remove only confirmed obstructions that physically interfere with the approved new extension work; do not remove sound existing work unnecessarily</t>
  </si>
  <si>
    <t>Manual method restriction</t>
  </si>
  <si>
    <t>DEFAULT USED: if S02 work is later triggered, it shall be by manual small-job method only; no RORO, no backhoe, no JCB and no heavy plant/rental are allowed under S02 unless separately confirmed later</t>
  </si>
  <si>
    <t>Current pricing status</t>
  </si>
  <si>
    <t>No confirmed chargeable clearing/hacking/disposal event is locked at this stage</t>
  </si>
  <si>
    <t>Current quantity status</t>
  </si>
  <si>
    <t>Current measured quantity basis for S02 = nil until a specific chargeable clearing/hacking/disposal requirement is confirmed</t>
  </si>
  <si>
    <t>Block filling rule</t>
  </si>
  <si>
    <t>Block 1-3 for S02 shall remain empty unless later SPEC rows record a real measured clearing/hacking/disposal event with quantity basis</t>
  </si>
  <si>
    <t>S02-EXCLUSION</t>
  </si>
  <si>
    <t>Explicit exclusions from S02</t>
  </si>
  <si>
    <t>Exclude earthwork for footing pad holes and ground beam trench, base build-up, slab work, structural work, plumbing, roofing, walling, openings, ceiling, tiling, electrical and finishing work</t>
  </si>
  <si>
    <t>User tie-in decision</t>
  </si>
  <si>
    <t>User confirmed there is no major hacking to the old house; if any hacking happens it is only minimal and mainly related to the old cemented kaki lima / tie-in area, so S02 stays reserved and unpriced until an actual measured scope is confirmed</t>
  </si>
  <si>
    <t>S03-WORK-ZONE</t>
  </si>
  <si>
    <t>Earthwork work zone</t>
  </si>
  <si>
    <t>S03-LEVEL-01</t>
  </si>
  <si>
    <t>Main floor datum</t>
  </si>
  <si>
    <t>S03-LEVEL-02</t>
  </si>
  <si>
    <t>Existing level relationship</t>
  </si>
  <si>
    <t>Existing outside ground at extension zone is approximately 7in below old existing kaki lima</t>
  </si>
  <si>
    <t>S03-LEVEL-03</t>
  </si>
  <si>
    <t>Old existing kaki lima is 2in below old existing internal house floor level</t>
  </si>
  <si>
    <t>S03-LEVEL-04</t>
  </si>
  <si>
    <t>Bathroom floor datum</t>
  </si>
  <si>
    <t>New bathroom finished floor level is 2in below the new main finished floor level</t>
  </si>
  <si>
    <t>Earthwork method restriction</t>
  </si>
  <si>
    <t>Footing excavation basis</t>
  </si>
  <si>
    <t>Kitchen formation</t>
  </si>
  <si>
    <t>Bathroom formation</t>
  </si>
  <si>
    <t>User earthwork decisions</t>
  </si>
  <si>
    <t>Earthwork, Excavation, Formation and Manual Spoil Handling for New Extension</t>
  </si>
  <si>
    <t>S03 is limited to manual excavation, trimming, formation correction, compaction preparation and manual spoil handling only</t>
  </si>
  <si>
    <t>Do not price crusher run, sand blinding, BRC, slab concrete, footing concrete, beam concrete, pipe materials, roofing, walling, openings, ceiling, tiling, electrical or finishing items under S03</t>
  </si>
  <si>
    <t>S03 applies to the full new extension footprint, footing pad points, beam trench lines, bathroom dropped-floor zone, yard floor zone and local service trench routes within the approved extension layout</t>
  </si>
  <si>
    <t>New extension main finished floor level follows the old internal house floor level</t>
  </si>
  <si>
    <t>Extension earthwork basis</t>
  </si>
  <si>
    <t>S03 manual earthwork is based on one complete extension footprint with kitchen, bathroom and yard floor formation under the approved final plan</t>
  </si>
  <si>
    <t>Manual excavation required for 11 footing pad points under the approved new extension structure</t>
  </si>
  <si>
    <t>Beam trench basis</t>
  </si>
  <si>
    <t>Manual trench excavation required for 9 main beam lines under the approved new extension structure comprising 5 vertical lines and 4 horizontal lines</t>
  </si>
  <si>
    <t>DEFAULT USED: all S03 work is by manual small-job method only; no backhoe, no JCB, no RORO, no scaffolding, no crane and no heavy plant/rental are to be charged under S03</t>
  </si>
  <si>
    <t>Selective excavation rule</t>
  </si>
  <si>
    <t>Excavate only the minimum necessary for footing holes, beam trenches, local formation correction and service trench routes; do not over-excavate</t>
  </si>
  <si>
    <t>Formation correction rule</t>
  </si>
  <si>
    <t>Trim and correct ground only to the extent needed to receive the approved new floor datum and bathroom dropped-floor datum</t>
  </si>
  <si>
    <t>Existing aggregate handling</t>
  </si>
  <si>
    <t>Existing 3/4in aggregate on site is treated as existing retained base material and is not measured as new purchased material under S03</t>
  </si>
  <si>
    <t>Imported fill material boundary</t>
  </si>
  <si>
    <t>Imported crusher run top-up belongs to S04 and is not to be measured as new material under S03</t>
  </si>
  <si>
    <t>Sand blinding boundary</t>
  </si>
  <si>
    <t>Sand blinding belongs to S04 and is not to be measured as new material under S03</t>
  </si>
  <si>
    <t>Slab/base boundary</t>
  </si>
  <si>
    <t>BRC and slab concrete belong to S04 and are not to be measured under S03</t>
  </si>
  <si>
    <t>Spoil handling rule</t>
  </si>
  <si>
    <t>Manual spoil/cart away under S03 is limited to on-site manual handling and normal small-job removal already covered within S03 labour allowance; no separate disposal service item is allowed under S03</t>
  </si>
  <si>
    <t>Kitchen formation to be corrected to suit enclosed internal floor build-up at the main new floor datum</t>
  </si>
  <si>
    <t>Bathroom formation to be corrected separately to suit dropped floor build-up 2in below main new floor datum and later floor fall to trap</t>
  </si>
  <si>
    <t>Yard formation to be corrected to suit tiled roofed service area with one side open and no ceiling</t>
  </si>
  <si>
    <t>S03-MATERIAL-STD</t>
  </si>
  <si>
    <t>S03 material pricing rule</t>
  </si>
  <si>
    <t>There is no new material purchase to be measured under S03; all material-based floor build-up starts in S04</t>
  </si>
  <si>
    <t>Labour quantity lock</t>
  </si>
  <si>
    <t>Service pricing rule</t>
  </si>
  <si>
    <t>No service/rental item is allowed under S03 because earthwork is locked to manual small-job method only</t>
  </si>
  <si>
    <t>S03-EXCLUSION</t>
  </si>
  <si>
    <t>Explicit exclusions from S03</t>
  </si>
  <si>
    <t>Exclude crusher run, sand blinding, BRC, slab concrete, footing concrete, beam concrete, pipe materials, heavy plant/rental, RORO, scaffolding and all later trade works</t>
  </si>
  <si>
    <t>S03-EARTHWORK</t>
  </si>
  <si>
    <t>S04-WORK-ZONE</t>
  </si>
  <si>
    <t>Bathroom dropped-floor area</t>
  </si>
  <si>
    <t>Slab system</t>
  </si>
  <si>
    <t>Base build-up system</t>
  </si>
  <si>
    <t>Original house consistency</t>
  </si>
  <si>
    <t>Use same Description as Materials.txt item: Crusher Run (10-Wheel Truck)</t>
  </si>
  <si>
    <t>Use same Description as Materials.txt item: Fine Sand (10-Wheel Truck)</t>
  </si>
  <si>
    <t>Use same Description as Materials.txt item: BRC Mesh A10 2.13m x 6.10m (Normal Spec) 3.2mm</t>
  </si>
  <si>
    <t>Use same Description as Materials.txt item: Ready Mix Concrete G20 (Per m3)</t>
  </si>
  <si>
    <t>Bathroom level control</t>
  </si>
  <si>
    <t>S04-BASE</t>
  </si>
  <si>
    <t>Crusher Run (10-Wheel Truck)</t>
  </si>
  <si>
    <t>Fine Sand (10-Wheel Truck)</t>
  </si>
  <si>
    <t>BRC Mesh A10 2.13m x 6.10m (Normal Spec) 3.2mm</t>
  </si>
  <si>
    <t>S04-CONCRETE</t>
  </si>
  <si>
    <t>Ready Mix Concrete G20 (Per m3)</t>
  </si>
  <si>
    <t>M3</t>
  </si>
  <si>
    <t>Shared temporary equipment rule</t>
  </si>
  <si>
    <t>Option neutrality rule</t>
  </si>
  <si>
    <t>Shared equipment item 1</t>
  </si>
  <si>
    <t>Shared equipment item 2</t>
  </si>
  <si>
    <t>Use same Description as Labour.txt item: Scaffolding Bay Set (Used) 1.7m(H) x 0.9m(W) incl 1 Platform (Per Month). Deposit RM195/set refundable.</t>
  </si>
  <si>
    <t>Scaffolding use scope</t>
  </si>
  <si>
    <t>Cement Mixer Rental - Month 1 (Per Month)</t>
  </si>
  <si>
    <t>MONTH</t>
  </si>
  <si>
    <t>Bathroom floor area = 6.43 sqm</t>
  </si>
  <si>
    <t>Concrete supply method</t>
  </si>
  <si>
    <t>Concrete grade</t>
  </si>
  <si>
    <t>Pour sequence</t>
  </si>
  <si>
    <t>DEFAULT USED: use BRC A10 to remain lightweight and consistent with old house slab logic; A7 is not used in this option sheet</t>
  </si>
  <si>
    <t>Main floor level control</t>
  </si>
  <si>
    <t>Kitchen floor support</t>
  </si>
  <si>
    <t>Kitchen enclosed area shall receive full slab support under this sheet</t>
  </si>
  <si>
    <t>Bathroom floor support</t>
  </si>
  <si>
    <t>Bathroom enclosed area shall receive full slab support under this sheet while maintaining the 2in lower finished floor level</t>
  </si>
  <si>
    <t>Yard floor support</t>
  </si>
  <si>
    <t>Tile finish readiness</t>
  </si>
  <si>
    <t>All floor zones under S04 shall be prepared ready for later tile finish sheets; S04 does not include tile finish</t>
  </si>
  <si>
    <t>Service coordination</t>
  </si>
  <si>
    <t>S04-LABOUR-STD</t>
  </si>
  <si>
    <t>Skilled labour item</t>
  </si>
  <si>
    <t>Labour scope basis</t>
  </si>
  <si>
    <t>S04-SERVICE-STD</t>
  </si>
  <si>
    <t>Crane service item</t>
  </si>
  <si>
    <t>Use same Description as Labour.txt item: Crane Hire - Standard (Per Day)</t>
  </si>
  <si>
    <t>Option-sheet exclusion</t>
  </si>
  <si>
    <t>Mixer and scaffolding are shared prelim items under S01 only and must not be placed in S04</t>
  </si>
  <si>
    <t>User decision log</t>
  </si>
  <si>
    <t>S04-LABOUR</t>
  </si>
  <si>
    <t>S04-SERVICE</t>
  </si>
  <si>
    <t>Crane Hire - Standard (Per Day)</t>
  </si>
  <si>
    <t>DAY</t>
  </si>
  <si>
    <t>Footing Pad and Ground Beam Ready Mix Option for Entire New Extension Structural Base</t>
  </si>
  <si>
    <t>S05 is the ready mix option sheet for footing pad and ground beam only</t>
  </si>
  <si>
    <t>S05 carries all new footing pad and ground beam works for the corrected new extension structural grid</t>
  </si>
  <si>
    <t>S05-WORK-ZONE</t>
  </si>
  <si>
    <t>New structural base zone</t>
  </si>
  <si>
    <t>S05 applies to all new footing pad points and all approved new ground beam lines for the corrected extension layout only</t>
  </si>
  <si>
    <t>New footing pad point count</t>
  </si>
  <si>
    <t>New footing pad / RC support points = 11 new points</t>
  </si>
  <si>
    <t>Main ground beam line count</t>
  </si>
  <si>
    <t>Main ground beam lines = 9 lines total comprising 5 vertical and 4 horizontal main lines</t>
  </si>
  <si>
    <t>Ground beam takeoff segmentation basis</t>
  </si>
  <si>
    <t>For takeoff measurement, ground beam shall be read as minimum 13 point-to-point segments even though the main structural reading remains 9 lines</t>
  </si>
  <si>
    <t>Footing pad size = 900mm x 900mm x 250mm</t>
  </si>
  <si>
    <t>Ground beam size = 150mm x 250mm</t>
  </si>
  <si>
    <t>Footing pad concrete volume basis</t>
  </si>
  <si>
    <t>Footing pads only concrete volume = 2.23 m3</t>
  </si>
  <si>
    <t>Ground beam concrete volume basis</t>
  </si>
  <si>
    <t>Ground beam only concrete volume = 1.88 m3</t>
  </si>
  <si>
    <t>Combined footing and ground beam concrete basis</t>
  </si>
  <si>
    <t>Footing pad + ground beam total concrete volume = 4.10 m3</t>
  </si>
  <si>
    <t>Derived total ground beam length basis</t>
  </si>
  <si>
    <t>DEFAULT USED: total ground beam length = 50.13m derived from 1.88 m3 at 150mm x 250mm section</t>
  </si>
  <si>
    <t>Structural point rule</t>
  </si>
  <si>
    <t>Every new structural support point in the corrected extension grid is a new footing pad point under S05; existing old-house points are reference/tie-in only and are not new footing pads in S05</t>
  </si>
  <si>
    <t>Beam line without wall rule</t>
  </si>
  <si>
    <t>Any approved structural line without wall is still included in S05 if it remains a true ground beam line carrying post/roof support or structural tying function</t>
  </si>
  <si>
    <t>Existing tie-in control</t>
  </si>
  <si>
    <t>Tie-in to the old house is for connection and stabilization only and must not be treated as automatic primary support for new footing or new beam load</t>
  </si>
  <si>
    <t>Load path rule</t>
  </si>
  <si>
    <t>New structural load path under S05 runs from future upper structure into new RC column locations, down through new ground beam/footing system and into soil via new footing pads</t>
  </si>
  <si>
    <t>Earthwork boundary</t>
  </si>
  <si>
    <t>S03 covers earthwork / trenching / formation labour; S05 starts from the stage where footing and beam trench locations are already set out and ready for structural base works</t>
  </si>
  <si>
    <t>Footing excavation depth basis</t>
  </si>
  <si>
    <t>DEFAULT USED: footing excavation depth basis for structural understanding = about 600mm with footing pad thickness 250mm; this row is structural basis only and does not move excavation scope out of S03</t>
  </si>
  <si>
    <t>Footing and beam pour sequence</t>
  </si>
  <si>
    <t>Footing pad and ground beam are intended to be cast together as one lower-structure pour after rebar, formwork, alignment and level checks are complete</t>
  </si>
  <si>
    <t>Column exclusion from same pour</t>
  </si>
  <si>
    <t>RC columns are not to be cast under S05 and are not to be poured on the same pour basis for this option sheet</t>
  </si>
  <si>
    <t>Ready mix concrete method</t>
  </si>
  <si>
    <t>Ready mix concrete grade</t>
  </si>
  <si>
    <t>S05-MATERIAL-STD</t>
  </si>
  <si>
    <t>Concrete item</t>
  </si>
  <si>
    <t>Main reinforcement steel item</t>
  </si>
  <si>
    <t>Link / tie steel item</t>
  </si>
  <si>
    <t>Formwork plywood item</t>
  </si>
  <si>
    <t>Reinforcement scope</t>
  </si>
  <si>
    <t>Reinforcement under S05 covers footing pad bottom reinforcement, starter bar anchorage zone and ground beam reinforcement cage according to the locked footing and beam geometry for this project</t>
  </si>
  <si>
    <t>Formwork scope</t>
  </si>
  <si>
    <t>Formwork under S05 covers exposed sides of ground beam and local footing beam edge shuttering where natural trench face alone is not sufficient for line, level and concrete finish control</t>
  </si>
  <si>
    <t>Pipe crossing check</t>
  </si>
  <si>
    <t>Before S05 pour, all pipe sleeve or crossing points that may pass through or below the footing/beam line must be checked so the concrete pour does not clash with later plumbing works</t>
  </si>
  <si>
    <t>Level and alignment control</t>
  </si>
  <si>
    <t>Before pour, all footing centers, beam alignment, beam top level and all structural offsets must be checked against the corrected extension grid and the locked main FFL logic</t>
  </si>
  <si>
    <t>Bathroom / tank structural note</t>
  </si>
  <si>
    <t>Bathroom overhead tank is limited to N50 / N80 only; any future new footing or ground beam additions for tank support must remain in S05 only if the support is confirmed as a new structure-to-ground point</t>
  </si>
  <si>
    <t>Current footing point basis lock</t>
  </si>
  <si>
    <t>Current S05 quantity basis already uses the corrected final new support-point count of 11 and must not revert to earlier lower-count sketches</t>
  </si>
  <si>
    <t>S05-LABOUR-STD</t>
  </si>
  <si>
    <t>S05-SERVICE-STD</t>
  </si>
  <si>
    <t>Crane service quantity basis</t>
  </si>
  <si>
    <t>DEFAULT USED: allow 1 DAY crane service for one complete footing pad and ground beam ready mix pour</t>
  </si>
  <si>
    <t>Service budget rule</t>
  </si>
  <si>
    <t>If actual site execution later proves crane is not needed, set crane Usage Qty = 0 under update-only rule without rewriting unrelated SXX sheets</t>
  </si>
  <si>
    <t>Explicit exclusion rule</t>
  </si>
  <si>
    <t>Mixer and scaffolding are shared prelim costs under S01 only and must not be placed in S05</t>
  </si>
  <si>
    <t>S05 excludes slab concrete, RC column concrete, roof beam, roof frame, walling, waterproofing, finishes, plumbing fit-off and all upper-works access costs</t>
  </si>
  <si>
    <t>S05-CONCRETE</t>
  </si>
  <si>
    <t>S05-REBAR</t>
  </si>
  <si>
    <t>MS Deformed Bar Y12 12.00m</t>
  </si>
  <si>
    <t>BAR</t>
  </si>
  <si>
    <t>MS Round Bar R6 12.00m</t>
  </si>
  <si>
    <t>S05-FORMWORK</t>
  </si>
  <si>
    <t>Plywood 9mm 4ft x 8ft</t>
  </si>
  <si>
    <t>SHEET</t>
  </si>
  <si>
    <t>S05-LABOUR</t>
  </si>
  <si>
    <t>S05-SERVICE</t>
  </si>
  <si>
    <t>S16-TITLE</t>
  </si>
  <si>
    <t>S16-OVERVIEW</t>
  </si>
  <si>
    <t>S16-WORK-ZONE</t>
  </si>
  <si>
    <t>S16-DIM</t>
  </si>
  <si>
    <t>S16-METHOD</t>
  </si>
  <si>
    <t>Concrete method logic</t>
  </si>
  <si>
    <t>Self-mix option uses cement + sand + aggregate, has higher MH than ready mix, does not require ready mix minimum order and does not require crane</t>
  </si>
  <si>
    <t>Pour flexibility basis</t>
  </si>
  <si>
    <t>S16-MATERIAL-STD</t>
  </si>
  <si>
    <t>Self-mix concrete ratio basis</t>
  </si>
  <si>
    <t>Dry volume conversion basis</t>
  </si>
  <si>
    <t>Self-mix cement item</t>
  </si>
  <si>
    <t>Self-mix cement quantity basis</t>
  </si>
  <si>
    <t>Self-mix coarse sand item</t>
  </si>
  <si>
    <t>Self-mix aggregate item</t>
  </si>
  <si>
    <t>Self-mix aggregate quantity basis</t>
  </si>
  <si>
    <t>All floor zones under S16 shall be prepared ready for later tile finish sheets; S16 does not include tile finish</t>
  </si>
  <si>
    <t>S16-LABOUR-STD</t>
  </si>
  <si>
    <t>Self-mix labour basis</t>
  </si>
  <si>
    <t>Service exclusion rule</t>
  </si>
  <si>
    <t>No crane is included in S16 because self-mix option does not require crane</t>
  </si>
  <si>
    <t>Mixer and scaffolding are shared prelim items under S01 only and must not be placed in S16</t>
  </si>
  <si>
    <t>S16 excludes footing pad, ground beam, RC column, roof beam, waterproofing, tiling and final finishes</t>
  </si>
  <si>
    <t>S16-USER-INPUT</t>
  </si>
  <si>
    <t>Construction sequence basis</t>
  </si>
  <si>
    <t>S04 starts after S03 earthwork / formation is complete and before later waterproofing, tiling and finish scopes</t>
  </si>
  <si>
    <t>Use same Description as Materials.txt item: DPM PE 0.20mm</t>
  </si>
  <si>
    <t>DPM function</t>
  </si>
  <si>
    <t>DPM laying rule</t>
  </si>
  <si>
    <t>DPM penetration rule</t>
  </si>
  <si>
    <t>DPM and waterproofing distinction</t>
  </si>
  <si>
    <t>Curing item</t>
  </si>
  <si>
    <t>Use same Description as Materials.txt item: SIKA Curing Compound Antisol E 20.00L</t>
  </si>
  <si>
    <t>Curing requirement</t>
  </si>
  <si>
    <t>Base and slab work shall coordinate with plumbing points, bathroom dropped-floor logic and later finish levels formed by relevant later service and finish sheets</t>
  </si>
  <si>
    <t>S04 excludes footing pad, ground beam, RC column, roof beam, waterproofing, tiling and final finishes</t>
  </si>
  <si>
    <t>Footing blinding thickness basis</t>
  </si>
  <si>
    <t>DEFAULT USED: provide 50mm blinding below each footing pad as minimum clean base and level control before placing reinforcement and footing concrete</t>
  </si>
  <si>
    <t>Footing base rule</t>
  </si>
  <si>
    <t>Footing pad is not to be cast directly onto loose or uneven soil; footing base must be cleaned, trimmed and blinded before reinforcement and concrete placement</t>
  </si>
  <si>
    <t>Provide curing to footing pad and ground beam concrete after placement so early moisture loss is controlled and concrete performance is improved</t>
  </si>
  <si>
    <t>S04-DPM</t>
  </si>
  <si>
    <t>DPM PE 0.20mm</t>
  </si>
  <si>
    <t>S04-BRC</t>
  </si>
  <si>
    <t>S04-CURING</t>
  </si>
  <si>
    <t>SIKA Curing Compound Antisol E 20.00L</t>
  </si>
  <si>
    <t>PAIL</t>
  </si>
  <si>
    <t>S05-BLINDING</t>
  </si>
  <si>
    <t>Ready Mix Concrete G25 (Per m3)</t>
  </si>
  <si>
    <t>DEFAULT USED: main reinforcement basis for 11 footing pads plus approximately 50.13m total ground beam including starter anchorage and normal lap allowance</t>
  </si>
  <si>
    <t>DEFAULT USED: link and tie reinforcement basis for footing pad and ground beam cage with normal site cutting allowance</t>
  </si>
  <si>
    <t>DEFAULT USED: reusable side formwork basis for ground beam sides and local footing edge shuttering where trench face alone is not sufficient</t>
  </si>
  <si>
    <t>DEFAULT USED: timber support and bracing for beam side shuttering and local footing edge form support</t>
  </si>
  <si>
    <t>Mixed Timber 2" x 3" x 10ft (Grade A)</t>
  </si>
  <si>
    <t>LTH</t>
  </si>
  <si>
    <t>S05-CURING</t>
  </si>
  <si>
    <t>S16 starts after S03 earthwork / formation is complete and before later waterproofing, tiling and finish scopes</t>
  </si>
  <si>
    <t>Use same Description as Materials.txt item: Coarse Sand (10-Wheel Truck)</t>
  </si>
  <si>
    <t>Use same Description as Materials.txt item: 3/4" Aggregate (10-Wheel Truck)</t>
  </si>
  <si>
    <t>Curing quantity basis</t>
  </si>
  <si>
    <t>S16-BASE</t>
  </si>
  <si>
    <t>S16-DPM</t>
  </si>
  <si>
    <t>S16-BRC</t>
  </si>
  <si>
    <t>S16-CONCRETE</t>
  </si>
  <si>
    <t>Coarse Sand (10-Wheel Truck)</t>
  </si>
  <si>
    <t>3/4" Aggregate (10-Wheel Truck)</t>
  </si>
  <si>
    <t>S16-CURING</t>
  </si>
  <si>
    <t>S16-LABOUR</t>
  </si>
  <si>
    <t>S17-TITLE</t>
  </si>
  <si>
    <t>Footing Pad and Ground Beam Self-Mix Option for Entire New Extension Structural Base</t>
  </si>
  <si>
    <t>S17 is the self-mix option sheet for footing pad and ground beam only</t>
  </si>
  <si>
    <t>S17-OVERVIEW</t>
  </si>
  <si>
    <t>S17 carries all new footing pad and ground beam works for the corrected new extension structural grid using site-mixed concrete, including blinding, reinforcement, formwork, placing and curing</t>
  </si>
  <si>
    <t>S17 excludes mixer and scaffolding because both are shared prelim costs under S01 only</t>
  </si>
  <si>
    <t>S17-WORK-ZONE</t>
  </si>
  <si>
    <t>S17 applies to all new footing pad points and all approved new ground beam lines for the corrected extension layout only</t>
  </si>
  <si>
    <t>S17-DIM</t>
  </si>
  <si>
    <t>Footing blinding concrete basis</t>
  </si>
  <si>
    <t>DEFAULT USED: total footing blinding volume = 0.45 m3 based on 11 footing pads x 900mm x 900mm x 50mm</t>
  </si>
  <si>
    <t>S17-METHOD</t>
  </si>
  <si>
    <t>Every new structural support point in the corrected extension grid is a new footing pad point under S17; existing old-house points are reference/tie-in only and are not new footing pads in S17</t>
  </si>
  <si>
    <t>Any approved structural line without wall is still included in S17 if it remains a true ground beam line carrying post, roof support or structural tying function</t>
  </si>
  <si>
    <t>New structural load path under S17 runs from future upper structure into new RC column locations, down through new ground beam/footing system and into soil via new footing pads</t>
  </si>
  <si>
    <t>S03 covers earthwork, trenching and formation labour; S17 starts from the stage where footing and beam trench locations are already set out and ready for structural base works</t>
  </si>
  <si>
    <t>Footing pad and ground beam are intended to be cast together as one lower-structure self-mix sequence after rebar, formwork, alignment and level checks are complete</t>
  </si>
  <si>
    <t>RC columns are not to be cast under S17 and are not to be poured on the same pour basis for this option sheet</t>
  </si>
  <si>
    <t>DEFAULT USED: footing pad, footing blinding and ground beam concrete under S17 are site-mixed only</t>
  </si>
  <si>
    <t>DEFAULT USED: use nominal 1:2:4 concrete mix ratio by volume for lower-structure self-mix cost comparison basis</t>
  </si>
  <si>
    <t>DEFAULT USED: apply 1.54 dry volume factor to convert wet concrete basis into cement, sand and aggregate takeoff basis</t>
  </si>
  <si>
    <t>Self-mix method logic</t>
  </si>
  <si>
    <t>Self-mix sequence logic</t>
  </si>
  <si>
    <t>Self-mix lower structure may be cast in controlled staged batching on site, but this sheet still budgets the full footing pad plus ground beam scope only</t>
  </si>
  <si>
    <t>Self-mix wet concrete basis for main lower structure</t>
  </si>
  <si>
    <t>Main footing pad + ground beam wet concrete basis for self-mix = 4.10 m3</t>
  </si>
  <si>
    <t>Self-mix wet concrete basis including blinding</t>
  </si>
  <si>
    <t>DEFAULT USED: total self-mix concrete family basis including footing blinding = 4.55 m3</t>
  </si>
  <si>
    <t>S17-MATERIAL-STD</t>
  </si>
  <si>
    <t>Self-mix sand item</t>
  </si>
  <si>
    <t>DEFAULT USED: cement takeoff for S17 shall be derived from 4.55 m3 total self-mix concrete family basis using nominal 1:2:4 ratio with 1.54 dry volume factor</t>
  </si>
  <si>
    <t>Self-mix sand quantity basis</t>
  </si>
  <si>
    <t>DEFAULT USED: coarse sand takeoff for S17 shall be derived from 4.55 m3 total self-mix concrete family basis using nominal 1:2:4 ratio with 1.54 dry volume factor</t>
  </si>
  <si>
    <t>DEFAULT USED: 3/4in aggregate takeoff for S17 shall be derived from 4.55 m3 total self-mix concrete family basis using nominal 1:2:4 ratio with 1.54 dry volume factor</t>
  </si>
  <si>
    <t>Use same Description as Materials.txt item: MS Deformed Bar Y12 12.00m</t>
  </si>
  <si>
    <t>Use same Description as Materials.txt item: MS Round Bar R6 12.00m</t>
  </si>
  <si>
    <t>Use same Description as Materials.txt item: Plywood 9mm 4ft x 8ft</t>
  </si>
  <si>
    <t>Formwork timber item</t>
  </si>
  <si>
    <t>Use same Description as Materials.txt item: Mixed Timber 2" x 3" x 10ft (Grade A)</t>
  </si>
  <si>
    <t>Reinforcement under S17 covers footing pad bottom reinforcement, starter bar anchorage zone and ground beam reinforcement cage according to the locked footing and beam geometry for this project</t>
  </si>
  <si>
    <t>Formwork under S17 covers exposed sides of ground beam and local footing beam edge shuttering where natural trench face alone is not sufficient for line, level and concrete finish control</t>
  </si>
  <si>
    <t>Before S17 concrete placing, all pipe sleeve or crossing points that may pass through or below the footing/beam line must be checked so the concrete sequence does not clash with later plumbing works</t>
  </si>
  <si>
    <t>Before placing, all footing centers, beam alignment, beam top level and all structural offsets must be checked against the corrected extension grid and the locked main FFL logic</t>
  </si>
  <si>
    <t>Bathroom overhead tank is limited to N50 / N80 only; any future new footing or ground beam additions for tank support must remain in S17 only if the support is confirmed as a new structure-to-ground point</t>
  </si>
  <si>
    <t>Current S17 quantity basis already uses the corrected final new support-point count of 11 and must not revert to earlier lower-count sketches</t>
  </si>
  <si>
    <t>Provide curing to footing pad and ground beam concrete after placing so early moisture loss is controlled and concrete performance is improved</t>
  </si>
  <si>
    <t>S17-LABOUR-STD</t>
  </si>
  <si>
    <t>S17 labour covers footing marking confirmation, blinding control, beam line confirmation, site batching supervision, rebar cage fixing, formwork fixing, level checking, mixer-feed support, wheelbarrow transport, placing, rodding and basic concrete finishing for footing pad and ground beam only</t>
  </si>
  <si>
    <t>No crane is included in S17 because self-mix option does not require crane</t>
  </si>
  <si>
    <t>Mixer and scaffolding are shared prelim items under S01 only and must not be placed in S17</t>
  </si>
  <si>
    <t>S17 excludes slab concrete, RC column concrete, roof beam, roof frame, walling, waterproofing, finishes, plumbing fit-off and all upper-works access costs</t>
  </si>
  <si>
    <t>S17-USER-INPUT</t>
  </si>
  <si>
    <t>CALC NOTE: 11 footing pads x 900mm x 900mm x 50mm blinding, budgeted under same self-mix concrete family basis</t>
  </si>
  <si>
    <t>S17-BLINDING</t>
  </si>
  <si>
    <t>CALC NOTE: main footing pad + ground beam self-mix concrete basis 4.10 m3 using nominal 1:2:4 ratio with 1.54 dry volume factor</t>
  </si>
  <si>
    <t>S17-CONCRETE</t>
  </si>
  <si>
    <t>S17-REBAR</t>
  </si>
  <si>
    <t>S17-FORMWORK</t>
  </si>
  <si>
    <t>DEFAULT USED: one pail curing compound allowance for footing pad plus ground beam self-mix lower-structure sequence</t>
  </si>
  <si>
    <t>S17-CURING</t>
  </si>
  <si>
    <t>S17-LABOUR</t>
  </si>
  <si>
    <t>RC Column, Roof Beam and Upper Structural Support for Entire New Extension Structure</t>
  </si>
  <si>
    <t>S06 is the upper structural sheet for all new RC columns, roof beam lines and integrated bathroom tank upper support only</t>
  </si>
  <si>
    <t>Construct all new RC columns and all corrected roof beam / upper support lines following the final extension structural grid</t>
  </si>
  <si>
    <t>S06 includes upper structural reinforcement, formwork, concrete placing and curing; S06 excludes roof covering, roof frame, walling, openings, plumbing fit-off and finish works</t>
  </si>
  <si>
    <t>S06-WORK-ZONE</t>
  </si>
  <si>
    <t>Upper structural work zone</t>
  </si>
  <si>
    <t>S06 applies to the full corrected upper structural system of the new extension including kitchen, bathroom and roofed yard structural support lines</t>
  </si>
  <si>
    <t>New RC column point count</t>
  </si>
  <si>
    <t>New RC column points = 11 new points following the corrected final red support-point layout</t>
  </si>
  <si>
    <t>Main roof beam line count</t>
  </si>
  <si>
    <t>Main roof beam lines = 9 lines total comprising 5 vertical and 4 horizontal main lines</t>
  </si>
  <si>
    <t>Roof beam line segmentation basis</t>
  </si>
  <si>
    <t>For takeoff measurement, roof beam shall be read by actual point-to-point length even though the main structural reading remains 9 lines</t>
  </si>
  <si>
    <t>DEFAULT USED: RC column size = 150mm x 150mm as the agreed lightweight extension standard</t>
  </si>
  <si>
    <t>DEFAULT USED: roof beam size = 100mm x 150mm as the agreed lightweight roof beam standard</t>
  </si>
  <si>
    <t>RC column concrete volume basis</t>
  </si>
  <si>
    <t>RC column only concrete volume = 0.75 m3</t>
  </si>
  <si>
    <t>Roof beam concrete volume basis</t>
  </si>
  <si>
    <t>Roof beam only concrete volume = 0.75 m3</t>
  </si>
  <si>
    <t>Derived total RC column height basis</t>
  </si>
  <si>
    <t>DEFAULT USED: total RC column concrete family height basis = 33.33m derived from 0.75 m3 at 150mm x 150mm section across 11 columns</t>
  </si>
  <si>
    <t>Average RC column height basis</t>
  </si>
  <si>
    <t>DEFAULT USED: average effective RC column concrete height basis = 3.03m per column derived from 0.75 m3 across 11 columns at 150mm x 150mm section</t>
  </si>
  <si>
    <t>Derived total roof beam length basis</t>
  </si>
  <si>
    <t>DEFAULT USED: total roof beam length basis = 50.00m derived from 0.75 m3 at 100mm x 150mm section</t>
  </si>
  <si>
    <t>Corrected upper structural grid</t>
  </si>
  <si>
    <t>Upper structural support follows the corrected final extension grid aligned to the new support points and corrected beam lines including beam-only lines without wall</t>
  </si>
  <si>
    <t>All new red support points shown in the corrected final extension sketch are new RC column points under S06</t>
  </si>
  <si>
    <t>Pink footing / column points shown on the drawing are existing old-house reference points only and are not new RC columns under S06</t>
  </si>
  <si>
    <t>All new RC columns shall rise continuously from the lower structural base prepared under S05 up to the roof beam level</t>
  </si>
  <si>
    <t>RC column load path rule</t>
  </si>
  <si>
    <t>Each RC column must transfer roof and upper structural load down into the new lower structural system and must not rely on the old house as the main support</t>
  </si>
  <si>
    <t>Column flush rule</t>
  </si>
  <si>
    <t>Use 150mm x 150mm RC column as the normal agreed lightweight and wall-flushable column standard for this extension unless a later local structural revision is explicitly confirmed</t>
  </si>
  <si>
    <t>Provide roof beam along all approved corrected structural lines from RC column to RC column following the final corrected plan</t>
  </si>
  <si>
    <t>Beam-only line clarification</t>
  </si>
  <si>
    <t>If a straight structural line is confirmed from RC column to RC column but no wall is built on that line, it still remains part of S06 roof beam scope</t>
  </si>
  <si>
    <t>DEFAULT USED: all beam / wall-plate support lines shall be kept to the agreed common upper support level so enclosed spaces can achieve the locked clear ceiling target through later roof-frame coordination</t>
  </si>
  <si>
    <t>New roof beam layout shall tie in to the old house only as verified connection / stabilization and alignment reference; the old house must not become the assumed primary support for the new upper structure</t>
  </si>
  <si>
    <t>Tie-in reference logic</t>
  </si>
  <si>
    <t>Original house roof beam detail and roof logic are reference points for compatibility only; they do not remove the need for the new extension to carry its own load through the new structural system</t>
  </si>
  <si>
    <t>Upper concrete method</t>
  </si>
  <si>
    <t>DEFAULT USED: upper structural concrete under S06 uses ready mix concrete for quality control and consistency with the agreed structural ready-mix method</t>
  </si>
  <si>
    <t>Upper concrete grade</t>
  </si>
  <si>
    <t>DEFAULT USED: use G25 ready mix concrete for S06 RC columns and roof beam upper structure</t>
  </si>
  <si>
    <t>S06-MATERIAL-STD</t>
  </si>
  <si>
    <t>Upper concrete item</t>
  </si>
  <si>
    <t>Use same Description as Materials.txt item: Ready Mix Concrete G25 (Per m3)</t>
  </si>
  <si>
    <t>Column main bar item</t>
  </si>
  <si>
    <t>Roof beam main bar item</t>
  </si>
  <si>
    <t>Reinforcement under S06 covers RC column starter continuity connection, column main bars, column ties, roof beam main bars, roof beam links and all local upper support reinforcement required by the corrected upper structural layout</t>
  </si>
  <si>
    <t>Formwork under S06 covers RC column side shuttering, roof beam side shuttering, beam soffit shuttering where required and local support formwork for the integrated tank support zone</t>
  </si>
  <si>
    <t>Provide curing to RC column and roof beam concrete after placing so early moisture loss is controlled and upper structural concrete performance is improved</t>
  </si>
  <si>
    <t>Provide upper structural support over the corrected bathroom tank support zone as part of the same new structural system, not as a separate random scope</t>
  </si>
  <si>
    <t>DEFAULT USED: overhead tank provision is limited to 1 unit within the agreed small-tank class N50 / N80 only and must not be read as allowance for multiple tanks or larger overhead tank loading</t>
  </si>
  <si>
    <t>Provide dedicated full-base contact support platform / beam arrangement for the bathroom overhead tank; tank is not to sit directly on metal deck, batten or C-channel</t>
  </si>
  <si>
    <t>Bathroom tank support beam / platform remains inside S06 upper structural scope and shall transfer load to the new RC column / beam node arrangement of the same extension structure</t>
  </si>
  <si>
    <t>Service load control</t>
  </si>
  <si>
    <t>Allow normal single-person inspection and maintenance access logic only; do not interpret the tank support zone as a heavy storage deck or additional occupied platform</t>
  </si>
  <si>
    <t>Load path control</t>
  </si>
  <si>
    <t>Overhead tank support shall transfer load through the new upper structural members into the new lower structural system already allocated in S05, not into the old house as the primary support</t>
  </si>
  <si>
    <t>Bathroom window position has been shifted / corrected so the overhead tank support zone does not clash with the confirmed bathroom opening arrangement</t>
  </si>
  <si>
    <t>Roof slope coordination</t>
  </si>
  <si>
    <t>S06 provides the upper support lines only; actual lean-to outward roof frame, slope formation, metal deck, flashing, gutter and rainwater goods remain under S08</t>
  </si>
  <si>
    <t>Access service assumption</t>
  </si>
  <si>
    <t>DEFAULT USED: no separate crane or scaffolding charge is carried inside S06 at current spec stage; shared access logic is handled outside this sheet and any later method change must update S06 only if the physical upper-structure method truly changes</t>
  </si>
  <si>
    <t>S06 excludes footing pad, ground beam, slab, DPM, walling, opening formation, doors, windows, grilles, plumbing tank pipework, roof frame, roof covering, C-channel, batten, metal deck, flashing, gutter, ceiling and finishes</t>
  </si>
  <si>
    <t>S06-CONCRETE</t>
  </si>
  <si>
    <t>MS Deformed Bar Y10 12.00m (Main Bars)</t>
  </si>
  <si>
    <t>S06-FORMWORK</t>
  </si>
  <si>
    <t>S06-CURING</t>
  </si>
  <si>
    <t>S06-LABOUR</t>
  </si>
  <si>
    <t>S07 is the plumbing and drainage rough-in sheet for the new extension only</t>
  </si>
  <si>
    <t>Construct all plumbing and drainage rough-in works for kitchen, bathroom, yard service point and overhead tank feed/distribution integrated with the old house service side</t>
  </si>
  <si>
    <t>S07-REF-DRAWING</t>
  </si>
  <si>
    <t>Controlling plumbing references</t>
  </si>
  <si>
    <t>Existing service tap count on old house plan</t>
  </si>
  <si>
    <t>Existing old house drainage plan shows 2 service taps as existing reference only</t>
  </si>
  <si>
    <t>Existing septic reference on old house plan</t>
  </si>
  <si>
    <t>Old house service protection</t>
  </si>
  <si>
    <t>Do not disturb the old house main service taps, existing septic tank area or existing buried service line more than necessary; all tie-in works must be localized and controlled</t>
  </si>
  <si>
    <t>Tie-in philosophy</t>
  </si>
  <si>
    <t>New extension plumbing shall tie into the existing old house service/drain side with minimum disturbance and without creating unnecessary new septic scope unless site condition later proves the existing tie-in unsuitable</t>
  </si>
  <si>
    <t>New septic exclusion default</t>
  </si>
  <si>
    <t>DEFAULT USED: no new septic tank is included in S07 because the old house drainage plan already shows an existing septic tank and the extension is intended to tie into the existing system unless proven otherwise on site</t>
  </si>
  <si>
    <t>Kitchen sink rough-in count</t>
  </si>
  <si>
    <t>Provide rough-in for 1 kitchen sink only</t>
  </si>
  <si>
    <t>Kitchen table-top service logic</t>
  </si>
  <si>
    <t>Bathroom fixture rough-in count</t>
  </si>
  <si>
    <t>Provide rough-in for 1 WC, 1 basin cabinet/basin, 1 floor trap and 1 shower point in the new bathroom</t>
  </si>
  <si>
    <t>WC outlet offset standard</t>
  </si>
  <si>
    <t>WC discharge logic</t>
  </si>
  <si>
    <t>Basin waste logic</t>
  </si>
  <si>
    <t>Basin rough-in shall allow later connection to basin waste and bottle trap at sanitary final stage; rough-in under S07 is limited to the concealed waste and supply point arrangement only</t>
  </si>
  <si>
    <t>Floor trap requirement</t>
  </si>
  <si>
    <t>Provide 1 bathroom floor trap rough-in at the new bathroom floor and coordinate its exact point with later waterproofing, screed, tile fall and floor-drop logic</t>
  </si>
  <si>
    <t>Shower point requirement</t>
  </si>
  <si>
    <t>Provide shower plumbing rough-in in the new bathroom under the overhead tank zone as locked by the user</t>
  </si>
  <si>
    <t>Water heater plumbing support</t>
  </si>
  <si>
    <t>Provide cold-water feed arrangement for the water heater and the corresponding shower service route; electrical point is under S14 only</t>
  </si>
  <si>
    <t>Overhead tank limit</t>
  </si>
  <si>
    <t>Overhead tank provision is limited to 1 unit within the small-tank class N50 / N80 only</t>
  </si>
  <si>
    <t>Overhead tank structural boundary</t>
  </si>
  <si>
    <t>Overhead tank feed</t>
  </si>
  <si>
    <t>Provide 1/2in incoming feed rising up to the overhead tank position above the bathroom</t>
  </si>
  <si>
    <t>Overhead tank outlet</t>
  </si>
  <si>
    <t>Provide outlet distribution from the overhead tank to the normal domestic use points by the shortest practical route along the wet-core side of the extension</t>
  </si>
  <si>
    <t>Overhead tank service routing</t>
  </si>
  <si>
    <t>Overhead tank overflow</t>
  </si>
  <si>
    <t>Provide overflow pipe from the overhead tank to a safe visible discharge point away from the enclosed bathroom interior</t>
  </si>
  <si>
    <t>Overhead tank washout</t>
  </si>
  <si>
    <t>Kitchen incoming point count</t>
  </si>
  <si>
    <t>Provide 1 no. 1/2in incoming cold-water point to kitchen sink</t>
  </si>
  <si>
    <t>Bathroom incoming point count</t>
  </si>
  <si>
    <t>Provide 1 no. 1/2in incoming cold-water branch to the bathroom use zone for WC/basin/shower/water-heater feed arrangement</t>
  </si>
  <si>
    <t>Tank rising main count</t>
  </si>
  <si>
    <t>Provide 1 no. 1/2in rising line to the overhead tank</t>
  </si>
  <si>
    <t>Kitchen waste point count</t>
  </si>
  <si>
    <t>Provide 1 no. 2in waste line from kitchen sink to the existing foul/waste tie-in side</t>
  </si>
  <si>
    <t>Bathroom waste point count</t>
  </si>
  <si>
    <t>Provide 1 no. 2in waste branch serving bathroom basin and 1 no. floor-trap waste route coordinated to the same waste/drain side as practical</t>
  </si>
  <si>
    <t>WC soil point count</t>
  </si>
  <si>
    <t>Kitchen waste routing</t>
  </si>
  <si>
    <t>Bathroom waste routing</t>
  </si>
  <si>
    <t>Bathroom 2in waste from basin and floor trap shall be routed to the same wet-side drain path with proper allowance for floor fall and later finishing build-up</t>
  </si>
  <si>
    <t>Soil pipe routing</t>
  </si>
  <si>
    <t>Yard discharge logic</t>
  </si>
  <si>
    <t>Main FFL coordination</t>
  </si>
  <si>
    <t>Coordinate all embedded pipe entries and exits with the locked new extension main FFL = old internal house floor level</t>
  </si>
  <si>
    <t>All concealed pipe sleeves and embedded routes passing through slab, wall or structural crossing zones must be set before later closure and must not damage the corrected load path of the new structure</t>
  </si>
  <si>
    <t>Testing requirement</t>
  </si>
  <si>
    <t>S07 excludes sanitary final fixture installation, tap set installation, WC suite installation, basin cabinet installation, shower set installation, waterproofing, screed, tile finish, roof rainwater goods and external roof downpipe works</t>
  </si>
  <si>
    <t>S07-MATERIAL-STD</t>
  </si>
  <si>
    <t>Cold water pipe standard</t>
  </si>
  <si>
    <t>Cold water threaded transition item</t>
  </si>
  <si>
    <t>Cold water stopcock item</t>
  </si>
  <si>
    <t>Yard bib tap item</t>
  </si>
  <si>
    <t>2in waste pipe standard</t>
  </si>
  <si>
    <t>4in soil pipe standard</t>
  </si>
  <si>
    <t>2in waste fitting standard</t>
  </si>
  <si>
    <t>4in soil fitting standard</t>
  </si>
  <si>
    <t>4in bend fitting standard</t>
  </si>
  <si>
    <t>PVC solvent item</t>
  </si>
  <si>
    <t>Floor trap standard</t>
  </si>
  <si>
    <t>User locked tile floor trap; use same Description as Materials.txt item: Yessy Tile Floor Trap</t>
  </si>
  <si>
    <t>Basin waste standard</t>
  </si>
  <si>
    <t>Use same Description as Materials.txt item: Basin Waste 11/4"</t>
  </si>
  <si>
    <t>Bottle trap standard</t>
  </si>
  <si>
    <t>Use same Description as Materials.txt item: Bottle Trap PVC 11/4" 32mm Blue/green</t>
  </si>
  <si>
    <t>S07-LABOUR-STD</t>
  </si>
  <si>
    <t>PVC Pipe Class 6 Dia15.00mm (1/2") x 5.80m/Length</t>
  </si>
  <si>
    <t>DEFAULT USED: new extension isolation and tank/service branch control allowance</t>
  </si>
  <si>
    <t>Brass Stop Cock 1/2"</t>
  </si>
  <si>
    <t>Brass Garden Bib Tap 1/2"</t>
  </si>
  <si>
    <t>S07-WASTE</t>
  </si>
  <si>
    <t>UPVC Pipe With SIRIM (2") x 5.8m</t>
  </si>
  <si>
    <t>PVC Fitting Double End Socket 50mm (2")</t>
  </si>
  <si>
    <t>S07-SOIL</t>
  </si>
  <si>
    <t>UPVC Pipe With SIRIM (4") x 5.8m</t>
  </si>
  <si>
    <t>PVC Fitting Double End Socket 100mm (4")</t>
  </si>
  <si>
    <t>Long Bend 4"</t>
  </si>
  <si>
    <t>PKT</t>
  </si>
  <si>
    <t>S07-JOINTING</t>
  </si>
  <si>
    <t>PVC Solvent Cement Glue 500g (Arrow, Orange)</t>
  </si>
  <si>
    <t>S07-LABOUR</t>
  </si>
  <si>
    <t>S08 is the roofing sheet for all new roof framing, roof covering, tie-in flashing and rainwater goods only</t>
  </si>
  <si>
    <t>S08-WORK-ZONE</t>
  </si>
  <si>
    <t>S08-REF-DRAWING</t>
  </si>
  <si>
    <t>Controlling roof references</t>
  </si>
  <si>
    <t>Preferred roof type</t>
  </si>
  <si>
    <t>Lean-to / single-slope outward roof form only</t>
  </si>
  <si>
    <t>Original roof beam reference</t>
  </si>
  <si>
    <t>Original batten spacing reference</t>
  </si>
  <si>
    <t>Original house roof detailing reference shows batten spacing = 750mm</t>
  </si>
  <si>
    <t>Original house roof detailing reference shows roof frame spacing about 3ft</t>
  </si>
  <si>
    <t>Roof frame system</t>
  </si>
  <si>
    <t>Provide lightweight roof framing using light steel / C-channel / hollow arrangement supported by the new upper structural beam system under S06</t>
  </si>
  <si>
    <t>Roof covering system</t>
  </si>
  <si>
    <t>All roof fall shall discharge outward away from the old house side</t>
  </si>
  <si>
    <t>Gutter side control</t>
  </si>
  <si>
    <t>Gutter and outlet shall be positioned on the outward low side of the lean-to roof only</t>
  </si>
  <si>
    <t>Flashing control</t>
  </si>
  <si>
    <t>Provide proper flashing at all roof-to-wall / roof-to-existing-house junctions so water does not backflow into the old house wall or the new enclosed spaces</t>
  </si>
  <si>
    <t>Edge protection control</t>
  </si>
  <si>
    <t>Provide fascia / trim / edge treatment to all exposed new roof edges to suit metal deck roof finish and gutter fixing</t>
  </si>
  <si>
    <t>Kitchen roof coverage</t>
  </si>
  <si>
    <t>Kitchen is enclosed and must be fully roofed with internal headroom coordinated for plaster ceiling below</t>
  </si>
  <si>
    <t>Bathroom roof coverage</t>
  </si>
  <si>
    <t>Bathroom is enclosed and must be fully roofed with internal headroom coordinated for plaster ceiling below</t>
  </si>
  <si>
    <t>Yard roof coverage</t>
  </si>
  <si>
    <t>Enclosed-space ceiling target</t>
  </si>
  <si>
    <t>All enclosed new spaces below this roof system must be coordinated to achieve minimum clear plaster ceiling height of 8ft</t>
  </si>
  <si>
    <t>Yard ceiling exclusion</t>
  </si>
  <si>
    <t>Tank exclusion from roof system</t>
  </si>
  <si>
    <t>Tank support rule</t>
  </si>
  <si>
    <t>S08-MATERIAL-STD</t>
  </si>
  <si>
    <t>Flashing tape item</t>
  </si>
  <si>
    <t>Use same Description as Materials.txt item: Butyl Flashing Tape 50.00mm x 5.00m</t>
  </si>
  <si>
    <t>Downpipe elbow item</t>
  </si>
  <si>
    <t>Downpipe clip item</t>
  </si>
  <si>
    <t>Use same Description as Materials.txt item: Downpipe Pipe Clip</t>
  </si>
  <si>
    <t>Material mapping rule</t>
  </si>
  <si>
    <t>S08-LABOUR-STD</t>
  </si>
  <si>
    <t>S08 excludes RC column, roof beam concrete, tank footing/column/beam support, tank plumbing, plaster ceiling installation, electrical wiring, wall plaster, tile, waterproofing and final painting</t>
  </si>
  <si>
    <t>Roofing layer lock</t>
  </si>
  <si>
    <t>S08-ROOF-FRAME</t>
  </si>
  <si>
    <t>S08-BATTEN</t>
  </si>
  <si>
    <t>GI Batten 32.00mm x 40.00mm x 0.42mm x 6.00m</t>
  </si>
  <si>
    <t>S08-ROOF-SHEET</t>
  </si>
  <si>
    <t>TH Deck 762 Metal Roofing 0.47mm G26 TCT</t>
  </si>
  <si>
    <t>FT-RUN</t>
  </si>
  <si>
    <t>S08-FASTENER</t>
  </si>
  <si>
    <t>S08-FLASHING</t>
  </si>
  <si>
    <t>Flashing #30 12" x 8.00ft</t>
  </si>
  <si>
    <t>Butyl Flashing Tape 50.00mm x 5.00m</t>
  </si>
  <si>
    <t>S08-GUTTER</t>
  </si>
  <si>
    <t>Downpipe Pipe Clip</t>
  </si>
  <si>
    <t>DEFAULT USED: no separate S08 service charged now; shared access/scaffold/service not duplicated here</t>
  </si>
  <si>
    <t>S08-SERVICE-NIL</t>
  </si>
  <si>
    <t>S08-LABOUR</t>
  </si>
  <si>
    <t>DEFAULT USED: internal enclosed slab base top-up for locked 52.04 sqm slab area</t>
  </si>
  <si>
    <t>DEFAULT USED: internal enclosed slab sand blinding for locked 52.04 sqm slab area</t>
  </si>
  <si>
    <t>DEFAULT USED: full internal enclosed slab DPM allowance including lap, perimeter turn-up and normal cut waste over 52.04 sqm internal slab area only</t>
  </si>
  <si>
    <t>DEFAULT USED: internal enclosed slab BRC allowance for locked 52.04 sqm slab area</t>
  </si>
  <si>
    <t>DEFAULT USED: internal enclosed slab ready-mix concrete basis only</t>
  </si>
  <si>
    <t>CALC NOTE: internal enclosed slab self-mix basis 5.20 m3 using nominal 1:2:4 ratio with 1.54 dry volume factor</t>
  </si>
  <si>
    <t>S16-WALKWAY-BASE</t>
  </si>
  <si>
    <t>S16-WALKWAY-BRC</t>
  </si>
  <si>
    <t>S16-WALKWAY-CONCRETE</t>
  </si>
  <si>
    <t>DEFAULT USED: one pail curing compound allowance for internal slab plus minimum roofed walkway self-mix slab/apron sequence</t>
  </si>
  <si>
    <t>Internal Ground Slab and Roofed Walkway Slab Ready Mix Option for New Extension</t>
  </si>
  <si>
    <t>S04 is the READY MIX slab option sheet covering the enclosed extension slab plus the minimum roofed external walkway / kaki lima strip</t>
  </si>
  <si>
    <t>S04 excludes footing pad, ground beam, RC column, roof beam, waterproofing, tiling, mixer and scaffolding</t>
  </si>
  <si>
    <t>Slab work zones</t>
  </si>
  <si>
    <t>S04 applies to kitchen, bathroom and roofed yard internal slab zones plus the minimum roofed walkway / kaki lima strip along new exposed external wall lines</t>
  </si>
  <si>
    <t>S04-REF-DRAWING</t>
  </si>
  <si>
    <t>Controlling floor and walkway references</t>
  </si>
  <si>
    <t>Internal extension floor area</t>
  </si>
  <si>
    <t>Total internal new extension floor area = 52.04 sqm</t>
  </si>
  <si>
    <t>Main internal floor area</t>
  </si>
  <si>
    <t>Main internal floor area excluding bathroom dropped-floor area = 45.60 sqm</t>
  </si>
  <si>
    <t>Minimum walkway / kaki lima width</t>
  </si>
  <si>
    <t>DEFAULT USED: minimum roofed walkway / kaki lima width = 610mm [2ft] following old house standard external kaki lima dimension</t>
  </si>
  <si>
    <t>Walkway area basis</t>
  </si>
  <si>
    <t>Combined slab family area basis</t>
  </si>
  <si>
    <t>Provide ground slab system only; slab is separate from footing pad, ground beam, RC column and roof beam structure</t>
  </si>
  <si>
    <t>DEFAULT USED: retain existing 3/4in aggregate on site as reusable base where suitable, then top up with crusher run, provide sand blinding, lay DPM at enclosed slab only, place BRC and cast slab concrete</t>
  </si>
  <si>
    <t>Use lightweight slab logic consistent with the old house slab concept using crusher run + BRC A10 + concrete</t>
  </si>
  <si>
    <t>DEFAULT USED: use ready mix concrete for all slab work under this option sheet</t>
  </si>
  <si>
    <t>DEFAULT USED: use G20 ready mix concrete for internal slab and walkway slab under this option sheet</t>
  </si>
  <si>
    <t>DEFAULT USED: ready mix slab work under S04 is budgeted as one combined slab pour sequence covering internal slab plus walkway slab</t>
  </si>
  <si>
    <t>Internal slab crusher run thickness basis</t>
  </si>
  <si>
    <t>Average crusher run top-up thickness for internal slab = 50mm over 52.04 sqm after reuse of existing 3/4in aggregate base where suitable</t>
  </si>
  <si>
    <t>Internal slab sand blinding thickness basis</t>
  </si>
  <si>
    <t>Internal slab sand blinding thickness = 10mm over 52.04 sqm</t>
  </si>
  <si>
    <t>Internal slab concrete thickness basis</t>
  </si>
  <si>
    <t>Internal slab concrete thickness = 100mm over 52.04 sqm</t>
  </si>
  <si>
    <t>Internal slab crusher run item</t>
  </si>
  <si>
    <t>Internal slab crusher run quantity basis</t>
  </si>
  <si>
    <t>Internal slab crusher run quantity = 0.26 TRIP based on 52.04 sqm x 50mm average top-up thickness</t>
  </si>
  <si>
    <t>Internal slab sand blinding item</t>
  </si>
  <si>
    <t>Internal slab sand quantity basis</t>
  </si>
  <si>
    <t>Internal slab fine sand quantity = 0.05 TRIP based on 52.04 sqm x 10mm sand blinding thickness</t>
  </si>
  <si>
    <t>Internal slab DPM item</t>
  </si>
  <si>
    <t>Internal slab DPM quantity basis</t>
  </si>
  <si>
    <t>DEFAULT USED: DPM quantity = 1 ROLL for full enclosed slab allowance including lap, perimeter turn-up and normal cut waste over 52.04 sqm internal slab area only</t>
  </si>
  <si>
    <t>DPM under S04 is required for the enclosed internal slab to separate ground moisture from the new internal floor slab</t>
  </si>
  <si>
    <t>DPM shall be laid on the blinded enclosed slab base, kept continuous across the enclosed slab area, properly lapped at joints, protected from puncture and kept turned up at perimeter for later continuity with wall damp-proofing line</t>
  </si>
  <si>
    <t>All enclosed slab penetrations, pipe sleeves and floor outlet positions passing through the slab zone must be coordinated so DPM continuity is maintained and any local puncture is sealed before concrete pour</t>
  </si>
  <si>
    <t>DPM external-strip exclusion</t>
  </si>
  <si>
    <t>DPM quantity under S04 applies to enclosed internal slab only and is not automatically extended to the external roofed walkway / kaki lima strip</t>
  </si>
  <si>
    <t>DPM under S04 is ground moisture control for the internal slab and is not a substitute for later bathroom and wet-area waterproofing scope</t>
  </si>
  <si>
    <t>Internal slab reinforcement item</t>
  </si>
  <si>
    <t>Internal slab BRC quantity basis</t>
  </si>
  <si>
    <t>Internal slab BRC quantity = 4.41 PCS based on 52.04 sqm total internal slab area using 2.13m x 6.10m sheet size with normal overlap allowance already resolved in basis</t>
  </si>
  <si>
    <t>Internal slab BRC standard</t>
  </si>
  <si>
    <t>Internal slab concrete quantity basis</t>
  </si>
  <si>
    <t>Ready mix concrete quantity for internal slab only = 5.20 m3</t>
  </si>
  <si>
    <t>Internal slab concrete item</t>
  </si>
  <si>
    <t>Walkway crusher run thickness basis</t>
  </si>
  <si>
    <t>Walkway sand blinding thickness basis</t>
  </si>
  <si>
    <t>Walkway slab concrete thickness basis</t>
  </si>
  <si>
    <t>Walkway slab crusher run quantity basis</t>
  </si>
  <si>
    <t>Walkway slab sand quantity basis</t>
  </si>
  <si>
    <t>Walkway slab BRC quantity basis</t>
  </si>
  <si>
    <t>Walkway slab concrete quantity basis</t>
  </si>
  <si>
    <t>Walkway slab function</t>
  </si>
  <si>
    <t>Provide minimum roofed walkway / kaki lima slab along the new exposed external wall lines so the wall base is protected and the walkway is usable below the protected roof edge</t>
  </si>
  <si>
    <t>Walkway level logic</t>
  </si>
  <si>
    <t>DEFAULT USED: external roofed walkway / kaki lima finished level follows the old house kaki lima logic and remains about 2in below the main internal finished floor level</t>
  </si>
  <si>
    <t>Walkway roof coordination</t>
  </si>
  <si>
    <t>Walkway slab under S04 must match the protected roof strip measured under S08 and must not be omitted from BOQ</t>
  </si>
  <si>
    <t>Walkway DPM clarification</t>
  </si>
  <si>
    <t>External roofed walkway strip is not counted with the enclosed-slab DPM basis under S04</t>
  </si>
  <si>
    <t>DEFAULT USED: curing quantity = 1 PAIL for the combined internal slab plus walkway slab pour sequence</t>
  </si>
  <si>
    <t>Provide curing to the full S04 slab pour after placement and finishing so early moisture loss is controlled and slab surface performance is improved</t>
  </si>
  <si>
    <t>New extension main internal finished floor level shall match the old internal house floor level</t>
  </si>
  <si>
    <t>Bathroom finished floor level shall remain 2in lower than the main new internal floor level</t>
  </si>
  <si>
    <t>Roofed yard area with one side open and no ceiling shall still receive internal floor slab support under this sheet</t>
  </si>
  <si>
    <t>S04 labour covers slab level control, bathroom drop-level control, DPM coordination for enclosed slab, BRC layout supervision, crusher run spreading, sand blinding, DPM laying, BRC laying, slab preparation, ready mix pour coordination and basic finishing for the combined internal slab plus walkway strip</t>
  </si>
  <si>
    <t>DEFAULT USED: allow 1 DAY crane service for one combined internal slab plus walkway slab ready mix pour; if later actual site execution proves crane not needed, set Usage Qty = 0 under update-only rule</t>
  </si>
  <si>
    <t>Internal Ground Slab and Roofed Walkway Slab Self-Mix Option for New Extension</t>
  </si>
  <si>
    <t>S16 is the SELF-MIX slab option sheet covering the enclosed extension slab plus the minimum roofed external walkway / kaki lima strip</t>
  </si>
  <si>
    <t>S16 carries base preparation, DPM for enclosed slab, BRC, site-mixed slab concrete, curing and slab labour for the internal extension floor plus the protected walkway slab strip</t>
  </si>
  <si>
    <t>S16 excludes footing pad, ground beam, RC column, roof beam, waterproofing, tiling, mixer and scaffolding</t>
  </si>
  <si>
    <t>S16 applies to kitchen, bathroom and roofed yard internal slab zones plus the minimum roofed walkway / kaki lima strip along new exposed external wall lines</t>
  </si>
  <si>
    <t>S16-REF-DRAWING</t>
  </si>
  <si>
    <t>DEFAULT USED: use site-mixed concrete for all slab work under this option sheet</t>
  </si>
  <si>
    <t>Self-mix allows smaller staged batching on site, but this sheet still budgets the full combined internal slab plus walkway slab scope only</t>
  </si>
  <si>
    <t>DPM under S16 is required for the enclosed internal slab to separate ground moisture from the new internal floor slab</t>
  </si>
  <si>
    <t>All enclosed slab penetrations, pipe sleeves and floor outlet positions passing through the slab zone must be coordinated so DPM continuity is maintained and any local puncture is sealed before concrete placing</t>
  </si>
  <si>
    <t>DPM quantity under S16 applies to enclosed internal slab only and is not automatically extended to the external roofed walkway / kaki lima strip</t>
  </si>
  <si>
    <t>DPM under S16 is ground moisture control for the internal slab and is not a substitute for later bathroom and wet-area waterproofing scope</t>
  </si>
  <si>
    <t>Internal slab self-mix concrete basis</t>
  </si>
  <si>
    <t>Internal slab self-mix concrete quantity basis = 5.20 m3</t>
  </si>
  <si>
    <t>Internal slab self-mix ratio basis</t>
  </si>
  <si>
    <t>DEFAULT USED: use nominal 1:2:4 concrete mix ratio by volume for internal slab self-mix cost comparison basis</t>
  </si>
  <si>
    <t>Internal slab cement quantity basis</t>
  </si>
  <si>
    <t>DEFAULT USED: internal slab cement quantity = 33 BAG for 5.20 m3 self-mix using nominal 1:2:4 ratio with 1.54 dry volume factor</t>
  </si>
  <si>
    <t>Internal slab coarse sand quantity basis</t>
  </si>
  <si>
    <t>DEFAULT USED: internal slab coarse sand quantity = 0.23 TRIP for 5.20 m3 self-mix using nominal 1:2:4 ratio with 1.54 dry volume factor</t>
  </si>
  <si>
    <t>Internal slab aggregate quantity basis</t>
  </si>
  <si>
    <t>DEFAULT USED: internal slab 3/4in aggregate quantity = 0.46 TRIP for 5.20 m3 self-mix using nominal 1:2:4 ratio with 1.54 dry volume factor</t>
  </si>
  <si>
    <t>Walkway slab self-mix concrete basis</t>
  </si>
  <si>
    <t>Walkway slab cement quantity basis</t>
  </si>
  <si>
    <t>Walkway slab coarse sand quantity basis</t>
  </si>
  <si>
    <t>Walkway slab aggregate quantity basis</t>
  </si>
  <si>
    <t>Walkway slab under S16 must match the protected roof strip measured under S08 and must not be omitted from BOQ</t>
  </si>
  <si>
    <t>External roofed walkway strip is not counted with the enclosed-slab DPM basis under S16</t>
  </si>
  <si>
    <t>DEFAULT USED: curing quantity = 1 PAIL for the combined internal slab plus walkway slab self-mix sequence</t>
  </si>
  <si>
    <t>Provide curing to the full S16 slab sequence after placing and finishing so early moisture loss is controlled and slab surface performance is improved</t>
  </si>
  <si>
    <t>S16 labour covers slab level control, bathroom drop-level control, DPM coordination for enclosed slab, crusher run top-up, sand blinding, DPM laying, BRC layout, site batching, mixer-feed support, wheelbarrow transport, concrete placing, screeding and basic finishing for the combined internal slab plus walkway strip</t>
  </si>
  <si>
    <t>Cement Brick Walling, Opening Formation, Lintel and Tie-In for Entire New Extension</t>
  </si>
  <si>
    <t>S09 is the masonry / walling / opening formation sheet for the new extension only</t>
  </si>
  <si>
    <t>Construct all new cement-brick walling, form all approved door/window openings, provide lintel treatment where required, and connect new walling to the old house at the verified tie-in lines</t>
  </si>
  <si>
    <t>S09 excludes final door leaves, door frames, windows, grilles, plaster/skim, waterproofing, tiling and painting</t>
  </si>
  <si>
    <t>S09-WORK-ZONE</t>
  </si>
  <si>
    <t>New masonry work zone</t>
  </si>
  <si>
    <t>S09 applies to all true wall lines of the new extension only and excludes beam-only lines without wall</t>
  </si>
  <si>
    <t>S09-REF-DRAWING</t>
  </si>
  <si>
    <t>Controlling walling references</t>
  </si>
  <si>
    <t>Use old house Rev01 plan plus the latest corrected extension plan / room-zone logic and final opening decisions already locked in this project</t>
  </si>
  <si>
    <t>Main walling material</t>
  </si>
  <si>
    <t>Main walling material = cement bricks</t>
  </si>
  <si>
    <t>Main walling item</t>
  </si>
  <si>
    <t>Use same Description as Materials.txt item: Cement Bricks 215 mm (L) x 102 mm (W) x 65 mm (H)</t>
  </si>
  <si>
    <t>Mortar cement item</t>
  </si>
  <si>
    <t>Mortar sand item</t>
  </si>
  <si>
    <t>Wall thickness basis</t>
  </si>
  <si>
    <t>DEFAULT USED: new walling uses nominal single-brick body thickness based on 102mm cement brick width; final finished thickness increases later with plaster and tile build-up</t>
  </si>
  <si>
    <t>Standard wall height basis</t>
  </si>
  <si>
    <t>DEFAULT USED: new enclosed walling height basis = 3048mm [10ft] up to the coordinated upper beam / roof support level</t>
  </si>
  <si>
    <t>Height coordination</t>
  </si>
  <si>
    <t>Wall height and opening head levels must coordinate with S06 upper support, S08 roof slope and S12 ceiling target so enclosed spaces can still achieve minimum clear ceiling 8ft</t>
  </si>
  <si>
    <t>Kitchen walling zone</t>
  </si>
  <si>
    <t>Kitchen is enclosed and shall receive full-height cement-brick walling on all confirmed wall lines</t>
  </si>
  <si>
    <t>Bathroom walling zone</t>
  </si>
  <si>
    <t>Bathroom is enclosed and shall receive full-height cement-brick walling on all confirmed wall lines</t>
  </si>
  <si>
    <t>Yard walling zone</t>
  </si>
  <si>
    <t>Yard is a roofed service area with one side open and no ceiling; only the confirmed side wall lines are built in masonry and the open side remains without full walling</t>
  </si>
  <si>
    <t>Beam-only line exclusion</t>
  </si>
  <si>
    <t>If a corrected structural line exists from column to column but no wall is intended on that line, it remains structural only and is excluded from S09 masonry quantity</t>
  </si>
  <si>
    <t>Existing old-house wall lines remain existing structure and are not rebuilt as new masonry under S09; new walling only ties in at the verified junctions to complete enclosure and sealing</t>
  </si>
  <si>
    <t>Tie-in junction control</t>
  </si>
  <si>
    <t>New-to-old wall junctions must be bonded / anchored / toothed in a controlled way and kept aligned to the verified old-house wall face and level</t>
  </si>
  <si>
    <t>Crack-control intention</t>
  </si>
  <si>
    <t>Do not leave new wall infill floating without proper junction tie-in; wall joints at the old-house connection must be prepared for stable attachment and later patching under wall-preparation scope</t>
  </si>
  <si>
    <t>Bathroom door opening basis</t>
  </si>
  <si>
    <t>Provide 1 no. bathroom door opening to suit final door size 84in x 30in</t>
  </si>
  <si>
    <t>Kitchen or back external door opening basis</t>
  </si>
  <si>
    <t>Provide 1 no. kitchen/back external door opening to suit final door size 84in x 36in</t>
  </si>
  <si>
    <t>Bathroom window opening basis</t>
  </si>
  <si>
    <t>Provide 1 no. top-hung bathroom window opening at 600mm W x 1200mm H</t>
  </si>
  <si>
    <t>Additional window opening basis 1</t>
  </si>
  <si>
    <t>Provide 2 no. additional top-hung window openings at 600mm W x 1200mm H each</t>
  </si>
  <si>
    <t>Additional window opening basis 2</t>
  </si>
  <si>
    <t>Provide 1 no. casement window opening at 600mm W x 1200mm H</t>
  </si>
  <si>
    <t>Opening formation rule</t>
  </si>
  <si>
    <t>All door and window openings shall be formed in masonry under S09 only; final door, window and grille installation remain separate in S10</t>
  </si>
  <si>
    <t>External grille separation</t>
  </si>
  <si>
    <t>All windows and all external-wall doors require grilles by user decision, but grille supply/install must not be priced in S09</t>
  </si>
  <si>
    <t>Provide lintel/support treatment over all masonry openings unless the opening head is already fully carried by a confirmed structural beam line under the upper-structure scope</t>
  </si>
  <si>
    <t>Lintel main bar item</t>
  </si>
  <si>
    <t>Lintel link item</t>
  </si>
  <si>
    <t>Lintel / opening formwork item</t>
  </si>
  <si>
    <t>Lintel coordination</t>
  </si>
  <si>
    <t>Lintel sizing and local reinforcement must match actual opening width and must not clash with the corrected beam/head level arrangement</t>
  </si>
  <si>
    <t>Kitchen service-wall coordination</t>
  </si>
  <si>
    <t>Kitchen walling and opening formation shall coordinate with the corrected table-top wall, sink service wall and nearby electrical/plumbing routes so chasing and opening edges do not conflict later</t>
  </si>
  <si>
    <t>Bathroom service-wall coordination</t>
  </si>
  <si>
    <t>Bathroom walling and opening formation shall coordinate with WC offset, basin position, floor-trap zone, shower zone, overhead tank support zone and corrected bathroom window position</t>
  </si>
  <si>
    <t>Bathroom tile coordination</t>
  </si>
  <si>
    <t>Bathroom walls are intended to receive full-height wall tiles later, so opening edges and wall faces must be formed plumb and ready for waterproofing / tiling build-up</t>
  </si>
  <si>
    <t>Kitchen finish coordination</t>
  </si>
  <si>
    <t>Kitchen wall surfaces not occupied by windows, doors or table-top service zones must remain consistent with later wall preparation and finish logic</t>
  </si>
  <si>
    <t>Yard finish coordination</t>
  </si>
  <si>
    <t>Yard masonry walls, where present, must coordinate with roofed open-service use and later external/internal finish treatment as applicable</t>
  </si>
  <si>
    <t>Top-of-wall alignment</t>
  </si>
  <si>
    <t>All new wall tops shall align with the corrected upper-structure / beam support logic and shall not be left at random head levels</t>
  </si>
  <si>
    <t>Wall-start and wall-stop rule</t>
  </si>
  <si>
    <t>Every masonry wall start/stop point must match the corrected structural support / beam / column layout and room-zone plan; do not extend masonry into deliberately open yard edges or beam-only lines</t>
  </si>
  <si>
    <t>S09 excludes final door leafs, door frames, windows, grilles, plastering, skim coat, waterproofing, wall tiles, floor tiles, painting and final sealant works</t>
  </si>
  <si>
    <t>S09-LABOUR-STD</t>
  </si>
  <si>
    <t>S09-WALLING</t>
  </si>
  <si>
    <t>Cement Bricks 215 mm (L) x 102 mm (W) x 65 mm (H)</t>
  </si>
  <si>
    <t>S09-MORTAR</t>
  </si>
  <si>
    <t>S09-LINTEL</t>
  </si>
  <si>
    <t>S09-LABOUR</t>
  </si>
  <si>
    <t>Doors, Windows, External Grilles, Door Frame, Ironmongery and Door-Specific Finish for Entire New Extension</t>
  </si>
  <si>
    <t>S10 is the fit-out sheet for all approved doors, windows, grilles and related accessories/finish tied to those openings only</t>
  </si>
  <si>
    <t>Install all approved custom-size doors, windows and external grilles according to the final corrected opening schedule, including kitchen/yard plywood door leaf, door frame, ironmongery and door-specific finishing materials where the door leaf is supplied raw/unfinished</t>
  </si>
  <si>
    <t>S10 excludes masonry opening formation, lintel work, wall plaster, general wall painting, waterproofing, ceiling works and electrical fittings</t>
  </si>
  <si>
    <t>S10-REF-DRAWING</t>
  </si>
  <si>
    <t>Controlling opening references</t>
  </si>
  <si>
    <t>Use corrected final extension opening decisions together with the user-provided calculator table as the latest custom-size reference overriding earlier generic assumptions</t>
  </si>
  <si>
    <t>Measure and price bathroom bifold door, kitchen/yard plywood door leaf, windows, external grilles, door frame, ironmongery and door-specific finishing as separate measured components within the same opening-fitout sheet</t>
  </si>
  <si>
    <t>Custom-size rule</t>
  </si>
  <si>
    <t>All S10 openings are custom-size fitout items and must follow the locked final custom schedule instead of the old house standard sizes unless specifically reused as reference only</t>
  </si>
  <si>
    <t>One-kitchen-yard-door correction</t>
  </si>
  <si>
    <t>There is only one kitchen/yard door opening from the kitchen to the washing-yard area; do not duplicate a second separate backyard door</t>
  </si>
  <si>
    <t>Bathroom door final schedule</t>
  </si>
  <si>
    <t>Provide 1 no. bathroom door at 30inW x 84inH</t>
  </si>
  <si>
    <t>Bathroom door final type</t>
  </si>
  <si>
    <t>Bathroom door type is Bifold Mini Pro VACP 800 Series as per latest calculator-table correction</t>
  </si>
  <si>
    <t>Kitchen-yard door final schedule</t>
  </si>
  <si>
    <t>Provide 1 no. kitchen/yard door at 36inW x 84inH</t>
  </si>
  <si>
    <t>Kitchen-yard door final type</t>
  </si>
  <si>
    <t>Kitchen/yard door leaf is user-locked as plywood door and is a separate door leaf from the external grille door at the same opening zone</t>
  </si>
  <si>
    <t>Kitchen-yard door unfinished rule</t>
  </si>
  <si>
    <t>Kitchen/yard plywood door leaf is raw/unfinished and therefore must include door-specific finishing materials and ironmongery in the same S10 scope; do not leave the raw plywood door uncoated</t>
  </si>
  <si>
    <t>Door-frame requirement</t>
  </si>
  <si>
    <t>Provide full door frame to all new doors under S10 and do not assume frame is included automatically just because the opening exists</t>
  </si>
  <si>
    <t>Ironmongery requirement</t>
  </si>
  <si>
    <t>Provide all practical ironmongery required for each installed door set including hinge / folding mechanism / handle / lockset / stopper / latch or equivalent fit-for-purpose hardware according to the actual door type</t>
  </si>
  <si>
    <t>Door-finish boundary</t>
  </si>
  <si>
    <t>Door-specific primer / undercoat / gloss or equivalent finishing needed for the raw plywood door remains inside S10 because it is inseparable from the unfinished door-leaf fitout; general wall paint remains outside S10</t>
  </si>
  <si>
    <t>Top-hung window final schedule</t>
  </si>
  <si>
    <t>Provide 3 no. windows at 1200mmW x 600mmH 2 Panel TopHung Casement Window c/w Float Glass</t>
  </si>
  <si>
    <t>Casement window final schedule</t>
  </si>
  <si>
    <t>Provide 1 no. window at 600mmW x 1200mmH 1 Panel Casement Window c/w Float Glass</t>
  </si>
  <si>
    <t>Window glazing requirement</t>
  </si>
  <si>
    <t>All approved aluminium windows under S10 are to be supplied complete with float glass as locked by the latest calculator table</t>
  </si>
  <si>
    <t>Window correction note</t>
  </si>
  <si>
    <t>The latest calculator-table schedule corrects earlier interim assumptions; the working final schedule is 3 top-hung windows 1200x600 and 1 casement window 600x1200</t>
  </si>
  <si>
    <t>External grille door final schedule</t>
  </si>
  <si>
    <t>Provide 1 no. external grille swing door at 36inW x 84inH to protect the kitchen/yard door opening</t>
  </si>
  <si>
    <t>External grille window final schedule 1</t>
  </si>
  <si>
    <t>Provide 3 no. grille windows at 1200mmW x 600mmH</t>
  </si>
  <si>
    <t>External grille window final schedule 2</t>
  </si>
  <si>
    <t>Provide 1 no. grille window at 600mmW x 1200mmH</t>
  </si>
  <si>
    <t>All windows and all doors on external wall positions require separate grille by user decision and must not be silently absorbed into the basic window/door leaf price</t>
  </si>
  <si>
    <t>Window-and-grille relationship</t>
  </si>
  <si>
    <t>Window body and grille body are separate chargeable items even when they serve the same opening</t>
  </si>
  <si>
    <t>Door-and-grille relationship</t>
  </si>
  <si>
    <t>Kitchen/yard raw plywood door and kitchen/yard external swing grille door serve the same opening zone but remain separate measurable components</t>
  </si>
  <si>
    <t>All S10 doors, windows and grilles must coordinate exactly with the final formed openings under S09 and must not trigger rework of masonry sizes without explicit correction</t>
  </si>
  <si>
    <t>Bathroom privacy logic</t>
  </si>
  <si>
    <t>Bathroom opening shall use the locked bifold door and bathroom window arrangement without clashing with the corrected tank-support / service zone</t>
  </si>
  <si>
    <t>Kitchen service-wall logic</t>
  </si>
  <si>
    <t>Kitchen/yard door and kitchen window arrangement must coordinate with the kitchen table-top wall, plug-point zone and sink service wall previously locked in other sheets</t>
  </si>
  <si>
    <t>Yard use logic</t>
  </si>
  <si>
    <t>The kitchen/yard opening is a service-use opening to the roofed laundry yard; selected door and grille arrangement must suit repeated daily use and ventilation/security function</t>
  </si>
  <si>
    <t>Glass / frame / grille source rule</t>
  </si>
  <si>
    <t>Calculator-table cost is the latest working cost reference for custom aluminium windows, bathroom bifold and external grilles; do not revert to old house standard door/window schedule for these extension items</t>
  </si>
  <si>
    <t>Raw-door material source rule</t>
  </si>
  <si>
    <t>Kitchen/yard plywood door leaf shall use the Materials.txt custom raw plywood door item and must be paired with frame, ironmongery and finishing logic under this same sheet</t>
  </si>
  <si>
    <t>S10-MATERIAL-STD</t>
  </si>
  <si>
    <t>Raw plywood door item</t>
  </si>
  <si>
    <t>Use same Description as Materials.txt item: Raw Plywood Door (Unfinished) - Up to 36"W x 84"H (Custom Size)</t>
  </si>
  <si>
    <t>Door finishing undercoat item</t>
  </si>
  <si>
    <t>Use same Description as Materials.txt item: Smart Paint 5400 Wall Sealer Exterior &amp; Interior Wall Undercoat 18L</t>
  </si>
  <si>
    <t>Door finishing gloss item</t>
  </si>
  <si>
    <t>Use same Description as Materials.txt item: White Gloss Paint 5L</t>
  </si>
  <si>
    <t>Sanding preparation item 1</t>
  </si>
  <si>
    <t>Use same Description as Materials.txt item: Sanding Paper 120G</t>
  </si>
  <si>
    <t>Sanding preparation item 2</t>
  </si>
  <si>
    <t>Use same Description as Materials.txt item: Sanding Paper 240G</t>
  </si>
  <si>
    <t>Sanding preparation item 3</t>
  </si>
  <si>
    <t>Use same Description as Materials.txt item: Sanding Paper 400G</t>
  </si>
  <si>
    <t>Window hardware reference item</t>
  </si>
  <si>
    <t>Use same Description as Materials.txt item: Top Hung 202 12" (Grade 202)</t>
  </si>
  <si>
    <t>Master-list mapping rule</t>
  </si>
  <si>
    <t>Frame / hardware completeness rule</t>
  </si>
  <si>
    <t>Do not under-scope S10 by pricing leaf or glass only; each real installed opening must be understood as complete fit-out including frame, glazing/hardware, fixing accessories and the required protective/security layer where applicable</t>
  </si>
  <si>
    <t>S10-LABOUR-STD</t>
  </si>
  <si>
    <t>S10 excludes masonry opening formation, lintel casting, wall plastering, general wall paint, waterproofing, ceiling works, electrical point installation and sanitary works</t>
  </si>
  <si>
    <t>S10-BATHROOM-DOOR</t>
  </si>
  <si>
    <t>S10-WINDOW</t>
  </si>
  <si>
    <t>Raw Plywood Door (Unfinished) - Up to 36"W x 84"H (Custom Size)</t>
  </si>
  <si>
    <t>S10-DOOR-FRAME</t>
  </si>
  <si>
    <t>S10-DOOR-FINISH</t>
  </si>
  <si>
    <t xml:space="preserve">Smart Paint 5400 Wall Sealer Exterior &amp; Interior Wall Undercoat 18L </t>
  </si>
  <si>
    <t>White Gloss Paint 5L</t>
  </si>
  <si>
    <t>Sanding Paper 120G</t>
  </si>
  <si>
    <t>Sanding Paper 240G</t>
  </si>
  <si>
    <t>Sanding Paper 400G</t>
  </si>
  <si>
    <t>DEFAULT USED: hinge allowance for one 36in x 84in kitchen-to-yard plywood door</t>
  </si>
  <si>
    <t>S10-IRONMONGERY</t>
  </si>
  <si>
    <t>Door Hinges 3/8" x 1-1/4" x 2"</t>
  </si>
  <si>
    <t>DEFAULT USED: mortise lockset allowance for one kitchen-to-yard plywood door</t>
  </si>
  <si>
    <t>ML7025-SS Armor Lever Mortise</t>
  </si>
  <si>
    <t>S10-LABOUR</t>
  </si>
  <si>
    <t>S11 is the wall plaster / skim / patching / wall-preparation sheet for the new extension only</t>
  </si>
  <si>
    <t>Prepare all new wall surfaces, tie-in junctions and opening reveals to the correct finish standard for later tile or paint work</t>
  </si>
  <si>
    <t>S11 includes base plaster, skim preparation, wall patching, tie-in make-good and reveal preparation; S11 excludes wall tiles, floor tiles, waterproofing, ceiling works, doors/windows/grilles and final paint coats</t>
  </si>
  <si>
    <t>S11-REF-DRAWING</t>
  </si>
  <si>
    <t>Controlling wall-finish references</t>
  </si>
  <si>
    <t>Use the old house architect plan and final extension build logic as the reference for finish language; old house notes show SKIM LICIN PADA DALAM RUMAH and PLASTER BIASA DAN DISPAN</t>
  </si>
  <si>
    <t>Original finish logic</t>
  </si>
  <si>
    <t>Follow the old house finish logic as the baseline: internal habitable wall faces use smooth skim-type finish, while non-feature / external type wall preparation uses normal plaster preparation ready for later finishing</t>
  </si>
  <si>
    <t>Main walling substrate</t>
  </si>
  <si>
    <t>S11 applies on new cement-brick wall substrate only after masonry under S09 is complete, aligned and cured enough for wall-preparation sequence</t>
  </si>
  <si>
    <t>S11 starts only after S09 walling/opening formation is complete and after major concealed service chasing/patching that affects wall face has been finalized</t>
  </si>
  <si>
    <t>Internal enclosed wall faces intended for painted finish shall receive plaster/skim preparation consistent with the original house internal smooth-wall logic</t>
  </si>
  <si>
    <t>Provide normal external plaster / wall preparation to exposed new outer wall faces and make them ready for later exterior finishing sequence</t>
  </si>
  <si>
    <t>Kitchen wall surfaces not receiving direct tile finish shall receive full plaster / skim / wall-preparation treatment under S11</t>
  </si>
  <si>
    <t>Kitchen tiled-zone exclusion</t>
  </si>
  <si>
    <t>Any kitchen wall zones intentionally reserved for later wall tile / splashback finish are excluded from final skim finish build-up under S11 and shall instead receive suitable substrate preparation only</t>
  </si>
  <si>
    <t>Bathroom wall surfaces shall be prepared as substrate suitable for later full-height wall tiles, not treated as ordinary painted-room skim-finish walls</t>
  </si>
  <si>
    <t>Bathroom tile-finish logic</t>
  </si>
  <si>
    <t>Bathroom full-height wall tiles are already locked by project decision, so S11 must not over-allow full fine skim finish behind areas that will be tiled full height</t>
  </si>
  <si>
    <t>Bathroom painted-surface exception</t>
  </si>
  <si>
    <t>Only any small bathroom wall areas genuinely left untiled, if any later remain, may receive painted-finish wall preparation; do not assume full painted bathroom walls</t>
  </si>
  <si>
    <t>Yard wall surfaces, where masonry exists, shall receive practical plaster / wall preparation suitable to the yard’s roofed open-service use and later finishing logic</t>
  </si>
  <si>
    <t>Yard has no ceiling and one side open; S11 applies to masonry wall surfaces only and must not assume enclosed-room finish quality at the open yard edge unless specifically required</t>
  </si>
  <si>
    <t>Make good and prepare all new-to-old wall junctions, stitch points, chase-repair zones and local uneven tie-in faces so the completed wall line can receive later finishing without obvious patch failure</t>
  </si>
  <si>
    <t>Prepare all door and window reveals, return edges and local patching around openings so they are straight, true and ready for later S10 installation and later finishing</t>
  </si>
  <si>
    <t>Service chase repair</t>
  </si>
  <si>
    <t>Repair and prepare all localized service-chase wall cuts, pipe-entry patch zones and embedment make-good areas that belong to wall preparation, after plumbing/electrical rough-in is confirmed complete</t>
  </si>
  <si>
    <t>Wall-flatness intention</t>
  </si>
  <si>
    <t>Wall faces under S11 shall be prepared sufficiently true for later tile-setting or paint-ready finishing sequence; do not leave obvious hollows, bulges or raw patch edges</t>
  </si>
  <si>
    <t>Corner and junction preparation</t>
  </si>
  <si>
    <t>Internal/external corners, beam-column-to-wall junctions and patched tie-in areas must be made reasonably true and ready for later finish alignment</t>
  </si>
  <si>
    <t>Column flush expectation</t>
  </si>
  <si>
    <t>Because the structural logic aimed to keep typical columns wall-flush where practical, S11 must include enough wall preparation to blend column/wall junctions to an acceptable finish line</t>
  </si>
  <si>
    <t>Moisture-related boundary</t>
  </si>
  <si>
    <t>S11 is wall preparation only; ground moisture control, DPM and bathroom waterproofing are outside this sheet and must not be duplicated here</t>
  </si>
  <si>
    <t>S11-MATERIAL-STD</t>
  </si>
  <si>
    <t>Base plaster cement item</t>
  </si>
  <si>
    <t>Base plaster sand item</t>
  </si>
  <si>
    <t>Stopping item</t>
  </si>
  <si>
    <t>Use same Description as Materials.txt item: A Plus Stopping Compound 20kg</t>
  </si>
  <si>
    <t>Coarse skim / leveling item</t>
  </si>
  <si>
    <t>Use same Description as Materials.txt item: Sika Wall 191 Coarse (White) 25kg</t>
  </si>
  <si>
    <t>Fine skim item</t>
  </si>
  <si>
    <t>Use same Description as Materials.txt item: Sika Wall 192 Fine (White) 25kg</t>
  </si>
  <si>
    <t>Base plaster material logic</t>
  </si>
  <si>
    <t>Cement and coarse sand under S11 are for wall plaster/make-good substrate preparation where required on new brick surfaces, tie-in zones and repair areas</t>
  </si>
  <si>
    <t>Stopping and skim logic</t>
  </si>
  <si>
    <t>Use stopping / coarse skim / fine skim as needed according to wall condition and finish destination; do not assume all wall faces require identical thickness or identical finish system</t>
  </si>
  <si>
    <t>Tile-substrate caution</t>
  </si>
  <si>
    <t>Areas receiving later wall tiles need proper even substrate and patching, but do not need unnecessary decorative final skim build-up behind full-height tiles</t>
  </si>
  <si>
    <t>Paint-ready caution</t>
  </si>
  <si>
    <t>Areas intended for later painted wall finish must be taken to paint-ready wall preparation standard and not left at rough plaster-only state</t>
  </si>
  <si>
    <t>S11 excludes wall tiles, floor tiles, waterproofing membranes, ceiling system, final paint coats, sealant to frames, door/window/grille installation and sanitary/electrical final fixtures</t>
  </si>
  <si>
    <t>S11-LABOUR-STD</t>
  </si>
  <si>
    <t>S11-STOPPING</t>
  </si>
  <si>
    <t>S11-SKIM</t>
  </si>
  <si>
    <t>Sika Wall 191 Coarse (White) 25kg</t>
  </si>
  <si>
    <t>Sika Wall 192 Fine (White) 25kg</t>
  </si>
  <si>
    <t>S11-LABOUR</t>
  </si>
  <si>
    <t>S12-CEILING-BOARD</t>
  </si>
  <si>
    <t>Gyproc Gypsum Board 4.00ft x 6.00ft x 9.00mm</t>
  </si>
  <si>
    <t>Primaflex Fibre Cement Board 4.00ft x 4.00ft</t>
  </si>
  <si>
    <t>GI Bracing 2440mm</t>
  </si>
  <si>
    <t>GI Carrier Rail (MF) 4880.00mm</t>
  </si>
  <si>
    <t>Aluminium Ceiling Trim (STD) 3660mm</t>
  </si>
  <si>
    <t>DEFAULT USED: joint treatment allowance for full enclosed ceiling board joints and manhole edge treatment</t>
  </si>
  <si>
    <t>Drywall Fibre Joint Tape 50mm x 50m</t>
  </si>
  <si>
    <t>S12-MANHOLE</t>
  </si>
  <si>
    <t>Plaster Ceiling Manhole 12"</t>
  </si>
  <si>
    <t>S12-LABOUR</t>
  </si>
  <si>
    <t>S13-REF-DRAWING</t>
  </si>
  <si>
    <t>S13-DIM</t>
  </si>
  <si>
    <t>Kitchen floor tile area basis</t>
  </si>
  <si>
    <t>Bathroom floor tile area basis</t>
  </si>
  <si>
    <t>Bathroom tiled floor area = 6.43 sqm based on locked bathroom area</t>
  </si>
  <si>
    <t>Yard floor tile area basis</t>
  </si>
  <si>
    <t>Bathroom floor tile logic</t>
  </si>
  <si>
    <t>Bathroom receives floor tile finish and must coordinate with floor trap position and 2in lowered finished floor logic</t>
  </si>
  <si>
    <t>Yard floor tile logic</t>
  </si>
  <si>
    <t>Yard is a roofed service area with one side open and no ceiling and still receives floor tile finish under the locked project decision</t>
  </si>
  <si>
    <t>Bathroom wall perimeter basis</t>
  </si>
  <si>
    <t>DEFAULT USED: bathroom wall tile perimeter basis = 10.26m derived from 2 x (2.184m + 2.946m)</t>
  </si>
  <si>
    <t>Bathroom full-height wall tile height basis</t>
  </si>
  <si>
    <t>Bathroom wall opening deduction basis</t>
  </si>
  <si>
    <t>DEFAULT USED: deduct bathroom bifold door opening about 1.63 sqm and bathroom window opening about 0.72 sqm from gross bathroom wall tile area</t>
  </si>
  <si>
    <t>Bathroom net full-height wall tile area basis</t>
  </si>
  <si>
    <t>DEFAULT USED: bathroom net full-height wall tile area = 22.67 sqm after door and window deduction</t>
  </si>
  <si>
    <t>Bathroom wall tile logic</t>
  </si>
  <si>
    <t>Wet-area waterproofing inclusion</t>
  </si>
  <si>
    <t>S13-MATERIAL-STD</t>
  </si>
  <si>
    <t>Bathroom wet-area waterproofing item</t>
  </si>
  <si>
    <t>Use same Description as Materials.txt item: SIKA Waterproof Compound Top Seal 107 (A+B) 25.00kg</t>
  </si>
  <si>
    <t>Waterproofing application rule</t>
  </si>
  <si>
    <t>Kitchen floor tile item</t>
  </si>
  <si>
    <t>DEFAULT USED: use same Description as Materials.txt item: Tile 600mm x 600mm</t>
  </si>
  <si>
    <t>Bathroom floor tile item</t>
  </si>
  <si>
    <t>DEFAULT USED: use same Description as Materials.txt item: Tile 300mm x 300mm</t>
  </si>
  <si>
    <t>Yard floor tile item</t>
  </si>
  <si>
    <t>Bathroom wall tile item</t>
  </si>
  <si>
    <t>DEFAULT USED: use same Description as Materials.txt item: Tile 300mm x 600mm</t>
  </si>
  <si>
    <t>Tile-size logic</t>
  </si>
  <si>
    <t>Tile adhesive item</t>
  </si>
  <si>
    <t>Use same Description as Materials.txt item: Tile Adhesive Weber 99</t>
  </si>
  <si>
    <t>Tile spacer item</t>
  </si>
  <si>
    <t>Use same Description as Materials.txt item: PVC Tile Spacer 2mm</t>
  </si>
  <si>
    <t>Tile grout item</t>
  </si>
  <si>
    <t>Use same Description as Materials.txt item: Weber Weberfill Fine Grout Coloured Grout For Narrow Tile Joint (3.5kg)</t>
  </si>
  <si>
    <t>Adhesive logic</t>
  </si>
  <si>
    <t>Spacer and grout logic</t>
  </si>
  <si>
    <t>Floor-fall coordination</t>
  </si>
  <si>
    <t>Bathroom floor-level coordination</t>
  </si>
  <si>
    <t>Kitchen level coordination</t>
  </si>
  <si>
    <t>Yard level coordination</t>
  </si>
  <si>
    <t>Tile-finish readiness</t>
  </si>
  <si>
    <t>S13 excludes slab concrete, wall plaster, door/window installation, sanitary final fittings, electrical final fittings, sealant to frames and general painting</t>
  </si>
  <si>
    <t>S13-LABOUR-STD</t>
  </si>
  <si>
    <t>Use the corrected coloured extension plan as the primary geometry reference; old house drawing is used only for minimum kaki lima standard reference</t>
  </si>
  <si>
    <t>Corrected external wall perimeter basis</t>
  </si>
  <si>
    <t>Corrected external wall perimeter = 25.705m based on 3150 + 10973 + 6198 + 5384 mm</t>
  </si>
  <si>
    <t>DEFAULT USED: minimum roofed walkway / kaki lima slab area = 15.68 sqm derived from 25.705m x 0.61m</t>
  </si>
  <si>
    <t>DEFAULT USED: combined slab family area under S04 = 67.72 sqm comprising 52.04 sqm internal slab + 15.68 sqm roofed walkway slab</t>
  </si>
  <si>
    <t>DEFAULT USED: average crusher run top-up thickness for walkway slab = 50mm over 15.68 sqm</t>
  </si>
  <si>
    <t>DEFAULT USED: walkway slab sand blinding thickness = 10mm over 15.68 sqm</t>
  </si>
  <si>
    <t>DEFAULT USED: walkway slab concrete thickness = 100mm over 15.68 sqm</t>
  </si>
  <si>
    <t>Walkway slab crusher run quantity = 0.08 TRIP based on 15.68 sqm x 50mm average top-up thickness</t>
  </si>
  <si>
    <t>Walkway slab fine sand quantity = 0.02 TRIP based on 15.68 sqm x 10mm sand blinding thickness</t>
  </si>
  <si>
    <t>Walkway slab BRC quantity = 1.33 PCS based on 15.68 sqm walkway slab area using 2.13m x 6.10m sheet size with normal overlap allowance</t>
  </si>
  <si>
    <t>Walkway slab ready mix concrete quantity = 1.57 m3</t>
  </si>
  <si>
    <t>Current project lock</t>
  </si>
  <si>
    <t>DEFAULT USED: minimum roofed walkway / kaki lima strip 610mm standard around full corrected external wall perimeter</t>
  </si>
  <si>
    <t>DEFAULT USED: combined slab family area under S16 = 67.72 sqm comprising 52.04 sqm internal slab + 15.68 sqm roofed walkway slab</t>
  </si>
  <si>
    <t>Walkway slab self-mix concrete quantity basis = 1.57 m3</t>
  </si>
  <si>
    <t>DEFAULT USED: walkway slab cement quantity = 10 BAG for 1.57 m3 self-mix using nominal 1:2:4 ratio with 1.54 dry volume factor</t>
  </si>
  <si>
    <t>DEFAULT USED: walkway slab coarse sand quantity = 0.07 TRIP for 1.57 m3 self-mix using nominal 1:2:4 ratio with 1.54 dry volume factor</t>
  </si>
  <si>
    <t>DEFAULT USED: walkway slab 3/4in aggregate quantity = 0.14 TRIP for 1.57 m3 self-mix using nominal 1:2:4 ratio with 1.54 dry volume factor</t>
  </si>
  <si>
    <t>CALC NOTE: roofed walkway / kaki lima slab self-mix basis about 1.57 m3 using nominal 1:2:4 ratio with 1.54 dry volume factor</t>
  </si>
  <si>
    <t>Preliminaries, Project Control, Shared Temporary Equipment and Initial Site Control for New Extension</t>
  </si>
  <si>
    <t>Controlling reference drawing</t>
  </si>
  <si>
    <t>Preliminary work applies only to the extension work zone, tie-in area, adjacent existing kaki lima connection area and nearby existing surfaces/services that need protection during early works</t>
  </si>
  <si>
    <t>Protection allowance is limited to one small residential extension work zone and one tie-in edge zone only</t>
  </si>
  <si>
    <t>Setting-out allowance is for one extension project only and is not to be repeated under later sheets unless a separate confirmed re-setting-out scope is recorded</t>
  </si>
  <si>
    <t>Perimeter reference for shared access</t>
  </si>
  <si>
    <t>Walkway reference</t>
  </si>
  <si>
    <t>S01-ROOF-STD</t>
  </si>
  <si>
    <t>Preferred economical roof type</t>
  </si>
  <si>
    <t>S01-CEILING-STD</t>
  </si>
  <si>
    <t>Ceiling height target</t>
  </si>
  <si>
    <t>S01-SPACE-STD</t>
  </si>
  <si>
    <t>Space enclosure lock</t>
  </si>
  <si>
    <t>Prelim labour item</t>
  </si>
  <si>
    <t>Use same Description as Labour.txt item: Cement Mixer Rental - Month 1 (Per Month)</t>
  </si>
  <si>
    <t>Use same Description as Labour.txt item: Cement Mixer Rental - Month 2 Onwards (Per Month)</t>
  </si>
  <si>
    <t>Shared equipment item 3</t>
  </si>
  <si>
    <t>DEFAULT USED: shared prelim mixer budget month 1 only; if final selected method does not use mixer, set Qty = 0 under update-only rule</t>
  </si>
  <si>
    <t>S01-SHARED-EQUIP</t>
  </si>
  <si>
    <t>DEFAULT USED: shared prelim mixer budget month 2 onwards; if final selected method does not use mixer, set Qty = 0 under update-only rule</t>
  </si>
  <si>
    <t>Cement Mixer Rental - Month 2 Onwards (Per Month)</t>
  </si>
  <si>
    <t>DEFAULT USED: corrected scaffold basis uses 25.705m perimeter, 1.8m bay run length, 2-tier setup and 2 months rental; 15 bay per tier x 2 tier x 2 months = 60 SET usage qty</t>
  </si>
  <si>
    <t>S01-SHARED-ACCESS</t>
  </si>
  <si>
    <t>Roof Frame, Metal Deck, Flashing, Gutter and Downpipe for Entire New Extension Including Walkway Cover</t>
  </si>
  <si>
    <t>Construct lightweight lean-to roof system to the new extension using light steel roof framing, batten, metal deck, flashing, gutter and downpipe while also covering the added walkway strip for wall/weather protection</t>
  </si>
  <si>
    <t>S08 excludes RC column, roof beam concrete, tank structural frame, plumbing tank pipework, plaster ceiling installation and all wall/finish works</t>
  </si>
  <si>
    <t>Use the old house roof beam detail and roof detailing as the base system reference together with the corrected coloured extension plan and latest locked room/perimeter decisions</t>
  </si>
  <si>
    <t>Roof work zone</t>
  </si>
  <si>
    <t>S08 applies to kitchen roof, bathroom roof, yard roof and the full roofed walkway / kaki lima strip around the corrected new external wall perimeter</t>
  </si>
  <si>
    <t>Original roof language</t>
  </si>
  <si>
    <t>Original house roof language is lightweight roof beam with C-channel / light roof frame, batten and metal deck; the new extension roof shall follow the same lightweight philosophy and must not drift into heavy roof construction</t>
  </si>
  <si>
    <t>Original house roof beam reference = approximately 100mm x 150mm</t>
  </si>
  <si>
    <t>Original frame spacing reference</t>
  </si>
  <si>
    <t>Provide metal deck roof covering to the full new extension roof area plus the roofed walkway strip</t>
  </si>
  <si>
    <t>Yard is roofed but has no ceiling and must not be forced into the enclosed ceiling system</t>
  </si>
  <si>
    <t>Walkway roof requirement</t>
  </si>
  <si>
    <t>Walkway / kaki lima must be roofed for wall/weather protection and must not be omitted from roof-coverage calculation</t>
  </si>
  <si>
    <t>Internal extension roof area basis</t>
  </si>
  <si>
    <t>Locked internal extension coverage basis = 52.04 sqm</t>
  </si>
  <si>
    <t>Walkway roof strip width basis</t>
  </si>
  <si>
    <t>Walkway / kaki lima roof strip width = 610mm [2ft] minimum</t>
  </si>
  <si>
    <t>Walkway roof strip length basis</t>
  </si>
  <si>
    <t>Walkway / kaki lima roof strip length = 25.705m following the corrected external wall perimeter</t>
  </si>
  <si>
    <t>Walkway roof strip area basis</t>
  </si>
  <si>
    <t>DEFAULT USED: walkway roof strip area = 15.68 sqm based on 25.705m x 0.61m</t>
  </si>
  <si>
    <t>Combined total roof coverage basis</t>
  </si>
  <si>
    <t>DEFAULT USED: combined roof coverage basis under S08 = 67.72 sqm comprising 52.04 sqm internal extension + 15.68 sqm walkway cover</t>
  </si>
  <si>
    <t>Yard is a roofed service area with one side open and no ceiling and still remains part of S08 roof coverage</t>
  </si>
  <si>
    <t>Walkway roof coverage</t>
  </si>
  <si>
    <t>Do not place the bathroom tank directly on normal roof beam, metal deck, light roof frame or batten under S08</t>
  </si>
  <si>
    <t>Any bathroom tank remains on its own dedicated structural support under structural sheets only; S08 coordinates roof clearance only</t>
  </si>
  <si>
    <t>Primary light roof frame item</t>
  </si>
  <si>
    <t>Secondary batten item</t>
  </si>
  <si>
    <t>Use same Description as Materials.txt item: GI Batten 32.00mm x 40.00mm x 0.42mm x 6.00m</t>
  </si>
  <si>
    <t>Metal deck item</t>
  </si>
  <si>
    <t>Use same Description as Materials.txt item: TH Deck 762 Metal Roofing 0.47mm G26 TCT</t>
  </si>
  <si>
    <t>Roof screw item</t>
  </si>
  <si>
    <t>Use same Description as Materials.txt item: Hex Self-Drilling Screw DS525HW 10# x 1"</t>
  </si>
  <si>
    <t>Flashing item</t>
  </si>
  <si>
    <t>Use same Description as Materials.txt item: Flashing #30 12" x 8.00ft</t>
  </si>
  <si>
    <t>Gutter item</t>
  </si>
  <si>
    <t>Use same Description as Materials.txt item: 0.47mm TCT Gutter Pre-Painted 18" Girth x 8ft</t>
  </si>
  <si>
    <t>Gutter bracket item</t>
  </si>
  <si>
    <t>Use same Description as Materials.txt item: 25mm x 4.5mm THK External Bracket</t>
  </si>
  <si>
    <t>Gutter outlet item</t>
  </si>
  <si>
    <t>Use same Description as Materials.txt item: 4" Dia Outlet</t>
  </si>
  <si>
    <t>Downpipe item</t>
  </si>
  <si>
    <t>Use same Description as Materials.txt item: Downpipe 110/100mm x 5.8m</t>
  </si>
  <si>
    <t>Downpipe adaptor item</t>
  </si>
  <si>
    <t>Use same Description as Materials.txt item: Downpipe Adaptor Socket 4"</t>
  </si>
  <si>
    <t>Use same Description as Materials.txt item: Downpipe Elbow 105deg</t>
  </si>
  <si>
    <t>Use exact master-list descriptions only; do not invent new roofing item names</t>
  </si>
  <si>
    <t>Sealant rule</t>
  </si>
  <si>
    <t>Use flashing tape and normal roof screw / trim logic only where measured roof junctions and leaks need control</t>
  </si>
  <si>
    <t>Labour basis item</t>
  </si>
  <si>
    <t>Do not repeat shared scaffold or mixer rental in S08; those remain under S01 only</t>
  </si>
  <si>
    <t>User confirmed that roof covers all areas including walkway, only yard has no ceiling, corrected external wall perimeter is 25.705m, and walkway/kaki lima is added outside the current coloured wall line but must still receive full roof protection</t>
  </si>
  <si>
    <t>Hex Self-Drilling Screw DS525HW 10# x 1"</t>
  </si>
  <si>
    <t>0.47mm TCT Gutter Pre-Painted 18" Girth x 8ft</t>
  </si>
  <si>
    <t>DEFAULT USED: external bracket allowance for gutter support over corrected low-edge runs</t>
  </si>
  <si>
    <t>25mm x 4.5mm THK External Bracket</t>
  </si>
  <si>
    <t>4" Dia Outlet</t>
  </si>
  <si>
    <t>DEFAULT USED: downpipe allowance for 4 outlet points from full gutter system</t>
  </si>
  <si>
    <t>S08-DOWNPIPE</t>
  </si>
  <si>
    <t>Downpipe 110/100mm x 5.8m</t>
  </si>
  <si>
    <t>DEFAULT USED: adaptor allowance for 4 downpipe outlet connections</t>
  </si>
  <si>
    <t>Downpipe Adaptor Socket 4"</t>
  </si>
  <si>
    <t>DEFAULT USED: elbow allowance for downpipe offset and drop arrangement</t>
  </si>
  <si>
    <t>Downpipe Elbow 105deg</t>
  </si>
  <si>
    <t>S07 includes incoming pipe, waste pipe, soil pipe, floor trap point, shower/water-heater plumbing point, tank feed/outlet/overflow/washout and testing; S07 excludes waterproofing, screed, tiling, roof rainwater goods and sanitary final installation</t>
  </si>
  <si>
    <t>Use the coloured extension plan as the primary geometry reference and use the old house drainage plan only as the service-size/tie-in reference</t>
  </si>
  <si>
    <t>Use the original house drainage logic only as the tie-in/service-type reference because the old house plan already shows incoming water, waste sizes, WC soil size, service taps and septic arrangement</t>
  </si>
  <si>
    <t>Use 1/2in incoming water line as the standard cold-water distribution size following the old drainage plan service-size reference</t>
  </si>
  <si>
    <t>Use 2in waste pipe as the standard foul/waste drain size following the old drainage plan service-size reference</t>
  </si>
  <si>
    <t>Use 4in soil pipe for WC discharge and connection to existing septic/existing soil tie-in following the old drainage plan service-size reference</t>
  </si>
  <si>
    <t>Existing old house drainage plan shows 1 tangki septik palong as existing reference/tie-in target only</t>
  </si>
  <si>
    <t>Bathroom zone size</t>
  </si>
  <si>
    <t>Bathroom new extension zone = 2184mm x 2946mm</t>
  </si>
  <si>
    <t>Bathroom size control</t>
  </si>
  <si>
    <t>Use the coloured extension plan bathroom size above as the controlling geometry for fixture layout, rough-in spacing and route coordination</t>
  </si>
  <si>
    <t>Kitchen new table-top horizontal run</t>
  </si>
  <si>
    <t>New extension T.TOP horizontal run = 1829mm</t>
  </si>
  <si>
    <t>Kitchen new table-top return run</t>
  </si>
  <si>
    <t>New extension T.TOP return run = 1945mm</t>
  </si>
  <si>
    <t>Table-top geometry control</t>
  </si>
  <si>
    <t>Kitchen sink/service plumbing must follow the new extension T.TOP in the coloured plan only; do not use the old white existing-house table-top detail as the quantity geometry for extension plumbing</t>
  </si>
  <si>
    <t>Kitchen sink final location is on the bathroom-wall side and must follow the corrected final kitchen T.TOP arrangement in the coloured extension plan</t>
  </si>
  <si>
    <t>Provide kitchen incoming and outgoing plumbing to suit the new extension L-shape T.TOP using the 1829mm + 1945mm run geometry</t>
  </si>
  <si>
    <t>Bathroom rough-in shall provide all embedded and concealed plumbing points required for WC, basin cabinet, floor trap, shower and water-heater use</t>
  </si>
  <si>
    <t>Follow the locked bathroom logic within the 2184mm x 2946mm zone: shower below the overhead tank zone, basin/sink at the front/door side, and WC positioned to suit the corrected bathroom window and service layout without service clash</t>
  </si>
  <si>
    <t>WC soil outlet shall follow standard 150mm / 6in rough position unless a later sanitary model explicitly requires a corrected offset</t>
  </si>
  <si>
    <t>WC 4in soil discharge shall route by the shortest practical path from the new bathroom to the existing septic/existing soil tie-in side</t>
  </si>
  <si>
    <t>Tank support frame/beam/platform belongs to S06; S07 covers tank-related pipework only</t>
  </si>
  <si>
    <t>Tank pipe routing shall be coordinated so it does not clash with the corrected bathroom window, bathroom tank-support zone or roof framing zone</t>
  </si>
  <si>
    <t>Provide washout/drain-down provision for the overhead tank so cleaning and maintenance can be done without dismantling the rough-in later</t>
  </si>
  <si>
    <t>Provide 1 no. 4in WC soil line from new bathroom WC point to existing septic/soil tie-in</t>
  </si>
  <si>
    <t>Kitchen 2in waste shall follow the shortest practical concealed route from the new kitchen T.TOP wall to the existing service/drain side with minimum crossing of unrelated structural zones</t>
  </si>
  <si>
    <t>4in WC soil line shall be routed with the minimum practical number of bends and shall connect to the existing septic/soil line side shown on the old drainage plan</t>
  </si>
  <si>
    <t>DEFAULT USED: provide 1 no. 1/2in service bib tap rough-in at the roofed laundry yard for washing/service use because the yard is locked as the washing-clothes area</t>
  </si>
  <si>
    <t>DEFAULT USED: any normal yard service discharge shall follow the practical surface/trapped drain logic coordinated with later floor finish and fall-to-trap work; roof rainwater downpipe is excluded from S07</t>
  </si>
  <si>
    <t>Coordinate bathroom pipe rough-in and floor trap level with the locked bathroom floor drop of 2in below the main new floor so later waterproofing/screed/tile fall can be formed correctly</t>
  </si>
  <si>
    <t>Wall/slab coordination</t>
  </si>
  <si>
    <t>Carry out rough-in testing for leakage, continuity and free discharge before concealment and before waterproofing/screed/tiling layers proceed</t>
  </si>
  <si>
    <t>Tiling, Wet-Area Waterproofing and Walkway Cement-Smooth Finish for New Extension</t>
  </si>
  <si>
    <t>S13 is the finish sheet for all locked tile zones plus the cement-smooth finish to the roofed walkway / kaki lima strip</t>
  </si>
  <si>
    <t>Provide floor tiles, bathroom full-height wall tiles, kitchen table-top wall tiles, tile-setting materials, bathroom wet-area waterproofing, grout and the cement-smooth finish to the walkway strip</t>
  </si>
  <si>
    <t>S13 excludes slab, structural concrete, wall plaster, door/window installation, sanitary final fitting and general painting</t>
  </si>
  <si>
    <t>Controlling finish references</t>
  </si>
  <si>
    <t>Use the coloured extension plan as the primary geometry reference and use the old house plan only for old-house level relationship reference</t>
  </si>
  <si>
    <t>Locked floor finish scope</t>
  </si>
  <si>
    <t>Floor finishes locked by user are kitchen floor tile, bathroom floor tile and yard floor tile; walkway has no tiles</t>
  </si>
  <si>
    <t>Locked wall finish scope</t>
  </si>
  <si>
    <t>Wall finishes locked by user are bathroom full-height wall tiles to 8ft and kitchen L-shape table-top wall tiles to standard 5ft height</t>
  </si>
  <si>
    <t>Walkway tile exclusion</t>
  </si>
  <si>
    <t>Walkway / kaki lima strip has no tiles and must not be counted under tile quantity</t>
  </si>
  <si>
    <t>Walkway finish logic</t>
  </si>
  <si>
    <t>Walkway / kaki lima strip receives ordinary smooth cement finish only</t>
  </si>
  <si>
    <t>DEFAULT USED: kitchen tiled floor area = 28.65 sqm derived from 52.04 sqm total internal slab area minus 6.43 sqm bathroom minus 16.96 sqm yard</t>
  </si>
  <si>
    <t>DEFAULT USED: yard tiled floor area = 16.96 sqm based on 5384mm x 3150mm yard zone</t>
  </si>
  <si>
    <t>Walkway cement-smooth area basis</t>
  </si>
  <si>
    <t>DEFAULT USED: roofed walkway / kaki lima cement-smooth finish area = 15.68 sqm based on 25.705m x 610mm</t>
  </si>
  <si>
    <t>Combined tiled floor area basis</t>
  </si>
  <si>
    <t>DEFAULT USED: combined tiled floor area under S13 = 52.04 sqm comprising kitchen + bathroom + yard only; walkway excluded from tile quantity</t>
  </si>
  <si>
    <t>Kitchen floor tile logic</t>
  </si>
  <si>
    <t>Kitchen is enclosed and receives floor tile finish only under the locked project decision</t>
  </si>
  <si>
    <t>Walkway / kaki lima finish remains below the main internal floor level following the locked external kaki lima relationship</t>
  </si>
  <si>
    <t>Bathroom full-height wall tile height = 8ft = 2.438m</t>
  </si>
  <si>
    <t>Bathroom receives full-height wall tiles to 8ft and must not be reduced to partial splashback-only treatment</t>
  </si>
  <si>
    <t>Kitchen table-top wall tile height basis</t>
  </si>
  <si>
    <t>Kitchen L-shape table-top wall tile height = 5ft = 1.524m</t>
  </si>
  <si>
    <t>Kitchen table-top horizontal run basis</t>
  </si>
  <si>
    <t>Kitchen new extension T.TOP horizontal run = 1829mm</t>
  </si>
  <si>
    <t>Kitchen table-top return run basis</t>
  </si>
  <si>
    <t>Kitchen new extension T.TOP return run = 1945mm</t>
  </si>
  <si>
    <t>Kitchen table-top wall tile area basis</t>
  </si>
  <si>
    <t>DEFAULT USED: kitchen new-extension L-shape table-top wall tile area = 5.75 sqm based on (1.829m + 1.945m) x 1.524m</t>
  </si>
  <si>
    <t>Kitchen table-top tile logic</t>
  </si>
  <si>
    <t>Provide wall tiles only to the new L-shape table-top zone marked T.TOP in the coloured extension plan and do not use the old white existing-house table-top detail for this quantity</t>
  </si>
  <si>
    <t>Socket/service coordination</t>
  </si>
  <si>
    <t>Table-top wall tiling must coordinate with electrical socket rows and plumbing sink points around the kitchen table-top zone</t>
  </si>
  <si>
    <t>Localized bathroom wet-area waterproofing is included under S13 as part of the practical tile system so this critical build item is not omitted from the BOQ</t>
  </si>
  <si>
    <t>Apply wet-area waterproofing to bathroom floor and bathroom wall zones requiring protection beneath tile finish before adhesive and tile installation proceed</t>
  </si>
  <si>
    <t>Kitchen table-top wall tile item</t>
  </si>
  <si>
    <t>Walkway cement finish cement item</t>
  </si>
  <si>
    <t>Walkway cement finish sand item</t>
  </si>
  <si>
    <t>DEFAULT USED: use same Description as Materials.txt item: Fine Sand (Scoop)</t>
  </si>
  <si>
    <t>DEFAULT USED: larger floor tile is assigned to kitchen, while smaller service/wet floor tile is assigned to bathroom and yard for easier set-out and practical fall control</t>
  </si>
  <si>
    <t>Kitchen wall tile size logic</t>
  </si>
  <si>
    <t>DEFAULT USED: kitchen table-top wall tiles use 300mm x 600mm format consistent with backsplash-style wall finish and easier build-up to 5ft</t>
  </si>
  <si>
    <t>Use tile adhesive for all tile zones under S13 and do not rely on plain mortar bedding as the default tile-setting method</t>
  </si>
  <si>
    <t>Provide spacers and grout for all tile-setting work so the completed finish is aligned, consistent and ready for later sanitary/electrical fit-out coordination</t>
  </si>
  <si>
    <t>Walkway cement finish logic</t>
  </si>
  <si>
    <t>Walkway cement licin biasa is a separate non-tile floor finish and shall be floated/trowelled smooth to a practical external protected-access finish standard</t>
  </si>
  <si>
    <t>Bathroom and yard floor finishes must follow the established falls to floor trap / discharge points and must not destroy the locked floor-level logic</t>
  </si>
  <si>
    <t>Bathroom finished level remains 2in below the main new finished floor level after allowing for floor-finish build-up</t>
  </si>
  <si>
    <t>Kitchen tiled floor finish must align with the locked main internal finished floor level</t>
  </si>
  <si>
    <t>Yard tiled finish must remain usable for service/washing use and coordinate with outward drainage logic and the open-side yard condition</t>
  </si>
  <si>
    <t>Substrate under S13 must be sufficiently prepared, true and stable from earlier sheets before tile-setting or walkway cement finishing begins; do not use S13 to hide structural or wall-preparation defects</t>
  </si>
  <si>
    <t>S13 labour later covers bathroom wet-area waterproofing, tile setting, tile cutting, floor-fall control, wall-tile alignment, kitchen table-top wall tile setting, walkway cement-smooth finishing, grouting, cleaning of tile faces and finish-ready preparation only</t>
  </si>
  <si>
    <t>DEFAULT USED: bathroom wet-area waterproofing to bathroom floor plus bathroom wall tile zones before tile installation</t>
  </si>
  <si>
    <t>S13-WATERPROOFING</t>
  </si>
  <si>
    <t>SIKA Waterproof Compound Top Seal 107 (A+B) 25.00kg</t>
  </si>
  <si>
    <t>S13-KITCHEN-FLOOR</t>
  </si>
  <si>
    <t>Tile 600mm x 600mm</t>
  </si>
  <si>
    <t>S13-BATHROOM-FLOOR</t>
  </si>
  <si>
    <t>Tile 300mm x 300mm</t>
  </si>
  <si>
    <t>S13-YARD-FLOOR</t>
  </si>
  <si>
    <t>S13-BATHROOM-WALL</t>
  </si>
  <si>
    <t>S13-KITCHEN-WALL</t>
  </si>
  <si>
    <t>DEFAULT USED: tile adhesive allowance for all floor and wall tile zones under S13</t>
  </si>
  <si>
    <t>S13-ADHESIVE</t>
  </si>
  <si>
    <t>DEFAULT USED: tile spacer allowance for all tile-setting zones under S13</t>
  </si>
  <si>
    <t>S13-SPACER</t>
  </si>
  <si>
    <t>PVC Tile Spacer 2mm</t>
  </si>
  <si>
    <t>PACK</t>
  </si>
  <si>
    <t>DEFAULT USED: grout allowance for all tile joints under S13</t>
  </si>
  <si>
    <t>S13-GROUT</t>
  </si>
  <si>
    <t>S13-WALKWAY-FINISH</t>
  </si>
  <si>
    <t>DEFAULT USED: walkway cement licin biasa finish sand allowance for 15.68 sqm roofed walkway strip</t>
  </si>
  <si>
    <t>Fine Sand (Scoop)</t>
  </si>
  <si>
    <t>S13-LABOUR</t>
  </si>
  <si>
    <t>Electrical Wiring, Power Points, Lighting, DB and Earthing for New Extension</t>
  </si>
  <si>
    <t>S14-REF-DRAWING</t>
  </si>
  <si>
    <t>Controlling electrical references</t>
  </si>
  <si>
    <t>Electrical method lock</t>
  </si>
  <si>
    <t>Concealed and exposed routing rule</t>
  </si>
  <si>
    <t>Ceiling lighting rule</t>
  </si>
  <si>
    <t>No-ceiling lighting rule</t>
  </si>
  <si>
    <t>Yard ceiling condition</t>
  </si>
  <si>
    <t>S14-DIM</t>
  </si>
  <si>
    <t>Kitchen socket point lock</t>
  </si>
  <si>
    <t>Kitchen total socket points</t>
  </si>
  <si>
    <t>Kitchen total 13A plug points = 9 points</t>
  </si>
  <si>
    <t>Water heater point lock</t>
  </si>
  <si>
    <t>Overall general power point basis</t>
  </si>
  <si>
    <t>Kitchen light fitting basis</t>
  </si>
  <si>
    <t>DEFAULT USED: kitchen downlight basis = 8 nos</t>
  </si>
  <si>
    <t>Bathroom light fitting basis</t>
  </si>
  <si>
    <t>DEFAULT USED: bathroom downlight basis = 2 nos</t>
  </si>
  <si>
    <t>Total enclosed downlight basis</t>
  </si>
  <si>
    <t>DEFAULT USED: total enclosed downlight basis under S14 = 10 nos</t>
  </si>
  <si>
    <t>No-ceiling batten basis</t>
  </si>
  <si>
    <t>Switch point basis</t>
  </si>
  <si>
    <t>DEFAULT USED: total switch point basis under S14 = 5 points</t>
  </si>
  <si>
    <t>Kitchen power logic</t>
  </si>
  <si>
    <t>Most kitchen plug points cluster along the table-top working zone and wall areas serving normal domestic small appliances</t>
  </si>
  <si>
    <t>Kitchen table-top electrical coordination</t>
  </si>
  <si>
    <t>Bathroom electrical logic</t>
  </si>
  <si>
    <t>Bathroom electrical scope includes lighting, switch control and dedicated water-heater point plus plug point only</t>
  </si>
  <si>
    <t>Yard electrical logic</t>
  </si>
  <si>
    <t>Yard is roofed but has no ceiling, so lighting there shall be batten type and routed practically for service use</t>
  </si>
  <si>
    <t>Walkway electrical boundary</t>
  </si>
  <si>
    <t>No separate walkway lighting quantity is included under S14 unless later specifically instructed</t>
  </si>
  <si>
    <t>DB requirement</t>
  </si>
  <si>
    <t>Provide one small extension distribution board arrangement for the new extension scope only</t>
  </si>
  <si>
    <t>Earthing requirement</t>
  </si>
  <si>
    <t>Provide earthing for the extension electrical system</t>
  </si>
  <si>
    <t>Protection device rule</t>
  </si>
  <si>
    <t>Provide appropriate single-phase branch protection, residual-current protection and surge protection for the extension DB arrangement</t>
  </si>
  <si>
    <t>Cable size rule</t>
  </si>
  <si>
    <t>S14-MATERIAL-STD</t>
  </si>
  <si>
    <t>Lighting cable item 1</t>
  </si>
  <si>
    <t>Use same Description as Materials.txt item: Mega PVC Cable 1.5mm2 (Black, SIRIM)</t>
  </si>
  <si>
    <t>Lighting cable item 2</t>
  </si>
  <si>
    <t>Use same Description as Materials.txt item: Mega PVC Cable 1.5mm2 (Green, SIRIM)</t>
  </si>
  <si>
    <t>Lighting cable item 3</t>
  </si>
  <si>
    <t>Use same Description as Materials.txt item: Mega PVC Cable 1.5mm2 (Red, SIRIM)</t>
  </si>
  <si>
    <t>Power cable item 1</t>
  </si>
  <si>
    <t>Use same Description as Materials.txt item: Mega PVC Cable 2.5mm2 (Black, SIRIM)</t>
  </si>
  <si>
    <t>Power cable item 2</t>
  </si>
  <si>
    <t>Use same Description as Materials.txt item: Mega PVC Cable 2.5mm2 (Green, SIRIM)</t>
  </si>
  <si>
    <t>Power cable item 3</t>
  </si>
  <si>
    <t>Use same Description as Materials.txt item: Mega PVC Cable 2.5mm2 (Red, SIRIM)</t>
  </si>
  <si>
    <t>Earth cable item</t>
  </si>
  <si>
    <t>Use same Description as Materials.txt item: Earth Cable 16mm2 G/Y (Estimate 15m)</t>
  </si>
  <si>
    <t>Conduit item 1</t>
  </si>
  <si>
    <t>Use same Description as Materials.txt item: PVC Conduit Pipe 20mm (10ft)</t>
  </si>
  <si>
    <t>Conduit item 2</t>
  </si>
  <si>
    <t>Use same Description as Materials.txt item: PVC Conduit Pipe 25mm (10ft)</t>
  </si>
  <si>
    <t>Conduit bend item</t>
  </si>
  <si>
    <t>Use same Description as Materials.txt item: PVC Elbow 90 Degree 25mm</t>
  </si>
  <si>
    <t>Back box item</t>
  </si>
  <si>
    <t>Use same Description as Materials.txt item: PVC Concealed Box 1 Gang</t>
  </si>
  <si>
    <t>Socket item</t>
  </si>
  <si>
    <t>Use same Description as Materials.txt item: Schneider Socket 13A (Single)</t>
  </si>
  <si>
    <t>Switch item</t>
  </si>
  <si>
    <t>Use same Description as Materials.txt item: Schneider Switch 1 Gang</t>
  </si>
  <si>
    <t>Downlight item</t>
  </si>
  <si>
    <t>Use same Description as Materials.txt item: LED Downlight 4in 12W</t>
  </si>
  <si>
    <t>Batten item</t>
  </si>
  <si>
    <t>Use same Description as Materials.txt item: Newton LED Batten 4ft Single Fitting C/W SBE LED Tube 22W 6500K</t>
  </si>
  <si>
    <t>DB box item</t>
  </si>
  <si>
    <t>Use same Description as Materials.txt item: Consumer DB Box 12 Way</t>
  </si>
  <si>
    <t>MCB item</t>
  </si>
  <si>
    <t>Use same Description as Materials.txt item: EPS MCB 1P (6A/10A/16A/20A/32A)</t>
  </si>
  <si>
    <t>RCCB item</t>
  </si>
  <si>
    <t>Use same Description as Materials.txt item: EPS RCCB Single Phase 40A 2P 30mA</t>
  </si>
  <si>
    <t>SPD item</t>
  </si>
  <si>
    <t>Use same Description as Materials.txt item: EPS SPD Single Phase 1P+N 20/40kA</t>
  </si>
  <si>
    <t>Earthing rod item</t>
  </si>
  <si>
    <t>Use same Description as Materials.txt item: Taipoly Copper Rod 13.7mm x 5ft (SIRIM JKR)</t>
  </si>
  <si>
    <t>Earthing clamp item</t>
  </si>
  <si>
    <t>Use same Description as Materials.txt item: Copper Cable Clamp (Heavy Duty)</t>
  </si>
  <si>
    <t>S14-LABOUR-STD</t>
  </si>
  <si>
    <t>Price/Unit (RM)</t>
  </si>
  <si>
    <t>DEFAULT USED: concealed lighting cable allowance for extension kitchen and bathroom lighting/switch circuits</t>
  </si>
  <si>
    <t>S14-CABLE</t>
  </si>
  <si>
    <t>Mega PVC Cable 1.5mm2 (Black, SIRIM)</t>
  </si>
  <si>
    <t>Mega PVC Cable 1.5mm2 (Green, SIRIM)</t>
  </si>
  <si>
    <t>Mega PVC Cable 1.5mm2 (Red, SIRIM)</t>
  </si>
  <si>
    <t>DEFAULT USED: socket and water-heater point cable allowance for extension power circuits</t>
  </si>
  <si>
    <t>Mega PVC Cable 2.5mm2 (Black, SIRIM)</t>
  </si>
  <si>
    <t>Mega PVC Cable 2.5mm2 (Green, SIRIM)</t>
  </si>
  <si>
    <t>Mega PVC Cable 2.5mm2 (Red, SIRIM)</t>
  </si>
  <si>
    <t>DEFAULT USED: minimum complete earthing allowance for extension electrical system</t>
  </si>
  <si>
    <t>S14-EARTH</t>
  </si>
  <si>
    <t>Earth Cable 16mm2 G/Y (Estimate 15m)</t>
  </si>
  <si>
    <t>M</t>
  </si>
  <si>
    <t>DEFAULT USED: concealed conduit allowance for light and switch circuits in enclosed zones</t>
  </si>
  <si>
    <t>S14-CONDUIT</t>
  </si>
  <si>
    <t>PVC Conduit Pipe 20mm (10ft)</t>
  </si>
  <si>
    <t>DEFAULT USED: concealed conduit allowance for socket and water-heater circuits</t>
  </si>
  <si>
    <t>PVC Conduit Pipe 25mm (10ft)</t>
  </si>
  <si>
    <t>DEFAULT USED: conduit bend allowance for extension electrical routing</t>
  </si>
  <si>
    <t>PVC Elbow 90 Degree 25mm</t>
  </si>
  <si>
    <t>DEFAULT USED: back box allowance for 10 socket points and 5 switch points</t>
  </si>
  <si>
    <t>S14-BACKBOX</t>
  </si>
  <si>
    <t>PVC Concealed Box 1 Gang</t>
  </si>
  <si>
    <t>S14-SOCKET</t>
  </si>
  <si>
    <t>Schneider Socket 13A (Single)</t>
  </si>
  <si>
    <t>S14-SWITCH</t>
  </si>
  <si>
    <t>Schneider Switch 1 Gang</t>
  </si>
  <si>
    <t>DEFAULT USED: enclosed-space downlight allowance for kitchen and bathroom according to locked point basis</t>
  </si>
  <si>
    <t>S14-LIGHT</t>
  </si>
  <si>
    <t>Newton LED Batten 4ft Single Fitting C/W SBE LED Tube 22W 6500K</t>
  </si>
  <si>
    <t>DEFAULT USED: one extension DB box allowance for locked electrical scope</t>
  </si>
  <si>
    <t>S14-DB</t>
  </si>
  <si>
    <t>Consumer DB Box 12 Way</t>
  </si>
  <si>
    <t>DEFAULT USED: single-phase branch protection allowance for extension DB</t>
  </si>
  <si>
    <t>EPS MCB 1P (6A/10A/16A/20A/32A)</t>
  </si>
  <si>
    <t>DEFAULT USED: single-phase residual-current protection allowance for extension DB</t>
  </si>
  <si>
    <t>EPS RCCB Single Phase 40A 2P 30mA</t>
  </si>
  <si>
    <t>DEFAULT USED: surge protection allowance for extension DB</t>
  </si>
  <si>
    <t>EPS SPD Single Phase 1P+N 20/40kA</t>
  </si>
  <si>
    <t>DEFAULT USED: earthing rod allowance for extension electrical system</t>
  </si>
  <si>
    <t>Taipoly Copper Rod 13.7mm x 5ft (SIRIM JKR)</t>
  </si>
  <si>
    <t>DEFAULT USED: heavy-duty clamp allowance for extension earthing system</t>
  </si>
  <si>
    <t>Copper Cable Clamp (Heavy Duty)</t>
  </si>
  <si>
    <t>S14-LABOUR</t>
  </si>
  <si>
    <t>S14 covers the complete electrical scope for the new extension only and excludes structural, plumbing, roofing, walling, doors/windows, plaster, ceiling framing, tiling and final painting</t>
  </si>
  <si>
    <t>Provide complete extension electrical wiring, power points, lighting points, switch points, water-heater point, DB arrangement, single-phase protection and earthing</t>
  </si>
  <si>
    <t>Use coloured extension plan and locked session decisions as controlling basis; old white-house electrical drawing is reference for installation language and height logic only</t>
  </si>
  <si>
    <t>Use coloured extension plan + Sal Radwan 2026-03-30 + Sal Radwan 2026-03-31; do not use old white-house geometry for new extension takeoff</t>
  </si>
  <si>
    <t>All S14 works shall follow the final locked extension-only electrical logic and shall not drift back to original house room geometry</t>
  </si>
  <si>
    <t>DEFAULT USED: use concealed routing for enclosed kitchen and bathroom; use practical exposed routing for the roofed yard zone with no ceiling</t>
  </si>
  <si>
    <t>All enclosed spaces with ceiling shall use downlight fittings according to suitability of area</t>
  </si>
  <si>
    <t>Spaces without ceiling shall use 4ft LED batten fittings according to suitability of area so the area is not too dark</t>
  </si>
  <si>
    <t>Yard has no ceiling and therefore its lighting shall not be priced as downlight</t>
  </si>
  <si>
    <t>Dapur minimum 7 plug point confirmed plus 2 additional plug points for the wall zone between the two top-hung windows</t>
  </si>
  <si>
    <t>Water-heater point + plug point confirmed for bathroom use</t>
  </si>
  <si>
    <t>DEFAULT USED: total 13A socket points under S14 = 10 points including kitchen general power and 1 bathroom water-heater plug point</t>
  </si>
  <si>
    <t>DEFAULT USED: total 4ft LED batten basis under S14 = 2 sets for roofed yard / open service zone</t>
  </si>
  <si>
    <t>Kitchen socket and lighting arrangement must coordinate with the corrected new table-top layout, not the old-house table-top detail</t>
  </si>
  <si>
    <t>DEFAULT USED: 1.5mm2 cable for lighting and switch circuits; 2.5mm2 cable for socket and water-heater power circuits</t>
  </si>
  <si>
    <t>Installation height reference</t>
  </si>
  <si>
    <t>DEFAULT USED: follow original house electrical drawing language for practical installation reference: SSO about 1.5ft above floor level and one-way switch about 5ft above floor level unless local condition requires small adjustment</t>
  </si>
  <si>
    <t>Labour item</t>
  </si>
  <si>
    <t>S14 electrical lock</t>
  </si>
  <si>
    <t>User confirmed kitchen minimum 7 plug point + 2 tambahan, water-heater point + plug point, enclosed spaces use downlight, no-ceiling zones use 4ft LED batten, and new outputs use skilled worker only</t>
  </si>
  <si>
    <t>DEFAULT USED: confirmed general power points for extension kitchen and bathroom water-heater use</t>
  </si>
  <si>
    <t>DEFAULT USED: switch allowance for kitchen, bathroom and yard/open-roofed lighting control</t>
  </si>
  <si>
    <t>DEFAULT USED: no-ceiling light allowance for roofed yard/open service zone so the area is not too dark</t>
  </si>
  <si>
    <t>S15-TITLE</t>
  </si>
  <si>
    <t>Painting, Sanitary Final, Final Fittings, Sealant, Testing and Cleaning for New Extension</t>
  </si>
  <si>
    <t>S15 is the closing trade sheet for the new extension and carries paint finish, sanitary final install, selected final fittings, sealant/touch-up, service testing and final cleaning/handover only</t>
  </si>
  <si>
    <t>S15-OVERVIEW</t>
  </si>
  <si>
    <t>Complete final non-structural handover layer for the new extension</t>
  </si>
  <si>
    <t>S15 includes final wall/ceiling paint touch-up and finish, bathroom sanitary final installation, final visible fitting completion, local sealant/making-good, testing and cleaning; S15 excludes rough-in plumbing, rough-in electrical, structural work, roofing, walling, ceiling framing and tiling base work already priced under earlier sheets</t>
  </si>
  <si>
    <t>S15-REF-DRAWING</t>
  </si>
  <si>
    <t>Controlling finishing references</t>
  </si>
  <si>
    <t>Use coloured extension plan and locked session decisions only; do not use old white-house geometry as extension takeoff geometry</t>
  </si>
  <si>
    <t>S15-METHOD</t>
  </si>
  <si>
    <t>Final-sheet boundary</t>
  </si>
  <si>
    <t>S15 is the final handover layer only; do not duplicate items already charged in S07 rough-in, S10 openings, S12 ceiling, S13 tiling or S14 electrical</t>
  </si>
  <si>
    <t>Painting scope</t>
  </si>
  <si>
    <t>Painting under S15 is limited to final sealer/undercoat/emulsion for enclosed finished surfaces and gloss touch-up for the user-locked plywood kitchen/yard door finish layer</t>
  </si>
  <si>
    <t>Sanitary final installation scope</t>
  </si>
  <si>
    <t>S15 carries final bathroom sanitary fixtures and exposed accessory installation after rough-in and tiling are complete</t>
  </si>
  <si>
    <t>Bathroom final fixture lock</t>
  </si>
  <si>
    <t>Bathroom final fixture set remains 1 WC + 1 basin cabinet + 1 floor trap + 1 shower + 1 hand bidet as already locked</t>
  </si>
  <si>
    <t>Kitchen final fitting boundary</t>
  </si>
  <si>
    <t>S15 carries final kitchen fitting completion only where supported by exact master items; rough-in route and concealed service logic remain under S07</t>
  </si>
  <si>
    <t>Water heater boundary</t>
  </si>
  <si>
    <t>Water heater wiring/point work remains under S14; S15 only carries final coordination/testing of completed services and does not duplicate electrical installation pricing</t>
  </si>
  <si>
    <t>Sealant and making-good boundary</t>
  </si>
  <si>
    <t>Provide local joint sealing, minor making-good and final touch-up only at sanitary edges, fitting edges and paint touch-up zones</t>
  </si>
  <si>
    <t>Testing boundary</t>
  </si>
  <si>
    <t>S15 shall include final sanitary water test, flushing/checking, visual finish inspection and practical handover readiness check for the extension-only scope</t>
  </si>
  <si>
    <t>Cleaning boundary</t>
  </si>
  <si>
    <t>S15 shall include final builders cleaning for the new extension work zone only and not the whole old house</t>
  </si>
  <si>
    <t>S15-DIM</t>
  </si>
  <si>
    <t>Bathroom sanitary package count</t>
  </si>
  <si>
    <t>Provide 1 complete bathroom sanitary final package basis for the locked extension bathroom</t>
  </si>
  <si>
    <t>Shower set count</t>
  </si>
  <si>
    <t>Provide 1 no. final shower set to the bathroom</t>
  </si>
  <si>
    <t>Hand bidet set count</t>
  </si>
  <si>
    <t>Provide 1 no. final hand bidet set to the bathroom</t>
  </si>
  <si>
    <t>Final floor trap count</t>
  </si>
  <si>
    <t>Provide 1 no. visible final floor trap fitting at the bathroom tiled floor zone</t>
  </si>
  <si>
    <t>Flexible hose allowance</t>
  </si>
  <si>
    <t>DEFAULT USED: provide 2 no. flexible hose allowances for final sanitary connection completion</t>
  </si>
  <si>
    <t>Paint sealer basis</t>
  </si>
  <si>
    <t>DEFAULT USED: 1 pail sealer / undercoat allowance for final enclosed-finish extension scope and local finishing touch-up</t>
  </si>
  <si>
    <t>Interior emulsion basis</t>
  </si>
  <si>
    <t>DEFAULT USED: 2 pails interior emulsion allowance for enclosed kitchen and bathroom final paint/touch-up scope</t>
  </si>
  <si>
    <t>Door gloss basis</t>
  </si>
  <si>
    <t>DEFAULT USED: 1 tin gloss paint allowance for final plywood kitchen/yard door finish and minor fitting touch-up</t>
  </si>
  <si>
    <t>Sanding preparation basis</t>
  </si>
  <si>
    <t>DEFAULT USED: sanding preparation allowance for final plywood door/fitting paint touch-up uses 120G, 240G and 400G papers</t>
  </si>
  <si>
    <t>Sealant basis</t>
  </si>
  <si>
    <t>DEFAULT USED: provide 4 pcs local sealant allowance for sanitary edges, fitting perimeter, minor gap filling and making-good</t>
  </si>
  <si>
    <t>S15-MATERIAL-STD</t>
  </si>
  <si>
    <t>Paint item 1</t>
  </si>
  <si>
    <t xml:space="preserve">Use same Description as Materials.txt item: Smart Paint 5400 Wall Sealer Exterior &amp; Interior Wall Undercoat 18L </t>
  </si>
  <si>
    <t>Paint item 2</t>
  </si>
  <si>
    <t>Use same Description as Materials.txt item: Colourland Super White 9102 Colourlite 18L Emulsion Paint</t>
  </si>
  <si>
    <t>Paint item 3</t>
  </si>
  <si>
    <t>Paint prep item 1</t>
  </si>
  <si>
    <t>Paint prep item 2</t>
  </si>
  <si>
    <t>Paint prep item 3</t>
  </si>
  <si>
    <t>Sealant item</t>
  </si>
  <si>
    <t>Use same Description as Materials.txt item: Poly Sealant 280ml</t>
  </si>
  <si>
    <t>Sanitary item 1</t>
  </si>
  <si>
    <t xml:space="preserve">Use same Description as Materials.txt item: DOCASA Combo, c/w One-piece rimless toilet bowl + modern bathroom sink cabinet with basin, mirror &amp; shelf , Soft-close seat and cover, Cistern fittings, Cistern cover with flush button, Straight connector </t>
  </si>
  <si>
    <t>Sanitary item 2</t>
  </si>
  <si>
    <t>Use same Description as Materials.txt item: Twins Shower Square 8"</t>
  </si>
  <si>
    <t>Sanitary item 3</t>
  </si>
  <si>
    <t>Use same Description as Materials.txt item: Yessy Two-Way Hand Bidet</t>
  </si>
  <si>
    <t>Sanitary item 4</t>
  </si>
  <si>
    <t>Use same Description as Materials.txt item: Yessy Tile Floor Trap</t>
  </si>
  <si>
    <t>Sanitary item 5</t>
  </si>
  <si>
    <t>Use same Description as Materials.txt item: Flexible Hose Latina 10"</t>
  </si>
  <si>
    <t>S15-LABOUR-STD</t>
  </si>
  <si>
    <t>S15-USER-INPUT</t>
  </si>
  <si>
    <t>S15 closing-sheet lock</t>
  </si>
  <si>
    <t>S15 is done after S14 and before final audit; new outputs use skilled worker only and must remain copy-code TSV ready</t>
  </si>
  <si>
    <t>DEFAULT USED: final sealer/undercoat allowance for enclosed extension finish layer and local paint preparation</t>
  </si>
  <si>
    <t>S15-PAINT</t>
  </si>
  <si>
    <t>DEFAULT USED: final interior emulsion allowance for enclosed kitchen and bathroom finish/touch-up scope</t>
  </si>
  <si>
    <t>Colourland Super White 9102 Colourlite 18L Emulsion Paint</t>
  </si>
  <si>
    <t>DEFAULT USED: gloss finish allowance for plywood kitchen/yard door and minor final touch-up</t>
  </si>
  <si>
    <t>DEFAULT USED: coarse sanding allowance for final plywood door and fitting surface preparation</t>
  </si>
  <si>
    <t>S15-PAINT-PREP</t>
  </si>
  <si>
    <t>DEFAULT USED: medium sanding allowance for final plywood door and fitting surface preparation</t>
  </si>
  <si>
    <t>DEFAULT USED: fine sanding allowance for final plywood door and fitting surface preparation</t>
  </si>
  <si>
    <t>DEFAULT USED: local sanitary edge and finishing joint sealant allowance</t>
  </si>
  <si>
    <t>S15-SEALANT</t>
  </si>
  <si>
    <t>Poly Sealant 280ml</t>
  </si>
  <si>
    <t>DEFAULT USED: 1 complete bathroom sanitary final package for locked extension bathroom</t>
  </si>
  <si>
    <t>S15-SANITARY</t>
  </si>
  <si>
    <t xml:space="preserve">DOCASA Combo, c/w One-piece rimless toilet bowl + modern bathroom sink cabinet with basin, mirror &amp; shelf , Soft-close seat and cover, Cistern fittings, Cistern cover with flush button, Straight connector </t>
  </si>
  <si>
    <t>DEFAULT USED: 1 final shower set for locked bathroom sanitary completion</t>
  </si>
  <si>
    <t>Twins Shower Square 8"</t>
  </si>
  <si>
    <t>DEFAULT USED: 1 final hand bidet set for locked bathroom sanitary completion</t>
  </si>
  <si>
    <t>Yessy Two-Way Hand Bidet</t>
  </si>
  <si>
    <t>DEFAULT USED: 1 visible final floor trap fitting for the bathroom tiled floor zone</t>
  </si>
  <si>
    <t>DEFAULT USED: flexible hose allowance for final sanitary connection completion</t>
  </si>
  <si>
    <t>Flexible Hose Latina 10"</t>
  </si>
  <si>
    <t>S15-LABOUR</t>
  </si>
  <si>
    <t>S01 is limited to true preliminaries, shared temporary equipment and initial site control only for the whole extension</t>
  </si>
  <si>
    <t>Provide minimum necessary preliminaries for local protection, setting-out, tie-in control, shared temporary equipment and shared access budget</t>
  </si>
  <si>
    <t>S01 shall not price measured structural work, slab/base, footing, beam, column, plumbing, roofing, walling, openings, plaster, ceiling, tiling, electrical or final fittings</t>
  </si>
  <si>
    <t>Use the existing house drawing Rev01 together with the final corrected coloured extension plan for setting-out and tie-in checking only; do not use white old-house geometry as new extension takeoff geometry</t>
  </si>
  <si>
    <t>S01 is a true prelim sheet only and shall carry only minimum initial protection, marking, datum/reference check, shared temporary equipment and shared access items required before later trade sheets start</t>
  </si>
  <si>
    <t>Provide local protection only at the extension tie-in/work zone and adjacent existing surfaces/services; do not protect the whole old house and do not over-allow unnecessary prelim materials</t>
  </si>
  <si>
    <t>New extension main finished floor follows the old internal house floor level, with bathroom floor 2in lower; this datum is recorded here as setting-out/control reference only, not as measured structural work</t>
  </si>
  <si>
    <t>Corrected external wall perimeter reference for current extension geometry = 25.705 m</t>
  </si>
  <si>
    <t>Minimum walkway / kaki lima runs the full corrected extension perimeter reference = 25.705 m at 610mm width, but walkway quantities are not measured under S01</t>
  </si>
  <si>
    <t>DEFAULT USED: lean-to / single-slope outward roof type for the extension</t>
  </si>
  <si>
    <t>All enclosed spaces shall target minimum clear ceiling about 8ft after final build-up</t>
  </si>
  <si>
    <t>Kitchen = enclosed; bathroom = enclosed; yard = roofed with one side open and no ceiling</t>
  </si>
  <si>
    <t>Cement mixer rental and scaffolding rental are shared temporary cost items and shall be carried in S01 only, not in S04/S05/S16/S17 option sheets</t>
  </si>
  <si>
    <t>If the final selected work method does not use a shared temporary item already budgeted in S01, keep the row and set Usage Qty = 0 under update-only rule</t>
  </si>
  <si>
    <t>Scaffolding allowance is for upper works/perimeter access related to the corrected extension perimeter and related shared access only</t>
  </si>
  <si>
    <t>Work method restriction</t>
  </si>
  <si>
    <t>DEFAULT USED: S01 prelim works use manual small-job method only; no backhoe, no crane and no RORO are to be charged under S01</t>
  </si>
  <si>
    <t>Labour rule lock</t>
  </si>
  <si>
    <t>All new labour outputs from this stage onward use skilled worker only; do not use general helper in new outputs</t>
  </si>
  <si>
    <t>Allow exactly 2 pcs Plastic Tarpaulin Sheet 12 x 18ft for one small extension tie-in/work zone protection setup</t>
  </si>
  <si>
    <t>Prelim labour productivity basis</t>
  </si>
  <si>
    <t>DEFAULT USED: legacy prelim basis 4 MH skilled + 4 MH helper is converted to skilled-only rule; combined ideal basis = 8 MH and treated as light-work prelim activity for protection, datum/tie-in check and one full set-out event</t>
  </si>
  <si>
    <t>Cement mixer month 1 basis</t>
  </si>
  <si>
    <t>DEFAULT USED: allow 1 month cement mixer rental as shared prelim budget for self-mix option neutrality; if final selected method does not use mixer, later set Usage Qty = 0</t>
  </si>
  <si>
    <t>Cement mixer month 2 basis</t>
  </si>
  <si>
    <t>DEFAULT USED: allow 1 month Cement Mixer Rental - Month 2 Onwards as shared prelim budget for self-mix option neutrality; if final selected method does not use mixer, later set Usage Qty = 0</t>
  </si>
  <si>
    <t>Scaffolding rental basis</t>
  </si>
  <si>
    <t>DEFAULT USED: corrected scaffold basis uses 25.705m perimeter, 1.8m bay run length, rounded to 15 bay per tier; 2-tier = 30 set; 2 months total usage = 60 set</t>
  </si>
  <si>
    <t>Protection sheet, rope, chalk, initial prelim labour, mixer and scaffold budget recorded in S01 must not be repeated again in later sheets unless a separate new prelim event is explicitly recorded</t>
  </si>
  <si>
    <t>User scope translation</t>
  </si>
  <si>
    <t>User requires BOQ split by scope, old white plan used only as existing/tie-in reference, coloured plan controls extension geometry, walkway is an added outer strip and not a floor-plan wall zone, and S01 must stay as prelim/control sheet with shared temporary equipment only</t>
  </si>
  <si>
    <t>DEFAULT USED: exact one-off local protection allowance for one small extension tie-in/work zone; no separate wastage added because qty itself is fixed prelim allowance</t>
  </si>
  <si>
    <t>DEFAULT USED: exact one-off securing allowance for local protection setup; no separate wastage added because qty itself is fixed prelim allowance</t>
  </si>
  <si>
    <t>DEFAULT USED: exact one-off initial marking/set-out consumable allowance; no separate wastage added because qty itself is fixed prelim allowance</t>
  </si>
  <si>
    <t>S01-LABOUR</t>
  </si>
  <si>
    <t>S03 carries only the manual earthwork labour layer required before S04 base/slab build-up begins</t>
  </si>
  <si>
    <t>S03 labour item</t>
  </si>
  <si>
    <t>User confirmed manual excavation and manual cart away only, reuse existing 3/4in aggregate where suitable, crusher run as later economical top-up material, no reliance on normal loose soil under new internal floor, bathroom floor drop 2in, no heavy plant/rental unless separately proven later, and all new labour outputs must use skilled worker only</t>
  </si>
  <si>
    <t>S04 carries base preparation, DPM for enclosed slab, BRC, ready mix concrete slab work, curing, slab labour and option-specific crane for the internal extension floor plus the protected walkway slab strip</t>
  </si>
  <si>
    <t>Corrected external wall perimeter = 25.705m based on the corrected extension geometry</t>
  </si>
  <si>
    <t>Skilled-only labour rule</t>
  </si>
  <si>
    <t>User confirmed corrected external wall perimeter = 25.705m, walkway length follows the same perimeter and is added outside the current coloured wall line, roof covers all areas including walkway, S04 must include walkway slab in addition to the internal coloured extension slab, DPM is required for enclosed slab, and current-session labour outputs use skilled worker only</t>
  </si>
  <si>
    <t>DEFAULT USED: internal enclosed slab base top-up for locked 52.04 sqm slab area; derived quantity already follows thickness basis so no extra buffer is added</t>
  </si>
  <si>
    <t>DEFAULT USED: internal enclosed slab sand blinding for locked 52.04 sqm slab area; derived quantity already follows thickness basis so no extra buffer is added</t>
  </si>
  <si>
    <t>DEFAULT USED: full enclosed slab DPM allowance including lap, perimeter turn-up and normal cut waste is already built into the 1 roll basis</t>
  </si>
  <si>
    <t>DEFAULT USED: internal enclosed slab BRC allowance for locked 52.04 sqm slab area with normal overlap already resolved in the derived quantity</t>
  </si>
  <si>
    <t>DEFAULT USED: minimum roofed walkway / kaki lima strip 610mm standard around corrected extension perimeter; derived quantity already follows thickness basis</t>
  </si>
  <si>
    <t>S04-WALKWAY</t>
  </si>
  <si>
    <t>DEFAULT USED: minimum roofed walkway / kaki lima BRC allowance with normal overlap already resolved in the derived quantity</t>
  </si>
  <si>
    <t>DEFAULT USED: roofed walkway / kaki lima ready-mix slab basis derived from 15.68 sqm x 100mm</t>
  </si>
  <si>
    <t>DEFAULT USED: one pail curing compound allowance for combined internal slab plus walkway slab pour sequence</t>
  </si>
  <si>
    <t>DEFAULT USED: include 1 DAY crane as option-specific ready-mix support for one combined internal slab plus walkway slab ready-mix pour under S04</t>
  </si>
  <si>
    <t>S05 includes footing blinding, reinforcement, formwork, concrete pour labour, curing and option-specific crane if kept; S05 excludes mixer and scaffolding</t>
  </si>
  <si>
    <t>DEFAULT USED: footing pad blinding, footing pad concrete and ground beam concrete under S05 are budgeted using ready mix for one lower-structure operation</t>
  </si>
  <si>
    <t>DEFAULT USED: use G25 ready mix concrete for S05 footing pad and ground beam lower-structure works</t>
  </si>
  <si>
    <t>Timber support item</t>
  </si>
  <si>
    <t>S05 labour covers footing marking confirmation, footing blinding preparation, beam line confirmation, rebar cage fixing, formwork fixing, level checking, ready mix receiving, pouring, vibrating/rodding and basic concrete finishing for footing pad and ground beam only</t>
  </si>
  <si>
    <t>User locked S05 as footing pad + ground beam ready mix comparison sheet only; footing and beam may be poured together in one lower-structure pour; column pour stays in later sequence; current-session labour outputs use skilled worker only</t>
  </si>
  <si>
    <t>CALC NOTE: 11 footing pads x 900mm x 900mm x 50mm blinding = 0.45 m3; to keep exact master item this blinding is budgeted under the same ready-mix concrete item used for the lower-structure pour</t>
  </si>
  <si>
    <t>DEFAULT USED: footing pad + ground beam ready-mix lower-structure pour basis for locked 4.10 m3 structural concrete</t>
  </si>
  <si>
    <t>DEFAULT USED: main reinforcement basis for 11 footing pads plus approximately 50.13m total ground beam length with starter bar anchorage zone included</t>
  </si>
  <si>
    <t>DEFAULT USED: link and tie reinforcement basis for footing pad and ground beam cage under the locked lower-structure geometry</t>
  </si>
  <si>
    <t>DEFAULT USED: reusable side formwork basis for ground beam sides and local footing edge shuttering where trench face alone is insufficient</t>
  </si>
  <si>
    <t>DEFAULT USED: timber support and bracing for beam side shuttering and local footing edge formwork support</t>
  </si>
  <si>
    <t>DEFAULT USED: one pail curing compound allowance for footing pad plus ground beam concrete after placement</t>
  </si>
  <si>
    <t>DEFAULT USED: allow 1 DAY crane service for one complete footing pad plus ground beam ready-mix lower-structure pour</t>
  </si>
  <si>
    <t>Use same Description as Materials.txt item: MS Deformed Bar Y10 12.00m (Main Bars)</t>
  </si>
  <si>
    <t>User confirmed the latest corrected sketch as the controlling upper-structure reference: red points are new support points, pink points are existing only, beam-only lines still count as structure, bathroom tank support stays inside the same structural system, and current-session labour outputs use skilled worker only</t>
  </si>
  <si>
    <t>DEFAULT USED: RC column concrete volume 0.75 m3 plus roof beam concrete volume 0.75 m3 gives 1.50 m3 total upper-structure concrete basis</t>
  </si>
  <si>
    <t>DEFAULT USED: 11 RC columns at average effective concrete height about 3.03m with 4 main bars each gives about 133.32m total; rounded to 12 bars before formula waste/buffer</t>
  </si>
  <si>
    <t>S06-REBAR</t>
  </si>
  <si>
    <t>DEFAULT USED: roof beam main bars based on about 50.00m total roof beam length with 4 main bars gives about 200.00m total; rounded to 17 bars before formula waste/buffer</t>
  </si>
  <si>
    <t>DEFAULT USED: combined upper-structure links for RC columns and roof beams with normal lightweight spacing allowance for the locked upper grid</t>
  </si>
  <si>
    <t>DEFAULT USED: column side shuttering plus roof beam side and soffit formwork allowance for the locked upper structural family</t>
  </si>
  <si>
    <t>DEFAULT USED: timber support, waler and bracing allowance for RC column and roof beam formwork including local tank support zone formwork support</t>
  </si>
  <si>
    <t>DEFAULT USED: one pail curing compound allowance for RC column plus roof beam upper-structure concrete</t>
  </si>
  <si>
    <t>CALC NOTE: base MH = 8 for one initial prelim event covering local protection setup, datum/tie-in check and one full setting-out operation; light-work factor 0.80 =&gt; 8/0.80 x 1.20 x 1.15 = 13.80 rounded to 14 MH skilled-only</t>
  </si>
  <si>
    <t>CALC NOTE: base MH = 8 for one initial prelim event covering local protection setup, datum/tie-in check and one full setting-out operation; light-work factor 0.80 =&gt; 8/0.80 x 1.20 x 1.15 = 13.80 rounded</t>
  </si>
  <si>
    <t>Skilled labour productivity basis</t>
  </si>
  <si>
    <t>CALC NOTE: base MH = 40 derived from the locked S03 manual earthwork workload covering 11 footing holes, 9 beam trenches, local service trenching, formation trimming and spoil handling; heavy-work factor 0.55 =&gt; 40/0.55 x 1.20 x 1.15 = 100.36 rounded to 100 MH skilled-only</t>
  </si>
  <si>
    <t>No additional S03 labour is allowed beyond the fixed 100 MH Labour - Skilled Worker (Per MH) unless a later separate earthwork event is explicitly recorded</t>
  </si>
  <si>
    <t>CALC NOTE: base MH = 40 derived from the locked S03 manual earthwork workload covering 11 footing holes, 9 beam trenches, local service trenching, formation trimming and spoil handling; heavy-work factor 0.55 =&gt; 40/0.55 x 1.20 x 1.15 = 100.36 rounded</t>
  </si>
  <si>
    <t>DEFAULT USED: all current-session labour outputs must use skilled worker only; no helper labour is used</t>
  </si>
  <si>
    <t>Labour productivity basis</t>
  </si>
  <si>
    <t>CALC NOTE: base MH = 38 for combined internal slab plus walkway ready-mix works covering level control, bathroom drop-level check, crusher run spreading, sand blinding, DPM laying, BRC laying, slab preparation, ready-mix pour coordination and basic finishing; medium-work factor 0.65 =&gt; 38/0.65 x 1.20 x 1.15 = 80.68 rounded to 81 MH skilled-only</t>
  </si>
  <si>
    <t>CALC NOTE: base MH = 38 for combined internal slab plus walkway ready-mix works covering level control, bathroom drop-level check, crusher run spreading, sand blinding, DPM laying, BRC laying, slab preparation, ready-mix pour coordination and basic finishing; medium-work factor 0.65 =&gt; 38/0.65 x 1.20 x 1.15 = 80.68 rounded</t>
  </si>
  <si>
    <t>CALC NOTE: base MH = 56 for footing blinding preparation, footing/beam line confirmation, rebar cage fixing, formwork fixing, level checking, ready-mix receiving, pouring, vibrating/rodding and basic concrete finishing; heavy-work factor 0.55 =&gt; 56/0.55 x 1.20 x 1.15 = 140.51 rounded to 141 MH skilled-only</t>
  </si>
  <si>
    <t>CALC NOTE: base MH = 56 for footing blinding preparation, footing/beam line confirmation, rebar cage fixing, formwork fixing, level checking, ready-mix receiving, pouring, vibrating/rodding and basic concrete finishing; heavy-work factor 0.55 =&gt; 56/0.55 x 1.20 x 1.15 = 140.51 rounded</t>
  </si>
  <si>
    <t>DEFAULT USED: all current-session labour outputs use skilled worker only</t>
  </si>
  <si>
    <t>CALC NOTE: base MH = 44 for 11 RC columns, 9 roof beam lines, integrated bathroom tank upper support, rebar fixing, formwork fixing, alignment, ready-mix placing, rodding/vibration and basic finishing; heavy-work factor 0.55 =&gt; 44/0.55 x 1.20 x 1.15 = 110.40 rounded to 110 MH skilled-only</t>
  </si>
  <si>
    <t>CALC NOTE: base MH = 44 for 11 RC columns, 9 roof beam lines, integrated bathroom tank upper support, rebar fixing, formwork fixing, alignment, ready-mix placing, rodding/vibration and basic finishing; heavy-work factor 0.55 =&gt; 44/0.55 x 1.20 x 1.15 = 110.40 rounded</t>
  </si>
  <si>
    <t>Use same Description as Materials.txt item: PVC Pipe Class 6 Dia15.00mm (1/2") x 5.80m/Length</t>
  </si>
  <si>
    <t>Use same Description as Materials.txt item: PVC P/T Socket Brass Thread 1/2"</t>
  </si>
  <si>
    <t>Use same Description as Materials.txt item: Brass Stop Cock 1/2"</t>
  </si>
  <si>
    <t>Use same Description as Materials.txt item: Brass Garden Bib Tap 1/2"</t>
  </si>
  <si>
    <t>Use same Description as Materials.txt item: UPVC Pipe With SIRIM (2") x 5.8m</t>
  </si>
  <si>
    <t>Use same Description as Materials.txt item: UPVC Pipe With SIRIM (4") x 5.8m</t>
  </si>
  <si>
    <t>Use same Description as Materials.txt item: PVC Fitting Double End Socket 50mm (2")</t>
  </si>
  <si>
    <t>Use same Description as Materials.txt item: PVC Fitting Double End Socket 100mm (4")</t>
  </si>
  <si>
    <t>Use same Description as Materials.txt item: Long Bend 4"</t>
  </si>
  <si>
    <t>Use same Description as Materials.txt item: PVC Solvent Cement Glue 500g (Arrow, Orange)</t>
  </si>
  <si>
    <t>Cold water route basis</t>
  </si>
  <si>
    <t>DEFAULT USED: 1/2in cold-water route basis = 4 lengths total to cover kitchen sink branch, bathroom branch, tank rising line, tank outlet distribution and yard bib/service branch</t>
  </si>
  <si>
    <t>2in waste route basis</t>
  </si>
  <si>
    <t>DEFAULT USED: 2in waste route basis = 3 lengths total to cover kitchen sink waste plus bathroom basin/floor-trap waste routing to existing waste side</t>
  </si>
  <si>
    <t>4in soil route basis</t>
  </si>
  <si>
    <t>DEFAULT USED: 4in soil route basis = 2 lengths total to cover WC discharge route to existing septic/soil tie-in side with practical bend allowance</t>
  </si>
  <si>
    <t>Fitting quantity basis</t>
  </si>
  <si>
    <t>DEFAULT USED: provide practical fitting count for branch continuation, waste route joints, soil route joints, one WC long bend, one floor trap and final concealed jointing support according to the locked fixture-point count</t>
  </si>
  <si>
    <t>CALC NOTE: base MH = 30 for route marking, sleeve setting, concealed pipe laying, branch forming, socketing/jointing, fixture-point positioning, tank line coordination, testing and local making-good support; medium-work factor 0.65 =&gt; 30/0.65 x 1.20 x 1.15 = 63.69 rounded to 64 MH skilled-only</t>
  </si>
  <si>
    <t>S07 labour covers route marking, sleeve setting, concealed pipe laying, branch forming, socketing/jointing, fixture-point positioning, testing and local making-good support only</t>
  </si>
  <si>
    <t>User confirmed bathroom size = 2184 x 2946, new T.TOP = 1829 + 1945 in the coloured extension plan, kitchen sink follows the new extension T.TOP only, overhead tank is limited to 1 x N50 / N80 only, and all current-session labour outputs use skilled worker only</t>
  </si>
  <si>
    <t>DEFAULT USED: 1/2in cold-water distribution for kitchen sink, bathroom use zone, tank rising line, tank outlet distribution and yard bib/service branch</t>
  </si>
  <si>
    <t>S07-COLD-WATER</t>
  </si>
  <si>
    <t>DEFAULT USED: 1/2in branch and take-off allowance for kitchen sink, bathroom branch, tank line and service bib connection points</t>
  </si>
  <si>
    <t>PVC P/T Socket Brass Thread 1/2"</t>
  </si>
  <si>
    <t>DEFAULT USED: 1 no. yard washing/service bib tap rough-in as locked for roofed yard washing area</t>
  </si>
  <si>
    <t>DEFAULT USED: 2in waste route for kitchen sink waste plus bathroom basin/floor-trap waste to existing waste side</t>
  </si>
  <si>
    <t>DEFAULT USED: 2in waste-line straight joint allowance across kitchen and bathroom waste routing</t>
  </si>
  <si>
    <t>DEFAULT USED: 1 no. tile floor trap for bathroom floor drain rough-in as locked by the bathroom fixture set</t>
  </si>
  <si>
    <t>DEFAULT USED: basin concealed waste and later sanitary connection support for the locked bathroom basin point</t>
  </si>
  <si>
    <t>Basin Waste 11/4"</t>
  </si>
  <si>
    <t>DEFAULT USED: basin bottle trap support for the locked bathroom basin point</t>
  </si>
  <si>
    <t>Bottle Trap PVC 11/4" 32mm Blue/green</t>
  </si>
  <si>
    <t>DEFAULT USED: 4in WC soil route from new bathroom WC point to existing septic/soil tie-in side</t>
  </si>
  <si>
    <t>DEFAULT USED: 4in soil-line straight joint allowance between WC point and existing tie-in route</t>
  </si>
  <si>
    <t>DEFAULT USED: 4in long-bend allowance for WC discharge route with minimum practical bend count</t>
  </si>
  <si>
    <t>DEFAULT USED: solvent/jointing allowance for full S07 concealed plumbing and drainage rough-in scope</t>
  </si>
  <si>
    <t>CALC NOTE: base MH = 30 for route marking, sleeve setting, concealed pipe laying, branch forming, socketing/jointing, fixture-point positioning, tank line coordination, testing and local making-good support; medium-work factor 0.65 =&gt; 30/0.65 x 1.20 x 1.15 = 63.69 rounded</t>
  </si>
  <si>
    <t>Frame load path control</t>
  </si>
  <si>
    <t>Roof frame and roof covering load must transfer into the new upper structural system under S06 and must not rely on the old house as assumed primary support</t>
  </si>
  <si>
    <t>Tie-in control</t>
  </si>
  <si>
    <t>Any tie-in to the old house roof edge is for waterproofing, alignment and local compatibility only</t>
  </si>
  <si>
    <t>Walkway roof shall protect the outside wall base and user movement path and must coordinate with the added walkway slab scope under S04 / S16</t>
  </si>
  <si>
    <t>Light roof frame quantity basis</t>
  </si>
  <si>
    <t>DEFAULT USED: primary light roof frame quantity basis = 16 lengths based on lightweight lean-to framing for 67.72 sqm total roof coverage</t>
  </si>
  <si>
    <t>Secondary batten quantity basis</t>
  </si>
  <si>
    <t>DEFAULT USED: secondary batten quantity basis = 26 lengths based on 750mm spacing for 67.72 sqm total roof coverage</t>
  </si>
  <si>
    <t>Metal deck quantity basis</t>
  </si>
  <si>
    <t>DEFAULT USED: TH Deck 762 metal roofing quantity basis = 958 FT-RUN for 67.72 sqm total roof coverage including trimming allowance</t>
  </si>
  <si>
    <t>Roof screw quantity basis</t>
  </si>
  <si>
    <t>DEFAULT USED: roofing screw quantity basis = 3 BOX for full light roof frame, batten, metal deck and trim fixing</t>
  </si>
  <si>
    <t>Flashing quantity basis</t>
  </si>
  <si>
    <t>DEFAULT USED: flashing quantity basis = 10 PCS for roof-to-old-house tie-in flashing and stepped return/junction allowance</t>
  </si>
  <si>
    <t>Flashing tape quantity basis</t>
  </si>
  <si>
    <t>DEFAULT USED: flashing tape quantity basis = 3 ROLL for critical flashing laps and roof-to-wall junctions</t>
  </si>
  <si>
    <t>Gutter quantity basis</t>
  </si>
  <si>
    <t>DEFAULT USED: gutter quantity basis = 8 lengths based on corrected exposed low-edge runs</t>
  </si>
  <si>
    <t>Gutter bracket quantity basis</t>
  </si>
  <si>
    <t>DEFAULT USED: external bracket quantity basis = 24 pcs for gutter support over corrected low-edge runs</t>
  </si>
  <si>
    <t>Gutter outlet quantity basis</t>
  </si>
  <si>
    <t>DEFAULT USED: gutter outlet quantity basis = 4 discharge points across full roofed extension coverage</t>
  </si>
  <si>
    <t>Downpipe quantity basis</t>
  </si>
  <si>
    <t>DEFAULT USED: downpipe quantity basis = 4 lengths for 4 outlet points from the full gutter system</t>
  </si>
  <si>
    <t>Downpipe adaptor quantity basis</t>
  </si>
  <si>
    <t>DEFAULT USED: adaptor quantity basis = 4 pcs for 4 downpipe outlet connections</t>
  </si>
  <si>
    <t>Downpipe elbow quantity basis</t>
  </si>
  <si>
    <t>DEFAULT USED: elbow quantity basis = 8 pcs for downpipe offset and drop arrangement</t>
  </si>
  <si>
    <t>Downpipe clip quantity basis</t>
  </si>
  <si>
    <t>DEFAULT USED: clip quantity basis = 12 pcs for securing 4 downpipe runs to wall/support surfaces</t>
  </si>
  <si>
    <t>Use same Description as Materials.txt item: MS SHS Square Hollow 2" 1.6mm x 6m</t>
  </si>
  <si>
    <t>CALC NOTE: base MH = 42 for roof setting-out, frame alignment, batten fixing, metal deck laying, flashing fixing, gutter/downpipe fixing, headroom coordination and local leak-checking only; medium-work factor 0.65 =&gt; 42/0.65 x 1.20 x 1.15 = 89.17 rounded to 89 MH skilled-only</t>
  </si>
  <si>
    <t>S08 labour covers roof setting-out, frame alignment, batten fixing, metal deck laying, flashing fixing, gutter/downpipe fixing, headroom coordination and local leak-checking only</t>
  </si>
  <si>
    <t>DEFAULT USED: primary light roof frame allowance for economical lean-to roof including walkway cover</t>
  </si>
  <si>
    <t>MS SHS Square Hollow 2" 1.6mm x 6m</t>
  </si>
  <si>
    <t>DEFAULT USED: secondary batten allowance at 750mm spacing for total roof coverage</t>
  </si>
  <si>
    <t>DEFAULT USED: main metal deck covering for internal extension plus full walkway cover with trimming allowance</t>
  </si>
  <si>
    <t>DEFAULT USED: roofing fixing screw allowance for full light roof frame, batten, metal deck and trim fixing</t>
  </si>
  <si>
    <t>DEFAULT USED: roof-to-old-house tie-in flashing and stepped return allowance along corrected junctions</t>
  </si>
  <si>
    <t>DEFAULT USED: seal all critical flashing laps and roof-to-wall junctions including walkway cover tie-in zones</t>
  </si>
  <si>
    <t>DEFAULT USED: gutter length allowance based on corrected exposed low-edge runs across full roofed coverage</t>
  </si>
  <si>
    <t>DEFAULT USED: gutter outlet allowance for 4 discharge points across full roofed extension coverage</t>
  </si>
  <si>
    <t>DEFAULT USED: clip allowance for securing 4 downpipe runs to wall/support surface</t>
  </si>
  <si>
    <t>CALC NOTE: base MH = 42 for roof setting-out, frame alignment, batten fixing, metal deck laying, flashing fixing, gutter/downpipe fixing, headroom coordination and local leak-checking only; medium-work factor 0.65 =&gt; 42/0.65 x 1.20 x 1.15 = 89.17 rounded</t>
  </si>
  <si>
    <t>Use same Description as Materials.txt item: YTL PCC Cement Castle 50kg Bag</t>
  </si>
  <si>
    <t>Kitchen-yard opening clarification</t>
  </si>
  <si>
    <t>Do not count a second separate yard door opening under S09; the kitchen/back external door is the single kitchen-yard opening in the corrected final layout</t>
  </si>
  <si>
    <t>Lintel support timber item</t>
  </si>
  <si>
    <t>Brick quantity basis</t>
  </si>
  <si>
    <t>DEFAULT USED: net new cement-brick walling quantity basis = about 3900 pcs including tie-in wall allowance, internal partition allowance and deduction for locked door/window openings</t>
  </si>
  <si>
    <t>Mortar cement basis</t>
  </si>
  <si>
    <t>DEFAULT USED: cement mortar basis for about 3900 cement bricks = 12 bags under 1:6 nominal walling mortar allowance with small cutting/joint loss</t>
  </si>
  <si>
    <t>Mortar sand basis</t>
  </si>
  <si>
    <t>DEFAULT USED: coarse sand basis for walling mortar = 0.20 trip for about 3900 cement bricks including tie-in joints and opening returns</t>
  </si>
  <si>
    <t>Lintel opening-head count basis</t>
  </si>
  <si>
    <t>DEFAULT USED: 6 enclosed opening heads under S09 = 2 door heads + 4 window heads</t>
  </si>
  <si>
    <t>CALC NOTE: base MH = 64 from legacy 2 skilled workers x 4 days bricklaying crew basis for bricklaying, wall alignment, opening formation, local tie-in work, lintel casting/forming support, line/plumb control and basic make-good; medium-work factor 0.65 =&gt; 64/0.65 x 1.20 x 1.15 = 135.88 rounded to 136 MH skilled-only</t>
  </si>
  <si>
    <t>S09 labour covers bricklaying, wall alignment, opening formation, local tie-in work, lintel casting/forming support, line/plumb control and basic make-good around new masonry only</t>
  </si>
  <si>
    <t>User confirmed cement-brick walling, kitchen enclosed, bathroom enclosed, yard one side open, bathroom door 84x30, kitchen/back door 84x36, bathroom top-hung 600x1200, 2 more top-hung 600x1200, 1 casement 600x1200, kitchen/back door is the only kitchen-yard opening, all windows / external-wall doors require separate grille scope, and all current-session labour outputs use skilled worker only</t>
  </si>
  <si>
    <t>DEFAULT USED: net new cement-brick walling basis for about 3900 pcs including tie-in wall allowance, internal partition allowance and deduction for locked door/window openings</t>
  </si>
  <si>
    <t>DEFAULT USED: cement mortar basis for about 3900 cement bricks using the updated cement rate RM24/bag via exact master item</t>
  </si>
  <si>
    <t>YTL PCC Cement Castle 50kg Bag</t>
  </si>
  <si>
    <t>DEFAULT USED: coarse sand basis for walling mortar for about 3900 cement bricks including tie-in joints and opening returns</t>
  </si>
  <si>
    <t>DEFAULT USED: lintel main-bar allowance for 6 enclosed opening heads under S09 opening set</t>
  </si>
  <si>
    <t>DEFAULT USED: lintel link allowance for 6 enclosed opening heads under S09 opening set</t>
  </si>
  <si>
    <t>DEFAULT USED: lintel side and soffit local formwork allowance for 6 enclosed opening heads</t>
  </si>
  <si>
    <t>DEFAULT USED: local timber support and bracing allowance for lintel shuttering and opening-head support</t>
  </si>
  <si>
    <t>CALC NOTE: base MH = 64 from legacy 2 skilled workers x 4 days bricklaying crew basis for bricklaying, wall alignment, opening formation, local tie-in work, lintel casting/forming support, line/plumb control and basic make-good; medium-work factor 0.65 =&gt; 64/0.65 x 1.20 x 1.15 = 135.88 rounded</t>
  </si>
  <si>
    <t>Door frame timber item</t>
  </si>
  <si>
    <t>Door hinge item</t>
  </si>
  <si>
    <t>Use same Description as Materials.txt item: Door Hinges 3/8" x 1-1/4" x 2"</t>
  </si>
  <si>
    <t>Door lockset item</t>
  </si>
  <si>
    <t>Use same Description as Materials.txt item: ML7025-SS Armor Lever Mortise</t>
  </si>
  <si>
    <t>At block stage, use exact master-list descriptions wherever they already exist; for approved custom calculator-table items not yet represented in Materials.txt, keep the custom schedule logic here and use the approved custom-cost source without changing the locked opening schedule</t>
  </si>
  <si>
    <t>CALC NOTE: base MH = 40 for custom door/window set-out, frame fixing, bifold set fitting, window fitting, grille installation, hardware fixing, alignment, adjustment and door-specific finishing support; medium-work factor 0.65 =&gt; 40/0.65 x 1.20 x 1.15 = 84.92 rounded to 85 MH skilled-only</t>
  </si>
  <si>
    <t>S10 labour covers frame fixing, door hanging, bifold set fitting, window fitting, glass setting, grille installation, hardware fixing, alignment, adjustment and door-specific finishing application support only</t>
  </si>
  <si>
    <t>User confirmed bathroom door cost comes from the calculator-table custom bifold set, kitchen/yard is only one door opening, kitchen/yard plywood door leaf must be taken from Materials.txt, custom grille/window items use the approved calculator-table cost source, and all current-session labour outputs use skilled worker only</t>
  </si>
  <si>
    <t>CALC NOTE: approved custom calculator-table cost for bathroom door set</t>
  </si>
  <si>
    <t>30inW x 84inH Bifold Mini Pro VACP 800 Series</t>
  </si>
  <si>
    <t>CALC NOTE: approved custom calculator-table cost for 3 top-hung aluminium windows with float glass</t>
  </si>
  <si>
    <t>1200mmW x 600mmH 2 Panel TopHung Casement Window c/w Float Glass</t>
  </si>
  <si>
    <t>CALC NOTE: approved custom calculator-table cost for 1 casement aluminium window with float glass</t>
  </si>
  <si>
    <t>600mmW x 1200mmH 1 Panel Casement Window c/w Float Glass</t>
  </si>
  <si>
    <t>CALC NOTE: approved custom calculator-table cost for 1 external grille swing door to the kitchen/yard opening</t>
  </si>
  <si>
    <t>S10-GRILLE</t>
  </si>
  <si>
    <t>36inW x 84inH 1 Panel Grill Swing Kitchen/back door</t>
  </si>
  <si>
    <t>CALC NOTE: approved custom calculator-table cost for 3 grille windows 1200x600</t>
  </si>
  <si>
    <t>1200mmW x 600mmH 2 Panel Grill Window</t>
  </si>
  <si>
    <t>CALC NOTE: approved custom calculator-table cost for 1 grille window 600x1200</t>
  </si>
  <si>
    <t>600mmW x 1200mmH 1 Panel Grill Window</t>
  </si>
  <si>
    <t>DEFAULT USED: raw plywood door leaf for the one kitchen-to-yard opening only</t>
  </si>
  <si>
    <t>S10-PLYWOOD-DOOR</t>
  </si>
  <si>
    <t>DEFAULT USED: timber door frame material allowance for one 36in x 84in kitchen-to-yard plywood door</t>
  </si>
  <si>
    <t>DEFAULT USED: raw plywood door finishing undercoat allowance for one kitchen-to-yard door leaf plus frame only</t>
  </si>
  <si>
    <t>DEFAULT USED: raw plywood door gloss finish allowance for one kitchen-to-yard door leaf plus frame only</t>
  </si>
  <si>
    <t>DEFAULT USED: sanding preparation allowance for one raw plywood door before coating</t>
  </si>
  <si>
    <t>CALC NOTE: base MH = 40 for custom door/window set-out, frame fixing, bifold set fitting, window fitting, grille installation, hardware fixing, alignment, adjustment and door-specific finishing support; medium-work factor 0.65 =&gt; 40/0.65 x 1.20 x 1.15 = 84.92 rounded</t>
  </si>
  <si>
    <t>S11-DIM</t>
  </si>
  <si>
    <t>Wall preparation family area basis</t>
  </si>
  <si>
    <t>DEFAULT USED: total combined new wall-face preparation family area = 130.00 sqm derived from S09 masonry basis of about 3900 cement bricks at about 65.00 sqm one-face wall area and treated as both-face preparation family area</t>
  </si>
  <si>
    <t>Bathroom full-height tile exclusion basis</t>
  </si>
  <si>
    <t>Bathroom full-height wall tile exclusion area = 22.67 sqm net wall area as already locked under S13</t>
  </si>
  <si>
    <t>Kitchen tiled-zone exclusion basis</t>
  </si>
  <si>
    <t>Kitchen L-shape table-top wall tile exclusion area = 5.75 sqm as already locked under S13</t>
  </si>
  <si>
    <t>Paint-ready skim area basis</t>
  </si>
  <si>
    <t>DEFAULT USED: internal paint-ready skim family area = 36.58 sqm after deducting the locked bathroom full-height tile area and kitchen tiled-zone exclusion from the internal wall-face preparation family area</t>
  </si>
  <si>
    <t>Base plaster and patch area basis</t>
  </si>
  <si>
    <t>DEFAULT USED: base plaster / make-good / patch family area = 130.00 sqm including tie-in zones, reveal returns, service chase repair and external/service wall preparation</t>
  </si>
  <si>
    <t>CALC NOTE: base MH = 52 for wall plastering, local patching, tie-in make-good, chase repair, coarse leveling, fine skim preparation, reveal straightening and general wall-face preparation only; medium-work factor 0.65 =&gt; 52/0.65 x 1.20 x 1.15 = 110.40 rounded to 110 MH skilled-only</t>
  </si>
  <si>
    <t>S11 labour covers wall plastering, local patching, tie-in make-good, chase repair, coarse leveling, fine skim preparation, reveal straightening and general wall-face preparation only</t>
  </si>
  <si>
    <t>User requires S11 to be written using actual build logic, not vague notes only; old house finish language must be respected, bathroom remains full-height wall tile zone, kitchen tiled zone must not be over-skimmed, and all current-session labour outputs use skilled worker only</t>
  </si>
  <si>
    <t>DEFAULT USED: base plaster / patch family area 130.00 sqm with normal plaster and make-good allowance to new brick walls, tie-in zones, reveals and chase-repair areas; cement price updated to RM24/bag via exact master item</t>
  </si>
  <si>
    <t>S11-BASE-PLASTER</t>
  </si>
  <si>
    <t>DEFAULT USED: coarse sand allowance for base plaster / make-good substrate preparation to the full wall-preparation family area</t>
  </si>
  <si>
    <t>DEFAULT USED: stopping allowance for tie-in patching, reveal straightening, local service-chase repair and paint-ready correction zones</t>
  </si>
  <si>
    <t>DEFAULT USED: coarse skim / leveling allowance for paint-ready and tile-substrate correction across the prepared wall family area without over-skimming full-height tile zones</t>
  </si>
  <si>
    <t>DEFAULT USED: fine skim allowance applies only to the paint-ready skim family area and excludes the locked bathroom full-height tile area and kitchen tiled-zone exclusion</t>
  </si>
  <si>
    <t>CALC NOTE: base MH = 52 for wall plastering, local patching, tie-in make-good, chase repair, coarse leveling, fine skim preparation, reveal straightening and general wall-face preparation only; medium-work factor 0.65 =&gt; 52/0.65 x 1.20 x 1.15 = 110.40 rounded</t>
  </si>
  <si>
    <t>S12-TITLE</t>
  </si>
  <si>
    <t>Ceiling Works and Manhole Provision for Enclosed New Spaces</t>
  </si>
  <si>
    <t>S12 is the ceiling sheet for enclosed new spaces only and excludes the open yard zone</t>
  </si>
  <si>
    <t>S12-OVERVIEW</t>
  </si>
  <si>
    <t>Provide lightweight ceiling works only to enclosed new spaces, complete with framing/support, board, joint treatment, stopping and manhole provision</t>
  </si>
  <si>
    <t>S12 includes ceiling framing/support, dry-area board, wet-area board, trim, joint treatment, stopping and 2 manholes; S12 excludes roof framing, roof covering, wall plaster, tiling, electrical fittings and final paint</t>
  </si>
  <si>
    <t>S12-REF-DRAWING</t>
  </si>
  <si>
    <t>Controlling ceiling references</t>
  </si>
  <si>
    <t>Use the corrected extension roof/enclosure logic and locked room-use decisions as the controlling basis for ceiling coverage</t>
  </si>
  <si>
    <t>S12-METHOD</t>
  </si>
  <si>
    <t>Ceiling coverage rule</t>
  </si>
  <si>
    <t>Provide ceiling only to enclosed new spaces</t>
  </si>
  <si>
    <t>Enclosed-space lock</t>
  </si>
  <si>
    <t>Kitchen = enclosed; Bathroom = enclosed; Yard = roofed, one side open and no ceiling</t>
  </si>
  <si>
    <t>S12-DIM</t>
  </si>
  <si>
    <t>Clear ceiling target</t>
  </si>
  <si>
    <t>All enclosed spaces shall target minimum 8ft clear ceiling after final coordination</t>
  </si>
  <si>
    <t>Ceiling framing and board level must coordinate with the locked roof logic and headroom target so enclosed spaces can still achieve the minimum clear ceiling</t>
  </si>
  <si>
    <t>Yard exclusion</t>
  </si>
  <si>
    <t>Yard area is roofed but has no ceiling and shall be excluded from S12 ceiling quantity</t>
  </si>
  <si>
    <t>Enclosed ceiling area basis</t>
  </si>
  <si>
    <t>DEFAULT USED: enclosed ceiling coverage basis = 35.11 sqm for kitchen + bathroom enclosed spaces only, excluding yard</t>
  </si>
  <si>
    <t>Bathroom wet-area ceiling basis</t>
  </si>
  <si>
    <t>DEFAULT USED: bathroom ceiling basis = 6.43 sqm following the locked bathroom area</t>
  </si>
  <si>
    <t>Dry-area ceiling basis</t>
  </si>
  <si>
    <t>DEFAULT USED: dry-area enclosed ceiling basis = 28.68 sqm derived from 35.11 sqm total enclosed ceiling area less 6.43 sqm bathroom area</t>
  </si>
  <si>
    <t>Ceiling area correction rule</t>
  </si>
  <si>
    <t>If the final enclosed-room line is later revised, only the enclosed ceiling area rows under S12 are to be updated without rewriting unrelated sheets</t>
  </si>
  <si>
    <t>Ceiling type rule</t>
  </si>
  <si>
    <t>Use practical plaster-ceiling style finish logic suitable for lightweight extension work</t>
  </si>
  <si>
    <t>Kitchen ceiling substrate</t>
  </si>
  <si>
    <t>Kitchen and other normal enclosed dry zones must use dry-area ceiling board</t>
  </si>
  <si>
    <t>Bathroom ceiling substrate</t>
  </si>
  <si>
    <t>Bathroom is a wet room and ceiling substrate must use the wet-area board more suitable for moisture exposure</t>
  </si>
  <si>
    <t>Manhole requirement</t>
  </si>
  <si>
    <t>Provide 2 no. ceiling manholes total, 1 for kitchen and 1 for bathroom, as already locked by user decision</t>
  </si>
  <si>
    <t>Framing/support logic</t>
  </si>
  <si>
    <t>Provide sufficient ceiling framing/support and main carrier system to safely carry dry-area board, wet-area board and manhole openings across the enclosed ceiling zones</t>
  </si>
  <si>
    <t>Perimeter trim logic</t>
  </si>
  <si>
    <t>Provide perimeter trim around enclosed ceiling edges where ceiling board terminates against wall/perimeter lines</t>
  </si>
  <si>
    <t>Joint treatment logic</t>
  </si>
  <si>
    <t>Provide joint tape and stopping for full enclosed board-joint treatment, screw-line touch-up and manhole edge preparation</t>
  </si>
  <si>
    <t>Ceiling board, framing and manhole locations must coordinate with light-point logic, water-heater route allowance, bathroom wet-zone use and future maintenance access</t>
  </si>
  <si>
    <t>S12 excludes yard ceiling, roof frame, metal deck, wall plaster, wall paint, waterproofing, sanitary fixtures, switches/sockets/light fittings and final decoration works</t>
  </si>
  <si>
    <t>S12-MATERIAL-STD</t>
  </si>
  <si>
    <t>Kitchen dry-area board item</t>
  </si>
  <si>
    <t>Use same Description as Materials.txt item: Gyproc Gypsum Board 4.00ft x 6.00ft x 9.00mm</t>
  </si>
  <si>
    <t>Bathroom wet-area board item</t>
  </si>
  <si>
    <t>Use same Description as Materials.txt item: Primaflex Fibre Cement Board 4.00ft x 4.00ft</t>
  </si>
  <si>
    <t>Ceiling framing item</t>
  </si>
  <si>
    <t>Use same Description as Materials.txt item: GI Bracing 2440mm</t>
  </si>
  <si>
    <t>Ceiling carrier item</t>
  </si>
  <si>
    <t>Use same Description as Materials.txt item: GI Carrier Rail (MF) 4880.00mm</t>
  </si>
  <si>
    <t>Ceiling trim item</t>
  </si>
  <si>
    <t>Use same Description as Materials.txt item: Aluminium Ceiling Trim (STD) 3660mm</t>
  </si>
  <si>
    <t>Ceiling joint tape item</t>
  </si>
  <si>
    <t>Use same Description as Materials.txt item: Drywall Fibre Joint Tape 50mm x 50m</t>
  </si>
  <si>
    <t>Ceiling stopping item</t>
  </si>
  <si>
    <t>Ceiling manhole item</t>
  </si>
  <si>
    <t>Use same Description as Materials.txt item: Plaster Ceiling Manhole 12"</t>
  </si>
  <si>
    <t>Dry-area board quantity basis</t>
  </si>
  <si>
    <t>DEFAULT USED: dry-area board quantity = 13 sheets based on 28.68 sqm / 2.23 sqm per sheet with normal cutting allowance already absorbed in rounding</t>
  </si>
  <si>
    <t>Wet-area board quantity basis</t>
  </si>
  <si>
    <t>DEFAULT USED: wet-area board quantity = 5 sheets based on 6.43 sqm / 1.49 sqm per sheet with normal cutting allowance already absorbed in rounding</t>
  </si>
  <si>
    <t>Secondary framing quantity basis</t>
  </si>
  <si>
    <t>DEFAULT USED: GI bracing quantity = 30 lengths for about 35.11 sqm enclosed ceiling framing/support basis</t>
  </si>
  <si>
    <t>Main carrier quantity basis</t>
  </si>
  <si>
    <t>DEFAULT USED: GI carrier rail quantity = 12 pcs for about 35.11 sqm enclosed ceiling support basis</t>
  </si>
  <si>
    <t>Perimeter trim quantity basis</t>
  </si>
  <si>
    <t>DEFAULT USED: ceiling trim quantity = 12 lengths for enclosed kitchen and bathroom ceiling perimeter basis</t>
  </si>
  <si>
    <t>Joint tape quantity basis</t>
  </si>
  <si>
    <t>DEFAULT USED: joint tape quantity = 2 pcs for full enclosed ceiling board joints and manhole edge treatment</t>
  </si>
  <si>
    <t>Stopping quantity basis</t>
  </si>
  <si>
    <t>DEFAULT USED: stopping quantity = 3 bags for ceiling joints, screw-line touch-up and manhole edge preparation</t>
  </si>
  <si>
    <t>Manhole quantity basis</t>
  </si>
  <si>
    <t>DEFAULT USED: plaster ceiling manhole quantity = 2 pcs total, 1 kitchen and 1 bathroom</t>
  </si>
  <si>
    <t>S12-LABOUR-STD</t>
  </si>
  <si>
    <t>CALC NOTE: base MH = 40 for ceiling framing/support fixing, board cutting/fixing, 2 manhole provision, joint tape treatment, stopping and alignment; medium-work factor 0.65 =&gt; 40/0.65 x 1.20 x 1.15 = 84.92 rounded to 85 MH skilled-only</t>
  </si>
  <si>
    <t>S12 labour covers ceiling setting-out, framing/support fixing, board fitting, manhole provision, joint tape treatment, stopping and local alignment correction only</t>
  </si>
  <si>
    <t>S12-USER-INPUT</t>
  </si>
  <si>
    <t>Ceiling layer lock</t>
  </si>
  <si>
    <t>User confirmed all enclosed spaces target minimum clear ceiling 8ft, yard has no ceiling, kitchen and bathroom require manhole access, bathroom uses wet-area ceiling substrate, and all current-session labour outputs use skilled worker only</t>
  </si>
  <si>
    <t>DEFAULT USED: dry-area ceiling board for enclosed kitchen and other normal enclosed dry ceiling zones based on 28.68 sqm enclosed dry-area ceiling basis</t>
  </si>
  <si>
    <t>DEFAULT USED: wet-area ceiling board for enclosed bathroom ceiling zone based on 6.43 sqm wet-area ceiling basis</t>
  </si>
  <si>
    <t>DEFAULT USED: secondary ceiling framing/support allowance for about 35.11 sqm enclosed ceiling basis</t>
  </si>
  <si>
    <t>S12-FRAMING</t>
  </si>
  <si>
    <t>DEFAULT USED: main ceiling carrier/support allowance for about 35.11 sqm enclosed ceiling basis</t>
  </si>
  <si>
    <t>DEFAULT USED: perimeter trim allowance for enclosed kitchen and bathroom ceiling edges</t>
  </si>
  <si>
    <t>S12-TRIM</t>
  </si>
  <si>
    <t>S12-JOINTING</t>
  </si>
  <si>
    <t>DEFAULT USED: stopping allowance for ceiling joints, screw-line touch-up and manhole edge preparation</t>
  </si>
  <si>
    <t>DEFAULT USED: 2 no. ceiling manholes total, 1 kitchen and 1 bathroom, as locked in user decisions</t>
  </si>
  <si>
    <t>CALC NOTE: base MH = 40 for ceiling framing/support fixing, board cutting/fixing, 2 manhole provision, joint tape treatment, stopping and alignment; medium-work factor 0.65 =&gt; 40/0.65 x 1.20 x 1.15 = 84.92 rounded</t>
  </si>
  <si>
    <t>CALC NOTE: accepted practical site crew basis for full S13 scope = 4 skilled workers x 7 days = 224 MH covering bathroom wet-area waterproofing, tile setting, tile cutting, wall alignment, floor-fall control, grouting, cleaning and walkway cement-smooth finishing; keep this accepted benchmark as the controlling S13 productivity basis</t>
  </si>
  <si>
    <t>User confirmed floor tiles at kitchen, bathroom and yard only; walkway has no tiles and must use cement licin biasa; bathroom walls are full-height tiled to 8ft; kitchen L-shape table-top area uses wall tiles to standard 5ft height based on new extension T.TOP = 1829 + 1945, walkway cement uses updated RM24/bag item, and all current-session labour outputs use skilled worker only</t>
  </si>
  <si>
    <t>DEFAULT USED: kitchen floor tile allowance based on 28.65 sqm using 600mm x 600mm tile with normal cutting allowance already absorbed in usage qty</t>
  </si>
  <si>
    <t>DEFAULT USED: bathroom floor tile allowance based on 6.43 sqm using 300mm x 300mm tile with normal cutting allowance already absorbed in usage qty</t>
  </si>
  <si>
    <t>DEFAULT USED: yard floor tile allowance based on 16.96 sqm using 300mm x 300mm tile with normal cutting allowance already absorbed in usage qty</t>
  </si>
  <si>
    <t>DEFAULT USED: bathroom full-height wall tile allowance based on 22.67 sqm net wall area using 300mm x 600mm tile with normal cutting allowance already absorbed in usage qty</t>
  </si>
  <si>
    <t>DEFAULT USED: kitchen L-shape table-top wall tile allowance based on 5.75 sqm using 300mm x 600mm tile with normal cutting allowance already absorbed in usage qty</t>
  </si>
  <si>
    <t>DEFAULT USED: walkway cement licin biasa finish cement allowance for 15.68 sqm roofed walkway strip using updated cement RM24 exact master item</t>
  </si>
  <si>
    <t>CALC NOTE: accepted practical site crew basis for full S13 scope = 4 skilled workers x 7 days = 224 MH covering bathroom wet-area waterproofing, tile setting, tile cutting, wall alignment, floor-fall control, grouting, cleaning and walkway cement-smooth finishing</t>
  </si>
  <si>
    <t>CALC NOTE: base MH 18 for first-fix routing, concealed/exposed conduit work, back box fixing and cable pulling for 10 socket points, 10 downlights, 2 batten lights and 5 switch points; base MH 8 for second-fix socket, switch, light and water-heater point termination; base MH 4 for DB setup, MCB/RCCB/SPD arrangement, earthing connection, testing and final checking; medium-work factor 0.65 gives realistic total 64 MH skilled-only</t>
  </si>
  <si>
    <t>S14 labour covers first-fix routing, concealed/exposed conduit work, back box fixing, cable pulling, second-fix socket/switch/light/water-heater termination, DB setup, protection-device arrangement, earthing connection, testing and final checking only</t>
  </si>
  <si>
    <t>CALC NOTE: base MH 18 for first-fix routing, concealed/exposed conduit work, back box fixing and cable pulling for 10 socket points, 10 downlights, 2 batten lights and 5 switch points; medium-work factor 18/0.65 x 1.20 x 1.15 = 38.22 rounded</t>
  </si>
  <si>
    <t>CALC NOTE: base MH 8 for second-fix socket, switch, light and water-heater point termination; medium-work factor 8/0.65 x 1.20 x 1.15 = 16.99 rounded</t>
  </si>
  <si>
    <t>CALC NOTE: base MH 4 for DB setup, MCB/RCCB/SPD arrangement, earthing connection, testing and final checking; medium-work factor 4/0.65 x 1.20 x 1.15 = 8.49 rounded</t>
  </si>
  <si>
    <t>CALC NOTE: base MH 10 for sealer/undercoat application, emulsion coating, gloss touch-up, local sanding and paint making-good; base MH 8 for final sanitary fixture installation and final connection/tightening; base MH 4 for local sealant, service testing, visual inspection, touch-up and final builders cleaning; medium-work factor 0.65 gives realistic total 47 MH skilled-only</t>
  </si>
  <si>
    <t>S15 labour covers final paint touch-up, sanitary final installation, local sealant/making-good, service testing, visual inspection, handover touch-up and final builders cleaning only</t>
  </si>
  <si>
    <t>CALC NOTE: base MH 10 for sealer/undercoat application, emulsion coating, gloss touch-up, local sanding and paint making-good for enclosed extension finish layer; medium-work factor 10/0.65 x 1.20 x 1.15 = 21.23 rounded</t>
  </si>
  <si>
    <t>CALC NOTE: base MH 8 for final sanitary fixture installation of 1 bathroom combo set, 1 shower set, 1 hand bidet, 1 floor trap cover and final connection/tightening; medium-work factor 8/0.65 x 1.20 x 1.15 = 16.99 rounded</t>
  </si>
  <si>
    <t>CALC NOTE: base MH 4 for local sealant, service testing, flushing/checking, visual inspection, touch-up and final builders cleaning/handover readiness; medium-work factor 4/0.65 x 1.20 x 1.15 = 8.49 rounded</t>
  </si>
  <si>
    <t>DEFAULT USED: all current-session labour outputs use skilled worker only; legacy helper workload is normalized into the accepted practical self-mix benchmark</t>
  </si>
  <si>
    <t>CALC NOTE: accepted practical site crew basis for full S16 scope = 24 MH skilled + 96 MH helper = 120 MH total for combined internal slab plus walkway strip self-mix works; to comply with current skilled-only rule while preserving the locked self-mix benchmark, use 120 MH Labour - Skilled Worker (Per MH)</t>
  </si>
  <si>
    <t>User confirmed corrected external wall perimeter = 25.705m, walkway length follows the same perimeter and is added outside the current coloured wall line, roof covers all areas including walkway, S16 must include the walkway slab in addition to the internal coloured extension slab, cement uses updated RM24 exact master item, and all current-session labour outputs use skilled worker only</t>
  </si>
  <si>
    <t>CALC NOTE: internal enclosed slab self-mix basis 5.20 m3 using nominal 1:2:4 ratio with 1.54 dry volume factor and updated cement RM24 exact master item</t>
  </si>
  <si>
    <t>CALC NOTE: roofed walkway / kaki lima slab self-mix basis about 1.57 m3 using nominal 1:2:4 ratio with 1.54 dry volume factor and updated cement RM24 exact master item</t>
  </si>
  <si>
    <t>CALC NOTE: accepted practical site crew basis for full S16 scope = 24 MH skilled + 96 MH helper = 120 MH total for combined internal slab plus walkway strip self-mix works; to comply with current skilled-only rule while preserving the locked self-mix benchmark, use 120 MH skilled-only</t>
  </si>
  <si>
    <t>DEFAULT USED: all current-session labour outputs use skilled worker only; legacy helper workload is normalized into the accepted practical self-mix lower-structure benchmark</t>
  </si>
  <si>
    <t>CALC NOTE: accepted practical site crew basis for full S17 scope = 32 MH skilled + 80 MH helper = 112 MH total for footing pad + ground beam self-mix works; to comply with current skilled-only rule while preserving the locked self-mix benchmark, use 112 MH Labour - Skilled Worker (Per MH)</t>
  </si>
  <si>
    <t>User locked S17 as footing pad + ground beam SELF-MIX option sheet only; mixer and scaffolding must stay outside the option sheets, cement uses updated RM24 exact master item, and all current-session labour outputs use skilled worker only</t>
  </si>
  <si>
    <t>CALC NOTE: 11 footing pads x 900mm x 900mm x 50mm blinding, budgeted under same self-mix concrete family basis using updated cement RM24 exact master item</t>
  </si>
  <si>
    <t>CALC NOTE: main footing pad + ground beam self-mix concrete basis 4.10 m3 using nominal 1:2:4 ratio with 1.54 dry volume factor and updated cement RM24 exact master item</t>
  </si>
  <si>
    <t>CALC NOTE: accepted practical site crew basis for full S17 scope = 32 MH skilled + 80 MH helper = 112 MH total for footing center confirmation, blinding control, beam line confirmation, site batching supervision, rebar cage fixing, formwork alignment, mixer feeding, wheelbarrow transport, placing, rodding and basic finishing; to comply with current skilled-only rule while preserving the locked self-mix benchmark, use 112 MH skilled-only</t>
  </si>
  <si>
    <t>Use + Waste</t>
  </si>
  <si>
    <t>Source Sheet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</si>
</sst>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sz val="11"/>
      <name val="Calibri"/>
      <family val="2"/>
      <scheme val="minor"/>
    </font>
    <font>
      <b/>
      <sz val="11"/>
      <color theme="1"/>
      <name val="Calibri"/>
      <family val="2"/>
      <scheme val="minor"/>
    </font>
    <font>
      <sz val="11"/>
      <color rgb="FF000000"/>
      <name val="Calibri"/>
      <family val="2"/>
    </font>
  </fonts>
  <fills count="6">
    <fill>
      <patternFill patternType="none"/>
    </fill>
    <fill>
      <patternFill patternType="gray125"/>
    </fill>
    <fill>
      <patternFill patternType="solid">
        <fgColor theme="1"/>
        <bgColor indexed="64"/>
      </patternFill>
    </fill>
    <fill>
      <patternFill patternType="solid">
        <fgColor rgb="FF00B0F0"/>
        <bgColor indexed="64"/>
      </patternFill>
    </fill>
    <fill>
      <patternFill patternType="solid">
        <fgColor rgb="FF92D050"/>
        <bgColor indexed="64"/>
      </patternFill>
    </fill>
    <fill>
      <patternFill patternType="solid">
        <fgColor rgb="FF0070C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style="thin">
        <color indexed="64"/>
      </right>
      <top/>
      <bottom/>
      <diagonal/>
    </border>
  </borders>
  <cellStyleXfs count="1">
    <xf numFmtId="0" fontId="0" fillId="0" borderId="0"/>
  </cellStyleXfs>
  <cellXfs count="28">
    <xf numFmtId="0" fontId="0" fillId="0" borderId="0" xfId="0"/>
    <xf numFmtId="0" fontId="0" fillId="2" borderId="0" xfId="0" applyFill="1"/>
    <xf numFmtId="0" fontId="0" fillId="3" borderId="0" xfId="0" applyFill="1"/>
    <xf numFmtId="49" fontId="0" fillId="0" borderId="0" xfId="0" applyNumberFormat="1"/>
    <xf numFmtId="49" fontId="0" fillId="3" borderId="0" xfId="0" applyNumberFormat="1" applyFill="1"/>
    <xf numFmtId="0" fontId="1" fillId="2" borderId="0" xfId="0" applyFont="1" applyFill="1"/>
    <xf numFmtId="0" fontId="1" fillId="0" borderId="0" xfId="0" applyFont="1"/>
    <xf numFmtId="0" fontId="1" fillId="3" borderId="0" xfId="0" applyFont="1" applyFill="1"/>
    <xf numFmtId="0" fontId="0" fillId="4" borderId="0" xfId="0" applyFill="1"/>
    <xf numFmtId="4" fontId="0" fillId="0" borderId="0" xfId="0" applyNumberFormat="1"/>
    <xf numFmtId="4" fontId="1" fillId="5" borderId="0" xfId="0" applyNumberFormat="1" applyFont="1" applyFill="1"/>
    <xf numFmtId="4" fontId="1" fillId="0" borderId="0" xfId="0" applyNumberFormat="1" applyFont="1"/>
    <xf numFmtId="0" fontId="0" fillId="0" borderId="0" xfId="0" applyAlignment="1">
      <alignment horizontal="center" vertical="center"/>
    </xf>
    <xf numFmtId="0" fontId="0" fillId="0" borderId="0" xfId="0" applyAlignment="1">
      <alignment vertical="center"/>
    </xf>
    <xf numFmtId="4" fontId="0" fillId="5" borderId="1" xfId="0" applyNumberFormat="1" applyFill="1" applyBorder="1"/>
    <xf numFmtId="0" fontId="0" fillId="0" borderId="1" xfId="0" applyBorder="1"/>
    <xf numFmtId="0" fontId="2" fillId="0" borderId="0" xfId="0" applyFont="1" applyAlignment="1">
      <alignment horizontal="center" vertical="center"/>
    </xf>
    <xf numFmtId="0" fontId="2" fillId="0" borderId="0" xfId="0" applyFont="1" applyAlignment="1">
      <alignment horizontal="center"/>
    </xf>
    <xf numFmtId="0" fontId="2" fillId="0" borderId="0" xfId="0" applyFont="1"/>
    <xf numFmtId="0" fontId="0" fillId="5" borderId="0" xfId="0" applyFill="1"/>
    <xf numFmtId="0" fontId="0" fillId="0" borderId="0" xfId="0" applyAlignment="1">
      <alignment horizontal="right" vertical="center"/>
    </xf>
    <xf numFmtId="49" fontId="2" fillId="0" borderId="0" xfId="0" applyNumberFormat="1" applyFont="1"/>
    <xf numFmtId="9" fontId="0" fillId="0" borderId="0" xfId="0" applyNumberFormat="1"/>
    <xf numFmtId="0" fontId="0" fillId="0" borderId="0" xfId="0" applyAlignment="1">
      <alignment horizontal="center"/>
    </xf>
    <xf numFmtId="0" fontId="0" fillId="0" borderId="0" xfId="0" applyAlignment="1">
      <alignment horizontal="center"/>
    </xf>
    <xf numFmtId="0" fontId="0" fillId="0" borderId="0" xfId="0" applyAlignment="1">
      <alignment horizontal="center" vertical="center"/>
    </xf>
    <xf numFmtId="0" fontId="1" fillId="0" borderId="0" xfId="0" applyFont="1" applyAlignment="1">
      <alignment horizontal="center" vertical="center"/>
    </xf>
    <xf numFmtId="0" fontId="0" fillId="0" borderId="2" xfId="0" applyBorder="1" applyAlignment="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 Id="rId30"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47625</xdr:colOff>
          <xdr:row>2</xdr:row>
          <xdr:rowOff>19050</xdr:rowOff>
        </xdr:from>
        <xdr:to>
          <xdr:col>6</xdr:col>
          <xdr:colOff>990600</xdr:colOff>
          <xdr:row>2</xdr:row>
          <xdr:rowOff>161925</xdr:rowOff>
        </xdr:to>
        <xdr:sp macro="" textlink="">
          <xdr:nvSpPr>
            <xdr:cNvPr id="1100" name="Button 76" hidden="1">
              <a:extLst>
                <a:ext uri="{63B3BB69-23CF-44E3-9099-C40C66FF867C}">
                  <a14:compatExt spid="_x0000_s1100"/>
                </a:ext>
                <a:ext uri="{FF2B5EF4-FFF2-40B4-BE49-F238E27FC236}">
                  <a16:creationId xmlns:a16="http://schemas.microsoft.com/office/drawing/2014/main" id="{00000000-0008-0000-0300-00004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Add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47625</xdr:colOff>
          <xdr:row>3</xdr:row>
          <xdr:rowOff>19050</xdr:rowOff>
        </xdr:from>
        <xdr:to>
          <xdr:col>6</xdr:col>
          <xdr:colOff>990600</xdr:colOff>
          <xdr:row>3</xdr:row>
          <xdr:rowOff>161925</xdr:rowOff>
        </xdr:to>
        <xdr:sp macro="" textlink="">
          <xdr:nvSpPr>
            <xdr:cNvPr id="1101" name="Button 77" hidden="1">
              <a:extLst>
                <a:ext uri="{63B3BB69-23CF-44E3-9099-C40C66FF867C}">
                  <a14:compatExt spid="_x0000_s1101"/>
                </a:ext>
                <a:ext uri="{FF2B5EF4-FFF2-40B4-BE49-F238E27FC236}">
                  <a16:creationId xmlns:a16="http://schemas.microsoft.com/office/drawing/2014/main" id="{00000000-0008-0000-0300-00004D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Refresh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47625</xdr:colOff>
          <xdr:row>4</xdr:row>
          <xdr:rowOff>19050</xdr:rowOff>
        </xdr:from>
        <xdr:to>
          <xdr:col>6</xdr:col>
          <xdr:colOff>990600</xdr:colOff>
          <xdr:row>4</xdr:row>
          <xdr:rowOff>161925</xdr:rowOff>
        </xdr:to>
        <xdr:sp macro="" textlink="">
          <xdr:nvSpPr>
            <xdr:cNvPr id="1102" name="Button 78" hidden="1">
              <a:extLst>
                <a:ext uri="{63B3BB69-23CF-44E3-9099-C40C66FF867C}">
                  <a14:compatExt spid="_x0000_s1102"/>
                </a:ext>
                <a:ext uri="{FF2B5EF4-FFF2-40B4-BE49-F238E27FC236}">
                  <a16:creationId xmlns:a16="http://schemas.microsoft.com/office/drawing/2014/main" id="{00000000-0008-0000-0300-00004E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Final 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47625</xdr:colOff>
          <xdr:row>5</xdr:row>
          <xdr:rowOff>19050</xdr:rowOff>
        </xdr:from>
        <xdr:to>
          <xdr:col>6</xdr:col>
          <xdr:colOff>990600</xdr:colOff>
          <xdr:row>5</xdr:row>
          <xdr:rowOff>161925</xdr:rowOff>
        </xdr:to>
        <xdr:sp macro="" textlink="">
          <xdr:nvSpPr>
            <xdr:cNvPr id="1103" name="Button 79" hidden="1">
              <a:extLst>
                <a:ext uri="{63B3BB69-23CF-44E3-9099-C40C66FF867C}">
                  <a14:compatExt spid="_x0000_s1103"/>
                </a:ext>
                <a:ext uri="{FF2B5EF4-FFF2-40B4-BE49-F238E27FC236}">
                  <a16:creationId xmlns:a16="http://schemas.microsoft.com/office/drawing/2014/main" id="{00000000-0008-0000-0300-00004F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Add To Edit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47625</xdr:colOff>
          <xdr:row>6</xdr:row>
          <xdr:rowOff>19050</xdr:rowOff>
        </xdr:from>
        <xdr:to>
          <xdr:col>6</xdr:col>
          <xdr:colOff>990600</xdr:colOff>
          <xdr:row>6</xdr:row>
          <xdr:rowOff>161925</xdr:rowOff>
        </xdr:to>
        <xdr:sp macro="" textlink="">
          <xdr:nvSpPr>
            <xdr:cNvPr id="1104" name="Button 80" hidden="1">
              <a:extLst>
                <a:ext uri="{63B3BB69-23CF-44E3-9099-C40C66FF867C}">
                  <a14:compatExt spid="_x0000_s1104"/>
                </a:ext>
                <a:ext uri="{FF2B5EF4-FFF2-40B4-BE49-F238E27FC236}">
                  <a16:creationId xmlns:a16="http://schemas.microsoft.com/office/drawing/2014/main" id="{00000000-0008-0000-0300-000050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Save Edit Grid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47625</xdr:colOff>
          <xdr:row>7</xdr:row>
          <xdr:rowOff>19050</xdr:rowOff>
        </xdr:from>
        <xdr:to>
          <xdr:col>6</xdr:col>
          <xdr:colOff>990600</xdr:colOff>
          <xdr:row>7</xdr:row>
          <xdr:rowOff>161925</xdr:rowOff>
        </xdr:to>
        <xdr:sp macro="" textlink="">
          <xdr:nvSpPr>
            <xdr:cNvPr id="1105" name="Button 81" hidden="1">
              <a:extLst>
                <a:ext uri="{63B3BB69-23CF-44E3-9099-C40C66FF867C}">
                  <a14:compatExt spid="_x0000_s1105"/>
                </a:ext>
                <a:ext uri="{FF2B5EF4-FFF2-40B4-BE49-F238E27FC236}">
                  <a16:creationId xmlns:a16="http://schemas.microsoft.com/office/drawing/2014/main" id="{00000000-0008-0000-0300-00005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Clear Edit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47625</xdr:colOff>
          <xdr:row>8</xdr:row>
          <xdr:rowOff>19050</xdr:rowOff>
        </xdr:from>
        <xdr:to>
          <xdr:col>6</xdr:col>
          <xdr:colOff>990600</xdr:colOff>
          <xdr:row>8</xdr:row>
          <xdr:rowOff>161925</xdr:rowOff>
        </xdr:to>
        <xdr:sp macro="" textlink="">
          <xdr:nvSpPr>
            <xdr:cNvPr id="1106" name="Button 82" hidden="1">
              <a:extLst>
                <a:ext uri="{63B3BB69-23CF-44E3-9099-C40C66FF867C}">
                  <a14:compatExt spid="_x0000_s1106"/>
                </a:ext>
                <a:ext uri="{FF2B5EF4-FFF2-40B4-BE49-F238E27FC236}">
                  <a16:creationId xmlns:a16="http://schemas.microsoft.com/office/drawing/2014/main" id="{00000000-0008-0000-0300-00005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Delete Override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47625</xdr:colOff>
          <xdr:row>9</xdr:row>
          <xdr:rowOff>19050</xdr:rowOff>
        </xdr:from>
        <xdr:to>
          <xdr:col>6</xdr:col>
          <xdr:colOff>990600</xdr:colOff>
          <xdr:row>9</xdr:row>
          <xdr:rowOff>161925</xdr:rowOff>
        </xdr:to>
        <xdr:sp macro="" textlink="">
          <xdr:nvSpPr>
            <xdr:cNvPr id="1107" name="Button 83" hidden="1">
              <a:extLst>
                <a:ext uri="{63B3BB69-23CF-44E3-9099-C40C66FF867C}">
                  <a14:compatExt spid="_x0000_s1107"/>
                </a:ext>
                <a:ext uri="{FF2B5EF4-FFF2-40B4-BE49-F238E27FC236}">
                  <a16:creationId xmlns:a16="http://schemas.microsoft.com/office/drawing/2014/main" id="{00000000-0008-0000-0300-00005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Undo Last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B0B26E-34EC-4F0B-BA43-8589F289AF98}">
  <sheetPr codeName="Sheet8"/>
  <dimension ref="A1:AA1"/>
  <sheetViews>
    <sheetView tabSelected="1" zoomScale="75" zoomScaleNormal="75" workbookViewId="0">
      <pane ySplit="1" topLeftCell="A2" activePane="bottomLeft" state="frozen"/>
      <selection pane="bottomLeft" activeCell="J11" sqref="J11"/>
    </sheetView>
  </sheetViews>
  <sheetFormatPr defaultColWidth="8.7109375" defaultRowHeight="15" x14ac:dyDescent="0.25"/>
  <cols>
    <col min="1" max="1" width="9.28515625" bestFit="1" customWidth="1"/>
    <col min="2" max="2" width="11.7109375" style="23" bestFit="1" customWidth="1"/>
    <col min="3" max="3" width="5.7109375" bestFit="1" customWidth="1"/>
    <col min="4" max="4" width="5.42578125" bestFit="1" customWidth="1"/>
    <col min="5" max="5" width="10.28515625" bestFit="1" customWidth="1"/>
    <col min="6" max="6" width="9.28515625" bestFit="1" customWidth="1"/>
    <col min="7" max="7" width="12.28515625" bestFit="1" customWidth="1"/>
    <col min="8" max="8" width="9.140625" bestFit="1" customWidth="1"/>
    <col min="9" max="9" width="12.85546875" bestFit="1" customWidth="1"/>
    <col min="10" max="10" width="11.5703125" bestFit="1" customWidth="1"/>
    <col min="12" max="18" width="8.7109375" style="9"/>
    <col min="23" max="27" width="8.7109375" style="9"/>
  </cols>
  <sheetData>
    <row r="1" spans="1:10" x14ac:dyDescent="0.25">
      <c r="A1" t="s">
        <v>30</v>
      </c>
      <c r="B1" s="23" t="s">
        <v>3</v>
      </c>
      <c r="C1" t="s">
        <v>1</v>
      </c>
      <c r="D1" t="s">
        <v>46</v>
      </c>
      <c r="E1" t="s">
        <v>12</v>
      </c>
      <c r="F1" t="s">
        <v>117</v>
      </c>
      <c r="G1" t="s">
        <v>2262</v>
      </c>
      <c r="H1" t="s">
        <v>22</v>
      </c>
      <c r="I1" t="s">
        <v>2263</v>
      </c>
      <c r="J1" t="s">
        <v>51</v>
      </c>
    </row>
  </sheetData>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3480D7-5902-42CA-A0ED-7E7DF71B5AAC}">
  <sheetPr codeName="Sheet5"/>
  <dimension ref="A1:A75"/>
  <sheetViews>
    <sheetView topLeftCell="A31" zoomScale="75" zoomScaleNormal="75" workbookViewId="0">
      <selection activeCell="A76" sqref="A76"/>
    </sheetView>
  </sheetViews>
  <sheetFormatPr defaultRowHeight="15" x14ac:dyDescent="0.25"/>
  <cols>
    <col min="1" max="1" width="140.7109375" style="3" bestFit="1" customWidth="1"/>
  </cols>
  <sheetData>
    <row r="1" spans="1:1" x14ac:dyDescent="0.25">
      <c r="A1" s="3" t="s">
        <v>64</v>
      </c>
    </row>
    <row r="2" spans="1:1" x14ac:dyDescent="0.25">
      <c r="A2" s="3" t="s">
        <v>65</v>
      </c>
    </row>
    <row r="3" spans="1:1" x14ac:dyDescent="0.25">
      <c r="A3" s="3" t="s">
        <v>64</v>
      </c>
    </row>
    <row r="5" spans="1:1" x14ac:dyDescent="0.25">
      <c r="A5" s="21" t="s">
        <v>66</v>
      </c>
    </row>
    <row r="6" spans="1:1" x14ac:dyDescent="0.25">
      <c r="A6" s="3" t="s">
        <v>111</v>
      </c>
    </row>
    <row r="7" spans="1:1" x14ac:dyDescent="0.25">
      <c r="A7" s="3" t="s">
        <v>67</v>
      </c>
    </row>
    <row r="8" spans="1:1" x14ac:dyDescent="0.25">
      <c r="A8" s="3" t="s">
        <v>68</v>
      </c>
    </row>
    <row r="9" spans="1:1" x14ac:dyDescent="0.25">
      <c r="A9" s="3" t="s">
        <v>69</v>
      </c>
    </row>
    <row r="10" spans="1:1" x14ac:dyDescent="0.25">
      <c r="A10" s="3" t="s">
        <v>70</v>
      </c>
    </row>
    <row r="11" spans="1:1" x14ac:dyDescent="0.25">
      <c r="A11" s="3" t="s">
        <v>71</v>
      </c>
    </row>
    <row r="12" spans="1:1" x14ac:dyDescent="0.25">
      <c r="A12" s="3" t="s">
        <v>72</v>
      </c>
    </row>
    <row r="14" spans="1:1" x14ac:dyDescent="0.25">
      <c r="A14" s="21" t="s">
        <v>73</v>
      </c>
    </row>
    <row r="15" spans="1:1" x14ac:dyDescent="0.25">
      <c r="A15" s="3" t="s">
        <v>112</v>
      </c>
    </row>
    <row r="16" spans="1:1" x14ac:dyDescent="0.25">
      <c r="A16" s="3" t="s">
        <v>67</v>
      </c>
    </row>
    <row r="17" spans="1:1" x14ac:dyDescent="0.25">
      <c r="A17" s="3" t="s">
        <v>74</v>
      </c>
    </row>
    <row r="18" spans="1:1" x14ac:dyDescent="0.25">
      <c r="A18" s="3" t="s">
        <v>75</v>
      </c>
    </row>
    <row r="19" spans="1:1" x14ac:dyDescent="0.25">
      <c r="A19" s="3" t="s">
        <v>70</v>
      </c>
    </row>
    <row r="20" spans="1:1" x14ac:dyDescent="0.25">
      <c r="A20" s="3" t="s">
        <v>76</v>
      </c>
    </row>
    <row r="21" spans="1:1" x14ac:dyDescent="0.25">
      <c r="A21" s="3" t="s">
        <v>77</v>
      </c>
    </row>
    <row r="23" spans="1:1" x14ac:dyDescent="0.25">
      <c r="A23" s="21" t="s">
        <v>78</v>
      </c>
    </row>
    <row r="24" spans="1:1" x14ac:dyDescent="0.25">
      <c r="A24" s="3" t="s">
        <v>79</v>
      </c>
    </row>
    <row r="25" spans="1:1" x14ac:dyDescent="0.25">
      <c r="A25" s="3" t="s">
        <v>67</v>
      </c>
    </row>
    <row r="26" spans="1:1" x14ac:dyDescent="0.25">
      <c r="A26" s="3" t="s">
        <v>80</v>
      </c>
    </row>
    <row r="27" spans="1:1" x14ac:dyDescent="0.25">
      <c r="A27" s="3" t="s">
        <v>81</v>
      </c>
    </row>
    <row r="28" spans="1:1" x14ac:dyDescent="0.25">
      <c r="A28" s="3" t="s">
        <v>82</v>
      </c>
    </row>
    <row r="29" spans="1:1" x14ac:dyDescent="0.25">
      <c r="A29" s="3" t="s">
        <v>83</v>
      </c>
    </row>
    <row r="30" spans="1:1" x14ac:dyDescent="0.25">
      <c r="A30" s="3" t="s">
        <v>84</v>
      </c>
    </row>
    <row r="31" spans="1:1" x14ac:dyDescent="0.25">
      <c r="A31" s="3" t="s">
        <v>70</v>
      </c>
    </row>
    <row r="32" spans="1:1" x14ac:dyDescent="0.25">
      <c r="A32" s="3" t="s">
        <v>85</v>
      </c>
    </row>
    <row r="34" spans="1:1" x14ac:dyDescent="0.25">
      <c r="A34" s="21" t="s">
        <v>86</v>
      </c>
    </row>
    <row r="35" spans="1:1" x14ac:dyDescent="0.25">
      <c r="A35" s="3" t="s">
        <v>113</v>
      </c>
    </row>
    <row r="36" spans="1:1" x14ac:dyDescent="0.25">
      <c r="A36" s="3" t="s">
        <v>67</v>
      </c>
    </row>
    <row r="37" spans="1:1" x14ac:dyDescent="0.25">
      <c r="A37" s="3" t="s">
        <v>87</v>
      </c>
    </row>
    <row r="38" spans="1:1" x14ac:dyDescent="0.25">
      <c r="A38" s="3" t="s">
        <v>88</v>
      </c>
    </row>
    <row r="39" spans="1:1" x14ac:dyDescent="0.25">
      <c r="A39" s="3" t="s">
        <v>89</v>
      </c>
    </row>
    <row r="40" spans="1:1" x14ac:dyDescent="0.25">
      <c r="A40" s="3" t="s">
        <v>90</v>
      </c>
    </row>
    <row r="41" spans="1:1" x14ac:dyDescent="0.25">
      <c r="A41" s="3" t="s">
        <v>70</v>
      </c>
    </row>
    <row r="42" spans="1:1" x14ac:dyDescent="0.25">
      <c r="A42" s="3" t="s">
        <v>91</v>
      </c>
    </row>
    <row r="44" spans="1:1" x14ac:dyDescent="0.25">
      <c r="A44" s="21" t="s">
        <v>92</v>
      </c>
    </row>
    <row r="45" spans="1:1" x14ac:dyDescent="0.25">
      <c r="A45" s="3" t="s">
        <v>93</v>
      </c>
    </row>
    <row r="46" spans="1:1" x14ac:dyDescent="0.25">
      <c r="A46" s="3" t="s">
        <v>67</v>
      </c>
    </row>
    <row r="47" spans="1:1" x14ac:dyDescent="0.25">
      <c r="A47" s="3" t="s">
        <v>94</v>
      </c>
    </row>
    <row r="48" spans="1:1" x14ac:dyDescent="0.25">
      <c r="A48" s="3" t="s">
        <v>95</v>
      </c>
    </row>
    <row r="49" spans="1:1" x14ac:dyDescent="0.25">
      <c r="A49" s="3" t="s">
        <v>96</v>
      </c>
    </row>
    <row r="50" spans="1:1" x14ac:dyDescent="0.25">
      <c r="A50" s="3" t="s">
        <v>70</v>
      </c>
    </row>
    <row r="51" spans="1:1" x14ac:dyDescent="0.25">
      <c r="A51" s="3" t="s">
        <v>97</v>
      </c>
    </row>
    <row r="53" spans="1:1" x14ac:dyDescent="0.25">
      <c r="A53" s="21" t="s">
        <v>98</v>
      </c>
    </row>
    <row r="54" spans="1:1" x14ac:dyDescent="0.25">
      <c r="A54" s="3" t="s">
        <v>114</v>
      </c>
    </row>
    <row r="55" spans="1:1" x14ac:dyDescent="0.25">
      <c r="A55" s="3" t="s">
        <v>67</v>
      </c>
    </row>
    <row r="56" spans="1:1" x14ac:dyDescent="0.25">
      <c r="A56" s="3" t="s">
        <v>99</v>
      </c>
    </row>
    <row r="57" spans="1:1" x14ac:dyDescent="0.25">
      <c r="A57" s="3" t="s">
        <v>70</v>
      </c>
    </row>
    <row r="58" spans="1:1" x14ac:dyDescent="0.25">
      <c r="A58" s="3" t="s">
        <v>100</v>
      </c>
    </row>
    <row r="60" spans="1:1" x14ac:dyDescent="0.25">
      <c r="A60" s="21" t="s">
        <v>101</v>
      </c>
    </row>
    <row r="61" spans="1:1" x14ac:dyDescent="0.25">
      <c r="A61" s="3" t="s">
        <v>102</v>
      </c>
    </row>
    <row r="62" spans="1:1" x14ac:dyDescent="0.25">
      <c r="A62" s="3" t="s">
        <v>67</v>
      </c>
    </row>
    <row r="63" spans="1:1" x14ac:dyDescent="0.25">
      <c r="A63" s="3" t="s">
        <v>103</v>
      </c>
    </row>
    <row r="64" spans="1:1" x14ac:dyDescent="0.25">
      <c r="A64" s="3" t="s">
        <v>104</v>
      </c>
    </row>
    <row r="65" spans="1:1" x14ac:dyDescent="0.25">
      <c r="A65" s="3" t="s">
        <v>70</v>
      </c>
    </row>
    <row r="66" spans="1:1" x14ac:dyDescent="0.25">
      <c r="A66" s="3" t="s">
        <v>105</v>
      </c>
    </row>
    <row r="67" spans="1:1" x14ac:dyDescent="0.25">
      <c r="A67" s="3" t="s">
        <v>106</v>
      </c>
    </row>
    <row r="69" spans="1:1" x14ac:dyDescent="0.25">
      <c r="A69" s="21" t="s">
        <v>107</v>
      </c>
    </row>
    <row r="70" spans="1:1" x14ac:dyDescent="0.25">
      <c r="A70" s="3" t="s">
        <v>115</v>
      </c>
    </row>
    <row r="71" spans="1:1" x14ac:dyDescent="0.25">
      <c r="A71" s="3" t="s">
        <v>67</v>
      </c>
    </row>
    <row r="72" spans="1:1" x14ac:dyDescent="0.25">
      <c r="A72" s="3" t="s">
        <v>108</v>
      </c>
    </row>
    <row r="73" spans="1:1" x14ac:dyDescent="0.25">
      <c r="A73" s="3" t="s">
        <v>109</v>
      </c>
    </row>
    <row r="74" spans="1:1" x14ac:dyDescent="0.25">
      <c r="A74" s="3" t="s">
        <v>70</v>
      </c>
    </row>
    <row r="75" spans="1:1" x14ac:dyDescent="0.25">
      <c r="A75" s="3" t="s">
        <v>110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306F63-7B1B-4620-B9C0-BB2BE7C9A42B}">
  <sheetPr codeName="Sheet2"/>
  <dimension ref="A1:A267"/>
  <sheetViews>
    <sheetView topLeftCell="A214" zoomScale="75" zoomScaleNormal="75" workbookViewId="0">
      <selection sqref="A1:A267"/>
    </sheetView>
  </sheetViews>
  <sheetFormatPr defaultRowHeight="15" x14ac:dyDescent="0.25"/>
  <cols>
    <col min="1" max="1" width="139.5703125" style="3" bestFit="1" customWidth="1"/>
    <col min="2" max="16384" width="9.140625" style="3"/>
  </cols>
  <sheetData>
    <row r="1" spans="1:1" x14ac:dyDescent="0.25">
      <c r="A1" s="3" t="s">
        <v>123</v>
      </c>
    </row>
    <row r="2" spans="1:1" x14ac:dyDescent="0.25">
      <c r="A2" s="3" t="s">
        <v>124</v>
      </c>
    </row>
    <row r="3" spans="1:1" x14ac:dyDescent="0.25">
      <c r="A3" s="3" t="s">
        <v>125</v>
      </c>
    </row>
    <row r="5" spans="1:1" x14ac:dyDescent="0.25">
      <c r="A5" s="3" t="s">
        <v>64</v>
      </c>
    </row>
    <row r="6" spans="1:1" x14ac:dyDescent="0.25">
      <c r="A6" s="3" t="s">
        <v>126</v>
      </c>
    </row>
    <row r="7" spans="1:1" x14ac:dyDescent="0.25">
      <c r="A7" s="3" t="s">
        <v>64</v>
      </c>
    </row>
    <row r="8" spans="1:1" x14ac:dyDescent="0.25">
      <c r="A8" s="3" t="s">
        <v>127</v>
      </c>
    </row>
    <row r="9" spans="1:1" x14ac:dyDescent="0.25">
      <c r="A9" s="3" t="s">
        <v>128</v>
      </c>
    </row>
    <row r="10" spans="1:1" x14ac:dyDescent="0.25">
      <c r="A10" s="3" t="s">
        <v>129</v>
      </c>
    </row>
    <row r="12" spans="1:1" x14ac:dyDescent="0.25">
      <c r="A12" s="3" t="s">
        <v>130</v>
      </c>
    </row>
    <row r="13" spans="1:1" x14ac:dyDescent="0.25">
      <c r="A13" s="3" t="s">
        <v>131</v>
      </c>
    </row>
    <row r="14" spans="1:1" x14ac:dyDescent="0.25">
      <c r="A14" s="3" t="s">
        <v>132</v>
      </c>
    </row>
    <row r="15" spans="1:1" x14ac:dyDescent="0.25">
      <c r="A15" s="3" t="s">
        <v>133</v>
      </c>
    </row>
    <row r="16" spans="1:1" x14ac:dyDescent="0.25">
      <c r="A16" s="3" t="s">
        <v>134</v>
      </c>
    </row>
    <row r="17" spans="1:1" x14ac:dyDescent="0.25">
      <c r="A17" s="3" t="s">
        <v>135</v>
      </c>
    </row>
    <row r="18" spans="1:1" x14ac:dyDescent="0.25">
      <c r="A18" s="3" t="s">
        <v>136</v>
      </c>
    </row>
    <row r="19" spans="1:1" x14ac:dyDescent="0.25">
      <c r="A19" s="3" t="s">
        <v>137</v>
      </c>
    </row>
    <row r="21" spans="1:1" x14ac:dyDescent="0.25">
      <c r="A21" s="3" t="s">
        <v>64</v>
      </c>
    </row>
    <row r="22" spans="1:1" x14ac:dyDescent="0.25">
      <c r="A22" s="3" t="s">
        <v>138</v>
      </c>
    </row>
    <row r="23" spans="1:1" x14ac:dyDescent="0.25">
      <c r="A23" s="3" t="s">
        <v>64</v>
      </c>
    </row>
    <row r="24" spans="1:1" x14ac:dyDescent="0.25">
      <c r="A24" s="3" t="s">
        <v>139</v>
      </c>
    </row>
    <row r="25" spans="1:1" x14ac:dyDescent="0.25">
      <c r="A25" s="3" t="s">
        <v>140</v>
      </c>
    </row>
    <row r="26" spans="1:1" x14ac:dyDescent="0.25">
      <c r="A26" s="3" t="s">
        <v>141</v>
      </c>
    </row>
    <row r="27" spans="1:1" x14ac:dyDescent="0.25">
      <c r="A27" s="3" t="s">
        <v>142</v>
      </c>
    </row>
    <row r="28" spans="1:1" x14ac:dyDescent="0.25">
      <c r="A28" s="3" t="s">
        <v>143</v>
      </c>
    </row>
    <row r="29" spans="1:1" x14ac:dyDescent="0.25">
      <c r="A29" s="3" t="s">
        <v>144</v>
      </c>
    </row>
    <row r="30" spans="1:1" x14ac:dyDescent="0.25">
      <c r="A30" s="3" t="s">
        <v>145</v>
      </c>
    </row>
    <row r="32" spans="1:1" x14ac:dyDescent="0.25">
      <c r="A32" s="3" t="s">
        <v>64</v>
      </c>
    </row>
    <row r="33" spans="1:1" x14ac:dyDescent="0.25">
      <c r="A33" s="3" t="s">
        <v>146</v>
      </c>
    </row>
    <row r="34" spans="1:1" x14ac:dyDescent="0.25">
      <c r="A34" s="3" t="s">
        <v>64</v>
      </c>
    </row>
    <row r="35" spans="1:1" x14ac:dyDescent="0.25">
      <c r="A35" s="3" t="s">
        <v>147</v>
      </c>
    </row>
    <row r="36" spans="1:1" x14ac:dyDescent="0.25">
      <c r="A36" s="3" t="s">
        <v>148</v>
      </c>
    </row>
    <row r="37" spans="1:1" x14ac:dyDescent="0.25">
      <c r="A37" s="3" t="s">
        <v>149</v>
      </c>
    </row>
    <row r="38" spans="1:1" x14ac:dyDescent="0.25">
      <c r="A38" s="3" t="s">
        <v>150</v>
      </c>
    </row>
    <row r="39" spans="1:1" x14ac:dyDescent="0.25">
      <c r="A39" s="3" t="s">
        <v>151</v>
      </c>
    </row>
    <row r="40" spans="1:1" x14ac:dyDescent="0.25">
      <c r="A40" s="3" t="s">
        <v>152</v>
      </c>
    </row>
    <row r="41" spans="1:1" x14ac:dyDescent="0.25">
      <c r="A41" s="3" t="s">
        <v>153</v>
      </c>
    </row>
    <row r="42" spans="1:1" x14ac:dyDescent="0.25">
      <c r="A42" s="3" t="s">
        <v>154</v>
      </c>
    </row>
    <row r="43" spans="1:1" x14ac:dyDescent="0.25">
      <c r="A43" s="3" t="s">
        <v>155</v>
      </c>
    </row>
    <row r="45" spans="1:1" x14ac:dyDescent="0.25">
      <c r="A45" s="3" t="s">
        <v>64</v>
      </c>
    </row>
    <row r="46" spans="1:1" x14ac:dyDescent="0.25">
      <c r="A46" s="3" t="s">
        <v>156</v>
      </c>
    </row>
    <row r="47" spans="1:1" x14ac:dyDescent="0.25">
      <c r="A47" s="3" t="s">
        <v>64</v>
      </c>
    </row>
    <row r="48" spans="1:1" x14ac:dyDescent="0.25">
      <c r="A48" s="3" t="s">
        <v>157</v>
      </c>
    </row>
    <row r="49" spans="1:1" x14ac:dyDescent="0.25">
      <c r="A49" s="3" t="s">
        <v>158</v>
      </c>
    </row>
    <row r="50" spans="1:1" x14ac:dyDescent="0.25">
      <c r="A50" s="3" t="s">
        <v>159</v>
      </c>
    </row>
    <row r="51" spans="1:1" x14ac:dyDescent="0.25">
      <c r="A51" s="3" t="s">
        <v>160</v>
      </c>
    </row>
    <row r="52" spans="1:1" x14ac:dyDescent="0.25">
      <c r="A52" s="3" t="s">
        <v>161</v>
      </c>
    </row>
    <row r="53" spans="1:1" x14ac:dyDescent="0.25">
      <c r="A53" s="3" t="s">
        <v>162</v>
      </c>
    </row>
    <row r="54" spans="1:1" x14ac:dyDescent="0.25">
      <c r="A54" s="3" t="s">
        <v>163</v>
      </c>
    </row>
    <row r="55" spans="1:1" x14ac:dyDescent="0.25">
      <c r="A55" s="3" t="s">
        <v>164</v>
      </c>
    </row>
    <row r="56" spans="1:1" x14ac:dyDescent="0.25">
      <c r="A56" s="3" t="s">
        <v>165</v>
      </c>
    </row>
    <row r="58" spans="1:1" x14ac:dyDescent="0.25">
      <c r="A58" s="3" t="s">
        <v>64</v>
      </c>
    </row>
    <row r="59" spans="1:1" x14ac:dyDescent="0.25">
      <c r="A59" s="3" t="s">
        <v>166</v>
      </c>
    </row>
    <row r="60" spans="1:1" x14ac:dyDescent="0.25">
      <c r="A60" s="3" t="s">
        <v>64</v>
      </c>
    </row>
    <row r="61" spans="1:1" x14ac:dyDescent="0.25">
      <c r="A61" s="3" t="s">
        <v>167</v>
      </c>
    </row>
    <row r="62" spans="1:1" x14ac:dyDescent="0.25">
      <c r="A62" s="3" t="s">
        <v>168</v>
      </c>
    </row>
    <row r="63" spans="1:1" x14ac:dyDescent="0.25">
      <c r="A63" s="3" t="s">
        <v>169</v>
      </c>
    </row>
    <row r="64" spans="1:1" x14ac:dyDescent="0.25">
      <c r="A64" s="3" t="s">
        <v>170</v>
      </c>
    </row>
    <row r="65" spans="1:1" x14ac:dyDescent="0.25">
      <c r="A65" s="3" t="s">
        <v>171</v>
      </c>
    </row>
    <row r="66" spans="1:1" x14ac:dyDescent="0.25">
      <c r="A66" s="3" t="s">
        <v>172</v>
      </c>
    </row>
    <row r="67" spans="1:1" x14ac:dyDescent="0.25">
      <c r="A67" s="3" t="s">
        <v>173</v>
      </c>
    </row>
    <row r="68" spans="1:1" x14ac:dyDescent="0.25">
      <c r="A68" s="3" t="s">
        <v>174</v>
      </c>
    </row>
    <row r="69" spans="1:1" x14ac:dyDescent="0.25">
      <c r="A69" s="3" t="s">
        <v>175</v>
      </c>
    </row>
    <row r="70" spans="1:1" x14ac:dyDescent="0.25">
      <c r="A70" s="3" t="s">
        <v>176</v>
      </c>
    </row>
    <row r="71" spans="1:1" x14ac:dyDescent="0.25">
      <c r="A71" s="3" t="s">
        <v>177</v>
      </c>
    </row>
    <row r="72" spans="1:1" x14ac:dyDescent="0.25">
      <c r="A72" s="3" t="s">
        <v>178</v>
      </c>
    </row>
    <row r="73" spans="1:1" x14ac:dyDescent="0.25">
      <c r="A73" s="3" t="s">
        <v>179</v>
      </c>
    </row>
    <row r="74" spans="1:1" x14ac:dyDescent="0.25">
      <c r="A74" s="3" t="s">
        <v>180</v>
      </c>
    </row>
    <row r="75" spans="1:1" x14ac:dyDescent="0.25">
      <c r="A75" s="3" t="s">
        <v>181</v>
      </c>
    </row>
    <row r="76" spans="1:1" x14ac:dyDescent="0.25">
      <c r="A76" s="3" t="s">
        <v>182</v>
      </c>
    </row>
    <row r="77" spans="1:1" x14ac:dyDescent="0.25">
      <c r="A77" s="3" t="s">
        <v>183</v>
      </c>
    </row>
    <row r="79" spans="1:1" x14ac:dyDescent="0.25">
      <c r="A79" s="3" t="s">
        <v>64</v>
      </c>
    </row>
    <row r="80" spans="1:1" x14ac:dyDescent="0.25">
      <c r="A80" s="3" t="s">
        <v>184</v>
      </c>
    </row>
    <row r="81" spans="1:1" x14ac:dyDescent="0.25">
      <c r="A81" s="3" t="s">
        <v>64</v>
      </c>
    </row>
    <row r="82" spans="1:1" x14ac:dyDescent="0.25">
      <c r="A82" s="3" t="s">
        <v>185</v>
      </c>
    </row>
    <row r="83" spans="1:1" x14ac:dyDescent="0.25">
      <c r="A83" s="3" t="s">
        <v>186</v>
      </c>
    </row>
    <row r="84" spans="1:1" x14ac:dyDescent="0.25">
      <c r="A84" s="3" t="s">
        <v>187</v>
      </c>
    </row>
    <row r="85" spans="1:1" x14ac:dyDescent="0.25">
      <c r="A85" s="3" t="s">
        <v>188</v>
      </c>
    </row>
    <row r="86" spans="1:1" x14ac:dyDescent="0.25">
      <c r="A86" s="3" t="s">
        <v>189</v>
      </c>
    </row>
    <row r="87" spans="1:1" x14ac:dyDescent="0.25">
      <c r="A87" s="3" t="s">
        <v>190</v>
      </c>
    </row>
    <row r="88" spans="1:1" x14ac:dyDescent="0.25">
      <c r="A88" s="3" t="s">
        <v>191</v>
      </c>
    </row>
    <row r="89" spans="1:1" x14ac:dyDescent="0.25">
      <c r="A89" s="3" t="s">
        <v>192</v>
      </c>
    </row>
    <row r="90" spans="1:1" x14ac:dyDescent="0.25">
      <c r="A90" s="3" t="s">
        <v>193</v>
      </c>
    </row>
    <row r="91" spans="1:1" x14ac:dyDescent="0.25">
      <c r="A91" s="3" t="s">
        <v>194</v>
      </c>
    </row>
    <row r="92" spans="1:1" x14ac:dyDescent="0.25">
      <c r="A92" s="3" t="s">
        <v>195</v>
      </c>
    </row>
    <row r="94" spans="1:1" x14ac:dyDescent="0.25">
      <c r="A94" s="3" t="s">
        <v>64</v>
      </c>
    </row>
    <row r="95" spans="1:1" x14ac:dyDescent="0.25">
      <c r="A95" s="3" t="s">
        <v>196</v>
      </c>
    </row>
    <row r="96" spans="1:1" x14ac:dyDescent="0.25">
      <c r="A96" s="3" t="s">
        <v>64</v>
      </c>
    </row>
    <row r="97" spans="1:1" x14ac:dyDescent="0.25">
      <c r="A97" s="3" t="s">
        <v>197</v>
      </c>
    </row>
    <row r="98" spans="1:1" x14ac:dyDescent="0.25">
      <c r="A98" s="3" t="s">
        <v>198</v>
      </c>
    </row>
    <row r="99" spans="1:1" x14ac:dyDescent="0.25">
      <c r="A99" s="3" t="s">
        <v>199</v>
      </c>
    </row>
    <row r="100" spans="1:1" x14ac:dyDescent="0.25">
      <c r="A100" s="3" t="s">
        <v>200</v>
      </c>
    </row>
    <row r="101" spans="1:1" x14ac:dyDescent="0.25">
      <c r="A101" s="3" t="s">
        <v>201</v>
      </c>
    </row>
    <row r="103" spans="1:1" x14ac:dyDescent="0.25">
      <c r="A103" s="3" t="s">
        <v>202</v>
      </c>
    </row>
    <row r="104" spans="1:1" x14ac:dyDescent="0.25">
      <c r="A104" s="3" t="s">
        <v>203</v>
      </c>
    </row>
    <row r="105" spans="1:1" x14ac:dyDescent="0.25">
      <c r="A105" s="3" t="s">
        <v>204</v>
      </c>
    </row>
    <row r="106" spans="1:1" x14ac:dyDescent="0.25">
      <c r="A106" s="3" t="s">
        <v>205</v>
      </c>
    </row>
    <row r="107" spans="1:1" x14ac:dyDescent="0.25">
      <c r="A107" s="3" t="s">
        <v>206</v>
      </c>
    </row>
    <row r="108" spans="1:1" x14ac:dyDescent="0.25">
      <c r="A108" s="3" t="s">
        <v>207</v>
      </c>
    </row>
    <row r="110" spans="1:1" x14ac:dyDescent="0.25">
      <c r="A110" s="3" t="s">
        <v>208</v>
      </c>
    </row>
    <row r="111" spans="1:1" x14ac:dyDescent="0.25">
      <c r="A111" s="3" t="s">
        <v>209</v>
      </c>
    </row>
    <row r="112" spans="1:1" x14ac:dyDescent="0.25">
      <c r="A112" s="3" t="s">
        <v>210</v>
      </c>
    </row>
    <row r="113" spans="1:1" x14ac:dyDescent="0.25">
      <c r="A113" s="3" t="s">
        <v>211</v>
      </c>
    </row>
    <row r="114" spans="1:1" x14ac:dyDescent="0.25">
      <c r="A114" s="3" t="s">
        <v>212</v>
      </c>
    </row>
    <row r="116" spans="1:1" x14ac:dyDescent="0.25">
      <c r="A116" s="3" t="s">
        <v>213</v>
      </c>
    </row>
    <row r="117" spans="1:1" x14ac:dyDescent="0.25">
      <c r="A117" s="3" t="s">
        <v>214</v>
      </c>
    </row>
    <row r="118" spans="1:1" x14ac:dyDescent="0.25">
      <c r="A118" s="3" t="s">
        <v>215</v>
      </c>
    </row>
    <row r="119" spans="1:1" x14ac:dyDescent="0.25">
      <c r="A119" s="3" t="s">
        <v>216</v>
      </c>
    </row>
    <row r="121" spans="1:1" x14ac:dyDescent="0.25">
      <c r="A121" s="3" t="s">
        <v>217</v>
      </c>
    </row>
    <row r="122" spans="1:1" x14ac:dyDescent="0.25">
      <c r="A122" s="3" t="s">
        <v>218</v>
      </c>
    </row>
    <row r="123" spans="1:1" x14ac:dyDescent="0.25">
      <c r="A123" s="3" t="s">
        <v>219</v>
      </c>
    </row>
    <row r="125" spans="1:1" x14ac:dyDescent="0.25">
      <c r="A125" s="3" t="s">
        <v>220</v>
      </c>
    </row>
    <row r="126" spans="1:1" x14ac:dyDescent="0.25">
      <c r="A126" s="3" t="s">
        <v>221</v>
      </c>
    </row>
    <row r="127" spans="1:1" x14ac:dyDescent="0.25">
      <c r="A127" s="3" t="s">
        <v>222</v>
      </c>
    </row>
    <row r="128" spans="1:1" x14ac:dyDescent="0.25">
      <c r="A128" s="3" t="s">
        <v>223</v>
      </c>
    </row>
    <row r="129" spans="1:1" x14ac:dyDescent="0.25">
      <c r="A129" s="3" t="s">
        <v>224</v>
      </c>
    </row>
    <row r="131" spans="1:1" x14ac:dyDescent="0.25">
      <c r="A131" s="3" t="s">
        <v>225</v>
      </c>
    </row>
    <row r="132" spans="1:1" x14ac:dyDescent="0.25">
      <c r="A132" s="3" t="s">
        <v>226</v>
      </c>
    </row>
    <row r="133" spans="1:1" x14ac:dyDescent="0.25">
      <c r="A133" s="3" t="s">
        <v>227</v>
      </c>
    </row>
    <row r="134" spans="1:1" x14ac:dyDescent="0.25">
      <c r="A134" s="3" t="s">
        <v>228</v>
      </c>
    </row>
    <row r="136" spans="1:1" x14ac:dyDescent="0.25">
      <c r="A136" s="3" t="s">
        <v>229</v>
      </c>
    </row>
    <row r="137" spans="1:1" x14ac:dyDescent="0.25">
      <c r="A137" s="3" t="s">
        <v>230</v>
      </c>
    </row>
    <row r="138" spans="1:1" x14ac:dyDescent="0.25">
      <c r="A138" s="3" t="s">
        <v>231</v>
      </c>
    </row>
    <row r="139" spans="1:1" x14ac:dyDescent="0.25">
      <c r="A139" s="3" t="s">
        <v>232</v>
      </c>
    </row>
    <row r="141" spans="1:1" x14ac:dyDescent="0.25">
      <c r="A141" s="3" t="s">
        <v>233</v>
      </c>
    </row>
    <row r="142" spans="1:1" x14ac:dyDescent="0.25">
      <c r="A142" s="3" t="s">
        <v>234</v>
      </c>
    </row>
    <row r="143" spans="1:1" x14ac:dyDescent="0.25">
      <c r="A143" s="3" t="s">
        <v>235</v>
      </c>
    </row>
    <row r="144" spans="1:1" x14ac:dyDescent="0.25">
      <c r="A144" s="3" t="s">
        <v>236</v>
      </c>
    </row>
    <row r="145" spans="1:1" x14ac:dyDescent="0.25">
      <c r="A145" s="3" t="s">
        <v>237</v>
      </c>
    </row>
    <row r="146" spans="1:1" x14ac:dyDescent="0.25">
      <c r="A146" s="3" t="s">
        <v>238</v>
      </c>
    </row>
    <row r="147" spans="1:1" x14ac:dyDescent="0.25">
      <c r="A147" s="3" t="s">
        <v>239</v>
      </c>
    </row>
    <row r="148" spans="1:1" x14ac:dyDescent="0.25">
      <c r="A148" s="3" t="s">
        <v>240</v>
      </c>
    </row>
    <row r="149" spans="1:1" x14ac:dyDescent="0.25">
      <c r="A149" s="3" t="s">
        <v>241</v>
      </c>
    </row>
    <row r="150" spans="1:1" x14ac:dyDescent="0.25">
      <c r="A150" s="3" t="s">
        <v>242</v>
      </c>
    </row>
    <row r="152" spans="1:1" x14ac:dyDescent="0.25">
      <c r="A152" s="3" t="s">
        <v>243</v>
      </c>
    </row>
    <row r="153" spans="1:1" x14ac:dyDescent="0.25">
      <c r="A153" s="3" t="s">
        <v>244</v>
      </c>
    </row>
    <row r="154" spans="1:1" x14ac:dyDescent="0.25">
      <c r="A154" s="3" t="s">
        <v>245</v>
      </c>
    </row>
    <row r="155" spans="1:1" x14ac:dyDescent="0.25">
      <c r="A155" s="3" t="s">
        <v>246</v>
      </c>
    </row>
    <row r="157" spans="1:1" x14ac:dyDescent="0.25">
      <c r="A157" s="3" t="s">
        <v>202</v>
      </c>
    </row>
    <row r="158" spans="1:1" x14ac:dyDescent="0.25">
      <c r="A158" s="3" t="s">
        <v>203</v>
      </c>
    </row>
    <row r="159" spans="1:1" x14ac:dyDescent="0.25">
      <c r="A159" s="3" t="s">
        <v>204</v>
      </c>
    </row>
    <row r="160" spans="1:1" x14ac:dyDescent="0.25">
      <c r="A160" s="3" t="s">
        <v>205</v>
      </c>
    </row>
    <row r="161" spans="1:1" x14ac:dyDescent="0.25">
      <c r="A161" s="3" t="s">
        <v>206</v>
      </c>
    </row>
    <row r="162" spans="1:1" x14ac:dyDescent="0.25">
      <c r="A162" s="3" t="s">
        <v>207</v>
      </c>
    </row>
    <row r="164" spans="1:1" x14ac:dyDescent="0.25">
      <c r="A164" s="3" t="s">
        <v>64</v>
      </c>
    </row>
    <row r="165" spans="1:1" x14ac:dyDescent="0.25">
      <c r="A165" s="3" t="s">
        <v>247</v>
      </c>
    </row>
    <row r="166" spans="1:1" x14ac:dyDescent="0.25">
      <c r="A166" s="3" t="s">
        <v>64</v>
      </c>
    </row>
    <row r="167" spans="1:1" x14ac:dyDescent="0.25">
      <c r="A167" s="3" t="s">
        <v>248</v>
      </c>
    </row>
    <row r="168" spans="1:1" x14ac:dyDescent="0.25">
      <c r="A168" s="3" t="s">
        <v>249</v>
      </c>
    </row>
    <row r="169" spans="1:1" x14ac:dyDescent="0.25">
      <c r="A169" s="3" t="s">
        <v>250</v>
      </c>
    </row>
    <row r="170" spans="1:1" x14ac:dyDescent="0.25">
      <c r="A170" s="3" t="s">
        <v>251</v>
      </c>
    </row>
    <row r="171" spans="1:1" x14ac:dyDescent="0.25">
      <c r="A171" s="3" t="s">
        <v>252</v>
      </c>
    </row>
    <row r="172" spans="1:1" x14ac:dyDescent="0.25">
      <c r="A172" s="3" t="s">
        <v>253</v>
      </c>
    </row>
    <row r="173" spans="1:1" x14ac:dyDescent="0.25">
      <c r="A173" s="3" t="s">
        <v>252</v>
      </c>
    </row>
    <row r="174" spans="1:1" x14ac:dyDescent="0.25">
      <c r="A174" s="3" t="s">
        <v>254</v>
      </c>
    </row>
    <row r="175" spans="1:1" x14ac:dyDescent="0.25">
      <c r="A175" s="3" t="s">
        <v>255</v>
      </c>
    </row>
    <row r="176" spans="1:1" x14ac:dyDescent="0.25">
      <c r="A176" s="3" t="s">
        <v>256</v>
      </c>
    </row>
    <row r="177" spans="1:1" x14ac:dyDescent="0.25">
      <c r="A177" s="3" t="s">
        <v>257</v>
      </c>
    </row>
    <row r="179" spans="1:1" x14ac:dyDescent="0.25">
      <c r="A179" s="3" t="s">
        <v>64</v>
      </c>
    </row>
    <row r="180" spans="1:1" x14ac:dyDescent="0.25">
      <c r="A180" s="3" t="s">
        <v>258</v>
      </c>
    </row>
    <row r="181" spans="1:1" x14ac:dyDescent="0.25">
      <c r="A181" s="3" t="s">
        <v>64</v>
      </c>
    </row>
    <row r="182" spans="1:1" x14ac:dyDescent="0.25">
      <c r="A182" s="3" t="s">
        <v>259</v>
      </c>
    </row>
    <row r="183" spans="1:1" x14ac:dyDescent="0.25">
      <c r="A183" s="3" t="s">
        <v>260</v>
      </c>
    </row>
    <row r="184" spans="1:1" x14ac:dyDescent="0.25">
      <c r="A184" s="3" t="s">
        <v>261</v>
      </c>
    </row>
    <row r="185" spans="1:1" x14ac:dyDescent="0.25">
      <c r="A185" s="3" t="s">
        <v>262</v>
      </c>
    </row>
    <row r="186" spans="1:1" x14ac:dyDescent="0.25">
      <c r="A186" s="3" t="s">
        <v>263</v>
      </c>
    </row>
    <row r="187" spans="1:1" x14ac:dyDescent="0.25">
      <c r="A187" s="3" t="s">
        <v>264</v>
      </c>
    </row>
    <row r="188" spans="1:1" x14ac:dyDescent="0.25">
      <c r="A188" s="3" t="s">
        <v>265</v>
      </c>
    </row>
    <row r="190" spans="1:1" x14ac:dyDescent="0.25">
      <c r="A190" s="3" t="s">
        <v>64</v>
      </c>
    </row>
    <row r="191" spans="1:1" x14ac:dyDescent="0.25">
      <c r="A191" s="3" t="s">
        <v>266</v>
      </c>
    </row>
    <row r="192" spans="1:1" x14ac:dyDescent="0.25">
      <c r="A192" s="3" t="s">
        <v>64</v>
      </c>
    </row>
    <row r="193" spans="1:1" x14ac:dyDescent="0.25">
      <c r="A193" s="3" t="s">
        <v>267</v>
      </c>
    </row>
    <row r="194" spans="1:1" x14ac:dyDescent="0.25">
      <c r="A194" s="3" t="s">
        <v>268</v>
      </c>
    </row>
    <row r="195" spans="1:1" x14ac:dyDescent="0.25">
      <c r="A195" s="3" t="s">
        <v>269</v>
      </c>
    </row>
    <row r="196" spans="1:1" x14ac:dyDescent="0.25">
      <c r="A196" s="3" t="s">
        <v>270</v>
      </c>
    </row>
    <row r="197" spans="1:1" x14ac:dyDescent="0.25">
      <c r="A197" s="3" t="s">
        <v>271</v>
      </c>
    </row>
    <row r="199" spans="1:1" x14ac:dyDescent="0.25">
      <c r="A199" s="3" t="s">
        <v>64</v>
      </c>
    </row>
    <row r="200" spans="1:1" x14ac:dyDescent="0.25">
      <c r="A200" s="3" t="s">
        <v>272</v>
      </c>
    </row>
    <row r="201" spans="1:1" x14ac:dyDescent="0.25">
      <c r="A201" s="3" t="s">
        <v>64</v>
      </c>
    </row>
    <row r="202" spans="1:1" x14ac:dyDescent="0.25">
      <c r="A202" s="3" t="s">
        <v>273</v>
      </c>
    </row>
    <row r="203" spans="1:1" x14ac:dyDescent="0.25">
      <c r="A203" s="3" t="s">
        <v>274</v>
      </c>
    </row>
    <row r="204" spans="1:1" x14ac:dyDescent="0.25">
      <c r="A204" s="3" t="s">
        <v>275</v>
      </c>
    </row>
    <row r="205" spans="1:1" x14ac:dyDescent="0.25">
      <c r="A205" s="3" t="s">
        <v>276</v>
      </c>
    </row>
    <row r="206" spans="1:1" x14ac:dyDescent="0.25">
      <c r="A206" s="3" t="s">
        <v>277</v>
      </c>
    </row>
    <row r="208" spans="1:1" x14ac:dyDescent="0.25">
      <c r="A208" s="3" t="s">
        <v>64</v>
      </c>
    </row>
    <row r="209" spans="1:1" x14ac:dyDescent="0.25">
      <c r="A209" s="3" t="s">
        <v>278</v>
      </c>
    </row>
    <row r="210" spans="1:1" x14ac:dyDescent="0.25">
      <c r="A210" s="3" t="s">
        <v>64</v>
      </c>
    </row>
    <row r="211" spans="1:1" x14ac:dyDescent="0.25">
      <c r="A211" s="3" t="s">
        <v>279</v>
      </c>
    </row>
    <row r="212" spans="1:1" x14ac:dyDescent="0.25">
      <c r="A212" s="3" t="s">
        <v>280</v>
      </c>
    </row>
    <row r="213" spans="1:1" x14ac:dyDescent="0.25">
      <c r="A213" s="3" t="s">
        <v>281</v>
      </c>
    </row>
    <row r="214" spans="1:1" x14ac:dyDescent="0.25">
      <c r="A214" s="3" t="s">
        <v>282</v>
      </c>
    </row>
    <row r="215" spans="1:1" x14ac:dyDescent="0.25">
      <c r="A215" s="3" t="s">
        <v>283</v>
      </c>
    </row>
    <row r="216" spans="1:1" x14ac:dyDescent="0.25">
      <c r="A216" s="3" t="s">
        <v>284</v>
      </c>
    </row>
    <row r="217" spans="1:1" x14ac:dyDescent="0.25">
      <c r="A217" s="3" t="s">
        <v>285</v>
      </c>
    </row>
    <row r="218" spans="1:1" x14ac:dyDescent="0.25">
      <c r="A218" s="3" t="s">
        <v>286</v>
      </c>
    </row>
    <row r="219" spans="1:1" x14ac:dyDescent="0.25">
      <c r="A219" s="3" t="s">
        <v>287</v>
      </c>
    </row>
    <row r="220" spans="1:1" x14ac:dyDescent="0.25">
      <c r="A220" s="3" t="s">
        <v>288</v>
      </c>
    </row>
    <row r="221" spans="1:1" x14ac:dyDescent="0.25">
      <c r="A221" s="3" t="s">
        <v>289</v>
      </c>
    </row>
    <row r="222" spans="1:1" x14ac:dyDescent="0.25">
      <c r="A222" s="3" t="s">
        <v>290</v>
      </c>
    </row>
    <row r="223" spans="1:1" x14ac:dyDescent="0.25">
      <c r="A223" s="3" t="s">
        <v>291</v>
      </c>
    </row>
    <row r="225" spans="1:1" x14ac:dyDescent="0.25">
      <c r="A225" s="3" t="s">
        <v>64</v>
      </c>
    </row>
    <row r="226" spans="1:1" x14ac:dyDescent="0.25">
      <c r="A226" s="3" t="s">
        <v>292</v>
      </c>
    </row>
    <row r="227" spans="1:1" x14ac:dyDescent="0.25">
      <c r="A227" s="3" t="s">
        <v>64</v>
      </c>
    </row>
    <row r="228" spans="1:1" x14ac:dyDescent="0.25">
      <c r="A228" s="3" t="s">
        <v>293</v>
      </c>
    </row>
    <row r="229" spans="1:1" x14ac:dyDescent="0.25">
      <c r="A229" s="3" t="s">
        <v>294</v>
      </c>
    </row>
    <row r="230" spans="1:1" x14ac:dyDescent="0.25">
      <c r="A230" s="3" t="s">
        <v>295</v>
      </c>
    </row>
    <row r="231" spans="1:1" x14ac:dyDescent="0.25">
      <c r="A231" s="3" t="s">
        <v>296</v>
      </c>
    </row>
    <row r="232" spans="1:1" x14ac:dyDescent="0.25">
      <c r="A232" s="3" t="s">
        <v>297</v>
      </c>
    </row>
    <row r="233" spans="1:1" x14ac:dyDescent="0.25">
      <c r="A233" s="3" t="s">
        <v>298</v>
      </c>
    </row>
    <row r="234" spans="1:1" x14ac:dyDescent="0.25">
      <c r="A234" s="3" t="s">
        <v>299</v>
      </c>
    </row>
    <row r="235" spans="1:1" x14ac:dyDescent="0.25">
      <c r="A235" s="3" t="s">
        <v>300</v>
      </c>
    </row>
    <row r="236" spans="1:1" x14ac:dyDescent="0.25">
      <c r="A236" s="3" t="s">
        <v>301</v>
      </c>
    </row>
    <row r="237" spans="1:1" x14ac:dyDescent="0.25">
      <c r="A237" s="3" t="s">
        <v>302</v>
      </c>
    </row>
    <row r="238" spans="1:1" x14ac:dyDescent="0.25">
      <c r="A238" s="3" t="s">
        <v>303</v>
      </c>
    </row>
    <row r="240" spans="1:1" x14ac:dyDescent="0.25">
      <c r="A240" s="3" t="s">
        <v>64</v>
      </c>
    </row>
    <row r="241" spans="1:1" x14ac:dyDescent="0.25">
      <c r="A241" s="3" t="s">
        <v>304</v>
      </c>
    </row>
    <row r="242" spans="1:1" x14ac:dyDescent="0.25">
      <c r="A242" s="3" t="s">
        <v>64</v>
      </c>
    </row>
    <row r="243" spans="1:1" x14ac:dyDescent="0.25">
      <c r="A243" s="3" t="s">
        <v>305</v>
      </c>
    </row>
    <row r="244" spans="1:1" x14ac:dyDescent="0.25">
      <c r="A244" s="3" t="s">
        <v>306</v>
      </c>
    </row>
    <row r="245" spans="1:1" x14ac:dyDescent="0.25">
      <c r="A245" s="3" t="s">
        <v>307</v>
      </c>
    </row>
    <row r="246" spans="1:1" x14ac:dyDescent="0.25">
      <c r="A246" s="3" t="s">
        <v>308</v>
      </c>
    </row>
    <row r="247" spans="1:1" x14ac:dyDescent="0.25">
      <c r="A247" s="3" t="s">
        <v>309</v>
      </c>
    </row>
    <row r="248" spans="1:1" x14ac:dyDescent="0.25">
      <c r="A248" s="3" t="s">
        <v>310</v>
      </c>
    </row>
    <row r="249" spans="1:1" x14ac:dyDescent="0.25">
      <c r="A249" s="3" t="s">
        <v>311</v>
      </c>
    </row>
    <row r="250" spans="1:1" x14ac:dyDescent="0.25">
      <c r="A250" s="3" t="s">
        <v>312</v>
      </c>
    </row>
    <row r="252" spans="1:1" x14ac:dyDescent="0.25">
      <c r="A252" s="3" t="s">
        <v>64</v>
      </c>
    </row>
    <row r="253" spans="1:1" x14ac:dyDescent="0.25">
      <c r="A253" s="3" t="s">
        <v>313</v>
      </c>
    </row>
    <row r="254" spans="1:1" x14ac:dyDescent="0.25">
      <c r="A254" s="3" t="s">
        <v>64</v>
      </c>
    </row>
    <row r="255" spans="1:1" x14ac:dyDescent="0.25">
      <c r="A255" s="3" t="s">
        <v>314</v>
      </c>
    </row>
    <row r="256" spans="1:1" x14ac:dyDescent="0.25">
      <c r="A256" s="3" t="s">
        <v>315</v>
      </c>
    </row>
    <row r="257" spans="1:1" x14ac:dyDescent="0.25">
      <c r="A257" s="3" t="s">
        <v>316</v>
      </c>
    </row>
    <row r="258" spans="1:1" x14ac:dyDescent="0.25">
      <c r="A258" s="3" t="s">
        <v>317</v>
      </c>
    </row>
    <row r="259" spans="1:1" x14ac:dyDescent="0.25">
      <c r="A259" s="3" t="s">
        <v>318</v>
      </c>
    </row>
    <row r="260" spans="1:1" x14ac:dyDescent="0.25">
      <c r="A260" s="3" t="s">
        <v>319</v>
      </c>
    </row>
    <row r="261" spans="1:1" x14ac:dyDescent="0.25">
      <c r="A261" s="3" t="s">
        <v>320</v>
      </c>
    </row>
    <row r="262" spans="1:1" x14ac:dyDescent="0.25">
      <c r="A262" s="3" t="s">
        <v>321</v>
      </c>
    </row>
    <row r="263" spans="1:1" x14ac:dyDescent="0.25">
      <c r="A263" s="3" t="s">
        <v>322</v>
      </c>
    </row>
    <row r="264" spans="1:1" x14ac:dyDescent="0.25">
      <c r="A264" s="3" t="s">
        <v>323</v>
      </c>
    </row>
    <row r="265" spans="1:1" x14ac:dyDescent="0.25">
      <c r="A265" s="3" t="s">
        <v>324</v>
      </c>
    </row>
    <row r="267" spans="1:1" x14ac:dyDescent="0.25">
      <c r="A267" s="3" t="s">
        <v>325</v>
      </c>
    </row>
  </sheetData>
  <pageMargins left="0.7" right="0.7" top="0.75" bottom="0.75" header="0.3" footer="0.3"/>
  <pageSetup orientation="portrait" horizontalDpi="1200" verticalDpi="1200"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250EC1-1F33-48D9-8A71-655C9F451812}">
  <sheetPr codeName="Sheet3"/>
  <dimension ref="A1:AF10"/>
  <sheetViews>
    <sheetView zoomScale="75" zoomScaleNormal="75" workbookViewId="0">
      <selection activeCell="B8" sqref="B8"/>
    </sheetView>
  </sheetViews>
  <sheetFormatPr defaultRowHeight="15" x14ac:dyDescent="0.25"/>
  <cols>
    <col min="1" max="1" width="14.140625" bestFit="1" customWidth="1"/>
    <col min="2" max="2" width="75.7109375" customWidth="1"/>
    <col min="7" max="8" width="15.7109375" customWidth="1"/>
    <col min="9" max="9" width="75.7109375" customWidth="1"/>
    <col min="10" max="17" width="15.7109375" customWidth="1"/>
  </cols>
  <sheetData>
    <row r="1" spans="1:32" x14ac:dyDescent="0.25">
      <c r="A1" s="18" t="s">
        <v>45</v>
      </c>
      <c r="H1" s="16" t="s">
        <v>54</v>
      </c>
      <c r="I1" s="16" t="s">
        <v>38</v>
      </c>
      <c r="J1" s="16" t="s">
        <v>41</v>
      </c>
      <c r="K1" s="16" t="s">
        <v>42</v>
      </c>
      <c r="L1" s="16" t="s">
        <v>23</v>
      </c>
      <c r="M1" s="16" t="s">
        <v>43</v>
      </c>
      <c r="N1" s="16" t="s">
        <v>5</v>
      </c>
      <c r="O1" s="16" t="s">
        <v>44</v>
      </c>
      <c r="P1" s="16" t="s">
        <v>53</v>
      </c>
      <c r="Z1">
        <v>48</v>
      </c>
    </row>
    <row r="2" spans="1:32" x14ac:dyDescent="0.25">
      <c r="A2" s="18" t="s">
        <v>52</v>
      </c>
      <c r="Z2" t="s">
        <v>122</v>
      </c>
      <c r="AC2">
        <v>1</v>
      </c>
      <c r="AD2">
        <v>48</v>
      </c>
      <c r="AF2">
        <v>1</v>
      </c>
    </row>
    <row r="4" spans="1:32" x14ac:dyDescent="0.25">
      <c r="A4" s="17" t="s">
        <v>30</v>
      </c>
      <c r="B4" s="17" t="s">
        <v>3</v>
      </c>
      <c r="C4" s="17" t="s">
        <v>1</v>
      </c>
      <c r="D4" s="17" t="s">
        <v>46</v>
      </c>
      <c r="E4" s="17" t="s">
        <v>47</v>
      </c>
    </row>
    <row r="10" spans="1:32" x14ac:dyDescent="0.25">
      <c r="I10" s="16" t="s">
        <v>38</v>
      </c>
      <c r="J10" s="16" t="s">
        <v>23</v>
      </c>
      <c r="K10" s="16" t="s">
        <v>43</v>
      </c>
      <c r="L10" s="16" t="s">
        <v>48</v>
      </c>
      <c r="M10" s="16" t="s">
        <v>53</v>
      </c>
    </row>
  </sheetData>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100" r:id="rId4" name="Button 76">
              <controlPr defaultSize="0" print="0" autoFill="0" autoPict="0" macro="[0]!SEARCH_AddAllSummaryToPurchase">
                <anchor moveWithCells="1" sizeWithCells="1">
                  <from>
                    <xdr:col>6</xdr:col>
                    <xdr:colOff>47625</xdr:colOff>
                    <xdr:row>2</xdr:row>
                    <xdr:rowOff>19050</xdr:rowOff>
                  </from>
                  <to>
                    <xdr:col>6</xdr:col>
                    <xdr:colOff>990600</xdr:colOff>
                    <xdr:row>2</xdr:row>
                    <xdr:rowOff>161925</xdr:rowOff>
                  </to>
                </anchor>
              </controlPr>
            </control>
          </mc:Choice>
        </mc:AlternateContent>
        <mc:AlternateContent xmlns:mc="http://schemas.openxmlformats.org/markup-compatibility/2006">
          <mc:Choice Requires="x14">
            <control shapeId="1101" r:id="rId5" name="Button 77">
              <controlPr defaultSize="0" print="0" autoFill="0" autoPict="0" macro="[0]!SEARCH_Refresh">
                <anchor moveWithCells="1" sizeWithCells="1">
                  <from>
                    <xdr:col>6</xdr:col>
                    <xdr:colOff>47625</xdr:colOff>
                    <xdr:row>3</xdr:row>
                    <xdr:rowOff>19050</xdr:rowOff>
                  </from>
                  <to>
                    <xdr:col>6</xdr:col>
                    <xdr:colOff>990600</xdr:colOff>
                    <xdr:row>3</xdr:row>
                    <xdr:rowOff>161925</xdr:rowOff>
                  </to>
                </anchor>
              </controlPr>
            </control>
          </mc:Choice>
        </mc:AlternateContent>
        <mc:AlternateContent xmlns:mc="http://schemas.openxmlformats.org/markup-compatibility/2006">
          <mc:Choice Requires="x14">
            <control shapeId="1102" r:id="rId6" name="Button 78">
              <controlPr defaultSize="0" print="0" autoFill="0" autoPict="0" macro="[0]!SEARCH_BuildFinalView">
                <anchor moveWithCells="1" sizeWithCells="1">
                  <from>
                    <xdr:col>6</xdr:col>
                    <xdr:colOff>47625</xdr:colOff>
                    <xdr:row>4</xdr:row>
                    <xdr:rowOff>19050</xdr:rowOff>
                  </from>
                  <to>
                    <xdr:col>6</xdr:col>
                    <xdr:colOff>990600</xdr:colOff>
                    <xdr:row>4</xdr:row>
                    <xdr:rowOff>161925</xdr:rowOff>
                  </to>
                </anchor>
              </controlPr>
            </control>
          </mc:Choice>
        </mc:AlternateContent>
        <mc:AlternateContent xmlns:mc="http://schemas.openxmlformats.org/markup-compatibility/2006">
          <mc:Choice Requires="x14">
            <control shapeId="1103" r:id="rId7" name="Button 79">
              <controlPr defaultSize="0" print="0" autoFill="0" autoPict="0" macro="[0]!SEARCH_AddSelectedToEdit">
                <anchor moveWithCells="1" sizeWithCells="1">
                  <from>
                    <xdr:col>6</xdr:col>
                    <xdr:colOff>47625</xdr:colOff>
                    <xdr:row>5</xdr:row>
                    <xdr:rowOff>19050</xdr:rowOff>
                  </from>
                  <to>
                    <xdr:col>6</xdr:col>
                    <xdr:colOff>990600</xdr:colOff>
                    <xdr:row>5</xdr:row>
                    <xdr:rowOff>161925</xdr:rowOff>
                  </to>
                </anchor>
              </controlPr>
            </control>
          </mc:Choice>
        </mc:AlternateContent>
        <mc:AlternateContent xmlns:mc="http://schemas.openxmlformats.org/markup-compatibility/2006">
          <mc:Choice Requires="x14">
            <control shapeId="1104" r:id="rId8" name="Button 80">
              <controlPr defaultSize="0" print="0" autoFill="0" autoPict="0" macro="[0]!SEARCH_SaveEditGrid">
                <anchor moveWithCells="1" sizeWithCells="1">
                  <from>
                    <xdr:col>6</xdr:col>
                    <xdr:colOff>47625</xdr:colOff>
                    <xdr:row>6</xdr:row>
                    <xdr:rowOff>19050</xdr:rowOff>
                  </from>
                  <to>
                    <xdr:col>6</xdr:col>
                    <xdr:colOff>990600</xdr:colOff>
                    <xdr:row>6</xdr:row>
                    <xdr:rowOff>161925</xdr:rowOff>
                  </to>
                </anchor>
              </controlPr>
            </control>
          </mc:Choice>
        </mc:AlternateContent>
        <mc:AlternateContent xmlns:mc="http://schemas.openxmlformats.org/markup-compatibility/2006">
          <mc:Choice Requires="x14">
            <control shapeId="1105" r:id="rId9" name="Button 81">
              <controlPr defaultSize="0" print="0" autoFill="0" autoPict="0" macro="[0]!SEARCH_ClearEditGrid">
                <anchor moveWithCells="1" sizeWithCells="1">
                  <from>
                    <xdr:col>6</xdr:col>
                    <xdr:colOff>47625</xdr:colOff>
                    <xdr:row>7</xdr:row>
                    <xdr:rowOff>19050</xdr:rowOff>
                  </from>
                  <to>
                    <xdr:col>6</xdr:col>
                    <xdr:colOff>990600</xdr:colOff>
                    <xdr:row>7</xdr:row>
                    <xdr:rowOff>161925</xdr:rowOff>
                  </to>
                </anchor>
              </controlPr>
            </control>
          </mc:Choice>
        </mc:AlternateContent>
        <mc:AlternateContent xmlns:mc="http://schemas.openxmlformats.org/markup-compatibility/2006">
          <mc:Choice Requires="x14">
            <control shapeId="1106" r:id="rId10" name="Button 82">
              <controlPr defaultSize="0" print="0" autoFill="0" autoPict="0" macro="[0]!SEARCH_DeleteSelectedOverride">
                <anchor moveWithCells="1" sizeWithCells="1">
                  <from>
                    <xdr:col>6</xdr:col>
                    <xdr:colOff>47625</xdr:colOff>
                    <xdr:row>8</xdr:row>
                    <xdr:rowOff>19050</xdr:rowOff>
                  </from>
                  <to>
                    <xdr:col>6</xdr:col>
                    <xdr:colOff>990600</xdr:colOff>
                    <xdr:row>8</xdr:row>
                    <xdr:rowOff>161925</xdr:rowOff>
                  </to>
                </anchor>
              </controlPr>
            </control>
          </mc:Choice>
        </mc:AlternateContent>
        <mc:AlternateContent xmlns:mc="http://schemas.openxmlformats.org/markup-compatibility/2006">
          <mc:Choice Requires="x14">
            <control shapeId="1107" r:id="rId11" name="Button 83">
              <controlPr defaultSize="0" print="0" autoFill="0" autoPict="0" macro="[0]!SEARCH_UndoLast">
                <anchor moveWithCells="1" sizeWithCells="1">
                  <from>
                    <xdr:col>6</xdr:col>
                    <xdr:colOff>47625</xdr:colOff>
                    <xdr:row>9</xdr:row>
                    <xdr:rowOff>19050</xdr:rowOff>
                  </from>
                  <to>
                    <xdr:col>6</xdr:col>
                    <xdr:colOff>990600</xdr:colOff>
                    <xdr:row>9</xdr:row>
                    <xdr:rowOff>161925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406739-C211-4AD4-BD32-959B13B83F74}">
  <sheetPr codeName="Sheet4"/>
  <dimension ref="A1:S2"/>
  <sheetViews>
    <sheetView zoomScale="75" zoomScaleNormal="75" workbookViewId="0">
      <selection sqref="A1:S1048576"/>
    </sheetView>
  </sheetViews>
  <sheetFormatPr defaultRowHeight="15" x14ac:dyDescent="0.25"/>
  <cols>
    <col min="1" max="1" width="3.7109375" bestFit="1" customWidth="1"/>
    <col min="2" max="2" width="4.5703125" bestFit="1" customWidth="1"/>
    <col min="3" max="3" width="9.28515625" bestFit="1" customWidth="1"/>
    <col min="4" max="4" width="11.7109375" bestFit="1" customWidth="1"/>
    <col min="5" max="5" width="10.42578125" style="12" bestFit="1" customWidth="1"/>
    <col min="6" max="6" width="10.28515625" style="20" bestFit="1" customWidth="1"/>
    <col min="7" max="7" width="8.85546875" style="12" bestFit="1" customWidth="1"/>
    <col min="8" max="8" width="14.42578125" style="12" bestFit="1" customWidth="1"/>
    <col min="9" max="9" width="9.28515625" style="12" bestFit="1" customWidth="1"/>
    <col min="10" max="10" width="12.5703125" style="12" bestFit="1" customWidth="1"/>
    <col min="11" max="11" width="13.7109375" style="12" bestFit="1" customWidth="1"/>
    <col min="12" max="12" width="10.42578125" style="12" bestFit="1" customWidth="1"/>
    <col min="13" max="13" width="9.140625" style="12"/>
    <col min="14" max="14" width="10.28515625" style="20" bestFit="1" customWidth="1"/>
    <col min="15" max="15" width="9.140625" style="20"/>
    <col min="16" max="16" width="6.85546875" style="12" bestFit="1" customWidth="1"/>
    <col min="17" max="17" width="5.7109375" style="12" bestFit="1" customWidth="1"/>
    <col min="18" max="18" width="7" style="12" bestFit="1" customWidth="1"/>
    <col min="19" max="19" width="11.5703125" style="12" bestFit="1" customWidth="1"/>
    <col min="20" max="20" width="44.28515625" bestFit="1" customWidth="1"/>
  </cols>
  <sheetData>
    <row r="1" spans="1:19" x14ac:dyDescent="0.25">
      <c r="A1" t="s">
        <v>49</v>
      </c>
      <c r="B1" t="s">
        <v>38</v>
      </c>
      <c r="C1" t="s">
        <v>30</v>
      </c>
      <c r="D1" t="s">
        <v>3</v>
      </c>
      <c r="E1" s="12" t="s">
        <v>36</v>
      </c>
      <c r="F1" s="12" t="s">
        <v>37</v>
      </c>
      <c r="G1" s="12" t="s">
        <v>47</v>
      </c>
      <c r="H1" s="12" t="s">
        <v>41</v>
      </c>
      <c r="I1" s="12" t="s">
        <v>42</v>
      </c>
      <c r="J1" s="12" t="s">
        <v>23</v>
      </c>
      <c r="K1" s="12" t="s">
        <v>43</v>
      </c>
      <c r="L1" s="12" t="s">
        <v>39</v>
      </c>
      <c r="M1" s="12" t="s">
        <v>2</v>
      </c>
      <c r="N1" s="12" t="s">
        <v>40</v>
      </c>
      <c r="O1" s="12" t="s">
        <v>22</v>
      </c>
      <c r="P1" s="12" t="s">
        <v>48</v>
      </c>
      <c r="Q1" s="12" t="s">
        <v>5</v>
      </c>
      <c r="R1" s="12" t="s">
        <v>50</v>
      </c>
      <c r="S1" s="12" t="s">
        <v>51</v>
      </c>
    </row>
    <row r="2" spans="1:19" x14ac:dyDescent="0.25">
      <c r="A2" s="12"/>
      <c r="B2" s="12"/>
      <c r="C2" s="12"/>
      <c r="D2" s="12"/>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1080DC-425D-483C-9567-24B8A70C7C32}">
  <sheetPr codeName="Sheet6"/>
  <dimension ref="A1:AD51"/>
  <sheetViews>
    <sheetView zoomScale="75" zoomScaleNormal="75" workbookViewId="0">
      <pane ySplit="49" topLeftCell="A50" activePane="bottomLeft" state="frozen"/>
      <selection pane="bottomLeft" activeCell="D25" sqref="D25"/>
    </sheetView>
  </sheetViews>
  <sheetFormatPr defaultColWidth="8.7109375" defaultRowHeight="15" x14ac:dyDescent="0.25"/>
  <cols>
    <col min="1" max="1" width="13.7109375" customWidth="1"/>
    <col min="2" max="2" width="13.7109375" style="23" customWidth="1"/>
    <col min="3" max="7" width="10.7109375" customWidth="1"/>
    <col min="8" max="8" width="1.7109375" style="1" customWidth="1"/>
    <col min="9" max="9" width="9.85546875" bestFit="1" customWidth="1"/>
    <col min="10" max="10" width="50.7109375" customWidth="1"/>
    <col min="11" max="11" width="7.5703125" bestFit="1" customWidth="1"/>
    <col min="12" max="12" width="9.85546875" style="9" bestFit="1" customWidth="1"/>
    <col min="13" max="17" width="8.7109375" style="9" customWidth="1"/>
    <col min="18" max="18" width="10.42578125" style="9" bestFit="1" customWidth="1"/>
    <col min="19" max="19" width="10.7109375" customWidth="1"/>
    <col min="20" max="20" width="1.7109375" style="1" customWidth="1"/>
    <col min="21" max="21" width="9.85546875" bestFit="1" customWidth="1"/>
    <col min="22" max="22" width="50.7109375" customWidth="1"/>
    <col min="23" max="23" width="9.28515625" style="9" bestFit="1" customWidth="1"/>
    <col min="24" max="24" width="9.85546875" style="9" bestFit="1" customWidth="1"/>
    <col min="25" max="25" width="9.28515625" style="9" bestFit="1" customWidth="1"/>
    <col min="26" max="26" width="14.42578125" style="9" bestFit="1" customWidth="1"/>
    <col min="27" max="27" width="10.42578125" style="9" bestFit="1" customWidth="1"/>
  </cols>
  <sheetData>
    <row r="1" spans="1:30" x14ac:dyDescent="0.25">
      <c r="A1" s="25" t="s">
        <v>24</v>
      </c>
      <c r="B1" s="27"/>
      <c r="C1" s="14" cm="1">
        <f t="array" aca="1" ref="C1" ca="1">_xlfn.LET(_xlpm.v,IFERROR(--C$3:C$49,0),IF(SUMPRODUCT(--(_xlpm.v&lt;&gt;0))=0,"",SUM(_xlpm.v)))</f>
        <v>41385.787500000006</v>
      </c>
      <c r="D1" s="14" cm="1">
        <f t="array" aca="1" ref="D1" ca="1">_xlfn.LET(_xlpm.v,IFERROR(--D$3:D$49,0),IF(SUMPRODUCT(--(_xlpm.v&lt;&gt;0))=0,"",SUM(_xlpm.v)))</f>
        <v>35595</v>
      </c>
      <c r="E1" s="14" cm="1">
        <f t="array" aca="1" ref="E1" ca="1">_xlfn.LET(_xlpm.v,IFERROR(--E$3:E$49,0),IF(SUMPRODUCT(--(_xlpm.v&lt;&gt;0))=0,"",SUM(_xlpm.v)))</f>
        <v>5600</v>
      </c>
      <c r="F1" s="14" cm="1">
        <f t="array" aca="1" ref="F1" ca="1">_xlfn.LET(_xlpm.v,IFERROR(--F$3:F$49,0),IF(SUMPRODUCT(--(_xlpm.v&lt;&gt;0))=0,"",SUM(_xlpm.v)))</f>
        <v>82580.787500000006</v>
      </c>
      <c r="G1" s="14" cm="1">
        <f t="array" aca="1" ref="G1" ca="1">_xlfn.LET(_xlpm.v,IFERROR(--G$3:G$49,0),IF(SUMPRODUCT(--(_xlpm.v&lt;&gt;0))=0,"",SUM(_xlpm.v)))</f>
        <v>82580.787500000006</v>
      </c>
      <c r="I1" t="s">
        <v>29</v>
      </c>
      <c r="L1"/>
      <c r="M1"/>
      <c r="N1"/>
      <c r="O1"/>
      <c r="P1"/>
      <c r="Q1"/>
      <c r="R1" s="10">
        <f>SUM(R3:R500)</f>
        <v>0</v>
      </c>
      <c r="S1" s="11"/>
      <c r="U1" s="11"/>
      <c r="V1" s="11"/>
      <c r="W1" s="11"/>
      <c r="X1" s="11"/>
      <c r="Y1" s="11"/>
      <c r="Z1" s="11"/>
      <c r="AA1" s="11"/>
      <c r="AB1" s="10">
        <f>SUM(AA3:AA500)</f>
        <v>0</v>
      </c>
    </row>
    <row r="2" spans="1:30" x14ac:dyDescent="0.25">
      <c r="A2" s="12" t="s">
        <v>18</v>
      </c>
      <c r="B2" s="12" t="s">
        <v>6</v>
      </c>
      <c r="C2" s="15" t="s">
        <v>19</v>
      </c>
      <c r="D2" s="15" t="s">
        <v>20</v>
      </c>
      <c r="E2" s="15" t="s">
        <v>21</v>
      </c>
      <c r="F2" s="15" t="s">
        <v>25</v>
      </c>
      <c r="G2" s="15" t="s">
        <v>26</v>
      </c>
      <c r="I2" t="s">
        <v>30</v>
      </c>
      <c r="J2" t="s">
        <v>31</v>
      </c>
      <c r="K2" t="s">
        <v>1</v>
      </c>
      <c r="L2" s="9" t="s">
        <v>17</v>
      </c>
      <c r="M2" s="9" t="s">
        <v>27</v>
      </c>
      <c r="N2" s="9" t="s">
        <v>4</v>
      </c>
      <c r="O2" s="9" t="s">
        <v>28</v>
      </c>
      <c r="P2" s="9" t="s">
        <v>23</v>
      </c>
      <c r="Q2" s="9" t="s">
        <v>2</v>
      </c>
      <c r="R2" s="9" t="s">
        <v>22</v>
      </c>
      <c r="U2" t="s">
        <v>30</v>
      </c>
      <c r="V2" t="s">
        <v>3</v>
      </c>
      <c r="W2" t="s">
        <v>1</v>
      </c>
      <c r="X2" t="s">
        <v>46</v>
      </c>
      <c r="Y2" t="s">
        <v>116</v>
      </c>
      <c r="Z2" t="s">
        <v>117</v>
      </c>
      <c r="AA2" t="s">
        <v>118</v>
      </c>
      <c r="AB2" t="s">
        <v>119</v>
      </c>
      <c r="AC2" t="s">
        <v>120</v>
      </c>
      <c r="AD2" t="s">
        <v>121</v>
      </c>
    </row>
    <row r="3" spans="1:30" x14ac:dyDescent="0.25">
      <c r="A3" s="12">
        <v>1</v>
      </c>
      <c r="B3" s="12" t="str">
        <f>IF($A3=1,"S"&amp;TEXT(ROW()-2,"00"),"")</f>
        <v>S01</v>
      </c>
      <c r="C3" s="9">
        <f ca="1">_xlfn.LET(_xlpm.sh,IFERROR(MID($B3,SEARCH("S",$B3),3),$B3),IF($B3="","",IFERROR(SUMIFS(INDIRECT("'"&amp;_xlpm.sh&amp;"'!N3:N300"),INDIRECT("'"&amp;_xlpm.sh&amp;"'!F3:F300"),"&lt;&gt;",INDIRECT("'"&amp;_xlpm.sh&amp;"'!H3:H300"),"&lt;&gt;"),0)))</f>
        <v>149</v>
      </c>
      <c r="D3" s="9">
        <f ca="1">_xlfn.LET(_xlpm.sh,IFERROR(MID($B3,SEARCH("S",$B3),3),$B3),IF($B3="","",IFERROR(SUMIFS(INDIRECT("'"&amp;_xlpm.sh&amp;"'!Y3:Y300"),INDIRECT("'"&amp;_xlpm.sh&amp;"'!Q3:Q300"),"&lt;&gt;",INDIRECT("'"&amp;_xlpm.sh&amp;"'!S3:S300"),"&lt;&gt;"),0)))</f>
        <v>315</v>
      </c>
      <c r="E3" s="9">
        <f ca="1">_xlfn.LET(_xlpm.sh,IFERROR(MID($B3,SEARCH("S",$B3),3),$B3),IF($B3="","",IFERROR(SUMIFS(INDIRECT("'"&amp;_xlpm.sh&amp;"'!AJ3:AJ300"),INDIRECT("'"&amp;_xlpm.sh&amp;"'!AB3:AB300"),"&lt;&gt;",INDIRECT("'"&amp;_xlpm.sh&amp;"'!AD3:AD300"),"&lt;&gt;"),0)))</f>
        <v>3800</v>
      </c>
      <c r="F3" s="9">
        <f ca="1">IF($B3="","",C3+D3+E3)</f>
        <v>4264</v>
      </c>
      <c r="G3" s="9">
        <f ca="1">IF($A3=1,$F3,0)</f>
        <v>4264</v>
      </c>
      <c r="I3" t="str" cm="1">
        <f t="array" ref="I3">IFERROR(
_xlfn._xlws.SORT(
_xlfn.UNIQUE(
_xlfn._xlws.FILTER(
CHOOSE({1,2,3},$T$3:$T$5000,$U$3:$U$5000,$V$3:$V$5000),
($T$3:$T$5000="MATERIALS")*($U$3:$U$5000&lt;&gt;""),
""
)
)
),
""
)</f>
        <v/>
      </c>
      <c r="L3" s="9" t="str">
        <f>IF($J3="","",
IFERROR(
SUMIFS($AA$3:$AA$5000,$T$3:$T$5000,$I3,$U$3:$U$5000,$J3,$V$3:$V$5000,$K3)/
SUMIFS($Z$3:$Z$5000,$T$3:$T$5000,$I3,$U$3:$U$5000,$J3,$V$3:$V$5000,$K3),
""
))</f>
        <v/>
      </c>
      <c r="M3" s="9" t="str">
        <f>IF($J3="","",
SUMIFS($X$3:$X$5000,$T$3:$T$5000,$I3,$U$3:$U$5000,$J3,$V$3:$V$5000,$K3)
)</f>
        <v/>
      </c>
      <c r="N3" s="9" t="str">
        <f>IF($J3="","",
SUMIFS($Y$3:$Y$5000,$T$3:$T$5000,$I3,$U$3:$U$5000,$J3,$V$3:$V$5000,$K3)
)</f>
        <v/>
      </c>
      <c r="O3" s="9" t="str">
        <f>IF($J3="","",
SUMIFS($Z$3:$Z$5000,$T$3:$T$5000,$I3,$U$3:$U$5000,$J3,$V$3:$V$5000,$K3)
)</f>
        <v/>
      </c>
      <c r="Q3" s="9" t="str">
        <f>IF($J3="","",IF($P3="",$O3,$P3))</f>
        <v/>
      </c>
      <c r="R3" s="9" t="str">
        <f>IF($J3="","",
IF($P3="",
SUMIFS($AA$3:$AA$5000,$T$3:$T$5000,$I3,$U$3:$U$5000,$J3,$V$3:$V$5000,$K3),
$Q3*$L3
))</f>
        <v/>
      </c>
    </row>
    <row r="4" spans="1:30" x14ac:dyDescent="0.25">
      <c r="A4" s="12">
        <v>1</v>
      </c>
      <c r="B4" s="12" t="str">
        <f t="shared" ref="B4:B14" si="0">IF($A4=1,"S"&amp;TEXT(ROW()-2,"00"),"")</f>
        <v>S02</v>
      </c>
      <c r="C4" s="9">
        <f t="shared" ref="C4:C49" ca="1" si="1">_xlfn.LET(_xlpm.sh,IFERROR(MID($B4,SEARCH("S",$B4),3),$B4),IF($B4="","",IFERROR(SUMIFS(INDIRECT("'"&amp;_xlpm.sh&amp;"'!N3:N300"),INDIRECT("'"&amp;_xlpm.sh&amp;"'!F3:F300"),"&lt;&gt;",INDIRECT("'"&amp;_xlpm.sh&amp;"'!H3:H300"),"&lt;&gt;"),0)))</f>
        <v>0</v>
      </c>
      <c r="D4" s="9">
        <f t="shared" ref="D4:D49" ca="1" si="2">_xlfn.LET(_xlpm.sh,IFERROR(MID($B4,SEARCH("S",$B4),3),$B4),IF($B4="","",IFERROR(SUMIFS(INDIRECT("'"&amp;_xlpm.sh&amp;"'!Y3:Y300"),INDIRECT("'"&amp;_xlpm.sh&amp;"'!Q3:Q300"),"&lt;&gt;",INDIRECT("'"&amp;_xlpm.sh&amp;"'!S3:S300"),"&lt;&gt;"),0)))</f>
        <v>0</v>
      </c>
      <c r="E4" s="9">
        <f t="shared" ref="E4:E49" ca="1" si="3">_xlfn.LET(_xlpm.sh,IFERROR(MID($B4,SEARCH("S",$B4),3),$B4),IF($B4="","",IFERROR(SUMIFS(INDIRECT("'"&amp;_xlpm.sh&amp;"'!AJ3:AJ300"),INDIRECT("'"&amp;_xlpm.sh&amp;"'!AB3:AB300"),"&lt;&gt;",INDIRECT("'"&amp;_xlpm.sh&amp;"'!AD3:AD300"),"&lt;&gt;"),0)))</f>
        <v>0</v>
      </c>
      <c r="F4" s="9">
        <f t="shared" ref="F4:F49" ca="1" si="4">IF($B4="","",C4+D4+E4)</f>
        <v>0</v>
      </c>
      <c r="G4" s="9">
        <f t="shared" ref="G4:G49" ca="1" si="5">IF($A4=1,$F4,0)</f>
        <v>0</v>
      </c>
    </row>
    <row r="5" spans="1:30" x14ac:dyDescent="0.25">
      <c r="A5" s="12">
        <v>1</v>
      </c>
      <c r="B5" s="12" t="str">
        <f t="shared" si="0"/>
        <v>S03</v>
      </c>
      <c r="C5" s="9">
        <f t="shared" ca="1" si="1"/>
        <v>0</v>
      </c>
      <c r="D5" s="9">
        <f t="shared" ca="1" si="2"/>
        <v>2250</v>
      </c>
      <c r="E5" s="9">
        <f t="shared" ca="1" si="3"/>
        <v>0</v>
      </c>
      <c r="F5" s="9">
        <f t="shared" ca="1" si="4"/>
        <v>2250</v>
      </c>
      <c r="G5" s="9">
        <f t="shared" ca="1" si="5"/>
        <v>2250</v>
      </c>
    </row>
    <row r="6" spans="1:30" x14ac:dyDescent="0.25">
      <c r="A6" s="12">
        <v>1</v>
      </c>
      <c r="B6" s="12" t="str">
        <f t="shared" si="0"/>
        <v>S04</v>
      </c>
      <c r="C6" s="9">
        <f t="shared" ca="1" si="1"/>
        <v>4126.8999999999996</v>
      </c>
      <c r="D6" s="9">
        <f t="shared" ca="1" si="2"/>
        <v>1822.5</v>
      </c>
      <c r="E6" s="9">
        <f t="shared" ca="1" si="3"/>
        <v>900</v>
      </c>
      <c r="F6" s="9">
        <f t="shared" ca="1" si="4"/>
        <v>6849.4</v>
      </c>
      <c r="G6" s="9">
        <f t="shared" ca="1" si="5"/>
        <v>6849.4</v>
      </c>
    </row>
    <row r="7" spans="1:30" x14ac:dyDescent="0.25">
      <c r="A7" s="12">
        <v>1</v>
      </c>
      <c r="B7" s="12" t="str">
        <f t="shared" si="0"/>
        <v>S05</v>
      </c>
      <c r="C7" s="9">
        <f t="shared" ca="1" si="1"/>
        <v>3586.95</v>
      </c>
      <c r="D7" s="9">
        <f t="shared" ca="1" si="2"/>
        <v>3172.5</v>
      </c>
      <c r="E7" s="9">
        <f t="shared" ca="1" si="3"/>
        <v>900</v>
      </c>
      <c r="F7" s="9">
        <f t="shared" ca="1" si="4"/>
        <v>7659.45</v>
      </c>
      <c r="G7" s="9">
        <f t="shared" ca="1" si="5"/>
        <v>7659.45</v>
      </c>
    </row>
    <row r="8" spans="1:30" x14ac:dyDescent="0.25">
      <c r="A8" s="12">
        <v>1</v>
      </c>
      <c r="B8" s="12" t="str">
        <f t="shared" si="0"/>
        <v>S06</v>
      </c>
      <c r="C8" s="9">
        <f t="shared" ca="1" si="1"/>
        <v>2692.75</v>
      </c>
      <c r="D8" s="9">
        <f t="shared" ca="1" si="2"/>
        <v>2475</v>
      </c>
      <c r="E8" s="9">
        <f t="shared" ca="1" si="3"/>
        <v>0</v>
      </c>
      <c r="F8" s="9">
        <f t="shared" ca="1" si="4"/>
        <v>5167.75</v>
      </c>
      <c r="G8" s="9">
        <f t="shared" ca="1" si="5"/>
        <v>5167.75</v>
      </c>
    </row>
    <row r="9" spans="1:30" x14ac:dyDescent="0.25">
      <c r="A9" s="12">
        <v>1</v>
      </c>
      <c r="B9" s="12" t="str">
        <f t="shared" si="0"/>
        <v>S07</v>
      </c>
      <c r="C9" s="9">
        <f t="shared" ca="1" si="1"/>
        <v>531.56000000000006</v>
      </c>
      <c r="D9" s="9">
        <f t="shared" ca="1" si="2"/>
        <v>1440</v>
      </c>
      <c r="E9" s="9">
        <f t="shared" ca="1" si="3"/>
        <v>0</v>
      </c>
      <c r="F9" s="9">
        <f t="shared" ca="1" si="4"/>
        <v>1971.56</v>
      </c>
      <c r="G9" s="9">
        <f t="shared" ca="1" si="5"/>
        <v>1971.56</v>
      </c>
    </row>
    <row r="10" spans="1:30" x14ac:dyDescent="0.25">
      <c r="A10" s="12">
        <v>1</v>
      </c>
      <c r="B10" s="12" t="str">
        <f t="shared" si="0"/>
        <v>S08</v>
      </c>
      <c r="C10" s="9">
        <f t="shared" ca="1" si="1"/>
        <v>8527.7800000000025</v>
      </c>
      <c r="D10" s="9">
        <f t="shared" ca="1" si="2"/>
        <v>2002.5</v>
      </c>
      <c r="E10" s="9">
        <f t="shared" ca="1" si="3"/>
        <v>0</v>
      </c>
      <c r="F10" s="9">
        <f t="shared" ca="1" si="4"/>
        <v>10530.280000000002</v>
      </c>
      <c r="G10" s="9">
        <f t="shared" ca="1" si="5"/>
        <v>10530.280000000002</v>
      </c>
    </row>
    <row r="11" spans="1:30" x14ac:dyDescent="0.25">
      <c r="A11" s="12">
        <v>1</v>
      </c>
      <c r="B11" s="12" t="str">
        <f t="shared" si="0"/>
        <v>S09</v>
      </c>
      <c r="C11" s="9">
        <f t="shared" ca="1" si="1"/>
        <v>1840.8600000000004</v>
      </c>
      <c r="D11" s="9">
        <f t="shared" ca="1" si="2"/>
        <v>3060</v>
      </c>
      <c r="E11" s="9">
        <f t="shared" ca="1" si="3"/>
        <v>0</v>
      </c>
      <c r="F11" s="9">
        <f t="shared" ca="1" si="4"/>
        <v>4900.8600000000006</v>
      </c>
      <c r="G11" s="9">
        <f t="shared" ca="1" si="5"/>
        <v>4900.8600000000006</v>
      </c>
    </row>
    <row r="12" spans="1:30" x14ac:dyDescent="0.25">
      <c r="A12" s="12">
        <v>1</v>
      </c>
      <c r="B12" s="12" t="str">
        <f t="shared" si="0"/>
        <v>S10</v>
      </c>
      <c r="C12" s="9">
        <f t="shared" ca="1" si="1"/>
        <v>3388.8574999999992</v>
      </c>
      <c r="D12" s="9">
        <f t="shared" ca="1" si="2"/>
        <v>1912.5</v>
      </c>
      <c r="E12" s="9">
        <f t="shared" ca="1" si="3"/>
        <v>0</v>
      </c>
      <c r="F12" s="9">
        <f t="shared" ca="1" si="4"/>
        <v>5301.3574999999992</v>
      </c>
      <c r="G12" s="9">
        <f t="shared" ca="1" si="5"/>
        <v>5301.3574999999992</v>
      </c>
    </row>
    <row r="13" spans="1:30" x14ac:dyDescent="0.25">
      <c r="A13" s="12">
        <v>1</v>
      </c>
      <c r="B13" s="12" t="str">
        <f t="shared" si="0"/>
        <v>S11</v>
      </c>
      <c r="C13" s="9">
        <f t="shared" ca="1" si="1"/>
        <v>675.67500000000007</v>
      </c>
      <c r="D13" s="9">
        <f t="shared" ca="1" si="2"/>
        <v>2475</v>
      </c>
      <c r="E13" s="9">
        <f t="shared" ca="1" si="3"/>
        <v>0</v>
      </c>
      <c r="F13" s="9">
        <f t="shared" ca="1" si="4"/>
        <v>3150.6750000000002</v>
      </c>
      <c r="G13" s="9">
        <f t="shared" ca="1" si="5"/>
        <v>3150.6750000000002</v>
      </c>
    </row>
    <row r="14" spans="1:30" x14ac:dyDescent="0.25">
      <c r="A14" s="12">
        <v>1</v>
      </c>
      <c r="B14" s="12" t="str">
        <f t="shared" si="0"/>
        <v>S12</v>
      </c>
      <c r="C14" s="9">
        <f t="shared" ca="1" si="1"/>
        <v>963.125</v>
      </c>
      <c r="D14" s="9">
        <f t="shared" ca="1" si="2"/>
        <v>1912.5</v>
      </c>
      <c r="E14" s="9">
        <f t="shared" ca="1" si="3"/>
        <v>0</v>
      </c>
      <c r="F14" s="9">
        <f t="shared" ca="1" si="4"/>
        <v>2875.625</v>
      </c>
      <c r="G14" s="9">
        <f t="shared" ca="1" si="5"/>
        <v>2875.625</v>
      </c>
    </row>
    <row r="15" spans="1:30" x14ac:dyDescent="0.25">
      <c r="A15" s="12">
        <v>1</v>
      </c>
      <c r="B15" s="23" t="str">
        <f t="shared" ref="B15:B49" si="6">IF($A15=1,"S"&amp;TEXT(ROW()-2,"00"),"")</f>
        <v>S13</v>
      </c>
      <c r="C15" s="9">
        <f t="shared" ca="1" si="1"/>
        <v>5277.5</v>
      </c>
      <c r="D15" s="9">
        <f t="shared" ca="1" si="2"/>
        <v>5040</v>
      </c>
      <c r="E15" s="9">
        <f t="shared" ca="1" si="3"/>
        <v>0</v>
      </c>
      <c r="F15" s="9">
        <f t="shared" ca="1" si="4"/>
        <v>10317.5</v>
      </c>
      <c r="G15" s="9">
        <f t="shared" ca="1" si="5"/>
        <v>10317.5</v>
      </c>
    </row>
    <row r="16" spans="1:30" x14ac:dyDescent="0.25">
      <c r="A16" s="12">
        <v>1</v>
      </c>
      <c r="B16" s="23" t="str">
        <f t="shared" si="6"/>
        <v>S14</v>
      </c>
      <c r="C16" s="9">
        <f t="shared" ca="1" si="1"/>
        <v>1825.2700000000002</v>
      </c>
      <c r="D16" s="9">
        <f t="shared" ca="1" si="2"/>
        <v>1440</v>
      </c>
      <c r="E16" s="9">
        <f t="shared" ca="1" si="3"/>
        <v>0</v>
      </c>
      <c r="F16" s="9">
        <f t="shared" ca="1" si="4"/>
        <v>3265.2700000000004</v>
      </c>
      <c r="G16" s="9">
        <f t="shared" ca="1" si="5"/>
        <v>3265.2700000000004</v>
      </c>
    </row>
    <row r="17" spans="1:7" x14ac:dyDescent="0.25">
      <c r="A17" s="12">
        <v>1</v>
      </c>
      <c r="B17" s="23" t="str">
        <f t="shared" si="6"/>
        <v>S15</v>
      </c>
      <c r="C17" s="9">
        <f t="shared" ca="1" si="1"/>
        <v>1233.76</v>
      </c>
      <c r="D17" s="9">
        <f t="shared" ca="1" si="2"/>
        <v>1057.5</v>
      </c>
      <c r="E17" s="9">
        <f t="shared" ca="1" si="3"/>
        <v>0</v>
      </c>
      <c r="F17" s="9">
        <f t="shared" ca="1" si="4"/>
        <v>2291.2600000000002</v>
      </c>
      <c r="G17" s="9">
        <f t="shared" ca="1" si="5"/>
        <v>2291.2600000000002</v>
      </c>
    </row>
    <row r="18" spans="1:7" x14ac:dyDescent="0.25">
      <c r="A18" s="12">
        <v>1</v>
      </c>
      <c r="B18" s="23" t="str">
        <f t="shared" si="6"/>
        <v>S16</v>
      </c>
      <c r="C18" s="9">
        <f t="shared" ca="1" si="1"/>
        <v>3677.7999999999997</v>
      </c>
      <c r="D18" s="9">
        <f t="shared" ca="1" si="2"/>
        <v>2700</v>
      </c>
      <c r="E18" s="9">
        <f t="shared" ca="1" si="3"/>
        <v>0</v>
      </c>
      <c r="F18" s="9">
        <f t="shared" ca="1" si="4"/>
        <v>6377.7999999999993</v>
      </c>
      <c r="G18" s="9">
        <f t="shared" ca="1" si="5"/>
        <v>6377.7999999999993</v>
      </c>
    </row>
    <row r="19" spans="1:7" x14ac:dyDescent="0.25">
      <c r="A19" s="12">
        <v>1</v>
      </c>
      <c r="B19" s="23" t="str">
        <f t="shared" si="6"/>
        <v>S17</v>
      </c>
      <c r="C19" s="9">
        <f t="shared" ca="1" si="1"/>
        <v>2888</v>
      </c>
      <c r="D19" s="9">
        <f t="shared" ca="1" si="2"/>
        <v>2520</v>
      </c>
      <c r="E19" s="9">
        <f t="shared" ca="1" si="3"/>
        <v>0</v>
      </c>
      <c r="F19" s="9">
        <f t="shared" ca="1" si="4"/>
        <v>5408</v>
      </c>
      <c r="G19" s="9">
        <f t="shared" ca="1" si="5"/>
        <v>5408</v>
      </c>
    </row>
    <row r="20" spans="1:7" x14ac:dyDescent="0.25">
      <c r="B20" s="23" t="str">
        <f t="shared" si="6"/>
        <v/>
      </c>
      <c r="C20" s="9" t="str">
        <f t="shared" ca="1" si="1"/>
        <v/>
      </c>
      <c r="D20" s="9" t="str">
        <f t="shared" ca="1" si="2"/>
        <v/>
      </c>
      <c r="E20" s="9" t="str">
        <f t="shared" ca="1" si="3"/>
        <v/>
      </c>
      <c r="F20" s="9" t="str">
        <f t="shared" si="4"/>
        <v/>
      </c>
      <c r="G20" s="9">
        <f t="shared" si="5"/>
        <v>0</v>
      </c>
    </row>
    <row r="21" spans="1:7" x14ac:dyDescent="0.25">
      <c r="B21" s="23" t="str">
        <f t="shared" si="6"/>
        <v/>
      </c>
      <c r="C21" s="9" t="str">
        <f t="shared" ca="1" si="1"/>
        <v/>
      </c>
      <c r="D21" s="9" t="str">
        <f t="shared" ca="1" si="2"/>
        <v/>
      </c>
      <c r="E21" s="9" t="str">
        <f t="shared" ca="1" si="3"/>
        <v/>
      </c>
      <c r="F21" s="9" t="str">
        <f t="shared" si="4"/>
        <v/>
      </c>
      <c r="G21" s="9">
        <f t="shared" si="5"/>
        <v>0</v>
      </c>
    </row>
    <row r="22" spans="1:7" x14ac:dyDescent="0.25">
      <c r="B22" s="23" t="str">
        <f t="shared" si="6"/>
        <v/>
      </c>
      <c r="C22" s="9" t="str">
        <f t="shared" ca="1" si="1"/>
        <v/>
      </c>
      <c r="D22" s="9" t="str">
        <f t="shared" ca="1" si="2"/>
        <v/>
      </c>
      <c r="E22" s="9" t="str">
        <f t="shared" ca="1" si="3"/>
        <v/>
      </c>
      <c r="F22" s="9" t="str">
        <f t="shared" si="4"/>
        <v/>
      </c>
      <c r="G22" s="9">
        <f t="shared" si="5"/>
        <v>0</v>
      </c>
    </row>
    <row r="23" spans="1:7" x14ac:dyDescent="0.25">
      <c r="B23" s="23" t="str">
        <f t="shared" si="6"/>
        <v/>
      </c>
      <c r="C23" s="9" t="str">
        <f t="shared" ca="1" si="1"/>
        <v/>
      </c>
      <c r="D23" s="9" t="str">
        <f t="shared" ca="1" si="2"/>
        <v/>
      </c>
      <c r="E23" s="9" t="str">
        <f t="shared" ca="1" si="3"/>
        <v/>
      </c>
      <c r="F23" s="9" t="str">
        <f t="shared" si="4"/>
        <v/>
      </c>
      <c r="G23" s="9">
        <f t="shared" si="5"/>
        <v>0</v>
      </c>
    </row>
    <row r="24" spans="1:7" x14ac:dyDescent="0.25">
      <c r="B24" s="23" t="str">
        <f t="shared" si="6"/>
        <v/>
      </c>
      <c r="C24" s="9" t="str">
        <f t="shared" ca="1" si="1"/>
        <v/>
      </c>
      <c r="D24" s="9" t="str">
        <f t="shared" ca="1" si="2"/>
        <v/>
      </c>
      <c r="E24" s="9" t="str">
        <f t="shared" ca="1" si="3"/>
        <v/>
      </c>
      <c r="F24" s="9" t="str">
        <f t="shared" si="4"/>
        <v/>
      </c>
      <c r="G24" s="9">
        <f t="shared" si="5"/>
        <v>0</v>
      </c>
    </row>
    <row r="25" spans="1:7" x14ac:dyDescent="0.25">
      <c r="B25" s="23" t="str">
        <f t="shared" si="6"/>
        <v/>
      </c>
      <c r="C25" s="9" t="str">
        <f t="shared" ca="1" si="1"/>
        <v/>
      </c>
      <c r="D25" s="9" t="str">
        <f t="shared" ca="1" si="2"/>
        <v/>
      </c>
      <c r="E25" s="9" t="str">
        <f t="shared" ca="1" si="3"/>
        <v/>
      </c>
      <c r="F25" s="9" t="str">
        <f t="shared" si="4"/>
        <v/>
      </c>
      <c r="G25" s="9">
        <f t="shared" si="5"/>
        <v>0</v>
      </c>
    </row>
    <row r="26" spans="1:7" x14ac:dyDescent="0.25">
      <c r="B26" s="23" t="str">
        <f t="shared" si="6"/>
        <v/>
      </c>
      <c r="C26" s="9" t="str">
        <f t="shared" ca="1" si="1"/>
        <v/>
      </c>
      <c r="D26" s="9" t="str">
        <f t="shared" ca="1" si="2"/>
        <v/>
      </c>
      <c r="E26" s="9" t="str">
        <f t="shared" ca="1" si="3"/>
        <v/>
      </c>
      <c r="F26" s="9" t="str">
        <f t="shared" si="4"/>
        <v/>
      </c>
      <c r="G26" s="9">
        <f t="shared" si="5"/>
        <v>0</v>
      </c>
    </row>
    <row r="27" spans="1:7" x14ac:dyDescent="0.25">
      <c r="B27" s="23" t="str">
        <f t="shared" si="6"/>
        <v/>
      </c>
      <c r="C27" s="9" t="str">
        <f t="shared" ca="1" si="1"/>
        <v/>
      </c>
      <c r="D27" s="9" t="str">
        <f t="shared" ca="1" si="2"/>
        <v/>
      </c>
      <c r="E27" s="9" t="str">
        <f t="shared" ca="1" si="3"/>
        <v/>
      </c>
      <c r="F27" s="9" t="str">
        <f t="shared" si="4"/>
        <v/>
      </c>
      <c r="G27" s="9">
        <f t="shared" si="5"/>
        <v>0</v>
      </c>
    </row>
    <row r="28" spans="1:7" x14ac:dyDescent="0.25">
      <c r="B28" s="23" t="str">
        <f t="shared" si="6"/>
        <v/>
      </c>
      <c r="C28" s="9" t="str">
        <f t="shared" ca="1" si="1"/>
        <v/>
      </c>
      <c r="D28" s="9" t="str">
        <f t="shared" ca="1" si="2"/>
        <v/>
      </c>
      <c r="E28" s="9" t="str">
        <f t="shared" ca="1" si="3"/>
        <v/>
      </c>
      <c r="F28" s="9" t="str">
        <f t="shared" si="4"/>
        <v/>
      </c>
      <c r="G28" s="9">
        <f t="shared" si="5"/>
        <v>0</v>
      </c>
    </row>
    <row r="29" spans="1:7" x14ac:dyDescent="0.25">
      <c r="B29" s="23" t="str">
        <f t="shared" si="6"/>
        <v/>
      </c>
      <c r="C29" s="9" t="str">
        <f t="shared" ca="1" si="1"/>
        <v/>
      </c>
      <c r="D29" s="9" t="str">
        <f t="shared" ca="1" si="2"/>
        <v/>
      </c>
      <c r="E29" s="9" t="str">
        <f t="shared" ca="1" si="3"/>
        <v/>
      </c>
      <c r="F29" s="9" t="str">
        <f t="shared" si="4"/>
        <v/>
      </c>
      <c r="G29" s="9">
        <f t="shared" si="5"/>
        <v>0</v>
      </c>
    </row>
    <row r="30" spans="1:7" x14ac:dyDescent="0.25">
      <c r="B30" s="23" t="str">
        <f t="shared" si="6"/>
        <v/>
      </c>
      <c r="C30" s="9" t="str">
        <f t="shared" ca="1" si="1"/>
        <v/>
      </c>
      <c r="D30" s="9" t="str">
        <f t="shared" ca="1" si="2"/>
        <v/>
      </c>
      <c r="E30" s="9" t="str">
        <f t="shared" ca="1" si="3"/>
        <v/>
      </c>
      <c r="F30" s="9" t="str">
        <f t="shared" si="4"/>
        <v/>
      </c>
      <c r="G30" s="9">
        <f t="shared" si="5"/>
        <v>0</v>
      </c>
    </row>
    <row r="31" spans="1:7" x14ac:dyDescent="0.25">
      <c r="B31" s="23" t="str">
        <f t="shared" si="6"/>
        <v/>
      </c>
      <c r="C31" s="9" t="str">
        <f t="shared" ca="1" si="1"/>
        <v/>
      </c>
      <c r="D31" s="9" t="str">
        <f t="shared" ca="1" si="2"/>
        <v/>
      </c>
      <c r="E31" s="9" t="str">
        <f t="shared" ca="1" si="3"/>
        <v/>
      </c>
      <c r="F31" s="9" t="str">
        <f t="shared" si="4"/>
        <v/>
      </c>
      <c r="G31" s="9">
        <f t="shared" si="5"/>
        <v>0</v>
      </c>
    </row>
    <row r="32" spans="1:7" x14ac:dyDescent="0.25">
      <c r="B32" s="23" t="str">
        <f t="shared" si="6"/>
        <v/>
      </c>
      <c r="C32" s="9" t="str">
        <f t="shared" ca="1" si="1"/>
        <v/>
      </c>
      <c r="D32" s="9" t="str">
        <f t="shared" ca="1" si="2"/>
        <v/>
      </c>
      <c r="E32" s="9" t="str">
        <f t="shared" ca="1" si="3"/>
        <v/>
      </c>
      <c r="F32" s="9" t="str">
        <f t="shared" si="4"/>
        <v/>
      </c>
      <c r="G32" s="9">
        <f t="shared" si="5"/>
        <v>0</v>
      </c>
    </row>
    <row r="33" spans="2:7" x14ac:dyDescent="0.25">
      <c r="B33" s="23" t="str">
        <f t="shared" si="6"/>
        <v/>
      </c>
      <c r="C33" s="9" t="str">
        <f t="shared" ca="1" si="1"/>
        <v/>
      </c>
      <c r="D33" s="9" t="str">
        <f t="shared" ca="1" si="2"/>
        <v/>
      </c>
      <c r="E33" s="9" t="str">
        <f t="shared" ca="1" si="3"/>
        <v/>
      </c>
      <c r="F33" s="9" t="str">
        <f t="shared" si="4"/>
        <v/>
      </c>
      <c r="G33" s="9">
        <f t="shared" si="5"/>
        <v>0</v>
      </c>
    </row>
    <row r="34" spans="2:7" x14ac:dyDescent="0.25">
      <c r="B34" s="23" t="str">
        <f t="shared" si="6"/>
        <v/>
      </c>
      <c r="C34" s="9" t="str">
        <f t="shared" ca="1" si="1"/>
        <v/>
      </c>
      <c r="D34" s="9" t="str">
        <f t="shared" ca="1" si="2"/>
        <v/>
      </c>
      <c r="E34" s="9" t="str">
        <f t="shared" ca="1" si="3"/>
        <v/>
      </c>
      <c r="F34" s="9" t="str">
        <f t="shared" si="4"/>
        <v/>
      </c>
      <c r="G34" s="9">
        <f t="shared" si="5"/>
        <v>0</v>
      </c>
    </row>
    <row r="35" spans="2:7" x14ac:dyDescent="0.25">
      <c r="B35" s="23" t="str">
        <f t="shared" si="6"/>
        <v/>
      </c>
      <c r="C35" s="9" t="str">
        <f t="shared" ca="1" si="1"/>
        <v/>
      </c>
      <c r="D35" s="9" t="str">
        <f t="shared" ca="1" si="2"/>
        <v/>
      </c>
      <c r="E35" s="9" t="str">
        <f t="shared" ca="1" si="3"/>
        <v/>
      </c>
      <c r="F35" s="9" t="str">
        <f t="shared" si="4"/>
        <v/>
      </c>
      <c r="G35" s="9">
        <f t="shared" si="5"/>
        <v>0</v>
      </c>
    </row>
    <row r="36" spans="2:7" x14ac:dyDescent="0.25">
      <c r="B36" s="23" t="str">
        <f t="shared" si="6"/>
        <v/>
      </c>
      <c r="C36" s="9" t="str">
        <f t="shared" ca="1" si="1"/>
        <v/>
      </c>
      <c r="D36" s="9" t="str">
        <f t="shared" ca="1" si="2"/>
        <v/>
      </c>
      <c r="E36" s="9" t="str">
        <f t="shared" ca="1" si="3"/>
        <v/>
      </c>
      <c r="F36" s="9" t="str">
        <f t="shared" si="4"/>
        <v/>
      </c>
      <c r="G36" s="9">
        <f t="shared" si="5"/>
        <v>0</v>
      </c>
    </row>
    <row r="37" spans="2:7" x14ac:dyDescent="0.25">
      <c r="B37" s="23" t="str">
        <f t="shared" si="6"/>
        <v/>
      </c>
      <c r="C37" s="9" t="str">
        <f t="shared" ca="1" si="1"/>
        <v/>
      </c>
      <c r="D37" s="9" t="str">
        <f t="shared" ca="1" si="2"/>
        <v/>
      </c>
      <c r="E37" s="9" t="str">
        <f t="shared" ca="1" si="3"/>
        <v/>
      </c>
      <c r="F37" s="9" t="str">
        <f t="shared" si="4"/>
        <v/>
      </c>
      <c r="G37" s="9">
        <f t="shared" si="5"/>
        <v>0</v>
      </c>
    </row>
    <row r="38" spans="2:7" x14ac:dyDescent="0.25">
      <c r="B38" s="23" t="str">
        <f t="shared" si="6"/>
        <v/>
      </c>
      <c r="C38" s="9" t="str">
        <f t="shared" ca="1" si="1"/>
        <v/>
      </c>
      <c r="D38" s="9" t="str">
        <f t="shared" ca="1" si="2"/>
        <v/>
      </c>
      <c r="E38" s="9" t="str">
        <f t="shared" ca="1" si="3"/>
        <v/>
      </c>
      <c r="F38" s="9" t="str">
        <f t="shared" si="4"/>
        <v/>
      </c>
      <c r="G38" s="9">
        <f t="shared" si="5"/>
        <v>0</v>
      </c>
    </row>
    <row r="39" spans="2:7" x14ac:dyDescent="0.25">
      <c r="B39" s="23" t="str">
        <f t="shared" si="6"/>
        <v/>
      </c>
      <c r="C39" s="9" t="str">
        <f t="shared" ca="1" si="1"/>
        <v/>
      </c>
      <c r="D39" s="9" t="str">
        <f t="shared" ca="1" si="2"/>
        <v/>
      </c>
      <c r="E39" s="9" t="str">
        <f t="shared" ca="1" si="3"/>
        <v/>
      </c>
      <c r="F39" s="9" t="str">
        <f t="shared" si="4"/>
        <v/>
      </c>
      <c r="G39" s="9">
        <f t="shared" si="5"/>
        <v>0</v>
      </c>
    </row>
    <row r="40" spans="2:7" x14ac:dyDescent="0.25">
      <c r="B40" s="23" t="str">
        <f t="shared" si="6"/>
        <v/>
      </c>
      <c r="C40" s="9" t="str">
        <f t="shared" ca="1" si="1"/>
        <v/>
      </c>
      <c r="D40" s="9" t="str">
        <f t="shared" ca="1" si="2"/>
        <v/>
      </c>
      <c r="E40" s="9" t="str">
        <f t="shared" ca="1" si="3"/>
        <v/>
      </c>
      <c r="F40" s="9" t="str">
        <f t="shared" si="4"/>
        <v/>
      </c>
      <c r="G40" s="9">
        <f t="shared" si="5"/>
        <v>0</v>
      </c>
    </row>
    <row r="41" spans="2:7" x14ac:dyDescent="0.25">
      <c r="B41" s="23" t="str">
        <f t="shared" si="6"/>
        <v/>
      </c>
      <c r="C41" s="9" t="str">
        <f t="shared" ca="1" si="1"/>
        <v/>
      </c>
      <c r="D41" s="9" t="str">
        <f t="shared" ca="1" si="2"/>
        <v/>
      </c>
      <c r="E41" s="9" t="str">
        <f t="shared" ca="1" si="3"/>
        <v/>
      </c>
      <c r="F41" s="9" t="str">
        <f t="shared" si="4"/>
        <v/>
      </c>
      <c r="G41" s="9">
        <f t="shared" si="5"/>
        <v>0</v>
      </c>
    </row>
    <row r="42" spans="2:7" x14ac:dyDescent="0.25">
      <c r="B42" s="23" t="str">
        <f t="shared" si="6"/>
        <v/>
      </c>
      <c r="C42" s="9" t="str">
        <f t="shared" ca="1" si="1"/>
        <v/>
      </c>
      <c r="D42" s="9" t="str">
        <f t="shared" ca="1" si="2"/>
        <v/>
      </c>
      <c r="E42" s="9" t="str">
        <f t="shared" ca="1" si="3"/>
        <v/>
      </c>
      <c r="F42" s="9" t="str">
        <f t="shared" si="4"/>
        <v/>
      </c>
      <c r="G42" s="9">
        <f t="shared" si="5"/>
        <v>0</v>
      </c>
    </row>
    <row r="43" spans="2:7" x14ac:dyDescent="0.25">
      <c r="B43" s="23" t="str">
        <f t="shared" si="6"/>
        <v/>
      </c>
      <c r="C43" s="9" t="str">
        <f t="shared" ca="1" si="1"/>
        <v/>
      </c>
      <c r="D43" s="9" t="str">
        <f t="shared" ca="1" si="2"/>
        <v/>
      </c>
      <c r="E43" s="9" t="str">
        <f t="shared" ca="1" si="3"/>
        <v/>
      </c>
      <c r="F43" s="9" t="str">
        <f t="shared" si="4"/>
        <v/>
      </c>
      <c r="G43" s="9">
        <f t="shared" si="5"/>
        <v>0</v>
      </c>
    </row>
    <row r="44" spans="2:7" x14ac:dyDescent="0.25">
      <c r="B44" s="23" t="str">
        <f t="shared" si="6"/>
        <v/>
      </c>
      <c r="C44" s="9" t="str">
        <f t="shared" ca="1" si="1"/>
        <v/>
      </c>
      <c r="D44" s="9" t="str">
        <f t="shared" ca="1" si="2"/>
        <v/>
      </c>
      <c r="E44" s="9" t="str">
        <f t="shared" ca="1" si="3"/>
        <v/>
      </c>
      <c r="F44" s="9" t="str">
        <f t="shared" si="4"/>
        <v/>
      </c>
      <c r="G44" s="9">
        <f t="shared" si="5"/>
        <v>0</v>
      </c>
    </row>
    <row r="45" spans="2:7" x14ac:dyDescent="0.25">
      <c r="B45" s="23" t="str">
        <f t="shared" si="6"/>
        <v/>
      </c>
      <c r="C45" s="9" t="str">
        <f t="shared" ca="1" si="1"/>
        <v/>
      </c>
      <c r="D45" s="9" t="str">
        <f t="shared" ca="1" si="2"/>
        <v/>
      </c>
      <c r="E45" s="9" t="str">
        <f t="shared" ca="1" si="3"/>
        <v/>
      </c>
      <c r="F45" s="9" t="str">
        <f t="shared" si="4"/>
        <v/>
      </c>
      <c r="G45" s="9">
        <f t="shared" si="5"/>
        <v>0</v>
      </c>
    </row>
    <row r="46" spans="2:7" x14ac:dyDescent="0.25">
      <c r="B46" s="23" t="str">
        <f t="shared" si="6"/>
        <v/>
      </c>
      <c r="C46" s="9" t="str">
        <f t="shared" ca="1" si="1"/>
        <v/>
      </c>
      <c r="D46" s="9" t="str">
        <f t="shared" ca="1" si="2"/>
        <v/>
      </c>
      <c r="E46" s="9" t="str">
        <f t="shared" ca="1" si="3"/>
        <v/>
      </c>
      <c r="F46" s="9" t="str">
        <f t="shared" si="4"/>
        <v/>
      </c>
      <c r="G46" s="9">
        <f t="shared" si="5"/>
        <v>0</v>
      </c>
    </row>
    <row r="47" spans="2:7" x14ac:dyDescent="0.25">
      <c r="B47" s="23" t="str">
        <f t="shared" si="6"/>
        <v/>
      </c>
      <c r="C47" s="9" t="str">
        <f t="shared" ca="1" si="1"/>
        <v/>
      </c>
      <c r="D47" s="9" t="str">
        <f t="shared" ca="1" si="2"/>
        <v/>
      </c>
      <c r="E47" s="9" t="str">
        <f t="shared" ca="1" si="3"/>
        <v/>
      </c>
      <c r="F47" s="9" t="str">
        <f t="shared" si="4"/>
        <v/>
      </c>
      <c r="G47" s="9">
        <f t="shared" si="5"/>
        <v>0</v>
      </c>
    </row>
    <row r="48" spans="2:7" x14ac:dyDescent="0.25">
      <c r="B48" s="23" t="str">
        <f t="shared" si="6"/>
        <v/>
      </c>
      <c r="C48" s="9" t="str">
        <f t="shared" ca="1" si="1"/>
        <v/>
      </c>
      <c r="D48" s="9" t="str">
        <f t="shared" ca="1" si="2"/>
        <v/>
      </c>
      <c r="E48" s="9" t="str">
        <f t="shared" ca="1" si="3"/>
        <v/>
      </c>
      <c r="F48" s="9" t="str">
        <f t="shared" si="4"/>
        <v/>
      </c>
      <c r="G48" s="9">
        <f t="shared" si="5"/>
        <v>0</v>
      </c>
    </row>
    <row r="49" spans="2:7" x14ac:dyDescent="0.25">
      <c r="B49" s="23" t="str">
        <f t="shared" si="6"/>
        <v/>
      </c>
      <c r="C49" s="9" t="str">
        <f t="shared" ca="1" si="1"/>
        <v/>
      </c>
      <c r="D49" s="9" t="str">
        <f t="shared" ca="1" si="2"/>
        <v/>
      </c>
      <c r="E49" s="9" t="str">
        <f t="shared" ca="1" si="3"/>
        <v/>
      </c>
      <c r="F49" s="9" t="str">
        <f t="shared" si="4"/>
        <v/>
      </c>
      <c r="G49" s="9">
        <f t="shared" si="5"/>
        <v>0</v>
      </c>
    </row>
    <row r="51" spans="2:7" x14ac:dyDescent="0.25">
      <c r="C51" s="9"/>
      <c r="D51" s="9"/>
      <c r="E51" s="9"/>
      <c r="F51" s="9"/>
      <c r="G51" s="9"/>
    </row>
  </sheetData>
  <mergeCells count="1">
    <mergeCell ref="A1:B1"/>
  </mergeCells>
  <pageMargins left="0.7" right="0.7" top="0.75" bottom="0.75" header="0.3" footer="0.3"/>
  <pageSetup orientation="portrait" horizontalDpi="1200" verticalDpi="12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7332A5-700F-4F48-9D1D-58A34D80FDCB}">
  <sheetPr codeName="Sheet12"/>
  <dimension ref="A1:AK49"/>
  <sheetViews>
    <sheetView zoomScale="75" zoomScaleNormal="75" workbookViewId="0">
      <pane ySplit="49" topLeftCell="A50" activePane="bottomLeft" state="frozen"/>
      <selection pane="bottomLeft" sqref="A1:C39"/>
    </sheetView>
  </sheetViews>
  <sheetFormatPr defaultRowHeight="15" x14ac:dyDescent="0.25"/>
  <cols>
    <col min="1" max="1" width="17.85546875" style="3" bestFit="1" customWidth="1"/>
    <col min="2"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24" t="str" cm="1">
        <f t="array" aca="1" ref="A1" ca="1">IFERROR(MID(CELL("filename",$A$1),FIND("]",CELL("filename",$A$1))+1,99),"SXX")</f>
        <v>S01</v>
      </c>
      <c r="B1" s="24"/>
      <c r="C1" s="24"/>
      <c r="E1" s="25" t="str" cm="1">
        <f t="array" aca="1" ref="E1" ca="1">IFERROR(MID(CELL("filename",$A$1),FIND("]",CELL("filename",$A$1))+1,99),"SXX")&amp;" MATERIALS (USAGE + STANDALONE)"</f>
        <v>S01 MATERIALS (USAGE + STANDALONE)</v>
      </c>
      <c r="F1" s="25"/>
      <c r="G1" s="25"/>
      <c r="H1" s="25"/>
      <c r="I1" s="25"/>
      <c r="J1" s="25"/>
      <c r="K1" s="25"/>
      <c r="L1" s="13"/>
      <c r="M1" s="13"/>
      <c r="N1" s="19">
        <f>SUM(N3:N49)</f>
        <v>149</v>
      </c>
      <c r="P1" s="25" t="str" cm="1">
        <f t="array" aca="1" ref="P1" ca="1">IFERROR(MID(CELL("filename",$A$1),FIND("]",CELL("filename",$A$1))+1,99),"SXX")&amp;" LABOUR (USAGE + STANDALONE)"</f>
        <v>S01 LABOUR (USAGE + STANDALONE)</v>
      </c>
      <c r="Q1" s="25"/>
      <c r="R1" s="25"/>
      <c r="S1" s="25"/>
      <c r="T1" s="25"/>
      <c r="U1" s="25"/>
      <c r="V1" s="25"/>
      <c r="Y1" s="19">
        <f>SUM(Y3:Y49)</f>
        <v>315</v>
      </c>
      <c r="AA1" s="26" t="str" cm="1">
        <f t="array" aca="1" ref="AA1" ca="1">IFERROR(MID(CELL("filename",$A$1),FIND("]",CELL("filename",$A$1))+1,99),"SXX")&amp;" RENTAL / SERVICE (USAGE + STANDALONE)"</f>
        <v>S01 RENTAL / SERVICE (USAGE + STANDALONE)</v>
      </c>
      <c r="AB1" s="26"/>
      <c r="AC1" s="26"/>
      <c r="AD1" s="26"/>
      <c r="AE1" s="26"/>
      <c r="AF1" s="26"/>
      <c r="AG1" s="26"/>
      <c r="AH1" s="6"/>
      <c r="AI1" s="6"/>
      <c r="AJ1" s="19">
        <f>SUM(AJ3:AJ49)</f>
        <v>3800</v>
      </c>
    </row>
    <row r="2" spans="1:37" s="2" customFormat="1" x14ac:dyDescent="0.25">
      <c r="A2" s="4" t="s">
        <v>0</v>
      </c>
      <c r="B2" s="4" t="s">
        <v>3</v>
      </c>
      <c r="C2" s="4" t="s">
        <v>5</v>
      </c>
      <c r="D2" s="1"/>
      <c r="E2" s="2" t="s">
        <v>5</v>
      </c>
      <c r="F2" s="2" t="s">
        <v>0</v>
      </c>
      <c r="G2" s="2" t="s">
        <v>3</v>
      </c>
      <c r="H2" s="2" t="s">
        <v>1</v>
      </c>
      <c r="I2" s="2" t="s">
        <v>12</v>
      </c>
      <c r="J2" s="2" t="s">
        <v>4</v>
      </c>
      <c r="K2" s="2" t="s">
        <v>1725</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55</v>
      </c>
      <c r="B3" s="3" t="s">
        <v>1441</v>
      </c>
      <c r="C3" s="3" t="s">
        <v>1890</v>
      </c>
      <c r="E3" t="s">
        <v>1921</v>
      </c>
      <c r="F3" t="s">
        <v>329</v>
      </c>
      <c r="G3" t="s">
        <v>330</v>
      </c>
      <c r="H3" t="s">
        <v>8</v>
      </c>
      <c r="I3">
        <v>2</v>
      </c>
      <c r="J3" s="22">
        <v>0</v>
      </c>
      <c r="K3">
        <v>65</v>
      </c>
      <c r="L3" s="8">
        <f t="shared" ref="L3:L49" si="0">IF($G3="","",$I3*(1+IF($J3="",0,$J3)))</f>
        <v>2</v>
      </c>
      <c r="M3" s="8">
        <f t="shared" ref="M3:M49" si="1">IF($G3="","",$L3)</f>
        <v>2</v>
      </c>
      <c r="N3" s="8">
        <f t="shared" ref="N3:N49" si="2">IF($G3="","",IF($K3="","",$M3*$K3))</f>
        <v>130</v>
      </c>
      <c r="P3" t="s">
        <v>1967</v>
      </c>
      <c r="Q3" t="s">
        <v>1924</v>
      </c>
      <c r="R3" t="s">
        <v>327</v>
      </c>
      <c r="S3" t="s">
        <v>33</v>
      </c>
      <c r="T3">
        <v>14</v>
      </c>
      <c r="U3" s="22">
        <v>0</v>
      </c>
      <c r="V3">
        <v>22.5</v>
      </c>
      <c r="W3" s="8">
        <f>IF($R3="","",$T3*(1+IF($U3="",0,$U3)))</f>
        <v>14</v>
      </c>
      <c r="X3" s="8">
        <f>IF($R3="","",$W3)</f>
        <v>14</v>
      </c>
      <c r="Y3" s="8">
        <f>IF($R3="","",IF($V3="","",$X3*$V3))</f>
        <v>315</v>
      </c>
      <c r="AA3" s="6" t="s">
        <v>1458</v>
      </c>
      <c r="AB3" t="s">
        <v>1459</v>
      </c>
      <c r="AC3" t="s">
        <v>569</v>
      </c>
      <c r="AD3" t="s">
        <v>570</v>
      </c>
      <c r="AE3">
        <v>1</v>
      </c>
      <c r="AF3">
        <v>0</v>
      </c>
      <c r="AG3">
        <v>650</v>
      </c>
      <c r="AH3" s="8">
        <f>IF($AC3="","",$AE3*(1+IF($AF3="",0,$AF3)))</f>
        <v>1</v>
      </c>
      <c r="AI3" s="8">
        <f>IF($AC3="","",$AH3)</f>
        <v>1</v>
      </c>
      <c r="AJ3" s="8">
        <f>IF($AC3="","",IF($AG3="","",$AI3*$AG3))</f>
        <v>650</v>
      </c>
    </row>
    <row r="4" spans="1:37" x14ac:dyDescent="0.25">
      <c r="A4" s="3" t="s">
        <v>56</v>
      </c>
      <c r="B4" s="3" t="s">
        <v>1891</v>
      </c>
      <c r="C4" s="3" t="s">
        <v>1892</v>
      </c>
      <c r="E4" t="s">
        <v>1922</v>
      </c>
      <c r="F4" t="s">
        <v>329</v>
      </c>
      <c r="G4" t="s">
        <v>331</v>
      </c>
      <c r="H4" t="s">
        <v>332</v>
      </c>
      <c r="I4">
        <v>1</v>
      </c>
      <c r="J4" s="22">
        <v>0</v>
      </c>
      <c r="K4">
        <v>15</v>
      </c>
      <c r="L4" s="8">
        <f t="shared" si="0"/>
        <v>1</v>
      </c>
      <c r="M4" s="8">
        <f t="shared" si="1"/>
        <v>1</v>
      </c>
      <c r="N4" s="8">
        <f t="shared" si="2"/>
        <v>15</v>
      </c>
      <c r="U4" s="22"/>
      <c r="W4" s="8" t="str">
        <f t="shared" ref="W4:W49" si="3">IF($R4="","",$T4*(1+IF($U4="",0,$U4)))</f>
        <v/>
      </c>
      <c r="X4" s="8" t="str">
        <f t="shared" ref="X4:X49" si="4">IF($R4="","",$W4)</f>
        <v/>
      </c>
      <c r="Y4" s="8" t="str">
        <f t="shared" ref="Y4:Y49" si="5">IF($R4="","",IF($V4="","",$X4*$V4))</f>
        <v/>
      </c>
      <c r="AA4" s="6" t="s">
        <v>1460</v>
      </c>
      <c r="AB4" t="s">
        <v>1459</v>
      </c>
      <c r="AC4" t="s">
        <v>1461</v>
      </c>
      <c r="AD4" t="s">
        <v>570</v>
      </c>
      <c r="AE4">
        <v>1</v>
      </c>
      <c r="AF4">
        <v>0</v>
      </c>
      <c r="AG4">
        <v>450</v>
      </c>
      <c r="AH4" s="8">
        <f t="shared" ref="AH4:AH49" si="6">IF($AC4="","",$AE4*(1+IF($AF4="",0,$AF4)))</f>
        <v>1</v>
      </c>
      <c r="AI4" s="8">
        <f t="shared" ref="AI4:AI49" si="7">IF($AC4="","",$AH4)</f>
        <v>1</v>
      </c>
      <c r="AJ4" s="8">
        <f t="shared" ref="AJ4:AJ49" si="8">IF($AC4="","",IF($AG4="","",$AI4*$AG4))</f>
        <v>450</v>
      </c>
    </row>
    <row r="5" spans="1:37" x14ac:dyDescent="0.25">
      <c r="A5" s="3" t="s">
        <v>328</v>
      </c>
      <c r="B5" s="3" t="s">
        <v>1442</v>
      </c>
      <c r="C5" s="3" t="s">
        <v>1893</v>
      </c>
      <c r="E5" t="s">
        <v>1923</v>
      </c>
      <c r="F5" t="s">
        <v>333</v>
      </c>
      <c r="G5" t="s">
        <v>334</v>
      </c>
      <c r="H5" t="s">
        <v>8</v>
      </c>
      <c r="I5">
        <v>1</v>
      </c>
      <c r="J5" s="22">
        <v>0</v>
      </c>
      <c r="K5">
        <v>4</v>
      </c>
      <c r="L5" s="8">
        <f t="shared" si="0"/>
        <v>1</v>
      </c>
      <c r="M5" s="8">
        <f t="shared" si="1"/>
        <v>1</v>
      </c>
      <c r="N5" s="8">
        <f t="shared" si="2"/>
        <v>4</v>
      </c>
      <c r="W5" s="8" t="str">
        <f t="shared" si="3"/>
        <v/>
      </c>
      <c r="X5" s="8" t="str">
        <f t="shared" si="4"/>
        <v/>
      </c>
      <c r="Y5" s="8" t="str">
        <f t="shared" si="5"/>
        <v/>
      </c>
      <c r="AA5" s="6" t="s">
        <v>1462</v>
      </c>
      <c r="AB5" t="s">
        <v>1463</v>
      </c>
      <c r="AC5" t="s">
        <v>35</v>
      </c>
      <c r="AD5" t="s">
        <v>10</v>
      </c>
      <c r="AE5">
        <v>60</v>
      </c>
      <c r="AF5">
        <v>0</v>
      </c>
      <c r="AG5">
        <v>45</v>
      </c>
      <c r="AH5" s="8">
        <f t="shared" si="6"/>
        <v>60</v>
      </c>
      <c r="AI5" s="8">
        <f t="shared" si="7"/>
        <v>60</v>
      </c>
      <c r="AJ5" s="8">
        <f t="shared" si="8"/>
        <v>2700</v>
      </c>
    </row>
    <row r="6" spans="1:37" x14ac:dyDescent="0.25">
      <c r="A6" s="3" t="s">
        <v>368</v>
      </c>
      <c r="B6" s="3" t="s">
        <v>443</v>
      </c>
      <c r="C6" s="3" t="s">
        <v>1443</v>
      </c>
      <c r="L6" s="8" t="str">
        <f t="shared" si="0"/>
        <v/>
      </c>
      <c r="M6" s="8" t="str">
        <f t="shared" si="1"/>
        <v/>
      </c>
      <c r="N6" s="8" t="str">
        <f t="shared" si="2"/>
        <v/>
      </c>
      <c r="W6" s="8" t="str">
        <f t="shared" si="3"/>
        <v/>
      </c>
      <c r="X6" s="8" t="str">
        <f t="shared" si="4"/>
        <v/>
      </c>
      <c r="Y6" s="8" t="str">
        <f t="shared" si="5"/>
        <v/>
      </c>
      <c r="AH6" s="8" t="str">
        <f t="shared" si="6"/>
        <v/>
      </c>
      <c r="AI6" s="8" t="str">
        <f t="shared" si="7"/>
        <v/>
      </c>
      <c r="AJ6" s="8" t="str">
        <f t="shared" si="8"/>
        <v/>
      </c>
    </row>
    <row r="7" spans="1:37" x14ac:dyDescent="0.25">
      <c r="A7" s="3" t="s">
        <v>444</v>
      </c>
      <c r="B7" s="3" t="s">
        <v>445</v>
      </c>
      <c r="C7" s="3" t="s">
        <v>1894</v>
      </c>
      <c r="L7" s="8" t="str">
        <f t="shared" si="0"/>
        <v/>
      </c>
      <c r="M7" s="8" t="str">
        <f t="shared" si="1"/>
        <v/>
      </c>
      <c r="N7" s="8" t="str">
        <f t="shared" si="2"/>
        <v/>
      </c>
      <c r="W7" s="8" t="str">
        <f t="shared" si="3"/>
        <v/>
      </c>
      <c r="X7" s="8" t="str">
        <f t="shared" si="4"/>
        <v/>
      </c>
      <c r="Y7" s="8" t="str">
        <f t="shared" si="5"/>
        <v/>
      </c>
      <c r="AH7" s="8" t="str">
        <f t="shared" si="6"/>
        <v/>
      </c>
      <c r="AI7" s="8" t="str">
        <f t="shared" si="7"/>
        <v/>
      </c>
      <c r="AJ7" s="8" t="str">
        <f t="shared" si="8"/>
        <v/>
      </c>
    </row>
    <row r="8" spans="1:37" x14ac:dyDescent="0.25">
      <c r="A8" s="3" t="s">
        <v>444</v>
      </c>
      <c r="B8" s="3" t="s">
        <v>446</v>
      </c>
      <c r="C8" s="3" t="s">
        <v>1895</v>
      </c>
      <c r="L8" s="8" t="str">
        <f t="shared" si="0"/>
        <v/>
      </c>
      <c r="M8" s="8" t="str">
        <f t="shared" si="1"/>
        <v/>
      </c>
      <c r="N8" s="8" t="str">
        <f t="shared" si="2"/>
        <v/>
      </c>
      <c r="W8" s="8" t="str">
        <f t="shared" si="3"/>
        <v/>
      </c>
      <c r="X8" s="8" t="str">
        <f t="shared" si="4"/>
        <v/>
      </c>
      <c r="Y8" s="8" t="str">
        <f t="shared" si="5"/>
        <v/>
      </c>
      <c r="AH8" s="8" t="str">
        <f t="shared" si="6"/>
        <v/>
      </c>
      <c r="AI8" s="8" t="str">
        <f t="shared" si="7"/>
        <v/>
      </c>
      <c r="AJ8" s="8" t="str">
        <f t="shared" si="8"/>
        <v/>
      </c>
    </row>
    <row r="9" spans="1:37" x14ac:dyDescent="0.25">
      <c r="A9" s="3" t="s">
        <v>369</v>
      </c>
      <c r="B9" s="3" t="s">
        <v>447</v>
      </c>
      <c r="C9" s="3" t="s">
        <v>1444</v>
      </c>
      <c r="L9" s="8" t="str">
        <f t="shared" si="0"/>
        <v/>
      </c>
      <c r="M9" s="8" t="str">
        <f t="shared" si="1"/>
        <v/>
      </c>
      <c r="N9" s="8" t="str">
        <f t="shared" si="2"/>
        <v/>
      </c>
      <c r="W9" s="8" t="str">
        <f t="shared" si="3"/>
        <v/>
      </c>
      <c r="X9" s="8" t="str">
        <f t="shared" si="4"/>
        <v/>
      </c>
      <c r="Y9" s="8" t="str">
        <f t="shared" si="5"/>
        <v/>
      </c>
      <c r="AH9" s="8" t="str">
        <f t="shared" si="6"/>
        <v/>
      </c>
      <c r="AI9" s="8" t="str">
        <f t="shared" si="7"/>
        <v/>
      </c>
      <c r="AJ9" s="8" t="str">
        <f t="shared" si="8"/>
        <v/>
      </c>
    </row>
    <row r="10" spans="1:37" x14ac:dyDescent="0.25">
      <c r="A10" s="3" t="s">
        <v>444</v>
      </c>
      <c r="B10" s="3" t="s">
        <v>448</v>
      </c>
      <c r="C10" s="3" t="s">
        <v>449</v>
      </c>
      <c r="L10" s="8" t="str">
        <f t="shared" si="0"/>
        <v/>
      </c>
      <c r="M10" s="8" t="str">
        <f t="shared" si="1"/>
        <v/>
      </c>
      <c r="N10" s="8" t="str">
        <f t="shared" si="2"/>
        <v/>
      </c>
      <c r="W10" s="8" t="str">
        <f t="shared" si="3"/>
        <v/>
      </c>
      <c r="X10" s="8" t="str">
        <f t="shared" si="4"/>
        <v/>
      </c>
      <c r="Y10" s="8" t="str">
        <f t="shared" si="5"/>
        <v/>
      </c>
      <c r="AH10" s="8" t="str">
        <f t="shared" si="6"/>
        <v/>
      </c>
      <c r="AI10" s="8" t="str">
        <f t="shared" si="7"/>
        <v/>
      </c>
      <c r="AJ10" s="8" t="str">
        <f t="shared" si="8"/>
        <v/>
      </c>
    </row>
    <row r="11" spans="1:37" x14ac:dyDescent="0.25">
      <c r="A11" s="3" t="s">
        <v>369</v>
      </c>
      <c r="B11" s="3" t="s">
        <v>450</v>
      </c>
      <c r="C11" s="3" t="s">
        <v>1445</v>
      </c>
      <c r="L11" s="8" t="str">
        <f t="shared" si="0"/>
        <v/>
      </c>
      <c r="M11" s="8" t="str">
        <f t="shared" si="1"/>
        <v/>
      </c>
      <c r="N11" s="8" t="str">
        <f t="shared" si="2"/>
        <v/>
      </c>
      <c r="W11" s="8" t="str">
        <f t="shared" si="3"/>
        <v/>
      </c>
      <c r="X11" s="8" t="str">
        <f t="shared" si="4"/>
        <v/>
      </c>
      <c r="Y11" s="8" t="str">
        <f t="shared" si="5"/>
        <v/>
      </c>
      <c r="AH11" s="8" t="str">
        <f t="shared" si="6"/>
        <v/>
      </c>
      <c r="AI11" s="8" t="str">
        <f t="shared" si="7"/>
        <v/>
      </c>
      <c r="AJ11" s="8" t="str">
        <f t="shared" si="8"/>
        <v/>
      </c>
    </row>
    <row r="12" spans="1:37" x14ac:dyDescent="0.25">
      <c r="A12" s="3" t="s">
        <v>444</v>
      </c>
      <c r="B12" s="3" t="s">
        <v>451</v>
      </c>
      <c r="C12" s="3" t="s">
        <v>1896</v>
      </c>
      <c r="L12" s="8" t="str">
        <f t="shared" si="0"/>
        <v/>
      </c>
      <c r="M12" s="8" t="str">
        <f t="shared" si="1"/>
        <v/>
      </c>
      <c r="N12" s="8" t="str">
        <f t="shared" si="2"/>
        <v/>
      </c>
      <c r="W12" s="8" t="str">
        <f t="shared" si="3"/>
        <v/>
      </c>
      <c r="X12" s="8" t="str">
        <f t="shared" si="4"/>
        <v/>
      </c>
      <c r="Y12" s="8" t="str">
        <f t="shared" si="5"/>
        <v/>
      </c>
      <c r="AH12" s="8" t="str">
        <f t="shared" si="6"/>
        <v/>
      </c>
      <c r="AI12" s="8" t="str">
        <f t="shared" si="7"/>
        <v/>
      </c>
      <c r="AJ12" s="8" t="str">
        <f t="shared" si="8"/>
        <v/>
      </c>
    </row>
    <row r="13" spans="1:37" x14ac:dyDescent="0.25">
      <c r="A13" s="3" t="s">
        <v>369</v>
      </c>
      <c r="B13" s="3" t="s">
        <v>1446</v>
      </c>
      <c r="C13" s="3" t="s">
        <v>1897</v>
      </c>
      <c r="L13" s="8" t="str">
        <f t="shared" si="0"/>
        <v/>
      </c>
      <c r="M13" s="8" t="str">
        <f t="shared" si="1"/>
        <v/>
      </c>
      <c r="N13" s="8" t="str">
        <f t="shared" si="2"/>
        <v/>
      </c>
      <c r="W13" s="8" t="str">
        <f t="shared" si="3"/>
        <v/>
      </c>
      <c r="X13" s="8" t="str">
        <f t="shared" si="4"/>
        <v/>
      </c>
      <c r="Y13" s="8" t="str">
        <f t="shared" si="5"/>
        <v/>
      </c>
      <c r="AH13" s="8" t="str">
        <f t="shared" si="6"/>
        <v/>
      </c>
      <c r="AI13" s="8" t="str">
        <f t="shared" si="7"/>
        <v/>
      </c>
      <c r="AJ13" s="8" t="str">
        <f t="shared" si="8"/>
        <v/>
      </c>
    </row>
    <row r="14" spans="1:37" x14ac:dyDescent="0.25">
      <c r="A14" s="3" t="s">
        <v>369</v>
      </c>
      <c r="B14" s="3" t="s">
        <v>1447</v>
      </c>
      <c r="C14" s="3" t="s">
        <v>1898</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1448</v>
      </c>
      <c r="B15" s="3" t="s">
        <v>1449</v>
      </c>
      <c r="C15" s="3" t="s">
        <v>1899</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1450</v>
      </c>
      <c r="B16" s="3" t="s">
        <v>1451</v>
      </c>
      <c r="C16" s="3" t="s">
        <v>1900</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1452</v>
      </c>
      <c r="B17" s="3" t="s">
        <v>1453</v>
      </c>
      <c r="C17" s="3" t="s">
        <v>1901</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444</v>
      </c>
      <c r="B18" s="3" t="s">
        <v>563</v>
      </c>
      <c r="C18" s="3" t="s">
        <v>1902</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444</v>
      </c>
      <c r="B19" s="3" t="s">
        <v>564</v>
      </c>
      <c r="C19" s="3" t="s">
        <v>1903</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444</v>
      </c>
      <c r="B20" s="3" t="s">
        <v>568</v>
      </c>
      <c r="C20" s="3" t="s">
        <v>1904</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444</v>
      </c>
      <c r="B21" s="3" t="s">
        <v>1905</v>
      </c>
      <c r="C21" s="3" t="s">
        <v>1906</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444</v>
      </c>
      <c r="B22" s="3" t="s">
        <v>1907</v>
      </c>
      <c r="C22" s="3" t="s">
        <v>1908</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452</v>
      </c>
      <c r="B23" s="3" t="s">
        <v>453</v>
      </c>
      <c r="C23" s="3" t="s">
        <v>454</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369</v>
      </c>
      <c r="B24" s="3" t="s">
        <v>462</v>
      </c>
      <c r="C24" s="3" t="s">
        <v>1909</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452</v>
      </c>
      <c r="B25" s="3" t="s">
        <v>1454</v>
      </c>
      <c r="C25" s="3" t="s">
        <v>457</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369</v>
      </c>
      <c r="B26" s="3" t="s">
        <v>1910</v>
      </c>
      <c r="C26" s="3" t="s">
        <v>1966</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452</v>
      </c>
      <c r="B27" s="3" t="s">
        <v>455</v>
      </c>
      <c r="C27" s="3" t="s">
        <v>456</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369</v>
      </c>
      <c r="B28" s="3" t="s">
        <v>463</v>
      </c>
      <c r="C28" s="3" t="s">
        <v>464</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452</v>
      </c>
      <c r="B29" s="3" t="s">
        <v>1454</v>
      </c>
      <c r="C29" s="3" t="s">
        <v>457</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369</v>
      </c>
      <c r="B30" s="3" t="s">
        <v>1910</v>
      </c>
      <c r="C30" s="3" t="s">
        <v>1911</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452</v>
      </c>
      <c r="B31" s="3" t="s">
        <v>565</v>
      </c>
      <c r="C31" s="3" t="s">
        <v>1455</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369</v>
      </c>
      <c r="B32" s="3" t="s">
        <v>1912</v>
      </c>
      <c r="C32" s="3" t="s">
        <v>1913</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452</v>
      </c>
      <c r="B33" s="3" t="s">
        <v>566</v>
      </c>
      <c r="C33" s="3" t="s">
        <v>1456</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369</v>
      </c>
      <c r="B34" s="3" t="s">
        <v>1914</v>
      </c>
      <c r="C34" s="3" t="s">
        <v>1915</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452</v>
      </c>
      <c r="B35" s="3" t="s">
        <v>1457</v>
      </c>
      <c r="C35" s="3" t="s">
        <v>567</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369</v>
      </c>
      <c r="B36" s="3" t="s">
        <v>1916</v>
      </c>
      <c r="C36" s="3" t="s">
        <v>1917</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444</v>
      </c>
      <c r="B37" s="3" t="s">
        <v>458</v>
      </c>
      <c r="C37" s="3" t="s">
        <v>1918</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459</v>
      </c>
      <c r="B38" s="3" t="s">
        <v>460</v>
      </c>
      <c r="C38" s="3" t="s">
        <v>461</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326</v>
      </c>
      <c r="B39" s="3" t="s">
        <v>1919</v>
      </c>
      <c r="C39" s="3" t="s">
        <v>1920</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2:36" x14ac:dyDescent="0.25">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sheetData>
  <mergeCells count="4">
    <mergeCell ref="A1:C1"/>
    <mergeCell ref="E1:K1"/>
    <mergeCell ref="P1:V1"/>
    <mergeCell ref="AA1:AG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16B84B-61AB-4B39-AE6A-AB1144D7B222}">
  <sheetPr codeName="Sheet13"/>
  <dimension ref="A1:AK49"/>
  <sheetViews>
    <sheetView zoomScale="75" zoomScaleNormal="75" workbookViewId="0">
      <pane ySplit="49" topLeftCell="A50" activePane="bottomLeft" state="frozen"/>
      <selection pane="bottomLeft" sqref="A1:C14"/>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24" t="str" cm="1">
        <f t="array" aca="1" ref="A1" ca="1">IFERROR(MID(CELL("filename",$A$1),FIND("]",CELL("filename",$A$1))+1,99),"SXX")</f>
        <v>S02</v>
      </c>
      <c r="B1" s="24"/>
      <c r="C1" s="24"/>
      <c r="E1" s="25" t="str" cm="1">
        <f t="array" aca="1" ref="E1" ca="1">IFERROR(MID(CELL("filename",$A$1),FIND("]",CELL("filename",$A$1))+1,99),"SXX")&amp;" MATERIALS (USAGE + STANDALONE)"</f>
        <v>S02 MATERIALS (USAGE + STANDALONE)</v>
      </c>
      <c r="F1" s="25"/>
      <c r="G1" s="25"/>
      <c r="H1" s="25"/>
      <c r="I1" s="25"/>
      <c r="J1" s="25"/>
      <c r="K1" s="25"/>
      <c r="L1" s="13"/>
      <c r="M1" s="13"/>
      <c r="N1" s="19">
        <f>SUM(N3:N49)</f>
        <v>0</v>
      </c>
      <c r="P1" s="25" t="str" cm="1">
        <f t="array" aca="1" ref="P1" ca="1">IFERROR(MID(CELL("filename",$A$1),FIND("]",CELL("filename",$A$1))+1,99),"SXX")&amp;" LABOUR (USAGE + STANDALONE)"</f>
        <v>S02 LABOUR (USAGE + STANDALONE)</v>
      </c>
      <c r="Q1" s="25"/>
      <c r="R1" s="25"/>
      <c r="S1" s="25"/>
      <c r="T1" s="25"/>
      <c r="U1" s="25"/>
      <c r="V1" s="25"/>
      <c r="Y1" s="19">
        <f>SUM(Y3:Y49)</f>
        <v>0</v>
      </c>
      <c r="AA1" s="26" t="str" cm="1">
        <f t="array" aca="1" ref="AA1" ca="1">IFERROR(MID(CELL("filename",$A$1),FIND("]",CELL("filename",$A$1))+1,99),"SXX")&amp;" RENTAL / SERVICE (USAGE + STANDALONE)"</f>
        <v>S02 RENTAL / SERVICE (USAGE + STANDALONE)</v>
      </c>
      <c r="AB1" s="26"/>
      <c r="AC1" s="26"/>
      <c r="AD1" s="26"/>
      <c r="AE1" s="26"/>
      <c r="AF1" s="26"/>
      <c r="AG1" s="26"/>
      <c r="AH1" s="6"/>
      <c r="AI1" s="6"/>
      <c r="AJ1" s="19">
        <f>SUM(AJ3:AJ49)</f>
        <v>0</v>
      </c>
    </row>
    <row r="2" spans="1:37" s="2" customFormat="1" x14ac:dyDescent="0.25">
      <c r="A2" s="4" t="s">
        <v>0</v>
      </c>
      <c r="B2" s="4" t="s">
        <v>3</v>
      </c>
      <c r="C2" s="4" t="s">
        <v>5</v>
      </c>
      <c r="D2" s="1"/>
      <c r="E2" s="2" t="s">
        <v>5</v>
      </c>
      <c r="F2" s="2" t="s">
        <v>0</v>
      </c>
      <c r="G2" s="2" t="s">
        <v>16</v>
      </c>
      <c r="H2" s="2" t="s">
        <v>1</v>
      </c>
      <c r="I2" s="2" t="s">
        <v>12</v>
      </c>
      <c r="J2" s="2" t="s">
        <v>4</v>
      </c>
      <c r="K2" s="2" t="s">
        <v>17</v>
      </c>
      <c r="L2" s="2" t="s">
        <v>13</v>
      </c>
      <c r="M2" s="2" t="s">
        <v>14</v>
      </c>
      <c r="N2" s="2" t="s">
        <v>15</v>
      </c>
      <c r="O2" s="1"/>
      <c r="P2" s="2" t="s">
        <v>5</v>
      </c>
      <c r="Q2" s="2" t="s">
        <v>0</v>
      </c>
      <c r="R2" s="2" t="s">
        <v>16</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338</v>
      </c>
      <c r="B3" s="3" t="s">
        <v>465</v>
      </c>
      <c r="C3" s="3" t="s">
        <v>466</v>
      </c>
      <c r="J3" s="22"/>
      <c r="L3" s="8" t="str">
        <f t="shared" ref="L3:L49" si="0">IF($G3="","",$I3*(1+IF($J3="",0,$J3)))</f>
        <v/>
      </c>
      <c r="M3" s="8" t="str">
        <f t="shared" ref="M3:M49" si="1">IF($G3="","",$L3)</f>
        <v/>
      </c>
      <c r="N3" s="8" t="str">
        <f t="shared" ref="N3:N49" si="2">IF($G3="","",IF($K3="","",$M3*$K3))</f>
        <v/>
      </c>
      <c r="U3" s="22"/>
      <c r="W3" s="8" t="str">
        <f>IF($R3="","",$T3*(1+IF($U3="",0,$U3)))</f>
        <v/>
      </c>
      <c r="X3" s="8" t="str">
        <f>IF($R3="","",$W3)</f>
        <v/>
      </c>
      <c r="Y3" s="8" t="str">
        <f>IF($R3="","",IF($V3="","",$X3*$V3))</f>
        <v/>
      </c>
      <c r="AH3" s="8" t="str">
        <f>IF($AC3="","",$AE3*(1+IF($AF3="",0,$AF3)))</f>
        <v/>
      </c>
      <c r="AI3" s="8" t="str">
        <f>IF($AC3="","",$AH3)</f>
        <v/>
      </c>
      <c r="AJ3" s="8" t="str">
        <f>IF($AC3="","",IF($AG3="","",$AI3*$AG3))</f>
        <v/>
      </c>
    </row>
    <row r="4" spans="1:37" x14ac:dyDescent="0.25">
      <c r="A4" s="3" t="s">
        <v>339</v>
      </c>
      <c r="B4" s="3" t="s">
        <v>467</v>
      </c>
      <c r="C4" s="3" t="s">
        <v>468</v>
      </c>
      <c r="J4" s="22"/>
      <c r="L4" s="8" t="str">
        <f t="shared" si="0"/>
        <v/>
      </c>
      <c r="M4" s="8" t="str">
        <f t="shared" si="1"/>
        <v/>
      </c>
      <c r="N4" s="8" t="str">
        <f t="shared" si="2"/>
        <v/>
      </c>
      <c r="U4" s="22"/>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469</v>
      </c>
      <c r="B5" s="3" t="s">
        <v>470</v>
      </c>
      <c r="C5" s="3" t="s">
        <v>471</v>
      </c>
      <c r="J5" s="22"/>
      <c r="L5" s="8" t="str">
        <f t="shared" si="0"/>
        <v/>
      </c>
      <c r="M5" s="8" t="str">
        <f t="shared" si="1"/>
        <v/>
      </c>
      <c r="N5" s="8" t="str">
        <f t="shared" si="2"/>
        <v/>
      </c>
      <c r="W5" s="8" t="str">
        <f t="shared" si="3"/>
        <v/>
      </c>
      <c r="X5" s="8" t="str">
        <f t="shared" si="4"/>
        <v/>
      </c>
      <c r="Y5" s="8" t="str">
        <f t="shared" si="5"/>
        <v/>
      </c>
      <c r="AH5" s="8" t="str">
        <f t="shared" si="6"/>
        <v/>
      </c>
      <c r="AI5" s="8" t="str">
        <f t="shared" si="7"/>
        <v/>
      </c>
      <c r="AJ5" s="8" t="str">
        <f t="shared" si="8"/>
        <v/>
      </c>
    </row>
    <row r="6" spans="1:37" x14ac:dyDescent="0.25">
      <c r="A6" s="3" t="s">
        <v>340</v>
      </c>
      <c r="B6" s="3" t="s">
        <v>472</v>
      </c>
      <c r="C6" s="3" t="s">
        <v>473</v>
      </c>
      <c r="L6" s="8" t="str">
        <f t="shared" si="0"/>
        <v/>
      </c>
      <c r="M6" s="8" t="str">
        <f t="shared" si="1"/>
        <v/>
      </c>
      <c r="N6" s="8" t="str">
        <f t="shared" si="2"/>
        <v/>
      </c>
      <c r="W6" s="8" t="str">
        <f t="shared" si="3"/>
        <v/>
      </c>
      <c r="X6" s="8" t="str">
        <f t="shared" si="4"/>
        <v/>
      </c>
      <c r="Y6" s="8" t="str">
        <f t="shared" si="5"/>
        <v/>
      </c>
      <c r="AH6" s="8" t="str">
        <f t="shared" si="6"/>
        <v/>
      </c>
      <c r="AI6" s="8" t="str">
        <f t="shared" si="7"/>
        <v/>
      </c>
      <c r="AJ6" s="8" t="str">
        <f t="shared" si="8"/>
        <v/>
      </c>
    </row>
    <row r="7" spans="1:37" x14ac:dyDescent="0.25">
      <c r="A7" s="3" t="s">
        <v>340</v>
      </c>
      <c r="B7" s="3" t="s">
        <v>474</v>
      </c>
      <c r="C7" s="3" t="s">
        <v>475</v>
      </c>
      <c r="L7" s="8" t="str">
        <f t="shared" si="0"/>
        <v/>
      </c>
      <c r="M7" s="8" t="str">
        <f t="shared" si="1"/>
        <v/>
      </c>
      <c r="N7" s="8" t="str">
        <f t="shared" si="2"/>
        <v/>
      </c>
      <c r="W7" s="8" t="str">
        <f t="shared" si="3"/>
        <v/>
      </c>
      <c r="X7" s="8" t="str">
        <f t="shared" si="4"/>
        <v/>
      </c>
      <c r="Y7" s="8" t="str">
        <f t="shared" si="5"/>
        <v/>
      </c>
      <c r="AH7" s="8" t="str">
        <f t="shared" si="6"/>
        <v/>
      </c>
      <c r="AI7" s="8" t="str">
        <f t="shared" si="7"/>
        <v/>
      </c>
      <c r="AJ7" s="8" t="str">
        <f t="shared" si="8"/>
        <v/>
      </c>
    </row>
    <row r="8" spans="1:37" x14ac:dyDescent="0.25">
      <c r="A8" s="3" t="s">
        <v>340</v>
      </c>
      <c r="B8" s="3" t="s">
        <v>476</v>
      </c>
      <c r="C8" s="3" t="s">
        <v>477</v>
      </c>
      <c r="L8" s="8" t="str">
        <f t="shared" si="0"/>
        <v/>
      </c>
      <c r="M8" s="8" t="str">
        <f t="shared" si="1"/>
        <v/>
      </c>
      <c r="N8" s="8" t="str">
        <f t="shared" si="2"/>
        <v/>
      </c>
      <c r="W8" s="8" t="str">
        <f t="shared" si="3"/>
        <v/>
      </c>
      <c r="X8" s="8" t="str">
        <f t="shared" si="4"/>
        <v/>
      </c>
      <c r="Y8" s="8" t="str">
        <f t="shared" si="5"/>
        <v/>
      </c>
      <c r="AH8" s="8" t="str">
        <f t="shared" si="6"/>
        <v/>
      </c>
      <c r="AI8" s="8" t="str">
        <f t="shared" si="7"/>
        <v/>
      </c>
      <c r="AJ8" s="8" t="str">
        <f t="shared" si="8"/>
        <v/>
      </c>
    </row>
    <row r="9" spans="1:37" x14ac:dyDescent="0.25">
      <c r="A9" s="3" t="s">
        <v>340</v>
      </c>
      <c r="B9" s="3" t="s">
        <v>478</v>
      </c>
      <c r="C9" s="3" t="s">
        <v>479</v>
      </c>
      <c r="L9" s="8" t="str">
        <f t="shared" si="0"/>
        <v/>
      </c>
      <c r="M9" s="8" t="str">
        <f t="shared" si="1"/>
        <v/>
      </c>
      <c r="N9" s="8" t="str">
        <f t="shared" si="2"/>
        <v/>
      </c>
      <c r="W9" s="8" t="str">
        <f t="shared" si="3"/>
        <v/>
      </c>
      <c r="X9" s="8" t="str">
        <f t="shared" si="4"/>
        <v/>
      </c>
      <c r="Y9" s="8" t="str">
        <f t="shared" si="5"/>
        <v/>
      </c>
      <c r="AH9" s="8" t="str">
        <f t="shared" si="6"/>
        <v/>
      </c>
      <c r="AI9" s="8" t="str">
        <f t="shared" si="7"/>
        <v/>
      </c>
      <c r="AJ9" s="8" t="str">
        <f t="shared" si="8"/>
        <v/>
      </c>
    </row>
    <row r="10" spans="1:37" x14ac:dyDescent="0.25">
      <c r="A10" s="3" t="s">
        <v>340</v>
      </c>
      <c r="B10" s="3" t="s">
        <v>480</v>
      </c>
      <c r="C10" s="3" t="s">
        <v>481</v>
      </c>
      <c r="L10" s="8" t="str">
        <f t="shared" si="0"/>
        <v/>
      </c>
      <c r="M10" s="8" t="str">
        <f t="shared" si="1"/>
        <v/>
      </c>
      <c r="N10" s="8" t="str">
        <f t="shared" si="2"/>
        <v/>
      </c>
      <c r="W10" s="8" t="str">
        <f t="shared" si="3"/>
        <v/>
      </c>
      <c r="X10" s="8" t="str">
        <f t="shared" si="4"/>
        <v/>
      </c>
      <c r="Y10" s="8" t="str">
        <f t="shared" si="5"/>
        <v/>
      </c>
      <c r="AH10" s="8" t="str">
        <f t="shared" si="6"/>
        <v/>
      </c>
      <c r="AI10" s="8" t="str">
        <f t="shared" si="7"/>
        <v/>
      </c>
      <c r="AJ10" s="8" t="str">
        <f t="shared" si="8"/>
        <v/>
      </c>
    </row>
    <row r="11" spans="1:37" x14ac:dyDescent="0.25">
      <c r="A11" s="3" t="s">
        <v>341</v>
      </c>
      <c r="B11" s="3" t="s">
        <v>482</v>
      </c>
      <c r="C11" s="3" t="s">
        <v>483</v>
      </c>
      <c r="L11" s="8" t="str">
        <f t="shared" si="0"/>
        <v/>
      </c>
      <c r="M11" s="8" t="str">
        <f t="shared" si="1"/>
        <v/>
      </c>
      <c r="N11" s="8" t="str">
        <f t="shared" si="2"/>
        <v/>
      </c>
      <c r="W11" s="8" t="str">
        <f t="shared" si="3"/>
        <v/>
      </c>
      <c r="X11" s="8" t="str">
        <f t="shared" si="4"/>
        <v/>
      </c>
      <c r="Y11" s="8" t="str">
        <f t="shared" si="5"/>
        <v/>
      </c>
      <c r="AH11" s="8" t="str">
        <f t="shared" si="6"/>
        <v/>
      </c>
      <c r="AI11" s="8" t="str">
        <f t="shared" si="7"/>
        <v/>
      </c>
      <c r="AJ11" s="8" t="str">
        <f t="shared" si="8"/>
        <v/>
      </c>
    </row>
    <row r="12" spans="1:37" x14ac:dyDescent="0.25">
      <c r="A12" s="3" t="s">
        <v>340</v>
      </c>
      <c r="B12" s="3" t="s">
        <v>484</v>
      </c>
      <c r="C12" s="3" t="s">
        <v>485</v>
      </c>
      <c r="L12" s="8" t="str">
        <f t="shared" si="0"/>
        <v/>
      </c>
      <c r="M12" s="8" t="str">
        <f t="shared" si="1"/>
        <v/>
      </c>
      <c r="N12" s="8" t="str">
        <f t="shared" si="2"/>
        <v/>
      </c>
      <c r="W12" s="8" t="str">
        <f t="shared" si="3"/>
        <v/>
      </c>
      <c r="X12" s="8" t="str">
        <f t="shared" si="4"/>
        <v/>
      </c>
      <c r="Y12" s="8" t="str">
        <f t="shared" si="5"/>
        <v/>
      </c>
      <c r="AH12" s="8" t="str">
        <f t="shared" si="6"/>
        <v/>
      </c>
      <c r="AI12" s="8" t="str">
        <f t="shared" si="7"/>
        <v/>
      </c>
      <c r="AJ12" s="8" t="str">
        <f t="shared" si="8"/>
        <v/>
      </c>
    </row>
    <row r="13" spans="1:37" x14ac:dyDescent="0.25">
      <c r="A13" s="3" t="s">
        <v>486</v>
      </c>
      <c r="B13" s="3" t="s">
        <v>487</v>
      </c>
      <c r="C13" s="3" t="s">
        <v>488</v>
      </c>
      <c r="L13" s="8" t="str">
        <f t="shared" si="0"/>
        <v/>
      </c>
      <c r="M13" s="8" t="str">
        <f t="shared" si="1"/>
        <v/>
      </c>
      <c r="N13" s="8" t="str">
        <f t="shared" si="2"/>
        <v/>
      </c>
      <c r="W13" s="8" t="str">
        <f t="shared" si="3"/>
        <v/>
      </c>
      <c r="X13" s="8" t="str">
        <f t="shared" si="4"/>
        <v/>
      </c>
      <c r="Y13" s="8" t="str">
        <f t="shared" si="5"/>
        <v/>
      </c>
      <c r="AH13" s="8" t="str">
        <f t="shared" si="6"/>
        <v/>
      </c>
      <c r="AI13" s="8" t="str">
        <f t="shared" si="7"/>
        <v/>
      </c>
      <c r="AJ13" s="8" t="str">
        <f t="shared" si="8"/>
        <v/>
      </c>
    </row>
    <row r="14" spans="1:37" x14ac:dyDescent="0.25">
      <c r="A14" s="3" t="s">
        <v>342</v>
      </c>
      <c r="B14" s="3" t="s">
        <v>489</v>
      </c>
      <c r="C14" s="3" t="s">
        <v>490</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2:36" x14ac:dyDescent="0.25">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2:36" x14ac:dyDescent="0.25">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2:36" x14ac:dyDescent="0.25">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2:36" x14ac:dyDescent="0.25">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2:36" x14ac:dyDescent="0.25">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2:36" x14ac:dyDescent="0.25">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2:36" x14ac:dyDescent="0.25">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2:36" x14ac:dyDescent="0.25">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2:36" x14ac:dyDescent="0.25">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2:36" x14ac:dyDescent="0.25">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2:36" x14ac:dyDescent="0.25">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2:36" x14ac:dyDescent="0.25">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2:36" x14ac:dyDescent="0.25">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2:36" x14ac:dyDescent="0.25">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2:36" x14ac:dyDescent="0.25">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2:36" x14ac:dyDescent="0.25">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2:36" x14ac:dyDescent="0.25">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sheetData>
  <mergeCells count="4">
    <mergeCell ref="A1:C1"/>
    <mergeCell ref="E1:K1"/>
    <mergeCell ref="P1:V1"/>
    <mergeCell ref="AA1:AG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C2C14D-BAF5-490E-8B38-97E632147FD9}">
  <sheetPr codeName="Sheet17"/>
  <dimension ref="A1:AK49"/>
  <sheetViews>
    <sheetView zoomScale="75" zoomScaleNormal="75" workbookViewId="0">
      <pane ySplit="49" topLeftCell="A50" activePane="bottomLeft" state="frozen"/>
      <selection pane="bottomLeft" sqref="A1:C30"/>
    </sheetView>
  </sheetViews>
  <sheetFormatPr defaultRowHeight="15" x14ac:dyDescent="0.25"/>
  <cols>
    <col min="1" max="1" width="17.85546875" style="3" bestFit="1" customWidth="1"/>
    <col min="2"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24" t="str" cm="1">
        <f t="array" aca="1" ref="A1" ca="1">IFERROR(MID(CELL("filename",$A$1),FIND("]",CELL("filename",$A$1))+1,99),"SXX")</f>
        <v>S03</v>
      </c>
      <c r="B1" s="24"/>
      <c r="C1" s="24"/>
      <c r="E1" s="25" t="str" cm="1">
        <f t="array" aca="1" ref="E1" ca="1">IFERROR(MID(CELL("filename",$A$1),FIND("]",CELL("filename",$A$1))+1,99),"SXX")&amp;" MATERIALS (USAGE + STANDALONE)"</f>
        <v>S03 MATERIALS (USAGE + STANDALONE)</v>
      </c>
      <c r="F1" s="25"/>
      <c r="G1" s="25"/>
      <c r="H1" s="25"/>
      <c r="I1" s="25"/>
      <c r="J1" s="25"/>
      <c r="K1" s="25"/>
      <c r="L1" s="13"/>
      <c r="M1" s="13"/>
      <c r="N1" s="19">
        <f>SUM(N3:N49)</f>
        <v>0</v>
      </c>
      <c r="P1" s="25" t="str" cm="1">
        <f t="array" aca="1" ref="P1" ca="1">IFERROR(MID(CELL("filename",$A$1),FIND("]",CELL("filename",$A$1))+1,99),"SXX")&amp;" LABOUR (USAGE + STANDALONE)"</f>
        <v>S03 LABOUR (USAGE + STANDALONE)</v>
      </c>
      <c r="Q1" s="25"/>
      <c r="R1" s="25"/>
      <c r="S1" s="25"/>
      <c r="T1" s="25"/>
      <c r="U1" s="25"/>
      <c r="V1" s="25"/>
      <c r="Y1" s="19">
        <f>SUM(Y3:Y49)</f>
        <v>2250</v>
      </c>
      <c r="AA1" s="26" t="str" cm="1">
        <f t="array" aca="1" ref="AA1" ca="1">IFERROR(MID(CELL("filename",$A$1),FIND("]",CELL("filename",$A$1))+1,99),"SXX")&amp;" RENTAL / SERVICE (USAGE + STANDALONE)"</f>
        <v>S03 RENTAL / SERVICE (USAGE + STANDALONE)</v>
      </c>
      <c r="AB1" s="26"/>
      <c r="AC1" s="26"/>
      <c r="AD1" s="26"/>
      <c r="AE1" s="26"/>
      <c r="AF1" s="26"/>
      <c r="AG1" s="26"/>
      <c r="AH1" s="6"/>
      <c r="AI1" s="6"/>
      <c r="AJ1" s="19">
        <f>SUM(AJ3:AJ49)</f>
        <v>0</v>
      </c>
    </row>
    <row r="2" spans="1:37" s="2" customFormat="1" x14ac:dyDescent="0.25">
      <c r="A2" s="4" t="s">
        <v>0</v>
      </c>
      <c r="B2" s="4" t="s">
        <v>3</v>
      </c>
      <c r="C2" s="4" t="s">
        <v>5</v>
      </c>
      <c r="D2" s="1"/>
      <c r="E2" s="2" t="s">
        <v>5</v>
      </c>
      <c r="F2" s="2" t="s">
        <v>0</v>
      </c>
      <c r="G2" s="2" t="s">
        <v>16</v>
      </c>
      <c r="H2" s="2" t="s">
        <v>1</v>
      </c>
      <c r="I2" s="2" t="s">
        <v>12</v>
      </c>
      <c r="J2" s="2" t="s">
        <v>4</v>
      </c>
      <c r="K2" s="2" t="s">
        <v>17</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343</v>
      </c>
      <c r="B3" s="3" t="s">
        <v>508</v>
      </c>
      <c r="C3" s="3" t="s">
        <v>509</v>
      </c>
      <c r="J3" s="22"/>
      <c r="L3" s="8" t="str">
        <f t="shared" ref="L3:L49" si="0">IF($G3="","",$I3*(1+IF($J3="",0,$J3)))</f>
        <v/>
      </c>
      <c r="M3" s="8" t="str">
        <f t="shared" ref="M3:M49" si="1">IF($G3="","",$L3)</f>
        <v/>
      </c>
      <c r="N3" s="8" t="str">
        <f t="shared" ref="N3:N49" si="2">IF($G3="","",IF($K3="","",$M3*$K3))</f>
        <v/>
      </c>
      <c r="P3" t="s">
        <v>1971</v>
      </c>
      <c r="Q3" t="s">
        <v>545</v>
      </c>
      <c r="R3" t="s">
        <v>327</v>
      </c>
      <c r="S3" t="s">
        <v>33</v>
      </c>
      <c r="T3">
        <v>100</v>
      </c>
      <c r="U3" s="22">
        <v>0</v>
      </c>
      <c r="V3">
        <v>22.5</v>
      </c>
      <c r="W3" s="8">
        <f>IF($R3="","",$T3*(1+IF($U3="",0,$U3)))</f>
        <v>100</v>
      </c>
      <c r="X3" s="8">
        <f>IF($R3="","",$W3)</f>
        <v>100</v>
      </c>
      <c r="Y3" s="8">
        <f>IF($R3="","",IF($V3="","",$X3*$V3))</f>
        <v>2250</v>
      </c>
      <c r="AH3" s="8" t="str">
        <f>IF($AC3="","",$AE3*(1+IF($AF3="",0,$AF3)))</f>
        <v/>
      </c>
      <c r="AI3" s="8" t="str">
        <f>IF($AC3="","",$AH3)</f>
        <v/>
      </c>
      <c r="AJ3" s="8" t="str">
        <f>IF($AC3="","",IF($AG3="","",$AI3*$AG3))</f>
        <v/>
      </c>
    </row>
    <row r="4" spans="1:37" x14ac:dyDescent="0.25">
      <c r="A4" s="3" t="s">
        <v>344</v>
      </c>
      <c r="B4" s="3" t="s">
        <v>1925</v>
      </c>
      <c r="C4" s="3" t="s">
        <v>510</v>
      </c>
      <c r="J4" s="22"/>
      <c r="L4" s="8" t="str">
        <f t="shared" si="0"/>
        <v/>
      </c>
      <c r="M4" s="8" t="str">
        <f t="shared" si="1"/>
        <v/>
      </c>
      <c r="N4" s="8" t="str">
        <f t="shared" si="2"/>
        <v/>
      </c>
      <c r="U4" s="22"/>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491</v>
      </c>
      <c r="B5" s="3" t="s">
        <v>492</v>
      </c>
      <c r="C5" s="3" t="s">
        <v>511</v>
      </c>
      <c r="J5" s="22"/>
      <c r="L5" s="8" t="str">
        <f t="shared" si="0"/>
        <v/>
      </c>
      <c r="M5" s="8" t="str">
        <f t="shared" si="1"/>
        <v/>
      </c>
      <c r="N5" s="8" t="str">
        <f t="shared" si="2"/>
        <v/>
      </c>
      <c r="W5" s="8" t="str">
        <f t="shared" si="3"/>
        <v/>
      </c>
      <c r="X5" s="8" t="str">
        <f t="shared" si="4"/>
        <v/>
      </c>
      <c r="Y5" s="8" t="str">
        <f t="shared" si="5"/>
        <v/>
      </c>
      <c r="AH5" s="8" t="str">
        <f t="shared" si="6"/>
        <v/>
      </c>
      <c r="AI5" s="8" t="str">
        <f t="shared" si="7"/>
        <v/>
      </c>
      <c r="AJ5" s="8" t="str">
        <f t="shared" si="8"/>
        <v/>
      </c>
    </row>
    <row r="6" spans="1:37" x14ac:dyDescent="0.25">
      <c r="A6" s="3" t="s">
        <v>493</v>
      </c>
      <c r="B6" s="3" t="s">
        <v>494</v>
      </c>
      <c r="C6" s="3" t="s">
        <v>512</v>
      </c>
      <c r="L6" s="8" t="str">
        <f t="shared" si="0"/>
        <v/>
      </c>
      <c r="M6" s="8" t="str">
        <f t="shared" si="1"/>
        <v/>
      </c>
      <c r="N6" s="8" t="str">
        <f t="shared" si="2"/>
        <v/>
      </c>
      <c r="W6" s="8" t="str">
        <f t="shared" si="3"/>
        <v/>
      </c>
      <c r="X6" s="8" t="str">
        <f t="shared" si="4"/>
        <v/>
      </c>
      <c r="Y6" s="8" t="str">
        <f t="shared" si="5"/>
        <v/>
      </c>
      <c r="AH6" s="8" t="str">
        <f t="shared" si="6"/>
        <v/>
      </c>
      <c r="AI6" s="8" t="str">
        <f t="shared" si="7"/>
        <v/>
      </c>
      <c r="AJ6" s="8" t="str">
        <f t="shared" si="8"/>
        <v/>
      </c>
    </row>
    <row r="7" spans="1:37" x14ac:dyDescent="0.25">
      <c r="A7" s="3" t="s">
        <v>495</v>
      </c>
      <c r="B7" s="3" t="s">
        <v>496</v>
      </c>
      <c r="C7" s="3" t="s">
        <v>497</v>
      </c>
      <c r="L7" s="8" t="str">
        <f t="shared" si="0"/>
        <v/>
      </c>
      <c r="M7" s="8" t="str">
        <f t="shared" si="1"/>
        <v/>
      </c>
      <c r="N7" s="8" t="str">
        <f t="shared" si="2"/>
        <v/>
      </c>
      <c r="W7" s="8" t="str">
        <f t="shared" si="3"/>
        <v/>
      </c>
      <c r="X7" s="8" t="str">
        <f t="shared" si="4"/>
        <v/>
      </c>
      <c r="Y7" s="8" t="str">
        <f t="shared" si="5"/>
        <v/>
      </c>
      <c r="AH7" s="8" t="str">
        <f t="shared" si="6"/>
        <v/>
      </c>
      <c r="AI7" s="8" t="str">
        <f t="shared" si="7"/>
        <v/>
      </c>
      <c r="AJ7" s="8" t="str">
        <f t="shared" si="8"/>
        <v/>
      </c>
    </row>
    <row r="8" spans="1:37" x14ac:dyDescent="0.25">
      <c r="A8" s="3" t="s">
        <v>498</v>
      </c>
      <c r="B8" s="3" t="s">
        <v>496</v>
      </c>
      <c r="C8" s="3" t="s">
        <v>499</v>
      </c>
      <c r="L8" s="8" t="str">
        <f t="shared" si="0"/>
        <v/>
      </c>
      <c r="M8" s="8" t="str">
        <f t="shared" si="1"/>
        <v/>
      </c>
      <c r="N8" s="8" t="str">
        <f t="shared" si="2"/>
        <v/>
      </c>
      <c r="W8" s="8" t="str">
        <f t="shared" si="3"/>
        <v/>
      </c>
      <c r="X8" s="8" t="str">
        <f t="shared" si="4"/>
        <v/>
      </c>
      <c r="Y8" s="8" t="str">
        <f t="shared" si="5"/>
        <v/>
      </c>
      <c r="AH8" s="8" t="str">
        <f t="shared" si="6"/>
        <v/>
      </c>
      <c r="AI8" s="8" t="str">
        <f t="shared" si="7"/>
        <v/>
      </c>
      <c r="AJ8" s="8" t="str">
        <f t="shared" si="8"/>
        <v/>
      </c>
    </row>
    <row r="9" spans="1:37" x14ac:dyDescent="0.25">
      <c r="A9" s="3" t="s">
        <v>500</v>
      </c>
      <c r="B9" s="3" t="s">
        <v>501</v>
      </c>
      <c r="C9" s="3" t="s">
        <v>502</v>
      </c>
      <c r="L9" s="8" t="str">
        <f t="shared" si="0"/>
        <v/>
      </c>
      <c r="M9" s="8" t="str">
        <f t="shared" si="1"/>
        <v/>
      </c>
      <c r="N9" s="8" t="str">
        <f t="shared" si="2"/>
        <v/>
      </c>
      <c r="W9" s="8" t="str">
        <f t="shared" si="3"/>
        <v/>
      </c>
      <c r="X9" s="8" t="str">
        <f t="shared" si="4"/>
        <v/>
      </c>
      <c r="Y9" s="8" t="str">
        <f t="shared" si="5"/>
        <v/>
      </c>
      <c r="AH9" s="8" t="str">
        <f t="shared" si="6"/>
        <v/>
      </c>
      <c r="AI9" s="8" t="str">
        <f t="shared" si="7"/>
        <v/>
      </c>
      <c r="AJ9" s="8" t="str">
        <f t="shared" si="8"/>
        <v/>
      </c>
    </row>
    <row r="10" spans="1:37" x14ac:dyDescent="0.25">
      <c r="A10" s="3" t="s">
        <v>345</v>
      </c>
      <c r="B10" s="3" t="s">
        <v>513</v>
      </c>
      <c r="C10" s="3" t="s">
        <v>514</v>
      </c>
      <c r="L10" s="8" t="str">
        <f t="shared" si="0"/>
        <v/>
      </c>
      <c r="M10" s="8" t="str">
        <f t="shared" si="1"/>
        <v/>
      </c>
      <c r="N10" s="8" t="str">
        <f t="shared" si="2"/>
        <v/>
      </c>
      <c r="W10" s="8" t="str">
        <f t="shared" si="3"/>
        <v/>
      </c>
      <c r="X10" s="8" t="str">
        <f t="shared" si="4"/>
        <v/>
      </c>
      <c r="Y10" s="8" t="str">
        <f t="shared" si="5"/>
        <v/>
      </c>
      <c r="AH10" s="8" t="str">
        <f t="shared" si="6"/>
        <v/>
      </c>
      <c r="AI10" s="8" t="str">
        <f t="shared" si="7"/>
        <v/>
      </c>
      <c r="AJ10" s="8" t="str">
        <f t="shared" si="8"/>
        <v/>
      </c>
    </row>
    <row r="11" spans="1:37" x14ac:dyDescent="0.25">
      <c r="A11" s="3" t="s">
        <v>345</v>
      </c>
      <c r="B11" s="3" t="s">
        <v>504</v>
      </c>
      <c r="C11" s="3" t="s">
        <v>515</v>
      </c>
      <c r="L11" s="8" t="str">
        <f t="shared" si="0"/>
        <v/>
      </c>
      <c r="M11" s="8" t="str">
        <f t="shared" si="1"/>
        <v/>
      </c>
      <c r="N11" s="8" t="str">
        <f t="shared" si="2"/>
        <v/>
      </c>
      <c r="W11" s="8" t="str">
        <f t="shared" si="3"/>
        <v/>
      </c>
      <c r="X11" s="8" t="str">
        <f t="shared" si="4"/>
        <v/>
      </c>
      <c r="Y11" s="8" t="str">
        <f t="shared" si="5"/>
        <v/>
      </c>
      <c r="AH11" s="8" t="str">
        <f t="shared" si="6"/>
        <v/>
      </c>
      <c r="AI11" s="8" t="str">
        <f t="shared" si="7"/>
        <v/>
      </c>
      <c r="AJ11" s="8" t="str">
        <f t="shared" si="8"/>
        <v/>
      </c>
    </row>
    <row r="12" spans="1:37" x14ac:dyDescent="0.25">
      <c r="A12" s="3" t="s">
        <v>345</v>
      </c>
      <c r="B12" s="3" t="s">
        <v>516</v>
      </c>
      <c r="C12" s="3" t="s">
        <v>517</v>
      </c>
      <c r="L12" s="8" t="str">
        <f t="shared" si="0"/>
        <v/>
      </c>
      <c r="M12" s="8" t="str">
        <f t="shared" si="1"/>
        <v/>
      </c>
      <c r="N12" s="8" t="str">
        <f t="shared" si="2"/>
        <v/>
      </c>
      <c r="W12" s="8" t="str">
        <f t="shared" si="3"/>
        <v/>
      </c>
      <c r="X12" s="8" t="str">
        <f t="shared" si="4"/>
        <v/>
      </c>
      <c r="Y12" s="8" t="str">
        <f t="shared" si="5"/>
        <v/>
      </c>
      <c r="AH12" s="8" t="str">
        <f t="shared" si="6"/>
        <v/>
      </c>
      <c r="AI12" s="8" t="str">
        <f t="shared" si="7"/>
        <v/>
      </c>
      <c r="AJ12" s="8" t="str">
        <f t="shared" si="8"/>
        <v/>
      </c>
    </row>
    <row r="13" spans="1:37" x14ac:dyDescent="0.25">
      <c r="A13" s="3" t="s">
        <v>346</v>
      </c>
      <c r="B13" s="3" t="s">
        <v>503</v>
      </c>
      <c r="C13" s="3" t="s">
        <v>518</v>
      </c>
      <c r="L13" s="8" t="str">
        <f t="shared" si="0"/>
        <v/>
      </c>
      <c r="M13" s="8" t="str">
        <f t="shared" si="1"/>
        <v/>
      </c>
      <c r="N13" s="8" t="str">
        <f t="shared" si="2"/>
        <v/>
      </c>
      <c r="W13" s="8" t="str">
        <f t="shared" si="3"/>
        <v/>
      </c>
      <c r="X13" s="8" t="str">
        <f t="shared" si="4"/>
        <v/>
      </c>
      <c r="Y13" s="8" t="str">
        <f t="shared" si="5"/>
        <v/>
      </c>
      <c r="AH13" s="8" t="str">
        <f t="shared" si="6"/>
        <v/>
      </c>
      <c r="AI13" s="8" t="str">
        <f t="shared" si="7"/>
        <v/>
      </c>
      <c r="AJ13" s="8" t="str">
        <f t="shared" si="8"/>
        <v/>
      </c>
    </row>
    <row r="14" spans="1:37" x14ac:dyDescent="0.25">
      <c r="A14" s="3" t="s">
        <v>346</v>
      </c>
      <c r="B14" s="3" t="s">
        <v>519</v>
      </c>
      <c r="C14" s="3" t="s">
        <v>520</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346</v>
      </c>
      <c r="B15" s="3" t="s">
        <v>521</v>
      </c>
      <c r="C15" s="3" t="s">
        <v>522</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346</v>
      </c>
      <c r="B16" s="3" t="s">
        <v>523</v>
      </c>
      <c r="C16" s="3" t="s">
        <v>524</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346</v>
      </c>
      <c r="B17" s="3" t="s">
        <v>525</v>
      </c>
      <c r="C17" s="3" t="s">
        <v>526</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346</v>
      </c>
      <c r="B18" s="3" t="s">
        <v>527</v>
      </c>
      <c r="C18" s="3" t="s">
        <v>528</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346</v>
      </c>
      <c r="B19" s="3" t="s">
        <v>529</v>
      </c>
      <c r="C19" s="3" t="s">
        <v>530</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346</v>
      </c>
      <c r="B20" s="3" t="s">
        <v>531</v>
      </c>
      <c r="C20" s="3" t="s">
        <v>532</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346</v>
      </c>
      <c r="B21" s="3" t="s">
        <v>505</v>
      </c>
      <c r="C21" s="3" t="s">
        <v>533</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346</v>
      </c>
      <c r="B22" s="3" t="s">
        <v>506</v>
      </c>
      <c r="C22" s="3" t="s">
        <v>534</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346</v>
      </c>
      <c r="B23" s="3" t="s">
        <v>371</v>
      </c>
      <c r="C23" s="3" t="s">
        <v>535</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536</v>
      </c>
      <c r="B24" s="3" t="s">
        <v>537</v>
      </c>
      <c r="C24" s="3" t="s">
        <v>538</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536</v>
      </c>
      <c r="B25" s="3" t="s">
        <v>1926</v>
      </c>
      <c r="C25" s="3" t="s">
        <v>457</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345</v>
      </c>
      <c r="B26" s="3" t="s">
        <v>1968</v>
      </c>
      <c r="C26" s="3" t="s">
        <v>1969</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346</v>
      </c>
      <c r="B27" s="3" t="s">
        <v>539</v>
      </c>
      <c r="C27" s="3" t="s">
        <v>1970</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346</v>
      </c>
      <c r="B28" s="3" t="s">
        <v>540</v>
      </c>
      <c r="C28" s="3" t="s">
        <v>541</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542</v>
      </c>
      <c r="B29" s="3" t="s">
        <v>543</v>
      </c>
      <c r="C29" s="3" t="s">
        <v>544</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347</v>
      </c>
      <c r="B30" s="3" t="s">
        <v>507</v>
      </c>
      <c r="C30" s="3" t="s">
        <v>1927</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2:36" x14ac:dyDescent="0.25">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2:36" x14ac:dyDescent="0.25">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2:36" x14ac:dyDescent="0.25">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2:36" x14ac:dyDescent="0.25">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2:36" x14ac:dyDescent="0.25">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2:36" x14ac:dyDescent="0.25">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2:36" x14ac:dyDescent="0.25">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2:36" x14ac:dyDescent="0.25">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2:36" x14ac:dyDescent="0.25">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2:36" x14ac:dyDescent="0.25">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2:36" x14ac:dyDescent="0.25">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2:36" x14ac:dyDescent="0.25">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2:36" x14ac:dyDescent="0.25">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2:36" x14ac:dyDescent="0.25">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2:36" x14ac:dyDescent="0.25">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2:36" x14ac:dyDescent="0.25">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2:36" x14ac:dyDescent="0.25">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sheetData>
  <mergeCells count="4">
    <mergeCell ref="A1:C1"/>
    <mergeCell ref="E1:K1"/>
    <mergeCell ref="P1:V1"/>
    <mergeCell ref="AA1:AG1"/>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4D07A4-64BD-4055-8BDF-6F30514E0FBB}">
  <sheetPr codeName="Sheet16"/>
  <dimension ref="A1:AK69"/>
  <sheetViews>
    <sheetView zoomScale="75" zoomScaleNormal="75" workbookViewId="0">
      <pane ySplit="49" topLeftCell="A72" activePane="bottomLeft" state="frozen"/>
      <selection pane="bottomLeft" sqref="A1:C71"/>
    </sheetView>
  </sheetViews>
  <sheetFormatPr defaultRowHeight="15" x14ac:dyDescent="0.25"/>
  <cols>
    <col min="1" max="1" width="17.85546875" style="3" bestFit="1" customWidth="1"/>
    <col min="2"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24" t="str" cm="1">
        <f t="array" aca="1" ref="A1" ca="1">IFERROR(MID(CELL("filename",$A$1),FIND("]",CELL("filename",$A$1))+1,99),"SXX")</f>
        <v>S04</v>
      </c>
      <c r="B1" s="24"/>
      <c r="C1" s="24"/>
      <c r="E1" s="25" t="str" cm="1">
        <f t="array" aca="1" ref="E1" ca="1">IFERROR(MID(CELL("filename",$A$1),FIND("]",CELL("filename",$A$1))+1,99),"SXX")&amp;" MATERIALS (USAGE + STANDALONE)"</f>
        <v>S04 MATERIALS (USAGE + STANDALONE)</v>
      </c>
      <c r="F1" s="25"/>
      <c r="G1" s="25"/>
      <c r="H1" s="25"/>
      <c r="I1" s="25"/>
      <c r="J1" s="25"/>
      <c r="K1" s="25"/>
      <c r="L1" s="13"/>
      <c r="M1" s="13"/>
      <c r="N1" s="19">
        <f>SUM(N3:N49)</f>
        <v>4126.8999999999996</v>
      </c>
      <c r="P1" s="25" t="str" cm="1">
        <f t="array" aca="1" ref="P1" ca="1">IFERROR(MID(CELL("filename",$A$1),FIND("]",CELL("filename",$A$1))+1,99),"SXX")&amp;" LABOUR (USAGE + STANDALONE)"</f>
        <v>S04 LABOUR (USAGE + STANDALONE)</v>
      </c>
      <c r="Q1" s="25"/>
      <c r="R1" s="25"/>
      <c r="S1" s="25"/>
      <c r="T1" s="25"/>
      <c r="U1" s="25"/>
      <c r="V1" s="25"/>
      <c r="Y1" s="19">
        <f>SUM(Y3:Y49)</f>
        <v>1822.5</v>
      </c>
      <c r="AA1" s="26" t="str" cm="1">
        <f t="array" aca="1" ref="AA1" ca="1">IFERROR(MID(CELL("filename",$A$1),FIND("]",CELL("filename",$A$1))+1,99),"SXX")&amp;" RENTAL / SERVICE (USAGE + STANDALONE)"</f>
        <v>S04 RENTAL / SERVICE (USAGE + STANDALONE)</v>
      </c>
      <c r="AB1" s="26"/>
      <c r="AC1" s="26"/>
      <c r="AD1" s="26"/>
      <c r="AE1" s="26"/>
      <c r="AF1" s="26"/>
      <c r="AG1" s="26"/>
      <c r="AH1" s="6"/>
      <c r="AI1" s="6"/>
      <c r="AJ1" s="19">
        <f>SUM(AJ3:AJ49)</f>
        <v>900</v>
      </c>
    </row>
    <row r="2" spans="1:37" s="2" customFormat="1" x14ac:dyDescent="0.25">
      <c r="A2" s="4" t="s">
        <v>0</v>
      </c>
      <c r="B2" s="4" t="s">
        <v>3</v>
      </c>
      <c r="C2" s="4" t="s">
        <v>5</v>
      </c>
      <c r="D2" s="1"/>
      <c r="E2" s="2" t="s">
        <v>5</v>
      </c>
      <c r="F2" s="2" t="s">
        <v>0</v>
      </c>
      <c r="G2" s="2" t="s">
        <v>3</v>
      </c>
      <c r="H2" s="2" t="s">
        <v>1</v>
      </c>
      <c r="I2" s="2" t="s">
        <v>12</v>
      </c>
      <c r="J2" s="2" t="s">
        <v>4</v>
      </c>
      <c r="K2" s="2" t="s">
        <v>1725</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3</v>
      </c>
      <c r="AD2" s="2" t="s">
        <v>1</v>
      </c>
      <c r="AE2" s="2" t="s">
        <v>12</v>
      </c>
      <c r="AF2" s="2" t="s">
        <v>4</v>
      </c>
      <c r="AG2" s="2" t="s">
        <v>17</v>
      </c>
      <c r="AH2" s="2" t="s">
        <v>13</v>
      </c>
      <c r="AI2" s="2" t="s">
        <v>14</v>
      </c>
      <c r="AJ2" s="2" t="s">
        <v>15</v>
      </c>
      <c r="AK2" s="1"/>
    </row>
    <row r="3" spans="1:37" x14ac:dyDescent="0.25">
      <c r="A3" s="3" t="s">
        <v>348</v>
      </c>
      <c r="B3" s="3" t="s">
        <v>1033</v>
      </c>
      <c r="C3" s="3" t="s">
        <v>1034</v>
      </c>
      <c r="E3" t="s">
        <v>1932</v>
      </c>
      <c r="F3" t="s">
        <v>556</v>
      </c>
      <c r="G3" t="s">
        <v>557</v>
      </c>
      <c r="H3" t="s">
        <v>11</v>
      </c>
      <c r="I3">
        <v>0.26</v>
      </c>
      <c r="J3" s="22">
        <v>0</v>
      </c>
      <c r="K3">
        <v>830</v>
      </c>
      <c r="L3" s="8">
        <f t="shared" ref="L3:L49" si="0">IF($G3="","",$I3*(1+IF($J3="",0,$J3)))</f>
        <v>0.26</v>
      </c>
      <c r="M3" s="8">
        <f t="shared" ref="M3:M49" si="1">IF($G3="","",$L3)</f>
        <v>0.26</v>
      </c>
      <c r="N3" s="8">
        <f t="shared" ref="N3:N49" si="2">IF($G3="","",IF($K3="","",$M3*$K3))</f>
        <v>215.8</v>
      </c>
      <c r="P3" t="s">
        <v>1975</v>
      </c>
      <c r="Q3" t="s">
        <v>594</v>
      </c>
      <c r="R3" t="s">
        <v>327</v>
      </c>
      <c r="S3" t="s">
        <v>33</v>
      </c>
      <c r="T3">
        <v>81</v>
      </c>
      <c r="U3" s="22">
        <v>0</v>
      </c>
      <c r="V3">
        <v>22.5</v>
      </c>
      <c r="W3" s="8">
        <f>IF($R3="","",$T3*(1+IF($U3="",0,$U3)))</f>
        <v>81</v>
      </c>
      <c r="X3" s="8">
        <f>IF($R3="","",$W3)</f>
        <v>81</v>
      </c>
      <c r="Y3" s="8">
        <f>IF($R3="","",IF($V3="","",$X3*$V3))</f>
        <v>1822.5</v>
      </c>
      <c r="AA3" s="6" t="s">
        <v>1941</v>
      </c>
      <c r="AB3" t="s">
        <v>595</v>
      </c>
      <c r="AC3" t="s">
        <v>596</v>
      </c>
      <c r="AD3" t="s">
        <v>597</v>
      </c>
      <c r="AE3">
        <v>1</v>
      </c>
      <c r="AF3">
        <v>0</v>
      </c>
      <c r="AG3">
        <v>900</v>
      </c>
      <c r="AH3" s="8">
        <f>IF($AC3="","",$AE3*(1+IF($AF3="",0,$AF3)))</f>
        <v>1</v>
      </c>
      <c r="AI3" s="8">
        <f>IF($AC3="","",$AH3)</f>
        <v>1</v>
      </c>
      <c r="AJ3" s="8">
        <f>IF($AC3="","",IF($AG3="","",$AI3*$AG3))</f>
        <v>900</v>
      </c>
    </row>
    <row r="4" spans="1:37" x14ac:dyDescent="0.25">
      <c r="A4" s="3" t="s">
        <v>349</v>
      </c>
      <c r="B4" s="3" t="s">
        <v>1928</v>
      </c>
      <c r="C4" s="3" t="s">
        <v>1035</v>
      </c>
      <c r="E4" t="s">
        <v>1933</v>
      </c>
      <c r="F4" t="s">
        <v>556</v>
      </c>
      <c r="G4" t="s">
        <v>558</v>
      </c>
      <c r="H4" t="s">
        <v>11</v>
      </c>
      <c r="I4">
        <v>0.05</v>
      </c>
      <c r="J4" s="22">
        <v>0</v>
      </c>
      <c r="K4">
        <v>950</v>
      </c>
      <c r="L4" s="8">
        <f t="shared" si="0"/>
        <v>0.05</v>
      </c>
      <c r="M4" s="8">
        <f t="shared" si="1"/>
        <v>0.05</v>
      </c>
      <c r="N4" s="8">
        <f t="shared" si="2"/>
        <v>47.5</v>
      </c>
      <c r="U4" s="22"/>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546</v>
      </c>
      <c r="B5" s="3" t="s">
        <v>1036</v>
      </c>
      <c r="C5" s="3" t="s">
        <v>1037</v>
      </c>
      <c r="E5" t="s">
        <v>1934</v>
      </c>
      <c r="F5" t="s">
        <v>715</v>
      </c>
      <c r="G5" t="s">
        <v>716</v>
      </c>
      <c r="H5" t="s">
        <v>332</v>
      </c>
      <c r="I5">
        <v>1</v>
      </c>
      <c r="J5" s="22">
        <v>0</v>
      </c>
      <c r="K5">
        <v>180</v>
      </c>
      <c r="L5" s="8">
        <f t="shared" si="0"/>
        <v>1</v>
      </c>
      <c r="M5" s="8">
        <f t="shared" si="1"/>
        <v>1</v>
      </c>
      <c r="N5" s="8">
        <f t="shared" si="2"/>
        <v>180</v>
      </c>
      <c r="W5" s="8" t="str">
        <f t="shared" si="3"/>
        <v/>
      </c>
      <c r="X5" s="8" t="str">
        <f t="shared" si="4"/>
        <v/>
      </c>
      <c r="Y5" s="8" t="str">
        <f t="shared" si="5"/>
        <v/>
      </c>
      <c r="AH5" s="8" t="str">
        <f t="shared" si="6"/>
        <v/>
      </c>
      <c r="AI5" s="8" t="str">
        <f t="shared" si="7"/>
        <v/>
      </c>
      <c r="AJ5" s="8" t="str">
        <f t="shared" si="8"/>
        <v/>
      </c>
    </row>
    <row r="6" spans="1:37" x14ac:dyDescent="0.25">
      <c r="A6" s="3" t="s">
        <v>1038</v>
      </c>
      <c r="B6" s="3" t="s">
        <v>1039</v>
      </c>
      <c r="C6" s="3" t="s">
        <v>1421</v>
      </c>
      <c r="E6" t="s">
        <v>1935</v>
      </c>
      <c r="F6" t="s">
        <v>717</v>
      </c>
      <c r="G6" t="s">
        <v>559</v>
      </c>
      <c r="H6" t="s">
        <v>8</v>
      </c>
      <c r="I6">
        <v>4.41</v>
      </c>
      <c r="J6">
        <v>0</v>
      </c>
      <c r="K6">
        <v>215</v>
      </c>
      <c r="L6" s="8">
        <f t="shared" si="0"/>
        <v>4.41</v>
      </c>
      <c r="M6" s="8">
        <f t="shared" si="1"/>
        <v>4.41</v>
      </c>
      <c r="N6" s="8">
        <f t="shared" si="2"/>
        <v>948.15</v>
      </c>
      <c r="W6" s="8" t="str">
        <f t="shared" si="3"/>
        <v/>
      </c>
      <c r="X6" s="8" t="str">
        <f t="shared" si="4"/>
        <v/>
      </c>
      <c r="Y6" s="8" t="str">
        <f t="shared" si="5"/>
        <v/>
      </c>
      <c r="AH6" s="8" t="str">
        <f t="shared" si="6"/>
        <v/>
      </c>
      <c r="AI6" s="8" t="str">
        <f t="shared" si="7"/>
        <v/>
      </c>
      <c r="AJ6" s="8" t="str">
        <f t="shared" si="8"/>
        <v/>
      </c>
    </row>
    <row r="7" spans="1:37" x14ac:dyDescent="0.25">
      <c r="A7" s="3" t="s">
        <v>372</v>
      </c>
      <c r="B7" s="3" t="s">
        <v>1040</v>
      </c>
      <c r="C7" s="3" t="s">
        <v>1041</v>
      </c>
      <c r="E7" t="s">
        <v>1027</v>
      </c>
      <c r="F7" t="s">
        <v>560</v>
      </c>
      <c r="G7" t="s">
        <v>561</v>
      </c>
      <c r="H7" t="s">
        <v>562</v>
      </c>
      <c r="I7">
        <v>5.2</v>
      </c>
      <c r="J7">
        <v>0</v>
      </c>
      <c r="K7">
        <v>330</v>
      </c>
      <c r="L7" s="8">
        <f t="shared" si="0"/>
        <v>5.2</v>
      </c>
      <c r="M7" s="8">
        <f t="shared" si="1"/>
        <v>5.2</v>
      </c>
      <c r="N7" s="8">
        <f t="shared" si="2"/>
        <v>1716</v>
      </c>
      <c r="W7" s="8" t="str">
        <f t="shared" si="3"/>
        <v/>
      </c>
      <c r="X7" s="8" t="str">
        <f t="shared" si="4"/>
        <v/>
      </c>
      <c r="Y7" s="8" t="str">
        <f t="shared" si="5"/>
        <v/>
      </c>
      <c r="AH7" s="8" t="str">
        <f t="shared" si="6"/>
        <v/>
      </c>
      <c r="AI7" s="8" t="str">
        <f t="shared" si="7"/>
        <v/>
      </c>
      <c r="AJ7" s="8" t="str">
        <f t="shared" si="8"/>
        <v/>
      </c>
    </row>
    <row r="8" spans="1:37" x14ac:dyDescent="0.25">
      <c r="A8" s="3" t="s">
        <v>372</v>
      </c>
      <c r="B8" s="3" t="s">
        <v>1042</v>
      </c>
      <c r="C8" s="3" t="s">
        <v>1043</v>
      </c>
      <c r="E8" t="s">
        <v>1936</v>
      </c>
      <c r="F8" t="s">
        <v>1937</v>
      </c>
      <c r="G8" t="s">
        <v>557</v>
      </c>
      <c r="H8" t="s">
        <v>11</v>
      </c>
      <c r="I8">
        <v>0.08</v>
      </c>
      <c r="J8">
        <v>0</v>
      </c>
      <c r="K8">
        <v>830</v>
      </c>
      <c r="L8" s="8">
        <f t="shared" si="0"/>
        <v>0.08</v>
      </c>
      <c r="M8" s="8">
        <f t="shared" si="1"/>
        <v>0.08</v>
      </c>
      <c r="N8" s="8">
        <f t="shared" si="2"/>
        <v>66.400000000000006</v>
      </c>
      <c r="W8" s="8" t="str">
        <f t="shared" si="3"/>
        <v/>
      </c>
      <c r="X8" s="8" t="str">
        <f t="shared" si="4"/>
        <v/>
      </c>
      <c r="Y8" s="8" t="str">
        <f t="shared" si="5"/>
        <v/>
      </c>
      <c r="AH8" s="8" t="str">
        <f t="shared" si="6"/>
        <v/>
      </c>
      <c r="AI8" s="8" t="str">
        <f t="shared" si="7"/>
        <v/>
      </c>
      <c r="AJ8" s="8" t="str">
        <f t="shared" si="8"/>
        <v/>
      </c>
    </row>
    <row r="9" spans="1:37" x14ac:dyDescent="0.25">
      <c r="A9" s="3" t="s">
        <v>372</v>
      </c>
      <c r="B9" s="3" t="s">
        <v>547</v>
      </c>
      <c r="C9" s="3" t="s">
        <v>571</v>
      </c>
      <c r="E9" t="s">
        <v>1936</v>
      </c>
      <c r="F9" t="s">
        <v>1937</v>
      </c>
      <c r="G9" t="s">
        <v>558</v>
      </c>
      <c r="H9" t="s">
        <v>11</v>
      </c>
      <c r="I9">
        <v>0.02</v>
      </c>
      <c r="J9">
        <v>0</v>
      </c>
      <c r="K9">
        <v>950</v>
      </c>
      <c r="L9" s="8">
        <f t="shared" si="0"/>
        <v>0.02</v>
      </c>
      <c r="M9" s="8">
        <f t="shared" si="1"/>
        <v>0.02</v>
      </c>
      <c r="N9" s="8">
        <f t="shared" si="2"/>
        <v>19</v>
      </c>
      <c r="W9" s="8" t="str">
        <f t="shared" si="3"/>
        <v/>
      </c>
      <c r="X9" s="8" t="str">
        <f t="shared" si="4"/>
        <v/>
      </c>
      <c r="Y9" s="8" t="str">
        <f t="shared" si="5"/>
        <v/>
      </c>
      <c r="AH9" s="8" t="str">
        <f t="shared" si="6"/>
        <v/>
      </c>
      <c r="AI9" s="8" t="str">
        <f t="shared" si="7"/>
        <v/>
      </c>
      <c r="AJ9" s="8" t="str">
        <f t="shared" si="8"/>
        <v/>
      </c>
    </row>
    <row r="10" spans="1:37" x14ac:dyDescent="0.25">
      <c r="A10" s="3" t="s">
        <v>372</v>
      </c>
      <c r="B10" s="3" t="s">
        <v>1044</v>
      </c>
      <c r="C10" s="3" t="s">
        <v>1045</v>
      </c>
      <c r="E10" t="s">
        <v>1938</v>
      </c>
      <c r="F10" t="s">
        <v>1937</v>
      </c>
      <c r="G10" t="s">
        <v>559</v>
      </c>
      <c r="H10" t="s">
        <v>8</v>
      </c>
      <c r="I10">
        <v>1.33</v>
      </c>
      <c r="J10">
        <v>0</v>
      </c>
      <c r="K10">
        <v>215</v>
      </c>
      <c r="L10" s="8">
        <f t="shared" si="0"/>
        <v>1.33</v>
      </c>
      <c r="M10" s="8">
        <f t="shared" si="1"/>
        <v>1.33</v>
      </c>
      <c r="N10" s="8">
        <f t="shared" si="2"/>
        <v>285.95</v>
      </c>
      <c r="W10" s="8" t="str">
        <f t="shared" si="3"/>
        <v/>
      </c>
      <c r="X10" s="8" t="str">
        <f t="shared" si="4"/>
        <v/>
      </c>
      <c r="Y10" s="8" t="str">
        <f t="shared" si="5"/>
        <v/>
      </c>
      <c r="AH10" s="8" t="str">
        <f t="shared" si="6"/>
        <v/>
      </c>
      <c r="AI10" s="8" t="str">
        <f t="shared" si="7"/>
        <v/>
      </c>
      <c r="AJ10" s="8" t="str">
        <f t="shared" si="8"/>
        <v/>
      </c>
    </row>
    <row r="11" spans="1:37" x14ac:dyDescent="0.25">
      <c r="A11" s="3" t="s">
        <v>372</v>
      </c>
      <c r="B11" s="3" t="s">
        <v>1422</v>
      </c>
      <c r="C11" s="3" t="s">
        <v>1929</v>
      </c>
      <c r="E11" t="s">
        <v>1939</v>
      </c>
      <c r="F11" t="s">
        <v>1937</v>
      </c>
      <c r="G11" t="s">
        <v>561</v>
      </c>
      <c r="H11" t="s">
        <v>562</v>
      </c>
      <c r="I11">
        <v>1.57</v>
      </c>
      <c r="J11">
        <v>0</v>
      </c>
      <c r="K11">
        <v>330</v>
      </c>
      <c r="L11" s="8">
        <f t="shared" si="0"/>
        <v>1.57</v>
      </c>
      <c r="M11" s="8">
        <f t="shared" si="1"/>
        <v>1.57</v>
      </c>
      <c r="N11" s="8">
        <f t="shared" si="2"/>
        <v>518.1</v>
      </c>
      <c r="W11" s="8" t="str">
        <f t="shared" si="3"/>
        <v/>
      </c>
      <c r="X11" s="8" t="str">
        <f t="shared" si="4"/>
        <v/>
      </c>
      <c r="Y11" s="8" t="str">
        <f t="shared" si="5"/>
        <v/>
      </c>
      <c r="AH11" s="8" t="str">
        <f t="shared" si="6"/>
        <v/>
      </c>
      <c r="AI11" s="8" t="str">
        <f t="shared" si="7"/>
        <v/>
      </c>
      <c r="AJ11" s="8" t="str">
        <f t="shared" si="8"/>
        <v/>
      </c>
    </row>
    <row r="12" spans="1:37" x14ac:dyDescent="0.25">
      <c r="A12" s="3" t="s">
        <v>372</v>
      </c>
      <c r="B12" s="3" t="s">
        <v>1046</v>
      </c>
      <c r="C12" s="3" t="s">
        <v>1424</v>
      </c>
      <c r="E12" t="s">
        <v>1940</v>
      </c>
      <c r="F12" t="s">
        <v>718</v>
      </c>
      <c r="G12" t="s">
        <v>719</v>
      </c>
      <c r="H12" t="s">
        <v>720</v>
      </c>
      <c r="I12">
        <v>1</v>
      </c>
      <c r="J12">
        <v>0</v>
      </c>
      <c r="K12">
        <v>130</v>
      </c>
      <c r="L12" s="8">
        <f t="shared" si="0"/>
        <v>1</v>
      </c>
      <c r="M12" s="8">
        <f t="shared" si="1"/>
        <v>1</v>
      </c>
      <c r="N12" s="8">
        <f t="shared" si="2"/>
        <v>130</v>
      </c>
      <c r="W12" s="8" t="str">
        <f t="shared" si="3"/>
        <v/>
      </c>
      <c r="X12" s="8" t="str">
        <f t="shared" si="4"/>
        <v/>
      </c>
      <c r="Y12" s="8" t="str">
        <f t="shared" si="5"/>
        <v/>
      </c>
      <c r="AH12" s="8" t="str">
        <f t="shared" si="6"/>
        <v/>
      </c>
      <c r="AI12" s="8" t="str">
        <f t="shared" si="7"/>
        <v/>
      </c>
      <c r="AJ12" s="8" t="str">
        <f t="shared" si="8"/>
        <v/>
      </c>
    </row>
    <row r="13" spans="1:37" x14ac:dyDescent="0.25">
      <c r="A13" s="3" t="s">
        <v>372</v>
      </c>
      <c r="B13" s="3" t="s">
        <v>1047</v>
      </c>
      <c r="C13" s="3" t="s">
        <v>1425</v>
      </c>
      <c r="L13" s="8" t="str">
        <f t="shared" si="0"/>
        <v/>
      </c>
      <c r="M13" s="8" t="str">
        <f t="shared" si="1"/>
        <v/>
      </c>
      <c r="N13" s="8" t="str">
        <f t="shared" si="2"/>
        <v/>
      </c>
      <c r="W13" s="8" t="str">
        <f t="shared" si="3"/>
        <v/>
      </c>
      <c r="X13" s="8" t="str">
        <f t="shared" si="4"/>
        <v/>
      </c>
      <c r="Y13" s="8" t="str">
        <f t="shared" si="5"/>
        <v/>
      </c>
      <c r="AH13" s="8" t="str">
        <f t="shared" si="6"/>
        <v/>
      </c>
      <c r="AI13" s="8" t="str">
        <f t="shared" si="7"/>
        <v/>
      </c>
      <c r="AJ13" s="8" t="str">
        <f t="shared" si="8"/>
        <v/>
      </c>
    </row>
    <row r="14" spans="1:37" x14ac:dyDescent="0.25">
      <c r="A14" s="3" t="s">
        <v>350</v>
      </c>
      <c r="B14" s="3" t="s">
        <v>548</v>
      </c>
      <c r="C14" s="3" t="s">
        <v>1048</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350</v>
      </c>
      <c r="B15" s="3" t="s">
        <v>698</v>
      </c>
      <c r="C15" s="3" t="s">
        <v>699</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350</v>
      </c>
      <c r="B16" s="3" t="s">
        <v>549</v>
      </c>
      <c r="C16" s="3" t="s">
        <v>1049</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350</v>
      </c>
      <c r="B17" s="3" t="s">
        <v>550</v>
      </c>
      <c r="C17" s="3" t="s">
        <v>1050</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350</v>
      </c>
      <c r="B18" s="3" t="s">
        <v>572</v>
      </c>
      <c r="C18" s="3" t="s">
        <v>1051</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350</v>
      </c>
      <c r="B19" s="3" t="s">
        <v>573</v>
      </c>
      <c r="C19" s="3" t="s">
        <v>1052</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350</v>
      </c>
      <c r="B20" s="3" t="s">
        <v>574</v>
      </c>
      <c r="C20" s="3" t="s">
        <v>1053</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372</v>
      </c>
      <c r="B21" s="3" t="s">
        <v>1054</v>
      </c>
      <c r="C21" s="3" t="s">
        <v>1055</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372</v>
      </c>
      <c r="B22" s="3" t="s">
        <v>1056</v>
      </c>
      <c r="C22" s="3" t="s">
        <v>1057</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372</v>
      </c>
      <c r="B23" s="3" t="s">
        <v>1058</v>
      </c>
      <c r="C23" s="3" t="s">
        <v>1059</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351</v>
      </c>
      <c r="B24" s="3" t="s">
        <v>1060</v>
      </c>
      <c r="C24" s="3" t="s">
        <v>551</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372</v>
      </c>
      <c r="B25" s="3" t="s">
        <v>1061</v>
      </c>
      <c r="C25" s="3" t="s">
        <v>1062</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351</v>
      </c>
      <c r="B26" s="3" t="s">
        <v>1063</v>
      </c>
      <c r="C26" s="3" t="s">
        <v>552</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372</v>
      </c>
      <c r="B27" s="3" t="s">
        <v>1064</v>
      </c>
      <c r="C27" s="3" t="s">
        <v>1065</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351</v>
      </c>
      <c r="B28" s="3" t="s">
        <v>1066</v>
      </c>
      <c r="C28" s="3" t="s">
        <v>700</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372</v>
      </c>
      <c r="B29" s="3" t="s">
        <v>1067</v>
      </c>
      <c r="C29" s="3" t="s">
        <v>1068</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350</v>
      </c>
      <c r="B30" s="3" t="s">
        <v>701</v>
      </c>
      <c r="C30" s="3" t="s">
        <v>1069</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350</v>
      </c>
      <c r="B31" s="3" t="s">
        <v>702</v>
      </c>
      <c r="C31" s="3" t="s">
        <v>1070</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350</v>
      </c>
      <c r="B32" s="3" t="s">
        <v>703</v>
      </c>
      <c r="C32" s="3" t="s">
        <v>1071</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350</v>
      </c>
      <c r="B33" s="3" t="s">
        <v>1072</v>
      </c>
      <c r="C33" s="3" t="s">
        <v>1073</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350</v>
      </c>
      <c r="B34" s="3" t="s">
        <v>704</v>
      </c>
      <c r="C34" s="3" t="s">
        <v>1074</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351</v>
      </c>
      <c r="B35" s="3" t="s">
        <v>1075</v>
      </c>
      <c r="C35" s="3" t="s">
        <v>553</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372</v>
      </c>
      <c r="B36" s="3" t="s">
        <v>1076</v>
      </c>
      <c r="C36" s="3" t="s">
        <v>1077</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350</v>
      </c>
      <c r="B37" s="3" t="s">
        <v>1078</v>
      </c>
      <c r="C37" s="3" t="s">
        <v>575</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372</v>
      </c>
      <c r="B38" s="3" t="s">
        <v>1079</v>
      </c>
      <c r="C38" s="3" t="s">
        <v>1080</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351</v>
      </c>
      <c r="B39" s="3" t="s">
        <v>1081</v>
      </c>
      <c r="C39" s="3" t="s">
        <v>554</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372</v>
      </c>
      <c r="B40" s="3" t="s">
        <v>1082</v>
      </c>
      <c r="C40" s="3" t="s">
        <v>1426</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372</v>
      </c>
      <c r="B41" s="3" t="s">
        <v>1083</v>
      </c>
      <c r="C41" s="3" t="s">
        <v>1427</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372</v>
      </c>
      <c r="B42" s="3" t="s">
        <v>1084</v>
      </c>
      <c r="C42" s="3" t="s">
        <v>1428</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372</v>
      </c>
      <c r="B43" s="3" t="s">
        <v>1085</v>
      </c>
      <c r="C43" s="3" t="s">
        <v>1429</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372</v>
      </c>
      <c r="B44" s="3" t="s">
        <v>1086</v>
      </c>
      <c r="C44" s="3" t="s">
        <v>1430</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372</v>
      </c>
      <c r="B45" s="3" t="s">
        <v>1087</v>
      </c>
      <c r="C45" s="3" t="s">
        <v>1431</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372</v>
      </c>
      <c r="B46" s="3" t="s">
        <v>1088</v>
      </c>
      <c r="C46" s="3" t="s">
        <v>1432</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350</v>
      </c>
      <c r="B47" s="3" t="s">
        <v>1089</v>
      </c>
      <c r="C47" s="3" t="s">
        <v>1090</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350</v>
      </c>
      <c r="B48" s="3" t="s">
        <v>1091</v>
      </c>
      <c r="C48" s="3" t="s">
        <v>1092</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350</v>
      </c>
      <c r="B49" s="3" t="s">
        <v>1093</v>
      </c>
      <c r="C49" s="3" t="s">
        <v>1094</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350</v>
      </c>
      <c r="B50" s="3" t="s">
        <v>1095</v>
      </c>
      <c r="C50" s="3" t="s">
        <v>1096</v>
      </c>
    </row>
    <row r="51" spans="1:36" x14ac:dyDescent="0.25">
      <c r="A51" s="3" t="s">
        <v>351</v>
      </c>
      <c r="B51" s="3" t="s">
        <v>705</v>
      </c>
      <c r="C51" s="3" t="s">
        <v>706</v>
      </c>
    </row>
    <row r="52" spans="1:36" x14ac:dyDescent="0.25">
      <c r="A52" s="3" t="s">
        <v>372</v>
      </c>
      <c r="B52" s="3" t="s">
        <v>733</v>
      </c>
      <c r="C52" s="3" t="s">
        <v>1097</v>
      </c>
    </row>
    <row r="53" spans="1:36" x14ac:dyDescent="0.25">
      <c r="A53" s="3" t="s">
        <v>350</v>
      </c>
      <c r="B53" s="3" t="s">
        <v>707</v>
      </c>
      <c r="C53" s="3" t="s">
        <v>1098</v>
      </c>
    </row>
    <row r="54" spans="1:36" x14ac:dyDescent="0.25">
      <c r="A54" s="3" t="s">
        <v>372</v>
      </c>
      <c r="B54" s="3" t="s">
        <v>576</v>
      </c>
      <c r="C54" s="3" t="s">
        <v>1099</v>
      </c>
    </row>
    <row r="55" spans="1:36" x14ac:dyDescent="0.25">
      <c r="A55" s="3" t="s">
        <v>372</v>
      </c>
      <c r="B55" s="3" t="s">
        <v>555</v>
      </c>
      <c r="C55" s="3" t="s">
        <v>1100</v>
      </c>
    </row>
    <row r="56" spans="1:36" x14ac:dyDescent="0.25">
      <c r="A56" s="3" t="s">
        <v>350</v>
      </c>
      <c r="B56" s="3" t="s">
        <v>577</v>
      </c>
      <c r="C56" s="3" t="s">
        <v>578</v>
      </c>
    </row>
    <row r="57" spans="1:36" x14ac:dyDescent="0.25">
      <c r="A57" s="3" t="s">
        <v>350</v>
      </c>
      <c r="B57" s="3" t="s">
        <v>579</v>
      </c>
      <c r="C57" s="3" t="s">
        <v>580</v>
      </c>
    </row>
    <row r="58" spans="1:36" x14ac:dyDescent="0.25">
      <c r="A58" s="3" t="s">
        <v>350</v>
      </c>
      <c r="B58" s="3" t="s">
        <v>581</v>
      </c>
      <c r="C58" s="3" t="s">
        <v>1101</v>
      </c>
    </row>
    <row r="59" spans="1:36" x14ac:dyDescent="0.25">
      <c r="A59" s="3" t="s">
        <v>350</v>
      </c>
      <c r="B59" s="3" t="s">
        <v>582</v>
      </c>
      <c r="C59" s="3" t="s">
        <v>583</v>
      </c>
    </row>
    <row r="60" spans="1:36" x14ac:dyDescent="0.25">
      <c r="A60" s="3" t="s">
        <v>350</v>
      </c>
      <c r="B60" s="3" t="s">
        <v>584</v>
      </c>
      <c r="C60" s="3" t="s">
        <v>708</v>
      </c>
    </row>
    <row r="61" spans="1:36" x14ac:dyDescent="0.25">
      <c r="A61" s="3" t="s">
        <v>585</v>
      </c>
      <c r="B61" s="3" t="s">
        <v>586</v>
      </c>
      <c r="C61" s="3" t="s">
        <v>457</v>
      </c>
    </row>
    <row r="62" spans="1:36" x14ac:dyDescent="0.25">
      <c r="A62" s="3" t="s">
        <v>350</v>
      </c>
      <c r="B62" s="3" t="s">
        <v>1930</v>
      </c>
      <c r="C62" s="3" t="s">
        <v>1972</v>
      </c>
    </row>
    <row r="63" spans="1:36" x14ac:dyDescent="0.25">
      <c r="A63" s="3" t="s">
        <v>372</v>
      </c>
      <c r="B63" s="3" t="s">
        <v>1973</v>
      </c>
      <c r="C63" s="3" t="s">
        <v>1974</v>
      </c>
    </row>
    <row r="64" spans="1:36" x14ac:dyDescent="0.25">
      <c r="A64" s="3" t="s">
        <v>350</v>
      </c>
      <c r="B64" s="3" t="s">
        <v>587</v>
      </c>
      <c r="C64" s="3" t="s">
        <v>1102</v>
      </c>
    </row>
    <row r="65" spans="1:3" x14ac:dyDescent="0.25">
      <c r="A65" s="3" t="s">
        <v>588</v>
      </c>
      <c r="B65" s="3" t="s">
        <v>589</v>
      </c>
      <c r="C65" s="3" t="s">
        <v>590</v>
      </c>
    </row>
    <row r="66" spans="1:3" x14ac:dyDescent="0.25">
      <c r="A66" s="3" t="s">
        <v>372</v>
      </c>
      <c r="B66" s="3" t="s">
        <v>657</v>
      </c>
      <c r="C66" s="3" t="s">
        <v>1103</v>
      </c>
    </row>
    <row r="67" spans="1:3" x14ac:dyDescent="0.25">
      <c r="A67" s="3" t="s">
        <v>350</v>
      </c>
      <c r="B67" s="3" t="s">
        <v>591</v>
      </c>
      <c r="C67" s="3" t="s">
        <v>592</v>
      </c>
    </row>
    <row r="68" spans="1:3" x14ac:dyDescent="0.25">
      <c r="A68" s="3" t="s">
        <v>350</v>
      </c>
      <c r="B68" s="3" t="s">
        <v>370</v>
      </c>
      <c r="C68" s="3" t="s">
        <v>709</v>
      </c>
    </row>
    <row r="69" spans="1:3" x14ac:dyDescent="0.25">
      <c r="A69" s="3" t="s">
        <v>352</v>
      </c>
      <c r="B69" s="3" t="s">
        <v>1433</v>
      </c>
      <c r="C69" s="3" t="s">
        <v>1931</v>
      </c>
    </row>
  </sheetData>
  <mergeCells count="4">
    <mergeCell ref="A1:C1"/>
    <mergeCell ref="E1:K1"/>
    <mergeCell ref="P1:V1"/>
    <mergeCell ref="AA1:AG1"/>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90FA59-2D91-452C-89AF-E300F94E61AA}">
  <sheetPr codeName="Sheet15"/>
  <dimension ref="A1:AK50"/>
  <sheetViews>
    <sheetView zoomScale="75" zoomScaleNormal="75" workbookViewId="0">
      <pane ySplit="49" topLeftCell="A56" activePane="bottomLeft" state="frozen"/>
      <selection pane="bottomLeft" sqref="A1:C55"/>
    </sheetView>
  </sheetViews>
  <sheetFormatPr defaultRowHeight="15" x14ac:dyDescent="0.25"/>
  <cols>
    <col min="1" max="1" width="17.85546875" style="3" bestFit="1" customWidth="1"/>
    <col min="2"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24" t="str" cm="1">
        <f t="array" aca="1" ref="A1" ca="1">IFERROR(MID(CELL("filename",$A$1),FIND("]",CELL("filename",$A$1))+1,99),"SXX")</f>
        <v>S05</v>
      </c>
      <c r="B1" s="24"/>
      <c r="C1" s="24"/>
      <c r="E1" s="25" t="str" cm="1">
        <f t="array" aca="1" ref="E1" ca="1">IFERROR(MID(CELL("filename",$A$1),FIND("]",CELL("filename",$A$1))+1,99),"SXX")&amp;" MATERIALS (USAGE + STANDALONE)"</f>
        <v>S05 MATERIALS (USAGE + STANDALONE)</v>
      </c>
      <c r="F1" s="25"/>
      <c r="G1" s="25"/>
      <c r="H1" s="25"/>
      <c r="I1" s="25"/>
      <c r="J1" s="25"/>
      <c r="K1" s="25"/>
      <c r="L1" s="13"/>
      <c r="M1" s="13"/>
      <c r="N1" s="19">
        <f>SUM(N3:N49)</f>
        <v>3586.95</v>
      </c>
      <c r="P1" s="25" t="str" cm="1">
        <f t="array" aca="1" ref="P1" ca="1">IFERROR(MID(CELL("filename",$A$1),FIND("]",CELL("filename",$A$1))+1,99),"SXX")&amp;" LABOUR (USAGE + STANDALONE)"</f>
        <v>S05 LABOUR (USAGE + STANDALONE)</v>
      </c>
      <c r="Q1" s="25"/>
      <c r="R1" s="25"/>
      <c r="S1" s="25"/>
      <c r="T1" s="25"/>
      <c r="U1" s="25"/>
      <c r="V1" s="25"/>
      <c r="Y1" s="19">
        <f>SUM(Y3:Y49)</f>
        <v>3172.5</v>
      </c>
      <c r="AA1" s="26" t="str" cm="1">
        <f t="array" aca="1" ref="AA1" ca="1">IFERROR(MID(CELL("filename",$A$1),FIND("]",CELL("filename",$A$1))+1,99),"SXX")&amp;" RENTAL / SERVICE (USAGE + STANDALONE)"</f>
        <v>S05 RENTAL / SERVICE (USAGE + STANDALONE)</v>
      </c>
      <c r="AB1" s="26"/>
      <c r="AC1" s="26"/>
      <c r="AD1" s="26"/>
      <c r="AE1" s="26"/>
      <c r="AF1" s="26"/>
      <c r="AG1" s="26"/>
      <c r="AH1" s="6"/>
      <c r="AI1" s="6"/>
      <c r="AJ1" s="19">
        <f>SUM(AJ3:AJ49)</f>
        <v>900</v>
      </c>
    </row>
    <row r="2" spans="1:37" s="2" customFormat="1" x14ac:dyDescent="0.25">
      <c r="A2" s="4" t="s">
        <v>0</v>
      </c>
      <c r="B2" s="4" t="s">
        <v>3</v>
      </c>
      <c r="C2" s="4" t="s">
        <v>5</v>
      </c>
      <c r="D2" s="1"/>
      <c r="E2" s="2" t="s">
        <v>5</v>
      </c>
      <c r="F2" s="2" t="s">
        <v>0</v>
      </c>
      <c r="G2" s="2" t="s">
        <v>3</v>
      </c>
      <c r="H2" s="2" t="s">
        <v>1</v>
      </c>
      <c r="I2" s="2" t="s">
        <v>12</v>
      </c>
      <c r="J2" s="2" t="s">
        <v>4</v>
      </c>
      <c r="K2" s="2" t="s">
        <v>1725</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3</v>
      </c>
      <c r="AD2" s="2" t="s">
        <v>1</v>
      </c>
      <c r="AE2" s="2" t="s">
        <v>12</v>
      </c>
      <c r="AF2" s="2" t="s">
        <v>4</v>
      </c>
      <c r="AG2" s="2" t="s">
        <v>17</v>
      </c>
      <c r="AH2" s="2" t="s">
        <v>13</v>
      </c>
      <c r="AI2" s="2" t="s">
        <v>14</v>
      </c>
      <c r="AJ2" s="2" t="s">
        <v>15</v>
      </c>
      <c r="AK2" s="1"/>
    </row>
    <row r="3" spans="1:37" x14ac:dyDescent="0.25">
      <c r="A3" s="3" t="s">
        <v>353</v>
      </c>
      <c r="B3" s="3" t="s">
        <v>598</v>
      </c>
      <c r="C3" s="3" t="s">
        <v>599</v>
      </c>
      <c r="E3" t="s">
        <v>1948</v>
      </c>
      <c r="F3" t="s">
        <v>721</v>
      </c>
      <c r="G3" t="s">
        <v>722</v>
      </c>
      <c r="H3" t="s">
        <v>562</v>
      </c>
      <c r="I3">
        <v>0.45</v>
      </c>
      <c r="J3" s="22">
        <v>0</v>
      </c>
      <c r="K3">
        <v>340</v>
      </c>
      <c r="L3" s="8">
        <f t="shared" ref="L3:L49" si="0">IF($G3="","",$I3*(1+IF($J3="",0,$J3)))</f>
        <v>0.45</v>
      </c>
      <c r="M3" s="8">
        <f t="shared" ref="M3:M49" si="1">IF($G3="","",$L3)</f>
        <v>0.45</v>
      </c>
      <c r="N3" s="8">
        <f t="shared" ref="N3:N49" si="2">IF($G3="","",IF($K3="","",$M3*$K3))</f>
        <v>153</v>
      </c>
      <c r="P3" t="s">
        <v>1977</v>
      </c>
      <c r="Q3" t="s">
        <v>672</v>
      </c>
      <c r="R3" t="s">
        <v>327</v>
      </c>
      <c r="S3" t="s">
        <v>33</v>
      </c>
      <c r="T3">
        <v>141</v>
      </c>
      <c r="U3" s="22">
        <v>0</v>
      </c>
      <c r="V3">
        <v>22.5</v>
      </c>
      <c r="W3" s="8">
        <f>IF($R3="","",$T3*(1+IF($U3="",0,$U3)))</f>
        <v>141</v>
      </c>
      <c r="X3" s="8">
        <f>IF($R3="","",$W3)</f>
        <v>141</v>
      </c>
      <c r="Y3" s="8">
        <f>IF($R3="","",IF($V3="","",$X3*$V3))</f>
        <v>3172.5</v>
      </c>
      <c r="AA3" s="6" t="s">
        <v>1955</v>
      </c>
      <c r="AB3" t="s">
        <v>673</v>
      </c>
      <c r="AC3" t="s">
        <v>596</v>
      </c>
      <c r="AD3" t="s">
        <v>597</v>
      </c>
      <c r="AE3">
        <v>1</v>
      </c>
      <c r="AF3">
        <v>0</v>
      </c>
      <c r="AG3">
        <v>900</v>
      </c>
      <c r="AH3" s="8">
        <f>IF($AC3="","",$AE3*(1+IF($AF3="",0,$AF3)))</f>
        <v>1</v>
      </c>
      <c r="AI3" s="8">
        <f>IF($AC3="","",$AH3)</f>
        <v>1</v>
      </c>
      <c r="AJ3" s="8">
        <f>IF($AC3="","",IF($AG3="","",$AI3*$AG3))</f>
        <v>900</v>
      </c>
    </row>
    <row r="4" spans="1:37" x14ac:dyDescent="0.25">
      <c r="A4" s="3" t="s">
        <v>354</v>
      </c>
      <c r="B4" s="3" t="s">
        <v>600</v>
      </c>
      <c r="C4" s="3" t="s">
        <v>1942</v>
      </c>
      <c r="E4" t="s">
        <v>1949</v>
      </c>
      <c r="F4" t="s">
        <v>664</v>
      </c>
      <c r="G4" t="s">
        <v>722</v>
      </c>
      <c r="H4" t="s">
        <v>562</v>
      </c>
      <c r="I4">
        <v>4.0999999999999996</v>
      </c>
      <c r="J4" s="22">
        <v>0</v>
      </c>
      <c r="K4">
        <v>340</v>
      </c>
      <c r="L4" s="8">
        <f t="shared" si="0"/>
        <v>4.0999999999999996</v>
      </c>
      <c r="M4" s="8">
        <f t="shared" si="1"/>
        <v>4.0999999999999996</v>
      </c>
      <c r="N4" s="8">
        <f t="shared" si="2"/>
        <v>1393.9999999999998</v>
      </c>
      <c r="U4" s="22"/>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601</v>
      </c>
      <c r="B5" s="3" t="s">
        <v>602</v>
      </c>
      <c r="C5" s="3" t="s">
        <v>603</v>
      </c>
      <c r="E5" t="s">
        <v>1950</v>
      </c>
      <c r="F5" t="s">
        <v>665</v>
      </c>
      <c r="G5" t="s">
        <v>666</v>
      </c>
      <c r="H5" t="s">
        <v>667</v>
      </c>
      <c r="I5">
        <v>28</v>
      </c>
      <c r="J5" s="22">
        <v>0.05</v>
      </c>
      <c r="K5">
        <v>28</v>
      </c>
      <c r="L5" s="8">
        <f t="shared" si="0"/>
        <v>29.400000000000002</v>
      </c>
      <c r="M5" s="8">
        <f t="shared" si="1"/>
        <v>29.400000000000002</v>
      </c>
      <c r="N5" s="8">
        <f t="shared" si="2"/>
        <v>823.2</v>
      </c>
      <c r="W5" s="8" t="str">
        <f t="shared" si="3"/>
        <v/>
      </c>
      <c r="X5" s="8" t="str">
        <f t="shared" si="4"/>
        <v/>
      </c>
      <c r="Y5" s="8" t="str">
        <f t="shared" si="5"/>
        <v/>
      </c>
      <c r="AH5" s="8" t="str">
        <f t="shared" si="6"/>
        <v/>
      </c>
      <c r="AI5" s="8" t="str">
        <f t="shared" si="7"/>
        <v/>
      </c>
      <c r="AJ5" s="8" t="str">
        <f t="shared" si="8"/>
        <v/>
      </c>
    </row>
    <row r="6" spans="1:37" x14ac:dyDescent="0.25">
      <c r="A6" s="3" t="s">
        <v>355</v>
      </c>
      <c r="B6" s="3" t="s">
        <v>604</v>
      </c>
      <c r="C6" s="3" t="s">
        <v>605</v>
      </c>
      <c r="E6" t="s">
        <v>1951</v>
      </c>
      <c r="F6" t="s">
        <v>665</v>
      </c>
      <c r="G6" t="s">
        <v>668</v>
      </c>
      <c r="H6" t="s">
        <v>667</v>
      </c>
      <c r="I6">
        <v>13</v>
      </c>
      <c r="J6">
        <v>0.05</v>
      </c>
      <c r="K6">
        <v>15</v>
      </c>
      <c r="L6" s="8">
        <f t="shared" si="0"/>
        <v>13.65</v>
      </c>
      <c r="M6" s="8">
        <f t="shared" si="1"/>
        <v>13.65</v>
      </c>
      <c r="N6" s="8">
        <f t="shared" si="2"/>
        <v>204.75</v>
      </c>
      <c r="W6" s="8" t="str">
        <f t="shared" si="3"/>
        <v/>
      </c>
      <c r="X6" s="8" t="str">
        <f t="shared" si="4"/>
        <v/>
      </c>
      <c r="Y6" s="8" t="str">
        <f t="shared" si="5"/>
        <v/>
      </c>
      <c r="AH6" s="8" t="str">
        <f t="shared" si="6"/>
        <v/>
      </c>
      <c r="AI6" s="8" t="str">
        <f t="shared" si="7"/>
        <v/>
      </c>
      <c r="AJ6" s="8" t="str">
        <f t="shared" si="8"/>
        <v/>
      </c>
    </row>
    <row r="7" spans="1:37" x14ac:dyDescent="0.25">
      <c r="A7" s="3" t="s">
        <v>355</v>
      </c>
      <c r="B7" s="3" t="s">
        <v>606</v>
      </c>
      <c r="C7" s="3" t="s">
        <v>607</v>
      </c>
      <c r="E7" t="s">
        <v>1952</v>
      </c>
      <c r="F7" t="s">
        <v>669</v>
      </c>
      <c r="G7" t="s">
        <v>670</v>
      </c>
      <c r="H7" t="s">
        <v>671</v>
      </c>
      <c r="I7">
        <v>12</v>
      </c>
      <c r="J7">
        <v>0.05</v>
      </c>
      <c r="K7">
        <v>45</v>
      </c>
      <c r="L7" s="8">
        <f t="shared" si="0"/>
        <v>12.600000000000001</v>
      </c>
      <c r="M7" s="8">
        <f t="shared" si="1"/>
        <v>12.600000000000001</v>
      </c>
      <c r="N7" s="8">
        <f t="shared" si="2"/>
        <v>567.00000000000011</v>
      </c>
      <c r="W7" s="8" t="str">
        <f t="shared" si="3"/>
        <v/>
      </c>
      <c r="X7" s="8" t="str">
        <f t="shared" si="4"/>
        <v/>
      </c>
      <c r="Y7" s="8" t="str">
        <f t="shared" si="5"/>
        <v/>
      </c>
      <c r="AH7" s="8" t="str">
        <f t="shared" si="6"/>
        <v/>
      </c>
      <c r="AI7" s="8" t="str">
        <f t="shared" si="7"/>
        <v/>
      </c>
      <c r="AJ7" s="8" t="str">
        <f t="shared" si="8"/>
        <v/>
      </c>
    </row>
    <row r="8" spans="1:37" x14ac:dyDescent="0.25">
      <c r="A8" s="3" t="s">
        <v>355</v>
      </c>
      <c r="B8" s="3" t="s">
        <v>608</v>
      </c>
      <c r="C8" s="3" t="s">
        <v>609</v>
      </c>
      <c r="E8" t="s">
        <v>1953</v>
      </c>
      <c r="F8" t="s">
        <v>669</v>
      </c>
      <c r="G8" t="s">
        <v>727</v>
      </c>
      <c r="H8" t="s">
        <v>728</v>
      </c>
      <c r="I8">
        <v>20</v>
      </c>
      <c r="J8">
        <v>0.05</v>
      </c>
      <c r="K8">
        <v>15</v>
      </c>
      <c r="L8" s="8">
        <f t="shared" si="0"/>
        <v>21</v>
      </c>
      <c r="M8" s="8">
        <f t="shared" si="1"/>
        <v>21</v>
      </c>
      <c r="N8" s="8">
        <f t="shared" si="2"/>
        <v>315</v>
      </c>
      <c r="W8" s="8" t="str">
        <f t="shared" si="3"/>
        <v/>
      </c>
      <c r="X8" s="8" t="str">
        <f t="shared" si="4"/>
        <v/>
      </c>
      <c r="Y8" s="8" t="str">
        <f t="shared" si="5"/>
        <v/>
      </c>
      <c r="AH8" s="8" t="str">
        <f t="shared" si="6"/>
        <v/>
      </c>
      <c r="AI8" s="8" t="str">
        <f t="shared" si="7"/>
        <v/>
      </c>
      <c r="AJ8" s="8" t="str">
        <f t="shared" si="8"/>
        <v/>
      </c>
    </row>
    <row r="9" spans="1:37" x14ac:dyDescent="0.25">
      <c r="A9" s="3" t="s">
        <v>355</v>
      </c>
      <c r="B9" s="3" t="s">
        <v>356</v>
      </c>
      <c r="C9" s="3" t="s">
        <v>610</v>
      </c>
      <c r="E9" t="s">
        <v>1954</v>
      </c>
      <c r="F9" t="s">
        <v>729</v>
      </c>
      <c r="G9" t="s">
        <v>719</v>
      </c>
      <c r="H9" t="s">
        <v>720</v>
      </c>
      <c r="I9">
        <v>1</v>
      </c>
      <c r="J9">
        <v>0</v>
      </c>
      <c r="K9">
        <v>130</v>
      </c>
      <c r="L9" s="8">
        <f t="shared" si="0"/>
        <v>1</v>
      </c>
      <c r="M9" s="8">
        <f t="shared" si="1"/>
        <v>1</v>
      </c>
      <c r="N9" s="8">
        <f t="shared" si="2"/>
        <v>130</v>
      </c>
      <c r="W9" s="8" t="str">
        <f t="shared" si="3"/>
        <v/>
      </c>
      <c r="X9" s="8" t="str">
        <f t="shared" si="4"/>
        <v/>
      </c>
      <c r="Y9" s="8" t="str">
        <f t="shared" si="5"/>
        <v/>
      </c>
      <c r="AH9" s="8" t="str">
        <f t="shared" si="6"/>
        <v/>
      </c>
      <c r="AI9" s="8" t="str">
        <f t="shared" si="7"/>
        <v/>
      </c>
      <c r="AJ9" s="8" t="str">
        <f t="shared" si="8"/>
        <v/>
      </c>
    </row>
    <row r="10" spans="1:37" x14ac:dyDescent="0.25">
      <c r="A10" s="3" t="s">
        <v>355</v>
      </c>
      <c r="B10" s="3" t="s">
        <v>357</v>
      </c>
      <c r="C10" s="3" t="s">
        <v>611</v>
      </c>
      <c r="L10" s="8" t="str">
        <f t="shared" si="0"/>
        <v/>
      </c>
      <c r="M10" s="8" t="str">
        <f t="shared" si="1"/>
        <v/>
      </c>
      <c r="N10" s="8" t="str">
        <f t="shared" si="2"/>
        <v/>
      </c>
      <c r="W10" s="8" t="str">
        <f t="shared" si="3"/>
        <v/>
      </c>
      <c r="X10" s="8" t="str">
        <f t="shared" si="4"/>
        <v/>
      </c>
      <c r="Y10" s="8" t="str">
        <f t="shared" si="5"/>
        <v/>
      </c>
      <c r="AH10" s="8" t="str">
        <f t="shared" si="6"/>
        <v/>
      </c>
      <c r="AI10" s="8" t="str">
        <f t="shared" si="7"/>
        <v/>
      </c>
      <c r="AJ10" s="8" t="str">
        <f t="shared" si="8"/>
        <v/>
      </c>
    </row>
    <row r="11" spans="1:37" x14ac:dyDescent="0.25">
      <c r="A11" s="3" t="s">
        <v>355</v>
      </c>
      <c r="B11" s="3" t="s">
        <v>612</v>
      </c>
      <c r="C11" s="3" t="s">
        <v>613</v>
      </c>
      <c r="L11" s="8" t="str">
        <f t="shared" si="0"/>
        <v/>
      </c>
      <c r="M11" s="8" t="str">
        <f t="shared" si="1"/>
        <v/>
      </c>
      <c r="N11" s="8" t="str">
        <f t="shared" si="2"/>
        <v/>
      </c>
      <c r="W11" s="8" t="str">
        <f t="shared" si="3"/>
        <v/>
      </c>
      <c r="X11" s="8" t="str">
        <f t="shared" si="4"/>
        <v/>
      </c>
      <c r="Y11" s="8" t="str">
        <f t="shared" si="5"/>
        <v/>
      </c>
      <c r="AH11" s="8" t="str">
        <f t="shared" si="6"/>
        <v/>
      </c>
      <c r="AI11" s="8" t="str">
        <f t="shared" si="7"/>
        <v/>
      </c>
      <c r="AJ11" s="8" t="str">
        <f t="shared" si="8"/>
        <v/>
      </c>
    </row>
    <row r="12" spans="1:37" x14ac:dyDescent="0.25">
      <c r="A12" s="3" t="s">
        <v>355</v>
      </c>
      <c r="B12" s="3" t="s">
        <v>614</v>
      </c>
      <c r="C12" s="3" t="s">
        <v>615</v>
      </c>
      <c r="L12" s="8" t="str">
        <f t="shared" si="0"/>
        <v/>
      </c>
      <c r="M12" s="8" t="str">
        <f t="shared" si="1"/>
        <v/>
      </c>
      <c r="N12" s="8" t="str">
        <f t="shared" si="2"/>
        <v/>
      </c>
      <c r="W12" s="8" t="str">
        <f t="shared" si="3"/>
        <v/>
      </c>
      <c r="X12" s="8" t="str">
        <f t="shared" si="4"/>
        <v/>
      </c>
      <c r="Y12" s="8" t="str">
        <f t="shared" si="5"/>
        <v/>
      </c>
      <c r="AH12" s="8" t="str">
        <f t="shared" si="6"/>
        <v/>
      </c>
      <c r="AI12" s="8" t="str">
        <f t="shared" si="7"/>
        <v/>
      </c>
      <c r="AJ12" s="8" t="str">
        <f t="shared" si="8"/>
        <v/>
      </c>
    </row>
    <row r="13" spans="1:37" x14ac:dyDescent="0.25">
      <c r="A13" s="3" t="s">
        <v>355</v>
      </c>
      <c r="B13" s="3" t="s">
        <v>616</v>
      </c>
      <c r="C13" s="3" t="s">
        <v>617</v>
      </c>
      <c r="L13" s="8" t="str">
        <f t="shared" si="0"/>
        <v/>
      </c>
      <c r="M13" s="8" t="str">
        <f t="shared" si="1"/>
        <v/>
      </c>
      <c r="N13" s="8" t="str">
        <f t="shared" si="2"/>
        <v/>
      </c>
      <c r="W13" s="8" t="str">
        <f t="shared" si="3"/>
        <v/>
      </c>
      <c r="X13" s="8" t="str">
        <f t="shared" si="4"/>
        <v/>
      </c>
      <c r="Y13" s="8" t="str">
        <f t="shared" si="5"/>
        <v/>
      </c>
      <c r="AH13" s="8" t="str">
        <f t="shared" si="6"/>
        <v/>
      </c>
      <c r="AI13" s="8" t="str">
        <f t="shared" si="7"/>
        <v/>
      </c>
      <c r="AJ13" s="8" t="str">
        <f t="shared" si="8"/>
        <v/>
      </c>
    </row>
    <row r="14" spans="1:37" x14ac:dyDescent="0.25">
      <c r="A14" s="3" t="s">
        <v>355</v>
      </c>
      <c r="B14" s="3" t="s">
        <v>618</v>
      </c>
      <c r="C14" s="3" t="s">
        <v>619</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358</v>
      </c>
      <c r="B15" s="3" t="s">
        <v>620</v>
      </c>
      <c r="C15" s="3" t="s">
        <v>621</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358</v>
      </c>
      <c r="B16" s="3" t="s">
        <v>622</v>
      </c>
      <c r="C16" s="3" t="s">
        <v>623</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358</v>
      </c>
      <c r="B17" s="3" t="s">
        <v>624</v>
      </c>
      <c r="C17" s="3" t="s">
        <v>625</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358</v>
      </c>
      <c r="B18" s="3" t="s">
        <v>626</v>
      </c>
      <c r="C18" s="3" t="s">
        <v>627</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358</v>
      </c>
      <c r="B19" s="3" t="s">
        <v>628</v>
      </c>
      <c r="C19" s="3" t="s">
        <v>629</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355</v>
      </c>
      <c r="B20" s="3" t="s">
        <v>630</v>
      </c>
      <c r="C20" s="3" t="s">
        <v>631</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355</v>
      </c>
      <c r="B21" s="3" t="s">
        <v>710</v>
      </c>
      <c r="C21" s="3" t="s">
        <v>711</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355</v>
      </c>
      <c r="B22" s="3" t="s">
        <v>751</v>
      </c>
      <c r="C22" s="3" t="s">
        <v>752</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358</v>
      </c>
      <c r="B23" s="3" t="s">
        <v>712</v>
      </c>
      <c r="C23" s="3" t="s">
        <v>713</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358</v>
      </c>
      <c r="B24" s="3" t="s">
        <v>632</v>
      </c>
      <c r="C24" s="3" t="s">
        <v>633</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358</v>
      </c>
      <c r="B25" s="3" t="s">
        <v>634</v>
      </c>
      <c r="C25" s="3" t="s">
        <v>635</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358</v>
      </c>
      <c r="B26" s="3" t="s">
        <v>636</v>
      </c>
      <c r="C26" s="3" t="s">
        <v>1943</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358</v>
      </c>
      <c r="B27" s="3" t="s">
        <v>637</v>
      </c>
      <c r="C27" s="3" t="s">
        <v>1944</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638</v>
      </c>
      <c r="B28" s="3" t="s">
        <v>639</v>
      </c>
      <c r="C28" s="3" t="s">
        <v>850</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638</v>
      </c>
      <c r="B29" s="3" t="s">
        <v>640</v>
      </c>
      <c r="C29" s="3" t="s">
        <v>776</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638</v>
      </c>
      <c r="B30" s="3" t="s">
        <v>641</v>
      </c>
      <c r="C30" s="3" t="s">
        <v>777</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638</v>
      </c>
      <c r="B31" s="3" t="s">
        <v>642</v>
      </c>
      <c r="C31" s="3" t="s">
        <v>778</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638</v>
      </c>
      <c r="B32" s="3" t="s">
        <v>1945</v>
      </c>
      <c r="C32" s="3" t="s">
        <v>780</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358</v>
      </c>
      <c r="B33" s="3" t="s">
        <v>643</v>
      </c>
      <c r="C33" s="3" t="s">
        <v>644</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358</v>
      </c>
      <c r="B34" s="3" t="s">
        <v>645</v>
      </c>
      <c r="C34" s="3" t="s">
        <v>646</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358</v>
      </c>
      <c r="B35" s="3" t="s">
        <v>647</v>
      </c>
      <c r="C35" s="3" t="s">
        <v>648</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358</v>
      </c>
      <c r="B36" s="3" t="s">
        <v>649</v>
      </c>
      <c r="C36" s="3" t="s">
        <v>650</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358</v>
      </c>
      <c r="B37" s="3" t="s">
        <v>651</v>
      </c>
      <c r="C37" s="3" t="s">
        <v>652</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355</v>
      </c>
      <c r="B38" s="3" t="s">
        <v>653</v>
      </c>
      <c r="C38" s="3" t="s">
        <v>654</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655</v>
      </c>
      <c r="B39" s="3" t="s">
        <v>586</v>
      </c>
      <c r="C39" s="3" t="s">
        <v>457</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358</v>
      </c>
      <c r="B40" s="3" t="s">
        <v>1930</v>
      </c>
      <c r="C40" s="3" t="s">
        <v>1972</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355</v>
      </c>
      <c r="B41" s="3" t="s">
        <v>1973</v>
      </c>
      <c r="C41" s="3" t="s">
        <v>1976</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358</v>
      </c>
      <c r="B42" s="3" t="s">
        <v>587</v>
      </c>
      <c r="C42" s="3" t="s">
        <v>1946</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656</v>
      </c>
      <c r="B43" s="3" t="s">
        <v>589</v>
      </c>
      <c r="C43" s="3" t="s">
        <v>590</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355</v>
      </c>
      <c r="B44" s="3" t="s">
        <v>657</v>
      </c>
      <c r="C44" s="3" t="s">
        <v>658</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358</v>
      </c>
      <c r="B45" s="3" t="s">
        <v>659</v>
      </c>
      <c r="C45" s="3" t="s">
        <v>660</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358</v>
      </c>
      <c r="B46" s="3" t="s">
        <v>661</v>
      </c>
      <c r="C46" s="3" t="s">
        <v>662</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638</v>
      </c>
      <c r="B47" s="3" t="s">
        <v>705</v>
      </c>
      <c r="C47" s="3" t="s">
        <v>706</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358</v>
      </c>
      <c r="B48" s="3" t="s">
        <v>707</v>
      </c>
      <c r="C48" s="3" t="s">
        <v>714</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358</v>
      </c>
      <c r="B49" s="3" t="s">
        <v>370</v>
      </c>
      <c r="C49" s="3" t="s">
        <v>663</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359</v>
      </c>
      <c r="B50" s="3" t="s">
        <v>593</v>
      </c>
      <c r="C50" s="3" t="s">
        <v>1947</v>
      </c>
    </row>
  </sheetData>
  <mergeCells count="4">
    <mergeCell ref="A1:C1"/>
    <mergeCell ref="E1:K1"/>
    <mergeCell ref="P1:V1"/>
    <mergeCell ref="AA1:AG1"/>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BCA8B7-1711-45F5-AD17-FB0D0E79F65F}">
  <sheetPr codeName="Sheet14"/>
  <dimension ref="A1:AK51"/>
  <sheetViews>
    <sheetView zoomScale="75" zoomScaleNormal="75" workbookViewId="0">
      <pane ySplit="49" topLeftCell="A52" activePane="bottomLeft" state="frozen"/>
      <selection pane="bottomLeft" sqref="A1:C51"/>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24" t="str" cm="1">
        <f t="array" aca="1" ref="A1" ca="1">IFERROR(MID(CELL("filename",$A$1),FIND("]",CELL("filename",$A$1))+1,99),"SXX")</f>
        <v>S06</v>
      </c>
      <c r="B1" s="24"/>
      <c r="C1" s="24"/>
      <c r="E1" s="25" t="str" cm="1">
        <f t="array" aca="1" ref="E1" ca="1">IFERROR(MID(CELL("filename",$A$1),FIND("]",CELL("filename",$A$1))+1,99),"SXX")&amp;" MATERIALS (USAGE + STANDALONE)"</f>
        <v>S06 MATERIALS (USAGE + STANDALONE)</v>
      </c>
      <c r="F1" s="25"/>
      <c r="G1" s="25"/>
      <c r="H1" s="25"/>
      <c r="I1" s="25"/>
      <c r="J1" s="25"/>
      <c r="K1" s="25"/>
      <c r="L1" s="13"/>
      <c r="M1" s="13"/>
      <c r="N1" s="19">
        <f>SUM(N3:N49)</f>
        <v>2692.75</v>
      </c>
      <c r="P1" s="25" t="str" cm="1">
        <f t="array" aca="1" ref="P1" ca="1">IFERROR(MID(CELL("filename",$A$1),FIND("]",CELL("filename",$A$1))+1,99),"SXX")&amp;" LABOUR (USAGE + STANDALONE)"</f>
        <v>S06 LABOUR (USAGE + STANDALONE)</v>
      </c>
      <c r="Q1" s="25"/>
      <c r="R1" s="25"/>
      <c r="S1" s="25"/>
      <c r="T1" s="25"/>
      <c r="U1" s="25"/>
      <c r="V1" s="25"/>
      <c r="Y1" s="19">
        <f>SUM(Y3:Y49)</f>
        <v>2475</v>
      </c>
      <c r="AA1" s="26" t="str" cm="1">
        <f t="array" aca="1" ref="AA1" ca="1">IFERROR(MID(CELL("filename",$A$1),FIND("]",CELL("filename",$A$1))+1,99),"SXX")&amp;" RENTAL / SERVICE (USAGE + STANDALONE)"</f>
        <v>S06 RENTAL / SERVICE (USAGE + STANDALONE)</v>
      </c>
      <c r="AB1" s="26"/>
      <c r="AC1" s="26"/>
      <c r="AD1" s="26"/>
      <c r="AE1" s="26"/>
      <c r="AF1" s="26"/>
      <c r="AG1" s="26"/>
      <c r="AH1" s="6"/>
      <c r="AI1" s="6"/>
      <c r="AJ1" s="19">
        <f>SUM(AJ3:AJ49)</f>
        <v>0</v>
      </c>
    </row>
    <row r="2" spans="1:37" s="2" customFormat="1" x14ac:dyDescent="0.25">
      <c r="A2" s="4" t="s">
        <v>0</v>
      </c>
      <c r="B2" s="4" t="s">
        <v>3</v>
      </c>
      <c r="C2" s="4" t="s">
        <v>5</v>
      </c>
      <c r="D2" s="1"/>
      <c r="E2" s="2" t="s">
        <v>5</v>
      </c>
      <c r="F2" s="2" t="s">
        <v>0</v>
      </c>
      <c r="G2" s="2" t="s">
        <v>3</v>
      </c>
      <c r="H2" s="2" t="s">
        <v>1</v>
      </c>
      <c r="I2" s="2" t="s">
        <v>12</v>
      </c>
      <c r="J2" s="2" t="s">
        <v>4</v>
      </c>
      <c r="K2" s="2" t="s">
        <v>1725</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360</v>
      </c>
      <c r="B3" s="3" t="s">
        <v>803</v>
      </c>
      <c r="C3" s="3" t="s">
        <v>804</v>
      </c>
      <c r="E3" t="s">
        <v>1958</v>
      </c>
      <c r="F3" t="s">
        <v>870</v>
      </c>
      <c r="G3" t="s">
        <v>722</v>
      </c>
      <c r="H3" t="s">
        <v>562</v>
      </c>
      <c r="I3">
        <v>1.5</v>
      </c>
      <c r="J3" s="22">
        <v>0</v>
      </c>
      <c r="K3">
        <v>340</v>
      </c>
      <c r="L3" s="8">
        <f t="shared" ref="L3:L49" si="0">IF($G3="","",$I3*(1+IF($J3="",0,$J3)))</f>
        <v>1.5</v>
      </c>
      <c r="M3" s="8">
        <f t="shared" ref="M3:M49" si="1">IF($G3="","",$L3)</f>
        <v>1.5</v>
      </c>
      <c r="N3" s="8">
        <f t="shared" ref="N3:N49" si="2">IF($G3="","",IF($K3="","",$M3*$K3))</f>
        <v>510</v>
      </c>
      <c r="P3" t="s">
        <v>1980</v>
      </c>
      <c r="Q3" t="s">
        <v>874</v>
      </c>
      <c r="R3" t="s">
        <v>327</v>
      </c>
      <c r="S3" t="s">
        <v>33</v>
      </c>
      <c r="T3">
        <v>110</v>
      </c>
      <c r="U3" s="22">
        <v>0</v>
      </c>
      <c r="V3">
        <v>22.5</v>
      </c>
      <c r="W3" s="8">
        <f>IF($R3="","",$T3*(1+IF($U3="",0,$U3)))</f>
        <v>110</v>
      </c>
      <c r="X3" s="8">
        <f>IF($R3="","",$W3)</f>
        <v>110</v>
      </c>
      <c r="Y3" s="8">
        <f>IF($R3="","",IF($V3="","",$X3*$V3))</f>
        <v>2475</v>
      </c>
      <c r="AH3" s="8" t="str">
        <f>IF($AC3="","",$AE3*(1+IF($AF3="",0,$AF3)))</f>
        <v/>
      </c>
      <c r="AI3" s="8" t="str">
        <f>IF($AC3="","",$AH3)</f>
        <v/>
      </c>
      <c r="AJ3" s="8" t="str">
        <f>IF($AC3="","",IF($AG3="","",$AI3*$AG3))</f>
        <v/>
      </c>
    </row>
    <row r="4" spans="1:37" x14ac:dyDescent="0.25">
      <c r="A4" s="3" t="s">
        <v>361</v>
      </c>
      <c r="B4" s="3" t="s">
        <v>805</v>
      </c>
      <c r="C4" s="3" t="s">
        <v>806</v>
      </c>
      <c r="E4" t="s">
        <v>1959</v>
      </c>
      <c r="F4" t="s">
        <v>1960</v>
      </c>
      <c r="G4" t="s">
        <v>666</v>
      </c>
      <c r="H4" t="s">
        <v>667</v>
      </c>
      <c r="I4">
        <v>12</v>
      </c>
      <c r="J4" s="22">
        <v>0.05</v>
      </c>
      <c r="K4">
        <v>28</v>
      </c>
      <c r="L4" s="8">
        <f t="shared" si="0"/>
        <v>12.600000000000001</v>
      </c>
      <c r="M4" s="8">
        <f t="shared" si="1"/>
        <v>12.600000000000001</v>
      </c>
      <c r="N4" s="8">
        <f t="shared" si="2"/>
        <v>352.80000000000007</v>
      </c>
      <c r="U4" s="22"/>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807</v>
      </c>
      <c r="B5" s="3" t="s">
        <v>808</v>
      </c>
      <c r="C5" s="3" t="s">
        <v>809</v>
      </c>
      <c r="E5" t="s">
        <v>1961</v>
      </c>
      <c r="F5" t="s">
        <v>1960</v>
      </c>
      <c r="G5" t="s">
        <v>871</v>
      </c>
      <c r="H5" t="s">
        <v>667</v>
      </c>
      <c r="I5">
        <v>17</v>
      </c>
      <c r="J5" s="22">
        <v>0.05</v>
      </c>
      <c r="K5">
        <v>22</v>
      </c>
      <c r="L5" s="8">
        <f t="shared" si="0"/>
        <v>17.850000000000001</v>
      </c>
      <c r="M5" s="8">
        <f t="shared" si="1"/>
        <v>17.850000000000001</v>
      </c>
      <c r="N5" s="8">
        <f t="shared" si="2"/>
        <v>392.70000000000005</v>
      </c>
      <c r="W5" s="8" t="str">
        <f t="shared" si="3"/>
        <v/>
      </c>
      <c r="X5" s="8" t="str">
        <f t="shared" si="4"/>
        <v/>
      </c>
      <c r="Y5" s="8" t="str">
        <f t="shared" si="5"/>
        <v/>
      </c>
      <c r="AH5" s="8" t="str">
        <f t="shared" si="6"/>
        <v/>
      </c>
      <c r="AI5" s="8" t="str">
        <f t="shared" si="7"/>
        <v/>
      </c>
      <c r="AJ5" s="8" t="str">
        <f t="shared" si="8"/>
        <v/>
      </c>
    </row>
    <row r="6" spans="1:37" x14ac:dyDescent="0.25">
      <c r="A6" s="3" t="s">
        <v>336</v>
      </c>
      <c r="B6" s="3" t="s">
        <v>810</v>
      </c>
      <c r="C6" s="3" t="s">
        <v>811</v>
      </c>
      <c r="E6" t="s">
        <v>1962</v>
      </c>
      <c r="F6" t="s">
        <v>1960</v>
      </c>
      <c r="G6" t="s">
        <v>668</v>
      </c>
      <c r="H6" t="s">
        <v>667</v>
      </c>
      <c r="I6">
        <v>17</v>
      </c>
      <c r="J6">
        <v>0.05</v>
      </c>
      <c r="K6">
        <v>15</v>
      </c>
      <c r="L6" s="8">
        <f t="shared" si="0"/>
        <v>17.850000000000001</v>
      </c>
      <c r="M6" s="8">
        <f t="shared" si="1"/>
        <v>17.850000000000001</v>
      </c>
      <c r="N6" s="8">
        <f t="shared" si="2"/>
        <v>267.75</v>
      </c>
      <c r="W6" s="8" t="str">
        <f t="shared" si="3"/>
        <v/>
      </c>
      <c r="X6" s="8" t="str">
        <f t="shared" si="4"/>
        <v/>
      </c>
      <c r="Y6" s="8" t="str">
        <f t="shared" si="5"/>
        <v/>
      </c>
      <c r="AH6" s="8" t="str">
        <f t="shared" si="6"/>
        <v/>
      </c>
      <c r="AI6" s="8" t="str">
        <f t="shared" si="7"/>
        <v/>
      </c>
      <c r="AJ6" s="8" t="str">
        <f t="shared" si="8"/>
        <v/>
      </c>
    </row>
    <row r="7" spans="1:37" x14ac:dyDescent="0.25">
      <c r="A7" s="3" t="s">
        <v>336</v>
      </c>
      <c r="B7" s="3" t="s">
        <v>812</v>
      </c>
      <c r="C7" s="3" t="s">
        <v>813</v>
      </c>
      <c r="E7" t="s">
        <v>1963</v>
      </c>
      <c r="F7" t="s">
        <v>872</v>
      </c>
      <c r="G7" t="s">
        <v>670</v>
      </c>
      <c r="H7" t="s">
        <v>671</v>
      </c>
      <c r="I7">
        <v>14</v>
      </c>
      <c r="J7">
        <v>0.05</v>
      </c>
      <c r="K7">
        <v>45</v>
      </c>
      <c r="L7" s="8">
        <f t="shared" si="0"/>
        <v>14.700000000000001</v>
      </c>
      <c r="M7" s="8">
        <f t="shared" si="1"/>
        <v>14.700000000000001</v>
      </c>
      <c r="N7" s="8">
        <f t="shared" si="2"/>
        <v>661.5</v>
      </c>
      <c r="W7" s="8" t="str">
        <f t="shared" si="3"/>
        <v/>
      </c>
      <c r="X7" s="8" t="str">
        <f t="shared" si="4"/>
        <v/>
      </c>
      <c r="Y7" s="8" t="str">
        <f t="shared" si="5"/>
        <v/>
      </c>
      <c r="AH7" s="8" t="str">
        <f t="shared" si="6"/>
        <v/>
      </c>
      <c r="AI7" s="8" t="str">
        <f t="shared" si="7"/>
        <v/>
      </c>
      <c r="AJ7" s="8" t="str">
        <f t="shared" si="8"/>
        <v/>
      </c>
    </row>
    <row r="8" spans="1:37" x14ac:dyDescent="0.25">
      <c r="A8" s="3" t="s">
        <v>336</v>
      </c>
      <c r="B8" s="3" t="s">
        <v>814</v>
      </c>
      <c r="C8" s="3" t="s">
        <v>815</v>
      </c>
      <c r="E8" t="s">
        <v>1964</v>
      </c>
      <c r="F8" t="s">
        <v>872</v>
      </c>
      <c r="G8" t="s">
        <v>727</v>
      </c>
      <c r="H8" t="s">
        <v>728</v>
      </c>
      <c r="I8">
        <v>24</v>
      </c>
      <c r="J8">
        <v>0.05</v>
      </c>
      <c r="K8">
        <v>15</v>
      </c>
      <c r="L8" s="8">
        <f t="shared" si="0"/>
        <v>25.200000000000003</v>
      </c>
      <c r="M8" s="8">
        <f t="shared" si="1"/>
        <v>25.200000000000003</v>
      </c>
      <c r="N8" s="8">
        <f t="shared" si="2"/>
        <v>378.00000000000006</v>
      </c>
      <c r="W8" s="8" t="str">
        <f t="shared" si="3"/>
        <v/>
      </c>
      <c r="X8" s="8" t="str">
        <f t="shared" si="4"/>
        <v/>
      </c>
      <c r="Y8" s="8" t="str">
        <f t="shared" si="5"/>
        <v/>
      </c>
      <c r="AH8" s="8" t="str">
        <f t="shared" si="6"/>
        <v/>
      </c>
      <c r="AI8" s="8" t="str">
        <f t="shared" si="7"/>
        <v/>
      </c>
      <c r="AJ8" s="8" t="str">
        <f t="shared" si="8"/>
        <v/>
      </c>
    </row>
    <row r="9" spans="1:37" x14ac:dyDescent="0.25">
      <c r="A9" s="3" t="s">
        <v>336</v>
      </c>
      <c r="B9" s="3" t="s">
        <v>362</v>
      </c>
      <c r="C9" s="3" t="s">
        <v>816</v>
      </c>
      <c r="E9" t="s">
        <v>1965</v>
      </c>
      <c r="F9" t="s">
        <v>873</v>
      </c>
      <c r="G9" t="s">
        <v>719</v>
      </c>
      <c r="H9" t="s">
        <v>720</v>
      </c>
      <c r="I9">
        <v>1</v>
      </c>
      <c r="J9">
        <v>0</v>
      </c>
      <c r="K9">
        <v>130</v>
      </c>
      <c r="L9" s="8">
        <f t="shared" si="0"/>
        <v>1</v>
      </c>
      <c r="M9" s="8">
        <f t="shared" si="1"/>
        <v>1</v>
      </c>
      <c r="N9" s="8">
        <f t="shared" si="2"/>
        <v>130</v>
      </c>
      <c r="W9" s="8" t="str">
        <f t="shared" si="3"/>
        <v/>
      </c>
      <c r="X9" s="8" t="str">
        <f t="shared" si="4"/>
        <v/>
      </c>
      <c r="Y9" s="8" t="str">
        <f t="shared" si="5"/>
        <v/>
      </c>
      <c r="AH9" s="8" t="str">
        <f t="shared" si="6"/>
        <v/>
      </c>
      <c r="AI9" s="8" t="str">
        <f t="shared" si="7"/>
        <v/>
      </c>
      <c r="AJ9" s="8" t="str">
        <f t="shared" si="8"/>
        <v/>
      </c>
    </row>
    <row r="10" spans="1:37" x14ac:dyDescent="0.25">
      <c r="A10" s="3" t="s">
        <v>336</v>
      </c>
      <c r="B10" s="3" t="s">
        <v>363</v>
      </c>
      <c r="C10" s="3" t="s">
        <v>817</v>
      </c>
      <c r="L10" s="8" t="str">
        <f t="shared" si="0"/>
        <v/>
      </c>
      <c r="M10" s="8" t="str">
        <f t="shared" si="1"/>
        <v/>
      </c>
      <c r="N10" s="8" t="str">
        <f t="shared" si="2"/>
        <v/>
      </c>
      <c r="W10" s="8" t="str">
        <f t="shared" si="3"/>
        <v/>
      </c>
      <c r="X10" s="8" t="str">
        <f t="shared" si="4"/>
        <v/>
      </c>
      <c r="Y10" s="8" t="str">
        <f t="shared" si="5"/>
        <v/>
      </c>
      <c r="AH10" s="8" t="str">
        <f t="shared" si="6"/>
        <v/>
      </c>
      <c r="AI10" s="8" t="str">
        <f t="shared" si="7"/>
        <v/>
      </c>
      <c r="AJ10" s="8" t="str">
        <f t="shared" si="8"/>
        <v/>
      </c>
    </row>
    <row r="11" spans="1:37" x14ac:dyDescent="0.25">
      <c r="A11" s="3" t="s">
        <v>336</v>
      </c>
      <c r="B11" s="3" t="s">
        <v>818</v>
      </c>
      <c r="C11" s="3" t="s">
        <v>819</v>
      </c>
      <c r="L11" s="8" t="str">
        <f t="shared" si="0"/>
        <v/>
      </c>
      <c r="M11" s="8" t="str">
        <f t="shared" si="1"/>
        <v/>
      </c>
      <c r="N11" s="8" t="str">
        <f t="shared" si="2"/>
        <v/>
      </c>
      <c r="W11" s="8" t="str">
        <f t="shared" si="3"/>
        <v/>
      </c>
      <c r="X11" s="8" t="str">
        <f t="shared" si="4"/>
        <v/>
      </c>
      <c r="Y11" s="8" t="str">
        <f t="shared" si="5"/>
        <v/>
      </c>
      <c r="AH11" s="8" t="str">
        <f t="shared" si="6"/>
        <v/>
      </c>
      <c r="AI11" s="8" t="str">
        <f t="shared" si="7"/>
        <v/>
      </c>
      <c r="AJ11" s="8" t="str">
        <f t="shared" si="8"/>
        <v/>
      </c>
    </row>
    <row r="12" spans="1:37" x14ac:dyDescent="0.25">
      <c r="A12" s="3" t="s">
        <v>336</v>
      </c>
      <c r="B12" s="3" t="s">
        <v>820</v>
      </c>
      <c r="C12" s="3" t="s">
        <v>821</v>
      </c>
      <c r="L12" s="8" t="str">
        <f t="shared" si="0"/>
        <v/>
      </c>
      <c r="M12" s="8" t="str">
        <f t="shared" si="1"/>
        <v/>
      </c>
      <c r="N12" s="8" t="str">
        <f t="shared" si="2"/>
        <v/>
      </c>
      <c r="W12" s="8" t="str">
        <f t="shared" si="3"/>
        <v/>
      </c>
      <c r="X12" s="8" t="str">
        <f t="shared" si="4"/>
        <v/>
      </c>
      <c r="Y12" s="8" t="str">
        <f t="shared" si="5"/>
        <v/>
      </c>
      <c r="AH12" s="8" t="str">
        <f t="shared" si="6"/>
        <v/>
      </c>
      <c r="AI12" s="8" t="str">
        <f t="shared" si="7"/>
        <v/>
      </c>
      <c r="AJ12" s="8" t="str">
        <f t="shared" si="8"/>
        <v/>
      </c>
    </row>
    <row r="13" spans="1:37" x14ac:dyDescent="0.25">
      <c r="A13" s="3" t="s">
        <v>336</v>
      </c>
      <c r="B13" s="3" t="s">
        <v>822</v>
      </c>
      <c r="C13" s="3" t="s">
        <v>823</v>
      </c>
      <c r="L13" s="8" t="str">
        <f t="shared" si="0"/>
        <v/>
      </c>
      <c r="M13" s="8" t="str">
        <f t="shared" si="1"/>
        <v/>
      </c>
      <c r="N13" s="8" t="str">
        <f t="shared" si="2"/>
        <v/>
      </c>
      <c r="W13" s="8" t="str">
        <f t="shared" si="3"/>
        <v/>
      </c>
      <c r="X13" s="8" t="str">
        <f t="shared" si="4"/>
        <v/>
      </c>
      <c r="Y13" s="8" t="str">
        <f t="shared" si="5"/>
        <v/>
      </c>
      <c r="AH13" s="8" t="str">
        <f t="shared" si="6"/>
        <v/>
      </c>
      <c r="AI13" s="8" t="str">
        <f t="shared" si="7"/>
        <v/>
      </c>
      <c r="AJ13" s="8" t="str">
        <f t="shared" si="8"/>
        <v/>
      </c>
    </row>
    <row r="14" spans="1:37" x14ac:dyDescent="0.25">
      <c r="A14" s="3" t="s">
        <v>336</v>
      </c>
      <c r="B14" s="3" t="s">
        <v>824</v>
      </c>
      <c r="C14" s="3" t="s">
        <v>825</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336</v>
      </c>
      <c r="B15" s="3" t="s">
        <v>826</v>
      </c>
      <c r="C15" s="3" t="s">
        <v>827</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336</v>
      </c>
      <c r="B16" s="3" t="s">
        <v>828</v>
      </c>
      <c r="C16" s="3" t="s">
        <v>829</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335</v>
      </c>
      <c r="B17" s="3" t="s">
        <v>375</v>
      </c>
      <c r="C17" s="3" t="s">
        <v>830</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335</v>
      </c>
      <c r="B18" s="3" t="s">
        <v>373</v>
      </c>
      <c r="C18" s="3" t="s">
        <v>831</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335</v>
      </c>
      <c r="B19" s="3" t="s">
        <v>376</v>
      </c>
      <c r="C19" s="3" t="s">
        <v>832</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335</v>
      </c>
      <c r="B20" s="3" t="s">
        <v>833</v>
      </c>
      <c r="C20" s="3" t="s">
        <v>834</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335</v>
      </c>
      <c r="B21" s="3" t="s">
        <v>835</v>
      </c>
      <c r="C21" s="3" t="s">
        <v>836</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335</v>
      </c>
      <c r="B22" s="3" t="s">
        <v>377</v>
      </c>
      <c r="C22" s="3" t="s">
        <v>837</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335</v>
      </c>
      <c r="B23" s="3" t="s">
        <v>838</v>
      </c>
      <c r="C23" s="3" t="s">
        <v>839</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335</v>
      </c>
      <c r="B24" s="3" t="s">
        <v>378</v>
      </c>
      <c r="C24" s="3" t="s">
        <v>840</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335</v>
      </c>
      <c r="B25" s="3" t="s">
        <v>379</v>
      </c>
      <c r="C25" s="3" t="s">
        <v>841</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335</v>
      </c>
      <c r="B26" s="3" t="s">
        <v>842</v>
      </c>
      <c r="C26" s="3" t="s">
        <v>843</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335</v>
      </c>
      <c r="B27" s="3" t="s">
        <v>844</v>
      </c>
      <c r="C27" s="3" t="s">
        <v>845</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335</v>
      </c>
      <c r="B28" s="3" t="s">
        <v>846</v>
      </c>
      <c r="C28" s="3" t="s">
        <v>847</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848</v>
      </c>
      <c r="B29" s="3" t="s">
        <v>849</v>
      </c>
      <c r="C29" s="3" t="s">
        <v>850</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848</v>
      </c>
      <c r="B30" s="3" t="s">
        <v>851</v>
      </c>
      <c r="C30" s="3" t="s">
        <v>776</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848</v>
      </c>
      <c r="B31" s="3" t="s">
        <v>852</v>
      </c>
      <c r="C31" s="3" t="s">
        <v>1956</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848</v>
      </c>
      <c r="B32" s="3" t="s">
        <v>641</v>
      </c>
      <c r="C32" s="3" t="s">
        <v>777</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848</v>
      </c>
      <c r="B33" s="3" t="s">
        <v>642</v>
      </c>
      <c r="C33" s="3" t="s">
        <v>778</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848</v>
      </c>
      <c r="B34" s="3" t="s">
        <v>779</v>
      </c>
      <c r="C34" s="3" t="s">
        <v>780</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848</v>
      </c>
      <c r="B35" s="3" t="s">
        <v>705</v>
      </c>
      <c r="C35" s="3" t="s">
        <v>706</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335</v>
      </c>
      <c r="B36" s="3" t="s">
        <v>643</v>
      </c>
      <c r="C36" s="3" t="s">
        <v>853</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335</v>
      </c>
      <c r="B37" s="3" t="s">
        <v>645</v>
      </c>
      <c r="C37" s="3" t="s">
        <v>854</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335</v>
      </c>
      <c r="B38" s="3" t="s">
        <v>707</v>
      </c>
      <c r="C38" s="3" t="s">
        <v>855</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336</v>
      </c>
      <c r="B39" s="3" t="s">
        <v>364</v>
      </c>
      <c r="C39" s="3" t="s">
        <v>856</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335</v>
      </c>
      <c r="B40" s="3" t="s">
        <v>365</v>
      </c>
      <c r="C40" s="3" t="s">
        <v>857</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335</v>
      </c>
      <c r="B41" s="3" t="s">
        <v>366</v>
      </c>
      <c r="C41" s="3" t="s">
        <v>858</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335</v>
      </c>
      <c r="B42" s="3" t="s">
        <v>374</v>
      </c>
      <c r="C42" s="3" t="s">
        <v>859</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335</v>
      </c>
      <c r="B43" s="3" t="s">
        <v>860</v>
      </c>
      <c r="C43" s="3" t="s">
        <v>861</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335</v>
      </c>
      <c r="B44" s="3" t="s">
        <v>862</v>
      </c>
      <c r="C44" s="3" t="s">
        <v>863</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335</v>
      </c>
      <c r="B45" s="3" t="s">
        <v>367</v>
      </c>
      <c r="C45" s="3" t="s">
        <v>864</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335</v>
      </c>
      <c r="B46" s="3" t="s">
        <v>865</v>
      </c>
      <c r="C46" s="3" t="s">
        <v>866</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335</v>
      </c>
      <c r="B47" s="3" t="s">
        <v>867</v>
      </c>
      <c r="C47" s="3" t="s">
        <v>868</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335</v>
      </c>
      <c r="B48" s="3" t="s">
        <v>1930</v>
      </c>
      <c r="C48" s="3" t="s">
        <v>1978</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336</v>
      </c>
      <c r="B49" s="3" t="s">
        <v>1973</v>
      </c>
      <c r="C49" s="3" t="s">
        <v>1979</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335</v>
      </c>
      <c r="B50" s="3" t="s">
        <v>370</v>
      </c>
      <c r="C50" s="3" t="s">
        <v>869</v>
      </c>
    </row>
    <row r="51" spans="1:36" x14ac:dyDescent="0.25">
      <c r="A51" s="3" t="s">
        <v>337</v>
      </c>
      <c r="B51" s="3" t="s">
        <v>380</v>
      </c>
      <c r="C51" s="3" t="s">
        <v>1957</v>
      </c>
    </row>
  </sheetData>
  <mergeCells count="4">
    <mergeCell ref="A1:C1"/>
    <mergeCell ref="E1:K1"/>
    <mergeCell ref="P1:V1"/>
    <mergeCell ref="AA1:AG1"/>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B52FA8-8E59-464F-B82D-E5E52377D23E}">
  <sheetPr codeName="Sheet18"/>
  <dimension ref="A1:AK75"/>
  <sheetViews>
    <sheetView zoomScale="75" zoomScaleNormal="75" workbookViewId="0">
      <pane ySplit="49" topLeftCell="A78" activePane="bottomLeft" state="frozen"/>
      <selection pane="bottomLeft" sqref="A1:C77"/>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24" t="str" cm="1">
        <f t="array" aca="1" ref="A1" ca="1">IFERROR(MID(CELL("filename",$A$1),FIND("]",CELL("filename",$A$1))+1,99),"SXX")</f>
        <v>S07</v>
      </c>
      <c r="B1" s="24"/>
      <c r="C1" s="24"/>
      <c r="E1" s="25" t="str" cm="1">
        <f t="array" aca="1" ref="E1" ca="1">IFERROR(MID(CELL("filename",$A$1),FIND("]",CELL("filename",$A$1))+1,99),"SXX")&amp;" MATERIALS (USAGE + STANDALONE)"</f>
        <v>S07 MATERIALS (USAGE + STANDALONE)</v>
      </c>
      <c r="F1" s="25"/>
      <c r="G1" s="25"/>
      <c r="H1" s="25"/>
      <c r="I1" s="25"/>
      <c r="J1" s="25"/>
      <c r="K1" s="25"/>
      <c r="L1" s="13"/>
      <c r="M1" s="13"/>
      <c r="N1" s="19">
        <f>SUM(N3:N49)</f>
        <v>531.56000000000006</v>
      </c>
      <c r="P1" s="25" t="str" cm="1">
        <f t="array" aca="1" ref="P1" ca="1">IFERROR(MID(CELL("filename",$A$1),FIND("]",CELL("filename",$A$1))+1,99),"SXX")&amp;" LABOUR (USAGE + STANDALONE)"</f>
        <v>S07 LABOUR (USAGE + STANDALONE)</v>
      </c>
      <c r="Q1" s="25"/>
      <c r="R1" s="25"/>
      <c r="S1" s="25"/>
      <c r="T1" s="25"/>
      <c r="U1" s="25"/>
      <c r="V1" s="25"/>
      <c r="Y1" s="19">
        <f>SUM(Y3:Y49)</f>
        <v>1440</v>
      </c>
      <c r="AA1" s="26" t="str" cm="1">
        <f t="array" aca="1" ref="AA1" ca="1">IFERROR(MID(CELL("filename",$A$1),FIND("]",CELL("filename",$A$1))+1,99),"SXX")&amp;" RENTAL / SERVICE (USAGE + STANDALONE)"</f>
        <v>S07 RENTAL / SERVICE (USAGE + STANDALONE)</v>
      </c>
      <c r="AB1" s="26"/>
      <c r="AC1" s="26"/>
      <c r="AD1" s="26"/>
      <c r="AE1" s="26"/>
      <c r="AF1" s="26"/>
      <c r="AG1" s="26"/>
      <c r="AH1" s="6"/>
      <c r="AI1" s="6"/>
      <c r="AJ1" s="19">
        <f>SUM(AJ3:AJ49)</f>
        <v>0</v>
      </c>
    </row>
    <row r="2" spans="1:37" s="2" customFormat="1" x14ac:dyDescent="0.25">
      <c r="A2" s="4" t="s">
        <v>0</v>
      </c>
      <c r="B2" s="4" t="s">
        <v>3</v>
      </c>
      <c r="C2" s="4" t="s">
        <v>5</v>
      </c>
      <c r="D2" s="1"/>
      <c r="E2" s="2" t="s">
        <v>5</v>
      </c>
      <c r="F2" s="2" t="s">
        <v>0</v>
      </c>
      <c r="G2" s="2" t="s">
        <v>3</v>
      </c>
      <c r="H2" s="2" t="s">
        <v>1</v>
      </c>
      <c r="I2" s="2" t="s">
        <v>12</v>
      </c>
      <c r="J2" s="2" t="s">
        <v>4</v>
      </c>
      <c r="K2" s="2" t="s">
        <v>1725</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381</v>
      </c>
      <c r="B3" s="3" t="s">
        <v>382</v>
      </c>
      <c r="C3" s="3" t="s">
        <v>875</v>
      </c>
      <c r="E3" t="s">
        <v>2002</v>
      </c>
      <c r="F3" t="s">
        <v>2003</v>
      </c>
      <c r="G3" t="s">
        <v>953</v>
      </c>
      <c r="H3" t="s">
        <v>728</v>
      </c>
      <c r="I3">
        <v>4</v>
      </c>
      <c r="J3" s="22">
        <v>0.05</v>
      </c>
      <c r="K3">
        <v>12.6</v>
      </c>
      <c r="L3" s="8">
        <f t="shared" ref="L3:L49" si="0">IF($G3="","",$I3*(1+IF($J3="",0,$J3)))</f>
        <v>4.2</v>
      </c>
      <c r="M3" s="8">
        <f t="shared" ref="M3:M49" si="1">IF($G3="","",$L3)</f>
        <v>4.2</v>
      </c>
      <c r="N3" s="8">
        <f t="shared" ref="N3:N49" si="2">IF($G3="","",IF($K3="","",$M3*$K3))</f>
        <v>52.92</v>
      </c>
      <c r="P3" t="s">
        <v>2018</v>
      </c>
      <c r="Q3" t="s">
        <v>967</v>
      </c>
      <c r="R3" t="s">
        <v>327</v>
      </c>
      <c r="S3" t="s">
        <v>33</v>
      </c>
      <c r="T3">
        <v>64</v>
      </c>
      <c r="U3" s="22">
        <v>0</v>
      </c>
      <c r="V3">
        <v>22.5</v>
      </c>
      <c r="W3" s="8">
        <f>IF($R3="","",$T3*(1+IF($U3="",0,$U3)))</f>
        <v>64</v>
      </c>
      <c r="X3" s="8">
        <f>IF($R3="","",$W3)</f>
        <v>64</v>
      </c>
      <c r="Y3" s="8">
        <f>IF($R3="","",IF($V3="","",$X3*$V3))</f>
        <v>1440</v>
      </c>
      <c r="AH3" s="8" t="str">
        <f>IF($AC3="","",$AE3*(1+IF($AF3="",0,$AF3)))</f>
        <v/>
      </c>
      <c r="AI3" s="8" t="str">
        <f>IF($AC3="","",$AH3)</f>
        <v/>
      </c>
      <c r="AJ3" s="8" t="str">
        <f>IF($AC3="","",IF($AG3="","",$AI3*$AG3))</f>
        <v/>
      </c>
    </row>
    <row r="4" spans="1:37" x14ac:dyDescent="0.25">
      <c r="A4" s="3" t="s">
        <v>383</v>
      </c>
      <c r="B4" s="3" t="s">
        <v>876</v>
      </c>
      <c r="C4" s="3" t="s">
        <v>1530</v>
      </c>
      <c r="E4" t="s">
        <v>2004</v>
      </c>
      <c r="F4" t="s">
        <v>2003</v>
      </c>
      <c r="G4" t="s">
        <v>2005</v>
      </c>
      <c r="H4" t="s">
        <v>8</v>
      </c>
      <c r="I4">
        <v>5</v>
      </c>
      <c r="J4" s="22">
        <v>0.05</v>
      </c>
      <c r="K4">
        <v>3</v>
      </c>
      <c r="L4" s="8">
        <f t="shared" si="0"/>
        <v>5.25</v>
      </c>
      <c r="M4" s="8">
        <f t="shared" si="1"/>
        <v>5.25</v>
      </c>
      <c r="N4" s="8">
        <f t="shared" si="2"/>
        <v>15.75</v>
      </c>
      <c r="U4" s="22"/>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877</v>
      </c>
      <c r="B5" s="3" t="s">
        <v>878</v>
      </c>
      <c r="C5" s="3" t="s">
        <v>1531</v>
      </c>
      <c r="E5" t="s">
        <v>954</v>
      </c>
      <c r="F5" t="s">
        <v>2003</v>
      </c>
      <c r="G5" t="s">
        <v>955</v>
      </c>
      <c r="H5" t="s">
        <v>8</v>
      </c>
      <c r="I5">
        <v>2</v>
      </c>
      <c r="J5" s="22">
        <v>0</v>
      </c>
      <c r="K5">
        <v>13</v>
      </c>
      <c r="L5" s="8">
        <f t="shared" si="0"/>
        <v>2</v>
      </c>
      <c r="M5" s="8">
        <f t="shared" si="1"/>
        <v>2</v>
      </c>
      <c r="N5" s="8">
        <f t="shared" si="2"/>
        <v>26</v>
      </c>
      <c r="W5" s="8" t="str">
        <f t="shared" si="3"/>
        <v/>
      </c>
      <c r="X5" s="8" t="str">
        <f t="shared" si="4"/>
        <v/>
      </c>
      <c r="Y5" s="8" t="str">
        <f t="shared" si="5"/>
        <v/>
      </c>
      <c r="AH5" s="8" t="str">
        <f t="shared" si="6"/>
        <v/>
      </c>
      <c r="AI5" s="8" t="str">
        <f t="shared" si="7"/>
        <v/>
      </c>
      <c r="AJ5" s="8" t="str">
        <f t="shared" si="8"/>
        <v/>
      </c>
    </row>
    <row r="6" spans="1:37" x14ac:dyDescent="0.25">
      <c r="A6" s="3" t="s">
        <v>384</v>
      </c>
      <c r="B6" s="3" t="s">
        <v>385</v>
      </c>
      <c r="C6" s="3" t="s">
        <v>1532</v>
      </c>
      <c r="E6" t="s">
        <v>2006</v>
      </c>
      <c r="F6" t="s">
        <v>2003</v>
      </c>
      <c r="G6" t="s">
        <v>956</v>
      </c>
      <c r="H6" t="s">
        <v>8</v>
      </c>
      <c r="I6">
        <v>1</v>
      </c>
      <c r="J6">
        <v>0</v>
      </c>
      <c r="K6">
        <v>8</v>
      </c>
      <c r="L6" s="8">
        <f t="shared" si="0"/>
        <v>1</v>
      </c>
      <c r="M6" s="8">
        <f t="shared" si="1"/>
        <v>1</v>
      </c>
      <c r="N6" s="8">
        <f t="shared" si="2"/>
        <v>8</v>
      </c>
      <c r="W6" s="8" t="str">
        <f t="shared" si="3"/>
        <v/>
      </c>
      <c r="X6" s="8" t="str">
        <f t="shared" si="4"/>
        <v/>
      </c>
      <c r="Y6" s="8" t="str">
        <f t="shared" si="5"/>
        <v/>
      </c>
      <c r="AH6" s="8" t="str">
        <f t="shared" si="6"/>
        <v/>
      </c>
      <c r="AI6" s="8" t="str">
        <f t="shared" si="7"/>
        <v/>
      </c>
      <c r="AJ6" s="8" t="str">
        <f t="shared" si="8"/>
        <v/>
      </c>
    </row>
    <row r="7" spans="1:37" x14ac:dyDescent="0.25">
      <c r="A7" s="3" t="s">
        <v>386</v>
      </c>
      <c r="B7" s="3" t="s">
        <v>387</v>
      </c>
      <c r="C7" s="3" t="s">
        <v>1533</v>
      </c>
      <c r="E7" t="s">
        <v>2007</v>
      </c>
      <c r="F7" t="s">
        <v>957</v>
      </c>
      <c r="G7" t="s">
        <v>958</v>
      </c>
      <c r="H7" t="s">
        <v>8</v>
      </c>
      <c r="I7">
        <v>3</v>
      </c>
      <c r="J7">
        <v>0.05</v>
      </c>
      <c r="K7">
        <v>49</v>
      </c>
      <c r="L7" s="8">
        <f t="shared" si="0"/>
        <v>3.1500000000000004</v>
      </c>
      <c r="M7" s="8">
        <f t="shared" si="1"/>
        <v>3.1500000000000004</v>
      </c>
      <c r="N7" s="8">
        <f t="shared" si="2"/>
        <v>154.35000000000002</v>
      </c>
      <c r="W7" s="8" t="str">
        <f t="shared" si="3"/>
        <v/>
      </c>
      <c r="X7" s="8" t="str">
        <f t="shared" si="4"/>
        <v/>
      </c>
      <c r="Y7" s="8" t="str">
        <f t="shared" si="5"/>
        <v/>
      </c>
      <c r="AH7" s="8" t="str">
        <f t="shared" si="6"/>
        <v/>
      </c>
      <c r="AI7" s="8" t="str">
        <f t="shared" si="7"/>
        <v/>
      </c>
      <c r="AJ7" s="8" t="str">
        <f t="shared" si="8"/>
        <v/>
      </c>
    </row>
    <row r="8" spans="1:37" x14ac:dyDescent="0.25">
      <c r="A8" s="3" t="s">
        <v>386</v>
      </c>
      <c r="B8" s="3" t="s">
        <v>388</v>
      </c>
      <c r="C8" s="3" t="s">
        <v>1534</v>
      </c>
      <c r="E8" t="s">
        <v>2008</v>
      </c>
      <c r="F8" t="s">
        <v>957</v>
      </c>
      <c r="G8" t="s">
        <v>959</v>
      </c>
      <c r="H8" t="s">
        <v>8</v>
      </c>
      <c r="I8">
        <v>6</v>
      </c>
      <c r="J8">
        <v>0.05</v>
      </c>
      <c r="K8">
        <v>4.3</v>
      </c>
      <c r="L8" s="8">
        <f t="shared" si="0"/>
        <v>6.3000000000000007</v>
      </c>
      <c r="M8" s="8">
        <f t="shared" si="1"/>
        <v>6.3000000000000007</v>
      </c>
      <c r="N8" s="8">
        <f t="shared" si="2"/>
        <v>27.090000000000003</v>
      </c>
      <c r="W8" s="8" t="str">
        <f t="shared" si="3"/>
        <v/>
      </c>
      <c r="X8" s="8" t="str">
        <f t="shared" si="4"/>
        <v/>
      </c>
      <c r="Y8" s="8" t="str">
        <f t="shared" si="5"/>
        <v/>
      </c>
      <c r="AH8" s="8" t="str">
        <f t="shared" si="6"/>
        <v/>
      </c>
      <c r="AI8" s="8" t="str">
        <f t="shared" si="7"/>
        <v/>
      </c>
      <c r="AJ8" s="8" t="str">
        <f t="shared" si="8"/>
        <v/>
      </c>
    </row>
    <row r="9" spans="1:37" x14ac:dyDescent="0.25">
      <c r="A9" s="3" t="s">
        <v>386</v>
      </c>
      <c r="B9" s="3" t="s">
        <v>389</v>
      </c>
      <c r="C9" s="3" t="s">
        <v>1535</v>
      </c>
      <c r="E9" t="s">
        <v>2009</v>
      </c>
      <c r="F9" t="s">
        <v>957</v>
      </c>
      <c r="G9" t="s">
        <v>63</v>
      </c>
      <c r="H9" t="s">
        <v>8</v>
      </c>
      <c r="I9">
        <v>1</v>
      </c>
      <c r="J9">
        <v>0</v>
      </c>
      <c r="K9">
        <v>15</v>
      </c>
      <c r="L9" s="8">
        <f t="shared" si="0"/>
        <v>1</v>
      </c>
      <c r="M9" s="8">
        <f t="shared" si="1"/>
        <v>1</v>
      </c>
      <c r="N9" s="8">
        <f t="shared" si="2"/>
        <v>15</v>
      </c>
      <c r="W9" s="8" t="str">
        <f t="shared" si="3"/>
        <v/>
      </c>
      <c r="X9" s="8" t="str">
        <f t="shared" si="4"/>
        <v/>
      </c>
      <c r="Y9" s="8" t="str">
        <f t="shared" si="5"/>
        <v/>
      </c>
      <c r="AH9" s="8" t="str">
        <f t="shared" si="6"/>
        <v/>
      </c>
      <c r="AI9" s="8" t="str">
        <f t="shared" si="7"/>
        <v/>
      </c>
      <c r="AJ9" s="8" t="str">
        <f t="shared" si="8"/>
        <v/>
      </c>
    </row>
    <row r="10" spans="1:37" x14ac:dyDescent="0.25">
      <c r="A10" s="3" t="s">
        <v>386</v>
      </c>
      <c r="B10" s="3" t="s">
        <v>879</v>
      </c>
      <c r="C10" s="3" t="s">
        <v>880</v>
      </c>
      <c r="E10" t="s">
        <v>2010</v>
      </c>
      <c r="F10" t="s">
        <v>957</v>
      </c>
      <c r="G10" t="s">
        <v>2011</v>
      </c>
      <c r="H10" t="s">
        <v>8</v>
      </c>
      <c r="I10">
        <v>1</v>
      </c>
      <c r="J10">
        <v>0</v>
      </c>
      <c r="K10">
        <v>4</v>
      </c>
      <c r="L10" s="8">
        <f t="shared" si="0"/>
        <v>1</v>
      </c>
      <c r="M10" s="8">
        <f t="shared" si="1"/>
        <v>1</v>
      </c>
      <c r="N10" s="8">
        <f t="shared" si="2"/>
        <v>4</v>
      </c>
      <c r="W10" s="8" t="str">
        <f t="shared" si="3"/>
        <v/>
      </c>
      <c r="X10" s="8" t="str">
        <f t="shared" si="4"/>
        <v/>
      </c>
      <c r="Y10" s="8" t="str">
        <f t="shared" si="5"/>
        <v/>
      </c>
      <c r="AH10" s="8" t="str">
        <f t="shared" si="6"/>
        <v/>
      </c>
      <c r="AI10" s="8" t="str">
        <f t="shared" si="7"/>
        <v/>
      </c>
      <c r="AJ10" s="8" t="str">
        <f t="shared" si="8"/>
        <v/>
      </c>
    </row>
    <row r="11" spans="1:37" x14ac:dyDescent="0.25">
      <c r="A11" s="3" t="s">
        <v>386</v>
      </c>
      <c r="B11" s="3" t="s">
        <v>881</v>
      </c>
      <c r="C11" s="3" t="s">
        <v>1536</v>
      </c>
      <c r="E11" t="s">
        <v>2012</v>
      </c>
      <c r="F11" t="s">
        <v>957</v>
      </c>
      <c r="G11" t="s">
        <v>2013</v>
      </c>
      <c r="H11" t="s">
        <v>8</v>
      </c>
      <c r="I11">
        <v>1</v>
      </c>
      <c r="J11">
        <v>0</v>
      </c>
      <c r="K11">
        <v>8</v>
      </c>
      <c r="L11" s="8">
        <f t="shared" si="0"/>
        <v>1</v>
      </c>
      <c r="M11" s="8">
        <f t="shared" si="1"/>
        <v>1</v>
      </c>
      <c r="N11" s="8">
        <f t="shared" si="2"/>
        <v>8</v>
      </c>
      <c r="W11" s="8" t="str">
        <f t="shared" si="3"/>
        <v/>
      </c>
      <c r="X11" s="8" t="str">
        <f t="shared" si="4"/>
        <v/>
      </c>
      <c r="Y11" s="8" t="str">
        <f t="shared" si="5"/>
        <v/>
      </c>
      <c r="AH11" s="8" t="str">
        <f t="shared" si="6"/>
        <v/>
      </c>
      <c r="AI11" s="8" t="str">
        <f t="shared" si="7"/>
        <v/>
      </c>
      <c r="AJ11" s="8" t="str">
        <f t="shared" si="8"/>
        <v/>
      </c>
    </row>
    <row r="12" spans="1:37" x14ac:dyDescent="0.25">
      <c r="A12" s="3" t="s">
        <v>384</v>
      </c>
      <c r="B12" s="3" t="s">
        <v>882</v>
      </c>
      <c r="C12" s="3" t="s">
        <v>883</v>
      </c>
      <c r="E12" t="s">
        <v>2014</v>
      </c>
      <c r="F12" t="s">
        <v>960</v>
      </c>
      <c r="G12" t="s">
        <v>961</v>
      </c>
      <c r="H12" t="s">
        <v>8</v>
      </c>
      <c r="I12">
        <v>2</v>
      </c>
      <c r="J12">
        <v>0.05</v>
      </c>
      <c r="K12">
        <v>91</v>
      </c>
      <c r="L12" s="8">
        <f t="shared" si="0"/>
        <v>2.1</v>
      </c>
      <c r="M12" s="8">
        <f t="shared" si="1"/>
        <v>2.1</v>
      </c>
      <c r="N12" s="8">
        <f t="shared" si="2"/>
        <v>191.1</v>
      </c>
      <c r="W12" s="8" t="str">
        <f t="shared" si="3"/>
        <v/>
      </c>
      <c r="X12" s="8" t="str">
        <f t="shared" si="4"/>
        <v/>
      </c>
      <c r="Y12" s="8" t="str">
        <f t="shared" si="5"/>
        <v/>
      </c>
      <c r="AH12" s="8" t="str">
        <f t="shared" si="6"/>
        <v/>
      </c>
      <c r="AI12" s="8" t="str">
        <f t="shared" si="7"/>
        <v/>
      </c>
      <c r="AJ12" s="8" t="str">
        <f t="shared" si="8"/>
        <v/>
      </c>
    </row>
    <row r="13" spans="1:37" x14ac:dyDescent="0.25">
      <c r="A13" s="3" t="s">
        <v>384</v>
      </c>
      <c r="B13" s="3" t="s">
        <v>884</v>
      </c>
      <c r="C13" s="3" t="s">
        <v>885</v>
      </c>
      <c r="E13" t="s">
        <v>2015</v>
      </c>
      <c r="F13" t="s">
        <v>960</v>
      </c>
      <c r="G13" t="s">
        <v>962</v>
      </c>
      <c r="H13" t="s">
        <v>8</v>
      </c>
      <c r="I13">
        <v>2</v>
      </c>
      <c r="J13">
        <v>0.05</v>
      </c>
      <c r="K13">
        <v>9.5</v>
      </c>
      <c r="L13" s="8">
        <f t="shared" si="0"/>
        <v>2.1</v>
      </c>
      <c r="M13" s="8">
        <f t="shared" si="1"/>
        <v>2.1</v>
      </c>
      <c r="N13" s="8">
        <f t="shared" si="2"/>
        <v>19.95</v>
      </c>
      <c r="W13" s="8" t="str">
        <f t="shared" si="3"/>
        <v/>
      </c>
      <c r="X13" s="8" t="str">
        <f t="shared" si="4"/>
        <v/>
      </c>
      <c r="Y13" s="8" t="str">
        <f t="shared" si="5"/>
        <v/>
      </c>
      <c r="AH13" s="8" t="str">
        <f t="shared" si="6"/>
        <v/>
      </c>
      <c r="AI13" s="8" t="str">
        <f t="shared" si="7"/>
        <v/>
      </c>
      <c r="AJ13" s="8" t="str">
        <f t="shared" si="8"/>
        <v/>
      </c>
    </row>
    <row r="14" spans="1:37" x14ac:dyDescent="0.25">
      <c r="A14" s="3" t="s">
        <v>384</v>
      </c>
      <c r="B14" s="3" t="s">
        <v>886</v>
      </c>
      <c r="C14" s="3" t="s">
        <v>887</v>
      </c>
      <c r="E14" t="s">
        <v>2016</v>
      </c>
      <c r="F14" t="s">
        <v>960</v>
      </c>
      <c r="G14" t="s">
        <v>963</v>
      </c>
      <c r="H14" t="s">
        <v>964</v>
      </c>
      <c r="I14">
        <v>1</v>
      </c>
      <c r="J14">
        <v>0</v>
      </c>
      <c r="K14">
        <v>8.4</v>
      </c>
      <c r="L14" s="8">
        <f t="shared" si="0"/>
        <v>1</v>
      </c>
      <c r="M14" s="8">
        <f t="shared" si="1"/>
        <v>1</v>
      </c>
      <c r="N14" s="8">
        <f t="shared" si="2"/>
        <v>8.4</v>
      </c>
      <c r="W14" s="8" t="str">
        <f t="shared" si="3"/>
        <v/>
      </c>
      <c r="X14" s="8" t="str">
        <f t="shared" si="4"/>
        <v/>
      </c>
      <c r="Y14" s="8" t="str">
        <f t="shared" si="5"/>
        <v/>
      </c>
      <c r="AH14" s="8" t="str">
        <f t="shared" si="6"/>
        <v/>
      </c>
      <c r="AI14" s="8" t="str">
        <f t="shared" si="7"/>
        <v/>
      </c>
      <c r="AJ14" s="8" t="str">
        <f t="shared" si="8"/>
        <v/>
      </c>
    </row>
    <row r="15" spans="1:37" x14ac:dyDescent="0.25">
      <c r="A15" s="3" t="s">
        <v>386</v>
      </c>
      <c r="B15" s="3" t="s">
        <v>1537</v>
      </c>
      <c r="C15" s="3" t="s">
        <v>1538</v>
      </c>
      <c r="E15" t="s">
        <v>2017</v>
      </c>
      <c r="F15" t="s">
        <v>965</v>
      </c>
      <c r="G15" t="s">
        <v>966</v>
      </c>
      <c r="H15" t="s">
        <v>8</v>
      </c>
      <c r="I15">
        <v>1</v>
      </c>
      <c r="J15">
        <v>0</v>
      </c>
      <c r="K15">
        <v>1</v>
      </c>
      <c r="L15" s="8">
        <f t="shared" si="0"/>
        <v>1</v>
      </c>
      <c r="M15" s="8">
        <f t="shared" si="1"/>
        <v>1</v>
      </c>
      <c r="N15" s="8">
        <f t="shared" si="2"/>
        <v>1</v>
      </c>
      <c r="W15" s="8" t="str">
        <f t="shared" si="3"/>
        <v/>
      </c>
      <c r="X15" s="8" t="str">
        <f t="shared" si="4"/>
        <v/>
      </c>
      <c r="Y15" s="8" t="str">
        <f t="shared" si="5"/>
        <v/>
      </c>
      <c r="AH15" s="8" t="str">
        <f t="shared" si="6"/>
        <v/>
      </c>
      <c r="AI15" s="8" t="str">
        <f t="shared" si="7"/>
        <v/>
      </c>
      <c r="AJ15" s="8" t="str">
        <f t="shared" si="8"/>
        <v/>
      </c>
    </row>
    <row r="16" spans="1:37" x14ac:dyDescent="0.25">
      <c r="A16" s="3" t="s">
        <v>384</v>
      </c>
      <c r="B16" s="3" t="s">
        <v>1539</v>
      </c>
      <c r="C16" s="3" t="s">
        <v>1540</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386</v>
      </c>
      <c r="B17" s="3" t="s">
        <v>1541</v>
      </c>
      <c r="C17" s="3" t="s">
        <v>1542</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386</v>
      </c>
      <c r="B18" s="3" t="s">
        <v>1543</v>
      </c>
      <c r="C18" s="3" t="s">
        <v>1544</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384</v>
      </c>
      <c r="B19" s="3" t="s">
        <v>1545</v>
      </c>
      <c r="C19" s="3" t="s">
        <v>1546</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386</v>
      </c>
      <c r="B20" s="3" t="s">
        <v>888</v>
      </c>
      <c r="C20" s="3" t="s">
        <v>889</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384</v>
      </c>
      <c r="B21" s="3" t="s">
        <v>390</v>
      </c>
      <c r="C21" s="3" t="s">
        <v>1547</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384</v>
      </c>
      <c r="B22" s="3" t="s">
        <v>890</v>
      </c>
      <c r="C22" s="3" t="s">
        <v>1548</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386</v>
      </c>
      <c r="B23" s="3" t="s">
        <v>891</v>
      </c>
      <c r="C23" s="3" t="s">
        <v>892</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384</v>
      </c>
      <c r="B24" s="3" t="s">
        <v>391</v>
      </c>
      <c r="C24" s="3" t="s">
        <v>1549</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384</v>
      </c>
      <c r="B25" s="3" t="s">
        <v>392</v>
      </c>
      <c r="C25" s="3" t="s">
        <v>1550</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386</v>
      </c>
      <c r="B26" s="3" t="s">
        <v>893</v>
      </c>
      <c r="C26" s="3" t="s">
        <v>1551</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384</v>
      </c>
      <c r="B27" s="3" t="s">
        <v>894</v>
      </c>
      <c r="C27" s="3" t="s">
        <v>1552</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384</v>
      </c>
      <c r="B28" s="3" t="s">
        <v>895</v>
      </c>
      <c r="C28" s="3" t="s">
        <v>896</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384</v>
      </c>
      <c r="B29" s="3" t="s">
        <v>897</v>
      </c>
      <c r="C29" s="3" t="s">
        <v>898</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384</v>
      </c>
      <c r="B30" s="3" t="s">
        <v>899</v>
      </c>
      <c r="C30" s="3" t="s">
        <v>900</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384</v>
      </c>
      <c r="B31" s="3" t="s">
        <v>901</v>
      </c>
      <c r="C31" s="3" t="s">
        <v>902</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386</v>
      </c>
      <c r="B32" s="3" t="s">
        <v>903</v>
      </c>
      <c r="C32" s="3" t="s">
        <v>904</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384</v>
      </c>
      <c r="B33" s="3" t="s">
        <v>905</v>
      </c>
      <c r="C33" s="3" t="s">
        <v>1553</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384</v>
      </c>
      <c r="B34" s="3" t="s">
        <v>906</v>
      </c>
      <c r="C34" s="3" t="s">
        <v>907</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384</v>
      </c>
      <c r="B35" s="3" t="s">
        <v>908</v>
      </c>
      <c r="C35" s="3" t="s">
        <v>909</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384</v>
      </c>
      <c r="B36" s="3" t="s">
        <v>910</v>
      </c>
      <c r="C36" s="3" t="s">
        <v>1554</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384</v>
      </c>
      <c r="B37" s="3" t="s">
        <v>911</v>
      </c>
      <c r="C37" s="3" t="s">
        <v>912</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384</v>
      </c>
      <c r="B38" s="3" t="s">
        <v>913</v>
      </c>
      <c r="C38" s="3" t="s">
        <v>1555</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386</v>
      </c>
      <c r="B39" s="3" t="s">
        <v>914</v>
      </c>
      <c r="C39" s="3" t="s">
        <v>915</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386</v>
      </c>
      <c r="B40" s="3" t="s">
        <v>916</v>
      </c>
      <c r="C40" s="3" t="s">
        <v>917</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386</v>
      </c>
      <c r="B41" s="3" t="s">
        <v>918</v>
      </c>
      <c r="C41" s="3" t="s">
        <v>919</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386</v>
      </c>
      <c r="B42" s="3" t="s">
        <v>920</v>
      </c>
      <c r="C42" s="3" t="s">
        <v>921</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386</v>
      </c>
      <c r="B43" s="3" t="s">
        <v>922</v>
      </c>
      <c r="C43" s="3" t="s">
        <v>923</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386</v>
      </c>
      <c r="B44" s="3" t="s">
        <v>924</v>
      </c>
      <c r="C44" s="3" t="s">
        <v>1556</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384</v>
      </c>
      <c r="B45" s="3" t="s">
        <v>925</v>
      </c>
      <c r="C45" s="3" t="s">
        <v>1557</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384</v>
      </c>
      <c r="B46" s="3" t="s">
        <v>926</v>
      </c>
      <c r="C46" s="3" t="s">
        <v>927</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384</v>
      </c>
      <c r="B47" s="3" t="s">
        <v>928</v>
      </c>
      <c r="C47" s="3" t="s">
        <v>1558</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384</v>
      </c>
      <c r="B48" s="3" t="s">
        <v>393</v>
      </c>
      <c r="C48" s="3" t="s">
        <v>1559</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384</v>
      </c>
      <c r="B49" s="3" t="s">
        <v>929</v>
      </c>
      <c r="C49" s="3" t="s">
        <v>1560</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384</v>
      </c>
      <c r="B50" s="3" t="s">
        <v>394</v>
      </c>
      <c r="C50" s="3" t="s">
        <v>1561</v>
      </c>
    </row>
    <row r="51" spans="1:36" x14ac:dyDescent="0.25">
      <c r="A51" s="3" t="s">
        <v>384</v>
      </c>
      <c r="B51" s="3" t="s">
        <v>930</v>
      </c>
      <c r="C51" s="3" t="s">
        <v>931</v>
      </c>
    </row>
    <row r="52" spans="1:36" x14ac:dyDescent="0.25">
      <c r="A52" s="3" t="s">
        <v>384</v>
      </c>
      <c r="B52" s="3" t="s">
        <v>1562</v>
      </c>
      <c r="C52" s="3" t="s">
        <v>932</v>
      </c>
    </row>
    <row r="53" spans="1:36" x14ac:dyDescent="0.25">
      <c r="A53" s="3" t="s">
        <v>384</v>
      </c>
      <c r="B53" s="3" t="s">
        <v>933</v>
      </c>
      <c r="C53" s="3" t="s">
        <v>1563</v>
      </c>
    </row>
    <row r="54" spans="1:36" x14ac:dyDescent="0.25">
      <c r="A54" s="3" t="s">
        <v>384</v>
      </c>
      <c r="B54" s="3" t="s">
        <v>370</v>
      </c>
      <c r="C54" s="3" t="s">
        <v>934</v>
      </c>
    </row>
    <row r="55" spans="1:36" x14ac:dyDescent="0.25">
      <c r="A55" s="3" t="s">
        <v>935</v>
      </c>
      <c r="B55" s="3" t="s">
        <v>936</v>
      </c>
      <c r="C55" s="3" t="s">
        <v>1981</v>
      </c>
    </row>
    <row r="56" spans="1:36" x14ac:dyDescent="0.25">
      <c r="A56" s="3" t="s">
        <v>935</v>
      </c>
      <c r="B56" s="3" t="s">
        <v>937</v>
      </c>
      <c r="C56" s="3" t="s">
        <v>1982</v>
      </c>
    </row>
    <row r="57" spans="1:36" x14ac:dyDescent="0.25">
      <c r="A57" s="3" t="s">
        <v>935</v>
      </c>
      <c r="B57" s="3" t="s">
        <v>938</v>
      </c>
      <c r="C57" s="3" t="s">
        <v>1983</v>
      </c>
    </row>
    <row r="58" spans="1:36" x14ac:dyDescent="0.25">
      <c r="A58" s="3" t="s">
        <v>935</v>
      </c>
      <c r="B58" s="3" t="s">
        <v>939</v>
      </c>
      <c r="C58" s="3" t="s">
        <v>1984</v>
      </c>
    </row>
    <row r="59" spans="1:36" x14ac:dyDescent="0.25">
      <c r="A59" s="3" t="s">
        <v>935</v>
      </c>
      <c r="B59" s="3" t="s">
        <v>940</v>
      </c>
      <c r="C59" s="3" t="s">
        <v>1985</v>
      </c>
    </row>
    <row r="60" spans="1:36" x14ac:dyDescent="0.25">
      <c r="A60" s="3" t="s">
        <v>935</v>
      </c>
      <c r="B60" s="3" t="s">
        <v>941</v>
      </c>
      <c r="C60" s="3" t="s">
        <v>1986</v>
      </c>
    </row>
    <row r="61" spans="1:36" x14ac:dyDescent="0.25">
      <c r="A61" s="3" t="s">
        <v>935</v>
      </c>
      <c r="B61" s="3" t="s">
        <v>942</v>
      </c>
      <c r="C61" s="3" t="s">
        <v>1987</v>
      </c>
    </row>
    <row r="62" spans="1:36" x14ac:dyDescent="0.25">
      <c r="A62" s="3" t="s">
        <v>935</v>
      </c>
      <c r="B62" s="3" t="s">
        <v>943</v>
      </c>
      <c r="C62" s="3" t="s">
        <v>1988</v>
      </c>
    </row>
    <row r="63" spans="1:36" x14ac:dyDescent="0.25">
      <c r="A63" s="3" t="s">
        <v>935</v>
      </c>
      <c r="B63" s="3" t="s">
        <v>944</v>
      </c>
      <c r="C63" s="3" t="s">
        <v>1989</v>
      </c>
    </row>
    <row r="64" spans="1:36" x14ac:dyDescent="0.25">
      <c r="A64" s="3" t="s">
        <v>935</v>
      </c>
      <c r="B64" s="3" t="s">
        <v>945</v>
      </c>
      <c r="C64" s="3" t="s">
        <v>1990</v>
      </c>
    </row>
    <row r="65" spans="1:3" x14ac:dyDescent="0.25">
      <c r="A65" s="3" t="s">
        <v>935</v>
      </c>
      <c r="B65" s="3" t="s">
        <v>946</v>
      </c>
      <c r="C65" s="3" t="s">
        <v>947</v>
      </c>
    </row>
    <row r="66" spans="1:3" x14ac:dyDescent="0.25">
      <c r="A66" s="3" t="s">
        <v>935</v>
      </c>
      <c r="B66" s="3" t="s">
        <v>948</v>
      </c>
      <c r="C66" s="3" t="s">
        <v>949</v>
      </c>
    </row>
    <row r="67" spans="1:3" x14ac:dyDescent="0.25">
      <c r="A67" s="3" t="s">
        <v>935</v>
      </c>
      <c r="B67" s="3" t="s">
        <v>950</v>
      </c>
      <c r="C67" s="3" t="s">
        <v>951</v>
      </c>
    </row>
    <row r="68" spans="1:3" x14ac:dyDescent="0.25">
      <c r="A68" s="3" t="s">
        <v>952</v>
      </c>
      <c r="B68" s="3" t="s">
        <v>1515</v>
      </c>
      <c r="C68" s="3" t="s">
        <v>457</v>
      </c>
    </row>
    <row r="69" spans="1:3" x14ac:dyDescent="0.25">
      <c r="A69" s="3" t="s">
        <v>386</v>
      </c>
      <c r="B69" s="3" t="s">
        <v>1991</v>
      </c>
      <c r="C69" s="3" t="s">
        <v>1992</v>
      </c>
    </row>
    <row r="70" spans="1:3" x14ac:dyDescent="0.25">
      <c r="A70" s="3" t="s">
        <v>386</v>
      </c>
      <c r="B70" s="3" t="s">
        <v>1993</v>
      </c>
      <c r="C70" s="3" t="s">
        <v>1994</v>
      </c>
    </row>
    <row r="71" spans="1:3" x14ac:dyDescent="0.25">
      <c r="A71" s="3" t="s">
        <v>386</v>
      </c>
      <c r="B71" s="3" t="s">
        <v>1995</v>
      </c>
      <c r="C71" s="3" t="s">
        <v>1996</v>
      </c>
    </row>
    <row r="72" spans="1:3" x14ac:dyDescent="0.25">
      <c r="A72" s="3" t="s">
        <v>386</v>
      </c>
      <c r="B72" s="3" t="s">
        <v>1997</v>
      </c>
      <c r="C72" s="3" t="s">
        <v>1998</v>
      </c>
    </row>
    <row r="73" spans="1:3" x14ac:dyDescent="0.25">
      <c r="A73" s="3" t="s">
        <v>386</v>
      </c>
      <c r="B73" s="3" t="s">
        <v>1973</v>
      </c>
      <c r="C73" s="3" t="s">
        <v>1999</v>
      </c>
    </row>
    <row r="74" spans="1:3" x14ac:dyDescent="0.25">
      <c r="A74" s="3" t="s">
        <v>384</v>
      </c>
      <c r="B74" s="3" t="s">
        <v>587</v>
      </c>
      <c r="C74" s="3" t="s">
        <v>2000</v>
      </c>
    </row>
    <row r="75" spans="1:3" x14ac:dyDescent="0.25">
      <c r="A75" s="3" t="s">
        <v>395</v>
      </c>
      <c r="B75" s="3" t="s">
        <v>396</v>
      </c>
      <c r="C75" s="3" t="s">
        <v>2001</v>
      </c>
    </row>
  </sheetData>
  <mergeCells count="4">
    <mergeCell ref="A1:C1"/>
    <mergeCell ref="E1:K1"/>
    <mergeCell ref="P1:V1"/>
    <mergeCell ref="AA1:AG1"/>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2D2C45-DCDE-4D2F-8B9D-D0440C4C4BA6}">
  <sheetPr codeName="Sheet19"/>
  <dimension ref="A1:AK67"/>
  <sheetViews>
    <sheetView zoomScale="75" zoomScaleNormal="75" workbookViewId="0">
      <pane ySplit="49" topLeftCell="A68" activePane="bottomLeft" state="frozen"/>
      <selection pane="bottomLeft" sqref="A1:C67"/>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24" t="str" cm="1">
        <f t="array" aca="1" ref="A1" ca="1">IFERROR(MID(CELL("filename",$A$1),FIND("]",CELL("filename",$A$1))+1,99),"SXX")</f>
        <v>S08</v>
      </c>
      <c r="B1" s="24"/>
      <c r="C1" s="24"/>
      <c r="E1" s="25" t="str" cm="1">
        <f t="array" aca="1" ref="E1" ca="1">IFERROR(MID(CELL("filename",$A$1),FIND("]",CELL("filename",$A$1))+1,99),"SXX")&amp;" MATERIALS (USAGE + STANDALONE)"</f>
        <v>S08 MATERIALS (USAGE + STANDALONE)</v>
      </c>
      <c r="F1" s="25"/>
      <c r="G1" s="25"/>
      <c r="H1" s="25"/>
      <c r="I1" s="25"/>
      <c r="J1" s="25"/>
      <c r="K1" s="25"/>
      <c r="L1" s="13"/>
      <c r="M1" s="13"/>
      <c r="N1" s="19">
        <f>SUM(N3:N49)</f>
        <v>8527.7800000000025</v>
      </c>
      <c r="P1" s="25" t="str" cm="1">
        <f t="array" aca="1" ref="P1" ca="1">IFERROR(MID(CELL("filename",$A$1),FIND("]",CELL("filename",$A$1))+1,99),"SXX")&amp;" LABOUR (USAGE + STANDALONE)"</f>
        <v>S08 LABOUR (USAGE + STANDALONE)</v>
      </c>
      <c r="Q1" s="25"/>
      <c r="R1" s="25"/>
      <c r="S1" s="25"/>
      <c r="T1" s="25"/>
      <c r="U1" s="25"/>
      <c r="V1" s="25"/>
      <c r="Y1" s="19">
        <f>SUM(Y3:Y49)</f>
        <v>2002.5</v>
      </c>
      <c r="AA1" s="26" t="str" cm="1">
        <f t="array" aca="1" ref="AA1" ca="1">IFERROR(MID(CELL("filename",$A$1),FIND("]",CELL("filename",$A$1))+1,99),"SXX")&amp;" RENTAL / SERVICE (USAGE + STANDALONE)"</f>
        <v>S08 RENTAL / SERVICE (USAGE + STANDALONE)</v>
      </c>
      <c r="AB1" s="26"/>
      <c r="AC1" s="26"/>
      <c r="AD1" s="26"/>
      <c r="AE1" s="26"/>
      <c r="AF1" s="26"/>
      <c r="AG1" s="26"/>
      <c r="AH1" s="6"/>
      <c r="AI1" s="6"/>
      <c r="AJ1" s="19">
        <f>SUM(AJ3:AJ49)</f>
        <v>0</v>
      </c>
    </row>
    <row r="2" spans="1:37" s="2" customFormat="1" x14ac:dyDescent="0.25">
      <c r="A2" s="4" t="s">
        <v>0</v>
      </c>
      <c r="B2" s="4" t="s">
        <v>3</v>
      </c>
      <c r="C2" s="4" t="s">
        <v>5</v>
      </c>
      <c r="D2" s="1"/>
      <c r="E2" s="2" t="s">
        <v>5</v>
      </c>
      <c r="F2" s="2" t="s">
        <v>0</v>
      </c>
      <c r="G2" s="2" t="s">
        <v>3</v>
      </c>
      <c r="H2" s="2" t="s">
        <v>1</v>
      </c>
      <c r="I2" s="2" t="s">
        <v>12</v>
      </c>
      <c r="J2" s="2" t="s">
        <v>4</v>
      </c>
      <c r="K2" s="2" t="s">
        <v>1725</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397</v>
      </c>
      <c r="B3" s="3" t="s">
        <v>1464</v>
      </c>
      <c r="C3" s="3" t="s">
        <v>968</v>
      </c>
      <c r="E3" t="s">
        <v>2053</v>
      </c>
      <c r="F3" t="s">
        <v>1008</v>
      </c>
      <c r="G3" t="s">
        <v>2054</v>
      </c>
      <c r="H3" t="s">
        <v>728</v>
      </c>
      <c r="I3">
        <v>16</v>
      </c>
      <c r="J3" s="22">
        <v>0.05</v>
      </c>
      <c r="K3">
        <v>55</v>
      </c>
      <c r="L3" s="8">
        <f t="shared" ref="L3:L49" si="0">IF($G3="","",$I3*(1+IF($J3="",0,$J3)))</f>
        <v>16.8</v>
      </c>
      <c r="M3" s="8">
        <f t="shared" ref="M3:M49" si="1">IF($G3="","",$L3)</f>
        <v>16.8</v>
      </c>
      <c r="N3" s="8">
        <f t="shared" ref="N3:N49" si="2">IF($G3="","",IF($K3="","",$M3*$K3))</f>
        <v>924</v>
      </c>
      <c r="P3" t="s">
        <v>2063</v>
      </c>
      <c r="Q3" t="s">
        <v>1022</v>
      </c>
      <c r="R3" t="s">
        <v>327</v>
      </c>
      <c r="S3" t="s">
        <v>33</v>
      </c>
      <c r="T3">
        <v>89</v>
      </c>
      <c r="U3" s="22">
        <v>0</v>
      </c>
      <c r="V3">
        <v>22.5</v>
      </c>
      <c r="W3" s="8">
        <f>IF($R3="","",$T3*(1+IF($U3="",0,$U3)))</f>
        <v>89</v>
      </c>
      <c r="X3" s="8">
        <f>IF($R3="","",$W3)</f>
        <v>89</v>
      </c>
      <c r="Y3" s="8">
        <f>IF($R3="","",IF($V3="","",$X3*$V3))</f>
        <v>2002.5</v>
      </c>
      <c r="AA3" s="6" t="s">
        <v>1020</v>
      </c>
      <c r="AB3" t="s">
        <v>1021</v>
      </c>
      <c r="AE3">
        <v>0</v>
      </c>
      <c r="AF3">
        <v>0</v>
      </c>
      <c r="AG3">
        <v>0</v>
      </c>
      <c r="AH3" s="8" t="str">
        <f>IF($AC3="","",$AE3*(1+IF($AF3="",0,$AF3)))</f>
        <v/>
      </c>
      <c r="AI3" s="8" t="str">
        <f>IF($AC3="","",$AH3)</f>
        <v/>
      </c>
      <c r="AJ3" s="8" t="str">
        <f>IF($AC3="","",IF($AG3="","",$AI3*$AG3))</f>
        <v/>
      </c>
    </row>
    <row r="4" spans="1:37" x14ac:dyDescent="0.25">
      <c r="A4" s="3" t="s">
        <v>398</v>
      </c>
      <c r="B4" s="3" t="s">
        <v>1465</v>
      </c>
      <c r="C4" s="3" t="s">
        <v>1466</v>
      </c>
      <c r="E4" t="s">
        <v>2055</v>
      </c>
      <c r="F4" t="s">
        <v>1009</v>
      </c>
      <c r="G4" t="s">
        <v>1010</v>
      </c>
      <c r="H4" t="s">
        <v>8</v>
      </c>
      <c r="I4">
        <v>26</v>
      </c>
      <c r="J4" s="22">
        <v>0.05</v>
      </c>
      <c r="K4">
        <v>22</v>
      </c>
      <c r="L4" s="8">
        <f t="shared" si="0"/>
        <v>27.3</v>
      </c>
      <c r="M4" s="8">
        <f t="shared" si="1"/>
        <v>27.3</v>
      </c>
      <c r="N4" s="8">
        <f t="shared" si="2"/>
        <v>600.6</v>
      </c>
      <c r="U4" s="22"/>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970</v>
      </c>
      <c r="B5" s="3" t="s">
        <v>971</v>
      </c>
      <c r="C5" s="3" t="s">
        <v>1467</v>
      </c>
      <c r="E5" t="s">
        <v>2056</v>
      </c>
      <c r="F5" t="s">
        <v>1011</v>
      </c>
      <c r="G5" t="s">
        <v>1012</v>
      </c>
      <c r="H5" t="s">
        <v>1013</v>
      </c>
      <c r="I5">
        <v>958</v>
      </c>
      <c r="J5" s="22">
        <v>0.05</v>
      </c>
      <c r="K5">
        <v>5.5</v>
      </c>
      <c r="L5" s="8">
        <f t="shared" si="0"/>
        <v>1005.9000000000001</v>
      </c>
      <c r="M5" s="8">
        <f t="shared" si="1"/>
        <v>1005.9000000000001</v>
      </c>
      <c r="N5" s="8">
        <f t="shared" si="2"/>
        <v>5532.4500000000007</v>
      </c>
      <c r="W5" s="8" t="str">
        <f t="shared" si="3"/>
        <v/>
      </c>
      <c r="X5" s="8" t="str">
        <f t="shared" si="4"/>
        <v/>
      </c>
      <c r="Y5" s="8" t="str">
        <f t="shared" si="5"/>
        <v/>
      </c>
      <c r="AH5" s="8" t="str">
        <f t="shared" si="6"/>
        <v/>
      </c>
      <c r="AI5" s="8" t="str">
        <f t="shared" si="7"/>
        <v/>
      </c>
      <c r="AJ5" s="8" t="str">
        <f t="shared" si="8"/>
        <v/>
      </c>
    </row>
    <row r="6" spans="1:37" x14ac:dyDescent="0.25">
      <c r="A6" s="3" t="s">
        <v>969</v>
      </c>
      <c r="B6" s="3" t="s">
        <v>1468</v>
      </c>
      <c r="C6" s="3" t="s">
        <v>1469</v>
      </c>
      <c r="E6" t="s">
        <v>2057</v>
      </c>
      <c r="F6" t="s">
        <v>1014</v>
      </c>
      <c r="G6" t="s">
        <v>1518</v>
      </c>
      <c r="H6" t="s">
        <v>8</v>
      </c>
      <c r="I6">
        <v>1200</v>
      </c>
      <c r="J6">
        <v>0.05</v>
      </c>
      <c r="K6">
        <v>0.13</v>
      </c>
      <c r="L6" s="8">
        <f t="shared" si="0"/>
        <v>1260</v>
      </c>
      <c r="M6" s="8">
        <f t="shared" si="1"/>
        <v>1260</v>
      </c>
      <c r="N6" s="8">
        <f t="shared" si="2"/>
        <v>163.80000000000001</v>
      </c>
      <c r="W6" s="8" t="str">
        <f t="shared" si="3"/>
        <v/>
      </c>
      <c r="X6" s="8" t="str">
        <f t="shared" si="4"/>
        <v/>
      </c>
      <c r="Y6" s="8" t="str">
        <f t="shared" si="5"/>
        <v/>
      </c>
      <c r="AH6" s="8" t="str">
        <f t="shared" si="6"/>
        <v/>
      </c>
      <c r="AI6" s="8" t="str">
        <f t="shared" si="7"/>
        <v/>
      </c>
      <c r="AJ6" s="8" t="str">
        <f t="shared" si="8"/>
        <v/>
      </c>
    </row>
    <row r="7" spans="1:37" x14ac:dyDescent="0.25">
      <c r="A7" s="3" t="s">
        <v>399</v>
      </c>
      <c r="B7" s="3" t="s">
        <v>972</v>
      </c>
      <c r="C7" s="3" t="s">
        <v>973</v>
      </c>
      <c r="E7" t="s">
        <v>2058</v>
      </c>
      <c r="F7" t="s">
        <v>1015</v>
      </c>
      <c r="G7" t="s">
        <v>1016</v>
      </c>
      <c r="H7" t="s">
        <v>8</v>
      </c>
      <c r="I7">
        <v>10</v>
      </c>
      <c r="J7">
        <v>0.05</v>
      </c>
      <c r="K7">
        <v>28</v>
      </c>
      <c r="L7" s="8">
        <f t="shared" si="0"/>
        <v>10.5</v>
      </c>
      <c r="M7" s="8">
        <f t="shared" si="1"/>
        <v>10.5</v>
      </c>
      <c r="N7" s="8">
        <f t="shared" si="2"/>
        <v>294</v>
      </c>
      <c r="W7" s="8" t="str">
        <f t="shared" si="3"/>
        <v/>
      </c>
      <c r="X7" s="8" t="str">
        <f t="shared" si="4"/>
        <v/>
      </c>
      <c r="Y7" s="8" t="str">
        <f t="shared" si="5"/>
        <v/>
      </c>
      <c r="AH7" s="8" t="str">
        <f t="shared" si="6"/>
        <v/>
      </c>
      <c r="AI7" s="8" t="str">
        <f t="shared" si="7"/>
        <v/>
      </c>
      <c r="AJ7" s="8" t="str">
        <f t="shared" si="8"/>
        <v/>
      </c>
    </row>
    <row r="8" spans="1:37" x14ac:dyDescent="0.25">
      <c r="A8" s="3" t="s">
        <v>399</v>
      </c>
      <c r="B8" s="3" t="s">
        <v>1470</v>
      </c>
      <c r="C8" s="3" t="s">
        <v>1471</v>
      </c>
      <c r="E8" t="s">
        <v>2059</v>
      </c>
      <c r="F8" t="s">
        <v>1015</v>
      </c>
      <c r="G8" t="s">
        <v>1017</v>
      </c>
      <c r="H8" t="s">
        <v>332</v>
      </c>
      <c r="I8">
        <v>3</v>
      </c>
      <c r="J8">
        <v>0.05</v>
      </c>
      <c r="K8">
        <v>15</v>
      </c>
      <c r="L8" s="8">
        <f t="shared" si="0"/>
        <v>3.1500000000000004</v>
      </c>
      <c r="M8" s="8">
        <f t="shared" si="1"/>
        <v>3.1500000000000004</v>
      </c>
      <c r="N8" s="8">
        <f t="shared" si="2"/>
        <v>47.250000000000007</v>
      </c>
      <c r="W8" s="8" t="str">
        <f t="shared" si="3"/>
        <v/>
      </c>
      <c r="X8" s="8" t="str">
        <f t="shared" si="4"/>
        <v/>
      </c>
      <c r="Y8" s="8" t="str">
        <f t="shared" si="5"/>
        <v/>
      </c>
      <c r="AH8" s="8" t="str">
        <f t="shared" si="6"/>
        <v/>
      </c>
      <c r="AI8" s="8" t="str">
        <f t="shared" si="7"/>
        <v/>
      </c>
      <c r="AJ8" s="8" t="str">
        <f t="shared" si="8"/>
        <v/>
      </c>
    </row>
    <row r="9" spans="1:37" x14ac:dyDescent="0.25">
      <c r="A9" s="3" t="s">
        <v>401</v>
      </c>
      <c r="B9" s="3" t="s">
        <v>974</v>
      </c>
      <c r="C9" s="3" t="s">
        <v>1472</v>
      </c>
      <c r="E9" t="s">
        <v>2060</v>
      </c>
      <c r="F9" t="s">
        <v>1018</v>
      </c>
      <c r="G9" t="s">
        <v>1519</v>
      </c>
      <c r="H9" t="s">
        <v>728</v>
      </c>
      <c r="I9">
        <v>8</v>
      </c>
      <c r="J9">
        <v>0.05</v>
      </c>
      <c r="K9">
        <v>45</v>
      </c>
      <c r="L9" s="8">
        <f t="shared" si="0"/>
        <v>8.4</v>
      </c>
      <c r="M9" s="8">
        <f t="shared" si="1"/>
        <v>8.4</v>
      </c>
      <c r="N9" s="8">
        <f t="shared" si="2"/>
        <v>378</v>
      </c>
      <c r="W9" s="8" t="str">
        <f t="shared" si="3"/>
        <v/>
      </c>
      <c r="X9" s="8" t="str">
        <f t="shared" si="4"/>
        <v/>
      </c>
      <c r="Y9" s="8" t="str">
        <f t="shared" si="5"/>
        <v/>
      </c>
      <c r="AH9" s="8" t="str">
        <f t="shared" si="6"/>
        <v/>
      </c>
      <c r="AI9" s="8" t="str">
        <f t="shared" si="7"/>
        <v/>
      </c>
      <c r="AJ9" s="8" t="str">
        <f t="shared" si="8"/>
        <v/>
      </c>
    </row>
    <row r="10" spans="1:37" x14ac:dyDescent="0.25">
      <c r="A10" s="3" t="s">
        <v>401</v>
      </c>
      <c r="B10" s="3" t="s">
        <v>975</v>
      </c>
      <c r="C10" s="3" t="s">
        <v>976</v>
      </c>
      <c r="E10" t="s">
        <v>1520</v>
      </c>
      <c r="F10" t="s">
        <v>1018</v>
      </c>
      <c r="G10" t="s">
        <v>1521</v>
      </c>
      <c r="H10" t="s">
        <v>8</v>
      </c>
      <c r="I10">
        <v>24</v>
      </c>
      <c r="J10">
        <v>0.05</v>
      </c>
      <c r="K10">
        <v>7.5</v>
      </c>
      <c r="L10" s="8">
        <f t="shared" si="0"/>
        <v>25.200000000000003</v>
      </c>
      <c r="M10" s="8">
        <f t="shared" si="1"/>
        <v>25.200000000000003</v>
      </c>
      <c r="N10" s="8">
        <f t="shared" si="2"/>
        <v>189.00000000000003</v>
      </c>
      <c r="W10" s="8" t="str">
        <f t="shared" si="3"/>
        <v/>
      </c>
      <c r="X10" s="8" t="str">
        <f t="shared" si="4"/>
        <v/>
      </c>
      <c r="Y10" s="8" t="str">
        <f t="shared" si="5"/>
        <v/>
      </c>
      <c r="AH10" s="8" t="str">
        <f t="shared" si="6"/>
        <v/>
      </c>
      <c r="AI10" s="8" t="str">
        <f t="shared" si="7"/>
        <v/>
      </c>
      <c r="AJ10" s="8" t="str">
        <f t="shared" si="8"/>
        <v/>
      </c>
    </row>
    <row r="11" spans="1:37" x14ac:dyDescent="0.25">
      <c r="A11" s="3" t="s">
        <v>401</v>
      </c>
      <c r="B11" s="3" t="s">
        <v>1473</v>
      </c>
      <c r="C11" s="3" t="s">
        <v>977</v>
      </c>
      <c r="E11" t="s">
        <v>2061</v>
      </c>
      <c r="F11" t="s">
        <v>1018</v>
      </c>
      <c r="G11" t="s">
        <v>1522</v>
      </c>
      <c r="H11" t="s">
        <v>8</v>
      </c>
      <c r="I11">
        <v>4</v>
      </c>
      <c r="J11">
        <v>0</v>
      </c>
      <c r="K11">
        <v>10</v>
      </c>
      <c r="L11" s="8">
        <f t="shared" si="0"/>
        <v>4</v>
      </c>
      <c r="M11" s="8">
        <f t="shared" si="1"/>
        <v>4</v>
      </c>
      <c r="N11" s="8">
        <f t="shared" si="2"/>
        <v>40</v>
      </c>
      <c r="W11" s="8" t="str">
        <f t="shared" si="3"/>
        <v/>
      </c>
      <c r="X11" s="8" t="str">
        <f t="shared" si="4"/>
        <v/>
      </c>
      <c r="Y11" s="8" t="str">
        <f t="shared" si="5"/>
        <v/>
      </c>
      <c r="AH11" s="8" t="str">
        <f t="shared" si="6"/>
        <v/>
      </c>
      <c r="AI11" s="8" t="str">
        <f t="shared" si="7"/>
        <v/>
      </c>
      <c r="AJ11" s="8" t="str">
        <f t="shared" si="8"/>
        <v/>
      </c>
    </row>
    <row r="12" spans="1:37" x14ac:dyDescent="0.25">
      <c r="A12" s="3" t="s">
        <v>399</v>
      </c>
      <c r="B12" s="3" t="s">
        <v>978</v>
      </c>
      <c r="C12" s="3" t="s">
        <v>979</v>
      </c>
      <c r="E12" t="s">
        <v>1523</v>
      </c>
      <c r="F12" t="s">
        <v>1524</v>
      </c>
      <c r="G12" t="s">
        <v>1525</v>
      </c>
      <c r="H12" t="s">
        <v>728</v>
      </c>
      <c r="I12">
        <v>4</v>
      </c>
      <c r="J12">
        <v>0.05</v>
      </c>
      <c r="K12">
        <v>59</v>
      </c>
      <c r="L12" s="8">
        <f t="shared" si="0"/>
        <v>4.2</v>
      </c>
      <c r="M12" s="8">
        <f t="shared" si="1"/>
        <v>4.2</v>
      </c>
      <c r="N12" s="8">
        <f t="shared" si="2"/>
        <v>247.8</v>
      </c>
      <c r="W12" s="8" t="str">
        <f t="shared" si="3"/>
        <v/>
      </c>
      <c r="X12" s="8" t="str">
        <f t="shared" si="4"/>
        <v/>
      </c>
      <c r="Y12" s="8" t="str">
        <f t="shared" si="5"/>
        <v/>
      </c>
      <c r="AH12" s="8" t="str">
        <f t="shared" si="6"/>
        <v/>
      </c>
      <c r="AI12" s="8" t="str">
        <f t="shared" si="7"/>
        <v/>
      </c>
      <c r="AJ12" s="8" t="str">
        <f t="shared" si="8"/>
        <v/>
      </c>
    </row>
    <row r="13" spans="1:37" x14ac:dyDescent="0.25">
      <c r="A13" s="3" t="s">
        <v>399</v>
      </c>
      <c r="B13" s="3" t="s">
        <v>980</v>
      </c>
      <c r="C13" s="3" t="s">
        <v>1474</v>
      </c>
      <c r="E13" t="s">
        <v>1526</v>
      </c>
      <c r="F13" t="s">
        <v>1524</v>
      </c>
      <c r="G13" t="s">
        <v>1527</v>
      </c>
      <c r="H13" t="s">
        <v>8</v>
      </c>
      <c r="I13">
        <v>4</v>
      </c>
      <c r="J13">
        <v>0.05</v>
      </c>
      <c r="K13">
        <v>6.2</v>
      </c>
      <c r="L13" s="8">
        <f t="shared" si="0"/>
        <v>4.2</v>
      </c>
      <c r="M13" s="8">
        <f t="shared" si="1"/>
        <v>4.2</v>
      </c>
      <c r="N13" s="8">
        <f t="shared" si="2"/>
        <v>26.040000000000003</v>
      </c>
      <c r="W13" s="8" t="str">
        <f t="shared" si="3"/>
        <v/>
      </c>
      <c r="X13" s="8" t="str">
        <f t="shared" si="4"/>
        <v/>
      </c>
      <c r="Y13" s="8" t="str">
        <f t="shared" si="5"/>
        <v/>
      </c>
      <c r="AH13" s="8" t="str">
        <f t="shared" si="6"/>
        <v/>
      </c>
      <c r="AI13" s="8" t="str">
        <f t="shared" si="7"/>
        <v/>
      </c>
      <c r="AJ13" s="8" t="str">
        <f t="shared" si="8"/>
        <v/>
      </c>
    </row>
    <row r="14" spans="1:37" x14ac:dyDescent="0.25">
      <c r="A14" s="3" t="s">
        <v>399</v>
      </c>
      <c r="B14" s="3" t="s">
        <v>2019</v>
      </c>
      <c r="C14" s="3" t="s">
        <v>2020</v>
      </c>
      <c r="E14" t="s">
        <v>1528</v>
      </c>
      <c r="F14" t="s">
        <v>1524</v>
      </c>
      <c r="G14" t="s">
        <v>1529</v>
      </c>
      <c r="H14" t="s">
        <v>8</v>
      </c>
      <c r="I14">
        <v>8</v>
      </c>
      <c r="J14">
        <v>0.05</v>
      </c>
      <c r="K14">
        <v>5.6</v>
      </c>
      <c r="L14" s="8">
        <f t="shared" si="0"/>
        <v>8.4</v>
      </c>
      <c r="M14" s="8">
        <f t="shared" si="1"/>
        <v>8.4</v>
      </c>
      <c r="N14" s="8">
        <f t="shared" si="2"/>
        <v>47.04</v>
      </c>
      <c r="W14" s="8" t="str">
        <f t="shared" si="3"/>
        <v/>
      </c>
      <c r="X14" s="8" t="str">
        <f t="shared" si="4"/>
        <v/>
      </c>
      <c r="Y14" s="8" t="str">
        <f t="shared" si="5"/>
        <v/>
      </c>
      <c r="AH14" s="8" t="str">
        <f t="shared" si="6"/>
        <v/>
      </c>
      <c r="AI14" s="8" t="str">
        <f t="shared" si="7"/>
        <v/>
      </c>
      <c r="AJ14" s="8" t="str">
        <f t="shared" si="8"/>
        <v/>
      </c>
    </row>
    <row r="15" spans="1:37" x14ac:dyDescent="0.25">
      <c r="A15" s="3" t="s">
        <v>399</v>
      </c>
      <c r="B15" s="3" t="s">
        <v>2021</v>
      </c>
      <c r="C15" s="3" t="s">
        <v>2022</v>
      </c>
      <c r="E15" t="s">
        <v>2062</v>
      </c>
      <c r="F15" t="s">
        <v>1524</v>
      </c>
      <c r="G15" t="s">
        <v>1019</v>
      </c>
      <c r="H15" t="s">
        <v>8</v>
      </c>
      <c r="I15">
        <v>12</v>
      </c>
      <c r="J15">
        <v>0.05</v>
      </c>
      <c r="K15">
        <v>3</v>
      </c>
      <c r="L15" s="8">
        <f t="shared" si="0"/>
        <v>12.600000000000001</v>
      </c>
      <c r="M15" s="8">
        <f t="shared" si="1"/>
        <v>12.600000000000001</v>
      </c>
      <c r="N15" s="8">
        <f t="shared" si="2"/>
        <v>37.800000000000004</v>
      </c>
      <c r="W15" s="8" t="str">
        <f t="shared" si="3"/>
        <v/>
      </c>
      <c r="X15" s="8" t="str">
        <f t="shared" si="4"/>
        <v/>
      </c>
      <c r="Y15" s="8" t="str">
        <f t="shared" si="5"/>
        <v/>
      </c>
      <c r="AH15" s="8" t="str">
        <f t="shared" si="6"/>
        <v/>
      </c>
      <c r="AI15" s="8" t="str">
        <f t="shared" si="7"/>
        <v/>
      </c>
      <c r="AJ15" s="8" t="str">
        <f t="shared" si="8"/>
        <v/>
      </c>
    </row>
    <row r="16" spans="1:37" x14ac:dyDescent="0.25">
      <c r="A16" s="3" t="s">
        <v>399</v>
      </c>
      <c r="B16" s="3" t="s">
        <v>400</v>
      </c>
      <c r="C16" s="3" t="s">
        <v>981</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399</v>
      </c>
      <c r="B17" s="3" t="s">
        <v>982</v>
      </c>
      <c r="C17" s="3" t="s">
        <v>983</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399</v>
      </c>
      <c r="B18" s="3" t="s">
        <v>984</v>
      </c>
      <c r="C18" s="3" t="s">
        <v>985</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399</v>
      </c>
      <c r="B19" s="3" t="s">
        <v>986</v>
      </c>
      <c r="C19" s="3" t="s">
        <v>987</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399</v>
      </c>
      <c r="B20" s="3" t="s">
        <v>993</v>
      </c>
      <c r="C20" s="3" t="s">
        <v>994</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399</v>
      </c>
      <c r="B21" s="3" t="s">
        <v>995</v>
      </c>
      <c r="C21" s="3" t="s">
        <v>1475</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399</v>
      </c>
      <c r="B22" s="3" t="s">
        <v>1476</v>
      </c>
      <c r="C22" s="3" t="s">
        <v>1477</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401</v>
      </c>
      <c r="B23" s="3" t="s">
        <v>1478</v>
      </c>
      <c r="C23" s="3" t="s">
        <v>1479</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401</v>
      </c>
      <c r="B24" s="3" t="s">
        <v>1480</v>
      </c>
      <c r="C24" s="3" t="s">
        <v>1481</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401</v>
      </c>
      <c r="B25" s="3" t="s">
        <v>1482</v>
      </c>
      <c r="C25" s="3" t="s">
        <v>1483</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401</v>
      </c>
      <c r="B26" s="3" t="s">
        <v>1484</v>
      </c>
      <c r="C26" s="3" t="s">
        <v>1485</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401</v>
      </c>
      <c r="B27" s="3" t="s">
        <v>1486</v>
      </c>
      <c r="C27" s="3" t="s">
        <v>1487</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399</v>
      </c>
      <c r="B28" s="3" t="s">
        <v>988</v>
      </c>
      <c r="C28" s="3" t="s">
        <v>989</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399</v>
      </c>
      <c r="B29" s="3" t="s">
        <v>990</v>
      </c>
      <c r="C29" s="3" t="s">
        <v>991</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399</v>
      </c>
      <c r="B30" s="3" t="s">
        <v>992</v>
      </c>
      <c r="C30" s="3" t="s">
        <v>1488</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399</v>
      </c>
      <c r="B31" s="3" t="s">
        <v>1489</v>
      </c>
      <c r="C31" s="3" t="s">
        <v>2023</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399</v>
      </c>
      <c r="B32" s="3" t="s">
        <v>996</v>
      </c>
      <c r="C32" s="3" t="s">
        <v>1490</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399</v>
      </c>
      <c r="B33" s="3" t="s">
        <v>997</v>
      </c>
      <c r="C33" s="3" t="s">
        <v>1491</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401</v>
      </c>
      <c r="B34" s="3" t="s">
        <v>2024</v>
      </c>
      <c r="C34" s="3" t="s">
        <v>2025</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401</v>
      </c>
      <c r="B35" s="3" t="s">
        <v>2026</v>
      </c>
      <c r="C35" s="3" t="s">
        <v>2027</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401</v>
      </c>
      <c r="B36" s="3" t="s">
        <v>2028</v>
      </c>
      <c r="C36" s="3" t="s">
        <v>2029</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401</v>
      </c>
      <c r="B37" s="3" t="s">
        <v>2030</v>
      </c>
      <c r="C37" s="3" t="s">
        <v>2031</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401</v>
      </c>
      <c r="B38" s="3" t="s">
        <v>2032</v>
      </c>
      <c r="C38" s="3" t="s">
        <v>2033</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401</v>
      </c>
      <c r="B39" s="3" t="s">
        <v>2034</v>
      </c>
      <c r="C39" s="3" t="s">
        <v>2035</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401</v>
      </c>
      <c r="B40" s="3" t="s">
        <v>2036</v>
      </c>
      <c r="C40" s="3" t="s">
        <v>2037</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401</v>
      </c>
      <c r="B41" s="3" t="s">
        <v>2038</v>
      </c>
      <c r="C41" s="3" t="s">
        <v>2039</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401</v>
      </c>
      <c r="B42" s="3" t="s">
        <v>2040</v>
      </c>
      <c r="C42" s="3" t="s">
        <v>2041</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401</v>
      </c>
      <c r="B43" s="3" t="s">
        <v>2042</v>
      </c>
      <c r="C43" s="3" t="s">
        <v>2043</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401</v>
      </c>
      <c r="B44" s="3" t="s">
        <v>2044</v>
      </c>
      <c r="C44" s="3" t="s">
        <v>2045</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401</v>
      </c>
      <c r="B45" s="3" t="s">
        <v>2046</v>
      </c>
      <c r="C45" s="3" t="s">
        <v>2047</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401</v>
      </c>
      <c r="B46" s="3" t="s">
        <v>2048</v>
      </c>
      <c r="C46" s="3" t="s">
        <v>2049</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998</v>
      </c>
      <c r="B47" s="3" t="s">
        <v>1492</v>
      </c>
      <c r="C47" s="3" t="s">
        <v>2050</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998</v>
      </c>
      <c r="B48" s="3" t="s">
        <v>1493</v>
      </c>
      <c r="C48" s="3" t="s">
        <v>1494</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998</v>
      </c>
      <c r="B49" s="3" t="s">
        <v>1495</v>
      </c>
      <c r="C49" s="3" t="s">
        <v>1496</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998</v>
      </c>
      <c r="B50" s="3" t="s">
        <v>1497</v>
      </c>
      <c r="C50" s="3" t="s">
        <v>1498</v>
      </c>
    </row>
    <row r="51" spans="1:36" x14ac:dyDescent="0.25">
      <c r="A51" s="3" t="s">
        <v>998</v>
      </c>
      <c r="B51" s="3" t="s">
        <v>1499</v>
      </c>
      <c r="C51" s="3" t="s">
        <v>1500</v>
      </c>
    </row>
    <row r="52" spans="1:36" x14ac:dyDescent="0.25">
      <c r="A52" s="3" t="s">
        <v>998</v>
      </c>
      <c r="B52" s="3" t="s">
        <v>999</v>
      </c>
      <c r="C52" s="3" t="s">
        <v>1000</v>
      </c>
    </row>
    <row r="53" spans="1:36" x14ac:dyDescent="0.25">
      <c r="A53" s="3" t="s">
        <v>998</v>
      </c>
      <c r="B53" s="3" t="s">
        <v>1501</v>
      </c>
      <c r="C53" s="3" t="s">
        <v>1502</v>
      </c>
    </row>
    <row r="54" spans="1:36" x14ac:dyDescent="0.25">
      <c r="A54" s="3" t="s">
        <v>998</v>
      </c>
      <c r="B54" s="3" t="s">
        <v>1503</v>
      </c>
      <c r="C54" s="3" t="s">
        <v>1504</v>
      </c>
    </row>
    <row r="55" spans="1:36" x14ac:dyDescent="0.25">
      <c r="A55" s="3" t="s">
        <v>998</v>
      </c>
      <c r="B55" s="3" t="s">
        <v>1505</v>
      </c>
      <c r="C55" s="3" t="s">
        <v>1506</v>
      </c>
    </row>
    <row r="56" spans="1:36" x14ac:dyDescent="0.25">
      <c r="A56" s="3" t="s">
        <v>998</v>
      </c>
      <c r="B56" s="3" t="s">
        <v>1507</v>
      </c>
      <c r="C56" s="3" t="s">
        <v>1508</v>
      </c>
    </row>
    <row r="57" spans="1:36" x14ac:dyDescent="0.25">
      <c r="A57" s="3" t="s">
        <v>998</v>
      </c>
      <c r="B57" s="3" t="s">
        <v>1509</v>
      </c>
      <c r="C57" s="3" t="s">
        <v>1510</v>
      </c>
    </row>
    <row r="58" spans="1:36" x14ac:dyDescent="0.25">
      <c r="A58" s="3" t="s">
        <v>998</v>
      </c>
      <c r="B58" s="3" t="s">
        <v>1001</v>
      </c>
      <c r="C58" s="3" t="s">
        <v>1511</v>
      </c>
    </row>
    <row r="59" spans="1:36" x14ac:dyDescent="0.25">
      <c r="A59" s="3" t="s">
        <v>998</v>
      </c>
      <c r="B59" s="3" t="s">
        <v>1002</v>
      </c>
      <c r="C59" s="3" t="s">
        <v>1003</v>
      </c>
    </row>
    <row r="60" spans="1:36" x14ac:dyDescent="0.25">
      <c r="A60" s="3" t="s">
        <v>399</v>
      </c>
      <c r="B60" s="3" t="s">
        <v>1004</v>
      </c>
      <c r="C60" s="3" t="s">
        <v>1512</v>
      </c>
    </row>
    <row r="61" spans="1:36" x14ac:dyDescent="0.25">
      <c r="A61" s="3" t="s">
        <v>399</v>
      </c>
      <c r="B61" s="3" t="s">
        <v>1513</v>
      </c>
      <c r="C61" s="3" t="s">
        <v>1514</v>
      </c>
    </row>
    <row r="62" spans="1:36" x14ac:dyDescent="0.25">
      <c r="A62" s="3" t="s">
        <v>1005</v>
      </c>
      <c r="B62" s="3" t="s">
        <v>1515</v>
      </c>
      <c r="C62" s="3" t="s">
        <v>457</v>
      </c>
    </row>
    <row r="63" spans="1:36" x14ac:dyDescent="0.25">
      <c r="A63" s="3" t="s">
        <v>401</v>
      </c>
      <c r="B63" s="3" t="s">
        <v>1973</v>
      </c>
      <c r="C63" s="3" t="s">
        <v>2051</v>
      </c>
    </row>
    <row r="64" spans="1:36" x14ac:dyDescent="0.25">
      <c r="A64" s="3" t="s">
        <v>399</v>
      </c>
      <c r="B64" s="3" t="s">
        <v>587</v>
      </c>
      <c r="C64" s="3" t="s">
        <v>2052</v>
      </c>
    </row>
    <row r="65" spans="1:3" x14ac:dyDescent="0.25">
      <c r="A65" s="3" t="s">
        <v>399</v>
      </c>
      <c r="B65" s="3" t="s">
        <v>458</v>
      </c>
      <c r="C65" s="3" t="s">
        <v>1516</v>
      </c>
    </row>
    <row r="66" spans="1:3" x14ac:dyDescent="0.25">
      <c r="A66" s="3" t="s">
        <v>399</v>
      </c>
      <c r="B66" s="3" t="s">
        <v>370</v>
      </c>
      <c r="C66" s="3" t="s">
        <v>1006</v>
      </c>
    </row>
    <row r="67" spans="1:3" x14ac:dyDescent="0.25">
      <c r="A67" s="3" t="s">
        <v>402</v>
      </c>
      <c r="B67" s="3" t="s">
        <v>1007</v>
      </c>
      <c r="C67" s="3" t="s">
        <v>1517</v>
      </c>
    </row>
  </sheetData>
  <mergeCells count="4">
    <mergeCell ref="A1:C1"/>
    <mergeCell ref="E1:K1"/>
    <mergeCell ref="P1:V1"/>
    <mergeCell ref="AA1:AG1"/>
  </mergeCell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683E73-726C-40FE-AAB4-7FD78C99906A}">
  <sheetPr codeName="Sheet20"/>
  <dimension ref="A1:AK50"/>
  <sheetViews>
    <sheetView zoomScale="75" zoomScaleNormal="75" workbookViewId="0">
      <pane ySplit="49" topLeftCell="A85" activePane="bottomLeft" state="frozen"/>
      <selection pane="bottomLeft" sqref="A1:C84"/>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24" t="str" cm="1">
        <f t="array" aca="1" ref="A1" ca="1">IFERROR(MID(CELL("filename",$A$1),FIND("]",CELL("filename",$A$1))+1,99),"SXX")</f>
        <v>S09</v>
      </c>
      <c r="B1" s="24"/>
      <c r="C1" s="24"/>
      <c r="E1" s="25" t="str" cm="1">
        <f t="array" aca="1" ref="E1" ca="1">IFERROR(MID(CELL("filename",$A$1),FIND("]",CELL("filename",$A$1))+1,99),"SXX")&amp;" MATERIALS (USAGE + STANDALONE)"</f>
        <v>S09 MATERIALS (USAGE + STANDALONE)</v>
      </c>
      <c r="F1" s="25"/>
      <c r="G1" s="25"/>
      <c r="H1" s="25"/>
      <c r="I1" s="25"/>
      <c r="J1" s="25"/>
      <c r="K1" s="25"/>
      <c r="L1" s="13"/>
      <c r="M1" s="13"/>
      <c r="N1" s="19">
        <f>SUM(N3:N49)</f>
        <v>1840.8600000000004</v>
      </c>
      <c r="P1" s="25" t="str" cm="1">
        <f t="array" aca="1" ref="P1" ca="1">IFERROR(MID(CELL("filename",$A$1),FIND("]",CELL("filename",$A$1))+1,99),"SXX")&amp;" LABOUR (USAGE + STANDALONE)"</f>
        <v>S09 LABOUR (USAGE + STANDALONE)</v>
      </c>
      <c r="Q1" s="25"/>
      <c r="R1" s="25"/>
      <c r="S1" s="25"/>
      <c r="T1" s="25"/>
      <c r="U1" s="25"/>
      <c r="V1" s="25"/>
      <c r="Y1" s="19">
        <f>SUM(Y3:Y49)</f>
        <v>3060</v>
      </c>
      <c r="AA1" s="26" t="str" cm="1">
        <f t="array" aca="1" ref="AA1" ca="1">IFERROR(MID(CELL("filename",$A$1),FIND("]",CELL("filename",$A$1))+1,99),"SXX")&amp;" RENTAL / SERVICE (USAGE + STANDALONE)"</f>
        <v>S09 RENTAL / SERVICE (USAGE + STANDALONE)</v>
      </c>
      <c r="AB1" s="26"/>
      <c r="AC1" s="26"/>
      <c r="AD1" s="26"/>
      <c r="AE1" s="26"/>
      <c r="AF1" s="26"/>
      <c r="AG1" s="26"/>
      <c r="AH1" s="6"/>
      <c r="AI1" s="6"/>
      <c r="AJ1" s="19">
        <f>SUM(AJ3:AJ49)</f>
        <v>0</v>
      </c>
    </row>
    <row r="2" spans="1:37" s="2" customFormat="1" x14ac:dyDescent="0.25">
      <c r="A2" s="4" t="s">
        <v>0</v>
      </c>
      <c r="B2" s="4" t="s">
        <v>3</v>
      </c>
      <c r="C2" s="4" t="s">
        <v>5</v>
      </c>
      <c r="D2" s="1"/>
      <c r="E2" s="2" t="s">
        <v>5</v>
      </c>
      <c r="F2" s="2" t="s">
        <v>0</v>
      </c>
      <c r="G2" s="2" t="s">
        <v>3</v>
      </c>
      <c r="H2" s="2" t="s">
        <v>1</v>
      </c>
      <c r="I2" s="2" t="s">
        <v>12</v>
      </c>
      <c r="J2" s="2" t="s">
        <v>4</v>
      </c>
      <c r="K2" s="2" t="s">
        <v>1725</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403</v>
      </c>
      <c r="B3" s="3" t="s">
        <v>1135</v>
      </c>
      <c r="C3" s="3" t="s">
        <v>1136</v>
      </c>
      <c r="E3" t="s">
        <v>2079</v>
      </c>
      <c r="F3" t="s">
        <v>1206</v>
      </c>
      <c r="G3" t="s">
        <v>1207</v>
      </c>
      <c r="H3" t="s">
        <v>8</v>
      </c>
      <c r="I3">
        <v>3900</v>
      </c>
      <c r="J3" s="22">
        <v>0.03</v>
      </c>
      <c r="K3">
        <v>0.28000000000000003</v>
      </c>
      <c r="L3" s="8">
        <f t="shared" ref="L3:L49" si="0">IF($G3="","",$I3*(1+IF($J3="",0,$J3)))</f>
        <v>4017</v>
      </c>
      <c r="M3" s="8">
        <f t="shared" ref="M3:M49" si="1">IF($G3="","",$L3)</f>
        <v>4017</v>
      </c>
      <c r="N3" s="8">
        <f t="shared" ref="N3:N49" si="2">IF($G3="","",IF($K3="","",$M3*$K3))</f>
        <v>1124.7600000000002</v>
      </c>
      <c r="P3" t="s">
        <v>2087</v>
      </c>
      <c r="Q3" t="s">
        <v>1210</v>
      </c>
      <c r="R3" t="s">
        <v>327</v>
      </c>
      <c r="S3" t="s">
        <v>33</v>
      </c>
      <c r="T3">
        <v>136</v>
      </c>
      <c r="U3" s="22">
        <v>0</v>
      </c>
      <c r="V3">
        <v>22.5</v>
      </c>
      <c r="W3" s="8">
        <f>IF($R3="","",$T3*(1+IF($U3="",0,$U3)))</f>
        <v>136</v>
      </c>
      <c r="X3" s="8">
        <f>IF($R3="","",$W3)</f>
        <v>136</v>
      </c>
      <c r="Y3" s="8">
        <f>IF($R3="","",IF($V3="","",$X3*$V3))</f>
        <v>3060</v>
      </c>
      <c r="AH3" s="8" t="str">
        <f>IF($AC3="","",$AE3*(1+IF($AF3="",0,$AF3)))</f>
        <v/>
      </c>
      <c r="AI3" s="8" t="str">
        <f>IF($AC3="","",$AH3)</f>
        <v/>
      </c>
      <c r="AJ3" s="8" t="str">
        <f>IF($AC3="","",IF($AG3="","",$AI3*$AG3))</f>
        <v/>
      </c>
    </row>
    <row r="4" spans="1:37" x14ac:dyDescent="0.25">
      <c r="A4" s="3" t="s">
        <v>404</v>
      </c>
      <c r="B4" s="3" t="s">
        <v>1137</v>
      </c>
      <c r="C4" s="3" t="s">
        <v>1138</v>
      </c>
      <c r="E4" t="s">
        <v>2080</v>
      </c>
      <c r="F4" t="s">
        <v>1208</v>
      </c>
      <c r="G4" t="s">
        <v>2081</v>
      </c>
      <c r="H4" t="s">
        <v>9</v>
      </c>
      <c r="I4">
        <v>12</v>
      </c>
      <c r="J4" s="22">
        <v>0.05</v>
      </c>
      <c r="K4">
        <v>24</v>
      </c>
      <c r="L4" s="8">
        <f t="shared" si="0"/>
        <v>12.600000000000001</v>
      </c>
      <c r="M4" s="8">
        <f t="shared" si="1"/>
        <v>12.600000000000001</v>
      </c>
      <c r="N4" s="8">
        <f t="shared" si="2"/>
        <v>302.40000000000003</v>
      </c>
      <c r="U4" s="22"/>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1139</v>
      </c>
      <c r="B5" s="3" t="s">
        <v>1140</v>
      </c>
      <c r="C5" s="3" t="s">
        <v>1141</v>
      </c>
      <c r="E5" t="s">
        <v>2082</v>
      </c>
      <c r="F5" t="s">
        <v>1208</v>
      </c>
      <c r="G5" t="s">
        <v>738</v>
      </c>
      <c r="H5" t="s">
        <v>11</v>
      </c>
      <c r="I5">
        <v>0.2</v>
      </c>
      <c r="J5" s="22">
        <v>0.05</v>
      </c>
      <c r="K5">
        <v>850</v>
      </c>
      <c r="L5" s="8">
        <f t="shared" si="0"/>
        <v>0.21000000000000002</v>
      </c>
      <c r="M5" s="8">
        <f t="shared" si="1"/>
        <v>0.21000000000000002</v>
      </c>
      <c r="N5" s="8">
        <f t="shared" si="2"/>
        <v>178.50000000000003</v>
      </c>
      <c r="W5" s="8" t="str">
        <f t="shared" si="3"/>
        <v/>
      </c>
      <c r="X5" s="8" t="str">
        <f t="shared" si="4"/>
        <v/>
      </c>
      <c r="Y5" s="8" t="str">
        <f t="shared" si="5"/>
        <v/>
      </c>
      <c r="AH5" s="8" t="str">
        <f t="shared" si="6"/>
        <v/>
      </c>
      <c r="AI5" s="8" t="str">
        <f t="shared" si="7"/>
        <v/>
      </c>
      <c r="AJ5" s="8" t="str">
        <f t="shared" si="8"/>
        <v/>
      </c>
    </row>
    <row r="6" spans="1:37" x14ac:dyDescent="0.25">
      <c r="A6" s="3" t="s">
        <v>1142</v>
      </c>
      <c r="B6" s="3" t="s">
        <v>1143</v>
      </c>
      <c r="C6" s="3" t="s">
        <v>1144</v>
      </c>
      <c r="E6" t="s">
        <v>2083</v>
      </c>
      <c r="F6" t="s">
        <v>1209</v>
      </c>
      <c r="G6" t="s">
        <v>871</v>
      </c>
      <c r="H6" t="s">
        <v>667</v>
      </c>
      <c r="I6">
        <v>2</v>
      </c>
      <c r="J6">
        <v>0.05</v>
      </c>
      <c r="K6">
        <v>22</v>
      </c>
      <c r="L6" s="8">
        <f t="shared" si="0"/>
        <v>2.1</v>
      </c>
      <c r="M6" s="8">
        <f t="shared" si="1"/>
        <v>2.1</v>
      </c>
      <c r="N6" s="8">
        <f t="shared" si="2"/>
        <v>46.2</v>
      </c>
      <c r="W6" s="8" t="str">
        <f t="shared" si="3"/>
        <v/>
      </c>
      <c r="X6" s="8" t="str">
        <f t="shared" si="4"/>
        <v/>
      </c>
      <c r="Y6" s="8" t="str">
        <f t="shared" si="5"/>
        <v/>
      </c>
      <c r="AH6" s="8" t="str">
        <f t="shared" si="6"/>
        <v/>
      </c>
      <c r="AI6" s="8" t="str">
        <f t="shared" si="7"/>
        <v/>
      </c>
      <c r="AJ6" s="8" t="str">
        <f t="shared" si="8"/>
        <v/>
      </c>
    </row>
    <row r="7" spans="1:37" x14ac:dyDescent="0.25">
      <c r="A7" s="3" t="s">
        <v>406</v>
      </c>
      <c r="B7" s="3" t="s">
        <v>1145</v>
      </c>
      <c r="C7" s="3" t="s">
        <v>1146</v>
      </c>
      <c r="E7" t="s">
        <v>2084</v>
      </c>
      <c r="F7" t="s">
        <v>1209</v>
      </c>
      <c r="G7" t="s">
        <v>668</v>
      </c>
      <c r="H7" t="s">
        <v>667</v>
      </c>
      <c r="I7">
        <v>2</v>
      </c>
      <c r="J7">
        <v>0.05</v>
      </c>
      <c r="K7">
        <v>15</v>
      </c>
      <c r="L7" s="8">
        <f t="shared" si="0"/>
        <v>2.1</v>
      </c>
      <c r="M7" s="8">
        <f t="shared" si="1"/>
        <v>2.1</v>
      </c>
      <c r="N7" s="8">
        <f t="shared" si="2"/>
        <v>31.5</v>
      </c>
      <c r="W7" s="8" t="str">
        <f t="shared" si="3"/>
        <v/>
      </c>
      <c r="X7" s="8" t="str">
        <f t="shared" si="4"/>
        <v/>
      </c>
      <c r="Y7" s="8" t="str">
        <f t="shared" si="5"/>
        <v/>
      </c>
      <c r="AH7" s="8" t="str">
        <f t="shared" si="6"/>
        <v/>
      </c>
      <c r="AI7" s="8" t="str">
        <f t="shared" si="7"/>
        <v/>
      </c>
      <c r="AJ7" s="8" t="str">
        <f t="shared" si="8"/>
        <v/>
      </c>
    </row>
    <row r="8" spans="1:37" x14ac:dyDescent="0.25">
      <c r="A8" s="3" t="s">
        <v>405</v>
      </c>
      <c r="B8" s="3" t="s">
        <v>1147</v>
      </c>
      <c r="C8" s="3" t="s">
        <v>1148</v>
      </c>
      <c r="E8" t="s">
        <v>2085</v>
      </c>
      <c r="F8" t="s">
        <v>1209</v>
      </c>
      <c r="G8" t="s">
        <v>670</v>
      </c>
      <c r="H8" t="s">
        <v>671</v>
      </c>
      <c r="I8">
        <v>2</v>
      </c>
      <c r="J8">
        <v>0.05</v>
      </c>
      <c r="K8">
        <v>45</v>
      </c>
      <c r="L8" s="8">
        <f t="shared" si="0"/>
        <v>2.1</v>
      </c>
      <c r="M8" s="8">
        <f t="shared" si="1"/>
        <v>2.1</v>
      </c>
      <c r="N8" s="8">
        <f t="shared" si="2"/>
        <v>94.5</v>
      </c>
      <c r="W8" s="8" t="str">
        <f t="shared" si="3"/>
        <v/>
      </c>
      <c r="X8" s="8" t="str">
        <f t="shared" si="4"/>
        <v/>
      </c>
      <c r="Y8" s="8" t="str">
        <f t="shared" si="5"/>
        <v/>
      </c>
      <c r="AH8" s="8" t="str">
        <f t="shared" si="6"/>
        <v/>
      </c>
      <c r="AI8" s="8" t="str">
        <f t="shared" si="7"/>
        <v/>
      </c>
      <c r="AJ8" s="8" t="str">
        <f t="shared" si="8"/>
        <v/>
      </c>
    </row>
    <row r="9" spans="1:37" x14ac:dyDescent="0.25">
      <c r="A9" s="3" t="s">
        <v>405</v>
      </c>
      <c r="B9" s="3" t="s">
        <v>1149</v>
      </c>
      <c r="C9" s="3" t="s">
        <v>2064</v>
      </c>
      <c r="E9" t="s">
        <v>2086</v>
      </c>
      <c r="F9" t="s">
        <v>1209</v>
      </c>
      <c r="G9" t="s">
        <v>727</v>
      </c>
      <c r="H9" t="s">
        <v>728</v>
      </c>
      <c r="I9">
        <v>4</v>
      </c>
      <c r="J9">
        <v>0.05</v>
      </c>
      <c r="K9">
        <v>15</v>
      </c>
      <c r="L9" s="8">
        <f t="shared" si="0"/>
        <v>4.2</v>
      </c>
      <c r="M9" s="8">
        <f t="shared" si="1"/>
        <v>4.2</v>
      </c>
      <c r="N9" s="8">
        <f t="shared" si="2"/>
        <v>63</v>
      </c>
      <c r="W9" s="8" t="str">
        <f t="shared" si="3"/>
        <v/>
      </c>
      <c r="X9" s="8" t="str">
        <f t="shared" si="4"/>
        <v/>
      </c>
      <c r="Y9" s="8" t="str">
        <f t="shared" si="5"/>
        <v/>
      </c>
      <c r="AH9" s="8" t="str">
        <f t="shared" si="6"/>
        <v/>
      </c>
      <c r="AI9" s="8" t="str">
        <f t="shared" si="7"/>
        <v/>
      </c>
      <c r="AJ9" s="8" t="str">
        <f t="shared" si="8"/>
        <v/>
      </c>
    </row>
    <row r="10" spans="1:37" x14ac:dyDescent="0.25">
      <c r="A10" s="3" t="s">
        <v>405</v>
      </c>
      <c r="B10" s="3" t="s">
        <v>1150</v>
      </c>
      <c r="C10" s="3" t="s">
        <v>731</v>
      </c>
      <c r="L10" s="8" t="str">
        <f t="shared" si="0"/>
        <v/>
      </c>
      <c r="M10" s="8" t="str">
        <f t="shared" si="1"/>
        <v/>
      </c>
      <c r="N10" s="8" t="str">
        <f t="shared" si="2"/>
        <v/>
      </c>
      <c r="W10" s="8" t="str">
        <f t="shared" si="3"/>
        <v/>
      </c>
      <c r="X10" s="8" t="str">
        <f t="shared" si="4"/>
        <v/>
      </c>
      <c r="Y10" s="8" t="str">
        <f t="shared" si="5"/>
        <v/>
      </c>
      <c r="AH10" s="8" t="str">
        <f t="shared" si="6"/>
        <v/>
      </c>
      <c r="AI10" s="8" t="str">
        <f t="shared" si="7"/>
        <v/>
      </c>
      <c r="AJ10" s="8" t="str">
        <f t="shared" si="8"/>
        <v/>
      </c>
    </row>
    <row r="11" spans="1:37" x14ac:dyDescent="0.25">
      <c r="A11" s="3" t="s">
        <v>406</v>
      </c>
      <c r="B11" s="3" t="s">
        <v>1151</v>
      </c>
      <c r="C11" s="3" t="s">
        <v>1152</v>
      </c>
      <c r="L11" s="8" t="str">
        <f t="shared" si="0"/>
        <v/>
      </c>
      <c r="M11" s="8" t="str">
        <f t="shared" si="1"/>
        <v/>
      </c>
      <c r="N11" s="8" t="str">
        <f t="shared" si="2"/>
        <v/>
      </c>
      <c r="W11" s="8" t="str">
        <f t="shared" si="3"/>
        <v/>
      </c>
      <c r="X11" s="8" t="str">
        <f t="shared" si="4"/>
        <v/>
      </c>
      <c r="Y11" s="8" t="str">
        <f t="shared" si="5"/>
        <v/>
      </c>
      <c r="AH11" s="8" t="str">
        <f t="shared" si="6"/>
        <v/>
      </c>
      <c r="AI11" s="8" t="str">
        <f t="shared" si="7"/>
        <v/>
      </c>
      <c r="AJ11" s="8" t="str">
        <f t="shared" si="8"/>
        <v/>
      </c>
    </row>
    <row r="12" spans="1:37" x14ac:dyDescent="0.25">
      <c r="A12" s="3" t="s">
        <v>407</v>
      </c>
      <c r="B12" s="3" t="s">
        <v>1153</v>
      </c>
      <c r="C12" s="3" t="s">
        <v>1154</v>
      </c>
      <c r="L12" s="8" t="str">
        <f t="shared" si="0"/>
        <v/>
      </c>
      <c r="M12" s="8" t="str">
        <f t="shared" si="1"/>
        <v/>
      </c>
      <c r="N12" s="8" t="str">
        <f t="shared" si="2"/>
        <v/>
      </c>
      <c r="W12" s="8" t="str">
        <f t="shared" si="3"/>
        <v/>
      </c>
      <c r="X12" s="8" t="str">
        <f t="shared" si="4"/>
        <v/>
      </c>
      <c r="Y12" s="8" t="str">
        <f t="shared" si="5"/>
        <v/>
      </c>
      <c r="AH12" s="8" t="str">
        <f t="shared" si="6"/>
        <v/>
      </c>
      <c r="AI12" s="8" t="str">
        <f t="shared" si="7"/>
        <v/>
      </c>
      <c r="AJ12" s="8" t="str">
        <f t="shared" si="8"/>
        <v/>
      </c>
    </row>
    <row r="13" spans="1:37" x14ac:dyDescent="0.25">
      <c r="A13" s="3" t="s">
        <v>406</v>
      </c>
      <c r="B13" s="3" t="s">
        <v>1155</v>
      </c>
      <c r="C13" s="3" t="s">
        <v>1156</v>
      </c>
      <c r="L13" s="8" t="str">
        <f t="shared" si="0"/>
        <v/>
      </c>
      <c r="M13" s="8" t="str">
        <f t="shared" si="1"/>
        <v/>
      </c>
      <c r="N13" s="8" t="str">
        <f t="shared" si="2"/>
        <v/>
      </c>
      <c r="W13" s="8" t="str">
        <f t="shared" si="3"/>
        <v/>
      </c>
      <c r="X13" s="8" t="str">
        <f t="shared" si="4"/>
        <v/>
      </c>
      <c r="Y13" s="8" t="str">
        <f t="shared" si="5"/>
        <v/>
      </c>
      <c r="AH13" s="8" t="str">
        <f t="shared" si="6"/>
        <v/>
      </c>
      <c r="AI13" s="8" t="str">
        <f t="shared" si="7"/>
        <v/>
      </c>
      <c r="AJ13" s="8" t="str">
        <f t="shared" si="8"/>
        <v/>
      </c>
    </row>
    <row r="14" spans="1:37" x14ac:dyDescent="0.25">
      <c r="A14" s="3" t="s">
        <v>406</v>
      </c>
      <c r="B14" s="3" t="s">
        <v>1157</v>
      </c>
      <c r="C14" s="3" t="s">
        <v>1158</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406</v>
      </c>
      <c r="B15" s="3" t="s">
        <v>1159</v>
      </c>
      <c r="C15" s="3" t="s">
        <v>1160</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406</v>
      </c>
      <c r="B16" s="3" t="s">
        <v>1161</v>
      </c>
      <c r="C16" s="3" t="s">
        <v>1162</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406</v>
      </c>
      <c r="B17" s="3" t="s">
        <v>1163</v>
      </c>
      <c r="C17" s="3" t="s">
        <v>1164</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406</v>
      </c>
      <c r="B18" s="3" t="s">
        <v>409</v>
      </c>
      <c r="C18" s="3" t="s">
        <v>1165</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406</v>
      </c>
      <c r="B19" s="3" t="s">
        <v>1166</v>
      </c>
      <c r="C19" s="3" t="s">
        <v>1167</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406</v>
      </c>
      <c r="B20" s="3" t="s">
        <v>1168</v>
      </c>
      <c r="C20" s="3" t="s">
        <v>1169</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407</v>
      </c>
      <c r="B21" s="3" t="s">
        <v>1170</v>
      </c>
      <c r="C21" s="3" t="s">
        <v>1171</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407</v>
      </c>
      <c r="B22" s="3" t="s">
        <v>1172</v>
      </c>
      <c r="C22" s="3" t="s">
        <v>1173</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406</v>
      </c>
      <c r="B23" s="3" t="s">
        <v>2065</v>
      </c>
      <c r="C23" s="3" t="s">
        <v>2066</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407</v>
      </c>
      <c r="B24" s="3" t="s">
        <v>1174</v>
      </c>
      <c r="C24" s="3" t="s">
        <v>1175</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407</v>
      </c>
      <c r="B25" s="3" t="s">
        <v>1176</v>
      </c>
      <c r="C25" s="3" t="s">
        <v>1177</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407</v>
      </c>
      <c r="B26" s="3" t="s">
        <v>1178</v>
      </c>
      <c r="C26" s="3" t="s">
        <v>1179</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406</v>
      </c>
      <c r="B27" s="3" t="s">
        <v>1180</v>
      </c>
      <c r="C27" s="3" t="s">
        <v>1181</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406</v>
      </c>
      <c r="B28" s="3" t="s">
        <v>1182</v>
      </c>
      <c r="C28" s="3" t="s">
        <v>1183</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406</v>
      </c>
      <c r="B29" s="3" t="s">
        <v>408</v>
      </c>
      <c r="C29" s="3" t="s">
        <v>1184</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405</v>
      </c>
      <c r="B30" s="3" t="s">
        <v>1185</v>
      </c>
      <c r="C30" s="3" t="s">
        <v>1956</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405</v>
      </c>
      <c r="B31" s="3" t="s">
        <v>1186</v>
      </c>
      <c r="C31" s="3" t="s">
        <v>777</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405</v>
      </c>
      <c r="B32" s="3" t="s">
        <v>1187</v>
      </c>
      <c r="C32" s="3" t="s">
        <v>778</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405</v>
      </c>
      <c r="B33" s="3" t="s">
        <v>2067</v>
      </c>
      <c r="C33" s="3" t="s">
        <v>780</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406</v>
      </c>
      <c r="B34" s="3" t="s">
        <v>1188</v>
      </c>
      <c r="C34" s="3" t="s">
        <v>1189</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406</v>
      </c>
      <c r="B35" s="3" t="s">
        <v>1190</v>
      </c>
      <c r="C35" s="3" t="s">
        <v>1191</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406</v>
      </c>
      <c r="B36" s="3" t="s">
        <v>1192</v>
      </c>
      <c r="C36" s="3" t="s">
        <v>1193</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406</v>
      </c>
      <c r="B37" s="3" t="s">
        <v>1194</v>
      </c>
      <c r="C37" s="3" t="s">
        <v>1195</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406</v>
      </c>
      <c r="B38" s="3" t="s">
        <v>1196</v>
      </c>
      <c r="C38" s="3" t="s">
        <v>1197</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406</v>
      </c>
      <c r="B39" s="3" t="s">
        <v>1198</v>
      </c>
      <c r="C39" s="3" t="s">
        <v>1199</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406</v>
      </c>
      <c r="B40" s="3" t="s">
        <v>1200</v>
      </c>
      <c r="C40" s="3" t="s">
        <v>1201</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406</v>
      </c>
      <c r="B41" s="3" t="s">
        <v>1202</v>
      </c>
      <c r="C41" s="3" t="s">
        <v>1203</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407</v>
      </c>
      <c r="B42" s="3" t="s">
        <v>2068</v>
      </c>
      <c r="C42" s="3" t="s">
        <v>2069</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407</v>
      </c>
      <c r="B43" s="3" t="s">
        <v>2070</v>
      </c>
      <c r="C43" s="3" t="s">
        <v>2071</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407</v>
      </c>
      <c r="B44" s="3" t="s">
        <v>2072</v>
      </c>
      <c r="C44" s="3" t="s">
        <v>2073</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407</v>
      </c>
      <c r="B45" s="3" t="s">
        <v>2074</v>
      </c>
      <c r="C45" s="3" t="s">
        <v>2075</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406</v>
      </c>
      <c r="B46" s="3" t="s">
        <v>370</v>
      </c>
      <c r="C46" s="3" t="s">
        <v>1204</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1205</v>
      </c>
      <c r="B47" s="3" t="s">
        <v>1515</v>
      </c>
      <c r="C47" s="3" t="s">
        <v>457</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407</v>
      </c>
      <c r="B48" s="3" t="s">
        <v>1973</v>
      </c>
      <c r="C48" s="3" t="s">
        <v>2076</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406</v>
      </c>
      <c r="B49" s="3" t="s">
        <v>587</v>
      </c>
      <c r="C49" s="3" t="s">
        <v>2077</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410</v>
      </c>
      <c r="B50" s="3" t="s">
        <v>411</v>
      </c>
      <c r="C50" s="3" t="s">
        <v>2078</v>
      </c>
    </row>
  </sheetData>
  <mergeCells count="4">
    <mergeCell ref="A1:C1"/>
    <mergeCell ref="E1:K1"/>
    <mergeCell ref="P1:V1"/>
    <mergeCell ref="AA1:AG1"/>
  </mergeCell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3D0F5F-C0EC-4C5B-9B38-D8EAA4E333DC}">
  <sheetPr codeName="Sheet21"/>
  <dimension ref="A1:AK49"/>
  <sheetViews>
    <sheetView zoomScale="75" zoomScaleNormal="75" workbookViewId="0">
      <pane ySplit="49" topLeftCell="A70" activePane="bottomLeft" state="frozen"/>
      <selection pane="bottomLeft" sqref="A1:C69"/>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24" t="str" cm="1">
        <f t="array" aca="1" ref="A1" ca="1">IFERROR(MID(CELL("filename",$A$1),FIND("]",CELL("filename",$A$1))+1,99),"SXX")</f>
        <v>S10</v>
      </c>
      <c r="B1" s="24"/>
      <c r="C1" s="24"/>
      <c r="E1" s="25" t="str" cm="1">
        <f t="array" aca="1" ref="E1" ca="1">IFERROR(MID(CELL("filename",$A$1),FIND("]",CELL("filename",$A$1))+1,99),"SXX")&amp;" MATERIALS (USAGE + STANDALONE)"</f>
        <v>S10 MATERIALS (USAGE + STANDALONE)</v>
      </c>
      <c r="F1" s="25"/>
      <c r="G1" s="25"/>
      <c r="H1" s="25"/>
      <c r="I1" s="25"/>
      <c r="J1" s="25"/>
      <c r="K1" s="25"/>
      <c r="L1" s="13"/>
      <c r="M1" s="13"/>
      <c r="N1" s="19">
        <f>SUM(N3:N49)</f>
        <v>3388.8574999999992</v>
      </c>
      <c r="P1" s="25" t="str" cm="1">
        <f t="array" aca="1" ref="P1" ca="1">IFERROR(MID(CELL("filename",$A$1),FIND("]",CELL("filename",$A$1))+1,99),"SXX")&amp;" LABOUR (USAGE + STANDALONE)"</f>
        <v>S10 LABOUR (USAGE + STANDALONE)</v>
      </c>
      <c r="Q1" s="25"/>
      <c r="R1" s="25"/>
      <c r="S1" s="25"/>
      <c r="T1" s="25"/>
      <c r="U1" s="25"/>
      <c r="V1" s="25"/>
      <c r="Y1" s="19">
        <f>SUM(Y3:Y49)</f>
        <v>1912.5</v>
      </c>
      <c r="AA1" s="26" t="str" cm="1">
        <f t="array" aca="1" ref="AA1" ca="1">IFERROR(MID(CELL("filename",$A$1),FIND("]",CELL("filename",$A$1))+1,99),"SXX")&amp;" RENTAL / SERVICE (USAGE + STANDALONE)"</f>
        <v>S10 RENTAL / SERVICE (USAGE + STANDALONE)</v>
      </c>
      <c r="AB1" s="26"/>
      <c r="AC1" s="26"/>
      <c r="AD1" s="26"/>
      <c r="AE1" s="26"/>
      <c r="AF1" s="26"/>
      <c r="AG1" s="26"/>
      <c r="AH1" s="6"/>
      <c r="AI1" s="6"/>
      <c r="AJ1" s="19">
        <f>SUM(AJ3:AJ49)</f>
        <v>0</v>
      </c>
    </row>
    <row r="2" spans="1:37" s="2" customFormat="1" x14ac:dyDescent="0.25">
      <c r="A2" s="4" t="s">
        <v>0</v>
      </c>
      <c r="B2" s="4" t="s">
        <v>3</v>
      </c>
      <c r="C2" s="4" t="s">
        <v>5</v>
      </c>
      <c r="D2" s="1"/>
      <c r="E2" s="2" t="s">
        <v>5</v>
      </c>
      <c r="F2" s="2" t="s">
        <v>0</v>
      </c>
      <c r="G2" s="2" t="s">
        <v>3</v>
      </c>
      <c r="H2" s="2" t="s">
        <v>1</v>
      </c>
      <c r="I2" s="2" t="s">
        <v>12</v>
      </c>
      <c r="J2" s="2" t="s">
        <v>4</v>
      </c>
      <c r="K2" s="2" t="s">
        <v>1725</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412</v>
      </c>
      <c r="B3" s="3" t="s">
        <v>1211</v>
      </c>
      <c r="C3" s="3" t="s">
        <v>1212</v>
      </c>
      <c r="E3" t="s">
        <v>2097</v>
      </c>
      <c r="F3" t="s">
        <v>1289</v>
      </c>
      <c r="G3" t="s">
        <v>2098</v>
      </c>
      <c r="H3" t="s">
        <v>10</v>
      </c>
      <c r="I3">
        <v>1</v>
      </c>
      <c r="J3" s="22">
        <v>0</v>
      </c>
      <c r="K3">
        <v>480</v>
      </c>
      <c r="L3" s="8">
        <f t="shared" ref="L3:L49" si="0">IF($G3="","",$I3*(1+IF($J3="",0,$J3)))</f>
        <v>1</v>
      </c>
      <c r="M3" s="8">
        <f t="shared" ref="M3:M49" si="1">IF($G3="","",$L3)</f>
        <v>1</v>
      </c>
      <c r="N3" s="8">
        <f t="shared" ref="N3:N49" si="2">IF($G3="","",IF($K3="","",$M3*$K3))</f>
        <v>480</v>
      </c>
      <c r="P3" t="s">
        <v>2116</v>
      </c>
      <c r="Q3" t="s">
        <v>1304</v>
      </c>
      <c r="R3" t="s">
        <v>327</v>
      </c>
      <c r="S3" t="s">
        <v>33</v>
      </c>
      <c r="T3">
        <v>85</v>
      </c>
      <c r="U3" s="22">
        <v>0</v>
      </c>
      <c r="V3">
        <v>22.5</v>
      </c>
      <c r="W3" s="8">
        <f>IF($R3="","",$T3*(1+IF($U3="",0,$U3)))</f>
        <v>85</v>
      </c>
      <c r="X3" s="8">
        <f>IF($R3="","",$W3)</f>
        <v>85</v>
      </c>
      <c r="Y3" s="8">
        <f>IF($R3="","",IF($V3="","",$X3*$V3))</f>
        <v>1912.5</v>
      </c>
      <c r="AH3" s="8" t="str">
        <f>IF($AC3="","",$AE3*(1+IF($AF3="",0,$AF3)))</f>
        <v/>
      </c>
      <c r="AI3" s="8" t="str">
        <f>IF($AC3="","",$AH3)</f>
        <v/>
      </c>
      <c r="AJ3" s="8" t="str">
        <f>IF($AC3="","",IF($AG3="","",$AI3*$AG3))</f>
        <v/>
      </c>
    </row>
    <row r="4" spans="1:37" x14ac:dyDescent="0.25">
      <c r="A4" s="3" t="s">
        <v>413</v>
      </c>
      <c r="B4" s="3" t="s">
        <v>1213</v>
      </c>
      <c r="C4" s="3" t="s">
        <v>1214</v>
      </c>
      <c r="E4" t="s">
        <v>2099</v>
      </c>
      <c r="F4" t="s">
        <v>1290</v>
      </c>
      <c r="G4" t="s">
        <v>2100</v>
      </c>
      <c r="H4" t="s">
        <v>10</v>
      </c>
      <c r="I4">
        <v>3</v>
      </c>
      <c r="J4" s="22">
        <v>0</v>
      </c>
      <c r="K4">
        <v>300</v>
      </c>
      <c r="L4" s="8">
        <f t="shared" si="0"/>
        <v>3</v>
      </c>
      <c r="M4" s="8">
        <f t="shared" si="1"/>
        <v>3</v>
      </c>
      <c r="N4" s="8">
        <f t="shared" si="2"/>
        <v>900</v>
      </c>
      <c r="U4" s="22"/>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1215</v>
      </c>
      <c r="B5" s="3" t="s">
        <v>1216</v>
      </c>
      <c r="C5" s="3" t="s">
        <v>1217</v>
      </c>
      <c r="E5" t="s">
        <v>2101</v>
      </c>
      <c r="F5" t="s">
        <v>1290</v>
      </c>
      <c r="G5" t="s">
        <v>2102</v>
      </c>
      <c r="H5" t="s">
        <v>10</v>
      </c>
      <c r="I5">
        <v>1</v>
      </c>
      <c r="J5" s="22">
        <v>0</v>
      </c>
      <c r="K5">
        <v>240</v>
      </c>
      <c r="L5" s="8">
        <f t="shared" si="0"/>
        <v>1</v>
      </c>
      <c r="M5" s="8">
        <f t="shared" si="1"/>
        <v>1</v>
      </c>
      <c r="N5" s="8">
        <f t="shared" si="2"/>
        <v>240</v>
      </c>
      <c r="W5" s="8" t="str">
        <f t="shared" si="3"/>
        <v/>
      </c>
      <c r="X5" s="8" t="str">
        <f t="shared" si="4"/>
        <v/>
      </c>
      <c r="Y5" s="8" t="str">
        <f t="shared" si="5"/>
        <v/>
      </c>
      <c r="AH5" s="8" t="str">
        <f t="shared" si="6"/>
        <v/>
      </c>
      <c r="AI5" s="8" t="str">
        <f t="shared" si="7"/>
        <v/>
      </c>
      <c r="AJ5" s="8" t="str">
        <f t="shared" si="8"/>
        <v/>
      </c>
    </row>
    <row r="6" spans="1:37" x14ac:dyDescent="0.25">
      <c r="A6" s="3" t="s">
        <v>414</v>
      </c>
      <c r="B6" s="3" t="s">
        <v>415</v>
      </c>
      <c r="C6" s="3" t="s">
        <v>1218</v>
      </c>
      <c r="E6" t="s">
        <v>2103</v>
      </c>
      <c r="F6" t="s">
        <v>2104</v>
      </c>
      <c r="G6" t="s">
        <v>2105</v>
      </c>
      <c r="H6" t="s">
        <v>10</v>
      </c>
      <c r="I6">
        <v>1</v>
      </c>
      <c r="J6">
        <v>0</v>
      </c>
      <c r="K6">
        <v>800</v>
      </c>
      <c r="L6" s="8">
        <f t="shared" si="0"/>
        <v>1</v>
      </c>
      <c r="M6" s="8">
        <f t="shared" si="1"/>
        <v>1</v>
      </c>
      <c r="N6" s="8">
        <f t="shared" si="2"/>
        <v>800</v>
      </c>
      <c r="W6" s="8" t="str">
        <f t="shared" si="3"/>
        <v/>
      </c>
      <c r="X6" s="8" t="str">
        <f t="shared" si="4"/>
        <v/>
      </c>
      <c r="Y6" s="8" t="str">
        <f t="shared" si="5"/>
        <v/>
      </c>
      <c r="AH6" s="8" t="str">
        <f t="shared" si="6"/>
        <v/>
      </c>
      <c r="AI6" s="8" t="str">
        <f t="shared" si="7"/>
        <v/>
      </c>
      <c r="AJ6" s="8" t="str">
        <f t="shared" si="8"/>
        <v/>
      </c>
    </row>
    <row r="7" spans="1:37" x14ac:dyDescent="0.25">
      <c r="A7" s="3" t="s">
        <v>414</v>
      </c>
      <c r="B7" s="3" t="s">
        <v>1219</v>
      </c>
      <c r="C7" s="3" t="s">
        <v>1220</v>
      </c>
      <c r="E7" t="s">
        <v>2106</v>
      </c>
      <c r="F7" t="s">
        <v>2104</v>
      </c>
      <c r="G7" t="s">
        <v>2107</v>
      </c>
      <c r="H7" t="s">
        <v>10</v>
      </c>
      <c r="I7">
        <v>3</v>
      </c>
      <c r="J7">
        <v>0</v>
      </c>
      <c r="K7">
        <v>180</v>
      </c>
      <c r="L7" s="8">
        <f t="shared" si="0"/>
        <v>3</v>
      </c>
      <c r="M7" s="8">
        <f t="shared" si="1"/>
        <v>3</v>
      </c>
      <c r="N7" s="8">
        <f t="shared" si="2"/>
        <v>540</v>
      </c>
      <c r="W7" s="8" t="str">
        <f t="shared" si="3"/>
        <v/>
      </c>
      <c r="X7" s="8" t="str">
        <f t="shared" si="4"/>
        <v/>
      </c>
      <c r="Y7" s="8" t="str">
        <f t="shared" si="5"/>
        <v/>
      </c>
      <c r="AH7" s="8" t="str">
        <f t="shared" si="6"/>
        <v/>
      </c>
      <c r="AI7" s="8" t="str">
        <f t="shared" si="7"/>
        <v/>
      </c>
      <c r="AJ7" s="8" t="str">
        <f t="shared" si="8"/>
        <v/>
      </c>
    </row>
    <row r="8" spans="1:37" x14ac:dyDescent="0.25">
      <c r="A8" s="3" t="s">
        <v>414</v>
      </c>
      <c r="B8" s="3" t="s">
        <v>1221</v>
      </c>
      <c r="C8" s="3" t="s">
        <v>1222</v>
      </c>
      <c r="E8" t="s">
        <v>2108</v>
      </c>
      <c r="F8" t="s">
        <v>2104</v>
      </c>
      <c r="G8" t="s">
        <v>2109</v>
      </c>
      <c r="H8" t="s">
        <v>10</v>
      </c>
      <c r="I8">
        <v>1</v>
      </c>
      <c r="J8">
        <v>0</v>
      </c>
      <c r="K8">
        <v>170</v>
      </c>
      <c r="L8" s="8">
        <f t="shared" si="0"/>
        <v>1</v>
      </c>
      <c r="M8" s="8">
        <f t="shared" si="1"/>
        <v>1</v>
      </c>
      <c r="N8" s="8">
        <f t="shared" si="2"/>
        <v>170</v>
      </c>
      <c r="W8" s="8" t="str">
        <f t="shared" si="3"/>
        <v/>
      </c>
      <c r="X8" s="8" t="str">
        <f t="shared" si="4"/>
        <v/>
      </c>
      <c r="Y8" s="8" t="str">
        <f t="shared" si="5"/>
        <v/>
      </c>
      <c r="AH8" s="8" t="str">
        <f t="shared" si="6"/>
        <v/>
      </c>
      <c r="AI8" s="8" t="str">
        <f t="shared" si="7"/>
        <v/>
      </c>
      <c r="AJ8" s="8" t="str">
        <f t="shared" si="8"/>
        <v/>
      </c>
    </row>
    <row r="9" spans="1:37" x14ac:dyDescent="0.25">
      <c r="A9" s="3" t="s">
        <v>416</v>
      </c>
      <c r="B9" s="3" t="s">
        <v>1223</v>
      </c>
      <c r="C9" s="3" t="s">
        <v>1224</v>
      </c>
      <c r="E9" t="s">
        <v>2110</v>
      </c>
      <c r="F9" t="s">
        <v>2111</v>
      </c>
      <c r="G9" t="s">
        <v>1291</v>
      </c>
      <c r="H9" t="s">
        <v>8</v>
      </c>
      <c r="I9">
        <v>1</v>
      </c>
      <c r="J9">
        <v>0</v>
      </c>
      <c r="K9">
        <v>150</v>
      </c>
      <c r="L9" s="8">
        <f t="shared" si="0"/>
        <v>1</v>
      </c>
      <c r="M9" s="8">
        <f t="shared" si="1"/>
        <v>1</v>
      </c>
      <c r="N9" s="8">
        <f t="shared" si="2"/>
        <v>150</v>
      </c>
      <c r="W9" s="8" t="str">
        <f t="shared" si="3"/>
        <v/>
      </c>
      <c r="X9" s="8" t="str">
        <f t="shared" si="4"/>
        <v/>
      </c>
      <c r="Y9" s="8" t="str">
        <f t="shared" si="5"/>
        <v/>
      </c>
      <c r="AH9" s="8" t="str">
        <f t="shared" si="6"/>
        <v/>
      </c>
      <c r="AI9" s="8" t="str">
        <f t="shared" si="7"/>
        <v/>
      </c>
      <c r="AJ9" s="8" t="str">
        <f t="shared" si="8"/>
        <v/>
      </c>
    </row>
    <row r="10" spans="1:37" x14ac:dyDescent="0.25">
      <c r="A10" s="3" t="s">
        <v>414</v>
      </c>
      <c r="B10" s="3" t="s">
        <v>1225</v>
      </c>
      <c r="C10" s="3" t="s">
        <v>1226</v>
      </c>
      <c r="E10" t="s">
        <v>2112</v>
      </c>
      <c r="F10" t="s">
        <v>1292</v>
      </c>
      <c r="G10" t="s">
        <v>727</v>
      </c>
      <c r="H10" t="s">
        <v>728</v>
      </c>
      <c r="I10">
        <v>2</v>
      </c>
      <c r="J10">
        <v>0.05</v>
      </c>
      <c r="K10">
        <v>15</v>
      </c>
      <c r="L10" s="8">
        <f t="shared" si="0"/>
        <v>2.1</v>
      </c>
      <c r="M10" s="8">
        <f t="shared" si="1"/>
        <v>2.1</v>
      </c>
      <c r="N10" s="8">
        <f t="shared" si="2"/>
        <v>31.5</v>
      </c>
      <c r="W10" s="8" t="str">
        <f t="shared" si="3"/>
        <v/>
      </c>
      <c r="X10" s="8" t="str">
        <f t="shared" si="4"/>
        <v/>
      </c>
      <c r="Y10" s="8" t="str">
        <f t="shared" si="5"/>
        <v/>
      </c>
      <c r="AH10" s="8" t="str">
        <f t="shared" si="6"/>
        <v/>
      </c>
      <c r="AI10" s="8" t="str">
        <f t="shared" si="7"/>
        <v/>
      </c>
      <c r="AJ10" s="8" t="str">
        <f t="shared" si="8"/>
        <v/>
      </c>
    </row>
    <row r="11" spans="1:37" x14ac:dyDescent="0.25">
      <c r="A11" s="3" t="s">
        <v>416</v>
      </c>
      <c r="B11" s="3" t="s">
        <v>1227</v>
      </c>
      <c r="C11" s="3" t="s">
        <v>1228</v>
      </c>
      <c r="E11" t="s">
        <v>2113</v>
      </c>
      <c r="F11" t="s">
        <v>1293</v>
      </c>
      <c r="G11" t="s">
        <v>1294</v>
      </c>
      <c r="H11" t="s">
        <v>720</v>
      </c>
      <c r="I11">
        <v>0.05</v>
      </c>
      <c r="J11">
        <v>0</v>
      </c>
      <c r="K11">
        <v>160</v>
      </c>
      <c r="L11" s="8">
        <f t="shared" si="0"/>
        <v>0.05</v>
      </c>
      <c r="M11" s="8">
        <f t="shared" si="1"/>
        <v>0.05</v>
      </c>
      <c r="N11" s="8">
        <f t="shared" si="2"/>
        <v>8</v>
      </c>
      <c r="W11" s="8" t="str">
        <f t="shared" si="3"/>
        <v/>
      </c>
      <c r="X11" s="8" t="str">
        <f t="shared" si="4"/>
        <v/>
      </c>
      <c r="Y11" s="8" t="str">
        <f t="shared" si="5"/>
        <v/>
      </c>
      <c r="AH11" s="8" t="str">
        <f t="shared" si="6"/>
        <v/>
      </c>
      <c r="AI11" s="8" t="str">
        <f t="shared" si="7"/>
        <v/>
      </c>
      <c r="AJ11" s="8" t="str">
        <f t="shared" si="8"/>
        <v/>
      </c>
    </row>
    <row r="12" spans="1:37" x14ac:dyDescent="0.25">
      <c r="A12" s="3" t="s">
        <v>414</v>
      </c>
      <c r="B12" s="3" t="s">
        <v>1229</v>
      </c>
      <c r="C12" s="3" t="s">
        <v>1230</v>
      </c>
      <c r="E12" t="s">
        <v>2114</v>
      </c>
      <c r="F12" t="s">
        <v>1293</v>
      </c>
      <c r="G12" t="s">
        <v>1295</v>
      </c>
      <c r="H12" t="s">
        <v>32</v>
      </c>
      <c r="I12">
        <v>0.05</v>
      </c>
      <c r="J12">
        <v>0</v>
      </c>
      <c r="K12">
        <v>94</v>
      </c>
      <c r="L12" s="8">
        <f t="shared" si="0"/>
        <v>0.05</v>
      </c>
      <c r="M12" s="8">
        <f t="shared" si="1"/>
        <v>0.05</v>
      </c>
      <c r="N12" s="8">
        <f t="shared" si="2"/>
        <v>4.7</v>
      </c>
      <c r="W12" s="8" t="str">
        <f t="shared" si="3"/>
        <v/>
      </c>
      <c r="X12" s="8" t="str">
        <f t="shared" si="4"/>
        <v/>
      </c>
      <c r="Y12" s="8" t="str">
        <f t="shared" si="5"/>
        <v/>
      </c>
      <c r="AH12" s="8" t="str">
        <f t="shared" si="6"/>
        <v/>
      </c>
      <c r="AI12" s="8" t="str">
        <f t="shared" si="7"/>
        <v/>
      </c>
      <c r="AJ12" s="8" t="str">
        <f t="shared" si="8"/>
        <v/>
      </c>
    </row>
    <row r="13" spans="1:37" x14ac:dyDescent="0.25">
      <c r="A13" s="3" t="s">
        <v>414</v>
      </c>
      <c r="B13" s="3" t="s">
        <v>1231</v>
      </c>
      <c r="C13" s="3" t="s">
        <v>1232</v>
      </c>
      <c r="E13" t="s">
        <v>2115</v>
      </c>
      <c r="F13" t="s">
        <v>1293</v>
      </c>
      <c r="G13" t="s">
        <v>1296</v>
      </c>
      <c r="H13" t="s">
        <v>8</v>
      </c>
      <c r="I13">
        <v>2</v>
      </c>
      <c r="J13">
        <v>0.1</v>
      </c>
      <c r="K13">
        <v>0.3</v>
      </c>
      <c r="L13" s="8">
        <f t="shared" si="0"/>
        <v>2.2000000000000002</v>
      </c>
      <c r="M13" s="8">
        <f t="shared" si="1"/>
        <v>2.2000000000000002</v>
      </c>
      <c r="N13" s="8">
        <f t="shared" si="2"/>
        <v>0.66</v>
      </c>
      <c r="W13" s="8" t="str">
        <f t="shared" si="3"/>
        <v/>
      </c>
      <c r="X13" s="8" t="str">
        <f t="shared" si="4"/>
        <v/>
      </c>
      <c r="Y13" s="8" t="str">
        <f t="shared" si="5"/>
        <v/>
      </c>
      <c r="AH13" s="8" t="str">
        <f t="shared" si="6"/>
        <v/>
      </c>
      <c r="AI13" s="8" t="str">
        <f t="shared" si="7"/>
        <v/>
      </c>
      <c r="AJ13" s="8" t="str">
        <f t="shared" si="8"/>
        <v/>
      </c>
    </row>
    <row r="14" spans="1:37" x14ac:dyDescent="0.25">
      <c r="A14" s="3" t="s">
        <v>414</v>
      </c>
      <c r="B14" s="3" t="s">
        <v>1233</v>
      </c>
      <c r="C14" s="3" t="s">
        <v>1234</v>
      </c>
      <c r="E14" t="s">
        <v>2115</v>
      </c>
      <c r="F14" t="s">
        <v>1293</v>
      </c>
      <c r="G14" t="s">
        <v>1297</v>
      </c>
      <c r="H14" t="s">
        <v>8</v>
      </c>
      <c r="I14">
        <v>2</v>
      </c>
      <c r="J14">
        <v>0.1</v>
      </c>
      <c r="K14">
        <v>0.3</v>
      </c>
      <c r="L14" s="8">
        <f t="shared" si="0"/>
        <v>2.2000000000000002</v>
      </c>
      <c r="M14" s="8">
        <f t="shared" si="1"/>
        <v>2.2000000000000002</v>
      </c>
      <c r="N14" s="8">
        <f t="shared" si="2"/>
        <v>0.66</v>
      </c>
      <c r="W14" s="8" t="str">
        <f t="shared" si="3"/>
        <v/>
      </c>
      <c r="X14" s="8" t="str">
        <f t="shared" si="4"/>
        <v/>
      </c>
      <c r="Y14" s="8" t="str">
        <f t="shared" si="5"/>
        <v/>
      </c>
      <c r="AH14" s="8" t="str">
        <f t="shared" si="6"/>
        <v/>
      </c>
      <c r="AI14" s="8" t="str">
        <f t="shared" si="7"/>
        <v/>
      </c>
      <c r="AJ14" s="8" t="str">
        <f t="shared" si="8"/>
        <v/>
      </c>
    </row>
    <row r="15" spans="1:37" x14ac:dyDescent="0.25">
      <c r="A15" s="3" t="s">
        <v>414</v>
      </c>
      <c r="B15" s="3" t="s">
        <v>1235</v>
      </c>
      <c r="C15" s="3" t="s">
        <v>1236</v>
      </c>
      <c r="E15" t="s">
        <v>2115</v>
      </c>
      <c r="F15" t="s">
        <v>1293</v>
      </c>
      <c r="G15" t="s">
        <v>1298</v>
      </c>
      <c r="H15" t="s">
        <v>8</v>
      </c>
      <c r="I15">
        <v>2</v>
      </c>
      <c r="J15">
        <v>0.1</v>
      </c>
      <c r="K15">
        <v>0.3</v>
      </c>
      <c r="L15" s="8">
        <f t="shared" si="0"/>
        <v>2.2000000000000002</v>
      </c>
      <c r="M15" s="8">
        <f t="shared" si="1"/>
        <v>2.2000000000000002</v>
      </c>
      <c r="N15" s="8">
        <f t="shared" si="2"/>
        <v>0.66</v>
      </c>
      <c r="W15" s="8" t="str">
        <f t="shared" si="3"/>
        <v/>
      </c>
      <c r="X15" s="8" t="str">
        <f t="shared" si="4"/>
        <v/>
      </c>
      <c r="Y15" s="8" t="str">
        <f t="shared" si="5"/>
        <v/>
      </c>
      <c r="AH15" s="8" t="str">
        <f t="shared" si="6"/>
        <v/>
      </c>
      <c r="AI15" s="8" t="str">
        <f t="shared" si="7"/>
        <v/>
      </c>
      <c r="AJ15" s="8" t="str">
        <f t="shared" si="8"/>
        <v/>
      </c>
    </row>
    <row r="16" spans="1:37" x14ac:dyDescent="0.25">
      <c r="A16" s="3" t="s">
        <v>414</v>
      </c>
      <c r="B16" s="3" t="s">
        <v>1237</v>
      </c>
      <c r="C16" s="3" t="s">
        <v>1238</v>
      </c>
      <c r="E16" t="s">
        <v>1299</v>
      </c>
      <c r="F16" t="s">
        <v>1300</v>
      </c>
      <c r="G16" t="s">
        <v>1301</v>
      </c>
      <c r="H16" t="s">
        <v>8</v>
      </c>
      <c r="I16">
        <v>3</v>
      </c>
      <c r="J16">
        <v>0.05</v>
      </c>
      <c r="K16">
        <v>0.85</v>
      </c>
      <c r="L16" s="8">
        <f t="shared" si="0"/>
        <v>3.1500000000000004</v>
      </c>
      <c r="M16" s="8">
        <f t="shared" si="1"/>
        <v>3.1500000000000004</v>
      </c>
      <c r="N16" s="8">
        <f t="shared" si="2"/>
        <v>2.6775000000000002</v>
      </c>
      <c r="W16" s="8" t="str">
        <f t="shared" si="3"/>
        <v/>
      </c>
      <c r="X16" s="8" t="str">
        <f t="shared" si="4"/>
        <v/>
      </c>
      <c r="Y16" s="8" t="str">
        <f t="shared" si="5"/>
        <v/>
      </c>
      <c r="AH16" s="8" t="str">
        <f t="shared" si="6"/>
        <v/>
      </c>
      <c r="AI16" s="8" t="str">
        <f t="shared" si="7"/>
        <v/>
      </c>
      <c r="AJ16" s="8" t="str">
        <f t="shared" si="8"/>
        <v/>
      </c>
    </row>
    <row r="17" spans="1:36" x14ac:dyDescent="0.25">
      <c r="A17" s="3" t="s">
        <v>416</v>
      </c>
      <c r="B17" s="3" t="s">
        <v>1239</v>
      </c>
      <c r="C17" s="3" t="s">
        <v>1240</v>
      </c>
      <c r="E17" t="s">
        <v>1302</v>
      </c>
      <c r="F17" t="s">
        <v>1300</v>
      </c>
      <c r="G17" t="s">
        <v>1303</v>
      </c>
      <c r="H17" t="s">
        <v>10</v>
      </c>
      <c r="I17">
        <v>1</v>
      </c>
      <c r="J17">
        <v>0</v>
      </c>
      <c r="K17">
        <v>60</v>
      </c>
      <c r="L17" s="8">
        <f t="shared" si="0"/>
        <v>1</v>
      </c>
      <c r="M17" s="8">
        <f t="shared" si="1"/>
        <v>1</v>
      </c>
      <c r="N17" s="8">
        <f t="shared" si="2"/>
        <v>60</v>
      </c>
      <c r="W17" s="8" t="str">
        <f t="shared" si="3"/>
        <v/>
      </c>
      <c r="X17" s="8" t="str">
        <f t="shared" si="4"/>
        <v/>
      </c>
      <c r="Y17" s="8" t="str">
        <f t="shared" si="5"/>
        <v/>
      </c>
      <c r="AH17" s="8" t="str">
        <f t="shared" si="6"/>
        <v/>
      </c>
      <c r="AI17" s="8" t="str">
        <f t="shared" si="7"/>
        <v/>
      </c>
      <c r="AJ17" s="8" t="str">
        <f t="shared" si="8"/>
        <v/>
      </c>
    </row>
    <row r="18" spans="1:36" x14ac:dyDescent="0.25">
      <c r="A18" s="3" t="s">
        <v>416</v>
      </c>
      <c r="B18" s="3" t="s">
        <v>1241</v>
      </c>
      <c r="C18" s="3" t="s">
        <v>1242</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414</v>
      </c>
      <c r="B19" s="3" t="s">
        <v>1243</v>
      </c>
      <c r="C19" s="3" t="s">
        <v>1244</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414</v>
      </c>
      <c r="B20" s="3" t="s">
        <v>1245</v>
      </c>
      <c r="C20" s="3" t="s">
        <v>1246</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416</v>
      </c>
      <c r="B21" s="3" t="s">
        <v>1247</v>
      </c>
      <c r="C21" s="3" t="s">
        <v>1248</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416</v>
      </c>
      <c r="B22" s="3" t="s">
        <v>1249</v>
      </c>
      <c r="C22" s="3" t="s">
        <v>1250</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416</v>
      </c>
      <c r="B23" s="3" t="s">
        <v>1251</v>
      </c>
      <c r="C23" s="3" t="s">
        <v>1252</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414</v>
      </c>
      <c r="B24" s="3" t="s">
        <v>417</v>
      </c>
      <c r="C24" s="3" t="s">
        <v>1253</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414</v>
      </c>
      <c r="B25" s="3" t="s">
        <v>1254</v>
      </c>
      <c r="C25" s="3" t="s">
        <v>1255</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414</v>
      </c>
      <c r="B26" s="3" t="s">
        <v>1256</v>
      </c>
      <c r="C26" s="3" t="s">
        <v>1257</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414</v>
      </c>
      <c r="B27" s="3" t="s">
        <v>418</v>
      </c>
      <c r="C27" s="3" t="s">
        <v>1258</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414</v>
      </c>
      <c r="B28" s="3" t="s">
        <v>1259</v>
      </c>
      <c r="C28" s="3" t="s">
        <v>1260</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414</v>
      </c>
      <c r="B29" s="3" t="s">
        <v>1261</v>
      </c>
      <c r="C29" s="3" t="s">
        <v>1262</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414</v>
      </c>
      <c r="B30" s="3" t="s">
        <v>1263</v>
      </c>
      <c r="C30" s="3" t="s">
        <v>1264</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414</v>
      </c>
      <c r="B31" s="3" t="s">
        <v>1265</v>
      </c>
      <c r="C31" s="3" t="s">
        <v>1266</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414</v>
      </c>
      <c r="B32" s="3" t="s">
        <v>1267</v>
      </c>
      <c r="C32" s="3" t="s">
        <v>1268</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1269</v>
      </c>
      <c r="B33" s="3" t="s">
        <v>1270</v>
      </c>
      <c r="C33" s="3" t="s">
        <v>1271</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1269</v>
      </c>
      <c r="B34" s="3" t="s">
        <v>2088</v>
      </c>
      <c r="C34" s="3" t="s">
        <v>780</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1269</v>
      </c>
      <c r="B35" s="3" t="s">
        <v>1272</v>
      </c>
      <c r="C35" s="3" t="s">
        <v>1273</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1269</v>
      </c>
      <c r="B36" s="3" t="s">
        <v>1274</v>
      </c>
      <c r="C36" s="3" t="s">
        <v>1275</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1269</v>
      </c>
      <c r="B37" s="3" t="s">
        <v>1276</v>
      </c>
      <c r="C37" s="3" t="s">
        <v>1277</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1269</v>
      </c>
      <c r="B38" s="3" t="s">
        <v>1278</v>
      </c>
      <c r="C38" s="3" t="s">
        <v>1279</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1269</v>
      </c>
      <c r="B39" s="3" t="s">
        <v>1280</v>
      </c>
      <c r="C39" s="3" t="s">
        <v>1281</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1269</v>
      </c>
      <c r="B40" s="3" t="s">
        <v>2089</v>
      </c>
      <c r="C40" s="3" t="s">
        <v>2090</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1269</v>
      </c>
      <c r="B41" s="3" t="s">
        <v>2091</v>
      </c>
      <c r="C41" s="3" t="s">
        <v>2092</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1269</v>
      </c>
      <c r="B42" s="3" t="s">
        <v>1282</v>
      </c>
      <c r="C42" s="3" t="s">
        <v>1283</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414</v>
      </c>
      <c r="B43" s="3" t="s">
        <v>1284</v>
      </c>
      <c r="C43" s="3" t="s">
        <v>2093</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414</v>
      </c>
      <c r="B44" s="3" t="s">
        <v>1285</v>
      </c>
      <c r="C44" s="3" t="s">
        <v>1286</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1287</v>
      </c>
      <c r="B45" s="3" t="s">
        <v>1515</v>
      </c>
      <c r="C45" s="3" t="s">
        <v>457</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416</v>
      </c>
      <c r="B46" s="3" t="s">
        <v>1973</v>
      </c>
      <c r="C46" s="3" t="s">
        <v>2094</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414</v>
      </c>
      <c r="B47" s="3" t="s">
        <v>587</v>
      </c>
      <c r="C47" s="3" t="s">
        <v>2095</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414</v>
      </c>
      <c r="B48" s="3" t="s">
        <v>370</v>
      </c>
      <c r="C48" s="3" t="s">
        <v>1288</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419</v>
      </c>
      <c r="B49" s="3" t="s">
        <v>420</v>
      </c>
      <c r="C49" s="3" t="s">
        <v>2096</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sheetData>
  <mergeCells count="4">
    <mergeCell ref="A1:C1"/>
    <mergeCell ref="E1:K1"/>
    <mergeCell ref="P1:V1"/>
    <mergeCell ref="AA1:AG1"/>
  </mergeCell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89C3F4-CA5B-4CA1-9CE4-24EB045907DD}">
  <sheetPr codeName="Sheet22"/>
  <dimension ref="A1:AK49"/>
  <sheetViews>
    <sheetView zoomScale="75" zoomScaleNormal="75" workbookViewId="0">
      <pane ySplit="49" topLeftCell="A50" activePane="bottomLeft" state="frozen"/>
      <selection pane="bottomLeft" sqref="A1:C44"/>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24" t="str" cm="1">
        <f t="array" aca="1" ref="A1" ca="1">IFERROR(MID(CELL("filename",$A$1),FIND("]",CELL("filename",$A$1))+1,99),"SXX")</f>
        <v>S11</v>
      </c>
      <c r="B1" s="24"/>
      <c r="C1" s="24"/>
      <c r="E1" s="25" t="str" cm="1">
        <f t="array" aca="1" ref="E1" ca="1">IFERROR(MID(CELL("filename",$A$1),FIND("]",CELL("filename",$A$1))+1,99),"SXX")&amp;" MATERIALS (USAGE + STANDALONE)"</f>
        <v>S11 MATERIALS (USAGE + STANDALONE)</v>
      </c>
      <c r="F1" s="25"/>
      <c r="G1" s="25"/>
      <c r="H1" s="25"/>
      <c r="I1" s="25"/>
      <c r="J1" s="25"/>
      <c r="K1" s="25"/>
      <c r="L1" s="13"/>
      <c r="M1" s="13"/>
      <c r="N1" s="19">
        <f>SUM(N3:N49)</f>
        <v>675.67500000000007</v>
      </c>
      <c r="P1" s="25" t="str" cm="1">
        <f t="array" aca="1" ref="P1" ca="1">IFERROR(MID(CELL("filename",$A$1),FIND("]",CELL("filename",$A$1))+1,99),"SXX")&amp;" LABOUR (USAGE + STANDALONE)"</f>
        <v>S11 LABOUR (USAGE + STANDALONE)</v>
      </c>
      <c r="Q1" s="25"/>
      <c r="R1" s="25"/>
      <c r="S1" s="25"/>
      <c r="T1" s="25"/>
      <c r="U1" s="25"/>
      <c r="V1" s="25"/>
      <c r="Y1" s="19">
        <f>SUM(Y3:Y49)</f>
        <v>2475</v>
      </c>
      <c r="AA1" s="26" t="str" cm="1">
        <f t="array" aca="1" ref="AA1" ca="1">IFERROR(MID(CELL("filename",$A$1),FIND("]",CELL("filename",$A$1))+1,99),"SXX")&amp;" RENTAL / SERVICE (USAGE + STANDALONE)"</f>
        <v>S11 RENTAL / SERVICE (USAGE + STANDALONE)</v>
      </c>
      <c r="AB1" s="26"/>
      <c r="AC1" s="26"/>
      <c r="AD1" s="26"/>
      <c r="AE1" s="26"/>
      <c r="AF1" s="26"/>
      <c r="AG1" s="26"/>
      <c r="AH1" s="6"/>
      <c r="AI1" s="6"/>
      <c r="AJ1" s="19">
        <f>SUM(AJ3:AJ49)</f>
        <v>0</v>
      </c>
    </row>
    <row r="2" spans="1:37" s="2" customFormat="1" x14ac:dyDescent="0.25">
      <c r="A2" s="4" t="s">
        <v>0</v>
      </c>
      <c r="B2" s="4" t="s">
        <v>3</v>
      </c>
      <c r="C2" s="4" t="s">
        <v>5</v>
      </c>
      <c r="D2" s="1"/>
      <c r="E2" s="2" t="s">
        <v>5</v>
      </c>
      <c r="F2" s="2" t="s">
        <v>0</v>
      </c>
      <c r="G2" s="2" t="s">
        <v>3</v>
      </c>
      <c r="H2" s="2" t="s">
        <v>1</v>
      </c>
      <c r="I2" s="2" t="s">
        <v>12</v>
      </c>
      <c r="J2" s="2" t="s">
        <v>4</v>
      </c>
      <c r="K2" s="2" t="s">
        <v>1725</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421</v>
      </c>
      <c r="B3" s="3" t="s">
        <v>422</v>
      </c>
      <c r="C3" s="3" t="s">
        <v>1305</v>
      </c>
      <c r="E3" t="s">
        <v>2131</v>
      </c>
      <c r="F3" t="s">
        <v>2132</v>
      </c>
      <c r="G3" t="s">
        <v>2081</v>
      </c>
      <c r="H3" t="s">
        <v>9</v>
      </c>
      <c r="I3">
        <v>12</v>
      </c>
      <c r="J3" s="22">
        <v>0.05</v>
      </c>
      <c r="K3">
        <v>24</v>
      </c>
      <c r="L3" s="8">
        <f t="shared" ref="L3:L49" si="0">IF($G3="","",$I3*(1+IF($J3="",0,$J3)))</f>
        <v>12.600000000000001</v>
      </c>
      <c r="M3" s="8">
        <f t="shared" ref="M3:M49" si="1">IF($G3="","",$L3)</f>
        <v>12.600000000000001</v>
      </c>
      <c r="N3" s="8">
        <f t="shared" ref="N3:N49" si="2">IF($G3="","",IF($K3="","",$M3*$K3))</f>
        <v>302.40000000000003</v>
      </c>
      <c r="P3" t="s">
        <v>2137</v>
      </c>
      <c r="Q3" t="s">
        <v>1363</v>
      </c>
      <c r="R3" t="s">
        <v>327</v>
      </c>
      <c r="S3" t="s">
        <v>33</v>
      </c>
      <c r="T3">
        <v>110</v>
      </c>
      <c r="U3" s="22">
        <v>0</v>
      </c>
      <c r="V3">
        <v>22.5</v>
      </c>
      <c r="W3" s="8">
        <f>IF($R3="","",$T3*(1+IF($U3="",0,$U3)))</f>
        <v>110</v>
      </c>
      <c r="X3" s="8">
        <f>IF($R3="","",$W3)</f>
        <v>110</v>
      </c>
      <c r="Y3" s="8">
        <f>IF($R3="","",IF($V3="","",$X3*$V3))</f>
        <v>2475</v>
      </c>
      <c r="AH3" s="8" t="str">
        <f>IF($AC3="","",$AE3*(1+IF($AF3="",0,$AF3)))</f>
        <v/>
      </c>
      <c r="AI3" s="8" t="str">
        <f>IF($AC3="","",$AH3)</f>
        <v/>
      </c>
      <c r="AJ3" s="8" t="str">
        <f>IF($AC3="","",IF($AG3="","",$AI3*$AG3))</f>
        <v/>
      </c>
    </row>
    <row r="4" spans="1:37" x14ac:dyDescent="0.25">
      <c r="A4" s="3" t="s">
        <v>423</v>
      </c>
      <c r="B4" s="3" t="s">
        <v>1306</v>
      </c>
      <c r="C4" s="3" t="s">
        <v>1307</v>
      </c>
      <c r="E4" t="s">
        <v>2133</v>
      </c>
      <c r="F4" t="s">
        <v>2132</v>
      </c>
      <c r="G4" t="s">
        <v>738</v>
      </c>
      <c r="H4" t="s">
        <v>11</v>
      </c>
      <c r="I4">
        <v>0.15</v>
      </c>
      <c r="J4" s="22">
        <v>0.05</v>
      </c>
      <c r="K4">
        <v>850</v>
      </c>
      <c r="L4" s="8">
        <f t="shared" si="0"/>
        <v>0.1575</v>
      </c>
      <c r="M4" s="8">
        <f t="shared" si="1"/>
        <v>0.1575</v>
      </c>
      <c r="N4" s="8">
        <f t="shared" si="2"/>
        <v>133.875</v>
      </c>
      <c r="U4" s="22"/>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1308</v>
      </c>
      <c r="B5" s="3" t="s">
        <v>1309</v>
      </c>
      <c r="C5" s="3" t="s">
        <v>1310</v>
      </c>
      <c r="E5" t="s">
        <v>2134</v>
      </c>
      <c r="F5" t="s">
        <v>1359</v>
      </c>
      <c r="G5" t="s">
        <v>60</v>
      </c>
      <c r="H5" t="s">
        <v>9</v>
      </c>
      <c r="I5">
        <v>4</v>
      </c>
      <c r="J5" s="22">
        <v>0.05</v>
      </c>
      <c r="K5">
        <v>22</v>
      </c>
      <c r="L5" s="8">
        <f t="shared" si="0"/>
        <v>4.2</v>
      </c>
      <c r="M5" s="8">
        <f t="shared" si="1"/>
        <v>4.2</v>
      </c>
      <c r="N5" s="8">
        <f t="shared" si="2"/>
        <v>92.4</v>
      </c>
      <c r="W5" s="8" t="str">
        <f t="shared" si="3"/>
        <v/>
      </c>
      <c r="X5" s="8" t="str">
        <f t="shared" si="4"/>
        <v/>
      </c>
      <c r="Y5" s="8" t="str">
        <f t="shared" si="5"/>
        <v/>
      </c>
      <c r="AH5" s="8" t="str">
        <f t="shared" si="6"/>
        <v/>
      </c>
      <c r="AI5" s="8" t="str">
        <f t="shared" si="7"/>
        <v/>
      </c>
      <c r="AJ5" s="8" t="str">
        <f t="shared" si="8"/>
        <v/>
      </c>
    </row>
    <row r="6" spans="1:37" x14ac:dyDescent="0.25">
      <c r="A6" s="3" t="s">
        <v>424</v>
      </c>
      <c r="B6" s="3" t="s">
        <v>1311</v>
      </c>
      <c r="C6" s="3" t="s">
        <v>1312</v>
      </c>
      <c r="E6" t="s">
        <v>2135</v>
      </c>
      <c r="F6" t="s">
        <v>1360</v>
      </c>
      <c r="G6" t="s">
        <v>1361</v>
      </c>
      <c r="H6" t="s">
        <v>9</v>
      </c>
      <c r="I6">
        <v>4</v>
      </c>
      <c r="J6">
        <v>0.05</v>
      </c>
      <c r="K6">
        <v>17.5</v>
      </c>
      <c r="L6" s="8">
        <f t="shared" si="0"/>
        <v>4.2</v>
      </c>
      <c r="M6" s="8">
        <f t="shared" si="1"/>
        <v>4.2</v>
      </c>
      <c r="N6" s="8">
        <f t="shared" si="2"/>
        <v>73.5</v>
      </c>
      <c r="W6" s="8" t="str">
        <f t="shared" si="3"/>
        <v/>
      </c>
      <c r="X6" s="8" t="str">
        <f t="shared" si="4"/>
        <v/>
      </c>
      <c r="Y6" s="8" t="str">
        <f t="shared" si="5"/>
        <v/>
      </c>
      <c r="AH6" s="8" t="str">
        <f t="shared" si="6"/>
        <v/>
      </c>
      <c r="AI6" s="8" t="str">
        <f t="shared" si="7"/>
        <v/>
      </c>
      <c r="AJ6" s="8" t="str">
        <f t="shared" si="8"/>
        <v/>
      </c>
    </row>
    <row r="7" spans="1:37" x14ac:dyDescent="0.25">
      <c r="A7" s="3" t="s">
        <v>424</v>
      </c>
      <c r="B7" s="3" t="s">
        <v>1313</v>
      </c>
      <c r="C7" s="3" t="s">
        <v>1314</v>
      </c>
      <c r="E7" t="s">
        <v>2136</v>
      </c>
      <c r="F7" t="s">
        <v>1360</v>
      </c>
      <c r="G7" t="s">
        <v>1362</v>
      </c>
      <c r="H7" t="s">
        <v>9</v>
      </c>
      <c r="I7">
        <v>4</v>
      </c>
      <c r="J7">
        <v>0.05</v>
      </c>
      <c r="K7">
        <v>17.5</v>
      </c>
      <c r="L7" s="8">
        <f t="shared" si="0"/>
        <v>4.2</v>
      </c>
      <c r="M7" s="8">
        <f t="shared" si="1"/>
        <v>4.2</v>
      </c>
      <c r="N7" s="8">
        <f t="shared" si="2"/>
        <v>73.5</v>
      </c>
      <c r="W7" s="8" t="str">
        <f t="shared" si="3"/>
        <v/>
      </c>
      <c r="X7" s="8" t="str">
        <f t="shared" si="4"/>
        <v/>
      </c>
      <c r="Y7" s="8" t="str">
        <f t="shared" si="5"/>
        <v/>
      </c>
      <c r="AH7" s="8" t="str">
        <f t="shared" si="6"/>
        <v/>
      </c>
      <c r="AI7" s="8" t="str">
        <f t="shared" si="7"/>
        <v/>
      </c>
      <c r="AJ7" s="8" t="str">
        <f t="shared" si="8"/>
        <v/>
      </c>
    </row>
    <row r="8" spans="1:37" x14ac:dyDescent="0.25">
      <c r="A8" s="3" t="s">
        <v>424</v>
      </c>
      <c r="B8" s="3" t="s">
        <v>698</v>
      </c>
      <c r="C8" s="3" t="s">
        <v>1315</v>
      </c>
      <c r="L8" s="8" t="str">
        <f t="shared" si="0"/>
        <v/>
      </c>
      <c r="M8" s="8" t="str">
        <f t="shared" si="1"/>
        <v/>
      </c>
      <c r="N8" s="8" t="str">
        <f t="shared" si="2"/>
        <v/>
      </c>
      <c r="W8" s="8" t="str">
        <f t="shared" si="3"/>
        <v/>
      </c>
      <c r="X8" s="8" t="str">
        <f t="shared" si="4"/>
        <v/>
      </c>
      <c r="Y8" s="8" t="str">
        <f t="shared" si="5"/>
        <v/>
      </c>
      <c r="AH8" s="8" t="str">
        <f t="shared" si="6"/>
        <v/>
      </c>
      <c r="AI8" s="8" t="str">
        <f t="shared" si="7"/>
        <v/>
      </c>
      <c r="AJ8" s="8" t="str">
        <f t="shared" si="8"/>
        <v/>
      </c>
    </row>
    <row r="9" spans="1:37" x14ac:dyDescent="0.25">
      <c r="A9" s="3" t="s">
        <v>424</v>
      </c>
      <c r="B9" s="3" t="s">
        <v>425</v>
      </c>
      <c r="C9" s="3" t="s">
        <v>1316</v>
      </c>
      <c r="L9" s="8" t="str">
        <f t="shared" si="0"/>
        <v/>
      </c>
      <c r="M9" s="8" t="str">
        <f t="shared" si="1"/>
        <v/>
      </c>
      <c r="N9" s="8" t="str">
        <f t="shared" si="2"/>
        <v/>
      </c>
      <c r="W9" s="8" t="str">
        <f t="shared" si="3"/>
        <v/>
      </c>
      <c r="X9" s="8" t="str">
        <f t="shared" si="4"/>
        <v/>
      </c>
      <c r="Y9" s="8" t="str">
        <f t="shared" si="5"/>
        <v/>
      </c>
      <c r="AH9" s="8" t="str">
        <f t="shared" si="6"/>
        <v/>
      </c>
      <c r="AI9" s="8" t="str">
        <f t="shared" si="7"/>
        <v/>
      </c>
      <c r="AJ9" s="8" t="str">
        <f t="shared" si="8"/>
        <v/>
      </c>
    </row>
    <row r="10" spans="1:37" x14ac:dyDescent="0.25">
      <c r="A10" s="3" t="s">
        <v>424</v>
      </c>
      <c r="B10" s="3" t="s">
        <v>426</v>
      </c>
      <c r="C10" s="3" t="s">
        <v>1317</v>
      </c>
      <c r="L10" s="8" t="str">
        <f t="shared" si="0"/>
        <v/>
      </c>
      <c r="M10" s="8" t="str">
        <f t="shared" si="1"/>
        <v/>
      </c>
      <c r="N10" s="8" t="str">
        <f t="shared" si="2"/>
        <v/>
      </c>
      <c r="W10" s="8" t="str">
        <f t="shared" si="3"/>
        <v/>
      </c>
      <c r="X10" s="8" t="str">
        <f t="shared" si="4"/>
        <v/>
      </c>
      <c r="Y10" s="8" t="str">
        <f t="shared" si="5"/>
        <v/>
      </c>
      <c r="AH10" s="8" t="str">
        <f t="shared" si="6"/>
        <v/>
      </c>
      <c r="AI10" s="8" t="str">
        <f t="shared" si="7"/>
        <v/>
      </c>
      <c r="AJ10" s="8" t="str">
        <f t="shared" si="8"/>
        <v/>
      </c>
    </row>
    <row r="11" spans="1:37" x14ac:dyDescent="0.25">
      <c r="A11" s="3" t="s">
        <v>424</v>
      </c>
      <c r="B11" s="3" t="s">
        <v>427</v>
      </c>
      <c r="C11" s="3" t="s">
        <v>1318</v>
      </c>
      <c r="L11" s="8" t="str">
        <f t="shared" si="0"/>
        <v/>
      </c>
      <c r="M11" s="8" t="str">
        <f t="shared" si="1"/>
        <v/>
      </c>
      <c r="N11" s="8" t="str">
        <f t="shared" si="2"/>
        <v/>
      </c>
      <c r="W11" s="8" t="str">
        <f t="shared" si="3"/>
        <v/>
      </c>
      <c r="X11" s="8" t="str">
        <f t="shared" si="4"/>
        <v/>
      </c>
      <c r="Y11" s="8" t="str">
        <f t="shared" si="5"/>
        <v/>
      </c>
      <c r="AH11" s="8" t="str">
        <f t="shared" si="6"/>
        <v/>
      </c>
      <c r="AI11" s="8" t="str">
        <f t="shared" si="7"/>
        <v/>
      </c>
      <c r="AJ11" s="8" t="str">
        <f t="shared" si="8"/>
        <v/>
      </c>
    </row>
    <row r="12" spans="1:37" x14ac:dyDescent="0.25">
      <c r="A12" s="3" t="s">
        <v>424</v>
      </c>
      <c r="B12" s="3" t="s">
        <v>1319</v>
      </c>
      <c r="C12" s="3" t="s">
        <v>1320</v>
      </c>
      <c r="L12" s="8" t="str">
        <f t="shared" si="0"/>
        <v/>
      </c>
      <c r="M12" s="8" t="str">
        <f t="shared" si="1"/>
        <v/>
      </c>
      <c r="N12" s="8" t="str">
        <f t="shared" si="2"/>
        <v/>
      </c>
      <c r="W12" s="8" t="str">
        <f t="shared" si="3"/>
        <v/>
      </c>
      <c r="X12" s="8" t="str">
        <f t="shared" si="4"/>
        <v/>
      </c>
      <c r="Y12" s="8" t="str">
        <f t="shared" si="5"/>
        <v/>
      </c>
      <c r="AH12" s="8" t="str">
        <f t="shared" si="6"/>
        <v/>
      </c>
      <c r="AI12" s="8" t="str">
        <f t="shared" si="7"/>
        <v/>
      </c>
      <c r="AJ12" s="8" t="str">
        <f t="shared" si="8"/>
        <v/>
      </c>
    </row>
    <row r="13" spans="1:37" x14ac:dyDescent="0.25">
      <c r="A13" s="3" t="s">
        <v>424</v>
      </c>
      <c r="B13" s="3" t="s">
        <v>428</v>
      </c>
      <c r="C13" s="3" t="s">
        <v>1321</v>
      </c>
      <c r="L13" s="8" t="str">
        <f t="shared" si="0"/>
        <v/>
      </c>
      <c r="M13" s="8" t="str">
        <f t="shared" si="1"/>
        <v/>
      </c>
      <c r="N13" s="8" t="str">
        <f t="shared" si="2"/>
        <v/>
      </c>
      <c r="W13" s="8" t="str">
        <f t="shared" si="3"/>
        <v/>
      </c>
      <c r="X13" s="8" t="str">
        <f t="shared" si="4"/>
        <v/>
      </c>
      <c r="Y13" s="8" t="str">
        <f t="shared" si="5"/>
        <v/>
      </c>
      <c r="AH13" s="8" t="str">
        <f t="shared" si="6"/>
        <v/>
      </c>
      <c r="AI13" s="8" t="str">
        <f t="shared" si="7"/>
        <v/>
      </c>
      <c r="AJ13" s="8" t="str">
        <f t="shared" si="8"/>
        <v/>
      </c>
    </row>
    <row r="14" spans="1:37" x14ac:dyDescent="0.25">
      <c r="A14" s="3" t="s">
        <v>424</v>
      </c>
      <c r="B14" s="3" t="s">
        <v>1322</v>
      </c>
      <c r="C14" s="3" t="s">
        <v>1323</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424</v>
      </c>
      <c r="B15" s="3" t="s">
        <v>1324</v>
      </c>
      <c r="C15" s="3" t="s">
        <v>1325</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424</v>
      </c>
      <c r="B16" s="3" t="s">
        <v>429</v>
      </c>
      <c r="C16" s="3" t="s">
        <v>1326</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424</v>
      </c>
      <c r="B17" s="3" t="s">
        <v>995</v>
      </c>
      <c r="C17" s="3" t="s">
        <v>1327</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424</v>
      </c>
      <c r="B18" s="3" t="s">
        <v>430</v>
      </c>
      <c r="C18" s="3" t="s">
        <v>1328</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424</v>
      </c>
      <c r="B19" s="3" t="s">
        <v>431</v>
      </c>
      <c r="C19" s="3" t="s">
        <v>1329</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424</v>
      </c>
      <c r="B20" s="3" t="s">
        <v>1330</v>
      </c>
      <c r="C20" s="3" t="s">
        <v>1331</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424</v>
      </c>
      <c r="B21" s="3" t="s">
        <v>1332</v>
      </c>
      <c r="C21" s="3" t="s">
        <v>1333</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424</v>
      </c>
      <c r="B22" s="3" t="s">
        <v>1334</v>
      </c>
      <c r="C22" s="3" t="s">
        <v>1335</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424</v>
      </c>
      <c r="B23" s="3" t="s">
        <v>1336</v>
      </c>
      <c r="C23" s="3" t="s">
        <v>1337</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424</v>
      </c>
      <c r="B24" s="3" t="s">
        <v>1338</v>
      </c>
      <c r="C24" s="3" t="s">
        <v>1339</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2117</v>
      </c>
      <c r="B25" s="3" t="s">
        <v>2118</v>
      </c>
      <c r="C25" s="3" t="s">
        <v>2119</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2117</v>
      </c>
      <c r="B26" s="3" t="s">
        <v>2120</v>
      </c>
      <c r="C26" s="3" t="s">
        <v>2121</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2117</v>
      </c>
      <c r="B27" s="3" t="s">
        <v>2122</v>
      </c>
      <c r="C27" s="3" t="s">
        <v>2123</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2117</v>
      </c>
      <c r="B28" s="3" t="s">
        <v>2124</v>
      </c>
      <c r="C28" s="3" t="s">
        <v>2125</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2117</v>
      </c>
      <c r="B29" s="3" t="s">
        <v>2126</v>
      </c>
      <c r="C29" s="3" t="s">
        <v>2127</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1340</v>
      </c>
      <c r="B30" s="3" t="s">
        <v>1341</v>
      </c>
      <c r="C30" s="3" t="s">
        <v>2064</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1340</v>
      </c>
      <c r="B31" s="3" t="s">
        <v>1342</v>
      </c>
      <c r="C31" s="3" t="s">
        <v>731</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1340</v>
      </c>
      <c r="B32" s="3" t="s">
        <v>1343</v>
      </c>
      <c r="C32" s="3" t="s">
        <v>1344</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1340</v>
      </c>
      <c r="B33" s="3" t="s">
        <v>1345</v>
      </c>
      <c r="C33" s="3" t="s">
        <v>1346</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1340</v>
      </c>
      <c r="B34" s="3" t="s">
        <v>1347</v>
      </c>
      <c r="C34" s="3" t="s">
        <v>1348</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424</v>
      </c>
      <c r="B35" s="3" t="s">
        <v>1349</v>
      </c>
      <c r="C35" s="3" t="s">
        <v>1350</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424</v>
      </c>
      <c r="B36" s="3" t="s">
        <v>1351</v>
      </c>
      <c r="C36" s="3" t="s">
        <v>1352</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424</v>
      </c>
      <c r="B37" s="3" t="s">
        <v>1353</v>
      </c>
      <c r="C37" s="3" t="s">
        <v>1354</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424</v>
      </c>
      <c r="B38" s="3" t="s">
        <v>1355</v>
      </c>
      <c r="C38" s="3" t="s">
        <v>1356</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424</v>
      </c>
      <c r="B39" s="3" t="s">
        <v>370</v>
      </c>
      <c r="C39" s="3" t="s">
        <v>1357</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1358</v>
      </c>
      <c r="B40" s="3" t="s">
        <v>1515</v>
      </c>
      <c r="C40" s="3" t="s">
        <v>457</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2117</v>
      </c>
      <c r="B41" s="3" t="s">
        <v>1973</v>
      </c>
      <c r="C41" s="3" t="s">
        <v>2128</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424</v>
      </c>
      <c r="B42" s="3" t="s">
        <v>587</v>
      </c>
      <c r="C42" s="3" t="s">
        <v>2129</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432</v>
      </c>
      <c r="B43" s="3" t="s">
        <v>433</v>
      </c>
      <c r="C43" s="3" t="s">
        <v>2130</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2:36" x14ac:dyDescent="0.25">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sheetData>
  <mergeCells count="4">
    <mergeCell ref="A1:C1"/>
    <mergeCell ref="E1:K1"/>
    <mergeCell ref="P1:V1"/>
    <mergeCell ref="AA1:AG1"/>
  </mergeCell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EBD1DC-CEA1-4E3A-95BE-864579278C67}">
  <sheetPr codeName="Sheet23"/>
  <dimension ref="A1:AK49"/>
  <sheetViews>
    <sheetView zoomScale="75" zoomScaleNormal="75" workbookViewId="0">
      <pane ySplit="49" topLeftCell="A50" activePane="bottomLeft" state="frozen"/>
      <selection pane="bottomLeft" sqref="A1:C43"/>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24" t="str" cm="1">
        <f t="array" aca="1" ref="A1" ca="1">IFERROR(MID(CELL("filename",$A$1),FIND("]",CELL("filename",$A$1))+1,99),"SXX")</f>
        <v>S12</v>
      </c>
      <c r="B1" s="24"/>
      <c r="C1" s="24"/>
      <c r="E1" s="25" t="str" cm="1">
        <f t="array" aca="1" ref="E1" ca="1">IFERROR(MID(CELL("filename",$A$1),FIND("]",CELL("filename",$A$1))+1,99),"SXX")&amp;" MATERIALS (USAGE + STANDALONE)"</f>
        <v>S12 MATERIALS (USAGE + STANDALONE)</v>
      </c>
      <c r="F1" s="25"/>
      <c r="G1" s="25"/>
      <c r="H1" s="25"/>
      <c r="I1" s="25"/>
      <c r="J1" s="25"/>
      <c r="K1" s="25"/>
      <c r="L1" s="13"/>
      <c r="M1" s="13"/>
      <c r="N1" s="19">
        <f>SUM(N3:N49)</f>
        <v>963.125</v>
      </c>
      <c r="P1" s="25" t="str" cm="1">
        <f t="array" aca="1" ref="P1" ca="1">IFERROR(MID(CELL("filename",$A$1),FIND("]",CELL("filename",$A$1))+1,99),"SXX")&amp;" LABOUR (USAGE + STANDALONE)"</f>
        <v>S12 LABOUR (USAGE + STANDALONE)</v>
      </c>
      <c r="Q1" s="25"/>
      <c r="R1" s="25"/>
      <c r="S1" s="25"/>
      <c r="T1" s="25"/>
      <c r="U1" s="25"/>
      <c r="V1" s="25"/>
      <c r="Y1" s="19">
        <f>SUM(Y3:Y49)</f>
        <v>1912.5</v>
      </c>
      <c r="AA1" s="26" t="str" cm="1">
        <f t="array" aca="1" ref="AA1" ca="1">IFERROR(MID(CELL("filename",$A$1),FIND("]",CELL("filename",$A$1))+1,99),"SXX")&amp;" RENTAL / SERVICE (USAGE + STANDALONE)"</f>
        <v>S12 RENTAL / SERVICE (USAGE + STANDALONE)</v>
      </c>
      <c r="AB1" s="26"/>
      <c r="AC1" s="26"/>
      <c r="AD1" s="26"/>
      <c r="AE1" s="26"/>
      <c r="AF1" s="26"/>
      <c r="AG1" s="26"/>
      <c r="AH1" s="6"/>
      <c r="AI1" s="6"/>
      <c r="AJ1" s="19">
        <f>SUM(AJ3:AJ49)</f>
        <v>0</v>
      </c>
    </row>
    <row r="2" spans="1:37" s="2" customFormat="1" x14ac:dyDescent="0.25">
      <c r="A2" s="4" t="s">
        <v>0</v>
      </c>
      <c r="B2" s="4" t="s">
        <v>3</v>
      </c>
      <c r="C2" s="4" t="s">
        <v>5</v>
      </c>
      <c r="D2" s="1"/>
      <c r="E2" s="2" t="s">
        <v>5</v>
      </c>
      <c r="F2" s="2" t="s">
        <v>0</v>
      </c>
      <c r="G2" s="2" t="s">
        <v>3</v>
      </c>
      <c r="H2" s="2" t="s">
        <v>1</v>
      </c>
      <c r="I2" s="2" t="s">
        <v>12</v>
      </c>
      <c r="J2" s="2" t="s">
        <v>4</v>
      </c>
      <c r="K2" s="2" t="s">
        <v>1725</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2138</v>
      </c>
      <c r="B3" s="3" t="s">
        <v>2139</v>
      </c>
      <c r="C3" s="3" t="s">
        <v>2140</v>
      </c>
      <c r="E3" t="s">
        <v>2220</v>
      </c>
      <c r="F3" t="s">
        <v>1364</v>
      </c>
      <c r="G3" t="s">
        <v>1365</v>
      </c>
      <c r="H3" t="s">
        <v>671</v>
      </c>
      <c r="I3">
        <v>13</v>
      </c>
      <c r="J3" s="22">
        <v>0.05</v>
      </c>
      <c r="K3">
        <v>25</v>
      </c>
      <c r="L3" s="8">
        <f t="shared" ref="L3:L49" si="0">IF($G3="","",$I3*(1+IF($J3="",0,$J3)))</f>
        <v>13.65</v>
      </c>
      <c r="M3" s="8">
        <f t="shared" ref="M3:M49" si="1">IF($G3="","",$L3)</f>
        <v>13.65</v>
      </c>
      <c r="N3" s="8">
        <f t="shared" ref="N3:N49" si="2">IF($G3="","",IF($K3="","",$M3*$K3))</f>
        <v>341.25</v>
      </c>
      <c r="P3" t="s">
        <v>2230</v>
      </c>
      <c r="Q3" t="s">
        <v>1374</v>
      </c>
      <c r="R3" t="s">
        <v>327</v>
      </c>
      <c r="S3" t="s">
        <v>33</v>
      </c>
      <c r="T3">
        <v>85</v>
      </c>
      <c r="U3" s="22">
        <v>0</v>
      </c>
      <c r="V3">
        <v>22.5</v>
      </c>
      <c r="W3" s="8">
        <f>IF($R3="","",$T3*(1+IF($U3="",0,$U3)))</f>
        <v>85</v>
      </c>
      <c r="X3" s="8">
        <f>IF($R3="","",$W3)</f>
        <v>85</v>
      </c>
      <c r="Y3" s="8">
        <f>IF($R3="","",IF($V3="","",$X3*$V3))</f>
        <v>1912.5</v>
      </c>
      <c r="AH3" s="8" t="str">
        <f>IF($AC3="","",$AE3*(1+IF($AF3="",0,$AF3)))</f>
        <v/>
      </c>
      <c r="AI3" s="8" t="str">
        <f>IF($AC3="","",$AH3)</f>
        <v/>
      </c>
      <c r="AJ3" s="8" t="str">
        <f>IF($AC3="","",IF($AG3="","",$AI3*$AG3))</f>
        <v/>
      </c>
    </row>
    <row r="4" spans="1:37" x14ac:dyDescent="0.25">
      <c r="A4" s="3" t="s">
        <v>2141</v>
      </c>
      <c r="B4" s="3" t="s">
        <v>2142</v>
      </c>
      <c r="C4" s="3" t="s">
        <v>2143</v>
      </c>
      <c r="E4" t="s">
        <v>2221</v>
      </c>
      <c r="F4" t="s">
        <v>1364</v>
      </c>
      <c r="G4" t="s">
        <v>1366</v>
      </c>
      <c r="H4" t="s">
        <v>671</v>
      </c>
      <c r="I4">
        <v>5</v>
      </c>
      <c r="J4" s="22">
        <v>0.05</v>
      </c>
      <c r="K4">
        <v>13</v>
      </c>
      <c r="L4" s="8">
        <f t="shared" si="0"/>
        <v>5.25</v>
      </c>
      <c r="M4" s="8">
        <f t="shared" si="1"/>
        <v>5.25</v>
      </c>
      <c r="N4" s="8">
        <f t="shared" si="2"/>
        <v>68.25</v>
      </c>
      <c r="U4" s="22"/>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2144</v>
      </c>
      <c r="B5" s="3" t="s">
        <v>2145</v>
      </c>
      <c r="C5" s="3" t="s">
        <v>2146</v>
      </c>
      <c r="E5" t="s">
        <v>2222</v>
      </c>
      <c r="F5" t="s">
        <v>2223</v>
      </c>
      <c r="G5" t="s">
        <v>1367</v>
      </c>
      <c r="H5" t="s">
        <v>728</v>
      </c>
      <c r="I5">
        <v>30</v>
      </c>
      <c r="J5" s="22">
        <v>0.05</v>
      </c>
      <c r="K5">
        <v>3.5</v>
      </c>
      <c r="L5" s="8">
        <f t="shared" si="0"/>
        <v>31.5</v>
      </c>
      <c r="M5" s="8">
        <f t="shared" si="1"/>
        <v>31.5</v>
      </c>
      <c r="N5" s="8">
        <f t="shared" si="2"/>
        <v>110.25</v>
      </c>
      <c r="W5" s="8" t="str">
        <f t="shared" si="3"/>
        <v/>
      </c>
      <c r="X5" s="8" t="str">
        <f t="shared" si="4"/>
        <v/>
      </c>
      <c r="Y5" s="8" t="str">
        <f t="shared" si="5"/>
        <v/>
      </c>
      <c r="AH5" s="8" t="str">
        <f t="shared" si="6"/>
        <v/>
      </c>
      <c r="AI5" s="8" t="str">
        <f t="shared" si="7"/>
        <v/>
      </c>
      <c r="AJ5" s="8" t="str">
        <f t="shared" si="8"/>
        <v/>
      </c>
    </row>
    <row r="6" spans="1:37" x14ac:dyDescent="0.25">
      <c r="A6" s="3" t="s">
        <v>2147</v>
      </c>
      <c r="B6" s="3" t="s">
        <v>2148</v>
      </c>
      <c r="C6" s="3" t="s">
        <v>2149</v>
      </c>
      <c r="E6" t="s">
        <v>2224</v>
      </c>
      <c r="F6" t="s">
        <v>2223</v>
      </c>
      <c r="G6" t="s">
        <v>1368</v>
      </c>
      <c r="H6" t="s">
        <v>8</v>
      </c>
      <c r="I6">
        <v>12</v>
      </c>
      <c r="J6">
        <v>0.05</v>
      </c>
      <c r="K6">
        <v>20</v>
      </c>
      <c r="L6" s="8">
        <f t="shared" si="0"/>
        <v>12.600000000000001</v>
      </c>
      <c r="M6" s="8">
        <f t="shared" si="1"/>
        <v>12.600000000000001</v>
      </c>
      <c r="N6" s="8">
        <f t="shared" si="2"/>
        <v>252.00000000000003</v>
      </c>
      <c r="W6" s="8" t="str">
        <f t="shared" si="3"/>
        <v/>
      </c>
      <c r="X6" s="8" t="str">
        <f t="shared" si="4"/>
        <v/>
      </c>
      <c r="Y6" s="8" t="str">
        <f t="shared" si="5"/>
        <v/>
      </c>
      <c r="AH6" s="8" t="str">
        <f t="shared" si="6"/>
        <v/>
      </c>
      <c r="AI6" s="8" t="str">
        <f t="shared" si="7"/>
        <v/>
      </c>
      <c r="AJ6" s="8" t="str">
        <f t="shared" si="8"/>
        <v/>
      </c>
    </row>
    <row r="7" spans="1:37" x14ac:dyDescent="0.25">
      <c r="A7" s="3" t="s">
        <v>2147</v>
      </c>
      <c r="B7" s="3" t="s">
        <v>2150</v>
      </c>
      <c r="C7" s="3" t="s">
        <v>2151</v>
      </c>
      <c r="E7" t="s">
        <v>2225</v>
      </c>
      <c r="F7" t="s">
        <v>2226</v>
      </c>
      <c r="G7" t="s">
        <v>1369</v>
      </c>
      <c r="H7" t="s">
        <v>728</v>
      </c>
      <c r="I7">
        <v>12</v>
      </c>
      <c r="J7">
        <v>0.05</v>
      </c>
      <c r="K7">
        <v>8.5</v>
      </c>
      <c r="L7" s="8">
        <f t="shared" si="0"/>
        <v>12.600000000000001</v>
      </c>
      <c r="M7" s="8">
        <f t="shared" si="1"/>
        <v>12.600000000000001</v>
      </c>
      <c r="N7" s="8">
        <f t="shared" si="2"/>
        <v>107.10000000000001</v>
      </c>
      <c r="W7" s="8" t="str">
        <f t="shared" si="3"/>
        <v/>
      </c>
      <c r="X7" s="8" t="str">
        <f t="shared" si="4"/>
        <v/>
      </c>
      <c r="Y7" s="8" t="str">
        <f t="shared" si="5"/>
        <v/>
      </c>
      <c r="AH7" s="8" t="str">
        <f t="shared" si="6"/>
        <v/>
      </c>
      <c r="AI7" s="8" t="str">
        <f t="shared" si="7"/>
        <v/>
      </c>
      <c r="AJ7" s="8" t="str">
        <f t="shared" si="8"/>
        <v/>
      </c>
    </row>
    <row r="8" spans="1:37" x14ac:dyDescent="0.25">
      <c r="A8" s="3" t="s">
        <v>2152</v>
      </c>
      <c r="B8" s="3" t="s">
        <v>2153</v>
      </c>
      <c r="C8" s="3" t="s">
        <v>2154</v>
      </c>
      <c r="E8" t="s">
        <v>1370</v>
      </c>
      <c r="F8" t="s">
        <v>2227</v>
      </c>
      <c r="G8" t="s">
        <v>1371</v>
      </c>
      <c r="H8" t="s">
        <v>8</v>
      </c>
      <c r="I8">
        <v>2</v>
      </c>
      <c r="J8">
        <v>0.05</v>
      </c>
      <c r="K8">
        <v>3</v>
      </c>
      <c r="L8" s="8">
        <f t="shared" si="0"/>
        <v>2.1</v>
      </c>
      <c r="M8" s="8">
        <f t="shared" si="1"/>
        <v>2.1</v>
      </c>
      <c r="N8" s="8">
        <f t="shared" si="2"/>
        <v>6.3000000000000007</v>
      </c>
      <c r="W8" s="8" t="str">
        <f t="shared" si="3"/>
        <v/>
      </c>
      <c r="X8" s="8" t="str">
        <f t="shared" si="4"/>
        <v/>
      </c>
      <c r="Y8" s="8" t="str">
        <f t="shared" si="5"/>
        <v/>
      </c>
      <c r="AH8" s="8" t="str">
        <f t="shared" si="6"/>
        <v/>
      </c>
      <c r="AI8" s="8" t="str">
        <f t="shared" si="7"/>
        <v/>
      </c>
      <c r="AJ8" s="8" t="str">
        <f t="shared" si="8"/>
        <v/>
      </c>
    </row>
    <row r="9" spans="1:37" x14ac:dyDescent="0.25">
      <c r="A9" s="3" t="s">
        <v>2147</v>
      </c>
      <c r="B9" s="3" t="s">
        <v>1155</v>
      </c>
      <c r="C9" s="3" t="s">
        <v>2155</v>
      </c>
      <c r="E9" t="s">
        <v>2228</v>
      </c>
      <c r="F9" t="s">
        <v>2227</v>
      </c>
      <c r="G9" t="s">
        <v>60</v>
      </c>
      <c r="H9" t="s">
        <v>9</v>
      </c>
      <c r="I9">
        <v>3</v>
      </c>
      <c r="J9">
        <v>0.05</v>
      </c>
      <c r="K9">
        <v>16.5</v>
      </c>
      <c r="L9" s="8">
        <f t="shared" si="0"/>
        <v>3.1500000000000004</v>
      </c>
      <c r="M9" s="8">
        <f t="shared" si="1"/>
        <v>3.1500000000000004</v>
      </c>
      <c r="N9" s="8">
        <f t="shared" si="2"/>
        <v>51.975000000000009</v>
      </c>
      <c r="W9" s="8" t="str">
        <f t="shared" si="3"/>
        <v/>
      </c>
      <c r="X9" s="8" t="str">
        <f t="shared" si="4"/>
        <v/>
      </c>
      <c r="Y9" s="8" t="str">
        <f t="shared" si="5"/>
        <v/>
      </c>
      <c r="AH9" s="8" t="str">
        <f t="shared" si="6"/>
        <v/>
      </c>
      <c r="AI9" s="8" t="str">
        <f t="shared" si="7"/>
        <v/>
      </c>
      <c r="AJ9" s="8" t="str">
        <f t="shared" si="8"/>
        <v/>
      </c>
    </row>
    <row r="10" spans="1:37" x14ac:dyDescent="0.25">
      <c r="A10" s="3" t="s">
        <v>2147</v>
      </c>
      <c r="B10" s="3" t="s">
        <v>2156</v>
      </c>
      <c r="C10" s="3" t="s">
        <v>2157</v>
      </c>
      <c r="E10" t="s">
        <v>2229</v>
      </c>
      <c r="F10" t="s">
        <v>1372</v>
      </c>
      <c r="G10" t="s">
        <v>1373</v>
      </c>
      <c r="H10" t="s">
        <v>8</v>
      </c>
      <c r="I10">
        <v>2</v>
      </c>
      <c r="J10">
        <v>0</v>
      </c>
      <c r="K10">
        <v>13</v>
      </c>
      <c r="L10" s="8">
        <f t="shared" si="0"/>
        <v>2</v>
      </c>
      <c r="M10" s="8">
        <f t="shared" si="1"/>
        <v>2</v>
      </c>
      <c r="N10" s="8">
        <f t="shared" si="2"/>
        <v>26</v>
      </c>
      <c r="W10" s="8" t="str">
        <f t="shared" si="3"/>
        <v/>
      </c>
      <c r="X10" s="8" t="str">
        <f t="shared" si="4"/>
        <v/>
      </c>
      <c r="Y10" s="8" t="str">
        <f t="shared" si="5"/>
        <v/>
      </c>
      <c r="AH10" s="8" t="str">
        <f t="shared" si="6"/>
        <v/>
      </c>
      <c r="AI10" s="8" t="str">
        <f t="shared" si="7"/>
        <v/>
      </c>
      <c r="AJ10" s="8" t="str">
        <f t="shared" si="8"/>
        <v/>
      </c>
    </row>
    <row r="11" spans="1:37" x14ac:dyDescent="0.25">
      <c r="A11" s="3" t="s">
        <v>2152</v>
      </c>
      <c r="B11" s="3" t="s">
        <v>2158</v>
      </c>
      <c r="C11" s="3" t="s">
        <v>2159</v>
      </c>
      <c r="L11" s="8" t="str">
        <f t="shared" si="0"/>
        <v/>
      </c>
      <c r="M11" s="8" t="str">
        <f t="shared" si="1"/>
        <v/>
      </c>
      <c r="N11" s="8" t="str">
        <f t="shared" si="2"/>
        <v/>
      </c>
      <c r="W11" s="8" t="str">
        <f t="shared" si="3"/>
        <v/>
      </c>
      <c r="X11" s="8" t="str">
        <f t="shared" si="4"/>
        <v/>
      </c>
      <c r="Y11" s="8" t="str">
        <f t="shared" si="5"/>
        <v/>
      </c>
      <c r="AH11" s="8" t="str">
        <f t="shared" si="6"/>
        <v/>
      </c>
      <c r="AI11" s="8" t="str">
        <f t="shared" si="7"/>
        <v/>
      </c>
      <c r="AJ11" s="8" t="str">
        <f t="shared" si="8"/>
        <v/>
      </c>
    </row>
    <row r="12" spans="1:37" x14ac:dyDescent="0.25">
      <c r="A12" s="3" t="s">
        <v>2152</v>
      </c>
      <c r="B12" s="3" t="s">
        <v>2160</v>
      </c>
      <c r="C12" s="3" t="s">
        <v>2161</v>
      </c>
      <c r="L12" s="8" t="str">
        <f t="shared" si="0"/>
        <v/>
      </c>
      <c r="M12" s="8" t="str">
        <f t="shared" si="1"/>
        <v/>
      </c>
      <c r="N12" s="8" t="str">
        <f t="shared" si="2"/>
        <v/>
      </c>
      <c r="W12" s="8" t="str">
        <f t="shared" si="3"/>
        <v/>
      </c>
      <c r="X12" s="8" t="str">
        <f t="shared" si="4"/>
        <v/>
      </c>
      <c r="Y12" s="8" t="str">
        <f t="shared" si="5"/>
        <v/>
      </c>
      <c r="AH12" s="8" t="str">
        <f t="shared" si="6"/>
        <v/>
      </c>
      <c r="AI12" s="8" t="str">
        <f t="shared" si="7"/>
        <v/>
      </c>
      <c r="AJ12" s="8" t="str">
        <f t="shared" si="8"/>
        <v/>
      </c>
    </row>
    <row r="13" spans="1:37" x14ac:dyDescent="0.25">
      <c r="A13" s="3" t="s">
        <v>2152</v>
      </c>
      <c r="B13" s="3" t="s">
        <v>2162</v>
      </c>
      <c r="C13" s="3" t="s">
        <v>2163</v>
      </c>
      <c r="L13" s="8" t="str">
        <f t="shared" si="0"/>
        <v/>
      </c>
      <c r="M13" s="8" t="str">
        <f t="shared" si="1"/>
        <v/>
      </c>
      <c r="N13" s="8" t="str">
        <f t="shared" si="2"/>
        <v/>
      </c>
      <c r="W13" s="8" t="str">
        <f t="shared" si="3"/>
        <v/>
      </c>
      <c r="X13" s="8" t="str">
        <f t="shared" si="4"/>
        <v/>
      </c>
      <c r="Y13" s="8" t="str">
        <f t="shared" si="5"/>
        <v/>
      </c>
      <c r="AH13" s="8" t="str">
        <f t="shared" si="6"/>
        <v/>
      </c>
      <c r="AI13" s="8" t="str">
        <f t="shared" si="7"/>
        <v/>
      </c>
      <c r="AJ13" s="8" t="str">
        <f t="shared" si="8"/>
        <v/>
      </c>
    </row>
    <row r="14" spans="1:37" x14ac:dyDescent="0.25">
      <c r="A14" s="3" t="s">
        <v>2147</v>
      </c>
      <c r="B14" s="3" t="s">
        <v>2164</v>
      </c>
      <c r="C14" s="3" t="s">
        <v>2165</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2147</v>
      </c>
      <c r="B15" s="3" t="s">
        <v>2166</v>
      </c>
      <c r="C15" s="3" t="s">
        <v>2167</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2147</v>
      </c>
      <c r="B16" s="3" t="s">
        <v>2168</v>
      </c>
      <c r="C16" s="3" t="s">
        <v>2169</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2147</v>
      </c>
      <c r="B17" s="3" t="s">
        <v>2170</v>
      </c>
      <c r="C17" s="3" t="s">
        <v>2171</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2147</v>
      </c>
      <c r="B18" s="3" t="s">
        <v>2172</v>
      </c>
      <c r="C18" s="3" t="s">
        <v>2173</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2147</v>
      </c>
      <c r="B19" s="3" t="s">
        <v>2174</v>
      </c>
      <c r="C19" s="3" t="s">
        <v>2175</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2147</v>
      </c>
      <c r="B20" s="3" t="s">
        <v>2176</v>
      </c>
      <c r="C20" s="3" t="s">
        <v>2177</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2147</v>
      </c>
      <c r="B21" s="3" t="s">
        <v>2178</v>
      </c>
      <c r="C21" s="3" t="s">
        <v>2179</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2147</v>
      </c>
      <c r="B22" s="3" t="s">
        <v>584</v>
      </c>
      <c r="C22" s="3" t="s">
        <v>2180</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2147</v>
      </c>
      <c r="B23" s="3" t="s">
        <v>370</v>
      </c>
      <c r="C23" s="3" t="s">
        <v>2181</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2182</v>
      </c>
      <c r="B24" s="3" t="s">
        <v>2183</v>
      </c>
      <c r="C24" s="3" t="s">
        <v>2184</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2182</v>
      </c>
      <c r="B25" s="3" t="s">
        <v>2185</v>
      </c>
      <c r="C25" s="3" t="s">
        <v>2186</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2182</v>
      </c>
      <c r="B26" s="3" t="s">
        <v>2187</v>
      </c>
      <c r="C26" s="3" t="s">
        <v>2188</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2182</v>
      </c>
      <c r="B27" s="3" t="s">
        <v>2189</v>
      </c>
      <c r="C27" s="3" t="s">
        <v>2190</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2182</v>
      </c>
      <c r="B28" s="3" t="s">
        <v>2191</v>
      </c>
      <c r="C28" s="3" t="s">
        <v>2192</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2182</v>
      </c>
      <c r="B29" s="3" t="s">
        <v>2193</v>
      </c>
      <c r="C29" s="3" t="s">
        <v>2194</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2182</v>
      </c>
      <c r="B30" s="3" t="s">
        <v>2195</v>
      </c>
      <c r="C30" s="3" t="s">
        <v>1344</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2182</v>
      </c>
      <c r="B31" s="3" t="s">
        <v>2196</v>
      </c>
      <c r="C31" s="3" t="s">
        <v>2197</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2152</v>
      </c>
      <c r="B32" s="3" t="s">
        <v>2198</v>
      </c>
      <c r="C32" s="3" t="s">
        <v>2199</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2152</v>
      </c>
      <c r="B33" s="3" t="s">
        <v>2200</v>
      </c>
      <c r="C33" s="3" t="s">
        <v>2201</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2152</v>
      </c>
      <c r="B34" s="3" t="s">
        <v>2202</v>
      </c>
      <c r="C34" s="3" t="s">
        <v>2203</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2152</v>
      </c>
      <c r="B35" s="3" t="s">
        <v>2204</v>
      </c>
      <c r="C35" s="3" t="s">
        <v>2205</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2152</v>
      </c>
      <c r="B36" s="3" t="s">
        <v>2206</v>
      </c>
      <c r="C36" s="3" t="s">
        <v>2207</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2152</v>
      </c>
      <c r="B37" s="3" t="s">
        <v>2208</v>
      </c>
      <c r="C37" s="3" t="s">
        <v>2209</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2152</v>
      </c>
      <c r="B38" s="3" t="s">
        <v>2210</v>
      </c>
      <c r="C38" s="3" t="s">
        <v>2211</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2152</v>
      </c>
      <c r="B39" s="3" t="s">
        <v>2212</v>
      </c>
      <c r="C39" s="3" t="s">
        <v>2213</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2214</v>
      </c>
      <c r="B40" s="3" t="s">
        <v>1515</v>
      </c>
      <c r="C40" s="3" t="s">
        <v>457</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2152</v>
      </c>
      <c r="B41" s="3" t="s">
        <v>1973</v>
      </c>
      <c r="C41" s="3" t="s">
        <v>2215</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2147</v>
      </c>
      <c r="B42" s="3" t="s">
        <v>587</v>
      </c>
      <c r="C42" s="3" t="s">
        <v>2216</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2217</v>
      </c>
      <c r="B43" s="3" t="s">
        <v>2218</v>
      </c>
      <c r="C43" s="3" t="s">
        <v>2219</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2:36" x14ac:dyDescent="0.25">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sheetData>
  <mergeCells count="4">
    <mergeCell ref="A1:C1"/>
    <mergeCell ref="E1:K1"/>
    <mergeCell ref="P1:V1"/>
    <mergeCell ref="AA1:AG1"/>
  </mergeCell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649DF5-AA87-4D01-9F31-069C0F91E157}">
  <sheetPr codeName="Sheet24"/>
  <dimension ref="A1:AK57"/>
  <sheetViews>
    <sheetView zoomScale="75" zoomScaleNormal="75" workbookViewId="0">
      <pane ySplit="49" topLeftCell="A58" activePane="bottomLeft" state="frozen"/>
      <selection pane="bottomLeft" sqref="A1:C57"/>
    </sheetView>
  </sheetViews>
  <sheetFormatPr defaultRowHeight="15" x14ac:dyDescent="0.25"/>
  <cols>
    <col min="1" max="1" width="17.85546875" style="3" bestFit="1" customWidth="1"/>
    <col min="2" max="2" width="8.5703125" style="3" customWidth="1"/>
    <col min="3"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24" t="str" cm="1">
        <f t="array" aca="1" ref="A1" ca="1">IFERROR(MID(CELL("filename",$A$1),FIND("]",CELL("filename",$A$1))+1,99),"SXX")</f>
        <v>S13</v>
      </c>
      <c r="B1" s="24"/>
      <c r="C1" s="24"/>
      <c r="E1" s="25" t="str" cm="1">
        <f t="array" aca="1" ref="E1" ca="1">IFERROR(MID(CELL("filename",$A$1),FIND("]",CELL("filename",$A$1))+1,99),"SXX")&amp;" MATERIALS (USAGE + STANDALONE)"</f>
        <v>S13 MATERIALS (USAGE + STANDALONE)</v>
      </c>
      <c r="F1" s="25"/>
      <c r="G1" s="25"/>
      <c r="H1" s="25"/>
      <c r="I1" s="25"/>
      <c r="J1" s="25"/>
      <c r="K1" s="25"/>
      <c r="L1" s="13"/>
      <c r="M1" s="13"/>
      <c r="N1" s="19">
        <f>SUM(N3:N49)</f>
        <v>5277.5</v>
      </c>
      <c r="P1" s="25" t="str" cm="1">
        <f t="array" aca="1" ref="P1" ca="1">IFERROR(MID(CELL("filename",$A$1),FIND("]",CELL("filename",$A$1))+1,99),"SXX")&amp;" LABOUR (USAGE + STANDALONE)"</f>
        <v>S13 LABOUR (USAGE + STANDALONE)</v>
      </c>
      <c r="Q1" s="25"/>
      <c r="R1" s="25"/>
      <c r="S1" s="25"/>
      <c r="T1" s="25"/>
      <c r="U1" s="25"/>
      <c r="V1" s="25"/>
      <c r="Y1" s="19">
        <f>SUM(Y3:Y49)</f>
        <v>5040</v>
      </c>
      <c r="AA1" s="26" t="str" cm="1">
        <f t="array" aca="1" ref="AA1" ca="1">IFERROR(MID(CELL("filename",$A$1),FIND("]",CELL("filename",$A$1))+1,99),"SXX")&amp;" RENTAL / SERVICE (USAGE + STANDALONE)"</f>
        <v>S13 RENTAL / SERVICE (USAGE + STANDALONE)</v>
      </c>
      <c r="AB1" s="26"/>
      <c r="AC1" s="26"/>
      <c r="AD1" s="26"/>
      <c r="AE1" s="26"/>
      <c r="AF1" s="26"/>
      <c r="AG1" s="26"/>
      <c r="AH1" s="6"/>
      <c r="AI1" s="6"/>
      <c r="AJ1" s="19">
        <f>SUM(AJ3:AJ49)</f>
        <v>0</v>
      </c>
    </row>
    <row r="2" spans="1:37" s="2" customFormat="1" x14ac:dyDescent="0.25">
      <c r="A2" s="4" t="s">
        <v>0</v>
      </c>
      <c r="B2" s="4" t="s">
        <v>3</v>
      </c>
      <c r="C2" s="4" t="s">
        <v>5</v>
      </c>
      <c r="D2" s="1"/>
      <c r="E2" s="2" t="s">
        <v>5</v>
      </c>
      <c r="F2" s="2" t="s">
        <v>0</v>
      </c>
      <c r="G2" s="2" t="s">
        <v>3</v>
      </c>
      <c r="H2" s="2" t="s">
        <v>1</v>
      </c>
      <c r="I2" s="2" t="s">
        <v>12</v>
      </c>
      <c r="J2" s="2" t="s">
        <v>4</v>
      </c>
      <c r="K2" s="2" t="s">
        <v>1725</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434</v>
      </c>
      <c r="B3" s="3" t="s">
        <v>1564</v>
      </c>
      <c r="C3" s="3" t="s">
        <v>1565</v>
      </c>
      <c r="E3" t="s">
        <v>1620</v>
      </c>
      <c r="F3" t="s">
        <v>1621</v>
      </c>
      <c r="G3" t="s">
        <v>1622</v>
      </c>
      <c r="H3" t="s">
        <v>10</v>
      </c>
      <c r="I3">
        <v>5</v>
      </c>
      <c r="J3" s="22">
        <v>0</v>
      </c>
      <c r="K3">
        <v>105</v>
      </c>
      <c r="L3" s="8">
        <f t="shared" ref="L3:L49" si="0">IF($G3="","",$I3*(1+IF($J3="",0,$J3)))</f>
        <v>5</v>
      </c>
      <c r="M3" s="8">
        <f t="shared" ref="M3:M49" si="1">IF($G3="","",$L3)</f>
        <v>5</v>
      </c>
      <c r="N3" s="8">
        <f t="shared" ref="N3:N49" si="2">IF($G3="","",IF($K3="","",$M3*$K3))</f>
        <v>525</v>
      </c>
      <c r="P3" t="s">
        <v>2239</v>
      </c>
      <c r="Q3" t="s">
        <v>1641</v>
      </c>
      <c r="R3" t="s">
        <v>327</v>
      </c>
      <c r="S3" t="s">
        <v>33</v>
      </c>
      <c r="T3">
        <v>224</v>
      </c>
      <c r="U3" s="22">
        <v>0</v>
      </c>
      <c r="V3">
        <v>22.5</v>
      </c>
      <c r="W3" s="8">
        <f>IF($R3="","",$T3*(1+IF($U3="",0,$U3)))</f>
        <v>224</v>
      </c>
      <c r="X3" s="8">
        <f>IF($R3="","",$W3)</f>
        <v>224</v>
      </c>
      <c r="Y3" s="8">
        <f>IF($R3="","",IF($V3="","",$X3*$V3))</f>
        <v>5040</v>
      </c>
      <c r="AH3" s="8" t="str">
        <f>IF($AC3="","",$AE3*(1+IF($AF3="",0,$AF3)))</f>
        <v/>
      </c>
      <c r="AI3" s="8" t="str">
        <f>IF($AC3="","",$AH3)</f>
        <v/>
      </c>
      <c r="AJ3" s="8" t="str">
        <f>IF($AC3="","",IF($AG3="","",$AI3*$AG3))</f>
        <v/>
      </c>
    </row>
    <row r="4" spans="1:37" x14ac:dyDescent="0.25">
      <c r="A4" s="3" t="s">
        <v>435</v>
      </c>
      <c r="B4" s="3" t="s">
        <v>1566</v>
      </c>
      <c r="C4" s="3" t="s">
        <v>1567</v>
      </c>
      <c r="E4" t="s">
        <v>2233</v>
      </c>
      <c r="F4" t="s">
        <v>1623</v>
      </c>
      <c r="G4" t="s">
        <v>1624</v>
      </c>
      <c r="H4" t="s">
        <v>8</v>
      </c>
      <c r="I4">
        <v>84</v>
      </c>
      <c r="J4" s="22">
        <v>0</v>
      </c>
      <c r="K4">
        <v>15</v>
      </c>
      <c r="L4" s="8">
        <f t="shared" si="0"/>
        <v>84</v>
      </c>
      <c r="M4" s="8">
        <f t="shared" si="1"/>
        <v>84</v>
      </c>
      <c r="N4" s="8">
        <f t="shared" si="2"/>
        <v>1260</v>
      </c>
      <c r="U4" s="22"/>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1375</v>
      </c>
      <c r="B5" s="3" t="s">
        <v>1568</v>
      </c>
      <c r="C5" s="3" t="s">
        <v>1569</v>
      </c>
      <c r="E5" t="s">
        <v>2234</v>
      </c>
      <c r="F5" t="s">
        <v>1625</v>
      </c>
      <c r="G5" t="s">
        <v>1626</v>
      </c>
      <c r="H5" t="s">
        <v>8</v>
      </c>
      <c r="I5">
        <v>75</v>
      </c>
      <c r="J5" s="22">
        <v>0</v>
      </c>
      <c r="K5">
        <v>4.5</v>
      </c>
      <c r="L5" s="8">
        <f t="shared" si="0"/>
        <v>75</v>
      </c>
      <c r="M5" s="8">
        <f t="shared" si="1"/>
        <v>75</v>
      </c>
      <c r="N5" s="8">
        <f t="shared" si="2"/>
        <v>337.5</v>
      </c>
      <c r="W5" s="8" t="str">
        <f t="shared" si="3"/>
        <v/>
      </c>
      <c r="X5" s="8" t="str">
        <f t="shared" si="4"/>
        <v/>
      </c>
      <c r="Y5" s="8" t="str">
        <f t="shared" si="5"/>
        <v/>
      </c>
      <c r="AH5" s="8" t="str">
        <f t="shared" si="6"/>
        <v/>
      </c>
      <c r="AI5" s="8" t="str">
        <f t="shared" si="7"/>
        <v/>
      </c>
      <c r="AJ5" s="8" t="str">
        <f t="shared" si="8"/>
        <v/>
      </c>
    </row>
    <row r="6" spans="1:37" x14ac:dyDescent="0.25">
      <c r="A6" s="3" t="s">
        <v>436</v>
      </c>
      <c r="B6" s="3" t="s">
        <v>1570</v>
      </c>
      <c r="C6" s="3" t="s">
        <v>1571</v>
      </c>
      <c r="E6" t="s">
        <v>2235</v>
      </c>
      <c r="F6" t="s">
        <v>1627</v>
      </c>
      <c r="G6" t="s">
        <v>1626</v>
      </c>
      <c r="H6" t="s">
        <v>8</v>
      </c>
      <c r="I6">
        <v>198</v>
      </c>
      <c r="J6">
        <v>0</v>
      </c>
      <c r="K6">
        <v>4.5</v>
      </c>
      <c r="L6" s="8">
        <f t="shared" si="0"/>
        <v>198</v>
      </c>
      <c r="M6" s="8">
        <f t="shared" si="1"/>
        <v>198</v>
      </c>
      <c r="N6" s="8">
        <f t="shared" si="2"/>
        <v>891</v>
      </c>
      <c r="W6" s="8" t="str">
        <f t="shared" si="3"/>
        <v/>
      </c>
      <c r="X6" s="8" t="str">
        <f t="shared" si="4"/>
        <v/>
      </c>
      <c r="Y6" s="8" t="str">
        <f t="shared" si="5"/>
        <v/>
      </c>
      <c r="AH6" s="8" t="str">
        <f t="shared" si="6"/>
        <v/>
      </c>
      <c r="AI6" s="8" t="str">
        <f t="shared" si="7"/>
        <v/>
      </c>
      <c r="AJ6" s="8" t="str">
        <f t="shared" si="8"/>
        <v/>
      </c>
    </row>
    <row r="7" spans="1:37" x14ac:dyDescent="0.25">
      <c r="A7" s="3" t="s">
        <v>436</v>
      </c>
      <c r="B7" s="3" t="s">
        <v>1572</v>
      </c>
      <c r="C7" s="3" t="s">
        <v>1573</v>
      </c>
      <c r="E7" t="s">
        <v>2236</v>
      </c>
      <c r="F7" t="s">
        <v>1628</v>
      </c>
      <c r="G7" t="s">
        <v>7</v>
      </c>
      <c r="H7" t="s">
        <v>8</v>
      </c>
      <c r="I7">
        <v>132</v>
      </c>
      <c r="J7">
        <v>0</v>
      </c>
      <c r="K7">
        <v>6.5</v>
      </c>
      <c r="L7" s="8">
        <f t="shared" si="0"/>
        <v>132</v>
      </c>
      <c r="M7" s="8">
        <f t="shared" si="1"/>
        <v>132</v>
      </c>
      <c r="N7" s="8">
        <f t="shared" si="2"/>
        <v>858</v>
      </c>
      <c r="W7" s="8" t="str">
        <f t="shared" si="3"/>
        <v/>
      </c>
      <c r="X7" s="8" t="str">
        <f t="shared" si="4"/>
        <v/>
      </c>
      <c r="Y7" s="8" t="str">
        <f t="shared" si="5"/>
        <v/>
      </c>
      <c r="AH7" s="8" t="str">
        <f t="shared" si="6"/>
        <v/>
      </c>
      <c r="AI7" s="8" t="str">
        <f t="shared" si="7"/>
        <v/>
      </c>
      <c r="AJ7" s="8" t="str">
        <f t="shared" si="8"/>
        <v/>
      </c>
    </row>
    <row r="8" spans="1:37" x14ac:dyDescent="0.25">
      <c r="A8" s="3" t="s">
        <v>436</v>
      </c>
      <c r="B8" s="3" t="s">
        <v>1574</v>
      </c>
      <c r="C8" s="3" t="s">
        <v>1575</v>
      </c>
      <c r="E8" t="s">
        <v>2237</v>
      </c>
      <c r="F8" t="s">
        <v>1629</v>
      </c>
      <c r="G8" t="s">
        <v>7</v>
      </c>
      <c r="H8" t="s">
        <v>8</v>
      </c>
      <c r="I8">
        <v>34</v>
      </c>
      <c r="J8">
        <v>0</v>
      </c>
      <c r="K8">
        <v>6.5</v>
      </c>
      <c r="L8" s="8">
        <f t="shared" si="0"/>
        <v>34</v>
      </c>
      <c r="M8" s="8">
        <f t="shared" si="1"/>
        <v>34</v>
      </c>
      <c r="N8" s="8">
        <f t="shared" si="2"/>
        <v>221</v>
      </c>
      <c r="W8" s="8" t="str">
        <f t="shared" si="3"/>
        <v/>
      </c>
      <c r="X8" s="8" t="str">
        <f t="shared" si="4"/>
        <v/>
      </c>
      <c r="Y8" s="8" t="str">
        <f t="shared" si="5"/>
        <v/>
      </c>
      <c r="AH8" s="8" t="str">
        <f t="shared" si="6"/>
        <v/>
      </c>
      <c r="AI8" s="8" t="str">
        <f t="shared" si="7"/>
        <v/>
      </c>
      <c r="AJ8" s="8" t="str">
        <f t="shared" si="8"/>
        <v/>
      </c>
    </row>
    <row r="9" spans="1:37" x14ac:dyDescent="0.25">
      <c r="A9" s="3" t="s">
        <v>436</v>
      </c>
      <c r="B9" s="3" t="s">
        <v>1576</v>
      </c>
      <c r="C9" s="3" t="s">
        <v>1577</v>
      </c>
      <c r="E9" t="s">
        <v>1630</v>
      </c>
      <c r="F9" t="s">
        <v>1631</v>
      </c>
      <c r="G9" t="s">
        <v>57</v>
      </c>
      <c r="H9" t="s">
        <v>9</v>
      </c>
      <c r="I9">
        <v>29</v>
      </c>
      <c r="J9">
        <v>0</v>
      </c>
      <c r="K9">
        <v>25</v>
      </c>
      <c r="L9" s="8">
        <f t="shared" si="0"/>
        <v>29</v>
      </c>
      <c r="M9" s="8">
        <f t="shared" si="1"/>
        <v>29</v>
      </c>
      <c r="N9" s="8">
        <f t="shared" si="2"/>
        <v>725</v>
      </c>
      <c r="W9" s="8" t="str">
        <f t="shared" si="3"/>
        <v/>
      </c>
      <c r="X9" s="8" t="str">
        <f t="shared" si="4"/>
        <v/>
      </c>
      <c r="Y9" s="8" t="str">
        <f t="shared" si="5"/>
        <v/>
      </c>
      <c r="AH9" s="8" t="str">
        <f t="shared" si="6"/>
        <v/>
      </c>
      <c r="AI9" s="8" t="str">
        <f t="shared" si="7"/>
        <v/>
      </c>
      <c r="AJ9" s="8" t="str">
        <f t="shared" si="8"/>
        <v/>
      </c>
    </row>
    <row r="10" spans="1:37" x14ac:dyDescent="0.25">
      <c r="A10" s="3" t="s">
        <v>1376</v>
      </c>
      <c r="B10" s="3" t="s">
        <v>1377</v>
      </c>
      <c r="C10" s="3" t="s">
        <v>1578</v>
      </c>
      <c r="E10" t="s">
        <v>1632</v>
      </c>
      <c r="F10" t="s">
        <v>1633</v>
      </c>
      <c r="G10" t="s">
        <v>1634</v>
      </c>
      <c r="H10" t="s">
        <v>1635</v>
      </c>
      <c r="I10">
        <v>12</v>
      </c>
      <c r="J10">
        <v>0</v>
      </c>
      <c r="K10">
        <v>1</v>
      </c>
      <c r="L10" s="8">
        <f t="shared" si="0"/>
        <v>12</v>
      </c>
      <c r="M10" s="8">
        <f t="shared" si="1"/>
        <v>12</v>
      </c>
      <c r="N10" s="8">
        <f t="shared" si="2"/>
        <v>12</v>
      </c>
      <c r="W10" s="8" t="str">
        <f t="shared" si="3"/>
        <v/>
      </c>
      <c r="X10" s="8" t="str">
        <f t="shared" si="4"/>
        <v/>
      </c>
      <c r="Y10" s="8" t="str">
        <f t="shared" si="5"/>
        <v/>
      </c>
      <c r="AH10" s="8" t="str">
        <f t="shared" si="6"/>
        <v/>
      </c>
      <c r="AI10" s="8" t="str">
        <f t="shared" si="7"/>
        <v/>
      </c>
      <c r="AJ10" s="8" t="str">
        <f t="shared" si="8"/>
        <v/>
      </c>
    </row>
    <row r="11" spans="1:37" x14ac:dyDescent="0.25">
      <c r="A11" s="3" t="s">
        <v>1376</v>
      </c>
      <c r="B11" s="3" t="s">
        <v>1378</v>
      </c>
      <c r="C11" s="3" t="s">
        <v>1379</v>
      </c>
      <c r="E11" t="s">
        <v>1636</v>
      </c>
      <c r="F11" t="s">
        <v>1637</v>
      </c>
      <c r="G11" t="s">
        <v>58</v>
      </c>
      <c r="H11" t="s">
        <v>9</v>
      </c>
      <c r="I11">
        <v>12</v>
      </c>
      <c r="J11">
        <v>0</v>
      </c>
      <c r="K11">
        <v>18</v>
      </c>
      <c r="L11" s="8">
        <f t="shared" si="0"/>
        <v>12</v>
      </c>
      <c r="M11" s="8">
        <f t="shared" si="1"/>
        <v>12</v>
      </c>
      <c r="N11" s="8">
        <f t="shared" si="2"/>
        <v>216</v>
      </c>
      <c r="W11" s="8" t="str">
        <f t="shared" si="3"/>
        <v/>
      </c>
      <c r="X11" s="8" t="str">
        <f t="shared" si="4"/>
        <v/>
      </c>
      <c r="Y11" s="8" t="str">
        <f t="shared" si="5"/>
        <v/>
      </c>
      <c r="AH11" s="8" t="str">
        <f t="shared" si="6"/>
        <v/>
      </c>
      <c r="AI11" s="8" t="str">
        <f t="shared" si="7"/>
        <v/>
      </c>
      <c r="AJ11" s="8" t="str">
        <f t="shared" si="8"/>
        <v/>
      </c>
    </row>
    <row r="12" spans="1:37" x14ac:dyDescent="0.25">
      <c r="A12" s="3" t="s">
        <v>1376</v>
      </c>
      <c r="B12" s="3" t="s">
        <v>1380</v>
      </c>
      <c r="C12" s="3" t="s">
        <v>1579</v>
      </c>
      <c r="E12" t="s">
        <v>2238</v>
      </c>
      <c r="F12" t="s">
        <v>1638</v>
      </c>
      <c r="G12" t="s">
        <v>2081</v>
      </c>
      <c r="H12" t="s">
        <v>9</v>
      </c>
      <c r="I12">
        <v>3</v>
      </c>
      <c r="J12">
        <v>0</v>
      </c>
      <c r="K12">
        <v>24</v>
      </c>
      <c r="L12" s="8">
        <f t="shared" si="0"/>
        <v>3</v>
      </c>
      <c r="M12" s="8">
        <f t="shared" si="1"/>
        <v>3</v>
      </c>
      <c r="N12" s="8">
        <f t="shared" si="2"/>
        <v>72</v>
      </c>
      <c r="W12" s="8" t="str">
        <f t="shared" si="3"/>
        <v/>
      </c>
      <c r="X12" s="8" t="str">
        <f t="shared" si="4"/>
        <v/>
      </c>
      <c r="Y12" s="8" t="str">
        <f t="shared" si="5"/>
        <v/>
      </c>
      <c r="AH12" s="8" t="str">
        <f t="shared" si="6"/>
        <v/>
      </c>
      <c r="AI12" s="8" t="str">
        <f t="shared" si="7"/>
        <v/>
      </c>
      <c r="AJ12" s="8" t="str">
        <f t="shared" si="8"/>
        <v/>
      </c>
    </row>
    <row r="13" spans="1:37" x14ac:dyDescent="0.25">
      <c r="A13" s="3" t="s">
        <v>1376</v>
      </c>
      <c r="B13" s="3" t="s">
        <v>1580</v>
      </c>
      <c r="C13" s="3" t="s">
        <v>1581</v>
      </c>
      <c r="E13" t="s">
        <v>1639</v>
      </c>
      <c r="F13" t="s">
        <v>1638</v>
      </c>
      <c r="G13" t="s">
        <v>1640</v>
      </c>
      <c r="H13" t="s">
        <v>59</v>
      </c>
      <c r="I13">
        <v>2</v>
      </c>
      <c r="J13">
        <v>0</v>
      </c>
      <c r="K13">
        <v>80</v>
      </c>
      <c r="L13" s="8">
        <f t="shared" si="0"/>
        <v>2</v>
      </c>
      <c r="M13" s="8">
        <f t="shared" si="1"/>
        <v>2</v>
      </c>
      <c r="N13" s="8">
        <f t="shared" si="2"/>
        <v>160</v>
      </c>
      <c r="W13" s="8" t="str">
        <f t="shared" si="3"/>
        <v/>
      </c>
      <c r="X13" s="8" t="str">
        <f t="shared" si="4"/>
        <v/>
      </c>
      <c r="Y13" s="8" t="str">
        <f t="shared" si="5"/>
        <v/>
      </c>
      <c r="AH13" s="8" t="str">
        <f t="shared" si="6"/>
        <v/>
      </c>
      <c r="AI13" s="8" t="str">
        <f t="shared" si="7"/>
        <v/>
      </c>
      <c r="AJ13" s="8" t="str">
        <f t="shared" si="8"/>
        <v/>
      </c>
    </row>
    <row r="14" spans="1:37" x14ac:dyDescent="0.25">
      <c r="A14" s="3" t="s">
        <v>1376</v>
      </c>
      <c r="B14" s="3" t="s">
        <v>1582</v>
      </c>
      <c r="C14" s="3" t="s">
        <v>1583</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436</v>
      </c>
      <c r="B15" s="3" t="s">
        <v>1584</v>
      </c>
      <c r="C15" s="3" t="s">
        <v>1585</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436</v>
      </c>
      <c r="B16" s="3" t="s">
        <v>1381</v>
      </c>
      <c r="C16" s="3" t="s">
        <v>1382</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436</v>
      </c>
      <c r="B17" s="3" t="s">
        <v>1383</v>
      </c>
      <c r="C17" s="3" t="s">
        <v>1384</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436</v>
      </c>
      <c r="B18" s="3" t="s">
        <v>1091</v>
      </c>
      <c r="C18" s="3" t="s">
        <v>1586</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1376</v>
      </c>
      <c r="B19" s="3" t="s">
        <v>1385</v>
      </c>
      <c r="C19" s="3" t="s">
        <v>1386</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1376</v>
      </c>
      <c r="B20" s="3" t="s">
        <v>1387</v>
      </c>
      <c r="C20" s="3" t="s">
        <v>1587</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1376</v>
      </c>
      <c r="B21" s="3" t="s">
        <v>1388</v>
      </c>
      <c r="C21" s="3" t="s">
        <v>1389</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1376</v>
      </c>
      <c r="B22" s="3" t="s">
        <v>1390</v>
      </c>
      <c r="C22" s="3" t="s">
        <v>1391</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436</v>
      </c>
      <c r="B23" s="3" t="s">
        <v>1392</v>
      </c>
      <c r="C23" s="3" t="s">
        <v>1588</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1376</v>
      </c>
      <c r="B24" s="3" t="s">
        <v>1589</v>
      </c>
      <c r="C24" s="3" t="s">
        <v>1590</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1376</v>
      </c>
      <c r="B25" s="3" t="s">
        <v>1591</v>
      </c>
      <c r="C25" s="3" t="s">
        <v>1592</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1376</v>
      </c>
      <c r="B26" s="3" t="s">
        <v>1593</v>
      </c>
      <c r="C26" s="3" t="s">
        <v>1594</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1376</v>
      </c>
      <c r="B27" s="3" t="s">
        <v>1595</v>
      </c>
      <c r="C27" s="3" t="s">
        <v>1596</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436</v>
      </c>
      <c r="B28" s="3" t="s">
        <v>1597</v>
      </c>
      <c r="C28" s="3" t="s">
        <v>1598</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436</v>
      </c>
      <c r="B29" s="3" t="s">
        <v>1599</v>
      </c>
      <c r="C29" s="3" t="s">
        <v>1600</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436</v>
      </c>
      <c r="B30" s="3" t="s">
        <v>1393</v>
      </c>
      <c r="C30" s="3" t="s">
        <v>1601</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1394</v>
      </c>
      <c r="B31" s="3" t="s">
        <v>1395</v>
      </c>
      <c r="C31" s="3" t="s">
        <v>1396</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436</v>
      </c>
      <c r="B32" s="3" t="s">
        <v>1397</v>
      </c>
      <c r="C32" s="3" t="s">
        <v>1602</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1394</v>
      </c>
      <c r="B33" s="3" t="s">
        <v>1398</v>
      </c>
      <c r="C33" s="3" t="s">
        <v>1399</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1394</v>
      </c>
      <c r="B34" s="3" t="s">
        <v>1400</v>
      </c>
      <c r="C34" s="3" t="s">
        <v>1401</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1394</v>
      </c>
      <c r="B35" s="3" t="s">
        <v>1402</v>
      </c>
      <c r="C35" s="3" t="s">
        <v>1401</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1394</v>
      </c>
      <c r="B36" s="3" t="s">
        <v>1403</v>
      </c>
      <c r="C36" s="3" t="s">
        <v>1404</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1394</v>
      </c>
      <c r="B37" s="3" t="s">
        <v>1603</v>
      </c>
      <c r="C37" s="3" t="s">
        <v>1404</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1394</v>
      </c>
      <c r="B38" s="3" t="s">
        <v>1406</v>
      </c>
      <c r="C38" s="3" t="s">
        <v>1407</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1394</v>
      </c>
      <c r="B39" s="3" t="s">
        <v>1408</v>
      </c>
      <c r="C39" s="3" t="s">
        <v>1409</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1394</v>
      </c>
      <c r="B40" s="3" t="s">
        <v>1410</v>
      </c>
      <c r="C40" s="3" t="s">
        <v>1411</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1394</v>
      </c>
      <c r="B41" s="3" t="s">
        <v>1604</v>
      </c>
      <c r="C41" s="3" t="s">
        <v>2064</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1394</v>
      </c>
      <c r="B42" s="3" t="s">
        <v>1605</v>
      </c>
      <c r="C42" s="3" t="s">
        <v>1606</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436</v>
      </c>
      <c r="B43" s="3" t="s">
        <v>1405</v>
      </c>
      <c r="C43" s="3" t="s">
        <v>1607</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436</v>
      </c>
      <c r="B44" s="3" t="s">
        <v>1608</v>
      </c>
      <c r="C44" s="3" t="s">
        <v>1609</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436</v>
      </c>
      <c r="B45" s="3" t="s">
        <v>1412</v>
      </c>
      <c r="C45" s="3" t="s">
        <v>1610</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436</v>
      </c>
      <c r="B46" s="3" t="s">
        <v>1413</v>
      </c>
      <c r="C46" s="3" t="s">
        <v>1611</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436</v>
      </c>
      <c r="B47" s="3" t="s">
        <v>1612</v>
      </c>
      <c r="C47" s="3" t="s">
        <v>1613</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436</v>
      </c>
      <c r="B48" s="3" t="s">
        <v>1414</v>
      </c>
      <c r="C48" s="3" t="s">
        <v>1614</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436</v>
      </c>
      <c r="B49" s="3" t="s">
        <v>1415</v>
      </c>
      <c r="C49" s="3" t="s">
        <v>1615</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436</v>
      </c>
      <c r="B50" s="3" t="s">
        <v>1416</v>
      </c>
      <c r="C50" s="3" t="s">
        <v>1616</v>
      </c>
    </row>
    <row r="51" spans="1:36" x14ac:dyDescent="0.25">
      <c r="A51" s="3" t="s">
        <v>436</v>
      </c>
      <c r="B51" s="3" t="s">
        <v>1417</v>
      </c>
      <c r="C51" s="3" t="s">
        <v>1617</v>
      </c>
    </row>
    <row r="52" spans="1:36" x14ac:dyDescent="0.25">
      <c r="A52" s="3" t="s">
        <v>436</v>
      </c>
      <c r="B52" s="3" t="s">
        <v>1418</v>
      </c>
      <c r="C52" s="3" t="s">
        <v>1618</v>
      </c>
    </row>
    <row r="53" spans="1:36" x14ac:dyDescent="0.25">
      <c r="A53" s="3" t="s">
        <v>436</v>
      </c>
      <c r="B53" s="3" t="s">
        <v>370</v>
      </c>
      <c r="C53" s="3" t="s">
        <v>1419</v>
      </c>
    </row>
    <row r="54" spans="1:36" x14ac:dyDescent="0.25">
      <c r="A54" s="3" t="s">
        <v>1420</v>
      </c>
      <c r="B54" s="3" t="s">
        <v>1515</v>
      </c>
      <c r="C54" s="3" t="s">
        <v>457</v>
      </c>
    </row>
    <row r="55" spans="1:36" x14ac:dyDescent="0.25">
      <c r="A55" s="3" t="s">
        <v>1376</v>
      </c>
      <c r="B55" s="3" t="s">
        <v>1973</v>
      </c>
      <c r="C55" s="3" t="s">
        <v>2231</v>
      </c>
    </row>
    <row r="56" spans="1:36" x14ac:dyDescent="0.25">
      <c r="A56" s="3" t="s">
        <v>436</v>
      </c>
      <c r="B56" s="3" t="s">
        <v>587</v>
      </c>
      <c r="C56" s="3" t="s">
        <v>1619</v>
      </c>
    </row>
    <row r="57" spans="1:36" x14ac:dyDescent="0.25">
      <c r="A57" s="3" t="s">
        <v>437</v>
      </c>
      <c r="B57" s="3" t="s">
        <v>438</v>
      </c>
      <c r="C57" s="3" t="s">
        <v>2232</v>
      </c>
    </row>
  </sheetData>
  <mergeCells count="4">
    <mergeCell ref="A1:C1"/>
    <mergeCell ref="E1:K1"/>
    <mergeCell ref="P1:V1"/>
    <mergeCell ref="AA1:AG1"/>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47AF63-8A92-4A84-ACFA-6BE2F8E66882}">
  <sheetPr codeName="Sheet25"/>
  <dimension ref="A1:AK54"/>
  <sheetViews>
    <sheetView zoomScale="75" zoomScaleNormal="75" workbookViewId="0">
      <pane ySplit="49" topLeftCell="A55" activePane="bottomLeft" state="frozen"/>
      <selection pane="bottomLeft" sqref="A1:C54"/>
    </sheetView>
  </sheetViews>
  <sheetFormatPr defaultRowHeight="15" x14ac:dyDescent="0.25"/>
  <cols>
    <col min="1" max="3" width="8.7109375" style="3" customWidth="1"/>
    <col min="4" max="4" width="1.7109375" style="1" customWidth="1"/>
    <col min="5" max="14" width="8.7109375" customWidth="1"/>
    <col min="15" max="15" width="1.7109375" style="1" customWidth="1"/>
    <col min="16" max="16" width="8.7109375" customWidth="1"/>
    <col min="17" max="17" width="12.140625" bestFit="1" customWidth="1"/>
    <col min="18" max="18" width="56.5703125" bestFit="1" customWidth="1"/>
    <col min="19"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24" t="str" cm="1">
        <f t="array" aca="1" ref="A1" ca="1">IFERROR(MID(CELL("filename",$A$1),FIND("]",CELL("filename",$A$1))+1,99),"SXX")</f>
        <v>S14</v>
      </c>
      <c r="B1" s="24"/>
      <c r="C1" s="24"/>
      <c r="E1" s="25" t="str" cm="1">
        <f t="array" aca="1" ref="E1" ca="1">IFERROR(MID(CELL("filename",$A$1),FIND("]",CELL("filename",$A$1))+1,99),"SXX")&amp;" MATERIALS (USAGE + STANDALONE)"</f>
        <v>S14 MATERIALS (USAGE + STANDALONE)</v>
      </c>
      <c r="F1" s="25"/>
      <c r="G1" s="25"/>
      <c r="H1" s="25"/>
      <c r="I1" s="25"/>
      <c r="J1" s="25"/>
      <c r="K1" s="25"/>
      <c r="L1" s="13"/>
      <c r="M1" s="13"/>
      <c r="N1" s="19">
        <f>SUM(N3:N49)</f>
        <v>1825.2700000000002</v>
      </c>
      <c r="P1" s="25" t="str" cm="1">
        <f t="array" aca="1" ref="P1" ca="1">IFERROR(MID(CELL("filename",$A$1),FIND("]",CELL("filename",$A$1))+1,99),"SXX")&amp;" LABOUR (USAGE + STANDALONE)"</f>
        <v>S14 LABOUR (USAGE + STANDALONE)</v>
      </c>
      <c r="Q1" s="25"/>
      <c r="R1" s="25"/>
      <c r="S1" s="25"/>
      <c r="T1" s="25"/>
      <c r="U1" s="25"/>
      <c r="V1" s="25"/>
      <c r="Y1" s="19">
        <f>SUM(Y3:Y49)</f>
        <v>1440</v>
      </c>
      <c r="AA1" s="26" t="str" cm="1">
        <f t="array" aca="1" ref="AA1" ca="1">IFERROR(MID(CELL("filename",$A$1),FIND("]",CELL("filename",$A$1))+1,99),"SXX")&amp;" RENTAL / SERVICE (USAGE + STANDALONE)"</f>
        <v>S14 RENTAL / SERVICE (USAGE + STANDALONE)</v>
      </c>
      <c r="AB1" s="26"/>
      <c r="AC1" s="26"/>
      <c r="AD1" s="26"/>
      <c r="AE1" s="26"/>
      <c r="AF1" s="26"/>
      <c r="AG1" s="26"/>
      <c r="AH1" s="6"/>
      <c r="AI1" s="6"/>
      <c r="AJ1" s="19">
        <f>SUM(AJ3:AJ49)</f>
        <v>0</v>
      </c>
    </row>
    <row r="2" spans="1:37" s="2" customFormat="1" x14ac:dyDescent="0.25">
      <c r="A2" s="4" t="s">
        <v>0</v>
      </c>
      <c r="B2" s="4" t="s">
        <v>3</v>
      </c>
      <c r="C2" s="4" t="s">
        <v>5</v>
      </c>
      <c r="D2" s="1"/>
      <c r="E2" s="2" t="s">
        <v>5</v>
      </c>
      <c r="F2" s="2" t="s">
        <v>0</v>
      </c>
      <c r="G2" s="2" t="s">
        <v>3</v>
      </c>
      <c r="H2" s="2" t="s">
        <v>1</v>
      </c>
      <c r="I2" s="2" t="s">
        <v>12</v>
      </c>
      <c r="J2" s="2" t="s">
        <v>4</v>
      </c>
      <c r="K2" s="2" t="s">
        <v>1725</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439</v>
      </c>
      <c r="B3" s="3" t="s">
        <v>1642</v>
      </c>
      <c r="C3" s="3" t="s">
        <v>1770</v>
      </c>
      <c r="E3" t="s">
        <v>1726</v>
      </c>
      <c r="F3" t="s">
        <v>1727</v>
      </c>
      <c r="G3" t="s">
        <v>1728</v>
      </c>
      <c r="H3" t="s">
        <v>332</v>
      </c>
      <c r="I3">
        <v>1</v>
      </c>
      <c r="J3" s="22">
        <v>0</v>
      </c>
      <c r="K3">
        <v>92</v>
      </c>
      <c r="L3" s="8">
        <f t="shared" ref="L3:L49" si="0">IF($G3="","",$I3*(1+IF($J3="",0,$J3)))</f>
        <v>1</v>
      </c>
      <c r="M3" s="8">
        <f t="shared" ref="M3:M49" si="1">IF($G3="","",$L3)</f>
        <v>1</v>
      </c>
      <c r="N3" s="8">
        <f t="shared" ref="N3:N49" si="2">IF($G3="","",IF($K3="","",$M3*$K3))</f>
        <v>92</v>
      </c>
      <c r="P3" t="s">
        <v>2242</v>
      </c>
      <c r="Q3" t="s">
        <v>1769</v>
      </c>
      <c r="R3" t="s">
        <v>327</v>
      </c>
      <c r="S3" t="s">
        <v>33</v>
      </c>
      <c r="T3">
        <v>38</v>
      </c>
      <c r="U3" s="22">
        <v>0</v>
      </c>
      <c r="V3">
        <v>22.5</v>
      </c>
      <c r="W3" s="8">
        <f>IF($R3="","",$T3*(1+IF($U3="",0,$U3)))</f>
        <v>38</v>
      </c>
      <c r="X3" s="8">
        <f>IF($R3="","",$W3)</f>
        <v>38</v>
      </c>
      <c r="Y3" s="8">
        <f>IF($R3="","",IF($V3="","",$X3*$V3))</f>
        <v>855</v>
      </c>
      <c r="AH3" s="8" t="str">
        <f>IF($AC3="","",$AE3*(1+IF($AF3="",0,$AF3)))</f>
        <v/>
      </c>
      <c r="AI3" s="8" t="str">
        <f>IF($AC3="","",$AH3)</f>
        <v/>
      </c>
      <c r="AJ3" s="8" t="str">
        <f>IF($AC3="","",IF($AG3="","",$AI3*$AG3))</f>
        <v/>
      </c>
    </row>
    <row r="4" spans="1:37" x14ac:dyDescent="0.25">
      <c r="A4" s="3" t="s">
        <v>440</v>
      </c>
      <c r="B4" s="3" t="s">
        <v>1771</v>
      </c>
      <c r="C4" s="3" t="s">
        <v>1772</v>
      </c>
      <c r="E4" t="s">
        <v>1726</v>
      </c>
      <c r="F4" t="s">
        <v>1727</v>
      </c>
      <c r="G4" t="s">
        <v>1729</v>
      </c>
      <c r="H4" t="s">
        <v>332</v>
      </c>
      <c r="I4">
        <v>1</v>
      </c>
      <c r="J4" s="22">
        <v>0</v>
      </c>
      <c r="K4">
        <v>92</v>
      </c>
      <c r="L4" s="8">
        <f t="shared" si="0"/>
        <v>1</v>
      </c>
      <c r="M4" s="8">
        <f t="shared" si="1"/>
        <v>1</v>
      </c>
      <c r="N4" s="8">
        <f t="shared" si="2"/>
        <v>92</v>
      </c>
      <c r="P4" t="s">
        <v>2243</v>
      </c>
      <c r="Q4" t="s">
        <v>1769</v>
      </c>
      <c r="R4" t="s">
        <v>327</v>
      </c>
      <c r="S4" t="s">
        <v>33</v>
      </c>
      <c r="T4">
        <v>17</v>
      </c>
      <c r="U4" s="22">
        <v>0</v>
      </c>
      <c r="V4">
        <v>22.5</v>
      </c>
      <c r="W4" s="8">
        <f t="shared" ref="W4:W49" si="3">IF($R4="","",$T4*(1+IF($U4="",0,$U4)))</f>
        <v>17</v>
      </c>
      <c r="X4" s="8">
        <f t="shared" ref="X4:X49" si="4">IF($R4="","",$W4)</f>
        <v>17</v>
      </c>
      <c r="Y4" s="8">
        <f t="shared" ref="Y4:Y49" si="5">IF($R4="","",IF($V4="","",$X4*$V4))</f>
        <v>382.5</v>
      </c>
      <c r="AH4" s="8" t="str">
        <f t="shared" ref="AH4:AH49" si="6">IF($AC4="","",$AE4*(1+IF($AF4="",0,$AF4)))</f>
        <v/>
      </c>
      <c r="AI4" s="8" t="str">
        <f t="shared" ref="AI4:AI49" si="7">IF($AC4="","",$AH4)</f>
        <v/>
      </c>
      <c r="AJ4" s="8" t="str">
        <f t="shared" ref="AJ4:AJ49" si="8">IF($AC4="","",IF($AG4="","",$AI4*$AG4))</f>
        <v/>
      </c>
    </row>
    <row r="5" spans="1:37" x14ac:dyDescent="0.25">
      <c r="A5" s="3" t="s">
        <v>1643</v>
      </c>
      <c r="B5" s="3" t="s">
        <v>1644</v>
      </c>
      <c r="C5" s="3" t="s">
        <v>1773</v>
      </c>
      <c r="E5" t="s">
        <v>1726</v>
      </c>
      <c r="F5" t="s">
        <v>1727</v>
      </c>
      <c r="G5" t="s">
        <v>1730</v>
      </c>
      <c r="H5" t="s">
        <v>332</v>
      </c>
      <c r="I5">
        <v>1</v>
      </c>
      <c r="J5" s="22">
        <v>0</v>
      </c>
      <c r="K5">
        <v>92</v>
      </c>
      <c r="L5" s="8">
        <f t="shared" si="0"/>
        <v>1</v>
      </c>
      <c r="M5" s="8">
        <f t="shared" si="1"/>
        <v>1</v>
      </c>
      <c r="N5" s="8">
        <f t="shared" si="2"/>
        <v>92</v>
      </c>
      <c r="P5" t="s">
        <v>2244</v>
      </c>
      <c r="Q5" t="s">
        <v>1769</v>
      </c>
      <c r="R5" t="s">
        <v>327</v>
      </c>
      <c r="S5" t="s">
        <v>33</v>
      </c>
      <c r="T5">
        <v>9</v>
      </c>
      <c r="U5">
        <v>0</v>
      </c>
      <c r="V5">
        <v>22.5</v>
      </c>
      <c r="W5" s="8">
        <f t="shared" si="3"/>
        <v>9</v>
      </c>
      <c r="X5" s="8">
        <f t="shared" si="4"/>
        <v>9</v>
      </c>
      <c r="Y5" s="8">
        <f t="shared" si="5"/>
        <v>202.5</v>
      </c>
      <c r="AH5" s="8" t="str">
        <f t="shared" si="6"/>
        <v/>
      </c>
      <c r="AI5" s="8" t="str">
        <f t="shared" si="7"/>
        <v/>
      </c>
      <c r="AJ5" s="8" t="str">
        <f t="shared" si="8"/>
        <v/>
      </c>
    </row>
    <row r="6" spans="1:37" x14ac:dyDescent="0.25">
      <c r="A6" s="3" t="s">
        <v>441</v>
      </c>
      <c r="B6" s="3" t="s">
        <v>1645</v>
      </c>
      <c r="C6" s="3" t="s">
        <v>1774</v>
      </c>
      <c r="E6" t="s">
        <v>1731</v>
      </c>
      <c r="F6" t="s">
        <v>1727</v>
      </c>
      <c r="G6" t="s">
        <v>1732</v>
      </c>
      <c r="H6" t="s">
        <v>332</v>
      </c>
      <c r="I6">
        <v>1</v>
      </c>
      <c r="J6">
        <v>0</v>
      </c>
      <c r="K6">
        <v>146</v>
      </c>
      <c r="L6" s="8">
        <f t="shared" si="0"/>
        <v>1</v>
      </c>
      <c r="M6" s="8">
        <f t="shared" si="1"/>
        <v>1</v>
      </c>
      <c r="N6" s="8">
        <f t="shared" si="2"/>
        <v>146</v>
      </c>
      <c r="W6" s="8" t="str">
        <f t="shared" si="3"/>
        <v/>
      </c>
      <c r="X6" s="8" t="str">
        <f t="shared" si="4"/>
        <v/>
      </c>
      <c r="Y6" s="8" t="str">
        <f t="shared" si="5"/>
        <v/>
      </c>
      <c r="AH6" s="8" t="str">
        <f t="shared" si="6"/>
        <v/>
      </c>
      <c r="AI6" s="8" t="str">
        <f t="shared" si="7"/>
        <v/>
      </c>
      <c r="AJ6" s="8" t="str">
        <f t="shared" si="8"/>
        <v/>
      </c>
    </row>
    <row r="7" spans="1:37" x14ac:dyDescent="0.25">
      <c r="A7" s="3" t="s">
        <v>441</v>
      </c>
      <c r="B7" s="3" t="s">
        <v>1646</v>
      </c>
      <c r="C7" s="3" t="s">
        <v>1775</v>
      </c>
      <c r="E7" t="s">
        <v>1731</v>
      </c>
      <c r="F7" t="s">
        <v>1727</v>
      </c>
      <c r="G7" t="s">
        <v>1733</v>
      </c>
      <c r="H7" t="s">
        <v>332</v>
      </c>
      <c r="I7">
        <v>1</v>
      </c>
      <c r="J7">
        <v>0</v>
      </c>
      <c r="K7">
        <v>146</v>
      </c>
      <c r="L7" s="8">
        <f t="shared" si="0"/>
        <v>1</v>
      </c>
      <c r="M7" s="8">
        <f t="shared" si="1"/>
        <v>1</v>
      </c>
      <c r="N7" s="8">
        <f t="shared" si="2"/>
        <v>146</v>
      </c>
      <c r="W7" s="8" t="str">
        <f t="shared" si="3"/>
        <v/>
      </c>
      <c r="X7" s="8" t="str">
        <f t="shared" si="4"/>
        <v/>
      </c>
      <c r="Y7" s="8" t="str">
        <f t="shared" si="5"/>
        <v/>
      </c>
      <c r="AH7" s="8" t="str">
        <f t="shared" si="6"/>
        <v/>
      </c>
      <c r="AI7" s="8" t="str">
        <f t="shared" si="7"/>
        <v/>
      </c>
      <c r="AJ7" s="8" t="str">
        <f t="shared" si="8"/>
        <v/>
      </c>
    </row>
    <row r="8" spans="1:37" x14ac:dyDescent="0.25">
      <c r="A8" s="3" t="s">
        <v>441</v>
      </c>
      <c r="B8" s="3" t="s">
        <v>1647</v>
      </c>
      <c r="C8" s="3" t="s">
        <v>1776</v>
      </c>
      <c r="E8" t="s">
        <v>1731</v>
      </c>
      <c r="F8" t="s">
        <v>1727</v>
      </c>
      <c r="G8" t="s">
        <v>1734</v>
      </c>
      <c r="H8" t="s">
        <v>332</v>
      </c>
      <c r="I8">
        <v>1</v>
      </c>
      <c r="J8">
        <v>0</v>
      </c>
      <c r="K8">
        <v>146</v>
      </c>
      <c r="L8" s="8">
        <f t="shared" si="0"/>
        <v>1</v>
      </c>
      <c r="M8" s="8">
        <f t="shared" si="1"/>
        <v>1</v>
      </c>
      <c r="N8" s="8">
        <f t="shared" si="2"/>
        <v>146</v>
      </c>
      <c r="W8" s="8" t="str">
        <f t="shared" si="3"/>
        <v/>
      </c>
      <c r="X8" s="8" t="str">
        <f t="shared" si="4"/>
        <v/>
      </c>
      <c r="Y8" s="8" t="str">
        <f t="shared" si="5"/>
        <v/>
      </c>
      <c r="AH8" s="8" t="str">
        <f t="shared" si="6"/>
        <v/>
      </c>
      <c r="AI8" s="8" t="str">
        <f t="shared" si="7"/>
        <v/>
      </c>
      <c r="AJ8" s="8" t="str">
        <f t="shared" si="8"/>
        <v/>
      </c>
    </row>
    <row r="9" spans="1:37" x14ac:dyDescent="0.25">
      <c r="A9" s="3" t="s">
        <v>441</v>
      </c>
      <c r="B9" s="3" t="s">
        <v>1648</v>
      </c>
      <c r="C9" s="3" t="s">
        <v>1777</v>
      </c>
      <c r="E9" t="s">
        <v>1735</v>
      </c>
      <c r="F9" t="s">
        <v>1736</v>
      </c>
      <c r="G9" t="s">
        <v>1737</v>
      </c>
      <c r="H9" t="s">
        <v>1738</v>
      </c>
      <c r="I9">
        <v>15</v>
      </c>
      <c r="J9">
        <v>0</v>
      </c>
      <c r="K9">
        <v>10.5</v>
      </c>
      <c r="L9" s="8">
        <f t="shared" si="0"/>
        <v>15</v>
      </c>
      <c r="M9" s="8">
        <f t="shared" si="1"/>
        <v>15</v>
      </c>
      <c r="N9" s="8">
        <f t="shared" si="2"/>
        <v>157.5</v>
      </c>
      <c r="W9" s="8" t="str">
        <f t="shared" si="3"/>
        <v/>
      </c>
      <c r="X9" s="8" t="str">
        <f t="shared" si="4"/>
        <v/>
      </c>
      <c r="Y9" s="8" t="str">
        <f t="shared" si="5"/>
        <v/>
      </c>
      <c r="AH9" s="8" t="str">
        <f t="shared" si="6"/>
        <v/>
      </c>
      <c r="AI9" s="8" t="str">
        <f t="shared" si="7"/>
        <v/>
      </c>
      <c r="AJ9" s="8" t="str">
        <f t="shared" si="8"/>
        <v/>
      </c>
    </row>
    <row r="10" spans="1:37" x14ac:dyDescent="0.25">
      <c r="A10" s="3" t="s">
        <v>441</v>
      </c>
      <c r="B10" s="3" t="s">
        <v>1649</v>
      </c>
      <c r="C10" s="3" t="s">
        <v>1778</v>
      </c>
      <c r="E10" t="s">
        <v>1739</v>
      </c>
      <c r="F10" t="s">
        <v>1740</v>
      </c>
      <c r="G10" t="s">
        <v>1741</v>
      </c>
      <c r="H10" t="s">
        <v>728</v>
      </c>
      <c r="I10">
        <v>15</v>
      </c>
      <c r="J10">
        <v>0</v>
      </c>
      <c r="K10">
        <v>6.8</v>
      </c>
      <c r="L10" s="8">
        <f t="shared" si="0"/>
        <v>15</v>
      </c>
      <c r="M10" s="8">
        <f t="shared" si="1"/>
        <v>15</v>
      </c>
      <c r="N10" s="8">
        <f t="shared" si="2"/>
        <v>102</v>
      </c>
      <c r="W10" s="8" t="str">
        <f t="shared" si="3"/>
        <v/>
      </c>
      <c r="X10" s="8" t="str">
        <f t="shared" si="4"/>
        <v/>
      </c>
      <c r="Y10" s="8" t="str">
        <f t="shared" si="5"/>
        <v/>
      </c>
      <c r="AH10" s="8" t="str">
        <f t="shared" si="6"/>
        <v/>
      </c>
      <c r="AI10" s="8" t="str">
        <f t="shared" si="7"/>
        <v/>
      </c>
      <c r="AJ10" s="8" t="str">
        <f t="shared" si="8"/>
        <v/>
      </c>
    </row>
    <row r="11" spans="1:37" x14ac:dyDescent="0.25">
      <c r="A11" s="3" t="s">
        <v>441</v>
      </c>
      <c r="B11" s="3" t="s">
        <v>1672</v>
      </c>
      <c r="C11" s="3" t="s">
        <v>1673</v>
      </c>
      <c r="E11" t="s">
        <v>1742</v>
      </c>
      <c r="F11" t="s">
        <v>1740</v>
      </c>
      <c r="G11" t="s">
        <v>1743</v>
      </c>
      <c r="H11" t="s">
        <v>728</v>
      </c>
      <c r="I11">
        <v>12</v>
      </c>
      <c r="J11">
        <v>0</v>
      </c>
      <c r="K11">
        <v>10.199999999999999</v>
      </c>
      <c r="L11" s="8">
        <f t="shared" si="0"/>
        <v>12</v>
      </c>
      <c r="M11" s="8">
        <f t="shared" si="1"/>
        <v>12</v>
      </c>
      <c r="N11" s="8">
        <f t="shared" si="2"/>
        <v>122.39999999999999</v>
      </c>
      <c r="W11" s="8" t="str">
        <f t="shared" si="3"/>
        <v/>
      </c>
      <c r="X11" s="8" t="str">
        <f t="shared" si="4"/>
        <v/>
      </c>
      <c r="Y11" s="8" t="str">
        <f t="shared" si="5"/>
        <v/>
      </c>
      <c r="AH11" s="8" t="str">
        <f t="shared" si="6"/>
        <v/>
      </c>
      <c r="AI11" s="8" t="str">
        <f t="shared" si="7"/>
        <v/>
      </c>
      <c r="AJ11" s="8" t="str">
        <f t="shared" si="8"/>
        <v/>
      </c>
    </row>
    <row r="12" spans="1:37" x14ac:dyDescent="0.25">
      <c r="A12" s="3" t="s">
        <v>1650</v>
      </c>
      <c r="B12" s="3" t="s">
        <v>1651</v>
      </c>
      <c r="C12" s="3" t="s">
        <v>1779</v>
      </c>
      <c r="E12" t="s">
        <v>1744</v>
      </c>
      <c r="F12" t="s">
        <v>1740</v>
      </c>
      <c r="G12" t="s">
        <v>1745</v>
      </c>
      <c r="H12" t="s">
        <v>964</v>
      </c>
      <c r="I12">
        <v>2</v>
      </c>
      <c r="J12">
        <v>0</v>
      </c>
      <c r="K12">
        <v>1.36</v>
      </c>
      <c r="L12" s="8">
        <f t="shared" si="0"/>
        <v>2</v>
      </c>
      <c r="M12" s="8">
        <f t="shared" si="1"/>
        <v>2</v>
      </c>
      <c r="N12" s="8">
        <f t="shared" si="2"/>
        <v>2.72</v>
      </c>
      <c r="W12" s="8" t="str">
        <f t="shared" si="3"/>
        <v/>
      </c>
      <c r="X12" s="8" t="str">
        <f t="shared" si="4"/>
        <v/>
      </c>
      <c r="Y12" s="8" t="str">
        <f t="shared" si="5"/>
        <v/>
      </c>
      <c r="AH12" s="8" t="str">
        <f t="shared" si="6"/>
        <v/>
      </c>
      <c r="AI12" s="8" t="str">
        <f t="shared" si="7"/>
        <v/>
      </c>
      <c r="AJ12" s="8" t="str">
        <f t="shared" si="8"/>
        <v/>
      </c>
    </row>
    <row r="13" spans="1:37" x14ac:dyDescent="0.25">
      <c r="A13" s="3" t="s">
        <v>1650</v>
      </c>
      <c r="B13" s="3" t="s">
        <v>1652</v>
      </c>
      <c r="C13" s="3" t="s">
        <v>1653</v>
      </c>
      <c r="E13" t="s">
        <v>1746</v>
      </c>
      <c r="F13" t="s">
        <v>1747</v>
      </c>
      <c r="G13" t="s">
        <v>1748</v>
      </c>
      <c r="H13" t="s">
        <v>34</v>
      </c>
      <c r="I13">
        <v>15</v>
      </c>
      <c r="J13">
        <v>0</v>
      </c>
      <c r="K13">
        <v>0.35</v>
      </c>
      <c r="L13" s="8">
        <f t="shared" si="0"/>
        <v>15</v>
      </c>
      <c r="M13" s="8">
        <f t="shared" si="1"/>
        <v>15</v>
      </c>
      <c r="N13" s="8">
        <f t="shared" si="2"/>
        <v>5.25</v>
      </c>
      <c r="W13" s="8" t="str">
        <f t="shared" si="3"/>
        <v/>
      </c>
      <c r="X13" s="8" t="str">
        <f t="shared" si="4"/>
        <v/>
      </c>
      <c r="Y13" s="8" t="str">
        <f t="shared" si="5"/>
        <v/>
      </c>
      <c r="AH13" s="8" t="str">
        <f t="shared" si="6"/>
        <v/>
      </c>
      <c r="AI13" s="8" t="str">
        <f t="shared" si="7"/>
        <v/>
      </c>
      <c r="AJ13" s="8" t="str">
        <f t="shared" si="8"/>
        <v/>
      </c>
    </row>
    <row r="14" spans="1:37" x14ac:dyDescent="0.25">
      <c r="A14" s="3" t="s">
        <v>1650</v>
      </c>
      <c r="B14" s="3" t="s">
        <v>1654</v>
      </c>
      <c r="C14" s="3" t="s">
        <v>1780</v>
      </c>
      <c r="E14" t="s">
        <v>1790</v>
      </c>
      <c r="F14" t="s">
        <v>1749</v>
      </c>
      <c r="G14" t="s">
        <v>1750</v>
      </c>
      <c r="H14" t="s">
        <v>34</v>
      </c>
      <c r="I14">
        <v>10</v>
      </c>
      <c r="J14">
        <v>0</v>
      </c>
      <c r="K14">
        <v>8.5</v>
      </c>
      <c r="L14" s="8">
        <f t="shared" si="0"/>
        <v>10</v>
      </c>
      <c r="M14" s="8">
        <f t="shared" si="1"/>
        <v>10</v>
      </c>
      <c r="N14" s="8">
        <f t="shared" si="2"/>
        <v>85</v>
      </c>
      <c r="W14" s="8" t="str">
        <f t="shared" si="3"/>
        <v/>
      </c>
      <c r="X14" s="8" t="str">
        <f t="shared" si="4"/>
        <v/>
      </c>
      <c r="Y14" s="8" t="str">
        <f t="shared" si="5"/>
        <v/>
      </c>
      <c r="AH14" s="8" t="str">
        <f t="shared" si="6"/>
        <v/>
      </c>
      <c r="AI14" s="8" t="str">
        <f t="shared" si="7"/>
        <v/>
      </c>
      <c r="AJ14" s="8" t="str">
        <f t="shared" si="8"/>
        <v/>
      </c>
    </row>
    <row r="15" spans="1:37" x14ac:dyDescent="0.25">
      <c r="A15" s="3" t="s">
        <v>1650</v>
      </c>
      <c r="B15" s="3" t="s">
        <v>1655</v>
      </c>
      <c r="C15" s="3" t="s">
        <v>1781</v>
      </c>
      <c r="E15" t="s">
        <v>1791</v>
      </c>
      <c r="F15" t="s">
        <v>1751</v>
      </c>
      <c r="G15" t="s">
        <v>1752</v>
      </c>
      <c r="H15" t="s">
        <v>34</v>
      </c>
      <c r="I15">
        <v>5</v>
      </c>
      <c r="J15">
        <v>0</v>
      </c>
      <c r="K15">
        <v>5.9</v>
      </c>
      <c r="L15" s="8">
        <f t="shared" si="0"/>
        <v>5</v>
      </c>
      <c r="M15" s="8">
        <f t="shared" si="1"/>
        <v>5</v>
      </c>
      <c r="N15" s="8">
        <f t="shared" si="2"/>
        <v>29.5</v>
      </c>
      <c r="W15" s="8" t="str">
        <f t="shared" si="3"/>
        <v/>
      </c>
      <c r="X15" s="8" t="str">
        <f t="shared" si="4"/>
        <v/>
      </c>
      <c r="Y15" s="8" t="str">
        <f t="shared" si="5"/>
        <v/>
      </c>
      <c r="AH15" s="8" t="str">
        <f t="shared" si="6"/>
        <v/>
      </c>
      <c r="AI15" s="8" t="str">
        <f t="shared" si="7"/>
        <v/>
      </c>
      <c r="AJ15" s="8" t="str">
        <f t="shared" si="8"/>
        <v/>
      </c>
    </row>
    <row r="16" spans="1:37" x14ac:dyDescent="0.25">
      <c r="A16" s="3" t="s">
        <v>1650</v>
      </c>
      <c r="B16" s="3" t="s">
        <v>1656</v>
      </c>
      <c r="C16" s="3" t="s">
        <v>1657</v>
      </c>
      <c r="E16" t="s">
        <v>1753</v>
      </c>
      <c r="F16" t="s">
        <v>1754</v>
      </c>
      <c r="G16" t="s">
        <v>61</v>
      </c>
      <c r="H16" t="s">
        <v>8</v>
      </c>
      <c r="I16">
        <v>10</v>
      </c>
      <c r="J16">
        <v>0</v>
      </c>
      <c r="K16">
        <v>9.9</v>
      </c>
      <c r="L16" s="8">
        <f t="shared" si="0"/>
        <v>10</v>
      </c>
      <c r="M16" s="8">
        <f t="shared" si="1"/>
        <v>10</v>
      </c>
      <c r="N16" s="8">
        <f t="shared" si="2"/>
        <v>99</v>
      </c>
      <c r="W16" s="8" t="str">
        <f t="shared" si="3"/>
        <v/>
      </c>
      <c r="X16" s="8" t="str">
        <f t="shared" si="4"/>
        <v/>
      </c>
      <c r="Y16" s="8" t="str">
        <f t="shared" si="5"/>
        <v/>
      </c>
      <c r="AH16" s="8" t="str">
        <f t="shared" si="6"/>
        <v/>
      </c>
      <c r="AI16" s="8" t="str">
        <f t="shared" si="7"/>
        <v/>
      </c>
      <c r="AJ16" s="8" t="str">
        <f t="shared" si="8"/>
        <v/>
      </c>
    </row>
    <row r="17" spans="1:36" x14ac:dyDescent="0.25">
      <c r="A17" s="3" t="s">
        <v>1650</v>
      </c>
      <c r="B17" s="3" t="s">
        <v>1658</v>
      </c>
      <c r="C17" s="3" t="s">
        <v>1659</v>
      </c>
      <c r="E17" t="s">
        <v>1792</v>
      </c>
      <c r="F17" t="s">
        <v>1754</v>
      </c>
      <c r="G17" t="s">
        <v>1755</v>
      </c>
      <c r="H17" t="s">
        <v>10</v>
      </c>
      <c r="I17">
        <v>2</v>
      </c>
      <c r="J17">
        <v>0</v>
      </c>
      <c r="K17">
        <v>13</v>
      </c>
      <c r="L17" s="8">
        <f t="shared" si="0"/>
        <v>2</v>
      </c>
      <c r="M17" s="8">
        <f t="shared" si="1"/>
        <v>2</v>
      </c>
      <c r="N17" s="8">
        <f t="shared" si="2"/>
        <v>26</v>
      </c>
      <c r="W17" s="8" t="str">
        <f t="shared" si="3"/>
        <v/>
      </c>
      <c r="X17" s="8" t="str">
        <f t="shared" si="4"/>
        <v/>
      </c>
      <c r="Y17" s="8" t="str">
        <f t="shared" si="5"/>
        <v/>
      </c>
      <c r="AH17" s="8" t="str">
        <f t="shared" si="6"/>
        <v/>
      </c>
      <c r="AI17" s="8" t="str">
        <f t="shared" si="7"/>
        <v/>
      </c>
      <c r="AJ17" s="8" t="str">
        <f t="shared" si="8"/>
        <v/>
      </c>
    </row>
    <row r="18" spans="1:36" x14ac:dyDescent="0.25">
      <c r="A18" s="3" t="s">
        <v>1650</v>
      </c>
      <c r="B18" s="3" t="s">
        <v>1660</v>
      </c>
      <c r="C18" s="3" t="s">
        <v>1661</v>
      </c>
      <c r="E18" t="s">
        <v>1756</v>
      </c>
      <c r="F18" t="s">
        <v>1757</v>
      </c>
      <c r="G18" t="s">
        <v>1758</v>
      </c>
      <c r="H18" t="s">
        <v>34</v>
      </c>
      <c r="I18">
        <v>1</v>
      </c>
      <c r="J18">
        <v>0</v>
      </c>
      <c r="K18">
        <v>185</v>
      </c>
      <c r="L18" s="8">
        <f t="shared" si="0"/>
        <v>1</v>
      </c>
      <c r="M18" s="8">
        <f t="shared" si="1"/>
        <v>1</v>
      </c>
      <c r="N18" s="8">
        <f t="shared" si="2"/>
        <v>185</v>
      </c>
      <c r="W18" s="8" t="str">
        <f t="shared" si="3"/>
        <v/>
      </c>
      <c r="X18" s="8" t="str">
        <f t="shared" si="4"/>
        <v/>
      </c>
      <c r="Y18" s="8" t="str">
        <f t="shared" si="5"/>
        <v/>
      </c>
      <c r="AH18" s="8" t="str">
        <f t="shared" si="6"/>
        <v/>
      </c>
      <c r="AI18" s="8" t="str">
        <f t="shared" si="7"/>
        <v/>
      </c>
      <c r="AJ18" s="8" t="str">
        <f t="shared" si="8"/>
        <v/>
      </c>
    </row>
    <row r="19" spans="1:36" x14ac:dyDescent="0.25">
      <c r="A19" s="3" t="s">
        <v>1650</v>
      </c>
      <c r="B19" s="3" t="s">
        <v>1662</v>
      </c>
      <c r="C19" s="3" t="s">
        <v>1782</v>
      </c>
      <c r="E19" t="s">
        <v>1759</v>
      </c>
      <c r="F19" t="s">
        <v>1757</v>
      </c>
      <c r="G19" t="s">
        <v>1760</v>
      </c>
      <c r="H19" t="s">
        <v>8</v>
      </c>
      <c r="I19">
        <v>4</v>
      </c>
      <c r="J19">
        <v>0</v>
      </c>
      <c r="K19">
        <v>4.5999999999999996</v>
      </c>
      <c r="L19" s="8">
        <f t="shared" si="0"/>
        <v>4</v>
      </c>
      <c r="M19" s="8">
        <f t="shared" si="1"/>
        <v>4</v>
      </c>
      <c r="N19" s="8">
        <f t="shared" si="2"/>
        <v>18.399999999999999</v>
      </c>
      <c r="W19" s="8" t="str">
        <f t="shared" si="3"/>
        <v/>
      </c>
      <c r="X19" s="8" t="str">
        <f t="shared" si="4"/>
        <v/>
      </c>
      <c r="Y19" s="8" t="str">
        <f t="shared" si="5"/>
        <v/>
      </c>
      <c r="AH19" s="8" t="str">
        <f t="shared" si="6"/>
        <v/>
      </c>
      <c r="AI19" s="8" t="str">
        <f t="shared" si="7"/>
        <v/>
      </c>
      <c r="AJ19" s="8" t="str">
        <f t="shared" si="8"/>
        <v/>
      </c>
    </row>
    <row r="20" spans="1:36" x14ac:dyDescent="0.25">
      <c r="A20" s="3" t="s">
        <v>1650</v>
      </c>
      <c r="B20" s="3" t="s">
        <v>1663</v>
      </c>
      <c r="C20" s="3" t="s">
        <v>1664</v>
      </c>
      <c r="E20" t="s">
        <v>1761</v>
      </c>
      <c r="F20" t="s">
        <v>1757</v>
      </c>
      <c r="G20" t="s">
        <v>1762</v>
      </c>
      <c r="H20" t="s">
        <v>8</v>
      </c>
      <c r="I20">
        <v>1</v>
      </c>
      <c r="J20">
        <v>0</v>
      </c>
      <c r="K20">
        <v>59</v>
      </c>
      <c r="L20" s="8">
        <f t="shared" si="0"/>
        <v>1</v>
      </c>
      <c r="M20" s="8">
        <f t="shared" si="1"/>
        <v>1</v>
      </c>
      <c r="N20" s="8">
        <f t="shared" si="2"/>
        <v>59</v>
      </c>
      <c r="W20" s="8" t="str">
        <f t="shared" si="3"/>
        <v/>
      </c>
      <c r="X20" s="8" t="str">
        <f t="shared" si="4"/>
        <v/>
      </c>
      <c r="Y20" s="8" t="str">
        <f t="shared" si="5"/>
        <v/>
      </c>
      <c r="AH20" s="8" t="str">
        <f t="shared" si="6"/>
        <v/>
      </c>
      <c r="AI20" s="8" t="str">
        <f t="shared" si="7"/>
        <v/>
      </c>
      <c r="AJ20" s="8" t="str">
        <f t="shared" si="8"/>
        <v/>
      </c>
    </row>
    <row r="21" spans="1:36" x14ac:dyDescent="0.25">
      <c r="A21" s="3" t="s">
        <v>441</v>
      </c>
      <c r="B21" s="3" t="s">
        <v>1665</v>
      </c>
      <c r="C21" s="3" t="s">
        <v>1666</v>
      </c>
      <c r="E21" t="s">
        <v>1763</v>
      </c>
      <c r="F21" t="s">
        <v>1757</v>
      </c>
      <c r="G21" t="s">
        <v>1764</v>
      </c>
      <c r="H21" t="s">
        <v>8</v>
      </c>
      <c r="I21">
        <v>1</v>
      </c>
      <c r="J21">
        <v>0</v>
      </c>
      <c r="K21">
        <v>165</v>
      </c>
      <c r="L21" s="8">
        <f t="shared" si="0"/>
        <v>1</v>
      </c>
      <c r="M21" s="8">
        <f t="shared" si="1"/>
        <v>1</v>
      </c>
      <c r="N21" s="8">
        <f t="shared" si="2"/>
        <v>165</v>
      </c>
      <c r="W21" s="8" t="str">
        <f t="shared" si="3"/>
        <v/>
      </c>
      <c r="X21" s="8" t="str">
        <f t="shared" si="4"/>
        <v/>
      </c>
      <c r="Y21" s="8" t="str">
        <f t="shared" si="5"/>
        <v/>
      </c>
      <c r="AH21" s="8" t="str">
        <f t="shared" si="6"/>
        <v/>
      </c>
      <c r="AI21" s="8" t="str">
        <f t="shared" si="7"/>
        <v/>
      </c>
      <c r="AJ21" s="8" t="str">
        <f t="shared" si="8"/>
        <v/>
      </c>
    </row>
    <row r="22" spans="1:36" x14ac:dyDescent="0.25">
      <c r="A22" s="3" t="s">
        <v>441</v>
      </c>
      <c r="B22" s="3" t="s">
        <v>1667</v>
      </c>
      <c r="C22" s="3" t="s">
        <v>1783</v>
      </c>
      <c r="E22" t="s">
        <v>1765</v>
      </c>
      <c r="F22" t="s">
        <v>1736</v>
      </c>
      <c r="G22" t="s">
        <v>1766</v>
      </c>
      <c r="H22" t="s">
        <v>728</v>
      </c>
      <c r="I22">
        <v>1</v>
      </c>
      <c r="J22">
        <v>0</v>
      </c>
      <c r="K22">
        <v>48</v>
      </c>
      <c r="L22" s="8">
        <f t="shared" si="0"/>
        <v>1</v>
      </c>
      <c r="M22" s="8">
        <f t="shared" si="1"/>
        <v>1</v>
      </c>
      <c r="N22" s="8">
        <f t="shared" si="2"/>
        <v>48</v>
      </c>
      <c r="W22" s="8" t="str">
        <f t="shared" si="3"/>
        <v/>
      </c>
      <c r="X22" s="8" t="str">
        <f t="shared" si="4"/>
        <v/>
      </c>
      <c r="Y22" s="8" t="str">
        <f t="shared" si="5"/>
        <v/>
      </c>
      <c r="AH22" s="8" t="str">
        <f t="shared" si="6"/>
        <v/>
      </c>
      <c r="AI22" s="8" t="str">
        <f t="shared" si="7"/>
        <v/>
      </c>
      <c r="AJ22" s="8" t="str">
        <f t="shared" si="8"/>
        <v/>
      </c>
    </row>
    <row r="23" spans="1:36" x14ac:dyDescent="0.25">
      <c r="A23" s="3" t="s">
        <v>441</v>
      </c>
      <c r="B23" s="3" t="s">
        <v>1668</v>
      </c>
      <c r="C23" s="3" t="s">
        <v>1669</v>
      </c>
      <c r="E23" t="s">
        <v>1767</v>
      </c>
      <c r="F23" t="s">
        <v>1736</v>
      </c>
      <c r="G23" t="s">
        <v>1768</v>
      </c>
      <c r="H23" t="s">
        <v>8</v>
      </c>
      <c r="I23">
        <v>1</v>
      </c>
      <c r="J23">
        <v>0</v>
      </c>
      <c r="K23">
        <v>6.5</v>
      </c>
      <c r="L23" s="8">
        <f t="shared" si="0"/>
        <v>1</v>
      </c>
      <c r="M23" s="8">
        <f t="shared" si="1"/>
        <v>1</v>
      </c>
      <c r="N23" s="8">
        <f t="shared" si="2"/>
        <v>6.5</v>
      </c>
      <c r="W23" s="8" t="str">
        <f t="shared" si="3"/>
        <v/>
      </c>
      <c r="X23" s="8" t="str">
        <f t="shared" si="4"/>
        <v/>
      </c>
      <c r="Y23" s="8" t="str">
        <f t="shared" si="5"/>
        <v/>
      </c>
      <c r="AH23" s="8" t="str">
        <f t="shared" si="6"/>
        <v/>
      </c>
      <c r="AI23" s="8" t="str">
        <f t="shared" si="7"/>
        <v/>
      </c>
      <c r="AJ23" s="8" t="str">
        <f t="shared" si="8"/>
        <v/>
      </c>
    </row>
    <row r="24" spans="1:36" x14ac:dyDescent="0.25">
      <c r="A24" s="3" t="s">
        <v>441</v>
      </c>
      <c r="B24" s="3" t="s">
        <v>1670</v>
      </c>
      <c r="C24" s="3" t="s">
        <v>1671</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441</v>
      </c>
      <c r="B25" s="3" t="s">
        <v>1674</v>
      </c>
      <c r="C25" s="3" t="s">
        <v>1675</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441</v>
      </c>
      <c r="B26" s="3" t="s">
        <v>1676</v>
      </c>
      <c r="C26" s="3" t="s">
        <v>1677</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441</v>
      </c>
      <c r="B27" s="3" t="s">
        <v>1678</v>
      </c>
      <c r="C27" s="3" t="s">
        <v>1679</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441</v>
      </c>
      <c r="B28" s="3" t="s">
        <v>1680</v>
      </c>
      <c r="C28" s="3" t="s">
        <v>1784</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441</v>
      </c>
      <c r="B29" s="3" t="s">
        <v>1785</v>
      </c>
      <c r="C29" s="3" t="s">
        <v>1786</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1681</v>
      </c>
      <c r="B30" s="3" t="s">
        <v>1682</v>
      </c>
      <c r="C30" s="3" t="s">
        <v>1683</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1681</v>
      </c>
      <c r="B31" s="3" t="s">
        <v>1684</v>
      </c>
      <c r="C31" s="3" t="s">
        <v>1685</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1681</v>
      </c>
      <c r="B32" s="3" t="s">
        <v>1686</v>
      </c>
      <c r="C32" s="3" t="s">
        <v>1687</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1681</v>
      </c>
      <c r="B33" s="3" t="s">
        <v>1688</v>
      </c>
      <c r="C33" s="3" t="s">
        <v>1689</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1681</v>
      </c>
      <c r="B34" s="3" t="s">
        <v>1690</v>
      </c>
      <c r="C34" s="3" t="s">
        <v>1691</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1681</v>
      </c>
      <c r="B35" s="3" t="s">
        <v>1692</v>
      </c>
      <c r="C35" s="3" t="s">
        <v>1693</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1681</v>
      </c>
      <c r="B36" s="3" t="s">
        <v>1694</v>
      </c>
      <c r="C36" s="3" t="s">
        <v>1695</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1681</v>
      </c>
      <c r="B37" s="3" t="s">
        <v>1696</v>
      </c>
      <c r="C37" s="3" t="s">
        <v>1697</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1681</v>
      </c>
      <c r="B38" s="3" t="s">
        <v>1698</v>
      </c>
      <c r="C38" s="3" t="s">
        <v>1699</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1681</v>
      </c>
      <c r="B39" s="3" t="s">
        <v>1700</v>
      </c>
      <c r="C39" s="3" t="s">
        <v>1701</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1681</v>
      </c>
      <c r="B40" s="3" t="s">
        <v>1702</v>
      </c>
      <c r="C40" s="3" t="s">
        <v>1703</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1681</v>
      </c>
      <c r="B41" s="3" t="s">
        <v>1704</v>
      </c>
      <c r="C41" s="3" t="s">
        <v>1705</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1681</v>
      </c>
      <c r="B42" s="3" t="s">
        <v>1706</v>
      </c>
      <c r="C42" s="3" t="s">
        <v>1707</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1681</v>
      </c>
      <c r="B43" s="3" t="s">
        <v>1708</v>
      </c>
      <c r="C43" s="3" t="s">
        <v>1709</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1681</v>
      </c>
      <c r="B44" s="3" t="s">
        <v>1710</v>
      </c>
      <c r="C44" s="3" t="s">
        <v>1711</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1681</v>
      </c>
      <c r="B45" s="3" t="s">
        <v>1712</v>
      </c>
      <c r="C45" s="3" t="s">
        <v>1713</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1681</v>
      </c>
      <c r="B46" s="3" t="s">
        <v>1714</v>
      </c>
      <c r="C46" s="3" t="s">
        <v>1715</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1681</v>
      </c>
      <c r="B47" s="3" t="s">
        <v>1716</v>
      </c>
      <c r="C47" s="3" t="s">
        <v>1717</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1681</v>
      </c>
      <c r="B48" s="3" t="s">
        <v>1718</v>
      </c>
      <c r="C48" s="3" t="s">
        <v>1719</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1681</v>
      </c>
      <c r="B49" s="3" t="s">
        <v>1720</v>
      </c>
      <c r="C49" s="3" t="s">
        <v>1721</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1681</v>
      </c>
      <c r="B50" s="3" t="s">
        <v>1722</v>
      </c>
      <c r="C50" s="3" t="s">
        <v>1723</v>
      </c>
    </row>
    <row r="51" spans="1:36" x14ac:dyDescent="0.25">
      <c r="A51" s="3" t="s">
        <v>1724</v>
      </c>
      <c r="B51" s="3" t="s">
        <v>1787</v>
      </c>
      <c r="C51" s="3" t="s">
        <v>457</v>
      </c>
    </row>
    <row r="52" spans="1:36" x14ac:dyDescent="0.25">
      <c r="A52" s="3" t="s">
        <v>1650</v>
      </c>
      <c r="B52" s="3" t="s">
        <v>1973</v>
      </c>
      <c r="C52" s="3" t="s">
        <v>2240</v>
      </c>
    </row>
    <row r="53" spans="1:36" x14ac:dyDescent="0.25">
      <c r="A53" s="3" t="s">
        <v>441</v>
      </c>
      <c r="B53" s="3" t="s">
        <v>587</v>
      </c>
      <c r="C53" s="3" t="s">
        <v>2241</v>
      </c>
    </row>
    <row r="54" spans="1:36" x14ac:dyDescent="0.25">
      <c r="A54" s="3" t="s">
        <v>442</v>
      </c>
      <c r="B54" s="3" t="s">
        <v>1788</v>
      </c>
      <c r="C54" s="3" t="s">
        <v>1789</v>
      </c>
    </row>
  </sheetData>
  <mergeCells count="4">
    <mergeCell ref="A1:C1"/>
    <mergeCell ref="E1:K1"/>
    <mergeCell ref="P1:V1"/>
    <mergeCell ref="AA1:AG1"/>
  </mergeCell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4533D3-C222-4A76-B3E7-35D55B70D475}">
  <sheetPr codeName="Sheet26"/>
  <dimension ref="A1:AK49"/>
  <sheetViews>
    <sheetView zoomScale="75" zoomScaleNormal="75" workbookViewId="0">
      <pane ySplit="49" topLeftCell="A50" activePane="bottomLeft" state="frozen"/>
      <selection pane="bottomLeft" sqref="A1:C41"/>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24" t="str" cm="1">
        <f t="array" aca="1" ref="A1" ca="1">IFERROR(MID(CELL("filename",$A$1),FIND("]",CELL("filename",$A$1))+1,99),"SXX")</f>
        <v>S15</v>
      </c>
      <c r="B1" s="24"/>
      <c r="C1" s="24"/>
      <c r="E1" s="25" t="str" cm="1">
        <f t="array" aca="1" ref="E1" ca="1">IFERROR(MID(CELL("filename",$A$1),FIND("]",CELL("filename",$A$1))+1,99),"SXX")&amp;" MATERIALS (USAGE + STANDALONE)"</f>
        <v>S15 MATERIALS (USAGE + STANDALONE)</v>
      </c>
      <c r="F1" s="25"/>
      <c r="G1" s="25"/>
      <c r="H1" s="25"/>
      <c r="I1" s="25"/>
      <c r="J1" s="25"/>
      <c r="K1" s="25"/>
      <c r="L1" s="13"/>
      <c r="M1" s="13"/>
      <c r="N1" s="19">
        <f>SUM(N3:N49)</f>
        <v>1233.76</v>
      </c>
      <c r="P1" s="25" t="str" cm="1">
        <f t="array" aca="1" ref="P1" ca="1">IFERROR(MID(CELL("filename",$A$1),FIND("]",CELL("filename",$A$1))+1,99),"SXX")&amp;" LABOUR (USAGE + STANDALONE)"</f>
        <v>S15 LABOUR (USAGE + STANDALONE)</v>
      </c>
      <c r="Q1" s="25"/>
      <c r="R1" s="25"/>
      <c r="S1" s="25"/>
      <c r="T1" s="25"/>
      <c r="U1" s="25"/>
      <c r="V1" s="25"/>
      <c r="Y1" s="19">
        <f>SUM(Y3:Y49)</f>
        <v>1057.5</v>
      </c>
      <c r="AA1" s="26" t="str" cm="1">
        <f t="array" aca="1" ref="AA1" ca="1">IFERROR(MID(CELL("filename",$A$1),FIND("]",CELL("filename",$A$1))+1,99),"SXX")&amp;" RENTAL / SERVICE (USAGE + STANDALONE)"</f>
        <v>S15 RENTAL / SERVICE (USAGE + STANDALONE)</v>
      </c>
      <c r="AB1" s="26"/>
      <c r="AC1" s="26"/>
      <c r="AD1" s="26"/>
      <c r="AE1" s="26"/>
      <c r="AF1" s="26"/>
      <c r="AG1" s="26"/>
      <c r="AH1" s="6"/>
      <c r="AI1" s="6"/>
      <c r="AJ1" s="19">
        <f>SUM(AJ3:AJ49)</f>
        <v>0</v>
      </c>
    </row>
    <row r="2" spans="1:37" s="2" customFormat="1" x14ac:dyDescent="0.25">
      <c r="A2" s="4" t="s">
        <v>0</v>
      </c>
      <c r="B2" s="4" t="s">
        <v>3</v>
      </c>
      <c r="C2" s="4" t="s">
        <v>5</v>
      </c>
      <c r="D2" s="1"/>
      <c r="E2" s="2" t="s">
        <v>5</v>
      </c>
      <c r="F2" s="2" t="s">
        <v>0</v>
      </c>
      <c r="G2" s="2" t="s">
        <v>3</v>
      </c>
      <c r="H2" s="2" t="s">
        <v>1</v>
      </c>
      <c r="I2" s="2" t="s">
        <v>12</v>
      </c>
      <c r="J2" s="2" t="s">
        <v>4</v>
      </c>
      <c r="K2" s="2" t="s">
        <v>1725</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1793</v>
      </c>
      <c r="B3" s="3" t="s">
        <v>1794</v>
      </c>
      <c r="C3" s="3" t="s">
        <v>1795</v>
      </c>
      <c r="E3" t="s">
        <v>1867</v>
      </c>
      <c r="F3" t="s">
        <v>1868</v>
      </c>
      <c r="G3" t="s">
        <v>1294</v>
      </c>
      <c r="H3" t="s">
        <v>720</v>
      </c>
      <c r="I3">
        <v>1</v>
      </c>
      <c r="J3" s="22">
        <v>0.05</v>
      </c>
      <c r="K3">
        <v>160</v>
      </c>
      <c r="L3" s="8">
        <f t="shared" ref="L3:L49" si="0">IF($G3="","",$I3*(1+IF($J3="",0,$J3)))</f>
        <v>1.05</v>
      </c>
      <c r="M3" s="8">
        <f t="shared" ref="M3:M49" si="1">IF($G3="","",$L3)</f>
        <v>1.05</v>
      </c>
      <c r="N3" s="8">
        <f t="shared" ref="N3:N49" si="2">IF($G3="","",IF($K3="","",$M3*$K3))</f>
        <v>168</v>
      </c>
      <c r="P3" t="s">
        <v>2247</v>
      </c>
      <c r="Q3" t="s">
        <v>1889</v>
      </c>
      <c r="R3" t="s">
        <v>327</v>
      </c>
      <c r="S3" t="s">
        <v>33</v>
      </c>
      <c r="T3">
        <v>21</v>
      </c>
      <c r="U3" s="22">
        <v>0</v>
      </c>
      <c r="V3">
        <v>22.5</v>
      </c>
      <c r="W3" s="8">
        <f>IF($R3="","",$T3*(1+IF($U3="",0,$U3)))</f>
        <v>21</v>
      </c>
      <c r="X3" s="8">
        <f>IF($R3="","",$W3)</f>
        <v>21</v>
      </c>
      <c r="Y3" s="8">
        <f>IF($R3="","",IF($V3="","",$X3*$V3))</f>
        <v>472.5</v>
      </c>
      <c r="AH3" s="8" t="str">
        <f>IF($AC3="","",$AE3*(1+IF($AF3="",0,$AF3)))</f>
        <v/>
      </c>
      <c r="AI3" s="8" t="str">
        <f>IF($AC3="","",$AH3)</f>
        <v/>
      </c>
      <c r="AJ3" s="8" t="str">
        <f>IF($AC3="","",IF($AG3="","",$AI3*$AG3))</f>
        <v/>
      </c>
    </row>
    <row r="4" spans="1:37" x14ac:dyDescent="0.25">
      <c r="A4" s="3" t="s">
        <v>1796</v>
      </c>
      <c r="B4" s="3" t="s">
        <v>1797</v>
      </c>
      <c r="C4" s="3" t="s">
        <v>1798</v>
      </c>
      <c r="E4" t="s">
        <v>1869</v>
      </c>
      <c r="F4" t="s">
        <v>1868</v>
      </c>
      <c r="G4" t="s">
        <v>1870</v>
      </c>
      <c r="H4" t="s">
        <v>720</v>
      </c>
      <c r="I4">
        <v>2</v>
      </c>
      <c r="J4" s="22">
        <v>0.05</v>
      </c>
      <c r="K4">
        <v>80</v>
      </c>
      <c r="L4" s="8">
        <f t="shared" si="0"/>
        <v>2.1</v>
      </c>
      <c r="M4" s="8">
        <f t="shared" si="1"/>
        <v>2.1</v>
      </c>
      <c r="N4" s="8">
        <f t="shared" si="2"/>
        <v>168</v>
      </c>
      <c r="P4" t="s">
        <v>2248</v>
      </c>
      <c r="Q4" t="s">
        <v>1889</v>
      </c>
      <c r="R4" t="s">
        <v>327</v>
      </c>
      <c r="S4" t="s">
        <v>33</v>
      </c>
      <c r="T4">
        <v>17</v>
      </c>
      <c r="U4" s="22">
        <v>0</v>
      </c>
      <c r="V4">
        <v>22.5</v>
      </c>
      <c r="W4" s="8">
        <f t="shared" ref="W4:W49" si="3">IF($R4="","",$T4*(1+IF($U4="",0,$U4)))</f>
        <v>17</v>
      </c>
      <c r="X4" s="8">
        <f t="shared" ref="X4:X49" si="4">IF($R4="","",$W4)</f>
        <v>17</v>
      </c>
      <c r="Y4" s="8">
        <f t="shared" ref="Y4:Y49" si="5">IF($R4="","",IF($V4="","",$X4*$V4))</f>
        <v>382.5</v>
      </c>
      <c r="AH4" s="8" t="str">
        <f t="shared" ref="AH4:AH49" si="6">IF($AC4="","",$AE4*(1+IF($AF4="",0,$AF4)))</f>
        <v/>
      </c>
      <c r="AI4" s="8" t="str">
        <f t="shared" ref="AI4:AI49" si="7">IF($AC4="","",$AH4)</f>
        <v/>
      </c>
      <c r="AJ4" s="8" t="str">
        <f t="shared" ref="AJ4:AJ49" si="8">IF($AC4="","",IF($AG4="","",$AI4*$AG4))</f>
        <v/>
      </c>
    </row>
    <row r="5" spans="1:37" x14ac:dyDescent="0.25">
      <c r="A5" s="3" t="s">
        <v>1799</v>
      </c>
      <c r="B5" s="3" t="s">
        <v>1800</v>
      </c>
      <c r="C5" s="3" t="s">
        <v>1801</v>
      </c>
      <c r="E5" t="s">
        <v>1871</v>
      </c>
      <c r="F5" t="s">
        <v>1868</v>
      </c>
      <c r="G5" t="s">
        <v>1295</v>
      </c>
      <c r="H5" t="s">
        <v>32</v>
      </c>
      <c r="I5">
        <v>1</v>
      </c>
      <c r="J5" s="22">
        <v>0.05</v>
      </c>
      <c r="K5">
        <v>94</v>
      </c>
      <c r="L5" s="8">
        <f t="shared" si="0"/>
        <v>1.05</v>
      </c>
      <c r="M5" s="8">
        <f t="shared" si="1"/>
        <v>1.05</v>
      </c>
      <c r="N5" s="8">
        <f t="shared" si="2"/>
        <v>98.7</v>
      </c>
      <c r="P5" t="s">
        <v>2249</v>
      </c>
      <c r="Q5" t="s">
        <v>1889</v>
      </c>
      <c r="R5" t="s">
        <v>327</v>
      </c>
      <c r="S5" t="s">
        <v>33</v>
      </c>
      <c r="T5">
        <v>9</v>
      </c>
      <c r="U5">
        <v>0</v>
      </c>
      <c r="V5">
        <v>22.5</v>
      </c>
      <c r="W5" s="8">
        <f t="shared" si="3"/>
        <v>9</v>
      </c>
      <c r="X5" s="8">
        <f t="shared" si="4"/>
        <v>9</v>
      </c>
      <c r="Y5" s="8">
        <f t="shared" si="5"/>
        <v>202.5</v>
      </c>
      <c r="AH5" s="8" t="str">
        <f t="shared" si="6"/>
        <v/>
      </c>
      <c r="AI5" s="8" t="str">
        <f t="shared" si="7"/>
        <v/>
      </c>
      <c r="AJ5" s="8" t="str">
        <f t="shared" si="8"/>
        <v/>
      </c>
    </row>
    <row r="6" spans="1:37" x14ac:dyDescent="0.25">
      <c r="A6" s="3" t="s">
        <v>1802</v>
      </c>
      <c r="B6" s="3" t="s">
        <v>1803</v>
      </c>
      <c r="C6" s="3" t="s">
        <v>1804</v>
      </c>
      <c r="E6" t="s">
        <v>1872</v>
      </c>
      <c r="F6" t="s">
        <v>1873</v>
      </c>
      <c r="G6" t="s">
        <v>1296</v>
      </c>
      <c r="H6" t="s">
        <v>8</v>
      </c>
      <c r="I6">
        <v>4</v>
      </c>
      <c r="J6">
        <v>0.1</v>
      </c>
      <c r="K6">
        <v>0.3</v>
      </c>
      <c r="L6" s="8">
        <f t="shared" si="0"/>
        <v>4.4000000000000004</v>
      </c>
      <c r="M6" s="8">
        <f t="shared" si="1"/>
        <v>4.4000000000000004</v>
      </c>
      <c r="N6" s="8">
        <f t="shared" si="2"/>
        <v>1.32</v>
      </c>
      <c r="W6" s="8" t="str">
        <f t="shared" si="3"/>
        <v/>
      </c>
      <c r="X6" s="8" t="str">
        <f t="shared" si="4"/>
        <v/>
      </c>
      <c r="Y6" s="8" t="str">
        <f t="shared" si="5"/>
        <v/>
      </c>
      <c r="AH6" s="8" t="str">
        <f t="shared" si="6"/>
        <v/>
      </c>
      <c r="AI6" s="8" t="str">
        <f t="shared" si="7"/>
        <v/>
      </c>
      <c r="AJ6" s="8" t="str">
        <f t="shared" si="8"/>
        <v/>
      </c>
    </row>
    <row r="7" spans="1:37" x14ac:dyDescent="0.25">
      <c r="A7" s="3" t="s">
        <v>1802</v>
      </c>
      <c r="B7" s="3" t="s">
        <v>1805</v>
      </c>
      <c r="C7" s="3" t="s">
        <v>1806</v>
      </c>
      <c r="E7" t="s">
        <v>1874</v>
      </c>
      <c r="F7" t="s">
        <v>1873</v>
      </c>
      <c r="G7" t="s">
        <v>1297</v>
      </c>
      <c r="H7" t="s">
        <v>8</v>
      </c>
      <c r="I7">
        <v>4</v>
      </c>
      <c r="J7">
        <v>0.1</v>
      </c>
      <c r="K7">
        <v>0.3</v>
      </c>
      <c r="L7" s="8">
        <f t="shared" si="0"/>
        <v>4.4000000000000004</v>
      </c>
      <c r="M7" s="8">
        <f t="shared" si="1"/>
        <v>4.4000000000000004</v>
      </c>
      <c r="N7" s="8">
        <f t="shared" si="2"/>
        <v>1.32</v>
      </c>
      <c r="W7" s="8" t="str">
        <f t="shared" si="3"/>
        <v/>
      </c>
      <c r="X7" s="8" t="str">
        <f t="shared" si="4"/>
        <v/>
      </c>
      <c r="Y7" s="8" t="str">
        <f t="shared" si="5"/>
        <v/>
      </c>
      <c r="AH7" s="8" t="str">
        <f t="shared" si="6"/>
        <v/>
      </c>
      <c r="AI7" s="8" t="str">
        <f t="shared" si="7"/>
        <v/>
      </c>
      <c r="AJ7" s="8" t="str">
        <f t="shared" si="8"/>
        <v/>
      </c>
    </row>
    <row r="8" spans="1:37" x14ac:dyDescent="0.25">
      <c r="A8" s="3" t="s">
        <v>1802</v>
      </c>
      <c r="B8" s="3" t="s">
        <v>1807</v>
      </c>
      <c r="C8" s="3" t="s">
        <v>1808</v>
      </c>
      <c r="E8" t="s">
        <v>1875</v>
      </c>
      <c r="F8" t="s">
        <v>1873</v>
      </c>
      <c r="G8" t="s">
        <v>1298</v>
      </c>
      <c r="H8" t="s">
        <v>8</v>
      </c>
      <c r="I8">
        <v>4</v>
      </c>
      <c r="J8">
        <v>0.1</v>
      </c>
      <c r="K8">
        <v>0.3</v>
      </c>
      <c r="L8" s="8">
        <f t="shared" si="0"/>
        <v>4.4000000000000004</v>
      </c>
      <c r="M8" s="8">
        <f t="shared" si="1"/>
        <v>4.4000000000000004</v>
      </c>
      <c r="N8" s="8">
        <f t="shared" si="2"/>
        <v>1.32</v>
      </c>
      <c r="W8" s="8" t="str">
        <f t="shared" si="3"/>
        <v/>
      </c>
      <c r="X8" s="8" t="str">
        <f t="shared" si="4"/>
        <v/>
      </c>
      <c r="Y8" s="8" t="str">
        <f t="shared" si="5"/>
        <v/>
      </c>
      <c r="AH8" s="8" t="str">
        <f t="shared" si="6"/>
        <v/>
      </c>
      <c r="AI8" s="8" t="str">
        <f t="shared" si="7"/>
        <v/>
      </c>
      <c r="AJ8" s="8" t="str">
        <f t="shared" si="8"/>
        <v/>
      </c>
    </row>
    <row r="9" spans="1:37" x14ac:dyDescent="0.25">
      <c r="A9" s="3" t="s">
        <v>1802</v>
      </c>
      <c r="B9" s="3" t="s">
        <v>1809</v>
      </c>
      <c r="C9" s="3" t="s">
        <v>1810</v>
      </c>
      <c r="E9" t="s">
        <v>1876</v>
      </c>
      <c r="F9" t="s">
        <v>1877</v>
      </c>
      <c r="G9" t="s">
        <v>1878</v>
      </c>
      <c r="H9" t="s">
        <v>8</v>
      </c>
      <c r="I9">
        <v>4</v>
      </c>
      <c r="J9">
        <v>0.05</v>
      </c>
      <c r="K9">
        <v>5.5</v>
      </c>
      <c r="L9" s="8">
        <f t="shared" si="0"/>
        <v>4.2</v>
      </c>
      <c r="M9" s="8">
        <f t="shared" si="1"/>
        <v>4.2</v>
      </c>
      <c r="N9" s="8">
        <f t="shared" si="2"/>
        <v>23.1</v>
      </c>
      <c r="W9" s="8" t="str">
        <f t="shared" si="3"/>
        <v/>
      </c>
      <c r="X9" s="8" t="str">
        <f t="shared" si="4"/>
        <v/>
      </c>
      <c r="Y9" s="8" t="str">
        <f t="shared" si="5"/>
        <v/>
      </c>
      <c r="AH9" s="8" t="str">
        <f t="shared" si="6"/>
        <v/>
      </c>
      <c r="AI9" s="8" t="str">
        <f t="shared" si="7"/>
        <v/>
      </c>
      <c r="AJ9" s="8" t="str">
        <f t="shared" si="8"/>
        <v/>
      </c>
    </row>
    <row r="10" spans="1:37" x14ac:dyDescent="0.25">
      <c r="A10" s="3" t="s">
        <v>1802</v>
      </c>
      <c r="B10" s="3" t="s">
        <v>1811</v>
      </c>
      <c r="C10" s="3" t="s">
        <v>1812</v>
      </c>
      <c r="E10" t="s">
        <v>1879</v>
      </c>
      <c r="F10" t="s">
        <v>1880</v>
      </c>
      <c r="G10" t="s">
        <v>1881</v>
      </c>
      <c r="H10" t="s">
        <v>8</v>
      </c>
      <c r="I10">
        <v>1</v>
      </c>
      <c r="J10">
        <v>0</v>
      </c>
      <c r="K10">
        <v>650</v>
      </c>
      <c r="L10" s="8">
        <f t="shared" si="0"/>
        <v>1</v>
      </c>
      <c r="M10" s="8">
        <f t="shared" si="1"/>
        <v>1</v>
      </c>
      <c r="N10" s="8">
        <f t="shared" si="2"/>
        <v>650</v>
      </c>
      <c r="W10" s="8" t="str">
        <f t="shared" si="3"/>
        <v/>
      </c>
      <c r="X10" s="8" t="str">
        <f t="shared" si="4"/>
        <v/>
      </c>
      <c r="Y10" s="8" t="str">
        <f t="shared" si="5"/>
        <v/>
      </c>
      <c r="AH10" s="8" t="str">
        <f t="shared" si="6"/>
        <v/>
      </c>
      <c r="AI10" s="8" t="str">
        <f t="shared" si="7"/>
        <v/>
      </c>
      <c r="AJ10" s="8" t="str">
        <f t="shared" si="8"/>
        <v/>
      </c>
    </row>
    <row r="11" spans="1:37" x14ac:dyDescent="0.25">
      <c r="A11" s="3" t="s">
        <v>1802</v>
      </c>
      <c r="B11" s="3" t="s">
        <v>1813</v>
      </c>
      <c r="C11" s="3" t="s">
        <v>1814</v>
      </c>
      <c r="E11" t="s">
        <v>1882</v>
      </c>
      <c r="F11" t="s">
        <v>1880</v>
      </c>
      <c r="G11" t="s">
        <v>1883</v>
      </c>
      <c r="H11" t="s">
        <v>62</v>
      </c>
      <c r="I11">
        <v>1</v>
      </c>
      <c r="J11">
        <v>0</v>
      </c>
      <c r="K11">
        <v>35</v>
      </c>
      <c r="L11" s="8">
        <f t="shared" si="0"/>
        <v>1</v>
      </c>
      <c r="M11" s="8">
        <f t="shared" si="1"/>
        <v>1</v>
      </c>
      <c r="N11" s="8">
        <f t="shared" si="2"/>
        <v>35</v>
      </c>
      <c r="W11" s="8" t="str">
        <f t="shared" si="3"/>
        <v/>
      </c>
      <c r="X11" s="8" t="str">
        <f t="shared" si="4"/>
        <v/>
      </c>
      <c r="Y11" s="8" t="str">
        <f t="shared" si="5"/>
        <v/>
      </c>
      <c r="AH11" s="8" t="str">
        <f t="shared" si="6"/>
        <v/>
      </c>
      <c r="AI11" s="8" t="str">
        <f t="shared" si="7"/>
        <v/>
      </c>
      <c r="AJ11" s="8" t="str">
        <f t="shared" si="8"/>
        <v/>
      </c>
    </row>
    <row r="12" spans="1:37" x14ac:dyDescent="0.25">
      <c r="A12" s="3" t="s">
        <v>1802</v>
      </c>
      <c r="B12" s="3" t="s">
        <v>1815</v>
      </c>
      <c r="C12" s="3" t="s">
        <v>1816</v>
      </c>
      <c r="E12" t="s">
        <v>1884</v>
      </c>
      <c r="F12" t="s">
        <v>1880</v>
      </c>
      <c r="G12" t="s">
        <v>1885</v>
      </c>
      <c r="H12" t="s">
        <v>62</v>
      </c>
      <c r="I12">
        <v>1</v>
      </c>
      <c r="J12">
        <v>0</v>
      </c>
      <c r="K12">
        <v>60</v>
      </c>
      <c r="L12" s="8">
        <f t="shared" si="0"/>
        <v>1</v>
      </c>
      <c r="M12" s="8">
        <f t="shared" si="1"/>
        <v>1</v>
      </c>
      <c r="N12" s="8">
        <f t="shared" si="2"/>
        <v>60</v>
      </c>
      <c r="W12" s="8" t="str">
        <f t="shared" si="3"/>
        <v/>
      </c>
      <c r="X12" s="8" t="str">
        <f t="shared" si="4"/>
        <v/>
      </c>
      <c r="Y12" s="8" t="str">
        <f t="shared" si="5"/>
        <v/>
      </c>
      <c r="AH12" s="8" t="str">
        <f t="shared" si="6"/>
        <v/>
      </c>
      <c r="AI12" s="8" t="str">
        <f t="shared" si="7"/>
        <v/>
      </c>
      <c r="AJ12" s="8" t="str">
        <f t="shared" si="8"/>
        <v/>
      </c>
    </row>
    <row r="13" spans="1:37" x14ac:dyDescent="0.25">
      <c r="A13" s="3" t="s">
        <v>1802</v>
      </c>
      <c r="B13" s="3" t="s">
        <v>1817</v>
      </c>
      <c r="C13" s="3" t="s">
        <v>1818</v>
      </c>
      <c r="E13" t="s">
        <v>1886</v>
      </c>
      <c r="F13" t="s">
        <v>1880</v>
      </c>
      <c r="G13" t="s">
        <v>63</v>
      </c>
      <c r="H13" t="s">
        <v>62</v>
      </c>
      <c r="I13">
        <v>1</v>
      </c>
      <c r="J13">
        <v>0</v>
      </c>
      <c r="K13">
        <v>15</v>
      </c>
      <c r="L13" s="8">
        <f t="shared" si="0"/>
        <v>1</v>
      </c>
      <c r="M13" s="8">
        <f t="shared" si="1"/>
        <v>1</v>
      </c>
      <c r="N13" s="8">
        <f t="shared" si="2"/>
        <v>15</v>
      </c>
      <c r="W13" s="8" t="str">
        <f t="shared" si="3"/>
        <v/>
      </c>
      <c r="X13" s="8" t="str">
        <f t="shared" si="4"/>
        <v/>
      </c>
      <c r="Y13" s="8" t="str">
        <f t="shared" si="5"/>
        <v/>
      </c>
      <c r="AH13" s="8" t="str">
        <f t="shared" si="6"/>
        <v/>
      </c>
      <c r="AI13" s="8" t="str">
        <f t="shared" si="7"/>
        <v/>
      </c>
      <c r="AJ13" s="8" t="str">
        <f t="shared" si="8"/>
        <v/>
      </c>
    </row>
    <row r="14" spans="1:37" x14ac:dyDescent="0.25">
      <c r="A14" s="3" t="s">
        <v>1802</v>
      </c>
      <c r="B14" s="3" t="s">
        <v>1819</v>
      </c>
      <c r="C14" s="3" t="s">
        <v>1820</v>
      </c>
      <c r="E14" t="s">
        <v>1887</v>
      </c>
      <c r="F14" t="s">
        <v>1880</v>
      </c>
      <c r="G14" t="s">
        <v>1888</v>
      </c>
      <c r="H14" t="s">
        <v>8</v>
      </c>
      <c r="I14">
        <v>2</v>
      </c>
      <c r="J14">
        <v>0</v>
      </c>
      <c r="K14">
        <v>6</v>
      </c>
      <c r="L14" s="8">
        <f t="shared" si="0"/>
        <v>2</v>
      </c>
      <c r="M14" s="8">
        <f t="shared" si="1"/>
        <v>2</v>
      </c>
      <c r="N14" s="8">
        <f t="shared" si="2"/>
        <v>12</v>
      </c>
      <c r="W14" s="8" t="str">
        <f t="shared" si="3"/>
        <v/>
      </c>
      <c r="X14" s="8" t="str">
        <f t="shared" si="4"/>
        <v/>
      </c>
      <c r="Y14" s="8" t="str">
        <f t="shared" si="5"/>
        <v/>
      </c>
      <c r="AH14" s="8" t="str">
        <f t="shared" si="6"/>
        <v/>
      </c>
      <c r="AI14" s="8" t="str">
        <f t="shared" si="7"/>
        <v/>
      </c>
      <c r="AJ14" s="8" t="str">
        <f t="shared" si="8"/>
        <v/>
      </c>
    </row>
    <row r="15" spans="1:37" x14ac:dyDescent="0.25">
      <c r="A15" s="3" t="s">
        <v>1821</v>
      </c>
      <c r="B15" s="3" t="s">
        <v>1822</v>
      </c>
      <c r="C15" s="3" t="s">
        <v>1823</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1821</v>
      </c>
      <c r="B16" s="3" t="s">
        <v>1824</v>
      </c>
      <c r="C16" s="3" t="s">
        <v>1825</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1821</v>
      </c>
      <c r="B17" s="3" t="s">
        <v>1826</v>
      </c>
      <c r="C17" s="3" t="s">
        <v>1827</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1821</v>
      </c>
      <c r="B18" s="3" t="s">
        <v>1828</v>
      </c>
      <c r="C18" s="3" t="s">
        <v>1829</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1821</v>
      </c>
      <c r="B19" s="3" t="s">
        <v>1830</v>
      </c>
      <c r="C19" s="3" t="s">
        <v>1831</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1821</v>
      </c>
      <c r="B20" s="3" t="s">
        <v>1832</v>
      </c>
      <c r="C20" s="3" t="s">
        <v>1833</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1821</v>
      </c>
      <c r="B21" s="3" t="s">
        <v>1834</v>
      </c>
      <c r="C21" s="3" t="s">
        <v>1835</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1821</v>
      </c>
      <c r="B22" s="3" t="s">
        <v>1836</v>
      </c>
      <c r="C22" s="3" t="s">
        <v>1837</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1821</v>
      </c>
      <c r="B23" s="3" t="s">
        <v>1838</v>
      </c>
      <c r="C23" s="3" t="s">
        <v>1839</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1821</v>
      </c>
      <c r="B24" s="3" t="s">
        <v>1840</v>
      </c>
      <c r="C24" s="3" t="s">
        <v>1841</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1842</v>
      </c>
      <c r="B25" s="3" t="s">
        <v>1843</v>
      </c>
      <c r="C25" s="3" t="s">
        <v>1844</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1842</v>
      </c>
      <c r="B26" s="3" t="s">
        <v>1845</v>
      </c>
      <c r="C26" s="3" t="s">
        <v>1846</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1842</v>
      </c>
      <c r="B27" s="3" t="s">
        <v>1847</v>
      </c>
      <c r="C27" s="3" t="s">
        <v>1275</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1842</v>
      </c>
      <c r="B28" s="3" t="s">
        <v>1848</v>
      </c>
      <c r="C28" s="3" t="s">
        <v>1277</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1842</v>
      </c>
      <c r="B29" s="3" t="s">
        <v>1849</v>
      </c>
      <c r="C29" s="3" t="s">
        <v>1279</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1842</v>
      </c>
      <c r="B30" s="3" t="s">
        <v>1850</v>
      </c>
      <c r="C30" s="3" t="s">
        <v>1281</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1842</v>
      </c>
      <c r="B31" s="3" t="s">
        <v>1851</v>
      </c>
      <c r="C31" s="3" t="s">
        <v>1852</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1842</v>
      </c>
      <c r="B32" s="3" t="s">
        <v>1853</v>
      </c>
      <c r="C32" s="3" t="s">
        <v>1854</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1842</v>
      </c>
      <c r="B33" s="3" t="s">
        <v>1855</v>
      </c>
      <c r="C33" s="3" t="s">
        <v>1856</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1842</v>
      </c>
      <c r="B34" s="3" t="s">
        <v>1857</v>
      </c>
      <c r="C34" s="3" t="s">
        <v>1858</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1842</v>
      </c>
      <c r="B35" s="3" t="s">
        <v>1859</v>
      </c>
      <c r="C35" s="3" t="s">
        <v>1860</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1842</v>
      </c>
      <c r="B36" s="3" t="s">
        <v>1861</v>
      </c>
      <c r="C36" s="3" t="s">
        <v>1862</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1863</v>
      </c>
      <c r="B37" s="3" t="s">
        <v>1787</v>
      </c>
      <c r="C37" s="3" t="s">
        <v>457</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1821</v>
      </c>
      <c r="B38" s="3" t="s">
        <v>1973</v>
      </c>
      <c r="C38" s="3" t="s">
        <v>2245</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1802</v>
      </c>
      <c r="B39" s="3" t="s">
        <v>587</v>
      </c>
      <c r="C39" s="3" t="s">
        <v>2246</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1864</v>
      </c>
      <c r="B40" s="3" t="s">
        <v>1865</v>
      </c>
      <c r="C40" s="3" t="s">
        <v>1866</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2:36" x14ac:dyDescent="0.25">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sheetData>
  <mergeCells count="4">
    <mergeCell ref="A1:C1"/>
    <mergeCell ref="E1:K1"/>
    <mergeCell ref="P1:V1"/>
    <mergeCell ref="AA1:AG1"/>
  </mergeCell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A113F-9775-44A5-BF5D-E830BC2BC1C5}">
  <sheetPr codeName="Sheet27"/>
  <dimension ref="A1:AK78"/>
  <sheetViews>
    <sheetView zoomScale="75" zoomScaleNormal="75" workbookViewId="0">
      <pane ySplit="49" topLeftCell="A79" activePane="bottomLeft" state="frozen"/>
      <selection pane="bottomLeft" sqref="A1:C78"/>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24" t="str" cm="1">
        <f t="array" aca="1" ref="A1" ca="1">IFERROR(MID(CELL("filename",$A$1),FIND("]",CELL("filename",$A$1))+1,99),"SXX")</f>
        <v>S16</v>
      </c>
      <c r="B1" s="24"/>
      <c r="C1" s="24"/>
      <c r="E1" s="25" t="str" cm="1">
        <f t="array" aca="1" ref="E1" ca="1">IFERROR(MID(CELL("filename",$A$1),FIND("]",CELL("filename",$A$1))+1,99),"SXX")&amp;" MATERIALS (USAGE + STANDALONE)"</f>
        <v>S16 MATERIALS (USAGE + STANDALONE)</v>
      </c>
      <c r="F1" s="25"/>
      <c r="G1" s="25"/>
      <c r="H1" s="25"/>
      <c r="I1" s="25"/>
      <c r="J1" s="25"/>
      <c r="K1" s="25"/>
      <c r="L1" s="13"/>
      <c r="M1" s="13"/>
      <c r="N1" s="19">
        <f>SUM(N3:N49)</f>
        <v>3677.7999999999997</v>
      </c>
      <c r="P1" s="25" t="str" cm="1">
        <f t="array" aca="1" ref="P1" ca="1">IFERROR(MID(CELL("filename",$A$1),FIND("]",CELL("filename",$A$1))+1,99),"SXX")&amp;" LABOUR (USAGE + STANDALONE)"</f>
        <v>S16 LABOUR (USAGE + STANDALONE)</v>
      </c>
      <c r="Q1" s="25"/>
      <c r="R1" s="25"/>
      <c r="S1" s="25"/>
      <c r="T1" s="25"/>
      <c r="U1" s="25"/>
      <c r="V1" s="25"/>
      <c r="Y1" s="19">
        <f>SUM(Y3:Y49)</f>
        <v>2700</v>
      </c>
      <c r="AA1" s="26" t="str" cm="1">
        <f t="array" aca="1" ref="AA1" ca="1">IFERROR(MID(CELL("filename",$A$1),FIND("]",CELL("filename",$A$1))+1,99),"SXX")&amp;" RENTAL / SERVICE (USAGE + STANDALONE)"</f>
        <v>S16 RENTAL / SERVICE (USAGE + STANDALONE)</v>
      </c>
      <c r="AB1" s="26"/>
      <c r="AC1" s="26"/>
      <c r="AD1" s="26"/>
      <c r="AE1" s="26"/>
      <c r="AF1" s="26"/>
      <c r="AG1" s="26"/>
      <c r="AH1" s="6"/>
      <c r="AI1" s="6"/>
      <c r="AJ1" s="19">
        <f>SUM(AJ3:AJ49)</f>
        <v>0</v>
      </c>
    </row>
    <row r="2" spans="1:37" s="2" customFormat="1" x14ac:dyDescent="0.25">
      <c r="A2" s="4" t="s">
        <v>0</v>
      </c>
      <c r="B2" s="4" t="s">
        <v>3</v>
      </c>
      <c r="C2" s="4" t="s">
        <v>5</v>
      </c>
      <c r="D2" s="1"/>
      <c r="E2" s="2" t="s">
        <v>5</v>
      </c>
      <c r="F2" s="2" t="s">
        <v>0</v>
      </c>
      <c r="G2" s="2" t="s">
        <v>3</v>
      </c>
      <c r="H2" s="2" t="s">
        <v>1</v>
      </c>
      <c r="I2" s="2" t="s">
        <v>12</v>
      </c>
      <c r="J2" s="2" t="s">
        <v>4</v>
      </c>
      <c r="K2" s="2" t="s">
        <v>1725</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674</v>
      </c>
      <c r="B3" s="3" t="s">
        <v>1104</v>
      </c>
      <c r="C3" s="3" t="s">
        <v>1105</v>
      </c>
      <c r="E3" t="s">
        <v>1023</v>
      </c>
      <c r="F3" t="s">
        <v>734</v>
      </c>
      <c r="G3" t="s">
        <v>557</v>
      </c>
      <c r="H3" t="s">
        <v>11</v>
      </c>
      <c r="I3">
        <v>0.26</v>
      </c>
      <c r="J3" s="22">
        <v>0</v>
      </c>
      <c r="K3">
        <v>830</v>
      </c>
      <c r="L3" s="8">
        <f t="shared" ref="L3:L49" si="0">IF($G3="","",$I3*(1+IF($J3="",0,$J3)))</f>
        <v>0.26</v>
      </c>
      <c r="M3" s="8">
        <f t="shared" ref="M3:M49" si="1">IF($G3="","",$L3)</f>
        <v>0.26</v>
      </c>
      <c r="N3" s="8">
        <f t="shared" ref="N3:N49" si="2">IF($G3="","",IF($K3="","",$M3*$K3))</f>
        <v>215.8</v>
      </c>
      <c r="P3" t="s">
        <v>2255</v>
      </c>
      <c r="Q3" t="s">
        <v>741</v>
      </c>
      <c r="R3" t="s">
        <v>327</v>
      </c>
      <c r="S3" t="s">
        <v>33</v>
      </c>
      <c r="T3">
        <v>120</v>
      </c>
      <c r="U3" s="22">
        <v>0</v>
      </c>
      <c r="V3">
        <v>22.5</v>
      </c>
      <c r="W3" s="8">
        <f>IF($R3="","",$T3*(1+IF($U3="",0,$U3)))</f>
        <v>120</v>
      </c>
      <c r="X3" s="8">
        <f>IF($R3="","",$W3)</f>
        <v>120</v>
      </c>
      <c r="Y3" s="8">
        <f>IF($R3="","",IF($V3="","",$X3*$V3))</f>
        <v>2700</v>
      </c>
      <c r="AH3" s="8" t="str">
        <f>IF($AC3="","",$AE3*(1+IF($AF3="",0,$AF3)))</f>
        <v/>
      </c>
      <c r="AI3" s="8" t="str">
        <f>IF($AC3="","",$AH3)</f>
        <v/>
      </c>
      <c r="AJ3" s="8" t="str">
        <f>IF($AC3="","",IF($AG3="","",$AI3*$AG3))</f>
        <v/>
      </c>
    </row>
    <row r="4" spans="1:37" x14ac:dyDescent="0.25">
      <c r="A4" s="3" t="s">
        <v>675</v>
      </c>
      <c r="B4" s="3" t="s">
        <v>1106</v>
      </c>
      <c r="C4" s="3" t="s">
        <v>1107</v>
      </c>
      <c r="E4" t="s">
        <v>1024</v>
      </c>
      <c r="F4" t="s">
        <v>734</v>
      </c>
      <c r="G4" t="s">
        <v>558</v>
      </c>
      <c r="H4" t="s">
        <v>11</v>
      </c>
      <c r="I4">
        <v>0.05</v>
      </c>
      <c r="J4" s="22">
        <v>0</v>
      </c>
      <c r="K4">
        <v>950</v>
      </c>
      <c r="L4" s="8">
        <f t="shared" si="0"/>
        <v>0.05</v>
      </c>
      <c r="M4" s="8">
        <f t="shared" si="1"/>
        <v>0.05</v>
      </c>
      <c r="N4" s="8">
        <f t="shared" si="2"/>
        <v>47.5</v>
      </c>
      <c r="U4" s="22"/>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676</v>
      </c>
      <c r="B5" s="3" t="s">
        <v>1036</v>
      </c>
      <c r="C5" s="3" t="s">
        <v>1108</v>
      </c>
      <c r="E5" t="s">
        <v>1025</v>
      </c>
      <c r="F5" t="s">
        <v>735</v>
      </c>
      <c r="G5" t="s">
        <v>716</v>
      </c>
      <c r="H5" t="s">
        <v>332</v>
      </c>
      <c r="I5">
        <v>1</v>
      </c>
      <c r="J5" s="22">
        <v>0</v>
      </c>
      <c r="K5">
        <v>180</v>
      </c>
      <c r="L5" s="8">
        <f t="shared" si="0"/>
        <v>1</v>
      </c>
      <c r="M5" s="8">
        <f t="shared" si="1"/>
        <v>1</v>
      </c>
      <c r="N5" s="8">
        <f t="shared" si="2"/>
        <v>180</v>
      </c>
      <c r="W5" s="8" t="str">
        <f t="shared" si="3"/>
        <v/>
      </c>
      <c r="X5" s="8" t="str">
        <f t="shared" si="4"/>
        <v/>
      </c>
      <c r="Y5" s="8" t="str">
        <f t="shared" si="5"/>
        <v/>
      </c>
      <c r="AH5" s="8" t="str">
        <f t="shared" si="6"/>
        <v/>
      </c>
      <c r="AI5" s="8" t="str">
        <f t="shared" si="7"/>
        <v/>
      </c>
      <c r="AJ5" s="8" t="str">
        <f t="shared" si="8"/>
        <v/>
      </c>
    </row>
    <row r="6" spans="1:37" x14ac:dyDescent="0.25">
      <c r="A6" s="3" t="s">
        <v>1109</v>
      </c>
      <c r="B6" s="3" t="s">
        <v>1039</v>
      </c>
      <c r="C6" s="3" t="s">
        <v>1421</v>
      </c>
      <c r="E6" t="s">
        <v>1026</v>
      </c>
      <c r="F6" t="s">
        <v>736</v>
      </c>
      <c r="G6" t="s">
        <v>559</v>
      </c>
      <c r="H6" t="s">
        <v>8</v>
      </c>
      <c r="I6">
        <v>4.41</v>
      </c>
      <c r="J6">
        <v>0</v>
      </c>
      <c r="K6">
        <v>215</v>
      </c>
      <c r="L6" s="8">
        <f t="shared" si="0"/>
        <v>4.41</v>
      </c>
      <c r="M6" s="8">
        <f t="shared" si="1"/>
        <v>4.41</v>
      </c>
      <c r="N6" s="8">
        <f t="shared" si="2"/>
        <v>948.15</v>
      </c>
      <c r="W6" s="8" t="str">
        <f t="shared" si="3"/>
        <v/>
      </c>
      <c r="X6" s="8" t="str">
        <f t="shared" si="4"/>
        <v/>
      </c>
      <c r="Y6" s="8" t="str">
        <f t="shared" si="5"/>
        <v/>
      </c>
      <c r="AH6" s="8" t="str">
        <f t="shared" si="6"/>
        <v/>
      </c>
      <c r="AI6" s="8" t="str">
        <f t="shared" si="7"/>
        <v/>
      </c>
      <c r="AJ6" s="8" t="str">
        <f t="shared" si="8"/>
        <v/>
      </c>
    </row>
    <row r="7" spans="1:37" x14ac:dyDescent="0.25">
      <c r="A7" s="3" t="s">
        <v>677</v>
      </c>
      <c r="B7" s="3" t="s">
        <v>1040</v>
      </c>
      <c r="C7" s="3" t="s">
        <v>1041</v>
      </c>
      <c r="E7" t="s">
        <v>2253</v>
      </c>
      <c r="F7" t="s">
        <v>737</v>
      </c>
      <c r="G7" t="s">
        <v>2081</v>
      </c>
      <c r="H7" t="s">
        <v>9</v>
      </c>
      <c r="I7">
        <v>33</v>
      </c>
      <c r="J7">
        <v>0</v>
      </c>
      <c r="K7">
        <v>24</v>
      </c>
      <c r="L7" s="8">
        <f t="shared" si="0"/>
        <v>33</v>
      </c>
      <c r="M7" s="8">
        <f t="shared" si="1"/>
        <v>33</v>
      </c>
      <c r="N7" s="8">
        <f t="shared" si="2"/>
        <v>792</v>
      </c>
      <c r="W7" s="8" t="str">
        <f t="shared" si="3"/>
        <v/>
      </c>
      <c r="X7" s="8" t="str">
        <f t="shared" si="4"/>
        <v/>
      </c>
      <c r="Y7" s="8" t="str">
        <f t="shared" si="5"/>
        <v/>
      </c>
      <c r="AH7" s="8" t="str">
        <f t="shared" si="6"/>
        <v/>
      </c>
      <c r="AI7" s="8" t="str">
        <f t="shared" si="7"/>
        <v/>
      </c>
      <c r="AJ7" s="8" t="str">
        <f t="shared" si="8"/>
        <v/>
      </c>
    </row>
    <row r="8" spans="1:37" x14ac:dyDescent="0.25">
      <c r="A8" s="3" t="s">
        <v>677</v>
      </c>
      <c r="B8" s="3" t="s">
        <v>1042</v>
      </c>
      <c r="C8" s="3" t="s">
        <v>1043</v>
      </c>
      <c r="E8" t="s">
        <v>1028</v>
      </c>
      <c r="F8" t="s">
        <v>737</v>
      </c>
      <c r="G8" t="s">
        <v>738</v>
      </c>
      <c r="H8" t="s">
        <v>11</v>
      </c>
      <c r="I8">
        <v>0.23</v>
      </c>
      <c r="J8">
        <v>0</v>
      </c>
      <c r="K8">
        <v>850</v>
      </c>
      <c r="L8" s="8">
        <f t="shared" si="0"/>
        <v>0.23</v>
      </c>
      <c r="M8" s="8">
        <f t="shared" si="1"/>
        <v>0.23</v>
      </c>
      <c r="N8" s="8">
        <f t="shared" si="2"/>
        <v>195.5</v>
      </c>
      <c r="W8" s="8" t="str">
        <f t="shared" si="3"/>
        <v/>
      </c>
      <c r="X8" s="8" t="str">
        <f t="shared" si="4"/>
        <v/>
      </c>
      <c r="Y8" s="8" t="str">
        <f t="shared" si="5"/>
        <v/>
      </c>
      <c r="AH8" s="8" t="str">
        <f t="shared" si="6"/>
        <v/>
      </c>
      <c r="AI8" s="8" t="str">
        <f t="shared" si="7"/>
        <v/>
      </c>
      <c r="AJ8" s="8" t="str">
        <f t="shared" si="8"/>
        <v/>
      </c>
    </row>
    <row r="9" spans="1:37" x14ac:dyDescent="0.25">
      <c r="A9" s="3" t="s">
        <v>677</v>
      </c>
      <c r="B9" s="3" t="s">
        <v>547</v>
      </c>
      <c r="C9" s="3" t="s">
        <v>571</v>
      </c>
      <c r="E9" t="s">
        <v>1028</v>
      </c>
      <c r="F9" t="s">
        <v>737</v>
      </c>
      <c r="G9" t="s">
        <v>739</v>
      </c>
      <c r="H9" t="s">
        <v>11</v>
      </c>
      <c r="I9">
        <v>0.46</v>
      </c>
      <c r="J9">
        <v>0</v>
      </c>
      <c r="K9">
        <v>830</v>
      </c>
      <c r="L9" s="8">
        <f t="shared" si="0"/>
        <v>0.46</v>
      </c>
      <c r="M9" s="8">
        <f t="shared" si="1"/>
        <v>0.46</v>
      </c>
      <c r="N9" s="8">
        <f t="shared" si="2"/>
        <v>381.8</v>
      </c>
      <c r="W9" s="8" t="str">
        <f t="shared" si="3"/>
        <v/>
      </c>
      <c r="X9" s="8" t="str">
        <f t="shared" si="4"/>
        <v/>
      </c>
      <c r="Y9" s="8" t="str">
        <f t="shared" si="5"/>
        <v/>
      </c>
      <c r="AH9" s="8" t="str">
        <f t="shared" si="6"/>
        <v/>
      </c>
      <c r="AI9" s="8" t="str">
        <f t="shared" si="7"/>
        <v/>
      </c>
      <c r="AJ9" s="8" t="str">
        <f t="shared" si="8"/>
        <v/>
      </c>
    </row>
    <row r="10" spans="1:37" x14ac:dyDescent="0.25">
      <c r="A10" s="3" t="s">
        <v>677</v>
      </c>
      <c r="B10" s="3" t="s">
        <v>1044</v>
      </c>
      <c r="C10" s="3" t="s">
        <v>1045</v>
      </c>
      <c r="E10" t="s">
        <v>1434</v>
      </c>
      <c r="F10" t="s">
        <v>1029</v>
      </c>
      <c r="G10" t="s">
        <v>557</v>
      </c>
      <c r="H10" t="s">
        <v>11</v>
      </c>
      <c r="I10">
        <v>0.08</v>
      </c>
      <c r="J10">
        <v>0</v>
      </c>
      <c r="K10">
        <v>830</v>
      </c>
      <c r="L10" s="8">
        <f t="shared" si="0"/>
        <v>0.08</v>
      </c>
      <c r="M10" s="8">
        <f t="shared" si="1"/>
        <v>0.08</v>
      </c>
      <c r="N10" s="8">
        <f t="shared" si="2"/>
        <v>66.400000000000006</v>
      </c>
      <c r="W10" s="8" t="str">
        <f t="shared" si="3"/>
        <v/>
      </c>
      <c r="X10" s="8" t="str">
        <f t="shared" si="4"/>
        <v/>
      </c>
      <c r="Y10" s="8" t="str">
        <f t="shared" si="5"/>
        <v/>
      </c>
      <c r="AH10" s="8" t="str">
        <f t="shared" si="6"/>
        <v/>
      </c>
      <c r="AI10" s="8" t="str">
        <f t="shared" si="7"/>
        <v/>
      </c>
      <c r="AJ10" s="8" t="str">
        <f t="shared" si="8"/>
        <v/>
      </c>
    </row>
    <row r="11" spans="1:37" x14ac:dyDescent="0.25">
      <c r="A11" s="3" t="s">
        <v>677</v>
      </c>
      <c r="B11" s="3" t="s">
        <v>1422</v>
      </c>
      <c r="C11" s="3" t="s">
        <v>1423</v>
      </c>
      <c r="E11" t="s">
        <v>1434</v>
      </c>
      <c r="F11" t="s">
        <v>1029</v>
      </c>
      <c r="G11" t="s">
        <v>558</v>
      </c>
      <c r="H11" t="s">
        <v>11</v>
      </c>
      <c r="I11">
        <v>0.02</v>
      </c>
      <c r="J11">
        <v>0</v>
      </c>
      <c r="K11">
        <v>950</v>
      </c>
      <c r="L11" s="8">
        <f t="shared" si="0"/>
        <v>0.02</v>
      </c>
      <c r="M11" s="8">
        <f t="shared" si="1"/>
        <v>0.02</v>
      </c>
      <c r="N11" s="8">
        <f t="shared" si="2"/>
        <v>19</v>
      </c>
      <c r="W11" s="8" t="str">
        <f t="shared" si="3"/>
        <v/>
      </c>
      <c r="X11" s="8" t="str">
        <f t="shared" si="4"/>
        <v/>
      </c>
      <c r="Y11" s="8" t="str">
        <f t="shared" si="5"/>
        <v/>
      </c>
      <c r="AH11" s="8" t="str">
        <f t="shared" si="6"/>
        <v/>
      </c>
      <c r="AI11" s="8" t="str">
        <f t="shared" si="7"/>
        <v/>
      </c>
      <c r="AJ11" s="8" t="str">
        <f t="shared" si="8"/>
        <v/>
      </c>
    </row>
    <row r="12" spans="1:37" x14ac:dyDescent="0.25">
      <c r="A12" s="3" t="s">
        <v>677</v>
      </c>
      <c r="B12" s="3" t="s">
        <v>1046</v>
      </c>
      <c r="C12" s="3" t="s">
        <v>1424</v>
      </c>
      <c r="E12" t="s">
        <v>1434</v>
      </c>
      <c r="F12" t="s">
        <v>1030</v>
      </c>
      <c r="G12" t="s">
        <v>559</v>
      </c>
      <c r="H12" t="s">
        <v>8</v>
      </c>
      <c r="I12">
        <v>1.33</v>
      </c>
      <c r="J12">
        <v>0</v>
      </c>
      <c r="K12">
        <v>215</v>
      </c>
      <c r="L12" s="8">
        <f t="shared" si="0"/>
        <v>1.33</v>
      </c>
      <c r="M12" s="8">
        <f t="shared" si="1"/>
        <v>1.33</v>
      </c>
      <c r="N12" s="8">
        <f t="shared" si="2"/>
        <v>285.95</v>
      </c>
      <c r="W12" s="8" t="str">
        <f t="shared" si="3"/>
        <v/>
      </c>
      <c r="X12" s="8" t="str">
        <f t="shared" si="4"/>
        <v/>
      </c>
      <c r="Y12" s="8" t="str">
        <f t="shared" si="5"/>
        <v/>
      </c>
      <c r="AH12" s="8" t="str">
        <f t="shared" si="6"/>
        <v/>
      </c>
      <c r="AI12" s="8" t="str">
        <f t="shared" si="7"/>
        <v/>
      </c>
      <c r="AJ12" s="8" t="str">
        <f t="shared" si="8"/>
        <v/>
      </c>
    </row>
    <row r="13" spans="1:37" x14ac:dyDescent="0.25">
      <c r="A13" s="3" t="s">
        <v>677</v>
      </c>
      <c r="B13" s="3" t="s">
        <v>1047</v>
      </c>
      <c r="C13" s="3" t="s">
        <v>1435</v>
      </c>
      <c r="E13" t="s">
        <v>2254</v>
      </c>
      <c r="F13" t="s">
        <v>1031</v>
      </c>
      <c r="G13" t="s">
        <v>2081</v>
      </c>
      <c r="H13" t="s">
        <v>9</v>
      </c>
      <c r="I13">
        <v>10</v>
      </c>
      <c r="J13">
        <v>0</v>
      </c>
      <c r="K13">
        <v>24</v>
      </c>
      <c r="L13" s="8">
        <f t="shared" si="0"/>
        <v>10</v>
      </c>
      <c r="M13" s="8">
        <f t="shared" si="1"/>
        <v>10</v>
      </c>
      <c r="N13" s="8">
        <f t="shared" si="2"/>
        <v>240</v>
      </c>
      <c r="W13" s="8" t="str">
        <f t="shared" si="3"/>
        <v/>
      </c>
      <c r="X13" s="8" t="str">
        <f t="shared" si="4"/>
        <v/>
      </c>
      <c r="Y13" s="8" t="str">
        <f t="shared" si="5"/>
        <v/>
      </c>
      <c r="AH13" s="8" t="str">
        <f t="shared" si="6"/>
        <v/>
      </c>
      <c r="AI13" s="8" t="str">
        <f t="shared" si="7"/>
        <v/>
      </c>
      <c r="AJ13" s="8" t="str">
        <f t="shared" si="8"/>
        <v/>
      </c>
    </row>
    <row r="14" spans="1:37" x14ac:dyDescent="0.25">
      <c r="A14" s="3" t="s">
        <v>678</v>
      </c>
      <c r="B14" s="3" t="s">
        <v>548</v>
      </c>
      <c r="C14" s="3" t="s">
        <v>1048</v>
      </c>
      <c r="E14" t="s">
        <v>1440</v>
      </c>
      <c r="F14" t="s">
        <v>1031</v>
      </c>
      <c r="G14" t="s">
        <v>738</v>
      </c>
      <c r="H14" t="s">
        <v>11</v>
      </c>
      <c r="I14">
        <v>7.0000000000000007E-2</v>
      </c>
      <c r="J14">
        <v>0</v>
      </c>
      <c r="K14">
        <v>850</v>
      </c>
      <c r="L14" s="8">
        <f t="shared" si="0"/>
        <v>7.0000000000000007E-2</v>
      </c>
      <c r="M14" s="8">
        <f t="shared" si="1"/>
        <v>7.0000000000000007E-2</v>
      </c>
      <c r="N14" s="8">
        <f t="shared" si="2"/>
        <v>59.500000000000007</v>
      </c>
      <c r="W14" s="8" t="str">
        <f t="shared" si="3"/>
        <v/>
      </c>
      <c r="X14" s="8" t="str">
        <f t="shared" si="4"/>
        <v/>
      </c>
      <c r="Y14" s="8" t="str">
        <f t="shared" si="5"/>
        <v/>
      </c>
      <c r="AH14" s="8" t="str">
        <f t="shared" si="6"/>
        <v/>
      </c>
      <c r="AI14" s="8" t="str">
        <f t="shared" si="7"/>
        <v/>
      </c>
      <c r="AJ14" s="8" t="str">
        <f t="shared" si="8"/>
        <v/>
      </c>
    </row>
    <row r="15" spans="1:37" x14ac:dyDescent="0.25">
      <c r="A15" s="3" t="s">
        <v>678</v>
      </c>
      <c r="B15" s="3" t="s">
        <v>698</v>
      </c>
      <c r="C15" s="3" t="s">
        <v>730</v>
      </c>
      <c r="E15" t="s">
        <v>1440</v>
      </c>
      <c r="F15" t="s">
        <v>1031</v>
      </c>
      <c r="G15" t="s">
        <v>739</v>
      </c>
      <c r="H15" t="s">
        <v>11</v>
      </c>
      <c r="I15">
        <v>0.14000000000000001</v>
      </c>
      <c r="J15">
        <v>0</v>
      </c>
      <c r="K15">
        <v>830</v>
      </c>
      <c r="L15" s="8">
        <f t="shared" si="0"/>
        <v>0.14000000000000001</v>
      </c>
      <c r="M15" s="8">
        <f t="shared" si="1"/>
        <v>0.14000000000000001</v>
      </c>
      <c r="N15" s="8">
        <f t="shared" si="2"/>
        <v>116.20000000000002</v>
      </c>
      <c r="W15" s="8" t="str">
        <f t="shared" si="3"/>
        <v/>
      </c>
      <c r="X15" s="8" t="str">
        <f t="shared" si="4"/>
        <v/>
      </c>
      <c r="Y15" s="8" t="str">
        <f t="shared" si="5"/>
        <v/>
      </c>
      <c r="AH15" s="8" t="str">
        <f t="shared" si="6"/>
        <v/>
      </c>
      <c r="AI15" s="8" t="str">
        <f t="shared" si="7"/>
        <v/>
      </c>
      <c r="AJ15" s="8" t="str">
        <f t="shared" si="8"/>
        <v/>
      </c>
    </row>
    <row r="16" spans="1:37" x14ac:dyDescent="0.25">
      <c r="A16" s="3" t="s">
        <v>678</v>
      </c>
      <c r="B16" s="3" t="s">
        <v>549</v>
      </c>
      <c r="C16" s="3" t="s">
        <v>1049</v>
      </c>
      <c r="E16" t="s">
        <v>1032</v>
      </c>
      <c r="F16" t="s">
        <v>740</v>
      </c>
      <c r="G16" t="s">
        <v>719</v>
      </c>
      <c r="H16" t="s">
        <v>720</v>
      </c>
      <c r="I16">
        <v>1</v>
      </c>
      <c r="J16">
        <v>0</v>
      </c>
      <c r="K16">
        <v>130</v>
      </c>
      <c r="L16" s="8">
        <f t="shared" si="0"/>
        <v>1</v>
      </c>
      <c r="M16" s="8">
        <f t="shared" si="1"/>
        <v>1</v>
      </c>
      <c r="N16" s="8">
        <f t="shared" si="2"/>
        <v>130</v>
      </c>
      <c r="W16" s="8" t="str">
        <f t="shared" si="3"/>
        <v/>
      </c>
      <c r="X16" s="8" t="str">
        <f t="shared" si="4"/>
        <v/>
      </c>
      <c r="Y16" s="8" t="str">
        <f t="shared" si="5"/>
        <v/>
      </c>
      <c r="AH16" s="8" t="str">
        <f t="shared" si="6"/>
        <v/>
      </c>
      <c r="AI16" s="8" t="str">
        <f t="shared" si="7"/>
        <v/>
      </c>
      <c r="AJ16" s="8" t="str">
        <f t="shared" si="8"/>
        <v/>
      </c>
    </row>
    <row r="17" spans="1:36" x14ac:dyDescent="0.25">
      <c r="A17" s="3" t="s">
        <v>678</v>
      </c>
      <c r="B17" s="3" t="s">
        <v>550</v>
      </c>
      <c r="C17" s="3" t="s">
        <v>1050</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678</v>
      </c>
      <c r="B18" s="3" t="s">
        <v>572</v>
      </c>
      <c r="C18" s="3" t="s">
        <v>1110</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678</v>
      </c>
      <c r="B19" s="3" t="s">
        <v>679</v>
      </c>
      <c r="C19" s="3" t="s">
        <v>680</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678</v>
      </c>
      <c r="B20" s="3" t="s">
        <v>681</v>
      </c>
      <c r="C20" s="3" t="s">
        <v>1111</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677</v>
      </c>
      <c r="B21" s="3" t="s">
        <v>1054</v>
      </c>
      <c r="C21" s="3" t="s">
        <v>1055</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677</v>
      </c>
      <c r="B22" s="3" t="s">
        <v>1056</v>
      </c>
      <c r="C22" s="3" t="s">
        <v>1057</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677</v>
      </c>
      <c r="B23" s="3" t="s">
        <v>1058</v>
      </c>
      <c r="C23" s="3" t="s">
        <v>1059</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682</v>
      </c>
      <c r="B24" s="3" t="s">
        <v>1060</v>
      </c>
      <c r="C24" s="3" t="s">
        <v>551</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677</v>
      </c>
      <c r="B25" s="3" t="s">
        <v>1061</v>
      </c>
      <c r="C25" s="3" t="s">
        <v>1062</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682</v>
      </c>
      <c r="B26" s="3" t="s">
        <v>1063</v>
      </c>
      <c r="C26" s="3" t="s">
        <v>552</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677</v>
      </c>
      <c r="B27" s="3" t="s">
        <v>1064</v>
      </c>
      <c r="C27" s="3" t="s">
        <v>1065</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682</v>
      </c>
      <c r="B28" s="3" t="s">
        <v>1066</v>
      </c>
      <c r="C28" s="3" t="s">
        <v>700</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677</v>
      </c>
      <c r="B29" s="3" t="s">
        <v>1067</v>
      </c>
      <c r="C29" s="3" t="s">
        <v>1068</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678</v>
      </c>
      <c r="B30" s="3" t="s">
        <v>701</v>
      </c>
      <c r="C30" s="3" t="s">
        <v>1112</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678</v>
      </c>
      <c r="B31" s="3" t="s">
        <v>702</v>
      </c>
      <c r="C31" s="3" t="s">
        <v>1070</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678</v>
      </c>
      <c r="B32" s="3" t="s">
        <v>703</v>
      </c>
      <c r="C32" s="3" t="s">
        <v>1113</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678</v>
      </c>
      <c r="B33" s="3" t="s">
        <v>1072</v>
      </c>
      <c r="C33" s="3" t="s">
        <v>1114</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678</v>
      </c>
      <c r="B34" s="3" t="s">
        <v>704</v>
      </c>
      <c r="C34" s="3" t="s">
        <v>1115</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682</v>
      </c>
      <c r="B35" s="3" t="s">
        <v>1075</v>
      </c>
      <c r="C35" s="3" t="s">
        <v>553</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677</v>
      </c>
      <c r="B36" s="3" t="s">
        <v>1076</v>
      </c>
      <c r="C36" s="3" t="s">
        <v>1077</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678</v>
      </c>
      <c r="B37" s="3" t="s">
        <v>1078</v>
      </c>
      <c r="C37" s="3" t="s">
        <v>575</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677</v>
      </c>
      <c r="B38" s="3" t="s">
        <v>1116</v>
      </c>
      <c r="C38" s="3" t="s">
        <v>1117</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678</v>
      </c>
      <c r="B39" s="3" t="s">
        <v>1118</v>
      </c>
      <c r="C39" s="3" t="s">
        <v>1119</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678</v>
      </c>
      <c r="B40" s="3" t="s">
        <v>684</v>
      </c>
      <c r="C40" s="3" t="s">
        <v>762</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682</v>
      </c>
      <c r="B41" s="3" t="s">
        <v>685</v>
      </c>
      <c r="C41" s="3" t="s">
        <v>2064</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682</v>
      </c>
      <c r="B42" s="3" t="s">
        <v>687</v>
      </c>
      <c r="C42" s="3" t="s">
        <v>731</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682</v>
      </c>
      <c r="B43" s="3" t="s">
        <v>688</v>
      </c>
      <c r="C43" s="3" t="s">
        <v>732</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677</v>
      </c>
      <c r="B44" s="3" t="s">
        <v>1120</v>
      </c>
      <c r="C44" s="3" t="s">
        <v>1121</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677</v>
      </c>
      <c r="B45" s="3" t="s">
        <v>1122</v>
      </c>
      <c r="C45" s="3" t="s">
        <v>1123</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677</v>
      </c>
      <c r="B46" s="3" t="s">
        <v>1124</v>
      </c>
      <c r="C46" s="3" t="s">
        <v>1125</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677</v>
      </c>
      <c r="B47" s="3" t="s">
        <v>1082</v>
      </c>
      <c r="C47" s="3" t="s">
        <v>1426</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677</v>
      </c>
      <c r="B48" s="3" t="s">
        <v>1083</v>
      </c>
      <c r="C48" s="3" t="s">
        <v>1427</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677</v>
      </c>
      <c r="B49" s="3" t="s">
        <v>1084</v>
      </c>
      <c r="C49" s="3" t="s">
        <v>1428</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677</v>
      </c>
      <c r="B50" s="3" t="s">
        <v>1085</v>
      </c>
      <c r="C50" s="3" t="s">
        <v>1429</v>
      </c>
    </row>
    <row r="51" spans="1:36" x14ac:dyDescent="0.25">
      <c r="A51" s="3" t="s">
        <v>677</v>
      </c>
      <c r="B51" s="3" t="s">
        <v>1086</v>
      </c>
      <c r="C51" s="3" t="s">
        <v>1430</v>
      </c>
    </row>
    <row r="52" spans="1:36" x14ac:dyDescent="0.25">
      <c r="A52" s="3" t="s">
        <v>677</v>
      </c>
      <c r="B52" s="3" t="s">
        <v>1087</v>
      </c>
      <c r="C52" s="3" t="s">
        <v>1431</v>
      </c>
    </row>
    <row r="53" spans="1:36" x14ac:dyDescent="0.25">
      <c r="A53" s="3" t="s">
        <v>677</v>
      </c>
      <c r="B53" s="3" t="s">
        <v>1126</v>
      </c>
      <c r="C53" s="3" t="s">
        <v>1436</v>
      </c>
    </row>
    <row r="54" spans="1:36" x14ac:dyDescent="0.25">
      <c r="A54" s="3" t="s">
        <v>677</v>
      </c>
      <c r="B54" s="3" t="s">
        <v>1127</v>
      </c>
      <c r="C54" s="3" t="s">
        <v>1437</v>
      </c>
    </row>
    <row r="55" spans="1:36" x14ac:dyDescent="0.25">
      <c r="A55" s="3" t="s">
        <v>677</v>
      </c>
      <c r="B55" s="3" t="s">
        <v>1128</v>
      </c>
      <c r="C55" s="3" t="s">
        <v>1438</v>
      </c>
    </row>
    <row r="56" spans="1:36" x14ac:dyDescent="0.25">
      <c r="A56" s="3" t="s">
        <v>677</v>
      </c>
      <c r="B56" s="3" t="s">
        <v>1129</v>
      </c>
      <c r="C56" s="3" t="s">
        <v>1439</v>
      </c>
    </row>
    <row r="57" spans="1:36" x14ac:dyDescent="0.25">
      <c r="A57" s="3" t="s">
        <v>678</v>
      </c>
      <c r="B57" s="3" t="s">
        <v>1089</v>
      </c>
      <c r="C57" s="3" t="s">
        <v>1090</v>
      </c>
    </row>
    <row r="58" spans="1:36" x14ac:dyDescent="0.25">
      <c r="A58" s="3" t="s">
        <v>678</v>
      </c>
      <c r="B58" s="3" t="s">
        <v>1091</v>
      </c>
      <c r="C58" s="3" t="s">
        <v>1092</v>
      </c>
    </row>
    <row r="59" spans="1:36" x14ac:dyDescent="0.25">
      <c r="A59" s="3" t="s">
        <v>678</v>
      </c>
      <c r="B59" s="3" t="s">
        <v>1093</v>
      </c>
      <c r="C59" s="3" t="s">
        <v>1130</v>
      </c>
    </row>
    <row r="60" spans="1:36" x14ac:dyDescent="0.25">
      <c r="A60" s="3" t="s">
        <v>678</v>
      </c>
      <c r="B60" s="3" t="s">
        <v>1095</v>
      </c>
      <c r="C60" s="3" t="s">
        <v>1131</v>
      </c>
    </row>
    <row r="61" spans="1:36" x14ac:dyDescent="0.25">
      <c r="A61" s="3" t="s">
        <v>682</v>
      </c>
      <c r="B61" s="3" t="s">
        <v>705</v>
      </c>
      <c r="C61" s="3" t="s">
        <v>706</v>
      </c>
    </row>
    <row r="62" spans="1:36" x14ac:dyDescent="0.25">
      <c r="A62" s="3" t="s">
        <v>677</v>
      </c>
      <c r="B62" s="3" t="s">
        <v>733</v>
      </c>
      <c r="C62" s="3" t="s">
        <v>1132</v>
      </c>
    </row>
    <row r="63" spans="1:36" x14ac:dyDescent="0.25">
      <c r="A63" s="3" t="s">
        <v>678</v>
      </c>
      <c r="B63" s="3" t="s">
        <v>707</v>
      </c>
      <c r="C63" s="3" t="s">
        <v>1133</v>
      </c>
    </row>
    <row r="64" spans="1:36" x14ac:dyDescent="0.25">
      <c r="A64" s="3" t="s">
        <v>677</v>
      </c>
      <c r="B64" s="3" t="s">
        <v>576</v>
      </c>
      <c r="C64" s="3" t="s">
        <v>1099</v>
      </c>
    </row>
    <row r="65" spans="1:3" x14ac:dyDescent="0.25">
      <c r="A65" s="3" t="s">
        <v>677</v>
      </c>
      <c r="B65" s="3" t="s">
        <v>555</v>
      </c>
      <c r="C65" s="3" t="s">
        <v>1100</v>
      </c>
    </row>
    <row r="66" spans="1:3" x14ac:dyDescent="0.25">
      <c r="A66" s="3" t="s">
        <v>678</v>
      </c>
      <c r="B66" s="3" t="s">
        <v>577</v>
      </c>
      <c r="C66" s="3" t="s">
        <v>578</v>
      </c>
    </row>
    <row r="67" spans="1:3" x14ac:dyDescent="0.25">
      <c r="A67" s="3" t="s">
        <v>678</v>
      </c>
      <c r="B67" s="3" t="s">
        <v>579</v>
      </c>
      <c r="C67" s="3" t="s">
        <v>580</v>
      </c>
    </row>
    <row r="68" spans="1:3" x14ac:dyDescent="0.25">
      <c r="A68" s="3" t="s">
        <v>678</v>
      </c>
      <c r="B68" s="3" t="s">
        <v>581</v>
      </c>
      <c r="C68" s="3" t="s">
        <v>1101</v>
      </c>
    </row>
    <row r="69" spans="1:3" x14ac:dyDescent="0.25">
      <c r="A69" s="3" t="s">
        <v>678</v>
      </c>
      <c r="B69" s="3" t="s">
        <v>582</v>
      </c>
      <c r="C69" s="3" t="s">
        <v>690</v>
      </c>
    </row>
    <row r="70" spans="1:3" x14ac:dyDescent="0.25">
      <c r="A70" s="3" t="s">
        <v>678</v>
      </c>
      <c r="B70" s="3" t="s">
        <v>584</v>
      </c>
      <c r="C70" s="3" t="s">
        <v>708</v>
      </c>
    </row>
    <row r="71" spans="1:3" x14ac:dyDescent="0.25">
      <c r="A71" s="3" t="s">
        <v>691</v>
      </c>
      <c r="B71" s="3" t="s">
        <v>586</v>
      </c>
      <c r="C71" s="3" t="s">
        <v>457</v>
      </c>
    </row>
    <row r="72" spans="1:3" x14ac:dyDescent="0.25">
      <c r="A72" s="3" t="s">
        <v>678</v>
      </c>
      <c r="B72" s="3" t="s">
        <v>1930</v>
      </c>
      <c r="C72" s="3" t="s">
        <v>2250</v>
      </c>
    </row>
    <row r="73" spans="1:3" x14ac:dyDescent="0.25">
      <c r="A73" s="3" t="s">
        <v>677</v>
      </c>
      <c r="B73" s="3" t="s">
        <v>1973</v>
      </c>
      <c r="C73" s="3" t="s">
        <v>2251</v>
      </c>
    </row>
    <row r="74" spans="1:3" x14ac:dyDescent="0.25">
      <c r="A74" s="3" t="s">
        <v>678</v>
      </c>
      <c r="B74" s="3" t="s">
        <v>587</v>
      </c>
      <c r="C74" s="3" t="s">
        <v>1134</v>
      </c>
    </row>
    <row r="75" spans="1:3" x14ac:dyDescent="0.25">
      <c r="A75" s="3" t="s">
        <v>678</v>
      </c>
      <c r="B75" s="3" t="s">
        <v>693</v>
      </c>
      <c r="C75" s="3" t="s">
        <v>694</v>
      </c>
    </row>
    <row r="76" spans="1:3" x14ac:dyDescent="0.25">
      <c r="A76" s="3" t="s">
        <v>678</v>
      </c>
      <c r="B76" s="3" t="s">
        <v>591</v>
      </c>
      <c r="C76" s="3" t="s">
        <v>695</v>
      </c>
    </row>
    <row r="77" spans="1:3" x14ac:dyDescent="0.25">
      <c r="A77" s="3" t="s">
        <v>678</v>
      </c>
      <c r="B77" s="3" t="s">
        <v>370</v>
      </c>
      <c r="C77" s="3" t="s">
        <v>696</v>
      </c>
    </row>
    <row r="78" spans="1:3" x14ac:dyDescent="0.25">
      <c r="A78" s="3" t="s">
        <v>697</v>
      </c>
      <c r="B78" s="3" t="s">
        <v>1433</v>
      </c>
      <c r="C78" s="3" t="s">
        <v>2252</v>
      </c>
    </row>
  </sheetData>
  <mergeCells count="4">
    <mergeCell ref="A1:C1"/>
    <mergeCell ref="E1:K1"/>
    <mergeCell ref="P1:V1"/>
    <mergeCell ref="AA1:AG1"/>
  </mergeCell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361DF8-5AF3-48BC-8A01-B3576EF0955A}">
  <sheetPr codeName="Sheet28"/>
  <dimension ref="A1:AK58"/>
  <sheetViews>
    <sheetView zoomScale="75" zoomScaleNormal="75" workbookViewId="0">
      <pane ySplit="49" topLeftCell="A63" activePane="bottomLeft" state="frozen"/>
      <selection pane="bottomLeft" sqref="A1:C62"/>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24" t="str" cm="1">
        <f t="array" aca="1" ref="A1" ca="1">IFERROR(MID(CELL("filename",$A$1),FIND("]",CELL("filename",$A$1))+1,99),"SXX")</f>
        <v>S17</v>
      </c>
      <c r="B1" s="24"/>
      <c r="C1" s="24"/>
      <c r="E1" s="25" t="str" cm="1">
        <f t="array" aca="1" ref="E1" ca="1">IFERROR(MID(CELL("filename",$A$1),FIND("]",CELL("filename",$A$1))+1,99),"SXX")&amp;" MATERIALS (USAGE + STANDALONE)"</f>
        <v>S17 MATERIALS (USAGE + STANDALONE)</v>
      </c>
      <c r="F1" s="25"/>
      <c r="G1" s="25"/>
      <c r="H1" s="25"/>
      <c r="I1" s="25"/>
      <c r="J1" s="25"/>
      <c r="K1" s="25"/>
      <c r="L1" s="13"/>
      <c r="M1" s="13"/>
      <c r="N1" s="19">
        <f>SUM(N3:N49)</f>
        <v>2888</v>
      </c>
      <c r="P1" s="25" t="str" cm="1">
        <f t="array" aca="1" ref="P1" ca="1">IFERROR(MID(CELL("filename",$A$1),FIND("]",CELL("filename",$A$1))+1,99),"SXX")&amp;" LABOUR (USAGE + STANDALONE)"</f>
        <v>S17 LABOUR (USAGE + STANDALONE)</v>
      </c>
      <c r="Q1" s="25"/>
      <c r="R1" s="25"/>
      <c r="S1" s="25"/>
      <c r="T1" s="25"/>
      <c r="U1" s="25"/>
      <c r="V1" s="25"/>
      <c r="Y1" s="19">
        <f>SUM(Y3:Y49)</f>
        <v>2520</v>
      </c>
      <c r="AA1" s="26" t="str" cm="1">
        <f t="array" aca="1" ref="AA1" ca="1">IFERROR(MID(CELL("filename",$A$1),FIND("]",CELL("filename",$A$1))+1,99),"SXX")&amp;" RENTAL / SERVICE (USAGE + STANDALONE)"</f>
        <v>S17 RENTAL / SERVICE (USAGE + STANDALONE)</v>
      </c>
      <c r="AB1" s="26"/>
      <c r="AC1" s="26"/>
      <c r="AD1" s="26"/>
      <c r="AE1" s="26"/>
      <c r="AF1" s="26"/>
      <c r="AG1" s="26"/>
      <c r="AH1" s="6"/>
      <c r="AI1" s="6"/>
      <c r="AJ1" s="19">
        <f>SUM(AJ3:AJ49)</f>
        <v>0</v>
      </c>
    </row>
    <row r="2" spans="1:37" s="2" customFormat="1" x14ac:dyDescent="0.25">
      <c r="A2" s="4" t="s">
        <v>0</v>
      </c>
      <c r="B2" s="4" t="s">
        <v>3</v>
      </c>
      <c r="C2" s="4" t="s">
        <v>5</v>
      </c>
      <c r="D2" s="1"/>
      <c r="E2" s="2" t="s">
        <v>5</v>
      </c>
      <c r="F2" s="2" t="s">
        <v>0</v>
      </c>
      <c r="G2" s="2" t="s">
        <v>3</v>
      </c>
      <c r="H2" s="2" t="s">
        <v>1</v>
      </c>
      <c r="I2" s="2" t="s">
        <v>12</v>
      </c>
      <c r="J2" s="2" t="s">
        <v>4</v>
      </c>
      <c r="K2" s="2" t="s">
        <v>1725</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742</v>
      </c>
      <c r="B3" s="3" t="s">
        <v>743</v>
      </c>
      <c r="C3" s="3" t="s">
        <v>744</v>
      </c>
      <c r="E3" t="s">
        <v>2259</v>
      </c>
      <c r="F3" t="s">
        <v>795</v>
      </c>
      <c r="G3" t="s">
        <v>2081</v>
      </c>
      <c r="H3" t="s">
        <v>9</v>
      </c>
      <c r="I3">
        <v>3</v>
      </c>
      <c r="J3" s="22">
        <v>0</v>
      </c>
      <c r="K3">
        <v>24</v>
      </c>
      <c r="L3" s="8">
        <f t="shared" ref="L3:L49" si="0">IF($G3="","",$I3*(1+IF($J3="",0,$J3)))</f>
        <v>3</v>
      </c>
      <c r="M3" s="8">
        <f t="shared" ref="M3:M49" si="1">IF($G3="","",$L3)</f>
        <v>3</v>
      </c>
      <c r="N3" s="8">
        <f t="shared" ref="N3:N49" si="2">IF($G3="","",IF($K3="","",$M3*$K3))</f>
        <v>72</v>
      </c>
      <c r="P3" t="s">
        <v>2261</v>
      </c>
      <c r="Q3" t="s">
        <v>802</v>
      </c>
      <c r="R3" t="s">
        <v>327</v>
      </c>
      <c r="S3" t="s">
        <v>33</v>
      </c>
      <c r="T3">
        <v>112</v>
      </c>
      <c r="U3" s="22">
        <v>0</v>
      </c>
      <c r="V3">
        <v>22.5</v>
      </c>
      <c r="W3" s="8">
        <f>IF($R3="","",$T3*(1+IF($U3="",0,$U3)))</f>
        <v>112</v>
      </c>
      <c r="X3" s="8">
        <f>IF($R3="","",$W3)</f>
        <v>112</v>
      </c>
      <c r="Y3" s="8">
        <f>IF($R3="","",IF($V3="","",$X3*$V3))</f>
        <v>2520</v>
      </c>
      <c r="AH3" s="8" t="str">
        <f>IF($AC3="","",$AE3*(1+IF($AF3="",0,$AF3)))</f>
        <v/>
      </c>
      <c r="AI3" s="8" t="str">
        <f>IF($AC3="","",$AH3)</f>
        <v/>
      </c>
      <c r="AJ3" s="8" t="str">
        <f>IF($AC3="","",IF($AG3="","",$AI3*$AG3))</f>
        <v/>
      </c>
    </row>
    <row r="4" spans="1:37" x14ac:dyDescent="0.25">
      <c r="A4" s="3" t="s">
        <v>745</v>
      </c>
      <c r="B4" s="3" t="s">
        <v>746</v>
      </c>
      <c r="C4" s="3" t="s">
        <v>747</v>
      </c>
      <c r="E4" t="s">
        <v>794</v>
      </c>
      <c r="F4" t="s">
        <v>795</v>
      </c>
      <c r="G4" t="s">
        <v>738</v>
      </c>
      <c r="H4" t="s">
        <v>11</v>
      </c>
      <c r="I4">
        <v>0.02</v>
      </c>
      <c r="J4" s="22">
        <v>0</v>
      </c>
      <c r="K4">
        <v>850</v>
      </c>
      <c r="L4" s="8">
        <f t="shared" si="0"/>
        <v>0.02</v>
      </c>
      <c r="M4" s="8">
        <f t="shared" si="1"/>
        <v>0.02</v>
      </c>
      <c r="N4" s="8">
        <f t="shared" si="2"/>
        <v>17</v>
      </c>
      <c r="U4" s="22"/>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748</v>
      </c>
      <c r="B5" s="3" t="s">
        <v>602</v>
      </c>
      <c r="C5" s="3" t="s">
        <v>749</v>
      </c>
      <c r="E5" t="s">
        <v>794</v>
      </c>
      <c r="F5" t="s">
        <v>795</v>
      </c>
      <c r="G5" t="s">
        <v>739</v>
      </c>
      <c r="H5" t="s">
        <v>11</v>
      </c>
      <c r="I5">
        <v>0.04</v>
      </c>
      <c r="J5" s="22">
        <v>0</v>
      </c>
      <c r="K5">
        <v>830</v>
      </c>
      <c r="L5" s="8">
        <f t="shared" si="0"/>
        <v>0.04</v>
      </c>
      <c r="M5" s="8">
        <f t="shared" si="1"/>
        <v>0.04</v>
      </c>
      <c r="N5" s="8">
        <f t="shared" si="2"/>
        <v>33.200000000000003</v>
      </c>
      <c r="W5" s="8" t="str">
        <f t="shared" si="3"/>
        <v/>
      </c>
      <c r="X5" s="8" t="str">
        <f t="shared" si="4"/>
        <v/>
      </c>
      <c r="Y5" s="8" t="str">
        <f t="shared" si="5"/>
        <v/>
      </c>
      <c r="AH5" s="8" t="str">
        <f t="shared" si="6"/>
        <v/>
      </c>
      <c r="AI5" s="8" t="str">
        <f t="shared" si="7"/>
        <v/>
      </c>
      <c r="AJ5" s="8" t="str">
        <f t="shared" si="8"/>
        <v/>
      </c>
    </row>
    <row r="6" spans="1:37" x14ac:dyDescent="0.25">
      <c r="A6" s="3" t="s">
        <v>750</v>
      </c>
      <c r="B6" s="3" t="s">
        <v>604</v>
      </c>
      <c r="C6" s="3" t="s">
        <v>605</v>
      </c>
      <c r="E6" t="s">
        <v>2260</v>
      </c>
      <c r="F6" t="s">
        <v>797</v>
      </c>
      <c r="G6" t="s">
        <v>2081</v>
      </c>
      <c r="H6" t="s">
        <v>9</v>
      </c>
      <c r="I6">
        <v>26</v>
      </c>
      <c r="J6">
        <v>0</v>
      </c>
      <c r="K6">
        <v>24</v>
      </c>
      <c r="L6" s="8">
        <f t="shared" si="0"/>
        <v>26</v>
      </c>
      <c r="M6" s="8">
        <f t="shared" si="1"/>
        <v>26</v>
      </c>
      <c r="N6" s="8">
        <f t="shared" si="2"/>
        <v>624</v>
      </c>
      <c r="W6" s="8" t="str">
        <f t="shared" si="3"/>
        <v/>
      </c>
      <c r="X6" s="8" t="str">
        <f t="shared" si="4"/>
        <v/>
      </c>
      <c r="Y6" s="8" t="str">
        <f t="shared" si="5"/>
        <v/>
      </c>
      <c r="AH6" s="8" t="str">
        <f t="shared" si="6"/>
        <v/>
      </c>
      <c r="AI6" s="8" t="str">
        <f t="shared" si="7"/>
        <v/>
      </c>
      <c r="AJ6" s="8" t="str">
        <f t="shared" si="8"/>
        <v/>
      </c>
    </row>
    <row r="7" spans="1:37" x14ac:dyDescent="0.25">
      <c r="A7" s="3" t="s">
        <v>750</v>
      </c>
      <c r="B7" s="3" t="s">
        <v>606</v>
      </c>
      <c r="C7" s="3" t="s">
        <v>607</v>
      </c>
      <c r="E7" t="s">
        <v>796</v>
      </c>
      <c r="F7" t="s">
        <v>797</v>
      </c>
      <c r="G7" t="s">
        <v>738</v>
      </c>
      <c r="H7" t="s">
        <v>11</v>
      </c>
      <c r="I7">
        <v>0.18</v>
      </c>
      <c r="J7">
        <v>0</v>
      </c>
      <c r="K7">
        <v>850</v>
      </c>
      <c r="L7" s="8">
        <f t="shared" si="0"/>
        <v>0.18</v>
      </c>
      <c r="M7" s="8">
        <f t="shared" si="1"/>
        <v>0.18</v>
      </c>
      <c r="N7" s="8">
        <f t="shared" si="2"/>
        <v>153</v>
      </c>
      <c r="W7" s="8" t="str">
        <f t="shared" si="3"/>
        <v/>
      </c>
      <c r="X7" s="8" t="str">
        <f t="shared" si="4"/>
        <v/>
      </c>
      <c r="Y7" s="8" t="str">
        <f t="shared" si="5"/>
        <v/>
      </c>
      <c r="AH7" s="8" t="str">
        <f t="shared" si="6"/>
        <v/>
      </c>
      <c r="AI7" s="8" t="str">
        <f t="shared" si="7"/>
        <v/>
      </c>
      <c r="AJ7" s="8" t="str">
        <f t="shared" si="8"/>
        <v/>
      </c>
    </row>
    <row r="8" spans="1:37" x14ac:dyDescent="0.25">
      <c r="A8" s="3" t="s">
        <v>750</v>
      </c>
      <c r="B8" s="3" t="s">
        <v>608</v>
      </c>
      <c r="C8" s="3" t="s">
        <v>609</v>
      </c>
      <c r="E8" t="s">
        <v>796</v>
      </c>
      <c r="F8" t="s">
        <v>797</v>
      </c>
      <c r="G8" t="s">
        <v>739</v>
      </c>
      <c r="H8" t="s">
        <v>11</v>
      </c>
      <c r="I8">
        <v>0.36</v>
      </c>
      <c r="J8">
        <v>0</v>
      </c>
      <c r="K8">
        <v>830</v>
      </c>
      <c r="L8" s="8">
        <f t="shared" si="0"/>
        <v>0.36</v>
      </c>
      <c r="M8" s="8">
        <f t="shared" si="1"/>
        <v>0.36</v>
      </c>
      <c r="N8" s="8">
        <f t="shared" si="2"/>
        <v>298.8</v>
      </c>
      <c r="W8" s="8" t="str">
        <f t="shared" si="3"/>
        <v/>
      </c>
      <c r="X8" s="8" t="str">
        <f t="shared" si="4"/>
        <v/>
      </c>
      <c r="Y8" s="8" t="str">
        <f t="shared" si="5"/>
        <v/>
      </c>
      <c r="AH8" s="8" t="str">
        <f t="shared" si="6"/>
        <v/>
      </c>
      <c r="AI8" s="8" t="str">
        <f t="shared" si="7"/>
        <v/>
      </c>
      <c r="AJ8" s="8" t="str">
        <f t="shared" si="8"/>
        <v/>
      </c>
    </row>
    <row r="9" spans="1:37" x14ac:dyDescent="0.25">
      <c r="A9" s="3" t="s">
        <v>750</v>
      </c>
      <c r="B9" s="3" t="s">
        <v>356</v>
      </c>
      <c r="C9" s="3" t="s">
        <v>610</v>
      </c>
      <c r="E9" t="s">
        <v>723</v>
      </c>
      <c r="F9" t="s">
        <v>798</v>
      </c>
      <c r="G9" t="s">
        <v>666</v>
      </c>
      <c r="H9" t="s">
        <v>667</v>
      </c>
      <c r="I9">
        <v>30</v>
      </c>
      <c r="J9">
        <v>0</v>
      </c>
      <c r="K9">
        <v>28</v>
      </c>
      <c r="L9" s="8">
        <f t="shared" si="0"/>
        <v>30</v>
      </c>
      <c r="M9" s="8">
        <f t="shared" si="1"/>
        <v>30</v>
      </c>
      <c r="N9" s="8">
        <f t="shared" si="2"/>
        <v>840</v>
      </c>
      <c r="W9" s="8" t="str">
        <f t="shared" si="3"/>
        <v/>
      </c>
      <c r="X9" s="8" t="str">
        <f t="shared" si="4"/>
        <v/>
      </c>
      <c r="Y9" s="8" t="str">
        <f t="shared" si="5"/>
        <v/>
      </c>
      <c r="AH9" s="8" t="str">
        <f t="shared" si="6"/>
        <v/>
      </c>
      <c r="AI9" s="8" t="str">
        <f t="shared" si="7"/>
        <v/>
      </c>
      <c r="AJ9" s="8" t="str">
        <f t="shared" si="8"/>
        <v/>
      </c>
    </row>
    <row r="10" spans="1:37" x14ac:dyDescent="0.25">
      <c r="A10" s="3" t="s">
        <v>750</v>
      </c>
      <c r="B10" s="3" t="s">
        <v>357</v>
      </c>
      <c r="C10" s="3" t="s">
        <v>611</v>
      </c>
      <c r="E10" t="s">
        <v>724</v>
      </c>
      <c r="F10" t="s">
        <v>798</v>
      </c>
      <c r="G10" t="s">
        <v>668</v>
      </c>
      <c r="H10" t="s">
        <v>667</v>
      </c>
      <c r="I10">
        <v>12</v>
      </c>
      <c r="J10">
        <v>0</v>
      </c>
      <c r="K10">
        <v>15</v>
      </c>
      <c r="L10" s="8">
        <f t="shared" si="0"/>
        <v>12</v>
      </c>
      <c r="M10" s="8">
        <f t="shared" si="1"/>
        <v>12</v>
      </c>
      <c r="N10" s="8">
        <f t="shared" si="2"/>
        <v>180</v>
      </c>
      <c r="W10" s="8" t="str">
        <f t="shared" si="3"/>
        <v/>
      </c>
      <c r="X10" s="8" t="str">
        <f t="shared" si="4"/>
        <v/>
      </c>
      <c r="Y10" s="8" t="str">
        <f t="shared" si="5"/>
        <v/>
      </c>
      <c r="AH10" s="8" t="str">
        <f t="shared" si="6"/>
        <v/>
      </c>
      <c r="AI10" s="8" t="str">
        <f t="shared" si="7"/>
        <v/>
      </c>
      <c r="AJ10" s="8" t="str">
        <f t="shared" si="8"/>
        <v/>
      </c>
    </row>
    <row r="11" spans="1:37" x14ac:dyDescent="0.25">
      <c r="A11" s="3" t="s">
        <v>750</v>
      </c>
      <c r="B11" s="3" t="s">
        <v>612</v>
      </c>
      <c r="C11" s="3" t="s">
        <v>613</v>
      </c>
      <c r="E11" t="s">
        <v>725</v>
      </c>
      <c r="F11" t="s">
        <v>799</v>
      </c>
      <c r="G11" t="s">
        <v>670</v>
      </c>
      <c r="H11" t="s">
        <v>671</v>
      </c>
      <c r="I11">
        <v>8</v>
      </c>
      <c r="J11">
        <v>0</v>
      </c>
      <c r="K11">
        <v>45</v>
      </c>
      <c r="L11" s="8">
        <f t="shared" si="0"/>
        <v>8</v>
      </c>
      <c r="M11" s="8">
        <f t="shared" si="1"/>
        <v>8</v>
      </c>
      <c r="N11" s="8">
        <f t="shared" si="2"/>
        <v>360</v>
      </c>
      <c r="W11" s="8" t="str">
        <f t="shared" si="3"/>
        <v/>
      </c>
      <c r="X11" s="8" t="str">
        <f t="shared" si="4"/>
        <v/>
      </c>
      <c r="Y11" s="8" t="str">
        <f t="shared" si="5"/>
        <v/>
      </c>
      <c r="AH11" s="8" t="str">
        <f t="shared" si="6"/>
        <v/>
      </c>
      <c r="AI11" s="8" t="str">
        <f t="shared" si="7"/>
        <v/>
      </c>
      <c r="AJ11" s="8" t="str">
        <f t="shared" si="8"/>
        <v/>
      </c>
    </row>
    <row r="12" spans="1:37" x14ac:dyDescent="0.25">
      <c r="A12" s="3" t="s">
        <v>750</v>
      </c>
      <c r="B12" s="3" t="s">
        <v>614</v>
      </c>
      <c r="C12" s="3" t="s">
        <v>615</v>
      </c>
      <c r="E12" t="s">
        <v>726</v>
      </c>
      <c r="F12" t="s">
        <v>799</v>
      </c>
      <c r="G12" t="s">
        <v>727</v>
      </c>
      <c r="H12" t="s">
        <v>728</v>
      </c>
      <c r="I12">
        <v>12</v>
      </c>
      <c r="J12">
        <v>0</v>
      </c>
      <c r="K12">
        <v>15</v>
      </c>
      <c r="L12" s="8">
        <f t="shared" si="0"/>
        <v>12</v>
      </c>
      <c r="M12" s="8">
        <f t="shared" si="1"/>
        <v>12</v>
      </c>
      <c r="N12" s="8">
        <f t="shared" si="2"/>
        <v>180</v>
      </c>
      <c r="W12" s="8" t="str">
        <f t="shared" si="3"/>
        <v/>
      </c>
      <c r="X12" s="8" t="str">
        <f t="shared" si="4"/>
        <v/>
      </c>
      <c r="Y12" s="8" t="str">
        <f t="shared" si="5"/>
        <v/>
      </c>
      <c r="AH12" s="8" t="str">
        <f t="shared" si="6"/>
        <v/>
      </c>
      <c r="AI12" s="8" t="str">
        <f t="shared" si="7"/>
        <v/>
      </c>
      <c r="AJ12" s="8" t="str">
        <f t="shared" si="8"/>
        <v/>
      </c>
    </row>
    <row r="13" spans="1:37" x14ac:dyDescent="0.25">
      <c r="A13" s="3" t="s">
        <v>750</v>
      </c>
      <c r="B13" s="3" t="s">
        <v>616</v>
      </c>
      <c r="C13" s="3" t="s">
        <v>617</v>
      </c>
      <c r="E13" t="s">
        <v>800</v>
      </c>
      <c r="F13" t="s">
        <v>801</v>
      </c>
      <c r="G13" t="s">
        <v>719</v>
      </c>
      <c r="H13" t="s">
        <v>720</v>
      </c>
      <c r="I13">
        <v>1</v>
      </c>
      <c r="J13">
        <v>0</v>
      </c>
      <c r="K13">
        <v>130</v>
      </c>
      <c r="L13" s="8">
        <f t="shared" si="0"/>
        <v>1</v>
      </c>
      <c r="M13" s="8">
        <f t="shared" si="1"/>
        <v>1</v>
      </c>
      <c r="N13" s="8">
        <f t="shared" si="2"/>
        <v>130</v>
      </c>
      <c r="W13" s="8" t="str">
        <f t="shared" si="3"/>
        <v/>
      </c>
      <c r="X13" s="8" t="str">
        <f t="shared" si="4"/>
        <v/>
      </c>
      <c r="Y13" s="8" t="str">
        <f t="shared" si="5"/>
        <v/>
      </c>
      <c r="AH13" s="8" t="str">
        <f t="shared" si="6"/>
        <v/>
      </c>
      <c r="AI13" s="8" t="str">
        <f t="shared" si="7"/>
        <v/>
      </c>
      <c r="AJ13" s="8" t="str">
        <f t="shared" si="8"/>
        <v/>
      </c>
    </row>
    <row r="14" spans="1:37" x14ac:dyDescent="0.25">
      <c r="A14" s="3" t="s">
        <v>750</v>
      </c>
      <c r="B14" s="3" t="s">
        <v>618</v>
      </c>
      <c r="C14" s="3" t="s">
        <v>619</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750</v>
      </c>
      <c r="B15" s="3" t="s">
        <v>710</v>
      </c>
      <c r="C15" s="3" t="s">
        <v>711</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750</v>
      </c>
      <c r="B16" s="3" t="s">
        <v>751</v>
      </c>
      <c r="C16" s="3" t="s">
        <v>752</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753</v>
      </c>
      <c r="B17" s="3" t="s">
        <v>620</v>
      </c>
      <c r="C17" s="3" t="s">
        <v>754</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753</v>
      </c>
      <c r="B18" s="3" t="s">
        <v>622</v>
      </c>
      <c r="C18" s="3" t="s">
        <v>755</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753</v>
      </c>
      <c r="B19" s="3" t="s">
        <v>624</v>
      </c>
      <c r="C19" s="3" t="s">
        <v>625</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753</v>
      </c>
      <c r="B20" s="3" t="s">
        <v>626</v>
      </c>
      <c r="C20" s="3" t="s">
        <v>756</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753</v>
      </c>
      <c r="B21" s="3" t="s">
        <v>628</v>
      </c>
      <c r="C21" s="3" t="s">
        <v>757</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750</v>
      </c>
      <c r="B22" s="3" t="s">
        <v>630</v>
      </c>
      <c r="C22" s="3" t="s">
        <v>631</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753</v>
      </c>
      <c r="B23" s="3" t="s">
        <v>712</v>
      </c>
      <c r="C23" s="3" t="s">
        <v>713</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753</v>
      </c>
      <c r="B24" s="3" t="s">
        <v>632</v>
      </c>
      <c r="C24" s="3" t="s">
        <v>758</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753</v>
      </c>
      <c r="B25" s="3" t="s">
        <v>634</v>
      </c>
      <c r="C25" s="3" t="s">
        <v>759</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753</v>
      </c>
      <c r="B26" s="3" t="s">
        <v>572</v>
      </c>
      <c r="C26" s="3" t="s">
        <v>760</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753</v>
      </c>
      <c r="B27" s="3" t="s">
        <v>683</v>
      </c>
      <c r="C27" s="3" t="s">
        <v>761</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753</v>
      </c>
      <c r="B28" s="3" t="s">
        <v>684</v>
      </c>
      <c r="C28" s="3" t="s">
        <v>762</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753</v>
      </c>
      <c r="B29" s="3" t="s">
        <v>763</v>
      </c>
      <c r="C29" s="3" t="s">
        <v>680</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753</v>
      </c>
      <c r="B30" s="3" t="s">
        <v>764</v>
      </c>
      <c r="C30" s="3" t="s">
        <v>765</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750</v>
      </c>
      <c r="B31" s="3" t="s">
        <v>766</v>
      </c>
      <c r="C31" s="3" t="s">
        <v>767</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750</v>
      </c>
      <c r="B32" s="3" t="s">
        <v>768</v>
      </c>
      <c r="C32" s="3" t="s">
        <v>769</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770</v>
      </c>
      <c r="B33" s="3" t="s">
        <v>685</v>
      </c>
      <c r="C33" s="3" t="s">
        <v>2064</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770</v>
      </c>
      <c r="B34" s="3" t="s">
        <v>771</v>
      </c>
      <c r="C34" s="3" t="s">
        <v>731</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770</v>
      </c>
      <c r="B35" s="3" t="s">
        <v>688</v>
      </c>
      <c r="C35" s="3" t="s">
        <v>732</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750</v>
      </c>
      <c r="B36" s="3" t="s">
        <v>686</v>
      </c>
      <c r="C36" s="3" t="s">
        <v>772</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750</v>
      </c>
      <c r="B37" s="3" t="s">
        <v>773</v>
      </c>
      <c r="C37" s="3" t="s">
        <v>774</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750</v>
      </c>
      <c r="B38" s="3" t="s">
        <v>689</v>
      </c>
      <c r="C38" s="3" t="s">
        <v>775</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770</v>
      </c>
      <c r="B39" s="3" t="s">
        <v>640</v>
      </c>
      <c r="C39" s="3" t="s">
        <v>776</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770</v>
      </c>
      <c r="B40" s="3" t="s">
        <v>641</v>
      </c>
      <c r="C40" s="3" t="s">
        <v>777</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770</v>
      </c>
      <c r="B41" s="3" t="s">
        <v>642</v>
      </c>
      <c r="C41" s="3" t="s">
        <v>778</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770</v>
      </c>
      <c r="B42" s="3" t="s">
        <v>779</v>
      </c>
      <c r="C42" s="3" t="s">
        <v>780</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753</v>
      </c>
      <c r="B43" s="3" t="s">
        <v>643</v>
      </c>
      <c r="C43" s="3" t="s">
        <v>781</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753</v>
      </c>
      <c r="B44" s="3" t="s">
        <v>645</v>
      </c>
      <c r="C44" s="3" t="s">
        <v>782</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753</v>
      </c>
      <c r="B45" s="3" t="s">
        <v>647</v>
      </c>
      <c r="C45" s="3" t="s">
        <v>783</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753</v>
      </c>
      <c r="B46" s="3" t="s">
        <v>649</v>
      </c>
      <c r="C46" s="3" t="s">
        <v>784</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753</v>
      </c>
      <c r="B47" s="3" t="s">
        <v>651</v>
      </c>
      <c r="C47" s="3" t="s">
        <v>785</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750</v>
      </c>
      <c r="B48" s="3" t="s">
        <v>653</v>
      </c>
      <c r="C48" s="3" t="s">
        <v>786</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770</v>
      </c>
      <c r="B49" s="3" t="s">
        <v>705</v>
      </c>
      <c r="C49" s="3" t="s">
        <v>706</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753</v>
      </c>
      <c r="B50" s="3" t="s">
        <v>707</v>
      </c>
      <c r="C50" s="3" t="s">
        <v>787</v>
      </c>
    </row>
    <row r="51" spans="1:36" x14ac:dyDescent="0.25">
      <c r="A51" s="3" t="s">
        <v>788</v>
      </c>
      <c r="B51" s="3" t="s">
        <v>586</v>
      </c>
      <c r="C51" s="3" t="s">
        <v>457</v>
      </c>
    </row>
    <row r="52" spans="1:36" x14ac:dyDescent="0.25">
      <c r="A52" s="3" t="s">
        <v>753</v>
      </c>
      <c r="B52" s="3" t="s">
        <v>1930</v>
      </c>
      <c r="C52" s="3" t="s">
        <v>2256</v>
      </c>
    </row>
    <row r="53" spans="1:36" x14ac:dyDescent="0.25">
      <c r="A53" s="3" t="s">
        <v>753</v>
      </c>
      <c r="B53" s="3" t="s">
        <v>587</v>
      </c>
      <c r="C53" s="3" t="s">
        <v>789</v>
      </c>
    </row>
    <row r="54" spans="1:36" x14ac:dyDescent="0.25">
      <c r="A54" s="3" t="s">
        <v>750</v>
      </c>
      <c r="B54" s="3" t="s">
        <v>692</v>
      </c>
      <c r="C54" s="3" t="s">
        <v>2257</v>
      </c>
    </row>
    <row r="55" spans="1:36" x14ac:dyDescent="0.25">
      <c r="A55" s="3" t="s">
        <v>753</v>
      </c>
      <c r="B55" s="3" t="s">
        <v>693</v>
      </c>
      <c r="C55" s="3" t="s">
        <v>790</v>
      </c>
    </row>
    <row r="56" spans="1:36" x14ac:dyDescent="0.25">
      <c r="A56" s="3" t="s">
        <v>753</v>
      </c>
      <c r="B56" s="3" t="s">
        <v>591</v>
      </c>
      <c r="C56" s="3" t="s">
        <v>791</v>
      </c>
    </row>
    <row r="57" spans="1:36" x14ac:dyDescent="0.25">
      <c r="A57" s="3" t="s">
        <v>753</v>
      </c>
      <c r="B57" s="3" t="s">
        <v>370</v>
      </c>
      <c r="C57" s="3" t="s">
        <v>792</v>
      </c>
    </row>
    <row r="58" spans="1:36" x14ac:dyDescent="0.25">
      <c r="A58" s="3" t="s">
        <v>793</v>
      </c>
      <c r="B58" s="3" t="s">
        <v>593</v>
      </c>
      <c r="C58" s="3" t="s">
        <v>2258</v>
      </c>
    </row>
  </sheetData>
  <mergeCells count="4">
    <mergeCell ref="A1:C1"/>
    <mergeCell ref="E1:K1"/>
    <mergeCell ref="P1:V1"/>
    <mergeCell ref="AA1:AG1"/>
  </mergeCell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87D1D6-3577-497F-BFCD-37DC30A20610}">
  <sheetPr codeName="Sheet7"/>
  <dimension ref="A1:G49"/>
  <sheetViews>
    <sheetView workbookViewId="0"/>
  </sheetViews>
  <sheetFormatPr defaultRowHeight="15" x14ac:dyDescent="0.25"/>
  <sheetData>
    <row r="1" spans="1:7" x14ac:dyDescent="0.25">
      <c r="A1" t="s">
        <v>24</v>
      </c>
      <c r="C1" t="str">
        <f>_xlfn.LET(_xlpm.v,IFERROR(--C$3:C$49,0),IF(SUMPRODUCT(--(_xlpm.v&lt;&gt;0))=0,"",SUM(_xlpm.v)))</f>
        <v/>
      </c>
      <c r="D1" t="str">
        <f>_xlfn.LET(_xlpm.v,IFERROR(--D$3:D$49,0),IF(SUMPRODUCT(--(_xlpm.v&lt;&gt;0))=0,"",SUM(_xlpm.v)))</f>
        <v/>
      </c>
      <c r="E1" t="str">
        <f>_xlfn.LET(_xlpm.v,IFERROR(--E$3:E$49,0),IF(SUMPRODUCT(--(_xlpm.v&lt;&gt;0))=0,"",SUM(_xlpm.v)))</f>
        <v/>
      </c>
      <c r="F1" t="str">
        <f>_xlfn.LET(_xlpm.v,IFERROR(--F$3:F$49,0),IF(SUMPRODUCT(--(_xlpm.v&lt;&gt;0))=0,"",SUM(_xlpm.v)))</f>
        <v/>
      </c>
      <c r="G1" t="str">
        <f>_xlfn.LET(_xlpm.v,IFERROR(--G$3:G$49,0),IF(SUMPRODUCT(--(_xlpm.v&lt;&gt;0))=0,"",SUM(_xlpm.v)))</f>
        <v/>
      </c>
    </row>
    <row r="2" spans="1:7" x14ac:dyDescent="0.25">
      <c r="A2" t="s">
        <v>18</v>
      </c>
      <c r="B2" t="s">
        <v>6</v>
      </c>
      <c r="C2" t="s">
        <v>19</v>
      </c>
      <c r="D2" t="s">
        <v>20</v>
      </c>
      <c r="E2" t="s">
        <v>21</v>
      </c>
      <c r="F2" t="s">
        <v>25</v>
      </c>
      <c r="G2" t="s">
        <v>26</v>
      </c>
    </row>
    <row r="3" spans="1:7" x14ac:dyDescent="0.25">
      <c r="A3">
        <v>1</v>
      </c>
      <c r="B3" t="str">
        <f t="shared" ref="B3:B49" si="0">IF($A3=1,"S"&amp;TEXT(ROW()-2,"00"),"")</f>
        <v>S01</v>
      </c>
      <c r="C3">
        <f t="shared" ref="C3:C49" ca="1" si="1">_xlfn.LET(_xlpm.sh,IFERROR(MID($B3,SEARCH("S",$B3),3),$B3),IF($B3="","",IFERROR(SUMIFS(INDIRECT("'"&amp;_xlpm.sh&amp;"'!N3:N300"),INDIRECT("'"&amp;_xlpm.sh&amp;"'!F3:F300"),"&lt;&gt;",INDIRECT("'"&amp;_xlpm.sh&amp;"'!H3:H300"),"&lt;&gt;"),0)))</f>
        <v>149</v>
      </c>
      <c r="D3">
        <f t="shared" ref="D3:D49" ca="1" si="2">_xlfn.LET(_xlpm.sh,IFERROR(MID($B3,SEARCH("S",$B3),3),$B3),IF($B3="","",IFERROR(SUMIFS(INDIRECT("'"&amp;_xlpm.sh&amp;"'!Y3:Y300"),INDIRECT("'"&amp;_xlpm.sh&amp;"'!Q3:Q300"),"&lt;&gt;",INDIRECT("'"&amp;_xlpm.sh&amp;"'!S3:S300"),"&lt;&gt;"),0)))</f>
        <v>315</v>
      </c>
      <c r="E3">
        <f t="shared" ref="E3:E49" ca="1" si="3">_xlfn.LET(_xlpm.sh,IFERROR(MID($B3,SEARCH("S",$B3),3),$B3),IF($B3="","",IFERROR(SUMIFS(INDIRECT("'"&amp;_xlpm.sh&amp;"'!AJ3:AJ300"),INDIRECT("'"&amp;_xlpm.sh&amp;"'!AB3:AB300"),"&lt;&gt;",INDIRECT("'"&amp;_xlpm.sh&amp;"'!AD3:AD300"),"&lt;&gt;"),0)))</f>
        <v>3800</v>
      </c>
      <c r="F3">
        <f t="shared" ref="F3:F49" ca="1" si="4">IF($B3="","",C3+D3+E3)</f>
        <v>4264</v>
      </c>
      <c r="G3">
        <f t="shared" ref="G3:G49" ca="1" si="5">IF($A3=1,$F3,0)</f>
        <v>4264</v>
      </c>
    </row>
    <row r="4" spans="1:7" x14ac:dyDescent="0.25">
      <c r="A4">
        <v>1</v>
      </c>
      <c r="B4" t="str">
        <f t="shared" si="0"/>
        <v>S02</v>
      </c>
      <c r="C4">
        <f t="shared" ca="1" si="1"/>
        <v>0</v>
      </c>
      <c r="D4">
        <f t="shared" ca="1" si="2"/>
        <v>0</v>
      </c>
      <c r="E4">
        <f t="shared" ca="1" si="3"/>
        <v>0</v>
      </c>
      <c r="F4">
        <f t="shared" ca="1" si="4"/>
        <v>0</v>
      </c>
      <c r="G4">
        <f t="shared" ca="1" si="5"/>
        <v>0</v>
      </c>
    </row>
    <row r="5" spans="1:7" x14ac:dyDescent="0.25">
      <c r="A5">
        <v>1</v>
      </c>
      <c r="B5" t="str">
        <f t="shared" si="0"/>
        <v>S03</v>
      </c>
      <c r="C5">
        <f t="shared" ca="1" si="1"/>
        <v>0</v>
      </c>
      <c r="D5">
        <f t="shared" ca="1" si="2"/>
        <v>2250</v>
      </c>
      <c r="E5">
        <f t="shared" ca="1" si="3"/>
        <v>0</v>
      </c>
      <c r="F5">
        <f t="shared" ca="1" si="4"/>
        <v>2250</v>
      </c>
      <c r="G5">
        <f t="shared" ca="1" si="5"/>
        <v>2250</v>
      </c>
    </row>
    <row r="6" spans="1:7" x14ac:dyDescent="0.25">
      <c r="B6" t="str">
        <f t="shared" si="0"/>
        <v/>
      </c>
      <c r="C6" t="str">
        <f t="shared" ca="1" si="1"/>
        <v/>
      </c>
      <c r="D6" t="str">
        <f t="shared" ca="1" si="2"/>
        <v/>
      </c>
      <c r="E6" t="str">
        <f t="shared" ca="1" si="3"/>
        <v/>
      </c>
      <c r="F6" t="str">
        <f t="shared" si="4"/>
        <v/>
      </c>
      <c r="G6">
        <f t="shared" si="5"/>
        <v>0</v>
      </c>
    </row>
    <row r="7" spans="1:7" x14ac:dyDescent="0.25">
      <c r="B7" t="str">
        <f t="shared" si="0"/>
        <v/>
      </c>
      <c r="C7" t="str">
        <f t="shared" ca="1" si="1"/>
        <v/>
      </c>
      <c r="D7" t="str">
        <f t="shared" ca="1" si="2"/>
        <v/>
      </c>
      <c r="E7" t="str">
        <f t="shared" ca="1" si="3"/>
        <v/>
      </c>
      <c r="F7" t="str">
        <f t="shared" si="4"/>
        <v/>
      </c>
      <c r="G7">
        <f t="shared" si="5"/>
        <v>0</v>
      </c>
    </row>
    <row r="8" spans="1:7" x14ac:dyDescent="0.25">
      <c r="B8" t="str">
        <f t="shared" si="0"/>
        <v/>
      </c>
      <c r="C8" t="str">
        <f t="shared" ca="1" si="1"/>
        <v/>
      </c>
      <c r="D8" t="str">
        <f t="shared" ca="1" si="2"/>
        <v/>
      </c>
      <c r="E8" t="str">
        <f t="shared" ca="1" si="3"/>
        <v/>
      </c>
      <c r="F8" t="str">
        <f t="shared" si="4"/>
        <v/>
      </c>
      <c r="G8">
        <f t="shared" si="5"/>
        <v>0</v>
      </c>
    </row>
    <row r="9" spans="1:7" x14ac:dyDescent="0.25">
      <c r="B9" t="str">
        <f t="shared" si="0"/>
        <v/>
      </c>
      <c r="C9" t="str">
        <f t="shared" ca="1" si="1"/>
        <v/>
      </c>
      <c r="D9" t="str">
        <f t="shared" ca="1" si="2"/>
        <v/>
      </c>
      <c r="E9" t="str">
        <f t="shared" ca="1" si="3"/>
        <v/>
      </c>
      <c r="F9" t="str">
        <f t="shared" si="4"/>
        <v/>
      </c>
      <c r="G9">
        <f t="shared" si="5"/>
        <v>0</v>
      </c>
    </row>
    <row r="10" spans="1:7" x14ac:dyDescent="0.25">
      <c r="B10" t="str">
        <f t="shared" si="0"/>
        <v/>
      </c>
      <c r="C10" t="str">
        <f t="shared" ca="1" si="1"/>
        <v/>
      </c>
      <c r="D10" t="str">
        <f t="shared" ca="1" si="2"/>
        <v/>
      </c>
      <c r="E10" t="str">
        <f t="shared" ca="1" si="3"/>
        <v/>
      </c>
      <c r="F10" t="str">
        <f t="shared" si="4"/>
        <v/>
      </c>
      <c r="G10">
        <f t="shared" si="5"/>
        <v>0</v>
      </c>
    </row>
    <row r="11" spans="1:7" x14ac:dyDescent="0.25">
      <c r="B11" t="str">
        <f t="shared" si="0"/>
        <v/>
      </c>
      <c r="C11" t="str">
        <f t="shared" ca="1" si="1"/>
        <v/>
      </c>
      <c r="D11" t="str">
        <f t="shared" ca="1" si="2"/>
        <v/>
      </c>
      <c r="E11" t="str">
        <f t="shared" ca="1" si="3"/>
        <v/>
      </c>
      <c r="F11" t="str">
        <f t="shared" si="4"/>
        <v/>
      </c>
      <c r="G11">
        <f t="shared" si="5"/>
        <v>0</v>
      </c>
    </row>
    <row r="12" spans="1:7" x14ac:dyDescent="0.25">
      <c r="B12" t="str">
        <f t="shared" si="0"/>
        <v/>
      </c>
      <c r="C12" t="str">
        <f t="shared" ca="1" si="1"/>
        <v/>
      </c>
      <c r="D12" t="str">
        <f t="shared" ca="1" si="2"/>
        <v/>
      </c>
      <c r="E12" t="str">
        <f t="shared" ca="1" si="3"/>
        <v/>
      </c>
      <c r="F12" t="str">
        <f t="shared" si="4"/>
        <v/>
      </c>
      <c r="G12">
        <f t="shared" si="5"/>
        <v>0</v>
      </c>
    </row>
    <row r="13" spans="1:7" x14ac:dyDescent="0.25">
      <c r="B13" t="str">
        <f t="shared" si="0"/>
        <v/>
      </c>
      <c r="C13" t="str">
        <f t="shared" ca="1" si="1"/>
        <v/>
      </c>
      <c r="D13" t="str">
        <f t="shared" ca="1" si="2"/>
        <v/>
      </c>
      <c r="E13" t="str">
        <f t="shared" ca="1" si="3"/>
        <v/>
      </c>
      <c r="F13" t="str">
        <f t="shared" si="4"/>
        <v/>
      </c>
      <c r="G13">
        <f t="shared" si="5"/>
        <v>0</v>
      </c>
    </row>
    <row r="14" spans="1:7" x14ac:dyDescent="0.25">
      <c r="B14" t="str">
        <f t="shared" si="0"/>
        <v/>
      </c>
      <c r="C14" t="str">
        <f t="shared" ca="1" si="1"/>
        <v/>
      </c>
      <c r="D14" t="str">
        <f t="shared" ca="1" si="2"/>
        <v/>
      </c>
      <c r="E14" t="str">
        <f t="shared" ca="1" si="3"/>
        <v/>
      </c>
      <c r="F14" t="str">
        <f t="shared" si="4"/>
        <v/>
      </c>
      <c r="G14">
        <f t="shared" si="5"/>
        <v>0</v>
      </c>
    </row>
    <row r="15" spans="1:7" x14ac:dyDescent="0.25">
      <c r="B15" t="str">
        <f t="shared" si="0"/>
        <v/>
      </c>
      <c r="C15" t="str">
        <f t="shared" ca="1" si="1"/>
        <v/>
      </c>
      <c r="D15" t="str">
        <f t="shared" ca="1" si="2"/>
        <v/>
      </c>
      <c r="E15" t="str">
        <f t="shared" ca="1" si="3"/>
        <v/>
      </c>
      <c r="F15" t="str">
        <f t="shared" si="4"/>
        <v/>
      </c>
      <c r="G15">
        <f t="shared" si="5"/>
        <v>0</v>
      </c>
    </row>
    <row r="16" spans="1:7" x14ac:dyDescent="0.25">
      <c r="B16" t="str">
        <f t="shared" si="0"/>
        <v/>
      </c>
      <c r="C16" t="str">
        <f t="shared" ca="1" si="1"/>
        <v/>
      </c>
      <c r="D16" t="str">
        <f t="shared" ca="1" si="2"/>
        <v/>
      </c>
      <c r="E16" t="str">
        <f t="shared" ca="1" si="3"/>
        <v/>
      </c>
      <c r="F16" t="str">
        <f t="shared" si="4"/>
        <v/>
      </c>
      <c r="G16">
        <f t="shared" si="5"/>
        <v>0</v>
      </c>
    </row>
    <row r="17" spans="2:7" x14ac:dyDescent="0.25">
      <c r="B17" t="str">
        <f t="shared" si="0"/>
        <v/>
      </c>
      <c r="C17" t="str">
        <f t="shared" ca="1" si="1"/>
        <v/>
      </c>
      <c r="D17" t="str">
        <f t="shared" ca="1" si="2"/>
        <v/>
      </c>
      <c r="E17" t="str">
        <f t="shared" ca="1" si="3"/>
        <v/>
      </c>
      <c r="F17" t="str">
        <f t="shared" si="4"/>
        <v/>
      </c>
      <c r="G17">
        <f t="shared" si="5"/>
        <v>0</v>
      </c>
    </row>
    <row r="18" spans="2:7" x14ac:dyDescent="0.25">
      <c r="B18" t="str">
        <f t="shared" si="0"/>
        <v/>
      </c>
      <c r="C18" t="str">
        <f t="shared" ca="1" si="1"/>
        <v/>
      </c>
      <c r="D18" t="str">
        <f t="shared" ca="1" si="2"/>
        <v/>
      </c>
      <c r="E18" t="str">
        <f t="shared" ca="1" si="3"/>
        <v/>
      </c>
      <c r="F18" t="str">
        <f t="shared" si="4"/>
        <v/>
      </c>
      <c r="G18">
        <f t="shared" si="5"/>
        <v>0</v>
      </c>
    </row>
    <row r="19" spans="2:7" x14ac:dyDescent="0.25">
      <c r="B19" t="str">
        <f t="shared" si="0"/>
        <v/>
      </c>
      <c r="C19" t="str">
        <f t="shared" ca="1" si="1"/>
        <v/>
      </c>
      <c r="D19" t="str">
        <f t="shared" ca="1" si="2"/>
        <v/>
      </c>
      <c r="E19" t="str">
        <f t="shared" ca="1" si="3"/>
        <v/>
      </c>
      <c r="F19" t="str">
        <f t="shared" si="4"/>
        <v/>
      </c>
      <c r="G19">
        <f t="shared" si="5"/>
        <v>0</v>
      </c>
    </row>
    <row r="20" spans="2:7" x14ac:dyDescent="0.25">
      <c r="B20" t="str">
        <f t="shared" si="0"/>
        <v/>
      </c>
      <c r="C20" t="str">
        <f t="shared" ca="1" si="1"/>
        <v/>
      </c>
      <c r="D20" t="str">
        <f t="shared" ca="1" si="2"/>
        <v/>
      </c>
      <c r="E20" t="str">
        <f t="shared" ca="1" si="3"/>
        <v/>
      </c>
      <c r="F20" t="str">
        <f t="shared" si="4"/>
        <v/>
      </c>
      <c r="G20">
        <f t="shared" si="5"/>
        <v>0</v>
      </c>
    </row>
    <row r="21" spans="2:7" x14ac:dyDescent="0.25">
      <c r="B21" t="str">
        <f t="shared" si="0"/>
        <v/>
      </c>
      <c r="C21" t="str">
        <f t="shared" ca="1" si="1"/>
        <v/>
      </c>
      <c r="D21" t="str">
        <f t="shared" ca="1" si="2"/>
        <v/>
      </c>
      <c r="E21" t="str">
        <f t="shared" ca="1" si="3"/>
        <v/>
      </c>
      <c r="F21" t="str">
        <f t="shared" si="4"/>
        <v/>
      </c>
      <c r="G21">
        <f t="shared" si="5"/>
        <v>0</v>
      </c>
    </row>
    <row r="22" spans="2:7" x14ac:dyDescent="0.25">
      <c r="B22" t="str">
        <f t="shared" si="0"/>
        <v/>
      </c>
      <c r="C22" t="str">
        <f t="shared" ca="1" si="1"/>
        <v/>
      </c>
      <c r="D22" t="str">
        <f t="shared" ca="1" si="2"/>
        <v/>
      </c>
      <c r="E22" t="str">
        <f t="shared" ca="1" si="3"/>
        <v/>
      </c>
      <c r="F22" t="str">
        <f t="shared" si="4"/>
        <v/>
      </c>
      <c r="G22">
        <f t="shared" si="5"/>
        <v>0</v>
      </c>
    </row>
    <row r="23" spans="2:7" x14ac:dyDescent="0.25">
      <c r="B23" t="str">
        <f t="shared" si="0"/>
        <v/>
      </c>
      <c r="C23" t="str">
        <f t="shared" ca="1" si="1"/>
        <v/>
      </c>
      <c r="D23" t="str">
        <f t="shared" ca="1" si="2"/>
        <v/>
      </c>
      <c r="E23" t="str">
        <f t="shared" ca="1" si="3"/>
        <v/>
      </c>
      <c r="F23" t="str">
        <f t="shared" si="4"/>
        <v/>
      </c>
      <c r="G23">
        <f t="shared" si="5"/>
        <v>0</v>
      </c>
    </row>
    <row r="24" spans="2:7" x14ac:dyDescent="0.25">
      <c r="B24" t="str">
        <f t="shared" si="0"/>
        <v/>
      </c>
      <c r="C24" t="str">
        <f t="shared" ca="1" si="1"/>
        <v/>
      </c>
      <c r="D24" t="str">
        <f t="shared" ca="1" si="2"/>
        <v/>
      </c>
      <c r="E24" t="str">
        <f t="shared" ca="1" si="3"/>
        <v/>
      </c>
      <c r="F24" t="str">
        <f t="shared" si="4"/>
        <v/>
      </c>
      <c r="G24">
        <f t="shared" si="5"/>
        <v>0</v>
      </c>
    </row>
    <row r="25" spans="2:7" x14ac:dyDescent="0.25">
      <c r="B25" t="str">
        <f t="shared" si="0"/>
        <v/>
      </c>
      <c r="C25" t="str">
        <f t="shared" ca="1" si="1"/>
        <v/>
      </c>
      <c r="D25" t="str">
        <f t="shared" ca="1" si="2"/>
        <v/>
      </c>
      <c r="E25" t="str">
        <f t="shared" ca="1" si="3"/>
        <v/>
      </c>
      <c r="F25" t="str">
        <f t="shared" si="4"/>
        <v/>
      </c>
      <c r="G25">
        <f t="shared" si="5"/>
        <v>0</v>
      </c>
    </row>
    <row r="26" spans="2:7" x14ac:dyDescent="0.25">
      <c r="B26" t="str">
        <f t="shared" si="0"/>
        <v/>
      </c>
      <c r="C26" t="str">
        <f t="shared" ca="1" si="1"/>
        <v/>
      </c>
      <c r="D26" t="str">
        <f t="shared" ca="1" si="2"/>
        <v/>
      </c>
      <c r="E26" t="str">
        <f t="shared" ca="1" si="3"/>
        <v/>
      </c>
      <c r="F26" t="str">
        <f t="shared" si="4"/>
        <v/>
      </c>
      <c r="G26">
        <f t="shared" si="5"/>
        <v>0</v>
      </c>
    </row>
    <row r="27" spans="2:7" x14ac:dyDescent="0.25">
      <c r="B27" t="str">
        <f t="shared" si="0"/>
        <v/>
      </c>
      <c r="C27" t="str">
        <f t="shared" ca="1" si="1"/>
        <v/>
      </c>
      <c r="D27" t="str">
        <f t="shared" ca="1" si="2"/>
        <v/>
      </c>
      <c r="E27" t="str">
        <f t="shared" ca="1" si="3"/>
        <v/>
      </c>
      <c r="F27" t="str">
        <f t="shared" si="4"/>
        <v/>
      </c>
      <c r="G27">
        <f t="shared" si="5"/>
        <v>0</v>
      </c>
    </row>
    <row r="28" spans="2:7" x14ac:dyDescent="0.25">
      <c r="B28" t="str">
        <f t="shared" si="0"/>
        <v/>
      </c>
      <c r="C28" t="str">
        <f t="shared" ca="1" si="1"/>
        <v/>
      </c>
      <c r="D28" t="str">
        <f t="shared" ca="1" si="2"/>
        <v/>
      </c>
      <c r="E28" t="str">
        <f t="shared" ca="1" si="3"/>
        <v/>
      </c>
      <c r="F28" t="str">
        <f t="shared" si="4"/>
        <v/>
      </c>
      <c r="G28">
        <f t="shared" si="5"/>
        <v>0</v>
      </c>
    </row>
    <row r="29" spans="2:7" x14ac:dyDescent="0.25">
      <c r="B29" t="str">
        <f t="shared" si="0"/>
        <v/>
      </c>
      <c r="C29" t="str">
        <f t="shared" ca="1" si="1"/>
        <v/>
      </c>
      <c r="D29" t="str">
        <f t="shared" ca="1" si="2"/>
        <v/>
      </c>
      <c r="E29" t="str">
        <f t="shared" ca="1" si="3"/>
        <v/>
      </c>
      <c r="F29" t="str">
        <f t="shared" si="4"/>
        <v/>
      </c>
      <c r="G29">
        <f t="shared" si="5"/>
        <v>0</v>
      </c>
    </row>
    <row r="30" spans="2:7" x14ac:dyDescent="0.25">
      <c r="B30" t="str">
        <f t="shared" si="0"/>
        <v/>
      </c>
      <c r="C30" t="str">
        <f t="shared" ca="1" si="1"/>
        <v/>
      </c>
      <c r="D30" t="str">
        <f t="shared" ca="1" si="2"/>
        <v/>
      </c>
      <c r="E30" t="str">
        <f t="shared" ca="1" si="3"/>
        <v/>
      </c>
      <c r="F30" t="str">
        <f t="shared" si="4"/>
        <v/>
      </c>
      <c r="G30">
        <f t="shared" si="5"/>
        <v>0</v>
      </c>
    </row>
    <row r="31" spans="2:7" x14ac:dyDescent="0.25">
      <c r="B31" t="str">
        <f t="shared" si="0"/>
        <v/>
      </c>
      <c r="C31" t="str">
        <f t="shared" ca="1" si="1"/>
        <v/>
      </c>
      <c r="D31" t="str">
        <f t="shared" ca="1" si="2"/>
        <v/>
      </c>
      <c r="E31" t="str">
        <f t="shared" ca="1" si="3"/>
        <v/>
      </c>
      <c r="F31" t="str">
        <f t="shared" si="4"/>
        <v/>
      </c>
      <c r="G31">
        <f t="shared" si="5"/>
        <v>0</v>
      </c>
    </row>
    <row r="32" spans="2:7" x14ac:dyDescent="0.25">
      <c r="B32" t="str">
        <f t="shared" si="0"/>
        <v/>
      </c>
      <c r="C32" t="str">
        <f t="shared" ca="1" si="1"/>
        <v/>
      </c>
      <c r="D32" t="str">
        <f t="shared" ca="1" si="2"/>
        <v/>
      </c>
      <c r="E32" t="str">
        <f t="shared" ca="1" si="3"/>
        <v/>
      </c>
      <c r="F32" t="str">
        <f t="shared" si="4"/>
        <v/>
      </c>
      <c r="G32">
        <f t="shared" si="5"/>
        <v>0</v>
      </c>
    </row>
    <row r="33" spans="2:7" x14ac:dyDescent="0.25">
      <c r="B33" t="str">
        <f t="shared" si="0"/>
        <v/>
      </c>
      <c r="C33" t="str">
        <f t="shared" ca="1" si="1"/>
        <v/>
      </c>
      <c r="D33" t="str">
        <f t="shared" ca="1" si="2"/>
        <v/>
      </c>
      <c r="E33" t="str">
        <f t="shared" ca="1" si="3"/>
        <v/>
      </c>
      <c r="F33" t="str">
        <f t="shared" si="4"/>
        <v/>
      </c>
      <c r="G33">
        <f t="shared" si="5"/>
        <v>0</v>
      </c>
    </row>
    <row r="34" spans="2:7" x14ac:dyDescent="0.25">
      <c r="B34" t="str">
        <f t="shared" si="0"/>
        <v/>
      </c>
      <c r="C34" t="str">
        <f t="shared" ca="1" si="1"/>
        <v/>
      </c>
      <c r="D34" t="str">
        <f t="shared" ca="1" si="2"/>
        <v/>
      </c>
      <c r="E34" t="str">
        <f t="shared" ca="1" si="3"/>
        <v/>
      </c>
      <c r="F34" t="str">
        <f t="shared" si="4"/>
        <v/>
      </c>
      <c r="G34">
        <f t="shared" si="5"/>
        <v>0</v>
      </c>
    </row>
    <row r="35" spans="2:7" x14ac:dyDescent="0.25">
      <c r="B35" t="str">
        <f t="shared" si="0"/>
        <v/>
      </c>
      <c r="C35" t="str">
        <f t="shared" ca="1" si="1"/>
        <v/>
      </c>
      <c r="D35" t="str">
        <f t="shared" ca="1" si="2"/>
        <v/>
      </c>
      <c r="E35" t="str">
        <f t="shared" ca="1" si="3"/>
        <v/>
      </c>
      <c r="F35" t="str">
        <f t="shared" si="4"/>
        <v/>
      </c>
      <c r="G35">
        <f t="shared" si="5"/>
        <v>0</v>
      </c>
    </row>
    <row r="36" spans="2:7" x14ac:dyDescent="0.25">
      <c r="B36" t="str">
        <f t="shared" si="0"/>
        <v/>
      </c>
      <c r="C36" t="str">
        <f t="shared" ca="1" si="1"/>
        <v/>
      </c>
      <c r="D36" t="str">
        <f t="shared" ca="1" si="2"/>
        <v/>
      </c>
      <c r="E36" t="str">
        <f t="shared" ca="1" si="3"/>
        <v/>
      </c>
      <c r="F36" t="str">
        <f t="shared" si="4"/>
        <v/>
      </c>
      <c r="G36">
        <f t="shared" si="5"/>
        <v>0</v>
      </c>
    </row>
    <row r="37" spans="2:7" x14ac:dyDescent="0.25">
      <c r="B37" t="str">
        <f t="shared" si="0"/>
        <v/>
      </c>
      <c r="C37" t="str">
        <f t="shared" ca="1" si="1"/>
        <v/>
      </c>
      <c r="D37" t="str">
        <f t="shared" ca="1" si="2"/>
        <v/>
      </c>
      <c r="E37" t="str">
        <f t="shared" ca="1" si="3"/>
        <v/>
      </c>
      <c r="F37" t="str">
        <f t="shared" si="4"/>
        <v/>
      </c>
      <c r="G37">
        <f t="shared" si="5"/>
        <v>0</v>
      </c>
    </row>
    <row r="38" spans="2:7" x14ac:dyDescent="0.25">
      <c r="B38" t="str">
        <f t="shared" si="0"/>
        <v/>
      </c>
      <c r="C38" t="str">
        <f t="shared" ca="1" si="1"/>
        <v/>
      </c>
      <c r="D38" t="str">
        <f t="shared" ca="1" si="2"/>
        <v/>
      </c>
      <c r="E38" t="str">
        <f t="shared" ca="1" si="3"/>
        <v/>
      </c>
      <c r="F38" t="str">
        <f t="shared" si="4"/>
        <v/>
      </c>
      <c r="G38">
        <f t="shared" si="5"/>
        <v>0</v>
      </c>
    </row>
    <row r="39" spans="2:7" x14ac:dyDescent="0.25">
      <c r="B39" t="str">
        <f t="shared" si="0"/>
        <v/>
      </c>
      <c r="C39" t="str">
        <f t="shared" ca="1" si="1"/>
        <v/>
      </c>
      <c r="D39" t="str">
        <f t="shared" ca="1" si="2"/>
        <v/>
      </c>
      <c r="E39" t="str">
        <f t="shared" ca="1" si="3"/>
        <v/>
      </c>
      <c r="F39" t="str">
        <f t="shared" si="4"/>
        <v/>
      </c>
      <c r="G39">
        <f t="shared" si="5"/>
        <v>0</v>
      </c>
    </row>
    <row r="40" spans="2:7" x14ac:dyDescent="0.25">
      <c r="B40" t="str">
        <f t="shared" si="0"/>
        <v/>
      </c>
      <c r="C40" t="str">
        <f t="shared" ca="1" si="1"/>
        <v/>
      </c>
      <c r="D40" t="str">
        <f t="shared" ca="1" si="2"/>
        <v/>
      </c>
      <c r="E40" t="str">
        <f t="shared" ca="1" si="3"/>
        <v/>
      </c>
      <c r="F40" t="str">
        <f t="shared" si="4"/>
        <v/>
      </c>
      <c r="G40">
        <f t="shared" si="5"/>
        <v>0</v>
      </c>
    </row>
    <row r="41" spans="2:7" x14ac:dyDescent="0.25">
      <c r="B41" t="str">
        <f t="shared" si="0"/>
        <v/>
      </c>
      <c r="C41" t="str">
        <f t="shared" ca="1" si="1"/>
        <v/>
      </c>
      <c r="D41" t="str">
        <f t="shared" ca="1" si="2"/>
        <v/>
      </c>
      <c r="E41" t="str">
        <f t="shared" ca="1" si="3"/>
        <v/>
      </c>
      <c r="F41" t="str">
        <f t="shared" si="4"/>
        <v/>
      </c>
      <c r="G41">
        <f t="shared" si="5"/>
        <v>0</v>
      </c>
    </row>
    <row r="42" spans="2:7" x14ac:dyDescent="0.25">
      <c r="B42" t="str">
        <f t="shared" si="0"/>
        <v/>
      </c>
      <c r="C42" t="str">
        <f t="shared" ca="1" si="1"/>
        <v/>
      </c>
      <c r="D42" t="str">
        <f t="shared" ca="1" si="2"/>
        <v/>
      </c>
      <c r="E42" t="str">
        <f t="shared" ca="1" si="3"/>
        <v/>
      </c>
      <c r="F42" t="str">
        <f t="shared" si="4"/>
        <v/>
      </c>
      <c r="G42">
        <f t="shared" si="5"/>
        <v>0</v>
      </c>
    </row>
    <row r="43" spans="2:7" x14ac:dyDescent="0.25">
      <c r="B43" t="str">
        <f t="shared" si="0"/>
        <v/>
      </c>
      <c r="C43" t="str">
        <f t="shared" ca="1" si="1"/>
        <v/>
      </c>
      <c r="D43" t="str">
        <f t="shared" ca="1" si="2"/>
        <v/>
      </c>
      <c r="E43" t="str">
        <f t="shared" ca="1" si="3"/>
        <v/>
      </c>
      <c r="F43" t="str">
        <f t="shared" si="4"/>
        <v/>
      </c>
      <c r="G43">
        <f t="shared" si="5"/>
        <v>0</v>
      </c>
    </row>
    <row r="44" spans="2:7" x14ac:dyDescent="0.25">
      <c r="B44" t="str">
        <f t="shared" si="0"/>
        <v/>
      </c>
      <c r="C44" t="str">
        <f t="shared" ca="1" si="1"/>
        <v/>
      </c>
      <c r="D44" t="str">
        <f t="shared" ca="1" si="2"/>
        <v/>
      </c>
      <c r="E44" t="str">
        <f t="shared" ca="1" si="3"/>
        <v/>
      </c>
      <c r="F44" t="str">
        <f t="shared" si="4"/>
        <v/>
      </c>
      <c r="G44">
        <f t="shared" si="5"/>
        <v>0</v>
      </c>
    </row>
    <row r="45" spans="2:7" x14ac:dyDescent="0.25">
      <c r="B45" t="str">
        <f t="shared" si="0"/>
        <v/>
      </c>
      <c r="C45" t="str">
        <f t="shared" ca="1" si="1"/>
        <v/>
      </c>
      <c r="D45" t="str">
        <f t="shared" ca="1" si="2"/>
        <v/>
      </c>
      <c r="E45" t="str">
        <f t="shared" ca="1" si="3"/>
        <v/>
      </c>
      <c r="F45" t="str">
        <f t="shared" si="4"/>
        <v/>
      </c>
      <c r="G45">
        <f t="shared" si="5"/>
        <v>0</v>
      </c>
    </row>
    <row r="46" spans="2:7" x14ac:dyDescent="0.25">
      <c r="B46" t="str">
        <f t="shared" si="0"/>
        <v/>
      </c>
      <c r="C46" t="str">
        <f t="shared" ca="1" si="1"/>
        <v/>
      </c>
      <c r="D46" t="str">
        <f t="shared" ca="1" si="2"/>
        <v/>
      </c>
      <c r="E46" t="str">
        <f t="shared" ca="1" si="3"/>
        <v/>
      </c>
      <c r="F46" t="str">
        <f t="shared" si="4"/>
        <v/>
      </c>
      <c r="G46">
        <f t="shared" si="5"/>
        <v>0</v>
      </c>
    </row>
    <row r="47" spans="2:7" x14ac:dyDescent="0.25">
      <c r="B47" t="str">
        <f t="shared" si="0"/>
        <v/>
      </c>
      <c r="C47" t="str">
        <f t="shared" ca="1" si="1"/>
        <v/>
      </c>
      <c r="D47" t="str">
        <f t="shared" ca="1" si="2"/>
        <v/>
      </c>
      <c r="E47" t="str">
        <f t="shared" ca="1" si="3"/>
        <v/>
      </c>
      <c r="F47" t="str">
        <f t="shared" si="4"/>
        <v/>
      </c>
      <c r="G47">
        <f t="shared" si="5"/>
        <v>0</v>
      </c>
    </row>
    <row r="48" spans="2:7" x14ac:dyDescent="0.25">
      <c r="B48" t="str">
        <f t="shared" si="0"/>
        <v/>
      </c>
      <c r="C48" t="str">
        <f t="shared" ca="1" si="1"/>
        <v/>
      </c>
      <c r="D48" t="str">
        <f t="shared" ca="1" si="2"/>
        <v/>
      </c>
      <c r="E48" t="str">
        <f t="shared" ca="1" si="3"/>
        <v/>
      </c>
      <c r="F48" t="str">
        <f t="shared" si="4"/>
        <v/>
      </c>
      <c r="G48">
        <f t="shared" si="5"/>
        <v>0</v>
      </c>
    </row>
    <row r="49" spans="2:7" x14ac:dyDescent="0.25">
      <c r="B49" t="str">
        <f t="shared" si="0"/>
        <v/>
      </c>
      <c r="C49" t="str">
        <f t="shared" ca="1" si="1"/>
        <v/>
      </c>
      <c r="D49" t="str">
        <f t="shared" ca="1" si="2"/>
        <v/>
      </c>
      <c r="E49" t="str">
        <f t="shared" ca="1" si="3"/>
        <v/>
      </c>
      <c r="F49" t="str">
        <f t="shared" si="4"/>
        <v/>
      </c>
      <c r="G49">
        <f t="shared" si="5"/>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23</vt:i4>
      </vt:variant>
    </vt:vector>
  </HeadingPairs>
  <TitlesOfParts>
    <vt:vector size="23" baseType="lpstr">
      <vt:lpstr>SummaryHelper</vt:lpstr>
      <vt:lpstr>Button</vt:lpstr>
      <vt:lpstr>README</vt:lpstr>
      <vt:lpstr>Search</vt:lpstr>
      <vt:lpstr>Purchase</vt:lpstr>
      <vt:lpstr>Summary</vt:lpstr>
      <vt:lpstr>S01</vt:lpstr>
      <vt:lpstr>S02</vt:lpstr>
      <vt:lpstr>S03</vt:lpstr>
      <vt:lpstr>S04</vt:lpstr>
      <vt:lpstr>S05</vt:lpstr>
      <vt:lpstr>S06</vt:lpstr>
      <vt:lpstr>S07</vt:lpstr>
      <vt:lpstr>S08</vt:lpstr>
      <vt:lpstr>S09</vt:lpstr>
      <vt:lpstr>S10</vt:lpstr>
      <vt:lpstr>S11</vt:lpstr>
      <vt:lpstr>S12</vt:lpstr>
      <vt:lpstr>S13</vt:lpstr>
      <vt:lpstr>S14</vt:lpstr>
      <vt:lpstr>S15</vt:lpstr>
      <vt:lpstr>S16</vt:lpstr>
      <vt:lpstr>S17</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 Din</dc:creator>
  <cp:lastModifiedBy>Pa` Din</cp:lastModifiedBy>
  <dcterms:created xsi:type="dcterms:W3CDTF">2015-06-05T18:17:20Z</dcterms:created>
  <dcterms:modified xsi:type="dcterms:W3CDTF">2026-03-31T20:05:47Z</dcterms:modified>
</cp:coreProperties>
</file>