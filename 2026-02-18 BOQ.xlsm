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DATA HARGA MATERIAL\"/>
    </mc:Choice>
  </mc:AlternateContent>
  <xr:revisionPtr revIDLastSave="0" documentId="13_ncr:1_{E2F0CD78-DCF9-4999-833C-4A226CFAEB68}" xr6:coauthVersionLast="47" xr6:coauthVersionMax="47" xr10:uidLastSave="{00000000-0000-0000-0000-000000000000}"/>
  <bookViews>
    <workbookView xWindow="59160" yWindow="1965" windowWidth="21600" windowHeight="11385" firstSheet="1" activeTab="6" xr2:uid="{00000000-000D-0000-FFFF-FFFF00000000}"/>
  </bookViews>
  <sheets>
    <sheet name="PurchaseBAK" sheetId="25" state="hidden" r:id="rId1"/>
    <sheet name="Button" sheetId="28" r:id="rId2"/>
    <sheet name="README" sheetId="16" r:id="rId3"/>
    <sheet name="Search" sheetId="24" r:id="rId4"/>
    <sheet name="Purchase" sheetId="23" r:id="rId5"/>
    <sheet name="Summary" sheetId="12" r:id="rId6"/>
    <sheet name="S01" sheetId="21" r:id="rId7"/>
    <sheet name="_SummaryBackup" sheetId="29" state="veryHidden" r:id="rId8"/>
  </sheets>
  <definedNames>
    <definedName name="_xlpm.all" hidden="1" xlm="1">#NAME?</definedName>
    <definedName name="_xlpm.b" hidden="1" xlm="1">#NAME?</definedName>
    <definedName name="_xlpm.base" hidden="1" xlm="1">#NAME?</definedName>
    <definedName name="_xlpm.blk" hidden="1" xlm="1">#NAME?</definedName>
    <definedName name="_xlpm.c" hidden="1" xlm="1">#NAME?</definedName>
    <definedName name="_xlpm.cat" hidden="1" xlm="1">#NAME?</definedName>
    <definedName name="_xlpm.cols" hidden="1" xlm="1">#NAME?</definedName>
    <definedName name="_xlpm.cond" hidden="1" xlm="1">#NAME?</definedName>
    <definedName name="_xlpm.data" hidden="1" xlm="1">#NAME?</definedName>
    <definedName name="_xlpm.desc" hidden="1" xlm="1">#NAME?</definedName>
    <definedName name="_xlpm.descAll" hidden="1" xlm="1">#NAME?</definedName>
    <definedName name="_xlpm.f" hidden="1" xlm="1">#NAME?</definedName>
    <definedName name="_xlpm.filtered" hidden="1" xlm="1">#NAME?</definedName>
    <definedName name="_xlpm.header" hidden="1" xlm="1">#NAME?</definedName>
    <definedName name="_xlpm.i" hidden="1" xlm="1">#NAME?</definedName>
    <definedName name="_xlpm.idx" hidden="1" xlm="1">#NAME?</definedName>
    <definedName name="_xlpm.idxIn" hidden="1" xlm="1">#NAME?</definedName>
    <definedName name="_xlpm.inc" hidden="1" xlm="1">#NAME?</definedName>
    <definedName name="_xlpm.incVec" hidden="1" xlm="1">#NAME?</definedName>
    <definedName name="_xlpm.k" hidden="1" xlm="1">#NAME?</definedName>
    <definedName name="_xlpm.lab" hidden="1" xlm="1">#NAME?</definedName>
    <definedName name="_xlpm.mat" hidden="1" xlm="1">#NAME?</definedName>
    <definedName name="_xlpm.maxScopes" hidden="1" xlm="1">#NAME?</definedName>
    <definedName name="_xlpm.mn" hidden="1" xlm="1">#NAME?</definedName>
    <definedName name="_xlpm.mx" hidden="1" xlm="1">#NAME?</definedName>
    <definedName name="_xlpm.n" hidden="1" xlm="1">#NAME?</definedName>
    <definedName name="_xlpm.oq" hidden="1" xlm="1">#NAME?</definedName>
    <definedName name="_xlpm.orate" hidden="1" xlm="1">#NAME?</definedName>
    <definedName name="_xlpm.out" hidden="1" xlm="1">#NAME?</definedName>
    <definedName name="_xlpm.perSheet" hidden="1" xlm="1">#NAME?</definedName>
    <definedName name="_xlpm.ps" hidden="1" xlm="1">#NAME?</definedName>
    <definedName name="_xlpm.pu" hidden="1" xlm="1">#NAME?</definedName>
    <definedName name="_xlpm.r" hidden="1" xlm="1">#NAME?</definedName>
    <definedName name="_xlpm.rate" hidden="1" xlm="1">#NAME?</definedName>
    <definedName name="_xlpm.rateAll" hidden="1" xlm="1">#NAME?</definedName>
    <definedName name="_xlpm.raw" hidden="1" xlm="1">#NAME?</definedName>
    <definedName name="_xlpm.rows" hidden="1" xlm="1">#NAME?</definedName>
    <definedName name="_xlpm.rowsPerScope" hidden="1" xlm="1">#NAME?</definedName>
    <definedName name="_xlpm.sh" hidden="1" xlm="1">#NAME?</definedName>
    <definedName name="_xlpm.sheetCol" hidden="1" xlm="1">#NAME?</definedName>
    <definedName name="_xlpm.sheets" hidden="1" xlm="1">#NAME?</definedName>
    <definedName name="_xlpm.shIdx" hidden="1" xlm="1">#NAME?</definedName>
    <definedName name="_xlpm.spec" hidden="1" xlm="1">#NAME?</definedName>
    <definedName name="_xlpm.specAll" hidden="1" xlm="1">#NAME?</definedName>
    <definedName name="_xlpm.svc" hidden="1" xlm="1">#NAME?</definedName>
    <definedName name="_xlpm.tbl" hidden="1" xlm="1">#NAME?</definedName>
    <definedName name="_xlpm.tot" hidden="1" xlm="1">#NAME?</definedName>
    <definedName name="_xlpm.total" hidden="1" xlm="1">#NAME?</definedName>
    <definedName name="_xlpm.totAll" hidden="1" xlm="1">#NAME?</definedName>
    <definedName name="_xlpm.totalRows" hidden="1" xlm="1">#NAME?</definedName>
    <definedName name="_xlpm.uom" hidden="1" xlm="1">#NAME?</definedName>
    <definedName name="_xlpm.uomAll" hidden="1" xlm="1">#NAME?</definedName>
    <definedName name="_xlpm.usage" hidden="1" xlm="1">#NAME?</definedName>
    <definedName name="_xlpm.usageAll" hidden="1" xlm="1">#NAME?</definedName>
    <definedName name="_xlpm.usepw" hidden="1" xlm="1">#NAME?</definedName>
    <definedName name="_xlpm.useW" hidden="1" xlm="1">#NAME?</definedName>
    <definedName name="_xlpm.useWAll" hidden="1" xlm="1">#NAME?</definedName>
    <definedName name="_xlpm.v" hidden="1" xlm="1">#NAME?</definedName>
    <definedName name="_xlpm.wast" hidden="1" xlm="1">#NAME?</definedName>
    <definedName name="_xlpm.wastAll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2" l="1"/>
  <c r="B5" i="12"/>
  <c r="B6" i="12"/>
  <c r="B7" i="12"/>
  <c r="B8" i="12"/>
  <c r="B9" i="12"/>
  <c r="B10" i="12"/>
  <c r="B11" i="12"/>
  <c r="B12" i="12"/>
  <c r="B13" i="12"/>
  <c r="B14" i="12"/>
  <c r="B3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O49" i="12"/>
  <c r="O50" i="12"/>
  <c r="O51" i="12"/>
  <c r="O52" i="12"/>
  <c r="O53" i="12"/>
  <c r="O54" i="12"/>
  <c r="O55" i="12"/>
  <c r="O56" i="12"/>
  <c r="O57" i="12"/>
  <c r="O58" i="12"/>
  <c r="O59" i="12"/>
  <c r="O60" i="12"/>
  <c r="O61" i="12"/>
  <c r="O62" i="12"/>
  <c r="O63" i="12"/>
  <c r="O64" i="12"/>
  <c r="O65" i="12"/>
  <c r="O66" i="12"/>
  <c r="O67" i="12"/>
  <c r="O68" i="12"/>
  <c r="O69" i="12"/>
  <c r="O70" i="12"/>
  <c r="O71" i="12"/>
  <c r="O72" i="12"/>
  <c r="O73" i="12"/>
  <c r="O74" i="12"/>
  <c r="O75" i="12"/>
  <c r="O76" i="12"/>
  <c r="O77" i="12"/>
  <c r="O78" i="12"/>
  <c r="O79" i="12"/>
  <c r="O80" i="12"/>
  <c r="O81" i="12"/>
  <c r="O82" i="12"/>
  <c r="O83" i="12"/>
  <c r="O84" i="12"/>
  <c r="O85" i="12"/>
  <c r="O86" i="12"/>
  <c r="O87" i="12"/>
  <c r="O88" i="12"/>
  <c r="O89" i="12"/>
  <c r="O90" i="12"/>
  <c r="O91" i="12"/>
  <c r="O92" i="12"/>
  <c r="O93" i="12"/>
  <c r="O94" i="12"/>
  <c r="O95" i="12"/>
  <c r="O96" i="12"/>
  <c r="O97" i="12"/>
  <c r="O98" i="12"/>
  <c r="O99" i="12"/>
  <c r="O100" i="12"/>
  <c r="O101" i="12"/>
  <c r="O102" i="12"/>
  <c r="O103" i="12"/>
  <c r="O104" i="12"/>
  <c r="O105" i="12"/>
  <c r="O106" i="12"/>
  <c r="O107" i="12"/>
  <c r="O108" i="12"/>
  <c r="O109" i="12"/>
  <c r="O110" i="12"/>
  <c r="O111" i="12"/>
  <c r="O112" i="12"/>
  <c r="O113" i="12"/>
  <c r="O114" i="12"/>
  <c r="O115" i="12"/>
  <c r="O116" i="12"/>
  <c r="O117" i="12"/>
  <c r="O118" i="12"/>
  <c r="O119" i="12"/>
  <c r="O120" i="12"/>
  <c r="O121" i="12"/>
  <c r="O122" i="12"/>
  <c r="O123" i="12"/>
  <c r="O124" i="12"/>
  <c r="O125" i="12"/>
  <c r="O126" i="12"/>
  <c r="O127" i="12"/>
  <c r="O128" i="12"/>
  <c r="O129" i="12"/>
  <c r="O130" i="12"/>
  <c r="O131" i="12"/>
  <c r="O132" i="12"/>
  <c r="O133" i="12"/>
  <c r="O134" i="12"/>
  <c r="O135" i="12"/>
  <c r="O136" i="12"/>
  <c r="O137" i="12"/>
  <c r="O138" i="12"/>
  <c r="O139" i="12"/>
  <c r="O140" i="12"/>
  <c r="O141" i="12"/>
  <c r="O142" i="12"/>
  <c r="O143" i="12"/>
  <c r="O144" i="12"/>
  <c r="O145" i="12"/>
  <c r="O146" i="12"/>
  <c r="O147" i="12"/>
  <c r="O148" i="12"/>
  <c r="O149" i="12"/>
  <c r="O150" i="12"/>
  <c r="O151" i="12"/>
  <c r="O152" i="12"/>
  <c r="O153" i="12"/>
  <c r="O154" i="12"/>
  <c r="O155" i="12"/>
  <c r="O156" i="12"/>
  <c r="O157" i="12"/>
  <c r="O158" i="12"/>
  <c r="O159" i="12"/>
  <c r="O160" i="12"/>
  <c r="O161" i="12"/>
  <c r="O162" i="12"/>
  <c r="O163" i="12"/>
  <c r="O164" i="12"/>
  <c r="O165" i="12"/>
  <c r="O166" i="12"/>
  <c r="O167" i="12"/>
  <c r="O168" i="12"/>
  <c r="O169" i="12"/>
  <c r="O170" i="12"/>
  <c r="O171" i="12"/>
  <c r="O172" i="12"/>
  <c r="O173" i="12"/>
  <c r="O174" i="12"/>
  <c r="O175" i="12"/>
  <c r="O176" i="12"/>
  <c r="O177" i="12"/>
  <c r="O178" i="12"/>
  <c r="O179" i="12"/>
  <c r="O180" i="12"/>
  <c r="O181" i="12"/>
  <c r="O182" i="12"/>
  <c r="O183" i="12"/>
  <c r="O184" i="12"/>
  <c r="O185" i="12"/>
  <c r="O186" i="12"/>
  <c r="O187" i="12"/>
  <c r="O188" i="12"/>
  <c r="O189" i="12"/>
  <c r="O190" i="12"/>
  <c r="O191" i="12"/>
  <c r="O192" i="12"/>
  <c r="O193" i="12"/>
  <c r="O194" i="12"/>
  <c r="O195" i="12"/>
  <c r="O196" i="12"/>
  <c r="O197" i="12"/>
  <c r="O198" i="12"/>
  <c r="O199" i="12"/>
  <c r="O200" i="12"/>
  <c r="N49" i="12"/>
  <c r="N50" i="12"/>
  <c r="N51" i="12"/>
  <c r="N52" i="12"/>
  <c r="N53" i="12"/>
  <c r="N54" i="12"/>
  <c r="N55" i="12"/>
  <c r="N56" i="12"/>
  <c r="N57" i="12"/>
  <c r="N58" i="12"/>
  <c r="N59" i="12"/>
  <c r="N60" i="12"/>
  <c r="N61" i="12"/>
  <c r="N62" i="12"/>
  <c r="N63" i="12"/>
  <c r="N64" i="12"/>
  <c r="N65" i="12"/>
  <c r="N66" i="12"/>
  <c r="N67" i="12"/>
  <c r="N68" i="12"/>
  <c r="N69" i="12"/>
  <c r="N70" i="12"/>
  <c r="N71" i="12"/>
  <c r="N72" i="12"/>
  <c r="N73" i="12"/>
  <c r="N74" i="12"/>
  <c r="N75" i="12"/>
  <c r="N76" i="12"/>
  <c r="N77" i="12"/>
  <c r="N78" i="12"/>
  <c r="N79" i="12"/>
  <c r="N80" i="12"/>
  <c r="N81" i="12"/>
  <c r="N82" i="12"/>
  <c r="N83" i="12"/>
  <c r="N84" i="12"/>
  <c r="N85" i="12"/>
  <c r="N86" i="12"/>
  <c r="N87" i="12"/>
  <c r="N88" i="12"/>
  <c r="N89" i="12"/>
  <c r="N90" i="12"/>
  <c r="N91" i="12"/>
  <c r="N92" i="12"/>
  <c r="N93" i="12"/>
  <c r="N94" i="12"/>
  <c r="N95" i="12"/>
  <c r="N96" i="12"/>
  <c r="N97" i="12"/>
  <c r="N98" i="12"/>
  <c r="N99" i="12"/>
  <c r="N100" i="12"/>
  <c r="N101" i="12"/>
  <c r="N102" i="12"/>
  <c r="N103" i="12"/>
  <c r="N104" i="12"/>
  <c r="N105" i="12"/>
  <c r="N106" i="12"/>
  <c r="N107" i="12"/>
  <c r="N108" i="12"/>
  <c r="N109" i="12"/>
  <c r="N110" i="12"/>
  <c r="N111" i="12"/>
  <c r="N112" i="12"/>
  <c r="N113" i="12"/>
  <c r="N114" i="12"/>
  <c r="N115" i="12"/>
  <c r="N116" i="12"/>
  <c r="N117" i="12"/>
  <c r="N118" i="12"/>
  <c r="N119" i="12"/>
  <c r="N120" i="12"/>
  <c r="N121" i="12"/>
  <c r="N122" i="12"/>
  <c r="N123" i="12"/>
  <c r="N124" i="12"/>
  <c r="N125" i="12"/>
  <c r="N126" i="12"/>
  <c r="N127" i="12"/>
  <c r="N128" i="12"/>
  <c r="N129" i="12"/>
  <c r="N130" i="12"/>
  <c r="N131" i="12"/>
  <c r="N132" i="12"/>
  <c r="N133" i="12"/>
  <c r="N134" i="12"/>
  <c r="N135" i="12"/>
  <c r="N136" i="12"/>
  <c r="N137" i="12"/>
  <c r="N138" i="12"/>
  <c r="N139" i="12"/>
  <c r="N140" i="12"/>
  <c r="N141" i="12"/>
  <c r="N142" i="12"/>
  <c r="N143" i="12"/>
  <c r="N144" i="12"/>
  <c r="N145" i="12"/>
  <c r="N146" i="12"/>
  <c r="N147" i="12"/>
  <c r="N148" i="12"/>
  <c r="N149" i="12"/>
  <c r="N150" i="12"/>
  <c r="N151" i="12"/>
  <c r="N152" i="12"/>
  <c r="N153" i="12"/>
  <c r="N154" i="12"/>
  <c r="N155" i="12"/>
  <c r="N156" i="12"/>
  <c r="N157" i="12"/>
  <c r="N158" i="12"/>
  <c r="N159" i="12"/>
  <c r="N160" i="12"/>
  <c r="N161" i="12"/>
  <c r="N162" i="12"/>
  <c r="N163" i="12"/>
  <c r="N164" i="12"/>
  <c r="N165" i="12"/>
  <c r="N166" i="12"/>
  <c r="N167" i="12"/>
  <c r="N168" i="12"/>
  <c r="N169" i="12"/>
  <c r="N170" i="12"/>
  <c r="N171" i="12"/>
  <c r="N172" i="12"/>
  <c r="N173" i="12"/>
  <c r="N174" i="12"/>
  <c r="N175" i="12"/>
  <c r="N176" i="12"/>
  <c r="N177" i="12"/>
  <c r="N178" i="12"/>
  <c r="N179" i="12"/>
  <c r="N180" i="12"/>
  <c r="N181" i="12"/>
  <c r="N182" i="12"/>
  <c r="N183" i="12"/>
  <c r="N184" i="12"/>
  <c r="N185" i="12"/>
  <c r="N186" i="12"/>
  <c r="N187" i="12"/>
  <c r="N188" i="12"/>
  <c r="N189" i="12"/>
  <c r="N190" i="12"/>
  <c r="N191" i="12"/>
  <c r="N192" i="12"/>
  <c r="N193" i="12"/>
  <c r="N194" i="12"/>
  <c r="N195" i="12"/>
  <c r="N196" i="12"/>
  <c r="N197" i="12"/>
  <c r="N198" i="12"/>
  <c r="N199" i="12"/>
  <c r="N200" i="12"/>
  <c r="M49" i="12"/>
  <c r="M50" i="12"/>
  <c r="M51" i="12"/>
  <c r="M52" i="12"/>
  <c r="M53" i="12"/>
  <c r="M54" i="12"/>
  <c r="M55" i="12"/>
  <c r="M56" i="12"/>
  <c r="M57" i="12"/>
  <c r="M58" i="12"/>
  <c r="M59" i="12"/>
  <c r="M60" i="12"/>
  <c r="M61" i="12"/>
  <c r="M62" i="12"/>
  <c r="M63" i="12"/>
  <c r="M64" i="12"/>
  <c r="M65" i="12"/>
  <c r="M66" i="12"/>
  <c r="M67" i="12"/>
  <c r="M68" i="12"/>
  <c r="M69" i="12"/>
  <c r="M70" i="12"/>
  <c r="M71" i="12"/>
  <c r="M72" i="12"/>
  <c r="M73" i="12"/>
  <c r="M74" i="12"/>
  <c r="M75" i="12"/>
  <c r="M76" i="12"/>
  <c r="M77" i="12"/>
  <c r="M78" i="12"/>
  <c r="M79" i="12"/>
  <c r="M80" i="12"/>
  <c r="M81" i="12"/>
  <c r="M82" i="12"/>
  <c r="M83" i="12"/>
  <c r="M84" i="12"/>
  <c r="M85" i="12"/>
  <c r="M86" i="12"/>
  <c r="M87" i="12"/>
  <c r="M88" i="12"/>
  <c r="M89" i="12"/>
  <c r="M90" i="12"/>
  <c r="M91" i="12"/>
  <c r="M92" i="12"/>
  <c r="M93" i="12"/>
  <c r="M94" i="12"/>
  <c r="M95" i="12"/>
  <c r="M96" i="12"/>
  <c r="M97" i="12"/>
  <c r="M98" i="12"/>
  <c r="M99" i="12"/>
  <c r="M100" i="12"/>
  <c r="M101" i="12"/>
  <c r="M102" i="12"/>
  <c r="M103" i="12"/>
  <c r="M104" i="12"/>
  <c r="M105" i="12"/>
  <c r="M106" i="12"/>
  <c r="M107" i="12"/>
  <c r="M108" i="12"/>
  <c r="M109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M141" i="12"/>
  <c r="M142" i="12"/>
  <c r="M143" i="12"/>
  <c r="M144" i="12"/>
  <c r="M145" i="12"/>
  <c r="M146" i="12"/>
  <c r="M147" i="12"/>
  <c r="M148" i="12"/>
  <c r="M149" i="12"/>
  <c r="M150" i="12"/>
  <c r="M151" i="12"/>
  <c r="M152" i="12"/>
  <c r="M153" i="12"/>
  <c r="M154" i="12"/>
  <c r="M155" i="12"/>
  <c r="M156" i="12"/>
  <c r="M157" i="12"/>
  <c r="M158" i="12"/>
  <c r="M159" i="12"/>
  <c r="M160" i="12"/>
  <c r="M161" i="12"/>
  <c r="M162" i="12"/>
  <c r="M163" i="12"/>
  <c r="M164" i="12"/>
  <c r="M165" i="12"/>
  <c r="M166" i="12"/>
  <c r="M167" i="12"/>
  <c r="M168" i="12"/>
  <c r="M169" i="12"/>
  <c r="M170" i="12"/>
  <c r="M171" i="12"/>
  <c r="M172" i="12"/>
  <c r="M173" i="12"/>
  <c r="M174" i="12"/>
  <c r="M175" i="12"/>
  <c r="M176" i="12"/>
  <c r="M177" i="12"/>
  <c r="M178" i="12"/>
  <c r="M179" i="12"/>
  <c r="M180" i="12"/>
  <c r="M181" i="12"/>
  <c r="M182" i="12"/>
  <c r="M183" i="12"/>
  <c r="M184" i="12"/>
  <c r="M185" i="12"/>
  <c r="M186" i="12"/>
  <c r="M187" i="12"/>
  <c r="M188" i="12"/>
  <c r="M189" i="12"/>
  <c r="M190" i="12"/>
  <c r="M191" i="12"/>
  <c r="M192" i="12"/>
  <c r="M193" i="12"/>
  <c r="M194" i="12"/>
  <c r="M195" i="12"/>
  <c r="M196" i="12"/>
  <c r="M197" i="12"/>
  <c r="M198" i="12"/>
  <c r="M199" i="12"/>
  <c r="M200" i="12"/>
  <c r="C1" i="29"/>
  <c r="D1" i="29"/>
  <c r="E1" i="29"/>
  <c r="F1" i="29"/>
  <c r="G1" i="29"/>
  <c r="B3" i="29"/>
  <c r="B4" i="29"/>
  <c r="B5" i="29"/>
  <c r="B6" i="29"/>
  <c r="C6" i="29" s="1"/>
  <c r="D6" i="29"/>
  <c r="E6" i="29"/>
  <c r="F6" i="29"/>
  <c r="G6" i="29"/>
  <c r="B7" i="29"/>
  <c r="E7" i="29" s="1"/>
  <c r="C7" i="29"/>
  <c r="D7" i="29"/>
  <c r="G7" i="29"/>
  <c r="B8" i="29"/>
  <c r="C8" i="29"/>
  <c r="D8" i="29"/>
  <c r="E8" i="29"/>
  <c r="F8" i="29"/>
  <c r="G8" i="29"/>
  <c r="B9" i="29"/>
  <c r="C9" i="29" s="1"/>
  <c r="D9" i="29"/>
  <c r="G9" i="29"/>
  <c r="B10" i="29"/>
  <c r="C10" i="29" s="1"/>
  <c r="D10" i="29"/>
  <c r="E10" i="29"/>
  <c r="F10" i="29"/>
  <c r="G10" i="29"/>
  <c r="B11" i="29"/>
  <c r="C11" i="29"/>
  <c r="D11" i="29"/>
  <c r="E11" i="29"/>
  <c r="F11" i="29"/>
  <c r="G11" i="29"/>
  <c r="B12" i="29"/>
  <c r="C12" i="29"/>
  <c r="D12" i="29"/>
  <c r="E12" i="29"/>
  <c r="F12" i="29"/>
  <c r="G12" i="29"/>
  <c r="B13" i="29"/>
  <c r="C13" i="29" s="1"/>
  <c r="F13" i="29"/>
  <c r="G13" i="29"/>
  <c r="B14" i="29"/>
  <c r="C14" i="29"/>
  <c r="D14" i="29"/>
  <c r="E14" i="29"/>
  <c r="F14" i="29"/>
  <c r="G14" i="29"/>
  <c r="B15" i="29"/>
  <c r="C15" i="29"/>
  <c r="D15" i="29"/>
  <c r="E15" i="29"/>
  <c r="F15" i="29"/>
  <c r="G15" i="29"/>
  <c r="B16" i="29"/>
  <c r="C16" i="29" s="1"/>
  <c r="E16" i="29"/>
  <c r="F16" i="29"/>
  <c r="G16" i="29"/>
  <c r="B17" i="29"/>
  <c r="D17" i="29" s="1"/>
  <c r="C17" i="29"/>
  <c r="E17" i="29"/>
  <c r="F17" i="29"/>
  <c r="G17" i="29"/>
  <c r="B18" i="29"/>
  <c r="C18" i="29" s="1"/>
  <c r="G18" i="29"/>
  <c r="B19" i="29"/>
  <c r="C19" i="29" s="1"/>
  <c r="E19" i="29"/>
  <c r="F19" i="29"/>
  <c r="G19" i="29"/>
  <c r="B20" i="29"/>
  <c r="C20" i="29" s="1"/>
  <c r="G20" i="29"/>
  <c r="B21" i="29"/>
  <c r="C21" i="29" s="1"/>
  <c r="G21" i="29"/>
  <c r="B22" i="29"/>
  <c r="C22" i="29" s="1"/>
  <c r="D22" i="29"/>
  <c r="E22" i="29"/>
  <c r="F22" i="29"/>
  <c r="G22" i="29"/>
  <c r="B23" i="29"/>
  <c r="E23" i="29" s="1"/>
  <c r="C23" i="29"/>
  <c r="D23" i="29"/>
  <c r="G23" i="29"/>
  <c r="B24" i="29"/>
  <c r="C24" i="29" s="1"/>
  <c r="D24" i="29"/>
  <c r="E24" i="29"/>
  <c r="F24" i="29"/>
  <c r="G24" i="29"/>
  <c r="B25" i="29"/>
  <c r="C25" i="29" s="1"/>
  <c r="D25" i="29"/>
  <c r="G25" i="29"/>
  <c r="B26" i="29"/>
  <c r="C26" i="29"/>
  <c r="D26" i="29"/>
  <c r="E26" i="29"/>
  <c r="F26" i="29"/>
  <c r="G26" i="29"/>
  <c r="B27" i="29"/>
  <c r="C27" i="29"/>
  <c r="D27" i="29"/>
  <c r="E27" i="29"/>
  <c r="F27" i="29"/>
  <c r="G27" i="29"/>
  <c r="B28" i="29"/>
  <c r="C28" i="29"/>
  <c r="D28" i="29"/>
  <c r="E28" i="29"/>
  <c r="F28" i="29"/>
  <c r="G28" i="29"/>
  <c r="B29" i="29"/>
  <c r="E29" i="29" s="1"/>
  <c r="C29" i="29"/>
  <c r="D29" i="29"/>
  <c r="F29" i="29"/>
  <c r="G29" i="29"/>
  <c r="B30" i="29"/>
  <c r="C30" i="29"/>
  <c r="D30" i="29"/>
  <c r="E30" i="29"/>
  <c r="F30" i="29"/>
  <c r="G30" i="29"/>
  <c r="B31" i="29"/>
  <c r="C31" i="29"/>
  <c r="D31" i="29"/>
  <c r="E31" i="29"/>
  <c r="F31" i="29"/>
  <c r="G31" i="29"/>
  <c r="B32" i="29"/>
  <c r="C32" i="29" s="1"/>
  <c r="D32" i="29"/>
  <c r="E32" i="29"/>
  <c r="F32" i="29"/>
  <c r="G32" i="29"/>
  <c r="B33" i="29"/>
  <c r="C33" i="29"/>
  <c r="D33" i="29"/>
  <c r="E33" i="29"/>
  <c r="F33" i="29"/>
  <c r="G33" i="29"/>
  <c r="B34" i="29"/>
  <c r="C34" i="29" s="1"/>
  <c r="G34" i="29"/>
  <c r="B35" i="29"/>
  <c r="C35" i="29" s="1"/>
  <c r="E35" i="29"/>
  <c r="F35" i="29"/>
  <c r="G35" i="29"/>
  <c r="B36" i="29"/>
  <c r="C36" i="29" s="1"/>
  <c r="G36" i="29"/>
  <c r="B37" i="29"/>
  <c r="C37" i="29" s="1"/>
  <c r="G37" i="29"/>
  <c r="B38" i="29"/>
  <c r="C38" i="29" s="1"/>
  <c r="D38" i="29"/>
  <c r="E38" i="29"/>
  <c r="F38" i="29"/>
  <c r="G38" i="29"/>
  <c r="B39" i="29"/>
  <c r="E39" i="29" s="1"/>
  <c r="D39" i="29"/>
  <c r="G39" i="29"/>
  <c r="B40" i="29"/>
  <c r="C40" i="29" s="1"/>
  <c r="D40" i="29"/>
  <c r="E40" i="29"/>
  <c r="G40" i="29"/>
  <c r="B41" i="29"/>
  <c r="E41" i="29" s="1"/>
  <c r="C41" i="29"/>
  <c r="D41" i="29"/>
  <c r="G41" i="29"/>
  <c r="B42" i="29"/>
  <c r="C42" i="29"/>
  <c r="D42" i="29"/>
  <c r="E42" i="29"/>
  <c r="F42" i="29"/>
  <c r="G42" i="29"/>
  <c r="B43" i="29"/>
  <c r="C43" i="29" s="1"/>
  <c r="D43" i="29"/>
  <c r="E43" i="29"/>
  <c r="F43" i="29"/>
  <c r="G43" i="29"/>
  <c r="B44" i="29"/>
  <c r="C44" i="29"/>
  <c r="D44" i="29"/>
  <c r="E44" i="29"/>
  <c r="F44" i="29"/>
  <c r="G44" i="29"/>
  <c r="B45" i="29"/>
  <c r="E45" i="29" s="1"/>
  <c r="C45" i="29"/>
  <c r="D45" i="29"/>
  <c r="F45" i="29"/>
  <c r="G45" i="29"/>
  <c r="B46" i="29"/>
  <c r="C46" i="29"/>
  <c r="D46" i="29"/>
  <c r="E46" i="29"/>
  <c r="F46" i="29"/>
  <c r="G46" i="29"/>
  <c r="B47" i="29"/>
  <c r="C47" i="29"/>
  <c r="D47" i="29"/>
  <c r="E47" i="29"/>
  <c r="F47" i="29"/>
  <c r="G47" i="29"/>
  <c r="B48" i="29"/>
  <c r="E48" i="29" s="1"/>
  <c r="F48" i="29"/>
  <c r="G48" i="29"/>
  <c r="B49" i="29"/>
  <c r="C49" i="29"/>
  <c r="D49" i="29"/>
  <c r="E49" i="29"/>
  <c r="F49" i="29"/>
  <c r="G49" i="29"/>
  <c r="C5" i="29"/>
  <c r="U3" i="12" a="1"/>
  <c r="C4" i="29"/>
  <c r="U3" i="12" l="1"/>
  <c r="I3" i="12" a="1"/>
  <c r="I3" i="12" s="1"/>
  <c r="R34" i="12"/>
  <c r="N39" i="12"/>
  <c r="N38" i="12"/>
  <c r="N37" i="12"/>
  <c r="N36" i="12"/>
  <c r="O48" i="12"/>
  <c r="N35" i="12"/>
  <c r="N34" i="12"/>
  <c r="O44" i="12"/>
  <c r="O43" i="12"/>
  <c r="M48" i="12"/>
  <c r="O42" i="12"/>
  <c r="O47" i="12"/>
  <c r="O45" i="12"/>
  <c r="M47" i="12"/>
  <c r="O41" i="12"/>
  <c r="O40" i="12"/>
  <c r="M46" i="12"/>
  <c r="M45" i="12"/>
  <c r="O39" i="12"/>
  <c r="M44" i="12"/>
  <c r="O38" i="12"/>
  <c r="O46" i="12"/>
  <c r="M43" i="12"/>
  <c r="O37" i="12"/>
  <c r="M42" i="12"/>
  <c r="O36" i="12"/>
  <c r="M41" i="12"/>
  <c r="O35" i="12"/>
  <c r="R48" i="12"/>
  <c r="M40" i="12"/>
  <c r="O34" i="12"/>
  <c r="R47" i="12"/>
  <c r="M39" i="12"/>
  <c r="R46" i="12"/>
  <c r="M38" i="12"/>
  <c r="R45" i="12"/>
  <c r="M37" i="12"/>
  <c r="R44" i="12"/>
  <c r="R43" i="12"/>
  <c r="M36" i="12"/>
  <c r="M35" i="12"/>
  <c r="N48" i="12"/>
  <c r="R42" i="12"/>
  <c r="M34" i="12"/>
  <c r="N47" i="12"/>
  <c r="R41" i="12"/>
  <c r="N46" i="12"/>
  <c r="R40" i="12"/>
  <c r="R39" i="12"/>
  <c r="N40" i="12"/>
  <c r="N44" i="12"/>
  <c r="R38" i="12"/>
  <c r="N43" i="12"/>
  <c r="R37" i="12"/>
  <c r="N42" i="12"/>
  <c r="R36" i="12"/>
  <c r="N45" i="12"/>
  <c r="N41" i="12"/>
  <c r="R35" i="12"/>
  <c r="F37" i="29"/>
  <c r="F21" i="29"/>
  <c r="D16" i="29"/>
  <c r="C48" i="29"/>
  <c r="E37" i="29"/>
  <c r="E21" i="29"/>
  <c r="D37" i="29"/>
  <c r="D21" i="29"/>
  <c r="F36" i="29"/>
  <c r="E36" i="29"/>
  <c r="F41" i="29"/>
  <c r="D36" i="29"/>
  <c r="F25" i="29"/>
  <c r="D20" i="29"/>
  <c r="F9" i="29"/>
  <c r="F20" i="29"/>
  <c r="E20" i="29"/>
  <c r="E25" i="29"/>
  <c r="E9" i="29"/>
  <c r="D48" i="29"/>
  <c r="F40" i="29"/>
  <c r="D35" i="29"/>
  <c r="D19" i="29"/>
  <c r="C39" i="29"/>
  <c r="E13" i="29"/>
  <c r="F34" i="29"/>
  <c r="F18" i="29"/>
  <c r="D13" i="29"/>
  <c r="E34" i="29"/>
  <c r="E18" i="29"/>
  <c r="F39" i="29"/>
  <c r="D34" i="29"/>
  <c r="F23" i="29"/>
  <c r="D18" i="29"/>
  <c r="F7" i="29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L131" i="25"/>
  <c r="K131" i="25"/>
  <c r="L130" i="25"/>
  <c r="K130" i="25"/>
  <c r="L129" i="25"/>
  <c r="K129" i="25"/>
  <c r="L128" i="25"/>
  <c r="K128" i="25"/>
  <c r="M127" i="25"/>
  <c r="L127" i="25"/>
  <c r="K127" i="25"/>
  <c r="M126" i="25"/>
  <c r="L126" i="25"/>
  <c r="K126" i="25"/>
  <c r="M125" i="25"/>
  <c r="L125" i="25"/>
  <c r="K125" i="25"/>
  <c r="M124" i="25"/>
  <c r="L124" i="25"/>
  <c r="K124" i="25"/>
  <c r="M123" i="25"/>
  <c r="L123" i="25"/>
  <c r="K123" i="25"/>
  <c r="M122" i="25"/>
  <c r="L122" i="25"/>
  <c r="K122" i="25"/>
  <c r="M121" i="25"/>
  <c r="L121" i="25"/>
  <c r="K121" i="25"/>
  <c r="M120" i="25"/>
  <c r="L120" i="25"/>
  <c r="K120" i="25"/>
  <c r="M119" i="25"/>
  <c r="L119" i="25"/>
  <c r="K119" i="25"/>
  <c r="M118" i="25"/>
  <c r="L118" i="25"/>
  <c r="K118" i="25"/>
  <c r="M117" i="25"/>
  <c r="L117" i="25"/>
  <c r="K117" i="25"/>
  <c r="M116" i="25"/>
  <c r="L116" i="25"/>
  <c r="K116" i="25"/>
  <c r="M115" i="25"/>
  <c r="L115" i="25"/>
  <c r="K115" i="25"/>
  <c r="M114" i="25"/>
  <c r="L114" i="25"/>
  <c r="K114" i="25"/>
  <c r="M113" i="25"/>
  <c r="L113" i="25"/>
  <c r="K113" i="25"/>
  <c r="M112" i="25"/>
  <c r="L112" i="25"/>
  <c r="K112" i="25"/>
  <c r="M111" i="25"/>
  <c r="L111" i="25"/>
  <c r="K111" i="25"/>
  <c r="M110" i="25"/>
  <c r="L110" i="25"/>
  <c r="K110" i="25"/>
  <c r="M109" i="25"/>
  <c r="L109" i="25"/>
  <c r="K109" i="25"/>
  <c r="M108" i="25"/>
  <c r="L108" i="25"/>
  <c r="K108" i="25"/>
  <c r="M107" i="25"/>
  <c r="L107" i="25"/>
  <c r="K107" i="25"/>
  <c r="M106" i="25"/>
  <c r="L106" i="25"/>
  <c r="K106" i="25"/>
  <c r="M105" i="25"/>
  <c r="L105" i="25"/>
  <c r="K105" i="25"/>
  <c r="M104" i="25"/>
  <c r="L104" i="25"/>
  <c r="K104" i="25"/>
  <c r="M103" i="25"/>
  <c r="L103" i="25"/>
  <c r="K103" i="25"/>
  <c r="M102" i="25"/>
  <c r="L102" i="25"/>
  <c r="K102" i="25"/>
  <c r="M101" i="25"/>
  <c r="L101" i="25"/>
  <c r="K101" i="25"/>
  <c r="M100" i="25"/>
  <c r="L100" i="25"/>
  <c r="K100" i="25"/>
  <c r="M99" i="25"/>
  <c r="L99" i="25"/>
  <c r="K99" i="25"/>
  <c r="M98" i="25"/>
  <c r="L98" i="25"/>
  <c r="K98" i="25"/>
  <c r="M97" i="25"/>
  <c r="L97" i="25"/>
  <c r="K97" i="25"/>
  <c r="M96" i="25"/>
  <c r="L96" i="25"/>
  <c r="K96" i="25"/>
  <c r="M95" i="25"/>
  <c r="L95" i="25"/>
  <c r="K95" i="25"/>
  <c r="M94" i="25"/>
  <c r="L94" i="25"/>
  <c r="K94" i="25"/>
  <c r="M93" i="25"/>
  <c r="L93" i="25"/>
  <c r="K93" i="25"/>
  <c r="M92" i="25"/>
  <c r="L92" i="25"/>
  <c r="K92" i="25"/>
  <c r="M91" i="25"/>
  <c r="L91" i="25"/>
  <c r="K91" i="25"/>
  <c r="M90" i="25"/>
  <c r="L90" i="25"/>
  <c r="K90" i="25"/>
  <c r="M89" i="25"/>
  <c r="L89" i="25"/>
  <c r="K89" i="25"/>
  <c r="M88" i="25"/>
  <c r="L88" i="25"/>
  <c r="K88" i="25"/>
  <c r="M87" i="25"/>
  <c r="L87" i="25"/>
  <c r="K87" i="25"/>
  <c r="M86" i="25"/>
  <c r="L86" i="25"/>
  <c r="K86" i="25"/>
  <c r="M85" i="25"/>
  <c r="L85" i="25"/>
  <c r="K85" i="25"/>
  <c r="M84" i="25"/>
  <c r="L84" i="25"/>
  <c r="K84" i="25"/>
  <c r="M83" i="25"/>
  <c r="L83" i="25"/>
  <c r="K83" i="25"/>
  <c r="M82" i="25"/>
  <c r="L82" i="25"/>
  <c r="K82" i="25"/>
  <c r="M81" i="25"/>
  <c r="L81" i="25"/>
  <c r="K81" i="25"/>
  <c r="M80" i="25"/>
  <c r="L80" i="25"/>
  <c r="K80" i="25"/>
  <c r="M79" i="25"/>
  <c r="L79" i="25"/>
  <c r="K79" i="25"/>
  <c r="M78" i="25"/>
  <c r="L78" i="25"/>
  <c r="K78" i="25"/>
  <c r="M77" i="25"/>
  <c r="L77" i="25"/>
  <c r="K77" i="25"/>
  <c r="M76" i="25"/>
  <c r="L76" i="25"/>
  <c r="K76" i="25"/>
  <c r="M75" i="25"/>
  <c r="L75" i="25"/>
  <c r="K75" i="25"/>
  <c r="M74" i="25"/>
  <c r="L74" i="25"/>
  <c r="K74" i="25"/>
  <c r="M73" i="25"/>
  <c r="L73" i="25"/>
  <c r="K73" i="25"/>
  <c r="M72" i="25"/>
  <c r="L72" i="25"/>
  <c r="K72" i="25"/>
  <c r="M71" i="25"/>
  <c r="L71" i="25"/>
  <c r="K71" i="25"/>
  <c r="M70" i="25"/>
  <c r="L70" i="25"/>
  <c r="K70" i="25"/>
  <c r="M69" i="25"/>
  <c r="L69" i="25"/>
  <c r="K69" i="25"/>
  <c r="M68" i="25"/>
  <c r="L68" i="25"/>
  <c r="K68" i="25"/>
  <c r="M67" i="25"/>
  <c r="L67" i="25"/>
  <c r="K67" i="25"/>
  <c r="M66" i="25"/>
  <c r="L66" i="25"/>
  <c r="K66" i="25"/>
  <c r="M65" i="25"/>
  <c r="L65" i="25"/>
  <c r="K65" i="25"/>
  <c r="M64" i="25"/>
  <c r="L64" i="25"/>
  <c r="K64" i="25"/>
  <c r="M63" i="25"/>
  <c r="L63" i="25"/>
  <c r="K63" i="25"/>
  <c r="M62" i="25"/>
  <c r="L62" i="25"/>
  <c r="K62" i="25"/>
  <c r="M61" i="25"/>
  <c r="L61" i="25"/>
  <c r="K61" i="25"/>
  <c r="J61" i="25"/>
  <c r="E6" i="12"/>
  <c r="E8" i="12"/>
  <c r="C9" i="12"/>
  <c r="E10" i="12"/>
  <c r="B15" i="12"/>
  <c r="E15" i="12" s="1"/>
  <c r="B16" i="12"/>
  <c r="C16" i="12" s="1"/>
  <c r="B17" i="12"/>
  <c r="C17" i="12" s="1"/>
  <c r="B18" i="12"/>
  <c r="E18" i="12" s="1"/>
  <c r="B19" i="12"/>
  <c r="C19" i="12" s="1"/>
  <c r="B20" i="12"/>
  <c r="B21" i="12"/>
  <c r="C21" i="12" s="1"/>
  <c r="B22" i="12"/>
  <c r="C22" i="12" s="1"/>
  <c r="B23" i="12"/>
  <c r="D23" i="12" s="1"/>
  <c r="B24" i="12"/>
  <c r="B25" i="12"/>
  <c r="D25" i="12" s="1"/>
  <c r="B26" i="12"/>
  <c r="C26" i="12" s="1"/>
  <c r="B27" i="12"/>
  <c r="B28" i="12"/>
  <c r="B29" i="12"/>
  <c r="D29" i="12" s="1"/>
  <c r="B30" i="12"/>
  <c r="C30" i="12" s="1"/>
  <c r="B31" i="12"/>
  <c r="D31" i="12" s="1"/>
  <c r="B32" i="12"/>
  <c r="D32" i="12" s="1"/>
  <c r="B33" i="12"/>
  <c r="D33" i="12" s="1"/>
  <c r="B34" i="12"/>
  <c r="D34" i="12" s="1"/>
  <c r="B35" i="12"/>
  <c r="D35" i="12" s="1"/>
  <c r="B36" i="12"/>
  <c r="D36" i="12" s="1"/>
  <c r="B37" i="12"/>
  <c r="B38" i="12"/>
  <c r="D38" i="12" s="1"/>
  <c r="B39" i="12"/>
  <c r="B40" i="12"/>
  <c r="C40" i="12" s="1"/>
  <c r="B41" i="12"/>
  <c r="E41" i="12" s="1"/>
  <c r="B42" i="12"/>
  <c r="C42" i="12" s="1"/>
  <c r="B43" i="12"/>
  <c r="B44" i="12"/>
  <c r="B45" i="12"/>
  <c r="B46" i="12"/>
  <c r="B47" i="12"/>
  <c r="B48" i="12"/>
  <c r="E48" i="12" s="1"/>
  <c r="B49" i="12"/>
  <c r="C49" i="12" s="1"/>
  <c r="C46" i="12"/>
  <c r="C47" i="12"/>
  <c r="C44" i="12"/>
  <c r="C43" i="12"/>
  <c r="D28" i="12"/>
  <c r="D26" i="12"/>
  <c r="C14" i="12"/>
  <c r="D24" i="12"/>
  <c r="C15" i="12"/>
  <c r="C11" i="12"/>
  <c r="C12" i="12"/>
  <c r="C20" i="12"/>
  <c r="C45" i="12"/>
  <c r="D27" i="12"/>
  <c r="E43" i="12"/>
  <c r="E46" i="12"/>
  <c r="C28" i="12"/>
  <c r="D37" i="12"/>
  <c r="E11" i="12"/>
  <c r="E45" i="12"/>
  <c r="D20" i="12"/>
  <c r="E42" i="12"/>
  <c r="E44" i="12"/>
  <c r="E47" i="12"/>
  <c r="E12" i="12"/>
  <c r="C27" i="12"/>
  <c r="E13" i="12"/>
  <c r="E14" i="12"/>
  <c r="D7" i="12"/>
  <c r="C7" i="12"/>
  <c r="E7" i="12"/>
  <c r="E4" i="12"/>
  <c r="D4" i="12"/>
  <c r="D5" i="12"/>
  <c r="E5" i="12"/>
  <c r="E5" i="29"/>
  <c r="D4" i="29"/>
  <c r="E4" i="29"/>
  <c r="D5" i="29"/>
  <c r="R6" i="12" l="1"/>
  <c r="M9" i="12"/>
  <c r="O8" i="12"/>
  <c r="R25" i="12"/>
  <c r="N8" i="12"/>
  <c r="N32" i="12"/>
  <c r="O25" i="12"/>
  <c r="R11" i="12"/>
  <c r="M27" i="12"/>
  <c r="N27" i="12"/>
  <c r="N12" i="12"/>
  <c r="R17" i="12"/>
  <c r="M14" i="12"/>
  <c r="R26" i="12"/>
  <c r="R12" i="12"/>
  <c r="O4" i="12"/>
  <c r="O9" i="12"/>
  <c r="O16" i="12"/>
  <c r="M31" i="12"/>
  <c r="R27" i="12"/>
  <c r="O26" i="12"/>
  <c r="N23" i="12"/>
  <c r="N28" i="12"/>
  <c r="M20" i="12"/>
  <c r="N18" i="12"/>
  <c r="R28" i="12"/>
  <c r="R29" i="12"/>
  <c r="O12" i="12"/>
  <c r="O31" i="12"/>
  <c r="M10" i="12"/>
  <c r="M15" i="12"/>
  <c r="R7" i="12"/>
  <c r="M5" i="12"/>
  <c r="R18" i="12"/>
  <c r="M32" i="12"/>
  <c r="R13" i="12"/>
  <c r="O5" i="12"/>
  <c r="N31" i="12"/>
  <c r="M22" i="12"/>
  <c r="R30" i="12"/>
  <c r="R8" i="12"/>
  <c r="M18" i="12"/>
  <c r="O32" i="12"/>
  <c r="N24" i="12"/>
  <c r="O17" i="12"/>
  <c r="O22" i="12"/>
  <c r="O27" i="12"/>
  <c r="N19" i="12"/>
  <c r="M11" i="12"/>
  <c r="N4" i="12"/>
  <c r="N9" i="12"/>
  <c r="N14" i="12"/>
  <c r="M6" i="12"/>
  <c r="R21" i="12"/>
  <c r="M23" i="12"/>
  <c r="M28" i="12"/>
  <c r="M33" i="12"/>
  <c r="R14" i="12"/>
  <c r="N33" i="12"/>
  <c r="O10" i="12"/>
  <c r="R31" i="12"/>
  <c r="R9" i="12"/>
  <c r="R19" i="12"/>
  <c r="O18" i="12"/>
  <c r="N5" i="12"/>
  <c r="M16" i="12"/>
  <c r="M24" i="12"/>
  <c r="R32" i="12"/>
  <c r="N20" i="12"/>
  <c r="N10" i="12"/>
  <c r="M12" i="12"/>
  <c r="O11" i="12"/>
  <c r="R15" i="12"/>
  <c r="O19" i="12"/>
  <c r="O33" i="12"/>
  <c r="M7" i="12"/>
  <c r="N6" i="12"/>
  <c r="M29" i="12"/>
  <c r="R10" i="12"/>
  <c r="N30" i="12"/>
  <c r="O21" i="12"/>
  <c r="M17" i="12"/>
  <c r="R22" i="12"/>
  <c r="O6" i="12"/>
  <c r="N25" i="12"/>
  <c r="R5" i="12"/>
  <c r="O29" i="12"/>
  <c r="N21" i="12"/>
  <c r="N26" i="12"/>
  <c r="R23" i="12"/>
  <c r="M25" i="12"/>
  <c r="N15" i="12"/>
  <c r="O7" i="12"/>
  <c r="N16" i="12"/>
  <c r="M8" i="12"/>
  <c r="M13" i="12"/>
  <c r="O14" i="12"/>
  <c r="R33" i="12"/>
  <c r="O20" i="12"/>
  <c r="N7" i="12"/>
  <c r="N29" i="12"/>
  <c r="O30" i="12"/>
  <c r="M19" i="12"/>
  <c r="O13" i="12"/>
  <c r="R24" i="12"/>
  <c r="N11" i="12"/>
  <c r="R16" i="12"/>
  <c r="M30" i="12"/>
  <c r="N17" i="12"/>
  <c r="M21" i="12"/>
  <c r="O15" i="12"/>
  <c r="M26" i="12"/>
  <c r="R4" i="12"/>
  <c r="O28" i="12"/>
  <c r="O23" i="12"/>
  <c r="O24" i="12"/>
  <c r="N13" i="12"/>
  <c r="M4" i="12"/>
  <c r="N22" i="12"/>
  <c r="R20" i="12"/>
  <c r="R3" i="12"/>
  <c r="M3" i="12"/>
  <c r="N3" i="12"/>
  <c r="O3" i="12"/>
  <c r="E9" i="12"/>
  <c r="C31" i="12"/>
  <c r="C25" i="12"/>
  <c r="C10" i="12"/>
  <c r="C6" i="12"/>
  <c r="E16" i="12"/>
  <c r="C48" i="12"/>
  <c r="C29" i="12"/>
  <c r="C41" i="12"/>
  <c r="C8" i="12"/>
  <c r="D8" i="12"/>
  <c r="D6" i="12"/>
  <c r="D30" i="12"/>
  <c r="D21" i="12"/>
  <c r="D22" i="12"/>
  <c r="F4" i="29"/>
  <c r="G4" i="29" s="1"/>
  <c r="F5" i="29"/>
  <c r="G5" i="29" s="1"/>
  <c r="F6" i="12"/>
  <c r="G6" i="12" s="1"/>
  <c r="C39" i="12"/>
  <c r="C33" i="12"/>
  <c r="D42" i="12"/>
  <c r="D41" i="12"/>
  <c r="D9" i="12"/>
  <c r="E49" i="12"/>
  <c r="E33" i="12"/>
  <c r="C24" i="12"/>
  <c r="D45" i="12"/>
  <c r="E27" i="12"/>
  <c r="D48" i="12"/>
  <c r="C32" i="12"/>
  <c r="C37" i="12"/>
  <c r="E31" i="12"/>
  <c r="D13" i="12"/>
  <c r="D16" i="12"/>
  <c r="D10" i="12"/>
  <c r="D47" i="12"/>
  <c r="E35" i="12"/>
  <c r="E40" i="12"/>
  <c r="D14" i="12"/>
  <c r="C36" i="12"/>
  <c r="D44" i="12"/>
  <c r="D11" i="12"/>
  <c r="E25" i="12"/>
  <c r="E19" i="12"/>
  <c r="D40" i="12"/>
  <c r="E17" i="12"/>
  <c r="E37" i="12"/>
  <c r="D39" i="12"/>
  <c r="C23" i="12"/>
  <c r="D17" i="12"/>
  <c r="D46" i="12"/>
  <c r="E36" i="12"/>
  <c r="E20" i="12"/>
  <c r="C38" i="12"/>
  <c r="E39" i="12"/>
  <c r="E23" i="12"/>
  <c r="C18" i="12"/>
  <c r="E34" i="12"/>
  <c r="E30" i="12"/>
  <c r="E22" i="12"/>
  <c r="E26" i="12"/>
  <c r="D15" i="12"/>
  <c r="E32" i="12"/>
  <c r="D19" i="12"/>
  <c r="D49" i="12"/>
  <c r="E24" i="12"/>
  <c r="E38" i="12"/>
  <c r="E21" i="12"/>
  <c r="C13" i="12"/>
  <c r="D43" i="12"/>
  <c r="E29" i="12"/>
  <c r="E28" i="12"/>
  <c r="C35" i="12"/>
  <c r="D12" i="12"/>
  <c r="D18" i="12"/>
  <c r="C34" i="12"/>
  <c r="F34" i="12" l="1"/>
  <c r="G34" i="12" s="1"/>
  <c r="F12" i="12"/>
  <c r="G12" i="12" s="1"/>
  <c r="F35" i="12"/>
  <c r="G35" i="12" s="1"/>
  <c r="F28" i="12"/>
  <c r="G28" i="12" s="1"/>
  <c r="F29" i="12"/>
  <c r="G29" i="12" s="1"/>
  <c r="F43" i="12"/>
  <c r="G43" i="12" s="1"/>
  <c r="F13" i="12"/>
  <c r="G13" i="12" s="1"/>
  <c r="F21" i="12"/>
  <c r="G21" i="12" s="1"/>
  <c r="F49" i="12"/>
  <c r="G49" i="12" s="1"/>
  <c r="F19" i="12"/>
  <c r="G19" i="12" s="1"/>
  <c r="F15" i="12"/>
  <c r="G15" i="12" s="1"/>
  <c r="F26" i="12"/>
  <c r="G26" i="12" s="1"/>
  <c r="F22" i="12"/>
  <c r="G22" i="12" s="1"/>
  <c r="F30" i="12"/>
  <c r="G30" i="12" s="1"/>
  <c r="F18" i="12"/>
  <c r="G18" i="12" s="1"/>
  <c r="F38" i="12"/>
  <c r="G38" i="12" s="1"/>
  <c r="F20" i="12"/>
  <c r="G20" i="12" s="1"/>
  <c r="F46" i="12"/>
  <c r="G46" i="12" s="1"/>
  <c r="F17" i="12"/>
  <c r="G17" i="12" s="1"/>
  <c r="F23" i="12"/>
  <c r="G23" i="12" s="1"/>
  <c r="F40" i="12"/>
  <c r="G40" i="12" s="1"/>
  <c r="F25" i="12"/>
  <c r="G25" i="12" s="1"/>
  <c r="F11" i="12"/>
  <c r="G11" i="12" s="1"/>
  <c r="F44" i="12"/>
  <c r="G44" i="12" s="1"/>
  <c r="F36" i="12"/>
  <c r="G36" i="12" s="1"/>
  <c r="F14" i="12"/>
  <c r="G14" i="12" s="1"/>
  <c r="F47" i="12"/>
  <c r="G47" i="12" s="1"/>
  <c r="F10" i="12"/>
  <c r="G10" i="12" s="1"/>
  <c r="F16" i="12"/>
  <c r="G16" i="12" s="1"/>
  <c r="F31" i="12"/>
  <c r="G31" i="12" s="1"/>
  <c r="F37" i="12"/>
  <c r="G37" i="12" s="1"/>
  <c r="F32" i="12"/>
  <c r="G32" i="12" s="1"/>
  <c r="F48" i="12"/>
  <c r="G48" i="12" s="1"/>
  <c r="F27" i="12"/>
  <c r="G27" i="12" s="1"/>
  <c r="F45" i="12"/>
  <c r="G45" i="12" s="1"/>
  <c r="F24" i="12"/>
  <c r="G24" i="12" s="1"/>
  <c r="F9" i="12"/>
  <c r="G9" i="12" s="1"/>
  <c r="F41" i="12"/>
  <c r="G41" i="12" s="1"/>
  <c r="F42" i="12"/>
  <c r="G42" i="12" s="1"/>
  <c r="F33" i="12"/>
  <c r="G33" i="12" s="1"/>
  <c r="F39" i="12"/>
  <c r="G39" i="12" s="1"/>
  <c r="F8" i="12"/>
  <c r="G8" i="12" s="1"/>
  <c r="F7" i="12"/>
  <c r="G7" i="12" s="1"/>
  <c r="AJ49" i="21" l="1"/>
  <c r="AI49" i="21"/>
  <c r="AH49" i="21"/>
  <c r="Y49" i="21"/>
  <c r="X49" i="21"/>
  <c r="W49" i="21"/>
  <c r="N49" i="21"/>
  <c r="M49" i="21"/>
  <c r="L49" i="21"/>
  <c r="AJ48" i="21"/>
  <c r="AI48" i="21"/>
  <c r="AH48" i="21"/>
  <c r="Y48" i="21"/>
  <c r="X48" i="21"/>
  <c r="W48" i="21"/>
  <c r="N48" i="21"/>
  <c r="M48" i="21"/>
  <c r="L48" i="21"/>
  <c r="AJ47" i="21"/>
  <c r="AI47" i="21"/>
  <c r="AH47" i="21"/>
  <c r="Y47" i="21"/>
  <c r="X47" i="21"/>
  <c r="W47" i="21"/>
  <c r="N47" i="21"/>
  <c r="M47" i="21"/>
  <c r="L47" i="21"/>
  <c r="AJ46" i="21"/>
  <c r="AI46" i="21"/>
  <c r="AH46" i="21"/>
  <c r="Y46" i="21"/>
  <c r="X46" i="21"/>
  <c r="W46" i="21"/>
  <c r="N46" i="21"/>
  <c r="M46" i="21"/>
  <c r="L46" i="21"/>
  <c r="AJ45" i="21"/>
  <c r="AI45" i="21"/>
  <c r="AH45" i="21"/>
  <c r="Y45" i="21"/>
  <c r="X45" i="21"/>
  <c r="W45" i="21"/>
  <c r="N45" i="21"/>
  <c r="M45" i="21"/>
  <c r="L45" i="21"/>
  <c r="AJ44" i="21"/>
  <c r="AI44" i="21"/>
  <c r="AH44" i="21"/>
  <c r="Y44" i="21"/>
  <c r="X44" i="21"/>
  <c r="W44" i="21"/>
  <c r="N44" i="21"/>
  <c r="M44" i="21"/>
  <c r="L44" i="21"/>
  <c r="AJ43" i="21"/>
  <c r="AI43" i="21"/>
  <c r="AH43" i="21"/>
  <c r="Y43" i="21"/>
  <c r="X43" i="21"/>
  <c r="W43" i="21"/>
  <c r="N43" i="21"/>
  <c r="M43" i="21"/>
  <c r="L43" i="21"/>
  <c r="AJ42" i="21"/>
  <c r="AI42" i="21"/>
  <c r="AH42" i="21"/>
  <c r="Y42" i="21"/>
  <c r="X42" i="21"/>
  <c r="W42" i="21"/>
  <c r="N42" i="21"/>
  <c r="M42" i="21"/>
  <c r="L42" i="21"/>
  <c r="AJ41" i="21"/>
  <c r="AI41" i="21"/>
  <c r="AH41" i="21"/>
  <c r="Y41" i="21"/>
  <c r="X41" i="21"/>
  <c r="W41" i="21"/>
  <c r="N41" i="21"/>
  <c r="M41" i="21"/>
  <c r="L41" i="21"/>
  <c r="AJ40" i="21"/>
  <c r="AI40" i="21"/>
  <c r="AH40" i="21"/>
  <c r="Y40" i="21"/>
  <c r="X40" i="21"/>
  <c r="W40" i="21"/>
  <c r="N40" i="21"/>
  <c r="M40" i="21"/>
  <c r="L40" i="21"/>
  <c r="AJ39" i="21"/>
  <c r="AI39" i="21"/>
  <c r="AH39" i="21"/>
  <c r="Y39" i="21"/>
  <c r="X39" i="21"/>
  <c r="W39" i="21"/>
  <c r="N39" i="21"/>
  <c r="M39" i="21"/>
  <c r="L39" i="21"/>
  <c r="AJ38" i="21"/>
  <c r="AI38" i="21"/>
  <c r="AH38" i="21"/>
  <c r="Y38" i="21"/>
  <c r="X38" i="21"/>
  <c r="W38" i="21"/>
  <c r="N38" i="21"/>
  <c r="M38" i="21"/>
  <c r="L38" i="21"/>
  <c r="AJ37" i="21"/>
  <c r="AI37" i="21"/>
  <c r="AH37" i="21"/>
  <c r="Y37" i="21"/>
  <c r="X37" i="21"/>
  <c r="W37" i="21"/>
  <c r="N37" i="21"/>
  <c r="M37" i="21"/>
  <c r="L37" i="21"/>
  <c r="AJ36" i="21"/>
  <c r="AI36" i="21"/>
  <c r="AH36" i="21"/>
  <c r="Y36" i="21"/>
  <c r="X36" i="21"/>
  <c r="W36" i="21"/>
  <c r="N36" i="21"/>
  <c r="M36" i="21"/>
  <c r="L36" i="21"/>
  <c r="AJ35" i="21"/>
  <c r="AI35" i="21"/>
  <c r="AH35" i="21"/>
  <c r="Y35" i="21"/>
  <c r="X35" i="21"/>
  <c r="W35" i="21"/>
  <c r="N35" i="21"/>
  <c r="M35" i="21"/>
  <c r="L35" i="21"/>
  <c r="AJ34" i="21"/>
  <c r="AI34" i="21"/>
  <c r="AH34" i="21"/>
  <c r="Y34" i="21"/>
  <c r="X34" i="21"/>
  <c r="W34" i="21"/>
  <c r="N34" i="21"/>
  <c r="M34" i="21"/>
  <c r="L34" i="21"/>
  <c r="AJ33" i="21"/>
  <c r="AI33" i="21"/>
  <c r="AH33" i="21"/>
  <c r="Y33" i="21"/>
  <c r="X33" i="21"/>
  <c r="W33" i="21"/>
  <c r="N33" i="21"/>
  <c r="M33" i="21"/>
  <c r="L33" i="21"/>
  <c r="AJ32" i="21"/>
  <c r="AI32" i="21"/>
  <c r="AH32" i="21"/>
  <c r="Y32" i="21"/>
  <c r="X32" i="21"/>
  <c r="W32" i="21"/>
  <c r="N32" i="21"/>
  <c r="M32" i="21"/>
  <c r="L32" i="21"/>
  <c r="AJ31" i="21"/>
  <c r="AI31" i="21"/>
  <c r="AH31" i="21"/>
  <c r="Y31" i="21"/>
  <c r="X31" i="21"/>
  <c r="W31" i="21"/>
  <c r="N31" i="21"/>
  <c r="M31" i="21"/>
  <c r="L31" i="21"/>
  <c r="AJ30" i="21"/>
  <c r="AI30" i="21"/>
  <c r="AH30" i="21"/>
  <c r="Y30" i="21"/>
  <c r="X30" i="21"/>
  <c r="W30" i="21"/>
  <c r="N30" i="21"/>
  <c r="M30" i="21"/>
  <c r="L30" i="21"/>
  <c r="AJ29" i="21"/>
  <c r="AI29" i="21"/>
  <c r="AH29" i="21"/>
  <c r="Y29" i="21"/>
  <c r="X29" i="21"/>
  <c r="W29" i="21"/>
  <c r="N29" i="21"/>
  <c r="M29" i="21"/>
  <c r="L29" i="21"/>
  <c r="AJ28" i="21"/>
  <c r="AI28" i="21"/>
  <c r="AH28" i="21"/>
  <c r="Y28" i="21"/>
  <c r="X28" i="21"/>
  <c r="W28" i="21"/>
  <c r="N28" i="21"/>
  <c r="M28" i="21"/>
  <c r="L28" i="21"/>
  <c r="AJ27" i="21"/>
  <c r="AI27" i="21"/>
  <c r="AH27" i="21"/>
  <c r="Y27" i="21"/>
  <c r="X27" i="21"/>
  <c r="W27" i="21"/>
  <c r="N27" i="21"/>
  <c r="M27" i="21"/>
  <c r="L27" i="21"/>
  <c r="AJ26" i="21"/>
  <c r="AI26" i="21"/>
  <c r="AH26" i="21"/>
  <c r="Y26" i="21"/>
  <c r="X26" i="21"/>
  <c r="W26" i="21"/>
  <c r="L26" i="21"/>
  <c r="M26" i="21" s="1"/>
  <c r="N26" i="21" s="1"/>
  <c r="AJ25" i="21"/>
  <c r="AI25" i="21"/>
  <c r="AH25" i="21"/>
  <c r="Y25" i="21"/>
  <c r="X25" i="21"/>
  <c r="W25" i="21"/>
  <c r="M25" i="21"/>
  <c r="N25" i="21" s="1"/>
  <c r="L25" i="21"/>
  <c r="AJ24" i="21"/>
  <c r="AI24" i="21"/>
  <c r="AH24" i="21"/>
  <c r="Y24" i="21"/>
  <c r="X24" i="21"/>
  <c r="W24" i="21"/>
  <c r="L24" i="21"/>
  <c r="M24" i="21" s="1"/>
  <c r="N24" i="21" s="1"/>
  <c r="AJ23" i="21"/>
  <c r="AI23" i="21"/>
  <c r="AH23" i="21"/>
  <c r="Y23" i="21"/>
  <c r="X23" i="21"/>
  <c r="W23" i="21"/>
  <c r="L23" i="21"/>
  <c r="M23" i="21" s="1"/>
  <c r="N23" i="21" s="1"/>
  <c r="AJ22" i="21"/>
  <c r="AI22" i="21"/>
  <c r="AH22" i="21"/>
  <c r="Y22" i="21"/>
  <c r="X22" i="21"/>
  <c r="W22" i="21"/>
  <c r="L22" i="21"/>
  <c r="M22" i="21" s="1"/>
  <c r="N22" i="21" s="1"/>
  <c r="AJ21" i="21"/>
  <c r="AI21" i="21"/>
  <c r="AH21" i="21"/>
  <c r="Y21" i="21"/>
  <c r="X21" i="21"/>
  <c r="W21" i="21"/>
  <c r="L21" i="21"/>
  <c r="M21" i="21" s="1"/>
  <c r="N21" i="21" s="1"/>
  <c r="AJ20" i="21"/>
  <c r="AI20" i="21"/>
  <c r="AH20" i="21"/>
  <c r="Y20" i="21"/>
  <c r="X20" i="21"/>
  <c r="W20" i="21"/>
  <c r="L20" i="21"/>
  <c r="M20" i="21" s="1"/>
  <c r="N20" i="21" s="1"/>
  <c r="AJ19" i="21"/>
  <c r="AI19" i="21"/>
  <c r="AH19" i="21"/>
  <c r="Y19" i="21"/>
  <c r="X19" i="21"/>
  <c r="W19" i="21"/>
  <c r="L19" i="21"/>
  <c r="M19" i="21" s="1"/>
  <c r="N19" i="21" s="1"/>
  <c r="AJ18" i="21"/>
  <c r="AI18" i="21"/>
  <c r="AH18" i="21"/>
  <c r="Y18" i="21"/>
  <c r="X18" i="21"/>
  <c r="W18" i="21"/>
  <c r="L18" i="21"/>
  <c r="M18" i="21" s="1"/>
  <c r="N18" i="21" s="1"/>
  <c r="AJ17" i="21"/>
  <c r="AI17" i="21"/>
  <c r="AH17" i="21"/>
  <c r="Y17" i="21"/>
  <c r="X17" i="21"/>
  <c r="W17" i="21"/>
  <c r="L17" i="21"/>
  <c r="M17" i="21" s="1"/>
  <c r="N17" i="21" s="1"/>
  <c r="AJ16" i="21"/>
  <c r="AI16" i="21"/>
  <c r="AH16" i="21"/>
  <c r="Y16" i="21"/>
  <c r="X16" i="21"/>
  <c r="W16" i="21"/>
  <c r="L16" i="21"/>
  <c r="M16" i="21" s="1"/>
  <c r="N16" i="21" s="1"/>
  <c r="AJ15" i="21"/>
  <c r="AI15" i="21"/>
  <c r="AH15" i="21"/>
  <c r="Y15" i="21"/>
  <c r="X15" i="21"/>
  <c r="W15" i="21"/>
  <c r="L15" i="21"/>
  <c r="M15" i="21" s="1"/>
  <c r="N15" i="21" s="1"/>
  <c r="AJ14" i="21"/>
  <c r="AI14" i="21"/>
  <c r="AH14" i="21"/>
  <c r="Y14" i="21"/>
  <c r="X14" i="21"/>
  <c r="W14" i="21"/>
  <c r="L14" i="21"/>
  <c r="M14" i="21" s="1"/>
  <c r="N14" i="21" s="1"/>
  <c r="AJ13" i="21"/>
  <c r="AI13" i="21"/>
  <c r="AH13" i="21"/>
  <c r="Y13" i="21"/>
  <c r="X13" i="21"/>
  <c r="W13" i="21"/>
  <c r="L13" i="21"/>
  <c r="M13" i="21" s="1"/>
  <c r="N13" i="21" s="1"/>
  <c r="AJ12" i="21"/>
  <c r="AI12" i="21"/>
  <c r="AH12" i="21"/>
  <c r="Y12" i="21"/>
  <c r="X12" i="21"/>
  <c r="W12" i="21"/>
  <c r="M12" i="21"/>
  <c r="N12" i="21" s="1"/>
  <c r="L12" i="21"/>
  <c r="AJ11" i="21"/>
  <c r="AI11" i="21"/>
  <c r="AH11" i="21"/>
  <c r="Y11" i="21"/>
  <c r="X11" i="21"/>
  <c r="W11" i="21"/>
  <c r="L11" i="21"/>
  <c r="M11" i="21" s="1"/>
  <c r="N11" i="21" s="1"/>
  <c r="AJ10" i="21"/>
  <c r="AI10" i="21"/>
  <c r="AH10" i="21"/>
  <c r="Y10" i="21"/>
  <c r="X10" i="21"/>
  <c r="W10" i="21"/>
  <c r="L10" i="21"/>
  <c r="M10" i="21" s="1"/>
  <c r="N10" i="21" s="1"/>
  <c r="AJ9" i="21"/>
  <c r="AI9" i="21"/>
  <c r="AH9" i="21"/>
  <c r="Y9" i="21"/>
  <c r="X9" i="21"/>
  <c r="W9" i="21"/>
  <c r="M9" i="21"/>
  <c r="N9" i="21" s="1"/>
  <c r="L9" i="21"/>
  <c r="AJ8" i="21"/>
  <c r="AI8" i="21"/>
  <c r="AH8" i="21"/>
  <c r="Y8" i="21"/>
  <c r="X8" i="21"/>
  <c r="W8" i="21"/>
  <c r="L8" i="21"/>
  <c r="M8" i="21" s="1"/>
  <c r="N8" i="21" s="1"/>
  <c r="AJ7" i="21"/>
  <c r="AI7" i="21"/>
  <c r="AH7" i="21"/>
  <c r="Y7" i="21"/>
  <c r="X7" i="21"/>
  <c r="W7" i="21"/>
  <c r="L7" i="21"/>
  <c r="M7" i="21" s="1"/>
  <c r="N7" i="21" s="1"/>
  <c r="AJ6" i="21"/>
  <c r="AI6" i="21"/>
  <c r="AH6" i="21"/>
  <c r="Y6" i="21"/>
  <c r="X6" i="21"/>
  <c r="W6" i="21"/>
  <c r="L6" i="21"/>
  <c r="M6" i="21" s="1"/>
  <c r="N6" i="21" s="1"/>
  <c r="AJ5" i="21"/>
  <c r="AI5" i="21"/>
  <c r="AH5" i="21"/>
  <c r="W5" i="21"/>
  <c r="X5" i="21" s="1"/>
  <c r="Y5" i="21" s="1"/>
  <c r="L5" i="21"/>
  <c r="M5" i="21" s="1"/>
  <c r="N5" i="21" s="1"/>
  <c r="AH4" i="21"/>
  <c r="AI4" i="21" s="1"/>
  <c r="AJ4" i="21" s="1"/>
  <c r="W4" i="21"/>
  <c r="X4" i="21" s="1"/>
  <c r="Y4" i="21" s="1"/>
  <c r="L4" i="21"/>
  <c r="M4" i="21" s="1"/>
  <c r="N4" i="21" s="1"/>
  <c r="AH3" i="21"/>
  <c r="AI3" i="21" s="1"/>
  <c r="AJ3" i="21" s="1"/>
  <c r="W3" i="21"/>
  <c r="X3" i="21" s="1"/>
  <c r="Y3" i="21" s="1"/>
  <c r="L3" i="21"/>
  <c r="M3" i="21" s="1"/>
  <c r="N3" i="21" s="1"/>
  <c r="AA1" i="21" a="1"/>
  <c r="AA1" i="21" s="1"/>
  <c r="P1" i="21" a="1"/>
  <c r="P1" i="21" s="1"/>
  <c r="E1" i="21" a="1"/>
  <c r="E1" i="21" s="1"/>
  <c r="A1" i="21" a="1"/>
  <c r="A1" i="21" s="1"/>
  <c r="C5" i="12"/>
  <c r="C3" i="29"/>
  <c r="E3" i="29"/>
  <c r="D3" i="12"/>
  <c r="E3" i="12"/>
  <c r="C3" i="12"/>
  <c r="D3" i="29"/>
  <c r="F3" i="29" l="1"/>
  <c r="G3" i="29" s="1"/>
  <c r="AJ1" i="21"/>
  <c r="Y1" i="21"/>
  <c r="F5" i="12"/>
  <c r="G5" i="12" s="1"/>
  <c r="N1" i="21"/>
  <c r="C4" i="12"/>
  <c r="F4" i="12" l="1"/>
  <c r="G4" i="12" s="1"/>
  <c r="AB1" i="12"/>
  <c r="E1" i="12" a="1"/>
  <c r="E1" i="12" s="1"/>
  <c r="D1" i="12" a="1"/>
  <c r="D1" i="12" s="1"/>
  <c r="C1" i="12" a="1"/>
  <c r="C1" i="12" s="1"/>
  <c r="F3" i="12"/>
  <c r="F1" i="12" l="1" a="1"/>
  <c r="F1" i="12" s="1"/>
  <c r="G3" i="12"/>
  <c r="G1" i="12" s="1" a="1"/>
  <c r="G1" i="12" s="1"/>
  <c r="R1" i="12" l="1"/>
  <c r="B3" i="25" a="1"/>
  <c r="N25" i="25" l="1"/>
  <c r="N42" i="25"/>
  <c r="N43" i="25"/>
  <c r="N19" i="25"/>
  <c r="N30" i="25"/>
  <c r="N24" i="25"/>
  <c r="N51" i="25"/>
  <c r="N23" i="25"/>
  <c r="N4" i="25"/>
  <c r="N37" i="25"/>
  <c r="N6" i="25"/>
  <c r="N38" i="25"/>
  <c r="N36" i="25"/>
  <c r="N17" i="25"/>
  <c r="N49" i="25"/>
  <c r="N11" i="25"/>
  <c r="N5" i="25"/>
  <c r="N32" i="25"/>
  <c r="N13" i="25"/>
  <c r="N45" i="25"/>
  <c r="N26" i="25"/>
  <c r="N7" i="25"/>
  <c r="N39" i="25"/>
  <c r="N20" i="25"/>
  <c r="N33" i="25"/>
  <c r="N14" i="25"/>
  <c r="N18" i="25"/>
  <c r="N44" i="25"/>
  <c r="N46" i="25"/>
  <c r="N50" i="25"/>
  <c r="N27" i="25"/>
  <c r="N8" i="25"/>
  <c r="N31" i="25"/>
  <c r="N40" i="25"/>
  <c r="N12" i="25"/>
  <c r="N21" i="25"/>
  <c r="N34" i="25"/>
  <c r="B3" i="25"/>
  <c r="N15" i="25"/>
  <c r="N47" i="25"/>
  <c r="N28" i="25"/>
  <c r="N9" i="25"/>
  <c r="N41" i="25"/>
  <c r="N22" i="25"/>
  <c r="N35" i="25"/>
  <c r="N16" i="25"/>
  <c r="N48" i="25"/>
  <c r="N29" i="25"/>
  <c r="N10" i="25"/>
  <c r="L47" i="25" l="1"/>
  <c r="K29" i="25"/>
  <c r="L55" i="25"/>
  <c r="J4" i="25"/>
  <c r="K30" i="25"/>
  <c r="K36" i="25"/>
  <c r="J26" i="25"/>
  <c r="L21" i="25"/>
  <c r="K58" i="25"/>
  <c r="J58" i="25"/>
  <c r="K28" i="25"/>
  <c r="K38" i="25"/>
  <c r="K53" i="25"/>
  <c r="J44" i="25"/>
  <c r="L15" i="25"/>
  <c r="K16" i="25"/>
  <c r="K20" i="25"/>
  <c r="L30" i="25"/>
  <c r="L31" i="25"/>
  <c r="L44" i="25"/>
  <c r="L60" i="25"/>
  <c r="J22" i="25"/>
  <c r="K55" i="25"/>
  <c r="M55" i="25" s="1"/>
  <c r="K26" i="25"/>
  <c r="K56" i="25"/>
  <c r="L58" i="25"/>
  <c r="K25" i="25"/>
  <c r="K11" i="25"/>
  <c r="K41" i="25"/>
  <c r="J48" i="25"/>
  <c r="L32" i="25"/>
  <c r="L36" i="25"/>
  <c r="K43" i="25"/>
  <c r="J19" i="25"/>
  <c r="K18" i="25"/>
  <c r="K19" i="25"/>
  <c r="J23" i="25"/>
  <c r="L41" i="25"/>
  <c r="K24" i="25"/>
  <c r="K33" i="25"/>
  <c r="L54" i="25"/>
  <c r="L40" i="25"/>
  <c r="J40" i="25"/>
  <c r="J51" i="25"/>
  <c r="J33" i="25"/>
  <c r="J34" i="25"/>
  <c r="L43" i="25"/>
  <c r="J56" i="25"/>
  <c r="L16" i="25"/>
  <c r="L45" i="25"/>
  <c r="K45" i="25"/>
  <c r="J54" i="25"/>
  <c r="L59" i="25"/>
  <c r="L29" i="25"/>
  <c r="L49" i="25"/>
  <c r="K59" i="25"/>
  <c r="M59" i="25" s="1"/>
  <c r="L7" i="25"/>
  <c r="K23" i="25"/>
  <c r="J38" i="25"/>
  <c r="L23" i="25"/>
  <c r="J46" i="25"/>
  <c r="L12" i="25"/>
  <c r="J57" i="25"/>
  <c r="K6" i="25"/>
  <c r="K60" i="25"/>
  <c r="M60" i="25" s="1"/>
  <c r="K12" i="25"/>
  <c r="K51" i="25"/>
  <c r="L56" i="25"/>
  <c r="J17" i="25"/>
  <c r="J15" i="25"/>
  <c r="J47" i="25"/>
  <c r="L13" i="25"/>
  <c r="K31" i="25"/>
  <c r="J24" i="25"/>
  <c r="K39" i="25"/>
  <c r="J14" i="25"/>
  <c r="L33" i="25"/>
  <c r="L52" i="25"/>
  <c r="J32" i="25"/>
  <c r="K15" i="25"/>
  <c r="J31" i="25"/>
  <c r="J60" i="25"/>
  <c r="K40" i="25"/>
  <c r="J53" i="25"/>
  <c r="J28" i="25"/>
  <c r="L37" i="25"/>
  <c r="K10" i="25"/>
  <c r="L19" i="25"/>
  <c r="J10" i="25"/>
  <c r="L28" i="25"/>
  <c r="J30" i="25"/>
  <c r="J12" i="25"/>
  <c r="L34" i="25"/>
  <c r="K5" i="25"/>
  <c r="L51" i="25"/>
  <c r="L35" i="25"/>
  <c r="K49" i="25"/>
  <c r="M49" i="25" s="1"/>
  <c r="L5" i="25"/>
  <c r="J37" i="25"/>
  <c r="K13" i="25"/>
  <c r="K22" i="25"/>
  <c r="L26" i="25"/>
  <c r="J25" i="25"/>
  <c r="J29" i="25"/>
  <c r="L11" i="25"/>
  <c r="J21" i="25"/>
  <c r="L57" i="25"/>
  <c r="L25" i="25"/>
  <c r="L24" i="25"/>
  <c r="L10" i="25"/>
  <c r="L6" i="25"/>
  <c r="J59" i="25"/>
  <c r="K4" i="25"/>
  <c r="L22" i="25"/>
  <c r="J36" i="25"/>
  <c r="K50" i="25"/>
  <c r="L8" i="25"/>
  <c r="J13" i="25"/>
  <c r="J39" i="25"/>
  <c r="J43" i="25"/>
  <c r="K17" i="25"/>
  <c r="K46" i="25"/>
  <c r="J8" i="25"/>
  <c r="L46" i="25"/>
  <c r="J7" i="25"/>
  <c r="L53" i="25"/>
  <c r="L20" i="25"/>
  <c r="J55" i="25"/>
  <c r="J5" i="25"/>
  <c r="L3" i="25"/>
  <c r="K3" i="25"/>
  <c r="J3" i="25"/>
  <c r="A3" i="25" a="1"/>
  <c r="A3" i="25" s="1"/>
  <c r="J16" i="25"/>
  <c r="L14" i="25"/>
  <c r="J18" i="25"/>
  <c r="L38" i="25"/>
  <c r="J9" i="25"/>
  <c r="K37" i="25"/>
  <c r="L42" i="25"/>
  <c r="K47" i="25"/>
  <c r="M47" i="25" s="1"/>
  <c r="J35" i="25"/>
  <c r="K8" i="25"/>
  <c r="J41" i="25"/>
  <c r="L39" i="25"/>
  <c r="K34" i="25"/>
  <c r="L18" i="25"/>
  <c r="L4" i="25"/>
  <c r="J20" i="25"/>
  <c r="K27" i="25"/>
  <c r="J52" i="25"/>
  <c r="K52" i="25"/>
  <c r="M52" i="25" s="1"/>
  <c r="J45" i="25"/>
  <c r="K32" i="25"/>
  <c r="K44" i="25"/>
  <c r="J6" i="25"/>
  <c r="L9" i="25"/>
  <c r="J11" i="25"/>
  <c r="K54" i="25"/>
  <c r="M54" i="25" s="1"/>
  <c r="L48" i="25"/>
  <c r="J50" i="25"/>
  <c r="K9" i="25"/>
  <c r="K14" i="25"/>
  <c r="K42" i="25"/>
  <c r="J49" i="25"/>
  <c r="L17" i="25"/>
  <c r="K57" i="25"/>
  <c r="M57" i="25" s="1"/>
  <c r="J27" i="25"/>
  <c r="K48" i="25"/>
  <c r="J42" i="25"/>
  <c r="K7" i="25"/>
  <c r="K21" i="25"/>
  <c r="M21" i="25" s="1"/>
  <c r="L27" i="25"/>
  <c r="L50" i="25"/>
  <c r="K35" i="25"/>
  <c r="M40" i="25" l="1"/>
  <c r="M44" i="25"/>
  <c r="M42" i="25"/>
  <c r="M43" i="25"/>
  <c r="M37" i="25"/>
  <c r="M32" i="25"/>
  <c r="M34" i="25"/>
  <c r="M31" i="25"/>
  <c r="M29" i="25"/>
  <c r="M5" i="25"/>
  <c r="M14" i="25"/>
  <c r="M22" i="25"/>
  <c r="M15" i="25"/>
  <c r="M8" i="25"/>
  <c r="M10" i="25"/>
  <c r="M3" i="25"/>
  <c r="M12" i="25"/>
  <c r="M7" i="25"/>
  <c r="M35" i="25"/>
  <c r="M50" i="25"/>
  <c r="M48" i="25"/>
  <c r="M58" i="25"/>
  <c r="M51" i="25"/>
  <c r="M25" i="25"/>
  <c r="M56" i="25"/>
  <c r="M27" i="25"/>
  <c r="M24" i="25"/>
  <c r="M36" i="25"/>
  <c r="M18" i="25"/>
  <c r="M9" i="25"/>
  <c r="M6" i="25"/>
  <c r="M41" i="25"/>
  <c r="M11" i="25"/>
  <c r="M46" i="25"/>
  <c r="M23" i="25"/>
  <c r="M17" i="25"/>
  <c r="M26" i="25"/>
  <c r="M45" i="25"/>
  <c r="M4" i="25"/>
  <c r="M20" i="25"/>
  <c r="M16" i="25"/>
  <c r="M53" i="25"/>
  <c r="M38" i="25"/>
  <c r="M39" i="25"/>
  <c r="M28" i="25"/>
  <c r="M33" i="25"/>
  <c r="M30" i="25"/>
  <c r="M13" i="25"/>
  <c r="M1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<sst xmlns="http://schemas.openxmlformats.org/spreadsheetml/2006/main" count="967" uniqueCount="470">
  <si>
    <t>Spec</t>
  </si>
  <si>
    <t>UOM</t>
  </si>
  <si>
    <t>Final Qty</t>
  </si>
  <si>
    <t>Description</t>
  </si>
  <si>
    <t>Price/Unit (RM)</t>
  </si>
  <si>
    <t>Wastage/Buffer</t>
  </si>
  <si>
    <t>Note</t>
  </si>
  <si>
    <t>Sheet</t>
  </si>
  <si>
    <t>Tile 300mm x 600mm</t>
  </si>
  <si>
    <t>PCS</t>
  </si>
  <si>
    <t>BAG</t>
  </si>
  <si>
    <t>SET</t>
  </si>
  <si>
    <t>RORO Bin - 2ft (Per Trip)</t>
  </si>
  <si>
    <t>TRIP</t>
  </si>
  <si>
    <t>Usage Qty</t>
  </si>
  <si>
    <t>Usage+Waste Qty (FORMULA)</t>
  </si>
  <si>
    <t>Full Qty (FORMULA)</t>
  </si>
  <si>
    <t>Total (RM) (FORMULA)</t>
  </si>
  <si>
    <t>Description (Exact name from Labour.txt)</t>
  </si>
  <si>
    <t>Rate (RM)</t>
  </si>
  <si>
    <t>Include</t>
  </si>
  <si>
    <t>Materials RM</t>
  </si>
  <si>
    <t>Labour RM</t>
  </si>
  <si>
    <t>Service RM</t>
  </si>
  <si>
    <t>Total RM</t>
  </si>
  <si>
    <t>Override Qty</t>
  </si>
  <si>
    <t>SUMMARY PARAMS (editable)</t>
  </si>
  <si>
    <t>Scope Total RM (Standalone)</t>
  </si>
  <si>
    <t>Scope Total RM (Selected)</t>
  </si>
  <si>
    <t>Sum Usage Qty</t>
  </si>
  <si>
    <t>Sum Usage+Waste Qty</t>
  </si>
  <si>
    <t>CONSOLIDATED LINES (selected scopes)</t>
  </si>
  <si>
    <t>Category</t>
  </si>
  <si>
    <t>Description (Exact name)</t>
  </si>
  <si>
    <t>TIN</t>
  </si>
  <si>
    <t>Labour - Tukang (Skilled) (Per MH)</t>
  </si>
  <si>
    <t>MH</t>
  </si>
  <si>
    <t>Labour - Helper (Per MH)</t>
  </si>
  <si>
    <t>KG</t>
  </si>
  <si>
    <t>BOX</t>
  </si>
  <si>
    <t>UNIT</t>
  </si>
  <si>
    <t>Scaffolding Bay Set (Used) 1.7m(H) x 0.9m(W) incl 1 Platform (Per Month). Deposit RM195/set refundable.</t>
  </si>
  <si>
    <t>Scaffolding Jack + U-Head Set (Used) 600mm (2 Jack Base + 2 U-Head) (Per Month). Deposit RM40/set refundable.</t>
  </si>
  <si>
    <t>#</t>
  </si>
  <si>
    <t>Base UOM</t>
  </si>
  <si>
    <t>Base Rate</t>
  </si>
  <si>
    <t>Auto Qty (Usage+Waste)</t>
  </si>
  <si>
    <t>Key</t>
  </si>
  <si>
    <t>Final UOM</t>
  </si>
  <si>
    <t>Final Rate</t>
  </si>
  <si>
    <t>LABOUR|Labour - Tukang (Skilled) (Per MH)|MH</t>
  </si>
  <si>
    <t>LABOUR|Labour - Helper (Per MH)|MH</t>
  </si>
  <si>
    <t>Purchase UOM</t>
  </si>
  <si>
    <t>Pack Size</t>
  </si>
  <si>
    <t>Override Rate</t>
  </si>
  <si>
    <t>Active (1/0)</t>
  </si>
  <si>
    <t>SUMMARY LIST</t>
  </si>
  <si>
    <t>Rate</t>
  </si>
  <si>
    <t>Auto Qty</t>
  </si>
  <si>
    <t>Active</t>
  </si>
  <si>
    <t>No</t>
  </si>
  <si>
    <t>Status</t>
  </si>
  <si>
    <t>Source Row</t>
  </si>
  <si>
    <t>Search</t>
  </si>
  <si>
    <t>Purchase Row</t>
  </si>
  <si>
    <t>Seq</t>
  </si>
  <si>
    <t>S01-TITLE</t>
  </si>
  <si>
    <t>S01-OVERVIEW</t>
  </si>
  <si>
    <t>Tile 300mm x 450mm</t>
  </si>
  <si>
    <t>Tile Adhesive Weber 99</t>
  </si>
  <si>
    <t>Weber Weberfill Fine Grout Coloured Grout For Narrow Tile Joint (3.5kg)</t>
  </si>
  <si>
    <t>Weber WP100 Waterproof</t>
  </si>
  <si>
    <t>set</t>
  </si>
  <si>
    <t>Cement Bricks</t>
  </si>
  <si>
    <t>YTL Cement</t>
  </si>
  <si>
    <t>bag</t>
  </si>
  <si>
    <t>Coarse Sand (Scoop)</t>
  </si>
  <si>
    <t>SCOOP</t>
  </si>
  <si>
    <t>Gypsum Board 4ft x 6ft x 9mm (Super 9)</t>
  </si>
  <si>
    <t>Metal Furring 30mm x 0.30mm x 12.00ft</t>
  </si>
  <si>
    <t>Screw #6 x 1 (WM)</t>
  </si>
  <si>
    <t>A Plus Stopping Compound 20kg</t>
  </si>
  <si>
    <t>Skim Coat Fine 25kg</t>
  </si>
  <si>
    <t>Primer Sealer 18L</t>
  </si>
  <si>
    <t>Nippon Super Matex Ceiling Paint 18L</t>
  </si>
  <si>
    <t>LED Downlight 4in 12W</t>
  </si>
  <si>
    <t xml:space="preserve">DOCASA Combo, c/w One-piece rimless toilet bowl + modern bathroom sink cabinet with basin, mirror &amp; shelf , Soft-close seat and cover, Cistern fittings, Cistern cover with flush button, Straight connector </t>
  </si>
  <si>
    <t>Twins Shower Square 8"</t>
  </si>
  <si>
    <t>pc</t>
  </si>
  <si>
    <t>DLM Stopcock 1/2"</t>
  </si>
  <si>
    <t>Yessy Tile Floor Trap</t>
  </si>
  <si>
    <t>Bottle Trap PVC 11/4" 32mm Blue/green</t>
  </si>
  <si>
    <t>Silicone Sealant</t>
  </si>
  <si>
    <t>TUBE</t>
  </si>
  <si>
    <t>Black Gloss Paint 5L</t>
  </si>
  <si>
    <t>3ftW X 2ftH 2 Top Hung Window</t>
  </si>
  <si>
    <t>Pemasangan Lampu Downlight / Tebuk</t>
  </si>
  <si>
    <t>Bond Admix 4L</t>
  </si>
  <si>
    <t>Nippon Super Matex Interior Paint 18L</t>
  </si>
  <si>
    <t>Aluminium Sliding Window 4ft x 4ft Set</t>
  </si>
  <si>
    <t>Safety Aluminium Door 7ft x 3ft Set</t>
  </si>
  <si>
    <t>Wall Filler / Crack Filler</t>
  </si>
  <si>
    <t>Cleaning Chemical / Detergent</t>
  </si>
  <si>
    <t>Pemasangan Tingkap Aluminium</t>
  </si>
  <si>
    <t>Pemasangan Pintu Aluminium</t>
  </si>
  <si>
    <t>Cement</t>
  </si>
  <si>
    <t>3R Rust Remover 500ml</t>
  </si>
  <si>
    <t>BTL</t>
  </si>
  <si>
    <t>Steel Wire Brush</t>
  </si>
  <si>
    <t>Black Oxide Paint 18L</t>
  </si>
  <si>
    <t>Nippon Paint 5400 Wall Sealer 18L (Interior/Exterior)</t>
  </si>
  <si>
    <t>Colourland Weatherflex Base A 18L White</t>
  </si>
  <si>
    <t>Scaffolding Deposit (Refundable)</t>
  </si>
  <si>
    <t>Scaffolding Jack + U-Head Deposit (Refundable)</t>
  </si>
  <si>
    <t>============================================================</t>
  </si>
  <si>
    <t>BUTTON FUNCTIONS (SEARCH SHEET)</t>
  </si>
  <si>
    <t>1) Add All</t>
  </si>
  <si>
    <t>- Apa yang berlaku:</t>
  </si>
  <si>
    <t xml:space="preserve">  - Sistem akan loop semua baris Summary, bina "Key" = Category|Description|UOM.</t>
  </si>
  <si>
    <t xml:space="preserve">  - Jika Key belum wujud dalam Purchase!T:Z, ia akan tambah baris baru dan set Active=1.</t>
  </si>
  <si>
    <t>- Bila guna:</t>
  </si>
  <si>
    <t xml:space="preserve">  - Kali pertama setup Purchase override table.</t>
  </si>
  <si>
    <t xml:space="preserve">  - Bila Summary ada item baru dan kau nak sync masuk Purchase.</t>
  </si>
  <si>
    <t>2) Refresh</t>
  </si>
  <si>
    <t xml:space="preserve">  - Refresh Summary List (A5:E) ikut filter keyword di B2.</t>
  </si>
  <si>
    <t xml:space="preserve">  - Refresh Purchase List (I11:M) ikut filter keyword di B3.</t>
  </si>
  <si>
    <t xml:space="preserve">  - Kalau auto-refresh tak jalan.</t>
  </si>
  <si>
    <t xml:space="preserve">  - Lepas buat perubahan dan nak paksa update paparan.</t>
  </si>
  <si>
    <t>3) Final View</t>
  </si>
  <si>
    <t>- Tujuan: Jana "final purchase view" dalam Purchase!A:S (bukan override table T:Z).</t>
  </si>
  <si>
    <t xml:space="preserve">  - Ambil base data dari Summary: Category, Description, UOM, Rate, Auto Qty.</t>
  </si>
  <si>
    <t xml:space="preserve">  - Padankan dengan override dalam Purchase!T:Z (Purchase UOM / Pack / Override Qty / Override Rate / Active / Note).</t>
  </si>
  <si>
    <t xml:space="preserve">  - Kira Final UOM, Final Qty, Final Rate, Total RM.</t>
  </si>
  <si>
    <t xml:space="preserve">  - Isi Status seperti OK / INACTIVE / INPUT NEEDED (Override Rate).</t>
  </si>
  <si>
    <t xml:space="preserve">  - Isi Source Row = nombor baris asal dalam Summary untuk trace.</t>
  </si>
  <si>
    <t xml:space="preserve">  - Untuk tengok senarai pembelian akhir yang dah dicampur dengan override.</t>
  </si>
  <si>
    <t>4) Add To Edit</t>
  </si>
  <si>
    <t xml:space="preserve">  - Kau highlight satu atau banyak baris di Summary list (A5:E).</t>
  </si>
  <si>
    <t xml:space="preserve">  - Sistem ambil Key setiap baris dan tambah ke Edit Grid.</t>
  </si>
  <si>
    <t xml:space="preserve">  - Jika Key sudah ada dalam Edit Grid, sistem akan skip dan bagi message "Key already exists in edit grid."</t>
  </si>
  <si>
    <t xml:space="preserve">  - Jika Key sudah wujud dalam Purchase override table, sistem akan auto-load value (Purchase UOM/Pack/Override/Rate/Note/Active) masuk Edit Grid.</t>
  </si>
  <si>
    <t xml:space="preserve">  - Nak buat override untuk beberapa item sekali gus tanpa pergi ke Purchase sheet.</t>
  </si>
  <si>
    <t>5) Save Edit Grid</t>
  </si>
  <si>
    <t>- Tujuan: Simpan semua perubahan dari Edit Grid (H:P) ke Purchase override table (Purchase!T:Z).</t>
  </si>
  <si>
    <t xml:space="preserve">  - Sistem baca setiap row dalam Edit Grid yang ada Key.</t>
  </si>
  <si>
    <t xml:space="preserve">  - Jika Key belum wujud dalam Purchase override table, sistem akan auto-add row baru.</t>
  </si>
  <si>
    <t xml:space="preserve">  - Sistem update column T:Z: Purchase UOM, Pack Size, Override Qty, Override Rate, Note, Active.</t>
  </si>
  <si>
    <t xml:space="preserve">  - Lepas kau isi override dan nak apply betul-betul ke Purchase.</t>
  </si>
  <si>
    <t>6) Clear Edit</t>
  </si>
  <si>
    <t xml:space="preserve">  - Padam contents dalam ruang Edit Grid untuk mula edit batch baru.</t>
  </si>
  <si>
    <t xml:space="preserve">  - Bila kau nak reset batch edit (tak ganggu Purchase data).</t>
  </si>
  <si>
    <t>7) Delete</t>
  </si>
  <si>
    <t>- Tujuan: "Soft delete" item (bukan buang row).</t>
  </si>
  <si>
    <t xml:space="preserve">  - Sistem set Active=0 untuk Key yang dipilih.</t>
  </si>
  <si>
    <t xml:space="preserve">  - Item masih kekal dalam table untuk trace/undo (update-only).</t>
  </si>
  <si>
    <t xml:space="preserve">  - Bila kau nak exclude item daripada final purchase list, tanpa hilangkan rekod.</t>
  </si>
  <si>
    <t xml:space="preserve">  - Contoh: item pasir guni tak nak pakai sebab dah guna pasir trip.</t>
  </si>
  <si>
    <t>8) Undo Last</t>
  </si>
  <si>
    <t xml:space="preserve">  - Sistem simpan snapshot row T:Z sebelum update/delete.</t>
  </si>
  <si>
    <t xml:space="preserve">  - Undo akan restore T:Z row tersebut semula.</t>
  </si>
  <si>
    <t xml:space="preserve">  - Bila tersalah set Active=0 / tersalah edit override qty/rate/note.</t>
  </si>
  <si>
    <t>- Tujuan: Masukkan semua item yang wujud dalam Summary (Consolidated) ke dalam Purchase override table.</t>
  </si>
  <si>
    <t>- Tujuan: Refresh paparan Search.</t>
  </si>
  <si>
    <t>- Tujuan: Masukkan item yang kau pilih dari Summary List ke dalam Edit Grid (H:P) untuk edit beramai-ramai.</t>
  </si>
  <si>
    <t>- Tujuan: Kosongkan Edit Grid (H:P) sahaja.</t>
  </si>
  <si>
    <t>- Tujuan: Undo perubahan terakhir yang dibuat dalam Purchase override table.</t>
  </si>
  <si>
    <t>OK</t>
  </si>
  <si>
    <t>S01</t>
  </si>
  <si>
    <t>S02</t>
  </si>
  <si>
    <t>S03</t>
  </si>
  <si>
    <t>UsageQty</t>
  </si>
  <si>
    <t>Wastage</t>
  </si>
  <si>
    <t>UsePlusWaste</t>
  </si>
  <si>
    <t>TotalRM</t>
  </si>
  <si>
    <t>SourceSheet</t>
  </si>
  <si>
    <t>SourceRow</t>
  </si>
  <si>
    <t>MATERIAL</t>
  </si>
  <si>
    <t>LABOUR</t>
  </si>
  <si>
    <t>SERVICE</t>
  </si>
  <si>
    <t>LABOUR|Pemasangan Lampu Downlight / Tebuk|PCS</t>
  </si>
  <si>
    <t>LABOUR|Pemasangan Tingkap Aluminium|set</t>
  </si>
  <si>
    <t>LABOUR|Pemasangan Pintu Aluminium|set</t>
  </si>
  <si>
    <t>MATERIAL|Tile 300mm x 600mm|PCS</t>
  </si>
  <si>
    <t>MATERIAL|Tile 300mm x 450mm|PCS</t>
  </si>
  <si>
    <t>MATERIAL|Tile Adhesive Weber 99|BAG</t>
  </si>
  <si>
    <t>MATERIAL|Weber Weberfill Fine Grout Coloured Grout For Narrow Tile Joint (3.5kg)|BAG</t>
  </si>
  <si>
    <t>MATERIAL|Weber WP100 Waterproof|set</t>
  </si>
  <si>
    <t>MATERIAL|Cement Bricks|PCS</t>
  </si>
  <si>
    <t>MATERIAL|YTL Cement|bag</t>
  </si>
  <si>
    <t>MATERIAL|Coarse Sand (Scoop)|SCOOP</t>
  </si>
  <si>
    <t>MATERIAL|Gypsum Board 4ft x 6ft x 9mm (Super 9)|PCS</t>
  </si>
  <si>
    <t>MATERIAL|Metal Furring 30mm x 0.30mm x 12.00ft|PCS</t>
  </si>
  <si>
    <t>MATERIAL|Screw #6 x 1 (WM)|BOX</t>
  </si>
  <si>
    <t>MATERIAL|A Plus Stopping Compound 20kg|BAG</t>
  </si>
  <si>
    <t>MATERIAL|Skim Coat Fine 25kg|BAG</t>
  </si>
  <si>
    <t>MATERIAL|Primer Sealer 18L|TIN</t>
  </si>
  <si>
    <t>MATERIAL|Nippon Super Matex Ceiling Paint 18L|TIN</t>
  </si>
  <si>
    <t>MATERIAL|LED Downlight 4in 12W|PCS</t>
  </si>
  <si>
    <t>MATERIAL|DOCASA Combo, c/w One-piece rimless toilet bowl + modern bathroom sink cabinet with basin, mirror &amp; shelf , Soft-close seat and cover, Cistern fittings, Cistern cover with flush button, Straight connector|PCS</t>
  </si>
  <si>
    <t>DOCASA Combo, c/w One-piece rimless toilet bowl + modern bathroom sink cabinet with basin, mirror &amp; shelf , Soft-close seat and cover, Cistern fittings, Cistern cover with flush button, Straight connector</t>
  </si>
  <si>
    <t>MATERIAL|Twins Shower Square 8"|pc</t>
  </si>
  <si>
    <t>MATERIAL|DLM Stopcock 1/2"|pc</t>
  </si>
  <si>
    <t>MATERIAL|Yessy Tile Floor Trap|pc</t>
  </si>
  <si>
    <t>MATERIAL|Bottle Trap PVC 11/4" 32mm Blue/green|PCS</t>
  </si>
  <si>
    <t>MATERIAL|Silicone Sealant|TUBE</t>
  </si>
  <si>
    <t>MATERIAL|Black Gloss Paint 5L|TIN</t>
  </si>
  <si>
    <t>MATERIAL|3ftW X 2ftH 2 Top Hung Window|SET</t>
  </si>
  <si>
    <t>MATERIAL|Bond Admix 4L|TIN</t>
  </si>
  <si>
    <t>MATERIAL|Nippon Super Matex Interior Paint 18L|TIN</t>
  </si>
  <si>
    <t>MATERIAL|Aluminium Sliding Window 4ft x 4ft Set|set</t>
  </si>
  <si>
    <t>MATERIAL|Safety Aluminium Door 7ft x 3ft Set|set</t>
  </si>
  <si>
    <t>MATERIAL|Wall Filler / Crack Filler|KG</t>
  </si>
  <si>
    <t>MATERIAL|Cleaning Chemical / Detergent|set</t>
  </si>
  <si>
    <t>MATERIAL|Cement|BAG</t>
  </si>
  <si>
    <t>MATERIAL|3R Rust Remover 500ml|BTL</t>
  </si>
  <si>
    <t>MATERIAL|Steel Wire Brush|PCS</t>
  </si>
  <si>
    <t>MATERIAL|Black Oxide Paint 18L|SET</t>
  </si>
  <si>
    <t>MATERIAL|Nippon Paint 5400 Wall Sealer 18L (Interior/Exterior)|UNIT</t>
  </si>
  <si>
    <t>MATERIAL|Colourland Weatherflex Base A 18L White|TIN</t>
  </si>
  <si>
    <t>SERVICE|RORO Bin - 2ft (Per Trip)|TRIP</t>
  </si>
  <si>
    <t>SERVICE|Scaffolding Bay Set (Used) 1.7m(H) x 0.9m(W) incl 1 Platform (Per Month). Deposit RM195/set refundable.|SET</t>
  </si>
  <si>
    <t>SERVICE|Scaffolding Jack + U-Head Set (Used) 600mm (2 Jack Base + 2 U-Head) (Per Month). Deposit RM40/set refundable.|SET</t>
  </si>
  <si>
    <t>SERVICE|Scaffolding Deposit (Refundable)|UNIT</t>
  </si>
  <si>
    <t>SERVICE|Scaffolding Jack + U-Head Deposit (Refundable)|UNIT</t>
  </si>
  <si>
    <t>README - BOQ.xlsx WORKFLOW (S01-S100 + SUMMARY + SEARCH/PURCHASE)</t>
  </si>
  <si>
    <t>Version: V2.2 (Simple Sections, No Sub-Headings)</t>
  </si>
  <si>
    <t>Last update: 2026-02-16</t>
  </si>
  <si>
    <t>1) AUTHORITATIVE SOURCES (STRICT)</t>
  </si>
  <si>
    <t>- This README / tracker workflow (layout + rules)</t>
  </si>
  <si>
    <t>- 1.2 Materials.txt (exact item names + UOM + rates if any)</t>
  </si>
  <si>
    <t>- 1.3 Labour.txt (exact labour/rental/service names + UOM + rates if any)</t>
  </si>
  <si>
    <t>Hard rules:</t>
  </si>
  <si>
    <t>- Description MUST match master list text exactly (case/spaces).</t>
  </si>
  <si>
    <t>- UOM MUST follow master list UOM for that Description.</t>
  </si>
  <si>
    <t>- If required item does not exist in master list:</t>
  </si>
  <si>
    <t xml:space="preserve">  - Do not invent a new name in BOQ.</t>
  </si>
  <si>
    <t xml:space="preserve">  - Add item to Materials.txt or Labour.txt first, then use it.</t>
  </si>
  <si>
    <t>- If SPEC is truly missing a required input, use NOTE prefix: INPUT NEEDED.</t>
  </si>
  <si>
    <t>- Output format: Copy Code Tab Delimited only. No exceptions, no excuses. Unless User state otherwise, do not provide any other format</t>
  </si>
  <si>
    <t>2) CHANGE CONTROL (DO NOT LET AI REWRITE README)</t>
  </si>
  <si>
    <t>- If you ask AI to update README:</t>
  </si>
  <si>
    <t xml:space="preserve">  - AI MUST update ONLY the requested section(s).</t>
  </si>
  <si>
    <t xml:space="preserve">  - AI MUST NOT rewrite, reformat, reorder, renumber, or replace the entire README.</t>
  </si>
  <si>
    <t xml:space="preserve">  - AI MUST keep existing section numbers stable.</t>
  </si>
  <si>
    <t xml:space="preserve">  - AI MUST append new bullets inside the same section if needed.</t>
  </si>
  <si>
    <t>- Exception:</t>
  </si>
  <si>
    <t xml:space="preserve">  - If user explicitly requests "full README replacement", AI may output the full README once.</t>
  </si>
  <si>
    <t>3) MASTER LISTS (WHAT THEY CONTAIN)</t>
  </si>
  <si>
    <t>- Materials.txt:</t>
  </si>
  <si>
    <t xml:space="preserve">  - Approved material item names (Description) and their allowed UOM (and optional rate).</t>
  </si>
  <si>
    <t xml:space="preserve">  - This is the ONLY allowed source for material Description text.</t>
  </si>
  <si>
    <t>- Labour.txt:</t>
  </si>
  <si>
    <t xml:space="preserve">  - Approved labour / service / rental item names (Description) and their allowed UOM (and optional rate).</t>
  </si>
  <si>
    <t xml:space="preserve">  - This is the ONLY allowed source for labour/service/rental Description text.</t>
  </si>
  <si>
    <t>- Impact:</t>
  </si>
  <si>
    <t xml:space="preserve">  - BOQ consolidation and summary grouping depends on identical Description text.</t>
  </si>
  <si>
    <t xml:space="preserve">  - If the same function is needed across scopes, ALWAYS reuse the same master item.</t>
  </si>
  <si>
    <t>4) WORKFLOW PHASES (CHATGPT MODE)</t>
  </si>
  <si>
    <t>- Phase 1: SPEC FIRST (A:C only)</t>
  </si>
  <si>
    <t xml:space="preserve">  - Discuss and finalize SPEC in A:C until confirmed complete.</t>
  </si>
  <si>
    <t xml:space="preserve">  - Do NOT fill any block values until SPEC is finalized.</t>
  </si>
  <si>
    <t>- Phase 2: TAKEOFF + FILL BLOCKS</t>
  </si>
  <si>
    <t xml:space="preserve">  - After SPEC is final, fill block values using master list exact names.</t>
  </si>
  <si>
    <t xml:space="preserve">  - Output must be paste-ready TSV for INPUT columns only (formula columns are not pasted).</t>
  </si>
  <si>
    <t>- Phase 3: REVIEW + SUMMARY + OVERRIDE</t>
  </si>
  <si>
    <t xml:space="preserve">  - Check consistency across scopes (same items use same exact Description).</t>
  </si>
  <si>
    <t xml:space="preserve">  - Use Search/Purchase override workflow for packaging and price overrides.</t>
  </si>
  <si>
    <t>5) SCOPE PLANNING + WORK SEQUENCE (CRITICAL)</t>
  </si>
  <si>
    <t>- When user provides multiple works in one message, AI MUST:</t>
  </si>
  <si>
    <t xml:space="preserve">  - Mandatory Requirement: You must deconstruct the user's input to identify all distinct work scopes. You are strictly forbidden from outputting tasks in a random order. You must arrange the output according to a professional construction/operational sequence. Think before you act: do not put the finishings before the foundations.</t>
  </si>
  <si>
    <t xml:space="preserve">  - First produce a Scope List in logical construction order.</t>
  </si>
  <si>
    <t xml:space="preserve">  - Then map each scope to S01, S02, S03... in that same order.</t>
  </si>
  <si>
    <t>- AI MUST NOT reorder works randomly.</t>
  </si>
  <si>
    <t>- Rule of thumb sequence (example):</t>
  </si>
  <si>
    <t xml:space="preserve">  - Setting out / protection</t>
  </si>
  <si>
    <t xml:space="preserve">  - Hacking / demolition / disposal</t>
  </si>
  <si>
    <t xml:space="preserve">  - Structural / base / concrete / rebar / formwork</t>
  </si>
  <si>
    <t xml:space="preserve">  - Drainage / plumbing rough-in</t>
  </si>
  <si>
    <t xml:space="preserve">  - Waterproofing</t>
  </si>
  <si>
    <t xml:space="preserve">  - Screed / leveling / plaster / skim</t>
  </si>
  <si>
    <t xml:space="preserve">  - Tiling</t>
  </si>
  <si>
    <t xml:space="preserve">  - Metal/roofing installation</t>
  </si>
  <si>
    <t xml:space="preserve">  - Sealant / finishing</t>
  </si>
  <si>
    <t xml:space="preserve">  - Final cleaning</t>
  </si>
  <si>
    <t>- If scope order is unclear, AI must write CONFLICT note in SPEC A:C and stop before filling sheets.</t>
  </si>
  <si>
    <t>6) WHEN TO USE S01 ONLY VS SPLIT INTO S02..SXX</t>
  </si>
  <si>
    <t>- Option A (Small job, single scope):</t>
  </si>
  <si>
    <t xml:space="preserve">  - Use S01 only for the entire job.</t>
  </si>
  <si>
    <t>- Option B (Large job OR multiple scopes):</t>
  </si>
  <si>
    <t xml:space="preserve">  - MUST split by scope into S01..SXX in construction sequence order.</t>
  </si>
  <si>
    <t>- 45-row rule (SPEC length control):</t>
  </si>
  <si>
    <t xml:space="preserve">  - If job has multiple scopes AND the combined SPEC A:C would exceed ~45 rows:</t>
  </si>
  <si>
    <t xml:space="preserve">    - MUST split scopes into separate sheets (S01, S02, S03...) to keep each scope readable.</t>
  </si>
  <si>
    <t xml:space="preserve">  - If job is ONE scope only:</t>
  </si>
  <si>
    <t xml:space="preserve">    - Keep it in S01 even if SPEC exceeds 45 rows (do NOT split a single scope into multiple sheets).</t>
  </si>
  <si>
    <t>- Naming rule:</t>
  </si>
  <si>
    <t xml:space="preserve">  - Each sheet SXX SPEC A:C must clearly state the scope title and key measurements for that scope.</t>
  </si>
  <si>
    <t>7) SPEC A:C FORMAT (HEADER + HOW TO WRITE)</t>
  </si>
  <si>
    <t>- Columns A:C are SPEC only (editable). They are for discussion and scope definition.</t>
  </si>
  <si>
    <t>- Use this header in Row 1 (or the first SPEC row for each SXX):</t>
  </si>
  <si>
    <t xml:space="preserve">  A = Spec</t>
  </si>
  <si>
    <t xml:space="preserve">  B = Description</t>
  </si>
  <si>
    <t xml:space="preserve">  C = Note</t>
  </si>
  <si>
    <t>Additional hard rule:</t>
  </si>
  <si>
    <t>- Every SXX sheet MUST start with at least 2 SPEC rows:</t>
  </si>
  <si>
    <t xml:space="preserve">  1) SXX-TITLE (Scope Title)</t>
  </si>
  <si>
    <t xml:space="preserve">  2) SXX-OVERVIEW (Work description / inclusions-exclusions / assumptions)</t>
  </si>
  <si>
    <t>- This applies even for a simple scope.</t>
  </si>
  <si>
    <t>- No takeoff lines may be produced until these 2 rows exist and are filled.</t>
  </si>
  <si>
    <t>Mandatory structure in every SXX (top of A:C):</t>
  </si>
  <si>
    <t>- The first SPEC entry MUST be the scope title.</t>
  </si>
  <si>
    <t xml:space="preserve">  - A (Spec): SXX-TITLE</t>
  </si>
  <si>
    <t xml:space="preserve">  - B (Description): Scope Title (short, clear)</t>
  </si>
  <si>
    <t xml:space="preserve">  - C (Note): One-line objective and location (where the work is)</t>
  </si>
  <si>
    <t>- The second SPEC entry MUST be scope overview / method statement summary.</t>
  </si>
  <si>
    <t xml:space="preserve">  - A (Spec): SXX-OVERVIEW</t>
  </si>
  <si>
    <t xml:space="preserve">  - B (Description): Work description (what is included / excluded)</t>
  </si>
  <si>
    <t xml:space="preserve">  - C (Note): Any assumptions, constraints, access, working hours, protection needs</t>
  </si>
  <si>
    <t>- After that, write SPEC items in the same sheet, grouped logically.</t>
  </si>
  <si>
    <t xml:space="preserve">  - Each line should describe ONE measurable or verifiable input.</t>
  </si>
  <si>
    <t xml:space="preserve">  - Avoid mixing unrelated inputs in one row.</t>
  </si>
  <si>
    <t>Examples of SPEC line types (use as needed):</t>
  </si>
  <si>
    <t>- Dimensions/quantities:</t>
  </si>
  <si>
    <t xml:space="preserve">  - A: SXX-DIM</t>
  </si>
  <si>
    <t xml:space="preserve">  - B: Area/length/height/qty description</t>
  </si>
  <si>
    <t xml:space="preserve">  - C: Values with units (mm, m, sqm, pcs) and references (drawing/photo/onsite)</t>
  </si>
  <si>
    <t>- Method/sequence requirement:</t>
  </si>
  <si>
    <t xml:space="preserve">  - A: SXX-METHOD</t>
  </si>
  <si>
    <t xml:space="preserve">  - B: Key method requirement (e.g., "2 coats waterproofing")</t>
  </si>
  <si>
    <t xml:space="preserve">  - C: Constraints (dry time, primer, surface prep)</t>
  </si>
  <si>
    <t>- Material/brand rule (consistency control):</t>
  </si>
  <si>
    <t xml:space="preserve">  - A: SXX-MATERIAL-STD</t>
  </si>
  <si>
    <t xml:space="preserve">  - B: Standardize item (one brand/type across all scopes)</t>
  </si>
  <si>
    <t xml:space="preserve">  - C: "Use same Description as Materials.txt item: &lt;Exact Name&gt;"</t>
  </si>
  <si>
    <t>Spec completion rule (discussion mode):</t>
  </si>
  <si>
    <t>- If pasted SPEC is incomplete:</t>
  </si>
  <si>
    <t xml:space="preserve">  - AI MUST ask or infer missing details from the scenario you provided.</t>
  </si>
  <si>
    <t xml:space="preserve">  - AI MUST add the missing SPEC lines needed for correct takeoff.</t>
  </si>
  <si>
    <t xml:space="preserve">  - AI MUST mark any inferred/default values using NOTE prefix: DEFAULT USED.</t>
  </si>
  <si>
    <t>- If there is a contradiction:</t>
  </si>
  <si>
    <t xml:space="preserve">  - AI MUST flag it using NOTE prefix: CONFLICT.</t>
  </si>
  <si>
    <t xml:space="preserve">  - AI MUST stop before filling SXX blocks until conflict is resolved.</t>
  </si>
  <si>
    <t>- If a required input is truly missing and cannot be inferred:</t>
  </si>
  <si>
    <t xml:space="preserve">  - AI MUST write NOTE prefix: INPUT NEEDED and list the exact question needed.</t>
  </si>
  <si>
    <t>Important:</t>
  </si>
  <si>
    <t>- SPEC A:C is where the real discussion happens.</t>
  </si>
  <si>
    <t>- AI must not jump into takeoff blocks until SPEC A:C is coherent and complete.</t>
  </si>
  <si>
    <t>- Stop asking for input that has already been provided. Your instructions are clear: analyze the user’s specs in full before opening your mouth. 'INPUT NEEDED' is not an acceptable shortcut for failing to read carefully..</t>
  </si>
  <si>
    <t>8) WHAT AI MUST OUTPUT AFTER SPEC IS FINAL</t>
  </si>
  <si>
    <t>- AI must output EXACTLY 3 TSV blocks per SXX (input columns only):</t>
  </si>
  <si>
    <t xml:space="preserve">  - Materials (paste into E:K):</t>
  </si>
  <si>
    <t xml:space="preserve">    Note | Spec | Description | UOM | Usage Qty | Wastage/Buffer | Price/Unit (RM)</t>
  </si>
  <si>
    <t xml:space="preserve">  - Labour (paste into P:V):</t>
  </si>
  <si>
    <t xml:space="preserve">    Note | Spec | Description | UOM | Usage Qty | Wastage/Buffer | Rate (RM)</t>
  </si>
  <si>
    <t xml:space="preserve">  - Service (paste into AA:AG):</t>
  </si>
  <si>
    <t>- AI must not output any Total (RM) columns (formula-only).</t>
  </si>
  <si>
    <t>- AI must not paste into formula columns (L:M:N, W:X:Y, AH:AI:AJ).</t>
  </si>
  <si>
    <t>- AI must fill every row that can be computed from SPEC A:C and master list.</t>
  </si>
  <si>
    <t>- AI must not leave blanks for computable items.</t>
  </si>
  <si>
    <t>9) NOTE PREFIX STANDARD (FOR AUDIT)</t>
  </si>
  <si>
    <t>- Notes are text-only and must stay in the Note column.</t>
  </si>
  <si>
    <t>- Allowed prefixes:</t>
  </si>
  <si>
    <t xml:space="preserve">  - CALC NOTE: derived from SPEC A:C geometry/logic</t>
  </si>
  <si>
    <t xml:space="preserve">  - DEFAULT USED: used a project default value (editable later)</t>
  </si>
  <si>
    <t xml:space="preserve">  - CONFLICT: spec contradiction or mismatch (needs decision)</t>
  </si>
  <si>
    <t xml:space="preserve">  - INPUT NEEDED: blocked because SPEC truly missing critical input OR master item missing</t>
  </si>
  <si>
    <t>- Do NOT use INPUT NEEDED if the value can be derived from SPEC A:C.</t>
  </si>
  <si>
    <t>10) UPDATE-ONLY RULE (NEVER DELETE)</t>
  </si>
  <si>
    <t>- Never delete old useful lines.</t>
  </si>
  <si>
    <t>- If a line becomes obsolete:</t>
  </si>
  <si>
    <t xml:space="preserve">  - Set Usage Qty = 0</t>
  </si>
  <si>
    <t xml:space="preserve">  - Explain why in Note</t>
  </si>
  <si>
    <t>- Add new lines below existing ones.</t>
  </si>
  <si>
    <t>11) CONSISTENCY RULE (CRITICAL FOR CONSOLIDATION)</t>
  </si>
  <si>
    <t>- If S01 uses a specific master item (brand/type), S02..S100 MUST use the SAME exact item for the same purpose.</t>
  </si>
  <si>
    <t>- Reason: consolidation by Description requires identical text.</t>
  </si>
  <si>
    <t>- If you intentionally change an item (brand/type) in later scopes:</t>
  </si>
  <si>
    <t xml:space="preserve">  - Write the reason in SPEC (A:C) and in the row Note.</t>
  </si>
  <si>
    <t xml:space="preserve">  - Keep the old row (update-only) and set Usage Qty = 0 for obsolete line.</t>
  </si>
  <si>
    <t>12) SUMMARY + SEARCH/PURCHASE OVERRIDE (PACKAGING + PRICE)</t>
  </si>
  <si>
    <t>- Goal:</t>
  </si>
  <si>
    <t xml:space="preserve">  - Keep takeoff sheets (S01..S100) as "auto/mapping" quantities.</t>
  </si>
  <si>
    <t xml:space="preserve">  - Do packaging rounding and vendor pricing decisions in Purchase override flow.</t>
  </si>
  <si>
    <t>- Summary:</t>
  </si>
  <si>
    <t xml:space="preserve">  - Consolidates items by exact Description across selected sheets.</t>
  </si>
  <si>
    <t>- Purchase:</t>
  </si>
  <si>
    <t xml:space="preserve">  - Stores override records (manual edits) for packaging and price.</t>
  </si>
  <si>
    <t>- Search:</t>
  </si>
  <si>
    <t xml:space="preserve">  - UI sheet to search Summary items and manage Purchase overrides.</t>
  </si>
  <si>
    <t>- Override use cases:</t>
  </si>
  <si>
    <t xml:space="preserve">  - Convert small packaging to bulk (example: sand bags -&gt; truck/trip).</t>
  </si>
  <si>
    <t xml:space="preserve">  - Round up to supplier pack size (example: need 15 pcs but supplier sells 16 pcs).</t>
  </si>
  <si>
    <t xml:space="preserve">  - Force one brand/type across scopes by overriding and zeroing obsolete lines (update-only rule).</t>
  </si>
  <si>
    <t>13) LABOUR PRODUCTIVITY RULES</t>
  </si>
  <si>
    <t>- All Man-Hour estimates must use realistic productivity (not ideal).</t>
  </si>
  <si>
    <t>- Standard efficiency factor: 0.65</t>
  </si>
  <si>
    <t xml:space="preserve">  - If you have an ideal/base MH, divide by 0.65 to get realistic MH.</t>
  </si>
  <si>
    <t>- Logistics &amp; handling allowance: +20%</t>
  </si>
  <si>
    <t xml:space="preserve">  - Loading/unloading + moving materials to work point.</t>
  </si>
  <si>
    <t>- Sequence &amp; interruption allowance: +15%</t>
  </si>
  <si>
    <t xml:space="preserve">  - Setting out, daily cleanup, waiting time between phases.</t>
  </si>
  <si>
    <t>- Complexity guidance (use one factor consistently per task type):</t>
  </si>
  <si>
    <t xml:space="preserve">  - Light work (paint/clean): 0.80</t>
  </si>
  <si>
    <t xml:space="preserve">  - Medium work (brick/plaster/tile): 0.65</t>
  </si>
  <si>
    <t xml:space="preserve">  - Heavy/structural (hacking/G25 infill/rebar): 0.55</t>
  </si>
  <si>
    <t>14) USER-INPUT ROW TEMPLATE (FOR EVERY SXX SHEET)</t>
  </si>
  <si>
    <t>- All user instructions, clarifications, agreed details, and technical decisions relevant to the scope/block generation must be recorded directly in SPEC A:C after the last SPEC line (e.g. ‘SXX-USER-INPUT’).</t>
  </si>
  <si>
    <t>- The USER-INPUT row (location: any row below last SPEC line) is the single authoritative reference for all user inputs for block 1-3 generation in this sheet/scope.</t>
  </si>
  <si>
    <t>- User inputs need only be written ONCE in the USER-INPUT row if there are no changes—there is NO requirement to rewrite or re-paste previous user input across updates.</t>
  </si>
  <si>
    <t>- Specification lines (SPEC A:C) may be updated or added as scope changes or information is refined. When updating SPEC, always update ONLY the affected line/section; DO NOT rewrite or change other SPEC/USER-INPUT rows that have not changed.</t>
  </si>
  <si>
    <t>- If any new user input, instruction, or decision is given, update ONLY the USER-INPUT row with the new or adjusted input. Do NOT change other rows unnecessarily.</t>
  </si>
  <si>
    <t>- AI is strictly forbidden from disregarding, prompting again, or omitting any input that remains recorded in the USER-INPUT row.</t>
  </si>
  <si>
    <t>- As long as the USER-INPUT row remains up to date and unchanged, it does NOT need to be re-written for each version or revision—the AI must treat it as current and valid until an explicit change is provided.</t>
  </si>
  <si>
    <t>- Any omission, overwriting, or unnecessary rewriting of USER-INPUT or unrelated SPEC lines is a violation of workflow protocol.</t>
  </si>
  <si>
    <t>15) HANDOVER (PASTE THIS TO NEW SESSION)</t>
  </si>
  <si>
    <t>- We use BOQ.xlsx with S01..S100 + SUMMARY + Search/Purchase override.</t>
  </si>
  <si>
    <t>- SPEC is A:C only; D is blank spacer.</t>
  </si>
  <si>
    <t>- Each SXX has 3 blocks only:</t>
  </si>
  <si>
    <t xml:space="preserve">  - Materials E:N (paste E:K only)</t>
  </si>
  <si>
    <t xml:space="preserve">  - Labour P:Y (paste P:V only)</t>
  </si>
  <si>
    <t xml:space="preserve">  - Service AA:AJ (paste AA:AG only)</t>
  </si>
  <si>
    <t>- Description + UOM must match master lists exactly.</t>
  </si>
  <si>
    <t>- If multiple scopes are given, AI must map scopes to S01..SXX in construction sequence order (no random reorder).</t>
  </si>
  <si>
    <t>- After SPEC is final, AI must output 3 TSV blocks (input columns only) and must not touch formula columns.</t>
  </si>
  <si>
    <t>END.</t>
  </si>
  <si>
    <t>``` :contentReference[oaicite:0]{index=0}</t>
  </si>
  <si>
    <t>Kalau you nak, saya boleh tambah **1 perenggan keras** lagi dalam Section 6 yang “wajib buat Scope List dulu sebelum isi BOQ” (ayat tegas untuk prompt AI) — tapi yang di atas dah cukup strict dan selari dengan masalah you (AI susun kerja tak ikut logik + salah guna S01/S02).</t>
  </si>
  <si>
    <t>Temporary Hoarding for Mall Renovation Area</t>
  </si>
  <si>
    <t>Objective: provide temporary full-height hoarding to close off mall renovation work area.</t>
  </si>
  <si>
    <t>Supply, fabricate and install temporary hoarding using PVC board on timber framing, including framing, fixing, tie-back/bracing to existing wall, cutting, installation and all necessary minor accessories.</t>
  </si>
  <si>
    <t>Assumption: single hoarding scope only, use S01. Excludes door/access opening unless later instructed.</t>
  </si>
  <si>
    <t>S01-DIM</t>
  </si>
  <si>
    <t>Total Hoarding Length</t>
  </si>
  <si>
    <t>22.5m total length from 7.5m + 15.0m.</t>
  </si>
  <si>
    <t>Hoarding Height</t>
  </si>
  <si>
    <t>4.0m height.</t>
  </si>
  <si>
    <t>Hoarding Area</t>
  </si>
  <si>
    <t>CALC NOTE: 22.5m x 4.0m = 90.0m2.</t>
  </si>
  <si>
    <t>S01-MATERIAL-STD</t>
  </si>
  <si>
    <t>Hoarding Board</t>
  </si>
  <si>
    <t>3mm x 4ft x 8ft PVC White.</t>
  </si>
  <si>
    <t>Framing Timber</t>
  </si>
  <si>
    <t>1" x 2" x 12ft Finger Joint timber.</t>
  </si>
  <si>
    <t>S01-METHOD</t>
  </si>
  <si>
    <t>Framing Module Basis</t>
  </si>
  <si>
    <t>DEFAULT USED: framing arranged based on 1m module/run as described by user.</t>
  </si>
  <si>
    <t>Perimeter Framing Requirement</t>
  </si>
  <si>
    <t>Each 1m module requires full perimeter timber framing for 4m high panel.</t>
  </si>
  <si>
    <t>Internal Support Requirement</t>
  </si>
  <si>
    <t>3 pcs internal middle support / mullion required per 1m module.</t>
  </si>
  <si>
    <t>Tie-Back / Bracing Spacing</t>
  </si>
  <si>
    <t>Tie-back from hoarding frame to existing wall at approximately 2ft spacing.</t>
  </si>
  <si>
    <t>Fixing / Tie Locations</t>
  </si>
  <si>
    <t>Approximately 4 fixing / tie locations required.</t>
  </si>
  <si>
    <t>Wall Gap / Tie Distance</t>
  </si>
  <si>
    <t>Tie-back distance to wall approximately 2ft.</t>
  </si>
  <si>
    <t>Existing Wall Support Condition</t>
  </si>
  <si>
    <t>INPUT NEEDED: confirm actual fixing method to wall for takeoff later (example: timber strut, angle bracket, wire, anchor screw, or mixed method).</t>
  </si>
  <si>
    <t>Hoarding Finish</t>
  </si>
  <si>
    <t>DEFAULT USED: white PVC exposed finish, no separate paint finish.</t>
  </si>
  <si>
    <t>S01-USER-INPUT</t>
  </si>
  <si>
    <t>User Instructions / Agreed Inputs</t>
  </si>
  <si>
    <t>User stated material prices for later reference: 3mm x 4ft x 8ft PVC White @ RM23/pc; 1" x 2" x 12ft Finger Joint @ RM9/pc. User also stated not to proceed with full BOQ blocks yet and requested SPEC first.</t>
  </si>
  <si>
    <t>CALC NOTE: realistic MH total set at 60 MH for 22.5m x 4.0m hoarding after efficiency/logistics/interruption allowance; skilled portion 20 MH</t>
  </si>
  <si>
    <t>Labour - Skilled Worker (Per MH)</t>
  </si>
  <si>
    <t>CALC NOTE: realistic MH total set at 60 MH for 22.5m x 4.0m hoarding after efficiency/logistics/interruption allowance; helper portion 40 MH</t>
  </si>
  <si>
    <t>Labour - General Helper (Per MH)</t>
  </si>
  <si>
    <t>CALC NOTE: main frame; 23 modules x 13m = 299m; 299/3.048 = 98.10 -&gt; 99 pcs</t>
  </si>
  <si>
    <t>Timber 1" x 2" x 10ft</t>
  </si>
  <si>
    <t>CALC NOTE: tie-back timber; 22.5m = 73.82ft; 2ft spacing = 37 lines; allow 296ft tie timber; 296/10ft = 29.60 -&gt; 30 pcs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</si>
</sst>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49" fontId="0" fillId="3" borderId="0" xfId="0" applyNumberFormat="1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4" borderId="0" xfId="0" applyFill="1"/>
    <xf numFmtId="4" fontId="0" fillId="0" borderId="0" xfId="0" applyNumberFormat="1"/>
    <xf numFmtId="4" fontId="1" fillId="5" borderId="0" xfId="0" applyNumberFormat="1" applyFont="1" applyFill="1"/>
    <xf numFmtId="4" fontId="1" fillId="0" borderId="0" xfId="0" applyNumberFormat="1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" fontId="0" fillId="5" borderId="1" xfId="0" applyNumberFormat="1" applyFill="1" applyBorder="1"/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5" borderId="0" xfId="0" applyFill="1"/>
    <xf numFmtId="0" fontId="0" fillId="0" borderId="0" xfId="0" applyAlignment="1">
      <alignment horizontal="right" vertical="center"/>
    </xf>
    <xf numFmtId="49" fontId="2" fillId="0" borderId="0" xfId="0" applyNumberFormat="1" applyFont="1"/>
    <xf numFmtId="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19050</xdr:rowOff>
        </xdr:from>
        <xdr:to>
          <xdr:col>6</xdr:col>
          <xdr:colOff>990600</xdr:colOff>
          <xdr:row>2</xdr:row>
          <xdr:rowOff>161925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3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19050</xdr:rowOff>
        </xdr:from>
        <xdr:to>
          <xdr:col>6</xdr:col>
          <xdr:colOff>990600</xdr:colOff>
          <xdr:row>3</xdr:row>
          <xdr:rowOff>161925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3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19050</xdr:rowOff>
        </xdr:from>
        <xdr:to>
          <xdr:col>6</xdr:col>
          <xdr:colOff>990600</xdr:colOff>
          <xdr:row>4</xdr:row>
          <xdr:rowOff>161925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3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19050</xdr:rowOff>
        </xdr:from>
        <xdr:to>
          <xdr:col>6</xdr:col>
          <xdr:colOff>990600</xdr:colOff>
          <xdr:row>5</xdr:row>
          <xdr:rowOff>161925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3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19050</xdr:rowOff>
        </xdr:from>
        <xdr:to>
          <xdr:col>6</xdr:col>
          <xdr:colOff>990600</xdr:colOff>
          <xdr:row>6</xdr:row>
          <xdr:rowOff>161925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3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Edit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19050</xdr:rowOff>
        </xdr:from>
        <xdr:to>
          <xdr:col>6</xdr:col>
          <xdr:colOff>990600</xdr:colOff>
          <xdr:row>7</xdr:row>
          <xdr:rowOff>161925</xdr:rowOff>
        </xdr:to>
        <xdr:sp macro="" textlink="">
          <xdr:nvSpPr>
            <xdr:cNvPr id="1105" name="Button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3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8</xdr:row>
          <xdr:rowOff>19050</xdr:rowOff>
        </xdr:from>
        <xdr:to>
          <xdr:col>6</xdr:col>
          <xdr:colOff>990600</xdr:colOff>
          <xdr:row>8</xdr:row>
          <xdr:rowOff>161925</xdr:rowOff>
        </xdr:to>
        <xdr:sp macro="" textlink="">
          <xdr:nvSpPr>
            <xdr:cNvPr id="1106" name="Button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3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19050</xdr:rowOff>
        </xdr:from>
        <xdr:to>
          <xdr:col>6</xdr:col>
          <xdr:colOff>990600</xdr:colOff>
          <xdr:row>9</xdr:row>
          <xdr:rowOff>161925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3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Last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708C-D966-4AB1-84A6-E7F6D6095B24}">
  <sheetPr codeName="Sheet1"/>
  <dimension ref="A2:N300"/>
  <sheetViews>
    <sheetView zoomScale="75" zoomScaleNormal="75" workbookViewId="0">
      <selection activeCell="I33" sqref="I33"/>
    </sheetView>
  </sheetViews>
  <sheetFormatPr defaultRowHeight="15" x14ac:dyDescent="0.25"/>
  <cols>
    <col min="2" max="2" width="9.85546875" bestFit="1" customWidth="1"/>
    <col min="3" max="3" width="110" bestFit="1" customWidth="1"/>
    <col min="4" max="4" width="10.42578125" bestFit="1" customWidth="1"/>
    <col min="5" max="5" width="7" bestFit="1" customWidth="1"/>
    <col min="6" max="6" width="11.5703125" bestFit="1" customWidth="1"/>
    <col min="7" max="7" width="5.85546875" bestFit="1" customWidth="1"/>
    <col min="8" max="8" width="13.85546875" bestFit="1" customWidth="1"/>
    <col min="9" max="9" width="124.85546875" bestFit="1" customWidth="1"/>
  </cols>
  <sheetData>
    <row r="2" spans="1:14" x14ac:dyDescent="0.25">
      <c r="A2" s="12" t="s">
        <v>43</v>
      </c>
      <c r="B2" s="12" t="s">
        <v>32</v>
      </c>
      <c r="C2" s="12" t="s">
        <v>3</v>
      </c>
      <c r="D2" s="12" t="s">
        <v>44</v>
      </c>
      <c r="E2" s="12" t="s">
        <v>45</v>
      </c>
      <c r="F2" s="12" t="s">
        <v>29</v>
      </c>
      <c r="G2" s="12" t="s">
        <v>5</v>
      </c>
      <c r="H2" s="12" t="s">
        <v>46</v>
      </c>
      <c r="I2" s="12" t="s">
        <v>47</v>
      </c>
      <c r="J2" s="12" t="s">
        <v>48</v>
      </c>
      <c r="K2" s="12" t="s">
        <v>2</v>
      </c>
      <c r="L2" s="12" t="s">
        <v>49</v>
      </c>
      <c r="M2" s="12" t="s">
        <v>24</v>
      </c>
      <c r="N2" s="12" t="s">
        <v>6</v>
      </c>
    </row>
    <row r="3" spans="1:14" x14ac:dyDescent="0.25">
      <c r="A3" t="e" cm="1" vm="1">
        <f t="array" aca="1" ref="A3:A300" ca="1">_xlfn.LET(_xlpm.b,B3:B300,_xlpm.c,MMULT(--(ROW(_xlpm.b)&gt;=TRANSPOSE(ROW(_xlpm.b))),--(_xlpm.b&lt;&gt;"")),IF(_xlpm.b="","",_xlpm.c))</f>
        <v>#VALUE!</v>
      </c>
      <c r="B3" t="e" cm="1" vm="2">
        <f t="array" aca="1" ref="B3:I3" ca="1">_xlfn.LET(_xlpm.x,_xlfn._xlws.FILTER(Summary!I3:O300,Summary!I3:I300&lt;&gt;""),CHOOSE({1,2,3,4,5,6,7,8},INDEX(_xlpm.x,0,1),INDEX(_xlpm.x,0,2),INDEX(_xlpm.x,0,3),INDEX(_xlpm.x,0,4),INDEX(_xlpm.x,0,5),INDEX(_xlpm.x,0,6),INDEX(_xlpm.x,0,7),INDEX(_xlpm.x,0,1)&amp;"|"&amp;INDEX(_xlpm.x,0,2)&amp;"|"&amp;INDEX(_xlpm.x,0,3)))</f>
        <v>#VALUE!</v>
      </c>
      <c r="C3" t="e" vm="2">
        <f ca="1"/>
        <v>#VALUE!</v>
      </c>
      <c r="D3" t="e" vm="2">
        <f ca="1"/>
        <v>#VALUE!</v>
      </c>
      <c r="E3" t="e" vm="2">
        <f ca="1"/>
        <v>#VALUE!</v>
      </c>
      <c r="F3" t="e" vm="2">
        <f ca="1"/>
        <v>#VALUE!</v>
      </c>
      <c r="G3" t="e" vm="2">
        <f ca="1"/>
        <v>#VALUE!</v>
      </c>
      <c r="H3" t="e" vm="2">
        <f ca="1"/>
        <v>#VALUE!</v>
      </c>
      <c r="I3" t="e" vm="2">
        <f ca="1"/>
        <v>#VALUE!</v>
      </c>
      <c r="J3" t="e" vm="1">
        <f ca="1">IF($B3="","",_xlfn.LET(_xlpm.pu,_xlfn.XLOOKUP($I3,$N$3:$N$300,$O$3:$O$300,""),IF(_xlpm.pu&lt;&gt;"",_xlpm.pu,$D3)))</f>
        <v>#VALUE!</v>
      </c>
      <c r="K3" t="e" vm="1">
        <f ca="1">IF($B3="","",_xlfn.LET(_xlpm.pu,_xlfn.XLOOKUP($I3,$N$3:$N$300,$O$3:$O$300,""),_xlpm.ps,_xlfn.XLOOKUP($I3,$N$3:$N$300,$P$3:$P$300,""),_xlpm.oq,_xlfn.XLOOKUP($I3,$N$3:$N$300,$Q$3:$Q$300,""),_xlpm.base,$H3,IF(_xlpm.oq&lt;&gt;"",_xlpm.oq,IF(_xlpm.ps="",_xlpm.base,IF(OR(_xlpm.pu="",_xlpm.pu=$D3),CEILING(_xlpm.base,_xlpm.ps),CEILING(_xlpm.base/_xlpm.ps,1))))))</f>
        <v>#VALUE!</v>
      </c>
      <c r="L3" t="e" vm="1">
        <f ca="1">IF($B3="","",_xlfn.LET(_xlpm.orate,_xlfn.XLOOKUP($I3,$N$3:$N$300,$R$3:$R$300,""),IF(_xlpm.orate&lt;&gt;"",_xlpm.orate,$E3)))</f>
        <v>#VALUE!</v>
      </c>
      <c r="M3" t="e" vm="1">
        <f ca="1">IF($B3="","",$K3*$L3)</f>
        <v>#VALUE!</v>
      </c>
    </row>
    <row r="4" spans="1:14" x14ac:dyDescent="0.25">
      <c r="A4" t="str">
        <f ca="1"/>
        <v/>
      </c>
      <c r="J4" t="str">
        <f t="shared" ref="J4:J61" si="0">IF($B4="","",_xlfn.LET(_xlpm.pu,_xlfn.XLOOKUP($I4,$N$3:$N$300,$O$3:$O$300,""),IF(_xlpm.pu&lt;&gt;"",_xlpm.pu,$D4)))</f>
        <v/>
      </c>
      <c r="K4" t="str">
        <f t="shared" ref="K4:K67" si="1">IF($B4="","",_xlfn.LET(_xlpm.pu,_xlfn.XLOOKUP($I4,$N$3:$N$300,$O$3:$O$300,""),_xlpm.ps,_xlfn.XLOOKUP($I4,$N$3:$N$300,$P$3:$P$300,""),_xlpm.oq,_xlfn.XLOOKUP($I4,$N$3:$N$300,$Q$3:$Q$300,""),_xlpm.base,$H4,IF(_xlpm.oq&lt;&gt;"",_xlpm.oq,IF(_xlpm.ps="",_xlpm.base,IF(OR(_xlpm.pu="",_xlpm.pu=$D4),CEILING(_xlpm.base,_xlpm.ps),CEILING(_xlpm.base/_xlpm.ps,1))))))</f>
        <v/>
      </c>
      <c r="L4" t="str">
        <f t="shared" ref="L4:L67" si="2">IF($B4="","",_xlfn.LET(_xlpm.orate,_xlfn.XLOOKUP($I4,$N$3:$N$300,$R$3:$R$300,""),IF(_xlpm.orate&lt;&gt;"",_xlpm.orate,$E4)))</f>
        <v/>
      </c>
      <c r="M4" t="str">
        <f t="shared" ref="M4:M67" si="3">IF($B4="","",$K4*$L4)</f>
        <v/>
      </c>
      <c r="N4" t="str">
        <f t="shared" ref="N4:N51" si="4">IF($B4="","",_xlfn.XLOOKUP($I4,$T$3:$T$300,$Y$3:$Y$300,""))</f>
        <v/>
      </c>
    </row>
    <row r="5" spans="1:14" x14ac:dyDescent="0.25">
      <c r="A5" t="str">
        <f ca="1"/>
        <v/>
      </c>
      <c r="J5" t="str">
        <f t="shared" si="0"/>
        <v/>
      </c>
      <c r="K5" t="str">
        <f t="shared" si="1"/>
        <v/>
      </c>
      <c r="L5" t="str">
        <f t="shared" si="2"/>
        <v/>
      </c>
      <c r="M5" t="str">
        <f t="shared" si="3"/>
        <v/>
      </c>
      <c r="N5" t="str">
        <f t="shared" si="4"/>
        <v/>
      </c>
    </row>
    <row r="6" spans="1:14" x14ac:dyDescent="0.25">
      <c r="A6" t="str">
        <f ca="1"/>
        <v/>
      </c>
      <c r="J6" t="str">
        <f t="shared" si="0"/>
        <v/>
      </c>
      <c r="K6" t="str">
        <f t="shared" si="1"/>
        <v/>
      </c>
      <c r="L6" t="str">
        <f t="shared" si="2"/>
        <v/>
      </c>
      <c r="M6" t="str">
        <f t="shared" si="3"/>
        <v/>
      </c>
      <c r="N6" t="str">
        <f t="shared" si="4"/>
        <v/>
      </c>
    </row>
    <row r="7" spans="1:14" x14ac:dyDescent="0.25">
      <c r="A7" t="str">
        <f ca="1"/>
        <v/>
      </c>
      <c r="J7" t="str">
        <f t="shared" si="0"/>
        <v/>
      </c>
      <c r="K7" t="str">
        <f t="shared" si="1"/>
        <v/>
      </c>
      <c r="L7" t="str">
        <f t="shared" si="2"/>
        <v/>
      </c>
      <c r="M7" t="str">
        <f t="shared" si="3"/>
        <v/>
      </c>
      <c r="N7" t="str">
        <f t="shared" si="4"/>
        <v/>
      </c>
    </row>
    <row r="8" spans="1:14" x14ac:dyDescent="0.25">
      <c r="A8" t="str">
        <f ca="1"/>
        <v/>
      </c>
      <c r="J8" t="str">
        <f t="shared" si="0"/>
        <v/>
      </c>
      <c r="K8" t="str">
        <f t="shared" si="1"/>
        <v/>
      </c>
      <c r="L8" t="str">
        <f t="shared" si="2"/>
        <v/>
      </c>
      <c r="M8" t="str">
        <f t="shared" si="3"/>
        <v/>
      </c>
      <c r="N8" t="str">
        <f t="shared" si="4"/>
        <v/>
      </c>
    </row>
    <row r="9" spans="1:14" x14ac:dyDescent="0.25">
      <c r="A9" t="str">
        <f ca="1"/>
        <v/>
      </c>
      <c r="J9" t="str">
        <f t="shared" si="0"/>
        <v/>
      </c>
      <c r="K9" t="str">
        <f t="shared" si="1"/>
        <v/>
      </c>
      <c r="L9" t="str">
        <f t="shared" si="2"/>
        <v/>
      </c>
      <c r="M9" t="str">
        <f t="shared" si="3"/>
        <v/>
      </c>
      <c r="N9" t="str">
        <f t="shared" si="4"/>
        <v/>
      </c>
    </row>
    <row r="10" spans="1:14" x14ac:dyDescent="0.25">
      <c r="A10" t="str">
        <f ca="1"/>
        <v/>
      </c>
      <c r="J10" t="str">
        <f t="shared" si="0"/>
        <v/>
      </c>
      <c r="K10" t="str">
        <f t="shared" si="1"/>
        <v/>
      </c>
      <c r="L10" t="str">
        <f t="shared" si="2"/>
        <v/>
      </c>
      <c r="M10" t="str">
        <f t="shared" si="3"/>
        <v/>
      </c>
      <c r="N10" t="str">
        <f t="shared" si="4"/>
        <v/>
      </c>
    </row>
    <row r="11" spans="1:14" x14ac:dyDescent="0.25">
      <c r="A11" t="str">
        <f ca="1"/>
        <v/>
      </c>
      <c r="J11" t="str">
        <f t="shared" si="0"/>
        <v/>
      </c>
      <c r="K11" t="str">
        <f t="shared" si="1"/>
        <v/>
      </c>
      <c r="L11" t="str">
        <f t="shared" si="2"/>
        <v/>
      </c>
      <c r="M11" t="str">
        <f t="shared" si="3"/>
        <v/>
      </c>
      <c r="N11" t="str">
        <f t="shared" si="4"/>
        <v/>
      </c>
    </row>
    <row r="12" spans="1:14" x14ac:dyDescent="0.25">
      <c r="A12" t="str">
        <f ca="1"/>
        <v/>
      </c>
      <c r="J12" t="str">
        <f t="shared" si="0"/>
        <v/>
      </c>
      <c r="K12" t="str">
        <f t="shared" si="1"/>
        <v/>
      </c>
      <c r="L12" t="str">
        <f t="shared" si="2"/>
        <v/>
      </c>
      <c r="M12" t="str">
        <f t="shared" si="3"/>
        <v/>
      </c>
      <c r="N12" t="str">
        <f t="shared" si="4"/>
        <v/>
      </c>
    </row>
    <row r="13" spans="1:14" x14ac:dyDescent="0.25">
      <c r="A13" t="str">
        <f ca="1"/>
        <v/>
      </c>
      <c r="J13" t="str">
        <f t="shared" si="0"/>
        <v/>
      </c>
      <c r="K13" t="str">
        <f t="shared" si="1"/>
        <v/>
      </c>
      <c r="L13" t="str">
        <f t="shared" si="2"/>
        <v/>
      </c>
      <c r="M13" t="str">
        <f t="shared" si="3"/>
        <v/>
      </c>
      <c r="N13" t="str">
        <f t="shared" si="4"/>
        <v/>
      </c>
    </row>
    <row r="14" spans="1:14" x14ac:dyDescent="0.25">
      <c r="A14" t="str">
        <f ca="1"/>
        <v/>
      </c>
      <c r="J14" t="str">
        <f t="shared" si="0"/>
        <v/>
      </c>
      <c r="K14" t="str">
        <f t="shared" si="1"/>
        <v/>
      </c>
      <c r="L14" t="str">
        <f t="shared" si="2"/>
        <v/>
      </c>
      <c r="M14" t="str">
        <f t="shared" si="3"/>
        <v/>
      </c>
      <c r="N14" t="str">
        <f t="shared" si="4"/>
        <v/>
      </c>
    </row>
    <row r="15" spans="1:14" x14ac:dyDescent="0.25">
      <c r="A15" t="str">
        <f ca="1"/>
        <v/>
      </c>
      <c r="J15" t="str">
        <f t="shared" si="0"/>
        <v/>
      </c>
      <c r="K15" t="str">
        <f t="shared" si="1"/>
        <v/>
      </c>
      <c r="L15" t="str">
        <f t="shared" si="2"/>
        <v/>
      </c>
      <c r="M15" t="str">
        <f t="shared" si="3"/>
        <v/>
      </c>
      <c r="N15" t="str">
        <f t="shared" si="4"/>
        <v/>
      </c>
    </row>
    <row r="16" spans="1:14" x14ac:dyDescent="0.25">
      <c r="A16" t="str">
        <f ca="1"/>
        <v/>
      </c>
      <c r="J16" t="str">
        <f t="shared" si="0"/>
        <v/>
      </c>
      <c r="K16" t="str">
        <f t="shared" si="1"/>
        <v/>
      </c>
      <c r="L16" t="str">
        <f t="shared" si="2"/>
        <v/>
      </c>
      <c r="M16" t="str">
        <f t="shared" si="3"/>
        <v/>
      </c>
      <c r="N16" t="str">
        <f t="shared" si="4"/>
        <v/>
      </c>
    </row>
    <row r="17" spans="1:14" x14ac:dyDescent="0.25">
      <c r="A17" t="str">
        <f ca="1"/>
        <v/>
      </c>
      <c r="J17" t="str">
        <f t="shared" si="0"/>
        <v/>
      </c>
      <c r="K17" t="str">
        <f t="shared" si="1"/>
        <v/>
      </c>
      <c r="L17" t="str">
        <f t="shared" si="2"/>
        <v/>
      </c>
      <c r="M17" t="str">
        <f t="shared" si="3"/>
        <v/>
      </c>
      <c r="N17" t="str">
        <f t="shared" si="4"/>
        <v/>
      </c>
    </row>
    <row r="18" spans="1:14" x14ac:dyDescent="0.25">
      <c r="A18" t="str">
        <f ca="1"/>
        <v/>
      </c>
      <c r="J18" t="str">
        <f t="shared" si="0"/>
        <v/>
      </c>
      <c r="K18" t="str">
        <f t="shared" si="1"/>
        <v/>
      </c>
      <c r="L18" t="str">
        <f t="shared" si="2"/>
        <v/>
      </c>
      <c r="M18" t="str">
        <f t="shared" si="3"/>
        <v/>
      </c>
      <c r="N18" t="str">
        <f t="shared" si="4"/>
        <v/>
      </c>
    </row>
    <row r="19" spans="1:14" x14ac:dyDescent="0.25">
      <c r="A19" t="str">
        <f ca="1"/>
        <v/>
      </c>
      <c r="J19" t="str">
        <f t="shared" si="0"/>
        <v/>
      </c>
      <c r="K19" t="str">
        <f t="shared" si="1"/>
        <v/>
      </c>
      <c r="L19" t="str">
        <f t="shared" si="2"/>
        <v/>
      </c>
      <c r="M19" t="str">
        <f t="shared" si="3"/>
        <v/>
      </c>
      <c r="N19" t="str">
        <f t="shared" si="4"/>
        <v/>
      </c>
    </row>
    <row r="20" spans="1:14" x14ac:dyDescent="0.25">
      <c r="A20" t="str">
        <f ca="1"/>
        <v/>
      </c>
      <c r="J20" t="str">
        <f t="shared" si="0"/>
        <v/>
      </c>
      <c r="K20" t="str">
        <f t="shared" si="1"/>
        <v/>
      </c>
      <c r="L20" t="str">
        <f t="shared" si="2"/>
        <v/>
      </c>
      <c r="M20" t="str">
        <f t="shared" si="3"/>
        <v/>
      </c>
      <c r="N20" t="str">
        <f t="shared" si="4"/>
        <v/>
      </c>
    </row>
    <row r="21" spans="1:14" x14ac:dyDescent="0.25">
      <c r="A21" t="str">
        <f ca="1"/>
        <v/>
      </c>
      <c r="J21" t="str">
        <f t="shared" si="0"/>
        <v/>
      </c>
      <c r="K21" t="str">
        <f t="shared" si="1"/>
        <v/>
      </c>
      <c r="L21" t="str">
        <f t="shared" si="2"/>
        <v/>
      </c>
      <c r="M21" t="str">
        <f t="shared" si="3"/>
        <v/>
      </c>
      <c r="N21" t="str">
        <f t="shared" si="4"/>
        <v/>
      </c>
    </row>
    <row r="22" spans="1:14" x14ac:dyDescent="0.25">
      <c r="A22" t="str">
        <f ca="1"/>
        <v/>
      </c>
      <c r="J22" t="str">
        <f t="shared" si="0"/>
        <v/>
      </c>
      <c r="K22" t="str">
        <f t="shared" si="1"/>
        <v/>
      </c>
      <c r="L22" t="str">
        <f t="shared" si="2"/>
        <v/>
      </c>
      <c r="M22" t="str">
        <f t="shared" si="3"/>
        <v/>
      </c>
      <c r="N22" t="str">
        <f t="shared" si="4"/>
        <v/>
      </c>
    </row>
    <row r="23" spans="1:14" x14ac:dyDescent="0.25">
      <c r="A23" t="str">
        <f ca="1"/>
        <v/>
      </c>
      <c r="J23" t="str">
        <f t="shared" si="0"/>
        <v/>
      </c>
      <c r="K23" t="str">
        <f t="shared" si="1"/>
        <v/>
      </c>
      <c r="L23" t="str">
        <f t="shared" si="2"/>
        <v/>
      </c>
      <c r="M23" t="str">
        <f t="shared" si="3"/>
        <v/>
      </c>
      <c r="N23" t="str">
        <f t="shared" si="4"/>
        <v/>
      </c>
    </row>
    <row r="24" spans="1:14" x14ac:dyDescent="0.25">
      <c r="A24" t="str">
        <f ca="1"/>
        <v/>
      </c>
      <c r="J24" t="str">
        <f t="shared" si="0"/>
        <v/>
      </c>
      <c r="K24" t="str">
        <f t="shared" si="1"/>
        <v/>
      </c>
      <c r="L24" t="str">
        <f t="shared" si="2"/>
        <v/>
      </c>
      <c r="M24" t="str">
        <f t="shared" si="3"/>
        <v/>
      </c>
      <c r="N24" t="str">
        <f t="shared" si="4"/>
        <v/>
      </c>
    </row>
    <row r="25" spans="1:14" x14ac:dyDescent="0.25">
      <c r="A25" t="str">
        <f ca="1"/>
        <v/>
      </c>
      <c r="J25" t="str">
        <f t="shared" si="0"/>
        <v/>
      </c>
      <c r="K25" t="str">
        <f t="shared" si="1"/>
        <v/>
      </c>
      <c r="L25" t="str">
        <f t="shared" si="2"/>
        <v/>
      </c>
      <c r="M25" t="str">
        <f t="shared" si="3"/>
        <v/>
      </c>
      <c r="N25" t="str">
        <f t="shared" si="4"/>
        <v/>
      </c>
    </row>
    <row r="26" spans="1:14" x14ac:dyDescent="0.25">
      <c r="A26" t="str">
        <f ca="1"/>
        <v/>
      </c>
      <c r="J26" t="str">
        <f t="shared" si="0"/>
        <v/>
      </c>
      <c r="K26" t="str">
        <f t="shared" si="1"/>
        <v/>
      </c>
      <c r="L26" t="str">
        <f t="shared" si="2"/>
        <v/>
      </c>
      <c r="M26" t="str">
        <f t="shared" si="3"/>
        <v/>
      </c>
      <c r="N26" t="str">
        <f t="shared" si="4"/>
        <v/>
      </c>
    </row>
    <row r="27" spans="1:14" x14ac:dyDescent="0.25">
      <c r="A27" t="str">
        <f ca="1"/>
        <v/>
      </c>
      <c r="J27" t="str">
        <f t="shared" si="0"/>
        <v/>
      </c>
      <c r="K27" t="str">
        <f t="shared" si="1"/>
        <v/>
      </c>
      <c r="L27" t="str">
        <f t="shared" si="2"/>
        <v/>
      </c>
      <c r="M27" t="str">
        <f t="shared" si="3"/>
        <v/>
      </c>
      <c r="N27" t="str">
        <f t="shared" si="4"/>
        <v/>
      </c>
    </row>
    <row r="28" spans="1:14" x14ac:dyDescent="0.25">
      <c r="A28" t="str">
        <f ca="1"/>
        <v/>
      </c>
      <c r="J28" t="str">
        <f t="shared" si="0"/>
        <v/>
      </c>
      <c r="K28" t="str">
        <f t="shared" si="1"/>
        <v/>
      </c>
      <c r="L28" t="str">
        <f t="shared" si="2"/>
        <v/>
      </c>
      <c r="M28" t="str">
        <f t="shared" si="3"/>
        <v/>
      </c>
      <c r="N28" t="str">
        <f t="shared" si="4"/>
        <v/>
      </c>
    </row>
    <row r="29" spans="1:14" x14ac:dyDescent="0.25">
      <c r="A29" t="str">
        <f ca="1"/>
        <v/>
      </c>
      <c r="J29" t="str">
        <f t="shared" si="0"/>
        <v/>
      </c>
      <c r="K29" t="str">
        <f t="shared" si="1"/>
        <v/>
      </c>
      <c r="L29" t="str">
        <f t="shared" si="2"/>
        <v/>
      </c>
      <c r="M29" t="str">
        <f t="shared" si="3"/>
        <v/>
      </c>
      <c r="N29" t="str">
        <f t="shared" si="4"/>
        <v/>
      </c>
    </row>
    <row r="30" spans="1:14" x14ac:dyDescent="0.25">
      <c r="A30" t="str">
        <f ca="1"/>
        <v/>
      </c>
      <c r="J30" t="str">
        <f t="shared" si="0"/>
        <v/>
      </c>
      <c r="K30" t="str">
        <f t="shared" si="1"/>
        <v/>
      </c>
      <c r="L30" t="str">
        <f t="shared" si="2"/>
        <v/>
      </c>
      <c r="M30" t="str">
        <f t="shared" si="3"/>
        <v/>
      </c>
      <c r="N30" t="str">
        <f t="shared" si="4"/>
        <v/>
      </c>
    </row>
    <row r="31" spans="1:14" x14ac:dyDescent="0.25">
      <c r="A31" t="str">
        <f ca="1"/>
        <v/>
      </c>
      <c r="J31" t="str">
        <f t="shared" si="0"/>
        <v/>
      </c>
      <c r="K31" t="str">
        <f t="shared" si="1"/>
        <v/>
      </c>
      <c r="L31" t="str">
        <f t="shared" si="2"/>
        <v/>
      </c>
      <c r="M31" t="str">
        <f t="shared" si="3"/>
        <v/>
      </c>
      <c r="N31" t="str">
        <f t="shared" si="4"/>
        <v/>
      </c>
    </row>
    <row r="32" spans="1:14" x14ac:dyDescent="0.25">
      <c r="A32" t="str">
        <f ca="1"/>
        <v/>
      </c>
      <c r="J32" t="str">
        <f t="shared" si="0"/>
        <v/>
      </c>
      <c r="K32" t="str">
        <f t="shared" si="1"/>
        <v/>
      </c>
      <c r="L32" t="str">
        <f t="shared" si="2"/>
        <v/>
      </c>
      <c r="M32" t="str">
        <f t="shared" si="3"/>
        <v/>
      </c>
      <c r="N32" t="str">
        <f t="shared" si="4"/>
        <v/>
      </c>
    </row>
    <row r="33" spans="1:14" x14ac:dyDescent="0.25">
      <c r="A33" t="str">
        <f ca="1"/>
        <v/>
      </c>
      <c r="J33" t="str">
        <f t="shared" si="0"/>
        <v/>
      </c>
      <c r="K33" t="str">
        <f t="shared" si="1"/>
        <v/>
      </c>
      <c r="L33" t="str">
        <f t="shared" si="2"/>
        <v/>
      </c>
      <c r="M33" t="str">
        <f t="shared" si="3"/>
        <v/>
      </c>
      <c r="N33" t="str">
        <f t="shared" si="4"/>
        <v/>
      </c>
    </row>
    <row r="34" spans="1:14" x14ac:dyDescent="0.25">
      <c r="A34" t="str">
        <f ca="1"/>
        <v/>
      </c>
      <c r="J34" t="str">
        <f t="shared" si="0"/>
        <v/>
      </c>
      <c r="K34" t="str">
        <f t="shared" si="1"/>
        <v/>
      </c>
      <c r="L34" t="str">
        <f t="shared" si="2"/>
        <v/>
      </c>
      <c r="M34" t="str">
        <f t="shared" si="3"/>
        <v/>
      </c>
      <c r="N34" t="str">
        <f t="shared" si="4"/>
        <v/>
      </c>
    </row>
    <row r="35" spans="1:14" x14ac:dyDescent="0.25">
      <c r="A35" t="str">
        <f ca="1"/>
        <v/>
      </c>
      <c r="J35" t="str">
        <f t="shared" si="0"/>
        <v/>
      </c>
      <c r="K35" t="str">
        <f t="shared" si="1"/>
        <v/>
      </c>
      <c r="L35" t="str">
        <f t="shared" si="2"/>
        <v/>
      </c>
      <c r="M35" t="str">
        <f t="shared" si="3"/>
        <v/>
      </c>
      <c r="N35" t="str">
        <f t="shared" si="4"/>
        <v/>
      </c>
    </row>
    <row r="36" spans="1:14" x14ac:dyDescent="0.25">
      <c r="A36" t="str">
        <f ca="1"/>
        <v/>
      </c>
      <c r="J36" t="str">
        <f t="shared" si="0"/>
        <v/>
      </c>
      <c r="K36" t="str">
        <f t="shared" si="1"/>
        <v/>
      </c>
      <c r="L36" t="str">
        <f t="shared" si="2"/>
        <v/>
      </c>
      <c r="M36" t="str">
        <f t="shared" si="3"/>
        <v/>
      </c>
      <c r="N36" t="str">
        <f t="shared" si="4"/>
        <v/>
      </c>
    </row>
    <row r="37" spans="1:14" x14ac:dyDescent="0.25">
      <c r="A37" t="str">
        <f ca="1"/>
        <v/>
      </c>
      <c r="J37" t="str">
        <f t="shared" si="0"/>
        <v/>
      </c>
      <c r="K37" t="str">
        <f t="shared" si="1"/>
        <v/>
      </c>
      <c r="L37" t="str">
        <f t="shared" si="2"/>
        <v/>
      </c>
      <c r="M37" t="str">
        <f t="shared" si="3"/>
        <v/>
      </c>
      <c r="N37" t="str">
        <f t="shared" si="4"/>
        <v/>
      </c>
    </row>
    <row r="38" spans="1:14" x14ac:dyDescent="0.25">
      <c r="A38" t="str">
        <f ca="1"/>
        <v/>
      </c>
      <c r="J38" t="str">
        <f t="shared" si="0"/>
        <v/>
      </c>
      <c r="K38" t="str">
        <f t="shared" si="1"/>
        <v/>
      </c>
      <c r="L38" t="str">
        <f t="shared" si="2"/>
        <v/>
      </c>
      <c r="M38" t="str">
        <f t="shared" si="3"/>
        <v/>
      </c>
      <c r="N38" t="str">
        <f t="shared" si="4"/>
        <v/>
      </c>
    </row>
    <row r="39" spans="1:14" x14ac:dyDescent="0.25">
      <c r="A39" t="str">
        <f ca="1"/>
        <v/>
      </c>
      <c r="J39" t="str">
        <f t="shared" si="0"/>
        <v/>
      </c>
      <c r="K39" t="str">
        <f t="shared" si="1"/>
        <v/>
      </c>
      <c r="L39" t="str">
        <f t="shared" si="2"/>
        <v/>
      </c>
      <c r="M39" t="str">
        <f t="shared" si="3"/>
        <v/>
      </c>
      <c r="N39" t="str">
        <f t="shared" si="4"/>
        <v/>
      </c>
    </row>
    <row r="40" spans="1:14" x14ac:dyDescent="0.25">
      <c r="A40" t="str">
        <f ca="1"/>
        <v/>
      </c>
      <c r="J40" t="str">
        <f t="shared" si="0"/>
        <v/>
      </c>
      <c r="K40" t="str">
        <f t="shared" si="1"/>
        <v/>
      </c>
      <c r="L40" t="str">
        <f t="shared" si="2"/>
        <v/>
      </c>
      <c r="M40" t="str">
        <f t="shared" si="3"/>
        <v/>
      </c>
      <c r="N40" t="str">
        <f t="shared" si="4"/>
        <v/>
      </c>
    </row>
    <row r="41" spans="1:14" x14ac:dyDescent="0.25">
      <c r="A41" t="str">
        <f ca="1"/>
        <v/>
      </c>
      <c r="J41" t="str">
        <f t="shared" si="0"/>
        <v/>
      </c>
      <c r="K41" t="str">
        <f t="shared" si="1"/>
        <v/>
      </c>
      <c r="L41" t="str">
        <f t="shared" si="2"/>
        <v/>
      </c>
      <c r="M41" t="str">
        <f t="shared" si="3"/>
        <v/>
      </c>
      <c r="N41" t="str">
        <f t="shared" si="4"/>
        <v/>
      </c>
    </row>
    <row r="42" spans="1:14" x14ac:dyDescent="0.25">
      <c r="A42" t="str">
        <f ca="1"/>
        <v/>
      </c>
      <c r="J42" t="str">
        <f t="shared" si="0"/>
        <v/>
      </c>
      <c r="K42" t="str">
        <f t="shared" si="1"/>
        <v/>
      </c>
      <c r="L42" t="str">
        <f t="shared" si="2"/>
        <v/>
      </c>
      <c r="M42" t="str">
        <f t="shared" si="3"/>
        <v/>
      </c>
      <c r="N42" t="str">
        <f t="shared" si="4"/>
        <v/>
      </c>
    </row>
    <row r="43" spans="1:14" x14ac:dyDescent="0.25">
      <c r="A43" t="str">
        <f ca="1"/>
        <v/>
      </c>
      <c r="J43" t="str">
        <f t="shared" si="0"/>
        <v/>
      </c>
      <c r="K43" t="str">
        <f t="shared" si="1"/>
        <v/>
      </c>
      <c r="L43" t="str">
        <f t="shared" si="2"/>
        <v/>
      </c>
      <c r="M43" t="str">
        <f t="shared" si="3"/>
        <v/>
      </c>
      <c r="N43" t="str">
        <f t="shared" si="4"/>
        <v/>
      </c>
    </row>
    <row r="44" spans="1:14" x14ac:dyDescent="0.25">
      <c r="A44" t="str">
        <f ca="1"/>
        <v/>
      </c>
      <c r="J44" t="str">
        <f t="shared" si="0"/>
        <v/>
      </c>
      <c r="K44" t="str">
        <f t="shared" si="1"/>
        <v/>
      </c>
      <c r="L44" t="str">
        <f t="shared" si="2"/>
        <v/>
      </c>
      <c r="M44" t="str">
        <f t="shared" si="3"/>
        <v/>
      </c>
      <c r="N44" t="str">
        <f t="shared" si="4"/>
        <v/>
      </c>
    </row>
    <row r="45" spans="1:14" x14ac:dyDescent="0.25">
      <c r="A45" t="str">
        <f ca="1"/>
        <v/>
      </c>
      <c r="J45" t="str">
        <f t="shared" si="0"/>
        <v/>
      </c>
      <c r="K45" t="str">
        <f t="shared" si="1"/>
        <v/>
      </c>
      <c r="L45" t="str">
        <f t="shared" si="2"/>
        <v/>
      </c>
      <c r="M45" t="str">
        <f t="shared" si="3"/>
        <v/>
      </c>
      <c r="N45" t="str">
        <f t="shared" si="4"/>
        <v/>
      </c>
    </row>
    <row r="46" spans="1:14" x14ac:dyDescent="0.25">
      <c r="A46" t="str">
        <f ca="1"/>
        <v/>
      </c>
      <c r="J46" t="str">
        <f t="shared" si="0"/>
        <v/>
      </c>
      <c r="K46" t="str">
        <f t="shared" si="1"/>
        <v/>
      </c>
      <c r="L46" t="str">
        <f t="shared" si="2"/>
        <v/>
      </c>
      <c r="M46" t="str">
        <f t="shared" si="3"/>
        <v/>
      </c>
      <c r="N46" t="str">
        <f t="shared" si="4"/>
        <v/>
      </c>
    </row>
    <row r="47" spans="1:14" x14ac:dyDescent="0.25">
      <c r="A47" t="str">
        <f ca="1"/>
        <v/>
      </c>
      <c r="J47" t="str">
        <f t="shared" si="0"/>
        <v/>
      </c>
      <c r="K47" t="str">
        <f t="shared" si="1"/>
        <v/>
      </c>
      <c r="L47" t="str">
        <f t="shared" si="2"/>
        <v/>
      </c>
      <c r="M47" t="str">
        <f t="shared" si="3"/>
        <v/>
      </c>
      <c r="N47" t="str">
        <f t="shared" si="4"/>
        <v/>
      </c>
    </row>
    <row r="48" spans="1:14" x14ac:dyDescent="0.25">
      <c r="A48" t="str">
        <f ca="1"/>
        <v/>
      </c>
      <c r="J48" t="str">
        <f t="shared" si="0"/>
        <v/>
      </c>
      <c r="K48" t="str">
        <f t="shared" si="1"/>
        <v/>
      </c>
      <c r="L48" t="str">
        <f t="shared" si="2"/>
        <v/>
      </c>
      <c r="M48" t="str">
        <f t="shared" si="3"/>
        <v/>
      </c>
      <c r="N48" t="str">
        <f t="shared" si="4"/>
        <v/>
      </c>
    </row>
    <row r="49" spans="1:14" x14ac:dyDescent="0.25">
      <c r="A49" t="str">
        <f ca="1"/>
        <v/>
      </c>
      <c r="J49" t="str">
        <f t="shared" si="0"/>
        <v/>
      </c>
      <c r="K49" t="str">
        <f t="shared" si="1"/>
        <v/>
      </c>
      <c r="L49" t="str">
        <f t="shared" si="2"/>
        <v/>
      </c>
      <c r="M49" t="str">
        <f t="shared" si="3"/>
        <v/>
      </c>
      <c r="N49" t="str">
        <f t="shared" si="4"/>
        <v/>
      </c>
    </row>
    <row r="50" spans="1:14" x14ac:dyDescent="0.25">
      <c r="A50" t="str">
        <f ca="1"/>
        <v/>
      </c>
      <c r="J50" t="str">
        <f t="shared" si="0"/>
        <v/>
      </c>
      <c r="K50" t="str">
        <f t="shared" si="1"/>
        <v/>
      </c>
      <c r="L50" t="str">
        <f t="shared" si="2"/>
        <v/>
      </c>
      <c r="M50" t="str">
        <f t="shared" si="3"/>
        <v/>
      </c>
      <c r="N50" t="str">
        <f t="shared" si="4"/>
        <v/>
      </c>
    </row>
    <row r="51" spans="1:14" x14ac:dyDescent="0.25">
      <c r="A51" t="str">
        <f ca="1"/>
        <v/>
      </c>
      <c r="J51" t="str">
        <f t="shared" si="0"/>
        <v/>
      </c>
      <c r="K51" t="str">
        <f t="shared" si="1"/>
        <v/>
      </c>
      <c r="L51" t="str">
        <f t="shared" si="2"/>
        <v/>
      </c>
      <c r="M51" t="str">
        <f t="shared" si="3"/>
        <v/>
      </c>
      <c r="N51" t="str">
        <f t="shared" si="4"/>
        <v/>
      </c>
    </row>
    <row r="52" spans="1:14" x14ac:dyDescent="0.25">
      <c r="A52" t="str">
        <f ca="1"/>
        <v/>
      </c>
      <c r="J52" t="str">
        <f>IF($B52="","",_xlfn.LET(_xlpm.pu,_xlfn.XLOOKUP($I52,$N$3:$N$300,$O$3:$O$300,""),IF(_xlpm.pu&lt;&gt;"",_xlpm.pu,$D52)))</f>
        <v/>
      </c>
      <c r="K52" t="str">
        <f t="shared" si="1"/>
        <v/>
      </c>
      <c r="L52" t="str">
        <f t="shared" si="2"/>
        <v/>
      </c>
      <c r="M52" t="str">
        <f t="shared" si="3"/>
        <v/>
      </c>
    </row>
    <row r="53" spans="1:14" x14ac:dyDescent="0.25">
      <c r="A53" t="str">
        <f ca="1"/>
        <v/>
      </c>
      <c r="J53" t="str">
        <f t="shared" si="0"/>
        <v/>
      </c>
      <c r="K53" t="str">
        <f t="shared" si="1"/>
        <v/>
      </c>
      <c r="L53" t="str">
        <f t="shared" si="2"/>
        <v/>
      </c>
      <c r="M53" t="str">
        <f t="shared" si="3"/>
        <v/>
      </c>
    </row>
    <row r="54" spans="1:14" x14ac:dyDescent="0.25">
      <c r="A54" t="str">
        <f ca="1"/>
        <v/>
      </c>
      <c r="J54" t="str">
        <f t="shared" si="0"/>
        <v/>
      </c>
      <c r="K54" t="str">
        <f t="shared" si="1"/>
        <v/>
      </c>
      <c r="L54" t="str">
        <f t="shared" si="2"/>
        <v/>
      </c>
      <c r="M54" t="str">
        <f t="shared" si="3"/>
        <v/>
      </c>
    </row>
    <row r="55" spans="1:14" x14ac:dyDescent="0.25">
      <c r="A55" t="str">
        <f ca="1"/>
        <v/>
      </c>
      <c r="J55" t="str">
        <f t="shared" si="0"/>
        <v/>
      </c>
      <c r="K55" t="str">
        <f t="shared" si="1"/>
        <v/>
      </c>
      <c r="L55" t="str">
        <f t="shared" si="2"/>
        <v/>
      </c>
      <c r="M55" t="str">
        <f t="shared" si="3"/>
        <v/>
      </c>
    </row>
    <row r="56" spans="1:14" x14ac:dyDescent="0.25">
      <c r="A56" t="str">
        <f ca="1"/>
        <v/>
      </c>
      <c r="J56" t="str">
        <f t="shared" si="0"/>
        <v/>
      </c>
      <c r="K56" t="str">
        <f t="shared" si="1"/>
        <v/>
      </c>
      <c r="L56" t="str">
        <f t="shared" si="2"/>
        <v/>
      </c>
      <c r="M56" t="str">
        <f t="shared" si="3"/>
        <v/>
      </c>
    </row>
    <row r="57" spans="1:14" x14ac:dyDescent="0.25">
      <c r="A57" t="str">
        <f ca="1"/>
        <v/>
      </c>
      <c r="J57" t="str">
        <f t="shared" si="0"/>
        <v/>
      </c>
      <c r="K57" t="str">
        <f t="shared" si="1"/>
        <v/>
      </c>
      <c r="L57" t="str">
        <f t="shared" si="2"/>
        <v/>
      </c>
      <c r="M57" t="str">
        <f t="shared" si="3"/>
        <v/>
      </c>
    </row>
    <row r="58" spans="1:14" x14ac:dyDescent="0.25">
      <c r="A58" t="str">
        <f ca="1"/>
        <v/>
      </c>
      <c r="J58" t="str">
        <f t="shared" si="0"/>
        <v/>
      </c>
      <c r="K58" t="str">
        <f t="shared" si="1"/>
        <v/>
      </c>
      <c r="L58" t="str">
        <f t="shared" si="2"/>
        <v/>
      </c>
      <c r="M58" t="str">
        <f t="shared" si="3"/>
        <v/>
      </c>
    </row>
    <row r="59" spans="1:14" x14ac:dyDescent="0.25">
      <c r="A59" t="str">
        <f ca="1"/>
        <v/>
      </c>
      <c r="J59" t="str">
        <f t="shared" si="0"/>
        <v/>
      </c>
      <c r="K59" t="str">
        <f t="shared" si="1"/>
        <v/>
      </c>
      <c r="L59" t="str">
        <f t="shared" si="2"/>
        <v/>
      </c>
      <c r="M59" t="str">
        <f t="shared" si="3"/>
        <v/>
      </c>
    </row>
    <row r="60" spans="1:14" x14ac:dyDescent="0.25">
      <c r="A60" t="str">
        <f ca="1"/>
        <v/>
      </c>
      <c r="J60" t="str">
        <f t="shared" si="0"/>
        <v/>
      </c>
      <c r="K60" t="str">
        <f t="shared" si="1"/>
        <v/>
      </c>
      <c r="L60" t="str">
        <f t="shared" si="2"/>
        <v/>
      </c>
      <c r="M60" t="str">
        <f t="shared" si="3"/>
        <v/>
      </c>
    </row>
    <row r="61" spans="1:14" x14ac:dyDescent="0.25">
      <c r="A61" t="str">
        <f ca="1"/>
        <v/>
      </c>
      <c r="J61" t="str">
        <f t="shared" si="0"/>
        <v/>
      </c>
      <c r="K61" t="str">
        <f t="shared" si="1"/>
        <v/>
      </c>
      <c r="L61" t="str">
        <f t="shared" si="2"/>
        <v/>
      </c>
      <c r="M61" t="str">
        <f t="shared" si="3"/>
        <v/>
      </c>
    </row>
    <row r="62" spans="1:14" x14ac:dyDescent="0.25">
      <c r="A62" t="str">
        <f ca="1"/>
        <v/>
      </c>
      <c r="K62" t="str">
        <f t="shared" si="1"/>
        <v/>
      </c>
      <c r="L62" t="str">
        <f t="shared" si="2"/>
        <v/>
      </c>
      <c r="M62" t="str">
        <f t="shared" si="3"/>
        <v/>
      </c>
    </row>
    <row r="63" spans="1:14" x14ac:dyDescent="0.25">
      <c r="A63" t="str">
        <f ca="1"/>
        <v/>
      </c>
      <c r="K63" t="str">
        <f t="shared" si="1"/>
        <v/>
      </c>
      <c r="L63" t="str">
        <f t="shared" si="2"/>
        <v/>
      </c>
      <c r="M63" t="str">
        <f t="shared" si="3"/>
        <v/>
      </c>
    </row>
    <row r="64" spans="1:14" x14ac:dyDescent="0.25">
      <c r="A64" t="str">
        <f ca="1"/>
        <v/>
      </c>
      <c r="K64" t="str">
        <f t="shared" si="1"/>
        <v/>
      </c>
      <c r="L64" t="str">
        <f t="shared" si="2"/>
        <v/>
      </c>
      <c r="M64" t="str">
        <f t="shared" si="3"/>
        <v/>
      </c>
    </row>
    <row r="65" spans="1:13" x14ac:dyDescent="0.25">
      <c r="A65" t="str">
        <f ca="1"/>
        <v/>
      </c>
      <c r="K65" t="str">
        <f t="shared" si="1"/>
        <v/>
      </c>
      <c r="L65" t="str">
        <f t="shared" si="2"/>
        <v/>
      </c>
      <c r="M65" t="str">
        <f t="shared" si="3"/>
        <v/>
      </c>
    </row>
    <row r="66" spans="1:13" x14ac:dyDescent="0.25">
      <c r="A66" t="str">
        <f ca="1"/>
        <v/>
      </c>
      <c r="K66" t="str">
        <f t="shared" si="1"/>
        <v/>
      </c>
      <c r="L66" t="str">
        <f t="shared" si="2"/>
        <v/>
      </c>
      <c r="M66" t="str">
        <f t="shared" si="3"/>
        <v/>
      </c>
    </row>
    <row r="67" spans="1:13" x14ac:dyDescent="0.25">
      <c r="A67" t="str">
        <f ca="1"/>
        <v/>
      </c>
      <c r="K67" t="str">
        <f t="shared" si="1"/>
        <v/>
      </c>
      <c r="L67" t="str">
        <f t="shared" si="2"/>
        <v/>
      </c>
      <c r="M67" t="str">
        <f t="shared" si="3"/>
        <v/>
      </c>
    </row>
    <row r="68" spans="1:13" x14ac:dyDescent="0.25">
      <c r="A68" t="str">
        <f ca="1"/>
        <v/>
      </c>
      <c r="K68" t="str">
        <f t="shared" ref="K68:K131" si="5">IF($B68="","",_xlfn.LET(_xlpm.pu,_xlfn.XLOOKUP($I68,$N$3:$N$300,$O$3:$O$300,""),_xlpm.ps,_xlfn.XLOOKUP($I68,$N$3:$N$300,$P$3:$P$300,""),_xlpm.oq,_xlfn.XLOOKUP($I68,$N$3:$N$300,$Q$3:$Q$300,""),_xlpm.base,$H68,IF(_xlpm.oq&lt;&gt;"",_xlpm.oq,IF(_xlpm.ps="",_xlpm.base,IF(OR(_xlpm.pu="",_xlpm.pu=$D68),CEILING(_xlpm.base,_xlpm.ps),CEILING(_xlpm.base/_xlpm.ps,1))))))</f>
        <v/>
      </c>
      <c r="L68" t="str">
        <f t="shared" ref="L68:L131" si="6">IF($B68="","",_xlfn.LET(_xlpm.orate,_xlfn.XLOOKUP($I68,$N$3:$N$300,$R$3:$R$300,""),IF(_xlpm.orate&lt;&gt;"",_xlpm.orate,$E68)))</f>
        <v/>
      </c>
      <c r="M68" t="str">
        <f t="shared" ref="M68:M127" si="7">IF($B68="","",$K68*$L68)</f>
        <v/>
      </c>
    </row>
    <row r="69" spans="1:13" x14ac:dyDescent="0.25">
      <c r="A69" t="str">
        <f ca="1"/>
        <v/>
      </c>
      <c r="K69" t="str">
        <f t="shared" si="5"/>
        <v/>
      </c>
      <c r="L69" t="str">
        <f t="shared" si="6"/>
        <v/>
      </c>
      <c r="M69" t="str">
        <f t="shared" si="7"/>
        <v/>
      </c>
    </row>
    <row r="70" spans="1:13" x14ac:dyDescent="0.25">
      <c r="A70" t="str">
        <f ca="1"/>
        <v/>
      </c>
      <c r="K70" t="str">
        <f t="shared" si="5"/>
        <v/>
      </c>
      <c r="L70" t="str">
        <f t="shared" si="6"/>
        <v/>
      </c>
      <c r="M70" t="str">
        <f t="shared" si="7"/>
        <v/>
      </c>
    </row>
    <row r="71" spans="1:13" x14ac:dyDescent="0.25">
      <c r="A71" t="str">
        <f ca="1"/>
        <v/>
      </c>
      <c r="K71" t="str">
        <f t="shared" si="5"/>
        <v/>
      </c>
      <c r="L71" t="str">
        <f t="shared" si="6"/>
        <v/>
      </c>
      <c r="M71" t="str">
        <f t="shared" si="7"/>
        <v/>
      </c>
    </row>
    <row r="72" spans="1:13" x14ac:dyDescent="0.25">
      <c r="A72" t="str">
        <f ca="1"/>
        <v/>
      </c>
      <c r="K72" t="str">
        <f t="shared" si="5"/>
        <v/>
      </c>
      <c r="L72" t="str">
        <f t="shared" si="6"/>
        <v/>
      </c>
      <c r="M72" t="str">
        <f t="shared" si="7"/>
        <v/>
      </c>
    </row>
    <row r="73" spans="1:13" x14ac:dyDescent="0.25">
      <c r="A73" t="str">
        <f ca="1"/>
        <v/>
      </c>
      <c r="K73" t="str">
        <f t="shared" si="5"/>
        <v/>
      </c>
      <c r="L73" t="str">
        <f t="shared" si="6"/>
        <v/>
      </c>
      <c r="M73" t="str">
        <f t="shared" si="7"/>
        <v/>
      </c>
    </row>
    <row r="74" spans="1:13" x14ac:dyDescent="0.25">
      <c r="A74" t="str">
        <f ca="1"/>
        <v/>
      </c>
      <c r="K74" t="str">
        <f t="shared" si="5"/>
        <v/>
      </c>
      <c r="L74" t="str">
        <f t="shared" si="6"/>
        <v/>
      </c>
      <c r="M74" t="str">
        <f t="shared" si="7"/>
        <v/>
      </c>
    </row>
    <row r="75" spans="1:13" x14ac:dyDescent="0.25">
      <c r="A75" t="str">
        <f ca="1"/>
        <v/>
      </c>
      <c r="K75" t="str">
        <f t="shared" si="5"/>
        <v/>
      </c>
      <c r="L75" t="str">
        <f t="shared" si="6"/>
        <v/>
      </c>
      <c r="M75" t="str">
        <f t="shared" si="7"/>
        <v/>
      </c>
    </row>
    <row r="76" spans="1:13" x14ac:dyDescent="0.25">
      <c r="A76" t="str">
        <f ca="1"/>
        <v/>
      </c>
      <c r="K76" t="str">
        <f t="shared" si="5"/>
        <v/>
      </c>
      <c r="L76" t="str">
        <f t="shared" si="6"/>
        <v/>
      </c>
      <c r="M76" t="str">
        <f t="shared" si="7"/>
        <v/>
      </c>
    </row>
    <row r="77" spans="1:13" x14ac:dyDescent="0.25">
      <c r="A77" t="str">
        <f ca="1"/>
        <v/>
      </c>
      <c r="K77" t="str">
        <f t="shared" si="5"/>
        <v/>
      </c>
      <c r="L77" t="str">
        <f t="shared" si="6"/>
        <v/>
      </c>
      <c r="M77" t="str">
        <f t="shared" si="7"/>
        <v/>
      </c>
    </row>
    <row r="78" spans="1:13" x14ac:dyDescent="0.25">
      <c r="A78" t="str">
        <f ca="1"/>
        <v/>
      </c>
      <c r="K78" t="str">
        <f t="shared" si="5"/>
        <v/>
      </c>
      <c r="L78" t="str">
        <f t="shared" si="6"/>
        <v/>
      </c>
      <c r="M78" t="str">
        <f t="shared" si="7"/>
        <v/>
      </c>
    </row>
    <row r="79" spans="1:13" x14ac:dyDescent="0.25">
      <c r="A79" t="str">
        <f ca="1"/>
        <v/>
      </c>
      <c r="K79" t="str">
        <f t="shared" si="5"/>
        <v/>
      </c>
      <c r="L79" t="str">
        <f t="shared" si="6"/>
        <v/>
      </c>
      <c r="M79" t="str">
        <f t="shared" si="7"/>
        <v/>
      </c>
    </row>
    <row r="80" spans="1:13" x14ac:dyDescent="0.25">
      <c r="A80" t="str">
        <f ca="1"/>
        <v/>
      </c>
      <c r="K80" t="str">
        <f t="shared" si="5"/>
        <v/>
      </c>
      <c r="L80" t="str">
        <f t="shared" si="6"/>
        <v/>
      </c>
      <c r="M80" t="str">
        <f t="shared" si="7"/>
        <v/>
      </c>
    </row>
    <row r="81" spans="1:13" x14ac:dyDescent="0.25">
      <c r="A81" t="str">
        <f ca="1"/>
        <v/>
      </c>
      <c r="K81" t="str">
        <f t="shared" si="5"/>
        <v/>
      </c>
      <c r="L81" t="str">
        <f t="shared" si="6"/>
        <v/>
      </c>
      <c r="M81" t="str">
        <f t="shared" si="7"/>
        <v/>
      </c>
    </row>
    <row r="82" spans="1:13" x14ac:dyDescent="0.25">
      <c r="A82" t="str">
        <f ca="1"/>
        <v/>
      </c>
      <c r="K82" t="str">
        <f t="shared" si="5"/>
        <v/>
      </c>
      <c r="L82" t="str">
        <f t="shared" si="6"/>
        <v/>
      </c>
      <c r="M82" t="str">
        <f t="shared" si="7"/>
        <v/>
      </c>
    </row>
    <row r="83" spans="1:13" x14ac:dyDescent="0.25">
      <c r="A83" t="str">
        <f ca="1"/>
        <v/>
      </c>
      <c r="K83" t="str">
        <f t="shared" si="5"/>
        <v/>
      </c>
      <c r="L83" t="str">
        <f t="shared" si="6"/>
        <v/>
      </c>
      <c r="M83" t="str">
        <f t="shared" si="7"/>
        <v/>
      </c>
    </row>
    <row r="84" spans="1:13" x14ac:dyDescent="0.25">
      <c r="A84" t="str">
        <f ca="1"/>
        <v/>
      </c>
      <c r="K84" t="str">
        <f t="shared" si="5"/>
        <v/>
      </c>
      <c r="L84" t="str">
        <f t="shared" si="6"/>
        <v/>
      </c>
      <c r="M84" t="str">
        <f t="shared" si="7"/>
        <v/>
      </c>
    </row>
    <row r="85" spans="1:13" x14ac:dyDescent="0.25">
      <c r="A85" t="str">
        <f ca="1"/>
        <v/>
      </c>
      <c r="K85" t="str">
        <f t="shared" si="5"/>
        <v/>
      </c>
      <c r="L85" t="str">
        <f t="shared" si="6"/>
        <v/>
      </c>
      <c r="M85" t="str">
        <f t="shared" si="7"/>
        <v/>
      </c>
    </row>
    <row r="86" spans="1:13" x14ac:dyDescent="0.25">
      <c r="A86" t="str">
        <f ca="1"/>
        <v/>
      </c>
      <c r="K86" t="str">
        <f t="shared" si="5"/>
        <v/>
      </c>
      <c r="L86" t="str">
        <f t="shared" si="6"/>
        <v/>
      </c>
      <c r="M86" t="str">
        <f t="shared" si="7"/>
        <v/>
      </c>
    </row>
    <row r="87" spans="1:13" x14ac:dyDescent="0.25">
      <c r="A87" t="str">
        <f ca="1"/>
        <v/>
      </c>
      <c r="K87" t="str">
        <f t="shared" si="5"/>
        <v/>
      </c>
      <c r="L87" t="str">
        <f t="shared" si="6"/>
        <v/>
      </c>
      <c r="M87" t="str">
        <f t="shared" si="7"/>
        <v/>
      </c>
    </row>
    <row r="88" spans="1:13" x14ac:dyDescent="0.25">
      <c r="A88" t="str">
        <f ca="1"/>
        <v/>
      </c>
      <c r="K88" t="str">
        <f t="shared" si="5"/>
        <v/>
      </c>
      <c r="L88" t="str">
        <f t="shared" si="6"/>
        <v/>
      </c>
      <c r="M88" t="str">
        <f t="shared" si="7"/>
        <v/>
      </c>
    </row>
    <row r="89" spans="1:13" x14ac:dyDescent="0.25">
      <c r="A89" t="str">
        <f ca="1"/>
        <v/>
      </c>
      <c r="K89" t="str">
        <f t="shared" si="5"/>
        <v/>
      </c>
      <c r="L89" t="str">
        <f t="shared" si="6"/>
        <v/>
      </c>
      <c r="M89" t="str">
        <f t="shared" si="7"/>
        <v/>
      </c>
    </row>
    <row r="90" spans="1:13" x14ac:dyDescent="0.25">
      <c r="A90" t="str">
        <f ca="1"/>
        <v/>
      </c>
      <c r="K90" t="str">
        <f t="shared" si="5"/>
        <v/>
      </c>
      <c r="L90" t="str">
        <f t="shared" si="6"/>
        <v/>
      </c>
      <c r="M90" t="str">
        <f t="shared" si="7"/>
        <v/>
      </c>
    </row>
    <row r="91" spans="1:13" x14ac:dyDescent="0.25">
      <c r="A91" t="str">
        <f ca="1"/>
        <v/>
      </c>
      <c r="K91" t="str">
        <f t="shared" si="5"/>
        <v/>
      </c>
      <c r="L91" t="str">
        <f t="shared" si="6"/>
        <v/>
      </c>
      <c r="M91" t="str">
        <f t="shared" si="7"/>
        <v/>
      </c>
    </row>
    <row r="92" spans="1:13" x14ac:dyDescent="0.25">
      <c r="A92" t="str">
        <f ca="1"/>
        <v/>
      </c>
      <c r="K92" t="str">
        <f t="shared" si="5"/>
        <v/>
      </c>
      <c r="L92" t="str">
        <f t="shared" si="6"/>
        <v/>
      </c>
      <c r="M92" t="str">
        <f t="shared" si="7"/>
        <v/>
      </c>
    </row>
    <row r="93" spans="1:13" x14ac:dyDescent="0.25">
      <c r="A93" t="str">
        <f ca="1"/>
        <v/>
      </c>
      <c r="K93" t="str">
        <f t="shared" si="5"/>
        <v/>
      </c>
      <c r="L93" t="str">
        <f t="shared" si="6"/>
        <v/>
      </c>
      <c r="M93" t="str">
        <f t="shared" si="7"/>
        <v/>
      </c>
    </row>
    <row r="94" spans="1:13" x14ac:dyDescent="0.25">
      <c r="A94" t="str">
        <f ca="1"/>
        <v/>
      </c>
      <c r="K94" t="str">
        <f t="shared" si="5"/>
        <v/>
      </c>
      <c r="L94" t="str">
        <f t="shared" si="6"/>
        <v/>
      </c>
      <c r="M94" t="str">
        <f t="shared" si="7"/>
        <v/>
      </c>
    </row>
    <row r="95" spans="1:13" x14ac:dyDescent="0.25">
      <c r="A95" t="str">
        <f ca="1"/>
        <v/>
      </c>
      <c r="K95" t="str">
        <f t="shared" si="5"/>
        <v/>
      </c>
      <c r="L95" t="str">
        <f t="shared" si="6"/>
        <v/>
      </c>
      <c r="M95" t="str">
        <f t="shared" si="7"/>
        <v/>
      </c>
    </row>
    <row r="96" spans="1:13" x14ac:dyDescent="0.25">
      <c r="A96" t="str">
        <f ca="1"/>
        <v/>
      </c>
      <c r="K96" t="str">
        <f t="shared" si="5"/>
        <v/>
      </c>
      <c r="L96" t="str">
        <f t="shared" si="6"/>
        <v/>
      </c>
      <c r="M96" t="str">
        <f t="shared" si="7"/>
        <v/>
      </c>
    </row>
    <row r="97" spans="1:13" x14ac:dyDescent="0.25">
      <c r="A97" t="str">
        <f ca="1"/>
        <v/>
      </c>
      <c r="K97" t="str">
        <f t="shared" si="5"/>
        <v/>
      </c>
      <c r="L97" t="str">
        <f t="shared" si="6"/>
        <v/>
      </c>
      <c r="M97" t="str">
        <f t="shared" si="7"/>
        <v/>
      </c>
    </row>
    <row r="98" spans="1:13" x14ac:dyDescent="0.25">
      <c r="A98" t="str">
        <f ca="1"/>
        <v/>
      </c>
      <c r="K98" t="str">
        <f t="shared" si="5"/>
        <v/>
      </c>
      <c r="L98" t="str">
        <f t="shared" si="6"/>
        <v/>
      </c>
      <c r="M98" t="str">
        <f t="shared" si="7"/>
        <v/>
      </c>
    </row>
    <row r="99" spans="1:13" x14ac:dyDescent="0.25">
      <c r="A99" t="str">
        <f ca="1"/>
        <v/>
      </c>
      <c r="K99" t="str">
        <f t="shared" si="5"/>
        <v/>
      </c>
      <c r="L99" t="str">
        <f t="shared" si="6"/>
        <v/>
      </c>
      <c r="M99" t="str">
        <f t="shared" si="7"/>
        <v/>
      </c>
    </row>
    <row r="100" spans="1:13" x14ac:dyDescent="0.25">
      <c r="A100" t="str">
        <f ca="1"/>
        <v/>
      </c>
      <c r="K100" t="str">
        <f t="shared" si="5"/>
        <v/>
      </c>
      <c r="L100" t="str">
        <f t="shared" si="6"/>
        <v/>
      </c>
      <c r="M100" t="str">
        <f t="shared" si="7"/>
        <v/>
      </c>
    </row>
    <row r="101" spans="1:13" x14ac:dyDescent="0.25">
      <c r="A101" t="str">
        <f ca="1"/>
        <v/>
      </c>
      <c r="K101" t="str">
        <f t="shared" si="5"/>
        <v/>
      </c>
      <c r="L101" t="str">
        <f t="shared" si="6"/>
        <v/>
      </c>
      <c r="M101" t="str">
        <f t="shared" si="7"/>
        <v/>
      </c>
    </row>
    <row r="102" spans="1:13" x14ac:dyDescent="0.25">
      <c r="A102" t="str">
        <f ca="1"/>
        <v/>
      </c>
      <c r="K102" t="str">
        <f t="shared" si="5"/>
        <v/>
      </c>
      <c r="L102" t="str">
        <f t="shared" si="6"/>
        <v/>
      </c>
      <c r="M102" t="str">
        <f t="shared" si="7"/>
        <v/>
      </c>
    </row>
    <row r="103" spans="1:13" x14ac:dyDescent="0.25">
      <c r="A103" t="str">
        <f ca="1"/>
        <v/>
      </c>
      <c r="K103" t="str">
        <f t="shared" si="5"/>
        <v/>
      </c>
      <c r="L103" t="str">
        <f t="shared" si="6"/>
        <v/>
      </c>
      <c r="M103" t="str">
        <f t="shared" si="7"/>
        <v/>
      </c>
    </row>
    <row r="104" spans="1:13" x14ac:dyDescent="0.25">
      <c r="A104" t="str">
        <f ca="1"/>
        <v/>
      </c>
      <c r="K104" t="str">
        <f t="shared" si="5"/>
        <v/>
      </c>
      <c r="L104" t="str">
        <f t="shared" si="6"/>
        <v/>
      </c>
      <c r="M104" t="str">
        <f t="shared" si="7"/>
        <v/>
      </c>
    </row>
    <row r="105" spans="1:13" x14ac:dyDescent="0.25">
      <c r="A105" t="str">
        <f ca="1"/>
        <v/>
      </c>
      <c r="K105" t="str">
        <f t="shared" si="5"/>
        <v/>
      </c>
      <c r="L105" t="str">
        <f t="shared" si="6"/>
        <v/>
      </c>
      <c r="M105" t="str">
        <f t="shared" si="7"/>
        <v/>
      </c>
    </row>
    <row r="106" spans="1:13" x14ac:dyDescent="0.25">
      <c r="A106" t="str">
        <f ca="1"/>
        <v/>
      </c>
      <c r="K106" t="str">
        <f t="shared" si="5"/>
        <v/>
      </c>
      <c r="L106" t="str">
        <f t="shared" si="6"/>
        <v/>
      </c>
      <c r="M106" t="str">
        <f t="shared" si="7"/>
        <v/>
      </c>
    </row>
    <row r="107" spans="1:13" x14ac:dyDescent="0.25">
      <c r="A107" t="str">
        <f ca="1"/>
        <v/>
      </c>
      <c r="K107" t="str">
        <f t="shared" si="5"/>
        <v/>
      </c>
      <c r="L107" t="str">
        <f t="shared" si="6"/>
        <v/>
      </c>
      <c r="M107" t="str">
        <f t="shared" si="7"/>
        <v/>
      </c>
    </row>
    <row r="108" spans="1:13" x14ac:dyDescent="0.25">
      <c r="A108" t="str">
        <f ca="1"/>
        <v/>
      </c>
      <c r="K108" t="str">
        <f t="shared" si="5"/>
        <v/>
      </c>
      <c r="L108" t="str">
        <f t="shared" si="6"/>
        <v/>
      </c>
      <c r="M108" t="str">
        <f t="shared" si="7"/>
        <v/>
      </c>
    </row>
    <row r="109" spans="1:13" x14ac:dyDescent="0.25">
      <c r="A109" t="str">
        <f ca="1"/>
        <v/>
      </c>
      <c r="K109" t="str">
        <f t="shared" si="5"/>
        <v/>
      </c>
      <c r="L109" t="str">
        <f t="shared" si="6"/>
        <v/>
      </c>
      <c r="M109" t="str">
        <f t="shared" si="7"/>
        <v/>
      </c>
    </row>
    <row r="110" spans="1:13" x14ac:dyDescent="0.25">
      <c r="A110" t="str">
        <f ca="1"/>
        <v/>
      </c>
      <c r="K110" t="str">
        <f t="shared" si="5"/>
        <v/>
      </c>
      <c r="L110" t="str">
        <f t="shared" si="6"/>
        <v/>
      </c>
      <c r="M110" t="str">
        <f t="shared" si="7"/>
        <v/>
      </c>
    </row>
    <row r="111" spans="1:13" x14ac:dyDescent="0.25">
      <c r="A111" t="str">
        <f ca="1"/>
        <v/>
      </c>
      <c r="K111" t="str">
        <f t="shared" si="5"/>
        <v/>
      </c>
      <c r="L111" t="str">
        <f t="shared" si="6"/>
        <v/>
      </c>
      <c r="M111" t="str">
        <f t="shared" si="7"/>
        <v/>
      </c>
    </row>
    <row r="112" spans="1:13" x14ac:dyDescent="0.25">
      <c r="A112" t="str">
        <f ca="1"/>
        <v/>
      </c>
      <c r="K112" t="str">
        <f t="shared" si="5"/>
        <v/>
      </c>
      <c r="L112" t="str">
        <f t="shared" si="6"/>
        <v/>
      </c>
      <c r="M112" t="str">
        <f t="shared" si="7"/>
        <v/>
      </c>
    </row>
    <row r="113" spans="1:13" x14ac:dyDescent="0.25">
      <c r="A113" t="str">
        <f ca="1"/>
        <v/>
      </c>
      <c r="K113" t="str">
        <f t="shared" si="5"/>
        <v/>
      </c>
      <c r="L113" t="str">
        <f t="shared" si="6"/>
        <v/>
      </c>
      <c r="M113" t="str">
        <f t="shared" si="7"/>
        <v/>
      </c>
    </row>
    <row r="114" spans="1:13" x14ac:dyDescent="0.25">
      <c r="A114" t="str">
        <f ca="1"/>
        <v/>
      </c>
      <c r="K114" t="str">
        <f t="shared" si="5"/>
        <v/>
      </c>
      <c r="L114" t="str">
        <f t="shared" si="6"/>
        <v/>
      </c>
      <c r="M114" t="str">
        <f t="shared" si="7"/>
        <v/>
      </c>
    </row>
    <row r="115" spans="1:13" x14ac:dyDescent="0.25">
      <c r="A115" t="str">
        <f ca="1"/>
        <v/>
      </c>
      <c r="K115" t="str">
        <f t="shared" si="5"/>
        <v/>
      </c>
      <c r="L115" t="str">
        <f t="shared" si="6"/>
        <v/>
      </c>
      <c r="M115" t="str">
        <f t="shared" si="7"/>
        <v/>
      </c>
    </row>
    <row r="116" spans="1:13" x14ac:dyDescent="0.25">
      <c r="A116" t="str">
        <f ca="1"/>
        <v/>
      </c>
      <c r="K116" t="str">
        <f t="shared" si="5"/>
        <v/>
      </c>
      <c r="L116" t="str">
        <f t="shared" si="6"/>
        <v/>
      </c>
      <c r="M116" t="str">
        <f t="shared" si="7"/>
        <v/>
      </c>
    </row>
    <row r="117" spans="1:13" x14ac:dyDescent="0.25">
      <c r="A117" t="str">
        <f ca="1"/>
        <v/>
      </c>
      <c r="K117" t="str">
        <f t="shared" si="5"/>
        <v/>
      </c>
      <c r="L117" t="str">
        <f t="shared" si="6"/>
        <v/>
      </c>
      <c r="M117" t="str">
        <f t="shared" si="7"/>
        <v/>
      </c>
    </row>
    <row r="118" spans="1:13" x14ac:dyDescent="0.25">
      <c r="A118" t="str">
        <f ca="1"/>
        <v/>
      </c>
      <c r="K118" t="str">
        <f t="shared" si="5"/>
        <v/>
      </c>
      <c r="L118" t="str">
        <f t="shared" si="6"/>
        <v/>
      </c>
      <c r="M118" t="str">
        <f t="shared" si="7"/>
        <v/>
      </c>
    </row>
    <row r="119" spans="1:13" x14ac:dyDescent="0.25">
      <c r="A119" t="str">
        <f ca="1"/>
        <v/>
      </c>
      <c r="K119" t="str">
        <f t="shared" si="5"/>
        <v/>
      </c>
      <c r="L119" t="str">
        <f t="shared" si="6"/>
        <v/>
      </c>
      <c r="M119" t="str">
        <f t="shared" si="7"/>
        <v/>
      </c>
    </row>
    <row r="120" spans="1:13" x14ac:dyDescent="0.25">
      <c r="A120" t="str">
        <f ca="1"/>
        <v/>
      </c>
      <c r="K120" t="str">
        <f t="shared" si="5"/>
        <v/>
      </c>
      <c r="L120" t="str">
        <f t="shared" si="6"/>
        <v/>
      </c>
      <c r="M120" t="str">
        <f t="shared" si="7"/>
        <v/>
      </c>
    </row>
    <row r="121" spans="1:13" x14ac:dyDescent="0.25">
      <c r="A121" t="str">
        <f ca="1"/>
        <v/>
      </c>
      <c r="K121" t="str">
        <f t="shared" si="5"/>
        <v/>
      </c>
      <c r="L121" t="str">
        <f t="shared" si="6"/>
        <v/>
      </c>
      <c r="M121" t="str">
        <f t="shared" si="7"/>
        <v/>
      </c>
    </row>
    <row r="122" spans="1:13" x14ac:dyDescent="0.25">
      <c r="A122" t="str">
        <f ca="1"/>
        <v/>
      </c>
      <c r="K122" t="str">
        <f t="shared" si="5"/>
        <v/>
      </c>
      <c r="L122" t="str">
        <f t="shared" si="6"/>
        <v/>
      </c>
      <c r="M122" t="str">
        <f t="shared" si="7"/>
        <v/>
      </c>
    </row>
    <row r="123" spans="1:13" x14ac:dyDescent="0.25">
      <c r="A123" t="str">
        <f ca="1"/>
        <v/>
      </c>
      <c r="K123" t="str">
        <f t="shared" si="5"/>
        <v/>
      </c>
      <c r="L123" t="str">
        <f t="shared" si="6"/>
        <v/>
      </c>
      <c r="M123" t="str">
        <f t="shared" si="7"/>
        <v/>
      </c>
    </row>
    <row r="124" spans="1:13" x14ac:dyDescent="0.25">
      <c r="A124" t="str">
        <f ca="1"/>
        <v/>
      </c>
      <c r="K124" t="str">
        <f t="shared" si="5"/>
        <v/>
      </c>
      <c r="L124" t="str">
        <f t="shared" si="6"/>
        <v/>
      </c>
      <c r="M124" t="str">
        <f t="shared" si="7"/>
        <v/>
      </c>
    </row>
    <row r="125" spans="1:13" x14ac:dyDescent="0.25">
      <c r="A125" t="str">
        <f ca="1"/>
        <v/>
      </c>
      <c r="K125" t="str">
        <f t="shared" si="5"/>
        <v/>
      </c>
      <c r="L125" t="str">
        <f t="shared" si="6"/>
        <v/>
      </c>
      <c r="M125" t="str">
        <f t="shared" si="7"/>
        <v/>
      </c>
    </row>
    <row r="126" spans="1:13" x14ac:dyDescent="0.25">
      <c r="A126" t="str">
        <f ca="1"/>
        <v/>
      </c>
      <c r="K126" t="str">
        <f t="shared" si="5"/>
        <v/>
      </c>
      <c r="L126" t="str">
        <f t="shared" si="6"/>
        <v/>
      </c>
      <c r="M126" t="str">
        <f t="shared" si="7"/>
        <v/>
      </c>
    </row>
    <row r="127" spans="1:13" x14ac:dyDescent="0.25">
      <c r="A127" t="str">
        <f ca="1"/>
        <v/>
      </c>
      <c r="K127" t="str">
        <f t="shared" si="5"/>
        <v/>
      </c>
      <c r="L127" t="str">
        <f t="shared" si="6"/>
        <v/>
      </c>
      <c r="M127" t="str">
        <f t="shared" si="7"/>
        <v/>
      </c>
    </row>
    <row r="128" spans="1:13" x14ac:dyDescent="0.25">
      <c r="A128" t="str">
        <f ca="1"/>
        <v/>
      </c>
      <c r="K128" t="str">
        <f t="shared" si="5"/>
        <v/>
      </c>
      <c r="L128" t="str">
        <f t="shared" si="6"/>
        <v/>
      </c>
    </row>
    <row r="129" spans="1:12" x14ac:dyDescent="0.25">
      <c r="A129" t="str">
        <f ca="1"/>
        <v/>
      </c>
      <c r="K129" t="str">
        <f t="shared" si="5"/>
        <v/>
      </c>
      <c r="L129" t="str">
        <f t="shared" si="6"/>
        <v/>
      </c>
    </row>
    <row r="130" spans="1:12" x14ac:dyDescent="0.25">
      <c r="A130" t="str">
        <f ca="1"/>
        <v/>
      </c>
      <c r="K130" t="str">
        <f t="shared" si="5"/>
        <v/>
      </c>
      <c r="L130" t="str">
        <f t="shared" si="6"/>
        <v/>
      </c>
    </row>
    <row r="131" spans="1:12" x14ac:dyDescent="0.25">
      <c r="A131" t="str">
        <f ca="1"/>
        <v/>
      </c>
      <c r="K131" t="str">
        <f t="shared" si="5"/>
        <v/>
      </c>
      <c r="L131" t="str">
        <f t="shared" si="6"/>
        <v/>
      </c>
    </row>
    <row r="132" spans="1:12" x14ac:dyDescent="0.25">
      <c r="A132" t="str">
        <f ca="1"/>
        <v/>
      </c>
      <c r="K132" t="str">
        <f t="shared" ref="K132:K195" si="8">IF($B132="","",_xlfn.LET(_xlpm.pu,_xlfn.XLOOKUP($I132,$N$3:$N$300,$O$3:$O$300,""),_xlpm.ps,_xlfn.XLOOKUP($I132,$N$3:$N$300,$P$3:$P$300,""),_xlpm.oq,_xlfn.XLOOKUP($I132,$N$3:$N$300,$Q$3:$Q$300,""),_xlpm.base,$H132,IF(_xlpm.oq&lt;&gt;"",_xlpm.oq,IF(_xlpm.ps="",_xlpm.base,IF(OR(_xlpm.pu="",_xlpm.pu=$D132),CEILING(_xlpm.base,_xlpm.ps),CEILING(_xlpm.base/_xlpm.ps,1))))))</f>
        <v/>
      </c>
    </row>
    <row r="133" spans="1:12" x14ac:dyDescent="0.25">
      <c r="A133" t="str">
        <f ca="1"/>
        <v/>
      </c>
      <c r="K133" t="str">
        <f t="shared" si="8"/>
        <v/>
      </c>
    </row>
    <row r="134" spans="1:12" x14ac:dyDescent="0.25">
      <c r="A134" t="str">
        <f ca="1"/>
        <v/>
      </c>
      <c r="K134" t="str">
        <f t="shared" si="8"/>
        <v/>
      </c>
    </row>
    <row r="135" spans="1:12" x14ac:dyDescent="0.25">
      <c r="A135" t="str">
        <f ca="1"/>
        <v/>
      </c>
      <c r="K135" t="str">
        <f t="shared" si="8"/>
        <v/>
      </c>
    </row>
    <row r="136" spans="1:12" x14ac:dyDescent="0.25">
      <c r="A136" t="str">
        <f ca="1"/>
        <v/>
      </c>
      <c r="K136" t="str">
        <f t="shared" si="8"/>
        <v/>
      </c>
    </row>
    <row r="137" spans="1:12" x14ac:dyDescent="0.25">
      <c r="A137" t="str">
        <f ca="1"/>
        <v/>
      </c>
      <c r="K137" t="str">
        <f t="shared" si="8"/>
        <v/>
      </c>
    </row>
    <row r="138" spans="1:12" x14ac:dyDescent="0.25">
      <c r="A138" t="str">
        <f ca="1"/>
        <v/>
      </c>
      <c r="K138" t="str">
        <f t="shared" si="8"/>
        <v/>
      </c>
    </row>
    <row r="139" spans="1:12" x14ac:dyDescent="0.25">
      <c r="A139" t="str">
        <f ca="1"/>
        <v/>
      </c>
      <c r="K139" t="str">
        <f t="shared" si="8"/>
        <v/>
      </c>
    </row>
    <row r="140" spans="1:12" x14ac:dyDescent="0.25">
      <c r="A140" t="str">
        <f ca="1"/>
        <v/>
      </c>
      <c r="K140" t="str">
        <f t="shared" si="8"/>
        <v/>
      </c>
    </row>
    <row r="141" spans="1:12" x14ac:dyDescent="0.25">
      <c r="A141" t="str">
        <f ca="1"/>
        <v/>
      </c>
      <c r="K141" t="str">
        <f t="shared" si="8"/>
        <v/>
      </c>
    </row>
    <row r="142" spans="1:12" x14ac:dyDescent="0.25">
      <c r="A142" t="str">
        <f ca="1"/>
        <v/>
      </c>
      <c r="K142" t="str">
        <f t="shared" si="8"/>
        <v/>
      </c>
    </row>
    <row r="143" spans="1:12" x14ac:dyDescent="0.25">
      <c r="A143" t="str">
        <f ca="1"/>
        <v/>
      </c>
      <c r="K143" t="str">
        <f t="shared" si="8"/>
        <v/>
      </c>
    </row>
    <row r="144" spans="1:12" x14ac:dyDescent="0.25">
      <c r="A144" t="str">
        <f ca="1"/>
        <v/>
      </c>
      <c r="K144" t="str">
        <f t="shared" si="8"/>
        <v/>
      </c>
    </row>
    <row r="145" spans="1:11" x14ac:dyDescent="0.25">
      <c r="A145" t="str">
        <f ca="1"/>
        <v/>
      </c>
      <c r="K145" t="str">
        <f t="shared" si="8"/>
        <v/>
      </c>
    </row>
    <row r="146" spans="1:11" x14ac:dyDescent="0.25">
      <c r="A146" t="str">
        <f ca="1"/>
        <v/>
      </c>
      <c r="K146" t="str">
        <f t="shared" si="8"/>
        <v/>
      </c>
    </row>
    <row r="147" spans="1:11" x14ac:dyDescent="0.25">
      <c r="A147" t="str">
        <f ca="1"/>
        <v/>
      </c>
      <c r="K147" t="str">
        <f t="shared" si="8"/>
        <v/>
      </c>
    </row>
    <row r="148" spans="1:11" x14ac:dyDescent="0.25">
      <c r="A148" t="str">
        <f ca="1"/>
        <v/>
      </c>
      <c r="K148" t="str">
        <f t="shared" si="8"/>
        <v/>
      </c>
    </row>
    <row r="149" spans="1:11" x14ac:dyDescent="0.25">
      <c r="A149" t="str">
        <f ca="1"/>
        <v/>
      </c>
      <c r="K149" t="str">
        <f t="shared" si="8"/>
        <v/>
      </c>
    </row>
    <row r="150" spans="1:11" x14ac:dyDescent="0.25">
      <c r="A150" t="str">
        <f ca="1"/>
        <v/>
      </c>
      <c r="K150" t="str">
        <f t="shared" si="8"/>
        <v/>
      </c>
    </row>
    <row r="151" spans="1:11" x14ac:dyDescent="0.25">
      <c r="A151" t="str">
        <f ca="1"/>
        <v/>
      </c>
      <c r="K151" t="str">
        <f t="shared" si="8"/>
        <v/>
      </c>
    </row>
    <row r="152" spans="1:11" x14ac:dyDescent="0.25">
      <c r="A152" t="str">
        <f ca="1"/>
        <v/>
      </c>
      <c r="K152" t="str">
        <f t="shared" si="8"/>
        <v/>
      </c>
    </row>
    <row r="153" spans="1:11" x14ac:dyDescent="0.25">
      <c r="A153" t="str">
        <f ca="1"/>
        <v/>
      </c>
      <c r="K153" t="str">
        <f t="shared" si="8"/>
        <v/>
      </c>
    </row>
    <row r="154" spans="1:11" x14ac:dyDescent="0.25">
      <c r="A154" t="str">
        <f ca="1"/>
        <v/>
      </c>
      <c r="K154" t="str">
        <f t="shared" si="8"/>
        <v/>
      </c>
    </row>
    <row r="155" spans="1:11" x14ac:dyDescent="0.25">
      <c r="A155" t="str">
        <f ca="1"/>
        <v/>
      </c>
      <c r="K155" t="str">
        <f t="shared" si="8"/>
        <v/>
      </c>
    </row>
    <row r="156" spans="1:11" x14ac:dyDescent="0.25">
      <c r="A156" t="str">
        <f ca="1"/>
        <v/>
      </c>
      <c r="K156" t="str">
        <f t="shared" si="8"/>
        <v/>
      </c>
    </row>
    <row r="157" spans="1:11" x14ac:dyDescent="0.25">
      <c r="A157" t="str">
        <f ca="1"/>
        <v/>
      </c>
      <c r="K157" t="str">
        <f t="shared" si="8"/>
        <v/>
      </c>
    </row>
    <row r="158" spans="1:11" x14ac:dyDescent="0.25">
      <c r="A158" t="str">
        <f ca="1"/>
        <v/>
      </c>
      <c r="K158" t="str">
        <f t="shared" si="8"/>
        <v/>
      </c>
    </row>
    <row r="159" spans="1:11" x14ac:dyDescent="0.25">
      <c r="A159" t="str">
        <f ca="1"/>
        <v/>
      </c>
      <c r="K159" t="str">
        <f t="shared" si="8"/>
        <v/>
      </c>
    </row>
    <row r="160" spans="1:11" x14ac:dyDescent="0.25">
      <c r="A160" t="str">
        <f ca="1"/>
        <v/>
      </c>
      <c r="K160" t="str">
        <f t="shared" si="8"/>
        <v/>
      </c>
    </row>
    <row r="161" spans="1:11" x14ac:dyDescent="0.25">
      <c r="A161" t="str">
        <f ca="1"/>
        <v/>
      </c>
      <c r="K161" t="str">
        <f t="shared" si="8"/>
        <v/>
      </c>
    </row>
    <row r="162" spans="1:11" x14ac:dyDescent="0.25">
      <c r="A162" t="str">
        <f ca="1"/>
        <v/>
      </c>
      <c r="K162" t="str">
        <f t="shared" si="8"/>
        <v/>
      </c>
    </row>
    <row r="163" spans="1:11" x14ac:dyDescent="0.25">
      <c r="A163" t="str">
        <f ca="1"/>
        <v/>
      </c>
      <c r="K163" t="str">
        <f t="shared" si="8"/>
        <v/>
      </c>
    </row>
    <row r="164" spans="1:11" x14ac:dyDescent="0.25">
      <c r="A164" t="str">
        <f ca="1"/>
        <v/>
      </c>
      <c r="K164" t="str">
        <f t="shared" si="8"/>
        <v/>
      </c>
    </row>
    <row r="165" spans="1:11" x14ac:dyDescent="0.25">
      <c r="A165" t="str">
        <f ca="1"/>
        <v/>
      </c>
      <c r="K165" t="str">
        <f t="shared" si="8"/>
        <v/>
      </c>
    </row>
    <row r="166" spans="1:11" x14ac:dyDescent="0.25">
      <c r="A166" t="str">
        <f ca="1"/>
        <v/>
      </c>
      <c r="K166" t="str">
        <f t="shared" si="8"/>
        <v/>
      </c>
    </row>
    <row r="167" spans="1:11" x14ac:dyDescent="0.25">
      <c r="A167" t="str">
        <f ca="1"/>
        <v/>
      </c>
      <c r="K167" t="str">
        <f t="shared" si="8"/>
        <v/>
      </c>
    </row>
    <row r="168" spans="1:11" x14ac:dyDescent="0.25">
      <c r="A168" t="str">
        <f ca="1"/>
        <v/>
      </c>
      <c r="K168" t="str">
        <f t="shared" si="8"/>
        <v/>
      </c>
    </row>
    <row r="169" spans="1:11" x14ac:dyDescent="0.25">
      <c r="A169" t="str">
        <f ca="1"/>
        <v/>
      </c>
      <c r="K169" t="str">
        <f t="shared" si="8"/>
        <v/>
      </c>
    </row>
    <row r="170" spans="1:11" x14ac:dyDescent="0.25">
      <c r="A170" t="str">
        <f ca="1"/>
        <v/>
      </c>
      <c r="K170" t="str">
        <f t="shared" si="8"/>
        <v/>
      </c>
    </row>
    <row r="171" spans="1:11" x14ac:dyDescent="0.25">
      <c r="A171" t="str">
        <f ca="1"/>
        <v/>
      </c>
      <c r="K171" t="str">
        <f t="shared" si="8"/>
        <v/>
      </c>
    </row>
    <row r="172" spans="1:11" x14ac:dyDescent="0.25">
      <c r="A172" t="str">
        <f ca="1"/>
        <v/>
      </c>
      <c r="K172" t="str">
        <f t="shared" si="8"/>
        <v/>
      </c>
    </row>
    <row r="173" spans="1:11" x14ac:dyDescent="0.25">
      <c r="A173" t="str">
        <f ca="1"/>
        <v/>
      </c>
      <c r="K173" t="str">
        <f t="shared" si="8"/>
        <v/>
      </c>
    </row>
    <row r="174" spans="1:11" x14ac:dyDescent="0.25">
      <c r="A174" t="str">
        <f ca="1"/>
        <v/>
      </c>
      <c r="K174" t="str">
        <f t="shared" si="8"/>
        <v/>
      </c>
    </row>
    <row r="175" spans="1:11" x14ac:dyDescent="0.25">
      <c r="A175" t="str">
        <f ca="1"/>
        <v/>
      </c>
      <c r="K175" t="str">
        <f t="shared" si="8"/>
        <v/>
      </c>
    </row>
    <row r="176" spans="1:11" x14ac:dyDescent="0.25">
      <c r="A176" t="str">
        <f ca="1"/>
        <v/>
      </c>
      <c r="K176" t="str">
        <f t="shared" si="8"/>
        <v/>
      </c>
    </row>
    <row r="177" spans="1:11" x14ac:dyDescent="0.25">
      <c r="A177" t="str">
        <f ca="1"/>
        <v/>
      </c>
      <c r="K177" t="str">
        <f t="shared" si="8"/>
        <v/>
      </c>
    </row>
    <row r="178" spans="1:11" x14ac:dyDescent="0.25">
      <c r="A178" t="str">
        <f ca="1"/>
        <v/>
      </c>
      <c r="K178" t="str">
        <f t="shared" si="8"/>
        <v/>
      </c>
    </row>
    <row r="179" spans="1:11" x14ac:dyDescent="0.25">
      <c r="A179" t="str">
        <f ca="1"/>
        <v/>
      </c>
      <c r="K179" t="str">
        <f t="shared" si="8"/>
        <v/>
      </c>
    </row>
    <row r="180" spans="1:11" x14ac:dyDescent="0.25">
      <c r="A180" t="str">
        <f ca="1"/>
        <v/>
      </c>
      <c r="K180" t="str">
        <f t="shared" si="8"/>
        <v/>
      </c>
    </row>
    <row r="181" spans="1:11" x14ac:dyDescent="0.25">
      <c r="A181" t="str">
        <f ca="1"/>
        <v/>
      </c>
      <c r="K181" t="str">
        <f t="shared" si="8"/>
        <v/>
      </c>
    </row>
    <row r="182" spans="1:11" x14ac:dyDescent="0.25">
      <c r="A182" t="str">
        <f ca="1"/>
        <v/>
      </c>
      <c r="K182" t="str">
        <f t="shared" si="8"/>
        <v/>
      </c>
    </row>
    <row r="183" spans="1:11" x14ac:dyDescent="0.25">
      <c r="A183" t="str">
        <f ca="1"/>
        <v/>
      </c>
      <c r="K183" t="str">
        <f t="shared" si="8"/>
        <v/>
      </c>
    </row>
    <row r="184" spans="1:11" x14ac:dyDescent="0.25">
      <c r="A184" t="str">
        <f ca="1"/>
        <v/>
      </c>
      <c r="K184" t="str">
        <f t="shared" si="8"/>
        <v/>
      </c>
    </row>
    <row r="185" spans="1:11" x14ac:dyDescent="0.25">
      <c r="A185" t="str">
        <f ca="1"/>
        <v/>
      </c>
      <c r="K185" t="str">
        <f t="shared" si="8"/>
        <v/>
      </c>
    </row>
    <row r="186" spans="1:11" x14ac:dyDescent="0.25">
      <c r="A186" t="str">
        <f ca="1"/>
        <v/>
      </c>
      <c r="K186" t="str">
        <f t="shared" si="8"/>
        <v/>
      </c>
    </row>
    <row r="187" spans="1:11" x14ac:dyDescent="0.25">
      <c r="A187" t="str">
        <f ca="1"/>
        <v/>
      </c>
      <c r="K187" t="str">
        <f t="shared" si="8"/>
        <v/>
      </c>
    </row>
    <row r="188" spans="1:11" x14ac:dyDescent="0.25">
      <c r="A188" t="str">
        <f ca="1"/>
        <v/>
      </c>
      <c r="K188" t="str">
        <f t="shared" si="8"/>
        <v/>
      </c>
    </row>
    <row r="189" spans="1:11" x14ac:dyDescent="0.25">
      <c r="A189" t="str">
        <f ca="1"/>
        <v/>
      </c>
      <c r="K189" t="str">
        <f t="shared" si="8"/>
        <v/>
      </c>
    </row>
    <row r="190" spans="1:11" x14ac:dyDescent="0.25">
      <c r="A190" t="str">
        <f ca="1"/>
        <v/>
      </c>
      <c r="K190" t="str">
        <f t="shared" si="8"/>
        <v/>
      </c>
    </row>
    <row r="191" spans="1:11" x14ac:dyDescent="0.25">
      <c r="A191" t="str">
        <f ca="1"/>
        <v/>
      </c>
      <c r="K191" t="str">
        <f t="shared" si="8"/>
        <v/>
      </c>
    </row>
    <row r="192" spans="1:11" x14ac:dyDescent="0.25">
      <c r="A192" t="str">
        <f ca="1"/>
        <v/>
      </c>
      <c r="K192" t="str">
        <f t="shared" si="8"/>
        <v/>
      </c>
    </row>
    <row r="193" spans="1:11" x14ac:dyDescent="0.25">
      <c r="A193" t="str">
        <f ca="1"/>
        <v/>
      </c>
      <c r="K193" t="str">
        <f t="shared" si="8"/>
        <v/>
      </c>
    </row>
    <row r="194" spans="1:11" x14ac:dyDescent="0.25">
      <c r="A194" t="str">
        <f ca="1"/>
        <v/>
      </c>
      <c r="K194" t="str">
        <f t="shared" si="8"/>
        <v/>
      </c>
    </row>
    <row r="195" spans="1:11" x14ac:dyDescent="0.25">
      <c r="A195" t="str">
        <f ca="1"/>
        <v/>
      </c>
      <c r="K195" t="str">
        <f t="shared" si="8"/>
        <v/>
      </c>
    </row>
    <row r="196" spans="1:11" x14ac:dyDescent="0.25">
      <c r="A196" t="str">
        <f ca="1"/>
        <v/>
      </c>
      <c r="K196" t="str">
        <f t="shared" ref="K196:K259" si="9">IF($B196="","",_xlfn.LET(_xlpm.pu,_xlfn.XLOOKUP($I196,$N$3:$N$300,$O$3:$O$300,""),_xlpm.ps,_xlfn.XLOOKUP($I196,$N$3:$N$300,$P$3:$P$300,""),_xlpm.oq,_xlfn.XLOOKUP($I196,$N$3:$N$300,$Q$3:$Q$300,""),_xlpm.base,$H196,IF(_xlpm.oq&lt;&gt;"",_xlpm.oq,IF(_xlpm.ps="",_xlpm.base,IF(OR(_xlpm.pu="",_xlpm.pu=$D196),CEILING(_xlpm.base,_xlpm.ps),CEILING(_xlpm.base/_xlpm.ps,1))))))</f>
        <v/>
      </c>
    </row>
    <row r="197" spans="1:11" x14ac:dyDescent="0.25">
      <c r="A197" t="str">
        <f ca="1"/>
        <v/>
      </c>
      <c r="K197" t="str">
        <f t="shared" si="9"/>
        <v/>
      </c>
    </row>
    <row r="198" spans="1:11" x14ac:dyDescent="0.25">
      <c r="A198" t="str">
        <f ca="1"/>
        <v/>
      </c>
      <c r="K198" t="str">
        <f t="shared" si="9"/>
        <v/>
      </c>
    </row>
    <row r="199" spans="1:11" x14ac:dyDescent="0.25">
      <c r="A199" t="str">
        <f ca="1"/>
        <v/>
      </c>
      <c r="K199" t="str">
        <f t="shared" si="9"/>
        <v/>
      </c>
    </row>
    <row r="200" spans="1:11" x14ac:dyDescent="0.25">
      <c r="A200" t="str">
        <f ca="1"/>
        <v/>
      </c>
      <c r="K200" t="str">
        <f t="shared" si="9"/>
        <v/>
      </c>
    </row>
    <row r="201" spans="1:11" x14ac:dyDescent="0.25">
      <c r="A201" t="str">
        <f ca="1"/>
        <v/>
      </c>
      <c r="K201" t="str">
        <f t="shared" si="9"/>
        <v/>
      </c>
    </row>
    <row r="202" spans="1:11" x14ac:dyDescent="0.25">
      <c r="A202" t="str">
        <f ca="1"/>
        <v/>
      </c>
      <c r="K202" t="str">
        <f t="shared" si="9"/>
        <v/>
      </c>
    </row>
    <row r="203" spans="1:11" x14ac:dyDescent="0.25">
      <c r="A203" t="str">
        <f ca="1"/>
        <v/>
      </c>
      <c r="K203" t="str">
        <f t="shared" si="9"/>
        <v/>
      </c>
    </row>
    <row r="204" spans="1:11" x14ac:dyDescent="0.25">
      <c r="A204" t="str">
        <f ca="1"/>
        <v/>
      </c>
      <c r="K204" t="str">
        <f t="shared" si="9"/>
        <v/>
      </c>
    </row>
    <row r="205" spans="1:11" x14ac:dyDescent="0.25">
      <c r="A205" t="str">
        <f ca="1"/>
        <v/>
      </c>
      <c r="K205" t="str">
        <f t="shared" si="9"/>
        <v/>
      </c>
    </row>
    <row r="206" spans="1:11" x14ac:dyDescent="0.25">
      <c r="A206" t="str">
        <f ca="1"/>
        <v/>
      </c>
      <c r="K206" t="str">
        <f t="shared" si="9"/>
        <v/>
      </c>
    </row>
    <row r="207" spans="1:11" x14ac:dyDescent="0.25">
      <c r="A207" t="str">
        <f ca="1"/>
        <v/>
      </c>
      <c r="K207" t="str">
        <f t="shared" si="9"/>
        <v/>
      </c>
    </row>
    <row r="208" spans="1:11" x14ac:dyDescent="0.25">
      <c r="A208" t="str">
        <f ca="1"/>
        <v/>
      </c>
      <c r="K208" t="str">
        <f t="shared" si="9"/>
        <v/>
      </c>
    </row>
    <row r="209" spans="1:11" x14ac:dyDescent="0.25">
      <c r="A209" t="str">
        <f ca="1"/>
        <v/>
      </c>
      <c r="K209" t="str">
        <f t="shared" si="9"/>
        <v/>
      </c>
    </row>
    <row r="210" spans="1:11" x14ac:dyDescent="0.25">
      <c r="A210" t="str">
        <f ca="1"/>
        <v/>
      </c>
      <c r="K210" t="str">
        <f t="shared" si="9"/>
        <v/>
      </c>
    </row>
    <row r="211" spans="1:11" x14ac:dyDescent="0.25">
      <c r="A211" t="str">
        <f ca="1"/>
        <v/>
      </c>
      <c r="K211" t="str">
        <f t="shared" si="9"/>
        <v/>
      </c>
    </row>
    <row r="212" spans="1:11" x14ac:dyDescent="0.25">
      <c r="A212" t="str">
        <f ca="1"/>
        <v/>
      </c>
      <c r="K212" t="str">
        <f t="shared" si="9"/>
        <v/>
      </c>
    </row>
    <row r="213" spans="1:11" x14ac:dyDescent="0.25">
      <c r="A213" t="str">
        <f ca="1"/>
        <v/>
      </c>
      <c r="K213" t="str">
        <f t="shared" si="9"/>
        <v/>
      </c>
    </row>
    <row r="214" spans="1:11" x14ac:dyDescent="0.25">
      <c r="A214" t="str">
        <f ca="1"/>
        <v/>
      </c>
      <c r="K214" t="str">
        <f t="shared" si="9"/>
        <v/>
      </c>
    </row>
    <row r="215" spans="1:11" x14ac:dyDescent="0.25">
      <c r="A215" t="str">
        <f ca="1"/>
        <v/>
      </c>
      <c r="K215" t="str">
        <f t="shared" si="9"/>
        <v/>
      </c>
    </row>
    <row r="216" spans="1:11" x14ac:dyDescent="0.25">
      <c r="A216" t="str">
        <f ca="1"/>
        <v/>
      </c>
      <c r="K216" t="str">
        <f t="shared" si="9"/>
        <v/>
      </c>
    </row>
    <row r="217" spans="1:11" x14ac:dyDescent="0.25">
      <c r="A217" t="str">
        <f ca="1"/>
        <v/>
      </c>
      <c r="K217" t="str">
        <f t="shared" si="9"/>
        <v/>
      </c>
    </row>
    <row r="218" spans="1:11" x14ac:dyDescent="0.25">
      <c r="A218" t="str">
        <f ca="1"/>
        <v/>
      </c>
      <c r="K218" t="str">
        <f t="shared" si="9"/>
        <v/>
      </c>
    </row>
    <row r="219" spans="1:11" x14ac:dyDescent="0.25">
      <c r="A219" t="str">
        <f ca="1"/>
        <v/>
      </c>
      <c r="K219" t="str">
        <f t="shared" si="9"/>
        <v/>
      </c>
    </row>
    <row r="220" spans="1:11" x14ac:dyDescent="0.25">
      <c r="A220" t="str">
        <f ca="1"/>
        <v/>
      </c>
      <c r="K220" t="str">
        <f t="shared" si="9"/>
        <v/>
      </c>
    </row>
    <row r="221" spans="1:11" x14ac:dyDescent="0.25">
      <c r="A221" t="str">
        <f ca="1"/>
        <v/>
      </c>
      <c r="K221" t="str">
        <f t="shared" si="9"/>
        <v/>
      </c>
    </row>
    <row r="222" spans="1:11" x14ac:dyDescent="0.25">
      <c r="A222" t="str">
        <f ca="1"/>
        <v/>
      </c>
      <c r="K222" t="str">
        <f t="shared" si="9"/>
        <v/>
      </c>
    </row>
    <row r="223" spans="1:11" x14ac:dyDescent="0.25">
      <c r="A223" t="str">
        <f ca="1"/>
        <v/>
      </c>
      <c r="K223" t="str">
        <f t="shared" si="9"/>
        <v/>
      </c>
    </row>
    <row r="224" spans="1:11" x14ac:dyDescent="0.25">
      <c r="A224" t="str">
        <f ca="1"/>
        <v/>
      </c>
      <c r="K224" t="str">
        <f t="shared" si="9"/>
        <v/>
      </c>
    </row>
    <row r="225" spans="1:11" x14ac:dyDescent="0.25">
      <c r="A225" t="str">
        <f ca="1"/>
        <v/>
      </c>
      <c r="K225" t="str">
        <f t="shared" si="9"/>
        <v/>
      </c>
    </row>
    <row r="226" spans="1:11" x14ac:dyDescent="0.25">
      <c r="A226" t="str">
        <f ca="1"/>
        <v/>
      </c>
      <c r="K226" t="str">
        <f t="shared" si="9"/>
        <v/>
      </c>
    </row>
    <row r="227" spans="1:11" x14ac:dyDescent="0.25">
      <c r="A227" t="str">
        <f ca="1"/>
        <v/>
      </c>
      <c r="K227" t="str">
        <f t="shared" si="9"/>
        <v/>
      </c>
    </row>
    <row r="228" spans="1:11" x14ac:dyDescent="0.25">
      <c r="A228" t="str">
        <f ca="1"/>
        <v/>
      </c>
      <c r="K228" t="str">
        <f t="shared" si="9"/>
        <v/>
      </c>
    </row>
    <row r="229" spans="1:11" x14ac:dyDescent="0.25">
      <c r="A229" t="str">
        <f ca="1"/>
        <v/>
      </c>
      <c r="K229" t="str">
        <f t="shared" si="9"/>
        <v/>
      </c>
    </row>
    <row r="230" spans="1:11" x14ac:dyDescent="0.25">
      <c r="A230" t="str">
        <f ca="1"/>
        <v/>
      </c>
      <c r="K230" t="str">
        <f t="shared" si="9"/>
        <v/>
      </c>
    </row>
    <row r="231" spans="1:11" x14ac:dyDescent="0.25">
      <c r="A231" t="str">
        <f ca="1"/>
        <v/>
      </c>
      <c r="K231" t="str">
        <f t="shared" si="9"/>
        <v/>
      </c>
    </row>
    <row r="232" spans="1:11" x14ac:dyDescent="0.25">
      <c r="A232" t="str">
        <f ca="1"/>
        <v/>
      </c>
      <c r="K232" t="str">
        <f t="shared" si="9"/>
        <v/>
      </c>
    </row>
    <row r="233" spans="1:11" x14ac:dyDescent="0.25">
      <c r="A233" t="str">
        <f ca="1"/>
        <v/>
      </c>
      <c r="K233" t="str">
        <f t="shared" si="9"/>
        <v/>
      </c>
    </row>
    <row r="234" spans="1:11" x14ac:dyDescent="0.25">
      <c r="A234" t="str">
        <f ca="1"/>
        <v/>
      </c>
      <c r="K234" t="str">
        <f t="shared" si="9"/>
        <v/>
      </c>
    </row>
    <row r="235" spans="1:11" x14ac:dyDescent="0.25">
      <c r="A235" t="str">
        <f ca="1"/>
        <v/>
      </c>
      <c r="K235" t="str">
        <f t="shared" si="9"/>
        <v/>
      </c>
    </row>
    <row r="236" spans="1:11" x14ac:dyDescent="0.25">
      <c r="A236" t="str">
        <f ca="1"/>
        <v/>
      </c>
      <c r="K236" t="str">
        <f t="shared" si="9"/>
        <v/>
      </c>
    </row>
    <row r="237" spans="1:11" x14ac:dyDescent="0.25">
      <c r="A237" t="str">
        <f ca="1"/>
        <v/>
      </c>
      <c r="K237" t="str">
        <f t="shared" si="9"/>
        <v/>
      </c>
    </row>
    <row r="238" spans="1:11" x14ac:dyDescent="0.25">
      <c r="A238" t="str">
        <f ca="1"/>
        <v/>
      </c>
      <c r="K238" t="str">
        <f t="shared" si="9"/>
        <v/>
      </c>
    </row>
    <row r="239" spans="1:11" x14ac:dyDescent="0.25">
      <c r="A239" t="str">
        <f ca="1"/>
        <v/>
      </c>
      <c r="K239" t="str">
        <f t="shared" si="9"/>
        <v/>
      </c>
    </row>
    <row r="240" spans="1:11" x14ac:dyDescent="0.25">
      <c r="A240" t="str">
        <f ca="1"/>
        <v/>
      </c>
      <c r="K240" t="str">
        <f t="shared" si="9"/>
        <v/>
      </c>
    </row>
    <row r="241" spans="1:11" x14ac:dyDescent="0.25">
      <c r="A241" t="str">
        <f ca="1"/>
        <v/>
      </c>
      <c r="K241" t="str">
        <f t="shared" si="9"/>
        <v/>
      </c>
    </row>
    <row r="242" spans="1:11" x14ac:dyDescent="0.25">
      <c r="A242" t="str">
        <f ca="1"/>
        <v/>
      </c>
      <c r="K242" t="str">
        <f t="shared" si="9"/>
        <v/>
      </c>
    </row>
    <row r="243" spans="1:11" x14ac:dyDescent="0.25">
      <c r="A243" t="str">
        <f ca="1"/>
        <v/>
      </c>
      <c r="K243" t="str">
        <f t="shared" si="9"/>
        <v/>
      </c>
    </row>
    <row r="244" spans="1:11" x14ac:dyDescent="0.25">
      <c r="A244" t="str">
        <f ca="1"/>
        <v/>
      </c>
      <c r="K244" t="str">
        <f t="shared" si="9"/>
        <v/>
      </c>
    </row>
    <row r="245" spans="1:11" x14ac:dyDescent="0.25">
      <c r="A245" t="str">
        <f ca="1"/>
        <v/>
      </c>
      <c r="K245" t="str">
        <f t="shared" si="9"/>
        <v/>
      </c>
    </row>
    <row r="246" spans="1:11" x14ac:dyDescent="0.25">
      <c r="A246" t="str">
        <f ca="1"/>
        <v/>
      </c>
      <c r="K246" t="str">
        <f t="shared" si="9"/>
        <v/>
      </c>
    </row>
    <row r="247" spans="1:11" x14ac:dyDescent="0.25">
      <c r="A247" t="str">
        <f ca="1"/>
        <v/>
      </c>
      <c r="K247" t="str">
        <f t="shared" si="9"/>
        <v/>
      </c>
    </row>
    <row r="248" spans="1:11" x14ac:dyDescent="0.25">
      <c r="A248" t="str">
        <f ca="1"/>
        <v/>
      </c>
      <c r="K248" t="str">
        <f t="shared" si="9"/>
        <v/>
      </c>
    </row>
    <row r="249" spans="1:11" x14ac:dyDescent="0.25">
      <c r="A249" t="str">
        <f ca="1"/>
        <v/>
      </c>
      <c r="K249" t="str">
        <f t="shared" si="9"/>
        <v/>
      </c>
    </row>
    <row r="250" spans="1:11" x14ac:dyDescent="0.25">
      <c r="A250" t="str">
        <f ca="1"/>
        <v/>
      </c>
      <c r="K250" t="str">
        <f t="shared" si="9"/>
        <v/>
      </c>
    </row>
    <row r="251" spans="1:11" x14ac:dyDescent="0.25">
      <c r="A251" t="str">
        <f ca="1"/>
        <v/>
      </c>
      <c r="K251" t="str">
        <f t="shared" si="9"/>
        <v/>
      </c>
    </row>
    <row r="252" spans="1:11" x14ac:dyDescent="0.25">
      <c r="A252" t="str">
        <f ca="1"/>
        <v/>
      </c>
      <c r="K252" t="str">
        <f t="shared" si="9"/>
        <v/>
      </c>
    </row>
    <row r="253" spans="1:11" x14ac:dyDescent="0.25">
      <c r="A253" t="str">
        <f ca="1"/>
        <v/>
      </c>
      <c r="K253" t="str">
        <f t="shared" si="9"/>
        <v/>
      </c>
    </row>
    <row r="254" spans="1:11" x14ac:dyDescent="0.25">
      <c r="A254" t="str">
        <f ca="1"/>
        <v/>
      </c>
      <c r="K254" t="str">
        <f t="shared" si="9"/>
        <v/>
      </c>
    </row>
    <row r="255" spans="1:11" x14ac:dyDescent="0.25">
      <c r="A255" t="str">
        <f ca="1"/>
        <v/>
      </c>
      <c r="K255" t="str">
        <f t="shared" si="9"/>
        <v/>
      </c>
    </row>
    <row r="256" spans="1:11" x14ac:dyDescent="0.25">
      <c r="A256" t="str">
        <f ca="1"/>
        <v/>
      </c>
      <c r="K256" t="str">
        <f t="shared" si="9"/>
        <v/>
      </c>
    </row>
    <row r="257" spans="1:11" x14ac:dyDescent="0.25">
      <c r="A257" t="str">
        <f ca="1"/>
        <v/>
      </c>
      <c r="K257" t="str">
        <f t="shared" si="9"/>
        <v/>
      </c>
    </row>
    <row r="258" spans="1:11" x14ac:dyDescent="0.25">
      <c r="A258" t="str">
        <f ca="1"/>
        <v/>
      </c>
      <c r="K258" t="str">
        <f t="shared" si="9"/>
        <v/>
      </c>
    </row>
    <row r="259" spans="1:11" x14ac:dyDescent="0.25">
      <c r="A259" t="str">
        <f ca="1"/>
        <v/>
      </c>
      <c r="K259" t="str">
        <f t="shared" si="9"/>
        <v/>
      </c>
    </row>
    <row r="260" spans="1:11" x14ac:dyDescent="0.25">
      <c r="A260" t="str">
        <f ca="1"/>
        <v/>
      </c>
      <c r="K260" t="str">
        <f t="shared" ref="K260:K266" si="10">IF($B260="","",_xlfn.LET(_xlpm.pu,_xlfn.XLOOKUP($I260,$N$3:$N$300,$O$3:$O$300,""),_xlpm.ps,_xlfn.XLOOKUP($I260,$N$3:$N$300,$P$3:$P$300,""),_xlpm.oq,_xlfn.XLOOKUP($I260,$N$3:$N$300,$Q$3:$Q$300,""),_xlpm.base,$H260,IF(_xlpm.oq&lt;&gt;"",_xlpm.oq,IF(_xlpm.ps="",_xlpm.base,IF(OR(_xlpm.pu="",_xlpm.pu=$D260),CEILING(_xlpm.base,_xlpm.ps),CEILING(_xlpm.base/_xlpm.ps,1))))))</f>
        <v/>
      </c>
    </row>
    <row r="261" spans="1:11" x14ac:dyDescent="0.25">
      <c r="A261" t="str">
        <f ca="1"/>
        <v/>
      </c>
      <c r="K261" t="str">
        <f t="shared" si="10"/>
        <v/>
      </c>
    </row>
    <row r="262" spans="1:11" x14ac:dyDescent="0.25">
      <c r="A262" t="str">
        <f ca="1"/>
        <v/>
      </c>
      <c r="K262" t="str">
        <f t="shared" si="10"/>
        <v/>
      </c>
    </row>
    <row r="263" spans="1:11" x14ac:dyDescent="0.25">
      <c r="A263" t="str">
        <f ca="1"/>
        <v/>
      </c>
      <c r="K263" t="str">
        <f t="shared" si="10"/>
        <v/>
      </c>
    </row>
    <row r="264" spans="1:11" x14ac:dyDescent="0.25">
      <c r="A264" t="str">
        <f ca="1"/>
        <v/>
      </c>
      <c r="K264" t="str">
        <f t="shared" si="10"/>
        <v/>
      </c>
    </row>
    <row r="265" spans="1:11" x14ac:dyDescent="0.25">
      <c r="A265" t="str">
        <f ca="1"/>
        <v/>
      </c>
      <c r="K265" t="str">
        <f t="shared" si="10"/>
        <v/>
      </c>
    </row>
    <row r="266" spans="1:11" x14ac:dyDescent="0.25">
      <c r="A266" t="str">
        <f ca="1"/>
        <v/>
      </c>
      <c r="K266" t="str">
        <f t="shared" si="10"/>
        <v/>
      </c>
    </row>
    <row r="267" spans="1:11" x14ac:dyDescent="0.25">
      <c r="A267" t="str">
        <f ca="1"/>
        <v/>
      </c>
    </row>
    <row r="268" spans="1:11" x14ac:dyDescent="0.25">
      <c r="A268" t="str">
        <f ca="1"/>
        <v/>
      </c>
    </row>
    <row r="269" spans="1:11" x14ac:dyDescent="0.25">
      <c r="A269" t="str">
        <f ca="1"/>
        <v/>
      </c>
    </row>
    <row r="270" spans="1:11" x14ac:dyDescent="0.25">
      <c r="A270" t="str">
        <f ca="1"/>
        <v/>
      </c>
    </row>
    <row r="271" spans="1:11" x14ac:dyDescent="0.25">
      <c r="A271" t="str">
        <f ca="1"/>
        <v/>
      </c>
    </row>
    <row r="272" spans="1:11" x14ac:dyDescent="0.25">
      <c r="A272" t="str">
        <f ca="1"/>
        <v/>
      </c>
    </row>
    <row r="273" spans="1:1" x14ac:dyDescent="0.25">
      <c r="A273" t="str">
        <f ca="1"/>
        <v/>
      </c>
    </row>
    <row r="274" spans="1:1" x14ac:dyDescent="0.25">
      <c r="A274" t="str">
        <f ca="1"/>
        <v/>
      </c>
    </row>
    <row r="275" spans="1:1" x14ac:dyDescent="0.25">
      <c r="A275" t="str">
        <f ca="1"/>
        <v/>
      </c>
    </row>
    <row r="276" spans="1:1" x14ac:dyDescent="0.25">
      <c r="A276" t="str">
        <f ca="1"/>
        <v/>
      </c>
    </row>
    <row r="277" spans="1:1" x14ac:dyDescent="0.25">
      <c r="A277" t="str">
        <f ca="1"/>
        <v/>
      </c>
    </row>
    <row r="278" spans="1:1" x14ac:dyDescent="0.25">
      <c r="A278" t="str">
        <f ca="1"/>
        <v/>
      </c>
    </row>
    <row r="279" spans="1:1" x14ac:dyDescent="0.25">
      <c r="A279" t="str">
        <f ca="1"/>
        <v/>
      </c>
    </row>
    <row r="280" spans="1:1" x14ac:dyDescent="0.25">
      <c r="A280" t="str">
        <f ca="1"/>
        <v/>
      </c>
    </row>
    <row r="281" spans="1:1" x14ac:dyDescent="0.25">
      <c r="A281" t="str">
        <f ca="1"/>
        <v/>
      </c>
    </row>
    <row r="282" spans="1:1" x14ac:dyDescent="0.25">
      <c r="A282" t="str">
        <f ca="1"/>
        <v/>
      </c>
    </row>
    <row r="283" spans="1:1" x14ac:dyDescent="0.25">
      <c r="A283" t="str">
        <f ca="1"/>
        <v/>
      </c>
    </row>
    <row r="284" spans="1:1" x14ac:dyDescent="0.25">
      <c r="A284" t="str">
        <f ca="1"/>
        <v/>
      </c>
    </row>
    <row r="285" spans="1:1" x14ac:dyDescent="0.25">
      <c r="A285" t="str">
        <f ca="1"/>
        <v/>
      </c>
    </row>
    <row r="286" spans="1:1" x14ac:dyDescent="0.25">
      <c r="A286" t="str">
        <f ca="1"/>
        <v/>
      </c>
    </row>
    <row r="287" spans="1:1" x14ac:dyDescent="0.25">
      <c r="A287" t="str">
        <f ca="1"/>
        <v/>
      </c>
    </row>
    <row r="288" spans="1:1" x14ac:dyDescent="0.25">
      <c r="A288" t="str">
        <f ca="1"/>
        <v/>
      </c>
    </row>
    <row r="289" spans="1:1" x14ac:dyDescent="0.25">
      <c r="A289" t="str">
        <f ca="1"/>
        <v/>
      </c>
    </row>
    <row r="290" spans="1:1" x14ac:dyDescent="0.25">
      <c r="A290" t="str">
        <f ca="1"/>
        <v/>
      </c>
    </row>
    <row r="291" spans="1:1" x14ac:dyDescent="0.25">
      <c r="A291" t="str">
        <f ca="1"/>
        <v/>
      </c>
    </row>
    <row r="292" spans="1:1" x14ac:dyDescent="0.25">
      <c r="A292" t="str">
        <f ca="1"/>
        <v/>
      </c>
    </row>
    <row r="293" spans="1:1" x14ac:dyDescent="0.25">
      <c r="A293" t="str">
        <f ca="1"/>
        <v/>
      </c>
    </row>
    <row r="294" spans="1:1" x14ac:dyDescent="0.25">
      <c r="A294" t="str">
        <f ca="1"/>
        <v/>
      </c>
    </row>
    <row r="295" spans="1:1" x14ac:dyDescent="0.25">
      <c r="A295" t="str">
        <f ca="1"/>
        <v/>
      </c>
    </row>
    <row r="296" spans="1:1" x14ac:dyDescent="0.25">
      <c r="A296" t="str">
        <f ca="1"/>
        <v/>
      </c>
    </row>
    <row r="297" spans="1:1" x14ac:dyDescent="0.25">
      <c r="A297" t="str">
        <f ca="1"/>
        <v/>
      </c>
    </row>
    <row r="298" spans="1:1" x14ac:dyDescent="0.25">
      <c r="A298" t="str">
        <f ca="1"/>
        <v/>
      </c>
    </row>
    <row r="299" spans="1:1" x14ac:dyDescent="0.25">
      <c r="A299" t="str">
        <f ca="1"/>
        <v/>
      </c>
    </row>
    <row r="300" spans="1:1" x14ac:dyDescent="0.25">
      <c r="A300" t="str">
        <f ca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480D7-5902-42CA-A0ED-7E7DF71B5AAC}">
  <sheetPr codeName="Sheet5"/>
  <dimension ref="A1:A75"/>
  <sheetViews>
    <sheetView topLeftCell="A23" zoomScale="75" zoomScaleNormal="75" workbookViewId="0">
      <selection activeCell="G39" sqref="G39"/>
    </sheetView>
  </sheetViews>
  <sheetFormatPr defaultRowHeight="15" x14ac:dyDescent="0.25"/>
  <cols>
    <col min="1" max="1" width="140.7109375" style="3" bestFit="1" customWidth="1"/>
  </cols>
  <sheetData>
    <row r="1" spans="1:1" x14ac:dyDescent="0.25">
      <c r="A1" s="3" t="s">
        <v>114</v>
      </c>
    </row>
    <row r="2" spans="1:1" x14ac:dyDescent="0.25">
      <c r="A2" s="3" t="s">
        <v>115</v>
      </c>
    </row>
    <row r="3" spans="1:1" x14ac:dyDescent="0.25">
      <c r="A3" s="3" t="s">
        <v>114</v>
      </c>
    </row>
    <row r="5" spans="1:1" x14ac:dyDescent="0.25">
      <c r="A5" s="21" t="s">
        <v>116</v>
      </c>
    </row>
    <row r="6" spans="1:1" x14ac:dyDescent="0.25">
      <c r="A6" s="3" t="s">
        <v>161</v>
      </c>
    </row>
    <row r="7" spans="1:1" x14ac:dyDescent="0.25">
      <c r="A7" s="3" t="s">
        <v>117</v>
      </c>
    </row>
    <row r="8" spans="1:1" x14ac:dyDescent="0.25">
      <c r="A8" s="3" t="s">
        <v>118</v>
      </c>
    </row>
    <row r="9" spans="1:1" x14ac:dyDescent="0.25">
      <c r="A9" s="3" t="s">
        <v>119</v>
      </c>
    </row>
    <row r="10" spans="1:1" x14ac:dyDescent="0.25">
      <c r="A10" s="3" t="s">
        <v>120</v>
      </c>
    </row>
    <row r="11" spans="1:1" x14ac:dyDescent="0.25">
      <c r="A11" s="3" t="s">
        <v>121</v>
      </c>
    </row>
    <row r="12" spans="1:1" x14ac:dyDescent="0.25">
      <c r="A12" s="3" t="s">
        <v>122</v>
      </c>
    </row>
    <row r="14" spans="1:1" x14ac:dyDescent="0.25">
      <c r="A14" s="21" t="s">
        <v>123</v>
      </c>
    </row>
    <row r="15" spans="1:1" x14ac:dyDescent="0.25">
      <c r="A15" s="3" t="s">
        <v>162</v>
      </c>
    </row>
    <row r="16" spans="1:1" x14ac:dyDescent="0.25">
      <c r="A16" s="3" t="s">
        <v>117</v>
      </c>
    </row>
    <row r="17" spans="1:1" x14ac:dyDescent="0.25">
      <c r="A17" s="3" t="s">
        <v>124</v>
      </c>
    </row>
    <row r="18" spans="1:1" x14ac:dyDescent="0.25">
      <c r="A18" s="3" t="s">
        <v>125</v>
      </c>
    </row>
    <row r="19" spans="1:1" x14ac:dyDescent="0.25">
      <c r="A19" s="3" t="s">
        <v>120</v>
      </c>
    </row>
    <row r="20" spans="1:1" x14ac:dyDescent="0.25">
      <c r="A20" s="3" t="s">
        <v>126</v>
      </c>
    </row>
    <row r="21" spans="1:1" x14ac:dyDescent="0.25">
      <c r="A21" s="3" t="s">
        <v>127</v>
      </c>
    </row>
    <row r="23" spans="1:1" x14ac:dyDescent="0.25">
      <c r="A23" s="21" t="s">
        <v>128</v>
      </c>
    </row>
    <row r="24" spans="1:1" x14ac:dyDescent="0.25">
      <c r="A24" s="3" t="s">
        <v>129</v>
      </c>
    </row>
    <row r="25" spans="1:1" x14ac:dyDescent="0.25">
      <c r="A25" s="3" t="s">
        <v>117</v>
      </c>
    </row>
    <row r="26" spans="1:1" x14ac:dyDescent="0.25">
      <c r="A26" s="3" t="s">
        <v>130</v>
      </c>
    </row>
    <row r="27" spans="1:1" x14ac:dyDescent="0.25">
      <c r="A27" s="3" t="s">
        <v>131</v>
      </c>
    </row>
    <row r="28" spans="1:1" x14ac:dyDescent="0.25">
      <c r="A28" s="3" t="s">
        <v>132</v>
      </c>
    </row>
    <row r="29" spans="1:1" x14ac:dyDescent="0.25">
      <c r="A29" s="3" t="s">
        <v>133</v>
      </c>
    </row>
    <row r="30" spans="1:1" x14ac:dyDescent="0.25">
      <c r="A30" s="3" t="s">
        <v>134</v>
      </c>
    </row>
    <row r="31" spans="1:1" x14ac:dyDescent="0.25">
      <c r="A31" s="3" t="s">
        <v>120</v>
      </c>
    </row>
    <row r="32" spans="1:1" x14ac:dyDescent="0.25">
      <c r="A32" s="3" t="s">
        <v>135</v>
      </c>
    </row>
    <row r="34" spans="1:1" x14ac:dyDescent="0.25">
      <c r="A34" s="21" t="s">
        <v>136</v>
      </c>
    </row>
    <row r="35" spans="1:1" x14ac:dyDescent="0.25">
      <c r="A35" s="3" t="s">
        <v>163</v>
      </c>
    </row>
    <row r="36" spans="1:1" x14ac:dyDescent="0.25">
      <c r="A36" s="3" t="s">
        <v>117</v>
      </c>
    </row>
    <row r="37" spans="1:1" x14ac:dyDescent="0.25">
      <c r="A37" s="3" t="s">
        <v>137</v>
      </c>
    </row>
    <row r="38" spans="1:1" x14ac:dyDescent="0.25">
      <c r="A38" s="3" t="s">
        <v>138</v>
      </c>
    </row>
    <row r="39" spans="1:1" x14ac:dyDescent="0.25">
      <c r="A39" s="3" t="s">
        <v>139</v>
      </c>
    </row>
    <row r="40" spans="1:1" x14ac:dyDescent="0.25">
      <c r="A40" s="3" t="s">
        <v>140</v>
      </c>
    </row>
    <row r="41" spans="1:1" x14ac:dyDescent="0.25">
      <c r="A41" s="3" t="s">
        <v>120</v>
      </c>
    </row>
    <row r="42" spans="1:1" x14ac:dyDescent="0.25">
      <c r="A42" s="3" t="s">
        <v>141</v>
      </c>
    </row>
    <row r="44" spans="1:1" x14ac:dyDescent="0.25">
      <c r="A44" s="21" t="s">
        <v>142</v>
      </c>
    </row>
    <row r="45" spans="1:1" x14ac:dyDescent="0.25">
      <c r="A45" s="3" t="s">
        <v>143</v>
      </c>
    </row>
    <row r="46" spans="1:1" x14ac:dyDescent="0.25">
      <c r="A46" s="3" t="s">
        <v>117</v>
      </c>
    </row>
    <row r="47" spans="1:1" x14ac:dyDescent="0.25">
      <c r="A47" s="3" t="s">
        <v>144</v>
      </c>
    </row>
    <row r="48" spans="1:1" x14ac:dyDescent="0.25">
      <c r="A48" s="3" t="s">
        <v>145</v>
      </c>
    </row>
    <row r="49" spans="1:1" x14ac:dyDescent="0.25">
      <c r="A49" s="3" t="s">
        <v>146</v>
      </c>
    </row>
    <row r="50" spans="1:1" x14ac:dyDescent="0.25">
      <c r="A50" s="3" t="s">
        <v>120</v>
      </c>
    </row>
    <row r="51" spans="1:1" x14ac:dyDescent="0.25">
      <c r="A51" s="3" t="s">
        <v>147</v>
      </c>
    </row>
    <row r="53" spans="1:1" x14ac:dyDescent="0.25">
      <c r="A53" s="21" t="s">
        <v>148</v>
      </c>
    </row>
    <row r="54" spans="1:1" x14ac:dyDescent="0.25">
      <c r="A54" s="3" t="s">
        <v>164</v>
      </c>
    </row>
    <row r="55" spans="1:1" x14ac:dyDescent="0.25">
      <c r="A55" s="3" t="s">
        <v>117</v>
      </c>
    </row>
    <row r="56" spans="1:1" x14ac:dyDescent="0.25">
      <c r="A56" s="3" t="s">
        <v>149</v>
      </c>
    </row>
    <row r="57" spans="1:1" x14ac:dyDescent="0.25">
      <c r="A57" s="3" t="s">
        <v>120</v>
      </c>
    </row>
    <row r="58" spans="1:1" x14ac:dyDescent="0.25">
      <c r="A58" s="3" t="s">
        <v>150</v>
      </c>
    </row>
    <row r="60" spans="1:1" x14ac:dyDescent="0.25">
      <c r="A60" s="21" t="s">
        <v>151</v>
      </c>
    </row>
    <row r="61" spans="1:1" x14ac:dyDescent="0.25">
      <c r="A61" s="3" t="s">
        <v>152</v>
      </c>
    </row>
    <row r="62" spans="1:1" x14ac:dyDescent="0.25">
      <c r="A62" s="3" t="s">
        <v>117</v>
      </c>
    </row>
    <row r="63" spans="1:1" x14ac:dyDescent="0.25">
      <c r="A63" s="3" t="s">
        <v>153</v>
      </c>
    </row>
    <row r="64" spans="1:1" x14ac:dyDescent="0.25">
      <c r="A64" s="3" t="s">
        <v>154</v>
      </c>
    </row>
    <row r="65" spans="1:1" x14ac:dyDescent="0.25">
      <c r="A65" s="3" t="s">
        <v>120</v>
      </c>
    </row>
    <row r="66" spans="1:1" x14ac:dyDescent="0.25">
      <c r="A66" s="3" t="s">
        <v>155</v>
      </c>
    </row>
    <row r="67" spans="1:1" x14ac:dyDescent="0.25">
      <c r="A67" s="3" t="s">
        <v>156</v>
      </c>
    </row>
    <row r="69" spans="1:1" x14ac:dyDescent="0.25">
      <c r="A69" s="21" t="s">
        <v>157</v>
      </c>
    </row>
    <row r="70" spans="1:1" x14ac:dyDescent="0.25">
      <c r="A70" s="3" t="s">
        <v>165</v>
      </c>
    </row>
    <row r="71" spans="1:1" x14ac:dyDescent="0.25">
      <c r="A71" s="3" t="s">
        <v>117</v>
      </c>
    </row>
    <row r="72" spans="1:1" x14ac:dyDescent="0.25">
      <c r="A72" s="3" t="s">
        <v>158</v>
      </c>
    </row>
    <row r="73" spans="1:1" x14ac:dyDescent="0.25">
      <c r="A73" s="3" t="s">
        <v>159</v>
      </c>
    </row>
    <row r="74" spans="1:1" x14ac:dyDescent="0.25">
      <c r="A74" s="3" t="s">
        <v>120</v>
      </c>
    </row>
    <row r="75" spans="1:1" x14ac:dyDescent="0.25">
      <c r="A75" s="3" t="s">
        <v>160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06F63-7B1B-4620-B9C0-BB2BE7C9A42B}">
  <sheetPr codeName="Sheet2"/>
  <dimension ref="A1:A267"/>
  <sheetViews>
    <sheetView topLeftCell="A214" zoomScale="75" zoomScaleNormal="75" workbookViewId="0">
      <selection sqref="A1:A267"/>
    </sheetView>
  </sheetViews>
  <sheetFormatPr defaultRowHeight="15" x14ac:dyDescent="0.25"/>
  <cols>
    <col min="1" max="1" width="139.5703125" style="3" bestFit="1" customWidth="1"/>
    <col min="2" max="16384" width="9.140625" style="3"/>
  </cols>
  <sheetData>
    <row r="1" spans="1:1" x14ac:dyDescent="0.25">
      <c r="A1" s="3" t="s">
        <v>224</v>
      </c>
    </row>
    <row r="2" spans="1:1" x14ac:dyDescent="0.25">
      <c r="A2" s="3" t="s">
        <v>225</v>
      </c>
    </row>
    <row r="3" spans="1:1" x14ac:dyDescent="0.25">
      <c r="A3" s="3" t="s">
        <v>226</v>
      </c>
    </row>
    <row r="5" spans="1:1" x14ac:dyDescent="0.25">
      <c r="A5" s="3" t="s">
        <v>114</v>
      </c>
    </row>
    <row r="6" spans="1:1" x14ac:dyDescent="0.25">
      <c r="A6" s="3" t="s">
        <v>227</v>
      </c>
    </row>
    <row r="7" spans="1:1" x14ac:dyDescent="0.25">
      <c r="A7" s="3" t="s">
        <v>114</v>
      </c>
    </row>
    <row r="8" spans="1:1" x14ac:dyDescent="0.25">
      <c r="A8" s="3" t="s">
        <v>228</v>
      </c>
    </row>
    <row r="9" spans="1:1" x14ac:dyDescent="0.25">
      <c r="A9" s="3" t="s">
        <v>229</v>
      </c>
    </row>
    <row r="10" spans="1:1" x14ac:dyDescent="0.25">
      <c r="A10" s="3" t="s">
        <v>230</v>
      </c>
    </row>
    <row r="12" spans="1:1" x14ac:dyDescent="0.25">
      <c r="A12" s="3" t="s">
        <v>231</v>
      </c>
    </row>
    <row r="13" spans="1:1" x14ac:dyDescent="0.25">
      <c r="A13" s="3" t="s">
        <v>232</v>
      </c>
    </row>
    <row r="14" spans="1:1" x14ac:dyDescent="0.25">
      <c r="A14" s="3" t="s">
        <v>233</v>
      </c>
    </row>
    <row r="15" spans="1:1" x14ac:dyDescent="0.25">
      <c r="A15" s="3" t="s">
        <v>234</v>
      </c>
    </row>
    <row r="16" spans="1:1" x14ac:dyDescent="0.25">
      <c r="A16" s="3" t="s">
        <v>235</v>
      </c>
    </row>
    <row r="17" spans="1:1" x14ac:dyDescent="0.25">
      <c r="A17" s="3" t="s">
        <v>236</v>
      </c>
    </row>
    <row r="18" spans="1:1" x14ac:dyDescent="0.25">
      <c r="A18" s="3" t="s">
        <v>237</v>
      </c>
    </row>
    <row r="19" spans="1:1" x14ac:dyDescent="0.25">
      <c r="A19" s="3" t="s">
        <v>238</v>
      </c>
    </row>
    <row r="21" spans="1:1" x14ac:dyDescent="0.25">
      <c r="A21" s="3" t="s">
        <v>114</v>
      </c>
    </row>
    <row r="22" spans="1:1" x14ac:dyDescent="0.25">
      <c r="A22" s="3" t="s">
        <v>239</v>
      </c>
    </row>
    <row r="23" spans="1:1" x14ac:dyDescent="0.25">
      <c r="A23" s="3" t="s">
        <v>114</v>
      </c>
    </row>
    <row r="24" spans="1:1" x14ac:dyDescent="0.25">
      <c r="A24" s="3" t="s">
        <v>240</v>
      </c>
    </row>
    <row r="25" spans="1:1" x14ac:dyDescent="0.25">
      <c r="A25" s="3" t="s">
        <v>241</v>
      </c>
    </row>
    <row r="26" spans="1:1" x14ac:dyDescent="0.25">
      <c r="A26" s="3" t="s">
        <v>242</v>
      </c>
    </row>
    <row r="27" spans="1:1" x14ac:dyDescent="0.25">
      <c r="A27" s="3" t="s">
        <v>243</v>
      </c>
    </row>
    <row r="28" spans="1:1" x14ac:dyDescent="0.25">
      <c r="A28" s="3" t="s">
        <v>244</v>
      </c>
    </row>
    <row r="29" spans="1:1" x14ac:dyDescent="0.25">
      <c r="A29" s="3" t="s">
        <v>245</v>
      </c>
    </row>
    <row r="30" spans="1:1" x14ac:dyDescent="0.25">
      <c r="A30" s="3" t="s">
        <v>246</v>
      </c>
    </row>
    <row r="32" spans="1:1" x14ac:dyDescent="0.25">
      <c r="A32" s="3" t="s">
        <v>114</v>
      </c>
    </row>
    <row r="33" spans="1:1" x14ac:dyDescent="0.25">
      <c r="A33" s="3" t="s">
        <v>247</v>
      </c>
    </row>
    <row r="34" spans="1:1" x14ac:dyDescent="0.25">
      <c r="A34" s="3" t="s">
        <v>114</v>
      </c>
    </row>
    <row r="35" spans="1:1" x14ac:dyDescent="0.25">
      <c r="A35" s="3" t="s">
        <v>248</v>
      </c>
    </row>
    <row r="36" spans="1:1" x14ac:dyDescent="0.25">
      <c r="A36" s="3" t="s">
        <v>249</v>
      </c>
    </row>
    <row r="37" spans="1:1" x14ac:dyDescent="0.25">
      <c r="A37" s="3" t="s">
        <v>250</v>
      </c>
    </row>
    <row r="38" spans="1:1" x14ac:dyDescent="0.25">
      <c r="A38" s="3" t="s">
        <v>251</v>
      </c>
    </row>
    <row r="39" spans="1:1" x14ac:dyDescent="0.25">
      <c r="A39" s="3" t="s">
        <v>252</v>
      </c>
    </row>
    <row r="40" spans="1:1" x14ac:dyDescent="0.25">
      <c r="A40" s="3" t="s">
        <v>253</v>
      </c>
    </row>
    <row r="41" spans="1:1" x14ac:dyDescent="0.25">
      <c r="A41" s="3" t="s">
        <v>254</v>
      </c>
    </row>
    <row r="42" spans="1:1" x14ac:dyDescent="0.25">
      <c r="A42" s="3" t="s">
        <v>255</v>
      </c>
    </row>
    <row r="43" spans="1:1" x14ac:dyDescent="0.25">
      <c r="A43" s="3" t="s">
        <v>256</v>
      </c>
    </row>
    <row r="45" spans="1:1" x14ac:dyDescent="0.25">
      <c r="A45" s="3" t="s">
        <v>114</v>
      </c>
    </row>
    <row r="46" spans="1:1" x14ac:dyDescent="0.25">
      <c r="A46" s="3" t="s">
        <v>257</v>
      </c>
    </row>
    <row r="47" spans="1:1" x14ac:dyDescent="0.25">
      <c r="A47" s="3" t="s">
        <v>114</v>
      </c>
    </row>
    <row r="48" spans="1:1" x14ac:dyDescent="0.25">
      <c r="A48" s="3" t="s">
        <v>258</v>
      </c>
    </row>
    <row r="49" spans="1:1" x14ac:dyDescent="0.25">
      <c r="A49" s="3" t="s">
        <v>259</v>
      </c>
    </row>
    <row r="50" spans="1:1" x14ac:dyDescent="0.25">
      <c r="A50" s="3" t="s">
        <v>260</v>
      </c>
    </row>
    <row r="51" spans="1:1" x14ac:dyDescent="0.25">
      <c r="A51" s="3" t="s">
        <v>261</v>
      </c>
    </row>
    <row r="52" spans="1:1" x14ac:dyDescent="0.25">
      <c r="A52" s="3" t="s">
        <v>262</v>
      </c>
    </row>
    <row r="53" spans="1:1" x14ac:dyDescent="0.25">
      <c r="A53" s="3" t="s">
        <v>263</v>
      </c>
    </row>
    <row r="54" spans="1:1" x14ac:dyDescent="0.25">
      <c r="A54" s="3" t="s">
        <v>264</v>
      </c>
    </row>
    <row r="55" spans="1:1" x14ac:dyDescent="0.25">
      <c r="A55" s="3" t="s">
        <v>265</v>
      </c>
    </row>
    <row r="56" spans="1:1" x14ac:dyDescent="0.25">
      <c r="A56" s="3" t="s">
        <v>266</v>
      </c>
    </row>
    <row r="58" spans="1:1" x14ac:dyDescent="0.25">
      <c r="A58" s="3" t="s">
        <v>114</v>
      </c>
    </row>
    <row r="59" spans="1:1" x14ac:dyDescent="0.25">
      <c r="A59" s="3" t="s">
        <v>267</v>
      </c>
    </row>
    <row r="60" spans="1:1" x14ac:dyDescent="0.25">
      <c r="A60" s="3" t="s">
        <v>114</v>
      </c>
    </row>
    <row r="61" spans="1:1" x14ac:dyDescent="0.25">
      <c r="A61" s="3" t="s">
        <v>268</v>
      </c>
    </row>
    <row r="62" spans="1:1" x14ac:dyDescent="0.25">
      <c r="A62" s="3" t="s">
        <v>269</v>
      </c>
    </row>
    <row r="63" spans="1:1" x14ac:dyDescent="0.25">
      <c r="A63" s="3" t="s">
        <v>270</v>
      </c>
    </row>
    <row r="64" spans="1:1" x14ac:dyDescent="0.25">
      <c r="A64" s="3" t="s">
        <v>271</v>
      </c>
    </row>
    <row r="65" spans="1:1" x14ac:dyDescent="0.25">
      <c r="A65" s="3" t="s">
        <v>272</v>
      </c>
    </row>
    <row r="66" spans="1:1" x14ac:dyDescent="0.25">
      <c r="A66" s="3" t="s">
        <v>273</v>
      </c>
    </row>
    <row r="67" spans="1:1" x14ac:dyDescent="0.25">
      <c r="A67" s="3" t="s">
        <v>274</v>
      </c>
    </row>
    <row r="68" spans="1:1" x14ac:dyDescent="0.25">
      <c r="A68" s="3" t="s">
        <v>275</v>
      </c>
    </row>
    <row r="69" spans="1:1" x14ac:dyDescent="0.25">
      <c r="A69" s="3" t="s">
        <v>276</v>
      </c>
    </row>
    <row r="70" spans="1:1" x14ac:dyDescent="0.25">
      <c r="A70" s="3" t="s">
        <v>277</v>
      </c>
    </row>
    <row r="71" spans="1:1" x14ac:dyDescent="0.25">
      <c r="A71" s="3" t="s">
        <v>278</v>
      </c>
    </row>
    <row r="72" spans="1:1" x14ac:dyDescent="0.25">
      <c r="A72" s="3" t="s">
        <v>279</v>
      </c>
    </row>
    <row r="73" spans="1:1" x14ac:dyDescent="0.25">
      <c r="A73" s="3" t="s">
        <v>280</v>
      </c>
    </row>
    <row r="74" spans="1:1" x14ac:dyDescent="0.25">
      <c r="A74" s="3" t="s">
        <v>281</v>
      </c>
    </row>
    <row r="75" spans="1:1" x14ac:dyDescent="0.25">
      <c r="A75" s="3" t="s">
        <v>282</v>
      </c>
    </row>
    <row r="76" spans="1:1" x14ac:dyDescent="0.25">
      <c r="A76" s="3" t="s">
        <v>283</v>
      </c>
    </row>
    <row r="77" spans="1:1" x14ac:dyDescent="0.25">
      <c r="A77" s="3" t="s">
        <v>284</v>
      </c>
    </row>
    <row r="79" spans="1:1" x14ac:dyDescent="0.25">
      <c r="A79" s="3" t="s">
        <v>114</v>
      </c>
    </row>
    <row r="80" spans="1:1" x14ac:dyDescent="0.25">
      <c r="A80" s="3" t="s">
        <v>285</v>
      </c>
    </row>
    <row r="81" spans="1:1" x14ac:dyDescent="0.25">
      <c r="A81" s="3" t="s">
        <v>114</v>
      </c>
    </row>
    <row r="82" spans="1:1" x14ac:dyDescent="0.25">
      <c r="A82" s="3" t="s">
        <v>286</v>
      </c>
    </row>
    <row r="83" spans="1:1" x14ac:dyDescent="0.25">
      <c r="A83" s="3" t="s">
        <v>287</v>
      </c>
    </row>
    <row r="84" spans="1:1" x14ac:dyDescent="0.25">
      <c r="A84" s="3" t="s">
        <v>288</v>
      </c>
    </row>
    <row r="85" spans="1:1" x14ac:dyDescent="0.25">
      <c r="A85" s="3" t="s">
        <v>289</v>
      </c>
    </row>
    <row r="86" spans="1:1" x14ac:dyDescent="0.25">
      <c r="A86" s="3" t="s">
        <v>290</v>
      </c>
    </row>
    <row r="87" spans="1:1" x14ac:dyDescent="0.25">
      <c r="A87" s="3" t="s">
        <v>291</v>
      </c>
    </row>
    <row r="88" spans="1:1" x14ac:dyDescent="0.25">
      <c r="A88" s="3" t="s">
        <v>292</v>
      </c>
    </row>
    <row r="89" spans="1:1" x14ac:dyDescent="0.25">
      <c r="A89" s="3" t="s">
        <v>293</v>
      </c>
    </row>
    <row r="90" spans="1:1" x14ac:dyDescent="0.25">
      <c r="A90" s="3" t="s">
        <v>294</v>
      </c>
    </row>
    <row r="91" spans="1:1" x14ac:dyDescent="0.25">
      <c r="A91" s="3" t="s">
        <v>295</v>
      </c>
    </row>
    <row r="92" spans="1:1" x14ac:dyDescent="0.25">
      <c r="A92" s="3" t="s">
        <v>296</v>
      </c>
    </row>
    <row r="94" spans="1:1" x14ac:dyDescent="0.25">
      <c r="A94" s="3" t="s">
        <v>114</v>
      </c>
    </row>
    <row r="95" spans="1:1" x14ac:dyDescent="0.25">
      <c r="A95" s="3" t="s">
        <v>297</v>
      </c>
    </row>
    <row r="96" spans="1:1" x14ac:dyDescent="0.25">
      <c r="A96" s="3" t="s">
        <v>114</v>
      </c>
    </row>
    <row r="97" spans="1:1" x14ac:dyDescent="0.25">
      <c r="A97" s="3" t="s">
        <v>298</v>
      </c>
    </row>
    <row r="98" spans="1:1" x14ac:dyDescent="0.25">
      <c r="A98" s="3" t="s">
        <v>299</v>
      </c>
    </row>
    <row r="99" spans="1:1" x14ac:dyDescent="0.25">
      <c r="A99" s="3" t="s">
        <v>300</v>
      </c>
    </row>
    <row r="100" spans="1:1" x14ac:dyDescent="0.25">
      <c r="A100" s="3" t="s">
        <v>301</v>
      </c>
    </row>
    <row r="101" spans="1:1" x14ac:dyDescent="0.25">
      <c r="A101" s="3" t="s">
        <v>302</v>
      </c>
    </row>
    <row r="103" spans="1:1" x14ac:dyDescent="0.25">
      <c r="A103" s="3" t="s">
        <v>303</v>
      </c>
    </row>
    <row r="104" spans="1:1" x14ac:dyDescent="0.25">
      <c r="A104" s="3" t="s">
        <v>304</v>
      </c>
    </row>
    <row r="105" spans="1:1" x14ac:dyDescent="0.25">
      <c r="A105" s="3" t="s">
        <v>305</v>
      </c>
    </row>
    <row r="106" spans="1:1" x14ac:dyDescent="0.25">
      <c r="A106" s="3" t="s">
        <v>306</v>
      </c>
    </row>
    <row r="107" spans="1:1" x14ac:dyDescent="0.25">
      <c r="A107" s="3" t="s">
        <v>307</v>
      </c>
    </row>
    <row r="108" spans="1:1" x14ac:dyDescent="0.25">
      <c r="A108" s="3" t="s">
        <v>308</v>
      </c>
    </row>
    <row r="110" spans="1:1" x14ac:dyDescent="0.25">
      <c r="A110" s="3" t="s">
        <v>309</v>
      </c>
    </row>
    <row r="111" spans="1:1" x14ac:dyDescent="0.25">
      <c r="A111" s="3" t="s">
        <v>310</v>
      </c>
    </row>
    <row r="112" spans="1:1" x14ac:dyDescent="0.25">
      <c r="A112" s="3" t="s">
        <v>311</v>
      </c>
    </row>
    <row r="113" spans="1:1" x14ac:dyDescent="0.25">
      <c r="A113" s="3" t="s">
        <v>312</v>
      </c>
    </row>
    <row r="114" spans="1:1" x14ac:dyDescent="0.25">
      <c r="A114" s="3" t="s">
        <v>313</v>
      </c>
    </row>
    <row r="116" spans="1:1" x14ac:dyDescent="0.25">
      <c r="A116" s="3" t="s">
        <v>314</v>
      </c>
    </row>
    <row r="117" spans="1:1" x14ac:dyDescent="0.25">
      <c r="A117" s="3" t="s">
        <v>315</v>
      </c>
    </row>
    <row r="118" spans="1:1" x14ac:dyDescent="0.25">
      <c r="A118" s="3" t="s">
        <v>316</v>
      </c>
    </row>
    <row r="119" spans="1:1" x14ac:dyDescent="0.25">
      <c r="A119" s="3" t="s">
        <v>317</v>
      </c>
    </row>
    <row r="121" spans="1:1" x14ac:dyDescent="0.25">
      <c r="A121" s="3" t="s">
        <v>318</v>
      </c>
    </row>
    <row r="122" spans="1:1" x14ac:dyDescent="0.25">
      <c r="A122" s="3" t="s">
        <v>319</v>
      </c>
    </row>
    <row r="123" spans="1:1" x14ac:dyDescent="0.25">
      <c r="A123" s="3" t="s">
        <v>320</v>
      </c>
    </row>
    <row r="125" spans="1:1" x14ac:dyDescent="0.25">
      <c r="A125" s="3" t="s">
        <v>321</v>
      </c>
    </row>
    <row r="126" spans="1:1" x14ac:dyDescent="0.25">
      <c r="A126" s="3" t="s">
        <v>322</v>
      </c>
    </row>
    <row r="127" spans="1:1" x14ac:dyDescent="0.25">
      <c r="A127" s="3" t="s">
        <v>323</v>
      </c>
    </row>
    <row r="128" spans="1:1" x14ac:dyDescent="0.25">
      <c r="A128" s="3" t="s">
        <v>324</v>
      </c>
    </row>
    <row r="129" spans="1:1" x14ac:dyDescent="0.25">
      <c r="A129" s="3" t="s">
        <v>325</v>
      </c>
    </row>
    <row r="131" spans="1:1" x14ac:dyDescent="0.25">
      <c r="A131" s="3" t="s">
        <v>326</v>
      </c>
    </row>
    <row r="132" spans="1:1" x14ac:dyDescent="0.25">
      <c r="A132" s="3" t="s">
        <v>327</v>
      </c>
    </row>
    <row r="133" spans="1:1" x14ac:dyDescent="0.25">
      <c r="A133" s="3" t="s">
        <v>328</v>
      </c>
    </row>
    <row r="134" spans="1:1" x14ac:dyDescent="0.25">
      <c r="A134" s="3" t="s">
        <v>329</v>
      </c>
    </row>
    <row r="136" spans="1:1" x14ac:dyDescent="0.25">
      <c r="A136" s="3" t="s">
        <v>330</v>
      </c>
    </row>
    <row r="137" spans="1:1" x14ac:dyDescent="0.25">
      <c r="A137" s="3" t="s">
        <v>331</v>
      </c>
    </row>
    <row r="138" spans="1:1" x14ac:dyDescent="0.25">
      <c r="A138" s="3" t="s">
        <v>332</v>
      </c>
    </row>
    <row r="139" spans="1:1" x14ac:dyDescent="0.25">
      <c r="A139" s="3" t="s">
        <v>333</v>
      </c>
    </row>
    <row r="141" spans="1:1" x14ac:dyDescent="0.25">
      <c r="A141" s="3" t="s">
        <v>334</v>
      </c>
    </row>
    <row r="142" spans="1:1" x14ac:dyDescent="0.25">
      <c r="A142" s="3" t="s">
        <v>335</v>
      </c>
    </row>
    <row r="143" spans="1:1" x14ac:dyDescent="0.25">
      <c r="A143" s="3" t="s">
        <v>336</v>
      </c>
    </row>
    <row r="144" spans="1:1" x14ac:dyDescent="0.25">
      <c r="A144" s="3" t="s">
        <v>337</v>
      </c>
    </row>
    <row r="145" spans="1:1" x14ac:dyDescent="0.25">
      <c r="A145" s="3" t="s">
        <v>338</v>
      </c>
    </row>
    <row r="146" spans="1:1" x14ac:dyDescent="0.25">
      <c r="A146" s="3" t="s">
        <v>339</v>
      </c>
    </row>
    <row r="147" spans="1:1" x14ac:dyDescent="0.25">
      <c r="A147" s="3" t="s">
        <v>340</v>
      </c>
    </row>
    <row r="148" spans="1:1" x14ac:dyDescent="0.25">
      <c r="A148" s="3" t="s">
        <v>341</v>
      </c>
    </row>
    <row r="149" spans="1:1" x14ac:dyDescent="0.25">
      <c r="A149" s="3" t="s">
        <v>342</v>
      </c>
    </row>
    <row r="150" spans="1:1" x14ac:dyDescent="0.25">
      <c r="A150" s="3" t="s">
        <v>343</v>
      </c>
    </row>
    <row r="152" spans="1:1" x14ac:dyDescent="0.25">
      <c r="A152" s="3" t="s">
        <v>344</v>
      </c>
    </row>
    <row r="153" spans="1:1" x14ac:dyDescent="0.25">
      <c r="A153" s="3" t="s">
        <v>345</v>
      </c>
    </row>
    <row r="154" spans="1:1" x14ac:dyDescent="0.25">
      <c r="A154" s="3" t="s">
        <v>346</v>
      </c>
    </row>
    <row r="155" spans="1:1" x14ac:dyDescent="0.25">
      <c r="A155" s="3" t="s">
        <v>347</v>
      </c>
    </row>
    <row r="157" spans="1:1" x14ac:dyDescent="0.25">
      <c r="A157" s="3" t="s">
        <v>303</v>
      </c>
    </row>
    <row r="158" spans="1:1" x14ac:dyDescent="0.25">
      <c r="A158" s="3" t="s">
        <v>304</v>
      </c>
    </row>
    <row r="159" spans="1:1" x14ac:dyDescent="0.25">
      <c r="A159" s="3" t="s">
        <v>305</v>
      </c>
    </row>
    <row r="160" spans="1:1" x14ac:dyDescent="0.25">
      <c r="A160" s="3" t="s">
        <v>306</v>
      </c>
    </row>
    <row r="161" spans="1:1" x14ac:dyDescent="0.25">
      <c r="A161" s="3" t="s">
        <v>307</v>
      </c>
    </row>
    <row r="162" spans="1:1" x14ac:dyDescent="0.25">
      <c r="A162" s="3" t="s">
        <v>308</v>
      </c>
    </row>
    <row r="164" spans="1:1" x14ac:dyDescent="0.25">
      <c r="A164" s="3" t="s">
        <v>114</v>
      </c>
    </row>
    <row r="165" spans="1:1" x14ac:dyDescent="0.25">
      <c r="A165" s="3" t="s">
        <v>348</v>
      </c>
    </row>
    <row r="166" spans="1:1" x14ac:dyDescent="0.25">
      <c r="A166" s="3" t="s">
        <v>114</v>
      </c>
    </row>
    <row r="167" spans="1:1" x14ac:dyDescent="0.25">
      <c r="A167" s="3" t="s">
        <v>349</v>
      </c>
    </row>
    <row r="168" spans="1:1" x14ac:dyDescent="0.25">
      <c r="A168" s="3" t="s">
        <v>350</v>
      </c>
    </row>
    <row r="169" spans="1:1" x14ac:dyDescent="0.25">
      <c r="A169" s="3" t="s">
        <v>351</v>
      </c>
    </row>
    <row r="170" spans="1:1" x14ac:dyDescent="0.25">
      <c r="A170" s="3" t="s">
        <v>352</v>
      </c>
    </row>
    <row r="171" spans="1:1" x14ac:dyDescent="0.25">
      <c r="A171" s="3" t="s">
        <v>353</v>
      </c>
    </row>
    <row r="172" spans="1:1" x14ac:dyDescent="0.25">
      <c r="A172" s="3" t="s">
        <v>354</v>
      </c>
    </row>
    <row r="173" spans="1:1" x14ac:dyDescent="0.25">
      <c r="A173" s="3" t="s">
        <v>353</v>
      </c>
    </row>
    <row r="174" spans="1:1" x14ac:dyDescent="0.25">
      <c r="A174" s="3" t="s">
        <v>355</v>
      </c>
    </row>
    <row r="175" spans="1:1" x14ac:dyDescent="0.25">
      <c r="A175" s="3" t="s">
        <v>356</v>
      </c>
    </row>
    <row r="176" spans="1:1" x14ac:dyDescent="0.25">
      <c r="A176" s="3" t="s">
        <v>357</v>
      </c>
    </row>
    <row r="177" spans="1:1" x14ac:dyDescent="0.25">
      <c r="A177" s="3" t="s">
        <v>358</v>
      </c>
    </row>
    <row r="179" spans="1:1" x14ac:dyDescent="0.25">
      <c r="A179" s="3" t="s">
        <v>114</v>
      </c>
    </row>
    <row r="180" spans="1:1" x14ac:dyDescent="0.25">
      <c r="A180" s="3" t="s">
        <v>359</v>
      </c>
    </row>
    <row r="181" spans="1:1" x14ac:dyDescent="0.25">
      <c r="A181" s="3" t="s">
        <v>114</v>
      </c>
    </row>
    <row r="182" spans="1:1" x14ac:dyDescent="0.25">
      <c r="A182" s="3" t="s">
        <v>360</v>
      </c>
    </row>
    <row r="183" spans="1:1" x14ac:dyDescent="0.25">
      <c r="A183" s="3" t="s">
        <v>361</v>
      </c>
    </row>
    <row r="184" spans="1:1" x14ac:dyDescent="0.25">
      <c r="A184" s="3" t="s">
        <v>362</v>
      </c>
    </row>
    <row r="185" spans="1:1" x14ac:dyDescent="0.25">
      <c r="A185" s="3" t="s">
        <v>363</v>
      </c>
    </row>
    <row r="186" spans="1:1" x14ac:dyDescent="0.25">
      <c r="A186" s="3" t="s">
        <v>364</v>
      </c>
    </row>
    <row r="187" spans="1:1" x14ac:dyDescent="0.25">
      <c r="A187" s="3" t="s">
        <v>365</v>
      </c>
    </row>
    <row r="188" spans="1:1" x14ac:dyDescent="0.25">
      <c r="A188" s="3" t="s">
        <v>366</v>
      </c>
    </row>
    <row r="190" spans="1:1" x14ac:dyDescent="0.25">
      <c r="A190" s="3" t="s">
        <v>114</v>
      </c>
    </row>
    <row r="191" spans="1:1" x14ac:dyDescent="0.25">
      <c r="A191" s="3" t="s">
        <v>367</v>
      </c>
    </row>
    <row r="192" spans="1:1" x14ac:dyDescent="0.25">
      <c r="A192" s="3" t="s">
        <v>114</v>
      </c>
    </row>
    <row r="193" spans="1:1" x14ac:dyDescent="0.25">
      <c r="A193" s="3" t="s">
        <v>368</v>
      </c>
    </row>
    <row r="194" spans="1:1" x14ac:dyDescent="0.25">
      <c r="A194" s="3" t="s">
        <v>369</v>
      </c>
    </row>
    <row r="195" spans="1:1" x14ac:dyDescent="0.25">
      <c r="A195" s="3" t="s">
        <v>370</v>
      </c>
    </row>
    <row r="196" spans="1:1" x14ac:dyDescent="0.25">
      <c r="A196" s="3" t="s">
        <v>371</v>
      </c>
    </row>
    <row r="197" spans="1:1" x14ac:dyDescent="0.25">
      <c r="A197" s="3" t="s">
        <v>372</v>
      </c>
    </row>
    <row r="199" spans="1:1" x14ac:dyDescent="0.25">
      <c r="A199" s="3" t="s">
        <v>114</v>
      </c>
    </row>
    <row r="200" spans="1:1" x14ac:dyDescent="0.25">
      <c r="A200" s="3" t="s">
        <v>373</v>
      </c>
    </row>
    <row r="201" spans="1:1" x14ac:dyDescent="0.25">
      <c r="A201" s="3" t="s">
        <v>114</v>
      </c>
    </row>
    <row r="202" spans="1:1" x14ac:dyDescent="0.25">
      <c r="A202" s="3" t="s">
        <v>374</v>
      </c>
    </row>
    <row r="203" spans="1:1" x14ac:dyDescent="0.25">
      <c r="A203" s="3" t="s">
        <v>375</v>
      </c>
    </row>
    <row r="204" spans="1:1" x14ac:dyDescent="0.25">
      <c r="A204" s="3" t="s">
        <v>376</v>
      </c>
    </row>
    <row r="205" spans="1:1" x14ac:dyDescent="0.25">
      <c r="A205" s="3" t="s">
        <v>377</v>
      </c>
    </row>
    <row r="206" spans="1:1" x14ac:dyDescent="0.25">
      <c r="A206" s="3" t="s">
        <v>378</v>
      </c>
    </row>
    <row r="208" spans="1:1" x14ac:dyDescent="0.25">
      <c r="A208" s="3" t="s">
        <v>114</v>
      </c>
    </row>
    <row r="209" spans="1:1" x14ac:dyDescent="0.25">
      <c r="A209" s="3" t="s">
        <v>379</v>
      </c>
    </row>
    <row r="210" spans="1:1" x14ac:dyDescent="0.25">
      <c r="A210" s="3" t="s">
        <v>114</v>
      </c>
    </row>
    <row r="211" spans="1:1" x14ac:dyDescent="0.25">
      <c r="A211" s="3" t="s">
        <v>380</v>
      </c>
    </row>
    <row r="212" spans="1:1" x14ac:dyDescent="0.25">
      <c r="A212" s="3" t="s">
        <v>381</v>
      </c>
    </row>
    <row r="213" spans="1:1" x14ac:dyDescent="0.25">
      <c r="A213" s="3" t="s">
        <v>382</v>
      </c>
    </row>
    <row r="214" spans="1:1" x14ac:dyDescent="0.25">
      <c r="A214" s="3" t="s">
        <v>383</v>
      </c>
    </row>
    <row r="215" spans="1:1" x14ac:dyDescent="0.25">
      <c r="A215" s="3" t="s">
        <v>384</v>
      </c>
    </row>
    <row r="216" spans="1:1" x14ac:dyDescent="0.25">
      <c r="A216" s="3" t="s">
        <v>385</v>
      </c>
    </row>
    <row r="217" spans="1:1" x14ac:dyDescent="0.25">
      <c r="A217" s="3" t="s">
        <v>386</v>
      </c>
    </row>
    <row r="218" spans="1:1" x14ac:dyDescent="0.25">
      <c r="A218" s="3" t="s">
        <v>387</v>
      </c>
    </row>
    <row r="219" spans="1:1" x14ac:dyDescent="0.25">
      <c r="A219" s="3" t="s">
        <v>388</v>
      </c>
    </row>
    <row r="220" spans="1:1" x14ac:dyDescent="0.25">
      <c r="A220" s="3" t="s">
        <v>389</v>
      </c>
    </row>
    <row r="221" spans="1:1" x14ac:dyDescent="0.25">
      <c r="A221" s="3" t="s">
        <v>390</v>
      </c>
    </row>
    <row r="222" spans="1:1" x14ac:dyDescent="0.25">
      <c r="A222" s="3" t="s">
        <v>391</v>
      </c>
    </row>
    <row r="223" spans="1:1" x14ac:dyDescent="0.25">
      <c r="A223" s="3" t="s">
        <v>392</v>
      </c>
    </row>
    <row r="225" spans="1:1" x14ac:dyDescent="0.25">
      <c r="A225" s="3" t="s">
        <v>114</v>
      </c>
    </row>
    <row r="226" spans="1:1" x14ac:dyDescent="0.25">
      <c r="A226" s="3" t="s">
        <v>393</v>
      </c>
    </row>
    <row r="227" spans="1:1" x14ac:dyDescent="0.25">
      <c r="A227" s="3" t="s">
        <v>114</v>
      </c>
    </row>
    <row r="228" spans="1:1" x14ac:dyDescent="0.25">
      <c r="A228" s="3" t="s">
        <v>394</v>
      </c>
    </row>
    <row r="229" spans="1:1" x14ac:dyDescent="0.25">
      <c r="A229" s="3" t="s">
        <v>395</v>
      </c>
    </row>
    <row r="230" spans="1:1" x14ac:dyDescent="0.25">
      <c r="A230" s="3" t="s">
        <v>396</v>
      </c>
    </row>
    <row r="231" spans="1:1" x14ac:dyDescent="0.25">
      <c r="A231" s="3" t="s">
        <v>397</v>
      </c>
    </row>
    <row r="232" spans="1:1" x14ac:dyDescent="0.25">
      <c r="A232" s="3" t="s">
        <v>398</v>
      </c>
    </row>
    <row r="233" spans="1:1" x14ac:dyDescent="0.25">
      <c r="A233" s="3" t="s">
        <v>399</v>
      </c>
    </row>
    <row r="234" spans="1:1" x14ac:dyDescent="0.25">
      <c r="A234" s="3" t="s">
        <v>400</v>
      </c>
    </row>
    <row r="235" spans="1:1" x14ac:dyDescent="0.25">
      <c r="A235" s="3" t="s">
        <v>401</v>
      </c>
    </row>
    <row r="236" spans="1:1" x14ac:dyDescent="0.25">
      <c r="A236" s="3" t="s">
        <v>402</v>
      </c>
    </row>
    <row r="237" spans="1:1" x14ac:dyDescent="0.25">
      <c r="A237" s="3" t="s">
        <v>403</v>
      </c>
    </row>
    <row r="238" spans="1:1" x14ac:dyDescent="0.25">
      <c r="A238" s="3" t="s">
        <v>404</v>
      </c>
    </row>
    <row r="240" spans="1:1" x14ac:dyDescent="0.25">
      <c r="A240" s="3" t="s">
        <v>114</v>
      </c>
    </row>
    <row r="241" spans="1:1" x14ac:dyDescent="0.25">
      <c r="A241" s="3" t="s">
        <v>405</v>
      </c>
    </row>
    <row r="242" spans="1:1" x14ac:dyDescent="0.25">
      <c r="A242" s="3" t="s">
        <v>114</v>
      </c>
    </row>
    <row r="243" spans="1:1" x14ac:dyDescent="0.25">
      <c r="A243" s="3" t="s">
        <v>406</v>
      </c>
    </row>
    <row r="244" spans="1:1" x14ac:dyDescent="0.25">
      <c r="A244" s="3" t="s">
        <v>407</v>
      </c>
    </row>
    <row r="245" spans="1:1" x14ac:dyDescent="0.25">
      <c r="A245" s="3" t="s">
        <v>408</v>
      </c>
    </row>
    <row r="246" spans="1:1" x14ac:dyDescent="0.25">
      <c r="A246" s="3" t="s">
        <v>409</v>
      </c>
    </row>
    <row r="247" spans="1:1" x14ac:dyDescent="0.25">
      <c r="A247" s="3" t="s">
        <v>410</v>
      </c>
    </row>
    <row r="248" spans="1:1" x14ac:dyDescent="0.25">
      <c r="A248" s="3" t="s">
        <v>411</v>
      </c>
    </row>
    <row r="249" spans="1:1" x14ac:dyDescent="0.25">
      <c r="A249" s="3" t="s">
        <v>412</v>
      </c>
    </row>
    <row r="250" spans="1:1" x14ac:dyDescent="0.25">
      <c r="A250" s="3" t="s">
        <v>413</v>
      </c>
    </row>
    <row r="252" spans="1:1" x14ac:dyDescent="0.25">
      <c r="A252" s="3" t="s">
        <v>114</v>
      </c>
    </row>
    <row r="253" spans="1:1" x14ac:dyDescent="0.25">
      <c r="A253" s="3" t="s">
        <v>414</v>
      </c>
    </row>
    <row r="254" spans="1:1" x14ac:dyDescent="0.25">
      <c r="A254" s="3" t="s">
        <v>114</v>
      </c>
    </row>
    <row r="255" spans="1:1" x14ac:dyDescent="0.25">
      <c r="A255" s="3" t="s">
        <v>415</v>
      </c>
    </row>
    <row r="256" spans="1:1" x14ac:dyDescent="0.25">
      <c r="A256" s="3" t="s">
        <v>416</v>
      </c>
    </row>
    <row r="257" spans="1:1" x14ac:dyDescent="0.25">
      <c r="A257" s="3" t="s">
        <v>417</v>
      </c>
    </row>
    <row r="258" spans="1:1" x14ac:dyDescent="0.25">
      <c r="A258" s="3" t="s">
        <v>418</v>
      </c>
    </row>
    <row r="259" spans="1:1" x14ac:dyDescent="0.25">
      <c r="A259" s="3" t="s">
        <v>419</v>
      </c>
    </row>
    <row r="260" spans="1:1" x14ac:dyDescent="0.25">
      <c r="A260" s="3" t="s">
        <v>420</v>
      </c>
    </row>
    <row r="261" spans="1:1" x14ac:dyDescent="0.25">
      <c r="A261" s="3" t="s">
        <v>421</v>
      </c>
    </row>
    <row r="262" spans="1:1" x14ac:dyDescent="0.25">
      <c r="A262" s="3" t="s">
        <v>422</v>
      </c>
    </row>
    <row r="263" spans="1:1" x14ac:dyDescent="0.25">
      <c r="A263" s="3" t="s">
        <v>423</v>
      </c>
    </row>
    <row r="264" spans="1:1" x14ac:dyDescent="0.25">
      <c r="A264" s="3" t="s">
        <v>424</v>
      </c>
    </row>
    <row r="265" spans="1:1" x14ac:dyDescent="0.25">
      <c r="A265" s="3" t="s">
        <v>425</v>
      </c>
    </row>
    <row r="267" spans="1:1" x14ac:dyDescent="0.25">
      <c r="A267" s="3" t="s">
        <v>426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0EC1-1F33-48D9-8A71-655C9F451812}">
  <sheetPr codeName="Sheet3"/>
  <dimension ref="A1:AF50"/>
  <sheetViews>
    <sheetView zoomScale="75" zoomScaleNormal="75" workbookViewId="0">
      <selection activeCell="A5" sqref="A5"/>
    </sheetView>
  </sheetViews>
  <sheetFormatPr defaultRowHeight="15" x14ac:dyDescent="0.25"/>
  <cols>
    <col min="1" max="1" width="14.140625" bestFit="1" customWidth="1"/>
    <col min="2" max="2" width="75.7109375" customWidth="1"/>
    <col min="7" max="8" width="15.7109375" customWidth="1"/>
    <col min="9" max="9" width="75.7109375" customWidth="1"/>
    <col min="10" max="17" width="15.7109375" customWidth="1"/>
  </cols>
  <sheetData>
    <row r="1" spans="1:32" x14ac:dyDescent="0.25">
      <c r="A1" s="18" t="s">
        <v>56</v>
      </c>
      <c r="H1" s="16" t="s">
        <v>65</v>
      </c>
      <c r="I1" s="16" t="s">
        <v>47</v>
      </c>
      <c r="J1" s="16" t="s">
        <v>52</v>
      </c>
      <c r="K1" s="16" t="s">
        <v>53</v>
      </c>
      <c r="L1" s="16" t="s">
        <v>25</v>
      </c>
      <c r="M1" s="16" t="s">
        <v>54</v>
      </c>
      <c r="N1" s="16" t="s">
        <v>6</v>
      </c>
      <c r="O1" s="16" t="s">
        <v>55</v>
      </c>
      <c r="P1" s="16" t="s">
        <v>64</v>
      </c>
      <c r="Z1">
        <v>48</v>
      </c>
    </row>
    <row r="2" spans="1:32" x14ac:dyDescent="0.25">
      <c r="A2" s="18" t="s">
        <v>63</v>
      </c>
      <c r="Z2" t="s">
        <v>223</v>
      </c>
      <c r="AC2">
        <v>1</v>
      </c>
      <c r="AD2">
        <v>48</v>
      </c>
      <c r="AF2">
        <v>1</v>
      </c>
    </row>
    <row r="4" spans="1:32" x14ac:dyDescent="0.25">
      <c r="A4" s="17" t="s">
        <v>32</v>
      </c>
      <c r="B4" s="17" t="s">
        <v>3</v>
      </c>
      <c r="C4" s="17" t="s">
        <v>1</v>
      </c>
      <c r="D4" s="17" t="s">
        <v>57</v>
      </c>
      <c r="E4" s="17" t="s">
        <v>58</v>
      </c>
    </row>
    <row r="5" spans="1:32" x14ac:dyDescent="0.25">
      <c r="A5" t="s">
        <v>177</v>
      </c>
      <c r="B5" t="s">
        <v>35</v>
      </c>
      <c r="C5" t="s">
        <v>36</v>
      </c>
      <c r="D5">
        <v>22.5</v>
      </c>
      <c r="E5">
        <v>200</v>
      </c>
    </row>
    <row r="6" spans="1:32" x14ac:dyDescent="0.25">
      <c r="A6" t="s">
        <v>177</v>
      </c>
      <c r="B6" t="s">
        <v>37</v>
      </c>
      <c r="C6" t="s">
        <v>36</v>
      </c>
      <c r="D6">
        <v>16.25</v>
      </c>
      <c r="E6">
        <v>200</v>
      </c>
    </row>
    <row r="7" spans="1:32" x14ac:dyDescent="0.25">
      <c r="A7" t="s">
        <v>177</v>
      </c>
      <c r="B7" t="s">
        <v>96</v>
      </c>
      <c r="C7" t="s">
        <v>9</v>
      </c>
      <c r="D7">
        <v>25</v>
      </c>
      <c r="E7">
        <v>2</v>
      </c>
    </row>
    <row r="8" spans="1:32" x14ac:dyDescent="0.25">
      <c r="A8" t="s">
        <v>177</v>
      </c>
      <c r="B8" t="s">
        <v>103</v>
      </c>
      <c r="C8" t="s">
        <v>72</v>
      </c>
      <c r="D8">
        <v>120</v>
      </c>
      <c r="E8">
        <v>1</v>
      </c>
    </row>
    <row r="9" spans="1:32" x14ac:dyDescent="0.25">
      <c r="A9" t="s">
        <v>177</v>
      </c>
      <c r="B9" t="s">
        <v>104</v>
      </c>
      <c r="C9" t="s">
        <v>72</v>
      </c>
      <c r="D9">
        <v>150</v>
      </c>
      <c r="E9">
        <v>1</v>
      </c>
    </row>
    <row r="10" spans="1:32" x14ac:dyDescent="0.25">
      <c r="A10" t="s">
        <v>176</v>
      </c>
      <c r="B10" t="s">
        <v>8</v>
      </c>
      <c r="C10" t="s">
        <v>9</v>
      </c>
      <c r="D10">
        <v>6.5</v>
      </c>
      <c r="E10">
        <v>27</v>
      </c>
      <c r="I10" s="16"/>
      <c r="J10" s="16"/>
      <c r="K10" s="16"/>
      <c r="L10" s="16"/>
      <c r="M10" s="16"/>
    </row>
    <row r="11" spans="1:32" x14ac:dyDescent="0.25">
      <c r="A11" t="s">
        <v>176</v>
      </c>
      <c r="B11" t="s">
        <v>68</v>
      </c>
      <c r="C11" t="s">
        <v>9</v>
      </c>
      <c r="D11">
        <v>3</v>
      </c>
      <c r="E11">
        <v>140</v>
      </c>
    </row>
    <row r="12" spans="1:32" x14ac:dyDescent="0.25">
      <c r="A12" t="s">
        <v>176</v>
      </c>
      <c r="B12" t="s">
        <v>69</v>
      </c>
      <c r="C12" t="s">
        <v>10</v>
      </c>
      <c r="D12">
        <v>25</v>
      </c>
      <c r="E12">
        <v>5.5</v>
      </c>
    </row>
    <row r="13" spans="1:32" x14ac:dyDescent="0.25">
      <c r="A13" t="s">
        <v>176</v>
      </c>
      <c r="B13" t="s">
        <v>70</v>
      </c>
      <c r="C13" t="s">
        <v>10</v>
      </c>
      <c r="D13">
        <v>18</v>
      </c>
      <c r="E13">
        <v>4.4000000000000004</v>
      </c>
    </row>
    <row r="14" spans="1:32" x14ac:dyDescent="0.25">
      <c r="A14" t="s">
        <v>176</v>
      </c>
      <c r="B14" t="s">
        <v>71</v>
      </c>
      <c r="C14" t="s">
        <v>72</v>
      </c>
      <c r="D14">
        <v>80</v>
      </c>
      <c r="E14">
        <v>3</v>
      </c>
    </row>
    <row r="15" spans="1:32" x14ac:dyDescent="0.25">
      <c r="A15" t="s">
        <v>176</v>
      </c>
      <c r="B15" t="s">
        <v>73</v>
      </c>
      <c r="C15" t="s">
        <v>9</v>
      </c>
      <c r="D15">
        <v>0.27</v>
      </c>
      <c r="E15">
        <v>88</v>
      </c>
    </row>
    <row r="16" spans="1:32" x14ac:dyDescent="0.25">
      <c r="A16" t="s">
        <v>176</v>
      </c>
      <c r="B16" t="s">
        <v>74</v>
      </c>
      <c r="C16" t="s">
        <v>75</v>
      </c>
      <c r="D16">
        <v>24</v>
      </c>
      <c r="E16">
        <v>15.4</v>
      </c>
    </row>
    <row r="17" spans="1:5" x14ac:dyDescent="0.25">
      <c r="A17" t="s">
        <v>176</v>
      </c>
      <c r="B17" t="s">
        <v>76</v>
      </c>
      <c r="C17" t="s">
        <v>77</v>
      </c>
      <c r="D17">
        <v>70</v>
      </c>
      <c r="E17">
        <v>6.4</v>
      </c>
    </row>
    <row r="18" spans="1:5" x14ac:dyDescent="0.25">
      <c r="A18" t="s">
        <v>176</v>
      </c>
      <c r="B18" t="s">
        <v>78</v>
      </c>
      <c r="C18" t="s">
        <v>9</v>
      </c>
      <c r="D18">
        <v>14.8</v>
      </c>
      <c r="E18">
        <v>2.2000000000000002</v>
      </c>
    </row>
    <row r="19" spans="1:5" x14ac:dyDescent="0.25">
      <c r="A19" t="s">
        <v>176</v>
      </c>
      <c r="B19" t="s">
        <v>79</v>
      </c>
      <c r="C19" t="s">
        <v>9</v>
      </c>
      <c r="D19">
        <v>2.2999999999999998</v>
      </c>
      <c r="E19">
        <v>16.5</v>
      </c>
    </row>
    <row r="20" spans="1:5" x14ac:dyDescent="0.25">
      <c r="A20" t="s">
        <v>176</v>
      </c>
      <c r="B20" t="s">
        <v>80</v>
      </c>
      <c r="C20" t="s">
        <v>39</v>
      </c>
      <c r="D20">
        <v>17.2</v>
      </c>
      <c r="E20">
        <v>1</v>
      </c>
    </row>
    <row r="21" spans="1:5" x14ac:dyDescent="0.25">
      <c r="A21" t="s">
        <v>176</v>
      </c>
      <c r="B21" t="s">
        <v>81</v>
      </c>
      <c r="C21" t="s">
        <v>10</v>
      </c>
      <c r="D21">
        <v>16.5</v>
      </c>
      <c r="E21">
        <v>1</v>
      </c>
    </row>
    <row r="22" spans="1:5" x14ac:dyDescent="0.25">
      <c r="A22" t="s">
        <v>176</v>
      </c>
      <c r="B22" t="s">
        <v>82</v>
      </c>
      <c r="C22" t="s">
        <v>10</v>
      </c>
      <c r="D22">
        <v>16</v>
      </c>
      <c r="E22">
        <v>19.600000000000001</v>
      </c>
    </row>
    <row r="23" spans="1:5" x14ac:dyDescent="0.25">
      <c r="A23" t="s">
        <v>176</v>
      </c>
      <c r="B23" t="s">
        <v>83</v>
      </c>
      <c r="C23" t="s">
        <v>34</v>
      </c>
      <c r="D23">
        <v>95</v>
      </c>
      <c r="E23">
        <v>2</v>
      </c>
    </row>
    <row r="24" spans="1:5" x14ac:dyDescent="0.25">
      <c r="A24" t="s">
        <v>176</v>
      </c>
      <c r="B24" t="s">
        <v>84</v>
      </c>
      <c r="C24" t="s">
        <v>34</v>
      </c>
      <c r="D24">
        <v>85</v>
      </c>
      <c r="E24">
        <v>1</v>
      </c>
    </row>
    <row r="25" spans="1:5" x14ac:dyDescent="0.25">
      <c r="A25" t="s">
        <v>176</v>
      </c>
      <c r="B25" t="s">
        <v>85</v>
      </c>
      <c r="C25" t="s">
        <v>9</v>
      </c>
      <c r="D25">
        <v>9.9</v>
      </c>
      <c r="E25">
        <v>2</v>
      </c>
    </row>
    <row r="26" spans="1:5" x14ac:dyDescent="0.25">
      <c r="A26" t="s">
        <v>176</v>
      </c>
      <c r="B26" t="s">
        <v>86</v>
      </c>
      <c r="C26" t="s">
        <v>9</v>
      </c>
      <c r="D26">
        <v>650</v>
      </c>
      <c r="E26">
        <v>1</v>
      </c>
    </row>
    <row r="27" spans="1:5" x14ac:dyDescent="0.25">
      <c r="A27" t="s">
        <v>176</v>
      </c>
      <c r="B27" t="s">
        <v>87</v>
      </c>
      <c r="C27" t="s">
        <v>88</v>
      </c>
      <c r="D27">
        <v>35</v>
      </c>
      <c r="E27">
        <v>1</v>
      </c>
    </row>
    <row r="28" spans="1:5" x14ac:dyDescent="0.25">
      <c r="A28" t="s">
        <v>176</v>
      </c>
      <c r="B28" t="s">
        <v>89</v>
      </c>
      <c r="C28" t="s">
        <v>88</v>
      </c>
      <c r="D28">
        <v>45</v>
      </c>
      <c r="E28">
        <v>3</v>
      </c>
    </row>
    <row r="29" spans="1:5" x14ac:dyDescent="0.25">
      <c r="A29" t="s">
        <v>176</v>
      </c>
      <c r="B29" t="s">
        <v>90</v>
      </c>
      <c r="C29" t="s">
        <v>88</v>
      </c>
      <c r="D29">
        <v>15</v>
      </c>
      <c r="E29">
        <v>1</v>
      </c>
    </row>
    <row r="30" spans="1:5" x14ac:dyDescent="0.25">
      <c r="A30" t="s">
        <v>176</v>
      </c>
      <c r="B30" t="s">
        <v>91</v>
      </c>
      <c r="C30" t="s">
        <v>9</v>
      </c>
      <c r="D30">
        <v>8</v>
      </c>
      <c r="E30">
        <v>1</v>
      </c>
    </row>
    <row r="31" spans="1:5" x14ac:dyDescent="0.25">
      <c r="A31" t="s">
        <v>176</v>
      </c>
      <c r="B31" t="s">
        <v>92</v>
      </c>
      <c r="C31" t="s">
        <v>93</v>
      </c>
      <c r="D31">
        <v>8</v>
      </c>
      <c r="E31">
        <v>4</v>
      </c>
    </row>
    <row r="32" spans="1:5" x14ac:dyDescent="0.25">
      <c r="A32" t="s">
        <v>176</v>
      </c>
      <c r="B32" t="s">
        <v>94</v>
      </c>
      <c r="C32" t="s">
        <v>34</v>
      </c>
      <c r="D32">
        <v>78</v>
      </c>
      <c r="E32">
        <v>1</v>
      </c>
    </row>
    <row r="33" spans="1:5" x14ac:dyDescent="0.25">
      <c r="A33" t="s">
        <v>176</v>
      </c>
      <c r="B33" t="s">
        <v>95</v>
      </c>
      <c r="C33" t="s">
        <v>11</v>
      </c>
      <c r="D33">
        <v>150</v>
      </c>
      <c r="E33">
        <v>1</v>
      </c>
    </row>
    <row r="34" spans="1:5" x14ac:dyDescent="0.25">
      <c r="A34" t="s">
        <v>176</v>
      </c>
      <c r="B34" t="s">
        <v>97</v>
      </c>
      <c r="C34" t="s">
        <v>34</v>
      </c>
      <c r="D34">
        <v>20</v>
      </c>
      <c r="E34">
        <v>2</v>
      </c>
    </row>
    <row r="35" spans="1:5" x14ac:dyDescent="0.25">
      <c r="A35" t="s">
        <v>176</v>
      </c>
      <c r="B35" t="s">
        <v>98</v>
      </c>
      <c r="C35" t="s">
        <v>34</v>
      </c>
      <c r="D35">
        <v>135</v>
      </c>
      <c r="E35">
        <v>1</v>
      </c>
    </row>
    <row r="36" spans="1:5" x14ac:dyDescent="0.25">
      <c r="A36" t="s">
        <v>176</v>
      </c>
      <c r="B36" t="s">
        <v>99</v>
      </c>
      <c r="C36" t="s">
        <v>72</v>
      </c>
      <c r="D36">
        <v>210</v>
      </c>
      <c r="E36">
        <v>1</v>
      </c>
    </row>
    <row r="37" spans="1:5" x14ac:dyDescent="0.25">
      <c r="A37" t="s">
        <v>176</v>
      </c>
      <c r="B37" t="s">
        <v>100</v>
      </c>
      <c r="C37" t="s">
        <v>72</v>
      </c>
      <c r="D37">
        <v>1750</v>
      </c>
      <c r="E37">
        <v>1</v>
      </c>
    </row>
    <row r="38" spans="1:5" x14ac:dyDescent="0.25">
      <c r="A38" t="s">
        <v>176</v>
      </c>
      <c r="B38" t="s">
        <v>101</v>
      </c>
      <c r="C38" t="s">
        <v>38</v>
      </c>
      <c r="D38">
        <v>6</v>
      </c>
      <c r="E38">
        <v>2</v>
      </c>
    </row>
    <row r="39" spans="1:5" x14ac:dyDescent="0.25">
      <c r="A39" t="s">
        <v>176</v>
      </c>
      <c r="B39" t="s">
        <v>102</v>
      </c>
      <c r="C39" t="s">
        <v>72</v>
      </c>
      <c r="D39">
        <v>15</v>
      </c>
      <c r="E39">
        <v>1</v>
      </c>
    </row>
    <row r="40" spans="1:5" x14ac:dyDescent="0.25">
      <c r="A40" t="s">
        <v>176</v>
      </c>
      <c r="B40" t="s">
        <v>105</v>
      </c>
      <c r="C40" t="s">
        <v>10</v>
      </c>
      <c r="D40">
        <v>24</v>
      </c>
      <c r="E40">
        <v>4</v>
      </c>
    </row>
    <row r="41" spans="1:5" x14ac:dyDescent="0.25">
      <c r="A41" t="s">
        <v>176</v>
      </c>
      <c r="B41" t="s">
        <v>106</v>
      </c>
      <c r="C41" t="s">
        <v>107</v>
      </c>
      <c r="D41">
        <v>24.9</v>
      </c>
      <c r="E41">
        <v>2</v>
      </c>
    </row>
    <row r="42" spans="1:5" x14ac:dyDescent="0.25">
      <c r="A42" t="s">
        <v>176</v>
      </c>
      <c r="B42" t="s">
        <v>108</v>
      </c>
      <c r="C42" t="s">
        <v>9</v>
      </c>
      <c r="D42">
        <v>4.8</v>
      </c>
      <c r="E42">
        <v>2</v>
      </c>
    </row>
    <row r="43" spans="1:5" x14ac:dyDescent="0.25">
      <c r="A43" t="s">
        <v>176</v>
      </c>
      <c r="B43" t="s">
        <v>109</v>
      </c>
      <c r="C43" t="s">
        <v>11</v>
      </c>
      <c r="D43">
        <v>65</v>
      </c>
      <c r="E43">
        <v>1</v>
      </c>
    </row>
    <row r="44" spans="1:5" x14ac:dyDescent="0.25">
      <c r="A44" t="s">
        <v>176</v>
      </c>
      <c r="B44" t="s">
        <v>110</v>
      </c>
      <c r="C44" t="s">
        <v>40</v>
      </c>
      <c r="D44">
        <v>180</v>
      </c>
      <c r="E44">
        <v>1</v>
      </c>
    </row>
    <row r="45" spans="1:5" x14ac:dyDescent="0.25">
      <c r="A45" t="s">
        <v>176</v>
      </c>
      <c r="B45" t="s">
        <v>111</v>
      </c>
      <c r="C45" t="s">
        <v>34</v>
      </c>
      <c r="D45">
        <v>120</v>
      </c>
      <c r="E45">
        <v>2</v>
      </c>
    </row>
    <row r="46" spans="1:5" x14ac:dyDescent="0.25">
      <c r="A46" t="s">
        <v>178</v>
      </c>
      <c r="B46" t="s">
        <v>12</v>
      </c>
      <c r="C46" t="s">
        <v>13</v>
      </c>
      <c r="D46">
        <v>200</v>
      </c>
      <c r="E46">
        <v>2</v>
      </c>
    </row>
    <row r="47" spans="1:5" x14ac:dyDescent="0.25">
      <c r="A47" t="s">
        <v>178</v>
      </c>
      <c r="B47" t="s">
        <v>41</v>
      </c>
      <c r="C47" t="s">
        <v>11</v>
      </c>
      <c r="D47">
        <v>45</v>
      </c>
      <c r="E47">
        <v>2</v>
      </c>
    </row>
    <row r="48" spans="1:5" x14ac:dyDescent="0.25">
      <c r="A48" t="s">
        <v>178</v>
      </c>
      <c r="B48" t="s">
        <v>42</v>
      </c>
      <c r="C48" t="s">
        <v>11</v>
      </c>
      <c r="D48">
        <v>20</v>
      </c>
      <c r="E48">
        <v>2</v>
      </c>
    </row>
    <row r="49" spans="1:5" x14ac:dyDescent="0.25">
      <c r="A49" t="s">
        <v>178</v>
      </c>
      <c r="B49" t="s">
        <v>112</v>
      </c>
      <c r="C49" t="s">
        <v>40</v>
      </c>
      <c r="D49">
        <v>195</v>
      </c>
      <c r="E49">
        <v>2</v>
      </c>
    </row>
    <row r="50" spans="1:5" x14ac:dyDescent="0.25">
      <c r="A50" t="s">
        <v>178</v>
      </c>
      <c r="B50" t="s">
        <v>113</v>
      </c>
      <c r="C50" t="s">
        <v>40</v>
      </c>
      <c r="D50">
        <v>40</v>
      </c>
      <c r="E50">
        <v>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0" r:id="rId3" name="Button 76">
              <controlPr defaultSize="0" print="0" autoFill="0" autoPict="0" macro="[0]!SEARCH_AddAllSummaryToPurchase">
                <anchor moveWithCells="1" sizeWithCells="1">
                  <from>
                    <xdr:col>6</xdr:col>
                    <xdr:colOff>47625</xdr:colOff>
                    <xdr:row>2</xdr:row>
                    <xdr:rowOff>19050</xdr:rowOff>
                  </from>
                  <to>
                    <xdr:col>6</xdr:col>
                    <xdr:colOff>990600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4" name="Button 77">
              <controlPr defaultSize="0" print="0" autoFill="0" autoPict="0" macro="[0]!SEARCH_Refresh">
                <anchor moveWithCells="1" sizeWithCells="1">
                  <from>
                    <xdr:col>6</xdr:col>
                    <xdr:colOff>47625</xdr:colOff>
                    <xdr:row>3</xdr:row>
                    <xdr:rowOff>19050</xdr:rowOff>
                  </from>
                  <to>
                    <xdr:col>6</xdr:col>
                    <xdr:colOff>990600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" name="Button 78">
              <controlPr defaultSize="0" print="0" autoFill="0" autoPict="0" macro="[0]!SEARCH_BuildFinalView">
                <anchor moveWithCells="1" sizeWithCells="1">
                  <from>
                    <xdr:col>6</xdr:col>
                    <xdr:colOff>47625</xdr:colOff>
                    <xdr:row>4</xdr:row>
                    <xdr:rowOff>19050</xdr:rowOff>
                  </from>
                  <to>
                    <xdr:col>6</xdr:col>
                    <xdr:colOff>990600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6" name="Button 79">
              <controlPr defaultSize="0" print="0" autoFill="0" autoPict="0" macro="[0]!SEARCH_AddSelectedToEdit">
                <anchor moveWithCells="1" sizeWithCells="1">
                  <from>
                    <xdr:col>6</xdr:col>
                    <xdr:colOff>47625</xdr:colOff>
                    <xdr:row>5</xdr:row>
                    <xdr:rowOff>19050</xdr:rowOff>
                  </from>
                  <to>
                    <xdr:col>6</xdr:col>
                    <xdr:colOff>990600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7" name="Button 80">
              <controlPr defaultSize="0" print="0" autoFill="0" autoPict="0" macro="[0]!SEARCH_SaveEditGrid">
                <anchor moveWithCells="1" sizeWithCells="1">
                  <from>
                    <xdr:col>6</xdr:col>
                    <xdr:colOff>47625</xdr:colOff>
                    <xdr:row>6</xdr:row>
                    <xdr:rowOff>19050</xdr:rowOff>
                  </from>
                  <to>
                    <xdr:col>6</xdr:col>
                    <xdr:colOff>990600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8" name="Button 81">
              <controlPr defaultSize="0" print="0" autoFill="0" autoPict="0" macro="[0]!SEARCH_ClearEditGrid">
                <anchor moveWithCells="1" sizeWithCells="1">
                  <from>
                    <xdr:col>6</xdr:col>
                    <xdr:colOff>47625</xdr:colOff>
                    <xdr:row>7</xdr:row>
                    <xdr:rowOff>19050</xdr:rowOff>
                  </from>
                  <to>
                    <xdr:col>6</xdr:col>
                    <xdr:colOff>990600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9" name="Button 82">
              <controlPr defaultSize="0" print="0" autoFill="0" autoPict="0" macro="[0]!SEARCH_DeleteSelectedOverride">
                <anchor moveWithCells="1" sizeWithCells="1">
                  <from>
                    <xdr:col>6</xdr:col>
                    <xdr:colOff>47625</xdr:colOff>
                    <xdr:row>8</xdr:row>
                    <xdr:rowOff>19050</xdr:rowOff>
                  </from>
                  <to>
                    <xdr:col>6</xdr:col>
                    <xdr:colOff>990600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10" name="Button 83">
              <controlPr defaultSize="0" print="0" autoFill="0" autoPict="0" macro="[0]!SEARCH_UndoLast">
                <anchor moveWithCells="1" sizeWithCells="1">
                  <from>
                    <xdr:col>6</xdr:col>
                    <xdr:colOff>47625</xdr:colOff>
                    <xdr:row>9</xdr:row>
                    <xdr:rowOff>19050</xdr:rowOff>
                  </from>
                  <to>
                    <xdr:col>6</xdr:col>
                    <xdr:colOff>990600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6739-C211-4AD4-BD32-959B13B83F74}">
  <sheetPr codeName="Sheet4"/>
  <dimension ref="A1:Z48"/>
  <sheetViews>
    <sheetView zoomScale="75" zoomScaleNormal="75" workbookViewId="0">
      <selection activeCell="J34" sqref="J34"/>
    </sheetView>
  </sheetViews>
  <sheetFormatPr defaultRowHeight="15" x14ac:dyDescent="0.25"/>
  <cols>
    <col min="4" max="4" width="50.7109375" customWidth="1"/>
    <col min="5" max="5" width="9.140625" style="12"/>
    <col min="6" max="6" width="9.140625" style="20"/>
    <col min="7" max="13" width="9.140625" style="12"/>
    <col min="14" max="15" width="9.140625" style="20"/>
    <col min="16" max="18" width="9.140625" style="12"/>
    <col min="19" max="19" width="11.5703125" style="12" bestFit="1" customWidth="1"/>
    <col min="20" max="20" width="44.28515625" bestFit="1" customWidth="1"/>
  </cols>
  <sheetData>
    <row r="1" spans="1:26" x14ac:dyDescent="0.25">
      <c r="A1" t="s">
        <v>60</v>
      </c>
      <c r="B1" t="s">
        <v>47</v>
      </c>
      <c r="C1" t="s">
        <v>32</v>
      </c>
      <c r="D1" t="s">
        <v>3</v>
      </c>
      <c r="E1" s="12" t="s">
        <v>44</v>
      </c>
      <c r="F1" s="12" t="s">
        <v>45</v>
      </c>
      <c r="G1" s="12" t="s">
        <v>58</v>
      </c>
      <c r="H1" s="12" t="s">
        <v>52</v>
      </c>
      <c r="I1" s="12" t="s">
        <v>53</v>
      </c>
      <c r="J1" s="12" t="s">
        <v>25</v>
      </c>
      <c r="K1" s="12" t="s">
        <v>54</v>
      </c>
      <c r="L1" s="12" t="s">
        <v>48</v>
      </c>
      <c r="M1" s="12" t="s">
        <v>2</v>
      </c>
      <c r="N1" s="12" t="s">
        <v>49</v>
      </c>
      <c r="O1" s="12" t="s">
        <v>24</v>
      </c>
      <c r="P1" s="12" t="s">
        <v>59</v>
      </c>
      <c r="Q1" s="12" t="s">
        <v>6</v>
      </c>
      <c r="R1" s="12" t="s">
        <v>61</v>
      </c>
      <c r="S1" s="12" t="s">
        <v>62</v>
      </c>
    </row>
    <row r="2" spans="1:26" x14ac:dyDescent="0.25">
      <c r="A2" s="12">
        <v>1</v>
      </c>
      <c r="B2" s="12" t="s">
        <v>50</v>
      </c>
      <c r="C2" s="12" t="s">
        <v>177</v>
      </c>
      <c r="D2" s="12" t="s">
        <v>35</v>
      </c>
      <c r="E2" s="12" t="s">
        <v>36</v>
      </c>
      <c r="F2" s="20">
        <v>22.5</v>
      </c>
      <c r="G2" s="12">
        <v>200</v>
      </c>
      <c r="L2" s="12" t="s">
        <v>36</v>
      </c>
      <c r="M2" s="12">
        <v>200</v>
      </c>
      <c r="N2" s="20">
        <v>22.5</v>
      </c>
      <c r="O2" s="20">
        <v>4500</v>
      </c>
      <c r="P2" s="12">
        <v>1</v>
      </c>
      <c r="R2" s="12" t="s">
        <v>166</v>
      </c>
      <c r="S2" s="12">
        <v>3</v>
      </c>
    </row>
    <row r="3" spans="1:26" x14ac:dyDescent="0.25">
      <c r="A3">
        <v>2</v>
      </c>
      <c r="B3" t="s">
        <v>51</v>
      </c>
      <c r="C3" t="s">
        <v>177</v>
      </c>
      <c r="D3" t="s">
        <v>37</v>
      </c>
      <c r="E3" s="12" t="s">
        <v>36</v>
      </c>
      <c r="F3" s="20">
        <v>16.25</v>
      </c>
      <c r="G3" s="12">
        <v>0</v>
      </c>
      <c r="L3" s="12" t="s">
        <v>36</v>
      </c>
      <c r="M3" s="12">
        <v>0</v>
      </c>
      <c r="N3" s="20">
        <v>16.25</v>
      </c>
      <c r="O3" s="20">
        <v>0</v>
      </c>
      <c r="P3" s="12">
        <v>1</v>
      </c>
      <c r="R3" s="12" t="s">
        <v>166</v>
      </c>
      <c r="S3" s="12">
        <v>4</v>
      </c>
      <c r="T3" t="s">
        <v>50</v>
      </c>
      <c r="U3">
        <v>1</v>
      </c>
      <c r="V3">
        <v>3</v>
      </c>
      <c r="W3">
        <v>1</v>
      </c>
      <c r="X3">
        <v>3</v>
      </c>
      <c r="Z3">
        <v>1</v>
      </c>
    </row>
    <row r="4" spans="1:26" x14ac:dyDescent="0.25">
      <c r="A4">
        <v>3</v>
      </c>
      <c r="B4" t="s">
        <v>179</v>
      </c>
      <c r="C4" t="s">
        <v>177</v>
      </c>
      <c r="D4" t="s">
        <v>96</v>
      </c>
      <c r="E4" s="12" t="s">
        <v>9</v>
      </c>
      <c r="F4" s="20">
        <v>25</v>
      </c>
      <c r="G4" s="12">
        <v>0</v>
      </c>
      <c r="L4" s="12" t="s">
        <v>9</v>
      </c>
      <c r="M4" s="12">
        <v>0</v>
      </c>
      <c r="N4" s="20">
        <v>25</v>
      </c>
      <c r="O4" s="20">
        <v>0</v>
      </c>
      <c r="P4" s="12">
        <v>1</v>
      </c>
      <c r="R4" s="12" t="s">
        <v>166</v>
      </c>
      <c r="S4" s="12">
        <v>5</v>
      </c>
      <c r="T4" t="s">
        <v>51</v>
      </c>
      <c r="U4">
        <v>1</v>
      </c>
      <c r="V4">
        <v>4</v>
      </c>
      <c r="W4">
        <v>1</v>
      </c>
      <c r="X4">
        <v>4</v>
      </c>
      <c r="Z4">
        <v>1</v>
      </c>
    </row>
    <row r="5" spans="1:26" x14ac:dyDescent="0.25">
      <c r="A5">
        <v>4</v>
      </c>
      <c r="B5" t="s">
        <v>180</v>
      </c>
      <c r="C5" t="s">
        <v>177</v>
      </c>
      <c r="D5" t="s">
        <v>103</v>
      </c>
      <c r="E5" s="12" t="s">
        <v>72</v>
      </c>
      <c r="F5" s="20">
        <v>120</v>
      </c>
      <c r="G5" s="12">
        <v>0</v>
      </c>
      <c r="L5" s="12" t="s">
        <v>72</v>
      </c>
      <c r="M5" s="12">
        <v>0</v>
      </c>
      <c r="N5" s="20">
        <v>120</v>
      </c>
      <c r="O5" s="20">
        <v>0</v>
      </c>
      <c r="P5" s="12">
        <v>1</v>
      </c>
      <c r="R5" s="12" t="s">
        <v>166</v>
      </c>
      <c r="S5" s="12">
        <v>6</v>
      </c>
      <c r="T5" t="s">
        <v>179</v>
      </c>
      <c r="U5">
        <v>1</v>
      </c>
      <c r="V5">
        <v>5</v>
      </c>
      <c r="W5">
        <v>1</v>
      </c>
      <c r="X5">
        <v>5</v>
      </c>
      <c r="Z5">
        <v>1</v>
      </c>
    </row>
    <row r="6" spans="1:26" x14ac:dyDescent="0.25">
      <c r="A6">
        <v>5</v>
      </c>
      <c r="B6" t="s">
        <v>181</v>
      </c>
      <c r="C6" t="s">
        <v>177</v>
      </c>
      <c r="D6" t="s">
        <v>104</v>
      </c>
      <c r="E6" s="12" t="s">
        <v>72</v>
      </c>
      <c r="F6" s="20">
        <v>150</v>
      </c>
      <c r="G6" s="12">
        <v>0</v>
      </c>
      <c r="L6" s="12" t="s">
        <v>72</v>
      </c>
      <c r="M6" s="12">
        <v>0</v>
      </c>
      <c r="N6" s="20">
        <v>150</v>
      </c>
      <c r="O6" s="20">
        <v>0</v>
      </c>
      <c r="P6" s="12">
        <v>1</v>
      </c>
      <c r="R6" s="12" t="s">
        <v>166</v>
      </c>
      <c r="S6" s="12">
        <v>7</v>
      </c>
      <c r="T6" t="s">
        <v>180</v>
      </c>
      <c r="U6">
        <v>1</v>
      </c>
      <c r="V6">
        <v>6</v>
      </c>
      <c r="W6">
        <v>1</v>
      </c>
      <c r="X6">
        <v>6</v>
      </c>
      <c r="Z6">
        <v>1</v>
      </c>
    </row>
    <row r="7" spans="1:26" x14ac:dyDescent="0.25">
      <c r="A7">
        <v>6</v>
      </c>
      <c r="B7" t="s">
        <v>182</v>
      </c>
      <c r="C7" t="s">
        <v>176</v>
      </c>
      <c r="D7" t="s">
        <v>8</v>
      </c>
      <c r="E7" s="12" t="s">
        <v>9</v>
      </c>
      <c r="F7" s="20">
        <v>6.5</v>
      </c>
      <c r="G7" s="12">
        <v>0</v>
      </c>
      <c r="L7" s="12" t="s">
        <v>9</v>
      </c>
      <c r="M7" s="12">
        <v>0</v>
      </c>
      <c r="N7" s="20">
        <v>6.5</v>
      </c>
      <c r="O7" s="20">
        <v>0</v>
      </c>
      <c r="P7" s="12">
        <v>1</v>
      </c>
      <c r="R7" s="12" t="s">
        <v>166</v>
      </c>
      <c r="S7" s="12">
        <v>8</v>
      </c>
      <c r="T7" t="s">
        <v>181</v>
      </c>
      <c r="U7">
        <v>1</v>
      </c>
      <c r="V7">
        <v>7</v>
      </c>
      <c r="W7">
        <v>1</v>
      </c>
      <c r="X7">
        <v>7</v>
      </c>
      <c r="Z7">
        <v>1</v>
      </c>
    </row>
    <row r="8" spans="1:26" x14ac:dyDescent="0.25">
      <c r="A8">
        <v>7</v>
      </c>
      <c r="B8" t="s">
        <v>183</v>
      </c>
      <c r="C8" t="s">
        <v>176</v>
      </c>
      <c r="D8" t="s">
        <v>68</v>
      </c>
      <c r="E8" s="12" t="s">
        <v>9</v>
      </c>
      <c r="F8" s="20">
        <v>3</v>
      </c>
      <c r="G8" s="12">
        <v>0</v>
      </c>
      <c r="L8" s="12" t="s">
        <v>9</v>
      </c>
      <c r="M8" s="12">
        <v>0</v>
      </c>
      <c r="N8" s="20">
        <v>3</v>
      </c>
      <c r="O8" s="20">
        <v>0</v>
      </c>
      <c r="P8" s="12">
        <v>1</v>
      </c>
      <c r="R8" s="12" t="s">
        <v>166</v>
      </c>
      <c r="S8" s="12">
        <v>9</v>
      </c>
      <c r="T8" t="s">
        <v>182</v>
      </c>
      <c r="U8">
        <v>1</v>
      </c>
      <c r="V8">
        <v>8</v>
      </c>
      <c r="W8">
        <v>1</v>
      </c>
      <c r="X8">
        <v>8</v>
      </c>
      <c r="Z8">
        <v>1</v>
      </c>
    </row>
    <row r="9" spans="1:26" x14ac:dyDescent="0.25">
      <c r="A9">
        <v>8</v>
      </c>
      <c r="B9" t="s">
        <v>184</v>
      </c>
      <c r="C9" t="s">
        <v>176</v>
      </c>
      <c r="D9" t="s">
        <v>69</v>
      </c>
      <c r="E9" s="12" t="s">
        <v>10</v>
      </c>
      <c r="F9" s="20">
        <v>25</v>
      </c>
      <c r="G9" s="12">
        <v>0</v>
      </c>
      <c r="L9" s="12" t="s">
        <v>10</v>
      </c>
      <c r="M9" s="12">
        <v>0</v>
      </c>
      <c r="N9" s="20">
        <v>25</v>
      </c>
      <c r="O9" s="20">
        <v>0</v>
      </c>
      <c r="P9" s="12">
        <v>1</v>
      </c>
      <c r="R9" s="12" t="s">
        <v>166</v>
      </c>
      <c r="S9" s="12">
        <v>10</v>
      </c>
      <c r="T9" t="s">
        <v>183</v>
      </c>
      <c r="U9">
        <v>1</v>
      </c>
      <c r="V9">
        <v>9</v>
      </c>
      <c r="W9">
        <v>1</v>
      </c>
      <c r="X9">
        <v>9</v>
      </c>
      <c r="Z9">
        <v>1</v>
      </c>
    </row>
    <row r="10" spans="1:26" x14ac:dyDescent="0.25">
      <c r="A10">
        <v>9</v>
      </c>
      <c r="B10" t="s">
        <v>185</v>
      </c>
      <c r="C10" t="s">
        <v>176</v>
      </c>
      <c r="D10" t="s">
        <v>70</v>
      </c>
      <c r="E10" s="12" t="s">
        <v>10</v>
      </c>
      <c r="F10" s="20">
        <v>18</v>
      </c>
      <c r="G10" s="12">
        <v>0</v>
      </c>
      <c r="L10" s="12" t="s">
        <v>10</v>
      </c>
      <c r="M10" s="12">
        <v>0</v>
      </c>
      <c r="N10" s="20">
        <v>18</v>
      </c>
      <c r="O10" s="20">
        <v>0</v>
      </c>
      <c r="P10" s="12">
        <v>1</v>
      </c>
      <c r="R10" s="12" t="s">
        <v>166</v>
      </c>
      <c r="S10" s="12">
        <v>11</v>
      </c>
      <c r="T10" t="s">
        <v>184</v>
      </c>
      <c r="U10">
        <v>1</v>
      </c>
      <c r="V10">
        <v>10</v>
      </c>
      <c r="W10">
        <v>1</v>
      </c>
      <c r="X10">
        <v>10</v>
      </c>
      <c r="Z10">
        <v>1</v>
      </c>
    </row>
    <row r="11" spans="1:26" x14ac:dyDescent="0.25">
      <c r="A11">
        <v>10</v>
      </c>
      <c r="B11" t="s">
        <v>186</v>
      </c>
      <c r="C11" t="s">
        <v>176</v>
      </c>
      <c r="D11" t="s">
        <v>71</v>
      </c>
      <c r="E11" s="12" t="s">
        <v>72</v>
      </c>
      <c r="F11" s="20">
        <v>80</v>
      </c>
      <c r="G11" s="12">
        <v>0</v>
      </c>
      <c r="L11" s="12" t="s">
        <v>72</v>
      </c>
      <c r="M11" s="12">
        <v>0</v>
      </c>
      <c r="N11" s="20">
        <v>80</v>
      </c>
      <c r="O11" s="20">
        <v>0</v>
      </c>
      <c r="P11" s="12">
        <v>1</v>
      </c>
      <c r="R11" s="12" t="s">
        <v>166</v>
      </c>
      <c r="S11" s="12">
        <v>12</v>
      </c>
      <c r="T11" t="s">
        <v>185</v>
      </c>
      <c r="U11">
        <v>1</v>
      </c>
      <c r="V11">
        <v>11</v>
      </c>
      <c r="W11">
        <v>1</v>
      </c>
      <c r="X11">
        <v>11</v>
      </c>
      <c r="Z11">
        <v>1</v>
      </c>
    </row>
    <row r="12" spans="1:26" x14ac:dyDescent="0.25">
      <c r="A12">
        <v>11</v>
      </c>
      <c r="B12" t="s">
        <v>187</v>
      </c>
      <c r="C12" t="s">
        <v>176</v>
      </c>
      <c r="D12" t="s">
        <v>73</v>
      </c>
      <c r="E12" s="12" t="s">
        <v>9</v>
      </c>
      <c r="F12" s="20">
        <v>0.27</v>
      </c>
      <c r="G12" s="12">
        <v>0</v>
      </c>
      <c r="L12" s="12" t="s">
        <v>9</v>
      </c>
      <c r="M12" s="12">
        <v>0</v>
      </c>
      <c r="N12" s="20">
        <v>0.27</v>
      </c>
      <c r="O12" s="20">
        <v>0</v>
      </c>
      <c r="P12" s="12">
        <v>1</v>
      </c>
      <c r="R12" s="12" t="s">
        <v>166</v>
      </c>
      <c r="S12" s="12">
        <v>13</v>
      </c>
      <c r="T12" t="s">
        <v>186</v>
      </c>
      <c r="U12">
        <v>1</v>
      </c>
      <c r="V12">
        <v>12</v>
      </c>
      <c r="W12">
        <v>1</v>
      </c>
      <c r="X12">
        <v>12</v>
      </c>
      <c r="Z12">
        <v>1</v>
      </c>
    </row>
    <row r="13" spans="1:26" x14ac:dyDescent="0.25">
      <c r="A13">
        <v>12</v>
      </c>
      <c r="B13" t="s">
        <v>188</v>
      </c>
      <c r="C13" t="s">
        <v>176</v>
      </c>
      <c r="D13" t="s">
        <v>74</v>
      </c>
      <c r="E13" s="12" t="s">
        <v>75</v>
      </c>
      <c r="F13" s="20">
        <v>24</v>
      </c>
      <c r="G13" s="12">
        <v>0</v>
      </c>
      <c r="L13" s="12" t="s">
        <v>75</v>
      </c>
      <c r="M13" s="12">
        <v>0</v>
      </c>
      <c r="N13" s="20">
        <v>24</v>
      </c>
      <c r="O13" s="20">
        <v>0</v>
      </c>
      <c r="P13" s="12">
        <v>1</v>
      </c>
      <c r="R13" s="12" t="s">
        <v>166</v>
      </c>
      <c r="S13" s="12">
        <v>14</v>
      </c>
      <c r="T13" t="s">
        <v>187</v>
      </c>
      <c r="U13">
        <v>1</v>
      </c>
      <c r="V13">
        <v>13</v>
      </c>
      <c r="W13">
        <v>1</v>
      </c>
      <c r="X13">
        <v>13</v>
      </c>
      <c r="Z13">
        <v>1</v>
      </c>
    </row>
    <row r="14" spans="1:26" x14ac:dyDescent="0.25">
      <c r="A14">
        <v>13</v>
      </c>
      <c r="B14" t="s">
        <v>189</v>
      </c>
      <c r="C14" t="s">
        <v>176</v>
      </c>
      <c r="D14" t="s">
        <v>76</v>
      </c>
      <c r="E14" s="12" t="s">
        <v>77</v>
      </c>
      <c r="F14" s="20">
        <v>70</v>
      </c>
      <c r="G14" s="12">
        <v>0</v>
      </c>
      <c r="L14" s="12" t="s">
        <v>77</v>
      </c>
      <c r="M14" s="12">
        <v>0</v>
      </c>
      <c r="N14" s="20">
        <v>70</v>
      </c>
      <c r="O14" s="20">
        <v>0</v>
      </c>
      <c r="P14" s="12">
        <v>1</v>
      </c>
      <c r="R14" s="12" t="s">
        <v>166</v>
      </c>
      <c r="S14" s="12">
        <v>15</v>
      </c>
      <c r="T14" t="s">
        <v>188</v>
      </c>
      <c r="U14">
        <v>1</v>
      </c>
      <c r="V14">
        <v>14</v>
      </c>
      <c r="W14">
        <v>1</v>
      </c>
      <c r="X14">
        <v>14</v>
      </c>
      <c r="Z14">
        <v>1</v>
      </c>
    </row>
    <row r="15" spans="1:26" x14ac:dyDescent="0.25">
      <c r="A15">
        <v>14</v>
      </c>
      <c r="B15" t="s">
        <v>190</v>
      </c>
      <c r="C15" t="s">
        <v>176</v>
      </c>
      <c r="D15" t="s">
        <v>78</v>
      </c>
      <c r="E15" s="12" t="s">
        <v>9</v>
      </c>
      <c r="F15" s="20">
        <v>14.8</v>
      </c>
      <c r="G15" s="12">
        <v>0</v>
      </c>
      <c r="L15" s="12" t="s">
        <v>9</v>
      </c>
      <c r="M15" s="12">
        <v>0</v>
      </c>
      <c r="N15" s="20">
        <v>14.8</v>
      </c>
      <c r="O15" s="20">
        <v>0</v>
      </c>
      <c r="P15" s="12">
        <v>1</v>
      </c>
      <c r="R15" s="12" t="s">
        <v>166</v>
      </c>
      <c r="S15" s="12">
        <v>16</v>
      </c>
      <c r="T15" t="s">
        <v>189</v>
      </c>
      <c r="U15">
        <v>1</v>
      </c>
      <c r="V15">
        <v>15</v>
      </c>
      <c r="W15">
        <v>1</v>
      </c>
      <c r="X15">
        <v>15</v>
      </c>
      <c r="Z15">
        <v>1</v>
      </c>
    </row>
    <row r="16" spans="1:26" x14ac:dyDescent="0.25">
      <c r="A16">
        <v>15</v>
      </c>
      <c r="B16" t="s">
        <v>191</v>
      </c>
      <c r="C16" t="s">
        <v>176</v>
      </c>
      <c r="D16" t="s">
        <v>79</v>
      </c>
      <c r="E16" s="12" t="s">
        <v>9</v>
      </c>
      <c r="F16" s="20">
        <v>2.2999999999999998</v>
      </c>
      <c r="G16" s="12">
        <v>0</v>
      </c>
      <c r="L16" s="12" t="s">
        <v>9</v>
      </c>
      <c r="M16" s="12">
        <v>0</v>
      </c>
      <c r="N16" s="20">
        <v>2.2999999999999998</v>
      </c>
      <c r="O16" s="20">
        <v>0</v>
      </c>
      <c r="P16" s="12">
        <v>1</v>
      </c>
      <c r="R16" s="12" t="s">
        <v>166</v>
      </c>
      <c r="S16" s="12">
        <v>17</v>
      </c>
      <c r="T16" t="s">
        <v>190</v>
      </c>
      <c r="U16">
        <v>1</v>
      </c>
      <c r="V16">
        <v>16</v>
      </c>
      <c r="W16">
        <v>1</v>
      </c>
      <c r="X16">
        <v>16</v>
      </c>
      <c r="Z16">
        <v>1</v>
      </c>
    </row>
    <row r="17" spans="1:26" x14ac:dyDescent="0.25">
      <c r="A17">
        <v>16</v>
      </c>
      <c r="B17" t="s">
        <v>192</v>
      </c>
      <c r="C17" t="s">
        <v>176</v>
      </c>
      <c r="D17" t="s">
        <v>80</v>
      </c>
      <c r="E17" s="12" t="s">
        <v>39</v>
      </c>
      <c r="F17" s="20">
        <v>17.2</v>
      </c>
      <c r="G17" s="12">
        <v>0</v>
      </c>
      <c r="L17" s="12" t="s">
        <v>39</v>
      </c>
      <c r="M17" s="12">
        <v>0</v>
      </c>
      <c r="N17" s="20">
        <v>17.2</v>
      </c>
      <c r="O17" s="20">
        <v>0</v>
      </c>
      <c r="P17" s="12">
        <v>1</v>
      </c>
      <c r="R17" s="12" t="s">
        <v>166</v>
      </c>
      <c r="S17" s="12">
        <v>18</v>
      </c>
      <c r="T17" t="s">
        <v>191</v>
      </c>
      <c r="U17">
        <v>1</v>
      </c>
      <c r="V17">
        <v>17</v>
      </c>
      <c r="W17">
        <v>1</v>
      </c>
      <c r="X17">
        <v>17</v>
      </c>
      <c r="Z17">
        <v>1</v>
      </c>
    </row>
    <row r="18" spans="1:26" x14ac:dyDescent="0.25">
      <c r="A18">
        <v>17</v>
      </c>
      <c r="B18" t="s">
        <v>193</v>
      </c>
      <c r="C18" t="s">
        <v>176</v>
      </c>
      <c r="D18" t="s">
        <v>81</v>
      </c>
      <c r="E18" s="12" t="s">
        <v>10</v>
      </c>
      <c r="F18" s="20">
        <v>16.5</v>
      </c>
      <c r="G18" s="12">
        <v>0</v>
      </c>
      <c r="L18" s="12" t="s">
        <v>10</v>
      </c>
      <c r="M18" s="12">
        <v>0</v>
      </c>
      <c r="N18" s="20">
        <v>16.5</v>
      </c>
      <c r="O18" s="20">
        <v>0</v>
      </c>
      <c r="P18" s="12">
        <v>1</v>
      </c>
      <c r="R18" s="12" t="s">
        <v>166</v>
      </c>
      <c r="S18" s="12">
        <v>19</v>
      </c>
      <c r="T18" t="s">
        <v>192</v>
      </c>
      <c r="U18">
        <v>1</v>
      </c>
      <c r="V18">
        <v>18</v>
      </c>
      <c r="W18">
        <v>1</v>
      </c>
      <c r="X18">
        <v>18</v>
      </c>
      <c r="Z18">
        <v>1</v>
      </c>
    </row>
    <row r="19" spans="1:26" x14ac:dyDescent="0.25">
      <c r="A19">
        <v>18</v>
      </c>
      <c r="B19" t="s">
        <v>194</v>
      </c>
      <c r="C19" t="s">
        <v>176</v>
      </c>
      <c r="D19" t="s">
        <v>82</v>
      </c>
      <c r="E19" s="12" t="s">
        <v>10</v>
      </c>
      <c r="F19" s="20">
        <v>16</v>
      </c>
      <c r="G19" s="12">
        <v>0</v>
      </c>
      <c r="L19" s="12" t="s">
        <v>10</v>
      </c>
      <c r="M19" s="12">
        <v>0</v>
      </c>
      <c r="N19" s="20">
        <v>16</v>
      </c>
      <c r="O19" s="20">
        <v>0</v>
      </c>
      <c r="P19" s="12">
        <v>1</v>
      </c>
      <c r="R19" s="12" t="s">
        <v>166</v>
      </c>
      <c r="S19" s="12">
        <v>20</v>
      </c>
      <c r="T19" t="s">
        <v>193</v>
      </c>
      <c r="U19">
        <v>1</v>
      </c>
      <c r="V19">
        <v>19</v>
      </c>
      <c r="W19">
        <v>1</v>
      </c>
      <c r="X19">
        <v>19</v>
      </c>
      <c r="Z19">
        <v>1</v>
      </c>
    </row>
    <row r="20" spans="1:26" x14ac:dyDescent="0.25">
      <c r="A20">
        <v>19</v>
      </c>
      <c r="B20" t="s">
        <v>195</v>
      </c>
      <c r="C20" t="s">
        <v>176</v>
      </c>
      <c r="D20" t="s">
        <v>83</v>
      </c>
      <c r="E20" s="12" t="s">
        <v>34</v>
      </c>
      <c r="F20" s="20">
        <v>95</v>
      </c>
      <c r="G20" s="12">
        <v>0</v>
      </c>
      <c r="L20" s="12" t="s">
        <v>34</v>
      </c>
      <c r="M20" s="12">
        <v>0</v>
      </c>
      <c r="N20" s="20">
        <v>95</v>
      </c>
      <c r="O20" s="20">
        <v>0</v>
      </c>
      <c r="P20" s="12">
        <v>1</v>
      </c>
      <c r="R20" s="12" t="s">
        <v>166</v>
      </c>
      <c r="S20" s="12">
        <v>21</v>
      </c>
      <c r="T20" t="s">
        <v>194</v>
      </c>
      <c r="U20">
        <v>1</v>
      </c>
      <c r="V20">
        <v>20</v>
      </c>
      <c r="W20">
        <v>1</v>
      </c>
      <c r="X20">
        <v>20</v>
      </c>
      <c r="Z20">
        <v>1</v>
      </c>
    </row>
    <row r="21" spans="1:26" x14ac:dyDescent="0.25">
      <c r="A21">
        <v>20</v>
      </c>
      <c r="B21" t="s">
        <v>196</v>
      </c>
      <c r="C21" t="s">
        <v>176</v>
      </c>
      <c r="D21" t="s">
        <v>84</v>
      </c>
      <c r="E21" s="12" t="s">
        <v>34</v>
      </c>
      <c r="F21" s="20">
        <v>85</v>
      </c>
      <c r="G21" s="12">
        <v>0</v>
      </c>
      <c r="L21" s="12" t="s">
        <v>34</v>
      </c>
      <c r="M21" s="12">
        <v>0</v>
      </c>
      <c r="N21" s="20">
        <v>85</v>
      </c>
      <c r="O21" s="20">
        <v>0</v>
      </c>
      <c r="P21" s="12">
        <v>1</v>
      </c>
      <c r="R21" s="12" t="s">
        <v>166</v>
      </c>
      <c r="S21" s="12">
        <v>22</v>
      </c>
      <c r="T21" t="s">
        <v>195</v>
      </c>
      <c r="U21">
        <v>1</v>
      </c>
      <c r="V21">
        <v>21</v>
      </c>
      <c r="W21">
        <v>1</v>
      </c>
      <c r="X21">
        <v>21</v>
      </c>
      <c r="Z21">
        <v>1</v>
      </c>
    </row>
    <row r="22" spans="1:26" x14ac:dyDescent="0.25">
      <c r="A22">
        <v>21</v>
      </c>
      <c r="B22" t="s">
        <v>197</v>
      </c>
      <c r="C22" t="s">
        <v>176</v>
      </c>
      <c r="D22" t="s">
        <v>85</v>
      </c>
      <c r="E22" s="12" t="s">
        <v>9</v>
      </c>
      <c r="F22" s="20">
        <v>9.9</v>
      </c>
      <c r="G22" s="12">
        <v>0</v>
      </c>
      <c r="L22" s="12" t="s">
        <v>9</v>
      </c>
      <c r="M22" s="12">
        <v>0</v>
      </c>
      <c r="N22" s="20">
        <v>9.9</v>
      </c>
      <c r="O22" s="20">
        <v>0</v>
      </c>
      <c r="P22" s="12">
        <v>1</v>
      </c>
      <c r="R22" s="12" t="s">
        <v>166</v>
      </c>
      <c r="S22" s="12">
        <v>23</v>
      </c>
      <c r="T22" t="s">
        <v>196</v>
      </c>
      <c r="U22">
        <v>1</v>
      </c>
      <c r="V22">
        <v>22</v>
      </c>
      <c r="W22">
        <v>1</v>
      </c>
      <c r="X22">
        <v>22</v>
      </c>
      <c r="Z22">
        <v>1</v>
      </c>
    </row>
    <row r="23" spans="1:26" x14ac:dyDescent="0.25">
      <c r="A23">
        <v>22</v>
      </c>
      <c r="B23" t="s">
        <v>198</v>
      </c>
      <c r="C23" t="s">
        <v>176</v>
      </c>
      <c r="D23" t="s">
        <v>199</v>
      </c>
      <c r="E23" s="12" t="s">
        <v>9</v>
      </c>
      <c r="F23" s="20">
        <v>650</v>
      </c>
      <c r="G23" s="12">
        <v>0</v>
      </c>
      <c r="L23" s="12" t="s">
        <v>9</v>
      </c>
      <c r="M23" s="12">
        <v>0</v>
      </c>
      <c r="N23" s="20">
        <v>650</v>
      </c>
      <c r="O23" s="20">
        <v>0</v>
      </c>
      <c r="P23" s="12">
        <v>1</v>
      </c>
      <c r="R23" s="12" t="s">
        <v>166</v>
      </c>
      <c r="S23" s="12">
        <v>24</v>
      </c>
      <c r="T23" t="s">
        <v>197</v>
      </c>
      <c r="U23">
        <v>1</v>
      </c>
      <c r="V23">
        <v>23</v>
      </c>
      <c r="W23">
        <v>1</v>
      </c>
      <c r="X23">
        <v>23</v>
      </c>
      <c r="Z23">
        <v>1</v>
      </c>
    </row>
    <row r="24" spans="1:26" x14ac:dyDescent="0.25">
      <c r="A24">
        <v>23</v>
      </c>
      <c r="B24" t="s">
        <v>200</v>
      </c>
      <c r="C24" t="s">
        <v>176</v>
      </c>
      <c r="D24" t="s">
        <v>87</v>
      </c>
      <c r="E24" s="12" t="s">
        <v>88</v>
      </c>
      <c r="F24" s="20">
        <v>35</v>
      </c>
      <c r="G24" s="12">
        <v>0</v>
      </c>
      <c r="L24" s="12" t="s">
        <v>88</v>
      </c>
      <c r="M24" s="12">
        <v>0</v>
      </c>
      <c r="N24" s="20">
        <v>35</v>
      </c>
      <c r="O24" s="20">
        <v>0</v>
      </c>
      <c r="P24" s="12">
        <v>1</v>
      </c>
      <c r="R24" s="12" t="s">
        <v>166</v>
      </c>
      <c r="S24" s="12">
        <v>25</v>
      </c>
      <c r="T24" t="s">
        <v>198</v>
      </c>
      <c r="U24">
        <v>1</v>
      </c>
      <c r="V24">
        <v>24</v>
      </c>
      <c r="W24">
        <v>1</v>
      </c>
      <c r="X24">
        <v>24</v>
      </c>
      <c r="Z24">
        <v>1</v>
      </c>
    </row>
    <row r="25" spans="1:26" x14ac:dyDescent="0.25">
      <c r="A25">
        <v>24</v>
      </c>
      <c r="B25" t="s">
        <v>201</v>
      </c>
      <c r="C25" t="s">
        <v>176</v>
      </c>
      <c r="D25" t="s">
        <v>89</v>
      </c>
      <c r="E25" s="12" t="s">
        <v>88</v>
      </c>
      <c r="F25" s="20">
        <v>45</v>
      </c>
      <c r="G25" s="12">
        <v>0</v>
      </c>
      <c r="L25" s="12" t="s">
        <v>88</v>
      </c>
      <c r="M25" s="12">
        <v>0</v>
      </c>
      <c r="N25" s="20">
        <v>45</v>
      </c>
      <c r="O25" s="20">
        <v>0</v>
      </c>
      <c r="P25" s="12">
        <v>1</v>
      </c>
      <c r="R25" s="12" t="s">
        <v>166</v>
      </c>
      <c r="S25" s="12">
        <v>26</v>
      </c>
      <c r="T25" t="s">
        <v>200</v>
      </c>
      <c r="U25">
        <v>1</v>
      </c>
      <c r="V25">
        <v>25</v>
      </c>
      <c r="W25">
        <v>1</v>
      </c>
      <c r="X25">
        <v>25</v>
      </c>
      <c r="Z25">
        <v>1</v>
      </c>
    </row>
    <row r="26" spans="1:26" x14ac:dyDescent="0.25">
      <c r="A26">
        <v>25</v>
      </c>
      <c r="B26" t="s">
        <v>202</v>
      </c>
      <c r="C26" t="s">
        <v>176</v>
      </c>
      <c r="D26" t="s">
        <v>90</v>
      </c>
      <c r="E26" s="12" t="s">
        <v>88</v>
      </c>
      <c r="F26" s="20">
        <v>15</v>
      </c>
      <c r="G26" s="12">
        <v>0</v>
      </c>
      <c r="L26" s="12" t="s">
        <v>88</v>
      </c>
      <c r="M26" s="12">
        <v>0</v>
      </c>
      <c r="N26" s="20">
        <v>15</v>
      </c>
      <c r="O26" s="20">
        <v>0</v>
      </c>
      <c r="P26" s="12">
        <v>1</v>
      </c>
      <c r="R26" s="12" t="s">
        <v>166</v>
      </c>
      <c r="S26" s="12">
        <v>27</v>
      </c>
      <c r="T26" t="s">
        <v>201</v>
      </c>
      <c r="U26">
        <v>1</v>
      </c>
      <c r="V26">
        <v>26</v>
      </c>
      <c r="W26">
        <v>1</v>
      </c>
      <c r="X26">
        <v>26</v>
      </c>
      <c r="Z26">
        <v>1</v>
      </c>
    </row>
    <row r="27" spans="1:26" x14ac:dyDescent="0.25">
      <c r="A27">
        <v>26</v>
      </c>
      <c r="B27" t="s">
        <v>203</v>
      </c>
      <c r="C27" t="s">
        <v>176</v>
      </c>
      <c r="D27" t="s">
        <v>91</v>
      </c>
      <c r="E27" s="12" t="s">
        <v>9</v>
      </c>
      <c r="F27" s="20">
        <v>8</v>
      </c>
      <c r="G27" s="12">
        <v>0</v>
      </c>
      <c r="L27" s="12" t="s">
        <v>9</v>
      </c>
      <c r="M27" s="12">
        <v>0</v>
      </c>
      <c r="N27" s="20">
        <v>8</v>
      </c>
      <c r="O27" s="20">
        <v>0</v>
      </c>
      <c r="P27" s="12">
        <v>1</v>
      </c>
      <c r="R27" s="12" t="s">
        <v>166</v>
      </c>
      <c r="S27" s="12">
        <v>28</v>
      </c>
      <c r="T27" t="s">
        <v>202</v>
      </c>
      <c r="U27">
        <v>1</v>
      </c>
      <c r="V27">
        <v>27</v>
      </c>
      <c r="W27">
        <v>1</v>
      </c>
      <c r="X27">
        <v>27</v>
      </c>
      <c r="Z27">
        <v>1</v>
      </c>
    </row>
    <row r="28" spans="1:26" x14ac:dyDescent="0.25">
      <c r="A28">
        <v>27</v>
      </c>
      <c r="B28" t="s">
        <v>204</v>
      </c>
      <c r="C28" t="s">
        <v>176</v>
      </c>
      <c r="D28" t="s">
        <v>92</v>
      </c>
      <c r="E28" s="12" t="s">
        <v>93</v>
      </c>
      <c r="F28" s="20">
        <v>8</v>
      </c>
      <c r="G28" s="12">
        <v>0</v>
      </c>
      <c r="L28" s="12" t="s">
        <v>93</v>
      </c>
      <c r="M28" s="12">
        <v>0</v>
      </c>
      <c r="N28" s="20">
        <v>8</v>
      </c>
      <c r="O28" s="20">
        <v>0</v>
      </c>
      <c r="P28" s="12">
        <v>1</v>
      </c>
      <c r="R28" s="12" t="s">
        <v>166</v>
      </c>
      <c r="S28" s="12">
        <v>29</v>
      </c>
      <c r="T28" t="s">
        <v>203</v>
      </c>
      <c r="U28">
        <v>1</v>
      </c>
      <c r="V28">
        <v>28</v>
      </c>
      <c r="W28">
        <v>1</v>
      </c>
      <c r="X28">
        <v>28</v>
      </c>
      <c r="Z28">
        <v>1</v>
      </c>
    </row>
    <row r="29" spans="1:26" x14ac:dyDescent="0.25">
      <c r="A29">
        <v>28</v>
      </c>
      <c r="B29" t="s">
        <v>205</v>
      </c>
      <c r="C29" t="s">
        <v>176</v>
      </c>
      <c r="D29" t="s">
        <v>94</v>
      </c>
      <c r="E29" s="12" t="s">
        <v>34</v>
      </c>
      <c r="F29" s="20">
        <v>78</v>
      </c>
      <c r="G29" s="12">
        <v>0</v>
      </c>
      <c r="L29" s="12" t="s">
        <v>34</v>
      </c>
      <c r="M29" s="12">
        <v>0</v>
      </c>
      <c r="N29" s="20">
        <v>78</v>
      </c>
      <c r="O29" s="20">
        <v>0</v>
      </c>
      <c r="P29" s="12">
        <v>1</v>
      </c>
      <c r="R29" s="12" t="s">
        <v>166</v>
      </c>
      <c r="S29" s="12">
        <v>30</v>
      </c>
      <c r="T29" t="s">
        <v>204</v>
      </c>
      <c r="U29">
        <v>1</v>
      </c>
      <c r="V29">
        <v>29</v>
      </c>
      <c r="W29">
        <v>1</v>
      </c>
      <c r="X29">
        <v>29</v>
      </c>
      <c r="Z29">
        <v>1</v>
      </c>
    </row>
    <row r="30" spans="1:26" x14ac:dyDescent="0.25">
      <c r="A30">
        <v>29</v>
      </c>
      <c r="B30" t="s">
        <v>206</v>
      </c>
      <c r="C30" t="s">
        <v>176</v>
      </c>
      <c r="D30" t="s">
        <v>95</v>
      </c>
      <c r="E30" s="12" t="s">
        <v>11</v>
      </c>
      <c r="F30" s="20">
        <v>150</v>
      </c>
      <c r="G30" s="12">
        <v>0</v>
      </c>
      <c r="L30" s="12" t="s">
        <v>11</v>
      </c>
      <c r="M30" s="12">
        <v>0</v>
      </c>
      <c r="N30" s="20">
        <v>150</v>
      </c>
      <c r="O30" s="20">
        <v>0</v>
      </c>
      <c r="P30" s="12">
        <v>1</v>
      </c>
      <c r="R30" s="12" t="s">
        <v>166</v>
      </c>
      <c r="S30" s="12">
        <v>31</v>
      </c>
      <c r="T30" t="s">
        <v>205</v>
      </c>
      <c r="U30">
        <v>1</v>
      </c>
      <c r="V30">
        <v>30</v>
      </c>
      <c r="W30">
        <v>1</v>
      </c>
      <c r="X30">
        <v>30</v>
      </c>
      <c r="Z30">
        <v>1</v>
      </c>
    </row>
    <row r="31" spans="1:26" x14ac:dyDescent="0.25">
      <c r="A31">
        <v>30</v>
      </c>
      <c r="B31" t="s">
        <v>207</v>
      </c>
      <c r="C31" t="s">
        <v>176</v>
      </c>
      <c r="D31" t="s">
        <v>97</v>
      </c>
      <c r="E31" s="12" t="s">
        <v>34</v>
      </c>
      <c r="F31" s="20">
        <v>20</v>
      </c>
      <c r="G31" s="12">
        <v>0</v>
      </c>
      <c r="L31" s="12" t="s">
        <v>34</v>
      </c>
      <c r="M31" s="12">
        <v>0</v>
      </c>
      <c r="N31" s="20">
        <v>20</v>
      </c>
      <c r="O31" s="20">
        <v>0</v>
      </c>
      <c r="P31" s="12">
        <v>1</v>
      </c>
      <c r="R31" s="12" t="s">
        <v>166</v>
      </c>
      <c r="S31" s="12">
        <v>32</v>
      </c>
      <c r="T31" t="s">
        <v>206</v>
      </c>
      <c r="U31">
        <v>1</v>
      </c>
      <c r="V31">
        <v>31</v>
      </c>
      <c r="W31">
        <v>1</v>
      </c>
      <c r="X31">
        <v>31</v>
      </c>
      <c r="Z31">
        <v>1</v>
      </c>
    </row>
    <row r="32" spans="1:26" x14ac:dyDescent="0.25">
      <c r="A32">
        <v>31</v>
      </c>
      <c r="B32" t="s">
        <v>208</v>
      </c>
      <c r="C32" t="s">
        <v>176</v>
      </c>
      <c r="D32" t="s">
        <v>98</v>
      </c>
      <c r="E32" s="12" t="s">
        <v>34</v>
      </c>
      <c r="F32" s="20">
        <v>135</v>
      </c>
      <c r="G32" s="12">
        <v>0</v>
      </c>
      <c r="L32" s="12" t="s">
        <v>34</v>
      </c>
      <c r="M32" s="12">
        <v>0</v>
      </c>
      <c r="N32" s="20">
        <v>135</v>
      </c>
      <c r="O32" s="20">
        <v>0</v>
      </c>
      <c r="P32" s="12">
        <v>1</v>
      </c>
      <c r="R32" s="12" t="s">
        <v>166</v>
      </c>
      <c r="S32" s="12">
        <v>33</v>
      </c>
      <c r="T32" t="s">
        <v>207</v>
      </c>
      <c r="U32">
        <v>1</v>
      </c>
      <c r="V32">
        <v>32</v>
      </c>
      <c r="W32">
        <v>1</v>
      </c>
      <c r="X32">
        <v>32</v>
      </c>
      <c r="Z32">
        <v>1</v>
      </c>
    </row>
    <row r="33" spans="1:26" x14ac:dyDescent="0.25">
      <c r="A33">
        <v>32</v>
      </c>
      <c r="B33" t="s">
        <v>209</v>
      </c>
      <c r="C33" t="s">
        <v>176</v>
      </c>
      <c r="D33" t="s">
        <v>99</v>
      </c>
      <c r="E33" s="12" t="s">
        <v>72</v>
      </c>
      <c r="F33" s="20">
        <v>210</v>
      </c>
      <c r="G33" s="12">
        <v>0</v>
      </c>
      <c r="L33" s="12" t="s">
        <v>72</v>
      </c>
      <c r="M33" s="12">
        <v>0</v>
      </c>
      <c r="N33" s="20">
        <v>210</v>
      </c>
      <c r="O33" s="20">
        <v>0</v>
      </c>
      <c r="P33" s="12">
        <v>1</v>
      </c>
      <c r="R33" s="12" t="s">
        <v>166</v>
      </c>
      <c r="S33" s="12">
        <v>34</v>
      </c>
      <c r="T33" t="s">
        <v>208</v>
      </c>
      <c r="U33">
        <v>1</v>
      </c>
      <c r="V33">
        <v>33</v>
      </c>
      <c r="W33">
        <v>1</v>
      </c>
      <c r="X33">
        <v>33</v>
      </c>
      <c r="Z33">
        <v>1</v>
      </c>
    </row>
    <row r="34" spans="1:26" x14ac:dyDescent="0.25">
      <c r="A34">
        <v>33</v>
      </c>
      <c r="B34" t="s">
        <v>210</v>
      </c>
      <c r="C34" t="s">
        <v>176</v>
      </c>
      <c r="D34" t="s">
        <v>100</v>
      </c>
      <c r="E34" s="12" t="s">
        <v>72</v>
      </c>
      <c r="F34" s="20">
        <v>1750</v>
      </c>
      <c r="G34" s="12">
        <v>0</v>
      </c>
      <c r="L34" s="12" t="s">
        <v>72</v>
      </c>
      <c r="M34" s="12">
        <v>0</v>
      </c>
      <c r="N34" s="20">
        <v>1750</v>
      </c>
      <c r="O34" s="20">
        <v>0</v>
      </c>
      <c r="P34" s="12">
        <v>1</v>
      </c>
      <c r="R34" s="12" t="s">
        <v>166</v>
      </c>
      <c r="S34" s="12">
        <v>35</v>
      </c>
      <c r="T34" t="s">
        <v>209</v>
      </c>
      <c r="U34">
        <v>1</v>
      </c>
      <c r="V34">
        <v>34</v>
      </c>
      <c r="W34">
        <v>1</v>
      </c>
      <c r="X34">
        <v>34</v>
      </c>
      <c r="Z34">
        <v>1</v>
      </c>
    </row>
    <row r="35" spans="1:26" x14ac:dyDescent="0.25">
      <c r="A35">
        <v>34</v>
      </c>
      <c r="B35" t="s">
        <v>211</v>
      </c>
      <c r="C35" t="s">
        <v>176</v>
      </c>
      <c r="D35" t="s">
        <v>101</v>
      </c>
      <c r="E35" s="12" t="s">
        <v>38</v>
      </c>
      <c r="F35" s="20">
        <v>6</v>
      </c>
      <c r="G35" s="12">
        <v>0</v>
      </c>
      <c r="L35" s="12" t="s">
        <v>38</v>
      </c>
      <c r="M35" s="12">
        <v>0</v>
      </c>
      <c r="N35" s="20">
        <v>6</v>
      </c>
      <c r="O35" s="20">
        <v>0</v>
      </c>
      <c r="P35" s="12">
        <v>1</v>
      </c>
      <c r="R35" s="12" t="s">
        <v>166</v>
      </c>
      <c r="S35" s="12">
        <v>36</v>
      </c>
      <c r="T35" t="s">
        <v>210</v>
      </c>
      <c r="U35">
        <v>1</v>
      </c>
      <c r="V35">
        <v>35</v>
      </c>
      <c r="W35">
        <v>1</v>
      </c>
      <c r="X35">
        <v>35</v>
      </c>
      <c r="Z35">
        <v>1</v>
      </c>
    </row>
    <row r="36" spans="1:26" x14ac:dyDescent="0.25">
      <c r="A36">
        <v>35</v>
      </c>
      <c r="B36" t="s">
        <v>212</v>
      </c>
      <c r="C36" t="s">
        <v>176</v>
      </c>
      <c r="D36" t="s">
        <v>102</v>
      </c>
      <c r="E36" s="12" t="s">
        <v>72</v>
      </c>
      <c r="F36" s="20">
        <v>15</v>
      </c>
      <c r="G36" s="12">
        <v>0</v>
      </c>
      <c r="L36" s="12" t="s">
        <v>72</v>
      </c>
      <c r="M36" s="12">
        <v>0</v>
      </c>
      <c r="N36" s="20">
        <v>15</v>
      </c>
      <c r="O36" s="20">
        <v>0</v>
      </c>
      <c r="P36" s="12">
        <v>1</v>
      </c>
      <c r="R36" s="12" t="s">
        <v>166</v>
      </c>
      <c r="S36" s="12">
        <v>37</v>
      </c>
      <c r="T36" t="s">
        <v>211</v>
      </c>
      <c r="U36">
        <v>1</v>
      </c>
      <c r="V36">
        <v>36</v>
      </c>
      <c r="W36">
        <v>1</v>
      </c>
      <c r="X36">
        <v>36</v>
      </c>
      <c r="Z36">
        <v>1</v>
      </c>
    </row>
    <row r="37" spans="1:26" x14ac:dyDescent="0.25">
      <c r="A37">
        <v>36</v>
      </c>
      <c r="B37" t="s">
        <v>213</v>
      </c>
      <c r="C37" t="s">
        <v>176</v>
      </c>
      <c r="D37" t="s">
        <v>105</v>
      </c>
      <c r="E37" s="12" t="s">
        <v>10</v>
      </c>
      <c r="F37" s="20">
        <v>24</v>
      </c>
      <c r="G37" s="12">
        <v>0</v>
      </c>
      <c r="L37" s="12" t="s">
        <v>10</v>
      </c>
      <c r="M37" s="12">
        <v>0</v>
      </c>
      <c r="N37" s="20">
        <v>24</v>
      </c>
      <c r="O37" s="20">
        <v>0</v>
      </c>
      <c r="P37" s="12">
        <v>1</v>
      </c>
      <c r="R37" s="12" t="s">
        <v>166</v>
      </c>
      <c r="S37" s="12">
        <v>38</v>
      </c>
      <c r="T37" t="s">
        <v>212</v>
      </c>
      <c r="U37">
        <v>1</v>
      </c>
      <c r="V37">
        <v>37</v>
      </c>
      <c r="W37">
        <v>1</v>
      </c>
      <c r="X37">
        <v>37</v>
      </c>
      <c r="Z37">
        <v>1</v>
      </c>
    </row>
    <row r="38" spans="1:26" x14ac:dyDescent="0.25">
      <c r="A38">
        <v>37</v>
      </c>
      <c r="B38" t="s">
        <v>214</v>
      </c>
      <c r="C38" t="s">
        <v>176</v>
      </c>
      <c r="D38" t="s">
        <v>106</v>
      </c>
      <c r="E38" s="12" t="s">
        <v>107</v>
      </c>
      <c r="F38" s="20">
        <v>24.9</v>
      </c>
      <c r="G38" s="12">
        <v>0</v>
      </c>
      <c r="L38" s="12" t="s">
        <v>107</v>
      </c>
      <c r="M38" s="12">
        <v>0</v>
      </c>
      <c r="N38" s="20">
        <v>24.9</v>
      </c>
      <c r="O38" s="20">
        <v>0</v>
      </c>
      <c r="P38" s="12">
        <v>1</v>
      </c>
      <c r="R38" s="12" t="s">
        <v>166</v>
      </c>
      <c r="S38" s="12">
        <v>39</v>
      </c>
      <c r="T38" t="s">
        <v>213</v>
      </c>
      <c r="U38">
        <v>1</v>
      </c>
      <c r="V38">
        <v>38</v>
      </c>
      <c r="W38">
        <v>1</v>
      </c>
      <c r="X38">
        <v>38</v>
      </c>
      <c r="Z38">
        <v>1</v>
      </c>
    </row>
    <row r="39" spans="1:26" x14ac:dyDescent="0.25">
      <c r="A39">
        <v>38</v>
      </c>
      <c r="B39" t="s">
        <v>215</v>
      </c>
      <c r="C39" t="s">
        <v>176</v>
      </c>
      <c r="D39" t="s">
        <v>108</v>
      </c>
      <c r="E39" s="12" t="s">
        <v>9</v>
      </c>
      <c r="F39" s="20">
        <v>4.8</v>
      </c>
      <c r="G39" s="12">
        <v>0</v>
      </c>
      <c r="L39" s="12" t="s">
        <v>9</v>
      </c>
      <c r="M39" s="12">
        <v>0</v>
      </c>
      <c r="N39" s="20">
        <v>4.8</v>
      </c>
      <c r="O39" s="20">
        <v>0</v>
      </c>
      <c r="P39" s="12">
        <v>1</v>
      </c>
      <c r="R39" s="12" t="s">
        <v>166</v>
      </c>
      <c r="S39" s="12">
        <v>40</v>
      </c>
      <c r="T39" t="s">
        <v>214</v>
      </c>
      <c r="U39">
        <v>1</v>
      </c>
      <c r="V39">
        <v>39</v>
      </c>
      <c r="W39">
        <v>1</v>
      </c>
      <c r="X39">
        <v>39</v>
      </c>
      <c r="Z39">
        <v>1</v>
      </c>
    </row>
    <row r="40" spans="1:26" x14ac:dyDescent="0.25">
      <c r="A40">
        <v>39</v>
      </c>
      <c r="B40" t="s">
        <v>216</v>
      </c>
      <c r="C40" t="s">
        <v>176</v>
      </c>
      <c r="D40" t="s">
        <v>109</v>
      </c>
      <c r="E40" s="12" t="s">
        <v>11</v>
      </c>
      <c r="F40" s="20">
        <v>65</v>
      </c>
      <c r="G40" s="12">
        <v>0</v>
      </c>
      <c r="L40" s="12" t="s">
        <v>11</v>
      </c>
      <c r="M40" s="12">
        <v>0</v>
      </c>
      <c r="N40" s="20">
        <v>65</v>
      </c>
      <c r="O40" s="20">
        <v>0</v>
      </c>
      <c r="P40" s="12">
        <v>1</v>
      </c>
      <c r="R40" s="12" t="s">
        <v>166</v>
      </c>
      <c r="S40" s="12">
        <v>41</v>
      </c>
      <c r="T40" t="s">
        <v>215</v>
      </c>
      <c r="U40">
        <v>1</v>
      </c>
      <c r="V40">
        <v>40</v>
      </c>
      <c r="W40">
        <v>1</v>
      </c>
      <c r="X40">
        <v>40</v>
      </c>
      <c r="Z40">
        <v>1</v>
      </c>
    </row>
    <row r="41" spans="1:26" x14ac:dyDescent="0.25">
      <c r="A41">
        <v>40</v>
      </c>
      <c r="B41" t="s">
        <v>217</v>
      </c>
      <c r="C41" t="s">
        <v>176</v>
      </c>
      <c r="D41" t="s">
        <v>110</v>
      </c>
      <c r="E41" s="12" t="s">
        <v>40</v>
      </c>
      <c r="F41" s="20">
        <v>180</v>
      </c>
      <c r="G41" s="12">
        <v>0</v>
      </c>
      <c r="L41" s="12" t="s">
        <v>40</v>
      </c>
      <c r="M41" s="12">
        <v>0</v>
      </c>
      <c r="N41" s="20">
        <v>180</v>
      </c>
      <c r="O41" s="20">
        <v>0</v>
      </c>
      <c r="P41" s="12">
        <v>1</v>
      </c>
      <c r="R41" s="12" t="s">
        <v>166</v>
      </c>
      <c r="S41" s="12">
        <v>42</v>
      </c>
      <c r="T41" t="s">
        <v>216</v>
      </c>
      <c r="U41">
        <v>1</v>
      </c>
      <c r="V41">
        <v>41</v>
      </c>
      <c r="W41">
        <v>1</v>
      </c>
      <c r="X41">
        <v>41</v>
      </c>
      <c r="Z41">
        <v>1</v>
      </c>
    </row>
    <row r="42" spans="1:26" x14ac:dyDescent="0.25">
      <c r="A42">
        <v>41</v>
      </c>
      <c r="B42" t="s">
        <v>218</v>
      </c>
      <c r="C42" t="s">
        <v>176</v>
      </c>
      <c r="D42" t="s">
        <v>111</v>
      </c>
      <c r="E42" s="12" t="s">
        <v>34</v>
      </c>
      <c r="F42" s="20">
        <v>120</v>
      </c>
      <c r="G42" s="12">
        <v>0</v>
      </c>
      <c r="L42" s="12" t="s">
        <v>34</v>
      </c>
      <c r="M42" s="12">
        <v>0</v>
      </c>
      <c r="N42" s="20">
        <v>120</v>
      </c>
      <c r="O42" s="20">
        <v>0</v>
      </c>
      <c r="P42" s="12">
        <v>1</v>
      </c>
      <c r="R42" s="12" t="s">
        <v>166</v>
      </c>
      <c r="S42" s="12">
        <v>43</v>
      </c>
      <c r="T42" t="s">
        <v>217</v>
      </c>
      <c r="U42">
        <v>1</v>
      </c>
      <c r="V42">
        <v>42</v>
      </c>
      <c r="W42">
        <v>1</v>
      </c>
      <c r="X42">
        <v>42</v>
      </c>
      <c r="Z42">
        <v>1</v>
      </c>
    </row>
    <row r="43" spans="1:26" x14ac:dyDescent="0.25">
      <c r="A43">
        <v>42</v>
      </c>
      <c r="B43" t="s">
        <v>219</v>
      </c>
      <c r="C43" t="s">
        <v>178</v>
      </c>
      <c r="D43" t="s">
        <v>12</v>
      </c>
      <c r="E43" s="12" t="s">
        <v>13</v>
      </c>
      <c r="F43" s="20">
        <v>200</v>
      </c>
      <c r="G43" s="12">
        <v>0</v>
      </c>
      <c r="L43" s="12" t="s">
        <v>13</v>
      </c>
      <c r="M43" s="12">
        <v>0</v>
      </c>
      <c r="N43" s="20">
        <v>200</v>
      </c>
      <c r="O43" s="20">
        <v>0</v>
      </c>
      <c r="P43" s="12">
        <v>1</v>
      </c>
      <c r="R43" s="12" t="s">
        <v>166</v>
      </c>
      <c r="S43" s="12">
        <v>44</v>
      </c>
      <c r="T43" t="s">
        <v>218</v>
      </c>
      <c r="U43">
        <v>1</v>
      </c>
      <c r="V43">
        <v>43</v>
      </c>
      <c r="W43">
        <v>1</v>
      </c>
      <c r="X43">
        <v>43</v>
      </c>
      <c r="Z43">
        <v>1</v>
      </c>
    </row>
    <row r="44" spans="1:26" x14ac:dyDescent="0.25">
      <c r="A44">
        <v>43</v>
      </c>
      <c r="B44" t="s">
        <v>220</v>
      </c>
      <c r="C44" t="s">
        <v>178</v>
      </c>
      <c r="D44" t="s">
        <v>41</v>
      </c>
      <c r="E44" s="12" t="s">
        <v>11</v>
      </c>
      <c r="F44" s="20">
        <v>45</v>
      </c>
      <c r="G44" s="12">
        <v>0</v>
      </c>
      <c r="L44" s="12" t="s">
        <v>11</v>
      </c>
      <c r="M44" s="12">
        <v>0</v>
      </c>
      <c r="N44" s="20">
        <v>45</v>
      </c>
      <c r="O44" s="20">
        <v>0</v>
      </c>
      <c r="P44" s="12">
        <v>1</v>
      </c>
      <c r="R44" s="12" t="s">
        <v>166</v>
      </c>
      <c r="S44" s="12">
        <v>45</v>
      </c>
      <c r="T44" t="s">
        <v>219</v>
      </c>
      <c r="U44">
        <v>1</v>
      </c>
      <c r="V44">
        <v>44</v>
      </c>
      <c r="W44">
        <v>1</v>
      </c>
      <c r="X44">
        <v>44</v>
      </c>
      <c r="Z44">
        <v>1</v>
      </c>
    </row>
    <row r="45" spans="1:26" x14ac:dyDescent="0.25">
      <c r="A45">
        <v>44</v>
      </c>
      <c r="B45" t="s">
        <v>221</v>
      </c>
      <c r="C45" t="s">
        <v>178</v>
      </c>
      <c r="D45" t="s">
        <v>42</v>
      </c>
      <c r="E45" s="12" t="s">
        <v>11</v>
      </c>
      <c r="F45" s="20">
        <v>20</v>
      </c>
      <c r="G45" s="12">
        <v>0</v>
      </c>
      <c r="L45" s="12" t="s">
        <v>11</v>
      </c>
      <c r="M45" s="12">
        <v>0</v>
      </c>
      <c r="N45" s="20">
        <v>20</v>
      </c>
      <c r="O45" s="20">
        <v>0</v>
      </c>
      <c r="P45" s="12">
        <v>1</v>
      </c>
      <c r="R45" s="12" t="s">
        <v>166</v>
      </c>
      <c r="S45" s="12">
        <v>46</v>
      </c>
      <c r="T45" t="s">
        <v>220</v>
      </c>
      <c r="U45">
        <v>1</v>
      </c>
      <c r="V45">
        <v>45</v>
      </c>
      <c r="W45">
        <v>1</v>
      </c>
      <c r="X45">
        <v>45</v>
      </c>
      <c r="Z45">
        <v>1</v>
      </c>
    </row>
    <row r="46" spans="1:26" x14ac:dyDescent="0.25">
      <c r="A46">
        <v>45</v>
      </c>
      <c r="B46" t="s">
        <v>222</v>
      </c>
      <c r="C46" t="s">
        <v>178</v>
      </c>
      <c r="D46" t="s">
        <v>112</v>
      </c>
      <c r="E46" s="12" t="s">
        <v>40</v>
      </c>
      <c r="F46" s="20">
        <v>195</v>
      </c>
      <c r="G46" s="12">
        <v>0</v>
      </c>
      <c r="L46" s="12" t="s">
        <v>40</v>
      </c>
      <c r="M46" s="12">
        <v>0</v>
      </c>
      <c r="N46" s="20">
        <v>195</v>
      </c>
      <c r="O46" s="20">
        <v>0</v>
      </c>
      <c r="P46" s="12">
        <v>1</v>
      </c>
      <c r="R46" s="12" t="s">
        <v>166</v>
      </c>
      <c r="S46" s="12">
        <v>47</v>
      </c>
      <c r="T46" t="s">
        <v>221</v>
      </c>
      <c r="U46">
        <v>1</v>
      </c>
      <c r="V46">
        <v>46</v>
      </c>
      <c r="W46">
        <v>1</v>
      </c>
      <c r="X46">
        <v>46</v>
      </c>
      <c r="Z46">
        <v>1</v>
      </c>
    </row>
    <row r="47" spans="1:26" x14ac:dyDescent="0.25">
      <c r="A47">
        <v>46</v>
      </c>
      <c r="B47" t="s">
        <v>223</v>
      </c>
      <c r="C47" t="s">
        <v>178</v>
      </c>
      <c r="D47" t="s">
        <v>113</v>
      </c>
      <c r="E47" s="12" t="s">
        <v>40</v>
      </c>
      <c r="F47" s="20">
        <v>40</v>
      </c>
      <c r="G47" s="12">
        <v>0</v>
      </c>
      <c r="L47" s="12" t="s">
        <v>40</v>
      </c>
      <c r="M47" s="12">
        <v>0</v>
      </c>
      <c r="N47" s="20">
        <v>40</v>
      </c>
      <c r="O47" s="20">
        <v>0</v>
      </c>
      <c r="P47" s="12">
        <v>1</v>
      </c>
      <c r="R47" s="12" t="s">
        <v>166</v>
      </c>
      <c r="S47" s="12">
        <v>48</v>
      </c>
      <c r="T47" t="s">
        <v>222</v>
      </c>
      <c r="U47">
        <v>1</v>
      </c>
      <c r="V47">
        <v>47</v>
      </c>
      <c r="W47">
        <v>1</v>
      </c>
      <c r="X47">
        <v>47</v>
      </c>
      <c r="Z47">
        <v>1</v>
      </c>
    </row>
    <row r="48" spans="1:26" x14ac:dyDescent="0.25">
      <c r="T48" t="s">
        <v>223</v>
      </c>
      <c r="U48">
        <v>1</v>
      </c>
      <c r="V48">
        <v>48</v>
      </c>
      <c r="W48">
        <v>1</v>
      </c>
      <c r="X48">
        <v>48</v>
      </c>
      <c r="Z48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80DC-425D-483C-9567-24B8A70C7C32}">
  <sheetPr codeName="Sheet6"/>
  <dimension ref="A1:AJ200"/>
  <sheetViews>
    <sheetView zoomScale="75" zoomScaleNormal="75" workbookViewId="0">
      <pane ySplit="49" topLeftCell="A50" activePane="bottomLeft" state="frozen"/>
      <selection pane="bottomLeft" activeCell="A15" sqref="A15"/>
    </sheetView>
  </sheetViews>
  <sheetFormatPr defaultColWidth="8.7109375" defaultRowHeight="15" x14ac:dyDescent="0.25"/>
  <cols>
    <col min="1" max="2" width="13.7109375" customWidth="1"/>
    <col min="3" max="7" width="10.7109375" customWidth="1"/>
    <col min="8" max="8" width="1.7109375" style="1" customWidth="1"/>
    <col min="9" max="9" width="9.85546875" bestFit="1" customWidth="1"/>
    <col min="10" max="10" width="50.7109375" customWidth="1"/>
    <col min="11" max="11" width="7.5703125" bestFit="1" customWidth="1"/>
    <col min="12" max="12" width="9.85546875" style="9" bestFit="1" customWidth="1"/>
    <col min="13" max="17" width="8.7109375" style="9" customWidth="1"/>
    <col min="18" max="18" width="10.42578125" style="9" bestFit="1" customWidth="1"/>
    <col min="19" max="19" width="10.7109375" customWidth="1"/>
    <col min="20" max="20" width="1.7109375" style="1" customWidth="1"/>
    <col min="21" max="21" width="9.85546875" bestFit="1" customWidth="1"/>
    <col min="22" max="22" width="50.7109375" customWidth="1"/>
    <col min="23" max="23" width="9.28515625" style="9" bestFit="1" customWidth="1"/>
    <col min="24" max="24" width="9.85546875" style="9" bestFit="1" customWidth="1"/>
    <col min="25" max="25" width="9.28515625" style="9" bestFit="1" customWidth="1"/>
    <col min="26" max="26" width="14.42578125" style="9" bestFit="1" customWidth="1"/>
    <col min="27" max="27" width="10.42578125" style="9" bestFit="1" customWidth="1"/>
  </cols>
  <sheetData>
    <row r="1" spans="1:36" x14ac:dyDescent="0.25">
      <c r="A1" s="24" t="s">
        <v>26</v>
      </c>
      <c r="B1" s="26"/>
      <c r="C1" s="14" t="str" cm="1">
        <f t="array" aca="1" ref="C1" ca="1">_xlfn.LET(_xlpm.v,IFERROR(--C$3:C$49,0),IF(SUMPRODUCT(--(_xlpm.v&lt;&gt;0))=0,"",SUM(_xlpm.v)))</f>
        <v/>
      </c>
      <c r="D1" s="14" cm="1">
        <f t="array" aca="1" ref="D1" ca="1">_xlfn.LET(_xlpm.v,IFERROR(--D$3:D$49,0),IF(SUMPRODUCT(--(_xlpm.v&lt;&gt;0))=0,"",SUM(_xlpm.v)))</f>
        <v>1100</v>
      </c>
      <c r="E1" s="14" t="str" cm="1">
        <f t="array" aca="1" ref="E1" ca="1">_xlfn.LET(_xlpm.v,IFERROR(--E$3:E$49,0),IF(SUMPRODUCT(--(_xlpm.v&lt;&gt;0))=0,"",SUM(_xlpm.v)))</f>
        <v/>
      </c>
      <c r="F1" s="14" cm="1">
        <f t="array" aca="1" ref="F1" ca="1">_xlfn.LET(_xlpm.v,IFERROR(--F$3:F$49,0),IF(SUMPRODUCT(--(_xlpm.v&lt;&gt;0))=0,"",SUM(_xlpm.v)))</f>
        <v>1100</v>
      </c>
      <c r="G1" s="14" cm="1">
        <f t="array" aca="1" ref="G1" ca="1">_xlfn.LET(_xlpm.v,IFERROR(--G$3:G$49,0),IF(SUMPRODUCT(--(_xlpm.v&lt;&gt;0))=0,"",SUM(_xlpm.v)))</f>
        <v>1100</v>
      </c>
      <c r="I1" t="s">
        <v>31</v>
      </c>
      <c r="L1"/>
      <c r="M1"/>
      <c r="N1"/>
      <c r="O1"/>
      <c r="P1"/>
      <c r="Q1"/>
      <c r="R1" s="10">
        <f ca="1">SUM(R3:R500)</f>
        <v>0</v>
      </c>
      <c r="S1" s="11"/>
      <c r="U1" s="11"/>
      <c r="V1" s="11"/>
      <c r="W1" s="11"/>
      <c r="X1" s="11"/>
      <c r="Y1" s="11"/>
      <c r="Z1" s="11"/>
      <c r="AA1" s="11"/>
      <c r="AB1" s="10">
        <f>SUM(AA3:AA500)</f>
        <v>0</v>
      </c>
    </row>
    <row r="2" spans="1:36" x14ac:dyDescent="0.25">
      <c r="A2" s="12" t="s">
        <v>20</v>
      </c>
      <c r="B2" s="12" t="s">
        <v>7</v>
      </c>
      <c r="C2" s="15" t="s">
        <v>21</v>
      </c>
      <c r="D2" s="15" t="s">
        <v>22</v>
      </c>
      <c r="E2" s="15" t="s">
        <v>23</v>
      </c>
      <c r="F2" s="15" t="s">
        <v>27</v>
      </c>
      <c r="G2" s="15" t="s">
        <v>28</v>
      </c>
      <c r="I2" t="s">
        <v>32</v>
      </c>
      <c r="J2" t="s">
        <v>33</v>
      </c>
      <c r="K2" t="s">
        <v>1</v>
      </c>
      <c r="L2" s="9" t="s">
        <v>19</v>
      </c>
      <c r="M2" s="9" t="s">
        <v>29</v>
      </c>
      <c r="N2" s="9" t="s">
        <v>5</v>
      </c>
      <c r="O2" s="9" t="s">
        <v>30</v>
      </c>
      <c r="P2" s="9" t="s">
        <v>25</v>
      </c>
      <c r="Q2" s="9" t="s">
        <v>2</v>
      </c>
      <c r="R2" s="9" t="s">
        <v>24</v>
      </c>
      <c r="U2" t="s">
        <v>32</v>
      </c>
      <c r="V2" t="s">
        <v>3</v>
      </c>
      <c r="W2" t="s">
        <v>1</v>
      </c>
      <c r="X2" t="s">
        <v>57</v>
      </c>
      <c r="Y2" t="s">
        <v>170</v>
      </c>
      <c r="Z2" t="s">
        <v>171</v>
      </c>
      <c r="AA2" t="s">
        <v>172</v>
      </c>
      <c r="AB2" t="s">
        <v>173</v>
      </c>
      <c r="AC2" t="s">
        <v>174</v>
      </c>
      <c r="AD2" t="s">
        <v>175</v>
      </c>
    </row>
    <row r="3" spans="1:36" x14ac:dyDescent="0.25">
      <c r="A3" s="12">
        <v>1</v>
      </c>
      <c r="B3" s="12" t="str">
        <f>IF($A3=1,"S"&amp;TEXT(ROW()-2,"00"),"")</f>
        <v>S01</v>
      </c>
      <c r="C3" s="9">
        <f ca="1">_xlfn.LET(_xlpm.sh,IFERROR(MID($B3,SEARCH("S",$B3),3),$B3),IF($B3="","",IFERROR(SUMIFS(INDIRECT("'"&amp;_xlpm.sh&amp;"'!N3:N300"),INDIRECT("'"&amp;_xlpm.sh&amp;"'!F3:F300"),"&lt;&gt;",INDIRECT("'"&amp;_xlpm.sh&amp;"'!H3:H300"),"&lt;&gt;"),0)))</f>
        <v>0</v>
      </c>
      <c r="D3" s="9">
        <f ca="1">_xlfn.LET(_xlpm.sh,IFERROR(MID($B3,SEARCH("S",$B3),3),$B3),IF($B3="","",IFERROR(SUMIFS(INDIRECT("'"&amp;_xlpm.sh&amp;"'!Y3:Y300"),INDIRECT("'"&amp;_xlpm.sh&amp;"'!Q3:Q300"),"&lt;&gt;",INDIRECT("'"&amp;_xlpm.sh&amp;"'!S3:S300"),"&lt;&gt;"),0)))</f>
        <v>1100</v>
      </c>
      <c r="E3" s="9">
        <f ca="1">_xlfn.LET(_xlpm.sh,IFERROR(MID($B3,SEARCH("S",$B3),3),$B3),IF($B3="","",IFERROR(SUMIFS(INDIRECT("'"&amp;_xlpm.sh&amp;"'!AJ3:AJ300"),INDIRECT("'"&amp;_xlpm.sh&amp;"'!AB3:AB300"),"&lt;&gt;",INDIRECT("'"&amp;_xlpm.sh&amp;"'!AD3:AD300"),"&lt;&gt;"),0)))</f>
        <v>0</v>
      </c>
      <c r="F3" s="9">
        <f ca="1">IF($B3="","",C3+D3+E3)</f>
        <v>1100</v>
      </c>
      <c r="G3" s="9">
        <f ca="1">IF($A3=1,$F3,0)</f>
        <v>1100</v>
      </c>
      <c r="I3" t="str" cm="1">
        <f t="array" aca="1" ref="I3:L3" ca="1">_xlfn.LET(_xlpm.raw,$T$3:$AC$20000,_xlpm.desc,INDEX(_xlpm.raw,,2),_xlpm.f,_xlfn._xlws.FILTER(_xlpm.raw,_xlpm.desc&lt;&gt;""),_xlpm.c,CHOOSE({1,2,3,4},INDEX(_xlpm.f,,1),INDEX(_xlpm.f,,2),INDEX(_xlpm.f,,3),INDEX(_xlpm.f,,4)),IFERROR(_xlfn._xlws.SORT(_xlfn.UNIQUE(_xlpm.c),1,1),""))</f>
        <v/>
      </c>
      <c r="J3" t="str">
        <f ca="1"/>
        <v/>
      </c>
      <c r="K3" t="str">
        <f ca="1"/>
        <v/>
      </c>
      <c r="L3" s="9" t="str">
        <f ca="1"/>
        <v/>
      </c>
      <c r="M3" s="9">
        <f ca="1">SUMIFS($X$3:$X$20000,$T$3:$T$20000,$I3,$U$3:$U$20000,$J3,$V$3:$V$20000,$K3,$W$3:$W$20000,$L3)</f>
        <v>0</v>
      </c>
      <c r="N3" s="9">
        <f ca="1">SUMIFS($Y$3:$Y$20000,$T$3:$T$20000,$I3,$U$3:$U$20000,$J3,$V$3:$V$20000,$K3,$W$3:$W$20000,$L3)</f>
        <v>0</v>
      </c>
      <c r="O3" s="9">
        <f ca="1">SUMIFS($Z$3:$Z$20000,$T$3:$T$20000,$I3,$U$3:$U$20000,$J3,$V$3:$V$20000,$K3,$W$3:$W$20000,$L3)</f>
        <v>0</v>
      </c>
      <c r="R3" s="9">
        <f ca="1">SUMIFS($AA$3:$AA$20000,$T$3:$T$20000,$I3,$U$3:$U$20000,$J3,$V$3:$V$20000,$K3,$W$3:$W$20000,$L3)</f>
        <v>0</v>
      </c>
      <c r="U3" t="str" cm="1">
        <f t="array" aca="1" ref="U3" ca="1">IFERROR(
_xlfn.LET(
  _xlpm.header, {"Category","Description","UOM","Rate","UsageQty","Wastage","UsePlusWaste","TotalRM","SourceSheet","SourceRow"},
  _xlpm.sheets, TRIM(_xlfn._xlws.FILTER($B$3:$B$100, ($A$3:$A$100=1)*($B$3:$B$100&lt;&gt;""))),
  _xlpm.perSheet, LAMBDA(sh,
    _xlfn.LET(
      _xlpm.r, _xlfn.SEQUENCE(298,1,3,1),
      _xlpm.mat, HSTACK(
        IF(_xlpm.r,"MATERIAL",""),
        INDEX(INDIRECT("'"&amp;sh&amp;"'!G:G"),_xlpm.r),
        INDEX(INDIRECT("'"&amp;sh&amp;"'!H:H"),_xlpm.r),
        INDEX(INDIRECT("'"&amp;sh&amp;"'!K:K"),_xlpm.r),
        INDEX(INDIRECT("'"&amp;sh&amp;"'!I:I"),_xlpm.r),
        INDEX(INDIRECT("'"&amp;sh&amp;"'!J:J"),_xlpm.r),
        INDEX(INDIRECT("'"&amp;sh&amp;"'!L:L"),_xlpm.r),
        INDEX(INDIRECT("'"&amp;sh&amp;"'!N:N"),_xlpm.r),
        IF(_xlpm.r,sh,""),
        _xlpm.r
      ),
      _xlpm.lab, HSTACK(
        IF(_xlpm.r,"LABOUR",""),
        INDEX(INDIRECT("'"&amp;sh&amp;"'!R:R"),_xlpm.r),
        INDEX(INDIRECT("'"&amp;sh&amp;"'!S:S"),_xlpm.r),
        INDEX(INDIRECT("'"&amp;sh&amp;"'!V:V"),_xlpm.r),
        INDEX(INDIRECT("'"&amp;sh&amp;"'!T:T"),_xlpm.r),
        INDEX(INDIRECT("'"&amp;sh&amp;"'!U:U"),_xlpm.r),
        INDEX(INDIRECT("'"&amp;sh&amp;"'!W:W"),_xlpm.r),
        INDEX(INDIRECT("'"&amp;sh&amp;"'!Y:Y"),_xlpm.r),
        IF(_xlpm.r,sh,""),
        _xlpm.r
      ),
      _xlpm.svc, HSTACK(
        IF(_xlpm.r,"SERVICE",""),
        INDEX(INDIRECT("'"&amp;sh&amp;"'!AC:AC"),_xlpm.r),
        INDEX(INDIRECT("'"&amp;sh&amp;"'!AD:AD"),_xlpm.r),
        INDEX(INDIRECT("'"&amp;sh&amp;"'!AG:AG"),_xlpm.r),
        INDEX(INDIRECT("'"&amp;sh&amp;"'!AE:AE"),_xlpm.r),
        INDEX(INDIRECT("'"&amp;sh&amp;"'!AF:AF"),_xlpm.r),
        INDEX(INDIRECT("'"&amp;sh&amp;"'!AH:AH"),_xlpm.r),
        INDEX(INDIRECT("'"&amp;sh&amp;"'!AJ:AJ"),_xlpm.r),
        IF(_xlpm.r,sh,""),
        _xlpm.r
      ),
      _xlpm.all, VSTACK(_xlpm.mat, _xlpm.lab, _xlpm.svc),
      _xlfn._xlws.FILTER(_xlpm.all, INDEX(_xlpm.all,,2)&lt;&gt;"")
    )
  ),
  _xlpm.data, REDUCE(_xlpm.header, _xlpm.sheets, LAMBDA(acc, sh, VSTACK(acc, _xlpm.perSheet(sh)))),
  TAKE(DROP(_xlpm.data,1), 498)
),
"")</f>
        <v/>
      </c>
      <c r="AI3" t="s">
        <v>166</v>
      </c>
      <c r="AJ3" t="s">
        <v>167</v>
      </c>
    </row>
    <row r="4" spans="1:36" x14ac:dyDescent="0.25">
      <c r="A4" s="12"/>
      <c r="B4" s="12" t="str">
        <f t="shared" ref="B4:B14" si="0">IF($A4=1,"S"&amp;TEXT(ROW()-2,"00"),"")</f>
        <v/>
      </c>
      <c r="C4" s="9" t="str">
        <f t="shared" ref="C4:C49" ca="1" si="1">_xlfn.LET(_xlpm.sh,IFERROR(MID($B4,SEARCH("S",$B4),3),$B4),IF($B4="","",IFERROR(SUMIFS(INDIRECT("'"&amp;_xlpm.sh&amp;"'!N3:N300"),INDIRECT("'"&amp;_xlpm.sh&amp;"'!F3:F300"),"&lt;&gt;",INDIRECT("'"&amp;_xlpm.sh&amp;"'!H3:H300"),"&lt;&gt;"),0)))</f>
        <v/>
      </c>
      <c r="D4" s="9" t="str">
        <f t="shared" ref="D4:D49" ca="1" si="2">_xlfn.LET(_xlpm.sh,IFERROR(MID($B4,SEARCH("S",$B4),3),$B4),IF($B4="","",IFERROR(SUMIFS(INDIRECT("'"&amp;_xlpm.sh&amp;"'!Y3:Y300"),INDIRECT("'"&amp;_xlpm.sh&amp;"'!Q3:Q300"),"&lt;&gt;",INDIRECT("'"&amp;_xlpm.sh&amp;"'!S3:S300"),"&lt;&gt;"),0)))</f>
        <v/>
      </c>
      <c r="E4" s="9" t="str">
        <f t="shared" ref="E4:E49" ca="1" si="3">_xlfn.LET(_xlpm.sh,IFERROR(MID($B4,SEARCH("S",$B4),3),$B4),IF($B4="","",IFERROR(SUMIFS(INDIRECT("'"&amp;_xlpm.sh&amp;"'!AJ3:AJ300"),INDIRECT("'"&amp;_xlpm.sh&amp;"'!AB3:AB300"),"&lt;&gt;",INDIRECT("'"&amp;_xlpm.sh&amp;"'!AD3:AD300"),"&lt;&gt;"),0)))</f>
        <v/>
      </c>
      <c r="F4" s="9" t="str">
        <f t="shared" ref="F4:F49" si="4">IF($B4="","",C4+D4+E4)</f>
        <v/>
      </c>
      <c r="G4" s="9">
        <f t="shared" ref="G4:G49" si="5">IF($A4=1,$F4,0)</f>
        <v>0</v>
      </c>
      <c r="M4" s="9">
        <f t="shared" ref="M4:M67" si="6">SUMIFS($X$3:$X$20000,$T$3:$T$20000,$I4,$U$3:$U$20000,$J4,$V$3:$V$20000,$K4,$W$3:$W$20000,$L4)</f>
        <v>0</v>
      </c>
      <c r="N4" s="9">
        <f t="shared" ref="N4:N67" si="7">SUMIFS($Y$3:$Y$20000,$T$3:$T$20000,$I4,$U$3:$U$20000,$J4,$V$3:$V$20000,$K4,$W$3:$W$20000,$L4)</f>
        <v>0</v>
      </c>
      <c r="O4" s="9">
        <f t="shared" ref="O4:O67" si="8">SUMIFS($Z$3:$Z$20000,$T$3:$T$20000,$I4,$U$3:$U$20000,$J4,$V$3:$V$20000,$K4,$W$3:$W$20000,$L4)</f>
        <v>0</v>
      </c>
      <c r="R4" s="9">
        <f t="shared" ref="R4:R67" si="9">SUMIFS($AA$3:$AA$20000,$T$3:$T$20000,$I4,$U$3:$U$20000,$J4,$V$3:$V$20000,$K4,$W$3:$W$20000,$L4)</f>
        <v>0</v>
      </c>
      <c r="AI4" t="s">
        <v>166</v>
      </c>
      <c r="AJ4" t="s">
        <v>168</v>
      </c>
    </row>
    <row r="5" spans="1:36" x14ac:dyDescent="0.25">
      <c r="A5" s="12"/>
      <c r="B5" s="12" t="str">
        <f t="shared" si="0"/>
        <v/>
      </c>
      <c r="C5" s="9" t="str">
        <f t="shared" ca="1" si="1"/>
        <v/>
      </c>
      <c r="D5" s="9" t="str">
        <f t="shared" ca="1" si="2"/>
        <v/>
      </c>
      <c r="E5" s="9" t="str">
        <f t="shared" ca="1" si="3"/>
        <v/>
      </c>
      <c r="F5" s="9" t="str">
        <f t="shared" si="4"/>
        <v/>
      </c>
      <c r="G5" s="9">
        <f t="shared" si="5"/>
        <v>0</v>
      </c>
      <c r="M5" s="9">
        <f t="shared" si="6"/>
        <v>0</v>
      </c>
      <c r="N5" s="9">
        <f t="shared" si="7"/>
        <v>0</v>
      </c>
      <c r="O5" s="9">
        <f t="shared" si="8"/>
        <v>0</v>
      </c>
      <c r="R5" s="9">
        <f t="shared" si="9"/>
        <v>0</v>
      </c>
      <c r="AI5" t="s">
        <v>166</v>
      </c>
      <c r="AJ5" t="s">
        <v>169</v>
      </c>
    </row>
    <row r="6" spans="1:36" x14ac:dyDescent="0.25">
      <c r="B6" s="12" t="str">
        <f t="shared" si="0"/>
        <v/>
      </c>
      <c r="C6" s="9" t="str">
        <f t="shared" ca="1" si="1"/>
        <v/>
      </c>
      <c r="D6" s="9" t="str">
        <f t="shared" ca="1" si="2"/>
        <v/>
      </c>
      <c r="E6" s="9" t="str">
        <f t="shared" ca="1" si="3"/>
        <v/>
      </c>
      <c r="F6" s="9" t="str">
        <f t="shared" si="4"/>
        <v/>
      </c>
      <c r="G6" s="9">
        <f t="shared" si="5"/>
        <v>0</v>
      </c>
      <c r="M6" s="9">
        <f t="shared" si="6"/>
        <v>0</v>
      </c>
      <c r="N6" s="9">
        <f t="shared" si="7"/>
        <v>0</v>
      </c>
      <c r="O6" s="9">
        <f t="shared" si="8"/>
        <v>0</v>
      </c>
      <c r="R6" s="9">
        <f t="shared" si="9"/>
        <v>0</v>
      </c>
    </row>
    <row r="7" spans="1:36" x14ac:dyDescent="0.25">
      <c r="B7" s="12" t="str">
        <f t="shared" si="0"/>
        <v/>
      </c>
      <c r="C7" s="9" t="str">
        <f t="shared" ca="1" si="1"/>
        <v/>
      </c>
      <c r="D7" s="9" t="str">
        <f t="shared" ca="1" si="2"/>
        <v/>
      </c>
      <c r="E7" s="9" t="str">
        <f t="shared" ca="1" si="3"/>
        <v/>
      </c>
      <c r="F7" s="9" t="str">
        <f t="shared" si="4"/>
        <v/>
      </c>
      <c r="G7" s="9">
        <f t="shared" si="5"/>
        <v>0</v>
      </c>
      <c r="M7" s="9">
        <f t="shared" si="6"/>
        <v>0</v>
      </c>
      <c r="N7" s="9">
        <f t="shared" si="7"/>
        <v>0</v>
      </c>
      <c r="O7" s="9">
        <f t="shared" si="8"/>
        <v>0</v>
      </c>
      <c r="R7" s="9">
        <f t="shared" si="9"/>
        <v>0</v>
      </c>
    </row>
    <row r="8" spans="1:36" x14ac:dyDescent="0.25">
      <c r="B8" s="12" t="str">
        <f t="shared" si="0"/>
        <v/>
      </c>
      <c r="C8" s="9" t="str">
        <f t="shared" ca="1" si="1"/>
        <v/>
      </c>
      <c r="D8" s="9" t="str">
        <f t="shared" ca="1" si="2"/>
        <v/>
      </c>
      <c r="E8" s="9" t="str">
        <f t="shared" ca="1" si="3"/>
        <v/>
      </c>
      <c r="F8" s="9" t="str">
        <f t="shared" si="4"/>
        <v/>
      </c>
      <c r="G8" s="9">
        <f t="shared" si="5"/>
        <v>0</v>
      </c>
      <c r="M8" s="9">
        <f t="shared" si="6"/>
        <v>0</v>
      </c>
      <c r="N8" s="9">
        <f t="shared" si="7"/>
        <v>0</v>
      </c>
      <c r="O8" s="9">
        <f t="shared" si="8"/>
        <v>0</v>
      </c>
      <c r="R8" s="9">
        <f t="shared" si="9"/>
        <v>0</v>
      </c>
    </row>
    <row r="9" spans="1:36" x14ac:dyDescent="0.25">
      <c r="B9" s="12" t="str">
        <f t="shared" si="0"/>
        <v/>
      </c>
      <c r="C9" s="9" t="str">
        <f t="shared" ca="1" si="1"/>
        <v/>
      </c>
      <c r="D9" s="9" t="str">
        <f t="shared" ca="1" si="2"/>
        <v/>
      </c>
      <c r="E9" s="9" t="str">
        <f t="shared" ca="1" si="3"/>
        <v/>
      </c>
      <c r="F9" s="9" t="str">
        <f t="shared" si="4"/>
        <v/>
      </c>
      <c r="G9" s="9">
        <f t="shared" si="5"/>
        <v>0</v>
      </c>
      <c r="M9" s="9">
        <f t="shared" si="6"/>
        <v>0</v>
      </c>
      <c r="N9" s="9">
        <f t="shared" si="7"/>
        <v>0</v>
      </c>
      <c r="O9" s="9">
        <f t="shared" si="8"/>
        <v>0</v>
      </c>
      <c r="R9" s="9">
        <f t="shared" si="9"/>
        <v>0</v>
      </c>
    </row>
    <row r="10" spans="1:36" x14ac:dyDescent="0.25">
      <c r="B10" s="12" t="str">
        <f t="shared" si="0"/>
        <v/>
      </c>
      <c r="C10" s="9" t="str">
        <f t="shared" ca="1" si="1"/>
        <v/>
      </c>
      <c r="D10" s="9" t="str">
        <f t="shared" ca="1" si="2"/>
        <v/>
      </c>
      <c r="E10" s="9" t="str">
        <f t="shared" ca="1" si="3"/>
        <v/>
      </c>
      <c r="F10" s="9" t="str">
        <f t="shared" si="4"/>
        <v/>
      </c>
      <c r="G10" s="9">
        <f t="shared" si="5"/>
        <v>0</v>
      </c>
      <c r="M10" s="9">
        <f t="shared" si="6"/>
        <v>0</v>
      </c>
      <c r="N10" s="9">
        <f t="shared" si="7"/>
        <v>0</v>
      </c>
      <c r="O10" s="9">
        <f t="shared" si="8"/>
        <v>0</v>
      </c>
      <c r="R10" s="9">
        <f t="shared" si="9"/>
        <v>0</v>
      </c>
    </row>
    <row r="11" spans="1:36" x14ac:dyDescent="0.25">
      <c r="B11" s="12" t="str">
        <f t="shared" si="0"/>
        <v/>
      </c>
      <c r="C11" s="9" t="str">
        <f t="shared" ca="1" si="1"/>
        <v/>
      </c>
      <c r="D11" s="9" t="str">
        <f t="shared" ca="1" si="2"/>
        <v/>
      </c>
      <c r="E11" s="9" t="str">
        <f t="shared" ca="1" si="3"/>
        <v/>
      </c>
      <c r="F11" s="9" t="str">
        <f t="shared" si="4"/>
        <v/>
      </c>
      <c r="G11" s="9">
        <f t="shared" si="5"/>
        <v>0</v>
      </c>
      <c r="M11" s="9">
        <f t="shared" si="6"/>
        <v>0</v>
      </c>
      <c r="N11" s="9">
        <f t="shared" si="7"/>
        <v>0</v>
      </c>
      <c r="O11" s="9">
        <f t="shared" si="8"/>
        <v>0</v>
      </c>
      <c r="R11" s="9">
        <f t="shared" si="9"/>
        <v>0</v>
      </c>
    </row>
    <row r="12" spans="1:36" x14ac:dyDescent="0.25">
      <c r="B12" s="12" t="str">
        <f t="shared" si="0"/>
        <v/>
      </c>
      <c r="C12" s="9" t="str">
        <f t="shared" ca="1" si="1"/>
        <v/>
      </c>
      <c r="D12" s="9" t="str">
        <f t="shared" ca="1" si="2"/>
        <v/>
      </c>
      <c r="E12" s="9" t="str">
        <f t="shared" ca="1" si="3"/>
        <v/>
      </c>
      <c r="F12" s="9" t="str">
        <f t="shared" si="4"/>
        <v/>
      </c>
      <c r="G12" s="9">
        <f t="shared" si="5"/>
        <v>0</v>
      </c>
      <c r="M12" s="9">
        <f t="shared" si="6"/>
        <v>0</v>
      </c>
      <c r="N12" s="9">
        <f t="shared" si="7"/>
        <v>0</v>
      </c>
      <c r="O12" s="9">
        <f t="shared" si="8"/>
        <v>0</v>
      </c>
      <c r="R12" s="9">
        <f t="shared" si="9"/>
        <v>0</v>
      </c>
    </row>
    <row r="13" spans="1:36" x14ac:dyDescent="0.25">
      <c r="B13" s="12" t="str">
        <f t="shared" si="0"/>
        <v/>
      </c>
      <c r="C13" s="9" t="str">
        <f t="shared" ca="1" si="1"/>
        <v/>
      </c>
      <c r="D13" s="9" t="str">
        <f t="shared" ca="1" si="2"/>
        <v/>
      </c>
      <c r="E13" s="9" t="str">
        <f t="shared" ca="1" si="3"/>
        <v/>
      </c>
      <c r="F13" s="9" t="str">
        <f t="shared" si="4"/>
        <v/>
      </c>
      <c r="G13" s="9">
        <f t="shared" si="5"/>
        <v>0</v>
      </c>
      <c r="M13" s="9">
        <f t="shared" si="6"/>
        <v>0</v>
      </c>
      <c r="N13" s="9">
        <f t="shared" si="7"/>
        <v>0</v>
      </c>
      <c r="O13" s="9">
        <f t="shared" si="8"/>
        <v>0</v>
      </c>
      <c r="R13" s="9">
        <f t="shared" si="9"/>
        <v>0</v>
      </c>
    </row>
    <row r="14" spans="1:36" x14ac:dyDescent="0.25">
      <c r="B14" s="12" t="str">
        <f t="shared" si="0"/>
        <v/>
      </c>
      <c r="C14" s="9" t="str">
        <f t="shared" ca="1" si="1"/>
        <v/>
      </c>
      <c r="D14" s="9" t="str">
        <f t="shared" ca="1" si="2"/>
        <v/>
      </c>
      <c r="E14" s="9" t="str">
        <f t="shared" ca="1" si="3"/>
        <v/>
      </c>
      <c r="F14" s="9" t="str">
        <f t="shared" si="4"/>
        <v/>
      </c>
      <c r="G14" s="9">
        <f t="shared" si="5"/>
        <v>0</v>
      </c>
      <c r="M14" s="9">
        <f t="shared" si="6"/>
        <v>0</v>
      </c>
      <c r="N14" s="9">
        <f t="shared" si="7"/>
        <v>0</v>
      </c>
      <c r="O14" s="9">
        <f t="shared" si="8"/>
        <v>0</v>
      </c>
      <c r="R14" s="9">
        <f t="shared" si="9"/>
        <v>0</v>
      </c>
    </row>
    <row r="15" spans="1:36" x14ac:dyDescent="0.25">
      <c r="B15" t="str">
        <f t="shared" ref="B15:B49" si="10">IF($A15=1,"S"&amp;TEXT(ROW()-2,"00"),"")</f>
        <v/>
      </c>
      <c r="C15" s="9" t="str">
        <f t="shared" ca="1" si="1"/>
        <v/>
      </c>
      <c r="D15" s="9" t="str">
        <f t="shared" ca="1" si="2"/>
        <v/>
      </c>
      <c r="E15" s="9" t="str">
        <f t="shared" ca="1" si="3"/>
        <v/>
      </c>
      <c r="F15" s="9" t="str">
        <f t="shared" si="4"/>
        <v/>
      </c>
      <c r="G15" s="9">
        <f t="shared" si="5"/>
        <v>0</v>
      </c>
      <c r="M15" s="9">
        <f t="shared" si="6"/>
        <v>0</v>
      </c>
      <c r="N15" s="9">
        <f t="shared" si="7"/>
        <v>0</v>
      </c>
      <c r="O15" s="9">
        <f t="shared" si="8"/>
        <v>0</v>
      </c>
      <c r="R15" s="9">
        <f t="shared" si="9"/>
        <v>0</v>
      </c>
    </row>
    <row r="16" spans="1:36" x14ac:dyDescent="0.25">
      <c r="B16" t="str">
        <f t="shared" si="10"/>
        <v/>
      </c>
      <c r="C16" s="9" t="str">
        <f t="shared" ca="1" si="1"/>
        <v/>
      </c>
      <c r="D16" s="9" t="str">
        <f t="shared" ca="1" si="2"/>
        <v/>
      </c>
      <c r="E16" s="9" t="str">
        <f t="shared" ca="1" si="3"/>
        <v/>
      </c>
      <c r="F16" s="9" t="str">
        <f t="shared" si="4"/>
        <v/>
      </c>
      <c r="G16" s="9">
        <f t="shared" si="5"/>
        <v>0</v>
      </c>
      <c r="M16" s="9">
        <f t="shared" si="6"/>
        <v>0</v>
      </c>
      <c r="N16" s="9">
        <f t="shared" si="7"/>
        <v>0</v>
      </c>
      <c r="O16" s="9">
        <f t="shared" si="8"/>
        <v>0</v>
      </c>
      <c r="R16" s="9">
        <f t="shared" si="9"/>
        <v>0</v>
      </c>
    </row>
    <row r="17" spans="2:18" x14ac:dyDescent="0.25">
      <c r="B17" t="str">
        <f t="shared" si="10"/>
        <v/>
      </c>
      <c r="C17" s="9" t="str">
        <f t="shared" ca="1" si="1"/>
        <v/>
      </c>
      <c r="D17" s="9" t="str">
        <f t="shared" ca="1" si="2"/>
        <v/>
      </c>
      <c r="E17" s="9" t="str">
        <f t="shared" ca="1" si="3"/>
        <v/>
      </c>
      <c r="F17" s="9" t="str">
        <f t="shared" si="4"/>
        <v/>
      </c>
      <c r="G17" s="9">
        <f t="shared" si="5"/>
        <v>0</v>
      </c>
      <c r="M17" s="9">
        <f t="shared" si="6"/>
        <v>0</v>
      </c>
      <c r="N17" s="9">
        <f t="shared" si="7"/>
        <v>0</v>
      </c>
      <c r="O17" s="9">
        <f t="shared" si="8"/>
        <v>0</v>
      </c>
      <c r="R17" s="9">
        <f t="shared" si="9"/>
        <v>0</v>
      </c>
    </row>
    <row r="18" spans="2:18" x14ac:dyDescent="0.25">
      <c r="B18" t="str">
        <f t="shared" si="10"/>
        <v/>
      </c>
      <c r="C18" s="9" t="str">
        <f t="shared" ca="1" si="1"/>
        <v/>
      </c>
      <c r="D18" s="9" t="str">
        <f t="shared" ca="1" si="2"/>
        <v/>
      </c>
      <c r="E18" s="9" t="str">
        <f t="shared" ca="1" si="3"/>
        <v/>
      </c>
      <c r="F18" s="9" t="str">
        <f t="shared" si="4"/>
        <v/>
      </c>
      <c r="G18" s="9">
        <f t="shared" si="5"/>
        <v>0</v>
      </c>
      <c r="M18" s="9">
        <f t="shared" si="6"/>
        <v>0</v>
      </c>
      <c r="N18" s="9">
        <f t="shared" si="7"/>
        <v>0</v>
      </c>
      <c r="O18" s="9">
        <f t="shared" si="8"/>
        <v>0</v>
      </c>
      <c r="R18" s="9">
        <f t="shared" si="9"/>
        <v>0</v>
      </c>
    </row>
    <row r="19" spans="2:18" x14ac:dyDescent="0.25">
      <c r="B19" t="str">
        <f t="shared" si="10"/>
        <v/>
      </c>
      <c r="C19" s="9" t="str">
        <f t="shared" ca="1" si="1"/>
        <v/>
      </c>
      <c r="D19" s="9" t="str">
        <f t="shared" ca="1" si="2"/>
        <v/>
      </c>
      <c r="E19" s="9" t="str">
        <f t="shared" ca="1" si="3"/>
        <v/>
      </c>
      <c r="F19" s="9" t="str">
        <f t="shared" si="4"/>
        <v/>
      </c>
      <c r="G19" s="9">
        <f t="shared" si="5"/>
        <v>0</v>
      </c>
      <c r="M19" s="9">
        <f t="shared" si="6"/>
        <v>0</v>
      </c>
      <c r="N19" s="9">
        <f t="shared" si="7"/>
        <v>0</v>
      </c>
      <c r="O19" s="9">
        <f t="shared" si="8"/>
        <v>0</v>
      </c>
      <c r="R19" s="9">
        <f t="shared" si="9"/>
        <v>0</v>
      </c>
    </row>
    <row r="20" spans="2:18" x14ac:dyDescent="0.25">
      <c r="B20" t="str">
        <f t="shared" si="10"/>
        <v/>
      </c>
      <c r="C20" s="9" t="str">
        <f t="shared" ca="1" si="1"/>
        <v/>
      </c>
      <c r="D20" s="9" t="str">
        <f t="shared" ca="1" si="2"/>
        <v/>
      </c>
      <c r="E20" s="9" t="str">
        <f t="shared" ca="1" si="3"/>
        <v/>
      </c>
      <c r="F20" s="9" t="str">
        <f t="shared" si="4"/>
        <v/>
      </c>
      <c r="G20" s="9">
        <f t="shared" si="5"/>
        <v>0</v>
      </c>
      <c r="M20" s="9">
        <f t="shared" si="6"/>
        <v>0</v>
      </c>
      <c r="N20" s="9">
        <f t="shared" si="7"/>
        <v>0</v>
      </c>
      <c r="O20" s="9">
        <f t="shared" si="8"/>
        <v>0</v>
      </c>
      <c r="R20" s="9">
        <f t="shared" si="9"/>
        <v>0</v>
      </c>
    </row>
    <row r="21" spans="2:18" x14ac:dyDescent="0.25">
      <c r="B21" t="str">
        <f t="shared" si="10"/>
        <v/>
      </c>
      <c r="C21" s="9" t="str">
        <f t="shared" ca="1" si="1"/>
        <v/>
      </c>
      <c r="D21" s="9" t="str">
        <f t="shared" ca="1" si="2"/>
        <v/>
      </c>
      <c r="E21" s="9" t="str">
        <f t="shared" ca="1" si="3"/>
        <v/>
      </c>
      <c r="F21" s="9" t="str">
        <f t="shared" si="4"/>
        <v/>
      </c>
      <c r="G21" s="9">
        <f t="shared" si="5"/>
        <v>0</v>
      </c>
      <c r="M21" s="9">
        <f t="shared" si="6"/>
        <v>0</v>
      </c>
      <c r="N21" s="9">
        <f t="shared" si="7"/>
        <v>0</v>
      </c>
      <c r="O21" s="9">
        <f t="shared" si="8"/>
        <v>0</v>
      </c>
      <c r="R21" s="9">
        <f t="shared" si="9"/>
        <v>0</v>
      </c>
    </row>
    <row r="22" spans="2:18" x14ac:dyDescent="0.25">
      <c r="B22" t="str">
        <f t="shared" si="10"/>
        <v/>
      </c>
      <c r="C22" s="9" t="str">
        <f t="shared" ca="1" si="1"/>
        <v/>
      </c>
      <c r="D22" s="9" t="str">
        <f t="shared" ca="1" si="2"/>
        <v/>
      </c>
      <c r="E22" s="9" t="str">
        <f t="shared" ca="1" si="3"/>
        <v/>
      </c>
      <c r="F22" s="9" t="str">
        <f t="shared" si="4"/>
        <v/>
      </c>
      <c r="G22" s="9">
        <f t="shared" si="5"/>
        <v>0</v>
      </c>
      <c r="M22" s="9">
        <f t="shared" si="6"/>
        <v>0</v>
      </c>
      <c r="N22" s="9">
        <f t="shared" si="7"/>
        <v>0</v>
      </c>
      <c r="O22" s="9">
        <f t="shared" si="8"/>
        <v>0</v>
      </c>
      <c r="R22" s="9">
        <f t="shared" si="9"/>
        <v>0</v>
      </c>
    </row>
    <row r="23" spans="2:18" x14ac:dyDescent="0.25">
      <c r="B23" t="str">
        <f t="shared" si="10"/>
        <v/>
      </c>
      <c r="C23" s="9" t="str">
        <f t="shared" ca="1" si="1"/>
        <v/>
      </c>
      <c r="D23" s="9" t="str">
        <f t="shared" ca="1" si="2"/>
        <v/>
      </c>
      <c r="E23" s="9" t="str">
        <f t="shared" ca="1" si="3"/>
        <v/>
      </c>
      <c r="F23" s="9" t="str">
        <f t="shared" si="4"/>
        <v/>
      </c>
      <c r="G23" s="9">
        <f t="shared" si="5"/>
        <v>0</v>
      </c>
      <c r="M23" s="9">
        <f t="shared" si="6"/>
        <v>0</v>
      </c>
      <c r="N23" s="9">
        <f t="shared" si="7"/>
        <v>0</v>
      </c>
      <c r="O23" s="9">
        <f t="shared" si="8"/>
        <v>0</v>
      </c>
      <c r="R23" s="9">
        <f t="shared" si="9"/>
        <v>0</v>
      </c>
    </row>
    <row r="24" spans="2:18" x14ac:dyDescent="0.25">
      <c r="B24" t="str">
        <f t="shared" si="10"/>
        <v/>
      </c>
      <c r="C24" s="9" t="str">
        <f t="shared" ca="1" si="1"/>
        <v/>
      </c>
      <c r="D24" s="9" t="str">
        <f t="shared" ca="1" si="2"/>
        <v/>
      </c>
      <c r="E24" s="9" t="str">
        <f t="shared" ca="1" si="3"/>
        <v/>
      </c>
      <c r="F24" s="9" t="str">
        <f t="shared" si="4"/>
        <v/>
      </c>
      <c r="G24" s="9">
        <f t="shared" si="5"/>
        <v>0</v>
      </c>
      <c r="M24" s="9">
        <f t="shared" si="6"/>
        <v>0</v>
      </c>
      <c r="N24" s="9">
        <f t="shared" si="7"/>
        <v>0</v>
      </c>
      <c r="O24" s="9">
        <f t="shared" si="8"/>
        <v>0</v>
      </c>
      <c r="R24" s="9">
        <f t="shared" si="9"/>
        <v>0</v>
      </c>
    </row>
    <row r="25" spans="2:18" x14ac:dyDescent="0.25">
      <c r="B25" t="str">
        <f t="shared" si="10"/>
        <v/>
      </c>
      <c r="C25" s="9" t="str">
        <f t="shared" ca="1" si="1"/>
        <v/>
      </c>
      <c r="D25" s="9" t="str">
        <f t="shared" ca="1" si="2"/>
        <v/>
      </c>
      <c r="E25" s="9" t="str">
        <f t="shared" ca="1" si="3"/>
        <v/>
      </c>
      <c r="F25" s="9" t="str">
        <f t="shared" si="4"/>
        <v/>
      </c>
      <c r="G25" s="9">
        <f t="shared" si="5"/>
        <v>0</v>
      </c>
      <c r="M25" s="9">
        <f t="shared" si="6"/>
        <v>0</v>
      </c>
      <c r="N25" s="9">
        <f t="shared" si="7"/>
        <v>0</v>
      </c>
      <c r="O25" s="9">
        <f t="shared" si="8"/>
        <v>0</v>
      </c>
      <c r="R25" s="9">
        <f t="shared" si="9"/>
        <v>0</v>
      </c>
    </row>
    <row r="26" spans="2:18" x14ac:dyDescent="0.25">
      <c r="B26" t="str">
        <f t="shared" si="10"/>
        <v/>
      </c>
      <c r="C26" s="9" t="str">
        <f t="shared" ca="1" si="1"/>
        <v/>
      </c>
      <c r="D26" s="9" t="str">
        <f t="shared" ca="1" si="2"/>
        <v/>
      </c>
      <c r="E26" s="9" t="str">
        <f t="shared" ca="1" si="3"/>
        <v/>
      </c>
      <c r="F26" s="9" t="str">
        <f t="shared" si="4"/>
        <v/>
      </c>
      <c r="G26" s="9">
        <f t="shared" si="5"/>
        <v>0</v>
      </c>
      <c r="M26" s="9">
        <f t="shared" si="6"/>
        <v>0</v>
      </c>
      <c r="N26" s="9">
        <f t="shared" si="7"/>
        <v>0</v>
      </c>
      <c r="O26" s="9">
        <f t="shared" si="8"/>
        <v>0</v>
      </c>
      <c r="R26" s="9">
        <f t="shared" si="9"/>
        <v>0</v>
      </c>
    </row>
    <row r="27" spans="2:18" x14ac:dyDescent="0.25">
      <c r="B27" t="str">
        <f t="shared" si="10"/>
        <v/>
      </c>
      <c r="C27" s="9" t="str">
        <f t="shared" ca="1" si="1"/>
        <v/>
      </c>
      <c r="D27" s="9" t="str">
        <f t="shared" ca="1" si="2"/>
        <v/>
      </c>
      <c r="E27" s="9" t="str">
        <f t="shared" ca="1" si="3"/>
        <v/>
      </c>
      <c r="F27" s="9" t="str">
        <f t="shared" si="4"/>
        <v/>
      </c>
      <c r="G27" s="9">
        <f t="shared" si="5"/>
        <v>0</v>
      </c>
      <c r="M27" s="9">
        <f t="shared" si="6"/>
        <v>0</v>
      </c>
      <c r="N27" s="9">
        <f t="shared" si="7"/>
        <v>0</v>
      </c>
      <c r="O27" s="9">
        <f t="shared" si="8"/>
        <v>0</v>
      </c>
      <c r="R27" s="9">
        <f t="shared" si="9"/>
        <v>0</v>
      </c>
    </row>
    <row r="28" spans="2:18" x14ac:dyDescent="0.25">
      <c r="B28" t="str">
        <f t="shared" si="10"/>
        <v/>
      </c>
      <c r="C28" s="9" t="str">
        <f t="shared" ca="1" si="1"/>
        <v/>
      </c>
      <c r="D28" s="9" t="str">
        <f t="shared" ca="1" si="2"/>
        <v/>
      </c>
      <c r="E28" s="9" t="str">
        <f t="shared" ca="1" si="3"/>
        <v/>
      </c>
      <c r="F28" s="9" t="str">
        <f t="shared" si="4"/>
        <v/>
      </c>
      <c r="G28" s="9">
        <f t="shared" si="5"/>
        <v>0</v>
      </c>
      <c r="M28" s="9">
        <f t="shared" si="6"/>
        <v>0</v>
      </c>
      <c r="N28" s="9">
        <f t="shared" si="7"/>
        <v>0</v>
      </c>
      <c r="O28" s="9">
        <f t="shared" si="8"/>
        <v>0</v>
      </c>
      <c r="R28" s="9">
        <f t="shared" si="9"/>
        <v>0</v>
      </c>
    </row>
    <row r="29" spans="2:18" x14ac:dyDescent="0.25">
      <c r="B29" t="str">
        <f t="shared" si="10"/>
        <v/>
      </c>
      <c r="C29" s="9" t="str">
        <f t="shared" ca="1" si="1"/>
        <v/>
      </c>
      <c r="D29" s="9" t="str">
        <f t="shared" ca="1" si="2"/>
        <v/>
      </c>
      <c r="E29" s="9" t="str">
        <f t="shared" ca="1" si="3"/>
        <v/>
      </c>
      <c r="F29" s="9" t="str">
        <f t="shared" si="4"/>
        <v/>
      </c>
      <c r="G29" s="9">
        <f t="shared" si="5"/>
        <v>0</v>
      </c>
      <c r="M29" s="9">
        <f t="shared" si="6"/>
        <v>0</v>
      </c>
      <c r="N29" s="9">
        <f t="shared" si="7"/>
        <v>0</v>
      </c>
      <c r="O29" s="9">
        <f t="shared" si="8"/>
        <v>0</v>
      </c>
      <c r="R29" s="9">
        <f t="shared" si="9"/>
        <v>0</v>
      </c>
    </row>
    <row r="30" spans="2:18" x14ac:dyDescent="0.25">
      <c r="B30" t="str">
        <f t="shared" si="10"/>
        <v/>
      </c>
      <c r="C30" s="9" t="str">
        <f t="shared" ca="1" si="1"/>
        <v/>
      </c>
      <c r="D30" s="9" t="str">
        <f t="shared" ca="1" si="2"/>
        <v/>
      </c>
      <c r="E30" s="9" t="str">
        <f t="shared" ca="1" si="3"/>
        <v/>
      </c>
      <c r="F30" s="9" t="str">
        <f t="shared" si="4"/>
        <v/>
      </c>
      <c r="G30" s="9">
        <f t="shared" si="5"/>
        <v>0</v>
      </c>
      <c r="M30" s="9">
        <f t="shared" si="6"/>
        <v>0</v>
      </c>
      <c r="N30" s="9">
        <f t="shared" si="7"/>
        <v>0</v>
      </c>
      <c r="O30" s="9">
        <f t="shared" si="8"/>
        <v>0</v>
      </c>
      <c r="R30" s="9">
        <f t="shared" si="9"/>
        <v>0</v>
      </c>
    </row>
    <row r="31" spans="2:18" x14ac:dyDescent="0.25">
      <c r="B31" t="str">
        <f t="shared" si="10"/>
        <v/>
      </c>
      <c r="C31" s="9" t="str">
        <f t="shared" ca="1" si="1"/>
        <v/>
      </c>
      <c r="D31" s="9" t="str">
        <f t="shared" ca="1" si="2"/>
        <v/>
      </c>
      <c r="E31" s="9" t="str">
        <f t="shared" ca="1" si="3"/>
        <v/>
      </c>
      <c r="F31" s="9" t="str">
        <f t="shared" si="4"/>
        <v/>
      </c>
      <c r="G31" s="9">
        <f t="shared" si="5"/>
        <v>0</v>
      </c>
      <c r="M31" s="9">
        <f t="shared" si="6"/>
        <v>0</v>
      </c>
      <c r="N31" s="9">
        <f t="shared" si="7"/>
        <v>0</v>
      </c>
      <c r="O31" s="9">
        <f t="shared" si="8"/>
        <v>0</v>
      </c>
      <c r="R31" s="9">
        <f t="shared" si="9"/>
        <v>0</v>
      </c>
    </row>
    <row r="32" spans="2:18" x14ac:dyDescent="0.25">
      <c r="B32" t="str">
        <f t="shared" si="10"/>
        <v/>
      </c>
      <c r="C32" s="9" t="str">
        <f t="shared" ca="1" si="1"/>
        <v/>
      </c>
      <c r="D32" s="9" t="str">
        <f t="shared" ca="1" si="2"/>
        <v/>
      </c>
      <c r="E32" s="9" t="str">
        <f t="shared" ca="1" si="3"/>
        <v/>
      </c>
      <c r="F32" s="9" t="str">
        <f t="shared" si="4"/>
        <v/>
      </c>
      <c r="G32" s="9">
        <f t="shared" si="5"/>
        <v>0</v>
      </c>
      <c r="M32" s="9">
        <f t="shared" si="6"/>
        <v>0</v>
      </c>
      <c r="N32" s="9">
        <f t="shared" si="7"/>
        <v>0</v>
      </c>
      <c r="O32" s="9">
        <f t="shared" si="8"/>
        <v>0</v>
      </c>
      <c r="R32" s="9">
        <f t="shared" si="9"/>
        <v>0</v>
      </c>
    </row>
    <row r="33" spans="2:18" x14ac:dyDescent="0.25">
      <c r="B33" t="str">
        <f t="shared" si="10"/>
        <v/>
      </c>
      <c r="C33" s="9" t="str">
        <f t="shared" ca="1" si="1"/>
        <v/>
      </c>
      <c r="D33" s="9" t="str">
        <f t="shared" ca="1" si="2"/>
        <v/>
      </c>
      <c r="E33" s="9" t="str">
        <f t="shared" ca="1" si="3"/>
        <v/>
      </c>
      <c r="F33" s="9" t="str">
        <f t="shared" si="4"/>
        <v/>
      </c>
      <c r="G33" s="9">
        <f t="shared" si="5"/>
        <v>0</v>
      </c>
      <c r="M33" s="9">
        <f t="shared" si="6"/>
        <v>0</v>
      </c>
      <c r="N33" s="9">
        <f t="shared" si="7"/>
        <v>0</v>
      </c>
      <c r="O33" s="9">
        <f t="shared" si="8"/>
        <v>0</v>
      </c>
      <c r="R33" s="9">
        <f t="shared" si="9"/>
        <v>0</v>
      </c>
    </row>
    <row r="34" spans="2:18" x14ac:dyDescent="0.25">
      <c r="B34" t="str">
        <f t="shared" si="10"/>
        <v/>
      </c>
      <c r="C34" s="9" t="str">
        <f t="shared" ca="1" si="1"/>
        <v/>
      </c>
      <c r="D34" s="9" t="str">
        <f t="shared" ca="1" si="2"/>
        <v/>
      </c>
      <c r="E34" s="9" t="str">
        <f t="shared" ca="1" si="3"/>
        <v/>
      </c>
      <c r="F34" s="9" t="str">
        <f t="shared" si="4"/>
        <v/>
      </c>
      <c r="G34" s="9">
        <f t="shared" si="5"/>
        <v>0</v>
      </c>
      <c r="M34" s="9">
        <f t="shared" si="6"/>
        <v>0</v>
      </c>
      <c r="N34" s="9">
        <f t="shared" si="7"/>
        <v>0</v>
      </c>
      <c r="O34" s="9">
        <f t="shared" si="8"/>
        <v>0</v>
      </c>
      <c r="R34" s="9">
        <f t="shared" si="9"/>
        <v>0</v>
      </c>
    </row>
    <row r="35" spans="2:18" x14ac:dyDescent="0.25">
      <c r="B35" t="str">
        <f t="shared" si="10"/>
        <v/>
      </c>
      <c r="C35" s="9" t="str">
        <f t="shared" ca="1" si="1"/>
        <v/>
      </c>
      <c r="D35" s="9" t="str">
        <f t="shared" ca="1" si="2"/>
        <v/>
      </c>
      <c r="E35" s="9" t="str">
        <f t="shared" ca="1" si="3"/>
        <v/>
      </c>
      <c r="F35" s="9" t="str">
        <f t="shared" si="4"/>
        <v/>
      </c>
      <c r="G35" s="9">
        <f t="shared" si="5"/>
        <v>0</v>
      </c>
      <c r="M35" s="9">
        <f t="shared" si="6"/>
        <v>0</v>
      </c>
      <c r="N35" s="9">
        <f t="shared" si="7"/>
        <v>0</v>
      </c>
      <c r="O35" s="9">
        <f t="shared" si="8"/>
        <v>0</v>
      </c>
      <c r="R35" s="9">
        <f t="shared" si="9"/>
        <v>0</v>
      </c>
    </row>
    <row r="36" spans="2:18" x14ac:dyDescent="0.25">
      <c r="B36" t="str">
        <f t="shared" si="10"/>
        <v/>
      </c>
      <c r="C36" s="9" t="str">
        <f t="shared" ca="1" si="1"/>
        <v/>
      </c>
      <c r="D36" s="9" t="str">
        <f t="shared" ca="1" si="2"/>
        <v/>
      </c>
      <c r="E36" s="9" t="str">
        <f t="shared" ca="1" si="3"/>
        <v/>
      </c>
      <c r="F36" s="9" t="str">
        <f t="shared" si="4"/>
        <v/>
      </c>
      <c r="G36" s="9">
        <f t="shared" si="5"/>
        <v>0</v>
      </c>
      <c r="M36" s="9">
        <f t="shared" si="6"/>
        <v>0</v>
      </c>
      <c r="N36" s="9">
        <f t="shared" si="7"/>
        <v>0</v>
      </c>
      <c r="O36" s="9">
        <f t="shared" si="8"/>
        <v>0</v>
      </c>
      <c r="R36" s="9">
        <f t="shared" si="9"/>
        <v>0</v>
      </c>
    </row>
    <row r="37" spans="2:18" x14ac:dyDescent="0.25">
      <c r="B37" t="str">
        <f t="shared" si="10"/>
        <v/>
      </c>
      <c r="C37" s="9" t="str">
        <f t="shared" ca="1" si="1"/>
        <v/>
      </c>
      <c r="D37" s="9" t="str">
        <f t="shared" ca="1" si="2"/>
        <v/>
      </c>
      <c r="E37" s="9" t="str">
        <f t="shared" ca="1" si="3"/>
        <v/>
      </c>
      <c r="F37" s="9" t="str">
        <f t="shared" si="4"/>
        <v/>
      </c>
      <c r="G37" s="9">
        <f t="shared" si="5"/>
        <v>0</v>
      </c>
      <c r="M37" s="9">
        <f t="shared" si="6"/>
        <v>0</v>
      </c>
      <c r="N37" s="9">
        <f t="shared" si="7"/>
        <v>0</v>
      </c>
      <c r="O37" s="9">
        <f t="shared" si="8"/>
        <v>0</v>
      </c>
      <c r="R37" s="9">
        <f t="shared" si="9"/>
        <v>0</v>
      </c>
    </row>
    <row r="38" spans="2:18" x14ac:dyDescent="0.25">
      <c r="B38" t="str">
        <f t="shared" si="10"/>
        <v/>
      </c>
      <c r="C38" s="9" t="str">
        <f t="shared" ca="1" si="1"/>
        <v/>
      </c>
      <c r="D38" s="9" t="str">
        <f t="shared" ca="1" si="2"/>
        <v/>
      </c>
      <c r="E38" s="9" t="str">
        <f t="shared" ca="1" si="3"/>
        <v/>
      </c>
      <c r="F38" s="9" t="str">
        <f t="shared" si="4"/>
        <v/>
      </c>
      <c r="G38" s="9">
        <f t="shared" si="5"/>
        <v>0</v>
      </c>
      <c r="M38" s="9">
        <f t="shared" si="6"/>
        <v>0</v>
      </c>
      <c r="N38" s="9">
        <f t="shared" si="7"/>
        <v>0</v>
      </c>
      <c r="O38" s="9">
        <f t="shared" si="8"/>
        <v>0</v>
      </c>
      <c r="R38" s="9">
        <f t="shared" si="9"/>
        <v>0</v>
      </c>
    </row>
    <row r="39" spans="2:18" x14ac:dyDescent="0.25">
      <c r="B39" t="str">
        <f t="shared" si="10"/>
        <v/>
      </c>
      <c r="C39" s="9" t="str">
        <f t="shared" ca="1" si="1"/>
        <v/>
      </c>
      <c r="D39" s="9" t="str">
        <f t="shared" ca="1" si="2"/>
        <v/>
      </c>
      <c r="E39" s="9" t="str">
        <f t="shared" ca="1" si="3"/>
        <v/>
      </c>
      <c r="F39" s="9" t="str">
        <f t="shared" si="4"/>
        <v/>
      </c>
      <c r="G39" s="9">
        <f t="shared" si="5"/>
        <v>0</v>
      </c>
      <c r="M39" s="9">
        <f t="shared" si="6"/>
        <v>0</v>
      </c>
      <c r="N39" s="9">
        <f t="shared" si="7"/>
        <v>0</v>
      </c>
      <c r="O39" s="9">
        <f t="shared" si="8"/>
        <v>0</v>
      </c>
      <c r="R39" s="9">
        <f t="shared" si="9"/>
        <v>0</v>
      </c>
    </row>
    <row r="40" spans="2:18" x14ac:dyDescent="0.25">
      <c r="B40" t="str">
        <f t="shared" si="10"/>
        <v/>
      </c>
      <c r="C40" s="9" t="str">
        <f t="shared" ca="1" si="1"/>
        <v/>
      </c>
      <c r="D40" s="9" t="str">
        <f t="shared" ca="1" si="2"/>
        <v/>
      </c>
      <c r="E40" s="9" t="str">
        <f t="shared" ca="1" si="3"/>
        <v/>
      </c>
      <c r="F40" s="9" t="str">
        <f t="shared" si="4"/>
        <v/>
      </c>
      <c r="G40" s="9">
        <f t="shared" si="5"/>
        <v>0</v>
      </c>
      <c r="M40" s="9">
        <f t="shared" si="6"/>
        <v>0</v>
      </c>
      <c r="N40" s="9">
        <f t="shared" si="7"/>
        <v>0</v>
      </c>
      <c r="O40" s="9">
        <f t="shared" si="8"/>
        <v>0</v>
      </c>
      <c r="R40" s="9">
        <f t="shared" si="9"/>
        <v>0</v>
      </c>
    </row>
    <row r="41" spans="2:18" x14ac:dyDescent="0.25">
      <c r="B41" t="str">
        <f t="shared" si="10"/>
        <v/>
      </c>
      <c r="C41" s="9" t="str">
        <f t="shared" ca="1" si="1"/>
        <v/>
      </c>
      <c r="D41" s="9" t="str">
        <f t="shared" ca="1" si="2"/>
        <v/>
      </c>
      <c r="E41" s="9" t="str">
        <f t="shared" ca="1" si="3"/>
        <v/>
      </c>
      <c r="F41" s="9" t="str">
        <f t="shared" si="4"/>
        <v/>
      </c>
      <c r="G41" s="9">
        <f t="shared" si="5"/>
        <v>0</v>
      </c>
      <c r="M41" s="9">
        <f t="shared" si="6"/>
        <v>0</v>
      </c>
      <c r="N41" s="9">
        <f t="shared" si="7"/>
        <v>0</v>
      </c>
      <c r="O41" s="9">
        <f t="shared" si="8"/>
        <v>0</v>
      </c>
      <c r="R41" s="9">
        <f t="shared" si="9"/>
        <v>0</v>
      </c>
    </row>
    <row r="42" spans="2:18" x14ac:dyDescent="0.25">
      <c r="B42" t="str">
        <f t="shared" si="10"/>
        <v/>
      </c>
      <c r="C42" s="9" t="str">
        <f t="shared" ca="1" si="1"/>
        <v/>
      </c>
      <c r="D42" s="9" t="str">
        <f t="shared" ca="1" si="2"/>
        <v/>
      </c>
      <c r="E42" s="9" t="str">
        <f t="shared" ca="1" si="3"/>
        <v/>
      </c>
      <c r="F42" s="9" t="str">
        <f t="shared" si="4"/>
        <v/>
      </c>
      <c r="G42" s="9">
        <f t="shared" si="5"/>
        <v>0</v>
      </c>
      <c r="M42" s="9">
        <f t="shared" si="6"/>
        <v>0</v>
      </c>
      <c r="N42" s="9">
        <f t="shared" si="7"/>
        <v>0</v>
      </c>
      <c r="O42" s="9">
        <f t="shared" si="8"/>
        <v>0</v>
      </c>
      <c r="R42" s="9">
        <f t="shared" si="9"/>
        <v>0</v>
      </c>
    </row>
    <row r="43" spans="2:18" x14ac:dyDescent="0.25">
      <c r="B43" t="str">
        <f t="shared" si="10"/>
        <v/>
      </c>
      <c r="C43" s="9" t="str">
        <f t="shared" ca="1" si="1"/>
        <v/>
      </c>
      <c r="D43" s="9" t="str">
        <f t="shared" ca="1" si="2"/>
        <v/>
      </c>
      <c r="E43" s="9" t="str">
        <f t="shared" ca="1" si="3"/>
        <v/>
      </c>
      <c r="F43" s="9" t="str">
        <f t="shared" si="4"/>
        <v/>
      </c>
      <c r="G43" s="9">
        <f t="shared" si="5"/>
        <v>0</v>
      </c>
      <c r="M43" s="9">
        <f t="shared" si="6"/>
        <v>0</v>
      </c>
      <c r="N43" s="9">
        <f t="shared" si="7"/>
        <v>0</v>
      </c>
      <c r="O43" s="9">
        <f t="shared" si="8"/>
        <v>0</v>
      </c>
      <c r="R43" s="9">
        <f t="shared" si="9"/>
        <v>0</v>
      </c>
    </row>
    <row r="44" spans="2:18" x14ac:dyDescent="0.25">
      <c r="B44" t="str">
        <f t="shared" si="10"/>
        <v/>
      </c>
      <c r="C44" s="9" t="str">
        <f t="shared" ca="1" si="1"/>
        <v/>
      </c>
      <c r="D44" s="9" t="str">
        <f t="shared" ca="1" si="2"/>
        <v/>
      </c>
      <c r="E44" s="9" t="str">
        <f t="shared" ca="1" si="3"/>
        <v/>
      </c>
      <c r="F44" s="9" t="str">
        <f t="shared" si="4"/>
        <v/>
      </c>
      <c r="G44" s="9">
        <f t="shared" si="5"/>
        <v>0</v>
      </c>
      <c r="M44" s="9">
        <f t="shared" si="6"/>
        <v>0</v>
      </c>
      <c r="N44" s="9">
        <f t="shared" si="7"/>
        <v>0</v>
      </c>
      <c r="O44" s="9">
        <f t="shared" si="8"/>
        <v>0</v>
      </c>
      <c r="R44" s="9">
        <f t="shared" si="9"/>
        <v>0</v>
      </c>
    </row>
    <row r="45" spans="2:18" x14ac:dyDescent="0.25">
      <c r="B45" t="str">
        <f t="shared" si="10"/>
        <v/>
      </c>
      <c r="C45" s="9" t="str">
        <f t="shared" ca="1" si="1"/>
        <v/>
      </c>
      <c r="D45" s="9" t="str">
        <f t="shared" ca="1" si="2"/>
        <v/>
      </c>
      <c r="E45" s="9" t="str">
        <f t="shared" ca="1" si="3"/>
        <v/>
      </c>
      <c r="F45" s="9" t="str">
        <f t="shared" si="4"/>
        <v/>
      </c>
      <c r="G45" s="9">
        <f t="shared" si="5"/>
        <v>0</v>
      </c>
      <c r="M45" s="9">
        <f t="shared" si="6"/>
        <v>0</v>
      </c>
      <c r="N45" s="9">
        <f t="shared" si="7"/>
        <v>0</v>
      </c>
      <c r="O45" s="9">
        <f t="shared" si="8"/>
        <v>0</v>
      </c>
      <c r="R45" s="9">
        <f t="shared" si="9"/>
        <v>0</v>
      </c>
    </row>
    <row r="46" spans="2:18" x14ac:dyDescent="0.25">
      <c r="B46" t="str">
        <f t="shared" si="10"/>
        <v/>
      </c>
      <c r="C46" s="9" t="str">
        <f t="shared" ca="1" si="1"/>
        <v/>
      </c>
      <c r="D46" s="9" t="str">
        <f t="shared" ca="1" si="2"/>
        <v/>
      </c>
      <c r="E46" s="9" t="str">
        <f t="shared" ca="1" si="3"/>
        <v/>
      </c>
      <c r="F46" s="9" t="str">
        <f t="shared" si="4"/>
        <v/>
      </c>
      <c r="G46" s="9">
        <f t="shared" si="5"/>
        <v>0</v>
      </c>
      <c r="M46" s="9">
        <f t="shared" si="6"/>
        <v>0</v>
      </c>
      <c r="N46" s="9">
        <f t="shared" si="7"/>
        <v>0</v>
      </c>
      <c r="O46" s="9">
        <f t="shared" si="8"/>
        <v>0</v>
      </c>
      <c r="R46" s="9">
        <f t="shared" si="9"/>
        <v>0</v>
      </c>
    </row>
    <row r="47" spans="2:18" x14ac:dyDescent="0.25">
      <c r="B47" t="str">
        <f t="shared" si="10"/>
        <v/>
      </c>
      <c r="C47" s="9" t="str">
        <f t="shared" ca="1" si="1"/>
        <v/>
      </c>
      <c r="D47" s="9" t="str">
        <f t="shared" ca="1" si="2"/>
        <v/>
      </c>
      <c r="E47" s="9" t="str">
        <f t="shared" ca="1" si="3"/>
        <v/>
      </c>
      <c r="F47" s="9" t="str">
        <f t="shared" si="4"/>
        <v/>
      </c>
      <c r="G47" s="9">
        <f t="shared" si="5"/>
        <v>0</v>
      </c>
      <c r="M47" s="9">
        <f t="shared" si="6"/>
        <v>0</v>
      </c>
      <c r="N47" s="9">
        <f t="shared" si="7"/>
        <v>0</v>
      </c>
      <c r="O47" s="9">
        <f t="shared" si="8"/>
        <v>0</v>
      </c>
      <c r="R47" s="9">
        <f t="shared" si="9"/>
        <v>0</v>
      </c>
    </row>
    <row r="48" spans="2:18" x14ac:dyDescent="0.25">
      <c r="B48" t="str">
        <f t="shared" si="10"/>
        <v/>
      </c>
      <c r="C48" s="9" t="str">
        <f t="shared" ca="1" si="1"/>
        <v/>
      </c>
      <c r="D48" s="9" t="str">
        <f t="shared" ca="1" si="2"/>
        <v/>
      </c>
      <c r="E48" s="9" t="str">
        <f t="shared" ca="1" si="3"/>
        <v/>
      </c>
      <c r="F48" s="9" t="str">
        <f t="shared" si="4"/>
        <v/>
      </c>
      <c r="G48" s="9">
        <f t="shared" si="5"/>
        <v>0</v>
      </c>
      <c r="M48" s="9">
        <f t="shared" si="6"/>
        <v>0</v>
      </c>
      <c r="N48" s="9">
        <f t="shared" si="7"/>
        <v>0</v>
      </c>
      <c r="O48" s="9">
        <f t="shared" si="8"/>
        <v>0</v>
      </c>
      <c r="R48" s="9">
        <f t="shared" si="9"/>
        <v>0</v>
      </c>
    </row>
    <row r="49" spans="2:18" x14ac:dyDescent="0.25">
      <c r="B49" t="str">
        <f t="shared" si="10"/>
        <v/>
      </c>
      <c r="C49" s="9" t="str">
        <f t="shared" ca="1" si="1"/>
        <v/>
      </c>
      <c r="D49" s="9" t="str">
        <f t="shared" ca="1" si="2"/>
        <v/>
      </c>
      <c r="E49" s="9" t="str">
        <f t="shared" ca="1" si="3"/>
        <v/>
      </c>
      <c r="F49" s="9" t="str">
        <f t="shared" si="4"/>
        <v/>
      </c>
      <c r="G49" s="9">
        <f t="shared" si="5"/>
        <v>0</v>
      </c>
      <c r="M49" s="9">
        <f t="shared" si="6"/>
        <v>0</v>
      </c>
      <c r="N49" s="9">
        <f t="shared" si="7"/>
        <v>0</v>
      </c>
      <c r="O49" s="9">
        <f t="shared" si="8"/>
        <v>0</v>
      </c>
      <c r="R49" s="9">
        <f t="shared" si="9"/>
        <v>0</v>
      </c>
    </row>
    <row r="50" spans="2:18" x14ac:dyDescent="0.25">
      <c r="M50" s="9">
        <f t="shared" si="6"/>
        <v>0</v>
      </c>
      <c r="N50" s="9">
        <f t="shared" si="7"/>
        <v>0</v>
      </c>
      <c r="O50" s="9">
        <f t="shared" si="8"/>
        <v>0</v>
      </c>
      <c r="R50" s="9">
        <f t="shared" si="9"/>
        <v>0</v>
      </c>
    </row>
    <row r="51" spans="2:18" x14ac:dyDescent="0.25">
      <c r="C51" s="9"/>
      <c r="D51" s="9"/>
      <c r="E51" s="9"/>
      <c r="F51" s="9"/>
      <c r="G51" s="9"/>
      <c r="M51" s="9">
        <f t="shared" si="6"/>
        <v>0</v>
      </c>
      <c r="N51" s="9">
        <f t="shared" si="7"/>
        <v>0</v>
      </c>
      <c r="O51" s="9">
        <f t="shared" si="8"/>
        <v>0</v>
      </c>
      <c r="R51" s="9">
        <f t="shared" si="9"/>
        <v>0</v>
      </c>
    </row>
    <row r="52" spans="2:18" x14ac:dyDescent="0.25">
      <c r="M52" s="9">
        <f t="shared" si="6"/>
        <v>0</v>
      </c>
      <c r="N52" s="9">
        <f t="shared" si="7"/>
        <v>0</v>
      </c>
      <c r="O52" s="9">
        <f t="shared" si="8"/>
        <v>0</v>
      </c>
      <c r="R52" s="9">
        <f t="shared" si="9"/>
        <v>0</v>
      </c>
    </row>
    <row r="53" spans="2:18" x14ac:dyDescent="0.25">
      <c r="M53" s="9">
        <f t="shared" si="6"/>
        <v>0</v>
      </c>
      <c r="N53" s="9">
        <f t="shared" si="7"/>
        <v>0</v>
      </c>
      <c r="O53" s="9">
        <f t="shared" si="8"/>
        <v>0</v>
      </c>
      <c r="R53" s="9">
        <f t="shared" si="9"/>
        <v>0</v>
      </c>
    </row>
    <row r="54" spans="2:18" x14ac:dyDescent="0.25">
      <c r="M54" s="9">
        <f t="shared" si="6"/>
        <v>0</v>
      </c>
      <c r="N54" s="9">
        <f t="shared" si="7"/>
        <v>0</v>
      </c>
      <c r="O54" s="9">
        <f t="shared" si="8"/>
        <v>0</v>
      </c>
      <c r="R54" s="9">
        <f t="shared" si="9"/>
        <v>0</v>
      </c>
    </row>
    <row r="55" spans="2:18" x14ac:dyDescent="0.25">
      <c r="M55" s="9">
        <f t="shared" si="6"/>
        <v>0</v>
      </c>
      <c r="N55" s="9">
        <f t="shared" si="7"/>
        <v>0</v>
      </c>
      <c r="O55" s="9">
        <f t="shared" si="8"/>
        <v>0</v>
      </c>
      <c r="R55" s="9">
        <f t="shared" si="9"/>
        <v>0</v>
      </c>
    </row>
    <row r="56" spans="2:18" x14ac:dyDescent="0.25">
      <c r="M56" s="9">
        <f t="shared" si="6"/>
        <v>0</v>
      </c>
      <c r="N56" s="9">
        <f t="shared" si="7"/>
        <v>0</v>
      </c>
      <c r="O56" s="9">
        <f t="shared" si="8"/>
        <v>0</v>
      </c>
      <c r="R56" s="9">
        <f t="shared" si="9"/>
        <v>0</v>
      </c>
    </row>
    <row r="57" spans="2:18" x14ac:dyDescent="0.25">
      <c r="M57" s="9">
        <f t="shared" si="6"/>
        <v>0</v>
      </c>
      <c r="N57" s="9">
        <f t="shared" si="7"/>
        <v>0</v>
      </c>
      <c r="O57" s="9">
        <f t="shared" si="8"/>
        <v>0</v>
      </c>
      <c r="R57" s="9">
        <f t="shared" si="9"/>
        <v>0</v>
      </c>
    </row>
    <row r="58" spans="2:18" x14ac:dyDescent="0.25">
      <c r="M58" s="9">
        <f t="shared" si="6"/>
        <v>0</v>
      </c>
      <c r="N58" s="9">
        <f t="shared" si="7"/>
        <v>0</v>
      </c>
      <c r="O58" s="9">
        <f t="shared" si="8"/>
        <v>0</v>
      </c>
      <c r="R58" s="9">
        <f t="shared" si="9"/>
        <v>0</v>
      </c>
    </row>
    <row r="59" spans="2:18" x14ac:dyDescent="0.25">
      <c r="M59" s="9">
        <f t="shared" si="6"/>
        <v>0</v>
      </c>
      <c r="N59" s="9">
        <f t="shared" si="7"/>
        <v>0</v>
      </c>
      <c r="O59" s="9">
        <f t="shared" si="8"/>
        <v>0</v>
      </c>
      <c r="R59" s="9">
        <f t="shared" si="9"/>
        <v>0</v>
      </c>
    </row>
    <row r="60" spans="2:18" x14ac:dyDescent="0.25">
      <c r="M60" s="9">
        <f t="shared" si="6"/>
        <v>0</v>
      </c>
      <c r="N60" s="9">
        <f t="shared" si="7"/>
        <v>0</v>
      </c>
      <c r="O60" s="9">
        <f t="shared" si="8"/>
        <v>0</v>
      </c>
      <c r="R60" s="9">
        <f t="shared" si="9"/>
        <v>0</v>
      </c>
    </row>
    <row r="61" spans="2:18" x14ac:dyDescent="0.25">
      <c r="M61" s="9">
        <f t="shared" si="6"/>
        <v>0</v>
      </c>
      <c r="N61" s="9">
        <f t="shared" si="7"/>
        <v>0</v>
      </c>
      <c r="O61" s="9">
        <f t="shared" si="8"/>
        <v>0</v>
      </c>
      <c r="R61" s="9">
        <f t="shared" si="9"/>
        <v>0</v>
      </c>
    </row>
    <row r="62" spans="2:18" x14ac:dyDescent="0.25">
      <c r="M62" s="9">
        <f t="shared" si="6"/>
        <v>0</v>
      </c>
      <c r="N62" s="9">
        <f t="shared" si="7"/>
        <v>0</v>
      </c>
      <c r="O62" s="9">
        <f t="shared" si="8"/>
        <v>0</v>
      </c>
      <c r="R62" s="9">
        <f t="shared" si="9"/>
        <v>0</v>
      </c>
    </row>
    <row r="63" spans="2:18" x14ac:dyDescent="0.25">
      <c r="M63" s="9">
        <f t="shared" si="6"/>
        <v>0</v>
      </c>
      <c r="N63" s="9">
        <f t="shared" si="7"/>
        <v>0</v>
      </c>
      <c r="O63" s="9">
        <f t="shared" si="8"/>
        <v>0</v>
      </c>
      <c r="R63" s="9">
        <f t="shared" si="9"/>
        <v>0</v>
      </c>
    </row>
    <row r="64" spans="2:18" x14ac:dyDescent="0.25">
      <c r="M64" s="9">
        <f t="shared" si="6"/>
        <v>0</v>
      </c>
      <c r="N64" s="9">
        <f t="shared" si="7"/>
        <v>0</v>
      </c>
      <c r="O64" s="9">
        <f t="shared" si="8"/>
        <v>0</v>
      </c>
      <c r="R64" s="9">
        <f t="shared" si="9"/>
        <v>0</v>
      </c>
    </row>
    <row r="65" spans="13:18" x14ac:dyDescent="0.25">
      <c r="M65" s="9">
        <f t="shared" si="6"/>
        <v>0</v>
      </c>
      <c r="N65" s="9">
        <f t="shared" si="7"/>
        <v>0</v>
      </c>
      <c r="O65" s="9">
        <f t="shared" si="8"/>
        <v>0</v>
      </c>
      <c r="R65" s="9">
        <f t="shared" si="9"/>
        <v>0</v>
      </c>
    </row>
    <row r="66" spans="13:18" x14ac:dyDescent="0.25">
      <c r="M66" s="9">
        <f t="shared" si="6"/>
        <v>0</v>
      </c>
      <c r="N66" s="9">
        <f t="shared" si="7"/>
        <v>0</v>
      </c>
      <c r="O66" s="9">
        <f t="shared" si="8"/>
        <v>0</v>
      </c>
      <c r="R66" s="9">
        <f t="shared" si="9"/>
        <v>0</v>
      </c>
    </row>
    <row r="67" spans="13:18" x14ac:dyDescent="0.25">
      <c r="M67" s="9">
        <f t="shared" si="6"/>
        <v>0</v>
      </c>
      <c r="N67" s="9">
        <f t="shared" si="7"/>
        <v>0</v>
      </c>
      <c r="O67" s="9">
        <f t="shared" si="8"/>
        <v>0</v>
      </c>
      <c r="R67" s="9">
        <f t="shared" si="9"/>
        <v>0</v>
      </c>
    </row>
    <row r="68" spans="13:18" x14ac:dyDescent="0.25">
      <c r="M68" s="9">
        <f t="shared" ref="M68:M131" si="11">SUMIFS($X$3:$X$20000,$T$3:$T$20000,$I68,$U$3:$U$20000,$J68,$V$3:$V$20000,$K68,$W$3:$W$20000,$L68)</f>
        <v>0</v>
      </c>
      <c r="N68" s="9">
        <f t="shared" ref="N68:N131" si="12">SUMIFS($Y$3:$Y$20000,$T$3:$T$20000,$I68,$U$3:$U$20000,$J68,$V$3:$V$20000,$K68,$W$3:$W$20000,$L68)</f>
        <v>0</v>
      </c>
      <c r="O68" s="9">
        <f t="shared" ref="O68:O131" si="13">SUMIFS($Z$3:$Z$20000,$T$3:$T$20000,$I68,$U$3:$U$20000,$J68,$V$3:$V$20000,$K68,$W$3:$W$20000,$L68)</f>
        <v>0</v>
      </c>
      <c r="R68" s="9">
        <f t="shared" ref="R68:R131" si="14">SUMIFS($AA$3:$AA$20000,$T$3:$T$20000,$I68,$U$3:$U$20000,$J68,$V$3:$V$20000,$K68,$W$3:$W$20000,$L68)</f>
        <v>0</v>
      </c>
    </row>
    <row r="69" spans="13:18" x14ac:dyDescent="0.25">
      <c r="M69" s="9">
        <f t="shared" si="11"/>
        <v>0</v>
      </c>
      <c r="N69" s="9">
        <f t="shared" si="12"/>
        <v>0</v>
      </c>
      <c r="O69" s="9">
        <f t="shared" si="13"/>
        <v>0</v>
      </c>
      <c r="R69" s="9">
        <f t="shared" si="14"/>
        <v>0</v>
      </c>
    </row>
    <row r="70" spans="13:18" x14ac:dyDescent="0.25">
      <c r="M70" s="9">
        <f t="shared" si="11"/>
        <v>0</v>
      </c>
      <c r="N70" s="9">
        <f t="shared" si="12"/>
        <v>0</v>
      </c>
      <c r="O70" s="9">
        <f t="shared" si="13"/>
        <v>0</v>
      </c>
      <c r="R70" s="9">
        <f t="shared" si="14"/>
        <v>0</v>
      </c>
    </row>
    <row r="71" spans="13:18" x14ac:dyDescent="0.25">
      <c r="M71" s="9">
        <f t="shared" si="11"/>
        <v>0</v>
      </c>
      <c r="N71" s="9">
        <f t="shared" si="12"/>
        <v>0</v>
      </c>
      <c r="O71" s="9">
        <f t="shared" si="13"/>
        <v>0</v>
      </c>
      <c r="R71" s="9">
        <f t="shared" si="14"/>
        <v>0</v>
      </c>
    </row>
    <row r="72" spans="13:18" x14ac:dyDescent="0.25">
      <c r="M72" s="9">
        <f t="shared" si="11"/>
        <v>0</v>
      </c>
      <c r="N72" s="9">
        <f t="shared" si="12"/>
        <v>0</v>
      </c>
      <c r="O72" s="9">
        <f t="shared" si="13"/>
        <v>0</v>
      </c>
      <c r="R72" s="9">
        <f t="shared" si="14"/>
        <v>0</v>
      </c>
    </row>
    <row r="73" spans="13:18" x14ac:dyDescent="0.25">
      <c r="M73" s="9">
        <f t="shared" si="11"/>
        <v>0</v>
      </c>
      <c r="N73" s="9">
        <f t="shared" si="12"/>
        <v>0</v>
      </c>
      <c r="O73" s="9">
        <f t="shared" si="13"/>
        <v>0</v>
      </c>
      <c r="R73" s="9">
        <f t="shared" si="14"/>
        <v>0</v>
      </c>
    </row>
    <row r="74" spans="13:18" x14ac:dyDescent="0.25">
      <c r="M74" s="9">
        <f t="shared" si="11"/>
        <v>0</v>
      </c>
      <c r="N74" s="9">
        <f t="shared" si="12"/>
        <v>0</v>
      </c>
      <c r="O74" s="9">
        <f t="shared" si="13"/>
        <v>0</v>
      </c>
      <c r="R74" s="9">
        <f t="shared" si="14"/>
        <v>0</v>
      </c>
    </row>
    <row r="75" spans="13:18" x14ac:dyDescent="0.25">
      <c r="M75" s="9">
        <f t="shared" si="11"/>
        <v>0</v>
      </c>
      <c r="N75" s="9">
        <f t="shared" si="12"/>
        <v>0</v>
      </c>
      <c r="O75" s="9">
        <f t="shared" si="13"/>
        <v>0</v>
      </c>
      <c r="R75" s="9">
        <f t="shared" si="14"/>
        <v>0</v>
      </c>
    </row>
    <row r="76" spans="13:18" x14ac:dyDescent="0.25">
      <c r="M76" s="9">
        <f t="shared" si="11"/>
        <v>0</v>
      </c>
      <c r="N76" s="9">
        <f t="shared" si="12"/>
        <v>0</v>
      </c>
      <c r="O76" s="9">
        <f t="shared" si="13"/>
        <v>0</v>
      </c>
      <c r="R76" s="9">
        <f t="shared" si="14"/>
        <v>0</v>
      </c>
    </row>
    <row r="77" spans="13:18" x14ac:dyDescent="0.25">
      <c r="M77" s="9">
        <f t="shared" si="11"/>
        <v>0</v>
      </c>
      <c r="N77" s="9">
        <f t="shared" si="12"/>
        <v>0</v>
      </c>
      <c r="O77" s="9">
        <f t="shared" si="13"/>
        <v>0</v>
      </c>
      <c r="R77" s="9">
        <f t="shared" si="14"/>
        <v>0</v>
      </c>
    </row>
    <row r="78" spans="13:18" x14ac:dyDescent="0.25">
      <c r="M78" s="9">
        <f t="shared" si="11"/>
        <v>0</v>
      </c>
      <c r="N78" s="9">
        <f t="shared" si="12"/>
        <v>0</v>
      </c>
      <c r="O78" s="9">
        <f t="shared" si="13"/>
        <v>0</v>
      </c>
      <c r="R78" s="9">
        <f t="shared" si="14"/>
        <v>0</v>
      </c>
    </row>
    <row r="79" spans="13:18" x14ac:dyDescent="0.25">
      <c r="M79" s="9">
        <f t="shared" si="11"/>
        <v>0</v>
      </c>
      <c r="N79" s="9">
        <f t="shared" si="12"/>
        <v>0</v>
      </c>
      <c r="O79" s="9">
        <f t="shared" si="13"/>
        <v>0</v>
      </c>
      <c r="R79" s="9">
        <f t="shared" si="14"/>
        <v>0</v>
      </c>
    </row>
    <row r="80" spans="13:18" x14ac:dyDescent="0.25">
      <c r="M80" s="9">
        <f t="shared" si="11"/>
        <v>0</v>
      </c>
      <c r="N80" s="9">
        <f t="shared" si="12"/>
        <v>0</v>
      </c>
      <c r="O80" s="9">
        <f t="shared" si="13"/>
        <v>0</v>
      </c>
      <c r="R80" s="9">
        <f t="shared" si="14"/>
        <v>0</v>
      </c>
    </row>
    <row r="81" spans="13:18" x14ac:dyDescent="0.25">
      <c r="M81" s="9">
        <f t="shared" si="11"/>
        <v>0</v>
      </c>
      <c r="N81" s="9">
        <f t="shared" si="12"/>
        <v>0</v>
      </c>
      <c r="O81" s="9">
        <f t="shared" si="13"/>
        <v>0</v>
      </c>
      <c r="R81" s="9">
        <f t="shared" si="14"/>
        <v>0</v>
      </c>
    </row>
    <row r="82" spans="13:18" x14ac:dyDescent="0.25">
      <c r="M82" s="9">
        <f t="shared" si="11"/>
        <v>0</v>
      </c>
      <c r="N82" s="9">
        <f t="shared" si="12"/>
        <v>0</v>
      </c>
      <c r="O82" s="9">
        <f t="shared" si="13"/>
        <v>0</v>
      </c>
      <c r="R82" s="9">
        <f t="shared" si="14"/>
        <v>0</v>
      </c>
    </row>
    <row r="83" spans="13:18" x14ac:dyDescent="0.25">
      <c r="M83" s="9">
        <f t="shared" si="11"/>
        <v>0</v>
      </c>
      <c r="N83" s="9">
        <f t="shared" si="12"/>
        <v>0</v>
      </c>
      <c r="O83" s="9">
        <f t="shared" si="13"/>
        <v>0</v>
      </c>
      <c r="R83" s="9">
        <f t="shared" si="14"/>
        <v>0</v>
      </c>
    </row>
    <row r="84" spans="13:18" x14ac:dyDescent="0.25">
      <c r="M84" s="9">
        <f t="shared" si="11"/>
        <v>0</v>
      </c>
      <c r="N84" s="9">
        <f t="shared" si="12"/>
        <v>0</v>
      </c>
      <c r="O84" s="9">
        <f t="shared" si="13"/>
        <v>0</v>
      </c>
      <c r="R84" s="9">
        <f t="shared" si="14"/>
        <v>0</v>
      </c>
    </row>
    <row r="85" spans="13:18" x14ac:dyDescent="0.25">
      <c r="M85" s="9">
        <f t="shared" si="11"/>
        <v>0</v>
      </c>
      <c r="N85" s="9">
        <f t="shared" si="12"/>
        <v>0</v>
      </c>
      <c r="O85" s="9">
        <f t="shared" si="13"/>
        <v>0</v>
      </c>
      <c r="R85" s="9">
        <f t="shared" si="14"/>
        <v>0</v>
      </c>
    </row>
    <row r="86" spans="13:18" x14ac:dyDescent="0.25">
      <c r="M86" s="9">
        <f t="shared" si="11"/>
        <v>0</v>
      </c>
      <c r="N86" s="9">
        <f t="shared" si="12"/>
        <v>0</v>
      </c>
      <c r="O86" s="9">
        <f t="shared" si="13"/>
        <v>0</v>
      </c>
      <c r="R86" s="9">
        <f t="shared" si="14"/>
        <v>0</v>
      </c>
    </row>
    <row r="87" spans="13:18" x14ac:dyDescent="0.25">
      <c r="M87" s="9">
        <f t="shared" si="11"/>
        <v>0</v>
      </c>
      <c r="N87" s="9">
        <f t="shared" si="12"/>
        <v>0</v>
      </c>
      <c r="O87" s="9">
        <f t="shared" si="13"/>
        <v>0</v>
      </c>
      <c r="R87" s="9">
        <f t="shared" si="14"/>
        <v>0</v>
      </c>
    </row>
    <row r="88" spans="13:18" x14ac:dyDescent="0.25">
      <c r="M88" s="9">
        <f t="shared" si="11"/>
        <v>0</v>
      </c>
      <c r="N88" s="9">
        <f t="shared" si="12"/>
        <v>0</v>
      </c>
      <c r="O88" s="9">
        <f t="shared" si="13"/>
        <v>0</v>
      </c>
      <c r="R88" s="9">
        <f t="shared" si="14"/>
        <v>0</v>
      </c>
    </row>
    <row r="89" spans="13:18" x14ac:dyDescent="0.25">
      <c r="M89" s="9">
        <f t="shared" si="11"/>
        <v>0</v>
      </c>
      <c r="N89" s="9">
        <f t="shared" si="12"/>
        <v>0</v>
      </c>
      <c r="O89" s="9">
        <f t="shared" si="13"/>
        <v>0</v>
      </c>
      <c r="R89" s="9">
        <f t="shared" si="14"/>
        <v>0</v>
      </c>
    </row>
    <row r="90" spans="13:18" x14ac:dyDescent="0.25">
      <c r="M90" s="9">
        <f t="shared" si="11"/>
        <v>0</v>
      </c>
      <c r="N90" s="9">
        <f t="shared" si="12"/>
        <v>0</v>
      </c>
      <c r="O90" s="9">
        <f t="shared" si="13"/>
        <v>0</v>
      </c>
      <c r="R90" s="9">
        <f t="shared" si="14"/>
        <v>0</v>
      </c>
    </row>
    <row r="91" spans="13:18" x14ac:dyDescent="0.25">
      <c r="M91" s="9">
        <f t="shared" si="11"/>
        <v>0</v>
      </c>
      <c r="N91" s="9">
        <f t="shared" si="12"/>
        <v>0</v>
      </c>
      <c r="O91" s="9">
        <f t="shared" si="13"/>
        <v>0</v>
      </c>
      <c r="R91" s="9">
        <f t="shared" si="14"/>
        <v>0</v>
      </c>
    </row>
    <row r="92" spans="13:18" x14ac:dyDescent="0.25">
      <c r="M92" s="9">
        <f t="shared" si="11"/>
        <v>0</v>
      </c>
      <c r="N92" s="9">
        <f t="shared" si="12"/>
        <v>0</v>
      </c>
      <c r="O92" s="9">
        <f t="shared" si="13"/>
        <v>0</v>
      </c>
      <c r="R92" s="9">
        <f t="shared" si="14"/>
        <v>0</v>
      </c>
    </row>
    <row r="93" spans="13:18" x14ac:dyDescent="0.25">
      <c r="M93" s="9">
        <f t="shared" si="11"/>
        <v>0</v>
      </c>
      <c r="N93" s="9">
        <f t="shared" si="12"/>
        <v>0</v>
      </c>
      <c r="O93" s="9">
        <f t="shared" si="13"/>
        <v>0</v>
      </c>
      <c r="R93" s="9">
        <f t="shared" si="14"/>
        <v>0</v>
      </c>
    </row>
    <row r="94" spans="13:18" x14ac:dyDescent="0.25">
      <c r="M94" s="9">
        <f t="shared" si="11"/>
        <v>0</v>
      </c>
      <c r="N94" s="9">
        <f t="shared" si="12"/>
        <v>0</v>
      </c>
      <c r="O94" s="9">
        <f t="shared" si="13"/>
        <v>0</v>
      </c>
      <c r="R94" s="9">
        <f t="shared" si="14"/>
        <v>0</v>
      </c>
    </row>
    <row r="95" spans="13:18" x14ac:dyDescent="0.25">
      <c r="M95" s="9">
        <f t="shared" si="11"/>
        <v>0</v>
      </c>
      <c r="N95" s="9">
        <f t="shared" si="12"/>
        <v>0</v>
      </c>
      <c r="O95" s="9">
        <f t="shared" si="13"/>
        <v>0</v>
      </c>
      <c r="R95" s="9">
        <f t="shared" si="14"/>
        <v>0</v>
      </c>
    </row>
    <row r="96" spans="13:18" x14ac:dyDescent="0.25">
      <c r="M96" s="9">
        <f t="shared" si="11"/>
        <v>0</v>
      </c>
      <c r="N96" s="9">
        <f t="shared" si="12"/>
        <v>0</v>
      </c>
      <c r="O96" s="9">
        <f t="shared" si="13"/>
        <v>0</v>
      </c>
      <c r="R96" s="9">
        <f t="shared" si="14"/>
        <v>0</v>
      </c>
    </row>
    <row r="97" spans="13:18" x14ac:dyDescent="0.25">
      <c r="M97" s="9">
        <f t="shared" si="11"/>
        <v>0</v>
      </c>
      <c r="N97" s="9">
        <f t="shared" si="12"/>
        <v>0</v>
      </c>
      <c r="O97" s="9">
        <f t="shared" si="13"/>
        <v>0</v>
      </c>
      <c r="R97" s="9">
        <f t="shared" si="14"/>
        <v>0</v>
      </c>
    </row>
    <row r="98" spans="13:18" x14ac:dyDescent="0.25">
      <c r="M98" s="9">
        <f t="shared" si="11"/>
        <v>0</v>
      </c>
      <c r="N98" s="9">
        <f t="shared" si="12"/>
        <v>0</v>
      </c>
      <c r="O98" s="9">
        <f t="shared" si="13"/>
        <v>0</v>
      </c>
      <c r="R98" s="9">
        <f t="shared" si="14"/>
        <v>0</v>
      </c>
    </row>
    <row r="99" spans="13:18" x14ac:dyDescent="0.25">
      <c r="M99" s="9">
        <f t="shared" si="11"/>
        <v>0</v>
      </c>
      <c r="N99" s="9">
        <f t="shared" si="12"/>
        <v>0</v>
      </c>
      <c r="O99" s="9">
        <f t="shared" si="13"/>
        <v>0</v>
      </c>
      <c r="R99" s="9">
        <f t="shared" si="14"/>
        <v>0</v>
      </c>
    </row>
    <row r="100" spans="13:18" x14ac:dyDescent="0.25">
      <c r="M100" s="9">
        <f t="shared" si="11"/>
        <v>0</v>
      </c>
      <c r="N100" s="9">
        <f t="shared" si="12"/>
        <v>0</v>
      </c>
      <c r="O100" s="9">
        <f t="shared" si="13"/>
        <v>0</v>
      </c>
      <c r="R100" s="9">
        <f t="shared" si="14"/>
        <v>0</v>
      </c>
    </row>
    <row r="101" spans="13:18" x14ac:dyDescent="0.25">
      <c r="M101" s="9">
        <f t="shared" si="11"/>
        <v>0</v>
      </c>
      <c r="N101" s="9">
        <f t="shared" si="12"/>
        <v>0</v>
      </c>
      <c r="O101" s="9">
        <f t="shared" si="13"/>
        <v>0</v>
      </c>
      <c r="R101" s="9">
        <f t="shared" si="14"/>
        <v>0</v>
      </c>
    </row>
    <row r="102" spans="13:18" x14ac:dyDescent="0.25">
      <c r="M102" s="9">
        <f t="shared" si="11"/>
        <v>0</v>
      </c>
      <c r="N102" s="9">
        <f t="shared" si="12"/>
        <v>0</v>
      </c>
      <c r="O102" s="9">
        <f t="shared" si="13"/>
        <v>0</v>
      </c>
      <c r="R102" s="9">
        <f t="shared" si="14"/>
        <v>0</v>
      </c>
    </row>
    <row r="103" spans="13:18" x14ac:dyDescent="0.25">
      <c r="M103" s="9">
        <f t="shared" si="11"/>
        <v>0</v>
      </c>
      <c r="N103" s="9">
        <f t="shared" si="12"/>
        <v>0</v>
      </c>
      <c r="O103" s="9">
        <f t="shared" si="13"/>
        <v>0</v>
      </c>
      <c r="R103" s="9">
        <f t="shared" si="14"/>
        <v>0</v>
      </c>
    </row>
    <row r="104" spans="13:18" x14ac:dyDescent="0.25">
      <c r="M104" s="9">
        <f t="shared" si="11"/>
        <v>0</v>
      </c>
      <c r="N104" s="9">
        <f t="shared" si="12"/>
        <v>0</v>
      </c>
      <c r="O104" s="9">
        <f t="shared" si="13"/>
        <v>0</v>
      </c>
      <c r="R104" s="9">
        <f t="shared" si="14"/>
        <v>0</v>
      </c>
    </row>
    <row r="105" spans="13:18" x14ac:dyDescent="0.25">
      <c r="M105" s="9">
        <f t="shared" si="11"/>
        <v>0</v>
      </c>
      <c r="N105" s="9">
        <f t="shared" si="12"/>
        <v>0</v>
      </c>
      <c r="O105" s="9">
        <f t="shared" si="13"/>
        <v>0</v>
      </c>
      <c r="R105" s="9">
        <f t="shared" si="14"/>
        <v>0</v>
      </c>
    </row>
    <row r="106" spans="13:18" x14ac:dyDescent="0.25">
      <c r="M106" s="9">
        <f t="shared" si="11"/>
        <v>0</v>
      </c>
      <c r="N106" s="9">
        <f t="shared" si="12"/>
        <v>0</v>
      </c>
      <c r="O106" s="9">
        <f t="shared" si="13"/>
        <v>0</v>
      </c>
      <c r="R106" s="9">
        <f t="shared" si="14"/>
        <v>0</v>
      </c>
    </row>
    <row r="107" spans="13:18" x14ac:dyDescent="0.25">
      <c r="M107" s="9">
        <f t="shared" si="11"/>
        <v>0</v>
      </c>
      <c r="N107" s="9">
        <f t="shared" si="12"/>
        <v>0</v>
      </c>
      <c r="O107" s="9">
        <f t="shared" si="13"/>
        <v>0</v>
      </c>
      <c r="R107" s="9">
        <f t="shared" si="14"/>
        <v>0</v>
      </c>
    </row>
    <row r="108" spans="13:18" x14ac:dyDescent="0.25">
      <c r="M108" s="9">
        <f t="shared" si="11"/>
        <v>0</v>
      </c>
      <c r="N108" s="9">
        <f t="shared" si="12"/>
        <v>0</v>
      </c>
      <c r="O108" s="9">
        <f t="shared" si="13"/>
        <v>0</v>
      </c>
      <c r="R108" s="9">
        <f t="shared" si="14"/>
        <v>0</v>
      </c>
    </row>
    <row r="109" spans="13:18" x14ac:dyDescent="0.25">
      <c r="M109" s="9">
        <f t="shared" si="11"/>
        <v>0</v>
      </c>
      <c r="N109" s="9">
        <f t="shared" si="12"/>
        <v>0</v>
      </c>
      <c r="O109" s="9">
        <f t="shared" si="13"/>
        <v>0</v>
      </c>
      <c r="R109" s="9">
        <f t="shared" si="14"/>
        <v>0</v>
      </c>
    </row>
    <row r="110" spans="13:18" x14ac:dyDescent="0.25">
      <c r="M110" s="9">
        <f t="shared" si="11"/>
        <v>0</v>
      </c>
      <c r="N110" s="9">
        <f t="shared" si="12"/>
        <v>0</v>
      </c>
      <c r="O110" s="9">
        <f t="shared" si="13"/>
        <v>0</v>
      </c>
      <c r="R110" s="9">
        <f t="shared" si="14"/>
        <v>0</v>
      </c>
    </row>
    <row r="111" spans="13:18" x14ac:dyDescent="0.25">
      <c r="M111" s="9">
        <f t="shared" si="11"/>
        <v>0</v>
      </c>
      <c r="N111" s="9">
        <f t="shared" si="12"/>
        <v>0</v>
      </c>
      <c r="O111" s="9">
        <f t="shared" si="13"/>
        <v>0</v>
      </c>
      <c r="R111" s="9">
        <f t="shared" si="14"/>
        <v>0</v>
      </c>
    </row>
    <row r="112" spans="13:18" x14ac:dyDescent="0.25">
      <c r="M112" s="9">
        <f t="shared" si="11"/>
        <v>0</v>
      </c>
      <c r="N112" s="9">
        <f t="shared" si="12"/>
        <v>0</v>
      </c>
      <c r="O112" s="9">
        <f t="shared" si="13"/>
        <v>0</v>
      </c>
      <c r="R112" s="9">
        <f t="shared" si="14"/>
        <v>0</v>
      </c>
    </row>
    <row r="113" spans="13:18" x14ac:dyDescent="0.25">
      <c r="M113" s="9">
        <f t="shared" si="11"/>
        <v>0</v>
      </c>
      <c r="N113" s="9">
        <f t="shared" si="12"/>
        <v>0</v>
      </c>
      <c r="O113" s="9">
        <f t="shared" si="13"/>
        <v>0</v>
      </c>
      <c r="R113" s="9">
        <f t="shared" si="14"/>
        <v>0</v>
      </c>
    </row>
    <row r="114" spans="13:18" x14ac:dyDescent="0.25">
      <c r="M114" s="9">
        <f t="shared" si="11"/>
        <v>0</v>
      </c>
      <c r="N114" s="9">
        <f t="shared" si="12"/>
        <v>0</v>
      </c>
      <c r="O114" s="9">
        <f t="shared" si="13"/>
        <v>0</v>
      </c>
      <c r="R114" s="9">
        <f t="shared" si="14"/>
        <v>0</v>
      </c>
    </row>
    <row r="115" spans="13:18" x14ac:dyDescent="0.25">
      <c r="M115" s="9">
        <f t="shared" si="11"/>
        <v>0</v>
      </c>
      <c r="N115" s="9">
        <f t="shared" si="12"/>
        <v>0</v>
      </c>
      <c r="O115" s="9">
        <f t="shared" si="13"/>
        <v>0</v>
      </c>
      <c r="R115" s="9">
        <f t="shared" si="14"/>
        <v>0</v>
      </c>
    </row>
    <row r="116" spans="13:18" x14ac:dyDescent="0.25">
      <c r="M116" s="9">
        <f t="shared" si="11"/>
        <v>0</v>
      </c>
      <c r="N116" s="9">
        <f t="shared" si="12"/>
        <v>0</v>
      </c>
      <c r="O116" s="9">
        <f t="shared" si="13"/>
        <v>0</v>
      </c>
      <c r="R116" s="9">
        <f t="shared" si="14"/>
        <v>0</v>
      </c>
    </row>
    <row r="117" spans="13:18" x14ac:dyDescent="0.25">
      <c r="M117" s="9">
        <f t="shared" si="11"/>
        <v>0</v>
      </c>
      <c r="N117" s="9">
        <f t="shared" si="12"/>
        <v>0</v>
      </c>
      <c r="O117" s="9">
        <f t="shared" si="13"/>
        <v>0</v>
      </c>
      <c r="R117" s="9">
        <f t="shared" si="14"/>
        <v>0</v>
      </c>
    </row>
    <row r="118" spans="13:18" x14ac:dyDescent="0.25">
      <c r="M118" s="9">
        <f t="shared" si="11"/>
        <v>0</v>
      </c>
      <c r="N118" s="9">
        <f t="shared" si="12"/>
        <v>0</v>
      </c>
      <c r="O118" s="9">
        <f t="shared" si="13"/>
        <v>0</v>
      </c>
      <c r="R118" s="9">
        <f t="shared" si="14"/>
        <v>0</v>
      </c>
    </row>
    <row r="119" spans="13:18" x14ac:dyDescent="0.25">
      <c r="M119" s="9">
        <f t="shared" si="11"/>
        <v>0</v>
      </c>
      <c r="N119" s="9">
        <f t="shared" si="12"/>
        <v>0</v>
      </c>
      <c r="O119" s="9">
        <f t="shared" si="13"/>
        <v>0</v>
      </c>
      <c r="R119" s="9">
        <f t="shared" si="14"/>
        <v>0</v>
      </c>
    </row>
    <row r="120" spans="13:18" x14ac:dyDescent="0.25">
      <c r="M120" s="9">
        <f t="shared" si="11"/>
        <v>0</v>
      </c>
      <c r="N120" s="9">
        <f t="shared" si="12"/>
        <v>0</v>
      </c>
      <c r="O120" s="9">
        <f t="shared" si="13"/>
        <v>0</v>
      </c>
      <c r="R120" s="9">
        <f t="shared" si="14"/>
        <v>0</v>
      </c>
    </row>
    <row r="121" spans="13:18" x14ac:dyDescent="0.25">
      <c r="M121" s="9">
        <f t="shared" si="11"/>
        <v>0</v>
      </c>
      <c r="N121" s="9">
        <f t="shared" si="12"/>
        <v>0</v>
      </c>
      <c r="O121" s="9">
        <f t="shared" si="13"/>
        <v>0</v>
      </c>
      <c r="R121" s="9">
        <f t="shared" si="14"/>
        <v>0</v>
      </c>
    </row>
    <row r="122" spans="13:18" x14ac:dyDescent="0.25">
      <c r="M122" s="9">
        <f t="shared" si="11"/>
        <v>0</v>
      </c>
      <c r="N122" s="9">
        <f t="shared" si="12"/>
        <v>0</v>
      </c>
      <c r="O122" s="9">
        <f t="shared" si="13"/>
        <v>0</v>
      </c>
      <c r="R122" s="9">
        <f t="shared" si="14"/>
        <v>0</v>
      </c>
    </row>
    <row r="123" spans="13:18" x14ac:dyDescent="0.25">
      <c r="M123" s="9">
        <f t="shared" si="11"/>
        <v>0</v>
      </c>
      <c r="N123" s="9">
        <f t="shared" si="12"/>
        <v>0</v>
      </c>
      <c r="O123" s="9">
        <f t="shared" si="13"/>
        <v>0</v>
      </c>
      <c r="R123" s="9">
        <f t="shared" si="14"/>
        <v>0</v>
      </c>
    </row>
    <row r="124" spans="13:18" x14ac:dyDescent="0.25">
      <c r="M124" s="9">
        <f t="shared" si="11"/>
        <v>0</v>
      </c>
      <c r="N124" s="9">
        <f t="shared" si="12"/>
        <v>0</v>
      </c>
      <c r="O124" s="9">
        <f t="shared" si="13"/>
        <v>0</v>
      </c>
      <c r="R124" s="9">
        <f t="shared" si="14"/>
        <v>0</v>
      </c>
    </row>
    <row r="125" spans="13:18" x14ac:dyDescent="0.25">
      <c r="M125" s="9">
        <f t="shared" si="11"/>
        <v>0</v>
      </c>
      <c r="N125" s="9">
        <f t="shared" si="12"/>
        <v>0</v>
      </c>
      <c r="O125" s="9">
        <f t="shared" si="13"/>
        <v>0</v>
      </c>
      <c r="R125" s="9">
        <f t="shared" si="14"/>
        <v>0</v>
      </c>
    </row>
    <row r="126" spans="13:18" x14ac:dyDescent="0.25">
      <c r="M126" s="9">
        <f t="shared" si="11"/>
        <v>0</v>
      </c>
      <c r="N126" s="9">
        <f t="shared" si="12"/>
        <v>0</v>
      </c>
      <c r="O126" s="9">
        <f t="shared" si="13"/>
        <v>0</v>
      </c>
      <c r="R126" s="9">
        <f t="shared" si="14"/>
        <v>0</v>
      </c>
    </row>
    <row r="127" spans="13:18" x14ac:dyDescent="0.25">
      <c r="M127" s="9">
        <f t="shared" si="11"/>
        <v>0</v>
      </c>
      <c r="N127" s="9">
        <f t="shared" si="12"/>
        <v>0</v>
      </c>
      <c r="O127" s="9">
        <f t="shared" si="13"/>
        <v>0</v>
      </c>
      <c r="R127" s="9">
        <f t="shared" si="14"/>
        <v>0</v>
      </c>
    </row>
    <row r="128" spans="13:18" x14ac:dyDescent="0.25">
      <c r="M128" s="9">
        <f t="shared" si="11"/>
        <v>0</v>
      </c>
      <c r="N128" s="9">
        <f t="shared" si="12"/>
        <v>0</v>
      </c>
      <c r="O128" s="9">
        <f t="shared" si="13"/>
        <v>0</v>
      </c>
      <c r="R128" s="9">
        <f t="shared" si="14"/>
        <v>0</v>
      </c>
    </row>
    <row r="129" spans="13:18" x14ac:dyDescent="0.25">
      <c r="M129" s="9">
        <f t="shared" si="11"/>
        <v>0</v>
      </c>
      <c r="N129" s="9">
        <f t="shared" si="12"/>
        <v>0</v>
      </c>
      <c r="O129" s="9">
        <f t="shared" si="13"/>
        <v>0</v>
      </c>
      <c r="R129" s="9">
        <f t="shared" si="14"/>
        <v>0</v>
      </c>
    </row>
    <row r="130" spans="13:18" x14ac:dyDescent="0.25">
      <c r="M130" s="9">
        <f t="shared" si="11"/>
        <v>0</v>
      </c>
      <c r="N130" s="9">
        <f t="shared" si="12"/>
        <v>0</v>
      </c>
      <c r="O130" s="9">
        <f t="shared" si="13"/>
        <v>0</v>
      </c>
      <c r="R130" s="9">
        <f t="shared" si="14"/>
        <v>0</v>
      </c>
    </row>
    <row r="131" spans="13:18" x14ac:dyDescent="0.25">
      <c r="M131" s="9">
        <f t="shared" si="11"/>
        <v>0</v>
      </c>
      <c r="N131" s="9">
        <f t="shared" si="12"/>
        <v>0</v>
      </c>
      <c r="O131" s="9">
        <f t="shared" si="13"/>
        <v>0</v>
      </c>
      <c r="R131" s="9">
        <f t="shared" si="14"/>
        <v>0</v>
      </c>
    </row>
    <row r="132" spans="13:18" x14ac:dyDescent="0.25">
      <c r="M132" s="9">
        <f t="shared" ref="M132:M195" si="15">SUMIFS($X$3:$X$20000,$T$3:$T$20000,$I132,$U$3:$U$20000,$J132,$V$3:$V$20000,$K132,$W$3:$W$20000,$L132)</f>
        <v>0</v>
      </c>
      <c r="N132" s="9">
        <f t="shared" ref="N132:N195" si="16">SUMIFS($Y$3:$Y$20000,$T$3:$T$20000,$I132,$U$3:$U$20000,$J132,$V$3:$V$20000,$K132,$W$3:$W$20000,$L132)</f>
        <v>0</v>
      </c>
      <c r="O132" s="9">
        <f t="shared" ref="O132:O195" si="17">SUMIFS($Z$3:$Z$20000,$T$3:$T$20000,$I132,$U$3:$U$20000,$J132,$V$3:$V$20000,$K132,$W$3:$W$20000,$L132)</f>
        <v>0</v>
      </c>
      <c r="R132" s="9">
        <f t="shared" ref="R132:R195" si="18">SUMIFS($AA$3:$AA$20000,$T$3:$T$20000,$I132,$U$3:$U$20000,$J132,$V$3:$V$20000,$K132,$W$3:$W$20000,$L132)</f>
        <v>0</v>
      </c>
    </row>
    <row r="133" spans="13:18" x14ac:dyDescent="0.25">
      <c r="M133" s="9">
        <f t="shared" si="15"/>
        <v>0</v>
      </c>
      <c r="N133" s="9">
        <f t="shared" si="16"/>
        <v>0</v>
      </c>
      <c r="O133" s="9">
        <f t="shared" si="17"/>
        <v>0</v>
      </c>
      <c r="R133" s="9">
        <f t="shared" si="18"/>
        <v>0</v>
      </c>
    </row>
    <row r="134" spans="13:18" x14ac:dyDescent="0.25">
      <c r="M134" s="9">
        <f t="shared" si="15"/>
        <v>0</v>
      </c>
      <c r="N134" s="9">
        <f t="shared" si="16"/>
        <v>0</v>
      </c>
      <c r="O134" s="9">
        <f t="shared" si="17"/>
        <v>0</v>
      </c>
      <c r="R134" s="9">
        <f t="shared" si="18"/>
        <v>0</v>
      </c>
    </row>
    <row r="135" spans="13:18" x14ac:dyDescent="0.25">
      <c r="M135" s="9">
        <f t="shared" si="15"/>
        <v>0</v>
      </c>
      <c r="N135" s="9">
        <f t="shared" si="16"/>
        <v>0</v>
      </c>
      <c r="O135" s="9">
        <f t="shared" si="17"/>
        <v>0</v>
      </c>
      <c r="R135" s="9">
        <f t="shared" si="18"/>
        <v>0</v>
      </c>
    </row>
    <row r="136" spans="13:18" x14ac:dyDescent="0.25">
      <c r="M136" s="9">
        <f t="shared" si="15"/>
        <v>0</v>
      </c>
      <c r="N136" s="9">
        <f t="shared" si="16"/>
        <v>0</v>
      </c>
      <c r="O136" s="9">
        <f t="shared" si="17"/>
        <v>0</v>
      </c>
      <c r="R136" s="9">
        <f t="shared" si="18"/>
        <v>0</v>
      </c>
    </row>
    <row r="137" spans="13:18" x14ac:dyDescent="0.25">
      <c r="M137" s="9">
        <f t="shared" si="15"/>
        <v>0</v>
      </c>
      <c r="N137" s="9">
        <f t="shared" si="16"/>
        <v>0</v>
      </c>
      <c r="O137" s="9">
        <f t="shared" si="17"/>
        <v>0</v>
      </c>
      <c r="R137" s="9">
        <f t="shared" si="18"/>
        <v>0</v>
      </c>
    </row>
    <row r="138" spans="13:18" x14ac:dyDescent="0.25">
      <c r="M138" s="9">
        <f t="shared" si="15"/>
        <v>0</v>
      </c>
      <c r="N138" s="9">
        <f t="shared" si="16"/>
        <v>0</v>
      </c>
      <c r="O138" s="9">
        <f t="shared" si="17"/>
        <v>0</v>
      </c>
      <c r="R138" s="9">
        <f t="shared" si="18"/>
        <v>0</v>
      </c>
    </row>
    <row r="139" spans="13:18" x14ac:dyDescent="0.25">
      <c r="M139" s="9">
        <f t="shared" si="15"/>
        <v>0</v>
      </c>
      <c r="N139" s="9">
        <f t="shared" si="16"/>
        <v>0</v>
      </c>
      <c r="O139" s="9">
        <f t="shared" si="17"/>
        <v>0</v>
      </c>
      <c r="R139" s="9">
        <f t="shared" si="18"/>
        <v>0</v>
      </c>
    </row>
    <row r="140" spans="13:18" x14ac:dyDescent="0.25">
      <c r="M140" s="9">
        <f t="shared" si="15"/>
        <v>0</v>
      </c>
      <c r="N140" s="9">
        <f t="shared" si="16"/>
        <v>0</v>
      </c>
      <c r="O140" s="9">
        <f t="shared" si="17"/>
        <v>0</v>
      </c>
      <c r="R140" s="9">
        <f t="shared" si="18"/>
        <v>0</v>
      </c>
    </row>
    <row r="141" spans="13:18" x14ac:dyDescent="0.25">
      <c r="M141" s="9">
        <f t="shared" si="15"/>
        <v>0</v>
      </c>
      <c r="N141" s="9">
        <f t="shared" si="16"/>
        <v>0</v>
      </c>
      <c r="O141" s="9">
        <f t="shared" si="17"/>
        <v>0</v>
      </c>
      <c r="R141" s="9">
        <f t="shared" si="18"/>
        <v>0</v>
      </c>
    </row>
    <row r="142" spans="13:18" x14ac:dyDescent="0.25">
      <c r="M142" s="9">
        <f t="shared" si="15"/>
        <v>0</v>
      </c>
      <c r="N142" s="9">
        <f t="shared" si="16"/>
        <v>0</v>
      </c>
      <c r="O142" s="9">
        <f t="shared" si="17"/>
        <v>0</v>
      </c>
      <c r="R142" s="9">
        <f t="shared" si="18"/>
        <v>0</v>
      </c>
    </row>
    <row r="143" spans="13:18" x14ac:dyDescent="0.25">
      <c r="M143" s="9">
        <f t="shared" si="15"/>
        <v>0</v>
      </c>
      <c r="N143" s="9">
        <f t="shared" si="16"/>
        <v>0</v>
      </c>
      <c r="O143" s="9">
        <f t="shared" si="17"/>
        <v>0</v>
      </c>
      <c r="R143" s="9">
        <f t="shared" si="18"/>
        <v>0</v>
      </c>
    </row>
    <row r="144" spans="13:18" x14ac:dyDescent="0.25">
      <c r="M144" s="9">
        <f t="shared" si="15"/>
        <v>0</v>
      </c>
      <c r="N144" s="9">
        <f t="shared" si="16"/>
        <v>0</v>
      </c>
      <c r="O144" s="9">
        <f t="shared" si="17"/>
        <v>0</v>
      </c>
      <c r="R144" s="9">
        <f t="shared" si="18"/>
        <v>0</v>
      </c>
    </row>
    <row r="145" spans="13:18" x14ac:dyDescent="0.25">
      <c r="M145" s="9">
        <f t="shared" si="15"/>
        <v>0</v>
      </c>
      <c r="N145" s="9">
        <f t="shared" si="16"/>
        <v>0</v>
      </c>
      <c r="O145" s="9">
        <f t="shared" si="17"/>
        <v>0</v>
      </c>
      <c r="R145" s="9">
        <f t="shared" si="18"/>
        <v>0</v>
      </c>
    </row>
    <row r="146" spans="13:18" x14ac:dyDescent="0.25">
      <c r="M146" s="9">
        <f t="shared" si="15"/>
        <v>0</v>
      </c>
      <c r="N146" s="9">
        <f t="shared" si="16"/>
        <v>0</v>
      </c>
      <c r="O146" s="9">
        <f t="shared" si="17"/>
        <v>0</v>
      </c>
      <c r="R146" s="9">
        <f t="shared" si="18"/>
        <v>0</v>
      </c>
    </row>
    <row r="147" spans="13:18" x14ac:dyDescent="0.25">
      <c r="M147" s="9">
        <f t="shared" si="15"/>
        <v>0</v>
      </c>
      <c r="N147" s="9">
        <f t="shared" si="16"/>
        <v>0</v>
      </c>
      <c r="O147" s="9">
        <f t="shared" si="17"/>
        <v>0</v>
      </c>
      <c r="R147" s="9">
        <f t="shared" si="18"/>
        <v>0</v>
      </c>
    </row>
    <row r="148" spans="13:18" x14ac:dyDescent="0.25">
      <c r="M148" s="9">
        <f t="shared" si="15"/>
        <v>0</v>
      </c>
      <c r="N148" s="9">
        <f t="shared" si="16"/>
        <v>0</v>
      </c>
      <c r="O148" s="9">
        <f t="shared" si="17"/>
        <v>0</v>
      </c>
      <c r="R148" s="9">
        <f t="shared" si="18"/>
        <v>0</v>
      </c>
    </row>
    <row r="149" spans="13:18" x14ac:dyDescent="0.25">
      <c r="M149" s="9">
        <f t="shared" si="15"/>
        <v>0</v>
      </c>
      <c r="N149" s="9">
        <f t="shared" si="16"/>
        <v>0</v>
      </c>
      <c r="O149" s="9">
        <f t="shared" si="17"/>
        <v>0</v>
      </c>
      <c r="R149" s="9">
        <f t="shared" si="18"/>
        <v>0</v>
      </c>
    </row>
    <row r="150" spans="13:18" x14ac:dyDescent="0.25">
      <c r="M150" s="9">
        <f t="shared" si="15"/>
        <v>0</v>
      </c>
      <c r="N150" s="9">
        <f t="shared" si="16"/>
        <v>0</v>
      </c>
      <c r="O150" s="9">
        <f t="shared" si="17"/>
        <v>0</v>
      </c>
      <c r="R150" s="9">
        <f t="shared" si="18"/>
        <v>0</v>
      </c>
    </row>
    <row r="151" spans="13:18" x14ac:dyDescent="0.25">
      <c r="M151" s="9">
        <f t="shared" si="15"/>
        <v>0</v>
      </c>
      <c r="N151" s="9">
        <f t="shared" si="16"/>
        <v>0</v>
      </c>
      <c r="O151" s="9">
        <f t="shared" si="17"/>
        <v>0</v>
      </c>
      <c r="R151" s="9">
        <f t="shared" si="18"/>
        <v>0</v>
      </c>
    </row>
    <row r="152" spans="13:18" x14ac:dyDescent="0.25">
      <c r="M152" s="9">
        <f t="shared" si="15"/>
        <v>0</v>
      </c>
      <c r="N152" s="9">
        <f t="shared" si="16"/>
        <v>0</v>
      </c>
      <c r="O152" s="9">
        <f t="shared" si="17"/>
        <v>0</v>
      </c>
      <c r="R152" s="9">
        <f t="shared" si="18"/>
        <v>0</v>
      </c>
    </row>
    <row r="153" spans="13:18" x14ac:dyDescent="0.25">
      <c r="M153" s="9">
        <f t="shared" si="15"/>
        <v>0</v>
      </c>
      <c r="N153" s="9">
        <f t="shared" si="16"/>
        <v>0</v>
      </c>
      <c r="O153" s="9">
        <f t="shared" si="17"/>
        <v>0</v>
      </c>
      <c r="R153" s="9">
        <f t="shared" si="18"/>
        <v>0</v>
      </c>
    </row>
    <row r="154" spans="13:18" x14ac:dyDescent="0.25">
      <c r="M154" s="9">
        <f t="shared" si="15"/>
        <v>0</v>
      </c>
      <c r="N154" s="9">
        <f t="shared" si="16"/>
        <v>0</v>
      </c>
      <c r="O154" s="9">
        <f t="shared" si="17"/>
        <v>0</v>
      </c>
      <c r="R154" s="9">
        <f t="shared" si="18"/>
        <v>0</v>
      </c>
    </row>
    <row r="155" spans="13:18" x14ac:dyDescent="0.25">
      <c r="M155" s="9">
        <f t="shared" si="15"/>
        <v>0</v>
      </c>
      <c r="N155" s="9">
        <f t="shared" si="16"/>
        <v>0</v>
      </c>
      <c r="O155" s="9">
        <f t="shared" si="17"/>
        <v>0</v>
      </c>
      <c r="R155" s="9">
        <f t="shared" si="18"/>
        <v>0</v>
      </c>
    </row>
    <row r="156" spans="13:18" x14ac:dyDescent="0.25">
      <c r="M156" s="9">
        <f t="shared" si="15"/>
        <v>0</v>
      </c>
      <c r="N156" s="9">
        <f t="shared" si="16"/>
        <v>0</v>
      </c>
      <c r="O156" s="9">
        <f t="shared" si="17"/>
        <v>0</v>
      </c>
      <c r="R156" s="9">
        <f t="shared" si="18"/>
        <v>0</v>
      </c>
    </row>
    <row r="157" spans="13:18" x14ac:dyDescent="0.25">
      <c r="M157" s="9">
        <f t="shared" si="15"/>
        <v>0</v>
      </c>
      <c r="N157" s="9">
        <f t="shared" si="16"/>
        <v>0</v>
      </c>
      <c r="O157" s="9">
        <f t="shared" si="17"/>
        <v>0</v>
      </c>
      <c r="R157" s="9">
        <f t="shared" si="18"/>
        <v>0</v>
      </c>
    </row>
    <row r="158" spans="13:18" x14ac:dyDescent="0.25">
      <c r="M158" s="9">
        <f t="shared" si="15"/>
        <v>0</v>
      </c>
      <c r="N158" s="9">
        <f t="shared" si="16"/>
        <v>0</v>
      </c>
      <c r="O158" s="9">
        <f t="shared" si="17"/>
        <v>0</v>
      </c>
      <c r="R158" s="9">
        <f t="shared" si="18"/>
        <v>0</v>
      </c>
    </row>
    <row r="159" spans="13:18" x14ac:dyDescent="0.25">
      <c r="M159" s="9">
        <f t="shared" si="15"/>
        <v>0</v>
      </c>
      <c r="N159" s="9">
        <f t="shared" si="16"/>
        <v>0</v>
      </c>
      <c r="O159" s="9">
        <f t="shared" si="17"/>
        <v>0</v>
      </c>
      <c r="R159" s="9">
        <f t="shared" si="18"/>
        <v>0</v>
      </c>
    </row>
    <row r="160" spans="13:18" x14ac:dyDescent="0.25">
      <c r="M160" s="9">
        <f t="shared" si="15"/>
        <v>0</v>
      </c>
      <c r="N160" s="9">
        <f t="shared" si="16"/>
        <v>0</v>
      </c>
      <c r="O160" s="9">
        <f t="shared" si="17"/>
        <v>0</v>
      </c>
      <c r="R160" s="9">
        <f t="shared" si="18"/>
        <v>0</v>
      </c>
    </row>
    <row r="161" spans="13:18" x14ac:dyDescent="0.25">
      <c r="M161" s="9">
        <f t="shared" si="15"/>
        <v>0</v>
      </c>
      <c r="N161" s="9">
        <f t="shared" si="16"/>
        <v>0</v>
      </c>
      <c r="O161" s="9">
        <f t="shared" si="17"/>
        <v>0</v>
      </c>
      <c r="R161" s="9">
        <f t="shared" si="18"/>
        <v>0</v>
      </c>
    </row>
    <row r="162" spans="13:18" x14ac:dyDescent="0.25">
      <c r="M162" s="9">
        <f t="shared" si="15"/>
        <v>0</v>
      </c>
      <c r="N162" s="9">
        <f t="shared" si="16"/>
        <v>0</v>
      </c>
      <c r="O162" s="9">
        <f t="shared" si="17"/>
        <v>0</v>
      </c>
      <c r="R162" s="9">
        <f t="shared" si="18"/>
        <v>0</v>
      </c>
    </row>
    <row r="163" spans="13:18" x14ac:dyDescent="0.25">
      <c r="M163" s="9">
        <f t="shared" si="15"/>
        <v>0</v>
      </c>
      <c r="N163" s="9">
        <f t="shared" si="16"/>
        <v>0</v>
      </c>
      <c r="O163" s="9">
        <f t="shared" si="17"/>
        <v>0</v>
      </c>
      <c r="R163" s="9">
        <f t="shared" si="18"/>
        <v>0</v>
      </c>
    </row>
    <row r="164" spans="13:18" x14ac:dyDescent="0.25">
      <c r="M164" s="9">
        <f t="shared" si="15"/>
        <v>0</v>
      </c>
      <c r="N164" s="9">
        <f t="shared" si="16"/>
        <v>0</v>
      </c>
      <c r="O164" s="9">
        <f t="shared" si="17"/>
        <v>0</v>
      </c>
      <c r="R164" s="9">
        <f t="shared" si="18"/>
        <v>0</v>
      </c>
    </row>
    <row r="165" spans="13:18" x14ac:dyDescent="0.25">
      <c r="M165" s="9">
        <f t="shared" si="15"/>
        <v>0</v>
      </c>
      <c r="N165" s="9">
        <f t="shared" si="16"/>
        <v>0</v>
      </c>
      <c r="O165" s="9">
        <f t="shared" si="17"/>
        <v>0</v>
      </c>
      <c r="R165" s="9">
        <f t="shared" si="18"/>
        <v>0</v>
      </c>
    </row>
    <row r="166" spans="13:18" x14ac:dyDescent="0.25">
      <c r="M166" s="9">
        <f t="shared" si="15"/>
        <v>0</v>
      </c>
      <c r="N166" s="9">
        <f t="shared" si="16"/>
        <v>0</v>
      </c>
      <c r="O166" s="9">
        <f t="shared" si="17"/>
        <v>0</v>
      </c>
      <c r="R166" s="9">
        <f t="shared" si="18"/>
        <v>0</v>
      </c>
    </row>
    <row r="167" spans="13:18" x14ac:dyDescent="0.25">
      <c r="M167" s="9">
        <f t="shared" si="15"/>
        <v>0</v>
      </c>
      <c r="N167" s="9">
        <f t="shared" si="16"/>
        <v>0</v>
      </c>
      <c r="O167" s="9">
        <f t="shared" si="17"/>
        <v>0</v>
      </c>
      <c r="R167" s="9">
        <f t="shared" si="18"/>
        <v>0</v>
      </c>
    </row>
    <row r="168" spans="13:18" x14ac:dyDescent="0.25">
      <c r="M168" s="9">
        <f t="shared" si="15"/>
        <v>0</v>
      </c>
      <c r="N168" s="9">
        <f t="shared" si="16"/>
        <v>0</v>
      </c>
      <c r="O168" s="9">
        <f t="shared" si="17"/>
        <v>0</v>
      </c>
      <c r="R168" s="9">
        <f t="shared" si="18"/>
        <v>0</v>
      </c>
    </row>
    <row r="169" spans="13:18" x14ac:dyDescent="0.25">
      <c r="M169" s="9">
        <f t="shared" si="15"/>
        <v>0</v>
      </c>
      <c r="N169" s="9">
        <f t="shared" si="16"/>
        <v>0</v>
      </c>
      <c r="O169" s="9">
        <f t="shared" si="17"/>
        <v>0</v>
      </c>
      <c r="R169" s="9">
        <f t="shared" si="18"/>
        <v>0</v>
      </c>
    </row>
    <row r="170" spans="13:18" x14ac:dyDescent="0.25">
      <c r="M170" s="9">
        <f t="shared" si="15"/>
        <v>0</v>
      </c>
      <c r="N170" s="9">
        <f t="shared" si="16"/>
        <v>0</v>
      </c>
      <c r="O170" s="9">
        <f t="shared" si="17"/>
        <v>0</v>
      </c>
      <c r="R170" s="9">
        <f t="shared" si="18"/>
        <v>0</v>
      </c>
    </row>
    <row r="171" spans="13:18" x14ac:dyDescent="0.25">
      <c r="M171" s="9">
        <f t="shared" si="15"/>
        <v>0</v>
      </c>
      <c r="N171" s="9">
        <f t="shared" si="16"/>
        <v>0</v>
      </c>
      <c r="O171" s="9">
        <f t="shared" si="17"/>
        <v>0</v>
      </c>
      <c r="R171" s="9">
        <f t="shared" si="18"/>
        <v>0</v>
      </c>
    </row>
    <row r="172" spans="13:18" x14ac:dyDescent="0.25">
      <c r="M172" s="9">
        <f t="shared" si="15"/>
        <v>0</v>
      </c>
      <c r="N172" s="9">
        <f t="shared" si="16"/>
        <v>0</v>
      </c>
      <c r="O172" s="9">
        <f t="shared" si="17"/>
        <v>0</v>
      </c>
      <c r="R172" s="9">
        <f t="shared" si="18"/>
        <v>0</v>
      </c>
    </row>
    <row r="173" spans="13:18" x14ac:dyDescent="0.25">
      <c r="M173" s="9">
        <f t="shared" si="15"/>
        <v>0</v>
      </c>
      <c r="N173" s="9">
        <f t="shared" si="16"/>
        <v>0</v>
      </c>
      <c r="O173" s="9">
        <f t="shared" si="17"/>
        <v>0</v>
      </c>
      <c r="R173" s="9">
        <f t="shared" si="18"/>
        <v>0</v>
      </c>
    </row>
    <row r="174" spans="13:18" x14ac:dyDescent="0.25">
      <c r="M174" s="9">
        <f t="shared" si="15"/>
        <v>0</v>
      </c>
      <c r="N174" s="9">
        <f t="shared" si="16"/>
        <v>0</v>
      </c>
      <c r="O174" s="9">
        <f t="shared" si="17"/>
        <v>0</v>
      </c>
      <c r="R174" s="9">
        <f t="shared" si="18"/>
        <v>0</v>
      </c>
    </row>
    <row r="175" spans="13:18" x14ac:dyDescent="0.25">
      <c r="M175" s="9">
        <f t="shared" si="15"/>
        <v>0</v>
      </c>
      <c r="N175" s="9">
        <f t="shared" si="16"/>
        <v>0</v>
      </c>
      <c r="O175" s="9">
        <f t="shared" si="17"/>
        <v>0</v>
      </c>
      <c r="R175" s="9">
        <f t="shared" si="18"/>
        <v>0</v>
      </c>
    </row>
    <row r="176" spans="13:18" x14ac:dyDescent="0.25">
      <c r="M176" s="9">
        <f t="shared" si="15"/>
        <v>0</v>
      </c>
      <c r="N176" s="9">
        <f t="shared" si="16"/>
        <v>0</v>
      </c>
      <c r="O176" s="9">
        <f t="shared" si="17"/>
        <v>0</v>
      </c>
      <c r="R176" s="9">
        <f t="shared" si="18"/>
        <v>0</v>
      </c>
    </row>
    <row r="177" spans="13:18" x14ac:dyDescent="0.25">
      <c r="M177" s="9">
        <f t="shared" si="15"/>
        <v>0</v>
      </c>
      <c r="N177" s="9">
        <f t="shared" si="16"/>
        <v>0</v>
      </c>
      <c r="O177" s="9">
        <f t="shared" si="17"/>
        <v>0</v>
      </c>
      <c r="R177" s="9">
        <f t="shared" si="18"/>
        <v>0</v>
      </c>
    </row>
    <row r="178" spans="13:18" x14ac:dyDescent="0.25">
      <c r="M178" s="9">
        <f t="shared" si="15"/>
        <v>0</v>
      </c>
      <c r="N178" s="9">
        <f t="shared" si="16"/>
        <v>0</v>
      </c>
      <c r="O178" s="9">
        <f t="shared" si="17"/>
        <v>0</v>
      </c>
      <c r="R178" s="9">
        <f t="shared" si="18"/>
        <v>0</v>
      </c>
    </row>
    <row r="179" spans="13:18" x14ac:dyDescent="0.25">
      <c r="M179" s="9">
        <f t="shared" si="15"/>
        <v>0</v>
      </c>
      <c r="N179" s="9">
        <f t="shared" si="16"/>
        <v>0</v>
      </c>
      <c r="O179" s="9">
        <f t="shared" si="17"/>
        <v>0</v>
      </c>
      <c r="R179" s="9">
        <f t="shared" si="18"/>
        <v>0</v>
      </c>
    </row>
    <row r="180" spans="13:18" x14ac:dyDescent="0.25">
      <c r="M180" s="9">
        <f t="shared" si="15"/>
        <v>0</v>
      </c>
      <c r="N180" s="9">
        <f t="shared" si="16"/>
        <v>0</v>
      </c>
      <c r="O180" s="9">
        <f t="shared" si="17"/>
        <v>0</v>
      </c>
      <c r="R180" s="9">
        <f t="shared" si="18"/>
        <v>0</v>
      </c>
    </row>
    <row r="181" spans="13:18" x14ac:dyDescent="0.25">
      <c r="M181" s="9">
        <f t="shared" si="15"/>
        <v>0</v>
      </c>
      <c r="N181" s="9">
        <f t="shared" si="16"/>
        <v>0</v>
      </c>
      <c r="O181" s="9">
        <f t="shared" si="17"/>
        <v>0</v>
      </c>
      <c r="R181" s="9">
        <f t="shared" si="18"/>
        <v>0</v>
      </c>
    </row>
    <row r="182" spans="13:18" x14ac:dyDescent="0.25">
      <c r="M182" s="9">
        <f t="shared" si="15"/>
        <v>0</v>
      </c>
      <c r="N182" s="9">
        <f t="shared" si="16"/>
        <v>0</v>
      </c>
      <c r="O182" s="9">
        <f t="shared" si="17"/>
        <v>0</v>
      </c>
      <c r="R182" s="9">
        <f t="shared" si="18"/>
        <v>0</v>
      </c>
    </row>
    <row r="183" spans="13:18" x14ac:dyDescent="0.25">
      <c r="M183" s="9">
        <f t="shared" si="15"/>
        <v>0</v>
      </c>
      <c r="N183" s="9">
        <f t="shared" si="16"/>
        <v>0</v>
      </c>
      <c r="O183" s="9">
        <f t="shared" si="17"/>
        <v>0</v>
      </c>
      <c r="R183" s="9">
        <f t="shared" si="18"/>
        <v>0</v>
      </c>
    </row>
    <row r="184" spans="13:18" x14ac:dyDescent="0.25">
      <c r="M184" s="9">
        <f t="shared" si="15"/>
        <v>0</v>
      </c>
      <c r="N184" s="9">
        <f t="shared" si="16"/>
        <v>0</v>
      </c>
      <c r="O184" s="9">
        <f t="shared" si="17"/>
        <v>0</v>
      </c>
      <c r="R184" s="9">
        <f t="shared" si="18"/>
        <v>0</v>
      </c>
    </row>
    <row r="185" spans="13:18" x14ac:dyDescent="0.25">
      <c r="M185" s="9">
        <f t="shared" si="15"/>
        <v>0</v>
      </c>
      <c r="N185" s="9">
        <f t="shared" si="16"/>
        <v>0</v>
      </c>
      <c r="O185" s="9">
        <f t="shared" si="17"/>
        <v>0</v>
      </c>
      <c r="R185" s="9">
        <f t="shared" si="18"/>
        <v>0</v>
      </c>
    </row>
    <row r="186" spans="13:18" x14ac:dyDescent="0.25">
      <c r="M186" s="9">
        <f t="shared" si="15"/>
        <v>0</v>
      </c>
      <c r="N186" s="9">
        <f t="shared" si="16"/>
        <v>0</v>
      </c>
      <c r="O186" s="9">
        <f t="shared" si="17"/>
        <v>0</v>
      </c>
      <c r="R186" s="9">
        <f t="shared" si="18"/>
        <v>0</v>
      </c>
    </row>
    <row r="187" spans="13:18" x14ac:dyDescent="0.25">
      <c r="M187" s="9">
        <f t="shared" si="15"/>
        <v>0</v>
      </c>
      <c r="N187" s="9">
        <f t="shared" si="16"/>
        <v>0</v>
      </c>
      <c r="O187" s="9">
        <f t="shared" si="17"/>
        <v>0</v>
      </c>
      <c r="R187" s="9">
        <f t="shared" si="18"/>
        <v>0</v>
      </c>
    </row>
    <row r="188" spans="13:18" x14ac:dyDescent="0.25">
      <c r="M188" s="9">
        <f t="shared" si="15"/>
        <v>0</v>
      </c>
      <c r="N188" s="9">
        <f t="shared" si="16"/>
        <v>0</v>
      </c>
      <c r="O188" s="9">
        <f t="shared" si="17"/>
        <v>0</v>
      </c>
      <c r="R188" s="9">
        <f t="shared" si="18"/>
        <v>0</v>
      </c>
    </row>
    <row r="189" spans="13:18" x14ac:dyDescent="0.25">
      <c r="M189" s="9">
        <f t="shared" si="15"/>
        <v>0</v>
      </c>
      <c r="N189" s="9">
        <f t="shared" si="16"/>
        <v>0</v>
      </c>
      <c r="O189" s="9">
        <f t="shared" si="17"/>
        <v>0</v>
      </c>
      <c r="R189" s="9">
        <f t="shared" si="18"/>
        <v>0</v>
      </c>
    </row>
    <row r="190" spans="13:18" x14ac:dyDescent="0.25">
      <c r="M190" s="9">
        <f t="shared" si="15"/>
        <v>0</v>
      </c>
      <c r="N190" s="9">
        <f t="shared" si="16"/>
        <v>0</v>
      </c>
      <c r="O190" s="9">
        <f t="shared" si="17"/>
        <v>0</v>
      </c>
      <c r="R190" s="9">
        <f t="shared" si="18"/>
        <v>0</v>
      </c>
    </row>
    <row r="191" spans="13:18" x14ac:dyDescent="0.25">
      <c r="M191" s="9">
        <f t="shared" si="15"/>
        <v>0</v>
      </c>
      <c r="N191" s="9">
        <f t="shared" si="16"/>
        <v>0</v>
      </c>
      <c r="O191" s="9">
        <f t="shared" si="17"/>
        <v>0</v>
      </c>
      <c r="R191" s="9">
        <f t="shared" si="18"/>
        <v>0</v>
      </c>
    </row>
    <row r="192" spans="13:18" x14ac:dyDescent="0.25">
      <c r="M192" s="9">
        <f t="shared" si="15"/>
        <v>0</v>
      </c>
      <c r="N192" s="9">
        <f t="shared" si="16"/>
        <v>0</v>
      </c>
      <c r="O192" s="9">
        <f t="shared" si="17"/>
        <v>0</v>
      </c>
      <c r="R192" s="9">
        <f t="shared" si="18"/>
        <v>0</v>
      </c>
    </row>
    <row r="193" spans="13:18" x14ac:dyDescent="0.25">
      <c r="M193" s="9">
        <f t="shared" si="15"/>
        <v>0</v>
      </c>
      <c r="N193" s="9">
        <f t="shared" si="16"/>
        <v>0</v>
      </c>
      <c r="O193" s="9">
        <f t="shared" si="17"/>
        <v>0</v>
      </c>
      <c r="R193" s="9">
        <f t="shared" si="18"/>
        <v>0</v>
      </c>
    </row>
    <row r="194" spans="13:18" x14ac:dyDescent="0.25">
      <c r="M194" s="9">
        <f t="shared" si="15"/>
        <v>0</v>
      </c>
      <c r="N194" s="9">
        <f t="shared" si="16"/>
        <v>0</v>
      </c>
      <c r="O194" s="9">
        <f t="shared" si="17"/>
        <v>0</v>
      </c>
      <c r="R194" s="9">
        <f t="shared" si="18"/>
        <v>0</v>
      </c>
    </row>
    <row r="195" spans="13:18" x14ac:dyDescent="0.25">
      <c r="M195" s="9">
        <f t="shared" si="15"/>
        <v>0</v>
      </c>
      <c r="N195" s="9">
        <f t="shared" si="16"/>
        <v>0</v>
      </c>
      <c r="O195" s="9">
        <f t="shared" si="17"/>
        <v>0</v>
      </c>
      <c r="R195" s="9">
        <f t="shared" si="18"/>
        <v>0</v>
      </c>
    </row>
    <row r="196" spans="13:18" x14ac:dyDescent="0.25">
      <c r="M196" s="9">
        <f t="shared" ref="M196:M200" si="19">SUMIFS($X$3:$X$20000,$T$3:$T$20000,$I196,$U$3:$U$20000,$J196,$V$3:$V$20000,$K196,$W$3:$W$20000,$L196)</f>
        <v>0</v>
      </c>
      <c r="N196" s="9">
        <f t="shared" ref="N196:N200" si="20">SUMIFS($Y$3:$Y$20000,$T$3:$T$20000,$I196,$U$3:$U$20000,$J196,$V$3:$V$20000,$K196,$W$3:$W$20000,$L196)</f>
        <v>0</v>
      </c>
      <c r="O196" s="9">
        <f t="shared" ref="O196:O200" si="21">SUMIFS($Z$3:$Z$20000,$T$3:$T$20000,$I196,$U$3:$U$20000,$J196,$V$3:$V$20000,$K196,$W$3:$W$20000,$L196)</f>
        <v>0</v>
      </c>
      <c r="R196" s="9">
        <f t="shared" ref="R196:R200" si="22">SUMIFS($AA$3:$AA$20000,$T$3:$T$20000,$I196,$U$3:$U$20000,$J196,$V$3:$V$20000,$K196,$W$3:$W$20000,$L196)</f>
        <v>0</v>
      </c>
    </row>
    <row r="197" spans="13:18" x14ac:dyDescent="0.25">
      <c r="M197" s="9">
        <f t="shared" si="19"/>
        <v>0</v>
      </c>
      <c r="N197" s="9">
        <f t="shared" si="20"/>
        <v>0</v>
      </c>
      <c r="O197" s="9">
        <f t="shared" si="21"/>
        <v>0</v>
      </c>
      <c r="R197" s="9">
        <f t="shared" si="22"/>
        <v>0</v>
      </c>
    </row>
    <row r="198" spans="13:18" x14ac:dyDescent="0.25">
      <c r="M198" s="9">
        <f t="shared" si="19"/>
        <v>0</v>
      </c>
      <c r="N198" s="9">
        <f t="shared" si="20"/>
        <v>0</v>
      </c>
      <c r="O198" s="9">
        <f t="shared" si="21"/>
        <v>0</v>
      </c>
      <c r="R198" s="9">
        <f t="shared" si="22"/>
        <v>0</v>
      </c>
    </row>
    <row r="199" spans="13:18" x14ac:dyDescent="0.25">
      <c r="M199" s="9">
        <f t="shared" si="19"/>
        <v>0</v>
      </c>
      <c r="N199" s="9">
        <f t="shared" si="20"/>
        <v>0</v>
      </c>
      <c r="O199" s="9">
        <f t="shared" si="21"/>
        <v>0</v>
      </c>
      <c r="R199" s="9">
        <f t="shared" si="22"/>
        <v>0</v>
      </c>
    </row>
    <row r="200" spans="13:18" x14ac:dyDescent="0.25">
      <c r="M200" s="9">
        <f t="shared" si="19"/>
        <v>0</v>
      </c>
      <c r="N200" s="9">
        <f t="shared" si="20"/>
        <v>0</v>
      </c>
      <c r="O200" s="9">
        <f t="shared" si="21"/>
        <v>0</v>
      </c>
      <c r="R200" s="9">
        <f t="shared" si="22"/>
        <v>0</v>
      </c>
    </row>
  </sheetData>
  <mergeCells count="1">
    <mergeCell ref="A1:B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32A5-700F-4F48-9D1D-58A34D80FDCB}">
  <sheetPr codeName="Sheet12"/>
  <dimension ref="A1:AK49"/>
  <sheetViews>
    <sheetView tabSelected="1" zoomScale="75" zoomScaleNormal="75" workbookViewId="0">
      <pane ySplit="49" topLeftCell="A50" activePane="bottomLeft" state="frozen"/>
      <selection pane="bottomLeft" activeCell="E3" sqref="E3:K5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3" t="str" cm="1">
        <f t="array" aca="1" ref="A1" ca="1">IFERROR(MID(CELL("filename",$A$1),FIND("]",CELL("filename",$A$1))+1,99),"SXX")</f>
        <v>S01</v>
      </c>
      <c r="B1" s="23"/>
      <c r="C1" s="23"/>
      <c r="E1" s="24" t="str" cm="1">
        <f t="array" aca="1" ref="E1" ca="1">IFERROR(MID(CELL("filename",$A$1),FIND("]",CELL("filename",$A$1))+1,99),"SXX")&amp;" MATERIALS (USAGE + STANDALONE)"</f>
        <v>S01 MATERIALS (USAGE + STANDALONE)</v>
      </c>
      <c r="F1" s="24"/>
      <c r="G1" s="24"/>
      <c r="H1" s="24"/>
      <c r="I1" s="24"/>
      <c r="J1" s="24"/>
      <c r="K1" s="24"/>
      <c r="L1" s="13"/>
      <c r="M1" s="13"/>
      <c r="N1" s="19" t="e">
        <f>SUM(N3:N49)</f>
        <v>#VALUE!</v>
      </c>
      <c r="P1" s="24" t="str" cm="1">
        <f t="array" aca="1" ref="P1" ca="1">IFERROR(MID(CELL("filename",$A$1),FIND("]",CELL("filename",$A$1))+1,99),"SXX")&amp;" LABOUR (USAGE + STANDALONE)"</f>
        <v>S01 LABOUR (USAGE + STANDALONE)</v>
      </c>
      <c r="Q1" s="24"/>
      <c r="R1" s="24"/>
      <c r="S1" s="24"/>
      <c r="T1" s="24"/>
      <c r="U1" s="24"/>
      <c r="V1" s="24"/>
      <c r="Y1" s="19">
        <f>SUM(Y3:Y49)</f>
        <v>1100</v>
      </c>
      <c r="AA1" s="25" t="str" cm="1">
        <f t="array" aca="1" ref="AA1" ca="1">IFERROR(MID(CELL("filename",$A$1),FIND("]",CELL("filename",$A$1))+1,99),"SXX")&amp;" RENTAL / SERVICE (USAGE + STANDALONE)"</f>
        <v>S01 RENTAL / SERVICE (USAGE + STANDALONE)</v>
      </c>
      <c r="AB1" s="25"/>
      <c r="AC1" s="25"/>
      <c r="AD1" s="25"/>
      <c r="AE1" s="25"/>
      <c r="AF1" s="25"/>
      <c r="AG1" s="25"/>
      <c r="AH1" s="6"/>
      <c r="AI1" s="6"/>
      <c r="AJ1" s="19">
        <f>SUM(AJ3:AJ49)</f>
        <v>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0</v>
      </c>
      <c r="B3" s="3" t="s">
        <v>3</v>
      </c>
      <c r="C3" s="3" t="s">
        <v>6</v>
      </c>
      <c r="E3" t="s">
        <v>6</v>
      </c>
      <c r="F3" t="s">
        <v>0</v>
      </c>
      <c r="G3" t="s">
        <v>3</v>
      </c>
      <c r="H3" t="s">
        <v>1</v>
      </c>
      <c r="I3" t="s">
        <v>14</v>
      </c>
      <c r="J3" s="22" t="s">
        <v>5</v>
      </c>
      <c r="K3" t="s">
        <v>4</v>
      </c>
      <c r="L3" s="8" t="e">
        <f t="shared" ref="L3:L49" si="0">IF($G3="","",$I3*(1+IF($J3="",0,$J3)))</f>
        <v>#VALUE!</v>
      </c>
      <c r="M3" s="8" t="e">
        <f t="shared" ref="M3:M49" si="1">IF($G3="","",$L3)</f>
        <v>#VALUE!</v>
      </c>
      <c r="N3" s="8" t="e">
        <f t="shared" ref="N3:N49" si="2">IF($G3="","",IF($K3="","",$M3*$K3))</f>
        <v>#VALUE!</v>
      </c>
      <c r="P3" t="s">
        <v>463</v>
      </c>
      <c r="Q3" t="s">
        <v>443</v>
      </c>
      <c r="R3" t="s">
        <v>464</v>
      </c>
      <c r="S3" t="s">
        <v>36</v>
      </c>
      <c r="T3">
        <v>20</v>
      </c>
      <c r="U3" s="22">
        <v>0</v>
      </c>
      <c r="V3">
        <v>22.5</v>
      </c>
      <c r="W3" s="8">
        <f>IF($R3="","",$T3*(1+IF($U3="",0,$U3)))</f>
        <v>20</v>
      </c>
      <c r="X3" s="8">
        <f>IF($R3="","",$W3)</f>
        <v>20</v>
      </c>
      <c r="Y3" s="8">
        <f>IF($R3="","",IF($V3="","",$X3*$V3))</f>
        <v>450</v>
      </c>
      <c r="AH3" s="8" t="str">
        <f>IF($AC3="","",$AE3*(1+IF($AF3="",0,$AF3)))</f>
        <v/>
      </c>
      <c r="AI3" s="8" t="str">
        <f>IF($AC3="","",$AH3)</f>
        <v/>
      </c>
      <c r="AJ3" s="8" t="str">
        <f>IF($AC3="","",IF($AG3="","",$AI3*$AG3))</f>
        <v/>
      </c>
    </row>
    <row r="4" spans="1:37" x14ac:dyDescent="0.25">
      <c r="A4" s="3" t="s">
        <v>66</v>
      </c>
      <c r="B4" s="3" t="s">
        <v>427</v>
      </c>
      <c r="C4" s="3" t="s">
        <v>428</v>
      </c>
      <c r="E4" t="s">
        <v>467</v>
      </c>
      <c r="F4" t="s">
        <v>443</v>
      </c>
      <c r="G4" t="s">
        <v>468</v>
      </c>
      <c r="H4" t="s">
        <v>9</v>
      </c>
      <c r="I4">
        <v>99</v>
      </c>
      <c r="J4" s="22">
        <v>0.1</v>
      </c>
      <c r="K4">
        <v>10</v>
      </c>
      <c r="L4" s="8">
        <f t="shared" si="0"/>
        <v>108.9</v>
      </c>
      <c r="M4" s="8">
        <f t="shared" si="1"/>
        <v>108.9</v>
      </c>
      <c r="N4" s="8">
        <f t="shared" si="2"/>
        <v>1089</v>
      </c>
      <c r="P4" t="s">
        <v>465</v>
      </c>
      <c r="Q4" t="s">
        <v>443</v>
      </c>
      <c r="R4" t="s">
        <v>466</v>
      </c>
      <c r="S4" t="s">
        <v>36</v>
      </c>
      <c r="T4">
        <v>40</v>
      </c>
      <c r="U4" s="22">
        <v>0</v>
      </c>
      <c r="V4">
        <v>16.25</v>
      </c>
      <c r="W4" s="8">
        <f t="shared" ref="W4:W49" si="3">IF($R4="","",$T4*(1+IF($U4="",0,$U4)))</f>
        <v>40</v>
      </c>
      <c r="X4" s="8">
        <f t="shared" ref="X4:X49" si="4">IF($R4="","",$W4)</f>
        <v>40</v>
      </c>
      <c r="Y4" s="8">
        <f t="shared" ref="Y4:Y49" si="5">IF($R4="","",IF($V4="","",$X4*$V4))</f>
        <v>650</v>
      </c>
      <c r="AH4" s="8" t="str">
        <f t="shared" ref="AH4:AH49" si="6">IF($AC4="","",$AE4*(1+IF($AF4="",0,$AF4)))</f>
        <v/>
      </c>
      <c r="AI4" s="8" t="str">
        <f t="shared" ref="AI4:AI49" si="7">IF($AC4="","",$AH4)</f>
        <v/>
      </c>
      <c r="AJ4" s="8" t="str">
        <f t="shared" ref="AJ4:AJ49" si="8">IF($AC4="","",IF($AG4="","",$AI4*$AG4))</f>
        <v/>
      </c>
    </row>
    <row r="5" spans="1:37" x14ac:dyDescent="0.25">
      <c r="A5" s="3" t="s">
        <v>67</v>
      </c>
      <c r="B5" s="3" t="s">
        <v>429</v>
      </c>
      <c r="C5" s="3" t="s">
        <v>430</v>
      </c>
      <c r="E5" t="s">
        <v>469</v>
      </c>
      <c r="F5" t="s">
        <v>443</v>
      </c>
      <c r="G5" t="s">
        <v>468</v>
      </c>
      <c r="H5" t="s">
        <v>9</v>
      </c>
      <c r="I5">
        <v>30</v>
      </c>
      <c r="J5" s="22">
        <v>0.1</v>
      </c>
      <c r="K5">
        <v>10</v>
      </c>
      <c r="L5" s="8">
        <f t="shared" si="0"/>
        <v>33</v>
      </c>
      <c r="M5" s="8">
        <f t="shared" si="1"/>
        <v>33</v>
      </c>
      <c r="N5" s="8">
        <f t="shared" si="2"/>
        <v>330</v>
      </c>
      <c r="W5" s="8" t="str">
        <f t="shared" si="3"/>
        <v/>
      </c>
      <c r="X5" s="8" t="str">
        <f t="shared" si="4"/>
        <v/>
      </c>
      <c r="Y5" s="8" t="str">
        <f t="shared" si="5"/>
        <v/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A6" s="3" t="s">
        <v>431</v>
      </c>
      <c r="B6" s="3" t="s">
        <v>432</v>
      </c>
      <c r="C6" s="3" t="s">
        <v>433</v>
      </c>
      <c r="L6" s="8" t="str">
        <f t="shared" si="0"/>
        <v/>
      </c>
      <c r="M6" s="8" t="str">
        <f t="shared" si="1"/>
        <v/>
      </c>
      <c r="N6" s="8" t="str">
        <f t="shared" si="2"/>
        <v/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A7" s="3" t="s">
        <v>431</v>
      </c>
      <c r="B7" s="3" t="s">
        <v>434</v>
      </c>
      <c r="C7" s="3" t="s">
        <v>435</v>
      </c>
      <c r="L7" s="8" t="str">
        <f t="shared" si="0"/>
        <v/>
      </c>
      <c r="M7" s="8" t="str">
        <f t="shared" si="1"/>
        <v/>
      </c>
      <c r="N7" s="8" t="str">
        <f t="shared" si="2"/>
        <v/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A8" s="3" t="s">
        <v>431</v>
      </c>
      <c r="B8" s="3" t="s">
        <v>436</v>
      </c>
      <c r="C8" s="3" t="s">
        <v>437</v>
      </c>
      <c r="L8" s="8" t="str">
        <f t="shared" si="0"/>
        <v/>
      </c>
      <c r="M8" s="8" t="str">
        <f t="shared" si="1"/>
        <v/>
      </c>
      <c r="N8" s="8" t="str">
        <f t="shared" si="2"/>
        <v/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438</v>
      </c>
      <c r="B9" s="3" t="s">
        <v>439</v>
      </c>
      <c r="C9" s="3" t="s">
        <v>440</v>
      </c>
      <c r="L9" s="8" t="str">
        <f t="shared" si="0"/>
        <v/>
      </c>
      <c r="M9" s="8" t="str">
        <f t="shared" si="1"/>
        <v/>
      </c>
      <c r="N9" s="8" t="str">
        <f t="shared" si="2"/>
        <v/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438</v>
      </c>
      <c r="B10" s="3" t="s">
        <v>441</v>
      </c>
      <c r="C10" s="3" t="s">
        <v>442</v>
      </c>
      <c r="L10" s="8" t="str">
        <f t="shared" si="0"/>
        <v/>
      </c>
      <c r="M10" s="8" t="str">
        <f t="shared" si="1"/>
        <v/>
      </c>
      <c r="N10" s="8" t="str">
        <f t="shared" si="2"/>
        <v/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443</v>
      </c>
      <c r="B11" s="3" t="s">
        <v>444</v>
      </c>
      <c r="C11" s="3" t="s">
        <v>445</v>
      </c>
      <c r="L11" s="8" t="str">
        <f t="shared" si="0"/>
        <v/>
      </c>
      <c r="M11" s="8" t="str">
        <f t="shared" si="1"/>
        <v/>
      </c>
      <c r="N11" s="8" t="str">
        <f t="shared" si="2"/>
        <v/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443</v>
      </c>
      <c r="B12" s="3" t="s">
        <v>446</v>
      </c>
      <c r="C12" s="3" t="s">
        <v>447</v>
      </c>
      <c r="L12" s="8" t="str">
        <f t="shared" si="0"/>
        <v/>
      </c>
      <c r="M12" s="8" t="str">
        <f t="shared" si="1"/>
        <v/>
      </c>
      <c r="N12" s="8" t="str">
        <f t="shared" si="2"/>
        <v/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A13" s="3" t="s">
        <v>443</v>
      </c>
      <c r="B13" s="3" t="s">
        <v>448</v>
      </c>
      <c r="C13" s="3" t="s">
        <v>449</v>
      </c>
      <c r="L13" s="8" t="str">
        <f t="shared" si="0"/>
        <v/>
      </c>
      <c r="M13" s="8" t="str">
        <f t="shared" si="1"/>
        <v/>
      </c>
      <c r="N13" s="8" t="str">
        <f t="shared" si="2"/>
        <v/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A14" s="3" t="s">
        <v>443</v>
      </c>
      <c r="B14" s="3" t="s">
        <v>450</v>
      </c>
      <c r="C14" s="3" t="s">
        <v>451</v>
      </c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A15" s="3" t="s">
        <v>443</v>
      </c>
      <c r="B15" s="3" t="s">
        <v>452</v>
      </c>
      <c r="C15" s="3" t="s">
        <v>453</v>
      </c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A16" s="3" t="s">
        <v>443</v>
      </c>
      <c r="B16" s="3" t="s">
        <v>454</v>
      </c>
      <c r="C16" s="3" t="s">
        <v>455</v>
      </c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A17" s="3" t="s">
        <v>443</v>
      </c>
      <c r="B17" s="3" t="s">
        <v>456</v>
      </c>
      <c r="C17" s="3" t="s">
        <v>457</v>
      </c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A18" s="3" t="s">
        <v>443</v>
      </c>
      <c r="B18" s="3" t="s">
        <v>458</v>
      </c>
      <c r="C18" s="3" t="s">
        <v>459</v>
      </c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A19" s="3" t="s">
        <v>460</v>
      </c>
      <c r="B19" s="3" t="s">
        <v>461</v>
      </c>
      <c r="C19" s="3" t="s">
        <v>462</v>
      </c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7D1D6-3577-497F-BFCD-37DC30A20610}">
  <sheetPr codeName="Sheet7"/>
  <dimension ref="A1:G49"/>
  <sheetViews>
    <sheetView workbookViewId="0"/>
  </sheetViews>
  <sheetFormatPr defaultRowHeight="15" x14ac:dyDescent="0.25"/>
  <sheetData>
    <row r="1" spans="1:7" x14ac:dyDescent="0.25">
      <c r="A1" t="s">
        <v>26</v>
      </c>
      <c r="C1" t="str">
        <f>_xlfn.LET(_xlpm.v,IFERROR(--C$3:C$49,0),IF(SUMPRODUCT(--(_xlpm.v&lt;&gt;0))=0,"",SUM(_xlpm.v)))</f>
        <v/>
      </c>
      <c r="D1" t="str">
        <f>_xlfn.LET(_xlpm.v,IFERROR(--D$3:D$49,0),IF(SUMPRODUCT(--(_xlpm.v&lt;&gt;0))=0,"",SUM(_xlpm.v)))</f>
        <v/>
      </c>
      <c r="E1" t="str">
        <f>_xlfn.LET(_xlpm.v,IFERROR(--E$3:E$49,0),IF(SUMPRODUCT(--(_xlpm.v&lt;&gt;0))=0,"",SUM(_xlpm.v)))</f>
        <v/>
      </c>
      <c r="F1" t="str">
        <f>_xlfn.LET(_xlpm.v,IFERROR(--F$3:F$49,0),IF(SUMPRODUCT(--(_xlpm.v&lt;&gt;0))=0,"",SUM(_xlpm.v)))</f>
        <v/>
      </c>
      <c r="G1" t="str">
        <f>_xlfn.LET(_xlpm.v,IFERROR(--G$3:G$49,0),IF(SUMPRODUCT(--(_xlpm.v&lt;&gt;0))=0,"",SUM(_xlpm.v)))</f>
        <v/>
      </c>
    </row>
    <row r="2" spans="1:7" x14ac:dyDescent="0.25">
      <c r="A2" t="s">
        <v>20</v>
      </c>
      <c r="B2" t="s">
        <v>7</v>
      </c>
      <c r="C2" t="s">
        <v>21</v>
      </c>
      <c r="D2" t="s">
        <v>22</v>
      </c>
      <c r="E2" t="s">
        <v>23</v>
      </c>
      <c r="F2" t="s">
        <v>27</v>
      </c>
      <c r="G2" t="s">
        <v>28</v>
      </c>
    </row>
    <row r="3" spans="1:7" x14ac:dyDescent="0.25">
      <c r="A3">
        <v>1</v>
      </c>
      <c r="B3" t="str">
        <f t="shared" ref="B3:B49" si="0">IF($A3=1,"S"&amp;TEXT(ROW()-2,"00"),"")</f>
        <v>S01</v>
      </c>
      <c r="C3">
        <f t="shared" ref="C3:C49" ca="1" si="1">_xlfn.LET(_xlpm.sh,IFERROR(MID($B3,SEARCH("S",$B3),3),$B3),IF($B3="","",IFERROR(SUMIFS(INDIRECT("'"&amp;_xlpm.sh&amp;"'!N3:N300"),INDIRECT("'"&amp;_xlpm.sh&amp;"'!F3:F300"),"&lt;&gt;",INDIRECT("'"&amp;_xlpm.sh&amp;"'!H3:H300"),"&lt;&gt;"),0)))</f>
        <v>0</v>
      </c>
      <c r="D3">
        <f t="shared" ref="D3:D49" ca="1" si="2">_xlfn.LET(_xlpm.sh,IFERROR(MID($B3,SEARCH("S",$B3),3),$B3),IF($B3="","",IFERROR(SUMIFS(INDIRECT("'"&amp;_xlpm.sh&amp;"'!Y3:Y300"),INDIRECT("'"&amp;_xlpm.sh&amp;"'!Q3:Q300"),"&lt;&gt;",INDIRECT("'"&amp;_xlpm.sh&amp;"'!S3:S300"),"&lt;&gt;"),0)))</f>
        <v>1100</v>
      </c>
      <c r="E3">
        <f t="shared" ref="E3:E49" ca="1" si="3">_xlfn.LET(_xlpm.sh,IFERROR(MID($B3,SEARCH("S",$B3),3),$B3),IF($B3="","",IFERROR(SUMIFS(INDIRECT("'"&amp;_xlpm.sh&amp;"'!AJ3:AJ300"),INDIRECT("'"&amp;_xlpm.sh&amp;"'!AB3:AB300"),"&lt;&gt;",INDIRECT("'"&amp;_xlpm.sh&amp;"'!AD3:AD300"),"&lt;&gt;"),0)))</f>
        <v>0</v>
      </c>
      <c r="F3">
        <f t="shared" ref="F3:F49" ca="1" si="4">IF($B3="","",C3+D3+E3)</f>
        <v>1100</v>
      </c>
      <c r="G3">
        <f t="shared" ref="G3:G49" ca="1" si="5">IF($A3=1,$F3,0)</f>
        <v>1100</v>
      </c>
    </row>
    <row r="4" spans="1:7" x14ac:dyDescent="0.25">
      <c r="A4">
        <v>1</v>
      </c>
      <c r="B4" t="str">
        <f t="shared" si="0"/>
        <v>S02</v>
      </c>
      <c r="C4">
        <f t="shared" ca="1" si="1"/>
        <v>0</v>
      </c>
      <c r="D4">
        <f t="shared" ca="1" si="2"/>
        <v>0</v>
      </c>
      <c r="E4">
        <f t="shared" ca="1" si="3"/>
        <v>0</v>
      </c>
      <c r="F4">
        <f t="shared" ca="1" si="4"/>
        <v>0</v>
      </c>
      <c r="G4">
        <f t="shared" ca="1" si="5"/>
        <v>0</v>
      </c>
    </row>
    <row r="5" spans="1:7" x14ac:dyDescent="0.25">
      <c r="A5">
        <v>1</v>
      </c>
      <c r="B5" t="str">
        <f t="shared" si="0"/>
        <v>S03</v>
      </c>
      <c r="C5">
        <f t="shared" ca="1" si="1"/>
        <v>0</v>
      </c>
      <c r="D5">
        <f t="shared" ca="1" si="2"/>
        <v>0</v>
      </c>
      <c r="E5">
        <f t="shared" ca="1" si="3"/>
        <v>0</v>
      </c>
      <c r="F5">
        <f t="shared" ca="1" si="4"/>
        <v>0</v>
      </c>
      <c r="G5">
        <f t="shared" ca="1" si="5"/>
        <v>0</v>
      </c>
    </row>
    <row r="6" spans="1:7" x14ac:dyDescent="0.25">
      <c r="B6" t="str">
        <f t="shared" si="0"/>
        <v/>
      </c>
      <c r="C6" t="str">
        <f t="shared" ca="1" si="1"/>
        <v/>
      </c>
      <c r="D6" t="str">
        <f t="shared" ca="1" si="2"/>
        <v/>
      </c>
      <c r="E6" t="str">
        <f t="shared" ca="1" si="3"/>
        <v/>
      </c>
      <c r="F6" t="str">
        <f t="shared" si="4"/>
        <v/>
      </c>
      <c r="G6">
        <f t="shared" si="5"/>
        <v>0</v>
      </c>
    </row>
    <row r="7" spans="1:7" x14ac:dyDescent="0.25">
      <c r="B7" t="str">
        <f t="shared" si="0"/>
        <v/>
      </c>
      <c r="C7" t="str">
        <f t="shared" ca="1" si="1"/>
        <v/>
      </c>
      <c r="D7" t="str">
        <f t="shared" ca="1" si="2"/>
        <v/>
      </c>
      <c r="E7" t="str">
        <f t="shared" ca="1" si="3"/>
        <v/>
      </c>
      <c r="F7" t="str">
        <f t="shared" si="4"/>
        <v/>
      </c>
      <c r="G7">
        <f t="shared" si="5"/>
        <v>0</v>
      </c>
    </row>
    <row r="8" spans="1:7" x14ac:dyDescent="0.25">
      <c r="B8" t="str">
        <f t="shared" si="0"/>
        <v/>
      </c>
      <c r="C8" t="str">
        <f t="shared" ca="1" si="1"/>
        <v/>
      </c>
      <c r="D8" t="str">
        <f t="shared" ca="1" si="2"/>
        <v/>
      </c>
      <c r="E8" t="str">
        <f t="shared" ca="1" si="3"/>
        <v/>
      </c>
      <c r="F8" t="str">
        <f t="shared" si="4"/>
        <v/>
      </c>
      <c r="G8">
        <f t="shared" si="5"/>
        <v>0</v>
      </c>
    </row>
    <row r="9" spans="1:7" x14ac:dyDescent="0.25">
      <c r="B9" t="str">
        <f t="shared" si="0"/>
        <v/>
      </c>
      <c r="C9" t="str">
        <f t="shared" ca="1" si="1"/>
        <v/>
      </c>
      <c r="D9" t="str">
        <f t="shared" ca="1" si="2"/>
        <v/>
      </c>
      <c r="E9" t="str">
        <f t="shared" ca="1" si="3"/>
        <v/>
      </c>
      <c r="F9" t="str">
        <f t="shared" si="4"/>
        <v/>
      </c>
      <c r="G9">
        <f t="shared" si="5"/>
        <v>0</v>
      </c>
    </row>
    <row r="10" spans="1:7" x14ac:dyDescent="0.25">
      <c r="B10" t="str">
        <f t="shared" si="0"/>
        <v/>
      </c>
      <c r="C10" t="str">
        <f t="shared" ca="1" si="1"/>
        <v/>
      </c>
      <c r="D10" t="str">
        <f t="shared" ca="1" si="2"/>
        <v/>
      </c>
      <c r="E10" t="str">
        <f t="shared" ca="1" si="3"/>
        <v/>
      </c>
      <c r="F10" t="str">
        <f t="shared" si="4"/>
        <v/>
      </c>
      <c r="G10">
        <f t="shared" si="5"/>
        <v>0</v>
      </c>
    </row>
    <row r="11" spans="1:7" x14ac:dyDescent="0.25">
      <c r="B11" t="str">
        <f t="shared" si="0"/>
        <v/>
      </c>
      <c r="C11" t="str">
        <f t="shared" ca="1" si="1"/>
        <v/>
      </c>
      <c r="D11" t="str">
        <f t="shared" ca="1" si="2"/>
        <v/>
      </c>
      <c r="E11" t="str">
        <f t="shared" ca="1" si="3"/>
        <v/>
      </c>
      <c r="F11" t="str">
        <f t="shared" si="4"/>
        <v/>
      </c>
      <c r="G11">
        <f t="shared" si="5"/>
        <v>0</v>
      </c>
    </row>
    <row r="12" spans="1:7" x14ac:dyDescent="0.25">
      <c r="B12" t="str">
        <f t="shared" si="0"/>
        <v/>
      </c>
      <c r="C12" t="str">
        <f t="shared" ca="1" si="1"/>
        <v/>
      </c>
      <c r="D12" t="str">
        <f t="shared" ca="1" si="2"/>
        <v/>
      </c>
      <c r="E12" t="str">
        <f t="shared" ca="1" si="3"/>
        <v/>
      </c>
      <c r="F12" t="str">
        <f t="shared" si="4"/>
        <v/>
      </c>
      <c r="G12">
        <f t="shared" si="5"/>
        <v>0</v>
      </c>
    </row>
    <row r="13" spans="1:7" x14ac:dyDescent="0.25">
      <c r="B13" t="str">
        <f t="shared" si="0"/>
        <v/>
      </c>
      <c r="C13" t="str">
        <f t="shared" ca="1" si="1"/>
        <v/>
      </c>
      <c r="D13" t="str">
        <f t="shared" ca="1" si="2"/>
        <v/>
      </c>
      <c r="E13" t="str">
        <f t="shared" ca="1" si="3"/>
        <v/>
      </c>
      <c r="F13" t="str">
        <f t="shared" si="4"/>
        <v/>
      </c>
      <c r="G13">
        <f t="shared" si="5"/>
        <v>0</v>
      </c>
    </row>
    <row r="14" spans="1:7" x14ac:dyDescent="0.25">
      <c r="B14" t="str">
        <f t="shared" si="0"/>
        <v/>
      </c>
      <c r="C14" t="str">
        <f t="shared" ca="1" si="1"/>
        <v/>
      </c>
      <c r="D14" t="str">
        <f t="shared" ca="1" si="2"/>
        <v/>
      </c>
      <c r="E14" t="str">
        <f t="shared" ca="1" si="3"/>
        <v/>
      </c>
      <c r="F14" t="str">
        <f t="shared" si="4"/>
        <v/>
      </c>
      <c r="G14">
        <f t="shared" si="5"/>
        <v>0</v>
      </c>
    </row>
    <row r="15" spans="1:7" x14ac:dyDescent="0.25">
      <c r="B15" t="str">
        <f t="shared" si="0"/>
        <v/>
      </c>
      <c r="C15" t="str">
        <f t="shared" ca="1" si="1"/>
        <v/>
      </c>
      <c r="D15" t="str">
        <f t="shared" ca="1" si="2"/>
        <v/>
      </c>
      <c r="E15" t="str">
        <f t="shared" ca="1" si="3"/>
        <v/>
      </c>
      <c r="F15" t="str">
        <f t="shared" si="4"/>
        <v/>
      </c>
      <c r="G15">
        <f t="shared" si="5"/>
        <v>0</v>
      </c>
    </row>
    <row r="16" spans="1:7" x14ac:dyDescent="0.25">
      <c r="B16" t="str">
        <f t="shared" si="0"/>
        <v/>
      </c>
      <c r="C16" t="str">
        <f t="shared" ca="1" si="1"/>
        <v/>
      </c>
      <c r="D16" t="str">
        <f t="shared" ca="1" si="2"/>
        <v/>
      </c>
      <c r="E16" t="str">
        <f t="shared" ca="1" si="3"/>
        <v/>
      </c>
      <c r="F16" t="str">
        <f t="shared" si="4"/>
        <v/>
      </c>
      <c r="G16">
        <f t="shared" si="5"/>
        <v>0</v>
      </c>
    </row>
    <row r="17" spans="2:7" x14ac:dyDescent="0.25">
      <c r="B17" t="str">
        <f t="shared" si="0"/>
        <v/>
      </c>
      <c r="C17" t="str">
        <f t="shared" ca="1" si="1"/>
        <v/>
      </c>
      <c r="D17" t="str">
        <f t="shared" ca="1" si="2"/>
        <v/>
      </c>
      <c r="E17" t="str">
        <f t="shared" ca="1" si="3"/>
        <v/>
      </c>
      <c r="F17" t="str">
        <f t="shared" si="4"/>
        <v/>
      </c>
      <c r="G17">
        <f t="shared" si="5"/>
        <v>0</v>
      </c>
    </row>
    <row r="18" spans="2:7" x14ac:dyDescent="0.25">
      <c r="B18" t="str">
        <f t="shared" si="0"/>
        <v/>
      </c>
      <c r="C18" t="str">
        <f t="shared" ca="1" si="1"/>
        <v/>
      </c>
      <c r="D18" t="str">
        <f t="shared" ca="1" si="2"/>
        <v/>
      </c>
      <c r="E18" t="str">
        <f t="shared" ca="1" si="3"/>
        <v/>
      </c>
      <c r="F18" t="str">
        <f t="shared" si="4"/>
        <v/>
      </c>
      <c r="G18">
        <f t="shared" si="5"/>
        <v>0</v>
      </c>
    </row>
    <row r="19" spans="2:7" x14ac:dyDescent="0.25">
      <c r="B19" t="str">
        <f t="shared" si="0"/>
        <v/>
      </c>
      <c r="C19" t="str">
        <f t="shared" ca="1" si="1"/>
        <v/>
      </c>
      <c r="D19" t="str">
        <f t="shared" ca="1" si="2"/>
        <v/>
      </c>
      <c r="E19" t="str">
        <f t="shared" ca="1" si="3"/>
        <v/>
      </c>
      <c r="F19" t="str">
        <f t="shared" si="4"/>
        <v/>
      </c>
      <c r="G19">
        <f t="shared" si="5"/>
        <v>0</v>
      </c>
    </row>
    <row r="20" spans="2:7" x14ac:dyDescent="0.25">
      <c r="B20" t="str">
        <f t="shared" si="0"/>
        <v/>
      </c>
      <c r="C20" t="str">
        <f t="shared" ca="1" si="1"/>
        <v/>
      </c>
      <c r="D20" t="str">
        <f t="shared" ca="1" si="2"/>
        <v/>
      </c>
      <c r="E20" t="str">
        <f t="shared" ca="1" si="3"/>
        <v/>
      </c>
      <c r="F20" t="str">
        <f t="shared" si="4"/>
        <v/>
      </c>
      <c r="G20">
        <f t="shared" si="5"/>
        <v>0</v>
      </c>
    </row>
    <row r="21" spans="2:7" x14ac:dyDescent="0.25">
      <c r="B21" t="str">
        <f t="shared" si="0"/>
        <v/>
      </c>
      <c r="C21" t="str">
        <f t="shared" ca="1" si="1"/>
        <v/>
      </c>
      <c r="D21" t="str">
        <f t="shared" ca="1" si="2"/>
        <v/>
      </c>
      <c r="E21" t="str">
        <f t="shared" ca="1" si="3"/>
        <v/>
      </c>
      <c r="F21" t="str">
        <f t="shared" si="4"/>
        <v/>
      </c>
      <c r="G21">
        <f t="shared" si="5"/>
        <v>0</v>
      </c>
    </row>
    <row r="22" spans="2:7" x14ac:dyDescent="0.25">
      <c r="B22" t="str">
        <f t="shared" si="0"/>
        <v/>
      </c>
      <c r="C22" t="str">
        <f t="shared" ca="1" si="1"/>
        <v/>
      </c>
      <c r="D22" t="str">
        <f t="shared" ca="1" si="2"/>
        <v/>
      </c>
      <c r="E22" t="str">
        <f t="shared" ca="1" si="3"/>
        <v/>
      </c>
      <c r="F22" t="str">
        <f t="shared" si="4"/>
        <v/>
      </c>
      <c r="G22">
        <f t="shared" si="5"/>
        <v>0</v>
      </c>
    </row>
    <row r="23" spans="2:7" x14ac:dyDescent="0.25">
      <c r="B23" t="str">
        <f t="shared" si="0"/>
        <v/>
      </c>
      <c r="C23" t="str">
        <f t="shared" ca="1" si="1"/>
        <v/>
      </c>
      <c r="D23" t="str">
        <f t="shared" ca="1" si="2"/>
        <v/>
      </c>
      <c r="E23" t="str">
        <f t="shared" ca="1" si="3"/>
        <v/>
      </c>
      <c r="F23" t="str">
        <f t="shared" si="4"/>
        <v/>
      </c>
      <c r="G23">
        <f t="shared" si="5"/>
        <v>0</v>
      </c>
    </row>
    <row r="24" spans="2:7" x14ac:dyDescent="0.25">
      <c r="B24" t="str">
        <f t="shared" si="0"/>
        <v/>
      </c>
      <c r="C24" t="str">
        <f t="shared" ca="1" si="1"/>
        <v/>
      </c>
      <c r="D24" t="str">
        <f t="shared" ca="1" si="2"/>
        <v/>
      </c>
      <c r="E24" t="str">
        <f t="shared" ca="1" si="3"/>
        <v/>
      </c>
      <c r="F24" t="str">
        <f t="shared" si="4"/>
        <v/>
      </c>
      <c r="G24">
        <f t="shared" si="5"/>
        <v>0</v>
      </c>
    </row>
    <row r="25" spans="2:7" x14ac:dyDescent="0.25">
      <c r="B25" t="str">
        <f t="shared" si="0"/>
        <v/>
      </c>
      <c r="C25" t="str">
        <f t="shared" ca="1" si="1"/>
        <v/>
      </c>
      <c r="D25" t="str">
        <f t="shared" ca="1" si="2"/>
        <v/>
      </c>
      <c r="E25" t="str">
        <f t="shared" ca="1" si="3"/>
        <v/>
      </c>
      <c r="F25" t="str">
        <f t="shared" si="4"/>
        <v/>
      </c>
      <c r="G25">
        <f t="shared" si="5"/>
        <v>0</v>
      </c>
    </row>
    <row r="26" spans="2:7" x14ac:dyDescent="0.25">
      <c r="B26" t="str">
        <f t="shared" si="0"/>
        <v/>
      </c>
      <c r="C26" t="str">
        <f t="shared" ca="1" si="1"/>
        <v/>
      </c>
      <c r="D26" t="str">
        <f t="shared" ca="1" si="2"/>
        <v/>
      </c>
      <c r="E26" t="str">
        <f t="shared" ca="1" si="3"/>
        <v/>
      </c>
      <c r="F26" t="str">
        <f t="shared" si="4"/>
        <v/>
      </c>
      <c r="G26">
        <f t="shared" si="5"/>
        <v>0</v>
      </c>
    </row>
    <row r="27" spans="2:7" x14ac:dyDescent="0.25">
      <c r="B27" t="str">
        <f t="shared" si="0"/>
        <v/>
      </c>
      <c r="C27" t="str">
        <f t="shared" ca="1" si="1"/>
        <v/>
      </c>
      <c r="D27" t="str">
        <f t="shared" ca="1" si="2"/>
        <v/>
      </c>
      <c r="E27" t="str">
        <f t="shared" ca="1" si="3"/>
        <v/>
      </c>
      <c r="F27" t="str">
        <f t="shared" si="4"/>
        <v/>
      </c>
      <c r="G27">
        <f t="shared" si="5"/>
        <v>0</v>
      </c>
    </row>
    <row r="28" spans="2:7" x14ac:dyDescent="0.25">
      <c r="B28" t="str">
        <f t="shared" si="0"/>
        <v/>
      </c>
      <c r="C28" t="str">
        <f t="shared" ca="1" si="1"/>
        <v/>
      </c>
      <c r="D28" t="str">
        <f t="shared" ca="1" si="2"/>
        <v/>
      </c>
      <c r="E28" t="str">
        <f t="shared" ca="1" si="3"/>
        <v/>
      </c>
      <c r="F28" t="str">
        <f t="shared" si="4"/>
        <v/>
      </c>
      <c r="G28">
        <f t="shared" si="5"/>
        <v>0</v>
      </c>
    </row>
    <row r="29" spans="2:7" x14ac:dyDescent="0.25">
      <c r="B29" t="str">
        <f t="shared" si="0"/>
        <v/>
      </c>
      <c r="C29" t="str">
        <f t="shared" ca="1" si="1"/>
        <v/>
      </c>
      <c r="D29" t="str">
        <f t="shared" ca="1" si="2"/>
        <v/>
      </c>
      <c r="E29" t="str">
        <f t="shared" ca="1" si="3"/>
        <v/>
      </c>
      <c r="F29" t="str">
        <f t="shared" si="4"/>
        <v/>
      </c>
      <c r="G29">
        <f t="shared" si="5"/>
        <v>0</v>
      </c>
    </row>
    <row r="30" spans="2:7" x14ac:dyDescent="0.25">
      <c r="B30" t="str">
        <f t="shared" si="0"/>
        <v/>
      </c>
      <c r="C30" t="str">
        <f t="shared" ca="1" si="1"/>
        <v/>
      </c>
      <c r="D30" t="str">
        <f t="shared" ca="1" si="2"/>
        <v/>
      </c>
      <c r="E30" t="str">
        <f t="shared" ca="1" si="3"/>
        <v/>
      </c>
      <c r="F30" t="str">
        <f t="shared" si="4"/>
        <v/>
      </c>
      <c r="G30">
        <f t="shared" si="5"/>
        <v>0</v>
      </c>
    </row>
    <row r="31" spans="2:7" x14ac:dyDescent="0.25">
      <c r="B31" t="str">
        <f t="shared" si="0"/>
        <v/>
      </c>
      <c r="C31" t="str">
        <f t="shared" ca="1" si="1"/>
        <v/>
      </c>
      <c r="D31" t="str">
        <f t="shared" ca="1" si="2"/>
        <v/>
      </c>
      <c r="E31" t="str">
        <f t="shared" ca="1" si="3"/>
        <v/>
      </c>
      <c r="F31" t="str">
        <f t="shared" si="4"/>
        <v/>
      </c>
      <c r="G31">
        <f t="shared" si="5"/>
        <v>0</v>
      </c>
    </row>
    <row r="32" spans="2:7" x14ac:dyDescent="0.25">
      <c r="B32" t="str">
        <f t="shared" si="0"/>
        <v/>
      </c>
      <c r="C32" t="str">
        <f t="shared" ca="1" si="1"/>
        <v/>
      </c>
      <c r="D32" t="str">
        <f t="shared" ca="1" si="2"/>
        <v/>
      </c>
      <c r="E32" t="str">
        <f t="shared" ca="1" si="3"/>
        <v/>
      </c>
      <c r="F32" t="str">
        <f t="shared" si="4"/>
        <v/>
      </c>
      <c r="G32">
        <f t="shared" si="5"/>
        <v>0</v>
      </c>
    </row>
    <row r="33" spans="2:7" x14ac:dyDescent="0.25">
      <c r="B33" t="str">
        <f t="shared" si="0"/>
        <v/>
      </c>
      <c r="C33" t="str">
        <f t="shared" ca="1" si="1"/>
        <v/>
      </c>
      <c r="D33" t="str">
        <f t="shared" ca="1" si="2"/>
        <v/>
      </c>
      <c r="E33" t="str">
        <f t="shared" ca="1" si="3"/>
        <v/>
      </c>
      <c r="F33" t="str">
        <f t="shared" si="4"/>
        <v/>
      </c>
      <c r="G33">
        <f t="shared" si="5"/>
        <v>0</v>
      </c>
    </row>
    <row r="34" spans="2:7" x14ac:dyDescent="0.25">
      <c r="B34" t="str">
        <f t="shared" si="0"/>
        <v/>
      </c>
      <c r="C34" t="str">
        <f t="shared" ca="1" si="1"/>
        <v/>
      </c>
      <c r="D34" t="str">
        <f t="shared" ca="1" si="2"/>
        <v/>
      </c>
      <c r="E34" t="str">
        <f t="shared" ca="1" si="3"/>
        <v/>
      </c>
      <c r="F34" t="str">
        <f t="shared" si="4"/>
        <v/>
      </c>
      <c r="G34">
        <f t="shared" si="5"/>
        <v>0</v>
      </c>
    </row>
    <row r="35" spans="2:7" x14ac:dyDescent="0.25">
      <c r="B35" t="str">
        <f t="shared" si="0"/>
        <v/>
      </c>
      <c r="C35" t="str">
        <f t="shared" ca="1" si="1"/>
        <v/>
      </c>
      <c r="D35" t="str">
        <f t="shared" ca="1" si="2"/>
        <v/>
      </c>
      <c r="E35" t="str">
        <f t="shared" ca="1" si="3"/>
        <v/>
      </c>
      <c r="F35" t="str">
        <f t="shared" si="4"/>
        <v/>
      </c>
      <c r="G35">
        <f t="shared" si="5"/>
        <v>0</v>
      </c>
    </row>
    <row r="36" spans="2:7" x14ac:dyDescent="0.25">
      <c r="B36" t="str">
        <f t="shared" si="0"/>
        <v/>
      </c>
      <c r="C36" t="str">
        <f t="shared" ca="1" si="1"/>
        <v/>
      </c>
      <c r="D36" t="str">
        <f t="shared" ca="1" si="2"/>
        <v/>
      </c>
      <c r="E36" t="str">
        <f t="shared" ca="1" si="3"/>
        <v/>
      </c>
      <c r="F36" t="str">
        <f t="shared" si="4"/>
        <v/>
      </c>
      <c r="G36">
        <f t="shared" si="5"/>
        <v>0</v>
      </c>
    </row>
    <row r="37" spans="2:7" x14ac:dyDescent="0.25">
      <c r="B37" t="str">
        <f t="shared" si="0"/>
        <v/>
      </c>
      <c r="C37" t="str">
        <f t="shared" ca="1" si="1"/>
        <v/>
      </c>
      <c r="D37" t="str">
        <f t="shared" ca="1" si="2"/>
        <v/>
      </c>
      <c r="E37" t="str">
        <f t="shared" ca="1" si="3"/>
        <v/>
      </c>
      <c r="F37" t="str">
        <f t="shared" si="4"/>
        <v/>
      </c>
      <c r="G37">
        <f t="shared" si="5"/>
        <v>0</v>
      </c>
    </row>
    <row r="38" spans="2:7" x14ac:dyDescent="0.25">
      <c r="B38" t="str">
        <f t="shared" si="0"/>
        <v/>
      </c>
      <c r="C38" t="str">
        <f t="shared" ca="1" si="1"/>
        <v/>
      </c>
      <c r="D38" t="str">
        <f t="shared" ca="1" si="2"/>
        <v/>
      </c>
      <c r="E38" t="str">
        <f t="shared" ca="1" si="3"/>
        <v/>
      </c>
      <c r="F38" t="str">
        <f t="shared" si="4"/>
        <v/>
      </c>
      <c r="G38">
        <f t="shared" si="5"/>
        <v>0</v>
      </c>
    </row>
    <row r="39" spans="2:7" x14ac:dyDescent="0.25">
      <c r="B39" t="str">
        <f t="shared" si="0"/>
        <v/>
      </c>
      <c r="C39" t="str">
        <f t="shared" ca="1" si="1"/>
        <v/>
      </c>
      <c r="D39" t="str">
        <f t="shared" ca="1" si="2"/>
        <v/>
      </c>
      <c r="E39" t="str">
        <f t="shared" ca="1" si="3"/>
        <v/>
      </c>
      <c r="F39" t="str">
        <f t="shared" si="4"/>
        <v/>
      </c>
      <c r="G39">
        <f t="shared" si="5"/>
        <v>0</v>
      </c>
    </row>
    <row r="40" spans="2:7" x14ac:dyDescent="0.25">
      <c r="B40" t="str">
        <f t="shared" si="0"/>
        <v/>
      </c>
      <c r="C40" t="str">
        <f t="shared" ca="1" si="1"/>
        <v/>
      </c>
      <c r="D40" t="str">
        <f t="shared" ca="1" si="2"/>
        <v/>
      </c>
      <c r="E40" t="str">
        <f t="shared" ca="1" si="3"/>
        <v/>
      </c>
      <c r="F40" t="str">
        <f t="shared" si="4"/>
        <v/>
      </c>
      <c r="G40">
        <f t="shared" si="5"/>
        <v>0</v>
      </c>
    </row>
    <row r="41" spans="2:7" x14ac:dyDescent="0.25">
      <c r="B41" t="str">
        <f t="shared" si="0"/>
        <v/>
      </c>
      <c r="C41" t="str">
        <f t="shared" ca="1" si="1"/>
        <v/>
      </c>
      <c r="D41" t="str">
        <f t="shared" ca="1" si="2"/>
        <v/>
      </c>
      <c r="E41" t="str">
        <f t="shared" ca="1" si="3"/>
        <v/>
      </c>
      <c r="F41" t="str">
        <f t="shared" si="4"/>
        <v/>
      </c>
      <c r="G41">
        <f t="shared" si="5"/>
        <v>0</v>
      </c>
    </row>
    <row r="42" spans="2:7" x14ac:dyDescent="0.25">
      <c r="B42" t="str">
        <f t="shared" si="0"/>
        <v/>
      </c>
      <c r="C42" t="str">
        <f t="shared" ca="1" si="1"/>
        <v/>
      </c>
      <c r="D42" t="str">
        <f t="shared" ca="1" si="2"/>
        <v/>
      </c>
      <c r="E42" t="str">
        <f t="shared" ca="1" si="3"/>
        <v/>
      </c>
      <c r="F42" t="str">
        <f t="shared" si="4"/>
        <v/>
      </c>
      <c r="G42">
        <f t="shared" si="5"/>
        <v>0</v>
      </c>
    </row>
    <row r="43" spans="2:7" x14ac:dyDescent="0.25">
      <c r="B43" t="str">
        <f t="shared" si="0"/>
        <v/>
      </c>
      <c r="C43" t="str">
        <f t="shared" ca="1" si="1"/>
        <v/>
      </c>
      <c r="D43" t="str">
        <f t="shared" ca="1" si="2"/>
        <v/>
      </c>
      <c r="E43" t="str">
        <f t="shared" ca="1" si="3"/>
        <v/>
      </c>
      <c r="F43" t="str">
        <f t="shared" si="4"/>
        <v/>
      </c>
      <c r="G43">
        <f t="shared" si="5"/>
        <v>0</v>
      </c>
    </row>
    <row r="44" spans="2:7" x14ac:dyDescent="0.25">
      <c r="B44" t="str">
        <f t="shared" si="0"/>
        <v/>
      </c>
      <c r="C44" t="str">
        <f t="shared" ca="1" si="1"/>
        <v/>
      </c>
      <c r="D44" t="str">
        <f t="shared" ca="1" si="2"/>
        <v/>
      </c>
      <c r="E44" t="str">
        <f t="shared" ca="1" si="3"/>
        <v/>
      </c>
      <c r="F44" t="str">
        <f t="shared" si="4"/>
        <v/>
      </c>
      <c r="G44">
        <f t="shared" si="5"/>
        <v>0</v>
      </c>
    </row>
    <row r="45" spans="2:7" x14ac:dyDescent="0.25">
      <c r="B45" t="str">
        <f t="shared" si="0"/>
        <v/>
      </c>
      <c r="C45" t="str">
        <f t="shared" ca="1" si="1"/>
        <v/>
      </c>
      <c r="D45" t="str">
        <f t="shared" ca="1" si="2"/>
        <v/>
      </c>
      <c r="E45" t="str">
        <f t="shared" ca="1" si="3"/>
        <v/>
      </c>
      <c r="F45" t="str">
        <f t="shared" si="4"/>
        <v/>
      </c>
      <c r="G45">
        <f t="shared" si="5"/>
        <v>0</v>
      </c>
    </row>
    <row r="46" spans="2:7" x14ac:dyDescent="0.25">
      <c r="B46" t="str">
        <f t="shared" si="0"/>
        <v/>
      </c>
      <c r="C46" t="str">
        <f t="shared" ca="1" si="1"/>
        <v/>
      </c>
      <c r="D46" t="str">
        <f t="shared" ca="1" si="2"/>
        <v/>
      </c>
      <c r="E46" t="str">
        <f t="shared" ca="1" si="3"/>
        <v/>
      </c>
      <c r="F46" t="str">
        <f t="shared" si="4"/>
        <v/>
      </c>
      <c r="G46">
        <f t="shared" si="5"/>
        <v>0</v>
      </c>
    </row>
    <row r="47" spans="2:7" x14ac:dyDescent="0.25">
      <c r="B47" t="str">
        <f t="shared" si="0"/>
        <v/>
      </c>
      <c r="C47" t="str">
        <f t="shared" ca="1" si="1"/>
        <v/>
      </c>
      <c r="D47" t="str">
        <f t="shared" ca="1" si="2"/>
        <v/>
      </c>
      <c r="E47" t="str">
        <f t="shared" ca="1" si="3"/>
        <v/>
      </c>
      <c r="F47" t="str">
        <f t="shared" si="4"/>
        <v/>
      </c>
      <c r="G47">
        <f t="shared" si="5"/>
        <v>0</v>
      </c>
    </row>
    <row r="48" spans="2:7" x14ac:dyDescent="0.25">
      <c r="B48" t="str">
        <f t="shared" si="0"/>
        <v/>
      </c>
      <c r="C48" t="str">
        <f t="shared" ca="1" si="1"/>
        <v/>
      </c>
      <c r="D48" t="str">
        <f t="shared" ca="1" si="2"/>
        <v/>
      </c>
      <c r="E48" t="str">
        <f t="shared" ca="1" si="3"/>
        <v/>
      </c>
      <c r="F48" t="str">
        <f t="shared" si="4"/>
        <v/>
      </c>
      <c r="G48">
        <f t="shared" si="5"/>
        <v>0</v>
      </c>
    </row>
    <row r="49" spans="2:7" x14ac:dyDescent="0.25">
      <c r="B49" t="str">
        <f t="shared" si="0"/>
        <v/>
      </c>
      <c r="C49" t="str">
        <f t="shared" ca="1" si="1"/>
        <v/>
      </c>
      <c r="D49" t="str">
        <f t="shared" ca="1" si="2"/>
        <v/>
      </c>
      <c r="E49" t="str">
        <f t="shared" ca="1" si="3"/>
        <v/>
      </c>
      <c r="F49" t="str">
        <f t="shared" si="4"/>
        <v/>
      </c>
      <c r="G49">
        <f t="shared" si="5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PurchaseBAK</vt:lpstr>
      <vt:lpstr>Button</vt:lpstr>
      <vt:lpstr>README</vt:lpstr>
      <vt:lpstr>Search</vt:lpstr>
      <vt:lpstr>Purchase</vt:lpstr>
      <vt:lpstr>Summary</vt:lpstr>
      <vt:lpstr>S01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2026-03-28T10:17:46Z</dcterms:modified>
</cp:coreProperties>
</file>