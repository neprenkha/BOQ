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46C3A20D-A921-4EAE-8AF7-A82DFF8CCC3D}" xr6:coauthVersionLast="47" xr6:coauthVersionMax="47" xr10:uidLastSave="{00000000-0000-0000-0000-000000000000}"/>
  <bookViews>
    <workbookView xWindow="-120" yWindow="-120" windowWidth="29040" windowHeight="15840" firstSheet="1" activeTab="3" xr2:uid="{00000000-000D-0000-FFFF-FFFF00000000}"/>
  </bookViews>
  <sheets>
    <sheet name="SummaryHelper" sheetId="46" state="hidden" r:id="rId1"/>
    <sheet name="README" sheetId="16" r:id="rId2"/>
    <sheet name="ProcurementHelper" sheetId="48" r:id="rId3"/>
    <sheet name="Procurement" sheetId="47" r:id="rId4"/>
    <sheet name="Summary" sheetId="12" r:id="rId5"/>
    <sheet name="S01" sheetId="21" r:id="rId6"/>
    <sheet name="S02" sheetId="30" r:id="rId7"/>
    <sheet name="S03" sheetId="34" r:id="rId8"/>
    <sheet name="S04" sheetId="33" r:id="rId9"/>
    <sheet name="S05" sheetId="32" r:id="rId10"/>
    <sheet name="S06" sheetId="31" r:id="rId11"/>
    <sheet name="S07" sheetId="35" r:id="rId12"/>
    <sheet name="S08" sheetId="36" r:id="rId13"/>
    <sheet name="S09" sheetId="37" r:id="rId14"/>
    <sheet name="S10" sheetId="38" r:id="rId15"/>
    <sheet name="S11" sheetId="39" r:id="rId16"/>
    <sheet name="S12" sheetId="40" r:id="rId17"/>
    <sheet name="S13" sheetId="41" r:id="rId18"/>
    <sheet name="S14" sheetId="42" r:id="rId19"/>
    <sheet name="S15" sheetId="43" r:id="rId20"/>
    <sheet name="S16" sheetId="44" r:id="rId21"/>
    <sheet name="S17" sheetId="45" r:id="rId22"/>
    <sheet name="S18" sheetId="49" r:id="rId23"/>
    <sheet name="S19" sheetId="50" r:id="rId24"/>
  </sheets>
  <externalReferences>
    <externalReference r:id="rId25"/>
  </externalReference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5" i="12" l="1"/>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G22" i="12" l="1"/>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B4" i="12"/>
  <c r="B5" i="12"/>
  <c r="B6"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3" i="12"/>
  <c r="I3" i="12" a="1"/>
  <c r="I3" i="12" s="1"/>
  <c r="AJ49" i="50"/>
  <c r="AI49" i="50"/>
  <c r="AH49" i="50"/>
  <c r="Y49" i="50"/>
  <c r="X49" i="50"/>
  <c r="W49" i="50"/>
  <c r="N49" i="50"/>
  <c r="M49" i="50"/>
  <c r="L49" i="50"/>
  <c r="AJ48" i="50"/>
  <c r="AI48" i="50"/>
  <c r="AH48" i="50"/>
  <c r="Y48" i="50"/>
  <c r="X48" i="50"/>
  <c r="W48" i="50"/>
  <c r="N48" i="50"/>
  <c r="M48" i="50"/>
  <c r="L48" i="50"/>
  <c r="AJ47" i="50"/>
  <c r="AI47" i="50"/>
  <c r="AH47" i="50"/>
  <c r="Y47" i="50"/>
  <c r="X47" i="50"/>
  <c r="W47" i="50"/>
  <c r="N47" i="50"/>
  <c r="M47" i="50"/>
  <c r="L47" i="50"/>
  <c r="AJ46" i="50"/>
  <c r="AI46" i="50"/>
  <c r="AH46" i="50"/>
  <c r="Y46" i="50"/>
  <c r="X46" i="50"/>
  <c r="W46" i="50"/>
  <c r="N46" i="50"/>
  <c r="M46" i="50"/>
  <c r="L46" i="50"/>
  <c r="AJ45" i="50"/>
  <c r="AI45" i="50"/>
  <c r="AH45" i="50"/>
  <c r="Y45" i="50"/>
  <c r="X45" i="50"/>
  <c r="W45" i="50"/>
  <c r="N45" i="50"/>
  <c r="M45" i="50"/>
  <c r="L45" i="50"/>
  <c r="AJ44" i="50"/>
  <c r="AI44" i="50"/>
  <c r="AH44" i="50"/>
  <c r="Y44" i="50"/>
  <c r="X44" i="50"/>
  <c r="W44" i="50"/>
  <c r="N44" i="50"/>
  <c r="M44" i="50"/>
  <c r="L44" i="50"/>
  <c r="AJ43" i="50"/>
  <c r="AI43" i="50"/>
  <c r="AH43" i="50"/>
  <c r="Y43" i="50"/>
  <c r="X43" i="50"/>
  <c r="W43" i="50"/>
  <c r="N43" i="50"/>
  <c r="M43" i="50"/>
  <c r="L43" i="50"/>
  <c r="AJ42" i="50"/>
  <c r="AI42" i="50"/>
  <c r="AH42" i="50"/>
  <c r="Y42" i="50"/>
  <c r="X42" i="50"/>
  <c r="W42" i="50"/>
  <c r="N42" i="50"/>
  <c r="M42" i="50"/>
  <c r="L42" i="50"/>
  <c r="AJ41" i="50"/>
  <c r="AI41" i="50"/>
  <c r="AH41" i="50"/>
  <c r="Y41" i="50"/>
  <c r="X41" i="50"/>
  <c r="W41" i="50"/>
  <c r="N41" i="50"/>
  <c r="M41" i="50"/>
  <c r="L41" i="50"/>
  <c r="AJ40" i="50"/>
  <c r="AI40" i="50"/>
  <c r="AH40" i="50"/>
  <c r="Y40" i="50"/>
  <c r="X40" i="50"/>
  <c r="W40" i="50"/>
  <c r="N40" i="50"/>
  <c r="M40" i="50"/>
  <c r="L40" i="50"/>
  <c r="AJ39" i="50"/>
  <c r="AI39" i="50"/>
  <c r="AH39" i="50"/>
  <c r="Y39" i="50"/>
  <c r="X39" i="50"/>
  <c r="W39" i="50"/>
  <c r="N39" i="50"/>
  <c r="M39" i="50"/>
  <c r="L39" i="50"/>
  <c r="AJ38" i="50"/>
  <c r="AI38" i="50"/>
  <c r="AH38" i="50"/>
  <c r="Y38" i="50"/>
  <c r="X38" i="50"/>
  <c r="W38" i="50"/>
  <c r="N38" i="50"/>
  <c r="M38" i="50"/>
  <c r="L38" i="50"/>
  <c r="AJ37" i="50"/>
  <c r="AI37" i="50"/>
  <c r="AH37" i="50"/>
  <c r="Y37" i="50"/>
  <c r="X37" i="50"/>
  <c r="W37" i="50"/>
  <c r="N37" i="50"/>
  <c r="M37" i="50"/>
  <c r="L37" i="50"/>
  <c r="AJ36" i="50"/>
  <c r="AI36" i="50"/>
  <c r="AH36" i="50"/>
  <c r="Y36" i="50"/>
  <c r="X36" i="50"/>
  <c r="W36" i="50"/>
  <c r="N36" i="50"/>
  <c r="M36" i="50"/>
  <c r="L36" i="50"/>
  <c r="AJ35" i="50"/>
  <c r="AI35" i="50"/>
  <c r="AH35" i="50"/>
  <c r="Y35" i="50"/>
  <c r="X35" i="50"/>
  <c r="W35" i="50"/>
  <c r="N35" i="50"/>
  <c r="M35" i="50"/>
  <c r="L35" i="50"/>
  <c r="AJ34" i="50"/>
  <c r="AI34" i="50"/>
  <c r="AH34" i="50"/>
  <c r="Y34" i="50"/>
  <c r="X34" i="50"/>
  <c r="W34" i="50"/>
  <c r="N34" i="50"/>
  <c r="M34" i="50"/>
  <c r="L34" i="50"/>
  <c r="AJ33" i="50"/>
  <c r="AI33" i="50"/>
  <c r="AH33" i="50"/>
  <c r="Y33" i="50"/>
  <c r="X33" i="50"/>
  <c r="W33" i="50"/>
  <c r="N33" i="50"/>
  <c r="M33" i="50"/>
  <c r="L33" i="50"/>
  <c r="AJ32" i="50"/>
  <c r="AI32" i="50"/>
  <c r="AH32" i="50"/>
  <c r="Y32" i="50"/>
  <c r="X32" i="50"/>
  <c r="W32" i="50"/>
  <c r="N32" i="50"/>
  <c r="M32" i="50"/>
  <c r="L32" i="50"/>
  <c r="AJ31" i="50"/>
  <c r="AI31" i="50"/>
  <c r="AH31" i="50"/>
  <c r="Y31" i="50"/>
  <c r="X31" i="50"/>
  <c r="W31" i="50"/>
  <c r="N31" i="50"/>
  <c r="M31" i="50"/>
  <c r="L31" i="50"/>
  <c r="AJ30" i="50"/>
  <c r="AI30" i="50"/>
  <c r="AH30" i="50"/>
  <c r="Y30" i="50"/>
  <c r="X30" i="50"/>
  <c r="W30" i="50"/>
  <c r="L30" i="50"/>
  <c r="M30" i="50" s="1"/>
  <c r="N30" i="50" s="1"/>
  <c r="AJ29" i="50"/>
  <c r="AI29" i="50"/>
  <c r="AH29" i="50"/>
  <c r="Y29" i="50"/>
  <c r="X29" i="50"/>
  <c r="W29" i="50"/>
  <c r="L29" i="50"/>
  <c r="M29" i="50" s="1"/>
  <c r="N29" i="50" s="1"/>
  <c r="AJ28" i="50"/>
  <c r="AI28" i="50"/>
  <c r="AH28" i="50"/>
  <c r="Y28" i="50"/>
  <c r="X28" i="50"/>
  <c r="W28" i="50"/>
  <c r="L28" i="50"/>
  <c r="M28" i="50" s="1"/>
  <c r="N28" i="50" s="1"/>
  <c r="AJ27" i="50"/>
  <c r="AI27" i="50"/>
  <c r="AH27" i="50"/>
  <c r="Y27" i="50"/>
  <c r="X27" i="50"/>
  <c r="W27" i="50"/>
  <c r="L27" i="50"/>
  <c r="M27" i="50" s="1"/>
  <c r="N27" i="50" s="1"/>
  <c r="AJ26" i="50"/>
  <c r="AI26" i="50"/>
  <c r="AH26" i="50"/>
  <c r="Y26" i="50"/>
  <c r="X26" i="50"/>
  <c r="W26" i="50"/>
  <c r="M26" i="50"/>
  <c r="N26" i="50" s="1"/>
  <c r="L26" i="50"/>
  <c r="AJ25" i="50"/>
  <c r="AI25" i="50"/>
  <c r="AH25" i="50"/>
  <c r="Y25" i="50"/>
  <c r="X25" i="50"/>
  <c r="W25" i="50"/>
  <c r="L25" i="50"/>
  <c r="M25" i="50" s="1"/>
  <c r="N25" i="50" s="1"/>
  <c r="AJ24" i="50"/>
  <c r="AI24" i="50"/>
  <c r="AH24" i="50"/>
  <c r="Y24" i="50"/>
  <c r="X24" i="50"/>
  <c r="W24" i="50"/>
  <c r="L24" i="50"/>
  <c r="M24" i="50" s="1"/>
  <c r="N24" i="50" s="1"/>
  <c r="AJ23" i="50"/>
  <c r="AI23" i="50"/>
  <c r="AH23" i="50"/>
  <c r="Y23" i="50"/>
  <c r="X23" i="50"/>
  <c r="W23" i="50"/>
  <c r="L23" i="50"/>
  <c r="M23" i="50" s="1"/>
  <c r="N23" i="50" s="1"/>
  <c r="AJ22" i="50"/>
  <c r="AI22" i="50"/>
  <c r="AH22" i="50"/>
  <c r="Y22" i="50"/>
  <c r="X22" i="50"/>
  <c r="W22" i="50"/>
  <c r="M22" i="50"/>
  <c r="N22" i="50" s="1"/>
  <c r="L22" i="50"/>
  <c r="AJ21" i="50"/>
  <c r="AI21" i="50"/>
  <c r="AH21" i="50"/>
  <c r="Y21" i="50"/>
  <c r="X21" i="50"/>
  <c r="W21" i="50"/>
  <c r="L21" i="50"/>
  <c r="M21" i="50" s="1"/>
  <c r="N21" i="50" s="1"/>
  <c r="AJ20" i="50"/>
  <c r="AI20" i="50"/>
  <c r="AH20" i="50"/>
  <c r="Y20" i="50"/>
  <c r="X20" i="50"/>
  <c r="W20" i="50"/>
  <c r="L20" i="50"/>
  <c r="M20" i="50" s="1"/>
  <c r="N20" i="50" s="1"/>
  <c r="AJ19" i="50"/>
  <c r="AI19" i="50"/>
  <c r="AH19" i="50"/>
  <c r="Y19" i="50"/>
  <c r="X19" i="50"/>
  <c r="W19" i="50"/>
  <c r="L19" i="50"/>
  <c r="M19" i="50" s="1"/>
  <c r="N19" i="50" s="1"/>
  <c r="AJ18" i="50"/>
  <c r="AI18" i="50"/>
  <c r="AH18" i="50"/>
  <c r="Y18" i="50"/>
  <c r="X18" i="50"/>
  <c r="W18" i="50"/>
  <c r="L18" i="50"/>
  <c r="M18" i="50" s="1"/>
  <c r="N18" i="50" s="1"/>
  <c r="AJ17" i="50"/>
  <c r="AI17" i="50"/>
  <c r="AH17" i="50"/>
  <c r="Y17" i="50"/>
  <c r="X17" i="50"/>
  <c r="W17" i="50"/>
  <c r="L17" i="50"/>
  <c r="M17" i="50" s="1"/>
  <c r="N17" i="50" s="1"/>
  <c r="AJ16" i="50"/>
  <c r="AI16" i="50"/>
  <c r="AH16" i="50"/>
  <c r="Y16" i="50"/>
  <c r="X16" i="50"/>
  <c r="W16" i="50"/>
  <c r="L16" i="50"/>
  <c r="M16" i="50" s="1"/>
  <c r="N16" i="50" s="1"/>
  <c r="AJ15" i="50"/>
  <c r="AI15" i="50"/>
  <c r="AH15" i="50"/>
  <c r="Y15" i="50"/>
  <c r="X15" i="50"/>
  <c r="W15" i="50"/>
  <c r="L15" i="50"/>
  <c r="M15" i="50" s="1"/>
  <c r="N15" i="50" s="1"/>
  <c r="AJ14" i="50"/>
  <c r="AI14" i="50"/>
  <c r="AH14" i="50"/>
  <c r="Y14" i="50"/>
  <c r="X14" i="50"/>
  <c r="W14" i="50"/>
  <c r="L14" i="50"/>
  <c r="M14" i="50" s="1"/>
  <c r="N14" i="50" s="1"/>
  <c r="AJ13" i="50"/>
  <c r="AI13" i="50"/>
  <c r="AH13" i="50"/>
  <c r="Y13" i="50"/>
  <c r="X13" i="50"/>
  <c r="W13" i="50"/>
  <c r="L13" i="50"/>
  <c r="M13" i="50" s="1"/>
  <c r="N13" i="50" s="1"/>
  <c r="AJ12" i="50"/>
  <c r="AI12" i="50"/>
  <c r="AH12" i="50"/>
  <c r="Y12" i="50"/>
  <c r="X12" i="50"/>
  <c r="W12" i="50"/>
  <c r="L12" i="50"/>
  <c r="M12" i="50" s="1"/>
  <c r="N12" i="50" s="1"/>
  <c r="AJ11" i="50"/>
  <c r="AI11" i="50"/>
  <c r="AH11" i="50"/>
  <c r="Y11" i="50"/>
  <c r="X11" i="50"/>
  <c r="W11" i="50"/>
  <c r="L11" i="50"/>
  <c r="M11" i="50" s="1"/>
  <c r="N11" i="50" s="1"/>
  <c r="AJ10" i="50"/>
  <c r="AI10" i="50"/>
  <c r="AH10" i="50"/>
  <c r="Y10" i="50"/>
  <c r="X10" i="50"/>
  <c r="W10" i="50"/>
  <c r="L10" i="50"/>
  <c r="M10" i="50" s="1"/>
  <c r="N10" i="50" s="1"/>
  <c r="AJ9" i="50"/>
  <c r="AI9" i="50"/>
  <c r="AH9" i="50"/>
  <c r="Y9" i="50"/>
  <c r="X9" i="50"/>
  <c r="W9" i="50"/>
  <c r="L9" i="50"/>
  <c r="M9" i="50" s="1"/>
  <c r="N9" i="50" s="1"/>
  <c r="AJ8" i="50"/>
  <c r="AI8" i="50"/>
  <c r="AH8" i="50"/>
  <c r="Y8" i="50"/>
  <c r="X8" i="50"/>
  <c r="W8" i="50"/>
  <c r="M8" i="50"/>
  <c r="N8" i="50" s="1"/>
  <c r="L8" i="50"/>
  <c r="AJ7" i="50"/>
  <c r="AI7" i="50"/>
  <c r="AH7" i="50"/>
  <c r="Y7" i="50"/>
  <c r="X7" i="50"/>
  <c r="W7" i="50"/>
  <c r="L7" i="50"/>
  <c r="M7" i="50" s="1"/>
  <c r="N7" i="50" s="1"/>
  <c r="AJ6" i="50"/>
  <c r="AI6" i="50"/>
  <c r="AH6" i="50"/>
  <c r="Y6" i="50"/>
  <c r="X6" i="50"/>
  <c r="W6" i="50"/>
  <c r="L6" i="50"/>
  <c r="M6" i="50" s="1"/>
  <c r="N6" i="50" s="1"/>
  <c r="AJ5" i="50"/>
  <c r="AI5" i="50"/>
  <c r="AH5" i="50"/>
  <c r="Y5" i="50"/>
  <c r="X5" i="50"/>
  <c r="W5" i="50"/>
  <c r="L5" i="50"/>
  <c r="M5" i="50" s="1"/>
  <c r="N5" i="50" s="1"/>
  <c r="AJ4" i="50"/>
  <c r="AI4" i="50"/>
  <c r="AH4" i="50"/>
  <c r="Y4" i="50"/>
  <c r="X4" i="50"/>
  <c r="W4" i="50"/>
  <c r="L4" i="50"/>
  <c r="M4" i="50" s="1"/>
  <c r="N4" i="50" s="1"/>
  <c r="AJ3" i="50"/>
  <c r="AJ1" i="50" s="1"/>
  <c r="AI3" i="50"/>
  <c r="AH3" i="50"/>
  <c r="W3" i="50"/>
  <c r="X3" i="50" s="1"/>
  <c r="Y3" i="50" s="1"/>
  <c r="Y1" i="50" s="1"/>
  <c r="L3" i="50"/>
  <c r="M3" i="50" s="1"/>
  <c r="N3" i="50" s="1"/>
  <c r="AA1" i="50" a="1"/>
  <c r="AA1" i="50" s="1"/>
  <c r="P1" i="50" a="1"/>
  <c r="P1" i="50" s="1"/>
  <c r="E1" i="50" a="1"/>
  <c r="E1" i="50" s="1"/>
  <c r="A1" i="50" a="1"/>
  <c r="A1" i="50" s="1"/>
  <c r="AJ49" i="49"/>
  <c r="AI49" i="49"/>
  <c r="AH49" i="49"/>
  <c r="Y49" i="49"/>
  <c r="X49" i="49"/>
  <c r="W49" i="49"/>
  <c r="N49" i="49"/>
  <c r="M49" i="49"/>
  <c r="L49" i="49"/>
  <c r="AJ48" i="49"/>
  <c r="AI48" i="49"/>
  <c r="AH48" i="49"/>
  <c r="Y48" i="49"/>
  <c r="X48" i="49"/>
  <c r="W48" i="49"/>
  <c r="N48" i="49"/>
  <c r="M48" i="49"/>
  <c r="L48" i="49"/>
  <c r="AJ47" i="49"/>
  <c r="AI47" i="49"/>
  <c r="AH47" i="49"/>
  <c r="Y47" i="49"/>
  <c r="X47" i="49"/>
  <c r="W47" i="49"/>
  <c r="N47" i="49"/>
  <c r="M47" i="49"/>
  <c r="L47" i="49"/>
  <c r="AJ46" i="49"/>
  <c r="AI46" i="49"/>
  <c r="AH46" i="49"/>
  <c r="Y46" i="49"/>
  <c r="X46" i="49"/>
  <c r="W46" i="49"/>
  <c r="N46" i="49"/>
  <c r="M46" i="49"/>
  <c r="L46" i="49"/>
  <c r="AJ45" i="49"/>
  <c r="AI45" i="49"/>
  <c r="AH45" i="49"/>
  <c r="Y45" i="49"/>
  <c r="X45" i="49"/>
  <c r="W45" i="49"/>
  <c r="N45" i="49"/>
  <c r="M45" i="49"/>
  <c r="L45" i="49"/>
  <c r="AJ44" i="49"/>
  <c r="AI44" i="49"/>
  <c r="AH44" i="49"/>
  <c r="Y44" i="49"/>
  <c r="X44" i="49"/>
  <c r="W44" i="49"/>
  <c r="N44" i="49"/>
  <c r="M44" i="49"/>
  <c r="L44" i="49"/>
  <c r="AJ43" i="49"/>
  <c r="AI43" i="49"/>
  <c r="AH43" i="49"/>
  <c r="Y43" i="49"/>
  <c r="X43" i="49"/>
  <c r="W43" i="49"/>
  <c r="N43" i="49"/>
  <c r="M43" i="49"/>
  <c r="L43" i="49"/>
  <c r="AJ42" i="49"/>
  <c r="AI42" i="49"/>
  <c r="AH42" i="49"/>
  <c r="Y42" i="49"/>
  <c r="X42" i="49"/>
  <c r="W42" i="49"/>
  <c r="N42" i="49"/>
  <c r="M42" i="49"/>
  <c r="L42" i="49"/>
  <c r="AJ41" i="49"/>
  <c r="AI41" i="49"/>
  <c r="AH41" i="49"/>
  <c r="Y41" i="49"/>
  <c r="X41" i="49"/>
  <c r="W41" i="49"/>
  <c r="N41" i="49"/>
  <c r="M41" i="49"/>
  <c r="L41" i="49"/>
  <c r="AJ40" i="49"/>
  <c r="AI40" i="49"/>
  <c r="AH40" i="49"/>
  <c r="Y40" i="49"/>
  <c r="X40" i="49"/>
  <c r="W40" i="49"/>
  <c r="N40" i="49"/>
  <c r="M40" i="49"/>
  <c r="L40" i="49"/>
  <c r="AJ39" i="49"/>
  <c r="AI39" i="49"/>
  <c r="AH39" i="49"/>
  <c r="Y39" i="49"/>
  <c r="X39" i="49"/>
  <c r="W39" i="49"/>
  <c r="N39" i="49"/>
  <c r="M39" i="49"/>
  <c r="L39" i="49"/>
  <c r="AJ38" i="49"/>
  <c r="AI38" i="49"/>
  <c r="AH38" i="49"/>
  <c r="Y38" i="49"/>
  <c r="X38" i="49"/>
  <c r="W38" i="49"/>
  <c r="N38" i="49"/>
  <c r="M38" i="49"/>
  <c r="L38" i="49"/>
  <c r="AJ37" i="49"/>
  <c r="AI37" i="49"/>
  <c r="AH37" i="49"/>
  <c r="Y37" i="49"/>
  <c r="X37" i="49"/>
  <c r="W37" i="49"/>
  <c r="N37" i="49"/>
  <c r="M37" i="49"/>
  <c r="L37" i="49"/>
  <c r="AJ36" i="49"/>
  <c r="AI36" i="49"/>
  <c r="AH36" i="49"/>
  <c r="Y36" i="49"/>
  <c r="X36" i="49"/>
  <c r="W36" i="49"/>
  <c r="N36" i="49"/>
  <c r="M36" i="49"/>
  <c r="L36" i="49"/>
  <c r="AJ35" i="49"/>
  <c r="AI35" i="49"/>
  <c r="AH35" i="49"/>
  <c r="Y35" i="49"/>
  <c r="X35" i="49"/>
  <c r="W35" i="49"/>
  <c r="N35" i="49"/>
  <c r="M35" i="49"/>
  <c r="L35" i="49"/>
  <c r="AJ34" i="49"/>
  <c r="AI34" i="49"/>
  <c r="AH34" i="49"/>
  <c r="Y34" i="49"/>
  <c r="X34" i="49"/>
  <c r="W34" i="49"/>
  <c r="N34" i="49"/>
  <c r="M34" i="49"/>
  <c r="L34" i="49"/>
  <c r="AJ33" i="49"/>
  <c r="AI33" i="49"/>
  <c r="AH33" i="49"/>
  <c r="Y33" i="49"/>
  <c r="X33" i="49"/>
  <c r="W33" i="49"/>
  <c r="N33" i="49"/>
  <c r="M33" i="49"/>
  <c r="L33" i="49"/>
  <c r="AJ32" i="49"/>
  <c r="AI32" i="49"/>
  <c r="AH32" i="49"/>
  <c r="Y32" i="49"/>
  <c r="X32" i="49"/>
  <c r="W32" i="49"/>
  <c r="N32" i="49"/>
  <c r="M32" i="49"/>
  <c r="L32" i="49"/>
  <c r="AJ31" i="49"/>
  <c r="AI31" i="49"/>
  <c r="AH31" i="49"/>
  <c r="Y31" i="49"/>
  <c r="X31" i="49"/>
  <c r="W31" i="49"/>
  <c r="N31" i="49"/>
  <c r="M31" i="49"/>
  <c r="L31" i="49"/>
  <c r="AJ30" i="49"/>
  <c r="AI30" i="49"/>
  <c r="AH30" i="49"/>
  <c r="Y30" i="49"/>
  <c r="X30" i="49"/>
  <c r="W30" i="49"/>
  <c r="L30" i="49"/>
  <c r="M30" i="49" s="1"/>
  <c r="N30" i="49" s="1"/>
  <c r="AJ29" i="49"/>
  <c r="AI29" i="49"/>
  <c r="AH29" i="49"/>
  <c r="Y29" i="49"/>
  <c r="X29" i="49"/>
  <c r="W29" i="49"/>
  <c r="L29" i="49"/>
  <c r="M29" i="49" s="1"/>
  <c r="N29" i="49" s="1"/>
  <c r="AJ28" i="49"/>
  <c r="AI28" i="49"/>
  <c r="AH28" i="49"/>
  <c r="Y28" i="49"/>
  <c r="X28" i="49"/>
  <c r="W28" i="49"/>
  <c r="L28" i="49"/>
  <c r="M28" i="49" s="1"/>
  <c r="N28" i="49" s="1"/>
  <c r="AJ27" i="49"/>
  <c r="AI27" i="49"/>
  <c r="AH27" i="49"/>
  <c r="Y27" i="49"/>
  <c r="X27" i="49"/>
  <c r="W27" i="49"/>
  <c r="L27" i="49"/>
  <c r="M27" i="49" s="1"/>
  <c r="N27" i="49" s="1"/>
  <c r="AJ26" i="49"/>
  <c r="AI26" i="49"/>
  <c r="AH26" i="49"/>
  <c r="Y26" i="49"/>
  <c r="X26" i="49"/>
  <c r="W26" i="49"/>
  <c r="L26" i="49"/>
  <c r="M26" i="49" s="1"/>
  <c r="N26" i="49" s="1"/>
  <c r="AJ25" i="49"/>
  <c r="AI25" i="49"/>
  <c r="AH25" i="49"/>
  <c r="Y25" i="49"/>
  <c r="X25" i="49"/>
  <c r="W25" i="49"/>
  <c r="L25" i="49"/>
  <c r="M25" i="49" s="1"/>
  <c r="N25" i="49" s="1"/>
  <c r="AJ24" i="49"/>
  <c r="AI24" i="49"/>
  <c r="AH24" i="49"/>
  <c r="Y24" i="49"/>
  <c r="X24" i="49"/>
  <c r="W24" i="49"/>
  <c r="L24" i="49"/>
  <c r="M24" i="49" s="1"/>
  <c r="N24" i="49" s="1"/>
  <c r="AJ23" i="49"/>
  <c r="AI23" i="49"/>
  <c r="AH23" i="49"/>
  <c r="Y23" i="49"/>
  <c r="X23" i="49"/>
  <c r="W23" i="49"/>
  <c r="L23" i="49"/>
  <c r="M23" i="49" s="1"/>
  <c r="N23" i="49" s="1"/>
  <c r="AJ22" i="49"/>
  <c r="AI22" i="49"/>
  <c r="AH22" i="49"/>
  <c r="Y22" i="49"/>
  <c r="X22" i="49"/>
  <c r="W22" i="49"/>
  <c r="L22" i="49"/>
  <c r="M22" i="49" s="1"/>
  <c r="N22" i="49" s="1"/>
  <c r="AJ21" i="49"/>
  <c r="AI21" i="49"/>
  <c r="AH21" i="49"/>
  <c r="Y21" i="49"/>
  <c r="X21" i="49"/>
  <c r="W21" i="49"/>
  <c r="L21" i="49"/>
  <c r="M21" i="49" s="1"/>
  <c r="N21" i="49" s="1"/>
  <c r="AJ20" i="49"/>
  <c r="AI20" i="49"/>
  <c r="AH20" i="49"/>
  <c r="Y20" i="49"/>
  <c r="X20" i="49"/>
  <c r="W20" i="49"/>
  <c r="L20" i="49"/>
  <c r="M20" i="49" s="1"/>
  <c r="N20" i="49" s="1"/>
  <c r="AJ19" i="49"/>
  <c r="AI19" i="49"/>
  <c r="AH19" i="49"/>
  <c r="Y19" i="49"/>
  <c r="X19" i="49"/>
  <c r="W19" i="49"/>
  <c r="L19" i="49"/>
  <c r="M19" i="49" s="1"/>
  <c r="N19" i="49" s="1"/>
  <c r="AJ18" i="49"/>
  <c r="AI18" i="49"/>
  <c r="AH18" i="49"/>
  <c r="Y18" i="49"/>
  <c r="X18" i="49"/>
  <c r="W18" i="49"/>
  <c r="L18" i="49"/>
  <c r="M18" i="49" s="1"/>
  <c r="N18" i="49" s="1"/>
  <c r="AJ17" i="49"/>
  <c r="AI17" i="49"/>
  <c r="AH17" i="49"/>
  <c r="Y17" i="49"/>
  <c r="X17" i="49"/>
  <c r="W17" i="49"/>
  <c r="L17" i="49"/>
  <c r="M17" i="49" s="1"/>
  <c r="N17" i="49" s="1"/>
  <c r="AJ16" i="49"/>
  <c r="AI16" i="49"/>
  <c r="AH16" i="49"/>
  <c r="Y16" i="49"/>
  <c r="X16" i="49"/>
  <c r="W16" i="49"/>
  <c r="M16" i="49"/>
  <c r="N16" i="49" s="1"/>
  <c r="L16" i="49"/>
  <c r="AJ15" i="49"/>
  <c r="AI15" i="49"/>
  <c r="AH15" i="49"/>
  <c r="Y15" i="49"/>
  <c r="X15" i="49"/>
  <c r="W15" i="49"/>
  <c r="L15" i="49"/>
  <c r="M15" i="49" s="1"/>
  <c r="N15" i="49" s="1"/>
  <c r="AJ14" i="49"/>
  <c r="AI14" i="49"/>
  <c r="AH14" i="49"/>
  <c r="Y14" i="49"/>
  <c r="X14" i="49"/>
  <c r="W14" i="49"/>
  <c r="L14" i="49"/>
  <c r="M14" i="49" s="1"/>
  <c r="N14" i="49" s="1"/>
  <c r="AJ13" i="49"/>
  <c r="AI13" i="49"/>
  <c r="AH13" i="49"/>
  <c r="Y13" i="49"/>
  <c r="X13" i="49"/>
  <c r="W13" i="49"/>
  <c r="L13" i="49"/>
  <c r="M13" i="49" s="1"/>
  <c r="N13" i="49" s="1"/>
  <c r="AJ12" i="49"/>
  <c r="AI12" i="49"/>
  <c r="AH12" i="49"/>
  <c r="Y12" i="49"/>
  <c r="X12" i="49"/>
  <c r="W12" i="49"/>
  <c r="L12" i="49"/>
  <c r="M12" i="49" s="1"/>
  <c r="N12" i="49" s="1"/>
  <c r="AJ11" i="49"/>
  <c r="AI11" i="49"/>
  <c r="AH11" i="49"/>
  <c r="Y11" i="49"/>
  <c r="X11" i="49"/>
  <c r="W11" i="49"/>
  <c r="L11" i="49"/>
  <c r="M11" i="49" s="1"/>
  <c r="N11" i="49" s="1"/>
  <c r="AJ10" i="49"/>
  <c r="AI10" i="49"/>
  <c r="AH10" i="49"/>
  <c r="Y10" i="49"/>
  <c r="X10" i="49"/>
  <c r="W10" i="49"/>
  <c r="L10" i="49"/>
  <c r="M10" i="49" s="1"/>
  <c r="N10" i="49" s="1"/>
  <c r="AJ9" i="49"/>
  <c r="AI9" i="49"/>
  <c r="AH9" i="49"/>
  <c r="Y9" i="49"/>
  <c r="X9" i="49"/>
  <c r="W9" i="49"/>
  <c r="L9" i="49"/>
  <c r="M9" i="49" s="1"/>
  <c r="N9" i="49" s="1"/>
  <c r="AJ8" i="49"/>
  <c r="AI8" i="49"/>
  <c r="AH8" i="49"/>
  <c r="Y8" i="49"/>
  <c r="X8" i="49"/>
  <c r="W8" i="49"/>
  <c r="L8" i="49"/>
  <c r="M8" i="49" s="1"/>
  <c r="N8" i="49" s="1"/>
  <c r="AJ7" i="49"/>
  <c r="AI7" i="49"/>
  <c r="AH7" i="49"/>
  <c r="Y7" i="49"/>
  <c r="X7" i="49"/>
  <c r="W7" i="49"/>
  <c r="L7" i="49"/>
  <c r="M7" i="49" s="1"/>
  <c r="N7" i="49" s="1"/>
  <c r="AJ6" i="49"/>
  <c r="AI6" i="49"/>
  <c r="AH6" i="49"/>
  <c r="Y6" i="49"/>
  <c r="X6" i="49"/>
  <c r="W6" i="49"/>
  <c r="L6" i="49"/>
  <c r="M6" i="49" s="1"/>
  <c r="N6" i="49" s="1"/>
  <c r="AJ5" i="49"/>
  <c r="AI5" i="49"/>
  <c r="AH5" i="49"/>
  <c r="Y5" i="49"/>
  <c r="X5" i="49"/>
  <c r="W5" i="49"/>
  <c r="L5" i="49"/>
  <c r="M5" i="49" s="1"/>
  <c r="N5" i="49" s="1"/>
  <c r="AJ4" i="49"/>
  <c r="AI4" i="49"/>
  <c r="AH4" i="49"/>
  <c r="Y4" i="49"/>
  <c r="X4" i="49"/>
  <c r="W4" i="49"/>
  <c r="L4" i="49"/>
  <c r="M4" i="49" s="1"/>
  <c r="N4" i="49" s="1"/>
  <c r="AJ3" i="49"/>
  <c r="AJ1" i="49" s="1"/>
  <c r="AI3" i="49"/>
  <c r="AH3" i="49"/>
  <c r="W3" i="49"/>
  <c r="X3" i="49" s="1"/>
  <c r="Y3" i="49" s="1"/>
  <c r="Y1" i="49" s="1"/>
  <c r="L3" i="49"/>
  <c r="M3" i="49" s="1"/>
  <c r="N3" i="49" s="1"/>
  <c r="AA1" i="49" a="1"/>
  <c r="AA1" i="49" s="1"/>
  <c r="P1" i="49" a="1"/>
  <c r="P1" i="49" s="1"/>
  <c r="E1" i="49" a="1"/>
  <c r="E1" i="49" s="1"/>
  <c r="A1" i="49" a="1"/>
  <c r="A1" i="49" s="1"/>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300" i="12"/>
  <c r="AM1"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E3" i="12" a="1"/>
  <c r="AH7" i="12" s="1"/>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T3" i="12" a="1"/>
  <c r="Z4" i="12" s="1"/>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L116" i="12"/>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E13" i="12"/>
  <c r="D13" i="12"/>
  <c r="C13" i="12"/>
  <c r="C11" i="12"/>
  <c r="E11" i="12"/>
  <c r="D11" i="12"/>
  <c r="E15" i="12"/>
  <c r="E16" i="12"/>
  <c r="C14" i="12"/>
  <c r="E3" i="12"/>
  <c r="E17" i="12"/>
  <c r="C15" i="12"/>
  <c r="E18" i="12"/>
  <c r="C16" i="12"/>
  <c r="C17" i="12"/>
  <c r="E19" i="12"/>
  <c r="E14" i="12"/>
  <c r="E20" i="12"/>
  <c r="C18" i="12"/>
  <c r="D4" i="12"/>
  <c r="C19" i="12"/>
  <c r="D5" i="12"/>
  <c r="C20" i="12"/>
  <c r="D7" i="12"/>
  <c r="D6" i="12"/>
  <c r="D3" i="12"/>
  <c r="D8" i="12"/>
  <c r="C3" i="12"/>
  <c r="D9" i="12"/>
  <c r="D10" i="12"/>
  <c r="D16" i="12"/>
  <c r="C7" i="12"/>
  <c r="D12" i="12"/>
  <c r="D14" i="12"/>
  <c r="D15" i="12"/>
  <c r="D17" i="12"/>
  <c r="D21" i="12"/>
  <c r="E10" i="12"/>
  <c r="E21" i="12"/>
  <c r="D18" i="12"/>
  <c r="E4" i="12"/>
  <c r="D19" i="12"/>
  <c r="E5" i="12"/>
  <c r="D20" i="12"/>
  <c r="E6" i="12"/>
  <c r="C4" i="12"/>
  <c r="C5" i="12"/>
  <c r="E7" i="12"/>
  <c r="E8" i="12"/>
  <c r="C6" i="12"/>
  <c r="E9" i="12"/>
  <c r="C8" i="12"/>
  <c r="C9" i="12"/>
  <c r="C12" i="12"/>
  <c r="E12" i="12"/>
  <c r="C10" i="12"/>
  <c r="F20" i="12" l="1"/>
  <c r="G20" i="12" s="1"/>
  <c r="F19" i="12"/>
  <c r="G19" i="12" s="1"/>
  <c r="F18" i="12"/>
  <c r="G18" i="12" s="1"/>
  <c r="F17" i="12"/>
  <c r="G17" i="12" s="1"/>
  <c r="F16" i="12"/>
  <c r="G16" i="12" s="1"/>
  <c r="F15" i="12"/>
  <c r="G15" i="12" s="1"/>
  <c r="F14" i="12"/>
  <c r="G14" i="12" s="1"/>
  <c r="F13" i="12"/>
  <c r="G13" i="12" s="1"/>
  <c r="F12" i="12"/>
  <c r="G12" i="12" s="1"/>
  <c r="F11" i="12"/>
  <c r="G11" i="12" s="1"/>
  <c r="F10" i="12"/>
  <c r="G10" i="12" s="1"/>
  <c r="F9" i="12"/>
  <c r="G9" i="12" s="1"/>
  <c r="F8" i="12"/>
  <c r="G8" i="12" s="1"/>
  <c r="F7" i="12"/>
  <c r="G7" i="12" s="1"/>
  <c r="F6" i="12"/>
  <c r="G6" i="12" s="1"/>
  <c r="F5" i="12"/>
  <c r="G5" i="12" s="1"/>
  <c r="F4" i="12"/>
  <c r="G4" i="12" s="1"/>
  <c r="F3" i="12"/>
  <c r="G3" i="12" s="1"/>
  <c r="N1" i="50"/>
  <c r="O116" i="12"/>
  <c r="Q116" i="12" s="1"/>
  <c r="R116" i="12" s="1"/>
  <c r="N116" i="12"/>
  <c r="M116" i="12"/>
  <c r="O115" i="12"/>
  <c r="Q115" i="12" s="1"/>
  <c r="N115" i="12"/>
  <c r="M115" i="12"/>
  <c r="L115" i="12"/>
  <c r="O114" i="12"/>
  <c r="Q114" i="12" s="1"/>
  <c r="N114" i="12"/>
  <c r="L114" i="12"/>
  <c r="M114" i="12"/>
  <c r="O113" i="12"/>
  <c r="Q113" i="12" s="1"/>
  <c r="N113" i="12"/>
  <c r="M113" i="12"/>
  <c r="L113" i="12"/>
  <c r="O109" i="12"/>
  <c r="Q109" i="12" s="1"/>
  <c r="M112" i="12"/>
  <c r="N112" i="12"/>
  <c r="O112" i="12"/>
  <c r="Q112" i="12" s="1"/>
  <c r="L112" i="12"/>
  <c r="N111" i="12"/>
  <c r="O111" i="12"/>
  <c r="Q111" i="12" s="1"/>
  <c r="M111" i="12"/>
  <c r="L111" i="12"/>
  <c r="O110" i="12"/>
  <c r="Q110" i="12" s="1"/>
  <c r="N110" i="12"/>
  <c r="M110" i="12"/>
  <c r="L110" i="12"/>
  <c r="L109" i="12"/>
  <c r="R109" i="12" s="1"/>
  <c r="M109" i="12"/>
  <c r="N109" i="12"/>
  <c r="N1" i="49"/>
  <c r="AI7" i="12"/>
  <c r="AJ7" i="12"/>
  <c r="AK7" i="12"/>
  <c r="AM7" i="12" s="1"/>
  <c r="AN7" i="12" s="1"/>
  <c r="Y4" i="12"/>
  <c r="X4" i="12"/>
  <c r="W4" i="12"/>
  <c r="AB4" i="12"/>
  <c r="T3" i="12"/>
  <c r="W3" i="12" s="1"/>
  <c r="AE3" i="12"/>
  <c r="AH3" i="12" s="1"/>
  <c r="AJ4" i="12"/>
  <c r="AJ5" i="12"/>
  <c r="AJ6" i="12"/>
  <c r="AI4" i="12"/>
  <c r="AI5" i="12"/>
  <c r="AI6" i="12"/>
  <c r="AH4" i="12"/>
  <c r="AH5" i="12"/>
  <c r="AK4" i="12"/>
  <c r="AM4" i="12" s="1"/>
  <c r="AH6" i="12"/>
  <c r="AK5" i="12"/>
  <c r="AM5" i="12" s="1"/>
  <c r="AK6" i="12"/>
  <c r="AM6" i="12" s="1"/>
  <c r="M108" i="12"/>
  <c r="L108" i="12"/>
  <c r="N108" i="12"/>
  <c r="O108" i="12"/>
  <c r="Q108" i="12" s="1"/>
  <c r="L3" i="12"/>
  <c r="O22" i="12"/>
  <c r="Q22" i="12" s="1"/>
  <c r="O54" i="12"/>
  <c r="Q54" i="12" s="1"/>
  <c r="O86" i="12"/>
  <c r="Q86" i="12" s="1"/>
  <c r="N13" i="12"/>
  <c r="N45" i="12"/>
  <c r="N77" i="12"/>
  <c r="M4" i="12"/>
  <c r="M36" i="12"/>
  <c r="M68" i="12"/>
  <c r="M100" i="12"/>
  <c r="L64" i="12"/>
  <c r="L96" i="12"/>
  <c r="L23" i="12"/>
  <c r="L28" i="12"/>
  <c r="L41" i="12"/>
  <c r="O23" i="12"/>
  <c r="Q23" i="12" s="1"/>
  <c r="O55" i="12"/>
  <c r="Q55" i="12" s="1"/>
  <c r="O87" i="12"/>
  <c r="Q87" i="12" s="1"/>
  <c r="N14" i="12"/>
  <c r="N46" i="12"/>
  <c r="N78" i="12"/>
  <c r="M5" i="12"/>
  <c r="M37" i="12"/>
  <c r="M69" i="12"/>
  <c r="M101" i="12"/>
  <c r="L65" i="12"/>
  <c r="L97" i="12"/>
  <c r="L24" i="12"/>
  <c r="L33" i="12"/>
  <c r="L34" i="12"/>
  <c r="L35" i="12"/>
  <c r="O20" i="12"/>
  <c r="Q20" i="12" s="1"/>
  <c r="O24" i="12"/>
  <c r="Q24" i="12" s="1"/>
  <c r="O56" i="12"/>
  <c r="Q56" i="12" s="1"/>
  <c r="O88" i="12"/>
  <c r="Q88" i="12" s="1"/>
  <c r="N15" i="12"/>
  <c r="N47" i="12"/>
  <c r="N79" i="12"/>
  <c r="M6" i="12"/>
  <c r="M38" i="12"/>
  <c r="M70" i="12"/>
  <c r="M102" i="12"/>
  <c r="L66" i="12"/>
  <c r="L98" i="12"/>
  <c r="L25" i="12"/>
  <c r="L26" i="12"/>
  <c r="M9" i="12"/>
  <c r="L69" i="12"/>
  <c r="O25" i="12"/>
  <c r="Q25" i="12" s="1"/>
  <c r="O57" i="12"/>
  <c r="Q57" i="12" s="1"/>
  <c r="O89" i="12"/>
  <c r="Q89" i="12" s="1"/>
  <c r="N16" i="12"/>
  <c r="N48" i="12"/>
  <c r="N80" i="12"/>
  <c r="M7" i="12"/>
  <c r="M39" i="12"/>
  <c r="M71" i="12"/>
  <c r="M103" i="12"/>
  <c r="L67" i="12"/>
  <c r="L99" i="12"/>
  <c r="N43" i="12"/>
  <c r="O26" i="12"/>
  <c r="Q26" i="12" s="1"/>
  <c r="O58" i="12"/>
  <c r="Q58" i="12" s="1"/>
  <c r="O90" i="12"/>
  <c r="Q90" i="12" s="1"/>
  <c r="N17" i="12"/>
  <c r="N49" i="12"/>
  <c r="N81" i="12"/>
  <c r="M8" i="12"/>
  <c r="M40" i="12"/>
  <c r="M72" i="12"/>
  <c r="M104" i="12"/>
  <c r="L68" i="12"/>
  <c r="L100" i="12"/>
  <c r="L27" i="12"/>
  <c r="L101" i="12"/>
  <c r="L31" i="12"/>
  <c r="L44" i="12"/>
  <c r="M66" i="12"/>
  <c r="O27" i="12"/>
  <c r="Q27" i="12" s="1"/>
  <c r="O59" i="12"/>
  <c r="Q59" i="12" s="1"/>
  <c r="O91" i="12"/>
  <c r="Q91" i="12" s="1"/>
  <c r="N18" i="12"/>
  <c r="N50" i="12"/>
  <c r="N82" i="12"/>
  <c r="M41" i="12"/>
  <c r="M73" i="12"/>
  <c r="M105" i="12"/>
  <c r="O28" i="12"/>
  <c r="Q28" i="12" s="1"/>
  <c r="O60" i="12"/>
  <c r="Q60" i="12" s="1"/>
  <c r="O92" i="12"/>
  <c r="Q92" i="12" s="1"/>
  <c r="N19" i="12"/>
  <c r="N51" i="12"/>
  <c r="N83" i="12"/>
  <c r="M10" i="12"/>
  <c r="M42" i="12"/>
  <c r="M74" i="12"/>
  <c r="M106" i="12"/>
  <c r="L70" i="12"/>
  <c r="L102" i="12"/>
  <c r="L29" i="12"/>
  <c r="L30" i="12"/>
  <c r="M12" i="12"/>
  <c r="L72" i="12"/>
  <c r="L105" i="12"/>
  <c r="L76" i="12"/>
  <c r="O29" i="12"/>
  <c r="Q29" i="12" s="1"/>
  <c r="O61" i="12"/>
  <c r="Q61" i="12" s="1"/>
  <c r="O93" i="12"/>
  <c r="Q93" i="12" s="1"/>
  <c r="N20" i="12"/>
  <c r="N52" i="12"/>
  <c r="N84" i="12"/>
  <c r="M11" i="12"/>
  <c r="M43" i="12"/>
  <c r="M75" i="12"/>
  <c r="M107" i="12"/>
  <c r="L71" i="12"/>
  <c r="L103" i="12"/>
  <c r="N21" i="12"/>
  <c r="M76" i="12"/>
  <c r="L73" i="12"/>
  <c r="L32" i="12"/>
  <c r="L22" i="12"/>
  <c r="L95" i="12"/>
  <c r="L63" i="12"/>
  <c r="M99" i="12"/>
  <c r="M67" i="12"/>
  <c r="M35" i="12"/>
  <c r="N76" i="12"/>
  <c r="N44" i="12"/>
  <c r="N12" i="12"/>
  <c r="O85" i="12"/>
  <c r="Q85" i="12" s="1"/>
  <c r="O53" i="12"/>
  <c r="Q53" i="12" s="1"/>
  <c r="O21" i="12"/>
  <c r="Q21" i="12" s="1"/>
  <c r="L20" i="12"/>
  <c r="L93" i="12"/>
  <c r="L61" i="12"/>
  <c r="M97" i="12"/>
  <c r="M65" i="12"/>
  <c r="M33" i="12"/>
  <c r="N106" i="12"/>
  <c r="N74" i="12"/>
  <c r="N42" i="12"/>
  <c r="N10" i="12"/>
  <c r="O83" i="12"/>
  <c r="Q83" i="12" s="1"/>
  <c r="O51" i="12"/>
  <c r="Q51" i="12" s="1"/>
  <c r="O19" i="12"/>
  <c r="Q19" i="12" s="1"/>
  <c r="L19" i="12"/>
  <c r="L92" i="12"/>
  <c r="L60" i="12"/>
  <c r="M96" i="12"/>
  <c r="M64" i="12"/>
  <c r="M32" i="12"/>
  <c r="N105" i="12"/>
  <c r="N73" i="12"/>
  <c r="N41" i="12"/>
  <c r="N9" i="12"/>
  <c r="O82" i="12"/>
  <c r="Q82" i="12" s="1"/>
  <c r="O50" i="12"/>
  <c r="Q50" i="12" s="1"/>
  <c r="O18" i="12"/>
  <c r="Q18" i="12" s="1"/>
  <c r="L18" i="12"/>
  <c r="L91" i="12"/>
  <c r="L59" i="12"/>
  <c r="M95" i="12"/>
  <c r="M63" i="12"/>
  <c r="M31" i="12"/>
  <c r="N104" i="12"/>
  <c r="N72" i="12"/>
  <c r="N40" i="12"/>
  <c r="N8" i="12"/>
  <c r="O81" i="12"/>
  <c r="Q81" i="12" s="1"/>
  <c r="O49" i="12"/>
  <c r="Q49" i="12" s="1"/>
  <c r="O17" i="12"/>
  <c r="Q17" i="12" s="1"/>
  <c r="L17" i="12"/>
  <c r="L90" i="12"/>
  <c r="L58" i="12"/>
  <c r="M94" i="12"/>
  <c r="M62" i="12"/>
  <c r="M30" i="12"/>
  <c r="N103" i="12"/>
  <c r="N71" i="12"/>
  <c r="N39" i="12"/>
  <c r="N7" i="12"/>
  <c r="O80" i="12"/>
  <c r="Q80" i="12" s="1"/>
  <c r="O48" i="12"/>
  <c r="Q48" i="12" s="1"/>
  <c r="O16" i="12"/>
  <c r="Q16" i="12" s="1"/>
  <c r="L89" i="12"/>
  <c r="L57" i="12"/>
  <c r="M93" i="12"/>
  <c r="M61" i="12"/>
  <c r="M29" i="12"/>
  <c r="N102" i="12"/>
  <c r="N70" i="12"/>
  <c r="N38" i="12"/>
  <c r="N6" i="12"/>
  <c r="O79" i="12"/>
  <c r="Q79" i="12" s="1"/>
  <c r="O47" i="12"/>
  <c r="Q47" i="12" s="1"/>
  <c r="O15" i="12"/>
  <c r="Q15" i="12" s="1"/>
  <c r="L21" i="12"/>
  <c r="O84" i="12"/>
  <c r="Q84" i="12" s="1"/>
  <c r="L88" i="12"/>
  <c r="L56" i="12"/>
  <c r="M92" i="12"/>
  <c r="M60" i="12"/>
  <c r="M28" i="12"/>
  <c r="N101" i="12"/>
  <c r="N69" i="12"/>
  <c r="N37" i="12"/>
  <c r="N5" i="12"/>
  <c r="O78" i="12"/>
  <c r="Q78" i="12" s="1"/>
  <c r="O46" i="12"/>
  <c r="Q46" i="12" s="1"/>
  <c r="O14" i="12"/>
  <c r="Q14" i="12" s="1"/>
  <c r="L14" i="12"/>
  <c r="L87" i="12"/>
  <c r="L55" i="12"/>
  <c r="M91" i="12"/>
  <c r="M59" i="12"/>
  <c r="M27" i="12"/>
  <c r="N100" i="12"/>
  <c r="N68" i="12"/>
  <c r="N36" i="12"/>
  <c r="N4" i="12"/>
  <c r="O77" i="12"/>
  <c r="Q77" i="12" s="1"/>
  <c r="O45" i="12"/>
  <c r="Q45" i="12" s="1"/>
  <c r="O13" i="12"/>
  <c r="Q13" i="12" s="1"/>
  <c r="M34" i="12"/>
  <c r="L13" i="12"/>
  <c r="L86" i="12"/>
  <c r="L54" i="12"/>
  <c r="M90" i="12"/>
  <c r="M58" i="12"/>
  <c r="M26" i="12"/>
  <c r="N99" i="12"/>
  <c r="N67" i="12"/>
  <c r="N35" i="12"/>
  <c r="O76" i="12"/>
  <c r="Q76" i="12" s="1"/>
  <c r="O44" i="12"/>
  <c r="Q44" i="12" s="1"/>
  <c r="O12" i="12"/>
  <c r="Q12" i="12" s="1"/>
  <c r="N75" i="12"/>
  <c r="L85" i="12"/>
  <c r="L53" i="12"/>
  <c r="M89" i="12"/>
  <c r="M57" i="12"/>
  <c r="M25" i="12"/>
  <c r="N98" i="12"/>
  <c r="N66" i="12"/>
  <c r="N34" i="12"/>
  <c r="O107" i="12"/>
  <c r="Q107" i="12" s="1"/>
  <c r="O75" i="12"/>
  <c r="Q75" i="12" s="1"/>
  <c r="O43" i="12"/>
  <c r="Q43" i="12" s="1"/>
  <c r="O11" i="12"/>
  <c r="Q11" i="12" s="1"/>
  <c r="L52" i="12"/>
  <c r="M88" i="12"/>
  <c r="M56" i="12"/>
  <c r="M24" i="12"/>
  <c r="N97" i="12"/>
  <c r="N65" i="12"/>
  <c r="N33" i="12"/>
  <c r="O106" i="12"/>
  <c r="Q106" i="12" s="1"/>
  <c r="O74" i="12"/>
  <c r="Q74" i="12" s="1"/>
  <c r="O42" i="12"/>
  <c r="Q42" i="12" s="1"/>
  <c r="O10" i="12"/>
  <c r="Q10" i="12" s="1"/>
  <c r="N11" i="12"/>
  <c r="L84" i="12"/>
  <c r="L10" i="12"/>
  <c r="L83" i="12"/>
  <c r="L51" i="12"/>
  <c r="M87" i="12"/>
  <c r="M55" i="12"/>
  <c r="M23" i="12"/>
  <c r="N96" i="12"/>
  <c r="N64" i="12"/>
  <c r="N32" i="12"/>
  <c r="O105" i="12"/>
  <c r="Q105" i="12" s="1"/>
  <c r="O73" i="12"/>
  <c r="Q73" i="12" s="1"/>
  <c r="O41" i="12"/>
  <c r="Q41" i="12" s="1"/>
  <c r="O9" i="12"/>
  <c r="Q9" i="12" s="1"/>
  <c r="N107" i="12"/>
  <c r="M86" i="12"/>
  <c r="N95" i="12"/>
  <c r="N63" i="12"/>
  <c r="N31" i="12"/>
  <c r="O104" i="12"/>
  <c r="Q104" i="12" s="1"/>
  <c r="O72" i="12"/>
  <c r="Q72" i="12" s="1"/>
  <c r="O40" i="12"/>
  <c r="Q40" i="12" s="1"/>
  <c r="O8" i="12"/>
  <c r="Q8" i="12" s="1"/>
  <c r="M54" i="12"/>
  <c r="L40" i="12"/>
  <c r="L81" i="12"/>
  <c r="L49" i="12"/>
  <c r="M85" i="12"/>
  <c r="M53" i="12"/>
  <c r="M21" i="12"/>
  <c r="N94" i="12"/>
  <c r="N62" i="12"/>
  <c r="N30" i="12"/>
  <c r="O103" i="12"/>
  <c r="Q103" i="12" s="1"/>
  <c r="O71" i="12"/>
  <c r="Q71" i="12" s="1"/>
  <c r="O39" i="12"/>
  <c r="Q39" i="12" s="1"/>
  <c r="O7" i="12"/>
  <c r="Q7" i="12" s="1"/>
  <c r="L9" i="12"/>
  <c r="L50" i="12"/>
  <c r="M22" i="12"/>
  <c r="L8" i="12"/>
  <c r="L39" i="12"/>
  <c r="L7" i="12"/>
  <c r="L80" i="12"/>
  <c r="L48" i="12"/>
  <c r="M84" i="12"/>
  <c r="M52" i="12"/>
  <c r="M20" i="12"/>
  <c r="N93" i="12"/>
  <c r="N61" i="12"/>
  <c r="N29" i="12"/>
  <c r="O102" i="12"/>
  <c r="Q102" i="12" s="1"/>
  <c r="O70" i="12"/>
  <c r="Q70" i="12" s="1"/>
  <c r="O38" i="12"/>
  <c r="Q38" i="12" s="1"/>
  <c r="O6" i="12"/>
  <c r="Q6" i="12" s="1"/>
  <c r="L16" i="12"/>
  <c r="L12" i="12"/>
  <c r="L38" i="12"/>
  <c r="L6" i="12"/>
  <c r="L79" i="12"/>
  <c r="L47" i="12"/>
  <c r="M83" i="12"/>
  <c r="M51" i="12"/>
  <c r="M19" i="12"/>
  <c r="N92" i="12"/>
  <c r="N60" i="12"/>
  <c r="N28" i="12"/>
  <c r="O101" i="12"/>
  <c r="Q101" i="12" s="1"/>
  <c r="O69" i="12"/>
  <c r="Q69" i="12" s="1"/>
  <c r="O37" i="12"/>
  <c r="Q37" i="12" s="1"/>
  <c r="O5" i="12"/>
  <c r="Q5" i="12" s="1"/>
  <c r="L62" i="12"/>
  <c r="L82" i="12"/>
  <c r="L37" i="12"/>
  <c r="L5" i="12"/>
  <c r="L78" i="12"/>
  <c r="L46" i="12"/>
  <c r="M82" i="12"/>
  <c r="M50" i="12"/>
  <c r="M18" i="12"/>
  <c r="N91" i="12"/>
  <c r="N59" i="12"/>
  <c r="N27" i="12"/>
  <c r="O100" i="12"/>
  <c r="Q100" i="12" s="1"/>
  <c r="O68" i="12"/>
  <c r="Q68" i="12" s="1"/>
  <c r="O36" i="12"/>
  <c r="Q36" i="12" s="1"/>
  <c r="O4" i="12"/>
  <c r="Q4" i="12" s="1"/>
  <c r="L11" i="12"/>
  <c r="L36" i="12"/>
  <c r="L4" i="12"/>
  <c r="L77" i="12"/>
  <c r="L45" i="12"/>
  <c r="M81" i="12"/>
  <c r="M49" i="12"/>
  <c r="M17" i="12"/>
  <c r="N90" i="12"/>
  <c r="N58" i="12"/>
  <c r="N26" i="12"/>
  <c r="O99" i="12"/>
  <c r="Q99" i="12" s="1"/>
  <c r="O67" i="12"/>
  <c r="Q67" i="12" s="1"/>
  <c r="O35" i="12"/>
  <c r="Q35" i="12" s="1"/>
  <c r="L94" i="12"/>
  <c r="M80" i="12"/>
  <c r="M48" i="12"/>
  <c r="M16" i="12"/>
  <c r="N89" i="12"/>
  <c r="N57" i="12"/>
  <c r="N25" i="12"/>
  <c r="O98" i="12"/>
  <c r="Q98" i="12" s="1"/>
  <c r="O66" i="12"/>
  <c r="Q66" i="12" s="1"/>
  <c r="O34" i="12"/>
  <c r="Q34" i="12" s="1"/>
  <c r="M98" i="12"/>
  <c r="O52" i="12"/>
  <c r="Q52" i="12" s="1"/>
  <c r="L107" i="12"/>
  <c r="L75" i="12"/>
  <c r="L43" i="12"/>
  <c r="M79" i="12"/>
  <c r="M47" i="12"/>
  <c r="M15" i="12"/>
  <c r="N88" i="12"/>
  <c r="N56" i="12"/>
  <c r="N24" i="12"/>
  <c r="O97" i="12"/>
  <c r="Q97" i="12" s="1"/>
  <c r="O65" i="12"/>
  <c r="Q65" i="12" s="1"/>
  <c r="O33" i="12"/>
  <c r="Q33" i="12" s="1"/>
  <c r="L15" i="12"/>
  <c r="L106" i="12"/>
  <c r="L74" i="12"/>
  <c r="L42" i="12"/>
  <c r="M78" i="12"/>
  <c r="M46" i="12"/>
  <c r="M14" i="12"/>
  <c r="N87" i="12"/>
  <c r="N55" i="12"/>
  <c r="N23" i="12"/>
  <c r="O96" i="12"/>
  <c r="Q96" i="12" s="1"/>
  <c r="O64" i="12"/>
  <c r="Q64" i="12" s="1"/>
  <c r="O32" i="12"/>
  <c r="Q32" i="12" s="1"/>
  <c r="M77" i="12"/>
  <c r="M45" i="12"/>
  <c r="M13" i="12"/>
  <c r="N86" i="12"/>
  <c r="N54" i="12"/>
  <c r="N22" i="12"/>
  <c r="O95" i="12"/>
  <c r="Q95" i="12" s="1"/>
  <c r="O63" i="12"/>
  <c r="Q63" i="12" s="1"/>
  <c r="O31" i="12"/>
  <c r="Q31" i="12" s="1"/>
  <c r="L104" i="12"/>
  <c r="M44" i="12"/>
  <c r="N85" i="12"/>
  <c r="N53" i="12"/>
  <c r="O94" i="12"/>
  <c r="Q94" i="12" s="1"/>
  <c r="O62" i="12"/>
  <c r="Q62" i="12" s="1"/>
  <c r="O30" i="12"/>
  <c r="Q30" i="12" s="1"/>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C21" i="12"/>
  <c r="F21" i="12" l="1"/>
  <c r="G21" i="12" s="1"/>
  <c r="Z3" i="12"/>
  <c r="AB3" i="12" s="1"/>
  <c r="AC3" i="12" s="1"/>
  <c r="L3" i="48" s="1" a="1"/>
  <c r="L3" i="48" s="1"/>
  <c r="R115" i="12"/>
  <c r="R97" i="12"/>
  <c r="R114" i="12"/>
  <c r="R113" i="12"/>
  <c r="R112" i="12"/>
  <c r="R111" i="12"/>
  <c r="R110" i="12"/>
  <c r="R99" i="12"/>
  <c r="R102" i="12"/>
  <c r="R108" i="12"/>
  <c r="R107" i="12"/>
  <c r="R103" i="12"/>
  <c r="R106" i="12"/>
  <c r="R105" i="12"/>
  <c r="R104" i="12"/>
  <c r="R101" i="12"/>
  <c r="R98" i="12"/>
  <c r="R96" i="12"/>
  <c r="R100" i="12"/>
  <c r="R95" i="12"/>
  <c r="R94" i="12"/>
  <c r="R93" i="12"/>
  <c r="R92" i="12"/>
  <c r="R91" i="12"/>
  <c r="R90" i="12"/>
  <c r="R89" i="12"/>
  <c r="R88" i="12"/>
  <c r="R87" i="12"/>
  <c r="R86" i="12"/>
  <c r="R85" i="12"/>
  <c r="R84" i="12"/>
  <c r="R83" i="12"/>
  <c r="R82" i="12"/>
  <c r="R81" i="12"/>
  <c r="R80" i="12"/>
  <c r="R79" i="12"/>
  <c r="R78" i="12"/>
  <c r="R64" i="12"/>
  <c r="R68" i="12"/>
  <c r="R77" i="12"/>
  <c r="R76" i="12"/>
  <c r="R72" i="12"/>
  <c r="R75" i="12"/>
  <c r="R74" i="12"/>
  <c r="R70" i="12"/>
  <c r="R73" i="12"/>
  <c r="R69" i="12"/>
  <c r="R71" i="12"/>
  <c r="R67" i="12"/>
  <c r="R65" i="12"/>
  <c r="R66" i="12"/>
  <c r="R63" i="12"/>
  <c r="R62" i="12"/>
  <c r="R61" i="12"/>
  <c r="R60" i="12"/>
  <c r="R59" i="12"/>
  <c r="R58" i="12"/>
  <c r="R56" i="12"/>
  <c r="R57" i="12"/>
  <c r="R55" i="12"/>
  <c r="R54" i="12"/>
  <c r="R53" i="12"/>
  <c r="R52" i="12"/>
  <c r="R51" i="12"/>
  <c r="R50" i="12"/>
  <c r="R30" i="12"/>
  <c r="R49" i="12"/>
  <c r="R48" i="12"/>
  <c r="R47" i="12"/>
  <c r="R41" i="12"/>
  <c r="R46" i="12"/>
  <c r="R45" i="12"/>
  <c r="R44" i="12"/>
  <c r="R43" i="12"/>
  <c r="R42" i="12"/>
  <c r="R40" i="12"/>
  <c r="Y3" i="12"/>
  <c r="R34" i="12"/>
  <c r="R39" i="12"/>
  <c r="R37" i="12"/>
  <c r="X3" i="12"/>
  <c r="R38" i="12"/>
  <c r="R32" i="12"/>
  <c r="R36" i="12"/>
  <c r="R35" i="12"/>
  <c r="R33" i="12"/>
  <c r="R31" i="12"/>
  <c r="R29" i="12"/>
  <c r="R28" i="12"/>
  <c r="R27" i="12"/>
  <c r="R26" i="12"/>
  <c r="R25" i="12"/>
  <c r="R24" i="12"/>
  <c r="R23" i="12"/>
  <c r="R22" i="12"/>
  <c r="R21" i="12"/>
  <c r="R20" i="12"/>
  <c r="R19" i="12"/>
  <c r="R18" i="12"/>
  <c r="R17" i="12"/>
  <c r="AC4" i="12"/>
  <c r="R16" i="12"/>
  <c r="R15" i="12"/>
  <c r="R14" i="12"/>
  <c r="R13" i="12"/>
  <c r="AI3" i="12"/>
  <c r="R12" i="12"/>
  <c r="AK3" i="12"/>
  <c r="AM3" i="12" s="1"/>
  <c r="AN3" i="12" s="1"/>
  <c r="W3" i="48" s="1" a="1"/>
  <c r="W3" i="48" s="1"/>
  <c r="AN6" i="12"/>
  <c r="R11" i="12"/>
  <c r="R10" i="12"/>
  <c r="R9" i="12"/>
  <c r="R8" i="12"/>
  <c r="AJ3" i="12"/>
  <c r="R7" i="12"/>
  <c r="R6" i="12"/>
  <c r="AN5" i="12"/>
  <c r="AN4" i="12"/>
  <c r="R4" i="12"/>
  <c r="M3" i="12"/>
  <c r="R5" i="12"/>
  <c r="N3" i="12"/>
  <c r="O3" i="12"/>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AC1" i="12" l="1"/>
  <c r="AN1" i="12"/>
  <c r="A3" i="48" a="1"/>
  <c r="A3" i="48" s="1"/>
  <c r="Q3" i="12"/>
  <c r="R3" i="12" s="1"/>
  <c r="R1"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AJ1" i="21" l="1"/>
  <c r="Y1" i="21"/>
  <c r="N1" i="21"/>
  <c r="E1" i="12" l="1" a="1"/>
  <c r="E1" i="12" s="1"/>
  <c r="D1" i="12" a="1"/>
  <c r="D1" i="12" s="1"/>
  <c r="C1" i="12" a="1"/>
  <c r="C1" i="12" s="1"/>
  <c r="F1" i="12" l="1" a="1"/>
  <c r="F1" i="12" s="1"/>
  <c r="G1" i="12" a="1"/>
  <c r="G1" i="1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<sst xmlns="http://schemas.openxmlformats.org/spreadsheetml/2006/main" count="5640" uniqueCount="2497">
  <si>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</si>
  <si>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</si>
  <si>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</si>
  <si>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</si>
  <si>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</si>
  <si>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</si>
  <si>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</si>
  <si>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</si>
  <si>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</si>
  <si>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</si>
  <si>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</si>
  <si>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</si>
  <si>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</si>
  <si>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</si>
  <si>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</si>
  <si>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</si>
  <si>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</si>
  <si>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</si>
  <si>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</si>
  <si>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Total RM</t>
  </si>
  <si>
    <t>Override Qty</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</si>
  <si>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</si>
  <si>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</si>
  <si>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</si>
  <si>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</si>
  <si>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</si>
  <si>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</si>
  <si>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</si>
  <si>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</si>
  <si>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</si>
  <si>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</si>
  <si>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</si>
  <si>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Rate</t>
  </si>
  <si>
    <t>No</t>
  </si>
  <si>
    <t>Source Row</t>
  </si>
  <si>
    <t>Search</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</si>
  <si>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</si>
  <si>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</si>
  <si>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</si>
  <si>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</si>
  <si>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</si>
  <si>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</si>
  <si>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</si>
  <si>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</si>
  <si>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</si>
  <si>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</si>
  <si>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Wastage</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</si>
  <si>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</si>
  <si>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</si>
  <si>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</si>
  <si>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</si>
  <si>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</si>
  <si>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</si>
  <si>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</si>
  <si>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</si>
  <si>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</si>
  <si>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</si>
  <si>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</si>
  <si>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</si>
  <si>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</si>
  <si>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</si>
  <si>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</si>
  <si>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</si>
  <si>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</si>
  <si>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</si>
  <si>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</si>
  <si>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</si>
  <si>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</si>
  <si>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</si>
  <si>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</si>
  <si>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</si>
  <si>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</si>
  <si>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</si>
  <si>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</si>
  <si>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</si>
  <si>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</si>
  <si>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</si>
  <si>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</si>
  <si>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</si>
  <si>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</si>
  <si>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</si>
  <si>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</si>
  <si>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</si>
  <si>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</si>
  <si>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</si>
  <si>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</si>
  <si>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</si>
  <si>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</si>
  <si>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</si>
  <si>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</si>
  <si>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</si>
  <si>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</si>
  <si>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</si>
  <si>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</si>
  <si>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</si>
  <si>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</si>
  <si>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</si>
  <si>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</si>
  <si>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</si>
  <si>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</si>
  <si>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</si>
  <si>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</si>
  <si>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</si>
  <si>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</si>
  <si>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</si>
  <si>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</si>
  <si>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</si>
  <si>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</si>
  <si>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</si>
  <si>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</si>
  <si>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</si>
  <si>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</si>
  <si>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</si>
  <si>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</si>
  <si>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</si>
  <si>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</si>
  <si>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</si>
  <si>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</si>
  <si>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</si>
  <si>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</si>
  <si>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</si>
  <si>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</si>
  <si>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</si>
  <si>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</si>
  <si>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</si>
  <si>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</si>
  <si>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</si>
  <si>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</si>
  <si>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</si>
  <si>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</si>
  <si>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</si>
  <si>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</si>
  <si>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</si>
  <si>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</si>
  <si>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</si>
  <si>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</si>
  <si>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</si>
  <si>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</si>
  <si>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</si>
  <si>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</si>
  <si>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</si>
  <si>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</si>
  <si>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</si>
  <si>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</si>
  <si>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</si>
  <si>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</si>
  <si>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</si>
  <si>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</si>
  <si>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</si>
  <si>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</si>
  <si>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</si>
  <si>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</si>
  <si>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</si>
  <si>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</si>
  <si>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</si>
  <si>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</si>
  <si>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</si>
  <si>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</si>
  <si>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</si>
  <si>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</si>
  <si>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</si>
  <si>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</si>
  <si>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</si>
  <si>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</si>
  <si>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</si>
  <si>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</si>
  <si>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</si>
  <si>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</si>
  <si>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</si>
  <si>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</si>
  <si>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</si>
  <si>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</si>
  <si>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</si>
  <si>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</si>
  <si>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</si>
  <si>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</si>
  <si>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</si>
  <si>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</si>
  <si>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</si>
  <si>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</si>
  <si>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</si>
  <si>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</si>
  <si>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</si>
  <si>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</si>
  <si>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</si>
  <si>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</si>
  <si>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</si>
  <si>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</si>
  <si>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</si>
  <si>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</si>
  <si>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</si>
  <si>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</si>
  <si>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</si>
  <si>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</si>
  <si>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</si>
  <si>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</si>
  <si>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</si>
  <si>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</si>
  <si>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</si>
  <si>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</si>
  <si>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</si>
  <si>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</si>
  <si>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</si>
  <si>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</si>
  <si>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</si>
  <si>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</si>
  <si>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</si>
  <si>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</si>
  <si>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</si>
  <si>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</si>
  <si>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</si>
  <si>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</si>
  <si>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</si>
  <si>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</si>
  <si>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</si>
  <si>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</si>
  <si>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</si>
  <si>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</si>
  <si>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</si>
  <si>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</si>
  <si>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</si>
  <si>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</si>
  <si>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</si>
  <si>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</si>
  <si>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</si>
  <si>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</si>
  <si>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</si>
  <si>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</si>
  <si>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</si>
  <si>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</si>
  <si>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</si>
  <si>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</si>
  <si>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</si>
  <si>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</si>
  <si>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</si>
  <si>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</si>
  <si>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</si>
  <si>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</si>
  <si>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</si>
  <si>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</si>
  <si>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</si>
  <si>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</si>
  <si>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</si>
  <si>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</si>
  <si>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</si>
  <si>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</si>
  <si>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</si>
  <si>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</si>
  <si>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</si>
  <si>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</si>
  <si>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</si>
  <si>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</si>
  <si>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</si>
  <si>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</si>
  <si>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</si>
  <si>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</si>
  <si>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</si>
  <si>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</si>
  <si>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</si>
  <si>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</si>
  <si>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</si>
  <si>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</si>
  <si>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</si>
  <si>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</si>
  <si>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</si>
  <si>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</si>
  <si>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</si>
  <si>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</si>
  <si>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</si>
  <si>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</si>
  <si>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</si>
  <si>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</si>
  <si>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</si>
  <si>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</si>
  <si>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</si>
  <si>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</si>
  <si>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</si>
  <si>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</si>
  <si>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</si>
  <si>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</si>
  <si>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</si>
  <si>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</si>
  <si>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</si>
  <si>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</si>
  <si>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</si>
  <si>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</si>
  <si>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</si>
  <si>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</si>
  <si>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</si>
  <si>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</si>
  <si>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</si>
  <si>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</si>
  <si>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</si>
  <si>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</si>
  <si>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</si>
  <si>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</si>
  <si>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</si>
  <si>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</si>
  <si>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</si>
  <si>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</si>
  <si>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</si>
  <si>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</si>
  <si>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</si>
  <si>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</si>
  <si>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</si>
  <si>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</si>
  <si>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</si>
  <si>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</si>
  <si>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</si>
  <si>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</si>
  <si>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</si>
  <si>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</si>
  <si>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</si>
  <si>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</si>
  <si>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</si>
  <si>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</si>
  <si>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</si>
  <si>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</si>
  <si>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</si>
  <si>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</si>
  <si>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</si>
  <si>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</si>
  <si>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</si>
  <si>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</si>
  <si>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</si>
  <si>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</si>
  <si>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</si>
  <si>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</si>
  <si>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</si>
  <si>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</si>
  <si>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</si>
  <si>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</si>
  <si>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</si>
  <si>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</si>
  <si>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</si>
  <si>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</si>
  <si>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</si>
  <si>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</si>
  <si>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</si>
  <si>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</si>
  <si>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</si>
  <si>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</si>
  <si>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</si>
  <si>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</si>
  <si>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</si>
  <si>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</si>
  <si>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</si>
  <si>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</si>
  <si>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</si>
  <si>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</si>
  <si>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</si>
  <si>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</si>
  <si>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</si>
  <si>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</si>
  <si>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</si>
  <si>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</si>
  <si>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</si>
  <si>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</si>
  <si>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</si>
  <si>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</si>
  <si>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</si>
  <si>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</si>
  <si>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</si>
  <si>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</si>
  <si>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</si>
  <si>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</si>
  <si>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</si>
  <si>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</si>
  <si>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</si>
  <si>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</si>
  <si>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</si>
  <si>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</si>
  <si>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</si>
  <si>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</si>
  <si>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</si>
  <si>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</si>
  <si>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</si>
  <si>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</si>
  <si>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</si>
  <si>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</si>
  <si>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</si>
  <si>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</si>
  <si>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</si>
  <si>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</si>
  <si>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</si>
  <si>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</si>
  <si>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</si>
  <si>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</si>
  <si>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</si>
  <si>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</si>
  <si>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</si>
  <si>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</si>
  <si>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</si>
  <si>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</si>
  <si>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</si>
  <si>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</si>
  <si>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</si>
  <si>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</si>
  <si>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</si>
  <si>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</si>
  <si>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</si>
  <si>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</si>
  <si>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</si>
  <si>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</si>
  <si>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</si>
  <si>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</si>
  <si>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</si>
  <si>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</si>
  <si>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</si>
  <si>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</si>
  <si>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</si>
  <si>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</si>
  <si>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</si>
  <si>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</si>
  <si>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</si>
  <si>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</si>
  <si>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</si>
  <si>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</si>
  <si>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</si>
  <si>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</si>
  <si>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</si>
  <si>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</si>
  <si>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</si>
  <si>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</si>
  <si>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</si>
  <si>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</si>
  <si>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</si>
  <si>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</si>
  <si>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</si>
  <si>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</si>
  <si>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</si>
  <si>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</si>
  <si>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</si>
  <si>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</si>
  <si>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</si>
  <si>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</si>
  <si>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</si>
  <si>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</si>
  <si>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</si>
  <si>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</si>
  <si>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</si>
  <si>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</si>
  <si>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</si>
  <si>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</si>
  <si>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</si>
  <si>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</si>
  <si>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</si>
  <si>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</si>
  <si>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</si>
  <si>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</si>
  <si>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</si>
  <si>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</si>
  <si>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</si>
  <si>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</si>
  <si>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</si>
  <si>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</si>
  <si>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</si>
  <si>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</si>
  <si>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</si>
  <si>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</si>
  <si>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</si>
  <si>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</si>
  <si>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</si>
  <si>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</si>
  <si>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</si>
  <si>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</si>
  <si>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</si>
  <si>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</si>
  <si>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</si>
  <si>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</si>
  <si>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</si>
  <si>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</si>
  <si>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</si>
  <si>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</si>
  <si>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</si>
  <si>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</si>
  <si>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</si>
  <si>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</si>
  <si>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</si>
  <si>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</si>
  <si>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</si>
  <si>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</si>
  <si>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</si>
  <si>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</si>
  <si>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</si>
  <si>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</si>
  <si>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</si>
  <si>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</si>
  <si>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</si>
  <si>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</si>
  <si>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</si>
  <si>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</si>
  <si>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</si>
  <si>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</si>
  <si>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</si>
  <si>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</si>
  <si>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</si>
  <si>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</si>
  <si>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</si>
  <si>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</si>
  <si>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</si>
  <si>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</si>
  <si>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</si>
  <si>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</si>
  <si>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</si>
  <si>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</si>
  <si>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</si>
  <si>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</si>
  <si>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</si>
  <si>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</si>
  <si>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</si>
  <si>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</si>
  <si>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</si>
  <si>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</si>
  <si>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</si>
  <si>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</si>
  <si>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</si>
  <si>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</si>
  <si>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</si>
  <si>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</si>
  <si>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</si>
  <si>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</si>
  <si>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</si>
  <si>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</si>
  <si>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</si>
  <si>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</si>
  <si>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</si>
  <si>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</si>
  <si>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</si>
  <si>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</si>
  <si>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</si>
  <si>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</si>
  <si>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</si>
  <si>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</si>
  <si>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</si>
  <si>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</si>
  <si>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</si>
  <si>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</si>
  <si>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</si>
  <si>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</si>
  <si>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</si>
  <si>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</si>
  <si>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</si>
  <si>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</si>
  <si>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</si>
  <si>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</si>
  <si>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</si>
  <si>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</si>
  <si>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</si>
  <si>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</si>
  <si>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</si>
  <si>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</si>
  <si>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</si>
  <si>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</si>
  <si>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</si>
  <si>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</si>
  <si>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</si>
  <si>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</si>
  <si>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</si>
  <si>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</si>
  <si>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</si>
  <si>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</si>
  <si>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</si>
  <si>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</si>
  <si>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</si>
  <si>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</si>
  <si>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</si>
  <si>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</si>
  <si>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</si>
  <si>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</si>
  <si>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</si>
  <si>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</si>
  <si>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</si>
  <si>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</si>
  <si>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</si>
  <si>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</si>
  <si>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</si>
  <si>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</si>
  <si>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</si>
  <si>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</si>
  <si>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</si>
  <si>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</si>
  <si>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</si>
  <si>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</si>
  <si>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</si>
  <si>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</si>
  <si>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</si>
  <si>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</si>
  <si>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</si>
  <si>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</si>
  <si>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</si>
  <si>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</si>
  <si>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</si>
  <si>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</si>
  <si>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</si>
  <si>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</si>
  <si>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</si>
  <si>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</si>
  <si>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</si>
  <si>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</si>
  <si>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</si>
  <si>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</si>
  <si>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</si>
  <si>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</si>
  <si>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</si>
  <si>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</si>
  <si>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</si>
  <si>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</si>
  <si>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</si>
  <si>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</si>
  <si>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</si>
  <si>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</si>
  <si>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</si>
  <si>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</si>
  <si>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</si>
  <si>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</si>
  <si>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</si>
  <si>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</si>
  <si>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</si>
  <si>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</si>
  <si>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</si>
  <si>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</si>
  <si>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</si>
  <si>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</si>
  <si>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</si>
  <si>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</si>
  <si>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</si>
  <si>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</si>
  <si>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</si>
  <si>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</si>
  <si>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</si>
  <si>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</si>
  <si>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</si>
  <si>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</si>
  <si>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</si>
  <si>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</si>
  <si>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</si>
  <si>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</si>
  <si>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</si>
  <si>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</si>
  <si>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</si>
  <si>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</si>
  <si>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</si>
  <si>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</si>
  <si>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</si>
  <si>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</si>
  <si>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</si>
  <si>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</si>
  <si>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</si>
  <si>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</si>
  <si>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</si>
  <si>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</si>
  <si>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</si>
  <si>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</si>
  <si>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</si>
  <si>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</si>
  <si>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</si>
  <si>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</si>
  <si>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</si>
  <si>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</si>
  <si>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</si>
  <si>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</si>
  <si>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</si>
  <si>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</si>
  <si>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</si>
  <si>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</si>
  <si>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</si>
  <si>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</si>
  <si>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</si>
  <si>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</si>
  <si>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</si>
  <si>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</si>
  <si>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</si>
  <si>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</si>
  <si>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</si>
  <si>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</si>
  <si>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</si>
  <si>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</si>
  <si>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</si>
  <si>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</si>
  <si>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</si>
  <si>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</si>
  <si>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</si>
  <si>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</si>
  <si>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</si>
  <si>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</si>
  <si>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</si>
  <si>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</si>
  <si>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</si>
  <si>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</si>
  <si>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</si>
  <si>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</si>
  <si>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</si>
  <si>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</si>
  <si>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</si>
  <si>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</si>
  <si>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</si>
  <si>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</si>
  <si>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</si>
  <si>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</si>
  <si>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</si>
  <si>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</si>
  <si>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</si>
  <si>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</si>
  <si>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</si>
  <si>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</si>
  <si>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</si>
  <si>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</si>
  <si>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</si>
  <si>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</si>
  <si>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</si>
  <si>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</si>
  <si>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</si>
  <si>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</si>
  <si>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</si>
  <si>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</si>
  <si>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</si>
  <si>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</si>
  <si>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</si>
  <si>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</si>
  <si>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</si>
  <si>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</si>
  <si>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</si>
  <si>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</si>
  <si>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</si>
  <si>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</si>
  <si>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</si>
  <si>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</si>
  <si>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</si>
  <si>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</si>
  <si>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</si>
  <si>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</si>
  <si>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</si>
  <si>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</si>
  <si>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</si>
  <si>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</si>
  <si>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</si>
  <si>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</si>
  <si>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</si>
  <si>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</si>
  <si>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</si>
  <si>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</si>
  <si>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</si>
  <si>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</si>
  <si>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</si>
  <si>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</si>
  <si>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</si>
  <si>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</si>
  <si>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</si>
  <si>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</si>
  <si>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</si>
  <si>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</si>
  <si>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</si>
  <si>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</si>
  <si>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</si>
  <si>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</si>
  <si>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</si>
  <si>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</si>
  <si>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</si>
  <si>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</si>
  <si>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</si>
  <si>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</si>
  <si>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</si>
  <si>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</si>
  <si>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</si>
  <si>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</si>
  <si>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</si>
  <si>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</si>
  <si>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</si>
  <si>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</si>
  <si>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</si>
  <si>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</si>
  <si>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</si>
  <si>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</si>
  <si>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</si>
  <si>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</si>
  <si>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</si>
  <si>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</si>
  <si>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</si>
  <si>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</si>
  <si>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</si>
  <si>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</si>
  <si>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</si>
  <si>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</si>
  <si>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</si>
  <si>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</si>
  <si>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</si>
  <si>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</si>
  <si>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</si>
  <si>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</si>
  <si>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</si>
  <si>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</si>
  <si>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</si>
  <si>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</si>
  <si>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</si>
  <si>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</si>
  <si>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</si>
  <si>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</si>
  <si>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</si>
  <si>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</si>
  <si>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</si>
  <si>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</si>
  <si>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</si>
  <si>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</si>
  <si>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</si>
  <si>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</si>
  <si>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</si>
  <si>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</si>
  <si>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</si>
  <si>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</si>
  <si>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</si>
  <si>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</si>
  <si>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</si>
  <si>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</si>
  <si>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</si>
  <si>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</si>
  <si>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</si>
  <si>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</si>
  <si>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</si>
  <si>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</si>
  <si>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</si>
  <si>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</si>
  <si>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</si>
  <si>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</si>
  <si>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</si>
  <si>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</si>
  <si>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</si>
  <si>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</si>
  <si>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</si>
  <si>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</si>
  <si>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</si>
  <si>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</si>
  <si>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</si>
  <si>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</si>
  <si>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</si>
  <si>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</si>
  <si>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</si>
  <si>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</si>
  <si>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</si>
  <si>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</si>
  <si>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</si>
  <si>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</si>
  <si>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</si>
  <si>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</si>
  <si>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</si>
  <si>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</si>
  <si>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</si>
  <si>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</si>
  <si>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</si>
  <si>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</si>
  <si>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</si>
  <si>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</si>
  <si>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</si>
  <si>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</si>
  <si>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</si>
  <si>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</si>
  <si>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</si>
  <si>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</si>
  <si>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</si>
  <si>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</si>
  <si>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</si>
  <si>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</si>
  <si>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</si>
  <si>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</si>
  <si>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</si>
  <si>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</si>
  <si>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</si>
  <si>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</si>
  <si>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</si>
  <si>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</si>
  <si>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</si>
  <si>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</si>
  <si>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</si>
  <si>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</si>
  <si>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</si>
  <si>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</si>
  <si>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</si>
  <si>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</si>
  <si>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</si>
  <si>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</si>
  <si>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</si>
  <si>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</si>
  <si>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</si>
  <si>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</si>
  <si>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</si>
  <si>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</si>
  <si>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</si>
  <si>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</si>
  <si>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</si>
  <si>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</si>
  <si>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</si>
  <si>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</si>
  <si>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</si>
  <si>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</si>
  <si>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</si>
  <si>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</si>
  <si>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</si>
  <si>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</si>
  <si>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</si>
  <si>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</si>
  <si>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</si>
  <si>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</si>
  <si>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</si>
  <si>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</si>
  <si>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</si>
  <si>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</si>
  <si>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</si>
  <si>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</si>
  <si>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</si>
  <si>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</si>
  <si>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</si>
  <si>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</si>
  <si>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</si>
  <si>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</si>
  <si>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</si>
  <si>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</si>
  <si>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</si>
  <si>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</si>
  <si>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</si>
  <si>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</si>
  <si>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</si>
  <si>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</si>
  <si>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</si>
  <si>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</si>
  <si>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</si>
  <si>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</si>
  <si>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</si>
  <si>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</si>
  <si>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</si>
  <si>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</si>
  <si>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</si>
  <si>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</si>
  <si>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</si>
  <si>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</si>
  <si>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</si>
  <si>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</si>
  <si>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</si>
  <si>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</si>
  <si>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</si>
  <si>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</si>
  <si>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</si>
  <si>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</si>
  <si>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</si>
  <si>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</si>
  <si>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</si>
  <si>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</si>
  <si>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</si>
  <si>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</si>
  <si>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</si>
  <si>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</si>
  <si>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</si>
  <si>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</si>
  <si>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</si>
  <si>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</si>
  <si>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</si>
  <si>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</si>
  <si>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</si>
  <si>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</si>
  <si>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</si>
  <si>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</si>
  <si>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</si>
  <si>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</si>
  <si>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</si>
  <si>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</si>
  <si>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</si>
  <si>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</si>
  <si>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</si>
  <si>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</si>
  <si>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</si>
  <si>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</si>
  <si>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</si>
  <si>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</si>
  <si>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</si>
  <si>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</si>
  <si>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</si>
  <si>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</si>
  <si>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</si>
  <si>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</si>
  <si>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</si>
  <si>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</si>
  <si>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</si>
  <si>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</si>
  <si>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</si>
  <si>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</si>
  <si>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</si>
  <si>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</si>
  <si>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</si>
  <si>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</si>
  <si>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</si>
  <si>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</si>
  <si>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</si>
  <si>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</si>
  <si>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</si>
  <si>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</si>
  <si>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</si>
  <si>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</si>
  <si>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</si>
  <si>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</si>
  <si>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</si>
  <si>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</si>
  <si>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</si>
  <si>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</si>
  <si>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</si>
  <si>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</si>
  <si>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</si>
  <si>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</si>
  <si>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</si>
  <si>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</si>
  <si>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</si>
  <si>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</si>
  <si>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</si>
  <si>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</si>
  <si>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</si>
  <si>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</si>
  <si>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</si>
  <si>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</si>
  <si>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</si>
  <si>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</si>
  <si>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</si>
  <si>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</si>
  <si>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</si>
  <si>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</si>
  <si>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</si>
  <si>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</si>
  <si>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</si>
  <si>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</si>
  <si>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</si>
  <si>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</si>
  <si>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</si>
  <si>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</si>
  <si>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</si>
  <si>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</si>
  <si>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</si>
  <si>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</si>
  <si>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</si>
  <si>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</si>
  <si>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</si>
  <si>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</si>
  <si>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</si>
  <si>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</si>
  <si>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</si>
  <si>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</si>
  <si>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</si>
  <si>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</si>
  <si>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</si>
  <si>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</si>
  <si>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</si>
  <si>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</si>
  <si>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</si>
  <si>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</si>
  <si>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</si>
  <si>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</si>
  <si>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</si>
  <si>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</si>
  <si>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</si>
  <si>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</si>
  <si>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</si>
  <si>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</si>
  <si>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</si>
  <si>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</si>
  <si>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</si>
  <si>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</si>
  <si>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</si>
  <si>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</si>
  <si>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</si>
  <si>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</si>
  <si>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</si>
  <si>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</si>
  <si>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</si>
  <si>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</si>
  <si>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</si>
  <si>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</si>
  <si>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</si>
  <si>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</si>
  <si>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</si>
  <si>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</si>
  <si>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</si>
  <si>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</si>
  <si>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</si>
  <si>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</si>
  <si>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</si>
  <si>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</si>
  <si>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</si>
  <si>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</si>
  <si>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</si>
  <si>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</si>
  <si>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</si>
  <si>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</si>
  <si>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</si>
  <si>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</si>
  <si>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</si>
  <si>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</si>
  <si>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</si>
  <si>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</si>
  <si>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</si>
  <si>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</si>
  <si>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</si>
  <si>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</si>
  <si>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</si>
  <si>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</si>
  <si>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</si>
  <si>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</si>
  <si>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</si>
  <si>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</si>
  <si>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</si>
  <si>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</si>
  <si>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</si>
  <si>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</si>
  <si>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</si>
  <si>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</si>
  <si>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</si>
  <si>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</si>
  <si>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</si>
  <si>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</si>
  <si>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</si>
  <si>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</si>
  <si>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</si>
  <si>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</si>
  <si>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</si>
  <si>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</si>
  <si>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</si>
  <si>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</si>
  <si>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</si>
  <si>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</si>
  <si>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</si>
  <si>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</si>
  <si>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</si>
  <si>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</si>
  <si>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</si>
  <si>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</si>
  <si>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</si>
  <si>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</si>
  <si>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</si>
  <si>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</si>
  <si>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</si>
  <si>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</si>
  <si>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</si>
  <si>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</si>
  <si>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</si>
  <si>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</si>
  <si>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</si>
  <si>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</si>
  <si>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</si>
  <si>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</si>
  <si>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</si>
  <si>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</si>
  <si>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</si>
  <si>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</si>
  <si>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</si>
  <si>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</si>
  <si>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</si>
  <si>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</si>
  <si>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</si>
  <si>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</si>
  <si>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</si>
  <si>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</si>
  <si>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</si>
  <si>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</si>
  <si>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</si>
  <si>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</si>
  <si>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</si>
  <si>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</si>
  <si>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</si>
  <si>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</si>
  <si>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</si>
  <si>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</si>
  <si>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</si>
  <si>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</si>
  <si>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</si>
  <si>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</si>
  <si>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</si>
  <si>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</si>
  <si>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</si>
  <si>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</si>
  <si>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</si>
  <si>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</si>
  <si>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</si>
  <si>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</si>
  <si>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</si>
  <si>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</si>
  <si>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</si>
  <si>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</si>
  <si>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</si>
  <si>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</si>
  <si>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</si>
  <si>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</si>
  <si>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</si>
  <si>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</si>
  <si>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</si>
  <si>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</si>
  <si>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</si>
  <si>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</si>
  <si>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</si>
  <si>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</si>
  <si>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</si>
  <si>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</si>
  <si>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</si>
  <si>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</si>
  <si>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</si>
  <si>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</si>
  <si>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</si>
  <si>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</si>
  <si>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</si>
  <si>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</si>
  <si>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</si>
  <si>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</si>
  <si>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</si>
  <si>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</si>
  <si>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</si>
  <si>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</si>
  <si>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</si>
  <si>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</si>
  <si>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</si>
  <si>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</si>
  <si>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</si>
  <si>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</si>
  <si>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</si>
  <si>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</si>
  <si>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</si>
  <si>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</si>
  <si>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</si>
  <si>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</si>
  <si>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</si>
  <si>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</si>
  <si>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</si>
  <si>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</si>
  <si>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</si>
  <si>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</si>
  <si>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</si>
  <si>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</si>
  <si>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</si>
  <si>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</si>
  <si>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</si>
  <si>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</si>
  <si>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</si>
  <si>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</si>
  <si>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</si>
  <si>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</si>
  <si>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</si>
  <si>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</si>
  <si>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</si>
  <si>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</si>
  <si>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</si>
  <si>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</si>
  <si>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</si>
  <si>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</si>
  <si>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</si>
  <si>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</si>
  <si>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</si>
  <si>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</si>
  <si>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</si>
  <si>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</si>
  <si>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</si>
  <si>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</si>
  <si>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</si>
  <si>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</si>
  <si>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</si>
  <si>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</si>
  <si>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</si>
  <si>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</si>
  <si>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</si>
  <si>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</si>
  <si>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</si>
  <si>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</si>
  <si>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</si>
  <si>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</si>
  <si>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</si>
  <si>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</si>
  <si>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</si>
  <si>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</si>
  <si>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</si>
  <si>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</si>
  <si>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</si>
  <si>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</si>
  <si>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</si>
  <si>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</si>
  <si>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</si>
  <si>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</si>
  <si>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</si>
  <si>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</si>
  <si>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</si>
  <si>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</si>
  <si>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</si>
  <si>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</si>
  <si>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</si>
  <si>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</si>
  <si>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</si>
  <si>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</si>
  <si>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</si>
  <si>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</si>
  <si>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</si>
  <si>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</si>
  <si>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</si>
  <si>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</si>
  <si>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</si>
  <si>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</si>
  <si>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</si>
  <si>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</si>
  <si>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</si>
  <si>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</si>
  <si>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</si>
  <si>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</si>
  <si>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</si>
  <si>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</si>
  <si>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</si>
  <si>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</si>
  <si>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</si>
  <si>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</si>
  <si>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</si>
  <si>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</si>
  <si>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</si>
  <si>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</si>
  <si>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</si>
  <si>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</si>
  <si>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</si>
  <si>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</si>
  <si>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</si>
  <si>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</si>
  <si>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</si>
  <si>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</si>
  <si>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</si>
  <si>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</si>
  <si>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</si>
  <si>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</si>
  <si>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</si>
  <si>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</si>
  <si>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</si>
  <si>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</si>
  <si>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</si>
  <si>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</si>
  <si>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</si>
  <si>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</si>
  <si>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</si>
  <si>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</si>
  <si>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</si>
  <si>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</si>
  <si>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</si>
  <si>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</si>
  <si>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</si>
  <si>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</si>
  <si>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</si>
  <si>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</si>
  <si>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</si>
  <si>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</si>
  <si>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</si>
  <si>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</si>
  <si>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</si>
  <si>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</si>
  <si>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</si>
  <si>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</si>
  <si>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</si>
  <si>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</si>
  <si>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</si>
  <si>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</si>
  <si>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</si>
  <si>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</si>
  <si>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</si>
  <si>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</si>
  <si>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</si>
  <si>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</si>
  <si>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</si>
  <si>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</si>
  <si>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</si>
  <si>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</si>
  <si>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</si>
  <si>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</si>
  <si>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</si>
  <si>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</si>
  <si>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</si>
  <si>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</si>
  <si>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</si>
  <si>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</si>
  <si>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</si>
  <si>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</si>
  <si>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</si>
  <si>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</si>
  <si>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</si>
  <si>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</si>
  <si>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</si>
  <si>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</si>
  <si>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</si>
  <si>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</si>
  <si>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</si>
  <si>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</si>
  <si>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</si>
  <si>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</si>
  <si>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</si>
  <si>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</si>
  <si>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</si>
  <si>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</si>
  <si>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</si>
  <si>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</si>
  <si>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</si>
  <si>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</si>
  <si>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</si>
  <si>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</si>
  <si>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</si>
  <si>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</si>
  <si>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</si>
  <si>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</si>
  <si>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</si>
  <si>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</si>
  <si>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</si>
  <si>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</si>
  <si>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</si>
  <si>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</si>
  <si>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</si>
  <si>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</si>
  <si>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</si>
  <si>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</si>
  <si>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</si>
  <si>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</si>
  <si>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</si>
  <si>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</si>
  <si>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</si>
  <si>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</si>
  <si>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</si>
  <si>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</si>
  <si>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</si>
  <si>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</si>
  <si>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</si>
  <si>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</si>
  <si>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</si>
  <si>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</si>
  <si>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</si>
  <si>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</si>
  <si>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</si>
  <si>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</si>
  <si>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</si>
  <si>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</si>
  <si>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</si>
  <si>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</si>
  <si>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</si>
  <si>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</si>
  <si>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</si>
  <si>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</si>
  <si>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</si>
  <si>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</si>
  <si>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</si>
  <si>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</si>
  <si>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</si>
  <si>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</si>
  <si>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</si>
  <si>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</si>
  <si>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</si>
  <si>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</si>
  <si>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</si>
  <si>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</si>
  <si>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</si>
  <si>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</si>
  <si>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</si>
  <si>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</si>
  <si>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</si>
  <si>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</si>
  <si>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</si>
  <si>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</si>
  <si>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</si>
  <si>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</si>
  <si>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</si>
  <si>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</si>
  <si>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</si>
  <si>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</si>
  <si>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</si>
  <si>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</si>
  <si>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</si>
  <si>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</si>
  <si>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</si>
  <si>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</si>
  <si>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</si>
  <si>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</si>
  <si>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</si>
  <si>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</si>
  <si>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</si>
  <si>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</si>
  <si>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</si>
  <si>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</si>
  <si>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</si>
  <si>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</si>
  <si>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</si>
  <si>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</si>
  <si>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</si>
  <si>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</si>
  <si>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</si>
  <si>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</si>
  <si>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</si>
  <si>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</si>
  <si>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</si>
  <si>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</si>
  <si>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</si>
  <si>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</si>
  <si>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</si>
  <si>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</si>
  <si>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</si>
  <si>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</si>
  <si>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</si>
  <si>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</si>
  <si>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</si>
  <si>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</si>
  <si>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</si>
  <si>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</si>
  <si>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</si>
  <si>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</si>
  <si>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</si>
  <si>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</si>
  <si>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</si>
  <si>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</si>
  <si>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</si>
  <si>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</si>
  <si>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</si>
  <si>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</si>
  <si>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</si>
  <si>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</si>
  <si>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</si>
  <si>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</si>
  <si>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</si>
  <si>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</si>
  <si>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</si>
  <si>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</si>
  <si>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</si>
  <si>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</si>
  <si>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</si>
  <si>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</si>
  <si>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</si>
  <si>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</si>
  <si>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</si>
  <si>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</si>
  <si>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</si>
  <si>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</si>
  <si>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</si>
  <si>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</si>
  <si>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</si>
  <si>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</si>
  <si>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</si>
  <si>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</si>
  <si>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</si>
  <si>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</si>
  <si>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</si>
  <si>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</si>
  <si>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</si>
  <si>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</si>
  <si>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</si>
  <si>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</si>
  <si>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</si>
  <si>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</si>
  <si>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</si>
  <si>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</si>
  <si>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</si>
  <si>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</si>
  <si>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</si>
  <si>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</si>
  <si>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</si>
  <si>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</si>
  <si>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</si>
  <si>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</si>
  <si>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</si>
  <si>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</si>
  <si>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</si>
  <si>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</si>
  <si>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</si>
  <si>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</si>
  <si>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</si>
  <si>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</si>
  <si>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</si>
  <si>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</si>
  <si>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</si>
  <si>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</si>
  <si>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</si>
  <si>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</si>
  <si>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</si>
  <si>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</si>
  <si>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</si>
  <si>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</si>
  <si>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</si>
  <si>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</si>
  <si>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</si>
  <si>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</si>
  <si>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</si>
  <si>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</si>
  <si>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</si>
  <si>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</si>
  <si>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</si>
  <si>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</si>
  <si>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</si>
  <si>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</si>
  <si>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</si>
  <si>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</si>
  <si>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</si>
  <si>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</si>
  <si>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</si>
  <si>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</si>
  <si>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</si>
  <si>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</si>
  <si>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</si>
  <si>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</si>
  <si>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</si>
  <si>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</si>
  <si>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</si>
  <si>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</si>
  <si>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</si>
  <si>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</si>
  <si>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</si>
  <si>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</si>
  <si>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</si>
  <si>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</si>
  <si>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</si>
  <si>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</si>
  <si>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</si>
  <si>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</si>
  <si>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</si>
  <si>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</si>
  <si>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</si>
  <si>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</si>
  <si>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</si>
  <si>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</si>
  <si>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</si>
  <si>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</si>
  <si>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</si>
  <si>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</si>
  <si>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</si>
  <si>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</si>
  <si>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</si>
  <si>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</si>
  <si>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</si>
  <si>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</si>
  <si>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</si>
  <si>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</si>
  <si>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</si>
  <si>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</si>
  <si>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</si>
  <si>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</si>
  <si>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</si>
  <si>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</si>
  <si>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</si>
  <si>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</si>
  <si>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</si>
  <si>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</si>
  <si>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</si>
  <si>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</si>
  <si>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</si>
  <si>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</si>
  <si>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</si>
  <si>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</si>
  <si>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</si>
  <si>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</si>
  <si>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</si>
  <si>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</si>
  <si>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</si>
  <si>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</si>
  <si>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</si>
  <si>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</si>
  <si>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</si>
  <si>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</si>
  <si>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</si>
  <si>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</si>
  <si>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</si>
  <si>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</si>
  <si>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</si>
  <si>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</si>
  <si>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</si>
  <si>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</si>
  <si>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</si>
  <si>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</si>
  <si>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</si>
  <si>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</si>
  <si>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</si>
  <si>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</si>
  <si>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</si>
  <si>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</si>
  <si>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</si>
  <si>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</si>
  <si>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</si>
  <si>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</si>
  <si>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</si>
  <si>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</si>
  <si>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</si>
  <si>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</si>
  <si>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</si>
  <si>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</si>
  <si>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</si>
  <si>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</si>
  <si>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</si>
  <si>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</si>
  <si>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</si>
  <si>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</si>
  <si>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</si>
  <si>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</si>
  <si>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</si>
  <si>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</si>
  <si>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</si>
  <si>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</si>
  <si>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</si>
  <si>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</si>
  <si>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</si>
  <si>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</si>
  <si>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</si>
  <si>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</si>
  <si>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</si>
  <si>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</si>
  <si>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</si>
  <si>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</si>
  <si>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</si>
  <si>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</si>
  <si>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</si>
  <si>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</si>
  <si>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</si>
  <si>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</si>
  <si>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</si>
  <si>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</si>
  <si>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</si>
  <si>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</si>
  <si>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</si>
  <si>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</si>
  <si>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</si>
  <si>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</si>
  <si>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</si>
  <si>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</si>
  <si>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</si>
  <si>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</si>
  <si>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</si>
  <si>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</si>
  <si>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</si>
  <si>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</si>
  <si>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</si>
  <si>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</si>
  <si>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</si>
  <si>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</si>
  <si>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</si>
  <si>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</si>
  <si>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</si>
  <si>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</si>
  <si>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</si>
  <si>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</si>
  <si>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</si>
  <si>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</si>
  <si>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</si>
  <si>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</si>
  <si>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</si>
  <si>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</si>
  <si>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</si>
  <si>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</si>
  <si>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</si>
  <si>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</si>
  <si>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</si>
  <si>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</si>
  <si>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</si>
  <si>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</si>
  <si>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</si>
  <si>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</si>
  <si>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</si>
  <si>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</si>
  <si>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</si>
  <si>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</si>
  <si>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</si>
  <si>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</si>
  <si>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</si>
  <si>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</si>
  <si>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</si>
  <si>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</si>
  <si>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</si>
  <si>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</si>
  <si>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</si>
  <si>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</si>
  <si>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</si>
  <si>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</si>
  <si>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</si>
  <si>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</si>
  <si>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</si>
  <si>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</si>
  <si>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</si>
  <si>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</si>
  <si>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</si>
  <si>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</si>
  <si>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</si>
  <si>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</si>
  <si>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</si>
  <si>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</si>
  <si>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</si>
  <si>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</si>
  <si>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</si>
  <si>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</si>
  <si>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</si>
  <si>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</si>
  <si>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</si>
  <si>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</si>
  <si>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</si>
  <si>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</si>
  <si>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</si>
  <si>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</si>
  <si>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</si>
  <si>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</si>
  <si>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</si>
  <si>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</si>
  <si>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</si>
  <si>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</si>
  <si>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</si>
  <si>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</si>
  <si>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</si>
  <si>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</si>
  <si>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</si>
  <si>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</si>
  <si>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</si>
  <si>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</si>
  <si>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</si>
  <si>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</si>
  <si>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</si>
  <si>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</si>
  <si>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</si>
  <si>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</si>
  <si>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</si>
  <si>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</si>
  <si>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</si>
  <si>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</si>
  <si>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</si>
  <si>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</si>
  <si>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</si>
  <si>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</si>
  <si>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</si>
  <si>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</si>
  <si>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</si>
  <si>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</si>
  <si>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</si>
  <si>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</si>
  <si>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</si>
  <si>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</si>
  <si>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</si>
  <si>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</si>
  <si>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</si>
  <si>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</si>
  <si>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</si>
  <si>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</si>
  <si>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</si>
  <si>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</si>
  <si>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</si>
  <si>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</si>
  <si>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</si>
  <si>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</si>
  <si>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</si>
  <si>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</si>
  <si>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</si>
  <si>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</si>
  <si>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</si>
  <si>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</si>
  <si>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</si>
  <si>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</si>
  <si>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</si>
  <si>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</si>
  <si>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</si>
  <si>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</si>
  <si>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</si>
  <si>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</si>
  <si>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</si>
  <si>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</si>
  <si>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</si>
  <si>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</si>
  <si>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</si>
  <si>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</si>
  <si>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</si>
  <si>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</si>
  <si>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</si>
  <si>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</si>
  <si>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</si>
  <si>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</si>
  <si>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</si>
  <si>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</si>
  <si>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</si>
  <si>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</si>
  <si>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</si>
  <si>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</si>
  <si>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</si>
  <si>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</si>
  <si>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</si>
  <si>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</si>
  <si>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</si>
  <si>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</si>
  <si>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</si>
  <si>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</si>
  <si>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</si>
  <si>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</si>
  <si>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</si>
  <si>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</si>
  <si>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</si>
  <si>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</si>
  <si>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</si>
  <si>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</si>
  <si>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</si>
  <si>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</si>
  <si>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</si>
  <si>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</si>
  <si>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</si>
  <si>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</si>
  <si>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</si>
  <si>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</si>
  <si>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</si>
  <si>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</si>
  <si>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</si>
  <si>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</si>
  <si>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</si>
  <si>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</si>
  <si>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</si>
  <si>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</si>
  <si>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</si>
  <si>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</si>
  <si>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</si>
  <si>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</si>
  <si>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</si>
  <si>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</si>
  <si>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</si>
  <si>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</si>
  <si>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</si>
  <si>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</si>
  <si>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</si>
  <si>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</si>
  <si>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</si>
  <si>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</si>
  <si>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</si>
  <si>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</si>
  <si>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</si>
  <si>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</si>
  <si>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</si>
  <si>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</si>
  <si>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</si>
  <si>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</si>
  <si>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</si>
  <si>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</si>
  <si>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</si>
  <si>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</si>
  <si>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</si>
  <si>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</si>
  <si>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</si>
  <si>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</si>
  <si>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</si>
  <si>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</si>
  <si>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</si>
  <si>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</si>
  <si>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</si>
  <si>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</si>
  <si>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</si>
  <si>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</si>
  <si>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</si>
  <si>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</si>
  <si>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</si>
  <si>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</si>
  <si>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</si>
  <si>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</si>
  <si>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</si>
  <si>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</si>
  <si>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</si>
  <si>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</si>
  <si>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</si>
  <si>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</si>
  <si>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</si>
  <si>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</si>
  <si>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</si>
  <si>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</si>
  <si>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</si>
  <si>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</si>
  <si>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</si>
  <si>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</si>
  <si>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</si>
  <si>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</si>
  <si>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</si>
  <si>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</si>
  <si>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</si>
  <si>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</si>
  <si>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</si>
  <si>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</si>
  <si>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</si>
  <si>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</si>
  <si>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</si>
  <si>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</si>
  <si>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</si>
  <si>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</si>
  <si>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</si>
  <si>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</si>
  <si>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</si>
  <si>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</si>
  <si>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</si>
  <si>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</si>
  <si>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</si>
  <si>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</si>
  <si>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</si>
  <si>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</si>
  <si>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</si>
  <si>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</si>
  <si>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</si>
  <si>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</si>
  <si>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</si>
  <si>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</si>
  <si>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</si>
  <si>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</si>
  <si>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</si>
  <si>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</si>
  <si>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</si>
  <si>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</si>
  <si>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</si>
  <si>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</si>
  <si>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</si>
  <si>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</si>
  <si>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</si>
  <si>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</si>
  <si>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</si>
  <si>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</si>
  <si>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</si>
  <si>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</si>
  <si>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</si>
  <si>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</si>
  <si>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</si>
  <si>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</si>
  <si>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</si>
  <si>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</si>
  <si>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</si>
  <si>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</si>
  <si>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</si>
  <si>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</si>
  <si>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</si>
  <si>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</si>
  <si>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</si>
  <si>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</si>
  <si>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</si>
  <si>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</si>
  <si>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</si>
  <si>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</si>
  <si>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</si>
  <si>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</si>
  <si>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</si>
  <si>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</si>
  <si>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</si>
  <si>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</si>
  <si>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</si>
  <si>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</si>
  <si>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</si>
  <si>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</si>
  <si>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</si>
  <si>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</si>
  <si>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</si>
  <si>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</si>
  <si>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</si>
  <si>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</si>
  <si>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</si>
  <si>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</si>
  <si>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</si>
  <si>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</si>
  <si>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</si>
  <si>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</si>
  <si>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</si>
  <si>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</si>
  <si>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</si>
  <si>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</si>
  <si>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</si>
  <si>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</si>
  <si>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</si>
  <si>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</si>
  <si>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</si>
  <si>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</si>
  <si>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</si>
  <si>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</si>
  <si>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</si>
  <si>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</si>
  <si>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</si>
  <si>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</si>
  <si>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</si>
  <si>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</si>
  <si>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</si>
  <si>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</si>
  <si>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</si>
  <si>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</si>
  <si>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</si>
  <si>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</si>
  <si>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</si>
  <si>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</si>
  <si>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</si>
  <si>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</si>
  <si>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</si>
  <si>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</si>
  <si>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</si>
  <si>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</si>
  <si>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</si>
  <si>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</si>
  <si>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</si>
  <si>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</si>
  <si>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</si>
  <si>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</si>
  <si>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</si>
  <si>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</si>
  <si>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</si>
  <si>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</si>
  <si>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</si>
  <si>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</si>
  <si>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</si>
  <si>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</si>
  <si>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</si>
  <si>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</si>
  <si>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</si>
  <si>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</si>
  <si>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</si>
  <si>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</si>
  <si>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</si>
  <si>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</si>
  <si>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</si>
  <si>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</si>
  <si>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</si>
  <si>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</si>
  <si>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</si>
  <si>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</si>
  <si>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</si>
  <si>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</si>
  <si>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</si>
  <si>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</si>
  <si>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</si>
  <si>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</si>
  <si>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</si>
  <si>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</si>
  <si>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</si>
  <si>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</si>
  <si>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</si>
  <si>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</si>
  <si>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</si>
  <si>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</si>
  <si>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</si>
  <si>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</si>
  <si>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</si>
  <si>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</si>
  <si>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</si>
  <si>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</si>
  <si>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</si>
  <si>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</si>
  <si>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</si>
  <si>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</si>
  <si>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</si>
  <si>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</si>
  <si>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</si>
  <si>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</si>
  <si>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</si>
  <si>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</si>
  <si>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</si>
  <si>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</si>
  <si>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</si>
  <si>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</si>
  <si>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</si>
  <si>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</si>
  <si>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</si>
  <si>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</si>
  <si>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</si>
  <si>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</si>
  <si>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</si>
  <si>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</si>
  <si>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</si>
  <si>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</si>
  <si>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</si>
  <si>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</si>
  <si>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</si>
  <si>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</si>
  <si>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</si>
  <si>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</si>
  <si>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</si>
  <si>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</si>
  <si>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</si>
  <si>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</si>
  <si>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</si>
  <si>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</si>
  <si>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</si>
  <si>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</si>
  <si>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</si>
  <si>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</si>
  <si>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</si>
  <si>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</si>
  <si>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</si>
  <si>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</si>
  <si>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</si>
  <si>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</si>
  <si>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</si>
  <si>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</si>
  <si>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</si>
  <si>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</si>
  <si>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</si>
  <si>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</si>
  <si>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</si>
  <si>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</si>
  <si>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</si>
  <si>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</si>
  <si>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</si>
  <si>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</si>
  <si>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</si>
  <si>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</si>
  <si>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</si>
  <si>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</si>
  <si>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</si>
  <si>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</si>
  <si>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</si>
  <si>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</si>
  <si>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</si>
  <si>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</si>
  <si>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S04</t>
  </si>
  <si>
    <t>S05</t>
  </si>
  <si>
    <t>S06</t>
  </si>
  <si>
    <t>S07</t>
  </si>
  <si>
    <t>S08</t>
  </si>
  <si>
    <t>S10</t>
  </si>
  <si>
    <t>Smart Paint 5400 Wall Sealer Exterior &amp; Interior Wall Undercoat 18L</t>
  </si>
  <si>
    <t>S12</t>
  </si>
  <si>
    <t>S13</t>
  </si>
  <si>
    <t>S14</t>
  </si>
  <si>
    <t>S15</t>
  </si>
  <si>
    <t>DOCASA Combo, c/w One-piece rimless toilet bowl + modern bathroom sink cabinet with basin, mirror &amp; shelf , Soft-close seat and cover, Cistern fittings, Cistern cover with flush button, Straight connector</t>
  </si>
  <si>
    <t>S16</t>
  </si>
  <si>
    <t>S17</t>
  </si>
  <si>
    <t>Materials</t>
  </si>
  <si>
    <t>Labour</t>
  </si>
  <si>
    <t>Service</t>
  </si>
  <si>
    <t>Sort By</t>
  </si>
  <si>
    <t>Source Qty</t>
  </si>
  <si>
    <t>Source Block</t>
  </si>
  <si>
    <t>Qty</t>
  </si>
  <si>
    <t>Total</t>
  </si>
  <si>
    <t>Summary Row</t>
  </si>
  <si>
    <t>MATERIALS row 21</t>
  </si>
  <si>
    <t>View</t>
  </si>
  <si>
    <t>Listed Qty</t>
  </si>
  <si>
    <t>Qty Check</t>
  </si>
  <si>
    <t>S18</t>
  </si>
  <si>
    <t>S18-TITLE</t>
  </si>
  <si>
    <t>New additional car porch / parking works connected to the existing house compound as a separate added scope after S01-S17</t>
  </si>
  <si>
    <t>S18-OVERVIEW</t>
  </si>
  <si>
    <t>S18-WORK-ZONE</t>
  </si>
  <si>
    <t>Car porch / parking additional work zone</t>
  </si>
  <si>
    <t>New parking zone is outside the main extension scope and is treated as an additional new work area tied to the existing house location only</t>
  </si>
  <si>
    <t>S18-REF-EXISTING</t>
  </si>
  <si>
    <t>Existing house reference rule</t>
  </si>
  <si>
    <t>Use the existing house only for setting out, level reference, roof style reference and tie-in checking; existing house is not to be assumed as the main load-bearing support for the new car porch unless separately verified</t>
  </si>
  <si>
    <t>S18-USER-INPUT</t>
  </si>
  <si>
    <t>Owner use logic</t>
  </si>
  <si>
    <t>Parking is for vehicle use with one main vehicle entry side kept as clear as practical; side areas not used for vehicle entry may take additional supports if required</t>
  </si>
  <si>
    <t>Lighting and ceiling lock</t>
  </si>
  <si>
    <t>Provide lighting wiring for the car porch; no ceiling is provided under this scope</t>
  </si>
  <si>
    <t>Floor finish lock</t>
  </si>
  <si>
    <t>Parking floor finish is plain cement concrete finish only; no floor tiles</t>
  </si>
  <si>
    <t>Wall and painting lock</t>
  </si>
  <si>
    <t>Low wall is included under S18 and must include required basic finishing and paint where visible; all required exposed supports and surfaces that should be painted must be painted</t>
  </si>
  <si>
    <t>Rainwater goods lock</t>
  </si>
  <si>
    <t>No gutter is included under S18 at this stage</t>
  </si>
  <si>
    <t>S18-METHOD</t>
  </si>
  <si>
    <t>Construction sequence rule</t>
  </si>
  <si>
    <t>S18 work shall follow logical sequence: setting out, local base adjustment, footing pad, column/post support, ground beam, slab, low wall, upper beam, roof frame, roof covering, lighting, painting and final touch-up</t>
  </si>
  <si>
    <t>S18-SETTING-OUT</t>
  </si>
  <si>
    <t>Setting out and level control</t>
  </si>
  <si>
    <t>Confirm final car porch size, vehicle entry side, low wall sides, column points, slab edge, roof line and finished level before physical work starts</t>
  </si>
  <si>
    <t>Vehicle entry control</t>
  </si>
  <si>
    <t>Main vehicle entry side shall remain clear and practical for car access; support arrangement on the entry side must not unnecessarily narrow the usable opening</t>
  </si>
  <si>
    <t>S18-LEVEL</t>
  </si>
  <si>
    <t>Existing ground/base condition</t>
  </si>
  <si>
    <t>Existing stone-filled ground in the parking area is already present and described by user as hard and compacted; reuse existing firm base where suitable and only top-up/re-level locally where required</t>
  </si>
  <si>
    <t>Drainage fall rule</t>
  </si>
  <si>
    <t>Parking slab and roof fall shall direct water away from the existing house and away from any unsafe ponding point; fall must be built into the slab and roof setting out</t>
  </si>
  <si>
    <t>S18-STRUCTURE-LOGIC</t>
  </si>
  <si>
    <t>New support point rule</t>
  </si>
  <si>
    <t>Every new main support point for the car porch roof/post system shall have its own footing pad unless specifically confirmed as an existing structural support point</t>
  </si>
  <si>
    <t>Beam line rule</t>
  </si>
  <si>
    <t>Structural beam lines without wall are still structural scope and must be included where they connect support points and carry slab/roof support logic</t>
  </si>
  <si>
    <t>Existing tie-in rule</t>
  </si>
  <si>
    <t>Any tie-in to the existing house side is for alignment, connection, flashing and reference only unless an existing structural support point is specifically verified for shared support use</t>
  </si>
  <si>
    <t>S18-FOOTING</t>
  </si>
  <si>
    <t>Footing pad requirement</t>
  </si>
  <si>
    <t>Provide footing pads to all confirmed new car porch support/post points required by the final layout</t>
  </si>
  <si>
    <t>S18-COLUMN</t>
  </si>
  <si>
    <t>Post / column support requirement</t>
  </si>
  <si>
    <t>S18-GROUND-BEAM</t>
  </si>
  <si>
    <t>Ground beam / tie beam requirement</t>
  </si>
  <si>
    <t>Provide new ground beam / tie beam lines required to connect the confirmed new footing/support system and stabilize the added car porch structure</t>
  </si>
  <si>
    <t>S18-SLAB</t>
  </si>
  <si>
    <t>Parking slab scope</t>
  </si>
  <si>
    <t>Parking slab includes local levelling/top-up as needed, reinforcement, concrete slab and plain cement finish to the full parking area under this scope</t>
  </si>
  <si>
    <t>S18-LOW-WALL</t>
  </si>
  <si>
    <t>Low wall scope</t>
  </si>
  <si>
    <t>Provide low wall approximately 2ft high on the confirmed sides only as part of the car porch additional work</t>
  </si>
  <si>
    <t>Low wall stability rule</t>
  </si>
  <si>
    <t>Low wall finishing rule</t>
  </si>
  <si>
    <t>S18-UPPER-BEAM</t>
  </si>
  <si>
    <t>Upper beam / front beam / roof support beam</t>
  </si>
  <si>
    <t>Provide the required upper beam / front beam / roof support beam lines to carry the lightweight roof and maintain the confirmed entry-side opening logic</t>
  </si>
  <si>
    <t>S18-ROOF</t>
  </si>
  <si>
    <t>Car porch roof type</t>
  </si>
  <si>
    <t>Use lightweight metal deck roofing system matching the general design language of the existing house roof but not necessarily the same full height as the existing main house roof</t>
  </si>
  <si>
    <t>New car porch roof shall be independently supportable by the new car porch structure and not rely blindly on the existing house as the only main support</t>
  </si>
  <si>
    <t>Since there is no ceiling under S18, the roof structure and all visible exposed support elements must be treated as exposed finish work where relevant</t>
  </si>
  <si>
    <t>Overlap and weather protection rule</t>
  </si>
  <si>
    <t>Where high roof and low roof portions meet, provide overlap and proper flashing so rainwater and wind-driven rain do not easily enter through the junction</t>
  </si>
  <si>
    <t>Flashing inclusion</t>
  </si>
  <si>
    <t>Include all required flashing at roof junctions, tie-in edges and overlap points necessary for weather protection under the car porch scope</t>
  </si>
  <si>
    <t>Gutter exclusion</t>
  </si>
  <si>
    <t>Do not include gutter under S18 at this stage unless user revises later</t>
  </si>
  <si>
    <t>S18-ELECTRICAL</t>
  </si>
  <si>
    <t>Lighting wiring scope</t>
  </si>
  <si>
    <t>Provide car porch lighting wiring, switching and light fitting support required for the no-ceiling car porch area only</t>
  </si>
  <si>
    <t>Since the car porch has no ceiling, use lighting and routing logic suitable for exposed/no-ceiling condition</t>
  </si>
  <si>
    <t>S18-PAINT</t>
  </si>
  <si>
    <t>Include painting to all new exposed post/column surfaces, exposed beam/support surfaces, visible low wall finished surfaces and other exposed structural/support elements that require protective and finished paint under this scope</t>
  </si>
  <si>
    <t>Paint exclusion rule</t>
  </si>
  <si>
    <t>Do not treat the plain cement parking floor as a paint finish item; do not assume repainting of prefinished roof sheet top surfaces unless specifically required</t>
  </si>
  <si>
    <t>S18-FINAL</t>
  </si>
  <si>
    <t>Final touch-up and completion</t>
  </si>
  <si>
    <t>Include touch-up, local making good, basic testing of lighting points and final cleaning for the completed car porch work area</t>
  </si>
  <si>
    <t>S18-TAKEOFF-RULE</t>
  </si>
  <si>
    <t>S18 takeoff readiness rule</t>
  </si>
  <si>
    <t>After S18 SPEC A:C is confirmed complete, takeoff for materials, labour and service shall follow exact master-list item names and exact chargeable scope only</t>
  </si>
  <si>
    <t>CALC NOTE: existing hard compacted stone base reused; local top-up only for 40.89 sqm parking slab at practical average 50mm top-up basis</t>
  </si>
  <si>
    <t>CALC NOTE: local sand blinding allowance over reused base before slab pour</t>
  </si>
  <si>
    <t>CALC NOTE: parking slab reinforcement basis for 40.89 sqm using A10 sheet area with normal overlap allowance</t>
  </si>
  <si>
    <t>S18-STRUCTURE</t>
  </si>
  <si>
    <t>MS RHS Rectangular Hollow 3" x 5" x 3.00mm x 6.00m</t>
  </si>
  <si>
    <t>MS RHS Rectangular Hollow 2" x 4" x 6m x 2.3mm</t>
  </si>
  <si>
    <t>DEFAULT USED: light roof batten / purlin allowance for no-ceiling car porch roof under practical spacing basis</t>
  </si>
  <si>
    <t>MS RHS Rectangular Hollow 6/8" x 1-1/2" x 1.20mm x 6.00m</t>
  </si>
  <si>
    <t>Flashing V-Shape 18" x 8.00ft x No.28 Red</t>
  </si>
  <si>
    <t>DEFAULT USED: exposed/no-ceiling conduit routing allowance for 2 light points and 1 switch point under car porch</t>
  </si>
  <si>
    <t>DEFAULT USED: one gang switch for car porch lighting control</t>
  </si>
  <si>
    <t>DEFAULT USED: 2 no. no-ceiling car porch light fittings under current S18 lighting basis</t>
  </si>
  <si>
    <t>DEFAULT USED: local insulation/jointing allowance for exposed car porch lighting work</t>
  </si>
  <si>
    <t>PVC Insulation Tape 18mm x 6yd</t>
  </si>
  <si>
    <t>DEFAULT USED: wall sealer/undercoat allowance for visible low wall finished faces and related painted wall surfaces under S18</t>
  </si>
  <si>
    <t>DEFAULT USED: exterior topcoat allowance for visible low wall/plastered outside faces under S18</t>
  </si>
  <si>
    <t>Weatherflex Base A (White) 18L</t>
  </si>
  <si>
    <t>tong</t>
  </si>
  <si>
    <t>DEFAULT USED: gloss paint allowance for exposed steel/metal supports, frame members and painted support parts under S18</t>
  </si>
  <si>
    <t>S18-LABOUR</t>
  </si>
  <si>
    <t>TH Deck 762 Metal Roofing 0.35mm G28 TCT</t>
  </si>
  <si>
    <t>Additional Car Porch, Parking Slab, Low Wall, Roof and Lighting Works - Ready Mix G25 Option</t>
  </si>
  <si>
    <t>S18 carries the complete ready-mix G25 option for new car porch / parking works</t>
  </si>
  <si>
    <t>S18 includes structure, slab, low wall, double-lean roof, lighting, painting and final basic finishing for the car porch only; no ceiling; plain cement floor finish</t>
  </si>
  <si>
    <t>S18-OPTION</t>
  </si>
  <si>
    <t>Concrete option lock</t>
  </si>
  <si>
    <t>S18 is the ready-mix option and all concrete works under S18 shall use Ready Mix Concrete G25 (Per m3); self-mix alternative will be handled separately under S19</t>
  </si>
  <si>
    <t>S18-DIM</t>
  </si>
  <si>
    <t>Final external size basis</t>
  </si>
  <si>
    <t>DEFAULT USED: final car porch overall size basis = 6706mm x 6096mm based on current owner reference 22ft x 20ft</t>
  </si>
  <si>
    <t>Entry side width basis</t>
  </si>
  <si>
    <t>Main vehicle entry side = 6706mm side and must remain practical for 2-car access with no middle front post</t>
  </si>
  <si>
    <t>Parking slab plan area basis</t>
  </si>
  <si>
    <t>CALC NOTE: 6706mm x 6096mm = 40.89 sqm gross plan area for S18 slab/roof takeoff basis before local deduction/addition</t>
  </si>
  <si>
    <t>New support point count basis</t>
  </si>
  <si>
    <t>DEFAULT USED: use 5 new support points basis for takeoff = 2 points on vehicle entry side and 3 points on the opposite/side support line</t>
  </si>
  <si>
    <t>Footing size basis</t>
  </si>
  <si>
    <t>Use same locked project standard footing pad size</t>
  </si>
  <si>
    <t>900mm x 900mm x 250mm</t>
  </si>
  <si>
    <t>Provide all required new car porch post / column supports based on the confirmed parking layout; side areas may use additional support where needed but the main vehicle entry side should remain minimally obstructed</t>
  </si>
  <si>
    <t>RC column / support size basis</t>
  </si>
  <si>
    <t>Use same locked project standard RC column size</t>
  </si>
  <si>
    <t>150mm x 150mm unless revised later</t>
  </si>
  <si>
    <t>Ground beam standard size</t>
  </si>
  <si>
    <t>Use same locked project standard ground beam size</t>
  </si>
  <si>
    <t>150mm x 250mm</t>
  </si>
  <si>
    <t>Slab build-up rule</t>
  </si>
  <si>
    <t>Reuse existing hard compacted stone base where suitable; provide local top-up / levelling only where needed before slab works</t>
  </si>
  <si>
    <t>Parking slab thickness basis</t>
  </si>
  <si>
    <t>DEFAULT USED: parking slab minimum practical thickness = 125mm general area; vehicle entry / wheel path strengthen basis = 150mm</t>
  </si>
  <si>
    <t>All S18 concrete works use ready mix only</t>
  </si>
  <si>
    <t>Do not use site-mixed concrete under S18</t>
  </si>
  <si>
    <t>Concrete grade lock</t>
  </si>
  <si>
    <t>All S18 concrete works use G25</t>
  </si>
  <si>
    <t>Use Ready Mix Concrete G25 (Per m3) for footing pad, ground beam, column/post support, upper beam and parking slab under this option</t>
  </si>
  <si>
    <t>S18-MATERIAL-STD</t>
  </si>
  <si>
    <t>Slab reinforcement item</t>
  </si>
  <si>
    <t>Use same Description as Materials.txt item</t>
  </si>
  <si>
    <t>Use BRC Mesh A10 2.13m x 6.10m (Normal Spec) 3.2mm</t>
  </si>
  <si>
    <t>Floor finish logic</t>
  </si>
  <si>
    <t>Parking floor finish rule</t>
  </si>
  <si>
    <t>Plain cement concrete finish only; no tile finish and no floor paint</t>
  </si>
  <si>
    <t>Low wall standard height</t>
  </si>
  <si>
    <t>Low wall height basis</t>
  </si>
  <si>
    <t>610mm [2ft]</t>
  </si>
  <si>
    <t>Low wall coverage basis</t>
  </si>
  <si>
    <t>DEFAULT USED: provide low wall to the 6096mm front side plus one 6706mm side only; total low wall length basis = 12.80m</t>
  </si>
  <si>
    <t>Low wall must not be treated as loose free-standing masonry only</t>
  </si>
  <si>
    <t>It must be tied/stiffened by proper support logic such as return end, column/post line, beam tie, or other suitable support arrangement so the wall remains stable and does not easily overturn</t>
  </si>
  <si>
    <t>Low wall includes basic plaster/render finishing</t>
  </si>
  <si>
    <t>Include required visible faces and final paint finish to the visible completed surfaces</t>
  </si>
  <si>
    <t>Upper beam / roof support size basis</t>
  </si>
  <si>
    <t>Use same locked project standard roof beam / upper beam size</t>
  </si>
  <si>
    <t>100mm x 150mm unless revised later</t>
  </si>
  <si>
    <t>Roof configuration lock</t>
  </si>
  <si>
    <t>Use double-lean / stepped roof configuration under current owner decision</t>
  </si>
  <si>
    <t>Do not change S18 to single-lean under the current locked instruction</t>
  </si>
  <si>
    <t>Roof support logic</t>
  </si>
  <si>
    <t>No-ceiling roof rule</t>
  </si>
  <si>
    <t>Roof coverage basis</t>
  </si>
  <si>
    <t>DEFAULT USED: use same gross car porch roof plan basis = 40.89 sqm before overlap and wastage</t>
  </si>
  <si>
    <t>Car porch light point count basis</t>
  </si>
  <si>
    <t>DEFAULT USED: use 2 no. light points for the car porch under no-ceiling condition unless owner revises later</t>
  </si>
  <si>
    <t>Car porch switch basis</t>
  </si>
  <si>
    <t>DEFAULT USED: use 1 no. switch point for car porch lighting unless owner revises later</t>
  </si>
  <si>
    <t>CALC NOTE: all S18 concrete works now locked to ready-mix G25; combined footing, ground beam, column/post support, slab and upper beam basis under current S18 option</t>
  </si>
  <si>
    <t>S18-CONCRETE</t>
  </si>
  <si>
    <t>DEFAULT USED: main reinforcement allowance for footing, beam, post support and upper support members under S18</t>
  </si>
  <si>
    <t>DEFAULT USED: link/stirrup reinforcement allowance for footing, beam, post support and upper support members under S18</t>
  </si>
  <si>
    <t>DEFAULT USED: tying wire allowance for S18 reinforcement fixing</t>
  </si>
  <si>
    <t>GI Wire 20#</t>
  </si>
  <si>
    <t>DEFAULT USED: local side and soffit formwork allowance for footing, beam, post support and low-wall support shaping under S18</t>
  </si>
  <si>
    <t>DEFAULT USED: low wall masonry basis for 12.80m x 0.61m low wall under S18</t>
  </si>
  <si>
    <t>Cement Bricks</t>
  </si>
  <si>
    <t>DEFAULT USED: cement allowance for low wall mortar and basic plaster/render finishing under S18</t>
  </si>
  <si>
    <t>Cement 50kg Bag</t>
  </si>
  <si>
    <t>DEFAULT USED: sand allowance for low wall mortar and basic plaster/render finishing under S18</t>
  </si>
  <si>
    <t>DEFAULT USED: primary wide-span light roof frame member for the 22ft entry-side car porch span</t>
  </si>
  <si>
    <t>DEFAULT USED: secondary light roof frame allowance for side and return framing under lightweight double-lean metal deck roof</t>
  </si>
  <si>
    <t>CALC NOTE: main light-duty metal deck covering basis for 40.89 sqm double-lean car porch roof plan converted to FT-RUN with normal overlap/wastage allowance</t>
  </si>
  <si>
    <t>DEFAULT USED: roof-to-wall and exposed edge flashing allowance for double-lean car porch roof</t>
  </si>
  <si>
    <t>DEFAULT USED: stepped/overlap flashing allowance where high and low roof portions meet under double-lean configuration</t>
  </si>
  <si>
    <t>DEFAULT USED: roofing fixing screw allowance for light roof frame, batten and metal deck under S18</t>
  </si>
  <si>
    <t>DEFAULT USED: exposed/no-ceiling car porch lighting circuit material allowance - live core</t>
  </si>
  <si>
    <t>DEFAULT USED: exposed/no-ceiling car porch lighting circuit material allowance - earth core</t>
  </si>
  <si>
    <t>DEFAULT USED: exposed/no-ceiling car porch lighting circuit material allowance - switched/live core</t>
  </si>
  <si>
    <t>CALC NOTE: base MH 52 for setting-out, footing/beam/post support work, slab work, low wall, double-lean roof frame + metal deck + flashing, no-ceiling lighting, painting and final touch-up; medium-work formula 52/0.65 x 1.20 x 1.15 = 110.40 rounded</t>
  </si>
  <si>
    <t>S19-TITLE</t>
  </si>
  <si>
    <t>Additional Car Porch, Parking Slab, Low Wall, Roof and Lighting Works - Self-Mix Option</t>
  </si>
  <si>
    <t>New additional car porch / parking works connected to the existing house compound as a separate added scope after S01-S18</t>
  </si>
  <si>
    <t>S19-OVERVIEW</t>
  </si>
  <si>
    <t>S19 carries the complete self-mix option for new car porch / parking works</t>
  </si>
  <si>
    <t>S19 includes structure, slab, low wall, double-lean roof, lighting, painting and final basic finishing for the car porch only; no ceiling; plain cement floor finish</t>
  </si>
  <si>
    <t>S19-OPTION</t>
  </si>
  <si>
    <t>S19 is the site-mixed concrete option and all concrete works under S19 shall use cement + sand + aggregate self-mix basis; ready-mix alternative is handled separately under S18</t>
  </si>
  <si>
    <t>S19-WORK-ZONE</t>
  </si>
  <si>
    <t>S19-REF-EXISTING</t>
  </si>
  <si>
    <t>S19-USER-INPUT</t>
  </si>
  <si>
    <t>Low wall is included under S19 and must include required basic finishing and paint where visible; all required exposed supports and surfaces that should be painted must be painted</t>
  </si>
  <si>
    <t>No gutter is included under S19 at this stage</t>
  </si>
  <si>
    <t>S19-METHOD</t>
  </si>
  <si>
    <t>S19 work shall follow logical sequence: setting out, local base adjustment, footing pad, column/post support, ground beam, slab, low wall, upper beam, roof frame, roof covering, lighting, painting and final touch-up</t>
  </si>
  <si>
    <t>S19-SETTING-OUT</t>
  </si>
  <si>
    <t>S19-DIM</t>
  </si>
  <si>
    <t>CALC NOTE: 6706mm x 6096mm = 40.89 sqm gross plan area for S19 slab/roof takeoff basis before local deduction/addition</t>
  </si>
  <si>
    <t>S19-LEVEL</t>
  </si>
  <si>
    <t>S19-STRUCTURE-LOGIC</t>
  </si>
  <si>
    <t>S19-FOOTING</t>
  </si>
  <si>
    <t>S19-COLUMN</t>
  </si>
  <si>
    <t>S19-GROUND-BEAM</t>
  </si>
  <si>
    <t>S19-SLAB</t>
  </si>
  <si>
    <t>Shared equipment exclusion</t>
  </si>
  <si>
    <t>Cement mixer and scaffolding are shared costs already carried under S01 and must not be duplicated in S19</t>
  </si>
  <si>
    <t>S19-MATERIAL-STD</t>
  </si>
  <si>
    <t>Concrete cement item</t>
  </si>
  <si>
    <t>Concrete sand item</t>
  </si>
  <si>
    <t>Concrete aggregate item</t>
  </si>
  <si>
    <t>Self-mix ratio basis</t>
  </si>
  <si>
    <t>S19-LOW-WALL</t>
  </si>
  <si>
    <t>S19-UPPER-BEAM</t>
  </si>
  <si>
    <t>S19-ROOF</t>
  </si>
  <si>
    <t>Since there is no ceiling under S19, the roof structure and all visible exposed support elements must be treated as exposed finish work where relevant</t>
  </si>
  <si>
    <t>Do not include gutter under S19 at this stage unless user revises later</t>
  </si>
  <si>
    <t>S19-ELECTRICAL</t>
  </si>
  <si>
    <t>S19-PAINT</t>
  </si>
  <si>
    <t>S19-LABOUR</t>
  </si>
  <si>
    <t>Labour basis lock</t>
  </si>
  <si>
    <t>S19-FINAL</t>
  </si>
  <si>
    <t>S19-TAKEOFF-RULE</t>
  </si>
  <si>
    <t>S19 takeoff readiness rule</t>
  </si>
  <si>
    <t>After S19 SPEC A:C is confirmed complete, takeoff for materials, labour and service shall follow exact master-list item names and exact chargeable scope only</t>
  </si>
  <si>
    <t>Use same locked project standard footing pad size = 900mm x 900mm x 250mm</t>
  </si>
  <si>
    <t>Use same locked project standard RC column size = 150mm x 150mm unless revised later</t>
  </si>
  <si>
    <t>Use same locked project standard ground beam size = 150mm x 250mm</t>
  </si>
  <si>
    <t>All S19 concrete works use site-mixed concrete only; do not use ready-mix concrete under S19</t>
  </si>
  <si>
    <t>Self-mix option uses cement + sand + aggregate for footing pad, ground beam, column/post support, parking slab and upper beam concrete under this option</t>
  </si>
  <si>
    <t>Self-mix allows staged batching and smaller pours on site; no crane is required under S19</t>
  </si>
  <si>
    <t>DEFAULT USED: use nominal 1:2:4 concrete mix with dry volume factor 1.54 unless revised later</t>
  </si>
  <si>
    <t>Parking floor finish rule = plain cement concrete finish only; no tile finish and no floor paint</t>
  </si>
  <si>
    <t>Low wall height basis = 610mm [2ft]</t>
  </si>
  <si>
    <t>Low wall must not be treated as loose free-standing masonry only; it must be tied/stiffened by proper support logic such as return end, column/post line, beam tie, or other suitable support arrangement so the wall remains stable and does not easily overturn</t>
  </si>
  <si>
    <t>Low wall includes basic plaster/render finishing to required visible faces and final paint finish to the visible completed surfaces</t>
  </si>
  <si>
    <t>Use same locked project standard roof beam / upper beam size = 100mm x 150mm unless revised later</t>
  </si>
  <si>
    <t>Use double-lean / stepped roof configuration under current owner decision; do not change S19 to single-lean under the current locked instruction</t>
  </si>
  <si>
    <t>Use skilled-worker basis only; no helper is used under current project labour rule</t>
  </si>
  <si>
    <t>CALC NOTE: local sand blinding allowance over reused base before self-mix slab pour</t>
  </si>
  <si>
    <t>CALC NOTE: combined S19 self-mix concrete basis 7.81 m3 using nominal 1:2:4 ratio with dry volume factor 1.54; concrete cement component plus low-wall mortar/plaster allowance</t>
  </si>
  <si>
    <t>S19-CONCRETE</t>
  </si>
  <si>
    <t>CALC NOTE: combined S19 self-mix concrete basis 7.81 m3 using nominal 1:2:4 ratio with dry volume factor 1.54; concrete sand component plus low-wall mortar/plaster allowance</t>
  </si>
  <si>
    <t>CALC NOTE: combined S19 self-mix concrete basis 7.81 m3 using nominal 1:2:4 ratio with dry volume factor 1.54; aggregate component for self-mix concrete</t>
  </si>
  <si>
    <t>DEFAULT USED: main reinforcement allowance for footing, beam, post support and upper support members under S19</t>
  </si>
  <si>
    <t>S19-STRUCTURE</t>
  </si>
  <si>
    <t>DEFAULT USED: link/stirrup reinforcement allowance for footing, beam, post support and upper support members under S19</t>
  </si>
  <si>
    <t>DEFAULT USED: tying wire allowance for S19 reinforcement fixing</t>
  </si>
  <si>
    <t>DEFAULT USED: local side and soffit formwork allowance for footing, beam, post support and low-wall support shaping under S19</t>
  </si>
  <si>
    <t>DEFAULT USED: low wall masonry basis for 12.80m x 0.61m low wall under S19</t>
  </si>
  <si>
    <t>DEFAULT USED: roofing fixing screw allowance for light roof frame, batten and metal deck under S19</t>
  </si>
  <si>
    <t>DEFAULT USED: 2 no. no-ceiling car porch light fittings under current S19 lighting basis</t>
  </si>
  <si>
    <t>DEFAULT USED: wall sealer/undercoat allowance for visible low wall finished faces and related painted wall surfaces under S19</t>
  </si>
  <si>
    <t>DEFAULT USED: exterior topcoat allowance for visible low wall/plastered outside faces under S19</t>
  </si>
  <si>
    <t>DEFAULT USED: gloss paint allowance for exposed steel/metal supports, frame members and painted support parts under S19</t>
  </si>
  <si>
    <t>CALC NOTE: self-mix MH is higher than ready-mix because S19 includes batching, mixer feeding, material handling, staged pouring, placing and finishing in addition to the same footing/beam/post/slab/low-wall/roof/light/paint scope; base MH 64 under medium-work formula 64/0.65 x 1.20 x 1.15 = 135.88 rounded</t>
  </si>
  <si>
    <t>S19</t>
  </si>
  <si>
    <t>Check</t>
  </si>
  <si>
    <t>All</t>
  </si>
  <si>
    <t>MATERIALS row 20</t>
  </si>
  <si>
    <t>MATERIALS row 70</t>
  </si>
  <si>
    <t>MATERIALS row 79</t>
  </si>
  <si>
    <t>MATERIALS row 109</t>
  </si>
  <si>
    <t>RENTAL / SERVICE row 3</t>
  </si>
  <si>
    <t>S09</t>
  </si>
  <si>
    <t>Qty High To Low</t>
  </si>
  <si>
    <t>cement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</si>
</sst>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name val="Calibri"/>
      <family val="2"/>
      <scheme val="minor"/>
    </font>
    <font>
      <b/>
      <sz val="11"/>
      <color theme="1"/>
      <name val="Calibri"/>
      <family val="2"/>
      <scheme val="minor"/>
    </font>
  </fonts>
  <fills count="9">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43">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0" fillId="5" borderId="0" xfId="0" applyFill="1"/>
    <xf numFmtId="0" fontId="0" fillId="0" borderId="0" xfId="0" applyAlignment="1">
      <alignment horizontal="right" vertical="center"/>
    </xf>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2" xfId="0" applyBorder="1" applyAlignment="1">
      <alignment vertical="center"/>
    </xf>
    <xf numFmtId="0" fontId="0" fillId="2" borderId="0" xfId="0"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right" vertical="center"/>
    </xf>
    <xf numFmtId="0" fontId="0" fillId="7" borderId="0" xfId="0" applyFill="1"/>
    <xf numFmtId="4" fontId="0" fillId="7" borderId="0" xfId="0" applyNumberFormat="1" applyFill="1"/>
    <xf numFmtId="0" fontId="0" fillId="6" borderId="1" xfId="0" applyFill="1" applyBorder="1" applyAlignment="1">
      <alignment horizontal="center" vertical="center"/>
    </xf>
    <xf numFmtId="0" fontId="0" fillId="0" borderId="0" xfId="0" applyAlignment="1">
      <alignment horizontal="left" vertical="center"/>
    </xf>
    <xf numFmtId="0" fontId="0" fillId="0" borderId="1" xfId="0"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center"/>
    </xf>
    <xf numFmtId="0" fontId="0" fillId="2" borderId="0" xfId="0" applyFill="1" applyAlignment="1">
      <alignment horizontal="right" vertical="center"/>
    </xf>
    <xf numFmtId="0" fontId="0" fillId="8" borderId="0" xfId="0" applyFill="1" applyAlignment="1">
      <alignment horizontal="center" vertical="center"/>
    </xf>
    <xf numFmtId="0" fontId="0" fillId="8" borderId="0" xfId="0" applyFill="1" applyAlignment="1">
      <alignment horizontal="center"/>
    </xf>
    <xf numFmtId="4" fontId="0" fillId="8" borderId="0" xfId="0" applyNumberFormat="1" applyFill="1"/>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HOME-SERVER\k\Client%20Sharing%20Storage\KERJA\QUOTATION\belum%20quote\WClient%20Banting%201122%20-%20Puan%20Sal%20Raduan\2026-03-27%20-%20EXTAND\2026-02-18%20BOQ%20-%20Copy.xlsm" TargetMode="External"/><Relationship Id="rId1" Type="http://schemas.openxmlformats.org/officeDocument/2006/relationships/externalLinkPath" Target="2026-02-18%20BOQ%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Helper"/>
      <sheetName val="Purchase"/>
      <sheetName val="Search"/>
      <sheetName val="Button"/>
      <sheetName val="README"/>
      <sheetName val="ProcurementHelper"/>
      <sheetName val="Procurement"/>
      <sheetName val="Summary"/>
      <sheetName val="S01"/>
      <sheetName val="S02"/>
      <sheetName val="S03"/>
      <sheetName val="S04"/>
      <sheetName val="S05"/>
      <sheetName val="S06"/>
      <sheetName val="S07"/>
      <sheetName val="S08"/>
      <sheetName val="S09"/>
      <sheetName val="S10"/>
      <sheetName val="S11"/>
      <sheetName val="S12"/>
      <sheetName val="S13"/>
      <sheetName val="S14"/>
      <sheetName val="S15"/>
      <sheetName val="S16"/>
      <sheetName val="S17"/>
      <sheetName val="_SummaryBackup"/>
    </sheetNames>
    <sheetDataSet>
      <sheetData sheetId="0">
        <row r="2">
          <cell r="A2" t="str">
            <v>MATERIALS</v>
          </cell>
          <cell r="B2" t="str">
            <v>Plastic Tarpaulin Sheet 12 x 18ft</v>
          </cell>
          <cell r="C2" t="str">
            <v>PCS</v>
          </cell>
          <cell r="G2">
            <v>2</v>
          </cell>
        </row>
        <row r="3">
          <cell r="A3" t="str">
            <v>MATERIALS</v>
          </cell>
          <cell r="B3" t="str">
            <v>Poly Rope 6mm Blue</v>
          </cell>
          <cell r="C3" t="str">
            <v>ROLL</v>
          </cell>
          <cell r="G3">
            <v>1</v>
          </cell>
        </row>
        <row r="4">
          <cell r="A4" t="str">
            <v>MATERIALS</v>
          </cell>
          <cell r="B4" t="str">
            <v>Talc Chalk</v>
          </cell>
          <cell r="C4" t="str">
            <v>PCS</v>
          </cell>
          <cell r="G4">
            <v>1</v>
          </cell>
        </row>
        <row r="5">
          <cell r="A5" t="str">
            <v>LABOUR</v>
          </cell>
          <cell r="B5" t="str">
            <v>Labour - Skilled Worker (Per MH)</v>
          </cell>
          <cell r="C5" t="str">
            <v>MH</v>
          </cell>
          <cell r="G5">
            <v>14</v>
          </cell>
        </row>
        <row r="6">
          <cell r="A6" t="str">
            <v>RENTAL / SERVICE</v>
          </cell>
          <cell r="B6" t="str">
            <v>Cement Mixer Rental - Month 1 (Per Month)</v>
          </cell>
          <cell r="C6" t="str">
            <v>MONTH</v>
          </cell>
          <cell r="G6">
            <v>1</v>
          </cell>
        </row>
        <row r="7">
          <cell r="A7" t="str">
            <v>RENTAL / SERVICE</v>
          </cell>
          <cell r="B7" t="str">
            <v>Cement Mixer Rental - Month 2 Onwards (Per Month)</v>
          </cell>
          <cell r="C7" t="str">
            <v>MONTH</v>
          </cell>
          <cell r="G7">
            <v>1</v>
          </cell>
        </row>
        <row r="8">
          <cell r="A8" t="str">
            <v>RENTAL / SERVICE</v>
          </cell>
          <cell r="B8" t="str">
            <v>Scaffolding Bay Set (Used) 1.7m(H) x 0.9m(W) incl 1 Platform (Per Month). Deposit RM195/set refundable.</v>
          </cell>
          <cell r="C8" t="str">
            <v>SET</v>
          </cell>
          <cell r="G8">
            <v>60</v>
          </cell>
        </row>
        <row r="9">
          <cell r="A9" t="str">
            <v>LABOUR</v>
          </cell>
          <cell r="B9" t="str">
            <v>Labour - Skilled Worker (Per MH)</v>
          </cell>
          <cell r="C9" t="str">
            <v>MH</v>
          </cell>
          <cell r="G9">
            <v>100</v>
          </cell>
        </row>
        <row r="10">
          <cell r="A10" t="str">
            <v>MATERIALS</v>
          </cell>
          <cell r="B10" t="str">
            <v>Crusher Run (10-Wheel Truck)</v>
          </cell>
          <cell r="C10" t="str">
            <v>TRIP</v>
          </cell>
          <cell r="G10">
            <v>0.26</v>
          </cell>
        </row>
        <row r="11">
          <cell r="A11" t="str">
            <v>MATERIALS</v>
          </cell>
          <cell r="B11" t="str">
            <v>Fine Sand (10-Wheel Truck)</v>
          </cell>
          <cell r="C11" t="str">
            <v>TRIP</v>
          </cell>
          <cell r="G11">
            <v>0.05</v>
          </cell>
        </row>
        <row r="12">
          <cell r="A12" t="str">
            <v>MATERIALS</v>
          </cell>
          <cell r="B12" t="str">
            <v>DPM PE 0.20mm</v>
          </cell>
          <cell r="C12" t="str">
            <v>ROLL</v>
          </cell>
          <cell r="G12">
            <v>1</v>
          </cell>
        </row>
        <row r="13">
          <cell r="A13" t="str">
            <v>MATERIALS</v>
          </cell>
          <cell r="B13" t="str">
            <v>BRC Mesh A10 2.13m x 6.10m (Normal Spec) 3.2mm</v>
          </cell>
          <cell r="C13" t="str">
            <v>PCS</v>
          </cell>
          <cell r="G13">
            <v>4.41</v>
          </cell>
        </row>
        <row r="14">
          <cell r="A14" t="str">
            <v>MATERIALS</v>
          </cell>
          <cell r="B14" t="str">
            <v>Ready Mix Concrete G20 (Per m3)</v>
          </cell>
          <cell r="C14" t="str">
            <v>M3</v>
          </cell>
          <cell r="G14">
            <v>5.2</v>
          </cell>
        </row>
        <row r="15">
          <cell r="A15" t="str">
            <v>MATERIALS</v>
          </cell>
          <cell r="B15" t="str">
            <v>Crusher Run (10-Wheel Truck)</v>
          </cell>
          <cell r="C15" t="str">
            <v>TRIP</v>
          </cell>
          <cell r="G15">
            <v>0.08</v>
          </cell>
        </row>
        <row r="16">
          <cell r="A16" t="str">
            <v>MATERIALS</v>
          </cell>
          <cell r="B16" t="str">
            <v>Fine Sand (10-Wheel Truck)</v>
          </cell>
          <cell r="C16" t="str">
            <v>TRIP</v>
          </cell>
          <cell r="G16">
            <v>0.02</v>
          </cell>
        </row>
        <row r="17">
          <cell r="A17" t="str">
            <v>MATERIALS</v>
          </cell>
          <cell r="B17" t="str">
            <v>BRC Mesh A10 2.13m x 6.10m (Normal Spec) 3.2mm</v>
          </cell>
          <cell r="C17" t="str">
            <v>PCS</v>
          </cell>
          <cell r="G17">
            <v>1.33</v>
          </cell>
        </row>
        <row r="18">
          <cell r="A18" t="str">
            <v>MATERIALS</v>
          </cell>
          <cell r="B18" t="str">
            <v>Ready Mix Concrete G20 (Per m3)</v>
          </cell>
          <cell r="C18" t="str">
            <v>M3</v>
          </cell>
          <cell r="G18">
            <v>1.57</v>
          </cell>
        </row>
        <row r="19">
          <cell r="A19" t="str">
            <v>MATERIALS</v>
          </cell>
          <cell r="B19" t="str">
            <v>SIKA Curing Compound Antisol E 20.00L</v>
          </cell>
          <cell r="C19" t="str">
            <v>PAIL</v>
          </cell>
          <cell r="G19">
            <v>1</v>
          </cell>
        </row>
        <row r="20">
          <cell r="A20" t="str">
            <v>LABOUR</v>
          </cell>
          <cell r="B20" t="str">
            <v>Labour - Skilled Worker (Per MH)</v>
          </cell>
          <cell r="C20" t="str">
            <v>MH</v>
          </cell>
          <cell r="G20">
            <v>81</v>
          </cell>
        </row>
        <row r="21">
          <cell r="A21" t="str">
            <v>RENTAL / SERVICE</v>
          </cell>
          <cell r="B21" t="str">
            <v>Crane Hire - Standard (Per Day)</v>
          </cell>
          <cell r="C21" t="str">
            <v>DAY</v>
          </cell>
          <cell r="G21">
            <v>1</v>
          </cell>
        </row>
        <row r="22">
          <cell r="A22" t="str">
            <v>MATERIALS</v>
          </cell>
          <cell r="B22" t="str">
            <v>Ready Mix Concrete G25 (Per m3)</v>
          </cell>
          <cell r="C22" t="str">
            <v>M3</v>
          </cell>
          <cell r="G22">
            <v>0.45</v>
          </cell>
        </row>
        <row r="23">
          <cell r="A23" t="str">
            <v>MATERIALS</v>
          </cell>
          <cell r="B23" t="str">
            <v>Ready Mix Concrete G25 (Per m3)</v>
          </cell>
          <cell r="C23" t="str">
            <v>M3</v>
          </cell>
          <cell r="G23">
            <v>4.0999999999999996</v>
          </cell>
        </row>
        <row r="24">
          <cell r="A24" t="str">
            <v>MATERIALS</v>
          </cell>
          <cell r="B24" t="str">
            <v>MS Deformed Bar Y12 12.00m</v>
          </cell>
          <cell r="C24" t="str">
            <v>BAR</v>
          </cell>
          <cell r="G24">
            <v>29.400000000000002</v>
          </cell>
        </row>
        <row r="25">
          <cell r="A25" t="str">
            <v>MATERIALS</v>
          </cell>
          <cell r="B25" t="str">
            <v>MS Round Bar R6 12.00m</v>
          </cell>
          <cell r="C25" t="str">
            <v>BAR</v>
          </cell>
          <cell r="G25">
            <v>13.65</v>
          </cell>
        </row>
        <row r="26">
          <cell r="A26" t="str">
            <v>MATERIALS</v>
          </cell>
          <cell r="B26" t="str">
            <v>Plywood 9mm 4ft x 8ft</v>
          </cell>
          <cell r="C26" t="str">
            <v>SHEET</v>
          </cell>
          <cell r="G26">
            <v>12.600000000000001</v>
          </cell>
        </row>
        <row r="27">
          <cell r="A27" t="str">
            <v>MATERIALS</v>
          </cell>
          <cell r="B27" t="str">
            <v>Mixed Timber 2" x 3" x 10ft (Grade A)</v>
          </cell>
          <cell r="C27" t="str">
            <v>LTH</v>
          </cell>
          <cell r="G27">
            <v>21</v>
          </cell>
        </row>
        <row r="28">
          <cell r="A28" t="str">
            <v>MATERIALS</v>
          </cell>
          <cell r="B28" t="str">
            <v>SIKA Curing Compound Antisol E 20.00L</v>
          </cell>
          <cell r="C28" t="str">
            <v>PAIL</v>
          </cell>
          <cell r="G28">
            <v>1</v>
          </cell>
        </row>
        <row r="29">
          <cell r="A29" t="str">
            <v>LABOUR</v>
          </cell>
          <cell r="B29" t="str">
            <v>Labour - Skilled Worker (Per MH)</v>
          </cell>
          <cell r="C29" t="str">
            <v>MH</v>
          </cell>
          <cell r="G29">
            <v>141</v>
          </cell>
        </row>
        <row r="30">
          <cell r="A30" t="str">
            <v>RENTAL / SERVICE</v>
          </cell>
          <cell r="B30" t="str">
            <v>Crane Hire - Standard (Per Day)</v>
          </cell>
          <cell r="C30" t="str">
            <v>DAY</v>
          </cell>
          <cell r="G30">
            <v>1</v>
          </cell>
        </row>
        <row r="31">
          <cell r="A31" t="str">
            <v>MATERIALS</v>
          </cell>
          <cell r="B31" t="str">
            <v>Ready Mix Concrete G25 (Per m3)</v>
          </cell>
          <cell r="C31" t="str">
            <v>M3</v>
          </cell>
          <cell r="G31">
            <v>1.5</v>
          </cell>
        </row>
        <row r="32">
          <cell r="A32" t="str">
            <v>MATERIALS</v>
          </cell>
          <cell r="B32" t="str">
            <v>MS Deformed Bar Y12 12.00m</v>
          </cell>
          <cell r="C32" t="str">
            <v>BAR</v>
          </cell>
          <cell r="G32">
            <v>12.600000000000001</v>
          </cell>
        </row>
        <row r="33">
          <cell r="A33" t="str">
            <v>MATERIALS</v>
          </cell>
          <cell r="B33" t="str">
            <v>MS Deformed Bar Y10 12.00m (Main Bars)</v>
          </cell>
          <cell r="C33" t="str">
            <v>BAR</v>
          </cell>
          <cell r="G33">
            <v>17.850000000000001</v>
          </cell>
        </row>
        <row r="34">
          <cell r="A34" t="str">
            <v>MATERIALS</v>
          </cell>
          <cell r="B34" t="str">
            <v>MS Round Bar R6 12.00m</v>
          </cell>
          <cell r="C34" t="str">
            <v>BAR</v>
          </cell>
          <cell r="G34">
            <v>17.850000000000001</v>
          </cell>
        </row>
        <row r="35">
          <cell r="A35" t="str">
            <v>MATERIALS</v>
          </cell>
          <cell r="B35" t="str">
            <v>Plywood 9mm 4ft x 8ft</v>
          </cell>
          <cell r="C35" t="str">
            <v>SHEET</v>
          </cell>
          <cell r="G35">
            <v>14.700000000000001</v>
          </cell>
        </row>
        <row r="36">
          <cell r="A36" t="str">
            <v>MATERIALS</v>
          </cell>
          <cell r="B36" t="str">
            <v>Mixed Timber 2" x 3" x 10ft (Grade A)</v>
          </cell>
          <cell r="C36" t="str">
            <v>LTH</v>
          </cell>
          <cell r="G36">
            <v>25.200000000000003</v>
          </cell>
        </row>
        <row r="37">
          <cell r="A37" t="str">
            <v>MATERIALS</v>
          </cell>
          <cell r="B37" t="str">
            <v>SIKA Curing Compound Antisol E 20.00L</v>
          </cell>
          <cell r="C37" t="str">
            <v>PAIL</v>
          </cell>
          <cell r="G37">
            <v>1</v>
          </cell>
        </row>
        <row r="38">
          <cell r="A38" t="str">
            <v>LABOUR</v>
          </cell>
          <cell r="B38" t="str">
            <v>Labour - Skilled Worker (Per MH)</v>
          </cell>
          <cell r="C38" t="str">
            <v>MH</v>
          </cell>
          <cell r="G38">
            <v>110</v>
          </cell>
        </row>
        <row r="39">
          <cell r="A39" t="str">
            <v>MATERIALS</v>
          </cell>
          <cell r="B39" t="str">
            <v>PVC Pipe Class 6 Dia15.00mm (1/2") x 5.80m/Length</v>
          </cell>
          <cell r="C39" t="str">
            <v>LTH</v>
          </cell>
          <cell r="G39">
            <v>4.2</v>
          </cell>
        </row>
        <row r="40">
          <cell r="A40" t="str">
            <v>MATERIALS</v>
          </cell>
          <cell r="B40" t="str">
            <v>PVC P/T Socket Brass Thread 1/2"</v>
          </cell>
          <cell r="C40" t="str">
            <v>PCS</v>
          </cell>
          <cell r="G40">
            <v>5.25</v>
          </cell>
        </row>
        <row r="41">
          <cell r="A41" t="str">
            <v>MATERIALS</v>
          </cell>
          <cell r="B41" t="str">
            <v>Brass Stop Cock 1/2"</v>
          </cell>
          <cell r="C41" t="str">
            <v>PCS</v>
          </cell>
          <cell r="G41">
            <v>2</v>
          </cell>
        </row>
        <row r="42">
          <cell r="A42" t="str">
            <v>MATERIALS</v>
          </cell>
          <cell r="B42" t="str">
            <v>Brass Garden Bib Tap 1/2"</v>
          </cell>
          <cell r="C42" t="str">
            <v>PCS</v>
          </cell>
          <cell r="G42">
            <v>1</v>
          </cell>
        </row>
        <row r="43">
          <cell r="A43" t="str">
            <v>MATERIALS</v>
          </cell>
          <cell r="B43" t="str">
            <v>UPVC Pipe With SIRIM (2") x 5.8m</v>
          </cell>
          <cell r="C43" t="str">
            <v>PCS</v>
          </cell>
          <cell r="G43">
            <v>3.1500000000000004</v>
          </cell>
        </row>
        <row r="44">
          <cell r="A44" t="str">
            <v>MATERIALS</v>
          </cell>
          <cell r="B44" t="str">
            <v>PVC Fitting Double End Socket 50mm (2")</v>
          </cell>
          <cell r="C44" t="str">
            <v>PCS</v>
          </cell>
          <cell r="G44">
            <v>6.3000000000000007</v>
          </cell>
        </row>
        <row r="45">
          <cell r="A45" t="str">
            <v>MATERIALS</v>
          </cell>
          <cell r="B45" t="str">
            <v>Yessy Tile Floor Trap</v>
          </cell>
          <cell r="C45" t="str">
            <v>PCS</v>
          </cell>
          <cell r="G45">
            <v>1</v>
          </cell>
        </row>
        <row r="46">
          <cell r="A46" t="str">
            <v>MATERIALS</v>
          </cell>
          <cell r="B46" t="str">
            <v>Basin Waste 11/4"</v>
          </cell>
          <cell r="C46" t="str">
            <v>PCS</v>
          </cell>
          <cell r="G46">
            <v>1</v>
          </cell>
        </row>
        <row r="47">
          <cell r="A47" t="str">
            <v>MATERIALS</v>
          </cell>
          <cell r="B47" t="str">
            <v>Bottle Trap PVC 11/4" 32mm Blue/green</v>
          </cell>
          <cell r="C47" t="str">
            <v>PCS</v>
          </cell>
          <cell r="G47">
            <v>1</v>
          </cell>
        </row>
        <row r="48">
          <cell r="A48" t="str">
            <v>MATERIALS</v>
          </cell>
          <cell r="B48" t="str">
            <v>UPVC Pipe With SIRIM (4") x 5.8m</v>
          </cell>
          <cell r="C48" t="str">
            <v>PCS</v>
          </cell>
          <cell r="G48">
            <v>2.1</v>
          </cell>
        </row>
        <row r="49">
          <cell r="A49" t="str">
            <v>MATERIALS</v>
          </cell>
          <cell r="B49" t="str">
            <v>PVC Fitting Double End Socket 100mm (4")</v>
          </cell>
          <cell r="C49" t="str">
            <v>PCS</v>
          </cell>
          <cell r="G49">
            <v>2.1</v>
          </cell>
        </row>
        <row r="50">
          <cell r="A50" t="str">
            <v>MATERIALS</v>
          </cell>
          <cell r="B50" t="str">
            <v>Long Bend 4"</v>
          </cell>
          <cell r="C50" t="str">
            <v>PKT</v>
          </cell>
          <cell r="G50">
            <v>1</v>
          </cell>
        </row>
        <row r="51">
          <cell r="A51" t="str">
            <v>MATERIALS</v>
          </cell>
          <cell r="B51" t="str">
            <v>PVC Solvent Cement Glue 500g (Arrow, Orange)</v>
          </cell>
          <cell r="C51" t="str">
            <v>PCS</v>
          </cell>
          <cell r="G51">
            <v>1</v>
          </cell>
        </row>
        <row r="52">
          <cell r="A52" t="str">
            <v>LABOUR</v>
          </cell>
          <cell r="B52" t="str">
            <v>Labour - Skilled Worker (Per MH)</v>
          </cell>
          <cell r="C52" t="str">
            <v>MH</v>
          </cell>
          <cell r="G52">
            <v>64</v>
          </cell>
        </row>
        <row r="53">
          <cell r="A53" t="str">
            <v>MATERIALS</v>
          </cell>
          <cell r="B53" t="str">
            <v>MS SHS Square Hollow 2" 1.6mm x 6m</v>
          </cell>
          <cell r="C53" t="str">
            <v>LTH</v>
          </cell>
          <cell r="G53">
            <v>16.8</v>
          </cell>
        </row>
        <row r="54">
          <cell r="A54" t="str">
            <v>MATERIALS</v>
          </cell>
          <cell r="B54" t="str">
            <v>GI Batten 32.00mm x 40.00mm x 0.42mm x 6.00m</v>
          </cell>
          <cell r="C54" t="str">
            <v>PCS</v>
          </cell>
          <cell r="G54">
            <v>27.3</v>
          </cell>
        </row>
        <row r="55">
          <cell r="A55" t="str">
            <v>MATERIALS</v>
          </cell>
          <cell r="B55" t="str">
            <v>TH Deck 762 Metal Roofing 0.47mm G26 TCT</v>
          </cell>
          <cell r="C55" t="str">
            <v>FT-RUN</v>
          </cell>
          <cell r="G55">
            <v>1005.9000000000001</v>
          </cell>
        </row>
        <row r="56">
          <cell r="A56" t="str">
            <v>MATERIALS</v>
          </cell>
          <cell r="B56" t="str">
            <v>Hex Self-Drilling Screw DS525HW 10# x 1"</v>
          </cell>
          <cell r="C56" t="str">
            <v>PCS</v>
          </cell>
          <cell r="G56">
            <v>1260</v>
          </cell>
        </row>
        <row r="57">
          <cell r="A57" t="str">
            <v>MATERIALS</v>
          </cell>
          <cell r="B57" t="str">
            <v>Flashing #30 12" x 8.00ft</v>
          </cell>
          <cell r="C57" t="str">
            <v>PCS</v>
          </cell>
          <cell r="G57">
            <v>10.5</v>
          </cell>
        </row>
        <row r="58">
          <cell r="A58" t="str">
            <v>MATERIALS</v>
          </cell>
          <cell r="B58" t="str">
            <v>Butyl Flashing Tape 50.00mm x 5.00m</v>
          </cell>
          <cell r="C58" t="str">
            <v>ROLL</v>
          </cell>
          <cell r="G58">
            <v>3.1500000000000004</v>
          </cell>
        </row>
        <row r="59">
          <cell r="A59" t="str">
            <v>MATERIALS</v>
          </cell>
          <cell r="B59" t="str">
            <v>0.47mm TCT Gutter Pre-Painted 18" Girth x 8ft</v>
          </cell>
          <cell r="C59" t="str">
            <v>LTH</v>
          </cell>
          <cell r="G59">
            <v>8.4</v>
          </cell>
        </row>
        <row r="60">
          <cell r="A60" t="str">
            <v>MATERIALS</v>
          </cell>
          <cell r="B60" t="str">
            <v>25mm x 4.5mm THK External Bracket</v>
          </cell>
          <cell r="C60" t="str">
            <v>PCS</v>
          </cell>
          <cell r="G60">
            <v>25.200000000000003</v>
          </cell>
        </row>
        <row r="61">
          <cell r="A61" t="str">
            <v>MATERIALS</v>
          </cell>
          <cell r="B61" t="str">
            <v>4" Dia Outlet</v>
          </cell>
          <cell r="C61" t="str">
            <v>PCS</v>
          </cell>
          <cell r="G61">
            <v>4</v>
          </cell>
        </row>
        <row r="62">
          <cell r="A62" t="str">
            <v>MATERIALS</v>
          </cell>
          <cell r="B62" t="str">
            <v>Downpipe 110/100mm x 5.8m</v>
          </cell>
          <cell r="C62" t="str">
            <v>LTH</v>
          </cell>
          <cell r="G62">
            <v>4.2</v>
          </cell>
        </row>
        <row r="63">
          <cell r="A63" t="str">
            <v>MATERIALS</v>
          </cell>
          <cell r="B63" t="str">
            <v>Downpipe Adaptor Socket 4"</v>
          </cell>
          <cell r="C63" t="str">
            <v>PCS</v>
          </cell>
          <cell r="G63">
            <v>4.2</v>
          </cell>
        </row>
        <row r="64">
          <cell r="A64" t="str">
            <v>MATERIALS</v>
          </cell>
          <cell r="B64" t="str">
            <v>Downpipe Elbow 105deg</v>
          </cell>
          <cell r="C64" t="str">
            <v>PCS</v>
          </cell>
          <cell r="G64">
            <v>8.4</v>
          </cell>
        </row>
        <row r="65">
          <cell r="A65" t="str">
            <v>MATERIALS</v>
          </cell>
          <cell r="B65" t="str">
            <v>Downpipe Pipe Clip</v>
          </cell>
          <cell r="C65" t="str">
            <v>PCS</v>
          </cell>
          <cell r="G65">
            <v>12.600000000000001</v>
          </cell>
        </row>
        <row r="66">
          <cell r="A66" t="str">
            <v>LABOUR</v>
          </cell>
          <cell r="B66" t="str">
            <v>Labour - Skilled Worker (Per MH)</v>
          </cell>
          <cell r="C66" t="str">
            <v>MH</v>
          </cell>
          <cell r="G66">
            <v>89</v>
          </cell>
        </row>
        <row r="67">
          <cell r="A67" t="str">
            <v>MATERIALS</v>
          </cell>
          <cell r="B67" t="str">
            <v>Cement Bricks 215 mm (L) x 102 mm (W) x 65 mm (H)</v>
          </cell>
          <cell r="C67" t="str">
            <v>PCS</v>
          </cell>
          <cell r="G67">
            <v>4017</v>
          </cell>
        </row>
        <row r="68">
          <cell r="A68" t="str">
            <v>MATERIALS</v>
          </cell>
          <cell r="B68" t="str">
            <v>YTL PCC Cement Castle 50kg Bag</v>
          </cell>
          <cell r="C68" t="str">
            <v>BAG</v>
          </cell>
          <cell r="G68">
            <v>12.600000000000001</v>
          </cell>
        </row>
        <row r="69">
          <cell r="A69" t="str">
            <v>MATERIALS</v>
          </cell>
          <cell r="B69" t="str">
            <v>Coarse Sand (10-Wheel Truck)</v>
          </cell>
          <cell r="C69" t="str">
            <v>TRIP</v>
          </cell>
          <cell r="G69">
            <v>0.21000000000000002</v>
          </cell>
        </row>
        <row r="70">
          <cell r="A70" t="str">
            <v>MATERIALS</v>
          </cell>
          <cell r="B70" t="str">
            <v>MS Deformed Bar Y10 12.00m (Main Bars)</v>
          </cell>
          <cell r="C70" t="str">
            <v>BAR</v>
          </cell>
          <cell r="G70">
            <v>2.1</v>
          </cell>
        </row>
        <row r="71">
          <cell r="A71" t="str">
            <v>MATERIALS</v>
          </cell>
          <cell r="B71" t="str">
            <v>MS Round Bar R6 12.00m</v>
          </cell>
          <cell r="C71" t="str">
            <v>BAR</v>
          </cell>
          <cell r="G71">
            <v>2.1</v>
          </cell>
        </row>
        <row r="72">
          <cell r="A72" t="str">
            <v>MATERIALS</v>
          </cell>
          <cell r="B72" t="str">
            <v>Plywood 9mm 4ft x 8ft</v>
          </cell>
          <cell r="C72" t="str">
            <v>SHEET</v>
          </cell>
          <cell r="G72">
            <v>2.1</v>
          </cell>
        </row>
        <row r="73">
          <cell r="A73" t="str">
            <v>MATERIALS</v>
          </cell>
          <cell r="B73" t="str">
            <v>Mixed Timber 2" x 3" x 10ft (Grade A)</v>
          </cell>
          <cell r="C73" t="str">
            <v>LTH</v>
          </cell>
          <cell r="G73">
            <v>4.2</v>
          </cell>
        </row>
        <row r="74">
          <cell r="A74" t="str">
            <v>LABOUR</v>
          </cell>
          <cell r="B74" t="str">
            <v>Labour - Skilled Worker (Per MH)</v>
          </cell>
          <cell r="C74" t="str">
            <v>MH</v>
          </cell>
          <cell r="G74">
            <v>136</v>
          </cell>
        </row>
        <row r="75">
          <cell r="A75" t="str">
            <v>MATERIALS</v>
          </cell>
          <cell r="B75" t="str">
            <v>30inW x 84inH Bifold Mini Pro VACP 800 Series</v>
          </cell>
          <cell r="C75" t="str">
            <v>SET</v>
          </cell>
          <cell r="G75">
            <v>1</v>
          </cell>
        </row>
        <row r="76">
          <cell r="A76" t="str">
            <v>MATERIALS</v>
          </cell>
          <cell r="B76" t="str">
            <v>1200mmW x 600mmH 2 Panel TopHung Casement Window c/w Float Glass</v>
          </cell>
          <cell r="C76" t="str">
            <v>SET</v>
          </cell>
          <cell r="G76">
            <v>3</v>
          </cell>
        </row>
        <row r="77">
          <cell r="A77" t="str">
            <v>MATERIALS</v>
          </cell>
          <cell r="B77" t="str">
            <v>600mmW x 1200mmH 1 Panel Casement Window c/w Float Glass</v>
          </cell>
          <cell r="C77" t="str">
            <v>SET</v>
          </cell>
          <cell r="G77">
            <v>1</v>
          </cell>
        </row>
        <row r="78">
          <cell r="A78" t="str">
            <v>MATERIALS</v>
          </cell>
          <cell r="B78" t="str">
            <v>36inW x 84inH 1 Panel Grill Swing Kitchen/back door</v>
          </cell>
          <cell r="C78" t="str">
            <v>SET</v>
          </cell>
          <cell r="G78">
            <v>1</v>
          </cell>
        </row>
        <row r="79">
          <cell r="A79" t="str">
            <v>MATERIALS</v>
          </cell>
          <cell r="B79" t="str">
            <v>1200mmW x 600mmH 2 Panel Grill Window</v>
          </cell>
          <cell r="C79" t="str">
            <v>SET</v>
          </cell>
          <cell r="G79">
            <v>3</v>
          </cell>
        </row>
        <row r="80">
          <cell r="A80" t="str">
            <v>MATERIALS</v>
          </cell>
          <cell r="B80" t="str">
            <v>600mmW x 1200mmH 1 Panel Grill Window</v>
          </cell>
          <cell r="C80" t="str">
            <v>SET</v>
          </cell>
          <cell r="G80">
            <v>1</v>
          </cell>
        </row>
        <row r="81">
          <cell r="A81" t="str">
            <v>MATERIALS</v>
          </cell>
          <cell r="B81" t="str">
            <v>Raw Plywood Door (Unfinished) - Up to 36"W x 84"H (Custom Size)</v>
          </cell>
          <cell r="C81" t="str">
            <v>PCS</v>
          </cell>
          <cell r="G81">
            <v>1</v>
          </cell>
        </row>
        <row r="82">
          <cell r="A82" t="str">
            <v>MATERIALS</v>
          </cell>
          <cell r="B82" t="str">
            <v>Mixed Timber 2" x 3" x 10ft (Grade A)</v>
          </cell>
          <cell r="C82" t="str">
            <v>LTH</v>
          </cell>
          <cell r="G82">
            <v>2.1</v>
          </cell>
        </row>
        <row r="83">
          <cell r="A83" t="str">
            <v>MATERIALS</v>
          </cell>
          <cell r="B83" t="str">
            <v>Smart Paint 5400 Wall Sealer Exterior &amp; Interior Wall Undercoat 18L</v>
          </cell>
          <cell r="C83" t="str">
            <v>PAIL</v>
          </cell>
          <cell r="G83">
            <v>0.05</v>
          </cell>
        </row>
        <row r="84">
          <cell r="A84" t="str">
            <v>MATERIALS</v>
          </cell>
          <cell r="B84" t="str">
            <v>White Gloss Paint 5L</v>
          </cell>
          <cell r="C84" t="str">
            <v>TIN</v>
          </cell>
          <cell r="G84">
            <v>0.05</v>
          </cell>
        </row>
        <row r="85">
          <cell r="A85" t="str">
            <v>MATERIALS</v>
          </cell>
          <cell r="B85" t="str">
            <v>Sanding Paper 120G</v>
          </cell>
          <cell r="C85" t="str">
            <v>PCS</v>
          </cell>
          <cell r="G85">
            <v>2.2000000000000002</v>
          </cell>
        </row>
        <row r="86">
          <cell r="A86" t="str">
            <v>MATERIALS</v>
          </cell>
          <cell r="B86" t="str">
            <v>Sanding Paper 240G</v>
          </cell>
          <cell r="C86" t="str">
            <v>PCS</v>
          </cell>
          <cell r="G86">
            <v>2.2000000000000002</v>
          </cell>
        </row>
        <row r="87">
          <cell r="A87" t="str">
            <v>MATERIALS</v>
          </cell>
          <cell r="B87" t="str">
            <v>Sanding Paper 400G</v>
          </cell>
          <cell r="C87" t="str">
            <v>PCS</v>
          </cell>
          <cell r="G87">
            <v>2.2000000000000002</v>
          </cell>
        </row>
        <row r="88">
          <cell r="A88" t="str">
            <v>MATERIALS</v>
          </cell>
          <cell r="B88" t="str">
            <v>Door Hinges 3/8" x 1-1/4" x 2"</v>
          </cell>
          <cell r="C88" t="str">
            <v>PCS</v>
          </cell>
          <cell r="G88">
            <v>3.1500000000000004</v>
          </cell>
        </row>
        <row r="89">
          <cell r="A89" t="str">
            <v>MATERIALS</v>
          </cell>
          <cell r="B89" t="str">
            <v>ML7025-SS Armor Lever Mortise</v>
          </cell>
          <cell r="C89" t="str">
            <v>SET</v>
          </cell>
          <cell r="G89">
            <v>1</v>
          </cell>
        </row>
        <row r="90">
          <cell r="A90" t="str">
            <v>LABOUR</v>
          </cell>
          <cell r="B90" t="str">
            <v>Labour - Skilled Worker (Per MH)</v>
          </cell>
          <cell r="C90" t="str">
            <v>MH</v>
          </cell>
          <cell r="G90">
            <v>85</v>
          </cell>
        </row>
        <row r="91">
          <cell r="A91" t="str">
            <v>MATERIALS</v>
          </cell>
          <cell r="B91" t="str">
            <v>YTL PCC Cement Castle 50kg Bag</v>
          </cell>
          <cell r="C91" t="str">
            <v>BAG</v>
          </cell>
          <cell r="G91">
            <v>12.600000000000001</v>
          </cell>
        </row>
        <row r="92">
          <cell r="A92" t="str">
            <v>MATERIALS</v>
          </cell>
          <cell r="B92" t="str">
            <v>Coarse Sand (10-Wheel Truck)</v>
          </cell>
          <cell r="C92" t="str">
            <v>TRIP</v>
          </cell>
          <cell r="G92">
            <v>0.1575</v>
          </cell>
        </row>
        <row r="93">
          <cell r="A93" t="str">
            <v>MATERIALS</v>
          </cell>
          <cell r="B93" t="str">
            <v>A Plus Stopping Compound 20kg</v>
          </cell>
          <cell r="C93" t="str">
            <v>BAG</v>
          </cell>
          <cell r="G93">
            <v>4.2</v>
          </cell>
        </row>
        <row r="94">
          <cell r="A94" t="str">
            <v>MATERIALS</v>
          </cell>
          <cell r="B94" t="str">
            <v>Sika Wall 191 Coarse (White) 25kg</v>
          </cell>
          <cell r="C94" t="str">
            <v>BAG</v>
          </cell>
          <cell r="G94">
            <v>4.2</v>
          </cell>
        </row>
        <row r="95">
          <cell r="A95" t="str">
            <v>MATERIALS</v>
          </cell>
          <cell r="B95" t="str">
            <v>Sika Wall 192 Fine (White) 25kg</v>
          </cell>
          <cell r="C95" t="str">
            <v>BAG</v>
          </cell>
          <cell r="G95">
            <v>4.2</v>
          </cell>
        </row>
        <row r="96">
          <cell r="A96" t="str">
            <v>LABOUR</v>
          </cell>
          <cell r="B96" t="str">
            <v>Labour - Skilled Worker (Per MH)</v>
          </cell>
          <cell r="C96" t="str">
            <v>MH</v>
          </cell>
          <cell r="G96">
            <v>110</v>
          </cell>
        </row>
        <row r="97">
          <cell r="A97" t="str">
            <v>MATERIALS</v>
          </cell>
          <cell r="B97" t="str">
            <v>Gyproc Gypsum Board 4.00ft x 6.00ft x 9.00mm</v>
          </cell>
          <cell r="C97" t="str">
            <v>SHEET</v>
          </cell>
          <cell r="G97">
            <v>13.65</v>
          </cell>
        </row>
        <row r="98">
          <cell r="A98" t="str">
            <v>MATERIALS</v>
          </cell>
          <cell r="B98" t="str">
            <v>Primaflex Fibre Cement Board 4.00ft x 4.00ft</v>
          </cell>
          <cell r="C98" t="str">
            <v>SHEET</v>
          </cell>
          <cell r="G98">
            <v>5.25</v>
          </cell>
        </row>
        <row r="99">
          <cell r="A99" t="str">
            <v>MATERIALS</v>
          </cell>
          <cell r="B99" t="str">
            <v>GI Bracing 2440mm</v>
          </cell>
          <cell r="C99" t="str">
            <v>LTH</v>
          </cell>
          <cell r="G99">
            <v>31.5</v>
          </cell>
        </row>
        <row r="100">
          <cell r="A100" t="str">
            <v>MATERIALS</v>
          </cell>
          <cell r="B100" t="str">
            <v>GI Carrier Rail (MF) 4880.00mm</v>
          </cell>
          <cell r="C100" t="str">
            <v>PCS</v>
          </cell>
          <cell r="G100">
            <v>12.600000000000001</v>
          </cell>
        </row>
        <row r="101">
          <cell r="A101" t="str">
            <v>MATERIALS</v>
          </cell>
          <cell r="B101" t="str">
            <v>Aluminium Ceiling Trim (STD) 3660mm</v>
          </cell>
          <cell r="C101" t="str">
            <v>LTH</v>
          </cell>
          <cell r="G101">
            <v>12.600000000000001</v>
          </cell>
        </row>
        <row r="102">
          <cell r="A102" t="str">
            <v>MATERIALS</v>
          </cell>
          <cell r="B102" t="str">
            <v>Drywall Fibre Joint Tape 50mm x 50m</v>
          </cell>
          <cell r="C102" t="str">
            <v>PCS</v>
          </cell>
          <cell r="G102">
            <v>2.1</v>
          </cell>
        </row>
        <row r="103">
          <cell r="A103" t="str">
            <v>MATERIALS</v>
          </cell>
          <cell r="B103" t="str">
            <v>A Plus Stopping Compound 20kg</v>
          </cell>
          <cell r="C103" t="str">
            <v>BAG</v>
          </cell>
          <cell r="G103">
            <v>3.1500000000000004</v>
          </cell>
        </row>
        <row r="104">
          <cell r="A104" t="str">
            <v>MATERIALS</v>
          </cell>
          <cell r="B104" t="str">
            <v>Plaster Ceiling Manhole 12"</v>
          </cell>
          <cell r="C104" t="str">
            <v>PCS</v>
          </cell>
          <cell r="G104">
            <v>2</v>
          </cell>
        </row>
        <row r="105">
          <cell r="A105" t="str">
            <v>LABOUR</v>
          </cell>
          <cell r="B105" t="str">
            <v>Labour - Skilled Worker (Per MH)</v>
          </cell>
          <cell r="C105" t="str">
            <v>MH</v>
          </cell>
          <cell r="G105">
            <v>85</v>
          </cell>
        </row>
        <row r="106">
          <cell r="A106" t="str">
            <v>MATERIALS</v>
          </cell>
          <cell r="B106" t="str">
            <v>SIKA Waterproof Compound Top Seal 107 (A+B) 25.00kg</v>
          </cell>
          <cell r="C106" t="str">
            <v>SET</v>
          </cell>
          <cell r="G106">
            <v>5</v>
          </cell>
        </row>
        <row r="107">
          <cell r="A107" t="str">
            <v>MATERIALS</v>
          </cell>
          <cell r="B107" t="str">
            <v>Tile 600mm x 600mm</v>
          </cell>
          <cell r="C107" t="str">
            <v>PCS</v>
          </cell>
          <cell r="G107">
            <v>84</v>
          </cell>
        </row>
        <row r="108">
          <cell r="A108" t="str">
            <v>MATERIALS</v>
          </cell>
          <cell r="B108" t="str">
            <v>Tile 300mm x 300mm</v>
          </cell>
          <cell r="C108" t="str">
            <v>PCS</v>
          </cell>
          <cell r="G108">
            <v>75</v>
          </cell>
        </row>
        <row r="109">
          <cell r="A109" t="str">
            <v>MATERIALS</v>
          </cell>
          <cell r="B109" t="str">
            <v>Tile 300mm x 300mm</v>
          </cell>
          <cell r="C109" t="str">
            <v>PCS</v>
          </cell>
          <cell r="G109">
            <v>198</v>
          </cell>
        </row>
        <row r="110">
          <cell r="A110" t="str">
            <v>MATERIALS</v>
          </cell>
          <cell r="B110" t="str">
            <v>Tile 300mm x 600mm</v>
          </cell>
          <cell r="C110" t="str">
            <v>PCS</v>
          </cell>
          <cell r="G110">
            <v>132</v>
          </cell>
        </row>
        <row r="111">
          <cell r="A111" t="str">
            <v>MATERIALS</v>
          </cell>
          <cell r="B111" t="str">
            <v>Tile 300mm x 600mm</v>
          </cell>
          <cell r="C111" t="str">
            <v>PCS</v>
          </cell>
          <cell r="G111">
            <v>34</v>
          </cell>
        </row>
        <row r="112">
          <cell r="A112" t="str">
            <v>MATERIALS</v>
          </cell>
          <cell r="B112" t="str">
            <v>Tile Adhesive Weber 99</v>
          </cell>
          <cell r="C112" t="str">
            <v>BAG</v>
          </cell>
          <cell r="G112">
            <v>29</v>
          </cell>
        </row>
        <row r="113">
          <cell r="A113" t="str">
            <v>MATERIALS</v>
          </cell>
          <cell r="B113" t="str">
            <v>PVC Tile Spacer 2mm</v>
          </cell>
          <cell r="C113" t="str">
            <v>PACK</v>
          </cell>
          <cell r="G113">
            <v>12</v>
          </cell>
        </row>
        <row r="114">
          <cell r="A114" t="str">
            <v>MATERIALS</v>
          </cell>
          <cell r="B114" t="str">
            <v>Weber Weberfill Fine Grout Coloured Grout For Narrow Tile Joint (3.5kg)</v>
          </cell>
          <cell r="C114" t="str">
            <v>BAG</v>
          </cell>
          <cell r="G114">
            <v>12</v>
          </cell>
        </row>
        <row r="115">
          <cell r="A115" t="str">
            <v>MATERIALS</v>
          </cell>
          <cell r="B115" t="str">
            <v>YTL PCC Cement Castle 50kg Bag</v>
          </cell>
          <cell r="C115" t="str">
            <v>BAG</v>
          </cell>
          <cell r="G115">
            <v>3</v>
          </cell>
        </row>
        <row r="116">
          <cell r="A116" t="str">
            <v>MATERIALS</v>
          </cell>
          <cell r="B116" t="str">
            <v>Fine Sand (Scoop)</v>
          </cell>
          <cell r="C116" t="str">
            <v>SCOOP</v>
          </cell>
          <cell r="G116">
            <v>2</v>
          </cell>
        </row>
        <row r="117">
          <cell r="A117" t="str">
            <v>LABOUR</v>
          </cell>
          <cell r="B117" t="str">
            <v>Labour - Skilled Worker (Per MH)</v>
          </cell>
          <cell r="C117" t="str">
            <v>MH</v>
          </cell>
          <cell r="G117">
            <v>224</v>
          </cell>
        </row>
        <row r="118">
          <cell r="A118" t="str">
            <v>MATERIALS</v>
          </cell>
          <cell r="B118" t="str">
            <v>Mega PVC Cable 1.5mm2 (Black, SIRIM)</v>
          </cell>
          <cell r="C118" t="str">
            <v>ROLL</v>
          </cell>
          <cell r="G118">
            <v>1</v>
          </cell>
        </row>
        <row r="119">
          <cell r="A119" t="str">
            <v>MATERIALS</v>
          </cell>
          <cell r="B119" t="str">
            <v>Mega PVC Cable 1.5mm2 (Green, SIRIM)</v>
          </cell>
          <cell r="C119" t="str">
            <v>ROLL</v>
          </cell>
          <cell r="G119">
            <v>1</v>
          </cell>
        </row>
        <row r="120">
          <cell r="A120" t="str">
            <v>MATERIALS</v>
          </cell>
          <cell r="B120" t="str">
            <v>Mega PVC Cable 1.5mm2 (Red, SIRIM)</v>
          </cell>
          <cell r="C120" t="str">
            <v>ROLL</v>
          </cell>
          <cell r="G120">
            <v>1</v>
          </cell>
        </row>
        <row r="121">
          <cell r="A121" t="str">
            <v>MATERIALS</v>
          </cell>
          <cell r="B121" t="str">
            <v>Mega PVC Cable 2.5mm2 (Black, SIRIM)</v>
          </cell>
          <cell r="C121" t="str">
            <v>ROLL</v>
          </cell>
          <cell r="G121">
            <v>1</v>
          </cell>
        </row>
        <row r="122">
          <cell r="A122" t="str">
            <v>MATERIALS</v>
          </cell>
          <cell r="B122" t="str">
            <v>Mega PVC Cable 2.5mm2 (Green, SIRIM)</v>
          </cell>
          <cell r="C122" t="str">
            <v>ROLL</v>
          </cell>
          <cell r="G122">
            <v>1</v>
          </cell>
        </row>
        <row r="123">
          <cell r="A123" t="str">
            <v>MATERIALS</v>
          </cell>
          <cell r="B123" t="str">
            <v>Mega PVC Cable 2.5mm2 (Red, SIRIM)</v>
          </cell>
          <cell r="C123" t="str">
            <v>ROLL</v>
          </cell>
          <cell r="G123">
            <v>1</v>
          </cell>
        </row>
        <row r="124">
          <cell r="A124" t="str">
            <v>MATERIALS</v>
          </cell>
          <cell r="B124" t="str">
            <v>Earth Cable 16mm2 G/Y (Estimate 15m)</v>
          </cell>
          <cell r="C124" t="str">
            <v>M</v>
          </cell>
          <cell r="G124">
            <v>15</v>
          </cell>
        </row>
        <row r="125">
          <cell r="A125" t="str">
            <v>MATERIALS</v>
          </cell>
          <cell r="B125" t="str">
            <v>PVC Conduit Pipe 20mm (10ft)</v>
          </cell>
          <cell r="C125" t="str">
            <v>LTH</v>
          </cell>
          <cell r="G125">
            <v>15</v>
          </cell>
        </row>
        <row r="126">
          <cell r="A126" t="str">
            <v>MATERIALS</v>
          </cell>
          <cell r="B126" t="str">
            <v>PVC Conduit Pipe 25mm (10ft)</v>
          </cell>
          <cell r="C126" t="str">
            <v>LTH</v>
          </cell>
          <cell r="G126">
            <v>12</v>
          </cell>
        </row>
        <row r="127">
          <cell r="A127" t="str">
            <v>MATERIALS</v>
          </cell>
          <cell r="B127" t="str">
            <v>PVC Elbow 90 Degree 25mm</v>
          </cell>
          <cell r="C127" t="str">
            <v>PKT</v>
          </cell>
          <cell r="G127">
            <v>2</v>
          </cell>
        </row>
        <row r="128">
          <cell r="A128" t="str">
            <v>MATERIALS</v>
          </cell>
          <cell r="B128" t="str">
            <v>PVC Concealed Box 1 Gang</v>
          </cell>
          <cell r="C128" t="str">
            <v>UNIT</v>
          </cell>
          <cell r="G128">
            <v>15</v>
          </cell>
        </row>
        <row r="129">
          <cell r="A129" t="str">
            <v>MATERIALS</v>
          </cell>
          <cell r="B129" t="str">
            <v>Schneider Socket 13A (Single)</v>
          </cell>
          <cell r="C129" t="str">
            <v>UNIT</v>
          </cell>
          <cell r="G129">
            <v>10</v>
          </cell>
        </row>
        <row r="130">
          <cell r="A130" t="str">
            <v>MATERIALS</v>
          </cell>
          <cell r="B130" t="str">
            <v>Schneider Switch 1 Gang</v>
          </cell>
          <cell r="C130" t="str">
            <v>UNIT</v>
          </cell>
          <cell r="G130">
            <v>5</v>
          </cell>
        </row>
        <row r="131">
          <cell r="A131" t="str">
            <v>MATERIALS</v>
          </cell>
          <cell r="B131" t="str">
            <v>LED Downlight 4in 12W</v>
          </cell>
          <cell r="C131" t="str">
            <v>PCS</v>
          </cell>
          <cell r="G131">
            <v>10</v>
          </cell>
        </row>
        <row r="132">
          <cell r="A132" t="str">
            <v>MATERIALS</v>
          </cell>
          <cell r="B132" t="str">
            <v>Newton LED Batten 4ft Single Fitting C/W SBE LED Tube 22W 6500K</v>
          </cell>
          <cell r="C132" t="str">
            <v>SET</v>
          </cell>
          <cell r="G132">
            <v>2</v>
          </cell>
        </row>
        <row r="133">
          <cell r="A133" t="str">
            <v>MATERIALS</v>
          </cell>
          <cell r="B133" t="str">
            <v>Consumer DB Box 12 Way</v>
          </cell>
          <cell r="C133" t="str">
            <v>UNIT</v>
          </cell>
          <cell r="G133">
            <v>1</v>
          </cell>
        </row>
        <row r="134">
          <cell r="A134" t="str">
            <v>MATERIALS</v>
          </cell>
          <cell r="B134" t="str">
            <v>EPS MCB 1P (6A/10A/16A/20A/32A)</v>
          </cell>
          <cell r="C134" t="str">
            <v>PCS</v>
          </cell>
          <cell r="G134">
            <v>4</v>
          </cell>
        </row>
        <row r="135">
          <cell r="A135" t="str">
            <v>MATERIALS</v>
          </cell>
          <cell r="B135" t="str">
            <v>EPS RCCB Single Phase 40A 2P 30mA</v>
          </cell>
          <cell r="C135" t="str">
            <v>PCS</v>
          </cell>
          <cell r="G135">
            <v>1</v>
          </cell>
        </row>
        <row r="136">
          <cell r="A136" t="str">
            <v>MATERIALS</v>
          </cell>
          <cell r="B136" t="str">
            <v>EPS SPD Single Phase 1P+N 20/40kA</v>
          </cell>
          <cell r="C136" t="str">
            <v>PCS</v>
          </cell>
          <cell r="G136">
            <v>1</v>
          </cell>
        </row>
        <row r="137">
          <cell r="A137" t="str">
            <v>MATERIALS</v>
          </cell>
          <cell r="B137" t="str">
            <v>Taipoly Copper Rod 13.7mm x 5ft (SIRIM JKR)</v>
          </cell>
          <cell r="C137" t="str">
            <v>LTH</v>
          </cell>
          <cell r="G137">
            <v>1</v>
          </cell>
        </row>
        <row r="138">
          <cell r="A138" t="str">
            <v>MATERIALS</v>
          </cell>
          <cell r="B138" t="str">
            <v>Copper Cable Clamp (Heavy Duty)</v>
          </cell>
          <cell r="C138" t="str">
            <v>PCS</v>
          </cell>
          <cell r="G138">
            <v>1</v>
          </cell>
        </row>
        <row r="139">
          <cell r="A139" t="str">
            <v>LABOUR</v>
          </cell>
          <cell r="B139" t="str">
            <v>Labour - Skilled Worker (Per MH)</v>
          </cell>
          <cell r="C139" t="str">
            <v>MH</v>
          </cell>
          <cell r="G139">
            <v>38</v>
          </cell>
        </row>
        <row r="140">
          <cell r="A140" t="str">
            <v>LABOUR</v>
          </cell>
          <cell r="B140" t="str">
            <v>Labour - Skilled Worker (Per MH)</v>
          </cell>
          <cell r="C140" t="str">
            <v>MH</v>
          </cell>
          <cell r="G140">
            <v>17</v>
          </cell>
        </row>
        <row r="141">
          <cell r="A141" t="str">
            <v>LABOUR</v>
          </cell>
          <cell r="B141" t="str">
            <v>Labour - Skilled Worker (Per MH)</v>
          </cell>
          <cell r="C141" t="str">
            <v>MH</v>
          </cell>
          <cell r="G141">
            <v>9</v>
          </cell>
        </row>
        <row r="142">
          <cell r="A142" t="str">
            <v>MATERIALS</v>
          </cell>
          <cell r="B142" t="str">
            <v>Smart Paint 5400 Wall Sealer Exterior &amp; Interior Wall Undercoat 18L</v>
          </cell>
          <cell r="C142" t="str">
            <v>PAIL</v>
          </cell>
          <cell r="G142">
            <v>1.05</v>
          </cell>
        </row>
        <row r="143">
          <cell r="A143" t="str">
            <v>MATERIALS</v>
          </cell>
          <cell r="B143" t="str">
            <v>Colourland Super White 9102 Colourlite 18L Emulsion Paint</v>
          </cell>
          <cell r="C143" t="str">
            <v>PAIL</v>
          </cell>
          <cell r="G143">
            <v>2.1</v>
          </cell>
        </row>
        <row r="144">
          <cell r="A144" t="str">
            <v>MATERIALS</v>
          </cell>
          <cell r="B144" t="str">
            <v>White Gloss Paint 5L</v>
          </cell>
          <cell r="C144" t="str">
            <v>TIN</v>
          </cell>
          <cell r="G144">
            <v>1.05</v>
          </cell>
        </row>
        <row r="145">
          <cell r="A145" t="str">
            <v>MATERIALS</v>
          </cell>
          <cell r="B145" t="str">
            <v>Sanding Paper 120G</v>
          </cell>
          <cell r="C145" t="str">
            <v>PCS</v>
          </cell>
          <cell r="G145">
            <v>4.4000000000000004</v>
          </cell>
        </row>
        <row r="146">
          <cell r="A146" t="str">
            <v>MATERIALS</v>
          </cell>
          <cell r="B146" t="str">
            <v>Sanding Paper 240G</v>
          </cell>
          <cell r="C146" t="str">
            <v>PCS</v>
          </cell>
          <cell r="G146">
            <v>4.4000000000000004</v>
          </cell>
        </row>
        <row r="147">
          <cell r="A147" t="str">
            <v>MATERIALS</v>
          </cell>
          <cell r="B147" t="str">
            <v>Sanding Paper 400G</v>
          </cell>
          <cell r="C147" t="str">
            <v>PCS</v>
          </cell>
          <cell r="G147">
            <v>4.4000000000000004</v>
          </cell>
        </row>
        <row r="148">
          <cell r="A148" t="str">
            <v>MATERIALS</v>
          </cell>
          <cell r="B148" t="str">
            <v>Poly Sealant 280ml</v>
          </cell>
          <cell r="C148" t="str">
            <v>PCS</v>
          </cell>
          <cell r="G148">
            <v>4.2</v>
          </cell>
        </row>
        <row r="149">
          <cell r="A149" t="str">
            <v>MATERIALS</v>
          </cell>
          <cell r="B149" t="str">
            <v>DOCASA Combo, c/w One-piece rimless toilet bowl + modern bathroom sink cabinet with basin, mirror &amp; shelf , Soft-close seat and cover, Cistern fittings, Cistern cover with flush button, Straight connector</v>
          </cell>
          <cell r="C149" t="str">
            <v>PCS</v>
          </cell>
          <cell r="G149">
            <v>1</v>
          </cell>
        </row>
        <row r="150">
          <cell r="A150" t="str">
            <v>MATERIALS</v>
          </cell>
          <cell r="B150" t="str">
            <v>Twins Shower Square 8"</v>
          </cell>
          <cell r="C150" t="str">
            <v>pc</v>
          </cell>
          <cell r="G150">
            <v>1</v>
          </cell>
        </row>
        <row r="151">
          <cell r="A151" t="str">
            <v>MATERIALS</v>
          </cell>
          <cell r="B151" t="str">
            <v>Yessy Two-Way Hand Bidet</v>
          </cell>
          <cell r="C151" t="str">
            <v>pc</v>
          </cell>
          <cell r="G151">
            <v>1</v>
          </cell>
        </row>
        <row r="152">
          <cell r="A152" t="str">
            <v>MATERIALS</v>
          </cell>
          <cell r="B152" t="str">
            <v>Yessy Tile Floor Trap</v>
          </cell>
          <cell r="C152" t="str">
            <v>pc</v>
          </cell>
          <cell r="G152">
            <v>1</v>
          </cell>
        </row>
        <row r="153">
          <cell r="A153" t="str">
            <v>MATERIALS</v>
          </cell>
          <cell r="B153" t="str">
            <v>Flexible Hose Latina 10"</v>
          </cell>
          <cell r="C153" t="str">
            <v>PCS</v>
          </cell>
          <cell r="G153">
            <v>2</v>
          </cell>
        </row>
        <row r="154">
          <cell r="A154" t="str">
            <v>LABOUR</v>
          </cell>
          <cell r="B154" t="str">
            <v>Labour - Skilled Worker (Per MH)</v>
          </cell>
          <cell r="C154" t="str">
            <v>MH</v>
          </cell>
          <cell r="G154">
            <v>21</v>
          </cell>
        </row>
        <row r="155">
          <cell r="A155" t="str">
            <v>LABOUR</v>
          </cell>
          <cell r="B155" t="str">
            <v>Labour - Skilled Worker (Per MH)</v>
          </cell>
          <cell r="C155" t="str">
            <v>MH</v>
          </cell>
          <cell r="G155">
            <v>17</v>
          </cell>
        </row>
        <row r="156">
          <cell r="A156" t="str">
            <v>LABOUR</v>
          </cell>
          <cell r="B156" t="str">
            <v>Labour - Skilled Worker (Per MH)</v>
          </cell>
          <cell r="C156" t="str">
            <v>MH</v>
          </cell>
          <cell r="G156">
            <v>9</v>
          </cell>
        </row>
        <row r="157">
          <cell r="A157" t="str">
            <v>MATERIALS</v>
          </cell>
          <cell r="B157" t="str">
            <v>Crusher Run (10-Wheel Truck)</v>
          </cell>
          <cell r="C157" t="str">
            <v>TRIP</v>
          </cell>
          <cell r="G157">
            <v>0.26</v>
          </cell>
        </row>
        <row r="158">
          <cell r="A158" t="str">
            <v>MATERIALS</v>
          </cell>
          <cell r="B158" t="str">
            <v>Fine Sand (10-Wheel Truck)</v>
          </cell>
          <cell r="C158" t="str">
            <v>TRIP</v>
          </cell>
          <cell r="G158">
            <v>0.05</v>
          </cell>
        </row>
        <row r="159">
          <cell r="A159" t="str">
            <v>MATERIALS</v>
          </cell>
          <cell r="B159" t="str">
            <v>DPM PE 0.20mm</v>
          </cell>
          <cell r="C159" t="str">
            <v>ROLL</v>
          </cell>
          <cell r="G159">
            <v>1</v>
          </cell>
        </row>
        <row r="160">
          <cell r="A160" t="str">
            <v>MATERIALS</v>
          </cell>
          <cell r="B160" t="str">
            <v>BRC Mesh A10 2.13m x 6.10m (Normal Spec) 3.2mm</v>
          </cell>
          <cell r="C160" t="str">
            <v>PCS</v>
          </cell>
          <cell r="G160">
            <v>4.41</v>
          </cell>
        </row>
        <row r="161">
          <cell r="A161" t="str">
            <v>MATERIALS</v>
          </cell>
          <cell r="B161" t="str">
            <v>YTL PCC Cement Castle 50kg Bag</v>
          </cell>
          <cell r="C161" t="str">
            <v>BAG</v>
          </cell>
          <cell r="G161">
            <v>33</v>
          </cell>
        </row>
        <row r="162">
          <cell r="A162" t="str">
            <v>MATERIALS</v>
          </cell>
          <cell r="B162" t="str">
            <v>Coarse Sand (10-Wheel Truck)</v>
          </cell>
          <cell r="C162" t="str">
            <v>TRIP</v>
          </cell>
          <cell r="G162">
            <v>0.23</v>
          </cell>
        </row>
        <row r="163">
          <cell r="A163" t="str">
            <v>MATERIALS</v>
          </cell>
          <cell r="B163" t="str">
            <v>3/4" Aggregate (10-Wheel Truck)</v>
          </cell>
          <cell r="C163" t="str">
            <v>TRIP</v>
          </cell>
          <cell r="G163">
            <v>0.46</v>
          </cell>
        </row>
        <row r="164">
          <cell r="A164" t="str">
            <v>MATERIALS</v>
          </cell>
          <cell r="B164" t="str">
            <v>Crusher Run (10-Wheel Truck)</v>
          </cell>
          <cell r="C164" t="str">
            <v>TRIP</v>
          </cell>
          <cell r="G164">
            <v>0.08</v>
          </cell>
        </row>
        <row r="165">
          <cell r="A165" t="str">
            <v>MATERIALS</v>
          </cell>
          <cell r="B165" t="str">
            <v>Fine Sand (10-Wheel Truck)</v>
          </cell>
          <cell r="C165" t="str">
            <v>TRIP</v>
          </cell>
          <cell r="G165">
            <v>0.02</v>
          </cell>
        </row>
        <row r="166">
          <cell r="A166" t="str">
            <v>MATERIALS</v>
          </cell>
          <cell r="B166" t="str">
            <v>BRC Mesh A10 2.13m x 6.10m (Normal Spec) 3.2mm</v>
          </cell>
          <cell r="C166" t="str">
            <v>PCS</v>
          </cell>
          <cell r="G166">
            <v>1.33</v>
          </cell>
        </row>
        <row r="167">
          <cell r="A167" t="str">
            <v>MATERIALS</v>
          </cell>
          <cell r="B167" t="str">
            <v>YTL PCC Cement Castle 50kg Bag</v>
          </cell>
          <cell r="C167" t="str">
            <v>BAG</v>
          </cell>
          <cell r="G167">
            <v>10</v>
          </cell>
        </row>
        <row r="168">
          <cell r="A168" t="str">
            <v>MATERIALS</v>
          </cell>
          <cell r="B168" t="str">
            <v>Coarse Sand (10-Wheel Truck)</v>
          </cell>
          <cell r="C168" t="str">
            <v>TRIP</v>
          </cell>
          <cell r="G168">
            <v>7.0000000000000007E-2</v>
          </cell>
        </row>
        <row r="169">
          <cell r="A169" t="str">
            <v>MATERIALS</v>
          </cell>
          <cell r="B169" t="str">
            <v>3/4" Aggregate (10-Wheel Truck)</v>
          </cell>
          <cell r="C169" t="str">
            <v>TRIP</v>
          </cell>
          <cell r="G169">
            <v>0.14000000000000001</v>
          </cell>
        </row>
        <row r="170">
          <cell r="A170" t="str">
            <v>MATERIALS</v>
          </cell>
          <cell r="B170" t="str">
            <v>SIKA Curing Compound Antisol E 20.00L</v>
          </cell>
          <cell r="C170" t="str">
            <v>PAIL</v>
          </cell>
          <cell r="G170">
            <v>1</v>
          </cell>
        </row>
        <row r="171">
          <cell r="A171" t="str">
            <v>LABOUR</v>
          </cell>
          <cell r="B171" t="str">
            <v>Labour - Skilled Worker (Per MH)</v>
          </cell>
          <cell r="C171" t="str">
            <v>MH</v>
          </cell>
          <cell r="G171">
            <v>120</v>
          </cell>
        </row>
        <row r="172">
          <cell r="A172" t="str">
            <v>MATERIALS</v>
          </cell>
          <cell r="B172" t="str">
            <v>YTL PCC Cement Castle 50kg Bag</v>
          </cell>
          <cell r="C172" t="str">
            <v>BAG</v>
          </cell>
          <cell r="G172">
            <v>3</v>
          </cell>
        </row>
        <row r="173">
          <cell r="A173" t="str">
            <v>MATERIALS</v>
          </cell>
          <cell r="B173" t="str">
            <v>Coarse Sand (10-Wheel Truck)</v>
          </cell>
          <cell r="C173" t="str">
            <v>TRIP</v>
          </cell>
          <cell r="G173">
            <v>0.02</v>
          </cell>
        </row>
        <row r="174">
          <cell r="A174" t="str">
            <v>MATERIALS</v>
          </cell>
          <cell r="B174" t="str">
            <v>3/4" Aggregate (10-Wheel Truck)</v>
          </cell>
          <cell r="C174" t="str">
            <v>TRIP</v>
          </cell>
          <cell r="G174">
            <v>0.04</v>
          </cell>
        </row>
        <row r="175">
          <cell r="A175" t="str">
            <v>MATERIALS</v>
          </cell>
          <cell r="B175" t="str">
            <v>YTL PCC Cement Castle 50kg Bag</v>
          </cell>
          <cell r="C175" t="str">
            <v>BAG</v>
          </cell>
          <cell r="G175">
            <v>26</v>
          </cell>
        </row>
        <row r="176">
          <cell r="A176" t="str">
            <v>MATERIALS</v>
          </cell>
          <cell r="B176" t="str">
            <v>Coarse Sand (10-Wheel Truck)</v>
          </cell>
          <cell r="C176" t="str">
            <v>TRIP</v>
          </cell>
          <cell r="G176">
            <v>0.18</v>
          </cell>
        </row>
        <row r="177">
          <cell r="A177" t="str">
            <v>MATERIALS</v>
          </cell>
          <cell r="B177" t="str">
            <v>3/4" Aggregate (10-Wheel Truck)</v>
          </cell>
          <cell r="C177" t="str">
            <v>TRIP</v>
          </cell>
          <cell r="G177">
            <v>0.36</v>
          </cell>
        </row>
        <row r="178">
          <cell r="A178" t="str">
            <v>MATERIALS</v>
          </cell>
          <cell r="B178" t="str">
            <v>MS Deformed Bar Y12 12.00m</v>
          </cell>
          <cell r="C178" t="str">
            <v>BAR</v>
          </cell>
          <cell r="G178">
            <v>30</v>
          </cell>
        </row>
        <row r="179">
          <cell r="A179" t="str">
            <v>MATERIALS</v>
          </cell>
          <cell r="B179" t="str">
            <v>MS Round Bar R6 12.00m</v>
          </cell>
          <cell r="C179" t="str">
            <v>BAR</v>
          </cell>
          <cell r="G179">
            <v>12</v>
          </cell>
        </row>
        <row r="180">
          <cell r="A180" t="str">
            <v>MATERIALS</v>
          </cell>
          <cell r="B180" t="str">
            <v>Plywood 9mm 4ft x 8ft</v>
          </cell>
          <cell r="C180" t="str">
            <v>SHEET</v>
          </cell>
          <cell r="G180">
            <v>8</v>
          </cell>
        </row>
        <row r="181">
          <cell r="A181" t="str">
            <v>MATERIALS</v>
          </cell>
          <cell r="B181" t="str">
            <v>Mixed Timber 2" x 3" x 10ft (Grade A)</v>
          </cell>
          <cell r="C181" t="str">
            <v>LTH</v>
          </cell>
          <cell r="G181">
            <v>12</v>
          </cell>
        </row>
        <row r="182">
          <cell r="A182" t="str">
            <v>MATERIALS</v>
          </cell>
          <cell r="B182" t="str">
            <v>SIKA Curing Compound Antisol E 20.00L</v>
          </cell>
          <cell r="C182" t="str">
            <v>PAIL</v>
          </cell>
          <cell r="G182">
            <v>1</v>
          </cell>
        </row>
        <row r="183">
          <cell r="A183" t="str">
            <v>LABOUR</v>
          </cell>
          <cell r="B183" t="str">
            <v>Labour - Skilled Worker (Per MH)</v>
          </cell>
          <cell r="C183" t="str">
            <v>MH</v>
          </cell>
          <cell r="G183">
            <v>112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199"/>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0"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26</v>
      </c>
      <c r="B1" s="20" t="s">
        <v>3</v>
      </c>
      <c r="C1" t="s">
        <v>1</v>
      </c>
      <c r="D1" t="s">
        <v>32</v>
      </c>
      <c r="E1" t="s">
        <v>12</v>
      </c>
      <c r="F1" t="s">
        <v>46</v>
      </c>
      <c r="G1" t="s">
        <v>2186</v>
      </c>
      <c r="H1" t="s">
        <v>19</v>
      </c>
      <c r="I1" t="s">
        <v>2187</v>
      </c>
      <c r="J1" t="s">
        <v>34</v>
      </c>
    </row>
    <row r="2" spans="1:10" x14ac:dyDescent="0.25">
      <c r="A2" t="s">
        <v>2188</v>
      </c>
      <c r="B2" s="20" t="s">
        <v>255</v>
      </c>
      <c r="C2" t="s">
        <v>256</v>
      </c>
      <c r="D2">
        <v>15</v>
      </c>
      <c r="E2">
        <v>1</v>
      </c>
      <c r="F2">
        <v>0</v>
      </c>
      <c r="G2">
        <v>1</v>
      </c>
      <c r="H2">
        <v>15</v>
      </c>
      <c r="I2" t="s">
        <v>2189</v>
      </c>
      <c r="J2">
        <v>4</v>
      </c>
    </row>
    <row r="3" spans="1:10" x14ac:dyDescent="0.25">
      <c r="A3" t="s">
        <v>2188</v>
      </c>
      <c r="B3" s="20" t="s">
        <v>258</v>
      </c>
      <c r="C3" t="s">
        <v>8</v>
      </c>
      <c r="D3">
        <v>4</v>
      </c>
      <c r="E3">
        <v>1</v>
      </c>
      <c r="F3">
        <v>0</v>
      </c>
      <c r="G3">
        <v>1</v>
      </c>
      <c r="H3">
        <v>4</v>
      </c>
      <c r="I3" t="s">
        <v>2189</v>
      </c>
      <c r="J3">
        <v>5</v>
      </c>
    </row>
    <row r="4" spans="1:10" x14ac:dyDescent="0.25">
      <c r="A4" t="s">
        <v>2191</v>
      </c>
      <c r="B4" s="20" t="s">
        <v>1385</v>
      </c>
      <c r="C4" t="s">
        <v>494</v>
      </c>
      <c r="D4">
        <v>450</v>
      </c>
      <c r="E4">
        <v>1</v>
      </c>
      <c r="F4">
        <v>0</v>
      </c>
      <c r="G4">
        <v>1</v>
      </c>
      <c r="H4">
        <v>450</v>
      </c>
      <c r="I4" t="s">
        <v>2189</v>
      </c>
      <c r="J4">
        <v>4</v>
      </c>
    </row>
    <row r="5" spans="1:10" x14ac:dyDescent="0.25">
      <c r="A5" t="s">
        <v>2191</v>
      </c>
      <c r="B5" s="20" t="s">
        <v>31</v>
      </c>
      <c r="C5" t="s">
        <v>10</v>
      </c>
      <c r="D5">
        <v>45</v>
      </c>
      <c r="E5">
        <v>60</v>
      </c>
      <c r="F5">
        <v>0</v>
      </c>
      <c r="G5">
        <v>60</v>
      </c>
      <c r="H5">
        <v>2700</v>
      </c>
      <c r="I5" t="s">
        <v>2189</v>
      </c>
      <c r="J5">
        <v>5</v>
      </c>
    </row>
    <row r="6" spans="1:10" x14ac:dyDescent="0.25">
      <c r="A6" t="s">
        <v>2188</v>
      </c>
      <c r="B6" s="20" t="s">
        <v>482</v>
      </c>
      <c r="C6" t="s">
        <v>11</v>
      </c>
      <c r="D6">
        <v>950</v>
      </c>
      <c r="E6">
        <v>0.05</v>
      </c>
      <c r="F6">
        <v>0</v>
      </c>
      <c r="G6">
        <v>0.05</v>
      </c>
      <c r="H6">
        <v>47.5</v>
      </c>
      <c r="I6" t="s">
        <v>2192</v>
      </c>
      <c r="J6">
        <v>4</v>
      </c>
    </row>
    <row r="7" spans="1:10" x14ac:dyDescent="0.25">
      <c r="A7" t="s">
        <v>2188</v>
      </c>
      <c r="B7" s="20" t="s">
        <v>640</v>
      </c>
      <c r="C7" t="s">
        <v>256</v>
      </c>
      <c r="D7">
        <v>180</v>
      </c>
      <c r="E7">
        <v>1</v>
      </c>
      <c r="F7">
        <v>0</v>
      </c>
      <c r="G7">
        <v>1</v>
      </c>
      <c r="H7">
        <v>180</v>
      </c>
      <c r="I7" t="s">
        <v>2192</v>
      </c>
      <c r="J7">
        <v>5</v>
      </c>
    </row>
    <row r="8" spans="1:10" x14ac:dyDescent="0.25">
      <c r="A8" t="s">
        <v>2188</v>
      </c>
      <c r="B8" s="20" t="s">
        <v>483</v>
      </c>
      <c r="C8" t="s">
        <v>8</v>
      </c>
      <c r="D8">
        <v>215</v>
      </c>
      <c r="E8">
        <v>4.41</v>
      </c>
      <c r="F8">
        <v>0</v>
      </c>
      <c r="G8">
        <v>4.41</v>
      </c>
      <c r="H8">
        <v>948.15</v>
      </c>
      <c r="I8" t="s">
        <v>2192</v>
      </c>
      <c r="J8">
        <v>6</v>
      </c>
    </row>
    <row r="9" spans="1:10" x14ac:dyDescent="0.25">
      <c r="A9" t="s">
        <v>2188</v>
      </c>
      <c r="B9" s="20" t="s">
        <v>485</v>
      </c>
      <c r="C9" t="s">
        <v>486</v>
      </c>
      <c r="D9">
        <v>330</v>
      </c>
      <c r="E9">
        <v>5.2</v>
      </c>
      <c r="F9">
        <v>0</v>
      </c>
      <c r="G9">
        <v>5.2</v>
      </c>
      <c r="H9">
        <v>1716</v>
      </c>
      <c r="I9" t="s">
        <v>2192</v>
      </c>
      <c r="J9">
        <v>7</v>
      </c>
    </row>
    <row r="10" spans="1:10" x14ac:dyDescent="0.25">
      <c r="A10" t="s">
        <v>2188</v>
      </c>
      <c r="B10" s="20" t="s">
        <v>481</v>
      </c>
      <c r="C10" t="s">
        <v>11</v>
      </c>
      <c r="D10">
        <v>830</v>
      </c>
      <c r="E10">
        <v>0.08</v>
      </c>
      <c r="F10">
        <v>0</v>
      </c>
      <c r="G10">
        <v>0.08</v>
      </c>
      <c r="H10">
        <v>66.400000000000006</v>
      </c>
      <c r="I10" t="s">
        <v>2192</v>
      </c>
      <c r="J10">
        <v>8</v>
      </c>
    </row>
    <row r="11" spans="1:10" x14ac:dyDescent="0.25">
      <c r="A11" t="s">
        <v>2188</v>
      </c>
      <c r="B11" s="20" t="s">
        <v>482</v>
      </c>
      <c r="C11" t="s">
        <v>11</v>
      </c>
      <c r="D11">
        <v>950</v>
      </c>
      <c r="E11">
        <v>0.02</v>
      </c>
      <c r="F11">
        <v>0</v>
      </c>
      <c r="G11">
        <v>0.02</v>
      </c>
      <c r="H11">
        <v>19</v>
      </c>
      <c r="I11" t="s">
        <v>2192</v>
      </c>
      <c r="J11">
        <v>9</v>
      </c>
    </row>
    <row r="12" spans="1:10" x14ac:dyDescent="0.25">
      <c r="A12" t="s">
        <v>2188</v>
      </c>
      <c r="B12" s="20" t="s">
        <v>483</v>
      </c>
      <c r="C12" t="s">
        <v>8</v>
      </c>
      <c r="D12">
        <v>215</v>
      </c>
      <c r="E12">
        <v>1.33</v>
      </c>
      <c r="F12">
        <v>0</v>
      </c>
      <c r="G12">
        <v>1.33</v>
      </c>
      <c r="H12">
        <v>285.95</v>
      </c>
      <c r="I12" t="s">
        <v>2192</v>
      </c>
      <c r="J12">
        <v>10</v>
      </c>
    </row>
    <row r="13" spans="1:10" x14ac:dyDescent="0.25">
      <c r="A13" t="s">
        <v>2188</v>
      </c>
      <c r="B13" s="20" t="s">
        <v>485</v>
      </c>
      <c r="C13" t="s">
        <v>486</v>
      </c>
      <c r="D13">
        <v>330</v>
      </c>
      <c r="E13">
        <v>1.57</v>
      </c>
      <c r="F13">
        <v>0</v>
      </c>
      <c r="G13">
        <v>1.57</v>
      </c>
      <c r="H13">
        <v>518.1</v>
      </c>
      <c r="I13" t="s">
        <v>2192</v>
      </c>
      <c r="J13">
        <v>11</v>
      </c>
    </row>
    <row r="14" spans="1:10" x14ac:dyDescent="0.25">
      <c r="A14" t="s">
        <v>2188</v>
      </c>
      <c r="B14" s="20" t="s">
        <v>643</v>
      </c>
      <c r="C14" t="s">
        <v>644</v>
      </c>
      <c r="D14">
        <v>130</v>
      </c>
      <c r="E14">
        <v>1</v>
      </c>
      <c r="F14">
        <v>0</v>
      </c>
      <c r="G14">
        <v>1</v>
      </c>
      <c r="H14">
        <v>130</v>
      </c>
      <c r="I14" t="s">
        <v>2192</v>
      </c>
      <c r="J14">
        <v>12</v>
      </c>
    </row>
    <row r="15" spans="1:10" x14ac:dyDescent="0.25">
      <c r="A15" t="s">
        <v>2188</v>
      </c>
      <c r="B15" s="20" t="s">
        <v>646</v>
      </c>
      <c r="C15" t="s">
        <v>486</v>
      </c>
      <c r="D15">
        <v>340</v>
      </c>
      <c r="E15">
        <v>4.0999999999999996</v>
      </c>
      <c r="F15">
        <v>0</v>
      </c>
      <c r="G15">
        <v>4.0999999999999996</v>
      </c>
      <c r="H15">
        <v>1393.9999999999998</v>
      </c>
      <c r="I15" t="s">
        <v>2193</v>
      </c>
      <c r="J15">
        <v>4</v>
      </c>
    </row>
    <row r="16" spans="1:10" x14ac:dyDescent="0.25">
      <c r="A16" t="s">
        <v>2188</v>
      </c>
      <c r="B16" s="20" t="s">
        <v>590</v>
      </c>
      <c r="C16" t="s">
        <v>591</v>
      </c>
      <c r="D16">
        <v>28</v>
      </c>
      <c r="E16">
        <v>28</v>
      </c>
      <c r="F16">
        <v>0.05</v>
      </c>
      <c r="G16">
        <v>29.400000000000002</v>
      </c>
      <c r="H16">
        <v>823.2</v>
      </c>
      <c r="I16" t="s">
        <v>2193</v>
      </c>
      <c r="J16">
        <v>5</v>
      </c>
    </row>
    <row r="17" spans="1:10" x14ac:dyDescent="0.25">
      <c r="A17" t="s">
        <v>2188</v>
      </c>
      <c r="B17" s="20" t="s">
        <v>592</v>
      </c>
      <c r="C17" t="s">
        <v>591</v>
      </c>
      <c r="D17">
        <v>15</v>
      </c>
      <c r="E17">
        <v>13</v>
      </c>
      <c r="F17">
        <v>0.05</v>
      </c>
      <c r="G17">
        <v>13.65</v>
      </c>
      <c r="H17">
        <v>204.75</v>
      </c>
      <c r="I17" t="s">
        <v>2193</v>
      </c>
      <c r="J17">
        <v>6</v>
      </c>
    </row>
    <row r="18" spans="1:10" x14ac:dyDescent="0.25">
      <c r="A18" t="s">
        <v>2188</v>
      </c>
      <c r="B18" s="20" t="s">
        <v>594</v>
      </c>
      <c r="C18" t="s">
        <v>595</v>
      </c>
      <c r="D18">
        <v>45</v>
      </c>
      <c r="E18">
        <v>12</v>
      </c>
      <c r="F18">
        <v>0.05</v>
      </c>
      <c r="G18">
        <v>12.600000000000001</v>
      </c>
      <c r="H18">
        <v>567.00000000000011</v>
      </c>
      <c r="I18" t="s">
        <v>2193</v>
      </c>
      <c r="J18">
        <v>7</v>
      </c>
    </row>
    <row r="19" spans="1:10" x14ac:dyDescent="0.25">
      <c r="A19" t="s">
        <v>2188</v>
      </c>
      <c r="B19" s="20" t="s">
        <v>651</v>
      </c>
      <c r="C19" t="s">
        <v>652</v>
      </c>
      <c r="D19">
        <v>15</v>
      </c>
      <c r="E19">
        <v>20</v>
      </c>
      <c r="F19">
        <v>0.05</v>
      </c>
      <c r="G19">
        <v>21</v>
      </c>
      <c r="H19">
        <v>315</v>
      </c>
      <c r="I19" t="s">
        <v>2193</v>
      </c>
      <c r="J19">
        <v>8</v>
      </c>
    </row>
    <row r="20" spans="1:10" x14ac:dyDescent="0.25">
      <c r="A20" t="s">
        <v>2188</v>
      </c>
      <c r="B20" s="20" t="s">
        <v>643</v>
      </c>
      <c r="C20" t="s">
        <v>644</v>
      </c>
      <c r="D20">
        <v>130</v>
      </c>
      <c r="E20">
        <v>1</v>
      </c>
      <c r="F20">
        <v>0</v>
      </c>
      <c r="G20">
        <v>1</v>
      </c>
      <c r="H20">
        <v>130</v>
      </c>
      <c r="I20" t="s">
        <v>2193</v>
      </c>
      <c r="J20">
        <v>9</v>
      </c>
    </row>
    <row r="21" spans="1:10" x14ac:dyDescent="0.25">
      <c r="A21" t="s">
        <v>2188</v>
      </c>
      <c r="B21" s="20" t="s">
        <v>590</v>
      </c>
      <c r="C21" t="s">
        <v>591</v>
      </c>
      <c r="D21">
        <v>28</v>
      </c>
      <c r="E21">
        <v>12</v>
      </c>
      <c r="F21">
        <v>0.05</v>
      </c>
      <c r="G21">
        <v>12.600000000000001</v>
      </c>
      <c r="H21">
        <v>352.80000000000007</v>
      </c>
      <c r="I21" t="s">
        <v>2194</v>
      </c>
      <c r="J21">
        <v>4</v>
      </c>
    </row>
    <row r="22" spans="1:10" x14ac:dyDescent="0.25">
      <c r="A22" t="s">
        <v>2188</v>
      </c>
      <c r="B22" s="20" t="s">
        <v>795</v>
      </c>
      <c r="C22" t="s">
        <v>591</v>
      </c>
      <c r="D22">
        <v>22</v>
      </c>
      <c r="E22">
        <v>17</v>
      </c>
      <c r="F22">
        <v>0.05</v>
      </c>
      <c r="G22">
        <v>17.850000000000001</v>
      </c>
      <c r="H22">
        <v>392.70000000000005</v>
      </c>
      <c r="I22" t="s">
        <v>2194</v>
      </c>
      <c r="J22">
        <v>5</v>
      </c>
    </row>
    <row r="23" spans="1:10" x14ac:dyDescent="0.25">
      <c r="A23" t="s">
        <v>2188</v>
      </c>
      <c r="B23" s="20" t="s">
        <v>592</v>
      </c>
      <c r="C23" t="s">
        <v>591</v>
      </c>
      <c r="D23">
        <v>15</v>
      </c>
      <c r="E23">
        <v>17</v>
      </c>
      <c r="F23">
        <v>0.05</v>
      </c>
      <c r="G23">
        <v>17.850000000000001</v>
      </c>
      <c r="H23">
        <v>267.75</v>
      </c>
      <c r="I23" t="s">
        <v>2194</v>
      </c>
      <c r="J23">
        <v>6</v>
      </c>
    </row>
    <row r="24" spans="1:10" x14ac:dyDescent="0.25">
      <c r="A24" t="s">
        <v>2188</v>
      </c>
      <c r="B24" s="20" t="s">
        <v>594</v>
      </c>
      <c r="C24" t="s">
        <v>595</v>
      </c>
      <c r="D24">
        <v>45</v>
      </c>
      <c r="E24">
        <v>14</v>
      </c>
      <c r="F24">
        <v>0.05</v>
      </c>
      <c r="G24">
        <v>14.700000000000001</v>
      </c>
      <c r="H24">
        <v>661.5</v>
      </c>
      <c r="I24" t="s">
        <v>2194</v>
      </c>
      <c r="J24">
        <v>7</v>
      </c>
    </row>
    <row r="25" spans="1:10" x14ac:dyDescent="0.25">
      <c r="A25" t="s">
        <v>2188</v>
      </c>
      <c r="B25" s="20" t="s">
        <v>651</v>
      </c>
      <c r="C25" t="s">
        <v>652</v>
      </c>
      <c r="D25">
        <v>15</v>
      </c>
      <c r="E25">
        <v>24</v>
      </c>
      <c r="F25">
        <v>0.05</v>
      </c>
      <c r="G25">
        <v>25.200000000000003</v>
      </c>
      <c r="H25">
        <v>378.00000000000006</v>
      </c>
      <c r="I25" t="s">
        <v>2194</v>
      </c>
      <c r="J25">
        <v>8</v>
      </c>
    </row>
    <row r="26" spans="1:10" x14ac:dyDescent="0.25">
      <c r="A26" t="s">
        <v>2188</v>
      </c>
      <c r="B26" s="20" t="s">
        <v>643</v>
      </c>
      <c r="C26" t="s">
        <v>644</v>
      </c>
      <c r="D26">
        <v>130</v>
      </c>
      <c r="E26">
        <v>1</v>
      </c>
      <c r="F26">
        <v>0</v>
      </c>
      <c r="G26">
        <v>1</v>
      </c>
      <c r="H26">
        <v>130</v>
      </c>
      <c r="I26" t="s">
        <v>2194</v>
      </c>
      <c r="J26">
        <v>9</v>
      </c>
    </row>
    <row r="27" spans="1:10" x14ac:dyDescent="0.25">
      <c r="A27" t="s">
        <v>2188</v>
      </c>
      <c r="B27" s="20" t="s">
        <v>1929</v>
      </c>
      <c r="C27" t="s">
        <v>8</v>
      </c>
      <c r="D27">
        <v>3</v>
      </c>
      <c r="E27">
        <v>5</v>
      </c>
      <c r="F27">
        <v>0.05</v>
      </c>
      <c r="G27">
        <v>5.25</v>
      </c>
      <c r="H27">
        <v>15.75</v>
      </c>
      <c r="I27" t="s">
        <v>2195</v>
      </c>
      <c r="J27">
        <v>4</v>
      </c>
    </row>
    <row r="28" spans="1:10" x14ac:dyDescent="0.25">
      <c r="A28" t="s">
        <v>2188</v>
      </c>
      <c r="B28" s="20" t="s">
        <v>879</v>
      </c>
      <c r="C28" t="s">
        <v>8</v>
      </c>
      <c r="D28">
        <v>13</v>
      </c>
      <c r="E28">
        <v>2</v>
      </c>
      <c r="F28">
        <v>0</v>
      </c>
      <c r="G28">
        <v>2</v>
      </c>
      <c r="H28">
        <v>26</v>
      </c>
      <c r="I28" t="s">
        <v>2195</v>
      </c>
      <c r="J28">
        <v>5</v>
      </c>
    </row>
    <row r="29" spans="1:10" x14ac:dyDescent="0.25">
      <c r="A29" t="s">
        <v>2188</v>
      </c>
      <c r="B29" s="20" t="s">
        <v>880</v>
      </c>
      <c r="C29" t="s">
        <v>8</v>
      </c>
      <c r="D29">
        <v>8</v>
      </c>
      <c r="E29">
        <v>1</v>
      </c>
      <c r="F29">
        <v>0</v>
      </c>
      <c r="G29">
        <v>1</v>
      </c>
      <c r="H29">
        <v>8</v>
      </c>
      <c r="I29" t="s">
        <v>2195</v>
      </c>
      <c r="J29">
        <v>6</v>
      </c>
    </row>
    <row r="30" spans="1:10" x14ac:dyDescent="0.25">
      <c r="A30" t="s">
        <v>2188</v>
      </c>
      <c r="B30" s="20" t="s">
        <v>882</v>
      </c>
      <c r="C30" t="s">
        <v>8</v>
      </c>
      <c r="D30">
        <v>49</v>
      </c>
      <c r="E30">
        <v>3</v>
      </c>
      <c r="F30">
        <v>0.05</v>
      </c>
      <c r="G30">
        <v>3.1500000000000004</v>
      </c>
      <c r="H30">
        <v>154.35000000000002</v>
      </c>
      <c r="I30" t="s">
        <v>2195</v>
      </c>
      <c r="J30">
        <v>7</v>
      </c>
    </row>
    <row r="31" spans="1:10" x14ac:dyDescent="0.25">
      <c r="A31" t="s">
        <v>2188</v>
      </c>
      <c r="B31" s="20" t="s">
        <v>883</v>
      </c>
      <c r="C31" t="s">
        <v>8</v>
      </c>
      <c r="D31">
        <v>4.3</v>
      </c>
      <c r="E31">
        <v>6</v>
      </c>
      <c r="F31">
        <v>0.05</v>
      </c>
      <c r="G31">
        <v>6.3000000000000007</v>
      </c>
      <c r="H31">
        <v>27.090000000000003</v>
      </c>
      <c r="I31" t="s">
        <v>2195</v>
      </c>
      <c r="J31">
        <v>8</v>
      </c>
    </row>
    <row r="32" spans="1:10" x14ac:dyDescent="0.25">
      <c r="A32" t="s">
        <v>2188</v>
      </c>
      <c r="B32" s="20" t="s">
        <v>44</v>
      </c>
      <c r="C32" t="s">
        <v>8</v>
      </c>
      <c r="D32">
        <v>15</v>
      </c>
      <c r="E32">
        <v>1</v>
      </c>
      <c r="F32">
        <v>0</v>
      </c>
      <c r="G32">
        <v>1</v>
      </c>
      <c r="H32">
        <v>15</v>
      </c>
      <c r="I32" t="s">
        <v>2195</v>
      </c>
      <c r="J32">
        <v>9</v>
      </c>
    </row>
    <row r="33" spans="1:10" x14ac:dyDescent="0.25">
      <c r="A33" t="s">
        <v>2188</v>
      </c>
      <c r="B33" s="20" t="s">
        <v>1935</v>
      </c>
      <c r="C33" t="s">
        <v>8</v>
      </c>
      <c r="D33">
        <v>4</v>
      </c>
      <c r="E33">
        <v>1</v>
      </c>
      <c r="F33">
        <v>0</v>
      </c>
      <c r="G33">
        <v>1</v>
      </c>
      <c r="H33">
        <v>4</v>
      </c>
      <c r="I33" t="s">
        <v>2195</v>
      </c>
      <c r="J33">
        <v>10</v>
      </c>
    </row>
    <row r="34" spans="1:10" x14ac:dyDescent="0.25">
      <c r="A34" t="s">
        <v>2188</v>
      </c>
      <c r="B34" s="20" t="s">
        <v>1937</v>
      </c>
      <c r="C34" t="s">
        <v>8</v>
      </c>
      <c r="D34">
        <v>8</v>
      </c>
      <c r="E34">
        <v>1</v>
      </c>
      <c r="F34">
        <v>0</v>
      </c>
      <c r="G34">
        <v>1</v>
      </c>
      <c r="H34">
        <v>8</v>
      </c>
      <c r="I34" t="s">
        <v>2195</v>
      </c>
      <c r="J34">
        <v>11</v>
      </c>
    </row>
    <row r="35" spans="1:10" x14ac:dyDescent="0.25">
      <c r="A35" t="s">
        <v>2188</v>
      </c>
      <c r="B35" s="20" t="s">
        <v>885</v>
      </c>
      <c r="C35" t="s">
        <v>8</v>
      </c>
      <c r="D35">
        <v>91</v>
      </c>
      <c r="E35">
        <v>2</v>
      </c>
      <c r="F35">
        <v>0.05</v>
      </c>
      <c r="G35">
        <v>2.1</v>
      </c>
      <c r="H35">
        <v>191.1</v>
      </c>
      <c r="I35" t="s">
        <v>2195</v>
      </c>
      <c r="J35">
        <v>12</v>
      </c>
    </row>
    <row r="36" spans="1:10" x14ac:dyDescent="0.25">
      <c r="A36" t="s">
        <v>2188</v>
      </c>
      <c r="B36" s="20" t="s">
        <v>886</v>
      </c>
      <c r="C36" t="s">
        <v>8</v>
      </c>
      <c r="D36">
        <v>9.5</v>
      </c>
      <c r="E36">
        <v>2</v>
      </c>
      <c r="F36">
        <v>0.05</v>
      </c>
      <c r="G36">
        <v>2.1</v>
      </c>
      <c r="H36">
        <v>19.95</v>
      </c>
      <c r="I36" t="s">
        <v>2195</v>
      </c>
      <c r="J36">
        <v>13</v>
      </c>
    </row>
    <row r="37" spans="1:10" x14ac:dyDescent="0.25">
      <c r="A37" t="s">
        <v>2188</v>
      </c>
      <c r="B37" s="20" t="s">
        <v>887</v>
      </c>
      <c r="C37" t="s">
        <v>888</v>
      </c>
      <c r="D37">
        <v>8.4</v>
      </c>
      <c r="E37">
        <v>1</v>
      </c>
      <c r="F37">
        <v>0</v>
      </c>
      <c r="G37">
        <v>1</v>
      </c>
      <c r="H37">
        <v>8.4</v>
      </c>
      <c r="I37" t="s">
        <v>2195</v>
      </c>
      <c r="J37">
        <v>14</v>
      </c>
    </row>
    <row r="38" spans="1:10" x14ac:dyDescent="0.25">
      <c r="A38" t="s">
        <v>2188</v>
      </c>
      <c r="B38" s="20" t="s">
        <v>890</v>
      </c>
      <c r="C38" t="s">
        <v>8</v>
      </c>
      <c r="D38">
        <v>1</v>
      </c>
      <c r="E38">
        <v>1</v>
      </c>
      <c r="F38">
        <v>0</v>
      </c>
      <c r="G38">
        <v>1</v>
      </c>
      <c r="H38">
        <v>1</v>
      </c>
      <c r="I38" t="s">
        <v>2195</v>
      </c>
      <c r="J38">
        <v>15</v>
      </c>
    </row>
    <row r="39" spans="1:10" x14ac:dyDescent="0.25">
      <c r="A39" t="s">
        <v>2188</v>
      </c>
      <c r="B39" s="20" t="s">
        <v>934</v>
      </c>
      <c r="C39" t="s">
        <v>8</v>
      </c>
      <c r="D39">
        <v>22</v>
      </c>
      <c r="E39">
        <v>26</v>
      </c>
      <c r="F39">
        <v>0.05</v>
      </c>
      <c r="G39">
        <v>27.3</v>
      </c>
      <c r="H39">
        <v>600.6</v>
      </c>
      <c r="I39" t="s">
        <v>2196</v>
      </c>
      <c r="J39">
        <v>4</v>
      </c>
    </row>
    <row r="40" spans="1:10" x14ac:dyDescent="0.25">
      <c r="A40" t="s">
        <v>2188</v>
      </c>
      <c r="B40" s="20" t="s">
        <v>936</v>
      </c>
      <c r="C40" t="s">
        <v>937</v>
      </c>
      <c r="D40">
        <v>5.5</v>
      </c>
      <c r="E40">
        <v>958</v>
      </c>
      <c r="F40">
        <v>0.05</v>
      </c>
      <c r="G40">
        <v>1005.9000000000001</v>
      </c>
      <c r="H40">
        <v>5532.4500000000007</v>
      </c>
      <c r="I40" t="s">
        <v>2196</v>
      </c>
      <c r="J40">
        <v>5</v>
      </c>
    </row>
    <row r="41" spans="1:10" x14ac:dyDescent="0.25">
      <c r="A41" t="s">
        <v>2188</v>
      </c>
      <c r="B41" s="20" t="s">
        <v>1442</v>
      </c>
      <c r="C41" t="s">
        <v>8</v>
      </c>
      <c r="D41">
        <v>0.13</v>
      </c>
      <c r="E41">
        <v>1200</v>
      </c>
      <c r="F41">
        <v>0.05</v>
      </c>
      <c r="G41">
        <v>1260</v>
      </c>
      <c r="H41">
        <v>163.80000000000001</v>
      </c>
      <c r="I41" t="s">
        <v>2196</v>
      </c>
      <c r="J41">
        <v>6</v>
      </c>
    </row>
    <row r="42" spans="1:10" x14ac:dyDescent="0.25">
      <c r="A42" t="s">
        <v>2188</v>
      </c>
      <c r="B42" s="20" t="s">
        <v>940</v>
      </c>
      <c r="C42" t="s">
        <v>8</v>
      </c>
      <c r="D42">
        <v>28</v>
      </c>
      <c r="E42">
        <v>10</v>
      </c>
      <c r="F42">
        <v>0.05</v>
      </c>
      <c r="G42">
        <v>10.5</v>
      </c>
      <c r="H42">
        <v>294</v>
      </c>
      <c r="I42" t="s">
        <v>2196</v>
      </c>
      <c r="J42">
        <v>7</v>
      </c>
    </row>
    <row r="43" spans="1:10" x14ac:dyDescent="0.25">
      <c r="A43" t="s">
        <v>2188</v>
      </c>
      <c r="B43" s="20" t="s">
        <v>941</v>
      </c>
      <c r="C43" t="s">
        <v>256</v>
      </c>
      <c r="D43">
        <v>15</v>
      </c>
      <c r="E43">
        <v>3</v>
      </c>
      <c r="F43">
        <v>0.05</v>
      </c>
      <c r="G43">
        <v>3.1500000000000004</v>
      </c>
      <c r="H43">
        <v>47.250000000000007</v>
      </c>
      <c r="I43" t="s">
        <v>2196</v>
      </c>
      <c r="J43">
        <v>8</v>
      </c>
    </row>
    <row r="44" spans="1:10" x14ac:dyDescent="0.25">
      <c r="A44" t="s">
        <v>2188</v>
      </c>
      <c r="B44" s="20" t="s">
        <v>1443</v>
      </c>
      <c r="C44" t="s">
        <v>652</v>
      </c>
      <c r="D44">
        <v>45</v>
      </c>
      <c r="E44">
        <v>8</v>
      </c>
      <c r="F44">
        <v>0.05</v>
      </c>
      <c r="G44">
        <v>8.4</v>
      </c>
      <c r="H44">
        <v>378</v>
      </c>
      <c r="I44" t="s">
        <v>2196</v>
      </c>
      <c r="J44">
        <v>9</v>
      </c>
    </row>
    <row r="45" spans="1:10" x14ac:dyDescent="0.25">
      <c r="A45" t="s">
        <v>2188</v>
      </c>
      <c r="B45" s="20" t="s">
        <v>1445</v>
      </c>
      <c r="C45" t="s">
        <v>8</v>
      </c>
      <c r="D45">
        <v>7.5</v>
      </c>
      <c r="E45">
        <v>24</v>
      </c>
      <c r="F45">
        <v>0.05</v>
      </c>
      <c r="G45">
        <v>25.200000000000003</v>
      </c>
      <c r="H45">
        <v>189.00000000000003</v>
      </c>
      <c r="I45" t="s">
        <v>2196</v>
      </c>
      <c r="J45">
        <v>10</v>
      </c>
    </row>
    <row r="46" spans="1:10" x14ac:dyDescent="0.25">
      <c r="A46" t="s">
        <v>2188</v>
      </c>
      <c r="B46" s="20" t="s">
        <v>1446</v>
      </c>
      <c r="C46" t="s">
        <v>8</v>
      </c>
      <c r="D46">
        <v>10</v>
      </c>
      <c r="E46">
        <v>4</v>
      </c>
      <c r="F46">
        <v>0</v>
      </c>
      <c r="G46">
        <v>4</v>
      </c>
      <c r="H46">
        <v>40</v>
      </c>
      <c r="I46" t="s">
        <v>2196</v>
      </c>
      <c r="J46">
        <v>11</v>
      </c>
    </row>
    <row r="47" spans="1:10" x14ac:dyDescent="0.25">
      <c r="A47" t="s">
        <v>2188</v>
      </c>
      <c r="B47" s="20" t="s">
        <v>1449</v>
      </c>
      <c r="C47" t="s">
        <v>652</v>
      </c>
      <c r="D47">
        <v>59</v>
      </c>
      <c r="E47">
        <v>4</v>
      </c>
      <c r="F47">
        <v>0.05</v>
      </c>
      <c r="G47">
        <v>4.2</v>
      </c>
      <c r="H47">
        <v>247.8</v>
      </c>
      <c r="I47" t="s">
        <v>2196</v>
      </c>
      <c r="J47">
        <v>12</v>
      </c>
    </row>
    <row r="48" spans="1:10" x14ac:dyDescent="0.25">
      <c r="A48" t="s">
        <v>2188</v>
      </c>
      <c r="B48" s="20" t="s">
        <v>1451</v>
      </c>
      <c r="C48" t="s">
        <v>8</v>
      </c>
      <c r="D48">
        <v>6.2</v>
      </c>
      <c r="E48">
        <v>4</v>
      </c>
      <c r="F48">
        <v>0.05</v>
      </c>
      <c r="G48">
        <v>4.2</v>
      </c>
      <c r="H48">
        <v>26.040000000000003</v>
      </c>
      <c r="I48" t="s">
        <v>2196</v>
      </c>
      <c r="J48">
        <v>13</v>
      </c>
    </row>
    <row r="49" spans="1:10" x14ac:dyDescent="0.25">
      <c r="A49" t="s">
        <v>2188</v>
      </c>
      <c r="B49" s="20" t="s">
        <v>1453</v>
      </c>
      <c r="C49" t="s">
        <v>8</v>
      </c>
      <c r="D49">
        <v>5.6</v>
      </c>
      <c r="E49">
        <v>8</v>
      </c>
      <c r="F49">
        <v>0.05</v>
      </c>
      <c r="G49">
        <v>8.4</v>
      </c>
      <c r="H49">
        <v>47.04</v>
      </c>
      <c r="I49" t="s">
        <v>2196</v>
      </c>
      <c r="J49">
        <v>14</v>
      </c>
    </row>
    <row r="50" spans="1:10" x14ac:dyDescent="0.25">
      <c r="A50" t="s">
        <v>2188</v>
      </c>
      <c r="B50" s="20" t="s">
        <v>943</v>
      </c>
      <c r="C50" t="s">
        <v>8</v>
      </c>
      <c r="D50">
        <v>3</v>
      </c>
      <c r="E50">
        <v>12</v>
      </c>
      <c r="F50">
        <v>0.05</v>
      </c>
      <c r="G50">
        <v>12.600000000000001</v>
      </c>
      <c r="H50">
        <v>37.800000000000004</v>
      </c>
      <c r="I50" t="s">
        <v>2196</v>
      </c>
      <c r="J50">
        <v>15</v>
      </c>
    </row>
    <row r="51" spans="1:10" x14ac:dyDescent="0.25">
      <c r="A51" t="s">
        <v>2188</v>
      </c>
      <c r="B51" s="20" t="s">
        <v>2005</v>
      </c>
      <c r="C51" t="s">
        <v>9</v>
      </c>
      <c r="D51">
        <v>24</v>
      </c>
      <c r="E51">
        <v>12</v>
      </c>
      <c r="F51">
        <v>0.05</v>
      </c>
      <c r="G51">
        <v>12.600000000000001</v>
      </c>
      <c r="H51">
        <v>302.40000000000003</v>
      </c>
      <c r="I51" t="s">
        <v>2494</v>
      </c>
      <c r="J51">
        <v>4</v>
      </c>
    </row>
    <row r="52" spans="1:10" x14ac:dyDescent="0.25">
      <c r="A52" t="s">
        <v>2188</v>
      </c>
      <c r="B52" s="20" t="s">
        <v>662</v>
      </c>
      <c r="C52" t="s">
        <v>11</v>
      </c>
      <c r="D52">
        <v>850</v>
      </c>
      <c r="E52">
        <v>0.2</v>
      </c>
      <c r="F52">
        <v>0.05</v>
      </c>
      <c r="G52">
        <v>0.21000000000000002</v>
      </c>
      <c r="H52">
        <v>178.50000000000003</v>
      </c>
      <c r="I52" t="s">
        <v>2494</v>
      </c>
      <c r="J52">
        <v>5</v>
      </c>
    </row>
    <row r="53" spans="1:10" x14ac:dyDescent="0.25">
      <c r="A53" t="s">
        <v>2188</v>
      </c>
      <c r="B53" s="20" t="s">
        <v>795</v>
      </c>
      <c r="C53" t="s">
        <v>591</v>
      </c>
      <c r="D53">
        <v>22</v>
      </c>
      <c r="E53">
        <v>2</v>
      </c>
      <c r="F53">
        <v>0.05</v>
      </c>
      <c r="G53">
        <v>2.1</v>
      </c>
      <c r="H53">
        <v>46.2</v>
      </c>
      <c r="I53" t="s">
        <v>2494</v>
      </c>
      <c r="J53">
        <v>6</v>
      </c>
    </row>
    <row r="54" spans="1:10" x14ac:dyDescent="0.25">
      <c r="A54" t="s">
        <v>2188</v>
      </c>
      <c r="B54" s="20" t="s">
        <v>592</v>
      </c>
      <c r="C54" t="s">
        <v>591</v>
      </c>
      <c r="D54">
        <v>15</v>
      </c>
      <c r="E54">
        <v>2</v>
      </c>
      <c r="F54">
        <v>0.05</v>
      </c>
      <c r="G54">
        <v>2.1</v>
      </c>
      <c r="H54">
        <v>31.5</v>
      </c>
      <c r="I54" t="s">
        <v>2494</v>
      </c>
      <c r="J54">
        <v>7</v>
      </c>
    </row>
    <row r="55" spans="1:10" x14ac:dyDescent="0.25">
      <c r="A55" t="s">
        <v>2188</v>
      </c>
      <c r="B55" s="20" t="s">
        <v>594</v>
      </c>
      <c r="C55" t="s">
        <v>595</v>
      </c>
      <c r="D55">
        <v>45</v>
      </c>
      <c r="E55">
        <v>2</v>
      </c>
      <c r="F55">
        <v>0.05</v>
      </c>
      <c r="G55">
        <v>2.1</v>
      </c>
      <c r="H55">
        <v>94.5</v>
      </c>
      <c r="I55" t="s">
        <v>2494</v>
      </c>
      <c r="J55">
        <v>8</v>
      </c>
    </row>
    <row r="56" spans="1:10" x14ac:dyDescent="0.25">
      <c r="A56" t="s">
        <v>2188</v>
      </c>
      <c r="B56" s="20" t="s">
        <v>651</v>
      </c>
      <c r="C56" t="s">
        <v>652</v>
      </c>
      <c r="D56">
        <v>15</v>
      </c>
      <c r="E56">
        <v>4</v>
      </c>
      <c r="F56">
        <v>0.05</v>
      </c>
      <c r="G56">
        <v>4.2</v>
      </c>
      <c r="H56">
        <v>63</v>
      </c>
      <c r="I56" t="s">
        <v>2494</v>
      </c>
      <c r="J56">
        <v>9</v>
      </c>
    </row>
    <row r="57" spans="1:10" x14ac:dyDescent="0.25">
      <c r="A57" t="s">
        <v>2188</v>
      </c>
      <c r="B57" s="20" t="s">
        <v>2024</v>
      </c>
      <c r="C57" t="s">
        <v>10</v>
      </c>
      <c r="D57">
        <v>300</v>
      </c>
      <c r="E57">
        <v>3</v>
      </c>
      <c r="F57">
        <v>0</v>
      </c>
      <c r="G57">
        <v>3</v>
      </c>
      <c r="H57">
        <v>900</v>
      </c>
      <c r="I57" t="s">
        <v>2197</v>
      </c>
      <c r="J57">
        <v>4</v>
      </c>
    </row>
    <row r="58" spans="1:10" x14ac:dyDescent="0.25">
      <c r="A58" t="s">
        <v>2188</v>
      </c>
      <c r="B58" s="20" t="s">
        <v>2026</v>
      </c>
      <c r="C58" t="s">
        <v>10</v>
      </c>
      <c r="D58">
        <v>240</v>
      </c>
      <c r="E58">
        <v>1</v>
      </c>
      <c r="F58">
        <v>0</v>
      </c>
      <c r="G58">
        <v>1</v>
      </c>
      <c r="H58">
        <v>240</v>
      </c>
      <c r="I58" t="s">
        <v>2197</v>
      </c>
      <c r="J58">
        <v>5</v>
      </c>
    </row>
    <row r="59" spans="1:10" x14ac:dyDescent="0.25">
      <c r="A59" t="s">
        <v>2188</v>
      </c>
      <c r="B59" s="20" t="s">
        <v>2029</v>
      </c>
      <c r="C59" t="s">
        <v>10</v>
      </c>
      <c r="D59">
        <v>800</v>
      </c>
      <c r="E59">
        <v>1</v>
      </c>
      <c r="F59">
        <v>0</v>
      </c>
      <c r="G59">
        <v>1</v>
      </c>
      <c r="H59">
        <v>800</v>
      </c>
      <c r="I59" t="s">
        <v>2197</v>
      </c>
      <c r="J59">
        <v>6</v>
      </c>
    </row>
    <row r="60" spans="1:10" x14ac:dyDescent="0.25">
      <c r="A60" t="s">
        <v>2188</v>
      </c>
      <c r="B60" s="20" t="s">
        <v>2031</v>
      </c>
      <c r="C60" t="s">
        <v>10</v>
      </c>
      <c r="D60">
        <v>180</v>
      </c>
      <c r="E60">
        <v>3</v>
      </c>
      <c r="F60">
        <v>0</v>
      </c>
      <c r="G60">
        <v>3</v>
      </c>
      <c r="H60">
        <v>540</v>
      </c>
      <c r="I60" t="s">
        <v>2197</v>
      </c>
      <c r="J60">
        <v>7</v>
      </c>
    </row>
    <row r="61" spans="1:10" x14ac:dyDescent="0.25">
      <c r="A61" t="s">
        <v>2188</v>
      </c>
      <c r="B61" s="20" t="s">
        <v>2033</v>
      </c>
      <c r="C61" t="s">
        <v>10</v>
      </c>
      <c r="D61">
        <v>170</v>
      </c>
      <c r="E61">
        <v>1</v>
      </c>
      <c r="F61">
        <v>0</v>
      </c>
      <c r="G61">
        <v>1</v>
      </c>
      <c r="H61">
        <v>170</v>
      </c>
      <c r="I61" t="s">
        <v>2197</v>
      </c>
      <c r="J61">
        <v>8</v>
      </c>
    </row>
    <row r="62" spans="1:10" x14ac:dyDescent="0.25">
      <c r="A62" t="s">
        <v>2188</v>
      </c>
      <c r="B62" s="20" t="s">
        <v>1215</v>
      </c>
      <c r="C62" t="s">
        <v>8</v>
      </c>
      <c r="D62">
        <v>150</v>
      </c>
      <c r="E62">
        <v>1</v>
      </c>
      <c r="F62">
        <v>0</v>
      </c>
      <c r="G62">
        <v>1</v>
      </c>
      <c r="H62">
        <v>150</v>
      </c>
      <c r="I62" t="s">
        <v>2197</v>
      </c>
      <c r="J62">
        <v>9</v>
      </c>
    </row>
    <row r="63" spans="1:10" x14ac:dyDescent="0.25">
      <c r="A63" t="s">
        <v>2188</v>
      </c>
      <c r="B63" s="20" t="s">
        <v>651</v>
      </c>
      <c r="C63" t="s">
        <v>652</v>
      </c>
      <c r="D63">
        <v>15</v>
      </c>
      <c r="E63">
        <v>2</v>
      </c>
      <c r="F63">
        <v>0.05</v>
      </c>
      <c r="G63">
        <v>2.1</v>
      </c>
      <c r="H63">
        <v>31.5</v>
      </c>
      <c r="I63" t="s">
        <v>2197</v>
      </c>
      <c r="J63">
        <v>10</v>
      </c>
    </row>
    <row r="64" spans="1:10" x14ac:dyDescent="0.25">
      <c r="A64" t="s">
        <v>2188</v>
      </c>
      <c r="B64" s="20" t="s">
        <v>2198</v>
      </c>
      <c r="C64" t="s">
        <v>644</v>
      </c>
      <c r="D64">
        <v>160</v>
      </c>
      <c r="E64">
        <v>0.05</v>
      </c>
      <c r="F64">
        <v>0</v>
      </c>
      <c r="G64">
        <v>0.05</v>
      </c>
      <c r="H64">
        <v>8</v>
      </c>
      <c r="I64" t="s">
        <v>2197</v>
      </c>
      <c r="J64">
        <v>11</v>
      </c>
    </row>
    <row r="65" spans="1:10" x14ac:dyDescent="0.25">
      <c r="A65" t="s">
        <v>2188</v>
      </c>
      <c r="B65" s="20" t="s">
        <v>1219</v>
      </c>
      <c r="C65" t="s">
        <v>28</v>
      </c>
      <c r="D65">
        <v>94</v>
      </c>
      <c r="E65">
        <v>0.05</v>
      </c>
      <c r="F65">
        <v>0</v>
      </c>
      <c r="G65">
        <v>0.05</v>
      </c>
      <c r="H65">
        <v>4.7</v>
      </c>
      <c r="I65" t="s">
        <v>2197</v>
      </c>
      <c r="J65">
        <v>12</v>
      </c>
    </row>
    <row r="66" spans="1:10" x14ac:dyDescent="0.25">
      <c r="A66" t="s">
        <v>2188</v>
      </c>
      <c r="B66" s="20" t="s">
        <v>1220</v>
      </c>
      <c r="C66" t="s">
        <v>8</v>
      </c>
      <c r="D66">
        <v>0.3</v>
      </c>
      <c r="E66">
        <v>2</v>
      </c>
      <c r="F66">
        <v>0.1</v>
      </c>
      <c r="G66">
        <v>2.2000000000000002</v>
      </c>
      <c r="H66">
        <v>0.66</v>
      </c>
      <c r="I66" t="s">
        <v>2197</v>
      </c>
      <c r="J66">
        <v>13</v>
      </c>
    </row>
    <row r="67" spans="1:10" x14ac:dyDescent="0.25">
      <c r="A67" t="s">
        <v>2188</v>
      </c>
      <c r="B67" s="20" t="s">
        <v>1221</v>
      </c>
      <c r="C67" t="s">
        <v>8</v>
      </c>
      <c r="D67">
        <v>0.3</v>
      </c>
      <c r="E67">
        <v>2</v>
      </c>
      <c r="F67">
        <v>0.1</v>
      </c>
      <c r="G67">
        <v>2.2000000000000002</v>
      </c>
      <c r="H67">
        <v>0.66</v>
      </c>
      <c r="I67" t="s">
        <v>2197</v>
      </c>
      <c r="J67">
        <v>14</v>
      </c>
    </row>
    <row r="68" spans="1:10" x14ac:dyDescent="0.25">
      <c r="A68" t="s">
        <v>2188</v>
      </c>
      <c r="B68" s="20" t="s">
        <v>1222</v>
      </c>
      <c r="C68" t="s">
        <v>8</v>
      </c>
      <c r="D68">
        <v>0.3</v>
      </c>
      <c r="E68">
        <v>2</v>
      </c>
      <c r="F68">
        <v>0.1</v>
      </c>
      <c r="G68">
        <v>2.2000000000000002</v>
      </c>
      <c r="H68">
        <v>0.66</v>
      </c>
      <c r="I68" t="s">
        <v>2197</v>
      </c>
      <c r="J68">
        <v>15</v>
      </c>
    </row>
    <row r="69" spans="1:10" x14ac:dyDescent="0.25">
      <c r="A69" t="s">
        <v>2188</v>
      </c>
      <c r="B69" s="20" t="s">
        <v>1225</v>
      </c>
      <c r="C69" t="s">
        <v>8</v>
      </c>
      <c r="D69">
        <v>0.85</v>
      </c>
      <c r="E69">
        <v>3</v>
      </c>
      <c r="F69">
        <v>0.05</v>
      </c>
      <c r="G69">
        <v>3.1500000000000004</v>
      </c>
      <c r="H69">
        <v>2.6775000000000002</v>
      </c>
      <c r="I69" t="s">
        <v>2197</v>
      </c>
      <c r="J69">
        <v>16</v>
      </c>
    </row>
    <row r="70" spans="1:10" x14ac:dyDescent="0.25">
      <c r="A70" t="s">
        <v>2188</v>
      </c>
      <c r="B70" s="20" t="s">
        <v>1227</v>
      </c>
      <c r="C70" t="s">
        <v>10</v>
      </c>
      <c r="D70">
        <v>60</v>
      </c>
      <c r="E70">
        <v>1</v>
      </c>
      <c r="F70">
        <v>0</v>
      </c>
      <c r="G70">
        <v>1</v>
      </c>
      <c r="H70">
        <v>60</v>
      </c>
      <c r="I70" t="s">
        <v>2197</v>
      </c>
      <c r="J70">
        <v>17</v>
      </c>
    </row>
    <row r="71" spans="1:10" x14ac:dyDescent="0.25">
      <c r="A71" t="s">
        <v>2188</v>
      </c>
      <c r="B71" s="20" t="s">
        <v>1290</v>
      </c>
      <c r="C71" t="s">
        <v>595</v>
      </c>
      <c r="D71">
        <v>13</v>
      </c>
      <c r="E71">
        <v>5</v>
      </c>
      <c r="F71">
        <v>0.05</v>
      </c>
      <c r="G71">
        <v>5.25</v>
      </c>
      <c r="H71">
        <v>68.25</v>
      </c>
      <c r="I71" t="s">
        <v>2199</v>
      </c>
      <c r="J71">
        <v>4</v>
      </c>
    </row>
    <row r="72" spans="1:10" x14ac:dyDescent="0.25">
      <c r="A72" t="s">
        <v>2188</v>
      </c>
      <c r="B72" s="20" t="s">
        <v>1291</v>
      </c>
      <c r="C72" t="s">
        <v>652</v>
      </c>
      <c r="D72">
        <v>3.5</v>
      </c>
      <c r="E72">
        <v>30</v>
      </c>
      <c r="F72">
        <v>0.05</v>
      </c>
      <c r="G72">
        <v>31.5</v>
      </c>
      <c r="H72">
        <v>110.25</v>
      </c>
      <c r="I72" t="s">
        <v>2199</v>
      </c>
      <c r="J72">
        <v>5</v>
      </c>
    </row>
    <row r="73" spans="1:10" x14ac:dyDescent="0.25">
      <c r="A73" t="s">
        <v>2188</v>
      </c>
      <c r="B73" s="20" t="s">
        <v>1292</v>
      </c>
      <c r="C73" t="s">
        <v>8</v>
      </c>
      <c r="D73">
        <v>20</v>
      </c>
      <c r="E73">
        <v>12</v>
      </c>
      <c r="F73">
        <v>0.05</v>
      </c>
      <c r="G73">
        <v>12.600000000000001</v>
      </c>
      <c r="H73">
        <v>252.00000000000003</v>
      </c>
      <c r="I73" t="s">
        <v>2199</v>
      </c>
      <c r="J73">
        <v>6</v>
      </c>
    </row>
    <row r="74" spans="1:10" x14ac:dyDescent="0.25">
      <c r="A74" t="s">
        <v>2188</v>
      </c>
      <c r="B74" s="20" t="s">
        <v>1293</v>
      </c>
      <c r="C74" t="s">
        <v>652</v>
      </c>
      <c r="D74">
        <v>8.5</v>
      </c>
      <c r="E74">
        <v>12</v>
      </c>
      <c r="F74">
        <v>0.05</v>
      </c>
      <c r="G74">
        <v>12.600000000000001</v>
      </c>
      <c r="H74">
        <v>107.10000000000001</v>
      </c>
      <c r="I74" t="s">
        <v>2199</v>
      </c>
      <c r="J74">
        <v>7</v>
      </c>
    </row>
    <row r="75" spans="1:10" x14ac:dyDescent="0.25">
      <c r="A75" t="s">
        <v>2188</v>
      </c>
      <c r="B75" s="20" t="s">
        <v>1295</v>
      </c>
      <c r="C75" t="s">
        <v>8</v>
      </c>
      <c r="D75">
        <v>3</v>
      </c>
      <c r="E75">
        <v>2</v>
      </c>
      <c r="F75">
        <v>0.05</v>
      </c>
      <c r="G75">
        <v>2.1</v>
      </c>
      <c r="H75">
        <v>6.3000000000000007</v>
      </c>
      <c r="I75" t="s">
        <v>2199</v>
      </c>
      <c r="J75">
        <v>8</v>
      </c>
    </row>
    <row r="76" spans="1:10" x14ac:dyDescent="0.25">
      <c r="A76" t="s">
        <v>2188</v>
      </c>
      <c r="B76" s="20" t="s">
        <v>41</v>
      </c>
      <c r="C76" t="s">
        <v>9</v>
      </c>
      <c r="D76">
        <v>16.5</v>
      </c>
      <c r="E76">
        <v>3</v>
      </c>
      <c r="F76">
        <v>0.05</v>
      </c>
      <c r="G76">
        <v>3.1500000000000004</v>
      </c>
      <c r="H76">
        <v>51.975000000000009</v>
      </c>
      <c r="I76" t="s">
        <v>2199</v>
      </c>
      <c r="J76">
        <v>9</v>
      </c>
    </row>
    <row r="77" spans="1:10" x14ac:dyDescent="0.25">
      <c r="A77" t="s">
        <v>2188</v>
      </c>
      <c r="B77" s="20" t="s">
        <v>1297</v>
      </c>
      <c r="C77" t="s">
        <v>8</v>
      </c>
      <c r="D77">
        <v>13</v>
      </c>
      <c r="E77">
        <v>2</v>
      </c>
      <c r="F77">
        <v>0</v>
      </c>
      <c r="G77">
        <v>2</v>
      </c>
      <c r="H77">
        <v>26</v>
      </c>
      <c r="I77" t="s">
        <v>2199</v>
      </c>
      <c r="J77">
        <v>10</v>
      </c>
    </row>
    <row r="78" spans="1:10" x14ac:dyDescent="0.25">
      <c r="A78" t="s">
        <v>2188</v>
      </c>
      <c r="B78" s="20" t="s">
        <v>1548</v>
      </c>
      <c r="C78" t="s">
        <v>8</v>
      </c>
      <c r="D78">
        <v>15</v>
      </c>
      <c r="E78">
        <v>84</v>
      </c>
      <c r="F78">
        <v>0</v>
      </c>
      <c r="G78">
        <v>84</v>
      </c>
      <c r="H78">
        <v>1260</v>
      </c>
      <c r="I78" t="s">
        <v>2200</v>
      </c>
      <c r="J78">
        <v>4</v>
      </c>
    </row>
    <row r="79" spans="1:10" x14ac:dyDescent="0.25">
      <c r="A79" t="s">
        <v>2188</v>
      </c>
      <c r="B79" s="20" t="s">
        <v>1550</v>
      </c>
      <c r="C79" t="s">
        <v>8</v>
      </c>
      <c r="D79">
        <v>4.5</v>
      </c>
      <c r="E79">
        <v>75</v>
      </c>
      <c r="F79">
        <v>0</v>
      </c>
      <c r="G79">
        <v>75</v>
      </c>
      <c r="H79">
        <v>337.5</v>
      </c>
      <c r="I79" t="s">
        <v>2200</v>
      </c>
      <c r="J79">
        <v>5</v>
      </c>
    </row>
    <row r="80" spans="1:10" x14ac:dyDescent="0.25">
      <c r="A80" t="s">
        <v>2188</v>
      </c>
      <c r="B80" s="20" t="s">
        <v>1550</v>
      </c>
      <c r="C80" t="s">
        <v>8</v>
      </c>
      <c r="D80">
        <v>4.5</v>
      </c>
      <c r="E80">
        <v>198</v>
      </c>
      <c r="F80">
        <v>0</v>
      </c>
      <c r="G80">
        <v>198</v>
      </c>
      <c r="H80">
        <v>891</v>
      </c>
      <c r="I80" t="s">
        <v>2200</v>
      </c>
      <c r="J80">
        <v>6</v>
      </c>
    </row>
    <row r="81" spans="1:10" x14ac:dyDescent="0.25">
      <c r="A81" t="s">
        <v>2188</v>
      </c>
      <c r="B81" s="20" t="s">
        <v>7</v>
      </c>
      <c r="C81" t="s">
        <v>8</v>
      </c>
      <c r="D81">
        <v>6.5</v>
      </c>
      <c r="E81">
        <v>132</v>
      </c>
      <c r="F81">
        <v>0</v>
      </c>
      <c r="G81">
        <v>132</v>
      </c>
      <c r="H81">
        <v>858</v>
      </c>
      <c r="I81" t="s">
        <v>2200</v>
      </c>
      <c r="J81">
        <v>7</v>
      </c>
    </row>
    <row r="82" spans="1:10" x14ac:dyDescent="0.25">
      <c r="A82" t="s">
        <v>2188</v>
      </c>
      <c r="B82" s="20" t="s">
        <v>7</v>
      </c>
      <c r="C82" t="s">
        <v>8</v>
      </c>
      <c r="D82">
        <v>6.5</v>
      </c>
      <c r="E82">
        <v>34</v>
      </c>
      <c r="F82">
        <v>0</v>
      </c>
      <c r="G82">
        <v>34</v>
      </c>
      <c r="H82">
        <v>221</v>
      </c>
      <c r="I82" t="s">
        <v>2200</v>
      </c>
      <c r="J82">
        <v>8</v>
      </c>
    </row>
    <row r="83" spans="1:10" x14ac:dyDescent="0.25">
      <c r="A83" t="s">
        <v>2188</v>
      </c>
      <c r="B83" s="20" t="s">
        <v>38</v>
      </c>
      <c r="C83" t="s">
        <v>9</v>
      </c>
      <c r="D83">
        <v>25</v>
      </c>
      <c r="E83">
        <v>29</v>
      </c>
      <c r="F83">
        <v>0</v>
      </c>
      <c r="G83">
        <v>29</v>
      </c>
      <c r="H83">
        <v>725</v>
      </c>
      <c r="I83" t="s">
        <v>2200</v>
      </c>
      <c r="J83">
        <v>9</v>
      </c>
    </row>
    <row r="84" spans="1:10" x14ac:dyDescent="0.25">
      <c r="A84" t="s">
        <v>2188</v>
      </c>
      <c r="B84" s="20" t="s">
        <v>1558</v>
      </c>
      <c r="C84" t="s">
        <v>1559</v>
      </c>
      <c r="D84">
        <v>1</v>
      </c>
      <c r="E84">
        <v>12</v>
      </c>
      <c r="F84">
        <v>0</v>
      </c>
      <c r="G84">
        <v>12</v>
      </c>
      <c r="H84">
        <v>12</v>
      </c>
      <c r="I84" t="s">
        <v>2200</v>
      </c>
      <c r="J84">
        <v>10</v>
      </c>
    </row>
    <row r="85" spans="1:10" x14ac:dyDescent="0.25">
      <c r="A85" t="s">
        <v>2188</v>
      </c>
      <c r="B85" s="20" t="s">
        <v>39</v>
      </c>
      <c r="C85" t="s">
        <v>9</v>
      </c>
      <c r="D85">
        <v>18</v>
      </c>
      <c r="E85">
        <v>12</v>
      </c>
      <c r="F85">
        <v>0</v>
      </c>
      <c r="G85">
        <v>12</v>
      </c>
      <c r="H85">
        <v>216</v>
      </c>
      <c r="I85" t="s">
        <v>2200</v>
      </c>
      <c r="J85">
        <v>11</v>
      </c>
    </row>
    <row r="86" spans="1:10" x14ac:dyDescent="0.25">
      <c r="A86" t="s">
        <v>2188</v>
      </c>
      <c r="B86" s="20" t="s">
        <v>2005</v>
      </c>
      <c r="C86" t="s">
        <v>9</v>
      </c>
      <c r="D86">
        <v>24</v>
      </c>
      <c r="E86">
        <v>3</v>
      </c>
      <c r="F86">
        <v>0</v>
      </c>
      <c r="G86">
        <v>3</v>
      </c>
      <c r="H86">
        <v>72</v>
      </c>
      <c r="I86" t="s">
        <v>2200</v>
      </c>
      <c r="J86">
        <v>12</v>
      </c>
    </row>
    <row r="87" spans="1:10" x14ac:dyDescent="0.25">
      <c r="A87" t="s">
        <v>2188</v>
      </c>
      <c r="B87" s="20" t="s">
        <v>1564</v>
      </c>
      <c r="C87" t="s">
        <v>40</v>
      </c>
      <c r="D87">
        <v>80</v>
      </c>
      <c r="E87">
        <v>2</v>
      </c>
      <c r="F87">
        <v>0</v>
      </c>
      <c r="G87">
        <v>2</v>
      </c>
      <c r="H87">
        <v>160</v>
      </c>
      <c r="I87" t="s">
        <v>2200</v>
      </c>
      <c r="J87">
        <v>13</v>
      </c>
    </row>
    <row r="88" spans="1:10" x14ac:dyDescent="0.25">
      <c r="A88" t="s">
        <v>2188</v>
      </c>
      <c r="B88" s="20" t="s">
        <v>1653</v>
      </c>
      <c r="C88" t="s">
        <v>256</v>
      </c>
      <c r="D88">
        <v>92</v>
      </c>
      <c r="E88">
        <v>1</v>
      </c>
      <c r="F88">
        <v>0</v>
      </c>
      <c r="G88">
        <v>1</v>
      </c>
      <c r="H88">
        <v>92</v>
      </c>
      <c r="I88" t="s">
        <v>2201</v>
      </c>
      <c r="J88">
        <v>4</v>
      </c>
    </row>
    <row r="89" spans="1:10" x14ac:dyDescent="0.25">
      <c r="A89" t="s">
        <v>2188</v>
      </c>
      <c r="B89" s="20" t="s">
        <v>1654</v>
      </c>
      <c r="C89" t="s">
        <v>256</v>
      </c>
      <c r="D89">
        <v>92</v>
      </c>
      <c r="E89">
        <v>1</v>
      </c>
      <c r="F89">
        <v>0</v>
      </c>
      <c r="G89">
        <v>1</v>
      </c>
      <c r="H89">
        <v>92</v>
      </c>
      <c r="I89" t="s">
        <v>2201</v>
      </c>
      <c r="J89">
        <v>5</v>
      </c>
    </row>
    <row r="90" spans="1:10" x14ac:dyDescent="0.25">
      <c r="A90" t="s">
        <v>2188</v>
      </c>
      <c r="B90" s="20" t="s">
        <v>1656</v>
      </c>
      <c r="C90" t="s">
        <v>256</v>
      </c>
      <c r="D90">
        <v>146</v>
      </c>
      <c r="E90">
        <v>1</v>
      </c>
      <c r="F90">
        <v>0</v>
      </c>
      <c r="G90">
        <v>1</v>
      </c>
      <c r="H90">
        <v>146</v>
      </c>
      <c r="I90" t="s">
        <v>2201</v>
      </c>
      <c r="J90">
        <v>6</v>
      </c>
    </row>
    <row r="91" spans="1:10" x14ac:dyDescent="0.25">
      <c r="A91" t="s">
        <v>2188</v>
      </c>
      <c r="B91" s="20" t="s">
        <v>1657</v>
      </c>
      <c r="C91" t="s">
        <v>256</v>
      </c>
      <c r="D91">
        <v>146</v>
      </c>
      <c r="E91">
        <v>1</v>
      </c>
      <c r="F91">
        <v>0</v>
      </c>
      <c r="G91">
        <v>1</v>
      </c>
      <c r="H91">
        <v>146</v>
      </c>
      <c r="I91" t="s">
        <v>2201</v>
      </c>
      <c r="J91">
        <v>7</v>
      </c>
    </row>
    <row r="92" spans="1:10" x14ac:dyDescent="0.25">
      <c r="A92" t="s">
        <v>2188</v>
      </c>
      <c r="B92" s="20" t="s">
        <v>1658</v>
      </c>
      <c r="C92" t="s">
        <v>256</v>
      </c>
      <c r="D92">
        <v>146</v>
      </c>
      <c r="E92">
        <v>1</v>
      </c>
      <c r="F92">
        <v>0</v>
      </c>
      <c r="G92">
        <v>1</v>
      </c>
      <c r="H92">
        <v>146</v>
      </c>
      <c r="I92" t="s">
        <v>2201</v>
      </c>
      <c r="J92">
        <v>8</v>
      </c>
    </row>
    <row r="93" spans="1:10" x14ac:dyDescent="0.25">
      <c r="A93" t="s">
        <v>2188</v>
      </c>
      <c r="B93" s="20" t="s">
        <v>1661</v>
      </c>
      <c r="C93" t="s">
        <v>1662</v>
      </c>
      <c r="D93">
        <v>10.5</v>
      </c>
      <c r="E93">
        <v>15</v>
      </c>
      <c r="F93">
        <v>0</v>
      </c>
      <c r="G93">
        <v>15</v>
      </c>
      <c r="H93">
        <v>157.5</v>
      </c>
      <c r="I93" t="s">
        <v>2201</v>
      </c>
      <c r="J93">
        <v>9</v>
      </c>
    </row>
    <row r="94" spans="1:10" x14ac:dyDescent="0.25">
      <c r="A94" t="s">
        <v>2188</v>
      </c>
      <c r="B94" s="20" t="s">
        <v>1665</v>
      </c>
      <c r="C94" t="s">
        <v>652</v>
      </c>
      <c r="D94">
        <v>6.8</v>
      </c>
      <c r="E94">
        <v>15</v>
      </c>
      <c r="F94">
        <v>0</v>
      </c>
      <c r="G94">
        <v>15</v>
      </c>
      <c r="H94">
        <v>102</v>
      </c>
      <c r="I94" t="s">
        <v>2201</v>
      </c>
      <c r="J94">
        <v>10</v>
      </c>
    </row>
    <row r="95" spans="1:10" x14ac:dyDescent="0.25">
      <c r="A95" t="s">
        <v>2188</v>
      </c>
      <c r="B95" s="20" t="s">
        <v>1667</v>
      </c>
      <c r="C95" t="s">
        <v>652</v>
      </c>
      <c r="D95">
        <v>10.199999999999999</v>
      </c>
      <c r="E95">
        <v>12</v>
      </c>
      <c r="F95">
        <v>0</v>
      </c>
      <c r="G95">
        <v>12</v>
      </c>
      <c r="H95">
        <v>122.39999999999999</v>
      </c>
      <c r="I95" t="s">
        <v>2201</v>
      </c>
      <c r="J95">
        <v>11</v>
      </c>
    </row>
    <row r="96" spans="1:10" x14ac:dyDescent="0.25">
      <c r="A96" t="s">
        <v>2188</v>
      </c>
      <c r="B96" s="20" t="s">
        <v>1669</v>
      </c>
      <c r="C96" t="s">
        <v>888</v>
      </c>
      <c r="D96">
        <v>1.36</v>
      </c>
      <c r="E96">
        <v>2</v>
      </c>
      <c r="F96">
        <v>0</v>
      </c>
      <c r="G96">
        <v>2</v>
      </c>
      <c r="H96">
        <v>2.72</v>
      </c>
      <c r="I96" t="s">
        <v>2201</v>
      </c>
      <c r="J96">
        <v>12</v>
      </c>
    </row>
    <row r="97" spans="1:10" x14ac:dyDescent="0.25">
      <c r="A97" t="s">
        <v>2188</v>
      </c>
      <c r="B97" s="20" t="s">
        <v>1672</v>
      </c>
      <c r="C97" t="s">
        <v>30</v>
      </c>
      <c r="D97">
        <v>0.35</v>
      </c>
      <c r="E97">
        <v>15</v>
      </c>
      <c r="F97">
        <v>0</v>
      </c>
      <c r="G97">
        <v>15</v>
      </c>
      <c r="H97">
        <v>5.25</v>
      </c>
      <c r="I97" t="s">
        <v>2201</v>
      </c>
      <c r="J97">
        <v>13</v>
      </c>
    </row>
    <row r="98" spans="1:10" x14ac:dyDescent="0.25">
      <c r="A98" t="s">
        <v>2188</v>
      </c>
      <c r="B98" s="20" t="s">
        <v>1674</v>
      </c>
      <c r="C98" t="s">
        <v>30</v>
      </c>
      <c r="D98">
        <v>8.5</v>
      </c>
      <c r="E98">
        <v>10</v>
      </c>
      <c r="F98">
        <v>0</v>
      </c>
      <c r="G98">
        <v>10</v>
      </c>
      <c r="H98">
        <v>85</v>
      </c>
      <c r="I98" t="s">
        <v>2201</v>
      </c>
      <c r="J98">
        <v>14</v>
      </c>
    </row>
    <row r="99" spans="1:10" x14ac:dyDescent="0.25">
      <c r="A99" t="s">
        <v>2188</v>
      </c>
      <c r="B99" s="20" t="s">
        <v>1676</v>
      </c>
      <c r="C99" t="s">
        <v>30</v>
      </c>
      <c r="D99">
        <v>5.9</v>
      </c>
      <c r="E99">
        <v>5</v>
      </c>
      <c r="F99">
        <v>0</v>
      </c>
      <c r="G99">
        <v>5</v>
      </c>
      <c r="H99">
        <v>29.5</v>
      </c>
      <c r="I99" t="s">
        <v>2201</v>
      </c>
      <c r="J99">
        <v>15</v>
      </c>
    </row>
    <row r="100" spans="1:10" x14ac:dyDescent="0.25">
      <c r="A100" t="s">
        <v>2188</v>
      </c>
      <c r="B100" s="20" t="s">
        <v>42</v>
      </c>
      <c r="C100" t="s">
        <v>8</v>
      </c>
      <c r="D100">
        <v>9.9</v>
      </c>
      <c r="E100">
        <v>10</v>
      </c>
      <c r="F100">
        <v>0</v>
      </c>
      <c r="G100">
        <v>10</v>
      </c>
      <c r="H100">
        <v>99</v>
      </c>
      <c r="I100" t="s">
        <v>2201</v>
      </c>
      <c r="J100">
        <v>16</v>
      </c>
    </row>
    <row r="101" spans="1:10" x14ac:dyDescent="0.25">
      <c r="A101" t="s">
        <v>2188</v>
      </c>
      <c r="B101" s="20" t="s">
        <v>1679</v>
      </c>
      <c r="C101" t="s">
        <v>10</v>
      </c>
      <c r="D101">
        <v>13</v>
      </c>
      <c r="E101">
        <v>2</v>
      </c>
      <c r="F101">
        <v>0</v>
      </c>
      <c r="G101">
        <v>2</v>
      </c>
      <c r="H101">
        <v>26</v>
      </c>
      <c r="I101" t="s">
        <v>2201</v>
      </c>
      <c r="J101">
        <v>17</v>
      </c>
    </row>
    <row r="102" spans="1:10" x14ac:dyDescent="0.25">
      <c r="A102" t="s">
        <v>2188</v>
      </c>
      <c r="B102" s="20" t="s">
        <v>1682</v>
      </c>
      <c r="C102" t="s">
        <v>30</v>
      </c>
      <c r="D102">
        <v>185</v>
      </c>
      <c r="E102">
        <v>1</v>
      </c>
      <c r="F102">
        <v>0</v>
      </c>
      <c r="G102">
        <v>1</v>
      </c>
      <c r="H102">
        <v>185</v>
      </c>
      <c r="I102" t="s">
        <v>2201</v>
      </c>
      <c r="J102">
        <v>18</v>
      </c>
    </row>
    <row r="103" spans="1:10" x14ac:dyDescent="0.25">
      <c r="A103" t="s">
        <v>2188</v>
      </c>
      <c r="B103" s="20" t="s">
        <v>1684</v>
      </c>
      <c r="C103" t="s">
        <v>8</v>
      </c>
      <c r="D103">
        <v>4.5999999999999996</v>
      </c>
      <c r="E103">
        <v>4</v>
      </c>
      <c r="F103">
        <v>0</v>
      </c>
      <c r="G103">
        <v>4</v>
      </c>
      <c r="H103">
        <v>18.399999999999999</v>
      </c>
      <c r="I103" t="s">
        <v>2201</v>
      </c>
      <c r="J103">
        <v>19</v>
      </c>
    </row>
    <row r="104" spans="1:10" x14ac:dyDescent="0.25">
      <c r="A104" t="s">
        <v>2188</v>
      </c>
      <c r="B104" s="20" t="s">
        <v>1686</v>
      </c>
      <c r="C104" t="s">
        <v>8</v>
      </c>
      <c r="D104">
        <v>59</v>
      </c>
      <c r="E104">
        <v>1</v>
      </c>
      <c r="F104">
        <v>0</v>
      </c>
      <c r="G104">
        <v>1</v>
      </c>
      <c r="H104">
        <v>59</v>
      </c>
      <c r="I104" t="s">
        <v>2201</v>
      </c>
      <c r="J104">
        <v>20</v>
      </c>
    </row>
    <row r="105" spans="1:10" x14ac:dyDescent="0.25">
      <c r="A105" t="s">
        <v>2188</v>
      </c>
      <c r="B105" s="20" t="s">
        <v>1688</v>
      </c>
      <c r="C105" t="s">
        <v>8</v>
      </c>
      <c r="D105">
        <v>165</v>
      </c>
      <c r="E105">
        <v>1</v>
      </c>
      <c r="F105">
        <v>0</v>
      </c>
      <c r="G105">
        <v>1</v>
      </c>
      <c r="H105">
        <v>165</v>
      </c>
      <c r="I105" t="s">
        <v>2201</v>
      </c>
      <c r="J105">
        <v>21</v>
      </c>
    </row>
    <row r="106" spans="1:10" x14ac:dyDescent="0.25">
      <c r="A106" t="s">
        <v>2188</v>
      </c>
      <c r="B106" s="20" t="s">
        <v>1690</v>
      </c>
      <c r="C106" t="s">
        <v>652</v>
      </c>
      <c r="D106">
        <v>48</v>
      </c>
      <c r="E106">
        <v>1</v>
      </c>
      <c r="F106">
        <v>0</v>
      </c>
      <c r="G106">
        <v>1</v>
      </c>
      <c r="H106">
        <v>48</v>
      </c>
      <c r="I106" t="s">
        <v>2201</v>
      </c>
      <c r="J106">
        <v>22</v>
      </c>
    </row>
    <row r="107" spans="1:10" x14ac:dyDescent="0.25">
      <c r="A107" t="s">
        <v>2188</v>
      </c>
      <c r="B107" s="20" t="s">
        <v>1692</v>
      </c>
      <c r="C107" t="s">
        <v>8</v>
      </c>
      <c r="D107">
        <v>6.5</v>
      </c>
      <c r="E107">
        <v>1</v>
      </c>
      <c r="F107">
        <v>0</v>
      </c>
      <c r="G107">
        <v>1</v>
      </c>
      <c r="H107">
        <v>6.5</v>
      </c>
      <c r="I107" t="s">
        <v>2201</v>
      </c>
      <c r="J107">
        <v>23</v>
      </c>
    </row>
    <row r="108" spans="1:10" x14ac:dyDescent="0.25">
      <c r="A108" t="s">
        <v>2190</v>
      </c>
      <c r="B108" s="20" t="s">
        <v>251</v>
      </c>
      <c r="C108" t="s">
        <v>29</v>
      </c>
      <c r="D108">
        <v>22.5</v>
      </c>
      <c r="E108">
        <v>17</v>
      </c>
      <c r="F108">
        <v>0</v>
      </c>
      <c r="G108">
        <v>17</v>
      </c>
      <c r="H108">
        <v>382.5</v>
      </c>
      <c r="I108" t="s">
        <v>2201</v>
      </c>
      <c r="J108">
        <v>4</v>
      </c>
    </row>
    <row r="109" spans="1:10" x14ac:dyDescent="0.25">
      <c r="A109" t="s">
        <v>2190</v>
      </c>
      <c r="B109" s="20" t="s">
        <v>251</v>
      </c>
      <c r="C109" t="s">
        <v>29</v>
      </c>
      <c r="D109">
        <v>22.5</v>
      </c>
      <c r="E109">
        <v>9</v>
      </c>
      <c r="F109">
        <v>0</v>
      </c>
      <c r="G109">
        <v>9</v>
      </c>
      <c r="H109">
        <v>202.5</v>
      </c>
      <c r="I109" t="s">
        <v>2201</v>
      </c>
      <c r="J109">
        <v>5</v>
      </c>
    </row>
    <row r="110" spans="1:10" x14ac:dyDescent="0.25">
      <c r="A110" t="s">
        <v>2188</v>
      </c>
      <c r="B110" s="20" t="s">
        <v>1794</v>
      </c>
      <c r="C110" t="s">
        <v>644</v>
      </c>
      <c r="D110">
        <v>80</v>
      </c>
      <c r="E110">
        <v>2</v>
      </c>
      <c r="F110">
        <v>0.05</v>
      </c>
      <c r="G110">
        <v>2.1</v>
      </c>
      <c r="H110">
        <v>168</v>
      </c>
      <c r="I110" t="s">
        <v>2202</v>
      </c>
      <c r="J110">
        <v>4</v>
      </c>
    </row>
    <row r="111" spans="1:10" x14ac:dyDescent="0.25">
      <c r="A111" t="s">
        <v>2188</v>
      </c>
      <c r="B111" s="20" t="s">
        <v>1219</v>
      </c>
      <c r="C111" t="s">
        <v>28</v>
      </c>
      <c r="D111">
        <v>94</v>
      </c>
      <c r="E111">
        <v>1</v>
      </c>
      <c r="F111">
        <v>0.05</v>
      </c>
      <c r="G111">
        <v>1.05</v>
      </c>
      <c r="H111">
        <v>98.7</v>
      </c>
      <c r="I111" t="s">
        <v>2202</v>
      </c>
      <c r="J111">
        <v>5</v>
      </c>
    </row>
    <row r="112" spans="1:10" x14ac:dyDescent="0.25">
      <c r="A112" t="s">
        <v>2188</v>
      </c>
      <c r="B112" s="20" t="s">
        <v>1220</v>
      </c>
      <c r="C112" t="s">
        <v>8</v>
      </c>
      <c r="D112">
        <v>0.3</v>
      </c>
      <c r="E112">
        <v>4</v>
      </c>
      <c r="F112">
        <v>0.1</v>
      </c>
      <c r="G112">
        <v>4.4000000000000004</v>
      </c>
      <c r="H112">
        <v>1.32</v>
      </c>
      <c r="I112" t="s">
        <v>2202</v>
      </c>
      <c r="J112">
        <v>6</v>
      </c>
    </row>
    <row r="113" spans="1:10" x14ac:dyDescent="0.25">
      <c r="A113" t="s">
        <v>2188</v>
      </c>
      <c r="B113" s="20" t="s">
        <v>1221</v>
      </c>
      <c r="C113" t="s">
        <v>8</v>
      </c>
      <c r="D113">
        <v>0.3</v>
      </c>
      <c r="E113">
        <v>4</v>
      </c>
      <c r="F113">
        <v>0.1</v>
      </c>
      <c r="G113">
        <v>4.4000000000000004</v>
      </c>
      <c r="H113">
        <v>1.32</v>
      </c>
      <c r="I113" t="s">
        <v>2202</v>
      </c>
      <c r="J113">
        <v>7</v>
      </c>
    </row>
    <row r="114" spans="1:10" x14ac:dyDescent="0.25">
      <c r="A114" t="s">
        <v>2188</v>
      </c>
      <c r="B114" s="20" t="s">
        <v>1222</v>
      </c>
      <c r="C114" t="s">
        <v>8</v>
      </c>
      <c r="D114">
        <v>0.3</v>
      </c>
      <c r="E114">
        <v>4</v>
      </c>
      <c r="F114">
        <v>0.1</v>
      </c>
      <c r="G114">
        <v>4.4000000000000004</v>
      </c>
      <c r="H114">
        <v>1.32</v>
      </c>
      <c r="I114" t="s">
        <v>2202</v>
      </c>
      <c r="J114">
        <v>8</v>
      </c>
    </row>
    <row r="115" spans="1:10" x14ac:dyDescent="0.25">
      <c r="A115" t="s">
        <v>2188</v>
      </c>
      <c r="B115" s="20" t="s">
        <v>1802</v>
      </c>
      <c r="C115" t="s">
        <v>8</v>
      </c>
      <c r="D115">
        <v>5.5</v>
      </c>
      <c r="E115">
        <v>4</v>
      </c>
      <c r="F115">
        <v>0.05</v>
      </c>
      <c r="G115">
        <v>4.2</v>
      </c>
      <c r="H115">
        <v>23.1</v>
      </c>
      <c r="I115" t="s">
        <v>2202</v>
      </c>
      <c r="J115">
        <v>9</v>
      </c>
    </row>
    <row r="116" spans="1:10" x14ac:dyDescent="0.25">
      <c r="A116" t="s">
        <v>2188</v>
      </c>
      <c r="B116" s="20" t="s">
        <v>2203</v>
      </c>
      <c r="C116" t="s">
        <v>8</v>
      </c>
      <c r="D116">
        <v>650</v>
      </c>
      <c r="E116">
        <v>1</v>
      </c>
      <c r="F116">
        <v>0</v>
      </c>
      <c r="G116">
        <v>1</v>
      </c>
      <c r="H116">
        <v>650</v>
      </c>
      <c r="I116" t="s">
        <v>2202</v>
      </c>
      <c r="J116">
        <v>10</v>
      </c>
    </row>
    <row r="117" spans="1:10" x14ac:dyDescent="0.25">
      <c r="A117" t="s">
        <v>2188</v>
      </c>
      <c r="B117" s="20" t="s">
        <v>1807</v>
      </c>
      <c r="C117" t="s">
        <v>43</v>
      </c>
      <c r="D117">
        <v>35</v>
      </c>
      <c r="E117">
        <v>1</v>
      </c>
      <c r="F117">
        <v>0</v>
      </c>
      <c r="G117">
        <v>1</v>
      </c>
      <c r="H117">
        <v>35</v>
      </c>
      <c r="I117" t="s">
        <v>2202</v>
      </c>
      <c r="J117">
        <v>11</v>
      </c>
    </row>
    <row r="118" spans="1:10" x14ac:dyDescent="0.25">
      <c r="A118" t="s">
        <v>2188</v>
      </c>
      <c r="B118" s="20" t="s">
        <v>1809</v>
      </c>
      <c r="C118" t="s">
        <v>43</v>
      </c>
      <c r="D118">
        <v>60</v>
      </c>
      <c r="E118">
        <v>1</v>
      </c>
      <c r="F118">
        <v>0</v>
      </c>
      <c r="G118">
        <v>1</v>
      </c>
      <c r="H118">
        <v>60</v>
      </c>
      <c r="I118" t="s">
        <v>2202</v>
      </c>
      <c r="J118">
        <v>12</v>
      </c>
    </row>
    <row r="119" spans="1:10" x14ac:dyDescent="0.25">
      <c r="A119" t="s">
        <v>2188</v>
      </c>
      <c r="B119" s="20" t="s">
        <v>44</v>
      </c>
      <c r="C119" t="s">
        <v>43</v>
      </c>
      <c r="D119">
        <v>15</v>
      </c>
      <c r="E119">
        <v>1</v>
      </c>
      <c r="F119">
        <v>0</v>
      </c>
      <c r="G119">
        <v>1</v>
      </c>
      <c r="H119">
        <v>15</v>
      </c>
      <c r="I119" t="s">
        <v>2202</v>
      </c>
      <c r="J119">
        <v>13</v>
      </c>
    </row>
    <row r="120" spans="1:10" x14ac:dyDescent="0.25">
      <c r="A120" t="s">
        <v>2188</v>
      </c>
      <c r="B120" s="20" t="s">
        <v>1812</v>
      </c>
      <c r="C120" t="s">
        <v>8</v>
      </c>
      <c r="D120">
        <v>6</v>
      </c>
      <c r="E120">
        <v>2</v>
      </c>
      <c r="F120">
        <v>0</v>
      </c>
      <c r="G120">
        <v>2</v>
      </c>
      <c r="H120">
        <v>12</v>
      </c>
      <c r="I120" t="s">
        <v>2202</v>
      </c>
      <c r="J120">
        <v>14</v>
      </c>
    </row>
    <row r="121" spans="1:10" x14ac:dyDescent="0.25">
      <c r="A121" t="s">
        <v>2190</v>
      </c>
      <c r="B121" s="20" t="s">
        <v>251</v>
      </c>
      <c r="C121" t="s">
        <v>29</v>
      </c>
      <c r="D121">
        <v>22.5</v>
      </c>
      <c r="E121">
        <v>17</v>
      </c>
      <c r="F121">
        <v>0</v>
      </c>
      <c r="G121">
        <v>17</v>
      </c>
      <c r="H121">
        <v>382.5</v>
      </c>
      <c r="I121" t="s">
        <v>2202</v>
      </c>
      <c r="J121">
        <v>4</v>
      </c>
    </row>
    <row r="122" spans="1:10" x14ac:dyDescent="0.25">
      <c r="A122" t="s">
        <v>2190</v>
      </c>
      <c r="B122" s="20" t="s">
        <v>251</v>
      </c>
      <c r="C122" t="s">
        <v>29</v>
      </c>
      <c r="D122">
        <v>22.5</v>
      </c>
      <c r="E122">
        <v>9</v>
      </c>
      <c r="F122">
        <v>0</v>
      </c>
      <c r="G122">
        <v>9</v>
      </c>
      <c r="H122">
        <v>202.5</v>
      </c>
      <c r="I122" t="s">
        <v>2202</v>
      </c>
      <c r="J122">
        <v>5</v>
      </c>
    </row>
    <row r="123" spans="1:10" x14ac:dyDescent="0.25">
      <c r="A123" t="s">
        <v>2188</v>
      </c>
      <c r="B123" s="20" t="s">
        <v>482</v>
      </c>
      <c r="C123" t="s">
        <v>11</v>
      </c>
      <c r="D123">
        <v>950</v>
      </c>
      <c r="E123">
        <v>0.05</v>
      </c>
      <c r="F123">
        <v>0</v>
      </c>
      <c r="G123">
        <v>0.05</v>
      </c>
      <c r="H123">
        <v>47.5</v>
      </c>
      <c r="I123" t="s">
        <v>2204</v>
      </c>
      <c r="J123">
        <v>4</v>
      </c>
    </row>
    <row r="124" spans="1:10" x14ac:dyDescent="0.25">
      <c r="A124" t="s">
        <v>2188</v>
      </c>
      <c r="B124" s="20" t="s">
        <v>640</v>
      </c>
      <c r="C124" t="s">
        <v>256</v>
      </c>
      <c r="D124">
        <v>180</v>
      </c>
      <c r="E124">
        <v>1</v>
      </c>
      <c r="F124">
        <v>0</v>
      </c>
      <c r="G124">
        <v>1</v>
      </c>
      <c r="H124">
        <v>180</v>
      </c>
      <c r="I124" t="s">
        <v>2204</v>
      </c>
      <c r="J124">
        <v>5</v>
      </c>
    </row>
    <row r="125" spans="1:10" x14ac:dyDescent="0.25">
      <c r="A125" t="s">
        <v>2188</v>
      </c>
      <c r="B125" s="20" t="s">
        <v>483</v>
      </c>
      <c r="C125" t="s">
        <v>8</v>
      </c>
      <c r="D125">
        <v>215</v>
      </c>
      <c r="E125">
        <v>4.41</v>
      </c>
      <c r="F125">
        <v>0</v>
      </c>
      <c r="G125">
        <v>4.41</v>
      </c>
      <c r="H125">
        <v>948.15</v>
      </c>
      <c r="I125" t="s">
        <v>2204</v>
      </c>
      <c r="J125">
        <v>6</v>
      </c>
    </row>
    <row r="126" spans="1:10" x14ac:dyDescent="0.25">
      <c r="A126" t="s">
        <v>2188</v>
      </c>
      <c r="B126" s="20" t="s">
        <v>2005</v>
      </c>
      <c r="C126" t="s">
        <v>9</v>
      </c>
      <c r="D126">
        <v>24</v>
      </c>
      <c r="E126">
        <v>33</v>
      </c>
      <c r="F126">
        <v>0</v>
      </c>
      <c r="G126">
        <v>33</v>
      </c>
      <c r="H126">
        <v>792</v>
      </c>
      <c r="I126" t="s">
        <v>2204</v>
      </c>
      <c r="J126">
        <v>7</v>
      </c>
    </row>
    <row r="127" spans="1:10" x14ac:dyDescent="0.25">
      <c r="A127" t="s">
        <v>2188</v>
      </c>
      <c r="B127" s="20" t="s">
        <v>662</v>
      </c>
      <c r="C127" t="s">
        <v>11</v>
      </c>
      <c r="D127">
        <v>850</v>
      </c>
      <c r="E127">
        <v>0.23</v>
      </c>
      <c r="F127">
        <v>0</v>
      </c>
      <c r="G127">
        <v>0.23</v>
      </c>
      <c r="H127">
        <v>195.5</v>
      </c>
      <c r="I127" t="s">
        <v>2204</v>
      </c>
      <c r="J127">
        <v>8</v>
      </c>
    </row>
    <row r="128" spans="1:10" x14ac:dyDescent="0.25">
      <c r="A128" t="s">
        <v>2188</v>
      </c>
      <c r="B128" s="20" t="s">
        <v>663</v>
      </c>
      <c r="C128" t="s">
        <v>11</v>
      </c>
      <c r="D128">
        <v>830</v>
      </c>
      <c r="E128">
        <v>0.46</v>
      </c>
      <c r="F128">
        <v>0</v>
      </c>
      <c r="G128">
        <v>0.46</v>
      </c>
      <c r="H128">
        <v>381.8</v>
      </c>
      <c r="I128" t="s">
        <v>2204</v>
      </c>
      <c r="J128">
        <v>9</v>
      </c>
    </row>
    <row r="129" spans="1:10" x14ac:dyDescent="0.25">
      <c r="A129" t="s">
        <v>2188</v>
      </c>
      <c r="B129" s="20" t="s">
        <v>481</v>
      </c>
      <c r="C129" t="s">
        <v>11</v>
      </c>
      <c r="D129">
        <v>830</v>
      </c>
      <c r="E129">
        <v>0.08</v>
      </c>
      <c r="F129">
        <v>0</v>
      </c>
      <c r="G129">
        <v>0.08</v>
      </c>
      <c r="H129">
        <v>66.400000000000006</v>
      </c>
      <c r="I129" t="s">
        <v>2204</v>
      </c>
      <c r="J129">
        <v>10</v>
      </c>
    </row>
    <row r="130" spans="1:10" x14ac:dyDescent="0.25">
      <c r="A130" t="s">
        <v>2188</v>
      </c>
      <c r="B130" s="20" t="s">
        <v>482</v>
      </c>
      <c r="C130" t="s">
        <v>11</v>
      </c>
      <c r="D130">
        <v>950</v>
      </c>
      <c r="E130">
        <v>0.02</v>
      </c>
      <c r="F130">
        <v>0</v>
      </c>
      <c r="G130">
        <v>0.02</v>
      </c>
      <c r="H130">
        <v>19</v>
      </c>
      <c r="I130" t="s">
        <v>2204</v>
      </c>
      <c r="J130">
        <v>11</v>
      </c>
    </row>
    <row r="131" spans="1:10" x14ac:dyDescent="0.25">
      <c r="A131" t="s">
        <v>2188</v>
      </c>
      <c r="B131" s="20" t="s">
        <v>483</v>
      </c>
      <c r="C131" t="s">
        <v>8</v>
      </c>
      <c r="D131">
        <v>215</v>
      </c>
      <c r="E131">
        <v>1.33</v>
      </c>
      <c r="F131">
        <v>0</v>
      </c>
      <c r="G131">
        <v>1.33</v>
      </c>
      <c r="H131">
        <v>285.95</v>
      </c>
      <c r="I131" t="s">
        <v>2204</v>
      </c>
      <c r="J131">
        <v>12</v>
      </c>
    </row>
    <row r="132" spans="1:10" x14ac:dyDescent="0.25">
      <c r="A132" t="s">
        <v>2188</v>
      </c>
      <c r="B132" s="20" t="s">
        <v>2005</v>
      </c>
      <c r="C132" t="s">
        <v>9</v>
      </c>
      <c r="D132">
        <v>24</v>
      </c>
      <c r="E132">
        <v>10</v>
      </c>
      <c r="F132">
        <v>0</v>
      </c>
      <c r="G132">
        <v>10</v>
      </c>
      <c r="H132">
        <v>240</v>
      </c>
      <c r="I132" t="s">
        <v>2204</v>
      </c>
      <c r="J132">
        <v>13</v>
      </c>
    </row>
    <row r="133" spans="1:10" x14ac:dyDescent="0.25">
      <c r="A133" t="s">
        <v>2188</v>
      </c>
      <c r="B133" s="20" t="s">
        <v>662</v>
      </c>
      <c r="C133" t="s">
        <v>11</v>
      </c>
      <c r="D133">
        <v>850</v>
      </c>
      <c r="E133">
        <v>7.0000000000000007E-2</v>
      </c>
      <c r="F133">
        <v>0</v>
      </c>
      <c r="G133">
        <v>7.0000000000000007E-2</v>
      </c>
      <c r="H133">
        <v>59.500000000000007</v>
      </c>
      <c r="I133" t="s">
        <v>2204</v>
      </c>
      <c r="J133">
        <v>14</v>
      </c>
    </row>
    <row r="134" spans="1:10" x14ac:dyDescent="0.25">
      <c r="A134" t="s">
        <v>2188</v>
      </c>
      <c r="B134" s="20" t="s">
        <v>663</v>
      </c>
      <c r="C134" t="s">
        <v>11</v>
      </c>
      <c r="D134">
        <v>830</v>
      </c>
      <c r="E134">
        <v>0.14000000000000001</v>
      </c>
      <c r="F134">
        <v>0</v>
      </c>
      <c r="G134">
        <v>0.14000000000000001</v>
      </c>
      <c r="H134">
        <v>116.20000000000002</v>
      </c>
      <c r="I134" t="s">
        <v>2204</v>
      </c>
      <c r="J134">
        <v>15</v>
      </c>
    </row>
    <row r="135" spans="1:10" x14ac:dyDescent="0.25">
      <c r="A135" t="s">
        <v>2188</v>
      </c>
      <c r="B135" s="20" t="s">
        <v>643</v>
      </c>
      <c r="C135" t="s">
        <v>644</v>
      </c>
      <c r="D135">
        <v>130</v>
      </c>
      <c r="E135">
        <v>1</v>
      </c>
      <c r="F135">
        <v>0</v>
      </c>
      <c r="G135">
        <v>1</v>
      </c>
      <c r="H135">
        <v>130</v>
      </c>
      <c r="I135" t="s">
        <v>2204</v>
      </c>
      <c r="J135">
        <v>16</v>
      </c>
    </row>
    <row r="136" spans="1:10" x14ac:dyDescent="0.25">
      <c r="A136" t="s">
        <v>2188</v>
      </c>
      <c r="B136" s="20" t="s">
        <v>662</v>
      </c>
      <c r="C136" t="s">
        <v>11</v>
      </c>
      <c r="D136">
        <v>850</v>
      </c>
      <c r="E136">
        <v>0.02</v>
      </c>
      <c r="F136">
        <v>0</v>
      </c>
      <c r="G136">
        <v>0.02</v>
      </c>
      <c r="H136">
        <v>17</v>
      </c>
      <c r="I136" t="s">
        <v>2205</v>
      </c>
      <c r="J136">
        <v>4</v>
      </c>
    </row>
    <row r="137" spans="1:10" x14ac:dyDescent="0.25">
      <c r="A137" t="s">
        <v>2188</v>
      </c>
      <c r="B137" s="20" t="s">
        <v>663</v>
      </c>
      <c r="C137" t="s">
        <v>11</v>
      </c>
      <c r="D137">
        <v>830</v>
      </c>
      <c r="E137">
        <v>0.04</v>
      </c>
      <c r="F137">
        <v>0</v>
      </c>
      <c r="G137">
        <v>0.04</v>
      </c>
      <c r="H137">
        <v>33.200000000000003</v>
      </c>
      <c r="I137" t="s">
        <v>2205</v>
      </c>
      <c r="J137">
        <v>5</v>
      </c>
    </row>
    <row r="138" spans="1:10" x14ac:dyDescent="0.25">
      <c r="A138" t="s">
        <v>2188</v>
      </c>
      <c r="B138" s="20" t="s">
        <v>2005</v>
      </c>
      <c r="C138" t="s">
        <v>9</v>
      </c>
      <c r="D138">
        <v>24</v>
      </c>
      <c r="E138">
        <v>26</v>
      </c>
      <c r="F138">
        <v>0</v>
      </c>
      <c r="G138">
        <v>26</v>
      </c>
      <c r="H138">
        <v>624</v>
      </c>
      <c r="I138" t="s">
        <v>2205</v>
      </c>
      <c r="J138">
        <v>6</v>
      </c>
    </row>
    <row r="139" spans="1:10" x14ac:dyDescent="0.25">
      <c r="A139" t="s">
        <v>2188</v>
      </c>
      <c r="B139" s="20" t="s">
        <v>662</v>
      </c>
      <c r="C139" t="s">
        <v>11</v>
      </c>
      <c r="D139">
        <v>850</v>
      </c>
      <c r="E139">
        <v>0.18</v>
      </c>
      <c r="F139">
        <v>0</v>
      </c>
      <c r="G139">
        <v>0.18</v>
      </c>
      <c r="H139">
        <v>153</v>
      </c>
      <c r="I139" t="s">
        <v>2205</v>
      </c>
      <c r="J139">
        <v>7</v>
      </c>
    </row>
    <row r="140" spans="1:10" x14ac:dyDescent="0.25">
      <c r="A140" t="s">
        <v>2188</v>
      </c>
      <c r="B140" s="20" t="s">
        <v>663</v>
      </c>
      <c r="C140" t="s">
        <v>11</v>
      </c>
      <c r="D140">
        <v>830</v>
      </c>
      <c r="E140">
        <v>0.36</v>
      </c>
      <c r="F140">
        <v>0</v>
      </c>
      <c r="G140">
        <v>0.36</v>
      </c>
      <c r="H140">
        <v>298.8</v>
      </c>
      <c r="I140" t="s">
        <v>2205</v>
      </c>
      <c r="J140">
        <v>8</v>
      </c>
    </row>
    <row r="141" spans="1:10" x14ac:dyDescent="0.25">
      <c r="A141" t="s">
        <v>2188</v>
      </c>
      <c r="B141" s="20" t="s">
        <v>590</v>
      </c>
      <c r="C141" t="s">
        <v>591</v>
      </c>
      <c r="D141">
        <v>28</v>
      </c>
      <c r="E141">
        <v>30</v>
      </c>
      <c r="F141">
        <v>0</v>
      </c>
      <c r="G141">
        <v>30</v>
      </c>
      <c r="H141">
        <v>840</v>
      </c>
      <c r="I141" t="s">
        <v>2205</v>
      </c>
      <c r="J141">
        <v>9</v>
      </c>
    </row>
    <row r="142" spans="1:10" x14ac:dyDescent="0.25">
      <c r="A142" t="s">
        <v>2188</v>
      </c>
      <c r="B142" s="20" t="s">
        <v>592</v>
      </c>
      <c r="C142" t="s">
        <v>591</v>
      </c>
      <c r="D142">
        <v>15</v>
      </c>
      <c r="E142">
        <v>12</v>
      </c>
      <c r="F142">
        <v>0</v>
      </c>
      <c r="G142">
        <v>12</v>
      </c>
      <c r="H142">
        <v>180</v>
      </c>
      <c r="I142" t="s">
        <v>2205</v>
      </c>
      <c r="J142">
        <v>10</v>
      </c>
    </row>
    <row r="143" spans="1:10" x14ac:dyDescent="0.25">
      <c r="A143" t="s">
        <v>2188</v>
      </c>
      <c r="B143" s="20" t="s">
        <v>594</v>
      </c>
      <c r="C143" t="s">
        <v>595</v>
      </c>
      <c r="D143">
        <v>45</v>
      </c>
      <c r="E143">
        <v>8</v>
      </c>
      <c r="F143">
        <v>0</v>
      </c>
      <c r="G143">
        <v>8</v>
      </c>
      <c r="H143">
        <v>360</v>
      </c>
      <c r="I143" t="s">
        <v>2205</v>
      </c>
      <c r="J143">
        <v>11</v>
      </c>
    </row>
    <row r="144" spans="1:10" x14ac:dyDescent="0.25">
      <c r="A144" t="s">
        <v>2188</v>
      </c>
      <c r="B144" s="20" t="s">
        <v>651</v>
      </c>
      <c r="C144" t="s">
        <v>652</v>
      </c>
      <c r="D144">
        <v>15</v>
      </c>
      <c r="E144">
        <v>12</v>
      </c>
      <c r="F144">
        <v>0</v>
      </c>
      <c r="G144">
        <v>12</v>
      </c>
      <c r="H144">
        <v>180</v>
      </c>
      <c r="I144" t="s">
        <v>2205</v>
      </c>
      <c r="J144">
        <v>12</v>
      </c>
    </row>
    <row r="145" spans="1:10" x14ac:dyDescent="0.25">
      <c r="A145" t="s">
        <v>2188</v>
      </c>
      <c r="B145" s="20" t="s">
        <v>643</v>
      </c>
      <c r="C145" t="s">
        <v>644</v>
      </c>
      <c r="D145">
        <v>130</v>
      </c>
      <c r="E145">
        <v>1</v>
      </c>
      <c r="F145">
        <v>0</v>
      </c>
      <c r="G145">
        <v>1</v>
      </c>
      <c r="H145">
        <v>130</v>
      </c>
      <c r="I145" t="s">
        <v>2205</v>
      </c>
      <c r="J145">
        <v>13</v>
      </c>
    </row>
    <row r="146" spans="1:10" x14ac:dyDescent="0.25">
      <c r="A146" t="s">
        <v>2188</v>
      </c>
      <c r="B146" s="20" t="s">
        <v>482</v>
      </c>
      <c r="C146" t="s">
        <v>11</v>
      </c>
      <c r="D146">
        <v>950</v>
      </c>
      <c r="E146">
        <v>0.04</v>
      </c>
      <c r="F146">
        <v>0</v>
      </c>
      <c r="G146">
        <v>0.04</v>
      </c>
      <c r="H146">
        <v>38</v>
      </c>
      <c r="I146" t="s">
        <v>2219</v>
      </c>
      <c r="J146">
        <v>4</v>
      </c>
    </row>
    <row r="147" spans="1:10" x14ac:dyDescent="0.25">
      <c r="A147" t="s">
        <v>2188</v>
      </c>
      <c r="B147" s="20" t="s">
        <v>483</v>
      </c>
      <c r="C147" t="s">
        <v>8</v>
      </c>
      <c r="D147">
        <v>215</v>
      </c>
      <c r="E147">
        <v>3.15</v>
      </c>
      <c r="F147">
        <v>0.32</v>
      </c>
      <c r="G147">
        <v>4.1580000000000004</v>
      </c>
      <c r="H147">
        <v>893.97</v>
      </c>
      <c r="I147" t="s">
        <v>2219</v>
      </c>
      <c r="J147">
        <v>5</v>
      </c>
    </row>
    <row r="148" spans="1:10" x14ac:dyDescent="0.25">
      <c r="A148" t="s">
        <v>2188</v>
      </c>
      <c r="B148" s="20" t="s">
        <v>646</v>
      </c>
      <c r="C148" t="s">
        <v>486</v>
      </c>
      <c r="D148">
        <v>340</v>
      </c>
      <c r="E148">
        <v>7.81</v>
      </c>
      <c r="F148">
        <v>0</v>
      </c>
      <c r="G148">
        <v>7.81</v>
      </c>
      <c r="H148">
        <v>2655.4</v>
      </c>
      <c r="I148" t="s">
        <v>2219</v>
      </c>
      <c r="J148">
        <v>6</v>
      </c>
    </row>
    <row r="149" spans="1:10" x14ac:dyDescent="0.25">
      <c r="A149" t="s">
        <v>2188</v>
      </c>
      <c r="B149" s="20" t="s">
        <v>590</v>
      </c>
      <c r="C149" t="s">
        <v>591</v>
      </c>
      <c r="D149">
        <v>28</v>
      </c>
      <c r="E149">
        <v>18</v>
      </c>
      <c r="F149">
        <v>0</v>
      </c>
      <c r="G149">
        <v>18</v>
      </c>
      <c r="H149">
        <v>504</v>
      </c>
      <c r="I149" t="s">
        <v>2219</v>
      </c>
      <c r="J149">
        <v>7</v>
      </c>
    </row>
    <row r="150" spans="1:10" x14ac:dyDescent="0.25">
      <c r="A150" t="s">
        <v>2188</v>
      </c>
      <c r="B150" s="20" t="s">
        <v>592</v>
      </c>
      <c r="C150" t="s">
        <v>591</v>
      </c>
      <c r="D150">
        <v>15</v>
      </c>
      <c r="E150">
        <v>12</v>
      </c>
      <c r="F150">
        <v>0</v>
      </c>
      <c r="G150">
        <v>12</v>
      </c>
      <c r="H150">
        <v>180</v>
      </c>
      <c r="I150" t="s">
        <v>2219</v>
      </c>
      <c r="J150">
        <v>8</v>
      </c>
    </row>
    <row r="151" spans="1:10" x14ac:dyDescent="0.25">
      <c r="A151" t="s">
        <v>2188</v>
      </c>
      <c r="B151" s="20" t="s">
        <v>2394</v>
      </c>
      <c r="C151" t="s">
        <v>256</v>
      </c>
      <c r="D151">
        <v>14</v>
      </c>
      <c r="E151">
        <v>1</v>
      </c>
      <c r="F151">
        <v>0</v>
      </c>
      <c r="G151">
        <v>1</v>
      </c>
      <c r="H151">
        <v>14</v>
      </c>
      <c r="I151" t="s">
        <v>2219</v>
      </c>
      <c r="J151">
        <v>9</v>
      </c>
    </row>
    <row r="152" spans="1:10" x14ac:dyDescent="0.25">
      <c r="A152" t="s">
        <v>2188</v>
      </c>
      <c r="B152" s="20" t="s">
        <v>594</v>
      </c>
      <c r="C152" t="s">
        <v>595</v>
      </c>
      <c r="D152">
        <v>45</v>
      </c>
      <c r="E152">
        <v>8</v>
      </c>
      <c r="F152">
        <v>0</v>
      </c>
      <c r="G152">
        <v>8</v>
      </c>
      <c r="H152">
        <v>360</v>
      </c>
      <c r="I152" t="s">
        <v>2219</v>
      </c>
      <c r="J152">
        <v>10</v>
      </c>
    </row>
    <row r="153" spans="1:10" x14ac:dyDescent="0.25">
      <c r="A153" t="s">
        <v>2188</v>
      </c>
      <c r="B153" s="20" t="s">
        <v>2397</v>
      </c>
      <c r="C153" t="s">
        <v>8</v>
      </c>
      <c r="D153">
        <v>0.27</v>
      </c>
      <c r="E153">
        <v>470</v>
      </c>
      <c r="F153">
        <v>24</v>
      </c>
      <c r="G153">
        <v>11750</v>
      </c>
      <c r="H153">
        <v>3172.5</v>
      </c>
      <c r="I153" t="s">
        <v>2219</v>
      </c>
      <c r="J153">
        <v>11</v>
      </c>
    </row>
    <row r="154" spans="1:10" x14ac:dyDescent="0.25">
      <c r="A154" t="s">
        <v>2188</v>
      </c>
      <c r="B154" s="20" t="s">
        <v>2399</v>
      </c>
      <c r="C154" t="s">
        <v>9</v>
      </c>
      <c r="D154">
        <v>24</v>
      </c>
      <c r="E154">
        <v>4</v>
      </c>
      <c r="F154">
        <v>0</v>
      </c>
      <c r="G154">
        <v>4</v>
      </c>
      <c r="H154">
        <v>96</v>
      </c>
      <c r="I154" t="s">
        <v>2219</v>
      </c>
      <c r="J154">
        <v>12</v>
      </c>
    </row>
    <row r="155" spans="1:10" x14ac:dyDescent="0.25">
      <c r="A155" t="s">
        <v>2188</v>
      </c>
      <c r="B155" s="20" t="s">
        <v>662</v>
      </c>
      <c r="C155" t="s">
        <v>11</v>
      </c>
      <c r="D155">
        <v>850</v>
      </c>
      <c r="E155">
        <v>0.03</v>
      </c>
      <c r="F155">
        <v>0</v>
      </c>
      <c r="G155">
        <v>0.03</v>
      </c>
      <c r="H155">
        <v>25.5</v>
      </c>
      <c r="I155" t="s">
        <v>2219</v>
      </c>
      <c r="J155">
        <v>13</v>
      </c>
    </row>
    <row r="156" spans="1:10" x14ac:dyDescent="0.25">
      <c r="A156" t="s">
        <v>2188</v>
      </c>
      <c r="B156" s="20" t="s">
        <v>2308</v>
      </c>
      <c r="C156" t="s">
        <v>8</v>
      </c>
      <c r="D156">
        <v>163</v>
      </c>
      <c r="E156">
        <v>3</v>
      </c>
      <c r="F156">
        <v>0</v>
      </c>
      <c r="G156">
        <v>3</v>
      </c>
      <c r="H156">
        <v>489</v>
      </c>
      <c r="I156" t="s">
        <v>2219</v>
      </c>
      <c r="J156">
        <v>14</v>
      </c>
    </row>
    <row r="157" spans="1:10" x14ac:dyDescent="0.25">
      <c r="A157" t="s">
        <v>2188</v>
      </c>
      <c r="B157" s="20" t="s">
        <v>2309</v>
      </c>
      <c r="C157" t="s">
        <v>8</v>
      </c>
      <c r="D157">
        <v>107</v>
      </c>
      <c r="E157">
        <v>8</v>
      </c>
      <c r="F157">
        <v>0</v>
      </c>
      <c r="G157">
        <v>8</v>
      </c>
      <c r="H157">
        <v>856</v>
      </c>
      <c r="I157" t="s">
        <v>2219</v>
      </c>
      <c r="J157">
        <v>15</v>
      </c>
    </row>
    <row r="158" spans="1:10" x14ac:dyDescent="0.25">
      <c r="A158" t="s">
        <v>2188</v>
      </c>
      <c r="B158" s="20" t="s">
        <v>2311</v>
      </c>
      <c r="C158" t="s">
        <v>8</v>
      </c>
      <c r="D158">
        <v>17</v>
      </c>
      <c r="E158">
        <v>10</v>
      </c>
      <c r="F158">
        <v>0</v>
      </c>
      <c r="G158">
        <v>10</v>
      </c>
      <c r="H158">
        <v>170</v>
      </c>
      <c r="I158" t="s">
        <v>2219</v>
      </c>
      <c r="J158">
        <v>16</v>
      </c>
    </row>
    <row r="159" spans="1:10" x14ac:dyDescent="0.25">
      <c r="A159" t="s">
        <v>2188</v>
      </c>
      <c r="B159" s="20" t="s">
        <v>2324</v>
      </c>
      <c r="C159" t="s">
        <v>937</v>
      </c>
      <c r="D159">
        <v>3.5</v>
      </c>
      <c r="E159">
        <v>176</v>
      </c>
      <c r="F159">
        <v>18</v>
      </c>
      <c r="G159">
        <v>3344</v>
      </c>
      <c r="H159">
        <v>11704</v>
      </c>
      <c r="I159" t="s">
        <v>2219</v>
      </c>
      <c r="J159">
        <v>17</v>
      </c>
    </row>
    <row r="160" spans="1:10" x14ac:dyDescent="0.25">
      <c r="A160" t="s">
        <v>2188</v>
      </c>
      <c r="B160" s="20" t="s">
        <v>940</v>
      </c>
      <c r="C160" t="s">
        <v>8</v>
      </c>
      <c r="D160">
        <v>28</v>
      </c>
      <c r="E160">
        <v>4</v>
      </c>
      <c r="F160">
        <v>0</v>
      </c>
      <c r="G160">
        <v>4</v>
      </c>
      <c r="H160">
        <v>112</v>
      </c>
      <c r="I160" t="s">
        <v>2219</v>
      </c>
      <c r="J160">
        <v>18</v>
      </c>
    </row>
    <row r="161" spans="1:10" x14ac:dyDescent="0.25">
      <c r="A161" t="s">
        <v>2188</v>
      </c>
      <c r="B161" s="20" t="s">
        <v>2312</v>
      </c>
      <c r="C161" t="s">
        <v>8</v>
      </c>
      <c r="D161">
        <v>25</v>
      </c>
      <c r="E161">
        <v>2</v>
      </c>
      <c r="F161">
        <v>0</v>
      </c>
      <c r="G161">
        <v>2</v>
      </c>
      <c r="H161">
        <v>50</v>
      </c>
      <c r="I161" t="s">
        <v>2219</v>
      </c>
      <c r="J161">
        <v>19</v>
      </c>
    </row>
    <row r="162" spans="1:10" x14ac:dyDescent="0.25">
      <c r="A162" t="s">
        <v>2188</v>
      </c>
      <c r="B162" s="20" t="s">
        <v>1442</v>
      </c>
      <c r="C162" t="s">
        <v>8</v>
      </c>
      <c r="D162">
        <v>0.13</v>
      </c>
      <c r="E162">
        <v>200</v>
      </c>
      <c r="F162">
        <v>0</v>
      </c>
      <c r="G162">
        <v>200</v>
      </c>
      <c r="H162">
        <v>26</v>
      </c>
      <c r="I162" t="s">
        <v>2219</v>
      </c>
      <c r="J162">
        <v>20</v>
      </c>
    </row>
    <row r="163" spans="1:10" x14ac:dyDescent="0.25">
      <c r="A163" t="s">
        <v>2188</v>
      </c>
      <c r="B163" s="20" t="s">
        <v>1652</v>
      </c>
      <c r="C163" t="s">
        <v>256</v>
      </c>
      <c r="D163">
        <v>92</v>
      </c>
      <c r="E163">
        <v>1</v>
      </c>
      <c r="F163">
        <v>0</v>
      </c>
      <c r="G163">
        <v>1</v>
      </c>
      <c r="H163">
        <v>92</v>
      </c>
      <c r="I163" t="s">
        <v>2219</v>
      </c>
      <c r="J163">
        <v>21</v>
      </c>
    </row>
    <row r="164" spans="1:10" x14ac:dyDescent="0.25">
      <c r="A164" t="s">
        <v>2188</v>
      </c>
      <c r="B164" s="20" t="s">
        <v>1653</v>
      </c>
      <c r="C164" t="s">
        <v>256</v>
      </c>
      <c r="D164">
        <v>92</v>
      </c>
      <c r="E164">
        <v>1</v>
      </c>
      <c r="F164">
        <v>0</v>
      </c>
      <c r="G164">
        <v>1</v>
      </c>
      <c r="H164">
        <v>92</v>
      </c>
      <c r="I164" t="s">
        <v>2219</v>
      </c>
      <c r="J164">
        <v>22</v>
      </c>
    </row>
    <row r="165" spans="1:10" x14ac:dyDescent="0.25">
      <c r="A165" t="s">
        <v>2188</v>
      </c>
      <c r="B165" s="20" t="s">
        <v>1654</v>
      </c>
      <c r="C165" t="s">
        <v>256</v>
      </c>
      <c r="D165">
        <v>92</v>
      </c>
      <c r="E165">
        <v>1</v>
      </c>
      <c r="F165">
        <v>0</v>
      </c>
      <c r="G165">
        <v>1</v>
      </c>
      <c r="H165">
        <v>92</v>
      </c>
      <c r="I165" t="s">
        <v>2219</v>
      </c>
      <c r="J165">
        <v>23</v>
      </c>
    </row>
    <row r="166" spans="1:10" x14ac:dyDescent="0.25">
      <c r="A166" t="s">
        <v>2188</v>
      </c>
      <c r="B166" s="20" t="s">
        <v>1665</v>
      </c>
      <c r="C166" t="s">
        <v>652</v>
      </c>
      <c r="D166">
        <v>6.8</v>
      </c>
      <c r="E166">
        <v>4</v>
      </c>
      <c r="F166">
        <v>0</v>
      </c>
      <c r="G166">
        <v>4</v>
      </c>
      <c r="H166">
        <v>27.2</v>
      </c>
      <c r="I166" t="s">
        <v>2219</v>
      </c>
      <c r="J166">
        <v>24</v>
      </c>
    </row>
    <row r="167" spans="1:10" x14ac:dyDescent="0.25">
      <c r="A167" t="s">
        <v>2188</v>
      </c>
      <c r="B167" s="20" t="s">
        <v>1676</v>
      </c>
      <c r="C167" t="s">
        <v>8</v>
      </c>
      <c r="D167">
        <v>6.8</v>
      </c>
      <c r="E167">
        <v>1</v>
      </c>
      <c r="F167">
        <v>0</v>
      </c>
      <c r="G167">
        <v>1</v>
      </c>
      <c r="H167">
        <v>6.8</v>
      </c>
      <c r="I167" t="s">
        <v>2219</v>
      </c>
      <c r="J167">
        <v>25</v>
      </c>
    </row>
    <row r="168" spans="1:10" x14ac:dyDescent="0.25">
      <c r="A168" t="s">
        <v>2188</v>
      </c>
      <c r="B168" s="20" t="s">
        <v>1679</v>
      </c>
      <c r="C168" t="s">
        <v>10</v>
      </c>
      <c r="D168">
        <v>13</v>
      </c>
      <c r="E168">
        <v>2</v>
      </c>
      <c r="F168">
        <v>0</v>
      </c>
      <c r="G168">
        <v>2</v>
      </c>
      <c r="H168">
        <v>26</v>
      </c>
      <c r="I168" t="s">
        <v>2219</v>
      </c>
      <c r="J168">
        <v>26</v>
      </c>
    </row>
    <row r="169" spans="1:10" x14ac:dyDescent="0.25">
      <c r="A169" t="s">
        <v>2188</v>
      </c>
      <c r="B169" s="20" t="s">
        <v>2317</v>
      </c>
      <c r="C169" t="s">
        <v>8</v>
      </c>
      <c r="D169">
        <v>0.5</v>
      </c>
      <c r="E169">
        <v>1</v>
      </c>
      <c r="F169">
        <v>0</v>
      </c>
      <c r="G169">
        <v>1</v>
      </c>
      <c r="H169">
        <v>0.5</v>
      </c>
      <c r="I169" t="s">
        <v>2219</v>
      </c>
      <c r="J169">
        <v>27</v>
      </c>
    </row>
    <row r="170" spans="1:10" x14ac:dyDescent="0.25">
      <c r="A170" t="s">
        <v>2188</v>
      </c>
      <c r="B170" s="20" t="s">
        <v>2198</v>
      </c>
      <c r="C170" t="s">
        <v>644</v>
      </c>
      <c r="D170">
        <v>160</v>
      </c>
      <c r="E170">
        <v>1</v>
      </c>
      <c r="F170">
        <v>0</v>
      </c>
      <c r="G170">
        <v>1</v>
      </c>
      <c r="H170">
        <v>160</v>
      </c>
      <c r="I170" t="s">
        <v>2219</v>
      </c>
      <c r="J170">
        <v>28</v>
      </c>
    </row>
    <row r="171" spans="1:10" x14ac:dyDescent="0.25">
      <c r="A171" t="s">
        <v>2188</v>
      </c>
      <c r="B171" s="20" t="s">
        <v>2320</v>
      </c>
      <c r="C171" t="s">
        <v>2321</v>
      </c>
      <c r="D171">
        <v>330</v>
      </c>
      <c r="E171">
        <v>1</v>
      </c>
      <c r="F171">
        <v>0</v>
      </c>
      <c r="G171">
        <v>1</v>
      </c>
      <c r="H171">
        <v>330</v>
      </c>
      <c r="I171" t="s">
        <v>2219</v>
      </c>
      <c r="J171">
        <v>29</v>
      </c>
    </row>
    <row r="172" spans="1:10" x14ac:dyDescent="0.25">
      <c r="A172" t="s">
        <v>2188</v>
      </c>
      <c r="B172" s="20" t="s">
        <v>1219</v>
      </c>
      <c r="C172" t="s">
        <v>28</v>
      </c>
      <c r="D172">
        <v>94</v>
      </c>
      <c r="E172">
        <v>1</v>
      </c>
      <c r="F172">
        <v>0</v>
      </c>
      <c r="G172">
        <v>1</v>
      </c>
      <c r="H172">
        <v>94</v>
      </c>
      <c r="I172" t="s">
        <v>2219</v>
      </c>
      <c r="J172">
        <v>30</v>
      </c>
    </row>
    <row r="173" spans="1:10" x14ac:dyDescent="0.25">
      <c r="A173" t="s">
        <v>2188</v>
      </c>
      <c r="B173" s="20" t="s">
        <v>482</v>
      </c>
      <c r="C173" t="s">
        <v>11</v>
      </c>
      <c r="D173">
        <v>950</v>
      </c>
      <c r="E173">
        <v>0.04</v>
      </c>
      <c r="F173">
        <v>0</v>
      </c>
      <c r="G173">
        <v>0.04</v>
      </c>
      <c r="H173">
        <v>38</v>
      </c>
      <c r="I173" t="s">
        <v>2486</v>
      </c>
      <c r="J173">
        <v>4</v>
      </c>
    </row>
    <row r="174" spans="1:10" x14ac:dyDescent="0.25">
      <c r="A174" t="s">
        <v>2188</v>
      </c>
      <c r="B174" s="20" t="s">
        <v>483</v>
      </c>
      <c r="C174" t="s">
        <v>8</v>
      </c>
      <c r="D174">
        <v>215</v>
      </c>
      <c r="E174">
        <v>3.15</v>
      </c>
      <c r="F174">
        <v>0.32</v>
      </c>
      <c r="G174">
        <v>4.1580000000000004</v>
      </c>
      <c r="H174">
        <v>893.97</v>
      </c>
      <c r="I174" t="s">
        <v>2486</v>
      </c>
      <c r="J174">
        <v>5</v>
      </c>
    </row>
    <row r="175" spans="1:10" x14ac:dyDescent="0.25">
      <c r="A175" t="s">
        <v>2188</v>
      </c>
      <c r="B175" s="20" t="s">
        <v>2005</v>
      </c>
      <c r="C175" t="s">
        <v>9</v>
      </c>
      <c r="D175">
        <v>24</v>
      </c>
      <c r="E175">
        <v>54</v>
      </c>
      <c r="F175">
        <v>0</v>
      </c>
      <c r="G175">
        <v>54</v>
      </c>
      <c r="H175">
        <v>1296</v>
      </c>
      <c r="I175" t="s">
        <v>2486</v>
      </c>
      <c r="J175">
        <v>6</v>
      </c>
    </row>
    <row r="176" spans="1:10" x14ac:dyDescent="0.25">
      <c r="A176" t="s">
        <v>2188</v>
      </c>
      <c r="B176" s="20" t="s">
        <v>662</v>
      </c>
      <c r="C176" t="s">
        <v>11</v>
      </c>
      <c r="D176">
        <v>850</v>
      </c>
      <c r="E176">
        <v>0.37</v>
      </c>
      <c r="F176">
        <v>0.01</v>
      </c>
      <c r="G176">
        <v>0.37369999999999998</v>
      </c>
      <c r="H176">
        <v>317.64499999999998</v>
      </c>
      <c r="I176" t="s">
        <v>2486</v>
      </c>
      <c r="J176">
        <v>7</v>
      </c>
    </row>
    <row r="177" spans="1:10" x14ac:dyDescent="0.25">
      <c r="A177" t="s">
        <v>2188</v>
      </c>
      <c r="B177" s="20" t="s">
        <v>663</v>
      </c>
      <c r="C177" t="s">
        <v>11</v>
      </c>
      <c r="D177">
        <v>830</v>
      </c>
      <c r="E177">
        <v>0.69</v>
      </c>
      <c r="F177">
        <v>0.01</v>
      </c>
      <c r="G177">
        <v>0.69689999999999996</v>
      </c>
      <c r="H177">
        <v>578.42700000000002</v>
      </c>
      <c r="I177" t="s">
        <v>2486</v>
      </c>
      <c r="J177">
        <v>8</v>
      </c>
    </row>
    <row r="178" spans="1:10" x14ac:dyDescent="0.25">
      <c r="A178" t="s">
        <v>2188</v>
      </c>
      <c r="B178" s="20" t="s">
        <v>590</v>
      </c>
      <c r="C178" t="s">
        <v>591</v>
      </c>
      <c r="D178">
        <v>28</v>
      </c>
      <c r="E178">
        <v>18</v>
      </c>
      <c r="F178">
        <v>0</v>
      </c>
      <c r="G178">
        <v>18</v>
      </c>
      <c r="H178">
        <v>504</v>
      </c>
      <c r="I178" t="s">
        <v>2486</v>
      </c>
      <c r="J178">
        <v>9</v>
      </c>
    </row>
    <row r="179" spans="1:10" x14ac:dyDescent="0.25">
      <c r="A179" t="s">
        <v>2188</v>
      </c>
      <c r="B179" s="20" t="s">
        <v>592</v>
      </c>
      <c r="C179" t="s">
        <v>591</v>
      </c>
      <c r="D179">
        <v>15</v>
      </c>
      <c r="E179">
        <v>12</v>
      </c>
      <c r="F179">
        <v>0</v>
      </c>
      <c r="G179">
        <v>12</v>
      </c>
      <c r="H179">
        <v>180</v>
      </c>
      <c r="I179" t="s">
        <v>2486</v>
      </c>
      <c r="J179">
        <v>10</v>
      </c>
    </row>
    <row r="180" spans="1:10" x14ac:dyDescent="0.25">
      <c r="A180" t="s">
        <v>2188</v>
      </c>
      <c r="B180" s="20" t="s">
        <v>2394</v>
      </c>
      <c r="C180" t="s">
        <v>256</v>
      </c>
      <c r="D180">
        <v>14</v>
      </c>
      <c r="E180">
        <v>1</v>
      </c>
      <c r="F180">
        <v>0</v>
      </c>
      <c r="G180">
        <v>1</v>
      </c>
      <c r="H180">
        <v>14</v>
      </c>
      <c r="I180" t="s">
        <v>2486</v>
      </c>
      <c r="J180">
        <v>11</v>
      </c>
    </row>
    <row r="181" spans="1:10" x14ac:dyDescent="0.25">
      <c r="A181" t="s">
        <v>2188</v>
      </c>
      <c r="B181" s="20" t="s">
        <v>594</v>
      </c>
      <c r="C181" t="s">
        <v>595</v>
      </c>
      <c r="D181">
        <v>45</v>
      </c>
      <c r="E181">
        <v>8</v>
      </c>
      <c r="F181">
        <v>0</v>
      </c>
      <c r="G181">
        <v>8</v>
      </c>
      <c r="H181">
        <v>360</v>
      </c>
      <c r="I181" t="s">
        <v>2486</v>
      </c>
      <c r="J181">
        <v>12</v>
      </c>
    </row>
    <row r="182" spans="1:10" x14ac:dyDescent="0.25">
      <c r="A182" t="s">
        <v>2188</v>
      </c>
      <c r="B182" s="20" t="s">
        <v>2397</v>
      </c>
      <c r="C182" t="s">
        <v>8</v>
      </c>
      <c r="D182">
        <v>0.27</v>
      </c>
      <c r="E182">
        <v>470</v>
      </c>
      <c r="F182">
        <v>24</v>
      </c>
      <c r="G182">
        <v>11750</v>
      </c>
      <c r="H182">
        <v>3172.5</v>
      </c>
      <c r="I182" t="s">
        <v>2486</v>
      </c>
      <c r="J182">
        <v>13</v>
      </c>
    </row>
    <row r="183" spans="1:10" x14ac:dyDescent="0.25">
      <c r="A183" t="s">
        <v>2188</v>
      </c>
      <c r="B183" s="20" t="s">
        <v>2308</v>
      </c>
      <c r="C183" t="s">
        <v>8</v>
      </c>
      <c r="D183">
        <v>163</v>
      </c>
      <c r="E183">
        <v>3</v>
      </c>
      <c r="F183">
        <v>0</v>
      </c>
      <c r="G183">
        <v>3</v>
      </c>
      <c r="H183">
        <v>489</v>
      </c>
      <c r="I183" t="s">
        <v>2486</v>
      </c>
      <c r="J183">
        <v>14</v>
      </c>
    </row>
    <row r="184" spans="1:10" x14ac:dyDescent="0.25">
      <c r="A184" t="s">
        <v>2188</v>
      </c>
      <c r="B184" s="20" t="s">
        <v>2309</v>
      </c>
      <c r="C184" t="s">
        <v>8</v>
      </c>
      <c r="D184">
        <v>107</v>
      </c>
      <c r="E184">
        <v>8</v>
      </c>
      <c r="F184">
        <v>0</v>
      </c>
      <c r="G184">
        <v>8</v>
      </c>
      <c r="H184">
        <v>856</v>
      </c>
      <c r="I184" t="s">
        <v>2486</v>
      </c>
      <c r="J184">
        <v>15</v>
      </c>
    </row>
    <row r="185" spans="1:10" x14ac:dyDescent="0.25">
      <c r="A185" t="s">
        <v>2188</v>
      </c>
      <c r="B185" s="20" t="s">
        <v>2311</v>
      </c>
      <c r="C185" t="s">
        <v>8</v>
      </c>
      <c r="D185">
        <v>17</v>
      </c>
      <c r="E185">
        <v>10</v>
      </c>
      <c r="F185">
        <v>0</v>
      </c>
      <c r="G185">
        <v>10</v>
      </c>
      <c r="H185">
        <v>170</v>
      </c>
      <c r="I185" t="s">
        <v>2486</v>
      </c>
      <c r="J185">
        <v>16</v>
      </c>
    </row>
    <row r="186" spans="1:10" x14ac:dyDescent="0.25">
      <c r="A186" t="s">
        <v>2188</v>
      </c>
      <c r="B186" s="20" t="s">
        <v>2324</v>
      </c>
      <c r="C186" t="s">
        <v>937</v>
      </c>
      <c r="D186">
        <v>3.5</v>
      </c>
      <c r="E186">
        <v>176</v>
      </c>
      <c r="F186">
        <v>18</v>
      </c>
      <c r="G186">
        <v>3344</v>
      </c>
      <c r="H186">
        <v>11704</v>
      </c>
      <c r="I186" t="s">
        <v>2486</v>
      </c>
      <c r="J186">
        <v>17</v>
      </c>
    </row>
    <row r="187" spans="1:10" x14ac:dyDescent="0.25">
      <c r="A187" t="s">
        <v>2188</v>
      </c>
      <c r="B187" s="20" t="s">
        <v>940</v>
      </c>
      <c r="C187" t="s">
        <v>8</v>
      </c>
      <c r="D187">
        <v>28</v>
      </c>
      <c r="E187">
        <v>4</v>
      </c>
      <c r="F187">
        <v>0</v>
      </c>
      <c r="G187">
        <v>4</v>
      </c>
      <c r="H187">
        <v>112</v>
      </c>
      <c r="I187" t="s">
        <v>2486</v>
      </c>
      <c r="J187">
        <v>18</v>
      </c>
    </row>
    <row r="188" spans="1:10" x14ac:dyDescent="0.25">
      <c r="A188" t="s">
        <v>2188</v>
      </c>
      <c r="B188" s="20" t="s">
        <v>2312</v>
      </c>
      <c r="C188" t="s">
        <v>8</v>
      </c>
      <c r="D188">
        <v>25</v>
      </c>
      <c r="E188">
        <v>2</v>
      </c>
      <c r="F188">
        <v>0</v>
      </c>
      <c r="G188">
        <v>2</v>
      </c>
      <c r="H188">
        <v>50</v>
      </c>
      <c r="I188" t="s">
        <v>2486</v>
      </c>
      <c r="J188">
        <v>19</v>
      </c>
    </row>
    <row r="189" spans="1:10" x14ac:dyDescent="0.25">
      <c r="A189" t="s">
        <v>2188</v>
      </c>
      <c r="B189" s="20" t="s">
        <v>1442</v>
      </c>
      <c r="C189" t="s">
        <v>8</v>
      </c>
      <c r="D189">
        <v>0.13</v>
      </c>
      <c r="E189">
        <v>200</v>
      </c>
      <c r="F189">
        <v>0</v>
      </c>
      <c r="G189">
        <v>200</v>
      </c>
      <c r="H189">
        <v>26</v>
      </c>
      <c r="I189" t="s">
        <v>2486</v>
      </c>
      <c r="J189">
        <v>20</v>
      </c>
    </row>
    <row r="190" spans="1:10" x14ac:dyDescent="0.25">
      <c r="A190" t="s">
        <v>2188</v>
      </c>
      <c r="B190" s="20" t="s">
        <v>1652</v>
      </c>
      <c r="C190" t="s">
        <v>256</v>
      </c>
      <c r="D190">
        <v>92</v>
      </c>
      <c r="E190">
        <v>1</v>
      </c>
      <c r="F190">
        <v>0</v>
      </c>
      <c r="G190">
        <v>1</v>
      </c>
      <c r="H190">
        <v>92</v>
      </c>
      <c r="I190" t="s">
        <v>2486</v>
      </c>
      <c r="J190">
        <v>21</v>
      </c>
    </row>
    <row r="191" spans="1:10" x14ac:dyDescent="0.25">
      <c r="A191" t="s">
        <v>2188</v>
      </c>
      <c r="B191" s="20" t="s">
        <v>1653</v>
      </c>
      <c r="C191" t="s">
        <v>256</v>
      </c>
      <c r="D191">
        <v>92</v>
      </c>
      <c r="E191">
        <v>1</v>
      </c>
      <c r="F191">
        <v>0</v>
      </c>
      <c r="G191">
        <v>1</v>
      </c>
      <c r="H191">
        <v>92</v>
      </c>
      <c r="I191" t="s">
        <v>2486</v>
      </c>
      <c r="J191">
        <v>22</v>
      </c>
    </row>
    <row r="192" spans="1:10" x14ac:dyDescent="0.25">
      <c r="A192" t="s">
        <v>2188</v>
      </c>
      <c r="B192" s="20" t="s">
        <v>1654</v>
      </c>
      <c r="C192" t="s">
        <v>256</v>
      </c>
      <c r="D192">
        <v>92</v>
      </c>
      <c r="E192">
        <v>1</v>
      </c>
      <c r="F192">
        <v>0</v>
      </c>
      <c r="G192">
        <v>1</v>
      </c>
      <c r="H192">
        <v>92</v>
      </c>
      <c r="I192" t="s">
        <v>2486</v>
      </c>
      <c r="J192">
        <v>23</v>
      </c>
    </row>
    <row r="193" spans="1:10" x14ac:dyDescent="0.25">
      <c r="A193" t="s">
        <v>2188</v>
      </c>
      <c r="B193" s="20" t="s">
        <v>1665</v>
      </c>
      <c r="C193" t="s">
        <v>652</v>
      </c>
      <c r="D193">
        <v>6.8</v>
      </c>
      <c r="E193">
        <v>4</v>
      </c>
      <c r="F193">
        <v>0</v>
      </c>
      <c r="G193">
        <v>4</v>
      </c>
      <c r="H193">
        <v>27.2</v>
      </c>
      <c r="I193" t="s">
        <v>2486</v>
      </c>
      <c r="J193">
        <v>24</v>
      </c>
    </row>
    <row r="194" spans="1:10" x14ac:dyDescent="0.25">
      <c r="A194" t="s">
        <v>2188</v>
      </c>
      <c r="B194" s="20" t="s">
        <v>1676</v>
      </c>
      <c r="C194" t="s">
        <v>8</v>
      </c>
      <c r="D194">
        <v>6.8</v>
      </c>
      <c r="E194">
        <v>1</v>
      </c>
      <c r="F194">
        <v>0</v>
      </c>
      <c r="G194">
        <v>1</v>
      </c>
      <c r="H194">
        <v>6.8</v>
      </c>
      <c r="I194" t="s">
        <v>2486</v>
      </c>
      <c r="J194">
        <v>25</v>
      </c>
    </row>
    <row r="195" spans="1:10" x14ac:dyDescent="0.25">
      <c r="A195" t="s">
        <v>2188</v>
      </c>
      <c r="B195" s="20" t="s">
        <v>1679</v>
      </c>
      <c r="C195" t="s">
        <v>10</v>
      </c>
      <c r="D195">
        <v>13</v>
      </c>
      <c r="E195">
        <v>2</v>
      </c>
      <c r="F195">
        <v>0</v>
      </c>
      <c r="G195">
        <v>2</v>
      </c>
      <c r="H195">
        <v>26</v>
      </c>
      <c r="I195" t="s">
        <v>2486</v>
      </c>
      <c r="J195">
        <v>26</v>
      </c>
    </row>
    <row r="196" spans="1:10" x14ac:dyDescent="0.25">
      <c r="A196" t="s">
        <v>2188</v>
      </c>
      <c r="B196" s="20" t="s">
        <v>2317</v>
      </c>
      <c r="C196" t="s">
        <v>8</v>
      </c>
      <c r="D196">
        <v>0.5</v>
      </c>
      <c r="E196">
        <v>1</v>
      </c>
      <c r="F196">
        <v>0</v>
      </c>
      <c r="G196">
        <v>1</v>
      </c>
      <c r="H196">
        <v>0.5</v>
      </c>
      <c r="I196" t="s">
        <v>2486</v>
      </c>
      <c r="J196">
        <v>27</v>
      </c>
    </row>
    <row r="197" spans="1:10" x14ac:dyDescent="0.25">
      <c r="A197" t="s">
        <v>2188</v>
      </c>
      <c r="B197" s="20" t="s">
        <v>2198</v>
      </c>
      <c r="C197" t="s">
        <v>644</v>
      </c>
      <c r="D197">
        <v>160</v>
      </c>
      <c r="E197">
        <v>1</v>
      </c>
      <c r="F197">
        <v>0</v>
      </c>
      <c r="G197">
        <v>1</v>
      </c>
      <c r="H197">
        <v>160</v>
      </c>
      <c r="I197" t="s">
        <v>2486</v>
      </c>
      <c r="J197">
        <v>28</v>
      </c>
    </row>
    <row r="198" spans="1:10" x14ac:dyDescent="0.25">
      <c r="A198" t="s">
        <v>2188</v>
      </c>
      <c r="B198" s="20" t="s">
        <v>2320</v>
      </c>
      <c r="C198" t="s">
        <v>2321</v>
      </c>
      <c r="D198">
        <v>330</v>
      </c>
      <c r="E198">
        <v>1</v>
      </c>
      <c r="F198">
        <v>0</v>
      </c>
      <c r="G198">
        <v>1</v>
      </c>
      <c r="H198">
        <v>330</v>
      </c>
      <c r="I198" t="s">
        <v>2486</v>
      </c>
      <c r="J198">
        <v>29</v>
      </c>
    </row>
    <row r="199" spans="1:10" x14ac:dyDescent="0.25">
      <c r="A199" t="s">
        <v>2188</v>
      </c>
      <c r="B199" s="20" t="s">
        <v>1219</v>
      </c>
      <c r="C199" t="s">
        <v>28</v>
      </c>
      <c r="D199">
        <v>94</v>
      </c>
      <c r="E199">
        <v>1</v>
      </c>
      <c r="F199">
        <v>0</v>
      </c>
      <c r="G199">
        <v>1</v>
      </c>
      <c r="H199">
        <v>94</v>
      </c>
      <c r="I199" t="s">
        <v>2486</v>
      </c>
      <c r="J199">
        <v>30</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47</v>
      </c>
    </row>
    <row r="2" spans="1:1" x14ac:dyDescent="0.25">
      <c r="A2" s="3" t="s">
        <v>48</v>
      </c>
    </row>
    <row r="3" spans="1:1" x14ac:dyDescent="0.25">
      <c r="A3" s="3" t="s">
        <v>49</v>
      </c>
    </row>
    <row r="5" spans="1:1" x14ac:dyDescent="0.25">
      <c r="A5" s="3" t="s">
        <v>45</v>
      </c>
    </row>
    <row r="6" spans="1:1" x14ac:dyDescent="0.25">
      <c r="A6" s="3" t="s">
        <v>50</v>
      </c>
    </row>
    <row r="7" spans="1:1" x14ac:dyDescent="0.25">
      <c r="A7" s="3" t="s">
        <v>45</v>
      </c>
    </row>
    <row r="8" spans="1:1" x14ac:dyDescent="0.25">
      <c r="A8" s="3" t="s">
        <v>51</v>
      </c>
    </row>
    <row r="9" spans="1:1" x14ac:dyDescent="0.25">
      <c r="A9" s="3" t="s">
        <v>52</v>
      </c>
    </row>
    <row r="10" spans="1:1" x14ac:dyDescent="0.25">
      <c r="A10" s="3" t="s">
        <v>53</v>
      </c>
    </row>
    <row r="12" spans="1:1" x14ac:dyDescent="0.25">
      <c r="A12" s="3" t="s">
        <v>54</v>
      </c>
    </row>
    <row r="13" spans="1:1" x14ac:dyDescent="0.25">
      <c r="A13" s="3" t="s">
        <v>55</v>
      </c>
    </row>
    <row r="14" spans="1:1" x14ac:dyDescent="0.25">
      <c r="A14" s="3" t="s">
        <v>56</v>
      </c>
    </row>
    <row r="15" spans="1:1" x14ac:dyDescent="0.25">
      <c r="A15" s="3" t="s">
        <v>57</v>
      </c>
    </row>
    <row r="16" spans="1:1" x14ac:dyDescent="0.25">
      <c r="A16" s="3" t="s">
        <v>58</v>
      </c>
    </row>
    <row r="17" spans="1:1" x14ac:dyDescent="0.25">
      <c r="A17" s="3" t="s">
        <v>59</v>
      </c>
    </row>
    <row r="18" spans="1:1" x14ac:dyDescent="0.25">
      <c r="A18" s="3" t="s">
        <v>60</v>
      </c>
    </row>
    <row r="19" spans="1:1" x14ac:dyDescent="0.25">
      <c r="A19" s="3" t="s">
        <v>61</v>
      </c>
    </row>
    <row r="21" spans="1:1" x14ac:dyDescent="0.25">
      <c r="A21" s="3" t="s">
        <v>45</v>
      </c>
    </row>
    <row r="22" spans="1:1" x14ac:dyDescent="0.25">
      <c r="A22" s="3" t="s">
        <v>62</v>
      </c>
    </row>
    <row r="23" spans="1:1" x14ac:dyDescent="0.25">
      <c r="A23" s="3" t="s">
        <v>45</v>
      </c>
    </row>
    <row r="24" spans="1:1" x14ac:dyDescent="0.25">
      <c r="A24" s="3" t="s">
        <v>63</v>
      </c>
    </row>
    <row r="25" spans="1:1" x14ac:dyDescent="0.25">
      <c r="A25" s="3" t="s">
        <v>64</v>
      </c>
    </row>
    <row r="26" spans="1:1" x14ac:dyDescent="0.25">
      <c r="A26" s="3" t="s">
        <v>65</v>
      </c>
    </row>
    <row r="27" spans="1:1" x14ac:dyDescent="0.25">
      <c r="A27" s="3" t="s">
        <v>66</v>
      </c>
    </row>
    <row r="28" spans="1:1" x14ac:dyDescent="0.25">
      <c r="A28" s="3" t="s">
        <v>67</v>
      </c>
    </row>
    <row r="29" spans="1:1" x14ac:dyDescent="0.25">
      <c r="A29" s="3" t="s">
        <v>68</v>
      </c>
    </row>
    <row r="30" spans="1:1" x14ac:dyDescent="0.25">
      <c r="A30" s="3" t="s">
        <v>69</v>
      </c>
    </row>
    <row r="32" spans="1:1" x14ac:dyDescent="0.25">
      <c r="A32" s="3" t="s">
        <v>45</v>
      </c>
    </row>
    <row r="33" spans="1:1" x14ac:dyDescent="0.25">
      <c r="A33" s="3" t="s">
        <v>70</v>
      </c>
    </row>
    <row r="34" spans="1:1" x14ac:dyDescent="0.25">
      <c r="A34" s="3" t="s">
        <v>45</v>
      </c>
    </row>
    <row r="35" spans="1:1" x14ac:dyDescent="0.25">
      <c r="A35" s="3" t="s">
        <v>71</v>
      </c>
    </row>
    <row r="36" spans="1:1" x14ac:dyDescent="0.25">
      <c r="A36" s="3" t="s">
        <v>72</v>
      </c>
    </row>
    <row r="37" spans="1:1" x14ac:dyDescent="0.25">
      <c r="A37" s="3" t="s">
        <v>73</v>
      </c>
    </row>
    <row r="38" spans="1:1" x14ac:dyDescent="0.25">
      <c r="A38" s="3" t="s">
        <v>74</v>
      </c>
    </row>
    <row r="39" spans="1:1" x14ac:dyDescent="0.25">
      <c r="A39" s="3" t="s">
        <v>75</v>
      </c>
    </row>
    <row r="40" spans="1:1" x14ac:dyDescent="0.25">
      <c r="A40" s="3" t="s">
        <v>76</v>
      </c>
    </row>
    <row r="41" spans="1:1" x14ac:dyDescent="0.25">
      <c r="A41" s="3" t="s">
        <v>77</v>
      </c>
    </row>
    <row r="42" spans="1:1" x14ac:dyDescent="0.25">
      <c r="A42" s="3" t="s">
        <v>78</v>
      </c>
    </row>
    <row r="43" spans="1:1" x14ac:dyDescent="0.25">
      <c r="A43" s="3" t="s">
        <v>79</v>
      </c>
    </row>
    <row r="45" spans="1:1" x14ac:dyDescent="0.25">
      <c r="A45" s="3" t="s">
        <v>45</v>
      </c>
    </row>
    <row r="46" spans="1:1" x14ac:dyDescent="0.25">
      <c r="A46" s="3" t="s">
        <v>80</v>
      </c>
    </row>
    <row r="47" spans="1:1" x14ac:dyDescent="0.25">
      <c r="A47" s="3" t="s">
        <v>45</v>
      </c>
    </row>
    <row r="48" spans="1:1" x14ac:dyDescent="0.25">
      <c r="A48" s="3" t="s">
        <v>81</v>
      </c>
    </row>
    <row r="49" spans="1:1" x14ac:dyDescent="0.25">
      <c r="A49" s="3" t="s">
        <v>82</v>
      </c>
    </row>
    <row r="50" spans="1:1" x14ac:dyDescent="0.25">
      <c r="A50" s="3" t="s">
        <v>83</v>
      </c>
    </row>
    <row r="51" spans="1:1" x14ac:dyDescent="0.25">
      <c r="A51" s="3" t="s">
        <v>84</v>
      </c>
    </row>
    <row r="52" spans="1:1" x14ac:dyDescent="0.25">
      <c r="A52" s="3" t="s">
        <v>85</v>
      </c>
    </row>
    <row r="53" spans="1:1" x14ac:dyDescent="0.25">
      <c r="A53" s="3" t="s">
        <v>86</v>
      </c>
    </row>
    <row r="54" spans="1:1" x14ac:dyDescent="0.25">
      <c r="A54" s="3" t="s">
        <v>87</v>
      </c>
    </row>
    <row r="55" spans="1:1" x14ac:dyDescent="0.25">
      <c r="A55" s="3" t="s">
        <v>88</v>
      </c>
    </row>
    <row r="56" spans="1:1" x14ac:dyDescent="0.25">
      <c r="A56" s="3" t="s">
        <v>89</v>
      </c>
    </row>
    <row r="58" spans="1:1" x14ac:dyDescent="0.25">
      <c r="A58" s="3" t="s">
        <v>45</v>
      </c>
    </row>
    <row r="59" spans="1:1" x14ac:dyDescent="0.25">
      <c r="A59" s="3" t="s">
        <v>90</v>
      </c>
    </row>
    <row r="60" spans="1:1" x14ac:dyDescent="0.25">
      <c r="A60" s="3" t="s">
        <v>45</v>
      </c>
    </row>
    <row r="61" spans="1:1" x14ac:dyDescent="0.25">
      <c r="A61" s="3" t="s">
        <v>91</v>
      </c>
    </row>
    <row r="62" spans="1:1" x14ac:dyDescent="0.25">
      <c r="A62" s="3" t="s">
        <v>92</v>
      </c>
    </row>
    <row r="63" spans="1:1" x14ac:dyDescent="0.25">
      <c r="A63" s="3" t="s">
        <v>93</v>
      </c>
    </row>
    <row r="64" spans="1:1" x14ac:dyDescent="0.25">
      <c r="A64" s="3" t="s">
        <v>94</v>
      </c>
    </row>
    <row r="65" spans="1:1" x14ac:dyDescent="0.25">
      <c r="A65" s="3" t="s">
        <v>95</v>
      </c>
    </row>
    <row r="66" spans="1:1" x14ac:dyDescent="0.25">
      <c r="A66" s="3" t="s">
        <v>96</v>
      </c>
    </row>
    <row r="67" spans="1:1" x14ac:dyDescent="0.25">
      <c r="A67" s="3" t="s">
        <v>97</v>
      </c>
    </row>
    <row r="68" spans="1:1" x14ac:dyDescent="0.25">
      <c r="A68" s="3" t="s">
        <v>98</v>
      </c>
    </row>
    <row r="69" spans="1:1" x14ac:dyDescent="0.25">
      <c r="A69" s="3" t="s">
        <v>99</v>
      </c>
    </row>
    <row r="70" spans="1:1" x14ac:dyDescent="0.25">
      <c r="A70" s="3" t="s">
        <v>100</v>
      </c>
    </row>
    <row r="71" spans="1:1" x14ac:dyDescent="0.25">
      <c r="A71" s="3" t="s">
        <v>101</v>
      </c>
    </row>
    <row r="72" spans="1:1" x14ac:dyDescent="0.25">
      <c r="A72" s="3" t="s">
        <v>102</v>
      </c>
    </row>
    <row r="73" spans="1:1" x14ac:dyDescent="0.25">
      <c r="A73" s="3" t="s">
        <v>103</v>
      </c>
    </row>
    <row r="74" spans="1:1" x14ac:dyDescent="0.25">
      <c r="A74" s="3" t="s">
        <v>104</v>
      </c>
    </row>
    <row r="75" spans="1:1" x14ac:dyDescent="0.25">
      <c r="A75" s="3" t="s">
        <v>105</v>
      </c>
    </row>
    <row r="76" spans="1:1" x14ac:dyDescent="0.25">
      <c r="A76" s="3" t="s">
        <v>106</v>
      </c>
    </row>
    <row r="77" spans="1:1" x14ac:dyDescent="0.25">
      <c r="A77" s="3" t="s">
        <v>107</v>
      </c>
    </row>
    <row r="79" spans="1:1" x14ac:dyDescent="0.25">
      <c r="A79" s="3" t="s">
        <v>45</v>
      </c>
    </row>
    <row r="80" spans="1:1" x14ac:dyDescent="0.25">
      <c r="A80" s="3" t="s">
        <v>108</v>
      </c>
    </row>
    <row r="81" spans="1:1" x14ac:dyDescent="0.25">
      <c r="A81" s="3" t="s">
        <v>45</v>
      </c>
    </row>
    <row r="82" spans="1:1" x14ac:dyDescent="0.25">
      <c r="A82" s="3" t="s">
        <v>109</v>
      </c>
    </row>
    <row r="83" spans="1:1" x14ac:dyDescent="0.25">
      <c r="A83" s="3" t="s">
        <v>110</v>
      </c>
    </row>
    <row r="84" spans="1:1" x14ac:dyDescent="0.25">
      <c r="A84" s="3" t="s">
        <v>111</v>
      </c>
    </row>
    <row r="85" spans="1:1" x14ac:dyDescent="0.25">
      <c r="A85" s="3" t="s">
        <v>112</v>
      </c>
    </row>
    <row r="86" spans="1:1" x14ac:dyDescent="0.25">
      <c r="A86" s="3" t="s">
        <v>113</v>
      </c>
    </row>
    <row r="87" spans="1:1" x14ac:dyDescent="0.25">
      <c r="A87" s="3" t="s">
        <v>114</v>
      </c>
    </row>
    <row r="88" spans="1:1" x14ac:dyDescent="0.25">
      <c r="A88" s="3" t="s">
        <v>115</v>
      </c>
    </row>
    <row r="89" spans="1:1" x14ac:dyDescent="0.25">
      <c r="A89" s="3" t="s">
        <v>116</v>
      </c>
    </row>
    <row r="90" spans="1:1" x14ac:dyDescent="0.25">
      <c r="A90" s="3" t="s">
        <v>117</v>
      </c>
    </row>
    <row r="91" spans="1:1" x14ac:dyDescent="0.25">
      <c r="A91" s="3" t="s">
        <v>118</v>
      </c>
    </row>
    <row r="92" spans="1:1" x14ac:dyDescent="0.25">
      <c r="A92" s="3" t="s">
        <v>119</v>
      </c>
    </row>
    <row r="94" spans="1:1" x14ac:dyDescent="0.25">
      <c r="A94" s="3" t="s">
        <v>45</v>
      </c>
    </row>
    <row r="95" spans="1:1" x14ac:dyDescent="0.25">
      <c r="A95" s="3" t="s">
        <v>120</v>
      </c>
    </row>
    <row r="96" spans="1:1" x14ac:dyDescent="0.25">
      <c r="A96" s="3" t="s">
        <v>45</v>
      </c>
    </row>
    <row r="97" spans="1:1" x14ac:dyDescent="0.25">
      <c r="A97" s="3" t="s">
        <v>121</v>
      </c>
    </row>
    <row r="98" spans="1:1" x14ac:dyDescent="0.25">
      <c r="A98" s="3" t="s">
        <v>122</v>
      </c>
    </row>
    <row r="99" spans="1:1" x14ac:dyDescent="0.25">
      <c r="A99" s="3" t="s">
        <v>123</v>
      </c>
    </row>
    <row r="100" spans="1:1" x14ac:dyDescent="0.25">
      <c r="A100" s="3" t="s">
        <v>124</v>
      </c>
    </row>
    <row r="101" spans="1:1" x14ac:dyDescent="0.25">
      <c r="A101" s="3" t="s">
        <v>125</v>
      </c>
    </row>
    <row r="103" spans="1:1" x14ac:dyDescent="0.25">
      <c r="A103" s="3" t="s">
        <v>126</v>
      </c>
    </row>
    <row r="104" spans="1:1" x14ac:dyDescent="0.25">
      <c r="A104" s="3" t="s">
        <v>127</v>
      </c>
    </row>
    <row r="105" spans="1:1" x14ac:dyDescent="0.25">
      <c r="A105" s="3" t="s">
        <v>128</v>
      </c>
    </row>
    <row r="106" spans="1:1" x14ac:dyDescent="0.25">
      <c r="A106" s="3" t="s">
        <v>129</v>
      </c>
    </row>
    <row r="107" spans="1:1" x14ac:dyDescent="0.25">
      <c r="A107" s="3" t="s">
        <v>130</v>
      </c>
    </row>
    <row r="108" spans="1:1" x14ac:dyDescent="0.25">
      <c r="A108" s="3" t="s">
        <v>131</v>
      </c>
    </row>
    <row r="110" spans="1:1" x14ac:dyDescent="0.25">
      <c r="A110" s="3" t="s">
        <v>132</v>
      </c>
    </row>
    <row r="111" spans="1:1" x14ac:dyDescent="0.25">
      <c r="A111" s="3" t="s">
        <v>133</v>
      </c>
    </row>
    <row r="112" spans="1:1" x14ac:dyDescent="0.25">
      <c r="A112" s="3" t="s">
        <v>134</v>
      </c>
    </row>
    <row r="113" spans="1:1" x14ac:dyDescent="0.25">
      <c r="A113" s="3" t="s">
        <v>135</v>
      </c>
    </row>
    <row r="114" spans="1:1" x14ac:dyDescent="0.25">
      <c r="A114" s="3" t="s">
        <v>136</v>
      </c>
    </row>
    <row r="116" spans="1:1" x14ac:dyDescent="0.25">
      <c r="A116" s="3" t="s">
        <v>137</v>
      </c>
    </row>
    <row r="117" spans="1:1" x14ac:dyDescent="0.25">
      <c r="A117" s="3" t="s">
        <v>138</v>
      </c>
    </row>
    <row r="118" spans="1:1" x14ac:dyDescent="0.25">
      <c r="A118" s="3" t="s">
        <v>139</v>
      </c>
    </row>
    <row r="119" spans="1:1" x14ac:dyDescent="0.25">
      <c r="A119" s="3" t="s">
        <v>140</v>
      </c>
    </row>
    <row r="121" spans="1:1" x14ac:dyDescent="0.25">
      <c r="A121" s="3" t="s">
        <v>141</v>
      </c>
    </row>
    <row r="122" spans="1:1" x14ac:dyDescent="0.25">
      <c r="A122" s="3" t="s">
        <v>142</v>
      </c>
    </row>
    <row r="123" spans="1:1" x14ac:dyDescent="0.25">
      <c r="A123" s="3" t="s">
        <v>143</v>
      </c>
    </row>
    <row r="125" spans="1:1" x14ac:dyDescent="0.25">
      <c r="A125" s="3" t="s">
        <v>144</v>
      </c>
    </row>
    <row r="126" spans="1:1" x14ac:dyDescent="0.25">
      <c r="A126" s="3" t="s">
        <v>145</v>
      </c>
    </row>
    <row r="127" spans="1:1" x14ac:dyDescent="0.25">
      <c r="A127" s="3" t="s">
        <v>146</v>
      </c>
    </row>
    <row r="128" spans="1:1" x14ac:dyDescent="0.25">
      <c r="A128" s="3" t="s">
        <v>147</v>
      </c>
    </row>
    <row r="129" spans="1:1" x14ac:dyDescent="0.25">
      <c r="A129" s="3" t="s">
        <v>148</v>
      </c>
    </row>
    <row r="131" spans="1:1" x14ac:dyDescent="0.25">
      <c r="A131" s="3" t="s">
        <v>149</v>
      </c>
    </row>
    <row r="132" spans="1:1" x14ac:dyDescent="0.25">
      <c r="A132" s="3" t="s">
        <v>150</v>
      </c>
    </row>
    <row r="133" spans="1:1" x14ac:dyDescent="0.25">
      <c r="A133" s="3" t="s">
        <v>151</v>
      </c>
    </row>
    <row r="134" spans="1:1" x14ac:dyDescent="0.25">
      <c r="A134" s="3" t="s">
        <v>152</v>
      </c>
    </row>
    <row r="136" spans="1:1" x14ac:dyDescent="0.25">
      <c r="A136" s="3" t="s">
        <v>153</v>
      </c>
    </row>
    <row r="137" spans="1:1" x14ac:dyDescent="0.25">
      <c r="A137" s="3" t="s">
        <v>154</v>
      </c>
    </row>
    <row r="138" spans="1:1" x14ac:dyDescent="0.25">
      <c r="A138" s="3" t="s">
        <v>155</v>
      </c>
    </row>
    <row r="139" spans="1:1" x14ac:dyDescent="0.25">
      <c r="A139" s="3" t="s">
        <v>156</v>
      </c>
    </row>
    <row r="141" spans="1:1" x14ac:dyDescent="0.25">
      <c r="A141" s="3" t="s">
        <v>157</v>
      </c>
    </row>
    <row r="142" spans="1:1" x14ac:dyDescent="0.25">
      <c r="A142" s="3" t="s">
        <v>158</v>
      </c>
    </row>
    <row r="143" spans="1:1" x14ac:dyDescent="0.25">
      <c r="A143" s="3" t="s">
        <v>159</v>
      </c>
    </row>
    <row r="144" spans="1:1" x14ac:dyDescent="0.25">
      <c r="A144" s="3" t="s">
        <v>160</v>
      </c>
    </row>
    <row r="145" spans="1:1" x14ac:dyDescent="0.25">
      <c r="A145" s="3" t="s">
        <v>161</v>
      </c>
    </row>
    <row r="146" spans="1:1" x14ac:dyDescent="0.25">
      <c r="A146" s="3" t="s">
        <v>162</v>
      </c>
    </row>
    <row r="147" spans="1:1" x14ac:dyDescent="0.25">
      <c r="A147" s="3" t="s">
        <v>163</v>
      </c>
    </row>
    <row r="148" spans="1:1" x14ac:dyDescent="0.25">
      <c r="A148" s="3" t="s">
        <v>164</v>
      </c>
    </row>
    <row r="149" spans="1:1" x14ac:dyDescent="0.25">
      <c r="A149" s="3" t="s">
        <v>165</v>
      </c>
    </row>
    <row r="150" spans="1:1" x14ac:dyDescent="0.25">
      <c r="A150" s="3" t="s">
        <v>166</v>
      </c>
    </row>
    <row r="152" spans="1:1" x14ac:dyDescent="0.25">
      <c r="A152" s="3" t="s">
        <v>167</v>
      </c>
    </row>
    <row r="153" spans="1:1" x14ac:dyDescent="0.25">
      <c r="A153" s="3" t="s">
        <v>168</v>
      </c>
    </row>
    <row r="154" spans="1:1" x14ac:dyDescent="0.25">
      <c r="A154" s="3" t="s">
        <v>169</v>
      </c>
    </row>
    <row r="155" spans="1:1" x14ac:dyDescent="0.25">
      <c r="A155" s="3" t="s">
        <v>170</v>
      </c>
    </row>
    <row r="157" spans="1:1" x14ac:dyDescent="0.25">
      <c r="A157" s="3" t="s">
        <v>126</v>
      </c>
    </row>
    <row r="158" spans="1:1" x14ac:dyDescent="0.25">
      <c r="A158" s="3" t="s">
        <v>127</v>
      </c>
    </row>
    <row r="159" spans="1:1" x14ac:dyDescent="0.25">
      <c r="A159" s="3" t="s">
        <v>128</v>
      </c>
    </row>
    <row r="160" spans="1:1" x14ac:dyDescent="0.25">
      <c r="A160" s="3" t="s">
        <v>129</v>
      </c>
    </row>
    <row r="161" spans="1:1" x14ac:dyDescent="0.25">
      <c r="A161" s="3" t="s">
        <v>130</v>
      </c>
    </row>
    <row r="162" spans="1:1" x14ac:dyDescent="0.25">
      <c r="A162" s="3" t="s">
        <v>131</v>
      </c>
    </row>
    <row r="164" spans="1:1" x14ac:dyDescent="0.25">
      <c r="A164" s="3" t="s">
        <v>45</v>
      </c>
    </row>
    <row r="165" spans="1:1" x14ac:dyDescent="0.25">
      <c r="A165" s="3" t="s">
        <v>171</v>
      </c>
    </row>
    <row r="166" spans="1:1" x14ac:dyDescent="0.25">
      <c r="A166" s="3" t="s">
        <v>45</v>
      </c>
    </row>
    <row r="167" spans="1:1" x14ac:dyDescent="0.25">
      <c r="A167" s="3" t="s">
        <v>172</v>
      </c>
    </row>
    <row r="168" spans="1:1" x14ac:dyDescent="0.25">
      <c r="A168" s="3" t="s">
        <v>173</v>
      </c>
    </row>
    <row r="169" spans="1:1" x14ac:dyDescent="0.25">
      <c r="A169" s="3" t="s">
        <v>174</v>
      </c>
    </row>
    <row r="170" spans="1:1" x14ac:dyDescent="0.25">
      <c r="A170" s="3" t="s">
        <v>175</v>
      </c>
    </row>
    <row r="171" spans="1:1" x14ac:dyDescent="0.25">
      <c r="A171" s="3" t="s">
        <v>176</v>
      </c>
    </row>
    <row r="172" spans="1:1" x14ac:dyDescent="0.25">
      <c r="A172" s="3" t="s">
        <v>177</v>
      </c>
    </row>
    <row r="173" spans="1:1" x14ac:dyDescent="0.25">
      <c r="A173" s="3" t="s">
        <v>176</v>
      </c>
    </row>
    <row r="174" spans="1:1" x14ac:dyDescent="0.25">
      <c r="A174" s="3" t="s">
        <v>178</v>
      </c>
    </row>
    <row r="175" spans="1:1" x14ac:dyDescent="0.25">
      <c r="A175" s="3" t="s">
        <v>179</v>
      </c>
    </row>
    <row r="176" spans="1:1" x14ac:dyDescent="0.25">
      <c r="A176" s="3" t="s">
        <v>180</v>
      </c>
    </row>
    <row r="177" spans="1:1" x14ac:dyDescent="0.25">
      <c r="A177" s="3" t="s">
        <v>181</v>
      </c>
    </row>
    <row r="179" spans="1:1" x14ac:dyDescent="0.25">
      <c r="A179" s="3" t="s">
        <v>45</v>
      </c>
    </row>
    <row r="180" spans="1:1" x14ac:dyDescent="0.25">
      <c r="A180" s="3" t="s">
        <v>182</v>
      </c>
    </row>
    <row r="181" spans="1:1" x14ac:dyDescent="0.25">
      <c r="A181" s="3" t="s">
        <v>45</v>
      </c>
    </row>
    <row r="182" spans="1:1" x14ac:dyDescent="0.25">
      <c r="A182" s="3" t="s">
        <v>183</v>
      </c>
    </row>
    <row r="183" spans="1:1" x14ac:dyDescent="0.25">
      <c r="A183" s="3" t="s">
        <v>184</v>
      </c>
    </row>
    <row r="184" spans="1:1" x14ac:dyDescent="0.25">
      <c r="A184" s="3" t="s">
        <v>185</v>
      </c>
    </row>
    <row r="185" spans="1:1" x14ac:dyDescent="0.25">
      <c r="A185" s="3" t="s">
        <v>186</v>
      </c>
    </row>
    <row r="186" spans="1:1" x14ac:dyDescent="0.25">
      <c r="A186" s="3" t="s">
        <v>187</v>
      </c>
    </row>
    <row r="187" spans="1:1" x14ac:dyDescent="0.25">
      <c r="A187" s="3" t="s">
        <v>188</v>
      </c>
    </row>
    <row r="188" spans="1:1" x14ac:dyDescent="0.25">
      <c r="A188" s="3" t="s">
        <v>189</v>
      </c>
    </row>
    <row r="190" spans="1:1" x14ac:dyDescent="0.25">
      <c r="A190" s="3" t="s">
        <v>45</v>
      </c>
    </row>
    <row r="191" spans="1:1" x14ac:dyDescent="0.25">
      <c r="A191" s="3" t="s">
        <v>190</v>
      </c>
    </row>
    <row r="192" spans="1:1" x14ac:dyDescent="0.25">
      <c r="A192" s="3" t="s">
        <v>45</v>
      </c>
    </row>
    <row r="193" spans="1:1" x14ac:dyDescent="0.25">
      <c r="A193" s="3" t="s">
        <v>191</v>
      </c>
    </row>
    <row r="194" spans="1:1" x14ac:dyDescent="0.25">
      <c r="A194" s="3" t="s">
        <v>192</v>
      </c>
    </row>
    <row r="195" spans="1:1" x14ac:dyDescent="0.25">
      <c r="A195" s="3" t="s">
        <v>193</v>
      </c>
    </row>
    <row r="196" spans="1:1" x14ac:dyDescent="0.25">
      <c r="A196" s="3" t="s">
        <v>194</v>
      </c>
    </row>
    <row r="197" spans="1:1" x14ac:dyDescent="0.25">
      <c r="A197" s="3" t="s">
        <v>195</v>
      </c>
    </row>
    <row r="199" spans="1:1" x14ac:dyDescent="0.25">
      <c r="A199" s="3" t="s">
        <v>45</v>
      </c>
    </row>
    <row r="200" spans="1:1" x14ac:dyDescent="0.25">
      <c r="A200" s="3" t="s">
        <v>196</v>
      </c>
    </row>
    <row r="201" spans="1:1" x14ac:dyDescent="0.25">
      <c r="A201" s="3" t="s">
        <v>45</v>
      </c>
    </row>
    <row r="202" spans="1:1" x14ac:dyDescent="0.25">
      <c r="A202" s="3" t="s">
        <v>197</v>
      </c>
    </row>
    <row r="203" spans="1:1" x14ac:dyDescent="0.25">
      <c r="A203" s="3" t="s">
        <v>198</v>
      </c>
    </row>
    <row r="204" spans="1:1" x14ac:dyDescent="0.25">
      <c r="A204" s="3" t="s">
        <v>199</v>
      </c>
    </row>
    <row r="205" spans="1:1" x14ac:dyDescent="0.25">
      <c r="A205" s="3" t="s">
        <v>200</v>
      </c>
    </row>
    <row r="206" spans="1:1" x14ac:dyDescent="0.25">
      <c r="A206" s="3" t="s">
        <v>201</v>
      </c>
    </row>
    <row r="208" spans="1:1" x14ac:dyDescent="0.25">
      <c r="A208" s="3" t="s">
        <v>45</v>
      </c>
    </row>
    <row r="209" spans="1:1" x14ac:dyDescent="0.25">
      <c r="A209" s="3" t="s">
        <v>202</v>
      </c>
    </row>
    <row r="210" spans="1:1" x14ac:dyDescent="0.25">
      <c r="A210" s="3" t="s">
        <v>45</v>
      </c>
    </row>
    <row r="211" spans="1:1" x14ac:dyDescent="0.25">
      <c r="A211" s="3" t="s">
        <v>203</v>
      </c>
    </row>
    <row r="212" spans="1:1" x14ac:dyDescent="0.25">
      <c r="A212" s="3" t="s">
        <v>204</v>
      </c>
    </row>
    <row r="213" spans="1:1" x14ac:dyDescent="0.25">
      <c r="A213" s="3" t="s">
        <v>205</v>
      </c>
    </row>
    <row r="214" spans="1:1" x14ac:dyDescent="0.25">
      <c r="A214" s="3" t="s">
        <v>206</v>
      </c>
    </row>
    <row r="215" spans="1:1" x14ac:dyDescent="0.25">
      <c r="A215" s="3" t="s">
        <v>207</v>
      </c>
    </row>
    <row r="216" spans="1:1" x14ac:dyDescent="0.25">
      <c r="A216" s="3" t="s">
        <v>208</v>
      </c>
    </row>
    <row r="217" spans="1:1" x14ac:dyDescent="0.25">
      <c r="A217" s="3" t="s">
        <v>209</v>
      </c>
    </row>
    <row r="218" spans="1:1" x14ac:dyDescent="0.25">
      <c r="A218" s="3" t="s">
        <v>210</v>
      </c>
    </row>
    <row r="219" spans="1:1" x14ac:dyDescent="0.25">
      <c r="A219" s="3" t="s">
        <v>211</v>
      </c>
    </row>
    <row r="220" spans="1:1" x14ac:dyDescent="0.25">
      <c r="A220" s="3" t="s">
        <v>212</v>
      </c>
    </row>
    <row r="221" spans="1:1" x14ac:dyDescent="0.25">
      <c r="A221" s="3" t="s">
        <v>213</v>
      </c>
    </row>
    <row r="222" spans="1:1" x14ac:dyDescent="0.25">
      <c r="A222" s="3" t="s">
        <v>214</v>
      </c>
    </row>
    <row r="223" spans="1:1" x14ac:dyDescent="0.25">
      <c r="A223" s="3" t="s">
        <v>215</v>
      </c>
    </row>
    <row r="225" spans="1:1" x14ac:dyDescent="0.25">
      <c r="A225" s="3" t="s">
        <v>45</v>
      </c>
    </row>
    <row r="226" spans="1:1" x14ac:dyDescent="0.25">
      <c r="A226" s="3" t="s">
        <v>216</v>
      </c>
    </row>
    <row r="227" spans="1:1" x14ac:dyDescent="0.25">
      <c r="A227" s="3" t="s">
        <v>45</v>
      </c>
    </row>
    <row r="228" spans="1:1" x14ac:dyDescent="0.25">
      <c r="A228" s="3" t="s">
        <v>217</v>
      </c>
    </row>
    <row r="229" spans="1:1" x14ac:dyDescent="0.25">
      <c r="A229" s="3" t="s">
        <v>218</v>
      </c>
    </row>
    <row r="230" spans="1:1" x14ac:dyDescent="0.25">
      <c r="A230" s="3" t="s">
        <v>219</v>
      </c>
    </row>
    <row r="231" spans="1:1" x14ac:dyDescent="0.25">
      <c r="A231" s="3" t="s">
        <v>220</v>
      </c>
    </row>
    <row r="232" spans="1:1" x14ac:dyDescent="0.25">
      <c r="A232" s="3" t="s">
        <v>221</v>
      </c>
    </row>
    <row r="233" spans="1:1" x14ac:dyDescent="0.25">
      <c r="A233" s="3" t="s">
        <v>222</v>
      </c>
    </row>
    <row r="234" spans="1:1" x14ac:dyDescent="0.25">
      <c r="A234" s="3" t="s">
        <v>223</v>
      </c>
    </row>
    <row r="235" spans="1:1" x14ac:dyDescent="0.25">
      <c r="A235" s="3" t="s">
        <v>224</v>
      </c>
    </row>
    <row r="236" spans="1:1" x14ac:dyDescent="0.25">
      <c r="A236" s="3" t="s">
        <v>225</v>
      </c>
    </row>
    <row r="237" spans="1:1" x14ac:dyDescent="0.25">
      <c r="A237" s="3" t="s">
        <v>226</v>
      </c>
    </row>
    <row r="238" spans="1:1" x14ac:dyDescent="0.25">
      <c r="A238" s="3" t="s">
        <v>227</v>
      </c>
    </row>
    <row r="240" spans="1:1" x14ac:dyDescent="0.25">
      <c r="A240" s="3" t="s">
        <v>45</v>
      </c>
    </row>
    <row r="241" spans="1:1" x14ac:dyDescent="0.25">
      <c r="A241" s="3" t="s">
        <v>228</v>
      </c>
    </row>
    <row r="242" spans="1:1" x14ac:dyDescent="0.25">
      <c r="A242" s="3" t="s">
        <v>45</v>
      </c>
    </row>
    <row r="243" spans="1:1" x14ac:dyDescent="0.25">
      <c r="A243" s="3" t="s">
        <v>229</v>
      </c>
    </row>
    <row r="244" spans="1:1" x14ac:dyDescent="0.25">
      <c r="A244" s="3" t="s">
        <v>230</v>
      </c>
    </row>
    <row r="245" spans="1:1" x14ac:dyDescent="0.25">
      <c r="A245" s="3" t="s">
        <v>231</v>
      </c>
    </row>
    <row r="246" spans="1:1" x14ac:dyDescent="0.25">
      <c r="A246" s="3" t="s">
        <v>232</v>
      </c>
    </row>
    <row r="247" spans="1:1" x14ac:dyDescent="0.25">
      <c r="A247" s="3" t="s">
        <v>233</v>
      </c>
    </row>
    <row r="248" spans="1:1" x14ac:dyDescent="0.25">
      <c r="A248" s="3" t="s">
        <v>234</v>
      </c>
    </row>
    <row r="249" spans="1:1" x14ac:dyDescent="0.25">
      <c r="A249" s="3" t="s">
        <v>235</v>
      </c>
    </row>
    <row r="250" spans="1:1" x14ac:dyDescent="0.25">
      <c r="A250" s="3" t="s">
        <v>236</v>
      </c>
    </row>
    <row r="252" spans="1:1" x14ac:dyDescent="0.25">
      <c r="A252" s="3" t="s">
        <v>45</v>
      </c>
    </row>
    <row r="253" spans="1:1" x14ac:dyDescent="0.25">
      <c r="A253" s="3" t="s">
        <v>237</v>
      </c>
    </row>
    <row r="254" spans="1:1" x14ac:dyDescent="0.25">
      <c r="A254" s="3" t="s">
        <v>45</v>
      </c>
    </row>
    <row r="255" spans="1:1" x14ac:dyDescent="0.25">
      <c r="A255" s="3" t="s">
        <v>238</v>
      </c>
    </row>
    <row r="256" spans="1:1" x14ac:dyDescent="0.25">
      <c r="A256" s="3" t="s">
        <v>239</v>
      </c>
    </row>
    <row r="257" spans="1:1" x14ac:dyDescent="0.25">
      <c r="A257" s="3" t="s">
        <v>240</v>
      </c>
    </row>
    <row r="258" spans="1:1" x14ac:dyDescent="0.25">
      <c r="A258" s="3" t="s">
        <v>241</v>
      </c>
    </row>
    <row r="259" spans="1:1" x14ac:dyDescent="0.25">
      <c r="A259" s="3" t="s">
        <v>242</v>
      </c>
    </row>
    <row r="260" spans="1:1" x14ac:dyDescent="0.25">
      <c r="A260" s="3" t="s">
        <v>243</v>
      </c>
    </row>
    <row r="261" spans="1:1" x14ac:dyDescent="0.25">
      <c r="A261" s="3" t="s">
        <v>244</v>
      </c>
    </row>
    <row r="262" spans="1:1" x14ac:dyDescent="0.25">
      <c r="A262" s="3" t="s">
        <v>245</v>
      </c>
    </row>
    <row r="263" spans="1:1" x14ac:dyDescent="0.25">
      <c r="A263" s="3" t="s">
        <v>246</v>
      </c>
    </row>
    <row r="264" spans="1:1" x14ac:dyDescent="0.25">
      <c r="A264" s="3" t="s">
        <v>247</v>
      </c>
    </row>
    <row r="265" spans="1:1" x14ac:dyDescent="0.25">
      <c r="A265" s="3" t="s">
        <v>248</v>
      </c>
    </row>
    <row r="267" spans="1:1" x14ac:dyDescent="0.25">
      <c r="A267" s="3" t="s">
        <v>249</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888-529E-46E1-BE61-E8FF2B8554F6}">
  <sheetPr codeName="Sheet10"/>
  <dimension ref="A2:AF301"/>
  <sheetViews>
    <sheetView zoomScale="75" zoomScaleNormal="75" workbookViewId="0">
      <pane ySplit="40" topLeftCell="A293" activePane="bottomLeft" state="frozen"/>
      <selection pane="bottomLeft" activeCell="E2" sqref="E2"/>
    </sheetView>
  </sheetViews>
  <sheetFormatPr defaultRowHeight="15" x14ac:dyDescent="0.25"/>
  <cols>
    <col min="1" max="1" width="9.28515625" bestFit="1" customWidth="1"/>
    <col min="2" max="2" width="11.7109375" bestFit="1" customWidth="1"/>
    <col min="3" max="3" width="5.7109375" bestFit="1" customWidth="1"/>
    <col min="4" max="4" width="5.42578125" bestFit="1" customWidth="1"/>
    <col min="5" max="5" width="10.85546875" style="12" bestFit="1" customWidth="1"/>
    <col min="6" max="6" width="12.5703125" style="18" bestFit="1" customWidth="1"/>
    <col min="7" max="8" width="9.140625" style="12"/>
    <col min="9" max="9" width="12.5703125" style="12" bestFit="1" customWidth="1"/>
    <col min="10" max="10" width="5.7109375" style="12" bestFit="1" customWidth="1"/>
    <col min="11" max="11" width="1.7109375" style="25" customWidth="1"/>
    <col min="12" max="13" width="9.140625" style="12"/>
    <col min="14" max="15" width="9.140625" style="18"/>
    <col min="16" max="19" width="9.140625" style="12"/>
    <col min="22" max="22" width="1.7109375" style="1" customWidth="1"/>
  </cols>
  <sheetData>
    <row r="2" spans="1:32" x14ac:dyDescent="0.25">
      <c r="A2" t="s">
        <v>26</v>
      </c>
      <c r="B2" t="s">
        <v>3</v>
      </c>
      <c r="C2" t="s">
        <v>1</v>
      </c>
      <c r="D2" t="s">
        <v>32</v>
      </c>
      <c r="E2" s="12" t="s">
        <v>2210</v>
      </c>
      <c r="F2" s="18" t="s">
        <v>20</v>
      </c>
      <c r="G2" s="12" t="s">
        <v>2</v>
      </c>
      <c r="H2" s="12" t="s">
        <v>19</v>
      </c>
      <c r="I2" s="12" t="s">
        <v>2211</v>
      </c>
      <c r="J2" s="12" t="s">
        <v>5</v>
      </c>
      <c r="L2" s="16" t="s">
        <v>26</v>
      </c>
      <c r="M2" s="12" t="s">
        <v>3</v>
      </c>
      <c r="N2" s="18" t="s">
        <v>1</v>
      </c>
      <c r="O2" s="18" t="s">
        <v>32</v>
      </c>
      <c r="P2" s="12" t="s">
        <v>2210</v>
      </c>
      <c r="Q2" s="12" t="s">
        <v>20</v>
      </c>
      <c r="R2" s="12" t="s">
        <v>2</v>
      </c>
      <c r="S2" s="12" t="s">
        <v>19</v>
      </c>
      <c r="T2" t="s">
        <v>2211</v>
      </c>
      <c r="U2" t="s">
        <v>5</v>
      </c>
      <c r="W2" t="s">
        <v>26</v>
      </c>
      <c r="X2" t="s">
        <v>3</v>
      </c>
      <c r="Y2" t="s">
        <v>1</v>
      </c>
      <c r="Z2" t="s">
        <v>32</v>
      </c>
      <c r="AA2" t="s">
        <v>2210</v>
      </c>
      <c r="AB2" t="s">
        <v>20</v>
      </c>
      <c r="AC2" t="s">
        <v>2</v>
      </c>
      <c r="AD2" t="s">
        <v>19</v>
      </c>
      <c r="AE2" t="s">
        <v>2211</v>
      </c>
      <c r="AF2" t="s">
        <v>5</v>
      </c>
    </row>
    <row r="3" spans="1:32" x14ac:dyDescent="0.25">
      <c r="A3" t="str" cm="1">
        <f t="array" ref="A3:J109">_xlfn.LET(_xlpm.d,_xlfn._xlws.FILTER(Summary!$J$3:$J$500,Summary!$J$3:$J$500&lt;&gt;""),IFERROR(CHOOSE({1,2,3,4,5,6,7,8,9,10},_xlfn._xlws.FILTER(Summary!$I$3:$I$500,Summary!$J$3:$J$500&lt;&gt;""),_xlpm.d,_xlfn._xlws.FILTER(Summary!$K$3:$K$500,Summary!$J$3:$J$500&lt;&gt;""),_xlfn._xlws.FILTER(Summary!$L$3:$L$500,Summary!$J$3:$J$500&lt;&gt;""),_xlfn._xlws.FILTER(Summary!$O$3:$O$500,Summary!$J$3:$J$500&lt;&gt;""),_xlfn._xlws.FILTER(Summary!$P$3:$P$500,Summary!$J$3:$J$500&lt;&gt;""),_xlfn._xlws.FILTER(Summary!$Q$3:$Q$500,Summary!$J$3:$J$500&lt;&gt;""),_xlfn._xlws.FILTER(Summary!$R$3:$R$500,Summary!$J$3:$J$500&lt;&gt;""),IF(_xlpm.d&lt;&gt;"","MATERIALS",""),IF(_xlpm.d&lt;&gt;"","","")),""))</f>
        <v>MATERIALS</v>
      </c>
      <c r="B3" t="str">
        <v>0.47mm TCT Gutter Pre-Painted 18" Girth x 8ft</v>
      </c>
      <c r="C3" t="str">
        <v>LTH</v>
      </c>
      <c r="D3">
        <v>45</v>
      </c>
      <c r="E3" s="12">
        <v>8.4</v>
      </c>
      <c r="F3" s="18">
        <v>0</v>
      </c>
      <c r="G3" s="12">
        <v>9</v>
      </c>
      <c r="H3" s="12">
        <v>405</v>
      </c>
      <c r="I3" s="12" t="str">
        <v>MATERIALS</v>
      </c>
      <c r="J3" s="12" t="str">
        <v/>
      </c>
      <c r="L3" s="12" t="str" cm="1">
        <f t="array" ref="L3:U3">_xlfn.LET(_xlpm.d,_xlfn._xlws.FILTER(Summary!$U$3:$U$500,Summary!$U$3:$U$500&lt;&gt;""),IFERROR(CHOOSE({1,2,3,4,5,6,7,8,9,10},_xlfn._xlws.FILTER(Summary!$T$3:$T$500,Summary!$U$3:$U$500&lt;&gt;""),_xlpm.d,_xlfn._xlws.FILTER(Summary!$V$3:$V$500,Summary!$U$3:$U$500&lt;&gt;""),_xlfn._xlws.FILTER(Summary!$W$3:$W$500,Summary!$U$3:$U$500&lt;&gt;""),_xlfn._xlws.FILTER(Summary!$Z$3:$Z$500,Summary!$U$3:$U$500&lt;&gt;""),_xlfn._xlws.FILTER(Summary!$AA$3:$AA$500,Summary!$U$3:$U$500&lt;&gt;""),_xlfn._xlws.FILTER(Summary!$AB$3:$AB$500,Summary!$U$3:$U$500&lt;&gt;""),_xlfn._xlws.FILTER(Summary!$AC$3:$AC$500,Summary!$U$3:$U$500&lt;&gt;""),IF(_xlpm.d&lt;&gt;"","LABOUR",""),IF(_xlpm.d&lt;&gt;"","","")),""))</f>
        <v>LABOUR</v>
      </c>
      <c r="M3" s="12" t="str">
        <v>Labour - Skilled Worker (Per MH)</v>
      </c>
      <c r="N3" s="18" t="str">
        <v>MH</v>
      </c>
      <c r="O3" s="18">
        <v>22.5</v>
      </c>
      <c r="P3" s="12">
        <v>1582</v>
      </c>
      <c r="Q3" s="12">
        <v>0</v>
      </c>
      <c r="R3" s="12">
        <v>1582</v>
      </c>
      <c r="S3" s="12">
        <v>35595</v>
      </c>
      <c r="T3" t="str">
        <v>LABOUR</v>
      </c>
      <c r="U3" t="str">
        <v/>
      </c>
      <c r="W3" t="str" cm="1">
        <f t="array" ref="W3:AF4">_xlfn.LET(_xlpm.d,_xlfn._xlws.FILTER(Summary!$AF$3:$AF$500,Summary!$AF$3:$AF$500&lt;&gt;""),IFERROR(CHOOSE({1,2,3,4,5,6,7,8,9,10},_xlfn._xlws.FILTER(Summary!$AE$3:$AE$500,Summary!$AF$3:$AF$500&lt;&gt;""),_xlpm.d,_xlfn._xlws.FILTER(Summary!$AG$3:$AG$500,Summary!$AF$3:$AF$500&lt;&gt;""),_xlfn._xlws.FILTER(Summary!$AH$3:$AH$500,Summary!$AF$3:$AF$500&lt;&gt;""),_xlfn._xlws.FILTER(Summary!$AK$3:$AK$500,Summary!$AF$3:$AF$500&lt;&gt;""),_xlfn._xlws.FILTER(Summary!$AL$3:$AL$500,Summary!$AF$3:$AF$500&lt;&gt;""),_xlfn._xlws.FILTER(Summary!$AM$3:$AM$500,Summary!$AF$3:$AF$500&lt;&gt;""),_xlfn._xlws.FILTER(Summary!$AN$3:$AN$500,Summary!$AF$3:$AF$500&lt;&gt;""),IF(_xlpm.d&lt;&gt;"","RENTAL / SERVICE",""),IF(_xlpm.d&lt;&gt;"","","")),""))</f>
        <v>RENTAL / SERVICE</v>
      </c>
      <c r="X3" t="str">
        <v>Cement Mixer Rental - Month 2 Onwards (Per Month)</v>
      </c>
      <c r="Y3" t="str">
        <v>MONTH</v>
      </c>
      <c r="Z3">
        <v>450</v>
      </c>
      <c r="AA3">
        <v>1</v>
      </c>
      <c r="AB3">
        <v>0</v>
      </c>
      <c r="AC3">
        <v>1</v>
      </c>
      <c r="AD3">
        <v>450</v>
      </c>
      <c r="AE3" t="str">
        <v>RENTAL / SERVICE</v>
      </c>
      <c r="AF3" t="str">
        <v/>
      </c>
    </row>
    <row r="4" spans="1:32" x14ac:dyDescent="0.25">
      <c r="A4" t="str">
        <v>MATERIALS</v>
      </c>
      <c r="B4" t="str">
        <v>1200mmW x 600mmH 2 Panel Grill Window</v>
      </c>
      <c r="C4" t="str">
        <v>SET</v>
      </c>
      <c r="D4">
        <v>180</v>
      </c>
      <c r="E4" s="12">
        <v>3</v>
      </c>
      <c r="F4" s="18">
        <v>0</v>
      </c>
      <c r="G4" s="12">
        <v>3</v>
      </c>
      <c r="H4" s="12">
        <v>540</v>
      </c>
      <c r="I4" s="12" t="str">
        <v>MATERIALS</v>
      </c>
      <c r="J4" s="12" t="str">
        <v/>
      </c>
      <c r="W4" t="str">
        <v>RENTAL / SERVICE</v>
      </c>
      <c r="X4" t="str">
        <v>Scaffolding Bay Set (Used) 1.7m(H) x 0.9m(W) incl 1 Platform (Per Month). Deposit RM195/set refundable.</v>
      </c>
      <c r="Y4" t="str">
        <v>SET</v>
      </c>
      <c r="Z4">
        <v>45</v>
      </c>
      <c r="AA4">
        <v>60</v>
      </c>
      <c r="AB4">
        <v>0</v>
      </c>
      <c r="AC4">
        <v>60</v>
      </c>
      <c r="AD4">
        <v>2700</v>
      </c>
      <c r="AE4" t="str">
        <v>RENTAL / SERVICE</v>
      </c>
      <c r="AF4" t="str">
        <v/>
      </c>
    </row>
    <row r="5" spans="1:32" x14ac:dyDescent="0.25">
      <c r="A5" t="str">
        <v>MATERIALS</v>
      </c>
      <c r="B5" t="str">
        <v>1200mmW x 600mmH 2 Panel TopHung Casement Window c/w Float Glass</v>
      </c>
      <c r="C5" t="str">
        <v>SET</v>
      </c>
      <c r="D5">
        <v>300</v>
      </c>
      <c r="E5" s="12">
        <v>3</v>
      </c>
      <c r="F5" s="18">
        <v>0</v>
      </c>
      <c r="G5" s="12">
        <v>3</v>
      </c>
      <c r="H5" s="12">
        <v>900</v>
      </c>
      <c r="I5" s="12" t="str">
        <v>MATERIALS</v>
      </c>
      <c r="J5" s="12" t="str">
        <v/>
      </c>
    </row>
    <row r="6" spans="1:32" x14ac:dyDescent="0.25">
      <c r="A6" t="str">
        <v>MATERIALS</v>
      </c>
      <c r="B6" t="str">
        <v>25mm x 4.5mm THK External Bracket</v>
      </c>
      <c r="C6" t="str">
        <v>PCS</v>
      </c>
      <c r="D6">
        <v>7.5</v>
      </c>
      <c r="E6" s="12">
        <v>25.200000000000003</v>
      </c>
      <c r="F6" s="18">
        <v>0</v>
      </c>
      <c r="G6" s="12">
        <v>26</v>
      </c>
      <c r="H6" s="12">
        <v>195</v>
      </c>
      <c r="I6" s="12" t="str">
        <v>MATERIALS</v>
      </c>
      <c r="J6" s="12" t="str">
        <v/>
      </c>
    </row>
    <row r="7" spans="1:32" x14ac:dyDescent="0.25">
      <c r="A7" t="str">
        <v>MATERIALS</v>
      </c>
      <c r="B7" t="str">
        <v>3/4" Aggregate (10-Wheel Truck)</v>
      </c>
      <c r="C7" t="str">
        <v>TRIP</v>
      </c>
      <c r="D7">
        <v>830.00000000000011</v>
      </c>
      <c r="E7" s="12">
        <v>1.6968999999999999</v>
      </c>
      <c r="F7" s="18">
        <v>0</v>
      </c>
      <c r="G7" s="12">
        <v>2</v>
      </c>
      <c r="H7" s="12">
        <v>1660.0000000000002</v>
      </c>
      <c r="I7" s="12" t="str">
        <v>MATERIALS</v>
      </c>
      <c r="J7" s="12" t="str">
        <v/>
      </c>
    </row>
    <row r="8" spans="1:32" x14ac:dyDescent="0.25">
      <c r="A8" t="str">
        <v>MATERIALS</v>
      </c>
      <c r="B8" t="str">
        <v>36inW x 84inH 1 Panel Grill Swing Kitchen/back door</v>
      </c>
      <c r="C8" t="str">
        <v>SET</v>
      </c>
      <c r="D8">
        <v>800</v>
      </c>
      <c r="E8" s="12">
        <v>1</v>
      </c>
      <c r="F8" s="18">
        <v>0</v>
      </c>
      <c r="G8" s="12">
        <v>1</v>
      </c>
      <c r="H8" s="12">
        <v>800</v>
      </c>
      <c r="I8" s="12" t="str">
        <v>MATERIALS</v>
      </c>
      <c r="J8" s="12" t="str">
        <v/>
      </c>
    </row>
    <row r="9" spans="1:32" x14ac:dyDescent="0.25">
      <c r="A9" t="str">
        <v>MATERIALS</v>
      </c>
      <c r="B9" t="str">
        <v>4" Dia Outlet</v>
      </c>
      <c r="C9" t="str">
        <v>PCS</v>
      </c>
      <c r="D9">
        <v>10</v>
      </c>
      <c r="E9" s="12">
        <v>4</v>
      </c>
      <c r="F9" s="18">
        <v>0</v>
      </c>
      <c r="G9" s="12">
        <v>4</v>
      </c>
      <c r="H9" s="12">
        <v>40</v>
      </c>
      <c r="I9" s="12" t="str">
        <v>MATERIALS</v>
      </c>
      <c r="J9" s="12" t="str">
        <v/>
      </c>
    </row>
    <row r="10" spans="1:32" x14ac:dyDescent="0.25">
      <c r="A10" t="str">
        <v>MATERIALS</v>
      </c>
      <c r="B10" t="str">
        <v>600mmW x 1200mmH 1 Panel Casement Window c/w Float Glass</v>
      </c>
      <c r="C10" t="str">
        <v>SET</v>
      </c>
      <c r="D10">
        <v>240</v>
      </c>
      <c r="E10" s="12">
        <v>1</v>
      </c>
      <c r="F10" s="18">
        <v>0</v>
      </c>
      <c r="G10" s="12">
        <v>1</v>
      </c>
      <c r="H10" s="12">
        <v>240</v>
      </c>
      <c r="I10" s="12" t="str">
        <v>MATERIALS</v>
      </c>
      <c r="J10" s="12" t="str">
        <v/>
      </c>
    </row>
    <row r="11" spans="1:32" x14ac:dyDescent="0.25">
      <c r="A11" t="str">
        <v>MATERIALS</v>
      </c>
      <c r="B11" t="str">
        <v>600mmW x 1200mmH 1 Panel Grill Window</v>
      </c>
      <c r="C11" t="str">
        <v>SET</v>
      </c>
      <c r="D11">
        <v>170</v>
      </c>
      <c r="E11" s="12">
        <v>1</v>
      </c>
      <c r="F11" s="18">
        <v>0</v>
      </c>
      <c r="G11" s="12">
        <v>1</v>
      </c>
      <c r="H11" s="12">
        <v>170</v>
      </c>
      <c r="I11" s="12" t="str">
        <v>MATERIALS</v>
      </c>
      <c r="J11" s="12" t="str">
        <v/>
      </c>
    </row>
    <row r="12" spans="1:32" x14ac:dyDescent="0.25">
      <c r="A12" t="str">
        <v>MATERIALS</v>
      </c>
      <c r="B12" t="str">
        <v>A Plus Stopping Compound 20kg</v>
      </c>
      <c r="C12" t="str">
        <v>BAG</v>
      </c>
      <c r="D12">
        <v>16.5</v>
      </c>
      <c r="E12" s="12">
        <v>3.1500000000000004</v>
      </c>
      <c r="F12" s="18">
        <v>0</v>
      </c>
      <c r="G12" s="12">
        <v>4</v>
      </c>
      <c r="H12" s="12">
        <v>66</v>
      </c>
      <c r="I12" s="12" t="str">
        <v>MATERIALS</v>
      </c>
      <c r="J12" s="12" t="str">
        <v/>
      </c>
    </row>
    <row r="13" spans="1:32" x14ac:dyDescent="0.25">
      <c r="A13" t="str">
        <v>MATERIALS</v>
      </c>
      <c r="B13" t="str">
        <v>Aluminium Ceiling Trim (STD) 3660mm</v>
      </c>
      <c r="C13" t="str">
        <v>LTH</v>
      </c>
      <c r="D13">
        <v>8.5</v>
      </c>
      <c r="E13" s="12">
        <v>12.600000000000001</v>
      </c>
      <c r="F13" s="18">
        <v>0</v>
      </c>
      <c r="G13" s="12">
        <v>13</v>
      </c>
      <c r="H13" s="12">
        <v>110.5</v>
      </c>
      <c r="I13" s="12" t="str">
        <v>MATERIALS</v>
      </c>
      <c r="J13" s="12" t="str">
        <v/>
      </c>
    </row>
    <row r="14" spans="1:32" x14ac:dyDescent="0.25">
      <c r="A14" t="str">
        <v>MATERIALS</v>
      </c>
      <c r="B14" t="str">
        <v>Basin Waste 11/4"</v>
      </c>
      <c r="C14" t="str">
        <v>PCS</v>
      </c>
      <c r="D14">
        <v>4</v>
      </c>
      <c r="E14" s="12">
        <v>1</v>
      </c>
      <c r="F14" s="18">
        <v>0</v>
      </c>
      <c r="G14" s="12">
        <v>1</v>
      </c>
      <c r="H14" s="12">
        <v>4</v>
      </c>
      <c r="I14" s="12" t="str">
        <v>MATERIALS</v>
      </c>
      <c r="J14" s="12" t="str">
        <v/>
      </c>
    </row>
    <row r="15" spans="1:32" x14ac:dyDescent="0.25">
      <c r="A15" t="str">
        <v>MATERIALS</v>
      </c>
      <c r="B15" t="str">
        <v>Bottle Trap PVC 11/4" 32mm Blue/green</v>
      </c>
      <c r="C15" t="str">
        <v>PCS</v>
      </c>
      <c r="D15">
        <v>8</v>
      </c>
      <c r="E15" s="12">
        <v>1</v>
      </c>
      <c r="F15" s="18">
        <v>0</v>
      </c>
      <c r="G15" s="12">
        <v>1</v>
      </c>
      <c r="H15" s="12">
        <v>8</v>
      </c>
      <c r="I15" s="12" t="str">
        <v>MATERIALS</v>
      </c>
      <c r="J15" s="12" t="str">
        <v/>
      </c>
    </row>
    <row r="16" spans="1:32" x14ac:dyDescent="0.25">
      <c r="A16" t="str">
        <v>MATERIALS</v>
      </c>
      <c r="B16" t="str">
        <v>Brass Garden Bib Tap 1/2"</v>
      </c>
      <c r="C16" t="str">
        <v>PCS</v>
      </c>
      <c r="D16">
        <v>8</v>
      </c>
      <c r="E16" s="12">
        <v>1</v>
      </c>
      <c r="F16" s="18">
        <v>0</v>
      </c>
      <c r="G16" s="12">
        <v>1</v>
      </c>
      <c r="H16" s="12">
        <v>8</v>
      </c>
      <c r="I16" s="12" t="str">
        <v>MATERIALS</v>
      </c>
      <c r="J16" s="12" t="str">
        <v/>
      </c>
    </row>
    <row r="17" spans="1:10" x14ac:dyDescent="0.25">
      <c r="A17" t="str">
        <v>MATERIALS</v>
      </c>
      <c r="B17" t="str">
        <v>Brass Stop Cock 1/2"</v>
      </c>
      <c r="C17" t="str">
        <v>PCS</v>
      </c>
      <c r="D17">
        <v>13</v>
      </c>
      <c r="E17" s="12">
        <v>2</v>
      </c>
      <c r="F17" s="18">
        <v>0</v>
      </c>
      <c r="G17" s="12">
        <v>2</v>
      </c>
      <c r="H17" s="12">
        <v>26</v>
      </c>
      <c r="I17" s="12" t="str">
        <v>MATERIALS</v>
      </c>
      <c r="J17" s="12" t="str">
        <v/>
      </c>
    </row>
    <row r="18" spans="1:10" x14ac:dyDescent="0.25">
      <c r="A18" t="str">
        <v>MATERIALS</v>
      </c>
      <c r="B18" t="str">
        <v>BRC Mesh A10 2.13m x 6.10m (Normal Spec) 3.2mm</v>
      </c>
      <c r="C18" t="str">
        <v>PCS</v>
      </c>
      <c r="D18">
        <v>214.99999999999997</v>
      </c>
      <c r="E18" s="12">
        <v>19.796000000000003</v>
      </c>
      <c r="F18" s="18">
        <v>0</v>
      </c>
      <c r="G18" s="12">
        <v>20</v>
      </c>
      <c r="H18" s="12">
        <v>4299.9999999999991</v>
      </c>
      <c r="I18" s="12" t="str">
        <v>MATERIALS</v>
      </c>
      <c r="J18" s="12" t="str">
        <v/>
      </c>
    </row>
    <row r="19" spans="1:10" x14ac:dyDescent="0.25">
      <c r="A19" t="str">
        <v>MATERIALS</v>
      </c>
      <c r="B19" t="str">
        <v>Butyl Flashing Tape 50.00mm x 5.00m</v>
      </c>
      <c r="C19" t="str">
        <v>ROLL</v>
      </c>
      <c r="D19">
        <v>15</v>
      </c>
      <c r="E19" s="12">
        <v>3.1500000000000004</v>
      </c>
      <c r="F19" s="18">
        <v>0</v>
      </c>
      <c r="G19" s="12">
        <v>4</v>
      </c>
      <c r="H19" s="12">
        <v>60</v>
      </c>
      <c r="I19" s="12" t="str">
        <v>MATERIALS</v>
      </c>
      <c r="J19" s="12" t="str">
        <v/>
      </c>
    </row>
    <row r="20" spans="1:10" x14ac:dyDescent="0.25">
      <c r="A20" t="str">
        <v>MATERIALS</v>
      </c>
      <c r="B20" t="str">
        <v>Cement 50kg Bag</v>
      </c>
      <c r="C20" t="str">
        <v>BAG</v>
      </c>
      <c r="D20">
        <v>24</v>
      </c>
      <c r="E20" s="12">
        <v>4</v>
      </c>
      <c r="F20" s="18">
        <v>0</v>
      </c>
      <c r="G20" s="12">
        <v>4</v>
      </c>
      <c r="H20" s="12">
        <v>96</v>
      </c>
      <c r="I20" s="12" t="str">
        <v>MATERIALS</v>
      </c>
      <c r="J20" s="12" t="str">
        <v/>
      </c>
    </row>
    <row r="21" spans="1:10" x14ac:dyDescent="0.25">
      <c r="A21" t="str">
        <v>MATERIALS</v>
      </c>
      <c r="B21" t="str">
        <v>Cement Bricks</v>
      </c>
      <c r="C21" t="str">
        <v>PCS</v>
      </c>
      <c r="D21">
        <v>0.27</v>
      </c>
      <c r="E21" s="12">
        <v>23500</v>
      </c>
      <c r="F21" s="18">
        <v>0</v>
      </c>
      <c r="G21" s="12">
        <v>0</v>
      </c>
      <c r="H21" s="12">
        <v>0</v>
      </c>
      <c r="I21" s="12" t="str">
        <v>MATERIALS</v>
      </c>
      <c r="J21" s="12" t="str">
        <v/>
      </c>
    </row>
    <row r="22" spans="1:10" x14ac:dyDescent="0.25">
      <c r="A22" t="str">
        <v>MATERIALS</v>
      </c>
      <c r="B22" t="str">
        <v>Coarse Sand (10-Wheel Truck)</v>
      </c>
      <c r="C22" t="str">
        <v>TRIP</v>
      </c>
      <c r="D22">
        <v>850</v>
      </c>
      <c r="E22" s="12">
        <v>1.1136999999999999</v>
      </c>
      <c r="F22" s="18">
        <v>0</v>
      </c>
      <c r="G22" s="12">
        <v>2</v>
      </c>
      <c r="H22" s="12">
        <v>1700</v>
      </c>
      <c r="I22" s="12" t="str">
        <v>MATERIALS</v>
      </c>
      <c r="J22" s="12" t="str">
        <v/>
      </c>
    </row>
    <row r="23" spans="1:10" x14ac:dyDescent="0.25">
      <c r="A23" t="str">
        <v>MATERIALS</v>
      </c>
      <c r="B23" t="str">
        <v>Colourland Super White 9102 Colourlite 18L Emulsion Paint</v>
      </c>
      <c r="C23" t="str">
        <v>PAIL</v>
      </c>
      <c r="D23">
        <v>80</v>
      </c>
      <c r="E23" s="12">
        <v>2.1</v>
      </c>
      <c r="F23" s="18">
        <v>0</v>
      </c>
      <c r="G23" s="12">
        <v>3</v>
      </c>
      <c r="H23" s="12">
        <v>240</v>
      </c>
      <c r="I23" s="12" t="str">
        <v>MATERIALS</v>
      </c>
      <c r="J23" s="12" t="str">
        <v/>
      </c>
    </row>
    <row r="24" spans="1:10" x14ac:dyDescent="0.25">
      <c r="A24" t="str">
        <v>MATERIALS</v>
      </c>
      <c r="B24" t="str">
        <v>Consumer DB Box 12 Way</v>
      </c>
      <c r="C24" t="str">
        <v>UNIT</v>
      </c>
      <c r="D24">
        <v>185</v>
      </c>
      <c r="E24" s="12">
        <v>1</v>
      </c>
      <c r="F24" s="18">
        <v>0</v>
      </c>
      <c r="G24" s="12">
        <v>1</v>
      </c>
      <c r="H24" s="12">
        <v>185</v>
      </c>
      <c r="I24" s="12" t="str">
        <v>MATERIALS</v>
      </c>
      <c r="J24" s="12" t="str">
        <v/>
      </c>
    </row>
    <row r="25" spans="1:10" x14ac:dyDescent="0.25">
      <c r="A25" t="str">
        <v>MATERIALS</v>
      </c>
      <c r="B25" t="str">
        <v>Copper Cable Clamp (Heavy Duty)</v>
      </c>
      <c r="C25" t="str">
        <v>PCS</v>
      </c>
      <c r="D25">
        <v>6.5</v>
      </c>
      <c r="E25" s="12">
        <v>1</v>
      </c>
      <c r="F25" s="18">
        <v>0</v>
      </c>
      <c r="G25" s="12">
        <v>1</v>
      </c>
      <c r="H25" s="12">
        <v>6.5</v>
      </c>
      <c r="I25" s="12" t="str">
        <v>MATERIALS</v>
      </c>
      <c r="J25" s="12" t="str">
        <v/>
      </c>
    </row>
    <row r="26" spans="1:10" x14ac:dyDescent="0.25">
      <c r="A26" t="str">
        <v>MATERIALS</v>
      </c>
      <c r="B26" t="str">
        <v>Crusher Run (10-Wheel Truck)</v>
      </c>
      <c r="C26" t="str">
        <v>TRIP</v>
      </c>
      <c r="D26">
        <v>830</v>
      </c>
      <c r="E26" s="12">
        <v>0.16</v>
      </c>
      <c r="F26" s="18">
        <v>0</v>
      </c>
      <c r="G26" s="12">
        <v>1</v>
      </c>
      <c r="H26" s="12">
        <v>830</v>
      </c>
      <c r="I26" s="12" t="str">
        <v>MATERIALS</v>
      </c>
      <c r="J26" s="12" t="str">
        <v/>
      </c>
    </row>
    <row r="27" spans="1:10" x14ac:dyDescent="0.25">
      <c r="A27" t="str">
        <v>MATERIALS</v>
      </c>
      <c r="B27" t="str">
        <v>DOCASA Combo, c/w One-piece rimless toilet bowl + modern bathroom sink cabinet with basin, mirror &amp; shelf , Soft-close seat and cover, Cistern fittings, Cistern cover with flush button, Straight connector</v>
      </c>
      <c r="C27" t="str">
        <v>PCS</v>
      </c>
      <c r="D27">
        <v>650</v>
      </c>
      <c r="E27" s="12">
        <v>1</v>
      </c>
      <c r="F27" s="18">
        <v>0</v>
      </c>
      <c r="G27" s="12">
        <v>1</v>
      </c>
      <c r="H27" s="12">
        <v>650</v>
      </c>
      <c r="I27" s="12" t="str">
        <v>MATERIALS</v>
      </c>
      <c r="J27" s="12" t="str">
        <v/>
      </c>
    </row>
    <row r="28" spans="1:10" x14ac:dyDescent="0.25">
      <c r="A28" t="str">
        <v>MATERIALS</v>
      </c>
      <c r="B28" t="str">
        <v>Door Hinges 3/8" x 1-1/4" x 2"</v>
      </c>
      <c r="C28" t="str">
        <v>PCS</v>
      </c>
      <c r="D28">
        <v>0.85</v>
      </c>
      <c r="E28" s="12">
        <v>3.1500000000000004</v>
      </c>
      <c r="F28" s="18">
        <v>0</v>
      </c>
      <c r="G28" s="12">
        <v>4</v>
      </c>
      <c r="H28" s="12">
        <v>3.4</v>
      </c>
      <c r="I28" s="12" t="str">
        <v>MATERIALS</v>
      </c>
      <c r="J28" s="12" t="str">
        <v/>
      </c>
    </row>
    <row r="29" spans="1:10" x14ac:dyDescent="0.25">
      <c r="A29" t="str">
        <v>MATERIALS</v>
      </c>
      <c r="B29" t="str">
        <v>Downpipe 110/100mm x 5.8m</v>
      </c>
      <c r="C29" t="str">
        <v>LTH</v>
      </c>
      <c r="D29">
        <v>59</v>
      </c>
      <c r="E29" s="12">
        <v>4.2</v>
      </c>
      <c r="F29" s="18">
        <v>0</v>
      </c>
      <c r="G29" s="12">
        <v>5</v>
      </c>
      <c r="H29" s="12">
        <v>295</v>
      </c>
      <c r="I29" s="12" t="str">
        <v>MATERIALS</v>
      </c>
      <c r="J29" s="12" t="str">
        <v/>
      </c>
    </row>
    <row r="30" spans="1:10" x14ac:dyDescent="0.25">
      <c r="A30" t="str">
        <v>MATERIALS</v>
      </c>
      <c r="B30" t="str">
        <v>Downpipe Adaptor Socket 4"</v>
      </c>
      <c r="C30" t="str">
        <v>PCS</v>
      </c>
      <c r="D30">
        <v>6.2</v>
      </c>
      <c r="E30" s="12">
        <v>4.2</v>
      </c>
      <c r="F30" s="18">
        <v>0</v>
      </c>
      <c r="G30" s="12">
        <v>5</v>
      </c>
      <c r="H30" s="12">
        <v>31</v>
      </c>
      <c r="I30" s="12" t="str">
        <v>MATERIALS</v>
      </c>
      <c r="J30" s="12" t="str">
        <v/>
      </c>
    </row>
    <row r="31" spans="1:10" x14ac:dyDescent="0.25">
      <c r="A31" t="str">
        <v>MATERIALS</v>
      </c>
      <c r="B31" t="str">
        <v>Downpipe Elbow 105deg</v>
      </c>
      <c r="C31" t="str">
        <v>PCS</v>
      </c>
      <c r="D31">
        <v>5.6</v>
      </c>
      <c r="E31" s="12">
        <v>8.4</v>
      </c>
      <c r="F31" s="18">
        <v>0</v>
      </c>
      <c r="G31" s="12">
        <v>9</v>
      </c>
      <c r="H31" s="12">
        <v>50.4</v>
      </c>
      <c r="I31" s="12" t="str">
        <v>MATERIALS</v>
      </c>
      <c r="J31" s="12" t="str">
        <v/>
      </c>
    </row>
    <row r="32" spans="1:10" x14ac:dyDescent="0.25">
      <c r="A32" t="str">
        <v>MATERIALS</v>
      </c>
      <c r="B32" t="str">
        <v>Downpipe Pipe Clip</v>
      </c>
      <c r="C32" t="str">
        <v>PCS</v>
      </c>
      <c r="D32">
        <v>3</v>
      </c>
      <c r="E32" s="12">
        <v>12.600000000000001</v>
      </c>
      <c r="F32" s="18">
        <v>0</v>
      </c>
      <c r="G32" s="12">
        <v>13</v>
      </c>
      <c r="H32" s="12">
        <v>39</v>
      </c>
      <c r="I32" s="12" t="str">
        <v>MATERIALS</v>
      </c>
      <c r="J32" s="12" t="str">
        <v/>
      </c>
    </row>
    <row r="33" spans="1:10" x14ac:dyDescent="0.25">
      <c r="A33" t="str">
        <v>MATERIALS</v>
      </c>
      <c r="B33" t="str">
        <v>DPM PE 0.20mm</v>
      </c>
      <c r="C33" t="str">
        <v>ROLL</v>
      </c>
      <c r="D33">
        <v>180</v>
      </c>
      <c r="E33" s="12">
        <v>2</v>
      </c>
      <c r="F33" s="18">
        <v>0</v>
      </c>
      <c r="G33" s="12">
        <v>2</v>
      </c>
      <c r="H33" s="12">
        <v>360</v>
      </c>
      <c r="I33" s="12" t="str">
        <v>MATERIALS</v>
      </c>
      <c r="J33" s="12" t="str">
        <v/>
      </c>
    </row>
    <row r="34" spans="1:10" x14ac:dyDescent="0.25">
      <c r="A34" t="str">
        <v>MATERIALS</v>
      </c>
      <c r="B34" t="str">
        <v>Drywall Fibre Joint Tape 50mm x 50m</v>
      </c>
      <c r="C34" t="str">
        <v>PCS</v>
      </c>
      <c r="D34">
        <v>3</v>
      </c>
      <c r="E34" s="12">
        <v>2.1</v>
      </c>
      <c r="F34" s="18">
        <v>0</v>
      </c>
      <c r="G34" s="12">
        <v>3</v>
      </c>
      <c r="H34" s="12">
        <v>9</v>
      </c>
      <c r="I34" s="12" t="str">
        <v>MATERIALS</v>
      </c>
      <c r="J34" s="12" t="str">
        <v/>
      </c>
    </row>
    <row r="35" spans="1:10" x14ac:dyDescent="0.25">
      <c r="A35" t="str">
        <v>MATERIALS</v>
      </c>
      <c r="B35" t="str">
        <v>Earth Cable 16mm2 G/Y (Estimate 15m)</v>
      </c>
      <c r="C35" t="str">
        <v>M</v>
      </c>
      <c r="D35">
        <v>10.5</v>
      </c>
      <c r="E35" s="12">
        <v>15</v>
      </c>
      <c r="F35" s="18">
        <v>0</v>
      </c>
      <c r="G35" s="12">
        <v>15</v>
      </c>
      <c r="H35" s="12">
        <v>157.5</v>
      </c>
      <c r="I35" s="12" t="str">
        <v>MATERIALS</v>
      </c>
      <c r="J35" s="12" t="str">
        <v/>
      </c>
    </row>
    <row r="36" spans="1:10" x14ac:dyDescent="0.25">
      <c r="A36" t="str">
        <v>MATERIALS</v>
      </c>
      <c r="B36" t="str">
        <v>EPS MCB 1P (6A/10A/16A/20A/32A)</v>
      </c>
      <c r="C36" t="str">
        <v>PCS</v>
      </c>
      <c r="D36">
        <v>4.5999999999999996</v>
      </c>
      <c r="E36" s="12">
        <v>4</v>
      </c>
      <c r="F36" s="18">
        <v>0</v>
      </c>
      <c r="G36" s="12">
        <v>4</v>
      </c>
      <c r="H36" s="12">
        <v>18.399999999999999</v>
      </c>
      <c r="I36" s="12" t="str">
        <v>MATERIALS</v>
      </c>
      <c r="J36" s="12" t="str">
        <v/>
      </c>
    </row>
    <row r="37" spans="1:10" x14ac:dyDescent="0.25">
      <c r="A37" t="str">
        <v>MATERIALS</v>
      </c>
      <c r="B37" t="str">
        <v>EPS RCCB Single Phase 40A 2P 30mA</v>
      </c>
      <c r="C37" t="str">
        <v>PCS</v>
      </c>
      <c r="D37">
        <v>59</v>
      </c>
      <c r="E37" s="12">
        <v>1</v>
      </c>
      <c r="F37" s="18">
        <v>0</v>
      </c>
      <c r="G37" s="12">
        <v>1</v>
      </c>
      <c r="H37" s="12">
        <v>59</v>
      </c>
      <c r="I37" s="12" t="str">
        <v>MATERIALS</v>
      </c>
      <c r="J37" s="12" t="str">
        <v/>
      </c>
    </row>
    <row r="38" spans="1:10" x14ac:dyDescent="0.25">
      <c r="A38" t="str">
        <v>MATERIALS</v>
      </c>
      <c r="B38" t="str">
        <v>EPS SPD Single Phase 1P+N 20/40kA</v>
      </c>
      <c r="C38" t="str">
        <v>PCS</v>
      </c>
      <c r="D38">
        <v>165</v>
      </c>
      <c r="E38" s="12">
        <v>1</v>
      </c>
      <c r="F38" s="18">
        <v>0</v>
      </c>
      <c r="G38" s="12">
        <v>1</v>
      </c>
      <c r="H38" s="12">
        <v>165</v>
      </c>
      <c r="I38" s="12" t="str">
        <v>MATERIALS</v>
      </c>
      <c r="J38" s="12" t="str">
        <v/>
      </c>
    </row>
    <row r="39" spans="1:10" x14ac:dyDescent="0.25">
      <c r="A39" t="str">
        <v>MATERIALS</v>
      </c>
      <c r="B39" t="str">
        <v>Fine Sand (10-Wheel Truck)</v>
      </c>
      <c r="C39" t="str">
        <v>TRIP</v>
      </c>
      <c r="D39">
        <v>949.99999999999989</v>
      </c>
      <c r="E39" s="12">
        <v>0.22000000000000003</v>
      </c>
      <c r="F39" s="18">
        <v>0</v>
      </c>
      <c r="G39" s="12">
        <v>1</v>
      </c>
      <c r="H39" s="12">
        <v>949.99999999999989</v>
      </c>
      <c r="I39" s="12" t="str">
        <v>MATERIALS</v>
      </c>
      <c r="J39" s="12" t="str">
        <v/>
      </c>
    </row>
    <row r="40" spans="1:10" x14ac:dyDescent="0.25">
      <c r="A40" t="str">
        <v>MATERIALS</v>
      </c>
      <c r="B40" t="str">
        <v>Fine Sand (Scoop)</v>
      </c>
      <c r="C40" t="str">
        <v>SCOOP</v>
      </c>
      <c r="D40">
        <v>80</v>
      </c>
      <c r="E40" s="12">
        <v>2</v>
      </c>
      <c r="F40" s="18">
        <v>0</v>
      </c>
      <c r="G40" s="12">
        <v>2</v>
      </c>
      <c r="H40" s="12">
        <v>160</v>
      </c>
      <c r="I40" s="12" t="str">
        <v>MATERIALS</v>
      </c>
      <c r="J40" s="12" t="str">
        <v/>
      </c>
    </row>
    <row r="41" spans="1:10" x14ac:dyDescent="0.25">
      <c r="A41" t="str">
        <v>MATERIALS</v>
      </c>
      <c r="B41" t="str">
        <v>Flashing #30 12" x 8.00ft</v>
      </c>
      <c r="C41" t="str">
        <v>PCS</v>
      </c>
      <c r="D41">
        <v>28</v>
      </c>
      <c r="E41" s="12">
        <v>18.5</v>
      </c>
      <c r="F41" s="18">
        <v>0</v>
      </c>
      <c r="G41" s="12">
        <v>19</v>
      </c>
      <c r="H41" s="12">
        <v>532</v>
      </c>
      <c r="I41" s="12" t="str">
        <v>MATERIALS</v>
      </c>
      <c r="J41" s="12" t="str">
        <v/>
      </c>
    </row>
    <row r="42" spans="1:10" x14ac:dyDescent="0.25">
      <c r="A42" t="str">
        <v>MATERIALS</v>
      </c>
      <c r="B42" t="str">
        <v>Flashing V-Shape 18" x 8.00ft x No.28 Red</v>
      </c>
      <c r="C42" t="str">
        <v>PCS</v>
      </c>
      <c r="D42">
        <v>25</v>
      </c>
      <c r="E42" s="12">
        <v>4</v>
      </c>
      <c r="F42" s="18">
        <v>0</v>
      </c>
      <c r="G42" s="12">
        <v>4</v>
      </c>
      <c r="H42" s="12">
        <v>100</v>
      </c>
      <c r="I42" s="12" t="str">
        <v>MATERIALS</v>
      </c>
      <c r="J42" s="12" t="str">
        <v/>
      </c>
    </row>
    <row r="43" spans="1:10" x14ac:dyDescent="0.25">
      <c r="A43" t="str">
        <v>MATERIALS</v>
      </c>
      <c r="B43" t="str">
        <v>Flexible Hose Latina 10"</v>
      </c>
      <c r="C43" t="str">
        <v>PCS</v>
      </c>
      <c r="D43">
        <v>6</v>
      </c>
      <c r="E43" s="12">
        <v>2</v>
      </c>
      <c r="F43" s="18">
        <v>0</v>
      </c>
      <c r="G43" s="12">
        <v>2</v>
      </c>
      <c r="H43" s="12">
        <v>12</v>
      </c>
      <c r="I43" s="12" t="str">
        <v>MATERIALS</v>
      </c>
      <c r="J43" s="12" t="str">
        <v/>
      </c>
    </row>
    <row r="44" spans="1:10" x14ac:dyDescent="0.25">
      <c r="A44" t="str">
        <v>MATERIALS</v>
      </c>
      <c r="B44" t="str">
        <v>GI Batten 32.00mm x 40.00mm x 0.42mm x 6.00m</v>
      </c>
      <c r="C44" t="str">
        <v>PCS</v>
      </c>
      <c r="D44">
        <v>22</v>
      </c>
      <c r="E44" s="12">
        <v>27.3</v>
      </c>
      <c r="F44" s="18">
        <v>0</v>
      </c>
      <c r="G44" s="12">
        <v>28</v>
      </c>
      <c r="H44" s="12">
        <v>616</v>
      </c>
      <c r="I44" s="12" t="str">
        <v>MATERIALS</v>
      </c>
      <c r="J44" s="12" t="str">
        <v/>
      </c>
    </row>
    <row r="45" spans="1:10" x14ac:dyDescent="0.25">
      <c r="A45" t="str">
        <v>MATERIALS</v>
      </c>
      <c r="B45" t="str">
        <v>GI Bracing 2440mm</v>
      </c>
      <c r="C45" t="str">
        <v>LTH</v>
      </c>
      <c r="D45">
        <v>3.5</v>
      </c>
      <c r="E45" s="12">
        <v>31.5</v>
      </c>
      <c r="F45" s="18">
        <v>0</v>
      </c>
      <c r="G45" s="12">
        <v>32</v>
      </c>
      <c r="H45" s="12">
        <v>112</v>
      </c>
      <c r="I45" s="12" t="str">
        <v>MATERIALS</v>
      </c>
      <c r="J45" s="12" t="str">
        <v/>
      </c>
    </row>
    <row r="46" spans="1:10" x14ac:dyDescent="0.25">
      <c r="A46" t="str">
        <v>MATERIALS</v>
      </c>
      <c r="B46" t="str">
        <v>GI Carrier Rail (MF) 4880.00mm</v>
      </c>
      <c r="C46" t="str">
        <v>PCS</v>
      </c>
      <c r="D46">
        <v>20</v>
      </c>
      <c r="E46" s="12">
        <v>12.600000000000001</v>
      </c>
      <c r="F46" s="18">
        <v>0</v>
      </c>
      <c r="G46" s="12">
        <v>13</v>
      </c>
      <c r="H46" s="12">
        <v>260</v>
      </c>
      <c r="I46" s="12" t="str">
        <v>MATERIALS</v>
      </c>
      <c r="J46" s="12" t="str">
        <v/>
      </c>
    </row>
    <row r="47" spans="1:10" x14ac:dyDescent="0.25">
      <c r="A47" t="str">
        <v>MATERIALS</v>
      </c>
      <c r="B47" t="str">
        <v>GI Wire 20#</v>
      </c>
      <c r="C47" t="str">
        <v>ROLL</v>
      </c>
      <c r="D47">
        <v>14</v>
      </c>
      <c r="E47" s="12">
        <v>2</v>
      </c>
      <c r="F47" s="18">
        <v>0</v>
      </c>
      <c r="G47" s="12">
        <v>2</v>
      </c>
      <c r="H47" s="12">
        <v>28</v>
      </c>
      <c r="I47" s="12" t="str">
        <v>MATERIALS</v>
      </c>
      <c r="J47" s="12" t="str">
        <v/>
      </c>
    </row>
    <row r="48" spans="1:10" x14ac:dyDescent="0.25">
      <c r="A48" t="str">
        <v>MATERIALS</v>
      </c>
      <c r="B48" t="str">
        <v>Hex Self-Drilling Screw DS525HW 10# x 1"</v>
      </c>
      <c r="C48" t="str">
        <v>PCS</v>
      </c>
      <c r="D48">
        <v>0.13</v>
      </c>
      <c r="E48" s="12">
        <v>1660</v>
      </c>
      <c r="F48" s="18">
        <v>0</v>
      </c>
      <c r="G48" s="12">
        <v>1660</v>
      </c>
      <c r="H48" s="12">
        <v>215.8</v>
      </c>
      <c r="I48" s="12" t="str">
        <v>MATERIALS</v>
      </c>
      <c r="J48" s="12" t="str">
        <v/>
      </c>
    </row>
    <row r="49" spans="1:10" x14ac:dyDescent="0.25">
      <c r="A49" t="str">
        <v>MATERIALS</v>
      </c>
      <c r="B49" t="str">
        <v>LED Downlight 4in 12W</v>
      </c>
      <c r="C49" t="str">
        <v>PCS</v>
      </c>
      <c r="D49">
        <v>9.9</v>
      </c>
      <c r="E49" s="12">
        <v>10</v>
      </c>
      <c r="F49" s="18">
        <v>0</v>
      </c>
      <c r="G49" s="12">
        <v>10</v>
      </c>
      <c r="H49" s="12">
        <v>99</v>
      </c>
      <c r="I49" s="12" t="str">
        <v>MATERIALS</v>
      </c>
      <c r="J49" s="12" t="str">
        <v/>
      </c>
    </row>
    <row r="50" spans="1:10" x14ac:dyDescent="0.25">
      <c r="A50" t="str">
        <v>MATERIALS</v>
      </c>
      <c r="B50" t="str">
        <v>Long Bend 4"</v>
      </c>
      <c r="C50" t="str">
        <v>PKT</v>
      </c>
      <c r="D50">
        <v>8.4</v>
      </c>
      <c r="E50" s="12">
        <v>1</v>
      </c>
      <c r="F50" s="18">
        <v>0</v>
      </c>
      <c r="G50" s="12">
        <v>1</v>
      </c>
      <c r="H50" s="12">
        <v>8.4</v>
      </c>
      <c r="I50" s="12" t="str">
        <v>MATERIALS</v>
      </c>
      <c r="J50" s="12" t="str">
        <v/>
      </c>
    </row>
    <row r="51" spans="1:10" x14ac:dyDescent="0.25">
      <c r="A51" t="str">
        <v>MATERIALS</v>
      </c>
      <c r="B51" t="str">
        <v>Mega PVC Cable 1.5mm2 (Black, SIRIM)</v>
      </c>
      <c r="C51" t="str">
        <v>ROLL</v>
      </c>
      <c r="D51">
        <v>92</v>
      </c>
      <c r="E51" s="12">
        <v>2</v>
      </c>
      <c r="F51" s="18">
        <v>0</v>
      </c>
      <c r="G51" s="12">
        <v>2</v>
      </c>
      <c r="H51" s="12">
        <v>184</v>
      </c>
      <c r="I51" s="12" t="str">
        <v>MATERIALS</v>
      </c>
      <c r="J51" s="12" t="str">
        <v/>
      </c>
    </row>
    <row r="52" spans="1:10" x14ac:dyDescent="0.25">
      <c r="A52" t="str">
        <v>MATERIALS</v>
      </c>
      <c r="B52" t="str">
        <v>Mega PVC Cable 1.5mm2 (Green, SIRIM)</v>
      </c>
      <c r="C52" t="str">
        <v>ROLL</v>
      </c>
      <c r="D52">
        <v>92</v>
      </c>
      <c r="E52" s="12">
        <v>3</v>
      </c>
      <c r="F52" s="18">
        <v>0</v>
      </c>
      <c r="G52" s="12">
        <v>3</v>
      </c>
      <c r="H52" s="12">
        <v>276</v>
      </c>
      <c r="I52" s="12" t="str">
        <v>MATERIALS</v>
      </c>
      <c r="J52" s="12" t="str">
        <v/>
      </c>
    </row>
    <row r="53" spans="1:10" x14ac:dyDescent="0.25">
      <c r="A53" t="str">
        <v>MATERIALS</v>
      </c>
      <c r="B53" t="str">
        <v>Mega PVC Cable 1.5mm2 (Red, SIRIM)</v>
      </c>
      <c r="C53" t="str">
        <v>ROLL</v>
      </c>
      <c r="D53">
        <v>92</v>
      </c>
      <c r="E53" s="12">
        <v>3</v>
      </c>
      <c r="F53" s="18">
        <v>0</v>
      </c>
      <c r="G53" s="12">
        <v>3</v>
      </c>
      <c r="H53" s="12">
        <v>276</v>
      </c>
      <c r="I53" s="12" t="str">
        <v>MATERIALS</v>
      </c>
      <c r="J53" s="12" t="str">
        <v/>
      </c>
    </row>
    <row r="54" spans="1:10" x14ac:dyDescent="0.25">
      <c r="A54" t="str">
        <v>MATERIALS</v>
      </c>
      <c r="B54" t="str">
        <v>Mega PVC Cable 2.5mm2 (Black, SIRIM)</v>
      </c>
      <c r="C54" t="str">
        <v>ROLL</v>
      </c>
      <c r="D54">
        <v>146</v>
      </c>
      <c r="E54" s="12">
        <v>1</v>
      </c>
      <c r="F54" s="18">
        <v>0</v>
      </c>
      <c r="G54" s="12">
        <v>1</v>
      </c>
      <c r="H54" s="12">
        <v>146</v>
      </c>
      <c r="I54" s="12" t="str">
        <v>MATERIALS</v>
      </c>
      <c r="J54" s="12" t="str">
        <v/>
      </c>
    </row>
    <row r="55" spans="1:10" x14ac:dyDescent="0.25">
      <c r="A55" t="str">
        <v>MATERIALS</v>
      </c>
      <c r="B55" t="str">
        <v>Mega PVC Cable 2.5mm2 (Green, SIRIM)</v>
      </c>
      <c r="C55" t="str">
        <v>ROLL</v>
      </c>
      <c r="D55">
        <v>146</v>
      </c>
      <c r="E55" s="12">
        <v>1</v>
      </c>
      <c r="F55" s="18">
        <v>0</v>
      </c>
      <c r="G55" s="12">
        <v>1</v>
      </c>
      <c r="H55" s="12">
        <v>146</v>
      </c>
      <c r="I55" s="12" t="str">
        <v>MATERIALS</v>
      </c>
      <c r="J55" s="12" t="str">
        <v/>
      </c>
    </row>
    <row r="56" spans="1:10" x14ac:dyDescent="0.25">
      <c r="A56" t="str">
        <v>MATERIALS</v>
      </c>
      <c r="B56" t="str">
        <v>Mega PVC Cable 2.5mm2 (Red, SIRIM)</v>
      </c>
      <c r="C56" t="str">
        <v>ROLL</v>
      </c>
      <c r="D56">
        <v>146</v>
      </c>
      <c r="E56" s="12">
        <v>1</v>
      </c>
      <c r="F56" s="18">
        <v>0</v>
      </c>
      <c r="G56" s="12">
        <v>1</v>
      </c>
      <c r="H56" s="12">
        <v>146</v>
      </c>
      <c r="I56" s="12" t="str">
        <v>MATERIALS</v>
      </c>
      <c r="J56" s="12" t="str">
        <v/>
      </c>
    </row>
    <row r="57" spans="1:10" x14ac:dyDescent="0.25">
      <c r="A57" t="str">
        <v>MATERIALS</v>
      </c>
      <c r="B57" t="str">
        <v>Mixed Timber 2" x 3" x 10ft (Grade A)</v>
      </c>
      <c r="C57" t="str">
        <v>LTH</v>
      </c>
      <c r="D57">
        <v>15</v>
      </c>
      <c r="E57" s="12">
        <v>64.5</v>
      </c>
      <c r="F57" s="18">
        <v>0</v>
      </c>
      <c r="G57" s="12">
        <v>65</v>
      </c>
      <c r="H57" s="12">
        <v>975</v>
      </c>
      <c r="I57" s="12" t="str">
        <v>MATERIALS</v>
      </c>
      <c r="J57" s="12" t="str">
        <v/>
      </c>
    </row>
    <row r="58" spans="1:10" x14ac:dyDescent="0.25">
      <c r="A58" t="str">
        <v>MATERIALS</v>
      </c>
      <c r="B58" t="str">
        <v>ML7025-SS Armor Lever Mortise</v>
      </c>
      <c r="C58" t="str">
        <v>SET</v>
      </c>
      <c r="D58">
        <v>60</v>
      </c>
      <c r="E58" s="12">
        <v>1</v>
      </c>
      <c r="F58" s="18">
        <v>0</v>
      </c>
      <c r="G58" s="12">
        <v>1</v>
      </c>
      <c r="H58" s="12">
        <v>60</v>
      </c>
      <c r="I58" s="12" t="str">
        <v>MATERIALS</v>
      </c>
      <c r="J58" s="12" t="str">
        <v/>
      </c>
    </row>
    <row r="59" spans="1:10" x14ac:dyDescent="0.25">
      <c r="A59" t="str">
        <v>MATERIALS</v>
      </c>
      <c r="B59" t="str">
        <v>MS Deformed Bar Y10 12.00m (Main Bars)</v>
      </c>
      <c r="C59" t="str">
        <v>BAR</v>
      </c>
      <c r="D59">
        <v>22</v>
      </c>
      <c r="E59" s="12">
        <v>19.950000000000003</v>
      </c>
      <c r="F59" s="18">
        <v>0</v>
      </c>
      <c r="G59" s="12">
        <v>20</v>
      </c>
      <c r="H59" s="12">
        <v>440</v>
      </c>
      <c r="I59" s="12" t="str">
        <v>MATERIALS</v>
      </c>
      <c r="J59" s="12" t="str">
        <v/>
      </c>
    </row>
    <row r="60" spans="1:10" x14ac:dyDescent="0.25">
      <c r="A60" t="str">
        <v>MATERIALS</v>
      </c>
      <c r="B60" t="str">
        <v>MS Deformed Bar Y12 12.00m</v>
      </c>
      <c r="C60" t="str">
        <v>BAR</v>
      </c>
      <c r="D60">
        <v>28</v>
      </c>
      <c r="E60" s="12">
        <v>108</v>
      </c>
      <c r="F60" s="18">
        <v>0</v>
      </c>
      <c r="G60" s="12">
        <v>108</v>
      </c>
      <c r="H60" s="12">
        <v>3024</v>
      </c>
      <c r="I60" s="12" t="str">
        <v>MATERIALS</v>
      </c>
      <c r="J60" s="12" t="str">
        <v/>
      </c>
    </row>
    <row r="61" spans="1:10" x14ac:dyDescent="0.25">
      <c r="A61" t="str">
        <v>MATERIALS</v>
      </c>
      <c r="B61" t="str">
        <v>MS RHS Rectangular Hollow 2" x 4" x 6m x 2.3mm</v>
      </c>
      <c r="C61" t="str">
        <v>PCS</v>
      </c>
      <c r="D61">
        <v>107</v>
      </c>
      <c r="E61" s="12">
        <v>16</v>
      </c>
      <c r="F61" s="18">
        <v>0</v>
      </c>
      <c r="G61" s="12">
        <v>16</v>
      </c>
      <c r="H61" s="12">
        <v>1712</v>
      </c>
      <c r="I61" s="12" t="str">
        <v>MATERIALS</v>
      </c>
      <c r="J61" s="12" t="str">
        <v/>
      </c>
    </row>
    <row r="62" spans="1:10" x14ac:dyDescent="0.25">
      <c r="A62" t="str">
        <v>MATERIALS</v>
      </c>
      <c r="B62" t="str">
        <v>MS RHS Rectangular Hollow 3" x 5" x 3.00mm x 6.00m</v>
      </c>
      <c r="C62" t="str">
        <v>PCS</v>
      </c>
      <c r="D62">
        <v>163</v>
      </c>
      <c r="E62" s="12">
        <v>6</v>
      </c>
      <c r="F62" s="18">
        <v>0</v>
      </c>
      <c r="G62" s="12">
        <v>6</v>
      </c>
      <c r="H62" s="12">
        <v>978</v>
      </c>
      <c r="I62" s="12" t="str">
        <v>MATERIALS</v>
      </c>
      <c r="J62" s="12" t="str">
        <v/>
      </c>
    </row>
    <row r="63" spans="1:10" x14ac:dyDescent="0.25">
      <c r="A63" t="str">
        <v>MATERIALS</v>
      </c>
      <c r="B63" t="str">
        <v>MS RHS Rectangular Hollow 6/8" x 1-1/2" x 1.20mm x 6.00m</v>
      </c>
      <c r="C63" t="str">
        <v>PCS</v>
      </c>
      <c r="D63">
        <v>17</v>
      </c>
      <c r="E63" s="12">
        <v>20</v>
      </c>
      <c r="F63" s="18">
        <v>0</v>
      </c>
      <c r="G63" s="12">
        <v>20</v>
      </c>
      <c r="H63" s="12">
        <v>340</v>
      </c>
      <c r="I63" s="12" t="str">
        <v>MATERIALS</v>
      </c>
      <c r="J63" s="12" t="str">
        <v/>
      </c>
    </row>
    <row r="64" spans="1:10" x14ac:dyDescent="0.25">
      <c r="A64" t="str">
        <v>MATERIALS</v>
      </c>
      <c r="B64" t="str">
        <v>MS Round Bar R6 12.00m</v>
      </c>
      <c r="C64" t="str">
        <v>BAR</v>
      </c>
      <c r="D64">
        <v>15.000000000000002</v>
      </c>
      <c r="E64" s="12">
        <v>69.599999999999994</v>
      </c>
      <c r="F64" s="18">
        <v>0</v>
      </c>
      <c r="G64" s="12">
        <v>70</v>
      </c>
      <c r="H64" s="12">
        <v>1050.0000000000002</v>
      </c>
      <c r="I64" s="12" t="str">
        <v>MATERIALS</v>
      </c>
      <c r="J64" s="12" t="str">
        <v/>
      </c>
    </row>
    <row r="65" spans="1:10" x14ac:dyDescent="0.25">
      <c r="A65" t="str">
        <v>MATERIALS</v>
      </c>
      <c r="B65" t="str">
        <v>Newton LED Batten 4ft Single Fitting C/W SBE LED Tube 22W 6500K</v>
      </c>
      <c r="C65" t="str">
        <v>SET</v>
      </c>
      <c r="D65">
        <v>13</v>
      </c>
      <c r="E65" s="12">
        <v>6</v>
      </c>
      <c r="F65" s="18">
        <v>0</v>
      </c>
      <c r="G65" s="12">
        <v>6</v>
      </c>
      <c r="H65" s="12">
        <v>78</v>
      </c>
      <c r="I65" s="12" t="str">
        <v>MATERIALS</v>
      </c>
      <c r="J65" s="12" t="str">
        <v/>
      </c>
    </row>
    <row r="66" spans="1:10" x14ac:dyDescent="0.25">
      <c r="A66" t="str">
        <v>MATERIALS</v>
      </c>
      <c r="B66" t="str">
        <v>Plaster Ceiling Manhole 12"</v>
      </c>
      <c r="C66" t="str">
        <v>PCS</v>
      </c>
      <c r="D66">
        <v>13</v>
      </c>
      <c r="E66" s="12">
        <v>2</v>
      </c>
      <c r="F66" s="18">
        <v>0</v>
      </c>
      <c r="G66" s="12">
        <v>2</v>
      </c>
      <c r="H66" s="12">
        <v>26</v>
      </c>
      <c r="I66" s="12" t="str">
        <v>MATERIALS</v>
      </c>
      <c r="J66" s="12" t="str">
        <v/>
      </c>
    </row>
    <row r="67" spans="1:10" x14ac:dyDescent="0.25">
      <c r="A67" t="str">
        <v>MATERIALS</v>
      </c>
      <c r="B67" t="str">
        <v>Plywood 9mm 4ft x 8ft</v>
      </c>
      <c r="C67" t="str">
        <v>SHEET</v>
      </c>
      <c r="D67">
        <v>44.999999999999993</v>
      </c>
      <c r="E67" s="12">
        <v>53.400000000000006</v>
      </c>
      <c r="F67" s="18">
        <v>0</v>
      </c>
      <c r="G67" s="12">
        <v>54</v>
      </c>
      <c r="H67" s="12">
        <v>2429.9999999999995</v>
      </c>
      <c r="I67" s="12" t="str">
        <v>MATERIALS</v>
      </c>
      <c r="J67" s="12" t="str">
        <v/>
      </c>
    </row>
    <row r="68" spans="1:10" x14ac:dyDescent="0.25">
      <c r="A68" t="str">
        <v>MATERIALS</v>
      </c>
      <c r="B68" t="str">
        <v>Poly Rope 6mm Blue</v>
      </c>
      <c r="C68" t="str">
        <v>ROLL</v>
      </c>
      <c r="D68">
        <v>15</v>
      </c>
      <c r="E68" s="12">
        <v>1</v>
      </c>
      <c r="F68" s="18">
        <v>0</v>
      </c>
      <c r="G68" s="12">
        <v>1</v>
      </c>
      <c r="H68" s="12">
        <v>15</v>
      </c>
      <c r="I68" s="12" t="str">
        <v>MATERIALS</v>
      </c>
      <c r="J68" s="12" t="str">
        <v/>
      </c>
    </row>
    <row r="69" spans="1:10" x14ac:dyDescent="0.25">
      <c r="A69" t="str">
        <v>MATERIALS</v>
      </c>
      <c r="B69" t="str">
        <v>Poly Sealant 280ml</v>
      </c>
      <c r="C69" t="str">
        <v>PCS</v>
      </c>
      <c r="D69">
        <v>5.5</v>
      </c>
      <c r="E69" s="12">
        <v>4.2</v>
      </c>
      <c r="F69" s="18">
        <v>0</v>
      </c>
      <c r="G69" s="12">
        <v>5</v>
      </c>
      <c r="H69" s="12">
        <v>27.5</v>
      </c>
      <c r="I69" s="12" t="str">
        <v>MATERIALS</v>
      </c>
      <c r="J69" s="12" t="str">
        <v/>
      </c>
    </row>
    <row r="70" spans="1:10" x14ac:dyDescent="0.25">
      <c r="A70" t="str">
        <v>MATERIALS</v>
      </c>
      <c r="B70" t="str">
        <v>Primaflex Fibre Cement Board 4.00ft x 4.00ft</v>
      </c>
      <c r="C70" t="str">
        <v>SHEET</v>
      </c>
      <c r="D70">
        <v>13</v>
      </c>
      <c r="E70" s="12">
        <v>5.25</v>
      </c>
      <c r="F70" s="18">
        <v>0</v>
      </c>
      <c r="G70" s="12">
        <v>6</v>
      </c>
      <c r="H70" s="12">
        <v>78</v>
      </c>
      <c r="I70" s="12" t="str">
        <v>MATERIALS</v>
      </c>
      <c r="J70" s="12" t="str">
        <v/>
      </c>
    </row>
    <row r="71" spans="1:10" x14ac:dyDescent="0.25">
      <c r="A71" t="str">
        <v>MATERIALS</v>
      </c>
      <c r="B71" t="str">
        <v>PVC Concealed Box 1 Gang</v>
      </c>
      <c r="C71" t="str">
        <v>UNIT</v>
      </c>
      <c r="D71">
        <v>0.35</v>
      </c>
      <c r="E71" s="12">
        <v>15</v>
      </c>
      <c r="F71" s="18">
        <v>0</v>
      </c>
      <c r="G71" s="12">
        <v>15</v>
      </c>
      <c r="H71" s="12">
        <v>5.25</v>
      </c>
      <c r="I71" s="12" t="str">
        <v>MATERIALS</v>
      </c>
      <c r="J71" s="12" t="str">
        <v/>
      </c>
    </row>
    <row r="72" spans="1:10" x14ac:dyDescent="0.25">
      <c r="A72" t="str">
        <v>MATERIALS</v>
      </c>
      <c r="B72" t="str">
        <v>PVC Conduit Pipe 20mm (10ft)</v>
      </c>
      <c r="C72" t="str">
        <v>LTH</v>
      </c>
      <c r="D72">
        <v>6.7999999999999989</v>
      </c>
      <c r="E72" s="12">
        <v>23</v>
      </c>
      <c r="F72" s="18">
        <v>0</v>
      </c>
      <c r="G72" s="12">
        <v>23</v>
      </c>
      <c r="H72" s="12">
        <v>156.39999999999998</v>
      </c>
      <c r="I72" s="12" t="str">
        <v>MATERIALS</v>
      </c>
      <c r="J72" s="12" t="str">
        <v/>
      </c>
    </row>
    <row r="73" spans="1:10" x14ac:dyDescent="0.25">
      <c r="A73" t="str">
        <v>MATERIALS</v>
      </c>
      <c r="B73" t="str">
        <v>PVC Conduit Pipe 25mm (10ft)</v>
      </c>
      <c r="C73" t="str">
        <v>LTH</v>
      </c>
      <c r="D73">
        <v>10.199999999999999</v>
      </c>
      <c r="E73" s="12">
        <v>12</v>
      </c>
      <c r="F73" s="18">
        <v>0</v>
      </c>
      <c r="G73" s="12">
        <v>12</v>
      </c>
      <c r="H73" s="12">
        <v>122.39999999999999</v>
      </c>
      <c r="I73" s="12" t="str">
        <v>MATERIALS</v>
      </c>
      <c r="J73" s="12" t="str">
        <v/>
      </c>
    </row>
    <row r="74" spans="1:10" x14ac:dyDescent="0.25">
      <c r="A74" t="str">
        <v>MATERIALS</v>
      </c>
      <c r="B74" t="str">
        <v>PVC Elbow 90 Degree 25mm</v>
      </c>
      <c r="C74" t="str">
        <v>PKT</v>
      </c>
      <c r="D74">
        <v>1.36</v>
      </c>
      <c r="E74" s="12">
        <v>2</v>
      </c>
      <c r="F74" s="18">
        <v>0</v>
      </c>
      <c r="G74" s="12">
        <v>2</v>
      </c>
      <c r="H74" s="12">
        <v>2.72</v>
      </c>
      <c r="I74" s="12" t="str">
        <v>MATERIALS</v>
      </c>
      <c r="J74" s="12" t="str">
        <v/>
      </c>
    </row>
    <row r="75" spans="1:10" x14ac:dyDescent="0.25">
      <c r="A75" t="str">
        <v>MATERIALS</v>
      </c>
      <c r="B75" t="str">
        <v>PVC Fitting Double End Socket 100mm (4")</v>
      </c>
      <c r="C75" t="str">
        <v>PCS</v>
      </c>
      <c r="D75">
        <v>9.5</v>
      </c>
      <c r="E75" s="12">
        <v>2.1</v>
      </c>
      <c r="F75" s="18">
        <v>0</v>
      </c>
      <c r="G75" s="12">
        <v>3</v>
      </c>
      <c r="H75" s="12">
        <v>28.5</v>
      </c>
      <c r="I75" s="12" t="str">
        <v>MATERIALS</v>
      </c>
      <c r="J75" s="12" t="str">
        <v/>
      </c>
    </row>
    <row r="76" spans="1:10" x14ac:dyDescent="0.25">
      <c r="A76" t="str">
        <v>MATERIALS</v>
      </c>
      <c r="B76" t="str">
        <v>PVC Fitting Double End Socket 50mm (2")</v>
      </c>
      <c r="C76" t="str">
        <v>PCS</v>
      </c>
      <c r="D76">
        <v>4.3</v>
      </c>
      <c r="E76" s="12">
        <v>6.3000000000000007</v>
      </c>
      <c r="F76" s="18">
        <v>0</v>
      </c>
      <c r="G76" s="12">
        <v>7</v>
      </c>
      <c r="H76" s="12">
        <v>30.099999999999998</v>
      </c>
      <c r="I76" s="12" t="str">
        <v>MATERIALS</v>
      </c>
      <c r="J76" s="12" t="str">
        <v/>
      </c>
    </row>
    <row r="77" spans="1:10" x14ac:dyDescent="0.25">
      <c r="A77" t="str">
        <v>MATERIALS</v>
      </c>
      <c r="B77" t="str">
        <v>PVC Insulation Tape 18mm x 6yd</v>
      </c>
      <c r="C77" t="str">
        <v>PCS</v>
      </c>
      <c r="D77">
        <v>0.5</v>
      </c>
      <c r="E77" s="12">
        <v>2</v>
      </c>
      <c r="F77" s="18">
        <v>0</v>
      </c>
      <c r="G77" s="12">
        <v>2</v>
      </c>
      <c r="H77" s="12">
        <v>1</v>
      </c>
      <c r="I77" s="12" t="str">
        <v>MATERIALS</v>
      </c>
      <c r="J77" s="12" t="str">
        <v/>
      </c>
    </row>
    <row r="78" spans="1:10" x14ac:dyDescent="0.25">
      <c r="A78" t="str">
        <v>MATERIALS</v>
      </c>
      <c r="B78" t="str">
        <v>PVC P/T Socket Brass Thread 1/2"</v>
      </c>
      <c r="C78" t="str">
        <v>PCS</v>
      </c>
      <c r="D78">
        <v>3</v>
      </c>
      <c r="E78" s="12">
        <v>5.25</v>
      </c>
      <c r="F78" s="18">
        <v>0</v>
      </c>
      <c r="G78" s="12">
        <v>6</v>
      </c>
      <c r="H78" s="12">
        <v>18</v>
      </c>
      <c r="I78" s="12" t="str">
        <v>MATERIALS</v>
      </c>
      <c r="J78" s="12" t="str">
        <v/>
      </c>
    </row>
    <row r="79" spans="1:10" x14ac:dyDescent="0.25">
      <c r="A79" t="str">
        <v>MATERIALS</v>
      </c>
      <c r="B79" t="str">
        <v>PVC Solvent Cement Glue 500g (Arrow, Orange)</v>
      </c>
      <c r="C79" t="str">
        <v>PCS</v>
      </c>
      <c r="D79">
        <v>1</v>
      </c>
      <c r="E79" s="12">
        <v>1</v>
      </c>
      <c r="F79" s="18">
        <v>0</v>
      </c>
      <c r="G79" s="12">
        <v>1</v>
      </c>
      <c r="H79" s="12">
        <v>1</v>
      </c>
      <c r="I79" s="12" t="str">
        <v>MATERIALS</v>
      </c>
      <c r="J79" s="12" t="str">
        <v/>
      </c>
    </row>
    <row r="80" spans="1:10" x14ac:dyDescent="0.25">
      <c r="A80" t="str">
        <v>MATERIALS</v>
      </c>
      <c r="B80" t="str">
        <v>PVC Tile Spacer 2mm</v>
      </c>
      <c r="C80" t="str">
        <v>PACK</v>
      </c>
      <c r="D80">
        <v>1</v>
      </c>
      <c r="E80" s="12">
        <v>12</v>
      </c>
      <c r="F80" s="18">
        <v>0</v>
      </c>
      <c r="G80" s="12">
        <v>12</v>
      </c>
      <c r="H80" s="12">
        <v>12</v>
      </c>
      <c r="I80" s="12" t="str">
        <v>MATERIALS</v>
      </c>
      <c r="J80" s="12" t="str">
        <v/>
      </c>
    </row>
    <row r="81" spans="1:10" x14ac:dyDescent="0.25">
      <c r="A81" t="str">
        <v>MATERIALS</v>
      </c>
      <c r="B81" t="str">
        <v>Raw Plywood Door (Unfinished) - Up to 36"W x 84"H (Custom Size)</v>
      </c>
      <c r="C81" t="str">
        <v>PCS</v>
      </c>
      <c r="D81">
        <v>150</v>
      </c>
      <c r="E81" s="12">
        <v>1</v>
      </c>
      <c r="F81" s="18">
        <v>0</v>
      </c>
      <c r="G81" s="12">
        <v>1</v>
      </c>
      <c r="H81" s="12">
        <v>150</v>
      </c>
      <c r="I81" s="12" t="str">
        <v>MATERIALS</v>
      </c>
      <c r="J81" s="12" t="str">
        <v/>
      </c>
    </row>
    <row r="82" spans="1:10" x14ac:dyDescent="0.25">
      <c r="A82" t="str">
        <v>MATERIALS</v>
      </c>
      <c r="B82" t="str">
        <v>Ready Mix Concrete G20 (Per m3)</v>
      </c>
      <c r="C82" t="str">
        <v>M3</v>
      </c>
      <c r="D82">
        <v>329.99999999999994</v>
      </c>
      <c r="E82" s="12">
        <v>6.7700000000000005</v>
      </c>
      <c r="F82" s="18">
        <v>0</v>
      </c>
      <c r="G82" s="12">
        <v>7</v>
      </c>
      <c r="H82" s="12">
        <v>2309.9999999999995</v>
      </c>
      <c r="I82" s="12" t="str">
        <v>MATERIALS</v>
      </c>
      <c r="J82" s="12" t="str">
        <v/>
      </c>
    </row>
    <row r="83" spans="1:10" x14ac:dyDescent="0.25">
      <c r="A83" t="str">
        <v>MATERIALS</v>
      </c>
      <c r="B83" t="str">
        <v>Ready Mix Concrete G25 (Per m3)</v>
      </c>
      <c r="C83" t="str">
        <v>M3</v>
      </c>
      <c r="D83">
        <v>339.99999999999994</v>
      </c>
      <c r="E83" s="12">
        <v>11.91</v>
      </c>
      <c r="F83" s="18">
        <v>0</v>
      </c>
      <c r="G83" s="12">
        <v>12</v>
      </c>
      <c r="H83" s="12">
        <v>4079.9999999999991</v>
      </c>
      <c r="I83" s="12" t="str">
        <v>MATERIALS</v>
      </c>
      <c r="J83" s="12" t="str">
        <v/>
      </c>
    </row>
    <row r="84" spans="1:10" x14ac:dyDescent="0.25">
      <c r="A84" t="str">
        <v>MATERIALS</v>
      </c>
      <c r="B84" t="str">
        <v>Sanding Paper 120G</v>
      </c>
      <c r="C84" t="str">
        <v>PCS</v>
      </c>
      <c r="D84">
        <v>0.3</v>
      </c>
      <c r="E84" s="12">
        <v>6.6000000000000005</v>
      </c>
      <c r="F84" s="18">
        <v>0</v>
      </c>
      <c r="G84" s="12">
        <v>7</v>
      </c>
      <c r="H84" s="12">
        <v>2.1</v>
      </c>
      <c r="I84" s="12" t="str">
        <v>MATERIALS</v>
      </c>
      <c r="J84" s="12" t="str">
        <v/>
      </c>
    </row>
    <row r="85" spans="1:10" x14ac:dyDescent="0.25">
      <c r="A85" t="str">
        <v>MATERIALS</v>
      </c>
      <c r="B85" t="str">
        <v>Sanding Paper 240G</v>
      </c>
      <c r="C85" t="str">
        <v>PCS</v>
      </c>
      <c r="D85">
        <v>0.3</v>
      </c>
      <c r="E85" s="12">
        <v>6.6000000000000005</v>
      </c>
      <c r="F85" s="18">
        <v>0</v>
      </c>
      <c r="G85" s="12">
        <v>7</v>
      </c>
      <c r="H85" s="12">
        <v>2.1</v>
      </c>
      <c r="I85" s="12" t="str">
        <v>MATERIALS</v>
      </c>
      <c r="J85" s="12" t="str">
        <v/>
      </c>
    </row>
    <row r="86" spans="1:10" x14ac:dyDescent="0.25">
      <c r="A86" t="str">
        <v>MATERIALS</v>
      </c>
      <c r="B86" t="str">
        <v>Sanding Paper 400G</v>
      </c>
      <c r="C86" t="str">
        <v>PCS</v>
      </c>
      <c r="D86">
        <v>0.3</v>
      </c>
      <c r="E86" s="12">
        <v>6.6000000000000005</v>
      </c>
      <c r="F86" s="18">
        <v>0</v>
      </c>
      <c r="G86" s="12">
        <v>7</v>
      </c>
      <c r="H86" s="12">
        <v>2.1</v>
      </c>
      <c r="I86" s="12" t="str">
        <v>MATERIALS</v>
      </c>
      <c r="J86" s="12" t="str">
        <v/>
      </c>
    </row>
    <row r="87" spans="1:10" x14ac:dyDescent="0.25">
      <c r="A87" t="str">
        <v>MATERIALS</v>
      </c>
      <c r="B87" t="str">
        <v>Schneider Socket 13A (Single)</v>
      </c>
      <c r="C87" t="str">
        <v>UNIT</v>
      </c>
      <c r="D87">
        <v>8.5</v>
      </c>
      <c r="E87" s="12">
        <v>10</v>
      </c>
      <c r="F87" s="18">
        <v>0</v>
      </c>
      <c r="G87" s="12">
        <v>10</v>
      </c>
      <c r="H87" s="12">
        <v>85</v>
      </c>
      <c r="I87" s="12" t="str">
        <v>MATERIALS</v>
      </c>
      <c r="J87" s="12" t="str">
        <v/>
      </c>
    </row>
    <row r="88" spans="1:10" x14ac:dyDescent="0.25">
      <c r="A88" t="str">
        <v>MATERIALS</v>
      </c>
      <c r="B88" t="str">
        <v>Schneider Switch 1 Gang</v>
      </c>
      <c r="C88" t="str">
        <v>UNIT</v>
      </c>
      <c r="D88">
        <v>5.9</v>
      </c>
      <c r="E88" s="12">
        <v>5</v>
      </c>
      <c r="F88" s="18">
        <v>0</v>
      </c>
      <c r="G88" s="12">
        <v>5</v>
      </c>
      <c r="H88" s="12">
        <v>29.5</v>
      </c>
      <c r="I88" s="12" t="str">
        <v>MATERIALS</v>
      </c>
      <c r="J88" s="12" t="str">
        <v/>
      </c>
    </row>
    <row r="89" spans="1:10" x14ac:dyDescent="0.25">
      <c r="A89" t="str">
        <v>MATERIALS</v>
      </c>
      <c r="B89" t="str">
        <v>Schneider Switch 1 Gang</v>
      </c>
      <c r="C89" t="str">
        <v>PCS</v>
      </c>
      <c r="D89">
        <v>6.8</v>
      </c>
      <c r="E89" s="12">
        <v>2</v>
      </c>
      <c r="F89" s="18">
        <v>0</v>
      </c>
      <c r="G89" s="12">
        <v>2</v>
      </c>
      <c r="H89" s="12">
        <v>13.6</v>
      </c>
      <c r="I89" s="12" t="str">
        <v>MATERIALS</v>
      </c>
      <c r="J89" s="12" t="str">
        <v/>
      </c>
    </row>
    <row r="90" spans="1:10" x14ac:dyDescent="0.25">
      <c r="A90" t="str">
        <v>MATERIALS</v>
      </c>
      <c r="B90" t="str">
        <v>SIKA Curing Compound Antisol E 20.00L</v>
      </c>
      <c r="C90" t="str">
        <v>PAIL</v>
      </c>
      <c r="D90">
        <v>130</v>
      </c>
      <c r="E90" s="12">
        <v>5</v>
      </c>
      <c r="F90" s="18">
        <v>0</v>
      </c>
      <c r="G90" s="12">
        <v>5</v>
      </c>
      <c r="H90" s="12">
        <v>650</v>
      </c>
      <c r="I90" s="12" t="str">
        <v>MATERIALS</v>
      </c>
      <c r="J90" s="12" t="str">
        <v/>
      </c>
    </row>
    <row r="91" spans="1:10" x14ac:dyDescent="0.25">
      <c r="A91" t="str">
        <v>MATERIALS</v>
      </c>
      <c r="B91" t="str">
        <v>Smart Paint 5400 Wall Sealer Exterior &amp; Interior Wall Undercoat 18L</v>
      </c>
      <c r="C91" t="str">
        <v>PAIL</v>
      </c>
      <c r="D91">
        <v>160</v>
      </c>
      <c r="E91" s="12">
        <v>2.0499999999999998</v>
      </c>
      <c r="F91" s="18">
        <v>0</v>
      </c>
      <c r="G91" s="12">
        <v>3</v>
      </c>
      <c r="H91" s="12">
        <v>480</v>
      </c>
      <c r="I91" s="12" t="str">
        <v>MATERIALS</v>
      </c>
      <c r="J91" s="12" t="str">
        <v/>
      </c>
    </row>
    <row r="92" spans="1:10" x14ac:dyDescent="0.25">
      <c r="A92" t="str">
        <v>MATERIALS</v>
      </c>
      <c r="B92" t="str">
        <v>Taipoly Copper Rod 13.7mm x 5ft (SIRIM JKR)</v>
      </c>
      <c r="C92" t="str">
        <v>LTH</v>
      </c>
      <c r="D92">
        <v>48</v>
      </c>
      <c r="E92" s="12">
        <v>1</v>
      </c>
      <c r="F92" s="18">
        <v>0</v>
      </c>
      <c r="G92" s="12">
        <v>1</v>
      </c>
      <c r="H92" s="12">
        <v>48</v>
      </c>
      <c r="I92" s="12" t="str">
        <v>MATERIALS</v>
      </c>
      <c r="J92" s="12" t="str">
        <v/>
      </c>
    </row>
    <row r="93" spans="1:10" x14ac:dyDescent="0.25">
      <c r="A93" t="str">
        <v>MATERIALS</v>
      </c>
      <c r="B93" t="str">
        <v>Talc Chalk</v>
      </c>
      <c r="C93" t="str">
        <v>PCS</v>
      </c>
      <c r="D93">
        <v>4</v>
      </c>
      <c r="E93" s="12">
        <v>1</v>
      </c>
      <c r="F93" s="18">
        <v>0</v>
      </c>
      <c r="G93" s="12">
        <v>1</v>
      </c>
      <c r="H93" s="12">
        <v>4</v>
      </c>
      <c r="I93" s="12" t="str">
        <v>MATERIALS</v>
      </c>
      <c r="J93" s="12" t="str">
        <v/>
      </c>
    </row>
    <row r="94" spans="1:10" x14ac:dyDescent="0.25">
      <c r="A94" t="str">
        <v>MATERIALS</v>
      </c>
      <c r="B94" t="str">
        <v>TH Deck 762 Metal Roofing 0.35mm G28 TCT</v>
      </c>
      <c r="C94" t="str">
        <v>FT-RUN</v>
      </c>
      <c r="D94">
        <v>3.5</v>
      </c>
      <c r="E94" s="12">
        <v>6688</v>
      </c>
      <c r="F94" s="18">
        <v>0</v>
      </c>
      <c r="G94" s="12">
        <v>6688</v>
      </c>
      <c r="H94" s="12">
        <v>23408</v>
      </c>
      <c r="I94" s="12" t="str">
        <v>MATERIALS</v>
      </c>
      <c r="J94" s="12" t="str">
        <v/>
      </c>
    </row>
    <row r="95" spans="1:10" x14ac:dyDescent="0.25">
      <c r="A95" t="str">
        <v>MATERIALS</v>
      </c>
      <c r="B95" t="str">
        <v>TH Deck 762 Metal Roofing 0.47mm G26 TCT</v>
      </c>
      <c r="C95" t="str">
        <v>FT-RUN</v>
      </c>
      <c r="D95">
        <v>5.5</v>
      </c>
      <c r="E95" s="12">
        <v>1005.9000000000001</v>
      </c>
      <c r="F95" s="18">
        <v>0</v>
      </c>
      <c r="G95" s="12">
        <v>1006</v>
      </c>
      <c r="H95" s="12">
        <v>5533</v>
      </c>
      <c r="I95" s="12" t="str">
        <v>MATERIALS</v>
      </c>
      <c r="J95" s="12" t="str">
        <v/>
      </c>
    </row>
    <row r="96" spans="1:10" x14ac:dyDescent="0.25">
      <c r="A96" t="str">
        <v>MATERIALS</v>
      </c>
      <c r="B96" t="str">
        <v>Tile 300mm x 300mm</v>
      </c>
      <c r="C96" t="str">
        <v>PCS</v>
      </c>
      <c r="D96">
        <v>4.5</v>
      </c>
      <c r="E96" s="12">
        <v>273</v>
      </c>
      <c r="F96" s="18">
        <v>0</v>
      </c>
      <c r="G96" s="12">
        <v>273</v>
      </c>
      <c r="H96" s="12">
        <v>1228.5</v>
      </c>
      <c r="I96" s="12" t="str">
        <v>MATERIALS</v>
      </c>
      <c r="J96" s="12" t="str">
        <v/>
      </c>
    </row>
    <row r="97" spans="1:10" x14ac:dyDescent="0.25">
      <c r="A97" t="str">
        <v>MATERIALS</v>
      </c>
      <c r="B97" t="str">
        <v>Tile 300mm x 600mm</v>
      </c>
      <c r="C97" t="str">
        <v>PCS</v>
      </c>
      <c r="D97">
        <v>6.5</v>
      </c>
      <c r="E97" s="12">
        <v>166</v>
      </c>
      <c r="F97" s="18">
        <v>0</v>
      </c>
      <c r="G97" s="12">
        <v>166</v>
      </c>
      <c r="H97" s="12">
        <v>1079</v>
      </c>
      <c r="I97" s="12" t="str">
        <v>MATERIALS</v>
      </c>
      <c r="J97" s="12" t="str">
        <v/>
      </c>
    </row>
    <row r="98" spans="1:10" x14ac:dyDescent="0.25">
      <c r="A98" t="str">
        <v>MATERIALS</v>
      </c>
      <c r="B98" t="str">
        <v>Tile 600mm x 600mm</v>
      </c>
      <c r="C98" t="str">
        <v>PCS</v>
      </c>
      <c r="D98">
        <v>15</v>
      </c>
      <c r="E98" s="12">
        <v>84</v>
      </c>
      <c r="F98" s="18">
        <v>0</v>
      </c>
      <c r="G98" s="12">
        <v>84</v>
      </c>
      <c r="H98" s="12">
        <v>1260</v>
      </c>
      <c r="I98" s="12" t="str">
        <v>MATERIALS</v>
      </c>
      <c r="J98" s="12" t="str">
        <v/>
      </c>
    </row>
    <row r="99" spans="1:10" x14ac:dyDescent="0.25">
      <c r="A99" t="str">
        <v>MATERIALS</v>
      </c>
      <c r="B99" t="str">
        <v>Tile Adhesive Weber 99</v>
      </c>
      <c r="C99" t="str">
        <v>BAG</v>
      </c>
      <c r="D99">
        <v>25</v>
      </c>
      <c r="E99" s="12">
        <v>29</v>
      </c>
      <c r="F99" s="18">
        <v>0</v>
      </c>
      <c r="G99" s="12">
        <v>29</v>
      </c>
      <c r="H99" s="12">
        <v>725</v>
      </c>
      <c r="I99" s="12" t="str">
        <v>MATERIALS</v>
      </c>
      <c r="J99" s="12" t="str">
        <v/>
      </c>
    </row>
    <row r="100" spans="1:10" x14ac:dyDescent="0.25">
      <c r="A100" t="str">
        <v>MATERIALS</v>
      </c>
      <c r="B100" t="str">
        <v>Twins Shower Square 8"</v>
      </c>
      <c r="C100" t="str">
        <v>pc</v>
      </c>
      <c r="D100">
        <v>35</v>
      </c>
      <c r="E100" s="12">
        <v>1</v>
      </c>
      <c r="F100" s="18">
        <v>0</v>
      </c>
      <c r="G100" s="12">
        <v>1</v>
      </c>
      <c r="H100" s="12">
        <v>35</v>
      </c>
      <c r="I100" s="12" t="str">
        <v>MATERIALS</v>
      </c>
      <c r="J100" s="12" t="str">
        <v/>
      </c>
    </row>
    <row r="101" spans="1:10" x14ac:dyDescent="0.25">
      <c r="A101" t="str">
        <v>MATERIALS</v>
      </c>
      <c r="B101" t="str">
        <v>UPVC Pipe With SIRIM (2") x 5.8m</v>
      </c>
      <c r="C101" t="str">
        <v>PCS</v>
      </c>
      <c r="D101">
        <v>49</v>
      </c>
      <c r="E101" s="12">
        <v>3.1500000000000004</v>
      </c>
      <c r="F101" s="18">
        <v>0</v>
      </c>
      <c r="G101" s="12">
        <v>4</v>
      </c>
      <c r="H101" s="12">
        <v>196</v>
      </c>
      <c r="I101" s="12" t="str">
        <v>MATERIALS</v>
      </c>
      <c r="J101" s="12" t="str">
        <v/>
      </c>
    </row>
    <row r="102" spans="1:10" x14ac:dyDescent="0.25">
      <c r="A102" t="str">
        <v>MATERIALS</v>
      </c>
      <c r="B102" t="str">
        <v>UPVC Pipe With SIRIM (4") x 5.8m</v>
      </c>
      <c r="C102" t="str">
        <v>PCS</v>
      </c>
      <c r="D102">
        <v>91</v>
      </c>
      <c r="E102" s="12">
        <v>2.1</v>
      </c>
      <c r="F102" s="18">
        <v>0</v>
      </c>
      <c r="G102" s="12">
        <v>3</v>
      </c>
      <c r="H102" s="12">
        <v>273</v>
      </c>
      <c r="I102" s="12" t="str">
        <v>MATERIALS</v>
      </c>
      <c r="J102" s="12" t="str">
        <v/>
      </c>
    </row>
    <row r="103" spans="1:10" x14ac:dyDescent="0.25">
      <c r="A103" t="str">
        <v>MATERIALS</v>
      </c>
      <c r="B103" t="str">
        <v>Weatherflex Base A (White) 18L</v>
      </c>
      <c r="C103" t="str">
        <v>tong</v>
      </c>
      <c r="D103">
        <v>330</v>
      </c>
      <c r="E103" s="12">
        <v>2</v>
      </c>
      <c r="F103" s="18">
        <v>0</v>
      </c>
      <c r="G103" s="12">
        <v>2</v>
      </c>
      <c r="H103" s="12">
        <v>660</v>
      </c>
      <c r="I103" s="12" t="str">
        <v>MATERIALS</v>
      </c>
      <c r="J103" s="12" t="str">
        <v/>
      </c>
    </row>
    <row r="104" spans="1:10" x14ac:dyDescent="0.25">
      <c r="A104" t="str">
        <v>MATERIALS</v>
      </c>
      <c r="B104" t="str">
        <v>Weber Weberfill Fine Grout Coloured Grout For Narrow Tile Joint (3.5kg)</v>
      </c>
      <c r="C104" t="str">
        <v>BAG</v>
      </c>
      <c r="D104">
        <v>18</v>
      </c>
      <c r="E104" s="12">
        <v>12</v>
      </c>
      <c r="F104" s="18">
        <v>0</v>
      </c>
      <c r="G104" s="12">
        <v>12</v>
      </c>
      <c r="H104" s="12">
        <v>216</v>
      </c>
      <c r="I104" s="12" t="str">
        <v>MATERIALS</v>
      </c>
      <c r="J104" s="12" t="str">
        <v/>
      </c>
    </row>
    <row r="105" spans="1:10" x14ac:dyDescent="0.25">
      <c r="A105" t="str">
        <v>MATERIALS</v>
      </c>
      <c r="B105" t="str">
        <v>White Gloss Paint 5L</v>
      </c>
      <c r="C105" t="str">
        <v>TIN</v>
      </c>
      <c r="D105">
        <v>93.999999999999986</v>
      </c>
      <c r="E105" s="12">
        <v>3.1</v>
      </c>
      <c r="F105" s="18">
        <v>0</v>
      </c>
      <c r="G105" s="12">
        <v>4</v>
      </c>
      <c r="H105" s="12">
        <v>375.99999999999994</v>
      </c>
      <c r="I105" s="12" t="str">
        <v>MATERIALS</v>
      </c>
      <c r="J105" s="12" t="str">
        <v/>
      </c>
    </row>
    <row r="106" spans="1:10" x14ac:dyDescent="0.25">
      <c r="A106" t="str">
        <v>MATERIALS</v>
      </c>
      <c r="B106" t="str">
        <v>Yessy Tile Floor Trap</v>
      </c>
      <c r="C106" t="str">
        <v>PCS</v>
      </c>
      <c r="D106">
        <v>15</v>
      </c>
      <c r="E106" s="12">
        <v>1</v>
      </c>
      <c r="F106" s="18">
        <v>0</v>
      </c>
      <c r="G106" s="12">
        <v>1</v>
      </c>
      <c r="H106" s="12">
        <v>15</v>
      </c>
      <c r="I106" s="12" t="str">
        <v>MATERIALS</v>
      </c>
      <c r="J106" s="12" t="str">
        <v/>
      </c>
    </row>
    <row r="107" spans="1:10" x14ac:dyDescent="0.25">
      <c r="A107" t="str">
        <v>MATERIALS</v>
      </c>
      <c r="B107" t="str">
        <v>Yessy Tile Floor Trap</v>
      </c>
      <c r="C107" t="str">
        <v>pc</v>
      </c>
      <c r="D107">
        <v>15</v>
      </c>
      <c r="E107" s="12">
        <v>1</v>
      </c>
      <c r="F107" s="18">
        <v>0</v>
      </c>
      <c r="G107" s="12">
        <v>1</v>
      </c>
      <c r="H107" s="12">
        <v>15</v>
      </c>
      <c r="I107" s="12" t="str">
        <v>MATERIALS</v>
      </c>
      <c r="J107" s="12" t="str">
        <v/>
      </c>
    </row>
    <row r="108" spans="1:10" x14ac:dyDescent="0.25">
      <c r="A108" t="str">
        <v>MATERIALS</v>
      </c>
      <c r="B108" t="str">
        <v>Yessy Two-Way Hand Bidet</v>
      </c>
      <c r="C108" t="str">
        <v>pc</v>
      </c>
      <c r="D108">
        <v>60</v>
      </c>
      <c r="E108" s="12">
        <v>1</v>
      </c>
      <c r="F108" s="18">
        <v>0</v>
      </c>
      <c r="G108" s="12">
        <v>1</v>
      </c>
      <c r="H108" s="12">
        <v>60</v>
      </c>
      <c r="I108" s="12" t="str">
        <v>MATERIALS</v>
      </c>
      <c r="J108" s="12" t="str">
        <v/>
      </c>
    </row>
    <row r="109" spans="1:10" x14ac:dyDescent="0.25">
      <c r="A109" t="str">
        <v>MATERIALS</v>
      </c>
      <c r="B109" t="str">
        <v>YTL PCC Cement Castle 50kg Bag</v>
      </c>
      <c r="C109" t="str">
        <v>BAG</v>
      </c>
      <c r="D109">
        <v>24</v>
      </c>
      <c r="E109" s="12">
        <v>138.6</v>
      </c>
      <c r="F109" s="18">
        <v>0</v>
      </c>
      <c r="G109" s="12">
        <v>139</v>
      </c>
      <c r="H109" s="12">
        <v>3336</v>
      </c>
      <c r="I109" s="12" t="str">
        <v>MATERIALS</v>
      </c>
      <c r="J109" s="12" t="str">
        <v/>
      </c>
    </row>
    <row r="301" spans="5:19" s="28" customFormat="1" x14ac:dyDescent="0.25">
      <c r="E301" s="26"/>
      <c r="F301" s="27"/>
      <c r="G301" s="26"/>
      <c r="H301" s="26"/>
      <c r="I301" s="26"/>
      <c r="J301" s="26"/>
      <c r="K301" s="26"/>
      <c r="L301" s="26"/>
      <c r="M301" s="26"/>
      <c r="N301" s="27"/>
      <c r="O301" s="27"/>
      <c r="P301" s="26"/>
      <c r="Q301" s="26"/>
      <c r="R301" s="26"/>
      <c r="S301" s="2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B7E3-4328-4685-9AEE-C3EC3FFFD07A}">
  <sheetPr codeName="Sheet9"/>
  <dimension ref="A1:O10"/>
  <sheetViews>
    <sheetView tabSelected="1" zoomScale="75" zoomScaleNormal="75" workbookViewId="0">
      <pane ySplit="1" topLeftCell="A2" activePane="bottomLeft" state="frozen"/>
      <selection pane="bottomLeft" activeCell="C3" sqref="C3"/>
    </sheetView>
  </sheetViews>
  <sheetFormatPr defaultRowHeight="15" x14ac:dyDescent="0.25"/>
  <cols>
    <col min="1" max="1" width="6.7109375" style="12" customWidth="1"/>
    <col min="2" max="2" width="42.7109375" style="31" customWidth="1"/>
    <col min="3" max="5" width="10.7109375" style="12" customWidth="1"/>
    <col min="6" max="6" width="12.7109375" style="12" customWidth="1"/>
    <col min="7" max="7" width="20.7109375" style="31" customWidth="1"/>
    <col min="8" max="8" width="3.7109375" style="36" customWidth="1"/>
    <col min="9" max="9" width="6.7109375" style="12" customWidth="1"/>
    <col min="10" max="10" width="42.7109375" style="31" customWidth="1"/>
    <col min="11" max="12" width="10.7109375" style="12" customWidth="1"/>
    <col min="13" max="13" width="10.7109375" customWidth="1"/>
    <col min="14" max="14" width="12.7109375" customWidth="1"/>
    <col min="15" max="15" width="20.7109375" customWidth="1"/>
  </cols>
  <sheetData>
    <row r="1" spans="1:15" x14ac:dyDescent="0.25">
      <c r="B1" s="12"/>
      <c r="G1" s="12"/>
      <c r="J1" s="12"/>
    </row>
    <row r="2" spans="1:15" x14ac:dyDescent="0.25">
      <c r="B2" s="32" t="s">
        <v>35</v>
      </c>
      <c r="C2" s="32" t="s">
        <v>2209</v>
      </c>
      <c r="D2" s="32" t="s">
        <v>2216</v>
      </c>
      <c r="E2" s="32" t="s">
        <v>2217</v>
      </c>
      <c r="F2" s="32" t="s">
        <v>26</v>
      </c>
      <c r="G2" s="32" t="s">
        <v>2218</v>
      </c>
      <c r="J2" s="12"/>
    </row>
    <row r="3" spans="1:15" x14ac:dyDescent="0.25">
      <c r="B3" s="30" t="s">
        <v>2496</v>
      </c>
      <c r="C3" s="32" t="s">
        <v>2495</v>
      </c>
      <c r="D3" s="32" t="s">
        <v>2487</v>
      </c>
      <c r="E3" s="32">
        <v>6</v>
      </c>
      <c r="F3" s="32" t="s">
        <v>2488</v>
      </c>
      <c r="G3" s="32" t="s">
        <v>2488</v>
      </c>
      <c r="J3" s="12"/>
    </row>
    <row r="4" spans="1:15" x14ac:dyDescent="0.25">
      <c r="A4" s="33" t="s">
        <v>33</v>
      </c>
      <c r="B4" s="34" t="s">
        <v>3</v>
      </c>
      <c r="C4" s="33" t="s">
        <v>1</v>
      </c>
      <c r="D4" s="33" t="s">
        <v>2212</v>
      </c>
      <c r="E4" s="33" t="s">
        <v>32</v>
      </c>
      <c r="F4" s="33" t="s">
        <v>2213</v>
      </c>
      <c r="G4" s="34" t="s">
        <v>2214</v>
      </c>
      <c r="I4" s="33" t="s">
        <v>33</v>
      </c>
      <c r="J4" s="33" t="s">
        <v>3</v>
      </c>
      <c r="K4" s="33" t="s">
        <v>1</v>
      </c>
      <c r="L4" s="33" t="s">
        <v>2212</v>
      </c>
      <c r="M4" s="35" t="s">
        <v>32</v>
      </c>
      <c r="N4" s="35" t="s">
        <v>2213</v>
      </c>
      <c r="O4" s="35" t="s">
        <v>2214</v>
      </c>
    </row>
    <row r="5" spans="1:15" x14ac:dyDescent="0.25">
      <c r="A5" s="12">
        <v>1</v>
      </c>
      <c r="B5" s="31" t="s">
        <v>2397</v>
      </c>
      <c r="C5" s="12" t="s">
        <v>8</v>
      </c>
      <c r="D5" s="12">
        <v>23500</v>
      </c>
      <c r="E5" s="12">
        <v>0.27</v>
      </c>
      <c r="F5" s="12">
        <v>6345</v>
      </c>
      <c r="G5" s="31" t="s">
        <v>2215</v>
      </c>
      <c r="I5" s="12">
        <v>1</v>
      </c>
      <c r="J5" s="31" t="s">
        <v>2397</v>
      </c>
      <c r="K5" s="12" t="s">
        <v>8</v>
      </c>
      <c r="L5" s="12">
        <v>0</v>
      </c>
      <c r="M5">
        <v>0.27</v>
      </c>
      <c r="N5">
        <v>0</v>
      </c>
      <c r="O5" t="s">
        <v>2215</v>
      </c>
    </row>
    <row r="6" spans="1:15" x14ac:dyDescent="0.25">
      <c r="A6" s="12">
        <v>2</v>
      </c>
      <c r="B6" s="31" t="s">
        <v>2005</v>
      </c>
      <c r="C6" s="12" t="s">
        <v>9</v>
      </c>
      <c r="D6" s="12">
        <v>138.6</v>
      </c>
      <c r="E6" s="12">
        <v>24</v>
      </c>
      <c r="F6" s="12">
        <v>3326.3999999999996</v>
      </c>
      <c r="G6" s="31" t="s">
        <v>2492</v>
      </c>
      <c r="I6" s="12">
        <v>2</v>
      </c>
      <c r="J6" s="31" t="s">
        <v>2005</v>
      </c>
      <c r="K6" s="12" t="s">
        <v>9</v>
      </c>
      <c r="L6" s="12">
        <v>139</v>
      </c>
      <c r="M6">
        <v>24</v>
      </c>
      <c r="N6">
        <v>3336</v>
      </c>
      <c r="O6" t="s">
        <v>2492</v>
      </c>
    </row>
    <row r="7" spans="1:15" x14ac:dyDescent="0.25">
      <c r="A7" s="12">
        <v>3</v>
      </c>
      <c r="B7" s="31" t="s">
        <v>1290</v>
      </c>
      <c r="C7" s="12" t="s">
        <v>595</v>
      </c>
      <c r="D7" s="12">
        <v>5.25</v>
      </c>
      <c r="E7" s="12">
        <v>13</v>
      </c>
      <c r="F7" s="12">
        <v>68.25</v>
      </c>
      <c r="G7" s="31" t="s">
        <v>2490</v>
      </c>
      <c r="I7" s="12">
        <v>3</v>
      </c>
      <c r="J7" s="31" t="s">
        <v>1290</v>
      </c>
      <c r="K7" s="12" t="s">
        <v>595</v>
      </c>
      <c r="L7" s="12">
        <v>6</v>
      </c>
      <c r="M7">
        <v>13</v>
      </c>
      <c r="N7">
        <v>78</v>
      </c>
      <c r="O7" t="s">
        <v>2490</v>
      </c>
    </row>
    <row r="8" spans="1:15" x14ac:dyDescent="0.25">
      <c r="A8" s="12">
        <v>4</v>
      </c>
      <c r="B8" s="31" t="s">
        <v>2399</v>
      </c>
      <c r="C8" s="12" t="s">
        <v>9</v>
      </c>
      <c r="D8" s="12">
        <v>4</v>
      </c>
      <c r="E8" s="12">
        <v>24</v>
      </c>
      <c r="F8" s="12">
        <v>96</v>
      </c>
      <c r="G8" s="31" t="s">
        <v>2489</v>
      </c>
      <c r="I8" s="12">
        <v>4</v>
      </c>
      <c r="J8" s="31" t="s">
        <v>2399</v>
      </c>
      <c r="K8" s="12" t="s">
        <v>9</v>
      </c>
      <c r="L8" s="12">
        <v>4</v>
      </c>
      <c r="M8">
        <v>24</v>
      </c>
      <c r="N8">
        <v>96</v>
      </c>
      <c r="O8" t="s">
        <v>2489</v>
      </c>
    </row>
    <row r="9" spans="1:15" x14ac:dyDescent="0.25">
      <c r="A9" s="12">
        <v>5</v>
      </c>
      <c r="B9" s="31" t="s">
        <v>890</v>
      </c>
      <c r="C9" s="12" t="s">
        <v>8</v>
      </c>
      <c r="D9" s="12">
        <v>1</v>
      </c>
      <c r="E9" s="12">
        <v>1</v>
      </c>
      <c r="F9" s="12">
        <v>1</v>
      </c>
      <c r="G9" s="31" t="s">
        <v>2491</v>
      </c>
      <c r="I9" s="12">
        <v>5</v>
      </c>
      <c r="J9" s="31" t="s">
        <v>890</v>
      </c>
      <c r="K9" s="12" t="s">
        <v>8</v>
      </c>
      <c r="L9" s="12">
        <v>1</v>
      </c>
      <c r="M9">
        <v>1</v>
      </c>
      <c r="N9">
        <v>1</v>
      </c>
      <c r="O9" t="s">
        <v>2491</v>
      </c>
    </row>
    <row r="10" spans="1:15" x14ac:dyDescent="0.25">
      <c r="A10" s="12">
        <v>6</v>
      </c>
      <c r="B10" s="31" t="s">
        <v>1385</v>
      </c>
      <c r="C10" s="12" t="s">
        <v>494</v>
      </c>
      <c r="D10" s="12">
        <v>1</v>
      </c>
      <c r="E10" s="12">
        <v>450</v>
      </c>
      <c r="F10" s="12">
        <v>450</v>
      </c>
      <c r="G10" s="31" t="s">
        <v>2493</v>
      </c>
      <c r="I10" s="12">
        <v>6</v>
      </c>
      <c r="J10" s="31" t="s">
        <v>1385</v>
      </c>
      <c r="K10" s="12" t="s">
        <v>494</v>
      </c>
      <c r="L10" s="12">
        <v>1</v>
      </c>
      <c r="M10">
        <v>450</v>
      </c>
      <c r="N10">
        <v>450</v>
      </c>
      <c r="O10" t="s">
        <v>2493</v>
      </c>
    </row>
  </sheetData>
  <sortState xmlns:xlrd2="http://schemas.microsoft.com/office/spreadsheetml/2017/richdata2" ref="A5:O10">
    <sortCondition descending="1" ref="D5"/>
  </sortState>
  <dataValidations count="4">
    <dataValidation type="list" allowBlank="1" showInputMessage="1" showErrorMessage="1" sqref="C3" xr:uid="{809F66B3-1250-405E-8F73-E4E5FB187BD2}">
      <formula1>"Description,Qty High To Low,Qty Low To High,Rate High To Low,Rate Low To High,Total High To Low,Total Low To High"</formula1>
    </dataValidation>
    <dataValidation type="list" allowBlank="1" showInputMessage="1" showErrorMessage="1" sqref="D3" xr:uid="{8F24A7B5-1592-4C76-9EB1-94565CD863D3}">
      <formula1>"Check,Order"</formula1>
    </dataValidation>
    <dataValidation type="list" allowBlank="1" showInputMessage="1" showErrorMessage="1" sqref="F3" xr:uid="{0187D477-EA6F-4B77-9900-2D6136507F9E}">
      <formula1>"All,Materials,Labour,Rental / Service"</formula1>
    </dataValidation>
    <dataValidation type="list" allowBlank="1" showInputMessage="1" showErrorMessage="1" sqref="G3" xr:uid="{06AB167F-11D8-4E0B-A1BE-56A511CD3FE3}">
      <formula1>"All,Decimal,Whole,Less Than 1,1 And Above"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zoomScale="75" zoomScaleNormal="75" workbookViewId="0">
      <pane ySplit="40" topLeftCell="A41" activePane="bottomLeft" state="frozen"/>
      <selection pane="bottomLeft" activeCell="A12" sqref="A12"/>
    </sheetView>
  </sheetViews>
  <sheetFormatPr defaultColWidth="8.7109375" defaultRowHeight="15" x14ac:dyDescent="0.25"/>
  <cols>
    <col min="1" max="1" width="8" bestFit="1" customWidth="1"/>
    <col min="2" max="2" width="8.42578125" style="20" bestFit="1" customWidth="1"/>
    <col min="3" max="4" width="10.42578125" bestFit="1" customWidth="1"/>
    <col min="5" max="5" width="9.28515625" bestFit="1" customWidth="1"/>
    <col min="6" max="7" width="12.7109375" customWidth="1"/>
    <col min="8" max="8" width="1.7109375" style="1" customWidth="1"/>
    <col min="9" max="9" width="9.85546875" bestFit="1" customWidth="1"/>
    <col min="10" max="10" width="10.7109375" customWidth="1"/>
    <col min="11" max="11" width="7.5703125" bestFit="1" customWidth="1"/>
    <col min="12" max="12" width="9.85546875" style="9" bestFit="1" customWidth="1"/>
    <col min="13" max="13" width="9.7109375" style="9" customWidth="1"/>
    <col min="14" max="14" width="8.7109375" style="9" customWidth="1"/>
    <col min="15" max="15" width="10.7109375" style="9" customWidth="1"/>
    <col min="16" max="16" width="6.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9.7109375" style="9" customWidth="1"/>
    <col min="27" max="27" width="6.7109375" style="9" customWidth="1"/>
    <col min="28" max="29" width="10.42578125" bestFit="1" customWidth="1"/>
    <col min="30" max="30" width="1.7109375" style="1" customWidth="1"/>
    <col min="38" max="38" width="6.7109375" customWidth="1"/>
    <col min="40" max="40" width="9.28515625" bestFit="1" customWidth="1"/>
  </cols>
  <sheetData>
    <row r="1" spans="1:40" x14ac:dyDescent="0.25">
      <c r="A1" s="13"/>
      <c r="B1" s="24"/>
      <c r="C1" s="14" cm="1">
        <f t="array" aca="1" ref="C1" ca="1">_xlfn.LET(_xlpm.v,IFERROR(--C$3:C$49,0),IF(SUMPRODUCT(--(_xlpm.v&lt;&gt;0))=0,"",SUM(_xlpm.v)))</f>
        <v>84977.578500000003</v>
      </c>
      <c r="D1" s="14" cm="1">
        <f t="array" aca="1" ref="D1" ca="1">_xlfn.LET(_xlpm.v,IFERROR(--D$3:D$49,0),IF(SUMPRODUCT(--(_xlpm.v&lt;&gt;0))=0,"",SUM(_xlpm.v)))</f>
        <v>39690</v>
      </c>
      <c r="E1" s="14" cm="1">
        <f t="array" aca="1" ref="E1" ca="1">_xlfn.LET(_xlpm.v,IFERROR(--E$3:E$49,0),IF(SUMPRODUCT(--(_xlpm.v&lt;&gt;0))=0,"",SUM(_xlpm.v)))</f>
        <v>5600</v>
      </c>
      <c r="F1" s="14" cm="1">
        <f t="array" aca="1" ref="F1" ca="1">_xlfn.LET(_xlpm.v,IFERROR(--F$3:F$49,0),IF(SUMPRODUCT(--(_xlpm.v&lt;&gt;0))=0,"",SUM(_xlpm.v)))</f>
        <v>130267.5785</v>
      </c>
      <c r="G1" s="14" cm="1">
        <f t="array" aca="1" ref="G1" ca="1">_xlfn.LET(_xlpm.v,IFERROR(--G$3:G$49,0),IF(SUMPRODUCT(--(_xlpm.v&lt;&gt;0))=0,"",SUM(_xlpm.v)))</f>
        <v>130267.5785</v>
      </c>
      <c r="I1" t="s">
        <v>25</v>
      </c>
      <c r="L1"/>
      <c r="M1"/>
      <c r="N1"/>
      <c r="O1"/>
      <c r="P1"/>
      <c r="Q1" s="22">
        <f>SUMIFS(SummaryHelper!$H$2:$H$5000,SummaryHelper!$A$2:$A$5000,"MATERIALS")</f>
        <v>79654.494500000001</v>
      </c>
      <c r="R1" s="10">
        <f>SUM(R3:R300)</f>
        <v>76577.669999999984</v>
      </c>
      <c r="S1" s="23"/>
      <c r="U1" s="11"/>
      <c r="V1" s="11"/>
      <c r="W1" s="11"/>
      <c r="X1" s="11"/>
      <c r="Y1" s="11"/>
      <c r="Z1" s="11"/>
      <c r="AA1" s="11"/>
      <c r="AB1" s="22">
        <f>SUMIFS(SummaryHelper!$H$2:$H$5000,SummaryHelper!$A$2:$A$5000,"LABOUR")</f>
        <v>1170</v>
      </c>
      <c r="AC1" s="10">
        <f>SUM(AC3:AC300)</f>
        <v>35595</v>
      </c>
      <c r="AM1" s="21">
        <f>SUMIFS(SummaryHelper!$H$2:$H$5000,SummaryHelper!$A$2:$A$5000,"RENTAL / SERVICE")</f>
        <v>3150</v>
      </c>
      <c r="AN1" s="10">
        <f>SUM(AN3:AN300)</f>
        <v>3150</v>
      </c>
    </row>
    <row r="2" spans="1:40" x14ac:dyDescent="0.25">
      <c r="A2" s="12" t="s">
        <v>18</v>
      </c>
      <c r="B2" s="12" t="s">
        <v>6</v>
      </c>
      <c r="C2" s="15" t="s">
        <v>2206</v>
      </c>
      <c r="D2" s="15" t="s">
        <v>2207</v>
      </c>
      <c r="E2" s="15" t="s">
        <v>2208</v>
      </c>
      <c r="F2" s="15" t="s">
        <v>21</v>
      </c>
      <c r="G2" s="15" t="s">
        <v>22</v>
      </c>
      <c r="I2" t="s">
        <v>26</v>
      </c>
      <c r="J2" t="s">
        <v>27</v>
      </c>
      <c r="K2" t="s">
        <v>1</v>
      </c>
      <c r="L2" s="9" t="s">
        <v>17</v>
      </c>
      <c r="M2" s="9" t="s">
        <v>23</v>
      </c>
      <c r="N2" s="9" t="s">
        <v>4</v>
      </c>
      <c r="O2" s="9" t="s">
        <v>24</v>
      </c>
      <c r="P2" s="9" t="s">
        <v>20</v>
      </c>
      <c r="Q2" s="9" t="s">
        <v>2</v>
      </c>
      <c r="R2" s="9" t="s">
        <v>19</v>
      </c>
      <c r="T2" t="s">
        <v>26</v>
      </c>
      <c r="U2" t="s">
        <v>27</v>
      </c>
      <c r="V2" t="s">
        <v>1</v>
      </c>
      <c r="W2" t="s">
        <v>17</v>
      </c>
      <c r="X2" t="s">
        <v>23</v>
      </c>
      <c r="Y2" t="s">
        <v>4</v>
      </c>
      <c r="Z2" t="s">
        <v>24</v>
      </c>
      <c r="AA2" t="s">
        <v>20</v>
      </c>
      <c r="AB2" t="s">
        <v>2</v>
      </c>
      <c r="AC2" t="s">
        <v>19</v>
      </c>
      <c r="AE2" t="s">
        <v>26</v>
      </c>
      <c r="AF2" t="s">
        <v>27</v>
      </c>
      <c r="AG2" t="s">
        <v>1</v>
      </c>
      <c r="AH2" t="s">
        <v>17</v>
      </c>
      <c r="AI2" t="s">
        <v>23</v>
      </c>
      <c r="AJ2" t="s">
        <v>4</v>
      </c>
      <c r="AK2" t="s">
        <v>24</v>
      </c>
      <c r="AL2" t="s">
        <v>20</v>
      </c>
      <c r="AM2" t="s">
        <v>2</v>
      </c>
      <c r="AN2" t="s">
        <v>19</v>
      </c>
    </row>
    <row r="3" spans="1:40" x14ac:dyDescent="0.25">
      <c r="A3" s="12">
        <v>1</v>
      </c>
      <c r="B3" s="12" t="str">
        <f>IF($A3&lt;&gt;1,"","S"&amp;TEXT(ROW()-2,"00"))</f>
        <v>S01</v>
      </c>
      <c r="C3" s="9">
        <f ca="1">IF($A3&lt;&gt;1,"",IF($B3="","",IFERROR(SUMIFS(INDIRECT("'"&amp;$B3&amp;"'!N3:N300"),INDIRECT("'"&amp;$B3&amp;"'!F3:F300"),"&lt;&gt;",INDIRECT("'"&amp;$B3&amp;"'!H3:H300"),"&lt;&gt;"),0)))</f>
        <v>149</v>
      </c>
      <c r="D3" s="9">
        <f ca="1">IF($A3&lt;&gt;1,"",IF($B3="","",IFERROR(SUMIFS(INDIRECT("'"&amp;$B3&amp;"'!Y3:Y300"),INDIRECT("'"&amp;$B3&amp;"'!Q3:Q300"),"&lt;&gt;",INDIRECT("'"&amp;$B3&amp;"'!S3:S300"),"&lt;&gt;"),0)))</f>
        <v>315</v>
      </c>
      <c r="E3" s="9">
        <f ca="1">IF($A3&lt;&gt;1,"",IF($B3="","",IFERROR(SUMIFS(INDIRECT("'"&amp;$B3&amp;"'!AJ3:AJ300"),INDIRECT("'"&amp;$B3&amp;"'!AB3:AB300"),"&lt;&gt;",INDIRECT("'"&amp;$B3&amp;"'!AD3:AD300"),"&lt;&gt;"),0)))</f>
        <v>3800</v>
      </c>
      <c r="F3" s="9">
        <f ca="1">IF($A3&lt;&gt;1,"",$C3+$D3+$E3)</f>
        <v>4264</v>
      </c>
      <c r="G3" s="9">
        <f ca="1">IF($A3=1,$F3,"")</f>
        <v>4264</v>
      </c>
      <c r="I3" t="str" cm="1">
        <f t="array" ref="I3:K109">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f>IF($J3="","",SUMIFS(SummaryHelper!$G$2:$G$5000,SummaryHelper!$A$2:$A$5000,$I3,SummaryHelper!$B$2:$B$5000,$J3,SummaryHelper!$C$2:$C$5000,$K3))</f>
        <v>8.4</v>
      </c>
      <c r="Q3" s="9">
        <f>IF($J3="","",IF($P3="",ROUNDUP($O3,0),$P3))</f>
        <v>9</v>
      </c>
      <c r="R3" s="9">
        <f>IF($J3="","",$Q3*$L3)</f>
        <v>405</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52</v>
      </c>
      <c r="Y3" s="9">
        <f>IF($U3="","",SUMIFS(SummaryHelper!$F$2:$F$5000,SummaryHelper!$A$2:$A$5000,$T3,SummaryHelper!$B$2:$B$5000,$U3,SummaryHelper!$C$2:$C$5000,$V3))</f>
        <v>0</v>
      </c>
      <c r="Z3" s="9">
        <f>IF($U3="","",SUMIFS([1]SummaryHelper!$G$2:$G$5000,[1]SummaryHelper!$A$2:$A$5000,$T3,[1]SummaryHelper!$B$2:$B$5000,$U3,[1]SummaryHelper!$C$2:$C$5000,$V3))</f>
        <v>1582</v>
      </c>
      <c r="AB3" s="9">
        <f>IF($U3="","",IF($AA3="",$Z3,$AA3))</f>
        <v>1582</v>
      </c>
      <c r="AC3" s="9">
        <f>IF($U3="","",$AB3*$W3)</f>
        <v>35595</v>
      </c>
      <c r="AE3" t="str" cm="1">
        <f t="array" ref="AE3:AG4">IFERROR(_xlfn._xlws.SORT(_xlfn.UNIQUE(_xlfn._xlws.FILTER(CHOOSE({1,2,3},SummaryHelper!$A$2:$A$5000,SummaryHelper!$B$2:$B$5000,SummaryHelper!$C$2:$C$5000),(SummaryHelper!$A$2:$A$5000="RENTAL / SERVICE")*(SummaryHelper!$B$2:$B$5000&lt;&gt;""),""))),"")</f>
        <v>RENTAL / SERVICE</v>
      </c>
      <c r="AF3" t="str">
        <v>Cement Mixer Rental - Month 2 Onwards (Per Month)</v>
      </c>
      <c r="AG3" t="str">
        <v>MONTH</v>
      </c>
      <c r="AH3">
        <f>IF($AF3="","",IFERROR(SUMIFS(SummaryHelper!$H$2:$H$5000,SummaryHelper!$A$2:$A$5000,$AE3,SummaryHelper!$B$2:$B$5000,$AF3,SummaryHelper!$C$2:$C$5000,$AG3)/SUMIFS(SummaryHelper!$G$2:$G$5000,SummaryHelper!$A$2:$A$5000,$AE3,SummaryHelper!$B$2:$B$5000,$AF3,SummaryHelper!$C$2:$C$5000,$AG3),""))</f>
        <v>450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450</v>
      </c>
    </row>
    <row r="4" spans="1:40" x14ac:dyDescent="0.25">
      <c r="A4" s="12">
        <v>1</v>
      </c>
      <c r="B4" s="12" t="str">
        <f t="shared" ref="B4:B67" si="0">IF($A4&lt;&gt;1,"","S"&amp;TEXT(ROW()-2,"00"))</f>
        <v>S02</v>
      </c>
      <c r="C4" s="9">
        <f t="shared" ref="C4:C67" ca="1" si="1">IF($A4&lt;&gt;1,"",IF($B4="","",IFERROR(SUMIFS(INDIRECT("'"&amp;$B4&amp;"'!N3:N300"),INDIRECT("'"&amp;$B4&amp;"'!F3:F300"),"&lt;&gt;",INDIRECT("'"&amp;$B4&amp;"'!H3:H300"),"&lt;&gt;"),0)))</f>
        <v>0</v>
      </c>
      <c r="D4" s="9">
        <f t="shared" ref="D4:D67" ca="1" si="2">IF($A4&lt;&gt;1,"",IF($B4="","",IFERROR(SUMIFS(INDIRECT("'"&amp;$B4&amp;"'!Y3:Y300"),INDIRECT("'"&amp;$B4&amp;"'!Q3:Q300"),"&lt;&gt;",INDIRECT("'"&amp;$B4&amp;"'!S3:S300"),"&lt;&gt;"),0)))</f>
        <v>0</v>
      </c>
      <c r="E4" s="9">
        <f t="shared" ref="E4:E67" ca="1" si="3">IF($A4&lt;&gt;1,"",IF($B4="","",IFERROR(SUMIFS(INDIRECT("'"&amp;$B4&amp;"'!AJ3:AJ300"),INDIRECT("'"&amp;$B4&amp;"'!AB3:AB300"),"&lt;&gt;",INDIRECT("'"&amp;$B4&amp;"'!AD3:AD300"),"&lt;&gt;"),0)))</f>
        <v>0</v>
      </c>
      <c r="F4" s="9">
        <f t="shared" ref="F4:F67" ca="1" si="4">IF($A4&lt;&gt;1,"",$C4+$D4+$E4)</f>
        <v>0</v>
      </c>
      <c r="G4" s="9">
        <f t="shared" ref="G4:G67" ca="1" si="5">IF($A4=1,$F4,"")</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IF($U4="","",SUMIFS([1]SummaryHelper!$G$2:$G$5000,[1]SummaryHelper!$A$2:$A$5000,$T4,[1]SummaryHelper!$B$2:$B$5000,$U4,[1]SummaryHelper!$C$2:$C$5000,$V4))</f>
        <v/>
      </c>
      <c r="AB4" s="9" t="str">
        <f t="shared" ref="AB4:AB67" si="8">IF($U4="","",IF($AA4="",$Z4,$AA4))</f>
        <v/>
      </c>
      <c r="AC4" s="9" t="str">
        <f t="shared" ref="AC4:AC67" si="9">IF($U4="","",$AB4*$W4)</f>
        <v/>
      </c>
      <c r="AE4" t="str">
        <v>RENTAL / SERVICE</v>
      </c>
      <c r="AF4" t="str">
        <v>Scaffolding Bay Set (Used) 1.7m(H) x 0.9m(W) incl 1 Platform (Per Month). Deposit RM195/set refundable.</v>
      </c>
      <c r="AG4" t="str">
        <v>SET</v>
      </c>
      <c r="AH4">
        <f>IF($AF4="","",IFERROR(SUMIFS(SummaryHelper!$H$2:$H$5000,SummaryHelper!$A$2:$A$5000,$AE4,SummaryHelper!$B$2:$B$5000,$AF4,SummaryHelper!$C$2:$C$5000,$AG4)/SUMIFS(SummaryHelper!$G$2:$G$5000,SummaryHelper!$A$2:$A$5000,$AE4,SummaryHelper!$B$2:$B$5000,$AF4,SummaryHelper!$C$2:$C$5000,$AG4),""))</f>
        <v>45</v>
      </c>
      <c r="AI4">
        <f>IF($AF4="","",SUMIFS(SummaryHelper!$E$2:$E$5000,SummaryHelper!$A$2:$A$5000,$AE4,SummaryHelper!$B$2:$B$5000,$AF4,SummaryHelper!$C$2:$C$5000,$AG4))</f>
        <v>60</v>
      </c>
      <c r="AJ4">
        <f>IF($AF4="","",SUMIFS(SummaryHelper!$F$2:$F$5000,SummaryHelper!$A$2:$A$5000,$AE4,SummaryHelper!$B$2:$B$5000,$AF4,SummaryHelper!$C$2:$C$5000,$AG4))</f>
        <v>0</v>
      </c>
      <c r="AK4">
        <f>IF($AF4="","",SUMIFS(SummaryHelper!$G$2:$G$5000,SummaryHelper!$A$2:$A$5000,$AE4,SummaryHelper!$B$2:$B$5000,$AF4,SummaryHelper!$C$2:$C$5000,$AG4))</f>
        <v>60</v>
      </c>
      <c r="AM4">
        <f t="shared" ref="AM4:AM67" si="10">IF($AF4="","",IF($AL4="",$AK4,$AL4))</f>
        <v>60</v>
      </c>
      <c r="AN4">
        <f t="shared" ref="AN4:AN67" si="11">IF($AF4="","",$AM4*$AH4)</f>
        <v>2700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IF($U5="","",SUMIFS([1]SummaryHelper!$G$2:$G$5000,[1]SummaryHelper!$A$2:$A$5000,$T5,[1]SummaryHelper!$B$2:$B$5000,$U5,[1]SummaryHelper!$C$2:$C$5000,$V5))</f>
        <v/>
      </c>
      <c r="AB5" s="9" t="str">
        <f t="shared" si="8"/>
        <v/>
      </c>
      <c r="AC5" s="9" t="str">
        <f t="shared" si="9"/>
        <v/>
      </c>
      <c r="AH5" t="str">
        <f>IF($AF5="","",IFERROR(SUMIFS(SummaryHelper!$H$2:$H$5000,SummaryHelper!$A$2:$A$5000,$AE5,SummaryHelper!$B$2:$B$5000,$AF5,SummaryHelper!$C$2:$C$5000,$AG5)/SUMIFS(SummaryHelper!$G$2:$G$5000,SummaryHelper!$A$2:$A$5000,$AE5,SummaryHelper!$B$2:$B$5000,$AF5,SummaryHelper!$C$2:$C$5000,$AG5),""))</f>
        <v/>
      </c>
      <c r="AI5" t="str">
        <f>IF($AF5="","",SUMIFS(SummaryHelper!$E$2:$E$5000,SummaryHelper!$A$2:$A$5000,$AE5,SummaryHelper!$B$2:$B$5000,$AF5,SummaryHelper!$C$2:$C$5000,$AG5))</f>
        <v/>
      </c>
      <c r="AJ5" t="str">
        <f>IF($AF5="","",SUMIFS(SummaryHelper!$F$2:$F$5000,SummaryHelper!$A$2:$A$5000,$AE5,SummaryHelper!$B$2:$B$5000,$AF5,SummaryHelper!$C$2:$C$5000,$AG5))</f>
        <v/>
      </c>
      <c r="AK5" t="str">
        <f>IF($AF5="","",SUMIFS(SummaryHelper!$G$2:$G$5000,SummaryHelper!$A$2:$A$5000,$AE5,SummaryHelper!$B$2:$B$5000,$AF5,SummaryHelper!$C$2:$C$5000,$AG5))</f>
        <v/>
      </c>
      <c r="AM5" t="str">
        <f t="shared" si="10"/>
        <v/>
      </c>
      <c r="AN5" t="str">
        <f t="shared" si="11"/>
        <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IF($U6="","",SUMIFS([1]SummaryHelper!$G$2:$G$5000,[1]SummaryHelper!$A$2:$A$5000,$T6,[1]SummaryHelper!$B$2:$B$5000,$U6,[1]SummaryHelper!$C$2:$C$5000,$V6))</f>
        <v/>
      </c>
      <c r="AB6" s="9" t="str">
        <f t="shared" si="8"/>
        <v/>
      </c>
      <c r="AC6" s="9" t="str">
        <f t="shared" si="9"/>
        <v/>
      </c>
      <c r="AH6" t="str">
        <f>IF($AF6="","",IFERROR(SUMIFS(SummaryHelper!$H$2:$H$5000,SummaryHelper!$A$2:$A$5000,$AE6,SummaryHelper!$B$2:$B$5000,$AF6,SummaryHelper!$C$2:$C$5000,$AG6)/SUMIFS(SummaryHelper!$G$2:$G$5000,SummaryHelper!$A$2:$A$5000,$AE6,SummaryHelper!$B$2:$B$5000,$AF6,SummaryHelper!$C$2:$C$5000,$AG6),""))</f>
        <v/>
      </c>
      <c r="AI6" t="str">
        <f>IF($AF6="","",SUMIFS(SummaryHelper!$E$2:$E$5000,SummaryHelper!$A$2:$A$5000,$AE6,SummaryHelper!$B$2:$B$5000,$AF6,SummaryHelper!$C$2:$C$5000,$AG6))</f>
        <v/>
      </c>
      <c r="AJ6" t="str">
        <f>IF($AF6="","",SUMIFS(SummaryHelper!$F$2:$F$5000,SummaryHelper!$A$2:$A$5000,$AE6,SummaryHelper!$B$2:$B$5000,$AF6,SummaryHelper!$C$2:$C$5000,$AG6))</f>
        <v/>
      </c>
      <c r="AK6" t="str">
        <f>IF($AF6="","",SUMIFS(SummaryHelper!$G$2:$G$5000,SummaryHelper!$A$2:$A$5000,$AE6,SummaryHelper!$B$2:$B$5000,$AF6,SummaryHelper!$C$2:$C$5000,$AG6))</f>
        <v/>
      </c>
      <c r="AM6" t="str">
        <f t="shared" si="10"/>
        <v/>
      </c>
      <c r="AN6" t="str">
        <f t="shared" si="11"/>
        <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3/4" Aggregate (10-Wheel Truck)</v>
      </c>
      <c r="K7" t="str">
        <v>TRIP</v>
      </c>
      <c r="L7" s="9">
        <f>IF($J7="","",IFERROR(SUMIFS(SummaryHelper!$H$2:$H$5000,SummaryHelper!$A$2:$A$5000,$I7,SummaryHelper!$B$2:$B$5000,$J7,SummaryHelper!$C$2:$C$5000,$K7)/SUMIFS(SummaryHelper!$G$2:$G$5000,SummaryHelper!$A$2:$A$5000,$I7,SummaryHelper!$B$2:$B$5000,$J7,SummaryHelper!$C$2:$C$5000,$K7),""))</f>
        <v>830.00000000000011</v>
      </c>
      <c r="M7" s="9">
        <f>IF($J7="","",SUMIFS(SummaryHelper!$E$2:$E$5000,SummaryHelper!$A$2:$A$5000,$I7,SummaryHelper!$B$2:$B$5000,$J7,SummaryHelper!$C$2:$C$5000,$K7))</f>
        <v>1.69</v>
      </c>
      <c r="N7" s="9">
        <f>IF($J7="","",SUMIFS(SummaryHelper!$F$2:$F$5000,SummaryHelper!$A$2:$A$5000,$I7,SummaryHelper!$B$2:$B$5000,$J7,SummaryHelper!$C$2:$C$5000,$K7))</f>
        <v>0.01</v>
      </c>
      <c r="O7" s="9">
        <f>IF($J7="","",SUMIFS(SummaryHelper!$G$2:$G$5000,SummaryHelper!$A$2:$A$5000,$I7,SummaryHelper!$B$2:$B$5000,$J7,SummaryHelper!$C$2:$C$5000,$K7))</f>
        <v>1.6968999999999999</v>
      </c>
      <c r="Q7" s="9">
        <f t="shared" si="6"/>
        <v>2</v>
      </c>
      <c r="R7" s="9">
        <f t="shared" si="7"/>
        <v>1660.0000000000002</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IF($U7="","",SUMIFS([1]SummaryHelper!$G$2:$G$5000,[1]SummaryHelper!$A$2:$A$5000,$T7,[1]SummaryHelper!$B$2:$B$5000,$U7,[1]SummaryHelper!$C$2:$C$5000,$V7))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36inW x 84inH 1 Panel Grill Swing Kitchen/back door</v>
      </c>
      <c r="K8" t="str">
        <v>SET</v>
      </c>
      <c r="L8" s="9">
        <f>IF($J8="","",IFERROR(SUMIFS(SummaryHelper!$H$2:$H$5000,SummaryHelper!$A$2:$A$5000,$I8,SummaryHelper!$B$2:$B$5000,$J8,SummaryHelper!$C$2:$C$5000,$K8)/SUMIFS(SummaryHelper!$G$2:$G$5000,SummaryHelper!$A$2:$A$5000,$I8,SummaryHelper!$B$2:$B$5000,$J8,SummaryHelper!$C$2:$C$5000,$K8),""))</f>
        <v>800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800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IF($U8="","",SUMIFS([1]SummaryHelper!$G$2:$G$5000,[1]SummaryHelper!$A$2:$A$5000,$T8,[1]SummaryHelper!$B$2:$B$5000,$U8,[1]SummaryHelper!$C$2:$C$5000,$V8))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4" Dia Outlet</v>
      </c>
      <c r="K9" t="str">
        <v>PCS</v>
      </c>
      <c r="L9" s="9">
        <f>IF($J9="","",IFERROR(SUMIFS(SummaryHelper!$H$2:$H$5000,SummaryHelper!$A$2:$A$5000,$I9,SummaryHelper!$B$2:$B$5000,$J9,SummaryHelper!$C$2:$C$5000,$K9)/SUMIFS(SummaryHelper!$G$2:$G$5000,SummaryHelper!$A$2:$A$5000,$I9,SummaryHelper!$B$2:$B$5000,$J9,SummaryHelper!$C$2:$C$5000,$K9),""))</f>
        <v>10</v>
      </c>
      <c r="M9" s="9">
        <f>IF($J9="","",SUMIFS(SummaryHelper!$E$2:$E$5000,SummaryHelper!$A$2:$A$5000,$I9,SummaryHelper!$B$2:$B$5000,$J9,SummaryHelper!$C$2:$C$5000,$K9))</f>
        <v>4</v>
      </c>
      <c r="N9" s="9">
        <f>IF($J9="","",SUMIFS(SummaryHelper!$F$2:$F$5000,SummaryHelper!$A$2:$A$5000,$I9,SummaryHelper!$B$2:$B$5000,$J9,SummaryHelper!$C$2:$C$5000,$K9))</f>
        <v>0</v>
      </c>
      <c r="O9" s="9">
        <f>IF($J9="","",SUMIFS(SummaryHelper!$G$2:$G$5000,SummaryHelper!$A$2:$A$5000,$I9,SummaryHelper!$B$2:$B$5000,$J9,SummaryHelper!$C$2:$C$5000,$K9))</f>
        <v>4</v>
      </c>
      <c r="Q9" s="9">
        <f t="shared" si="6"/>
        <v>4</v>
      </c>
      <c r="R9" s="9">
        <f t="shared" si="7"/>
        <v>40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IF($U9="","",SUMIFS([1]SummaryHelper!$G$2:$G$5000,[1]SummaryHelper!$A$2:$A$5000,$T9,[1]SummaryHelper!$B$2:$B$5000,$U9,[1]SummaryHelper!$C$2:$C$5000,$V9))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600mmW x 1200mmH 1 Panel Casement Window c/w Float Glass</v>
      </c>
      <c r="K10" t="str">
        <v>SET</v>
      </c>
      <c r="L10" s="9">
        <f>IF($J10="","",IFERROR(SUMIFS(SummaryHelper!$H$2:$H$5000,SummaryHelper!$A$2:$A$5000,$I10,SummaryHelper!$B$2:$B$5000,$J10,SummaryHelper!$C$2:$C$5000,$K10)/SUMIFS(SummaryHelper!$G$2:$G$5000,SummaryHelper!$A$2:$A$5000,$I10,SummaryHelper!$B$2:$B$5000,$J10,SummaryHelper!$C$2:$C$5000,$K10),""))</f>
        <v>240</v>
      </c>
      <c r="M10" s="9">
        <f>IF($J10="","",SUMIFS(SummaryHelper!$E$2:$E$5000,SummaryHelper!$A$2:$A$5000,$I10,SummaryHelper!$B$2:$B$5000,$J10,SummaryHelper!$C$2:$C$5000,$K10))</f>
        <v>1</v>
      </c>
      <c r="N10" s="9">
        <f>IF($J10="","",SUMIFS(SummaryHelper!$F$2:$F$5000,SummaryHelper!$A$2:$A$5000,$I10,SummaryHelper!$B$2:$B$5000,$J10,SummaryHelper!$C$2:$C$5000,$K10))</f>
        <v>0</v>
      </c>
      <c r="O10" s="9">
        <f>IF($J10="","",SUMIFS(SummaryHelper!$G$2:$G$5000,SummaryHelper!$A$2:$A$5000,$I10,SummaryHelper!$B$2:$B$5000,$J10,SummaryHelper!$C$2:$C$5000,$K10))</f>
        <v>1</v>
      </c>
      <c r="Q10" s="9">
        <f t="shared" si="6"/>
        <v>1</v>
      </c>
      <c r="R10" s="9">
        <f t="shared" si="7"/>
        <v>240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IF($U10="","",SUMIFS([1]SummaryHelper!$G$2:$G$5000,[1]SummaryHelper!$A$2:$A$5000,$T10,[1]SummaryHelper!$B$2:$B$5000,$U10,[1]SummaryHelper!$C$2:$C$5000,$V10))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c r="I11" t="str">
        <v>MATERIALS</v>
      </c>
      <c r="J11" t="str">
        <v>600mmW x 1200mmH 1 Panel Grill Window</v>
      </c>
      <c r="K11" t="str">
        <v>SET</v>
      </c>
      <c r="L11" s="9">
        <f>IF($J11="","",IFERROR(SUMIFS(SummaryHelper!$H$2:$H$5000,SummaryHelper!$A$2:$A$5000,$I11,SummaryHelper!$B$2:$B$5000,$J11,SummaryHelper!$C$2:$C$5000,$K11)/SUMIFS(SummaryHelper!$G$2:$G$5000,SummaryHelper!$A$2:$A$5000,$I11,SummaryHelper!$B$2:$B$5000,$J11,SummaryHelper!$C$2:$C$5000,$K11),""))</f>
        <v>170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170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IF($U11="","",SUMIFS([1]SummaryHelper!$G$2:$G$5000,[1]SummaryHelper!$A$2:$A$5000,$T11,[1]SummaryHelper!$B$2:$B$5000,$U11,[1]SummaryHelper!$C$2:$C$5000,$V11))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A Plus Stopping Compound 20kg</v>
      </c>
      <c r="K12" t="str">
        <v>BAG</v>
      </c>
      <c r="L12" s="9">
        <f>IF($J12="","",IFERROR(SUMIFS(SummaryHelper!$H$2:$H$5000,SummaryHelper!$A$2:$A$5000,$I12,SummaryHelper!$B$2:$B$5000,$J12,SummaryHelper!$C$2:$C$5000,$K12)/SUMIFS(SummaryHelper!$G$2:$G$5000,SummaryHelper!$A$2:$A$5000,$I12,SummaryHelper!$B$2:$B$5000,$J12,SummaryHelper!$C$2:$C$5000,$K12),""))</f>
        <v>16.5</v>
      </c>
      <c r="M12" s="9">
        <f>IF($J12="","",SUMIFS(SummaryHelper!$E$2:$E$5000,SummaryHelper!$A$2:$A$5000,$I12,SummaryHelper!$B$2:$B$5000,$J12,SummaryHelper!$C$2:$C$5000,$K12))</f>
        <v>3</v>
      </c>
      <c r="N12" s="9">
        <f>IF($J12="","",SUMIFS(SummaryHelper!$F$2:$F$5000,SummaryHelper!$A$2:$A$5000,$I12,SummaryHelper!$B$2:$B$5000,$J12,SummaryHelper!$C$2:$C$5000,$K12))</f>
        <v>0.05</v>
      </c>
      <c r="O12" s="9">
        <f>IF($J12="","",SUMIFS(SummaryHelper!$G$2:$G$5000,SummaryHelper!$A$2:$A$5000,$I12,SummaryHelper!$B$2:$B$5000,$J12,SummaryHelper!$C$2:$C$5000,$K12))</f>
        <v>3.1500000000000004</v>
      </c>
      <c r="Q12" s="9">
        <f t="shared" si="6"/>
        <v>4</v>
      </c>
      <c r="R12" s="9">
        <f t="shared" si="7"/>
        <v>66</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IF($U12="","",SUMIFS([1]SummaryHelper!$G$2:$G$5000,[1]SummaryHelper!$A$2:$A$5000,$T12,[1]SummaryHelper!$B$2:$B$5000,$U12,[1]SummaryHelper!$C$2:$C$5000,$V12))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c r="B13" s="12" t="str">
        <f t="shared" si="0"/>
        <v/>
      </c>
      <c r="C13" s="9" t="str">
        <f t="shared" ca="1" si="1"/>
        <v/>
      </c>
      <c r="D13" s="9" t="str">
        <f t="shared" ca="1" si="2"/>
        <v/>
      </c>
      <c r="E13" s="9" t="str">
        <f t="shared" ca="1" si="3"/>
        <v/>
      </c>
      <c r="F13" s="9" t="str">
        <f t="shared" si="4"/>
        <v/>
      </c>
      <c r="G13" s="9" t="str">
        <f t="shared" si="5"/>
        <v/>
      </c>
      <c r="I13" t="str">
        <v>MATERIALS</v>
      </c>
      <c r="J13" t="str">
        <v>Aluminium Ceiling Trim (STD) 3660mm</v>
      </c>
      <c r="K13" t="str">
        <v>LTH</v>
      </c>
      <c r="L13" s="9">
        <f>IF($J13="","",IFERROR(SUMIFS(SummaryHelper!$H$2:$H$5000,SummaryHelper!$A$2:$A$5000,$I13,SummaryHelper!$B$2:$B$5000,$J13,SummaryHelper!$C$2:$C$5000,$K13)/SUMIFS(SummaryHelper!$G$2:$G$5000,SummaryHelper!$A$2:$A$5000,$I13,SummaryHelper!$B$2:$B$5000,$J13,SummaryHelper!$C$2:$C$5000,$K13),""))</f>
        <v>8.5</v>
      </c>
      <c r="M13" s="9">
        <f>IF($J13="","",SUMIFS(SummaryHelper!$E$2:$E$5000,SummaryHelper!$A$2:$A$5000,$I13,SummaryHelper!$B$2:$B$5000,$J13,SummaryHelper!$C$2:$C$5000,$K13))</f>
        <v>12</v>
      </c>
      <c r="N13" s="9">
        <f>IF($J13="","",SUMIFS(SummaryHelper!$F$2:$F$5000,SummaryHelper!$A$2:$A$5000,$I13,SummaryHelper!$B$2:$B$5000,$J13,SummaryHelper!$C$2:$C$5000,$K13))</f>
        <v>0.05</v>
      </c>
      <c r="O13" s="9">
        <f>IF($J13="","",SUMIFS(SummaryHelper!$G$2:$G$5000,SummaryHelper!$A$2:$A$5000,$I13,SummaryHelper!$B$2:$B$5000,$J13,SummaryHelper!$C$2:$C$5000,$K13))</f>
        <v>12.600000000000001</v>
      </c>
      <c r="Q13" s="9">
        <f t="shared" si="6"/>
        <v>13</v>
      </c>
      <c r="R13" s="9">
        <f t="shared" si="7"/>
        <v>110.5</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IF($U13="","",SUMIFS([1]SummaryHelper!$G$2:$G$5000,[1]SummaryHelper!$A$2:$A$5000,$T13,[1]SummaryHelper!$B$2:$B$5000,$U13,[1]SummaryHelper!$C$2:$C$5000,$V13))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Basin Waste 11/4"</v>
      </c>
      <c r="K14" t="str">
        <v>PCS</v>
      </c>
      <c r="L14" s="9">
        <f>IF($J14="","",IFERROR(SUMIFS(SummaryHelper!$H$2:$H$5000,SummaryHelper!$A$2:$A$5000,$I14,SummaryHelper!$B$2:$B$5000,$J14,SummaryHelper!$C$2:$C$5000,$K14)/SUMIFS(SummaryHelper!$G$2:$G$5000,SummaryHelper!$A$2:$A$5000,$I14,SummaryHelper!$B$2:$B$5000,$J14,SummaryHelper!$C$2:$C$5000,$K14),""))</f>
        <v>4</v>
      </c>
      <c r="M14" s="9">
        <f>IF($J14="","",SUMIFS(SummaryHelper!$E$2:$E$5000,SummaryHelper!$A$2:$A$5000,$I14,SummaryHelper!$B$2:$B$5000,$J14,SummaryHelper!$C$2:$C$5000,$K14))</f>
        <v>1</v>
      </c>
      <c r="N14" s="9">
        <f>IF($J14="","",SUMIFS(SummaryHelper!$F$2:$F$5000,SummaryHelper!$A$2:$A$5000,$I14,SummaryHelper!$B$2:$B$5000,$J14,SummaryHelper!$C$2:$C$5000,$K14))</f>
        <v>0</v>
      </c>
      <c r="O14" s="9">
        <f>IF($J14="","",SUMIFS(SummaryHelper!$G$2:$G$5000,SummaryHelper!$A$2:$A$5000,$I14,SummaryHelper!$B$2:$B$5000,$J14,SummaryHelper!$C$2:$C$5000,$K14))</f>
        <v>1</v>
      </c>
      <c r="Q14" s="9">
        <f t="shared" si="6"/>
        <v>1</v>
      </c>
      <c r="R14" s="9">
        <f t="shared" si="7"/>
        <v>4</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IF($U14="","",SUMIFS([1]SummaryHelper!$G$2:$G$5000,[1]SummaryHelper!$A$2:$A$5000,$T14,[1]SummaryHelper!$B$2:$B$5000,$U14,[1]SummaryHelper!$C$2:$C$5000,$V14))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12" t="str">
        <f t="shared" si="0"/>
        <v>S13</v>
      </c>
      <c r="C15" s="9">
        <f t="shared" ca="1" si="1"/>
        <v>5277.5</v>
      </c>
      <c r="D15" s="9">
        <f t="shared" ca="1" si="2"/>
        <v>5040</v>
      </c>
      <c r="E15" s="9">
        <f t="shared" ca="1" si="3"/>
        <v>0</v>
      </c>
      <c r="F15" s="9">
        <f t="shared" ca="1" si="4"/>
        <v>10317.5</v>
      </c>
      <c r="G15" s="9">
        <f t="shared" ca="1" si="5"/>
        <v>10317.5</v>
      </c>
      <c r="I15" t="str">
        <v>MATERIALS</v>
      </c>
      <c r="J15" t="str">
        <v>Bottle Trap PVC 11/4" 32mm Blue/green</v>
      </c>
      <c r="K15" t="str">
        <v>PCS</v>
      </c>
      <c r="L15" s="9">
        <f>IF($J15="","",IFERROR(SUMIFS(SummaryHelper!$H$2:$H$5000,SummaryHelper!$A$2:$A$5000,$I15,SummaryHelper!$B$2:$B$5000,$J15,SummaryHelper!$C$2:$C$5000,$K15)/SUMIFS(SummaryHelper!$G$2:$G$5000,SummaryHelper!$A$2:$A$5000,$I15,SummaryHelper!$B$2:$B$5000,$J15,SummaryHelper!$C$2:$C$5000,$K15),""))</f>
        <v>8</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8</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IF($U15="","",SUMIFS([1]SummaryHelper!$G$2:$G$5000,[1]SummaryHelper!$A$2:$A$5000,$T15,[1]SummaryHelper!$B$2:$B$5000,$U15,[1]SummaryHelper!$C$2:$C$5000,$V15))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12" t="str">
        <f t="shared" si="0"/>
        <v>S14</v>
      </c>
      <c r="C16" s="9">
        <f t="shared" ca="1" si="1"/>
        <v>1825.2700000000002</v>
      </c>
      <c r="D16" s="9">
        <f t="shared" ca="1" si="2"/>
        <v>1440</v>
      </c>
      <c r="E16" s="9">
        <f t="shared" ca="1" si="3"/>
        <v>0</v>
      </c>
      <c r="F16" s="9">
        <f t="shared" ca="1" si="4"/>
        <v>3265.2700000000004</v>
      </c>
      <c r="G16" s="9">
        <f t="shared" ca="1" si="5"/>
        <v>3265.2700000000004</v>
      </c>
      <c r="I16" t="str">
        <v>MATERIALS</v>
      </c>
      <c r="J16" t="str">
        <v>Brass Garden Bib Tap 1/2"</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IF($U16="","",SUMIFS([1]SummaryHelper!$G$2:$G$5000,[1]SummaryHelper!$A$2:$A$5000,$T16,[1]SummaryHelper!$B$2:$B$5000,$U16,[1]SummaryHelper!$C$2:$C$5000,$V16))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12" t="str">
        <f t="shared" si="0"/>
        <v>S15</v>
      </c>
      <c r="C17" s="9">
        <f t="shared" ca="1" si="1"/>
        <v>1233.76</v>
      </c>
      <c r="D17" s="9">
        <f t="shared" ca="1" si="2"/>
        <v>1057.5</v>
      </c>
      <c r="E17" s="9">
        <f t="shared" ca="1" si="3"/>
        <v>0</v>
      </c>
      <c r="F17" s="9">
        <f t="shared" ca="1" si="4"/>
        <v>2291.2600000000002</v>
      </c>
      <c r="G17" s="9">
        <f t="shared" ca="1" si="5"/>
        <v>2291.2600000000002</v>
      </c>
      <c r="I17" t="str">
        <v>MATERIALS</v>
      </c>
      <c r="J17" t="str">
        <v>Brass Stop Cock 1/2"</v>
      </c>
      <c r="K17" t="str">
        <v>PCS</v>
      </c>
      <c r="L17" s="9">
        <f>IF($J17="","",IFERROR(SUMIFS(SummaryHelper!$H$2:$H$5000,SummaryHelper!$A$2:$A$5000,$I17,SummaryHelper!$B$2:$B$5000,$J17,SummaryHelper!$C$2:$C$5000,$K17)/SUMIFS(SummaryHelper!$G$2:$G$5000,SummaryHelper!$A$2:$A$5000,$I17,SummaryHelper!$B$2:$B$5000,$J17,SummaryHelper!$C$2:$C$5000,$K17),""))</f>
        <v>13</v>
      </c>
      <c r="M17" s="9">
        <f>IF($J17="","",SUMIFS(SummaryHelper!$E$2:$E$5000,SummaryHelper!$A$2:$A$5000,$I17,SummaryHelper!$B$2:$B$5000,$J17,SummaryHelper!$C$2:$C$5000,$K17))</f>
        <v>2</v>
      </c>
      <c r="N17" s="9">
        <f>IF($J17="","",SUMIFS(SummaryHelper!$F$2:$F$5000,SummaryHelper!$A$2:$A$5000,$I17,SummaryHelper!$B$2:$B$5000,$J17,SummaryHelper!$C$2:$C$5000,$K17))</f>
        <v>0</v>
      </c>
      <c r="O17" s="9">
        <f>IF($J17="","",SUMIFS(SummaryHelper!$G$2:$G$5000,SummaryHelper!$A$2:$A$5000,$I17,SummaryHelper!$B$2:$B$5000,$J17,SummaryHelper!$C$2:$C$5000,$K17))</f>
        <v>2</v>
      </c>
      <c r="Q17" s="9">
        <f t="shared" si="6"/>
        <v>2</v>
      </c>
      <c r="R17" s="9">
        <f t="shared" si="7"/>
        <v>26</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IF($U17="","",SUMIFS([1]SummaryHelper!$G$2:$G$5000,[1]SummaryHelper!$A$2:$A$5000,$T17,[1]SummaryHelper!$B$2:$B$5000,$U17,[1]SummaryHelper!$C$2:$C$5000,$V17))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v>1</v>
      </c>
      <c r="B18" s="12" t="str">
        <f t="shared" si="0"/>
        <v>S16</v>
      </c>
      <c r="C18" s="9">
        <f t="shared" ca="1" si="1"/>
        <v>3677.7999999999997</v>
      </c>
      <c r="D18" s="9">
        <f t="shared" ca="1" si="2"/>
        <v>2700</v>
      </c>
      <c r="E18" s="9">
        <f t="shared" ca="1" si="3"/>
        <v>0</v>
      </c>
      <c r="F18" s="9">
        <f t="shared" ca="1" si="4"/>
        <v>6377.7999999999993</v>
      </c>
      <c r="G18" s="9">
        <f t="shared" ca="1" si="5"/>
        <v>6377.7999999999993</v>
      </c>
      <c r="I18" t="str">
        <v>MATERIALS</v>
      </c>
      <c r="J18" t="str">
        <v>BRC Mesh A10 2.13m x 6.10m (Normal Spec) 3.2mm</v>
      </c>
      <c r="K18" t="str">
        <v>PCS</v>
      </c>
      <c r="L18" s="9">
        <f>IF($J18="","",IFERROR(SUMIFS(SummaryHelper!$H$2:$H$5000,SummaryHelper!$A$2:$A$5000,$I18,SummaryHelper!$B$2:$B$5000,$J18,SummaryHelper!$C$2:$C$5000,$K18)/SUMIFS(SummaryHelper!$G$2:$G$5000,SummaryHelper!$A$2:$A$5000,$I18,SummaryHelper!$B$2:$B$5000,$J18,SummaryHelper!$C$2:$C$5000,$K18),""))</f>
        <v>214.99999999999997</v>
      </c>
      <c r="M18" s="9">
        <f>IF($J18="","",SUMIFS(SummaryHelper!$E$2:$E$5000,SummaryHelper!$A$2:$A$5000,$I18,SummaryHelper!$B$2:$B$5000,$J18,SummaryHelper!$C$2:$C$5000,$K18))</f>
        <v>17.78</v>
      </c>
      <c r="N18" s="9">
        <f>IF($J18="","",SUMIFS(SummaryHelper!$F$2:$F$5000,SummaryHelper!$A$2:$A$5000,$I18,SummaryHelper!$B$2:$B$5000,$J18,SummaryHelper!$C$2:$C$5000,$K18))</f>
        <v>0.64</v>
      </c>
      <c r="O18" s="9">
        <f>IF($J18="","",SUMIFS(SummaryHelper!$G$2:$G$5000,SummaryHelper!$A$2:$A$5000,$I18,SummaryHelper!$B$2:$B$5000,$J18,SummaryHelper!$C$2:$C$5000,$K18))</f>
        <v>19.796000000000003</v>
      </c>
      <c r="Q18" s="9">
        <f t="shared" si="6"/>
        <v>20</v>
      </c>
      <c r="R18" s="9">
        <f t="shared" si="7"/>
        <v>4299.9999999999991</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IF($U18="","",SUMIFS([1]SummaryHelper!$G$2:$G$5000,[1]SummaryHelper!$A$2:$A$5000,$T18,[1]SummaryHelper!$B$2:$B$5000,$U18,[1]SummaryHelper!$C$2:$C$5000,$V18))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v>1</v>
      </c>
      <c r="B19" s="12" t="str">
        <f t="shared" si="0"/>
        <v>S17</v>
      </c>
      <c r="C19" s="9">
        <f t="shared" ca="1" si="1"/>
        <v>2888</v>
      </c>
      <c r="D19" s="9">
        <f t="shared" ca="1" si="2"/>
        <v>2520</v>
      </c>
      <c r="E19" s="9">
        <f t="shared" ca="1" si="3"/>
        <v>0</v>
      </c>
      <c r="F19" s="9">
        <f t="shared" ca="1" si="4"/>
        <v>5408</v>
      </c>
      <c r="G19" s="9">
        <f t="shared" ca="1" si="5"/>
        <v>5408</v>
      </c>
      <c r="I19" t="str">
        <v>MATERIALS</v>
      </c>
      <c r="J19" t="str">
        <v>Butyl Flashing Tape 50.00mm x 5.00m</v>
      </c>
      <c r="K19" t="str">
        <v>ROLL</v>
      </c>
      <c r="L19" s="9">
        <f>IF($J19="","",IFERROR(SUMIFS(SummaryHelper!$H$2:$H$5000,SummaryHelper!$A$2:$A$5000,$I19,SummaryHelper!$B$2:$B$5000,$J19,SummaryHelper!$C$2:$C$5000,$K19)/SUMIFS(SummaryHelper!$G$2:$G$5000,SummaryHelper!$A$2:$A$5000,$I19,SummaryHelper!$B$2:$B$5000,$J19,SummaryHelper!$C$2:$C$5000,$K19),""))</f>
        <v>15</v>
      </c>
      <c r="M19" s="9">
        <f>IF($J19="","",SUMIFS(SummaryHelper!$E$2:$E$5000,SummaryHelper!$A$2:$A$5000,$I19,SummaryHelper!$B$2:$B$5000,$J19,SummaryHelper!$C$2:$C$5000,$K19))</f>
        <v>3</v>
      </c>
      <c r="N19" s="9">
        <f>IF($J19="","",SUMIFS(SummaryHelper!$F$2:$F$5000,SummaryHelper!$A$2:$A$5000,$I19,SummaryHelper!$B$2:$B$5000,$J19,SummaryHelper!$C$2:$C$5000,$K19))</f>
        <v>0.05</v>
      </c>
      <c r="O19" s="9">
        <f>IF($J19="","",SUMIFS(SummaryHelper!$G$2:$G$5000,SummaryHelper!$A$2:$A$5000,$I19,SummaryHelper!$B$2:$B$5000,$J19,SummaryHelper!$C$2:$C$5000,$K19))</f>
        <v>3.1500000000000004</v>
      </c>
      <c r="Q19" s="9">
        <f t="shared" si="6"/>
        <v>4</v>
      </c>
      <c r="R19" s="9">
        <f t="shared" si="7"/>
        <v>60</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IF($U19="","",SUMIFS([1]SummaryHelper!$G$2:$G$5000,[1]SummaryHelper!$A$2:$A$5000,$T19,[1]SummaryHelper!$B$2:$B$5000,$U19,[1]SummaryHelper!$C$2:$C$5000,$V19))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v>1</v>
      </c>
      <c r="B20" s="12" t="str">
        <f t="shared" si="0"/>
        <v>S18</v>
      </c>
      <c r="C20" s="9">
        <f t="shared" ca="1" si="1"/>
        <v>22426.147000000001</v>
      </c>
      <c r="D20" s="9">
        <f t="shared" ca="1" si="2"/>
        <v>2947.5</v>
      </c>
      <c r="E20" s="9">
        <f t="shared" ca="1" si="3"/>
        <v>0</v>
      </c>
      <c r="F20" s="9">
        <f t="shared" ca="1" si="4"/>
        <v>25373.647000000001</v>
      </c>
      <c r="G20" s="9">
        <f t="shared" ca="1" si="5"/>
        <v>25373.647000000001</v>
      </c>
      <c r="I20" t="str">
        <v>MATERIALS</v>
      </c>
      <c r="J20" t="str">
        <v>Cement 50kg Bag</v>
      </c>
      <c r="K20" t="str">
        <v>BAG</v>
      </c>
      <c r="L20" s="9">
        <f>IF($J20="","",IFERROR(SUMIFS(SummaryHelper!$H$2:$H$5000,SummaryHelper!$A$2:$A$5000,$I20,SummaryHelper!$B$2:$B$5000,$J20,SummaryHelper!$C$2:$C$5000,$K20)/SUMIFS(SummaryHelper!$G$2:$G$5000,SummaryHelper!$A$2:$A$5000,$I20,SummaryHelper!$B$2:$B$5000,$J20,SummaryHelper!$C$2:$C$5000,$K20),""))</f>
        <v>24</v>
      </c>
      <c r="M20" s="9">
        <f>IF($J20="","",SUMIFS(SummaryHelper!$E$2:$E$5000,SummaryHelper!$A$2:$A$5000,$I20,SummaryHelper!$B$2:$B$5000,$J20,SummaryHelper!$C$2:$C$5000,$K20))</f>
        <v>4</v>
      </c>
      <c r="N20" s="9">
        <f>IF($J20="","",SUMIFS(SummaryHelper!$F$2:$F$5000,SummaryHelper!$A$2:$A$5000,$I20,SummaryHelper!$B$2:$B$5000,$J20,SummaryHelper!$C$2:$C$5000,$K20))</f>
        <v>0</v>
      </c>
      <c r="O20" s="9">
        <f>IF($J20="","",SUMIFS(SummaryHelper!$G$2:$G$5000,SummaryHelper!$A$2:$A$5000,$I20,SummaryHelper!$B$2:$B$5000,$J20,SummaryHelper!$C$2:$C$5000,$K20))</f>
        <v>4</v>
      </c>
      <c r="Q20" s="9">
        <f t="shared" si="6"/>
        <v>4</v>
      </c>
      <c r="R20" s="9">
        <f t="shared" si="7"/>
        <v>96</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IF($U20="","",SUMIFS([1]SummaryHelper!$G$2:$G$5000,[1]SummaryHelper!$A$2:$A$5000,$T20,[1]SummaryHelper!$B$2:$B$5000,$U20,[1]SummaryHelper!$C$2:$C$5000,$V20))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v>1</v>
      </c>
      <c r="B21" s="12" t="str">
        <f t="shared" si="0"/>
        <v>S19</v>
      </c>
      <c r="C21" s="9">
        <f t="shared" ca="1" si="1"/>
        <v>21841.319</v>
      </c>
      <c r="D21" s="9">
        <f t="shared" ca="1" si="2"/>
        <v>3622.5</v>
      </c>
      <c r="E21" s="9">
        <f t="shared" ca="1" si="3"/>
        <v>0</v>
      </c>
      <c r="F21" s="9">
        <f t="shared" ca="1" si="4"/>
        <v>25463.819</v>
      </c>
      <c r="G21" s="9">
        <f t="shared" ca="1" si="5"/>
        <v>25463.819</v>
      </c>
      <c r="I21" t="str">
        <v>MATERIALS</v>
      </c>
      <c r="J21" t="str">
        <v>Cement Bricks</v>
      </c>
      <c r="K21" t="str">
        <v>PCS</v>
      </c>
      <c r="L21" s="9">
        <f>IF($J21="","",IFERROR(SUMIFS(SummaryHelper!$H$2:$H$5000,SummaryHelper!$A$2:$A$5000,$I21,SummaryHelper!$B$2:$B$5000,$J21,SummaryHelper!$C$2:$C$5000,$K21)/SUMIFS(SummaryHelper!$G$2:$G$5000,SummaryHelper!$A$2:$A$5000,$I21,SummaryHelper!$B$2:$B$5000,$J21,SummaryHelper!$C$2:$C$5000,$K21),""))</f>
        <v>0.27</v>
      </c>
      <c r="M21" s="9">
        <f>IF($J21="","",SUMIFS(SummaryHelper!$E$2:$E$5000,SummaryHelper!$A$2:$A$5000,$I21,SummaryHelper!$B$2:$B$5000,$J21,SummaryHelper!$C$2:$C$5000,$K21))</f>
        <v>940</v>
      </c>
      <c r="N21" s="9">
        <f>IF($J21="","",SUMIFS(SummaryHelper!$F$2:$F$5000,SummaryHelper!$A$2:$A$5000,$I21,SummaryHelper!$B$2:$B$5000,$J21,SummaryHelper!$C$2:$C$5000,$K21))</f>
        <v>48</v>
      </c>
      <c r="O21" s="9">
        <f>IF($J21="","",SUMIFS(SummaryHelper!$G$2:$G$5000,SummaryHelper!$A$2:$A$5000,$I21,SummaryHelper!$B$2:$B$5000,$J21,SummaryHelper!$C$2:$C$5000,$K21))</f>
        <v>23500</v>
      </c>
      <c r="P21" s="9">
        <v>0</v>
      </c>
      <c r="Q21" s="9">
        <f t="shared" si="6"/>
        <v>0</v>
      </c>
      <c r="R21" s="9">
        <f t="shared" si="7"/>
        <v>0</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IF($U21="","",SUMIFS([1]SummaryHelper!$G$2:$G$5000,[1]SummaryHelper!$A$2:$A$5000,$T21,[1]SummaryHelper!$B$2:$B$5000,$U21,[1]SummaryHelper!$C$2:$C$5000,$V21))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c r="B22" s="12" t="str">
        <f t="shared" si="0"/>
        <v/>
      </c>
      <c r="C22" s="9" t="str">
        <f t="shared" ca="1" si="1"/>
        <v/>
      </c>
      <c r="D22" s="9" t="str">
        <f t="shared" ca="1" si="2"/>
        <v/>
      </c>
      <c r="E22" s="9" t="str">
        <f t="shared" ca="1" si="3"/>
        <v/>
      </c>
      <c r="F22" s="9" t="str">
        <f t="shared" si="4"/>
        <v/>
      </c>
      <c r="G22" s="9" t="str">
        <f t="shared" si="5"/>
        <v/>
      </c>
      <c r="I22" t="str">
        <v>MATERIALS</v>
      </c>
      <c r="J22" t="str">
        <v>Coarse Sand (10-Wheel Truck)</v>
      </c>
      <c r="K22" t="str">
        <v>TRIP</v>
      </c>
      <c r="L22" s="9">
        <f>IF($J22="","",IFERROR(SUMIFS(SummaryHelper!$H$2:$H$5000,SummaryHelper!$A$2:$A$5000,$I22,SummaryHelper!$B$2:$B$5000,$J22,SummaryHelper!$C$2:$C$5000,$K22)/SUMIFS(SummaryHelper!$G$2:$G$5000,SummaryHelper!$A$2:$A$5000,$I22,SummaryHelper!$B$2:$B$5000,$J22,SummaryHelper!$C$2:$C$5000,$K22),""))</f>
        <v>850</v>
      </c>
      <c r="M22" s="9">
        <f>IF($J22="","",SUMIFS(SummaryHelper!$E$2:$E$5000,SummaryHelper!$A$2:$A$5000,$I22,SummaryHelper!$B$2:$B$5000,$J22,SummaryHelper!$C$2:$C$5000,$K22))</f>
        <v>1.1000000000000001</v>
      </c>
      <c r="N22" s="9">
        <f>IF($J22="","",SUMIFS(SummaryHelper!$F$2:$F$5000,SummaryHelper!$A$2:$A$5000,$I22,SummaryHelper!$B$2:$B$5000,$J22,SummaryHelper!$C$2:$C$5000,$K22))</f>
        <v>6.0000000000000005E-2</v>
      </c>
      <c r="O22" s="9">
        <f>IF($J22="","",SUMIFS(SummaryHelper!$G$2:$G$5000,SummaryHelper!$A$2:$A$5000,$I22,SummaryHelper!$B$2:$B$5000,$J22,SummaryHelper!$C$2:$C$5000,$K22))</f>
        <v>1.1136999999999999</v>
      </c>
      <c r="Q22" s="9">
        <f t="shared" si="6"/>
        <v>2</v>
      </c>
      <c r="R22" s="9">
        <f t="shared" si="7"/>
        <v>1700</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IF($U22="","",SUMIFS([1]SummaryHelper!$G$2:$G$5000,[1]SummaryHelper!$A$2:$A$5000,$T22,[1]SummaryHelper!$B$2:$B$5000,$U22,[1]SummaryHelper!$C$2:$C$5000,$V22))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12" t="str">
        <f t="shared" si="0"/>
        <v/>
      </c>
      <c r="C23" s="9" t="str">
        <f t="shared" ca="1" si="1"/>
        <v/>
      </c>
      <c r="D23" s="9" t="str">
        <f t="shared" ca="1" si="2"/>
        <v/>
      </c>
      <c r="E23" s="9" t="str">
        <f t="shared" ca="1" si="3"/>
        <v/>
      </c>
      <c r="F23" s="9" t="str">
        <f t="shared" si="4"/>
        <v/>
      </c>
      <c r="G23" s="9" t="str">
        <f t="shared" si="5"/>
        <v/>
      </c>
      <c r="I23" t="str">
        <v>MATERIALS</v>
      </c>
      <c r="J23" t="str">
        <v>Colourland Super White 9102 Colourlite 18L Emulsion Paint</v>
      </c>
      <c r="K23" t="str">
        <v>PAIL</v>
      </c>
      <c r="L23" s="9">
        <f>IF($J23="","",IFERROR(SUMIFS(SummaryHelper!$H$2:$H$5000,SummaryHelper!$A$2:$A$5000,$I23,SummaryHelper!$B$2:$B$5000,$J23,SummaryHelper!$C$2:$C$5000,$K23)/SUMIFS(SummaryHelper!$G$2:$G$5000,SummaryHelper!$A$2:$A$5000,$I23,SummaryHelper!$B$2:$B$5000,$J23,SummaryHelper!$C$2:$C$5000,$K23),""))</f>
        <v>80</v>
      </c>
      <c r="M23" s="9">
        <f>IF($J23="","",SUMIFS(SummaryHelper!$E$2:$E$5000,SummaryHelper!$A$2:$A$5000,$I23,SummaryHelper!$B$2:$B$5000,$J23,SummaryHelper!$C$2:$C$5000,$K23))</f>
        <v>2</v>
      </c>
      <c r="N23" s="9">
        <f>IF($J23="","",SUMIFS(SummaryHelper!$F$2:$F$5000,SummaryHelper!$A$2:$A$5000,$I23,SummaryHelper!$B$2:$B$5000,$J23,SummaryHelper!$C$2:$C$5000,$K23))</f>
        <v>0.05</v>
      </c>
      <c r="O23" s="9">
        <f>IF($J23="","",SUMIFS(SummaryHelper!$G$2:$G$5000,SummaryHelper!$A$2:$A$5000,$I23,SummaryHelper!$B$2:$B$5000,$J23,SummaryHelper!$C$2:$C$5000,$K23))</f>
        <v>2.1</v>
      </c>
      <c r="Q23" s="9">
        <f t="shared" si="6"/>
        <v>3</v>
      </c>
      <c r="R23" s="9">
        <f t="shared" si="7"/>
        <v>240</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IF($U23="","",SUMIFS([1]SummaryHelper!$G$2:$G$5000,[1]SummaryHelper!$A$2:$A$5000,$T23,[1]SummaryHelper!$B$2:$B$5000,$U23,[1]SummaryHelper!$C$2:$C$5000,$V23))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12" t="str">
        <f t="shared" si="0"/>
        <v/>
      </c>
      <c r="C24" s="9" t="str">
        <f t="shared" ca="1" si="1"/>
        <v/>
      </c>
      <c r="D24" s="9" t="str">
        <f t="shared" ca="1" si="2"/>
        <v/>
      </c>
      <c r="E24" s="9" t="str">
        <f t="shared" ca="1" si="3"/>
        <v/>
      </c>
      <c r="F24" s="9" t="str">
        <f t="shared" si="4"/>
        <v/>
      </c>
      <c r="G24" s="9" t="str">
        <f t="shared" si="5"/>
        <v/>
      </c>
      <c r="I24" t="str">
        <v>MATERIALS</v>
      </c>
      <c r="J24" t="str">
        <v>Consumer DB Box 12 Way</v>
      </c>
      <c r="K24" t="str">
        <v>UNIT</v>
      </c>
      <c r="L24" s="9">
        <f>IF($J24="","",IFERROR(SUMIFS(SummaryHelper!$H$2:$H$5000,SummaryHelper!$A$2:$A$5000,$I24,SummaryHelper!$B$2:$B$5000,$J24,SummaryHelper!$C$2:$C$5000,$K24)/SUMIFS(SummaryHelper!$G$2:$G$5000,SummaryHelper!$A$2:$A$5000,$I24,SummaryHelper!$B$2:$B$5000,$J24,SummaryHelper!$C$2:$C$5000,$K24),""))</f>
        <v>185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185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IF($U24="","",SUMIFS([1]SummaryHelper!$G$2:$G$5000,[1]SummaryHelper!$A$2:$A$5000,$T24,[1]SummaryHelper!$B$2:$B$5000,$U24,[1]SummaryHelper!$C$2:$C$5000,$V24))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12" t="str">
        <f t="shared" si="0"/>
        <v/>
      </c>
      <c r="C25" s="9" t="str">
        <f t="shared" ca="1" si="1"/>
        <v/>
      </c>
      <c r="D25" s="9" t="str">
        <f t="shared" ca="1" si="2"/>
        <v/>
      </c>
      <c r="E25" s="9" t="str">
        <f t="shared" ca="1" si="3"/>
        <v/>
      </c>
      <c r="F25" s="9" t="str">
        <f t="shared" si="4"/>
        <v/>
      </c>
      <c r="G25" s="9" t="str">
        <f t="shared" si="5"/>
        <v/>
      </c>
      <c r="I25" t="str">
        <v>MATERIALS</v>
      </c>
      <c r="J25" t="str">
        <v>Copper Cable Clamp (Heavy Duty)</v>
      </c>
      <c r="K25" t="str">
        <v>PCS</v>
      </c>
      <c r="L25" s="9">
        <f>IF($J25="","",IFERROR(SUMIFS(SummaryHelper!$H$2:$H$5000,SummaryHelper!$A$2:$A$5000,$I25,SummaryHelper!$B$2:$B$5000,$J25,SummaryHelper!$C$2:$C$5000,$K25)/SUMIFS(SummaryHelper!$G$2:$G$5000,SummaryHelper!$A$2:$A$5000,$I25,SummaryHelper!$B$2:$B$5000,$J25,SummaryHelper!$C$2:$C$5000,$K25),""))</f>
        <v>6.5</v>
      </c>
      <c r="M25" s="9">
        <f>IF($J25="","",SUMIFS(SummaryHelper!$E$2:$E$5000,SummaryHelper!$A$2:$A$5000,$I25,SummaryHelper!$B$2:$B$5000,$J25,SummaryHelper!$C$2:$C$5000,$K25))</f>
        <v>1</v>
      </c>
      <c r="N25" s="9">
        <f>IF($J25="","",SUMIFS(SummaryHelper!$F$2:$F$5000,SummaryHelper!$A$2:$A$5000,$I25,SummaryHelper!$B$2:$B$5000,$J25,SummaryHelper!$C$2:$C$5000,$K25))</f>
        <v>0</v>
      </c>
      <c r="O25" s="9">
        <f>IF($J25="","",SUMIFS(SummaryHelper!$G$2:$G$5000,SummaryHelper!$A$2:$A$5000,$I25,SummaryHelper!$B$2:$B$5000,$J25,SummaryHelper!$C$2:$C$5000,$K25))</f>
        <v>1</v>
      </c>
      <c r="Q25" s="9">
        <f t="shared" si="6"/>
        <v>1</v>
      </c>
      <c r="R25" s="9">
        <f t="shared" si="7"/>
        <v>6.5</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IF($U25="","",SUMIFS([1]SummaryHelper!$G$2:$G$5000,[1]SummaryHelper!$A$2:$A$5000,$T25,[1]SummaryHelper!$B$2:$B$5000,$U25,[1]SummaryHelper!$C$2:$C$5000,$V25))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12" t="str">
        <f t="shared" si="0"/>
        <v/>
      </c>
      <c r="C26" s="9" t="str">
        <f t="shared" ca="1" si="1"/>
        <v/>
      </c>
      <c r="D26" s="9" t="str">
        <f t="shared" ca="1" si="2"/>
        <v/>
      </c>
      <c r="E26" s="9" t="str">
        <f t="shared" ca="1" si="3"/>
        <v/>
      </c>
      <c r="F26" s="9" t="str">
        <f t="shared" si="4"/>
        <v/>
      </c>
      <c r="G26" s="9" t="str">
        <f t="shared" si="5"/>
        <v/>
      </c>
      <c r="I26" t="str">
        <v>MATERIALS</v>
      </c>
      <c r="J26" t="str">
        <v>Crusher Run (10-Wheel Truck)</v>
      </c>
      <c r="K26" t="str">
        <v>TRIP</v>
      </c>
      <c r="L26" s="9">
        <f>IF($J26="","",IFERROR(SUMIFS(SummaryHelper!$H$2:$H$5000,SummaryHelper!$A$2:$A$5000,$I26,SummaryHelper!$B$2:$B$5000,$J26,SummaryHelper!$C$2:$C$5000,$K26)/SUMIFS(SummaryHelper!$G$2:$G$5000,SummaryHelper!$A$2:$A$5000,$I26,SummaryHelper!$B$2:$B$5000,$J26,SummaryHelper!$C$2:$C$5000,$K26),""))</f>
        <v>830</v>
      </c>
      <c r="M26" s="9">
        <f>IF($J26="","",SUMIFS(SummaryHelper!$E$2:$E$5000,SummaryHelper!$A$2:$A$5000,$I26,SummaryHelper!$B$2:$B$5000,$J26,SummaryHelper!$C$2:$C$5000,$K26))</f>
        <v>0.16</v>
      </c>
      <c r="N26" s="9">
        <f>IF($J26="","",SUMIFS(SummaryHelper!$F$2:$F$5000,SummaryHelper!$A$2:$A$5000,$I26,SummaryHelper!$B$2:$B$5000,$J26,SummaryHelper!$C$2:$C$5000,$K26))</f>
        <v>0</v>
      </c>
      <c r="O26" s="9">
        <f>IF($J26="","",SUMIFS(SummaryHelper!$G$2:$G$5000,SummaryHelper!$A$2:$A$5000,$I26,SummaryHelper!$B$2:$B$5000,$J26,SummaryHelper!$C$2:$C$5000,$K26))</f>
        <v>0.16</v>
      </c>
      <c r="Q26" s="9">
        <f t="shared" si="6"/>
        <v>1</v>
      </c>
      <c r="R26" s="9">
        <f t="shared" si="7"/>
        <v>830</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IF($U26="","",SUMIFS([1]SummaryHelper!$G$2:$G$5000,[1]SummaryHelper!$A$2:$A$5000,$T26,[1]SummaryHelper!$B$2:$B$5000,$U26,[1]SummaryHelper!$C$2:$C$5000,$V26))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12" t="str">
        <f t="shared" si="0"/>
        <v/>
      </c>
      <c r="C27" s="9" t="str">
        <f t="shared" ca="1" si="1"/>
        <v/>
      </c>
      <c r="D27" s="9" t="str">
        <f t="shared" ca="1" si="2"/>
        <v/>
      </c>
      <c r="E27" s="9" t="str">
        <f t="shared" ca="1" si="3"/>
        <v/>
      </c>
      <c r="F27" s="9" t="str">
        <f t="shared" si="4"/>
        <v/>
      </c>
      <c r="G27" s="9" t="str">
        <f t="shared" si="5"/>
        <v/>
      </c>
      <c r="I27" t="str">
        <v>MATERIALS</v>
      </c>
      <c r="J27" t="str">
        <v>DOCASA Combo, c/w One-piece rimless toilet bowl + modern bathroom sink cabinet with basin, mirror &amp; shelf , Soft-close seat and cover, Cistern fittings, Cistern cover with flush button, Straight connector</v>
      </c>
      <c r="K27" t="str">
        <v>PCS</v>
      </c>
      <c r="L27" s="9">
        <f>IF($J27="","",IFERROR(SUMIFS(SummaryHelper!$H$2:$H$5000,SummaryHelper!$A$2:$A$5000,$I27,SummaryHelper!$B$2:$B$5000,$J27,SummaryHelper!$C$2:$C$5000,$K27)/SUMIFS(SummaryHelper!$G$2:$G$5000,SummaryHelper!$A$2:$A$5000,$I27,SummaryHelper!$B$2:$B$5000,$J27,SummaryHelper!$C$2:$C$5000,$K27),""))</f>
        <v>650</v>
      </c>
      <c r="M27" s="9">
        <f>IF($J27="","",SUMIFS(SummaryHelper!$E$2:$E$5000,SummaryHelper!$A$2:$A$5000,$I27,SummaryHelper!$B$2:$B$5000,$J27,SummaryHelper!$C$2:$C$5000,$K27))</f>
        <v>1</v>
      </c>
      <c r="N27" s="9">
        <f>IF($J27="","",SUMIFS(SummaryHelper!$F$2:$F$5000,SummaryHelper!$A$2:$A$5000,$I27,SummaryHelper!$B$2:$B$5000,$J27,SummaryHelper!$C$2:$C$5000,$K27))</f>
        <v>0</v>
      </c>
      <c r="O27" s="9">
        <f>IF($J27="","",SUMIFS(SummaryHelper!$G$2:$G$5000,SummaryHelper!$A$2:$A$5000,$I27,SummaryHelper!$B$2:$B$5000,$J27,SummaryHelper!$C$2:$C$5000,$K27))</f>
        <v>1</v>
      </c>
      <c r="Q27" s="9">
        <f t="shared" si="6"/>
        <v>1</v>
      </c>
      <c r="R27" s="9">
        <f t="shared" si="7"/>
        <v>650</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IF($U27="","",SUMIFS([1]SummaryHelper!$G$2:$G$5000,[1]SummaryHelper!$A$2:$A$5000,$T27,[1]SummaryHelper!$B$2:$B$5000,$U27,[1]SummaryHelper!$C$2:$C$5000,$V27))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12" t="str">
        <f t="shared" si="0"/>
        <v/>
      </c>
      <c r="C28" s="9" t="str">
        <f t="shared" ca="1" si="1"/>
        <v/>
      </c>
      <c r="D28" s="9" t="str">
        <f t="shared" ca="1" si="2"/>
        <v/>
      </c>
      <c r="E28" s="9" t="str">
        <f t="shared" ca="1" si="3"/>
        <v/>
      </c>
      <c r="F28" s="9" t="str">
        <f t="shared" si="4"/>
        <v/>
      </c>
      <c r="G28" s="9" t="str">
        <f t="shared" si="5"/>
        <v/>
      </c>
      <c r="I28" t="str">
        <v>MATERIALS</v>
      </c>
      <c r="J28" t="str">
        <v>Door Hinges 3/8" x 1-1/4" x 2"</v>
      </c>
      <c r="K28" t="str">
        <v>PCS</v>
      </c>
      <c r="L28" s="9">
        <f>IF($J28="","",IFERROR(SUMIFS(SummaryHelper!$H$2:$H$5000,SummaryHelper!$A$2:$A$5000,$I28,SummaryHelper!$B$2:$B$5000,$J28,SummaryHelper!$C$2:$C$5000,$K28)/SUMIFS(SummaryHelper!$G$2:$G$5000,SummaryHelper!$A$2:$A$5000,$I28,SummaryHelper!$B$2:$B$5000,$J28,SummaryHelper!$C$2:$C$5000,$K28),""))</f>
        <v>0.85</v>
      </c>
      <c r="M28" s="9">
        <f>IF($J28="","",SUMIFS(SummaryHelper!$E$2:$E$5000,SummaryHelper!$A$2:$A$5000,$I28,SummaryHelper!$B$2:$B$5000,$J28,SummaryHelper!$C$2:$C$5000,$K28))</f>
        <v>3</v>
      </c>
      <c r="N28" s="9">
        <f>IF($J28="","",SUMIFS(SummaryHelper!$F$2:$F$5000,SummaryHelper!$A$2:$A$5000,$I28,SummaryHelper!$B$2:$B$5000,$J28,SummaryHelper!$C$2:$C$5000,$K28))</f>
        <v>0.05</v>
      </c>
      <c r="O28" s="9">
        <f>IF($J28="","",SUMIFS(SummaryHelper!$G$2:$G$5000,SummaryHelper!$A$2:$A$5000,$I28,SummaryHelper!$B$2:$B$5000,$J28,SummaryHelper!$C$2:$C$5000,$K28))</f>
        <v>3.1500000000000004</v>
      </c>
      <c r="Q28" s="9">
        <f t="shared" si="6"/>
        <v>4</v>
      </c>
      <c r="R28" s="9">
        <f t="shared" si="7"/>
        <v>3.4</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IF($U28="","",SUMIFS([1]SummaryHelper!$G$2:$G$5000,[1]SummaryHelper!$A$2:$A$5000,$T28,[1]SummaryHelper!$B$2:$B$5000,$U28,[1]SummaryHelper!$C$2:$C$5000,$V28))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12" t="str">
        <f t="shared" si="0"/>
        <v/>
      </c>
      <c r="C29" s="9" t="str">
        <f t="shared" ca="1" si="1"/>
        <v/>
      </c>
      <c r="D29" s="9" t="str">
        <f t="shared" ca="1" si="2"/>
        <v/>
      </c>
      <c r="E29" s="9" t="str">
        <f t="shared" ca="1" si="3"/>
        <v/>
      </c>
      <c r="F29" s="9" t="str">
        <f t="shared" si="4"/>
        <v/>
      </c>
      <c r="G29" s="9" t="str">
        <f t="shared" si="5"/>
        <v/>
      </c>
      <c r="I29" t="str">
        <v>MATERIALS</v>
      </c>
      <c r="J29" t="str">
        <v>Downpipe 110/100mm x 5.8m</v>
      </c>
      <c r="K29" t="str">
        <v>LTH</v>
      </c>
      <c r="L29" s="9">
        <f>IF($J29="","",IFERROR(SUMIFS(SummaryHelper!$H$2:$H$5000,SummaryHelper!$A$2:$A$5000,$I29,SummaryHelper!$B$2:$B$5000,$J29,SummaryHelper!$C$2:$C$5000,$K29)/SUMIFS(SummaryHelper!$G$2:$G$5000,SummaryHelper!$A$2:$A$5000,$I29,SummaryHelper!$B$2:$B$5000,$J29,SummaryHelper!$C$2:$C$5000,$K29),""))</f>
        <v>59</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295</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IF($U29="","",SUMIFS([1]SummaryHelper!$G$2:$G$5000,[1]SummaryHelper!$A$2:$A$5000,$T29,[1]SummaryHelper!$B$2:$B$5000,$U29,[1]SummaryHelper!$C$2:$C$5000,$V29))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12" t="str">
        <f t="shared" si="0"/>
        <v/>
      </c>
      <c r="C30" s="9" t="str">
        <f t="shared" ca="1" si="1"/>
        <v/>
      </c>
      <c r="D30" s="9" t="str">
        <f t="shared" ca="1" si="2"/>
        <v/>
      </c>
      <c r="E30" s="9" t="str">
        <f t="shared" ca="1" si="3"/>
        <v/>
      </c>
      <c r="F30" s="9" t="str">
        <f t="shared" si="4"/>
        <v/>
      </c>
      <c r="G30" s="9" t="str">
        <f t="shared" si="5"/>
        <v/>
      </c>
      <c r="I30" t="str">
        <v>MATERIALS</v>
      </c>
      <c r="J30" t="str">
        <v>Downpipe Adaptor Socket 4"</v>
      </c>
      <c r="K30" t="str">
        <v>PCS</v>
      </c>
      <c r="L30" s="9">
        <f>IF($J30="","",IFERROR(SUMIFS(SummaryHelper!$H$2:$H$5000,SummaryHelper!$A$2:$A$5000,$I30,SummaryHelper!$B$2:$B$5000,$J30,SummaryHelper!$C$2:$C$5000,$K30)/SUMIFS(SummaryHelper!$G$2:$G$5000,SummaryHelper!$A$2:$A$5000,$I30,SummaryHelper!$B$2:$B$5000,$J30,SummaryHelper!$C$2:$C$5000,$K30),""))</f>
        <v>6.2</v>
      </c>
      <c r="M30" s="9">
        <f>IF($J30="","",SUMIFS(SummaryHelper!$E$2:$E$5000,SummaryHelper!$A$2:$A$5000,$I30,SummaryHelper!$B$2:$B$5000,$J30,SummaryHelper!$C$2:$C$5000,$K30))</f>
        <v>4</v>
      </c>
      <c r="N30" s="9">
        <f>IF($J30="","",SUMIFS(SummaryHelper!$F$2:$F$5000,SummaryHelper!$A$2:$A$5000,$I30,SummaryHelper!$B$2:$B$5000,$J30,SummaryHelper!$C$2:$C$5000,$K30))</f>
        <v>0.05</v>
      </c>
      <c r="O30" s="9">
        <f>IF($J30="","",SUMIFS(SummaryHelper!$G$2:$G$5000,SummaryHelper!$A$2:$A$5000,$I30,SummaryHelper!$B$2:$B$5000,$J30,SummaryHelper!$C$2:$C$5000,$K30))</f>
        <v>4.2</v>
      </c>
      <c r="Q30" s="9">
        <f t="shared" si="6"/>
        <v>5</v>
      </c>
      <c r="R30" s="9">
        <f t="shared" si="7"/>
        <v>31</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IF($U30="","",SUMIFS([1]SummaryHelper!$G$2:$G$5000,[1]SummaryHelper!$A$2:$A$5000,$T30,[1]SummaryHelper!$B$2:$B$5000,$U30,[1]SummaryHelper!$C$2:$C$5000,$V30))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12" t="str">
        <f t="shared" si="0"/>
        <v/>
      </c>
      <c r="C31" s="9" t="str">
        <f t="shared" ca="1" si="1"/>
        <v/>
      </c>
      <c r="D31" s="9" t="str">
        <f t="shared" ca="1" si="2"/>
        <v/>
      </c>
      <c r="E31" s="9" t="str">
        <f t="shared" ca="1" si="3"/>
        <v/>
      </c>
      <c r="F31" s="9" t="str">
        <f t="shared" si="4"/>
        <v/>
      </c>
      <c r="G31" s="9" t="str">
        <f t="shared" si="5"/>
        <v/>
      </c>
      <c r="I31" t="str">
        <v>MATERIALS</v>
      </c>
      <c r="J31" t="str">
        <v>Downpipe Elbow 105deg</v>
      </c>
      <c r="K31" t="str">
        <v>PCS</v>
      </c>
      <c r="L31" s="9">
        <f>IF($J31="","",IFERROR(SUMIFS(SummaryHelper!$H$2:$H$5000,SummaryHelper!$A$2:$A$5000,$I31,SummaryHelper!$B$2:$B$5000,$J31,SummaryHelper!$C$2:$C$5000,$K31)/SUMIFS(SummaryHelper!$G$2:$G$5000,SummaryHelper!$A$2:$A$5000,$I31,SummaryHelper!$B$2:$B$5000,$J31,SummaryHelper!$C$2:$C$5000,$K31),""))</f>
        <v>5.6</v>
      </c>
      <c r="M31" s="9">
        <f>IF($J31="","",SUMIFS(SummaryHelper!$E$2:$E$5000,SummaryHelper!$A$2:$A$5000,$I31,SummaryHelper!$B$2:$B$5000,$J31,SummaryHelper!$C$2:$C$5000,$K31))</f>
        <v>8</v>
      </c>
      <c r="N31" s="9">
        <f>IF($J31="","",SUMIFS(SummaryHelper!$F$2:$F$5000,SummaryHelper!$A$2:$A$5000,$I31,SummaryHelper!$B$2:$B$5000,$J31,SummaryHelper!$C$2:$C$5000,$K31))</f>
        <v>0.05</v>
      </c>
      <c r="O31" s="9">
        <f>IF($J31="","",SUMIFS(SummaryHelper!$G$2:$G$5000,SummaryHelper!$A$2:$A$5000,$I31,SummaryHelper!$B$2:$B$5000,$J31,SummaryHelper!$C$2:$C$5000,$K31))</f>
        <v>8.4</v>
      </c>
      <c r="Q31" s="9">
        <f t="shared" si="6"/>
        <v>9</v>
      </c>
      <c r="R31" s="9">
        <f t="shared" si="7"/>
        <v>50.4</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IF($U31="","",SUMIFS([1]SummaryHelper!$G$2:$G$5000,[1]SummaryHelper!$A$2:$A$5000,$T31,[1]SummaryHelper!$B$2:$B$5000,$U31,[1]SummaryHelper!$C$2:$C$5000,$V31))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12" t="str">
        <f t="shared" si="0"/>
        <v/>
      </c>
      <c r="C32" s="9" t="str">
        <f t="shared" ca="1" si="1"/>
        <v/>
      </c>
      <c r="D32" s="9" t="str">
        <f t="shared" ca="1" si="2"/>
        <v/>
      </c>
      <c r="E32" s="9" t="str">
        <f t="shared" ca="1" si="3"/>
        <v/>
      </c>
      <c r="F32" s="9" t="str">
        <f t="shared" si="4"/>
        <v/>
      </c>
      <c r="G32" s="9" t="str">
        <f t="shared" si="5"/>
        <v/>
      </c>
      <c r="I32" t="str">
        <v>MATERIALS</v>
      </c>
      <c r="J32" t="str">
        <v>Downpipe Pipe Clip</v>
      </c>
      <c r="K32" t="str">
        <v>PCS</v>
      </c>
      <c r="L32" s="9">
        <f>IF($J32="","",IFERROR(SUMIFS(SummaryHelper!$H$2:$H$5000,SummaryHelper!$A$2:$A$5000,$I32,SummaryHelper!$B$2:$B$5000,$J32,SummaryHelper!$C$2:$C$5000,$K32)/SUMIFS(SummaryHelper!$G$2:$G$5000,SummaryHelper!$A$2:$A$5000,$I32,SummaryHelper!$B$2:$B$5000,$J32,SummaryHelper!$C$2:$C$5000,$K32),""))</f>
        <v>3</v>
      </c>
      <c r="M32" s="9">
        <f>IF($J32="","",SUMIFS(SummaryHelper!$E$2:$E$5000,SummaryHelper!$A$2:$A$5000,$I32,SummaryHelper!$B$2:$B$5000,$J32,SummaryHelper!$C$2:$C$5000,$K32))</f>
        <v>12</v>
      </c>
      <c r="N32" s="9">
        <f>IF($J32="","",SUMIFS(SummaryHelper!$F$2:$F$5000,SummaryHelper!$A$2:$A$5000,$I32,SummaryHelper!$B$2:$B$5000,$J32,SummaryHelper!$C$2:$C$5000,$K32))</f>
        <v>0.05</v>
      </c>
      <c r="O32" s="9">
        <f>IF($J32="","",SUMIFS(SummaryHelper!$G$2:$G$5000,SummaryHelper!$A$2:$A$5000,$I32,SummaryHelper!$B$2:$B$5000,$J32,SummaryHelper!$C$2:$C$5000,$K32))</f>
        <v>12.600000000000001</v>
      </c>
      <c r="Q32" s="9">
        <f t="shared" si="6"/>
        <v>13</v>
      </c>
      <c r="R32" s="9">
        <f t="shared" si="7"/>
        <v>39</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IF($U32="","",SUMIFS([1]SummaryHelper!$G$2:$G$5000,[1]SummaryHelper!$A$2:$A$5000,$T32,[1]SummaryHelper!$B$2:$B$5000,$U32,[1]SummaryHelper!$C$2:$C$5000,$V32))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12" t="str">
        <f t="shared" si="0"/>
        <v/>
      </c>
      <c r="C33" s="9" t="str">
        <f t="shared" ca="1" si="1"/>
        <v/>
      </c>
      <c r="D33" s="9" t="str">
        <f t="shared" ca="1" si="2"/>
        <v/>
      </c>
      <c r="E33" s="9" t="str">
        <f t="shared" ca="1" si="3"/>
        <v/>
      </c>
      <c r="F33" s="9" t="str">
        <f t="shared" si="4"/>
        <v/>
      </c>
      <c r="G33" s="9" t="str">
        <f t="shared" si="5"/>
        <v/>
      </c>
      <c r="I33" t="str">
        <v>MATERIALS</v>
      </c>
      <c r="J33" t="str">
        <v>DPM PE 0.20mm</v>
      </c>
      <c r="K33" t="str">
        <v>ROLL</v>
      </c>
      <c r="L33" s="9">
        <f>IF($J33="","",IFERROR(SUMIFS(SummaryHelper!$H$2:$H$5000,SummaryHelper!$A$2:$A$5000,$I33,SummaryHelper!$B$2:$B$5000,$J33,SummaryHelper!$C$2:$C$5000,$K33)/SUMIFS(SummaryHelper!$G$2:$G$5000,SummaryHelper!$A$2:$A$5000,$I33,SummaryHelper!$B$2:$B$5000,$J33,SummaryHelper!$C$2:$C$5000,$K33),""))</f>
        <v>180</v>
      </c>
      <c r="M33" s="9">
        <f>IF($J33="","",SUMIFS(SummaryHelper!$E$2:$E$5000,SummaryHelper!$A$2:$A$5000,$I33,SummaryHelper!$B$2:$B$5000,$J33,SummaryHelper!$C$2:$C$5000,$K33))</f>
        <v>2</v>
      </c>
      <c r="N33" s="9">
        <f>IF($J33="","",SUMIFS(SummaryHelper!$F$2:$F$5000,SummaryHelper!$A$2:$A$5000,$I33,SummaryHelper!$B$2:$B$5000,$J33,SummaryHelper!$C$2:$C$5000,$K33))</f>
        <v>0</v>
      </c>
      <c r="O33" s="9">
        <f>IF($J33="","",SUMIFS(SummaryHelper!$G$2:$G$5000,SummaryHelper!$A$2:$A$5000,$I33,SummaryHelper!$B$2:$B$5000,$J33,SummaryHelper!$C$2:$C$5000,$K33))</f>
        <v>2</v>
      </c>
      <c r="Q33" s="9">
        <f t="shared" si="6"/>
        <v>2</v>
      </c>
      <c r="R33" s="9">
        <f t="shared" si="7"/>
        <v>360</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IF($U33="","",SUMIFS([1]SummaryHelper!$G$2:$G$5000,[1]SummaryHelper!$A$2:$A$5000,$T33,[1]SummaryHelper!$B$2:$B$5000,$U33,[1]SummaryHelper!$C$2:$C$5000,$V33))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12" t="str">
        <f t="shared" si="0"/>
        <v/>
      </c>
      <c r="C34" s="9" t="str">
        <f t="shared" ca="1" si="1"/>
        <v/>
      </c>
      <c r="D34" s="9" t="str">
        <f t="shared" ca="1" si="2"/>
        <v/>
      </c>
      <c r="E34" s="9" t="str">
        <f t="shared" ca="1" si="3"/>
        <v/>
      </c>
      <c r="F34" s="9" t="str">
        <f t="shared" si="4"/>
        <v/>
      </c>
      <c r="G34" s="9" t="str">
        <f t="shared" si="5"/>
        <v/>
      </c>
      <c r="I34" t="str">
        <v>MATERIALS</v>
      </c>
      <c r="J34" t="str">
        <v>Drywall Fibre Joint Tape 50mm x 50m</v>
      </c>
      <c r="K34" t="str">
        <v>PCS</v>
      </c>
      <c r="L34" s="9">
        <f>IF($J34="","",IFERROR(SUMIFS(SummaryHelper!$H$2:$H$5000,SummaryHelper!$A$2:$A$5000,$I34,SummaryHelper!$B$2:$B$5000,$J34,SummaryHelper!$C$2:$C$5000,$K34)/SUMIFS(SummaryHelper!$G$2:$G$5000,SummaryHelper!$A$2:$A$5000,$I34,SummaryHelper!$B$2:$B$5000,$J34,SummaryHelper!$C$2:$C$5000,$K34),""))</f>
        <v>3</v>
      </c>
      <c r="M34" s="9">
        <f>IF($J34="","",SUMIFS(SummaryHelper!$E$2:$E$5000,SummaryHelper!$A$2:$A$5000,$I34,SummaryHelper!$B$2:$B$5000,$J34,SummaryHelper!$C$2:$C$5000,$K34))</f>
        <v>2</v>
      </c>
      <c r="N34" s="9">
        <f>IF($J34="","",SUMIFS(SummaryHelper!$F$2:$F$5000,SummaryHelper!$A$2:$A$5000,$I34,SummaryHelper!$B$2:$B$5000,$J34,SummaryHelper!$C$2:$C$5000,$K34))</f>
        <v>0.05</v>
      </c>
      <c r="O34" s="9">
        <f>IF($J34="","",SUMIFS(SummaryHelper!$G$2:$G$5000,SummaryHelper!$A$2:$A$5000,$I34,SummaryHelper!$B$2:$B$5000,$J34,SummaryHelper!$C$2:$C$5000,$K34))</f>
        <v>2.1</v>
      </c>
      <c r="Q34" s="9">
        <f t="shared" si="6"/>
        <v>3</v>
      </c>
      <c r="R34" s="9">
        <f t="shared" si="7"/>
        <v>9</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IF($U34="","",SUMIFS([1]SummaryHelper!$G$2:$G$5000,[1]SummaryHelper!$A$2:$A$5000,$T34,[1]SummaryHelper!$B$2:$B$5000,$U34,[1]SummaryHelper!$C$2:$C$5000,$V34))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12" t="str">
        <f t="shared" si="0"/>
        <v/>
      </c>
      <c r="C35" s="9" t="str">
        <f t="shared" ca="1" si="1"/>
        <v/>
      </c>
      <c r="D35" s="9" t="str">
        <f t="shared" ca="1" si="2"/>
        <v/>
      </c>
      <c r="E35" s="9" t="str">
        <f t="shared" ca="1" si="3"/>
        <v/>
      </c>
      <c r="F35" s="9" t="str">
        <f t="shared" si="4"/>
        <v/>
      </c>
      <c r="G35" s="9" t="str">
        <f t="shared" si="5"/>
        <v/>
      </c>
      <c r="I35" t="str">
        <v>MATERIALS</v>
      </c>
      <c r="J35" t="str">
        <v>Earth Cable 16mm2 G/Y (Estimate 15m)</v>
      </c>
      <c r="K35" t="str">
        <v>M</v>
      </c>
      <c r="L35" s="9">
        <f>IF($J35="","",IFERROR(SUMIFS(SummaryHelper!$H$2:$H$5000,SummaryHelper!$A$2:$A$5000,$I35,SummaryHelper!$B$2:$B$5000,$J35,SummaryHelper!$C$2:$C$5000,$K35)/SUMIFS(SummaryHelper!$G$2:$G$5000,SummaryHelper!$A$2:$A$5000,$I35,SummaryHelper!$B$2:$B$5000,$J35,SummaryHelper!$C$2:$C$5000,$K35),""))</f>
        <v>10.5</v>
      </c>
      <c r="M35" s="9">
        <f>IF($J35="","",SUMIFS(SummaryHelper!$E$2:$E$5000,SummaryHelper!$A$2:$A$5000,$I35,SummaryHelper!$B$2:$B$5000,$J35,SummaryHelper!$C$2:$C$5000,$K35))</f>
        <v>15</v>
      </c>
      <c r="N35" s="9">
        <f>IF($J35="","",SUMIFS(SummaryHelper!$F$2:$F$5000,SummaryHelper!$A$2:$A$5000,$I35,SummaryHelper!$B$2:$B$5000,$J35,SummaryHelper!$C$2:$C$5000,$K35))</f>
        <v>0</v>
      </c>
      <c r="O35" s="9">
        <f>IF($J35="","",SUMIFS(SummaryHelper!$G$2:$G$5000,SummaryHelper!$A$2:$A$5000,$I35,SummaryHelper!$B$2:$B$5000,$J35,SummaryHelper!$C$2:$C$5000,$K35))</f>
        <v>15</v>
      </c>
      <c r="Q35" s="9">
        <f t="shared" si="6"/>
        <v>15</v>
      </c>
      <c r="R35" s="9">
        <f t="shared" si="7"/>
        <v>157.5</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IF($U35="","",SUMIFS([1]SummaryHelper!$G$2:$G$5000,[1]SummaryHelper!$A$2:$A$5000,$T35,[1]SummaryHelper!$B$2:$B$5000,$U35,[1]SummaryHelper!$C$2:$C$5000,$V35))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12" t="str">
        <f t="shared" si="0"/>
        <v/>
      </c>
      <c r="C36" s="9" t="str">
        <f t="shared" ca="1" si="1"/>
        <v/>
      </c>
      <c r="D36" s="9" t="str">
        <f t="shared" ca="1" si="2"/>
        <v/>
      </c>
      <c r="E36" s="9" t="str">
        <f t="shared" ca="1" si="3"/>
        <v/>
      </c>
      <c r="F36" s="9" t="str">
        <f t="shared" si="4"/>
        <v/>
      </c>
      <c r="G36" s="9" t="str">
        <f t="shared" si="5"/>
        <v/>
      </c>
      <c r="I36" t="str">
        <v>MATERIALS</v>
      </c>
      <c r="J36" t="str">
        <v>EPS MCB 1P (6A/10A/16A/20A/32A)</v>
      </c>
      <c r="K36" t="str">
        <v>PCS</v>
      </c>
      <c r="L36" s="9">
        <f>IF($J36="","",IFERROR(SUMIFS(SummaryHelper!$H$2:$H$5000,SummaryHelper!$A$2:$A$5000,$I36,SummaryHelper!$B$2:$B$5000,$J36,SummaryHelper!$C$2:$C$5000,$K36)/SUMIFS(SummaryHelper!$G$2:$G$5000,SummaryHelper!$A$2:$A$5000,$I36,SummaryHelper!$B$2:$B$5000,$J36,SummaryHelper!$C$2:$C$5000,$K36),""))</f>
        <v>4.5999999999999996</v>
      </c>
      <c r="M36" s="9">
        <f>IF($J36="","",SUMIFS(SummaryHelper!$E$2:$E$5000,SummaryHelper!$A$2:$A$5000,$I36,SummaryHelper!$B$2:$B$5000,$J36,SummaryHelper!$C$2:$C$5000,$K36))</f>
        <v>4</v>
      </c>
      <c r="N36" s="9">
        <f>IF($J36="","",SUMIFS(SummaryHelper!$F$2:$F$5000,SummaryHelper!$A$2:$A$5000,$I36,SummaryHelper!$B$2:$B$5000,$J36,SummaryHelper!$C$2:$C$5000,$K36))</f>
        <v>0</v>
      </c>
      <c r="O36" s="9">
        <f>IF($J36="","",SUMIFS(SummaryHelper!$G$2:$G$5000,SummaryHelper!$A$2:$A$5000,$I36,SummaryHelper!$B$2:$B$5000,$J36,SummaryHelper!$C$2:$C$5000,$K36))</f>
        <v>4</v>
      </c>
      <c r="Q36" s="9">
        <f t="shared" si="6"/>
        <v>4</v>
      </c>
      <c r="R36" s="9">
        <f t="shared" si="7"/>
        <v>18.399999999999999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IF($U36="","",SUMIFS([1]SummaryHelper!$G$2:$G$5000,[1]SummaryHelper!$A$2:$A$5000,$T36,[1]SummaryHelper!$B$2:$B$5000,$U36,[1]SummaryHelper!$C$2:$C$5000,$V36))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12" t="str">
        <f t="shared" si="0"/>
        <v/>
      </c>
      <c r="C37" s="9" t="str">
        <f t="shared" ca="1" si="1"/>
        <v/>
      </c>
      <c r="D37" s="9" t="str">
        <f t="shared" ca="1" si="2"/>
        <v/>
      </c>
      <c r="E37" s="9" t="str">
        <f t="shared" ca="1" si="3"/>
        <v/>
      </c>
      <c r="F37" s="9" t="str">
        <f t="shared" si="4"/>
        <v/>
      </c>
      <c r="G37" s="9" t="str">
        <f t="shared" si="5"/>
        <v/>
      </c>
      <c r="I37" t="str">
        <v>MATERIALS</v>
      </c>
      <c r="J37" t="str">
        <v>EPS RCCB Single Phase 40A 2P 30mA</v>
      </c>
      <c r="K37" t="str">
        <v>PCS</v>
      </c>
      <c r="L37" s="9">
        <f>IF($J37="","",IFERROR(SUMIFS(SummaryHelper!$H$2:$H$5000,SummaryHelper!$A$2:$A$5000,$I37,SummaryHelper!$B$2:$B$5000,$J37,SummaryHelper!$C$2:$C$5000,$K37)/SUMIFS(SummaryHelper!$G$2:$G$5000,SummaryHelper!$A$2:$A$5000,$I37,SummaryHelper!$B$2:$B$5000,$J37,SummaryHelper!$C$2:$C$5000,$K37),""))</f>
        <v>59</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59</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IF($U37="","",SUMIFS([1]SummaryHelper!$G$2:$G$5000,[1]SummaryHelper!$A$2:$A$5000,$T37,[1]SummaryHelper!$B$2:$B$5000,$U37,[1]SummaryHelper!$C$2:$C$5000,$V37))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12" t="str">
        <f t="shared" si="0"/>
        <v/>
      </c>
      <c r="C38" s="9" t="str">
        <f t="shared" ca="1" si="1"/>
        <v/>
      </c>
      <c r="D38" s="9" t="str">
        <f t="shared" ca="1" si="2"/>
        <v/>
      </c>
      <c r="E38" s="9" t="str">
        <f t="shared" ca="1" si="3"/>
        <v/>
      </c>
      <c r="F38" s="9" t="str">
        <f t="shared" si="4"/>
        <v/>
      </c>
      <c r="G38" s="9" t="str">
        <f t="shared" si="5"/>
        <v/>
      </c>
      <c r="I38" t="str">
        <v>MATERIALS</v>
      </c>
      <c r="J38" t="str">
        <v>EPS SPD Single Phase 1P+N 20/40kA</v>
      </c>
      <c r="K38" t="str">
        <v>PCS</v>
      </c>
      <c r="L38" s="9">
        <f>IF($J38="","",IFERROR(SUMIFS(SummaryHelper!$H$2:$H$5000,SummaryHelper!$A$2:$A$5000,$I38,SummaryHelper!$B$2:$B$5000,$J38,SummaryHelper!$C$2:$C$5000,$K38)/SUMIFS(SummaryHelper!$G$2:$G$5000,SummaryHelper!$A$2:$A$5000,$I38,SummaryHelper!$B$2:$B$5000,$J38,SummaryHelper!$C$2:$C$5000,$K38),""))</f>
        <v>165</v>
      </c>
      <c r="M38" s="9">
        <f>IF($J38="","",SUMIFS(SummaryHelper!$E$2:$E$5000,SummaryHelper!$A$2:$A$5000,$I38,SummaryHelper!$B$2:$B$5000,$J38,SummaryHelper!$C$2:$C$5000,$K38))</f>
        <v>1</v>
      </c>
      <c r="N38" s="9">
        <f>IF($J38="","",SUMIFS(SummaryHelper!$F$2:$F$5000,SummaryHelper!$A$2:$A$5000,$I38,SummaryHelper!$B$2:$B$5000,$J38,SummaryHelper!$C$2:$C$5000,$K38))</f>
        <v>0</v>
      </c>
      <c r="O38" s="9">
        <f>IF($J38="","",SUMIFS(SummaryHelper!$G$2:$G$5000,SummaryHelper!$A$2:$A$5000,$I38,SummaryHelper!$B$2:$B$5000,$J38,SummaryHelper!$C$2:$C$5000,$K38))</f>
        <v>1</v>
      </c>
      <c r="Q38" s="9">
        <f t="shared" si="6"/>
        <v>1</v>
      </c>
      <c r="R38" s="9">
        <f t="shared" si="7"/>
        <v>165</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IF($U38="","",SUMIFS([1]SummaryHelper!$G$2:$G$5000,[1]SummaryHelper!$A$2:$A$5000,$T38,[1]SummaryHelper!$B$2:$B$5000,$U38,[1]SummaryHelper!$C$2:$C$5000,$V38))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12" t="str">
        <f t="shared" si="0"/>
        <v/>
      </c>
      <c r="C39" s="9" t="str">
        <f t="shared" ca="1" si="1"/>
        <v/>
      </c>
      <c r="D39" s="9" t="str">
        <f t="shared" ca="1" si="2"/>
        <v/>
      </c>
      <c r="E39" s="9" t="str">
        <f t="shared" ca="1" si="3"/>
        <v/>
      </c>
      <c r="F39" s="9" t="str">
        <f t="shared" si="4"/>
        <v/>
      </c>
      <c r="G39" s="9" t="str">
        <f t="shared" si="5"/>
        <v/>
      </c>
      <c r="I39" t="str">
        <v>MATERIALS</v>
      </c>
      <c r="J39" t="str">
        <v>Fine Sand (10-Wheel Truck)</v>
      </c>
      <c r="K39" t="str">
        <v>TRIP</v>
      </c>
      <c r="L39" s="9">
        <f>IF($J39="","",IFERROR(SUMIFS(SummaryHelper!$H$2:$H$5000,SummaryHelper!$A$2:$A$5000,$I39,SummaryHelper!$B$2:$B$5000,$J39,SummaryHelper!$C$2:$C$5000,$K39)/SUMIFS(SummaryHelper!$G$2:$G$5000,SummaryHelper!$A$2:$A$5000,$I39,SummaryHelper!$B$2:$B$5000,$J39,SummaryHelper!$C$2:$C$5000,$K39),""))</f>
        <v>949.99999999999989</v>
      </c>
      <c r="M39" s="9">
        <f>IF($J39="","",SUMIFS(SummaryHelper!$E$2:$E$5000,SummaryHelper!$A$2:$A$5000,$I39,SummaryHelper!$B$2:$B$5000,$J39,SummaryHelper!$C$2:$C$5000,$K39))</f>
        <v>0.22000000000000003</v>
      </c>
      <c r="N39" s="9">
        <f>IF($J39="","",SUMIFS(SummaryHelper!$F$2:$F$5000,SummaryHelper!$A$2:$A$5000,$I39,SummaryHelper!$B$2:$B$5000,$J39,SummaryHelper!$C$2:$C$5000,$K39))</f>
        <v>0</v>
      </c>
      <c r="O39" s="9">
        <f>IF($J39="","",SUMIFS(SummaryHelper!$G$2:$G$5000,SummaryHelper!$A$2:$A$5000,$I39,SummaryHelper!$B$2:$B$5000,$J39,SummaryHelper!$C$2:$C$5000,$K39))</f>
        <v>0.22000000000000003</v>
      </c>
      <c r="Q39" s="9">
        <f t="shared" si="6"/>
        <v>1</v>
      </c>
      <c r="R39" s="9">
        <f t="shared" si="7"/>
        <v>949.99999999999989</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IF($U39="","",SUMIFS([1]SummaryHelper!$G$2:$G$5000,[1]SummaryHelper!$A$2:$A$5000,$T39,[1]SummaryHelper!$B$2:$B$5000,$U39,[1]SummaryHelper!$C$2:$C$5000,$V39))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12" t="str">
        <f t="shared" si="0"/>
        <v/>
      </c>
      <c r="C40" s="9" t="str">
        <f t="shared" ca="1" si="1"/>
        <v/>
      </c>
      <c r="D40" s="9" t="str">
        <f t="shared" ca="1" si="2"/>
        <v/>
      </c>
      <c r="E40" s="9" t="str">
        <f t="shared" ca="1" si="3"/>
        <v/>
      </c>
      <c r="F40" s="9" t="str">
        <f t="shared" si="4"/>
        <v/>
      </c>
      <c r="G40" s="9" t="str">
        <f t="shared" si="5"/>
        <v/>
      </c>
      <c r="I40" t="str">
        <v>MATERIALS</v>
      </c>
      <c r="J40" t="str">
        <v>Fine Sand (Scoop)</v>
      </c>
      <c r="K40" t="str">
        <v>SCOOP</v>
      </c>
      <c r="L40" s="9">
        <f>IF($J40="","",IFERROR(SUMIFS(SummaryHelper!$H$2:$H$5000,SummaryHelper!$A$2:$A$5000,$I40,SummaryHelper!$B$2:$B$5000,$J40,SummaryHelper!$C$2:$C$5000,$K40)/SUMIFS(SummaryHelper!$G$2:$G$5000,SummaryHelper!$A$2:$A$5000,$I40,SummaryHelper!$B$2:$B$5000,$J40,SummaryHelper!$C$2:$C$5000,$K40),""))</f>
        <v>80</v>
      </c>
      <c r="M40" s="9">
        <f>IF($J40="","",SUMIFS(SummaryHelper!$E$2:$E$5000,SummaryHelper!$A$2:$A$5000,$I40,SummaryHelper!$B$2:$B$5000,$J40,SummaryHelper!$C$2:$C$5000,$K40))</f>
        <v>2</v>
      </c>
      <c r="N40" s="9">
        <f>IF($J40="","",SUMIFS(SummaryHelper!$F$2:$F$5000,SummaryHelper!$A$2:$A$5000,$I40,SummaryHelper!$B$2:$B$5000,$J40,SummaryHelper!$C$2:$C$5000,$K40))</f>
        <v>0</v>
      </c>
      <c r="O40" s="9">
        <f>IF($J40="","",SUMIFS(SummaryHelper!$G$2:$G$5000,SummaryHelper!$A$2:$A$5000,$I40,SummaryHelper!$B$2:$B$5000,$J40,SummaryHelper!$C$2:$C$5000,$K40))</f>
        <v>2</v>
      </c>
      <c r="Q40" s="9">
        <f t="shared" si="6"/>
        <v>2</v>
      </c>
      <c r="R40" s="9">
        <f t="shared" si="7"/>
        <v>160</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IF($U40="","",SUMIFS([1]SummaryHelper!$G$2:$G$5000,[1]SummaryHelper!$A$2:$A$5000,$T40,[1]SummaryHelper!$B$2:$B$5000,$U40,[1]SummaryHelper!$C$2:$C$5000,$V40))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12" t="str">
        <f t="shared" si="0"/>
        <v/>
      </c>
      <c r="C41" s="9" t="str">
        <f t="shared" ca="1" si="1"/>
        <v/>
      </c>
      <c r="D41" s="9" t="str">
        <f t="shared" ca="1" si="2"/>
        <v/>
      </c>
      <c r="E41" s="9" t="str">
        <f t="shared" ca="1" si="3"/>
        <v/>
      </c>
      <c r="F41" s="9" t="str">
        <f t="shared" si="4"/>
        <v/>
      </c>
      <c r="G41" s="9" t="str">
        <f t="shared" si="5"/>
        <v/>
      </c>
      <c r="I41" t="str">
        <v>MATERIALS</v>
      </c>
      <c r="J41" t="str">
        <v>Flashing #30 12" x 8.00ft</v>
      </c>
      <c r="K41" t="str">
        <v>PCS</v>
      </c>
      <c r="L41" s="9">
        <f>IF($J41="","",IFERROR(SUMIFS(SummaryHelper!$H$2:$H$5000,SummaryHelper!$A$2:$A$5000,$I41,SummaryHelper!$B$2:$B$5000,$J41,SummaryHelper!$C$2:$C$5000,$K41)/SUMIFS(SummaryHelper!$G$2:$G$5000,SummaryHelper!$A$2:$A$5000,$I41,SummaryHelper!$B$2:$B$5000,$J41,SummaryHelper!$C$2:$C$5000,$K41),""))</f>
        <v>28</v>
      </c>
      <c r="M41" s="9">
        <f>IF($J41="","",SUMIFS(SummaryHelper!$E$2:$E$5000,SummaryHelper!$A$2:$A$5000,$I41,SummaryHelper!$B$2:$B$5000,$J41,SummaryHelper!$C$2:$C$5000,$K41))</f>
        <v>18</v>
      </c>
      <c r="N41" s="9">
        <f>IF($J41="","",SUMIFS(SummaryHelper!$F$2:$F$5000,SummaryHelper!$A$2:$A$5000,$I41,SummaryHelper!$B$2:$B$5000,$J41,SummaryHelper!$C$2:$C$5000,$K41))</f>
        <v>0.05</v>
      </c>
      <c r="O41" s="9">
        <f>IF($J41="","",SUMIFS(SummaryHelper!$G$2:$G$5000,SummaryHelper!$A$2:$A$5000,$I41,SummaryHelper!$B$2:$B$5000,$J41,SummaryHelper!$C$2:$C$5000,$K41))</f>
        <v>18.5</v>
      </c>
      <c r="Q41" s="9">
        <f t="shared" si="6"/>
        <v>19</v>
      </c>
      <c r="R41" s="9">
        <f t="shared" si="7"/>
        <v>532</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IF($U41="","",SUMIFS([1]SummaryHelper!$G$2:$G$5000,[1]SummaryHelper!$A$2:$A$5000,$T41,[1]SummaryHelper!$B$2:$B$5000,$U41,[1]SummaryHelper!$C$2:$C$5000,$V41))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12" t="str">
        <f t="shared" si="0"/>
        <v/>
      </c>
      <c r="C42" s="9" t="str">
        <f t="shared" ca="1" si="1"/>
        <v/>
      </c>
      <c r="D42" s="9" t="str">
        <f t="shared" ca="1" si="2"/>
        <v/>
      </c>
      <c r="E42" s="9" t="str">
        <f t="shared" ca="1" si="3"/>
        <v/>
      </c>
      <c r="F42" s="9" t="str">
        <f t="shared" si="4"/>
        <v/>
      </c>
      <c r="G42" s="9" t="str">
        <f t="shared" si="5"/>
        <v/>
      </c>
      <c r="I42" t="str">
        <v>MATERIALS</v>
      </c>
      <c r="J42" t="str">
        <v>Flashing V-Shape 18" x 8.00ft x No.28 Red</v>
      </c>
      <c r="K42" t="str">
        <v>PCS</v>
      </c>
      <c r="L42" s="9">
        <f>IF($J42="","",IFERROR(SUMIFS(SummaryHelper!$H$2:$H$5000,SummaryHelper!$A$2:$A$5000,$I42,SummaryHelper!$B$2:$B$5000,$J42,SummaryHelper!$C$2:$C$5000,$K42)/SUMIFS(SummaryHelper!$G$2:$G$5000,SummaryHelper!$A$2:$A$5000,$I42,SummaryHelper!$B$2:$B$5000,$J42,SummaryHelper!$C$2:$C$5000,$K42),""))</f>
        <v>25</v>
      </c>
      <c r="M42" s="9">
        <f>IF($J42="","",SUMIFS(SummaryHelper!$E$2:$E$5000,SummaryHelper!$A$2:$A$5000,$I42,SummaryHelper!$B$2:$B$5000,$J42,SummaryHelper!$C$2:$C$5000,$K42))</f>
        <v>4</v>
      </c>
      <c r="N42" s="9">
        <f>IF($J42="","",SUMIFS(SummaryHelper!$F$2:$F$5000,SummaryHelper!$A$2:$A$5000,$I42,SummaryHelper!$B$2:$B$5000,$J42,SummaryHelper!$C$2:$C$5000,$K42))</f>
        <v>0</v>
      </c>
      <c r="O42" s="9">
        <f>IF($J42="","",SUMIFS(SummaryHelper!$G$2:$G$5000,SummaryHelper!$A$2:$A$5000,$I42,SummaryHelper!$B$2:$B$5000,$J42,SummaryHelper!$C$2:$C$5000,$K42))</f>
        <v>4</v>
      </c>
      <c r="Q42" s="9">
        <f t="shared" si="6"/>
        <v>4</v>
      </c>
      <c r="R42" s="9">
        <f t="shared" si="7"/>
        <v>100</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IF($U42="","",SUMIFS([1]SummaryHelper!$G$2:$G$5000,[1]SummaryHelper!$A$2:$A$5000,$T42,[1]SummaryHelper!$B$2:$B$5000,$U42,[1]SummaryHelper!$C$2:$C$5000,$V42))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12" t="str">
        <f t="shared" si="0"/>
        <v/>
      </c>
      <c r="C43" s="9" t="str">
        <f t="shared" ca="1" si="1"/>
        <v/>
      </c>
      <c r="D43" s="9" t="str">
        <f t="shared" ca="1" si="2"/>
        <v/>
      </c>
      <c r="E43" s="9" t="str">
        <f t="shared" ca="1" si="3"/>
        <v/>
      </c>
      <c r="F43" s="9" t="str">
        <f t="shared" si="4"/>
        <v/>
      </c>
      <c r="G43" s="9" t="str">
        <f t="shared" si="5"/>
        <v/>
      </c>
      <c r="I43" t="str">
        <v>MATERIALS</v>
      </c>
      <c r="J43" t="str">
        <v>Flexible Hose Latina 10"</v>
      </c>
      <c r="K43" t="str">
        <v>PCS</v>
      </c>
      <c r="L43" s="9">
        <f>IF($J43="","",IFERROR(SUMIFS(SummaryHelper!$H$2:$H$5000,SummaryHelper!$A$2:$A$5000,$I43,SummaryHelper!$B$2:$B$5000,$J43,SummaryHelper!$C$2:$C$5000,$K43)/SUMIFS(SummaryHelper!$G$2:$G$5000,SummaryHelper!$A$2:$A$5000,$I43,SummaryHelper!$B$2:$B$5000,$J43,SummaryHelper!$C$2:$C$5000,$K43),""))</f>
        <v>6</v>
      </c>
      <c r="M43" s="9">
        <f>IF($J43="","",SUMIFS(SummaryHelper!$E$2:$E$5000,SummaryHelper!$A$2:$A$5000,$I43,SummaryHelper!$B$2:$B$5000,$J43,SummaryHelper!$C$2:$C$5000,$K43))</f>
        <v>2</v>
      </c>
      <c r="N43" s="9">
        <f>IF($J43="","",SUMIFS(SummaryHelper!$F$2:$F$5000,SummaryHelper!$A$2:$A$5000,$I43,SummaryHelper!$B$2:$B$5000,$J43,SummaryHelper!$C$2:$C$5000,$K43))</f>
        <v>0</v>
      </c>
      <c r="O43" s="9">
        <f>IF($J43="","",SUMIFS(SummaryHelper!$G$2:$G$5000,SummaryHelper!$A$2:$A$5000,$I43,SummaryHelper!$B$2:$B$5000,$J43,SummaryHelper!$C$2:$C$5000,$K43))</f>
        <v>2</v>
      </c>
      <c r="Q43" s="9">
        <f t="shared" si="6"/>
        <v>2</v>
      </c>
      <c r="R43" s="9">
        <f t="shared" si="7"/>
        <v>12</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IF($U43="","",SUMIFS([1]SummaryHelper!$G$2:$G$5000,[1]SummaryHelper!$A$2:$A$5000,$T43,[1]SummaryHelper!$B$2:$B$5000,$U43,[1]SummaryHelper!$C$2:$C$5000,$V43))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12" t="str">
        <f t="shared" si="0"/>
        <v/>
      </c>
      <c r="C44" s="9" t="str">
        <f t="shared" ca="1" si="1"/>
        <v/>
      </c>
      <c r="D44" s="9" t="str">
        <f t="shared" ca="1" si="2"/>
        <v/>
      </c>
      <c r="E44" s="9" t="str">
        <f t="shared" ca="1" si="3"/>
        <v/>
      </c>
      <c r="F44" s="9" t="str">
        <f t="shared" si="4"/>
        <v/>
      </c>
      <c r="G44" s="9" t="str">
        <f t="shared" si="5"/>
        <v/>
      </c>
      <c r="I44" t="str">
        <v>MATERIALS</v>
      </c>
      <c r="J44" t="str">
        <v>GI Batten 32.00mm x 40.00mm x 0.42mm x 6.00m</v>
      </c>
      <c r="K44" t="str">
        <v>PCS</v>
      </c>
      <c r="L44" s="9">
        <f>IF($J44="","",IFERROR(SUMIFS(SummaryHelper!$H$2:$H$5000,SummaryHelper!$A$2:$A$5000,$I44,SummaryHelper!$B$2:$B$5000,$J44,SummaryHelper!$C$2:$C$5000,$K44)/SUMIFS(SummaryHelper!$G$2:$G$5000,SummaryHelper!$A$2:$A$5000,$I44,SummaryHelper!$B$2:$B$5000,$J44,SummaryHelper!$C$2:$C$5000,$K44),""))</f>
        <v>22</v>
      </c>
      <c r="M44" s="9">
        <f>IF($J44="","",SUMIFS(SummaryHelper!$E$2:$E$5000,SummaryHelper!$A$2:$A$5000,$I44,SummaryHelper!$B$2:$B$5000,$J44,SummaryHelper!$C$2:$C$5000,$K44))</f>
        <v>26</v>
      </c>
      <c r="N44" s="9">
        <f>IF($J44="","",SUMIFS(SummaryHelper!$F$2:$F$5000,SummaryHelper!$A$2:$A$5000,$I44,SummaryHelper!$B$2:$B$5000,$J44,SummaryHelper!$C$2:$C$5000,$K44))</f>
        <v>0.05</v>
      </c>
      <c r="O44" s="9">
        <f>IF($J44="","",SUMIFS(SummaryHelper!$G$2:$G$5000,SummaryHelper!$A$2:$A$5000,$I44,SummaryHelper!$B$2:$B$5000,$J44,SummaryHelper!$C$2:$C$5000,$K44))</f>
        <v>27.3</v>
      </c>
      <c r="Q44" s="9">
        <f t="shared" si="6"/>
        <v>28</v>
      </c>
      <c r="R44" s="9">
        <f t="shared" si="7"/>
        <v>616</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IF($U44="","",SUMIFS([1]SummaryHelper!$G$2:$G$5000,[1]SummaryHelper!$A$2:$A$5000,$T44,[1]SummaryHelper!$B$2:$B$5000,$U44,[1]SummaryHelper!$C$2:$C$5000,$V44))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12" t="str">
        <f t="shared" si="0"/>
        <v/>
      </c>
      <c r="C45" s="9" t="str">
        <f t="shared" ca="1" si="1"/>
        <v/>
      </c>
      <c r="D45" s="9" t="str">
        <f t="shared" ca="1" si="2"/>
        <v/>
      </c>
      <c r="E45" s="9" t="str">
        <f t="shared" ca="1" si="3"/>
        <v/>
      </c>
      <c r="F45" s="9" t="str">
        <f t="shared" si="4"/>
        <v/>
      </c>
      <c r="G45" s="9" t="str">
        <f t="shared" si="5"/>
        <v/>
      </c>
      <c r="I45" t="str">
        <v>MATERIALS</v>
      </c>
      <c r="J45" t="str">
        <v>GI Bracing 2440mm</v>
      </c>
      <c r="K45" t="str">
        <v>LTH</v>
      </c>
      <c r="L45" s="9">
        <f>IF($J45="","",IFERROR(SUMIFS(SummaryHelper!$H$2:$H$5000,SummaryHelper!$A$2:$A$5000,$I45,SummaryHelper!$B$2:$B$5000,$J45,SummaryHelper!$C$2:$C$5000,$K45)/SUMIFS(SummaryHelper!$G$2:$G$5000,SummaryHelper!$A$2:$A$5000,$I45,SummaryHelper!$B$2:$B$5000,$J45,SummaryHelper!$C$2:$C$5000,$K45),""))</f>
        <v>3.5</v>
      </c>
      <c r="M45" s="9">
        <f>IF($J45="","",SUMIFS(SummaryHelper!$E$2:$E$5000,SummaryHelper!$A$2:$A$5000,$I45,SummaryHelper!$B$2:$B$5000,$J45,SummaryHelper!$C$2:$C$5000,$K45))</f>
        <v>30</v>
      </c>
      <c r="N45" s="9">
        <f>IF($J45="","",SUMIFS(SummaryHelper!$F$2:$F$5000,SummaryHelper!$A$2:$A$5000,$I45,SummaryHelper!$B$2:$B$5000,$J45,SummaryHelper!$C$2:$C$5000,$K45))</f>
        <v>0.05</v>
      </c>
      <c r="O45" s="9">
        <f>IF($J45="","",SUMIFS(SummaryHelper!$G$2:$G$5000,SummaryHelper!$A$2:$A$5000,$I45,SummaryHelper!$B$2:$B$5000,$J45,SummaryHelper!$C$2:$C$5000,$K45))</f>
        <v>31.5</v>
      </c>
      <c r="Q45" s="9">
        <f t="shared" si="6"/>
        <v>32</v>
      </c>
      <c r="R45" s="9">
        <f t="shared" si="7"/>
        <v>112</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IF($U45="","",SUMIFS([1]SummaryHelper!$G$2:$G$5000,[1]SummaryHelper!$A$2:$A$5000,$T45,[1]SummaryHelper!$B$2:$B$5000,$U45,[1]SummaryHelper!$C$2:$C$5000,$V45))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12" t="str">
        <f t="shared" si="0"/>
        <v/>
      </c>
      <c r="C46" s="9" t="str">
        <f t="shared" ca="1" si="1"/>
        <v/>
      </c>
      <c r="D46" s="9" t="str">
        <f t="shared" ca="1" si="2"/>
        <v/>
      </c>
      <c r="E46" s="9" t="str">
        <f t="shared" ca="1" si="3"/>
        <v/>
      </c>
      <c r="F46" s="9" t="str">
        <f t="shared" si="4"/>
        <v/>
      </c>
      <c r="G46" s="9" t="str">
        <f t="shared" si="5"/>
        <v/>
      </c>
      <c r="I46" t="str">
        <v>MATERIALS</v>
      </c>
      <c r="J46" t="str">
        <v>GI Carrier Rail (MF) 4880.00mm</v>
      </c>
      <c r="K46" t="str">
        <v>PCS</v>
      </c>
      <c r="L46" s="9">
        <f>IF($J46="","",IFERROR(SUMIFS(SummaryHelper!$H$2:$H$5000,SummaryHelper!$A$2:$A$5000,$I46,SummaryHelper!$B$2:$B$5000,$J46,SummaryHelper!$C$2:$C$5000,$K46)/SUMIFS(SummaryHelper!$G$2:$G$5000,SummaryHelper!$A$2:$A$5000,$I46,SummaryHelper!$B$2:$B$5000,$J46,SummaryHelper!$C$2:$C$5000,$K46),""))</f>
        <v>20</v>
      </c>
      <c r="M46" s="9">
        <f>IF($J46="","",SUMIFS(SummaryHelper!$E$2:$E$5000,SummaryHelper!$A$2:$A$5000,$I46,SummaryHelper!$B$2:$B$5000,$J46,SummaryHelper!$C$2:$C$5000,$K46))</f>
        <v>12</v>
      </c>
      <c r="N46" s="9">
        <f>IF($J46="","",SUMIFS(SummaryHelper!$F$2:$F$5000,SummaryHelper!$A$2:$A$5000,$I46,SummaryHelper!$B$2:$B$5000,$J46,SummaryHelper!$C$2:$C$5000,$K46))</f>
        <v>0.05</v>
      </c>
      <c r="O46" s="9">
        <f>IF($J46="","",SUMIFS(SummaryHelper!$G$2:$G$5000,SummaryHelper!$A$2:$A$5000,$I46,SummaryHelper!$B$2:$B$5000,$J46,SummaryHelper!$C$2:$C$5000,$K46))</f>
        <v>12.600000000000001</v>
      </c>
      <c r="Q46" s="9">
        <f t="shared" si="6"/>
        <v>13</v>
      </c>
      <c r="R46" s="9">
        <f t="shared" si="7"/>
        <v>260</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IF($U46="","",SUMIFS([1]SummaryHelper!$G$2:$G$5000,[1]SummaryHelper!$A$2:$A$5000,$T46,[1]SummaryHelper!$B$2:$B$5000,$U46,[1]SummaryHelper!$C$2:$C$5000,$V46))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12" t="str">
        <f t="shared" si="0"/>
        <v/>
      </c>
      <c r="C47" s="9" t="str">
        <f t="shared" ca="1" si="1"/>
        <v/>
      </c>
      <c r="D47" s="9" t="str">
        <f t="shared" ca="1" si="2"/>
        <v/>
      </c>
      <c r="E47" s="9" t="str">
        <f t="shared" ca="1" si="3"/>
        <v/>
      </c>
      <c r="F47" s="9" t="str">
        <f t="shared" si="4"/>
        <v/>
      </c>
      <c r="G47" s="9" t="str">
        <f t="shared" si="5"/>
        <v/>
      </c>
      <c r="I47" t="str">
        <v>MATERIALS</v>
      </c>
      <c r="J47" t="str">
        <v>GI Wire 20#</v>
      </c>
      <c r="K47" t="str">
        <v>ROLL</v>
      </c>
      <c r="L47" s="9">
        <f>IF($J47="","",IFERROR(SUMIFS(SummaryHelper!$H$2:$H$5000,SummaryHelper!$A$2:$A$5000,$I47,SummaryHelper!$B$2:$B$5000,$J47,SummaryHelper!$C$2:$C$5000,$K47)/SUMIFS(SummaryHelper!$G$2:$G$5000,SummaryHelper!$A$2:$A$5000,$I47,SummaryHelper!$B$2:$B$5000,$J47,SummaryHelper!$C$2:$C$5000,$K47),""))</f>
        <v>14</v>
      </c>
      <c r="M47" s="9">
        <f>IF($J47="","",SUMIFS(SummaryHelper!$E$2:$E$5000,SummaryHelper!$A$2:$A$5000,$I47,SummaryHelper!$B$2:$B$5000,$J47,SummaryHelper!$C$2:$C$5000,$K47))</f>
        <v>2</v>
      </c>
      <c r="N47" s="9">
        <f>IF($J47="","",SUMIFS(SummaryHelper!$F$2:$F$5000,SummaryHelper!$A$2:$A$5000,$I47,SummaryHelper!$B$2:$B$5000,$J47,SummaryHelper!$C$2:$C$5000,$K47))</f>
        <v>0</v>
      </c>
      <c r="O47" s="9">
        <f>IF($J47="","",SUMIFS(SummaryHelper!$G$2:$G$5000,SummaryHelper!$A$2:$A$5000,$I47,SummaryHelper!$B$2:$B$5000,$J47,SummaryHelper!$C$2:$C$5000,$K47))</f>
        <v>2</v>
      </c>
      <c r="Q47" s="9">
        <f t="shared" si="6"/>
        <v>2</v>
      </c>
      <c r="R47" s="9">
        <f t="shared" si="7"/>
        <v>28</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IF($U47="","",SUMIFS([1]SummaryHelper!$G$2:$G$5000,[1]SummaryHelper!$A$2:$A$5000,$T47,[1]SummaryHelper!$B$2:$B$5000,$U47,[1]SummaryHelper!$C$2:$C$5000,$V47))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12" t="str">
        <f t="shared" si="0"/>
        <v/>
      </c>
      <c r="C48" s="9" t="str">
        <f t="shared" ca="1" si="1"/>
        <v/>
      </c>
      <c r="D48" s="9" t="str">
        <f t="shared" ca="1" si="2"/>
        <v/>
      </c>
      <c r="E48" s="9" t="str">
        <f t="shared" ca="1" si="3"/>
        <v/>
      </c>
      <c r="F48" s="9" t="str">
        <f t="shared" si="4"/>
        <v/>
      </c>
      <c r="G48" s="9" t="str">
        <f t="shared" si="5"/>
        <v/>
      </c>
      <c r="I48" t="str">
        <v>MATERIALS</v>
      </c>
      <c r="J48" t="str">
        <v>Hex Self-Drilling Screw DS525HW 10# x 1"</v>
      </c>
      <c r="K48" t="str">
        <v>PCS</v>
      </c>
      <c r="L48" s="9">
        <f>IF($J48="","",IFERROR(SUMIFS(SummaryHelper!$H$2:$H$5000,SummaryHelper!$A$2:$A$5000,$I48,SummaryHelper!$B$2:$B$5000,$J48,SummaryHelper!$C$2:$C$5000,$K48)/SUMIFS(SummaryHelper!$G$2:$G$5000,SummaryHelper!$A$2:$A$5000,$I48,SummaryHelper!$B$2:$B$5000,$J48,SummaryHelper!$C$2:$C$5000,$K48),""))</f>
        <v>0.13</v>
      </c>
      <c r="M48" s="9">
        <f>IF($J48="","",SUMIFS(SummaryHelper!$E$2:$E$5000,SummaryHelper!$A$2:$A$5000,$I48,SummaryHelper!$B$2:$B$5000,$J48,SummaryHelper!$C$2:$C$5000,$K48))</f>
        <v>1600</v>
      </c>
      <c r="N48" s="9">
        <f>IF($J48="","",SUMIFS(SummaryHelper!$F$2:$F$5000,SummaryHelper!$A$2:$A$5000,$I48,SummaryHelper!$B$2:$B$5000,$J48,SummaryHelper!$C$2:$C$5000,$K48))</f>
        <v>0.05</v>
      </c>
      <c r="O48" s="9">
        <f>IF($J48="","",SUMIFS(SummaryHelper!$G$2:$G$5000,SummaryHelper!$A$2:$A$5000,$I48,SummaryHelper!$B$2:$B$5000,$J48,SummaryHelper!$C$2:$C$5000,$K48))</f>
        <v>1660</v>
      </c>
      <c r="Q48" s="9">
        <f t="shared" si="6"/>
        <v>1660</v>
      </c>
      <c r="R48" s="9">
        <f t="shared" si="7"/>
        <v>215.8</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IF($U48="","",SUMIFS([1]SummaryHelper!$G$2:$G$5000,[1]SummaryHelper!$A$2:$A$5000,$T48,[1]SummaryHelper!$B$2:$B$5000,$U48,[1]SummaryHelper!$C$2:$C$5000,$V48))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12" t="str">
        <f t="shared" si="0"/>
        <v/>
      </c>
      <c r="C49" s="9" t="str">
        <f t="shared" ca="1" si="1"/>
        <v/>
      </c>
      <c r="D49" s="9" t="str">
        <f t="shared" ca="1" si="2"/>
        <v/>
      </c>
      <c r="E49" s="9" t="str">
        <f t="shared" ca="1" si="3"/>
        <v/>
      </c>
      <c r="F49" s="9" t="str">
        <f t="shared" si="4"/>
        <v/>
      </c>
      <c r="G49" s="9" t="str">
        <f t="shared" si="5"/>
        <v/>
      </c>
      <c r="I49" t="str">
        <v>MATERIALS</v>
      </c>
      <c r="J49" t="str">
        <v>LED Downlight 4in 12W</v>
      </c>
      <c r="K49" t="str">
        <v>PCS</v>
      </c>
      <c r="L49" s="9">
        <f>IF($J49="","",IFERROR(SUMIFS(SummaryHelper!$H$2:$H$5000,SummaryHelper!$A$2:$A$5000,$I49,SummaryHelper!$B$2:$B$5000,$J49,SummaryHelper!$C$2:$C$5000,$K49)/SUMIFS(SummaryHelper!$G$2:$G$5000,SummaryHelper!$A$2:$A$5000,$I49,SummaryHelper!$B$2:$B$5000,$J49,SummaryHelper!$C$2:$C$5000,$K49),""))</f>
        <v>9.9</v>
      </c>
      <c r="M49" s="9">
        <f>IF($J49="","",SUMIFS(SummaryHelper!$E$2:$E$5000,SummaryHelper!$A$2:$A$5000,$I49,SummaryHelper!$B$2:$B$5000,$J49,SummaryHelper!$C$2:$C$5000,$K49))</f>
        <v>10</v>
      </c>
      <c r="N49" s="9">
        <f>IF($J49="","",SUMIFS(SummaryHelper!$F$2:$F$5000,SummaryHelper!$A$2:$A$5000,$I49,SummaryHelper!$B$2:$B$5000,$J49,SummaryHelper!$C$2:$C$5000,$K49))</f>
        <v>0</v>
      </c>
      <c r="O49" s="9">
        <f>IF($J49="","",SUMIFS(SummaryHelper!$G$2:$G$5000,SummaryHelper!$A$2:$A$5000,$I49,SummaryHelper!$B$2:$B$5000,$J49,SummaryHelper!$C$2:$C$5000,$K49))</f>
        <v>10</v>
      </c>
      <c r="Q49" s="9">
        <f t="shared" si="6"/>
        <v>10</v>
      </c>
      <c r="R49" s="9">
        <f t="shared" si="7"/>
        <v>99</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IF($U49="","",SUMIFS([1]SummaryHelper!$G$2:$G$5000,[1]SummaryHelper!$A$2:$A$5000,$T49,[1]SummaryHelper!$B$2:$B$5000,$U49,[1]SummaryHelper!$C$2:$C$5000,$V49))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12" t="str">
        <f t="shared" si="0"/>
        <v/>
      </c>
      <c r="C50" s="9" t="str">
        <f t="shared" ca="1" si="1"/>
        <v/>
      </c>
      <c r="D50" s="9" t="str">
        <f t="shared" ca="1" si="2"/>
        <v/>
      </c>
      <c r="E50" s="9" t="str">
        <f t="shared" ca="1" si="3"/>
        <v/>
      </c>
      <c r="F50" s="9" t="str">
        <f t="shared" si="4"/>
        <v/>
      </c>
      <c r="G50" s="9" t="str">
        <f t="shared" si="5"/>
        <v/>
      </c>
      <c r="I50" t="str">
        <v>MATERIALS</v>
      </c>
      <c r="J50" t="str">
        <v>Long Bend 4"</v>
      </c>
      <c r="K50" t="str">
        <v>PKT</v>
      </c>
      <c r="L50" s="9">
        <f>IF($J50="","",IFERROR(SUMIFS(SummaryHelper!$H$2:$H$5000,SummaryHelper!$A$2:$A$5000,$I50,SummaryHelper!$B$2:$B$5000,$J50,SummaryHelper!$C$2:$C$5000,$K50)/SUMIFS(SummaryHelper!$G$2:$G$5000,SummaryHelper!$A$2:$A$5000,$I50,SummaryHelper!$B$2:$B$5000,$J50,SummaryHelper!$C$2:$C$5000,$K50),""))</f>
        <v>8.4</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8.4</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IF($U50="","",SUMIFS([1]SummaryHelper!$G$2:$G$5000,[1]SummaryHelper!$A$2:$A$5000,$T50,[1]SummaryHelper!$B$2:$B$5000,$U50,[1]SummaryHelper!$C$2:$C$5000,$V50))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12" t="str">
        <f t="shared" si="0"/>
        <v/>
      </c>
      <c r="C51" s="9" t="str">
        <f t="shared" ca="1" si="1"/>
        <v/>
      </c>
      <c r="D51" s="9" t="str">
        <f t="shared" ca="1" si="2"/>
        <v/>
      </c>
      <c r="E51" s="9" t="str">
        <f t="shared" ca="1" si="3"/>
        <v/>
      </c>
      <c r="F51" s="9" t="str">
        <f t="shared" si="4"/>
        <v/>
      </c>
      <c r="G51" s="9" t="str">
        <f t="shared" si="5"/>
        <v/>
      </c>
      <c r="I51" t="str">
        <v>MATERIALS</v>
      </c>
      <c r="J51" t="str">
        <v>Mega PVC Cable 1.5mm2 (Black,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2</v>
      </c>
      <c r="N51" s="9">
        <f>IF($J51="","",SUMIFS(SummaryHelper!$F$2:$F$5000,SummaryHelper!$A$2:$A$5000,$I51,SummaryHelper!$B$2:$B$5000,$J51,SummaryHelper!$C$2:$C$5000,$K51))</f>
        <v>0</v>
      </c>
      <c r="O51" s="9">
        <f>IF($J51="","",SUMIFS(SummaryHelper!$G$2:$G$5000,SummaryHelper!$A$2:$A$5000,$I51,SummaryHelper!$B$2:$B$5000,$J51,SummaryHelper!$C$2:$C$5000,$K51))</f>
        <v>2</v>
      </c>
      <c r="Q51" s="9">
        <f t="shared" si="6"/>
        <v>2</v>
      </c>
      <c r="R51" s="9">
        <f t="shared" si="7"/>
        <v>184</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IF($U51="","",SUMIFS([1]SummaryHelper!$G$2:$G$5000,[1]SummaryHelper!$A$2:$A$5000,$T51,[1]SummaryHelper!$B$2:$B$5000,$U51,[1]SummaryHelper!$C$2:$C$5000,$V51))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12" t="str">
        <f t="shared" si="0"/>
        <v/>
      </c>
      <c r="C52" s="9" t="str">
        <f t="shared" ca="1" si="1"/>
        <v/>
      </c>
      <c r="D52" s="9" t="str">
        <f t="shared" ca="1" si="2"/>
        <v/>
      </c>
      <c r="E52" s="9" t="str">
        <f t="shared" ca="1" si="3"/>
        <v/>
      </c>
      <c r="F52" s="9" t="str">
        <f t="shared" si="4"/>
        <v/>
      </c>
      <c r="G52" s="9" t="str">
        <f t="shared" si="5"/>
        <v/>
      </c>
      <c r="I52" t="str">
        <v>MATERIALS</v>
      </c>
      <c r="J52" t="str">
        <v>Mega PVC Cable 1.5mm2 (Green, SIRIM)</v>
      </c>
      <c r="K52" t="str">
        <v>ROLL</v>
      </c>
      <c r="L52" s="9">
        <f>IF($J52="","",IFERROR(SUMIFS(SummaryHelper!$H$2:$H$5000,SummaryHelper!$A$2:$A$5000,$I52,SummaryHelper!$B$2:$B$5000,$J52,SummaryHelper!$C$2:$C$5000,$K52)/SUMIFS(SummaryHelper!$G$2:$G$5000,SummaryHelper!$A$2:$A$5000,$I52,SummaryHelper!$B$2:$B$5000,$J52,SummaryHelper!$C$2:$C$5000,$K52),""))</f>
        <v>92</v>
      </c>
      <c r="M52" s="9">
        <f>IF($J52="","",SUMIFS(SummaryHelper!$E$2:$E$5000,SummaryHelper!$A$2:$A$5000,$I52,SummaryHelper!$B$2:$B$5000,$J52,SummaryHelper!$C$2:$C$5000,$K52))</f>
        <v>3</v>
      </c>
      <c r="N52" s="9">
        <f>IF($J52="","",SUMIFS(SummaryHelper!$F$2:$F$5000,SummaryHelper!$A$2:$A$5000,$I52,SummaryHelper!$B$2:$B$5000,$J52,SummaryHelper!$C$2:$C$5000,$K52))</f>
        <v>0</v>
      </c>
      <c r="O52" s="9">
        <f>IF($J52="","",SUMIFS(SummaryHelper!$G$2:$G$5000,SummaryHelper!$A$2:$A$5000,$I52,SummaryHelper!$B$2:$B$5000,$J52,SummaryHelper!$C$2:$C$5000,$K52))</f>
        <v>3</v>
      </c>
      <c r="Q52" s="9">
        <f t="shared" si="6"/>
        <v>3</v>
      </c>
      <c r="R52" s="9">
        <f t="shared" si="7"/>
        <v>276</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IF($U52="","",SUMIFS([1]SummaryHelper!$G$2:$G$5000,[1]SummaryHelper!$A$2:$A$5000,$T52,[1]SummaryHelper!$B$2:$B$5000,$U52,[1]SummaryHelper!$C$2:$C$5000,$V52))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12" t="str">
        <f t="shared" si="0"/>
        <v/>
      </c>
      <c r="C53" s="9" t="str">
        <f t="shared" ca="1" si="1"/>
        <v/>
      </c>
      <c r="D53" s="9" t="str">
        <f t="shared" ca="1" si="2"/>
        <v/>
      </c>
      <c r="E53" s="9" t="str">
        <f t="shared" ca="1" si="3"/>
        <v/>
      </c>
      <c r="F53" s="9" t="str">
        <f t="shared" si="4"/>
        <v/>
      </c>
      <c r="G53" s="9" t="str">
        <f t="shared" si="5"/>
        <v/>
      </c>
      <c r="I53" t="str">
        <v>MATERIALS</v>
      </c>
      <c r="J53" t="str">
        <v>Mega PVC Cable 1.5mm2 (Red, SIRIM)</v>
      </c>
      <c r="K53" t="str">
        <v>ROLL</v>
      </c>
      <c r="L53" s="9">
        <f>IF($J53="","",IFERROR(SUMIFS(SummaryHelper!$H$2:$H$5000,SummaryHelper!$A$2:$A$5000,$I53,SummaryHelper!$B$2:$B$5000,$J53,SummaryHelper!$C$2:$C$5000,$K53)/SUMIFS(SummaryHelper!$G$2:$G$5000,SummaryHelper!$A$2:$A$5000,$I53,SummaryHelper!$B$2:$B$5000,$J53,SummaryHelper!$C$2:$C$5000,$K53),""))</f>
        <v>92</v>
      </c>
      <c r="M53" s="9">
        <f>IF($J53="","",SUMIFS(SummaryHelper!$E$2:$E$5000,SummaryHelper!$A$2:$A$5000,$I53,SummaryHelper!$B$2:$B$5000,$J53,SummaryHelper!$C$2:$C$5000,$K53))</f>
        <v>3</v>
      </c>
      <c r="N53" s="9">
        <f>IF($J53="","",SUMIFS(SummaryHelper!$F$2:$F$5000,SummaryHelper!$A$2:$A$5000,$I53,SummaryHelper!$B$2:$B$5000,$J53,SummaryHelper!$C$2:$C$5000,$K53))</f>
        <v>0</v>
      </c>
      <c r="O53" s="9">
        <f>IF($J53="","",SUMIFS(SummaryHelper!$G$2:$G$5000,SummaryHelper!$A$2:$A$5000,$I53,SummaryHelper!$B$2:$B$5000,$J53,SummaryHelper!$C$2:$C$5000,$K53))</f>
        <v>3</v>
      </c>
      <c r="Q53" s="9">
        <f t="shared" si="6"/>
        <v>3</v>
      </c>
      <c r="R53" s="9">
        <f t="shared" si="7"/>
        <v>276</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IF($U53="","",SUMIFS([1]SummaryHelper!$G$2:$G$5000,[1]SummaryHelper!$A$2:$A$5000,$T53,[1]SummaryHelper!$B$2:$B$5000,$U53,[1]SummaryHelper!$C$2:$C$5000,$V53))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12" t="str">
        <f t="shared" si="0"/>
        <v/>
      </c>
      <c r="C54" s="9" t="str">
        <f t="shared" ca="1" si="1"/>
        <v/>
      </c>
      <c r="D54" s="9" t="str">
        <f t="shared" ca="1" si="2"/>
        <v/>
      </c>
      <c r="E54" s="9" t="str">
        <f t="shared" ca="1" si="3"/>
        <v/>
      </c>
      <c r="F54" s="9" t="str">
        <f t="shared" si="4"/>
        <v/>
      </c>
      <c r="G54" s="9" t="str">
        <f t="shared" si="5"/>
        <v/>
      </c>
      <c r="I54" t="str">
        <v>MATERIALS</v>
      </c>
      <c r="J54" t="str">
        <v>Mega PVC Cable 2.5mm2 (Black,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IF($U54="","",SUMIFS([1]SummaryHelper!$G$2:$G$5000,[1]SummaryHelper!$A$2:$A$5000,$T54,[1]SummaryHelper!$B$2:$B$5000,$U54,[1]SummaryHelper!$C$2:$C$5000,$V54))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12" t="str">
        <f t="shared" si="0"/>
        <v/>
      </c>
      <c r="C55" s="9" t="str">
        <f t="shared" ca="1" si="1"/>
        <v/>
      </c>
      <c r="D55" s="9" t="str">
        <f t="shared" ca="1" si="2"/>
        <v/>
      </c>
      <c r="E55" s="9" t="str">
        <f t="shared" ca="1" si="3"/>
        <v/>
      </c>
      <c r="F55" s="9" t="str">
        <f t="shared" si="4"/>
        <v/>
      </c>
      <c r="G55" s="9" t="str">
        <f t="shared" si="5"/>
        <v/>
      </c>
      <c r="I55" t="str">
        <v>MATERIALS</v>
      </c>
      <c r="J55" t="str">
        <v>Mega PVC Cable 2.5mm2 (Green, SIRIM)</v>
      </c>
      <c r="K55" t="str">
        <v>ROLL</v>
      </c>
      <c r="L55" s="9">
        <f>IF($J55="","",IFERROR(SUMIFS(SummaryHelper!$H$2:$H$5000,SummaryHelper!$A$2:$A$5000,$I55,SummaryHelper!$B$2:$B$5000,$J55,SummaryHelper!$C$2:$C$5000,$K55)/SUMIFS(SummaryHelper!$G$2:$G$5000,SummaryHelper!$A$2:$A$5000,$I55,SummaryHelper!$B$2:$B$5000,$J55,SummaryHelper!$C$2:$C$5000,$K55),""))</f>
        <v>146</v>
      </c>
      <c r="M55" s="9">
        <f>IF($J55="","",SUMIFS(SummaryHelper!$E$2:$E$5000,SummaryHelper!$A$2:$A$5000,$I55,SummaryHelper!$B$2:$B$5000,$J55,SummaryHelper!$C$2:$C$5000,$K55))</f>
        <v>1</v>
      </c>
      <c r="N55" s="9">
        <f>IF($J55="","",SUMIFS(SummaryHelper!$F$2:$F$5000,SummaryHelper!$A$2:$A$5000,$I55,SummaryHelper!$B$2:$B$5000,$J55,SummaryHelper!$C$2:$C$5000,$K55))</f>
        <v>0</v>
      </c>
      <c r="O55" s="9">
        <f>IF($J55="","",SUMIFS(SummaryHelper!$G$2:$G$5000,SummaryHelper!$A$2:$A$5000,$I55,SummaryHelper!$B$2:$B$5000,$J55,SummaryHelper!$C$2:$C$5000,$K55))</f>
        <v>1</v>
      </c>
      <c r="Q55" s="9">
        <f t="shared" si="6"/>
        <v>1</v>
      </c>
      <c r="R55" s="9">
        <f t="shared" si="7"/>
        <v>146</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IF($U55="","",SUMIFS([1]SummaryHelper!$G$2:$G$5000,[1]SummaryHelper!$A$2:$A$5000,$T55,[1]SummaryHelper!$B$2:$B$5000,$U55,[1]SummaryHelper!$C$2:$C$5000,$V55))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12" t="str">
        <f t="shared" si="0"/>
        <v/>
      </c>
      <c r="C56" s="9" t="str">
        <f t="shared" ca="1" si="1"/>
        <v/>
      </c>
      <c r="D56" s="9" t="str">
        <f t="shared" ca="1" si="2"/>
        <v/>
      </c>
      <c r="E56" s="9" t="str">
        <f t="shared" ca="1" si="3"/>
        <v/>
      </c>
      <c r="F56" s="9" t="str">
        <f t="shared" si="4"/>
        <v/>
      </c>
      <c r="G56" s="9" t="str">
        <f t="shared" si="5"/>
        <v/>
      </c>
      <c r="I56" t="str">
        <v>MATERIALS</v>
      </c>
      <c r="J56" t="str">
        <v>Mega PVC Cable 2.5mm2 (Red, SIRIM)</v>
      </c>
      <c r="K56" t="str">
        <v>ROLL</v>
      </c>
      <c r="L56" s="9">
        <f>IF($J56="","",IFERROR(SUMIFS(SummaryHelper!$H$2:$H$5000,SummaryHelper!$A$2:$A$5000,$I56,SummaryHelper!$B$2:$B$5000,$J56,SummaryHelper!$C$2:$C$5000,$K56)/SUMIFS(SummaryHelper!$G$2:$G$5000,SummaryHelper!$A$2:$A$5000,$I56,SummaryHelper!$B$2:$B$5000,$J56,SummaryHelper!$C$2:$C$5000,$K56),""))</f>
        <v>146</v>
      </c>
      <c r="M56" s="9">
        <f>IF($J56="","",SUMIFS(SummaryHelper!$E$2:$E$5000,SummaryHelper!$A$2:$A$5000,$I56,SummaryHelper!$B$2:$B$5000,$J56,SummaryHelper!$C$2:$C$5000,$K56))</f>
        <v>1</v>
      </c>
      <c r="N56" s="9">
        <f>IF($J56="","",SUMIFS(SummaryHelper!$F$2:$F$5000,SummaryHelper!$A$2:$A$5000,$I56,SummaryHelper!$B$2:$B$5000,$J56,SummaryHelper!$C$2:$C$5000,$K56))</f>
        <v>0</v>
      </c>
      <c r="O56" s="9">
        <f>IF($J56="","",SUMIFS(SummaryHelper!$G$2:$G$5000,SummaryHelper!$A$2:$A$5000,$I56,SummaryHelper!$B$2:$B$5000,$J56,SummaryHelper!$C$2:$C$5000,$K56))</f>
        <v>1</v>
      </c>
      <c r="Q56" s="9">
        <f t="shared" si="6"/>
        <v>1</v>
      </c>
      <c r="R56" s="9">
        <f t="shared" si="7"/>
        <v>146</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IF($U56="","",SUMIFS([1]SummaryHelper!$G$2:$G$5000,[1]SummaryHelper!$A$2:$A$5000,$T56,[1]SummaryHelper!$B$2:$B$5000,$U56,[1]SummaryHelper!$C$2:$C$5000,$V56))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12" t="str">
        <f t="shared" si="0"/>
        <v/>
      </c>
      <c r="C57" s="9" t="str">
        <f t="shared" ca="1" si="1"/>
        <v/>
      </c>
      <c r="D57" s="9" t="str">
        <f t="shared" ca="1" si="2"/>
        <v/>
      </c>
      <c r="E57" s="9" t="str">
        <f t="shared" ca="1" si="3"/>
        <v/>
      </c>
      <c r="F57" s="9" t="str">
        <f t="shared" si="4"/>
        <v/>
      </c>
      <c r="G57" s="9" t="str">
        <f t="shared" si="5"/>
        <v/>
      </c>
      <c r="I57" t="str">
        <v>MATERIALS</v>
      </c>
      <c r="J57" t="str">
        <v>Mixed Timber 2" x 3" x 10ft (Grade A)</v>
      </c>
      <c r="K57" t="str">
        <v>LTH</v>
      </c>
      <c r="L57" s="9">
        <f>IF($J57="","",IFERROR(SUMIFS(SummaryHelper!$H$2:$H$5000,SummaryHelper!$A$2:$A$5000,$I57,SummaryHelper!$B$2:$B$5000,$J57,SummaryHelper!$C$2:$C$5000,$K57)/SUMIFS(SummaryHelper!$G$2:$G$5000,SummaryHelper!$A$2:$A$5000,$I57,SummaryHelper!$B$2:$B$5000,$J57,SummaryHelper!$C$2:$C$5000,$K57),""))</f>
        <v>15</v>
      </c>
      <c r="M57" s="9">
        <f>IF($J57="","",SUMIFS(SummaryHelper!$E$2:$E$5000,SummaryHelper!$A$2:$A$5000,$I57,SummaryHelper!$B$2:$B$5000,$J57,SummaryHelper!$C$2:$C$5000,$K57))</f>
        <v>62</v>
      </c>
      <c r="N57" s="9">
        <f>IF($J57="","",SUMIFS(SummaryHelper!$F$2:$F$5000,SummaryHelper!$A$2:$A$5000,$I57,SummaryHelper!$B$2:$B$5000,$J57,SummaryHelper!$C$2:$C$5000,$K57))</f>
        <v>0.2</v>
      </c>
      <c r="O57" s="9">
        <f>IF($J57="","",SUMIFS(SummaryHelper!$G$2:$G$5000,SummaryHelper!$A$2:$A$5000,$I57,SummaryHelper!$B$2:$B$5000,$J57,SummaryHelper!$C$2:$C$5000,$K57))</f>
        <v>64.5</v>
      </c>
      <c r="Q57" s="9">
        <f t="shared" si="6"/>
        <v>65</v>
      </c>
      <c r="R57" s="9">
        <f t="shared" si="7"/>
        <v>975</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IF($U57="","",SUMIFS([1]SummaryHelper!$G$2:$G$5000,[1]SummaryHelper!$A$2:$A$5000,$T57,[1]SummaryHelper!$B$2:$B$5000,$U57,[1]SummaryHelper!$C$2:$C$5000,$V57))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12" t="str">
        <f t="shared" si="0"/>
        <v/>
      </c>
      <c r="C58" s="9" t="str">
        <f t="shared" ca="1" si="1"/>
        <v/>
      </c>
      <c r="D58" s="9" t="str">
        <f t="shared" ca="1" si="2"/>
        <v/>
      </c>
      <c r="E58" s="9" t="str">
        <f t="shared" ca="1" si="3"/>
        <v/>
      </c>
      <c r="F58" s="9" t="str">
        <f t="shared" si="4"/>
        <v/>
      </c>
      <c r="G58" s="9" t="str">
        <f t="shared" si="5"/>
        <v/>
      </c>
      <c r="I58" t="str">
        <v>MATERIALS</v>
      </c>
      <c r="J58" t="str">
        <v>ML7025-SS Armor Lever Mortise</v>
      </c>
      <c r="K58" t="str">
        <v>SET</v>
      </c>
      <c r="L58" s="9">
        <f>IF($J58="","",IFERROR(SUMIFS(SummaryHelper!$H$2:$H$5000,SummaryHelper!$A$2:$A$5000,$I58,SummaryHelper!$B$2:$B$5000,$J58,SummaryHelper!$C$2:$C$5000,$K58)/SUMIFS(SummaryHelper!$G$2:$G$5000,SummaryHelper!$A$2:$A$5000,$I58,SummaryHelper!$B$2:$B$5000,$J58,SummaryHelper!$C$2:$C$5000,$K58),""))</f>
        <v>60</v>
      </c>
      <c r="M58" s="9">
        <f>IF($J58="","",SUMIFS(SummaryHelper!$E$2:$E$5000,SummaryHelper!$A$2:$A$5000,$I58,SummaryHelper!$B$2:$B$5000,$J58,SummaryHelper!$C$2:$C$5000,$K58))</f>
        <v>1</v>
      </c>
      <c r="N58" s="9">
        <f>IF($J58="","",SUMIFS(SummaryHelper!$F$2:$F$5000,SummaryHelper!$A$2:$A$5000,$I58,SummaryHelper!$B$2:$B$5000,$J58,SummaryHelper!$C$2:$C$5000,$K58))</f>
        <v>0</v>
      </c>
      <c r="O58" s="9">
        <f>IF($J58="","",SUMIFS(SummaryHelper!$G$2:$G$5000,SummaryHelper!$A$2:$A$5000,$I58,SummaryHelper!$B$2:$B$5000,$J58,SummaryHelper!$C$2:$C$5000,$K58))</f>
        <v>1</v>
      </c>
      <c r="Q58" s="9">
        <f t="shared" si="6"/>
        <v>1</v>
      </c>
      <c r="R58" s="9">
        <f t="shared" si="7"/>
        <v>60</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IF($U58="","",SUMIFS([1]SummaryHelper!$G$2:$G$5000,[1]SummaryHelper!$A$2:$A$5000,$T58,[1]SummaryHelper!$B$2:$B$5000,$U58,[1]SummaryHelper!$C$2:$C$5000,$V58))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12" t="str">
        <f t="shared" si="0"/>
        <v/>
      </c>
      <c r="C59" s="9" t="str">
        <f t="shared" ca="1" si="1"/>
        <v/>
      </c>
      <c r="D59" s="9" t="str">
        <f t="shared" ca="1" si="2"/>
        <v/>
      </c>
      <c r="E59" s="9" t="str">
        <f t="shared" ca="1" si="3"/>
        <v/>
      </c>
      <c r="F59" s="9" t="str">
        <f t="shared" si="4"/>
        <v/>
      </c>
      <c r="G59" s="9" t="str">
        <f t="shared" si="5"/>
        <v/>
      </c>
      <c r="I59" t="str">
        <v>MATERIALS</v>
      </c>
      <c r="J59" t="str">
        <v>MS Deformed Bar Y10 12.00m (Main Bars)</v>
      </c>
      <c r="K59" t="str">
        <v>BAR</v>
      </c>
      <c r="L59" s="9">
        <f>IF($J59="","",IFERROR(SUMIFS(SummaryHelper!$H$2:$H$5000,SummaryHelper!$A$2:$A$5000,$I59,SummaryHelper!$B$2:$B$5000,$J59,SummaryHelper!$C$2:$C$5000,$K59)/SUMIFS(SummaryHelper!$G$2:$G$5000,SummaryHelper!$A$2:$A$5000,$I59,SummaryHelper!$B$2:$B$5000,$J59,SummaryHelper!$C$2:$C$5000,$K59),""))</f>
        <v>22</v>
      </c>
      <c r="M59" s="9">
        <f>IF($J59="","",SUMIFS(SummaryHelper!$E$2:$E$5000,SummaryHelper!$A$2:$A$5000,$I59,SummaryHelper!$B$2:$B$5000,$J59,SummaryHelper!$C$2:$C$5000,$K59))</f>
        <v>19</v>
      </c>
      <c r="N59" s="9">
        <f>IF($J59="","",SUMIFS(SummaryHelper!$F$2:$F$5000,SummaryHelper!$A$2:$A$5000,$I59,SummaryHelper!$B$2:$B$5000,$J59,SummaryHelper!$C$2:$C$5000,$K59))</f>
        <v>0.1</v>
      </c>
      <c r="O59" s="9">
        <f>IF($J59="","",SUMIFS(SummaryHelper!$G$2:$G$5000,SummaryHelper!$A$2:$A$5000,$I59,SummaryHelper!$B$2:$B$5000,$J59,SummaryHelper!$C$2:$C$5000,$K59))</f>
        <v>19.950000000000003</v>
      </c>
      <c r="Q59" s="9">
        <f t="shared" si="6"/>
        <v>20</v>
      </c>
      <c r="R59" s="9">
        <f t="shared" si="7"/>
        <v>440</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IF($U59="","",SUMIFS([1]SummaryHelper!$G$2:$G$5000,[1]SummaryHelper!$A$2:$A$5000,$T59,[1]SummaryHelper!$B$2:$B$5000,$U59,[1]SummaryHelper!$C$2:$C$5000,$V59))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12" t="str">
        <f t="shared" si="0"/>
        <v/>
      </c>
      <c r="C60" s="9" t="str">
        <f t="shared" ca="1" si="1"/>
        <v/>
      </c>
      <c r="D60" s="9" t="str">
        <f t="shared" ca="1" si="2"/>
        <v/>
      </c>
      <c r="E60" s="9" t="str">
        <f t="shared" ca="1" si="3"/>
        <v/>
      </c>
      <c r="F60" s="9" t="str">
        <f t="shared" si="4"/>
        <v/>
      </c>
      <c r="G60" s="9" t="str">
        <f t="shared" si="5"/>
        <v/>
      </c>
      <c r="I60" t="str">
        <v>MATERIALS</v>
      </c>
      <c r="J60" t="str">
        <v>MS Deformed Bar Y12 12.00m</v>
      </c>
      <c r="K60" t="str">
        <v>BAR</v>
      </c>
      <c r="L60" s="9">
        <f>IF($J60="","",IFERROR(SUMIFS(SummaryHelper!$H$2:$H$5000,SummaryHelper!$A$2:$A$5000,$I60,SummaryHelper!$B$2:$B$5000,$J60,SummaryHelper!$C$2:$C$5000,$K60)/SUMIFS(SummaryHelper!$G$2:$G$5000,SummaryHelper!$A$2:$A$5000,$I60,SummaryHelper!$B$2:$B$5000,$J60,SummaryHelper!$C$2:$C$5000,$K60),""))</f>
        <v>28</v>
      </c>
      <c r="M60" s="9">
        <f>IF($J60="","",SUMIFS(SummaryHelper!$E$2:$E$5000,SummaryHelper!$A$2:$A$5000,$I60,SummaryHelper!$B$2:$B$5000,$J60,SummaryHelper!$C$2:$C$5000,$K60))</f>
        <v>106</v>
      </c>
      <c r="N60" s="9">
        <f>IF($J60="","",SUMIFS(SummaryHelper!$F$2:$F$5000,SummaryHelper!$A$2:$A$5000,$I60,SummaryHelper!$B$2:$B$5000,$J60,SummaryHelper!$C$2:$C$5000,$K60))</f>
        <v>0.1</v>
      </c>
      <c r="O60" s="9">
        <f>IF($J60="","",SUMIFS(SummaryHelper!$G$2:$G$5000,SummaryHelper!$A$2:$A$5000,$I60,SummaryHelper!$B$2:$B$5000,$J60,SummaryHelper!$C$2:$C$5000,$K60))</f>
        <v>108</v>
      </c>
      <c r="Q60" s="9">
        <f t="shared" si="6"/>
        <v>108</v>
      </c>
      <c r="R60" s="9">
        <f t="shared" si="7"/>
        <v>3024</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IF($U60="","",SUMIFS([1]SummaryHelper!$G$2:$G$5000,[1]SummaryHelper!$A$2:$A$5000,$T60,[1]SummaryHelper!$B$2:$B$5000,$U60,[1]SummaryHelper!$C$2:$C$5000,$V60))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12" t="str">
        <f t="shared" si="0"/>
        <v/>
      </c>
      <c r="C61" s="9" t="str">
        <f t="shared" ca="1" si="1"/>
        <v/>
      </c>
      <c r="D61" s="9" t="str">
        <f t="shared" ca="1" si="2"/>
        <v/>
      </c>
      <c r="E61" s="9" t="str">
        <f t="shared" ca="1" si="3"/>
        <v/>
      </c>
      <c r="F61" s="9" t="str">
        <f t="shared" si="4"/>
        <v/>
      </c>
      <c r="G61" s="9" t="str">
        <f t="shared" si="5"/>
        <v/>
      </c>
      <c r="I61" t="str">
        <v>MATERIALS</v>
      </c>
      <c r="J61" t="str">
        <v>MS RHS Rectangular Hollow 2" x 4" x 6m x 2.3mm</v>
      </c>
      <c r="K61" t="str">
        <v>PCS</v>
      </c>
      <c r="L61" s="9">
        <f>IF($J61="","",IFERROR(SUMIFS(SummaryHelper!$H$2:$H$5000,SummaryHelper!$A$2:$A$5000,$I61,SummaryHelper!$B$2:$B$5000,$J61,SummaryHelper!$C$2:$C$5000,$K61)/SUMIFS(SummaryHelper!$G$2:$G$5000,SummaryHelper!$A$2:$A$5000,$I61,SummaryHelper!$B$2:$B$5000,$J61,SummaryHelper!$C$2:$C$5000,$K61),""))</f>
        <v>107</v>
      </c>
      <c r="M61" s="9">
        <f>IF($J61="","",SUMIFS(SummaryHelper!$E$2:$E$5000,SummaryHelper!$A$2:$A$5000,$I61,SummaryHelper!$B$2:$B$5000,$J61,SummaryHelper!$C$2:$C$5000,$K61))</f>
        <v>16</v>
      </c>
      <c r="N61" s="9">
        <f>IF($J61="","",SUMIFS(SummaryHelper!$F$2:$F$5000,SummaryHelper!$A$2:$A$5000,$I61,SummaryHelper!$B$2:$B$5000,$J61,SummaryHelper!$C$2:$C$5000,$K61))</f>
        <v>0</v>
      </c>
      <c r="O61" s="9">
        <f>IF($J61="","",SUMIFS(SummaryHelper!$G$2:$G$5000,SummaryHelper!$A$2:$A$5000,$I61,SummaryHelper!$B$2:$B$5000,$J61,SummaryHelper!$C$2:$C$5000,$K61))</f>
        <v>16</v>
      </c>
      <c r="Q61" s="9">
        <f t="shared" si="6"/>
        <v>16</v>
      </c>
      <c r="R61" s="9">
        <f t="shared" si="7"/>
        <v>1712</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IF($U61="","",SUMIFS([1]SummaryHelper!$G$2:$G$5000,[1]SummaryHelper!$A$2:$A$5000,$T61,[1]SummaryHelper!$B$2:$B$5000,$U61,[1]SummaryHelper!$C$2:$C$5000,$V61))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12" t="str">
        <f t="shared" si="0"/>
        <v/>
      </c>
      <c r="C62" s="9" t="str">
        <f t="shared" ca="1" si="1"/>
        <v/>
      </c>
      <c r="D62" s="9" t="str">
        <f t="shared" ca="1" si="2"/>
        <v/>
      </c>
      <c r="E62" s="9" t="str">
        <f t="shared" ca="1" si="3"/>
        <v/>
      </c>
      <c r="F62" s="9" t="str">
        <f t="shared" si="4"/>
        <v/>
      </c>
      <c r="G62" s="9" t="str">
        <f t="shared" si="5"/>
        <v/>
      </c>
      <c r="I62" t="str">
        <v>MATERIALS</v>
      </c>
      <c r="J62" t="str">
        <v>MS RHS Rectangular Hollow 3" x 5" x 3.00mm x 6.00m</v>
      </c>
      <c r="K62" t="str">
        <v>PCS</v>
      </c>
      <c r="L62" s="9">
        <f>IF($J62="","",IFERROR(SUMIFS(SummaryHelper!$H$2:$H$5000,SummaryHelper!$A$2:$A$5000,$I62,SummaryHelper!$B$2:$B$5000,$J62,SummaryHelper!$C$2:$C$5000,$K62)/SUMIFS(SummaryHelper!$G$2:$G$5000,SummaryHelper!$A$2:$A$5000,$I62,SummaryHelper!$B$2:$B$5000,$J62,SummaryHelper!$C$2:$C$5000,$K62),""))</f>
        <v>163</v>
      </c>
      <c r="M62" s="9">
        <f>IF($J62="","",SUMIFS(SummaryHelper!$E$2:$E$5000,SummaryHelper!$A$2:$A$5000,$I62,SummaryHelper!$B$2:$B$5000,$J62,SummaryHelper!$C$2:$C$5000,$K62))</f>
        <v>6</v>
      </c>
      <c r="N62" s="9">
        <f>IF($J62="","",SUMIFS(SummaryHelper!$F$2:$F$5000,SummaryHelper!$A$2:$A$5000,$I62,SummaryHelper!$B$2:$B$5000,$J62,SummaryHelper!$C$2:$C$5000,$K62))</f>
        <v>0</v>
      </c>
      <c r="O62" s="9">
        <f>IF($J62="","",SUMIFS(SummaryHelper!$G$2:$G$5000,SummaryHelper!$A$2:$A$5000,$I62,SummaryHelper!$B$2:$B$5000,$J62,SummaryHelper!$C$2:$C$5000,$K62))</f>
        <v>6</v>
      </c>
      <c r="Q62" s="9">
        <f t="shared" si="6"/>
        <v>6</v>
      </c>
      <c r="R62" s="9">
        <f t="shared" si="7"/>
        <v>978</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IF($U62="","",SUMIFS([1]SummaryHelper!$G$2:$G$5000,[1]SummaryHelper!$A$2:$A$5000,$T62,[1]SummaryHelper!$B$2:$B$5000,$U62,[1]SummaryHelper!$C$2:$C$5000,$V62))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12" t="str">
        <f t="shared" si="0"/>
        <v/>
      </c>
      <c r="C63" s="9" t="str">
        <f t="shared" ca="1" si="1"/>
        <v/>
      </c>
      <c r="D63" s="9" t="str">
        <f t="shared" ca="1" si="2"/>
        <v/>
      </c>
      <c r="E63" s="9" t="str">
        <f t="shared" ca="1" si="3"/>
        <v/>
      </c>
      <c r="F63" s="9" t="str">
        <f t="shared" si="4"/>
        <v/>
      </c>
      <c r="G63" s="9" t="str">
        <f t="shared" si="5"/>
        <v/>
      </c>
      <c r="I63" t="str">
        <v>MATERIALS</v>
      </c>
      <c r="J63" t="str">
        <v>MS RHS Rectangular Hollow 6/8" x 1-1/2" x 1.20mm x 6.00m</v>
      </c>
      <c r="K63" t="str">
        <v>PCS</v>
      </c>
      <c r="L63" s="9">
        <f>IF($J63="","",IFERROR(SUMIFS(SummaryHelper!$H$2:$H$5000,SummaryHelper!$A$2:$A$5000,$I63,SummaryHelper!$B$2:$B$5000,$J63,SummaryHelper!$C$2:$C$5000,$K63)/SUMIFS(SummaryHelper!$G$2:$G$5000,SummaryHelper!$A$2:$A$5000,$I63,SummaryHelper!$B$2:$B$5000,$J63,SummaryHelper!$C$2:$C$5000,$K63),""))</f>
        <v>17</v>
      </c>
      <c r="M63" s="9">
        <f>IF($J63="","",SUMIFS(SummaryHelper!$E$2:$E$5000,SummaryHelper!$A$2:$A$5000,$I63,SummaryHelper!$B$2:$B$5000,$J63,SummaryHelper!$C$2:$C$5000,$K63))</f>
        <v>20</v>
      </c>
      <c r="N63" s="9">
        <f>IF($J63="","",SUMIFS(SummaryHelper!$F$2:$F$5000,SummaryHelper!$A$2:$A$5000,$I63,SummaryHelper!$B$2:$B$5000,$J63,SummaryHelper!$C$2:$C$5000,$K63))</f>
        <v>0</v>
      </c>
      <c r="O63" s="9">
        <f>IF($J63="","",SUMIFS(SummaryHelper!$G$2:$G$5000,SummaryHelper!$A$2:$A$5000,$I63,SummaryHelper!$B$2:$B$5000,$J63,SummaryHelper!$C$2:$C$5000,$K63))</f>
        <v>20</v>
      </c>
      <c r="Q63" s="9">
        <f t="shared" si="6"/>
        <v>20</v>
      </c>
      <c r="R63" s="9">
        <f t="shared" si="7"/>
        <v>340</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IF($U63="","",SUMIFS([1]SummaryHelper!$G$2:$G$5000,[1]SummaryHelper!$A$2:$A$5000,$T63,[1]SummaryHelper!$B$2:$B$5000,$U63,[1]SummaryHelper!$C$2:$C$5000,$V63))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12" t="str">
        <f t="shared" si="0"/>
        <v/>
      </c>
      <c r="C64" s="9" t="str">
        <f t="shared" ca="1" si="1"/>
        <v/>
      </c>
      <c r="D64" s="9" t="str">
        <f t="shared" ca="1" si="2"/>
        <v/>
      </c>
      <c r="E64" s="9" t="str">
        <f t="shared" ca="1" si="3"/>
        <v/>
      </c>
      <c r="F64" s="9" t="str">
        <f t="shared" si="4"/>
        <v/>
      </c>
      <c r="G64" s="9" t="str">
        <f t="shared" si="5"/>
        <v/>
      </c>
      <c r="I64" t="str">
        <v>MATERIALS</v>
      </c>
      <c r="J64" t="str">
        <v>MS Round Bar R6 12.00m</v>
      </c>
      <c r="K64" t="str">
        <v>BAR</v>
      </c>
      <c r="L64" s="9">
        <f>IF($J64="","",IFERROR(SUMIFS(SummaryHelper!$H$2:$H$5000,SummaryHelper!$A$2:$A$5000,$I64,SummaryHelper!$B$2:$B$5000,$J64,SummaryHelper!$C$2:$C$5000,$K64)/SUMIFS(SummaryHelper!$G$2:$G$5000,SummaryHelper!$A$2:$A$5000,$I64,SummaryHelper!$B$2:$B$5000,$J64,SummaryHelper!$C$2:$C$5000,$K64),""))</f>
        <v>15.000000000000002</v>
      </c>
      <c r="M64" s="9">
        <f>IF($J64="","",SUMIFS(SummaryHelper!$E$2:$E$5000,SummaryHelper!$A$2:$A$5000,$I64,SummaryHelper!$B$2:$B$5000,$J64,SummaryHelper!$C$2:$C$5000,$K64))</f>
        <v>68</v>
      </c>
      <c r="N64" s="9">
        <f>IF($J64="","",SUMIFS(SummaryHelper!$F$2:$F$5000,SummaryHelper!$A$2:$A$5000,$I64,SummaryHelper!$B$2:$B$5000,$J64,SummaryHelper!$C$2:$C$5000,$K64))</f>
        <v>0.15000000000000002</v>
      </c>
      <c r="O64" s="9">
        <f>IF($J64="","",SUMIFS(SummaryHelper!$G$2:$G$5000,SummaryHelper!$A$2:$A$5000,$I64,SummaryHelper!$B$2:$B$5000,$J64,SummaryHelper!$C$2:$C$5000,$K64))</f>
        <v>69.599999999999994</v>
      </c>
      <c r="Q64" s="9">
        <f t="shared" si="6"/>
        <v>70</v>
      </c>
      <c r="R64" s="9">
        <f t="shared" si="7"/>
        <v>1050.0000000000002</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IF($U64="","",SUMIFS([1]SummaryHelper!$G$2:$G$5000,[1]SummaryHelper!$A$2:$A$5000,$T64,[1]SummaryHelper!$B$2:$B$5000,$U64,[1]SummaryHelper!$C$2:$C$5000,$V64))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12" t="str">
        <f t="shared" si="0"/>
        <v/>
      </c>
      <c r="C65" s="9" t="str">
        <f t="shared" ca="1" si="1"/>
        <v/>
      </c>
      <c r="D65" s="9" t="str">
        <f t="shared" ca="1" si="2"/>
        <v/>
      </c>
      <c r="E65" s="9" t="str">
        <f t="shared" ca="1" si="3"/>
        <v/>
      </c>
      <c r="F65" s="9" t="str">
        <f t="shared" si="4"/>
        <v/>
      </c>
      <c r="G65" s="9" t="str">
        <f t="shared" si="5"/>
        <v/>
      </c>
      <c r="I65" t="str">
        <v>MATERIALS</v>
      </c>
      <c r="J65" t="str">
        <v>Newton LED Batten 4ft Single Fitting C/W SBE LED Tube 22W 6500K</v>
      </c>
      <c r="K65" t="str">
        <v>SET</v>
      </c>
      <c r="L65" s="9">
        <f>IF($J65="","",IFERROR(SUMIFS(SummaryHelper!$H$2:$H$5000,SummaryHelper!$A$2:$A$5000,$I65,SummaryHelper!$B$2:$B$5000,$J65,SummaryHelper!$C$2:$C$5000,$K65)/SUMIFS(SummaryHelper!$G$2:$G$5000,SummaryHelper!$A$2:$A$5000,$I65,SummaryHelper!$B$2:$B$5000,$J65,SummaryHelper!$C$2:$C$5000,$K65),""))</f>
        <v>13</v>
      </c>
      <c r="M65" s="9">
        <f>IF($J65="","",SUMIFS(SummaryHelper!$E$2:$E$5000,SummaryHelper!$A$2:$A$5000,$I65,SummaryHelper!$B$2:$B$5000,$J65,SummaryHelper!$C$2:$C$5000,$K65))</f>
        <v>6</v>
      </c>
      <c r="N65" s="9">
        <f>IF($J65="","",SUMIFS(SummaryHelper!$F$2:$F$5000,SummaryHelper!$A$2:$A$5000,$I65,SummaryHelper!$B$2:$B$5000,$J65,SummaryHelper!$C$2:$C$5000,$K65))</f>
        <v>0</v>
      </c>
      <c r="O65" s="9">
        <f>IF($J65="","",SUMIFS(SummaryHelper!$G$2:$G$5000,SummaryHelper!$A$2:$A$5000,$I65,SummaryHelper!$B$2:$B$5000,$J65,SummaryHelper!$C$2:$C$5000,$K65))</f>
        <v>6</v>
      </c>
      <c r="Q65" s="9">
        <f t="shared" si="6"/>
        <v>6</v>
      </c>
      <c r="R65" s="9">
        <f t="shared" si="7"/>
        <v>78</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IF($U65="","",SUMIFS([1]SummaryHelper!$G$2:$G$5000,[1]SummaryHelper!$A$2:$A$5000,$T65,[1]SummaryHelper!$B$2:$B$5000,$U65,[1]SummaryHelper!$C$2:$C$5000,$V65))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12" t="str">
        <f t="shared" si="0"/>
        <v/>
      </c>
      <c r="C66" s="9" t="str">
        <f t="shared" ca="1" si="1"/>
        <v/>
      </c>
      <c r="D66" s="9" t="str">
        <f t="shared" ca="1" si="2"/>
        <v/>
      </c>
      <c r="E66" s="9" t="str">
        <f t="shared" ca="1" si="3"/>
        <v/>
      </c>
      <c r="F66" s="9" t="str">
        <f t="shared" si="4"/>
        <v/>
      </c>
      <c r="G66" s="9" t="str">
        <f t="shared" si="5"/>
        <v/>
      </c>
      <c r="I66" t="str">
        <v>MATERIALS</v>
      </c>
      <c r="J66" t="str">
        <v>Plaster Ceiling Manhole 12"</v>
      </c>
      <c r="K66" t="str">
        <v>PCS</v>
      </c>
      <c r="L66" s="9">
        <f>IF($J66="","",IFERROR(SUMIFS(SummaryHelper!$H$2:$H$5000,SummaryHelper!$A$2:$A$5000,$I66,SummaryHelper!$B$2:$B$5000,$J66,SummaryHelper!$C$2:$C$5000,$K66)/SUMIFS(SummaryHelper!$G$2:$G$5000,SummaryHelper!$A$2:$A$5000,$I66,SummaryHelper!$B$2:$B$5000,$J66,SummaryHelper!$C$2:$C$5000,$K66),""))</f>
        <v>13</v>
      </c>
      <c r="M66" s="9">
        <f>IF($J66="","",SUMIFS(SummaryHelper!$E$2:$E$5000,SummaryHelper!$A$2:$A$5000,$I66,SummaryHelper!$B$2:$B$5000,$J66,SummaryHelper!$C$2:$C$5000,$K66))</f>
        <v>2</v>
      </c>
      <c r="N66" s="9">
        <f>IF($J66="","",SUMIFS(SummaryHelper!$F$2:$F$5000,SummaryHelper!$A$2:$A$5000,$I66,SummaryHelper!$B$2:$B$5000,$J66,SummaryHelper!$C$2:$C$5000,$K66))</f>
        <v>0</v>
      </c>
      <c r="O66" s="9">
        <f>IF($J66="","",SUMIFS(SummaryHelper!$G$2:$G$5000,SummaryHelper!$A$2:$A$5000,$I66,SummaryHelper!$B$2:$B$5000,$J66,SummaryHelper!$C$2:$C$5000,$K66))</f>
        <v>2</v>
      </c>
      <c r="Q66" s="9">
        <f t="shared" si="6"/>
        <v>2</v>
      </c>
      <c r="R66" s="9">
        <f t="shared" si="7"/>
        <v>26</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IF($U66="","",SUMIFS([1]SummaryHelper!$G$2:$G$5000,[1]SummaryHelper!$A$2:$A$5000,$T66,[1]SummaryHelper!$B$2:$B$5000,$U66,[1]SummaryHelper!$C$2:$C$5000,$V66))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12" t="str">
        <f t="shared" si="0"/>
        <v/>
      </c>
      <c r="C67" s="9" t="str">
        <f t="shared" ca="1" si="1"/>
        <v/>
      </c>
      <c r="D67" s="9" t="str">
        <f t="shared" ca="1" si="2"/>
        <v/>
      </c>
      <c r="E67" s="9" t="str">
        <f t="shared" ca="1" si="3"/>
        <v/>
      </c>
      <c r="F67" s="9" t="str">
        <f t="shared" si="4"/>
        <v/>
      </c>
      <c r="G67" s="9" t="str">
        <f t="shared" si="5"/>
        <v/>
      </c>
      <c r="I67" t="str">
        <v>MATERIALS</v>
      </c>
      <c r="J67" t="str">
        <v>Plywood 9mm 4ft x 8ft</v>
      </c>
      <c r="K67" t="str">
        <v>SHEET</v>
      </c>
      <c r="L67" s="9">
        <f>IF($J67="","",IFERROR(SUMIFS(SummaryHelper!$H$2:$H$5000,SummaryHelper!$A$2:$A$5000,$I67,SummaryHelper!$B$2:$B$5000,$J67,SummaryHelper!$C$2:$C$5000,$K67)/SUMIFS(SummaryHelper!$G$2:$G$5000,SummaryHelper!$A$2:$A$5000,$I67,SummaryHelper!$B$2:$B$5000,$J67,SummaryHelper!$C$2:$C$5000,$K67),""))</f>
        <v>44.999999999999993</v>
      </c>
      <c r="M67" s="9">
        <f>IF($J67="","",SUMIFS(SummaryHelper!$E$2:$E$5000,SummaryHelper!$A$2:$A$5000,$I67,SummaryHelper!$B$2:$B$5000,$J67,SummaryHelper!$C$2:$C$5000,$K67))</f>
        <v>52</v>
      </c>
      <c r="N67" s="9">
        <f>IF($J67="","",SUMIFS(SummaryHelper!$F$2:$F$5000,SummaryHelper!$A$2:$A$5000,$I67,SummaryHelper!$B$2:$B$5000,$J67,SummaryHelper!$C$2:$C$5000,$K67))</f>
        <v>0.15000000000000002</v>
      </c>
      <c r="O67" s="9">
        <f>IF($J67="","",SUMIFS(SummaryHelper!$G$2:$G$5000,SummaryHelper!$A$2:$A$5000,$I67,SummaryHelper!$B$2:$B$5000,$J67,SummaryHelper!$C$2:$C$5000,$K67))</f>
        <v>53.400000000000006</v>
      </c>
      <c r="Q67" s="9">
        <f t="shared" si="6"/>
        <v>54</v>
      </c>
      <c r="R67" s="9">
        <f t="shared" si="7"/>
        <v>2429.9999999999995</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IF($U67="","",SUMIFS([1]SummaryHelper!$G$2:$G$5000,[1]SummaryHelper!$A$2:$A$5000,$T67,[1]SummaryHelper!$B$2:$B$5000,$U67,[1]SummaryHelper!$C$2:$C$5000,$V67))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12" t="str">
        <f t="shared" ref="B68:B100" si="12">IF($A68&lt;&gt;1,"","S"&amp;TEXT(ROW()-2,"00"))</f>
        <v/>
      </c>
      <c r="C68" s="9" t="str">
        <f t="shared" ref="C68:C100" ca="1" si="13">IF($A68&lt;&gt;1,"",IF($B68="","",IFERROR(SUMIFS(INDIRECT("'"&amp;$B68&amp;"'!N3:N300"),INDIRECT("'"&amp;$B68&amp;"'!F3:F300"),"&lt;&gt;",INDIRECT("'"&amp;$B68&amp;"'!H3:H300"),"&lt;&gt;"),0)))</f>
        <v/>
      </c>
      <c r="D68" s="9" t="str">
        <f t="shared" ref="D68:D100" ca="1" si="14">IF($A68&lt;&gt;1,"",IF($B68="","",IFERROR(SUMIFS(INDIRECT("'"&amp;$B68&amp;"'!Y3:Y300"),INDIRECT("'"&amp;$B68&amp;"'!Q3:Q300"),"&lt;&gt;",INDIRECT("'"&amp;$B68&amp;"'!S3:S300"),"&lt;&gt;"),0)))</f>
        <v/>
      </c>
      <c r="E68" s="9" t="str">
        <f t="shared" ref="E68:E100" ca="1" si="15">IF($A68&lt;&gt;1,"",IF($B68="","",IFERROR(SUMIFS(INDIRECT("'"&amp;$B68&amp;"'!AJ3:AJ300"),INDIRECT("'"&amp;$B68&amp;"'!AB3:AB300"),"&lt;&gt;",INDIRECT("'"&amp;$B68&amp;"'!AD3:AD300"),"&lt;&gt;"),0)))</f>
        <v/>
      </c>
      <c r="F68" s="9" t="str">
        <f t="shared" ref="F68:F100" si="16">IF($A68&lt;&gt;1,"",$C68+$D68+$E68)</f>
        <v/>
      </c>
      <c r="G68" s="9" t="str">
        <f t="shared" ref="G68:G100" si="17">IF($A68=1,$F68,"")</f>
        <v/>
      </c>
      <c r="I68" t="str">
        <v>MATERIALS</v>
      </c>
      <c r="J68" t="str">
        <v>Poly Rope 6mm Blue</v>
      </c>
      <c r="K68" t="str">
        <v>ROLL</v>
      </c>
      <c r="L68" s="9">
        <f>IF($J68="","",IFERROR(SUMIFS(SummaryHelper!$H$2:$H$5000,SummaryHelper!$A$2:$A$5000,$I68,SummaryHelper!$B$2:$B$5000,$J68,SummaryHelper!$C$2:$C$5000,$K68)/SUMIFS(SummaryHelper!$G$2:$G$5000,SummaryHelper!$A$2:$A$5000,$I68,SummaryHelper!$B$2:$B$5000,$J68,SummaryHelper!$C$2:$C$5000,$K68),""))</f>
        <v>15</v>
      </c>
      <c r="M68" s="9">
        <f>IF($J68="","",SUMIFS(SummaryHelper!$E$2:$E$5000,SummaryHelper!$A$2:$A$5000,$I68,SummaryHelper!$B$2:$B$5000,$J68,SummaryHelper!$C$2:$C$5000,$K68))</f>
        <v>1</v>
      </c>
      <c r="N68" s="9">
        <f>IF($J68="","",SUMIFS(SummaryHelper!$F$2:$F$5000,SummaryHelper!$A$2:$A$5000,$I68,SummaryHelper!$B$2:$B$5000,$J68,SummaryHelper!$C$2:$C$5000,$K68))</f>
        <v>0</v>
      </c>
      <c r="O68" s="9">
        <f>IF($J68="","",SUMIFS(SummaryHelper!$G$2:$G$5000,SummaryHelper!$A$2:$A$5000,$I68,SummaryHelper!$B$2:$B$5000,$J68,SummaryHelper!$C$2:$C$5000,$K68))</f>
        <v>1</v>
      </c>
      <c r="Q68" s="9">
        <f t="shared" ref="Q68:Q131" si="18">IF($J68="","",IF($P68="",ROUNDUP($O68,0),$P68))</f>
        <v>1</v>
      </c>
      <c r="R68" s="9">
        <f t="shared" ref="R68:R131" si="19">IF($J68="","",$Q68*$L68)</f>
        <v>15</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IF($U68="","",SUMIFS([1]SummaryHelper!$G$2:$G$5000,[1]SummaryHelper!$A$2:$A$5000,$T68,[1]SummaryHelper!$B$2:$B$5000,$U68,[1]SummaryHelper!$C$2:$C$5000,$V68))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12" t="str">
        <f t="shared" si="12"/>
        <v/>
      </c>
      <c r="C69" s="9" t="str">
        <f t="shared" ca="1" si="13"/>
        <v/>
      </c>
      <c r="D69" s="9" t="str">
        <f t="shared" ca="1" si="14"/>
        <v/>
      </c>
      <c r="E69" s="9" t="str">
        <f t="shared" ca="1" si="15"/>
        <v/>
      </c>
      <c r="F69" s="9" t="str">
        <f t="shared" si="16"/>
        <v/>
      </c>
      <c r="G69" s="9" t="str">
        <f t="shared" si="17"/>
        <v/>
      </c>
      <c r="I69" t="str">
        <v>MATERIALS</v>
      </c>
      <c r="J69" t="str">
        <v>Poly Sealant 280ml</v>
      </c>
      <c r="K69" t="str">
        <v>PCS</v>
      </c>
      <c r="L69" s="9">
        <f>IF($J69="","",IFERROR(SUMIFS(SummaryHelper!$H$2:$H$5000,SummaryHelper!$A$2:$A$5000,$I69,SummaryHelper!$B$2:$B$5000,$J69,SummaryHelper!$C$2:$C$5000,$K69)/SUMIFS(SummaryHelper!$G$2:$G$5000,SummaryHelper!$A$2:$A$5000,$I69,SummaryHelper!$B$2:$B$5000,$J69,SummaryHelper!$C$2:$C$5000,$K69),""))</f>
        <v>5.5</v>
      </c>
      <c r="M69" s="9">
        <f>IF($J69="","",SUMIFS(SummaryHelper!$E$2:$E$5000,SummaryHelper!$A$2:$A$5000,$I69,SummaryHelper!$B$2:$B$5000,$J69,SummaryHelper!$C$2:$C$5000,$K69))</f>
        <v>4</v>
      </c>
      <c r="N69" s="9">
        <f>IF($J69="","",SUMIFS(SummaryHelper!$F$2:$F$5000,SummaryHelper!$A$2:$A$5000,$I69,SummaryHelper!$B$2:$B$5000,$J69,SummaryHelper!$C$2:$C$5000,$K69))</f>
        <v>0.05</v>
      </c>
      <c r="O69" s="9">
        <f>IF($J69="","",SUMIFS(SummaryHelper!$G$2:$G$5000,SummaryHelper!$A$2:$A$5000,$I69,SummaryHelper!$B$2:$B$5000,$J69,SummaryHelper!$C$2:$C$5000,$K69))</f>
        <v>4.2</v>
      </c>
      <c r="Q69" s="9">
        <f t="shared" si="18"/>
        <v>5</v>
      </c>
      <c r="R69" s="9">
        <f t="shared" si="19"/>
        <v>27.5</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IF($U69="","",SUMIFS([1]SummaryHelper!$G$2:$G$5000,[1]SummaryHelper!$A$2:$A$5000,$T69,[1]SummaryHelper!$B$2:$B$5000,$U69,[1]SummaryHelper!$C$2:$C$5000,$V69))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12" t="str">
        <f t="shared" si="12"/>
        <v/>
      </c>
      <c r="C70" s="9" t="str">
        <f t="shared" ca="1" si="13"/>
        <v/>
      </c>
      <c r="D70" s="9" t="str">
        <f t="shared" ca="1" si="14"/>
        <v/>
      </c>
      <c r="E70" s="9" t="str">
        <f t="shared" ca="1" si="15"/>
        <v/>
      </c>
      <c r="F70" s="9" t="str">
        <f t="shared" si="16"/>
        <v/>
      </c>
      <c r="G70" s="9" t="str">
        <f t="shared" si="17"/>
        <v/>
      </c>
      <c r="I70" t="str">
        <v>MATERIALS</v>
      </c>
      <c r="J70" t="str">
        <v>Primaflex Fibre Cement Board 4.00ft x 4.00ft</v>
      </c>
      <c r="K70" t="str">
        <v>SHEET</v>
      </c>
      <c r="L70" s="9">
        <f>IF($J70="","",IFERROR(SUMIFS(SummaryHelper!$H$2:$H$5000,SummaryHelper!$A$2:$A$5000,$I70,SummaryHelper!$B$2:$B$5000,$J70,SummaryHelper!$C$2:$C$5000,$K70)/SUMIFS(SummaryHelper!$G$2:$G$5000,SummaryHelper!$A$2:$A$5000,$I70,SummaryHelper!$B$2:$B$5000,$J70,SummaryHelper!$C$2:$C$5000,$K70),""))</f>
        <v>13</v>
      </c>
      <c r="M70" s="9">
        <f>IF($J70="","",SUMIFS(SummaryHelper!$E$2:$E$5000,SummaryHelper!$A$2:$A$5000,$I70,SummaryHelper!$B$2:$B$5000,$J70,SummaryHelper!$C$2:$C$5000,$K70))</f>
        <v>5</v>
      </c>
      <c r="N70" s="9">
        <f>IF($J70="","",SUMIFS(SummaryHelper!$F$2:$F$5000,SummaryHelper!$A$2:$A$5000,$I70,SummaryHelper!$B$2:$B$5000,$J70,SummaryHelper!$C$2:$C$5000,$K70))</f>
        <v>0.05</v>
      </c>
      <c r="O70" s="9">
        <f>IF($J70="","",SUMIFS(SummaryHelper!$G$2:$G$5000,SummaryHelper!$A$2:$A$5000,$I70,SummaryHelper!$B$2:$B$5000,$J70,SummaryHelper!$C$2:$C$5000,$K70))</f>
        <v>5.25</v>
      </c>
      <c r="Q70" s="9">
        <f t="shared" si="18"/>
        <v>6</v>
      </c>
      <c r="R70" s="9">
        <f t="shared" si="19"/>
        <v>78</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IF($U70="","",SUMIFS([1]SummaryHelper!$G$2:$G$5000,[1]SummaryHelper!$A$2:$A$5000,$T70,[1]SummaryHelper!$B$2:$B$5000,$U70,[1]SummaryHelper!$C$2:$C$5000,$V70))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12" t="str">
        <f t="shared" si="12"/>
        <v/>
      </c>
      <c r="C71" s="9" t="str">
        <f t="shared" ca="1" si="13"/>
        <v/>
      </c>
      <c r="D71" s="9" t="str">
        <f t="shared" ca="1" si="14"/>
        <v/>
      </c>
      <c r="E71" s="9" t="str">
        <f t="shared" ca="1" si="15"/>
        <v/>
      </c>
      <c r="F71" s="9" t="str">
        <f t="shared" si="16"/>
        <v/>
      </c>
      <c r="G71" s="9" t="str">
        <f t="shared" si="17"/>
        <v/>
      </c>
      <c r="I71" t="str">
        <v>MATERIALS</v>
      </c>
      <c r="J71" t="str">
        <v>PVC Concealed Box 1 Gang</v>
      </c>
      <c r="K71" t="str">
        <v>UNIT</v>
      </c>
      <c r="L71" s="9">
        <f>IF($J71="","",IFERROR(SUMIFS(SummaryHelper!$H$2:$H$5000,SummaryHelper!$A$2:$A$5000,$I71,SummaryHelper!$B$2:$B$5000,$J71,SummaryHelper!$C$2:$C$5000,$K71)/SUMIFS(SummaryHelper!$G$2:$G$5000,SummaryHelper!$A$2:$A$5000,$I71,SummaryHelper!$B$2:$B$5000,$J71,SummaryHelper!$C$2:$C$5000,$K71),""))</f>
        <v>0.35</v>
      </c>
      <c r="M71" s="9">
        <f>IF($J71="","",SUMIFS(SummaryHelper!$E$2:$E$5000,SummaryHelper!$A$2:$A$5000,$I71,SummaryHelper!$B$2:$B$5000,$J71,SummaryHelper!$C$2:$C$5000,$K71))</f>
        <v>15</v>
      </c>
      <c r="N71" s="9">
        <f>IF($J71="","",SUMIFS(SummaryHelper!$F$2:$F$5000,SummaryHelper!$A$2:$A$5000,$I71,SummaryHelper!$B$2:$B$5000,$J71,SummaryHelper!$C$2:$C$5000,$K71))</f>
        <v>0</v>
      </c>
      <c r="O71" s="9">
        <f>IF($J71="","",SUMIFS(SummaryHelper!$G$2:$G$5000,SummaryHelper!$A$2:$A$5000,$I71,SummaryHelper!$B$2:$B$5000,$J71,SummaryHelper!$C$2:$C$5000,$K71))</f>
        <v>15</v>
      </c>
      <c r="Q71" s="9">
        <f t="shared" si="18"/>
        <v>15</v>
      </c>
      <c r="R71" s="9">
        <f t="shared" si="19"/>
        <v>5.25</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IF($U71="","",SUMIFS([1]SummaryHelper!$G$2:$G$5000,[1]SummaryHelper!$A$2:$A$5000,$T71,[1]SummaryHelper!$B$2:$B$5000,$U71,[1]SummaryHelper!$C$2:$C$5000,$V71))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12" t="str">
        <f t="shared" si="12"/>
        <v/>
      </c>
      <c r="C72" s="9" t="str">
        <f t="shared" ca="1" si="13"/>
        <v/>
      </c>
      <c r="D72" s="9" t="str">
        <f t="shared" ca="1" si="14"/>
        <v/>
      </c>
      <c r="E72" s="9" t="str">
        <f t="shared" ca="1" si="15"/>
        <v/>
      </c>
      <c r="F72" s="9" t="str">
        <f t="shared" si="16"/>
        <v/>
      </c>
      <c r="G72" s="9" t="str">
        <f t="shared" si="17"/>
        <v/>
      </c>
      <c r="I72" t="str">
        <v>MATERIALS</v>
      </c>
      <c r="J72" t="str">
        <v>PVC Conduit Pipe 20mm (10ft)</v>
      </c>
      <c r="K72" t="str">
        <v>LTH</v>
      </c>
      <c r="L72" s="9">
        <f>IF($J72="","",IFERROR(SUMIFS(SummaryHelper!$H$2:$H$5000,SummaryHelper!$A$2:$A$5000,$I72,SummaryHelper!$B$2:$B$5000,$J72,SummaryHelper!$C$2:$C$5000,$K72)/SUMIFS(SummaryHelper!$G$2:$G$5000,SummaryHelper!$A$2:$A$5000,$I72,SummaryHelper!$B$2:$B$5000,$J72,SummaryHelper!$C$2:$C$5000,$K72),""))</f>
        <v>6.7999999999999989</v>
      </c>
      <c r="M72" s="9">
        <f>IF($J72="","",SUMIFS(SummaryHelper!$E$2:$E$5000,SummaryHelper!$A$2:$A$5000,$I72,SummaryHelper!$B$2:$B$5000,$J72,SummaryHelper!$C$2:$C$5000,$K72))</f>
        <v>23</v>
      </c>
      <c r="N72" s="9">
        <f>IF($J72="","",SUMIFS(SummaryHelper!$F$2:$F$5000,SummaryHelper!$A$2:$A$5000,$I72,SummaryHelper!$B$2:$B$5000,$J72,SummaryHelper!$C$2:$C$5000,$K72))</f>
        <v>0</v>
      </c>
      <c r="O72" s="9">
        <f>IF($J72="","",SUMIFS(SummaryHelper!$G$2:$G$5000,SummaryHelper!$A$2:$A$5000,$I72,SummaryHelper!$B$2:$B$5000,$J72,SummaryHelper!$C$2:$C$5000,$K72))</f>
        <v>23</v>
      </c>
      <c r="Q72" s="9">
        <f t="shared" si="18"/>
        <v>23</v>
      </c>
      <c r="R72" s="9">
        <f t="shared" si="19"/>
        <v>156.39999999999998</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IF($U72="","",SUMIFS([1]SummaryHelper!$G$2:$G$5000,[1]SummaryHelper!$A$2:$A$5000,$T72,[1]SummaryHelper!$B$2:$B$5000,$U72,[1]SummaryHelper!$C$2:$C$5000,$V72))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12" t="str">
        <f t="shared" si="12"/>
        <v/>
      </c>
      <c r="C73" s="9" t="str">
        <f t="shared" ca="1" si="13"/>
        <v/>
      </c>
      <c r="D73" s="9" t="str">
        <f t="shared" ca="1" si="14"/>
        <v/>
      </c>
      <c r="E73" s="9" t="str">
        <f t="shared" ca="1" si="15"/>
        <v/>
      </c>
      <c r="F73" s="9" t="str">
        <f t="shared" si="16"/>
        <v/>
      </c>
      <c r="G73" s="9" t="str">
        <f t="shared" si="17"/>
        <v/>
      </c>
      <c r="I73" t="str">
        <v>MATERIALS</v>
      </c>
      <c r="J73" t="str">
        <v>PVC Conduit Pipe 25mm (10ft)</v>
      </c>
      <c r="K73" t="str">
        <v>LTH</v>
      </c>
      <c r="L73" s="9">
        <f>IF($J73="","",IFERROR(SUMIFS(SummaryHelper!$H$2:$H$5000,SummaryHelper!$A$2:$A$5000,$I73,SummaryHelper!$B$2:$B$5000,$J73,SummaryHelper!$C$2:$C$5000,$K73)/SUMIFS(SummaryHelper!$G$2:$G$5000,SummaryHelper!$A$2:$A$5000,$I73,SummaryHelper!$B$2:$B$5000,$J73,SummaryHelper!$C$2:$C$5000,$K73),""))</f>
        <v>10.199999999999999</v>
      </c>
      <c r="M73" s="9">
        <f>IF($J73="","",SUMIFS(SummaryHelper!$E$2:$E$5000,SummaryHelper!$A$2:$A$5000,$I73,SummaryHelper!$B$2:$B$5000,$J73,SummaryHelper!$C$2:$C$5000,$K73))</f>
        <v>12</v>
      </c>
      <c r="N73" s="9">
        <f>IF($J73="","",SUMIFS(SummaryHelper!$F$2:$F$5000,SummaryHelper!$A$2:$A$5000,$I73,SummaryHelper!$B$2:$B$5000,$J73,SummaryHelper!$C$2:$C$5000,$K73))</f>
        <v>0</v>
      </c>
      <c r="O73" s="9">
        <f>IF($J73="","",SUMIFS(SummaryHelper!$G$2:$G$5000,SummaryHelper!$A$2:$A$5000,$I73,SummaryHelper!$B$2:$B$5000,$J73,SummaryHelper!$C$2:$C$5000,$K73))</f>
        <v>12</v>
      </c>
      <c r="Q73" s="9">
        <f t="shared" si="18"/>
        <v>12</v>
      </c>
      <c r="R73" s="9">
        <f t="shared" si="19"/>
        <v>122.39999999999999</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IF($U73="","",SUMIFS([1]SummaryHelper!$G$2:$G$5000,[1]SummaryHelper!$A$2:$A$5000,$T73,[1]SummaryHelper!$B$2:$B$5000,$U73,[1]SummaryHelper!$C$2:$C$5000,$V73))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12" t="str">
        <f t="shared" si="12"/>
        <v/>
      </c>
      <c r="C74" s="9" t="str">
        <f t="shared" ca="1" si="13"/>
        <v/>
      </c>
      <c r="D74" s="9" t="str">
        <f t="shared" ca="1" si="14"/>
        <v/>
      </c>
      <c r="E74" s="9" t="str">
        <f t="shared" ca="1" si="15"/>
        <v/>
      </c>
      <c r="F74" s="9" t="str">
        <f t="shared" si="16"/>
        <v/>
      </c>
      <c r="G74" s="9" t="str">
        <f t="shared" si="17"/>
        <v/>
      </c>
      <c r="I74" t="str">
        <v>MATERIALS</v>
      </c>
      <c r="J74" t="str">
        <v>PVC Elbow 90 Degree 25mm</v>
      </c>
      <c r="K74" t="str">
        <v>PKT</v>
      </c>
      <c r="L74" s="9">
        <f>IF($J74="","",IFERROR(SUMIFS(SummaryHelper!$H$2:$H$5000,SummaryHelper!$A$2:$A$5000,$I74,SummaryHelper!$B$2:$B$5000,$J74,SummaryHelper!$C$2:$C$5000,$K74)/SUMIFS(SummaryHelper!$G$2:$G$5000,SummaryHelper!$A$2:$A$5000,$I74,SummaryHelper!$B$2:$B$5000,$J74,SummaryHelper!$C$2:$C$5000,$K74),""))</f>
        <v>1.36</v>
      </c>
      <c r="M74" s="9">
        <f>IF($J74="","",SUMIFS(SummaryHelper!$E$2:$E$5000,SummaryHelper!$A$2:$A$5000,$I74,SummaryHelper!$B$2:$B$5000,$J74,SummaryHelper!$C$2:$C$5000,$K74))</f>
        <v>2</v>
      </c>
      <c r="N74" s="9">
        <f>IF($J74="","",SUMIFS(SummaryHelper!$F$2:$F$5000,SummaryHelper!$A$2:$A$5000,$I74,SummaryHelper!$B$2:$B$5000,$J74,SummaryHelper!$C$2:$C$5000,$K74))</f>
        <v>0</v>
      </c>
      <c r="O74" s="9">
        <f>IF($J74="","",SUMIFS(SummaryHelper!$G$2:$G$5000,SummaryHelper!$A$2:$A$5000,$I74,SummaryHelper!$B$2:$B$5000,$J74,SummaryHelper!$C$2:$C$5000,$K74))</f>
        <v>2</v>
      </c>
      <c r="Q74" s="9">
        <f t="shared" si="18"/>
        <v>2</v>
      </c>
      <c r="R74" s="9">
        <f t="shared" si="19"/>
        <v>2.72</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IF($U74="","",SUMIFS([1]SummaryHelper!$G$2:$G$5000,[1]SummaryHelper!$A$2:$A$5000,$T74,[1]SummaryHelper!$B$2:$B$5000,$U74,[1]SummaryHelper!$C$2:$C$5000,$V74))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12" t="str">
        <f t="shared" si="12"/>
        <v/>
      </c>
      <c r="C75" s="9" t="str">
        <f t="shared" ca="1" si="13"/>
        <v/>
      </c>
      <c r="D75" s="9" t="str">
        <f t="shared" ca="1" si="14"/>
        <v/>
      </c>
      <c r="E75" s="9" t="str">
        <f t="shared" ca="1" si="15"/>
        <v/>
      </c>
      <c r="F75" s="9" t="str">
        <f t="shared" si="16"/>
        <v/>
      </c>
      <c r="G75" s="9" t="str">
        <f t="shared" si="17"/>
        <v/>
      </c>
      <c r="I75" t="str">
        <v>MATERIALS</v>
      </c>
      <c r="J75" t="str">
        <v>PVC Fitting Double End Socket 100mm (4")</v>
      </c>
      <c r="K75" t="str">
        <v>PCS</v>
      </c>
      <c r="L75" s="9">
        <f>IF($J75="","",IFERROR(SUMIFS(SummaryHelper!$H$2:$H$5000,SummaryHelper!$A$2:$A$5000,$I75,SummaryHelper!$B$2:$B$5000,$J75,SummaryHelper!$C$2:$C$5000,$K75)/SUMIFS(SummaryHelper!$G$2:$G$5000,SummaryHelper!$A$2:$A$5000,$I75,SummaryHelper!$B$2:$B$5000,$J75,SummaryHelper!$C$2:$C$5000,$K75),""))</f>
        <v>9.5</v>
      </c>
      <c r="M75" s="9">
        <f>IF($J75="","",SUMIFS(SummaryHelper!$E$2:$E$5000,SummaryHelper!$A$2:$A$5000,$I75,SummaryHelper!$B$2:$B$5000,$J75,SummaryHelper!$C$2:$C$5000,$K75))</f>
        <v>2</v>
      </c>
      <c r="N75" s="9">
        <f>IF($J75="","",SUMIFS(SummaryHelper!$F$2:$F$5000,SummaryHelper!$A$2:$A$5000,$I75,SummaryHelper!$B$2:$B$5000,$J75,SummaryHelper!$C$2:$C$5000,$K75))</f>
        <v>0.05</v>
      </c>
      <c r="O75" s="9">
        <f>IF($J75="","",SUMIFS(SummaryHelper!$G$2:$G$5000,SummaryHelper!$A$2:$A$5000,$I75,SummaryHelper!$B$2:$B$5000,$J75,SummaryHelper!$C$2:$C$5000,$K75))</f>
        <v>2.1</v>
      </c>
      <c r="Q75" s="9">
        <f t="shared" si="18"/>
        <v>3</v>
      </c>
      <c r="R75" s="9">
        <f t="shared" si="19"/>
        <v>28.5</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IF($U75="","",SUMIFS([1]SummaryHelper!$G$2:$G$5000,[1]SummaryHelper!$A$2:$A$5000,$T75,[1]SummaryHelper!$B$2:$B$5000,$U75,[1]SummaryHelper!$C$2:$C$5000,$V75))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12" t="str">
        <f t="shared" si="12"/>
        <v/>
      </c>
      <c r="C76" s="9" t="str">
        <f t="shared" ca="1" si="13"/>
        <v/>
      </c>
      <c r="D76" s="9" t="str">
        <f t="shared" ca="1" si="14"/>
        <v/>
      </c>
      <c r="E76" s="9" t="str">
        <f t="shared" ca="1" si="15"/>
        <v/>
      </c>
      <c r="F76" s="9" t="str">
        <f t="shared" si="16"/>
        <v/>
      </c>
      <c r="G76" s="9" t="str">
        <f t="shared" si="17"/>
        <v/>
      </c>
      <c r="I76" t="str">
        <v>MATERIALS</v>
      </c>
      <c r="J76" t="str">
        <v>PVC Fitting Double End Socket 50mm (2")</v>
      </c>
      <c r="K76" t="str">
        <v>PCS</v>
      </c>
      <c r="L76" s="9">
        <f>IF($J76="","",IFERROR(SUMIFS(SummaryHelper!$H$2:$H$5000,SummaryHelper!$A$2:$A$5000,$I76,SummaryHelper!$B$2:$B$5000,$J76,SummaryHelper!$C$2:$C$5000,$K76)/SUMIFS(SummaryHelper!$G$2:$G$5000,SummaryHelper!$A$2:$A$5000,$I76,SummaryHelper!$B$2:$B$5000,$J76,SummaryHelper!$C$2:$C$5000,$K76),""))</f>
        <v>4.3</v>
      </c>
      <c r="M76" s="9">
        <f>IF($J76="","",SUMIFS(SummaryHelper!$E$2:$E$5000,SummaryHelper!$A$2:$A$5000,$I76,SummaryHelper!$B$2:$B$5000,$J76,SummaryHelper!$C$2:$C$5000,$K76))</f>
        <v>6</v>
      </c>
      <c r="N76" s="9">
        <f>IF($J76="","",SUMIFS(SummaryHelper!$F$2:$F$5000,SummaryHelper!$A$2:$A$5000,$I76,SummaryHelper!$B$2:$B$5000,$J76,SummaryHelper!$C$2:$C$5000,$K76))</f>
        <v>0.05</v>
      </c>
      <c r="O76" s="9">
        <f>IF($J76="","",SUMIFS(SummaryHelper!$G$2:$G$5000,SummaryHelper!$A$2:$A$5000,$I76,SummaryHelper!$B$2:$B$5000,$J76,SummaryHelper!$C$2:$C$5000,$K76))</f>
        <v>6.3000000000000007</v>
      </c>
      <c r="Q76" s="9">
        <f t="shared" si="18"/>
        <v>7</v>
      </c>
      <c r="R76" s="9">
        <f t="shared" si="19"/>
        <v>30.099999999999998</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IF($U76="","",SUMIFS([1]SummaryHelper!$G$2:$G$5000,[1]SummaryHelper!$A$2:$A$5000,$T76,[1]SummaryHelper!$B$2:$B$5000,$U76,[1]SummaryHelper!$C$2:$C$5000,$V76))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12" t="str">
        <f t="shared" si="12"/>
        <v/>
      </c>
      <c r="C77" s="9" t="str">
        <f t="shared" ca="1" si="13"/>
        <v/>
      </c>
      <c r="D77" s="9" t="str">
        <f t="shared" ca="1" si="14"/>
        <v/>
      </c>
      <c r="E77" s="9" t="str">
        <f t="shared" ca="1" si="15"/>
        <v/>
      </c>
      <c r="F77" s="9" t="str">
        <f t="shared" si="16"/>
        <v/>
      </c>
      <c r="G77" s="9" t="str">
        <f t="shared" si="17"/>
        <v/>
      </c>
      <c r="I77" t="str">
        <v>MATERIALS</v>
      </c>
      <c r="J77" t="str">
        <v>PVC Insulation Tape 18mm x 6yd</v>
      </c>
      <c r="K77" t="str">
        <v>PCS</v>
      </c>
      <c r="L77" s="9">
        <f>IF($J77="","",IFERROR(SUMIFS(SummaryHelper!$H$2:$H$5000,SummaryHelper!$A$2:$A$5000,$I77,SummaryHelper!$B$2:$B$5000,$J77,SummaryHelper!$C$2:$C$5000,$K77)/SUMIFS(SummaryHelper!$G$2:$G$5000,SummaryHelper!$A$2:$A$5000,$I77,SummaryHelper!$B$2:$B$5000,$J77,SummaryHelper!$C$2:$C$5000,$K77),""))</f>
        <v>0.5</v>
      </c>
      <c r="M77" s="9">
        <f>IF($J77="","",SUMIFS(SummaryHelper!$E$2:$E$5000,SummaryHelper!$A$2:$A$5000,$I77,SummaryHelper!$B$2:$B$5000,$J77,SummaryHelper!$C$2:$C$5000,$K77))</f>
        <v>2</v>
      </c>
      <c r="N77" s="9">
        <f>IF($J77="","",SUMIFS(SummaryHelper!$F$2:$F$5000,SummaryHelper!$A$2:$A$5000,$I77,SummaryHelper!$B$2:$B$5000,$J77,SummaryHelper!$C$2:$C$5000,$K77))</f>
        <v>0</v>
      </c>
      <c r="O77" s="9">
        <f>IF($J77="","",SUMIFS(SummaryHelper!$G$2:$G$5000,SummaryHelper!$A$2:$A$5000,$I77,SummaryHelper!$B$2:$B$5000,$J77,SummaryHelper!$C$2:$C$5000,$K77))</f>
        <v>2</v>
      </c>
      <c r="Q77" s="9">
        <f t="shared" si="18"/>
        <v>2</v>
      </c>
      <c r="R77" s="9">
        <f t="shared" si="19"/>
        <v>1</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IF($U77="","",SUMIFS([1]SummaryHelper!$G$2:$G$5000,[1]SummaryHelper!$A$2:$A$5000,$T77,[1]SummaryHelper!$B$2:$B$5000,$U77,[1]SummaryHelper!$C$2:$C$5000,$V77))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12" t="str">
        <f t="shared" si="12"/>
        <v/>
      </c>
      <c r="C78" s="9" t="str">
        <f t="shared" ca="1" si="13"/>
        <v/>
      </c>
      <c r="D78" s="9" t="str">
        <f t="shared" ca="1" si="14"/>
        <v/>
      </c>
      <c r="E78" s="9" t="str">
        <f t="shared" ca="1" si="15"/>
        <v/>
      </c>
      <c r="F78" s="9" t="str">
        <f t="shared" si="16"/>
        <v/>
      </c>
      <c r="G78" s="9" t="str">
        <f t="shared" si="17"/>
        <v/>
      </c>
      <c r="I78" t="str">
        <v>MATERIALS</v>
      </c>
      <c r="J78" t="str">
        <v>PVC P/T Socket Brass Thread 1/2"</v>
      </c>
      <c r="K78" t="str">
        <v>PCS</v>
      </c>
      <c r="L78" s="9">
        <f>IF($J78="","",IFERROR(SUMIFS(SummaryHelper!$H$2:$H$5000,SummaryHelper!$A$2:$A$5000,$I78,SummaryHelper!$B$2:$B$5000,$J78,SummaryHelper!$C$2:$C$5000,$K78)/SUMIFS(SummaryHelper!$G$2:$G$5000,SummaryHelper!$A$2:$A$5000,$I78,SummaryHelper!$B$2:$B$5000,$J78,SummaryHelper!$C$2:$C$5000,$K78),""))</f>
        <v>3</v>
      </c>
      <c r="M78" s="9">
        <f>IF($J78="","",SUMIFS(SummaryHelper!$E$2:$E$5000,SummaryHelper!$A$2:$A$5000,$I78,SummaryHelper!$B$2:$B$5000,$J78,SummaryHelper!$C$2:$C$5000,$K78))</f>
        <v>5</v>
      </c>
      <c r="N78" s="9">
        <f>IF($J78="","",SUMIFS(SummaryHelper!$F$2:$F$5000,SummaryHelper!$A$2:$A$5000,$I78,SummaryHelper!$B$2:$B$5000,$J78,SummaryHelper!$C$2:$C$5000,$K78))</f>
        <v>0.05</v>
      </c>
      <c r="O78" s="9">
        <f>IF($J78="","",SUMIFS(SummaryHelper!$G$2:$G$5000,SummaryHelper!$A$2:$A$5000,$I78,SummaryHelper!$B$2:$B$5000,$J78,SummaryHelper!$C$2:$C$5000,$K78))</f>
        <v>5.25</v>
      </c>
      <c r="Q78" s="9">
        <f t="shared" si="18"/>
        <v>6</v>
      </c>
      <c r="R78" s="9">
        <f t="shared" si="19"/>
        <v>18</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IF($U78="","",SUMIFS([1]SummaryHelper!$G$2:$G$5000,[1]SummaryHelper!$A$2:$A$5000,$T78,[1]SummaryHelper!$B$2:$B$5000,$U78,[1]SummaryHelper!$C$2:$C$5000,$V78))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12" t="str">
        <f t="shared" si="12"/>
        <v/>
      </c>
      <c r="C79" s="9" t="str">
        <f t="shared" ca="1" si="13"/>
        <v/>
      </c>
      <c r="D79" s="9" t="str">
        <f t="shared" ca="1" si="14"/>
        <v/>
      </c>
      <c r="E79" s="9" t="str">
        <f t="shared" ca="1" si="15"/>
        <v/>
      </c>
      <c r="F79" s="9" t="str">
        <f t="shared" si="16"/>
        <v/>
      </c>
      <c r="G79" s="9" t="str">
        <f t="shared" si="17"/>
        <v/>
      </c>
      <c r="I79" t="str">
        <v>MATERIALS</v>
      </c>
      <c r="J79" t="str">
        <v>PVC Solvent Cement Glue 500g (Arrow, Orange)</v>
      </c>
      <c r="K79" t="str">
        <v>PCS</v>
      </c>
      <c r="L79" s="9">
        <f>IF($J79="","",IFERROR(SUMIFS(SummaryHelper!$H$2:$H$5000,SummaryHelper!$A$2:$A$5000,$I79,SummaryHelper!$B$2:$B$5000,$J79,SummaryHelper!$C$2:$C$5000,$K79)/SUMIFS(SummaryHelper!$G$2:$G$5000,SummaryHelper!$A$2:$A$5000,$I79,SummaryHelper!$B$2:$B$5000,$J79,SummaryHelper!$C$2:$C$5000,$K79),""))</f>
        <v>1</v>
      </c>
      <c r="M79" s="9">
        <f>IF($J79="","",SUMIFS(SummaryHelper!$E$2:$E$5000,SummaryHelper!$A$2:$A$5000,$I79,SummaryHelper!$B$2:$B$5000,$J79,SummaryHelper!$C$2:$C$5000,$K79))</f>
        <v>1</v>
      </c>
      <c r="N79" s="9">
        <f>IF($J79="","",SUMIFS(SummaryHelper!$F$2:$F$5000,SummaryHelper!$A$2:$A$5000,$I79,SummaryHelper!$B$2:$B$5000,$J79,SummaryHelper!$C$2:$C$5000,$K79))</f>
        <v>0</v>
      </c>
      <c r="O79" s="9">
        <f>IF($J79="","",SUMIFS(SummaryHelper!$G$2:$G$5000,SummaryHelper!$A$2:$A$5000,$I79,SummaryHelper!$B$2:$B$5000,$J79,SummaryHelper!$C$2:$C$5000,$K79))</f>
        <v>1</v>
      </c>
      <c r="Q79" s="9">
        <f t="shared" si="18"/>
        <v>1</v>
      </c>
      <c r="R79" s="9">
        <f t="shared" si="19"/>
        <v>1</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IF($U79="","",SUMIFS([1]SummaryHelper!$G$2:$G$5000,[1]SummaryHelper!$A$2:$A$5000,$T79,[1]SummaryHelper!$B$2:$B$5000,$U79,[1]SummaryHelper!$C$2:$C$5000,$V79))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12" t="str">
        <f t="shared" si="12"/>
        <v/>
      </c>
      <c r="C80" s="9" t="str">
        <f t="shared" ca="1" si="13"/>
        <v/>
      </c>
      <c r="D80" s="9" t="str">
        <f t="shared" ca="1" si="14"/>
        <v/>
      </c>
      <c r="E80" s="9" t="str">
        <f t="shared" ca="1" si="15"/>
        <v/>
      </c>
      <c r="F80" s="9" t="str">
        <f t="shared" si="16"/>
        <v/>
      </c>
      <c r="G80" s="9" t="str">
        <f t="shared" si="17"/>
        <v/>
      </c>
      <c r="I80" t="str">
        <v>MATERIALS</v>
      </c>
      <c r="J80" t="str">
        <v>PVC Tile Spacer 2mm</v>
      </c>
      <c r="K80" t="str">
        <v>PACK</v>
      </c>
      <c r="L80" s="9">
        <f>IF($J80="","",IFERROR(SUMIFS(SummaryHelper!$H$2:$H$5000,SummaryHelper!$A$2:$A$5000,$I80,SummaryHelper!$B$2:$B$5000,$J80,SummaryHelper!$C$2:$C$5000,$K80)/SUMIFS(SummaryHelper!$G$2:$G$5000,SummaryHelper!$A$2:$A$5000,$I80,SummaryHelper!$B$2:$B$5000,$J80,SummaryHelper!$C$2:$C$5000,$K80),""))</f>
        <v>1</v>
      </c>
      <c r="M80" s="9">
        <f>IF($J80="","",SUMIFS(SummaryHelper!$E$2:$E$5000,SummaryHelper!$A$2:$A$5000,$I80,SummaryHelper!$B$2:$B$5000,$J80,SummaryHelper!$C$2:$C$5000,$K80))</f>
        <v>12</v>
      </c>
      <c r="N80" s="9">
        <f>IF($J80="","",SUMIFS(SummaryHelper!$F$2:$F$5000,SummaryHelper!$A$2:$A$5000,$I80,SummaryHelper!$B$2:$B$5000,$J80,SummaryHelper!$C$2:$C$5000,$K80))</f>
        <v>0</v>
      </c>
      <c r="O80" s="9">
        <f>IF($J80="","",SUMIFS(SummaryHelper!$G$2:$G$5000,SummaryHelper!$A$2:$A$5000,$I80,SummaryHelper!$B$2:$B$5000,$J80,SummaryHelper!$C$2:$C$5000,$K80))</f>
        <v>12</v>
      </c>
      <c r="Q80" s="9">
        <f t="shared" si="18"/>
        <v>12</v>
      </c>
      <c r="R80" s="9">
        <f t="shared" si="19"/>
        <v>12</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IF($U80="","",SUMIFS([1]SummaryHelper!$G$2:$G$5000,[1]SummaryHelper!$A$2:$A$5000,$T80,[1]SummaryHelper!$B$2:$B$5000,$U80,[1]SummaryHelper!$C$2:$C$5000,$V80))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12" t="str">
        <f t="shared" si="12"/>
        <v/>
      </c>
      <c r="C81" s="9" t="str">
        <f t="shared" ca="1" si="13"/>
        <v/>
      </c>
      <c r="D81" s="9" t="str">
        <f t="shared" ca="1" si="14"/>
        <v/>
      </c>
      <c r="E81" s="9" t="str">
        <f t="shared" ca="1" si="15"/>
        <v/>
      </c>
      <c r="F81" s="9" t="str">
        <f t="shared" si="16"/>
        <v/>
      </c>
      <c r="G81" s="9" t="str">
        <f t="shared" si="17"/>
        <v/>
      </c>
      <c r="I81" t="str">
        <v>MATERIALS</v>
      </c>
      <c r="J81" t="str">
        <v>Raw Plywood Door (Unfinished) - Up to 36"W x 84"H (Custom Size)</v>
      </c>
      <c r="K81" t="str">
        <v>PCS</v>
      </c>
      <c r="L81" s="9">
        <f>IF($J81="","",IFERROR(SUMIFS(SummaryHelper!$H$2:$H$5000,SummaryHelper!$A$2:$A$5000,$I81,SummaryHelper!$B$2:$B$5000,$J81,SummaryHelper!$C$2:$C$5000,$K81)/SUMIFS(SummaryHelper!$G$2:$G$5000,SummaryHelper!$A$2:$A$5000,$I81,SummaryHelper!$B$2:$B$5000,$J81,SummaryHelper!$C$2:$C$5000,$K81),""))</f>
        <v>150</v>
      </c>
      <c r="M81" s="9">
        <f>IF($J81="","",SUMIFS(SummaryHelper!$E$2:$E$5000,SummaryHelper!$A$2:$A$5000,$I81,SummaryHelper!$B$2:$B$5000,$J81,SummaryHelper!$C$2:$C$5000,$K81))</f>
        <v>1</v>
      </c>
      <c r="N81" s="9">
        <f>IF($J81="","",SUMIFS(SummaryHelper!$F$2:$F$5000,SummaryHelper!$A$2:$A$5000,$I81,SummaryHelper!$B$2:$B$5000,$J81,SummaryHelper!$C$2:$C$5000,$K81))</f>
        <v>0</v>
      </c>
      <c r="O81" s="9">
        <f>IF($J81="","",SUMIFS(SummaryHelper!$G$2:$G$5000,SummaryHelper!$A$2:$A$5000,$I81,SummaryHelper!$B$2:$B$5000,$J81,SummaryHelper!$C$2:$C$5000,$K81))</f>
        <v>1</v>
      </c>
      <c r="Q81" s="9">
        <f t="shared" si="18"/>
        <v>1</v>
      </c>
      <c r="R81" s="9">
        <f t="shared" si="19"/>
        <v>150</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IF($U81="","",SUMIFS([1]SummaryHelper!$G$2:$G$5000,[1]SummaryHelper!$A$2:$A$5000,$T81,[1]SummaryHelper!$B$2:$B$5000,$U81,[1]SummaryHelper!$C$2:$C$5000,$V81))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12" t="str">
        <f t="shared" si="12"/>
        <v/>
      </c>
      <c r="C82" s="9" t="str">
        <f t="shared" ca="1" si="13"/>
        <v/>
      </c>
      <c r="D82" s="9" t="str">
        <f t="shared" ca="1" si="14"/>
        <v/>
      </c>
      <c r="E82" s="9" t="str">
        <f t="shared" ca="1" si="15"/>
        <v/>
      </c>
      <c r="F82" s="9" t="str">
        <f t="shared" si="16"/>
        <v/>
      </c>
      <c r="G82" s="9" t="str">
        <f t="shared" si="17"/>
        <v/>
      </c>
      <c r="I82" t="str">
        <v>MATERIALS</v>
      </c>
      <c r="J82" t="str">
        <v>Ready Mix Concrete G20 (Per m3)</v>
      </c>
      <c r="K82" t="str">
        <v>M3</v>
      </c>
      <c r="L82" s="9">
        <f>IF($J82="","",IFERROR(SUMIFS(SummaryHelper!$H$2:$H$5000,SummaryHelper!$A$2:$A$5000,$I82,SummaryHelper!$B$2:$B$5000,$J82,SummaryHelper!$C$2:$C$5000,$K82)/SUMIFS(SummaryHelper!$G$2:$G$5000,SummaryHelper!$A$2:$A$5000,$I82,SummaryHelper!$B$2:$B$5000,$J82,SummaryHelper!$C$2:$C$5000,$K82),""))</f>
        <v>329.99999999999994</v>
      </c>
      <c r="M82" s="9">
        <f>IF($J82="","",SUMIFS(SummaryHelper!$E$2:$E$5000,SummaryHelper!$A$2:$A$5000,$I82,SummaryHelper!$B$2:$B$5000,$J82,SummaryHelper!$C$2:$C$5000,$K82))</f>
        <v>6.7700000000000005</v>
      </c>
      <c r="N82" s="9">
        <f>IF($J82="","",SUMIFS(SummaryHelper!$F$2:$F$5000,SummaryHelper!$A$2:$A$5000,$I82,SummaryHelper!$B$2:$B$5000,$J82,SummaryHelper!$C$2:$C$5000,$K82))</f>
        <v>0</v>
      </c>
      <c r="O82" s="9">
        <f>IF($J82="","",SUMIFS(SummaryHelper!$G$2:$G$5000,SummaryHelper!$A$2:$A$5000,$I82,SummaryHelper!$B$2:$B$5000,$J82,SummaryHelper!$C$2:$C$5000,$K82))</f>
        <v>6.7700000000000005</v>
      </c>
      <c r="Q82" s="9">
        <f t="shared" si="18"/>
        <v>7</v>
      </c>
      <c r="R82" s="9">
        <f t="shared" si="19"/>
        <v>2309.9999999999995</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IF($U82="","",SUMIFS([1]SummaryHelper!$G$2:$G$5000,[1]SummaryHelper!$A$2:$A$5000,$T82,[1]SummaryHelper!$B$2:$B$5000,$U82,[1]SummaryHelper!$C$2:$C$5000,$V82))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12" t="str">
        <f t="shared" si="12"/>
        <v/>
      </c>
      <c r="C83" s="9" t="str">
        <f t="shared" ca="1" si="13"/>
        <v/>
      </c>
      <c r="D83" s="9" t="str">
        <f t="shared" ca="1" si="14"/>
        <v/>
      </c>
      <c r="E83" s="9" t="str">
        <f t="shared" ca="1" si="15"/>
        <v/>
      </c>
      <c r="F83" s="9" t="str">
        <f t="shared" si="16"/>
        <v/>
      </c>
      <c r="G83" s="9" t="str">
        <f t="shared" si="17"/>
        <v/>
      </c>
      <c r="I83" t="str">
        <v>MATERIALS</v>
      </c>
      <c r="J83" t="str">
        <v>Ready Mix Concrete G25 (Per m3)</v>
      </c>
      <c r="K83" t="str">
        <v>M3</v>
      </c>
      <c r="L83" s="9">
        <f>IF($J83="","",IFERROR(SUMIFS(SummaryHelper!$H$2:$H$5000,SummaryHelper!$A$2:$A$5000,$I83,SummaryHelper!$B$2:$B$5000,$J83,SummaryHelper!$C$2:$C$5000,$K83)/SUMIFS(SummaryHelper!$G$2:$G$5000,SummaryHelper!$A$2:$A$5000,$I83,SummaryHelper!$B$2:$B$5000,$J83,SummaryHelper!$C$2:$C$5000,$K83),""))</f>
        <v>339.99999999999994</v>
      </c>
      <c r="M83" s="9">
        <f>IF($J83="","",SUMIFS(SummaryHelper!$E$2:$E$5000,SummaryHelper!$A$2:$A$5000,$I83,SummaryHelper!$B$2:$B$5000,$J83,SummaryHelper!$C$2:$C$5000,$K83))</f>
        <v>11.91</v>
      </c>
      <c r="N83" s="9">
        <f>IF($J83="","",SUMIFS(SummaryHelper!$F$2:$F$5000,SummaryHelper!$A$2:$A$5000,$I83,SummaryHelper!$B$2:$B$5000,$J83,SummaryHelper!$C$2:$C$5000,$K83))</f>
        <v>0</v>
      </c>
      <c r="O83" s="9">
        <f>IF($J83="","",SUMIFS(SummaryHelper!$G$2:$G$5000,SummaryHelper!$A$2:$A$5000,$I83,SummaryHelper!$B$2:$B$5000,$J83,SummaryHelper!$C$2:$C$5000,$K83))</f>
        <v>11.91</v>
      </c>
      <c r="Q83" s="9">
        <f t="shared" si="18"/>
        <v>12</v>
      </c>
      <c r="R83" s="9">
        <f t="shared" si="19"/>
        <v>4079.9999999999991</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IF($U83="","",SUMIFS([1]SummaryHelper!$G$2:$G$5000,[1]SummaryHelper!$A$2:$A$5000,$T83,[1]SummaryHelper!$B$2:$B$5000,$U83,[1]SummaryHelper!$C$2:$C$5000,$V83))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12" t="str">
        <f t="shared" si="12"/>
        <v/>
      </c>
      <c r="C84" s="9" t="str">
        <f t="shared" ca="1" si="13"/>
        <v/>
      </c>
      <c r="D84" s="9" t="str">
        <f t="shared" ca="1" si="14"/>
        <v/>
      </c>
      <c r="E84" s="9" t="str">
        <f t="shared" ca="1" si="15"/>
        <v/>
      </c>
      <c r="F84" s="9" t="str">
        <f t="shared" si="16"/>
        <v/>
      </c>
      <c r="G84" s="9" t="str">
        <f t="shared" si="17"/>
        <v/>
      </c>
      <c r="I84" t="str">
        <v>MATERIALS</v>
      </c>
      <c r="J84" t="str">
        <v>Sanding Paper 120G</v>
      </c>
      <c r="K84" t="str">
        <v>PCS</v>
      </c>
      <c r="L84" s="9">
        <f>IF($J84="","",IFERROR(SUMIFS(SummaryHelper!$H$2:$H$5000,SummaryHelper!$A$2:$A$5000,$I84,SummaryHelper!$B$2:$B$5000,$J84,SummaryHelper!$C$2:$C$5000,$K84)/SUMIFS(SummaryHelper!$G$2:$G$5000,SummaryHelper!$A$2:$A$5000,$I84,SummaryHelper!$B$2:$B$5000,$J84,SummaryHelper!$C$2:$C$5000,$K84),""))</f>
        <v>0.3</v>
      </c>
      <c r="M84" s="9">
        <f>IF($J84="","",SUMIFS(SummaryHelper!$E$2:$E$5000,SummaryHelper!$A$2:$A$5000,$I84,SummaryHelper!$B$2:$B$5000,$J84,SummaryHelper!$C$2:$C$5000,$K84))</f>
        <v>6</v>
      </c>
      <c r="N84" s="9">
        <f>IF($J84="","",SUMIFS(SummaryHelper!$F$2:$F$5000,SummaryHelper!$A$2:$A$5000,$I84,SummaryHelper!$B$2:$B$5000,$J84,SummaryHelper!$C$2:$C$5000,$K84))</f>
        <v>0.2</v>
      </c>
      <c r="O84" s="9">
        <f>IF($J84="","",SUMIFS(SummaryHelper!$G$2:$G$5000,SummaryHelper!$A$2:$A$5000,$I84,SummaryHelper!$B$2:$B$5000,$J84,SummaryHelper!$C$2:$C$5000,$K84))</f>
        <v>6.6000000000000005</v>
      </c>
      <c r="Q84" s="9">
        <f t="shared" si="18"/>
        <v>7</v>
      </c>
      <c r="R84" s="9">
        <f t="shared" si="19"/>
        <v>2.1</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IF($U84="","",SUMIFS([1]SummaryHelper!$G$2:$G$5000,[1]SummaryHelper!$A$2:$A$5000,$T84,[1]SummaryHelper!$B$2:$B$5000,$U84,[1]SummaryHelper!$C$2:$C$5000,$V84))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12" t="str">
        <f t="shared" si="12"/>
        <v/>
      </c>
      <c r="C85" s="9" t="str">
        <f t="shared" ca="1" si="13"/>
        <v/>
      </c>
      <c r="D85" s="9" t="str">
        <f t="shared" ca="1" si="14"/>
        <v/>
      </c>
      <c r="E85" s="9" t="str">
        <f t="shared" ca="1" si="15"/>
        <v/>
      </c>
      <c r="F85" s="9" t="str">
        <f t="shared" si="16"/>
        <v/>
      </c>
      <c r="G85" s="9" t="str">
        <f t="shared" si="17"/>
        <v/>
      </c>
      <c r="I85" t="str">
        <v>MATERIALS</v>
      </c>
      <c r="J85" t="str">
        <v>Sanding Paper 240G</v>
      </c>
      <c r="K85" t="str">
        <v>PCS</v>
      </c>
      <c r="L85" s="9">
        <f>IF($J85="","",IFERROR(SUMIFS(SummaryHelper!$H$2:$H$5000,SummaryHelper!$A$2:$A$5000,$I85,SummaryHelper!$B$2:$B$5000,$J85,SummaryHelper!$C$2:$C$5000,$K85)/SUMIFS(SummaryHelper!$G$2:$G$5000,SummaryHelper!$A$2:$A$5000,$I85,SummaryHelper!$B$2:$B$5000,$J85,SummaryHelper!$C$2:$C$5000,$K85),""))</f>
        <v>0.3</v>
      </c>
      <c r="M85" s="9">
        <f>IF($J85="","",SUMIFS(SummaryHelper!$E$2:$E$5000,SummaryHelper!$A$2:$A$5000,$I85,SummaryHelper!$B$2:$B$5000,$J85,SummaryHelper!$C$2:$C$5000,$K85))</f>
        <v>6</v>
      </c>
      <c r="N85" s="9">
        <f>IF($J85="","",SUMIFS(SummaryHelper!$F$2:$F$5000,SummaryHelper!$A$2:$A$5000,$I85,SummaryHelper!$B$2:$B$5000,$J85,SummaryHelper!$C$2:$C$5000,$K85))</f>
        <v>0.2</v>
      </c>
      <c r="O85" s="9">
        <f>IF($J85="","",SUMIFS(SummaryHelper!$G$2:$G$5000,SummaryHelper!$A$2:$A$5000,$I85,SummaryHelper!$B$2:$B$5000,$J85,SummaryHelper!$C$2:$C$5000,$K85))</f>
        <v>6.6000000000000005</v>
      </c>
      <c r="Q85" s="9">
        <f t="shared" si="18"/>
        <v>7</v>
      </c>
      <c r="R85" s="9">
        <f t="shared" si="19"/>
        <v>2.1</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IF($U85="","",SUMIFS([1]SummaryHelper!$G$2:$G$5000,[1]SummaryHelper!$A$2:$A$5000,$T85,[1]SummaryHelper!$B$2:$B$5000,$U85,[1]SummaryHelper!$C$2:$C$5000,$V85))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12" t="str">
        <f t="shared" si="12"/>
        <v/>
      </c>
      <c r="C86" s="9" t="str">
        <f t="shared" ca="1" si="13"/>
        <v/>
      </c>
      <c r="D86" s="9" t="str">
        <f t="shared" ca="1" si="14"/>
        <v/>
      </c>
      <c r="E86" s="9" t="str">
        <f t="shared" ca="1" si="15"/>
        <v/>
      </c>
      <c r="F86" s="9" t="str">
        <f t="shared" si="16"/>
        <v/>
      </c>
      <c r="G86" s="9" t="str">
        <f t="shared" si="17"/>
        <v/>
      </c>
      <c r="I86" t="str">
        <v>MATERIALS</v>
      </c>
      <c r="J86" t="str">
        <v>Sanding Paper 400G</v>
      </c>
      <c r="K86" t="str">
        <v>PCS</v>
      </c>
      <c r="L86" s="9">
        <f>IF($J86="","",IFERROR(SUMIFS(SummaryHelper!$H$2:$H$5000,SummaryHelper!$A$2:$A$5000,$I86,SummaryHelper!$B$2:$B$5000,$J86,SummaryHelper!$C$2:$C$5000,$K86)/SUMIFS(SummaryHelper!$G$2:$G$5000,SummaryHelper!$A$2:$A$5000,$I86,SummaryHelper!$B$2:$B$5000,$J86,SummaryHelper!$C$2:$C$5000,$K86),""))</f>
        <v>0.3</v>
      </c>
      <c r="M86" s="9">
        <f>IF($J86="","",SUMIFS(SummaryHelper!$E$2:$E$5000,SummaryHelper!$A$2:$A$5000,$I86,SummaryHelper!$B$2:$B$5000,$J86,SummaryHelper!$C$2:$C$5000,$K86))</f>
        <v>6</v>
      </c>
      <c r="N86" s="9">
        <f>IF($J86="","",SUMIFS(SummaryHelper!$F$2:$F$5000,SummaryHelper!$A$2:$A$5000,$I86,SummaryHelper!$B$2:$B$5000,$J86,SummaryHelper!$C$2:$C$5000,$K86))</f>
        <v>0.2</v>
      </c>
      <c r="O86" s="9">
        <f>IF($J86="","",SUMIFS(SummaryHelper!$G$2:$G$5000,SummaryHelper!$A$2:$A$5000,$I86,SummaryHelper!$B$2:$B$5000,$J86,SummaryHelper!$C$2:$C$5000,$K86))</f>
        <v>6.6000000000000005</v>
      </c>
      <c r="Q86" s="9">
        <f t="shared" si="18"/>
        <v>7</v>
      </c>
      <c r="R86" s="9">
        <f t="shared" si="19"/>
        <v>2.1</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IF($U86="","",SUMIFS([1]SummaryHelper!$G$2:$G$5000,[1]SummaryHelper!$A$2:$A$5000,$T86,[1]SummaryHelper!$B$2:$B$5000,$U86,[1]SummaryHelper!$C$2:$C$5000,$V86))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12" t="str">
        <f t="shared" si="12"/>
        <v/>
      </c>
      <c r="C87" s="9" t="str">
        <f t="shared" ca="1" si="13"/>
        <v/>
      </c>
      <c r="D87" s="9" t="str">
        <f t="shared" ca="1" si="14"/>
        <v/>
      </c>
      <c r="E87" s="9" t="str">
        <f t="shared" ca="1" si="15"/>
        <v/>
      </c>
      <c r="F87" s="9" t="str">
        <f t="shared" si="16"/>
        <v/>
      </c>
      <c r="G87" s="9" t="str">
        <f t="shared" si="17"/>
        <v/>
      </c>
      <c r="I87" t="str">
        <v>MATERIALS</v>
      </c>
      <c r="J87" t="str">
        <v>Schneider Socket 13A (Single)</v>
      </c>
      <c r="K87" t="str">
        <v>UNIT</v>
      </c>
      <c r="L87" s="9">
        <f>IF($J87="","",IFERROR(SUMIFS(SummaryHelper!$H$2:$H$5000,SummaryHelper!$A$2:$A$5000,$I87,SummaryHelper!$B$2:$B$5000,$J87,SummaryHelper!$C$2:$C$5000,$K87)/SUMIFS(SummaryHelper!$G$2:$G$5000,SummaryHelper!$A$2:$A$5000,$I87,SummaryHelper!$B$2:$B$5000,$J87,SummaryHelper!$C$2:$C$5000,$K87),""))</f>
        <v>8.5</v>
      </c>
      <c r="M87" s="9">
        <f>IF($J87="","",SUMIFS(SummaryHelper!$E$2:$E$5000,SummaryHelper!$A$2:$A$5000,$I87,SummaryHelper!$B$2:$B$5000,$J87,SummaryHelper!$C$2:$C$5000,$K87))</f>
        <v>10</v>
      </c>
      <c r="N87" s="9">
        <f>IF($J87="","",SUMIFS(SummaryHelper!$F$2:$F$5000,SummaryHelper!$A$2:$A$5000,$I87,SummaryHelper!$B$2:$B$5000,$J87,SummaryHelper!$C$2:$C$5000,$K87))</f>
        <v>0</v>
      </c>
      <c r="O87" s="9">
        <f>IF($J87="","",SUMIFS(SummaryHelper!$G$2:$G$5000,SummaryHelper!$A$2:$A$5000,$I87,SummaryHelper!$B$2:$B$5000,$J87,SummaryHelper!$C$2:$C$5000,$K87))</f>
        <v>10</v>
      </c>
      <c r="Q87" s="9">
        <f t="shared" si="18"/>
        <v>10</v>
      </c>
      <c r="R87" s="9">
        <f t="shared" si="19"/>
        <v>85</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IF($U87="","",SUMIFS([1]SummaryHelper!$G$2:$G$5000,[1]SummaryHelper!$A$2:$A$5000,$T87,[1]SummaryHelper!$B$2:$B$5000,$U87,[1]SummaryHelper!$C$2:$C$5000,$V87))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12" t="str">
        <f t="shared" si="12"/>
        <v/>
      </c>
      <c r="C88" s="9" t="str">
        <f t="shared" ca="1" si="13"/>
        <v/>
      </c>
      <c r="D88" s="9" t="str">
        <f t="shared" ca="1" si="14"/>
        <v/>
      </c>
      <c r="E88" s="9" t="str">
        <f t="shared" ca="1" si="15"/>
        <v/>
      </c>
      <c r="F88" s="9" t="str">
        <f t="shared" si="16"/>
        <v/>
      </c>
      <c r="G88" s="9" t="str">
        <f t="shared" si="17"/>
        <v/>
      </c>
      <c r="I88" t="str">
        <v>MATERIALS</v>
      </c>
      <c r="J88" t="str">
        <v>Schneider Switch 1 Gang</v>
      </c>
      <c r="K88" t="str">
        <v>UNIT</v>
      </c>
      <c r="L88" s="9">
        <f>IF($J88="","",IFERROR(SUMIFS(SummaryHelper!$H$2:$H$5000,SummaryHelper!$A$2:$A$5000,$I88,SummaryHelper!$B$2:$B$5000,$J88,SummaryHelper!$C$2:$C$5000,$K88)/SUMIFS(SummaryHelper!$G$2:$G$5000,SummaryHelper!$A$2:$A$5000,$I88,SummaryHelper!$B$2:$B$5000,$J88,SummaryHelper!$C$2:$C$5000,$K88),""))</f>
        <v>5.9</v>
      </c>
      <c r="M88" s="9">
        <f>IF($J88="","",SUMIFS(SummaryHelper!$E$2:$E$5000,SummaryHelper!$A$2:$A$5000,$I88,SummaryHelper!$B$2:$B$5000,$J88,SummaryHelper!$C$2:$C$5000,$K88))</f>
        <v>5</v>
      </c>
      <c r="N88" s="9">
        <f>IF($J88="","",SUMIFS(SummaryHelper!$F$2:$F$5000,SummaryHelper!$A$2:$A$5000,$I88,SummaryHelper!$B$2:$B$5000,$J88,SummaryHelper!$C$2:$C$5000,$K88))</f>
        <v>0</v>
      </c>
      <c r="O88" s="9">
        <f>IF($J88="","",SUMIFS(SummaryHelper!$G$2:$G$5000,SummaryHelper!$A$2:$A$5000,$I88,SummaryHelper!$B$2:$B$5000,$J88,SummaryHelper!$C$2:$C$5000,$K88))</f>
        <v>5</v>
      </c>
      <c r="Q88" s="9">
        <f t="shared" si="18"/>
        <v>5</v>
      </c>
      <c r="R88" s="9">
        <f t="shared" si="19"/>
        <v>29.5</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IF($U88="","",SUMIFS([1]SummaryHelper!$G$2:$G$5000,[1]SummaryHelper!$A$2:$A$5000,$T88,[1]SummaryHelper!$B$2:$B$5000,$U88,[1]SummaryHelper!$C$2:$C$5000,$V88))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12" t="str">
        <f t="shared" si="12"/>
        <v/>
      </c>
      <c r="C89" s="9" t="str">
        <f t="shared" ca="1" si="13"/>
        <v/>
      </c>
      <c r="D89" s="9" t="str">
        <f t="shared" ca="1" si="14"/>
        <v/>
      </c>
      <c r="E89" s="9" t="str">
        <f t="shared" ca="1" si="15"/>
        <v/>
      </c>
      <c r="F89" s="9" t="str">
        <f t="shared" si="16"/>
        <v/>
      </c>
      <c r="G89" s="9" t="str">
        <f t="shared" si="17"/>
        <v/>
      </c>
      <c r="I89" t="str">
        <v>MATERIALS</v>
      </c>
      <c r="J89" t="str">
        <v>Schneider Switch 1 Gang</v>
      </c>
      <c r="K89" t="str">
        <v>PCS</v>
      </c>
      <c r="L89" s="9">
        <f>IF($J89="","",IFERROR(SUMIFS(SummaryHelper!$H$2:$H$5000,SummaryHelper!$A$2:$A$5000,$I89,SummaryHelper!$B$2:$B$5000,$J89,SummaryHelper!$C$2:$C$5000,$K89)/SUMIFS(SummaryHelper!$G$2:$G$5000,SummaryHelper!$A$2:$A$5000,$I89,SummaryHelper!$B$2:$B$5000,$J89,SummaryHelper!$C$2:$C$5000,$K89),""))</f>
        <v>6.8</v>
      </c>
      <c r="M89" s="9">
        <f>IF($J89="","",SUMIFS(SummaryHelper!$E$2:$E$5000,SummaryHelper!$A$2:$A$5000,$I89,SummaryHelper!$B$2:$B$5000,$J89,SummaryHelper!$C$2:$C$5000,$K89))</f>
        <v>2</v>
      </c>
      <c r="N89" s="9">
        <f>IF($J89="","",SUMIFS(SummaryHelper!$F$2:$F$5000,SummaryHelper!$A$2:$A$5000,$I89,SummaryHelper!$B$2:$B$5000,$J89,SummaryHelper!$C$2:$C$5000,$K89))</f>
        <v>0</v>
      </c>
      <c r="O89" s="9">
        <f>IF($J89="","",SUMIFS(SummaryHelper!$G$2:$G$5000,SummaryHelper!$A$2:$A$5000,$I89,SummaryHelper!$B$2:$B$5000,$J89,SummaryHelper!$C$2:$C$5000,$K89))</f>
        <v>2</v>
      </c>
      <c r="Q89" s="9">
        <f t="shared" si="18"/>
        <v>2</v>
      </c>
      <c r="R89" s="9">
        <f t="shared" si="19"/>
        <v>13.6</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IF($U89="","",SUMIFS([1]SummaryHelper!$G$2:$G$5000,[1]SummaryHelper!$A$2:$A$5000,$T89,[1]SummaryHelper!$B$2:$B$5000,$U89,[1]SummaryHelper!$C$2:$C$5000,$V89))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12" t="str">
        <f t="shared" si="12"/>
        <v/>
      </c>
      <c r="C90" s="9" t="str">
        <f t="shared" ca="1" si="13"/>
        <v/>
      </c>
      <c r="D90" s="9" t="str">
        <f t="shared" ca="1" si="14"/>
        <v/>
      </c>
      <c r="E90" s="9" t="str">
        <f t="shared" ca="1" si="15"/>
        <v/>
      </c>
      <c r="F90" s="9" t="str">
        <f t="shared" si="16"/>
        <v/>
      </c>
      <c r="G90" s="9" t="str">
        <f t="shared" si="17"/>
        <v/>
      </c>
      <c r="I90" t="str">
        <v>MATERIALS</v>
      </c>
      <c r="J90" t="str">
        <v>SIKA Curing Compound Antisol E 20.00L</v>
      </c>
      <c r="K90" t="str">
        <v>PAIL</v>
      </c>
      <c r="L90" s="9">
        <f>IF($J90="","",IFERROR(SUMIFS(SummaryHelper!$H$2:$H$5000,SummaryHelper!$A$2:$A$5000,$I90,SummaryHelper!$B$2:$B$5000,$J90,SummaryHelper!$C$2:$C$5000,$K90)/SUMIFS(SummaryHelper!$G$2:$G$5000,SummaryHelper!$A$2:$A$5000,$I90,SummaryHelper!$B$2:$B$5000,$J90,SummaryHelper!$C$2:$C$5000,$K90),""))</f>
        <v>130</v>
      </c>
      <c r="M90" s="9">
        <f>IF($J90="","",SUMIFS(SummaryHelper!$E$2:$E$5000,SummaryHelper!$A$2:$A$5000,$I90,SummaryHelper!$B$2:$B$5000,$J90,SummaryHelper!$C$2:$C$5000,$K90))</f>
        <v>5</v>
      </c>
      <c r="N90" s="9">
        <f>IF($J90="","",SUMIFS(SummaryHelper!$F$2:$F$5000,SummaryHelper!$A$2:$A$5000,$I90,SummaryHelper!$B$2:$B$5000,$J90,SummaryHelper!$C$2:$C$5000,$K90))</f>
        <v>0</v>
      </c>
      <c r="O90" s="9">
        <f>IF($J90="","",SUMIFS(SummaryHelper!$G$2:$G$5000,SummaryHelper!$A$2:$A$5000,$I90,SummaryHelper!$B$2:$B$5000,$J90,SummaryHelper!$C$2:$C$5000,$K90))</f>
        <v>5</v>
      </c>
      <c r="Q90" s="9">
        <f t="shared" si="18"/>
        <v>5</v>
      </c>
      <c r="R90" s="9">
        <f t="shared" si="19"/>
        <v>650</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IF($U90="","",SUMIFS([1]SummaryHelper!$G$2:$G$5000,[1]SummaryHelper!$A$2:$A$5000,$T90,[1]SummaryHelper!$B$2:$B$5000,$U90,[1]SummaryHelper!$C$2:$C$5000,$V90))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12" t="str">
        <f t="shared" si="12"/>
        <v/>
      </c>
      <c r="C91" s="9" t="str">
        <f t="shared" ca="1" si="13"/>
        <v/>
      </c>
      <c r="D91" s="9" t="str">
        <f t="shared" ca="1" si="14"/>
        <v/>
      </c>
      <c r="E91" s="9" t="str">
        <f t="shared" ca="1" si="15"/>
        <v/>
      </c>
      <c r="F91" s="9" t="str">
        <f t="shared" si="16"/>
        <v/>
      </c>
      <c r="G91" s="9" t="str">
        <f t="shared" si="17"/>
        <v/>
      </c>
      <c r="I91" t="str">
        <v>MATERIALS</v>
      </c>
      <c r="J91" t="str">
        <v>Smart Paint 5400 Wall Sealer Exterior &amp; Interior Wall Undercoat 18L</v>
      </c>
      <c r="K91" t="str">
        <v>PAIL</v>
      </c>
      <c r="L91" s="9">
        <f>IF($J91="","",IFERROR(SUMIFS(SummaryHelper!$H$2:$H$5000,SummaryHelper!$A$2:$A$5000,$I91,SummaryHelper!$B$2:$B$5000,$J91,SummaryHelper!$C$2:$C$5000,$K91)/SUMIFS(SummaryHelper!$G$2:$G$5000,SummaryHelper!$A$2:$A$5000,$I91,SummaryHelper!$B$2:$B$5000,$J91,SummaryHelper!$C$2:$C$5000,$K91),""))</f>
        <v>160</v>
      </c>
      <c r="M91" s="9">
        <f>IF($J91="","",SUMIFS(SummaryHelper!$E$2:$E$5000,SummaryHelper!$A$2:$A$5000,$I91,SummaryHelper!$B$2:$B$5000,$J91,SummaryHelper!$C$2:$C$5000,$K91))</f>
        <v>2.0499999999999998</v>
      </c>
      <c r="N91" s="9">
        <f>IF($J91="","",SUMIFS(SummaryHelper!$F$2:$F$5000,SummaryHelper!$A$2:$A$5000,$I91,SummaryHelper!$B$2:$B$5000,$J91,SummaryHelper!$C$2:$C$5000,$K91))</f>
        <v>0</v>
      </c>
      <c r="O91" s="9">
        <f>IF($J91="","",SUMIFS(SummaryHelper!$G$2:$G$5000,SummaryHelper!$A$2:$A$5000,$I91,SummaryHelper!$B$2:$B$5000,$J91,SummaryHelper!$C$2:$C$5000,$K91))</f>
        <v>2.0499999999999998</v>
      </c>
      <c r="Q91" s="9">
        <f t="shared" si="18"/>
        <v>3</v>
      </c>
      <c r="R91" s="9">
        <f t="shared" si="19"/>
        <v>480</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IF($U91="","",SUMIFS([1]SummaryHelper!$G$2:$G$5000,[1]SummaryHelper!$A$2:$A$5000,$T91,[1]SummaryHelper!$B$2:$B$5000,$U91,[1]SummaryHelper!$C$2:$C$5000,$V91))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12" t="str">
        <f t="shared" si="12"/>
        <v/>
      </c>
      <c r="C92" s="9" t="str">
        <f t="shared" ca="1" si="13"/>
        <v/>
      </c>
      <c r="D92" s="9" t="str">
        <f t="shared" ca="1" si="14"/>
        <v/>
      </c>
      <c r="E92" s="9" t="str">
        <f t="shared" ca="1" si="15"/>
        <v/>
      </c>
      <c r="F92" s="9" t="str">
        <f t="shared" si="16"/>
        <v/>
      </c>
      <c r="G92" s="9" t="str">
        <f t="shared" si="17"/>
        <v/>
      </c>
      <c r="I92" t="str">
        <v>MATERIALS</v>
      </c>
      <c r="J92" t="str">
        <v>Taipoly Copper Rod 13.7mm x 5ft (SIRIM JKR)</v>
      </c>
      <c r="K92" t="str">
        <v>LTH</v>
      </c>
      <c r="L92" s="9">
        <f>IF($J92="","",IFERROR(SUMIFS(SummaryHelper!$H$2:$H$5000,SummaryHelper!$A$2:$A$5000,$I92,SummaryHelper!$B$2:$B$5000,$J92,SummaryHelper!$C$2:$C$5000,$K92)/SUMIFS(SummaryHelper!$G$2:$G$5000,SummaryHelper!$A$2:$A$5000,$I92,SummaryHelper!$B$2:$B$5000,$J92,SummaryHelper!$C$2:$C$5000,$K92),""))</f>
        <v>48</v>
      </c>
      <c r="M92" s="9">
        <f>IF($J92="","",SUMIFS(SummaryHelper!$E$2:$E$5000,SummaryHelper!$A$2:$A$5000,$I92,SummaryHelper!$B$2:$B$5000,$J92,SummaryHelper!$C$2:$C$5000,$K92))</f>
        <v>1</v>
      </c>
      <c r="N92" s="9">
        <f>IF($J92="","",SUMIFS(SummaryHelper!$F$2:$F$5000,SummaryHelper!$A$2:$A$5000,$I92,SummaryHelper!$B$2:$B$5000,$J92,SummaryHelper!$C$2:$C$5000,$K92))</f>
        <v>0</v>
      </c>
      <c r="O92" s="9">
        <f>IF($J92="","",SUMIFS(SummaryHelper!$G$2:$G$5000,SummaryHelper!$A$2:$A$5000,$I92,SummaryHelper!$B$2:$B$5000,$J92,SummaryHelper!$C$2:$C$5000,$K92))</f>
        <v>1</v>
      </c>
      <c r="Q92" s="9">
        <f t="shared" si="18"/>
        <v>1</v>
      </c>
      <c r="R92" s="9">
        <f t="shared" si="19"/>
        <v>48</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IF($U92="","",SUMIFS([1]SummaryHelper!$G$2:$G$5000,[1]SummaryHelper!$A$2:$A$5000,$T92,[1]SummaryHelper!$B$2:$B$5000,$U92,[1]SummaryHelper!$C$2:$C$5000,$V92))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12" t="str">
        <f t="shared" si="12"/>
        <v/>
      </c>
      <c r="C93" s="9" t="str">
        <f t="shared" ca="1" si="13"/>
        <v/>
      </c>
      <c r="D93" s="9" t="str">
        <f t="shared" ca="1" si="14"/>
        <v/>
      </c>
      <c r="E93" s="9" t="str">
        <f t="shared" ca="1" si="15"/>
        <v/>
      </c>
      <c r="F93" s="9" t="str">
        <f t="shared" si="16"/>
        <v/>
      </c>
      <c r="G93" s="9" t="str">
        <f t="shared" si="17"/>
        <v/>
      </c>
      <c r="I93" t="str">
        <v>MATERIALS</v>
      </c>
      <c r="J93" t="str">
        <v>Talc Chalk</v>
      </c>
      <c r="K93" t="str">
        <v>PCS</v>
      </c>
      <c r="L93" s="9">
        <f>IF($J93="","",IFERROR(SUMIFS(SummaryHelper!$H$2:$H$5000,SummaryHelper!$A$2:$A$5000,$I93,SummaryHelper!$B$2:$B$5000,$J93,SummaryHelper!$C$2:$C$5000,$K93)/SUMIFS(SummaryHelper!$G$2:$G$5000,SummaryHelper!$A$2:$A$5000,$I93,SummaryHelper!$B$2:$B$5000,$J93,SummaryHelper!$C$2:$C$5000,$K93),""))</f>
        <v>4</v>
      </c>
      <c r="M93" s="9">
        <f>IF($J93="","",SUMIFS(SummaryHelper!$E$2:$E$5000,SummaryHelper!$A$2:$A$5000,$I93,SummaryHelper!$B$2:$B$5000,$J93,SummaryHelper!$C$2:$C$5000,$K93))</f>
        <v>1</v>
      </c>
      <c r="N93" s="9">
        <f>IF($J93="","",SUMIFS(SummaryHelper!$F$2:$F$5000,SummaryHelper!$A$2:$A$5000,$I93,SummaryHelper!$B$2:$B$5000,$J93,SummaryHelper!$C$2:$C$5000,$K93))</f>
        <v>0</v>
      </c>
      <c r="O93" s="9">
        <f>IF($J93="","",SUMIFS(SummaryHelper!$G$2:$G$5000,SummaryHelper!$A$2:$A$5000,$I93,SummaryHelper!$B$2:$B$5000,$J93,SummaryHelper!$C$2:$C$5000,$K93))</f>
        <v>1</v>
      </c>
      <c r="Q93" s="9">
        <f t="shared" si="18"/>
        <v>1</v>
      </c>
      <c r="R93" s="9">
        <f t="shared" si="19"/>
        <v>4</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IF($U93="","",SUMIFS([1]SummaryHelper!$G$2:$G$5000,[1]SummaryHelper!$A$2:$A$5000,$T93,[1]SummaryHelper!$B$2:$B$5000,$U93,[1]SummaryHelper!$C$2:$C$5000,$V93))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12" t="str">
        <f t="shared" si="12"/>
        <v/>
      </c>
      <c r="C94" s="9" t="str">
        <f t="shared" ca="1" si="13"/>
        <v/>
      </c>
      <c r="D94" s="9" t="str">
        <f t="shared" ca="1" si="14"/>
        <v/>
      </c>
      <c r="E94" s="9" t="str">
        <f t="shared" ca="1" si="15"/>
        <v/>
      </c>
      <c r="F94" s="9" t="str">
        <f t="shared" si="16"/>
        <v/>
      </c>
      <c r="G94" s="9" t="str">
        <f t="shared" si="17"/>
        <v/>
      </c>
      <c r="I94" t="str">
        <v>MATERIALS</v>
      </c>
      <c r="J94" t="str">
        <v>TH Deck 762 Metal Roofing 0.35mm G28 TCT</v>
      </c>
      <c r="K94" t="str">
        <v>FT-RUN</v>
      </c>
      <c r="L94" s="9">
        <f>IF($J94="","",IFERROR(SUMIFS(SummaryHelper!$H$2:$H$5000,SummaryHelper!$A$2:$A$5000,$I94,SummaryHelper!$B$2:$B$5000,$J94,SummaryHelper!$C$2:$C$5000,$K94)/SUMIFS(SummaryHelper!$G$2:$G$5000,SummaryHelper!$A$2:$A$5000,$I94,SummaryHelper!$B$2:$B$5000,$J94,SummaryHelper!$C$2:$C$5000,$K94),""))</f>
        <v>3.5</v>
      </c>
      <c r="M94" s="9">
        <f>IF($J94="","",SUMIFS(SummaryHelper!$E$2:$E$5000,SummaryHelper!$A$2:$A$5000,$I94,SummaryHelper!$B$2:$B$5000,$J94,SummaryHelper!$C$2:$C$5000,$K94))</f>
        <v>352</v>
      </c>
      <c r="N94" s="9">
        <f>IF($J94="","",SUMIFS(SummaryHelper!$F$2:$F$5000,SummaryHelper!$A$2:$A$5000,$I94,SummaryHelper!$B$2:$B$5000,$J94,SummaryHelper!$C$2:$C$5000,$K94))</f>
        <v>36</v>
      </c>
      <c r="O94" s="9">
        <f>IF($J94="","",SUMIFS(SummaryHelper!$G$2:$G$5000,SummaryHelper!$A$2:$A$5000,$I94,SummaryHelper!$B$2:$B$5000,$J94,SummaryHelper!$C$2:$C$5000,$K94))</f>
        <v>6688</v>
      </c>
      <c r="Q94" s="9">
        <f t="shared" si="18"/>
        <v>6688</v>
      </c>
      <c r="R94" s="9">
        <f t="shared" si="19"/>
        <v>23408</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IF($U94="","",SUMIFS([1]SummaryHelper!$G$2:$G$5000,[1]SummaryHelper!$A$2:$A$5000,$T94,[1]SummaryHelper!$B$2:$B$5000,$U94,[1]SummaryHelper!$C$2:$C$5000,$V94))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12" t="str">
        <f t="shared" si="12"/>
        <v/>
      </c>
      <c r="C95" s="9" t="str">
        <f t="shared" ca="1" si="13"/>
        <v/>
      </c>
      <c r="D95" s="9" t="str">
        <f t="shared" ca="1" si="14"/>
        <v/>
      </c>
      <c r="E95" s="9" t="str">
        <f t="shared" ca="1" si="15"/>
        <v/>
      </c>
      <c r="F95" s="9" t="str">
        <f t="shared" si="16"/>
        <v/>
      </c>
      <c r="G95" s="9" t="str">
        <f t="shared" si="17"/>
        <v/>
      </c>
      <c r="I95" t="str">
        <v>MATERIALS</v>
      </c>
      <c r="J95" t="str">
        <v>TH Deck 762 Metal Roofing 0.47mm G26 TCT</v>
      </c>
      <c r="K95" t="str">
        <v>FT-RUN</v>
      </c>
      <c r="L95" s="9">
        <f>IF($J95="","",IFERROR(SUMIFS(SummaryHelper!$H$2:$H$5000,SummaryHelper!$A$2:$A$5000,$I95,SummaryHelper!$B$2:$B$5000,$J95,SummaryHelper!$C$2:$C$5000,$K95)/SUMIFS(SummaryHelper!$G$2:$G$5000,SummaryHelper!$A$2:$A$5000,$I95,SummaryHelper!$B$2:$B$5000,$J95,SummaryHelper!$C$2:$C$5000,$K95),""))</f>
        <v>5.5</v>
      </c>
      <c r="M95" s="9">
        <f>IF($J95="","",SUMIFS(SummaryHelper!$E$2:$E$5000,SummaryHelper!$A$2:$A$5000,$I95,SummaryHelper!$B$2:$B$5000,$J95,SummaryHelper!$C$2:$C$5000,$K95))</f>
        <v>958</v>
      </c>
      <c r="N95" s="9">
        <f>IF($J95="","",SUMIFS(SummaryHelper!$F$2:$F$5000,SummaryHelper!$A$2:$A$5000,$I95,SummaryHelper!$B$2:$B$5000,$J95,SummaryHelper!$C$2:$C$5000,$K95))</f>
        <v>0.05</v>
      </c>
      <c r="O95" s="9">
        <f>IF($J95="","",SUMIFS(SummaryHelper!$G$2:$G$5000,SummaryHelper!$A$2:$A$5000,$I95,SummaryHelper!$B$2:$B$5000,$J95,SummaryHelper!$C$2:$C$5000,$K95))</f>
        <v>1005.9000000000001</v>
      </c>
      <c r="Q95" s="9">
        <f t="shared" si="18"/>
        <v>1006</v>
      </c>
      <c r="R95" s="9">
        <f t="shared" si="19"/>
        <v>5533</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IF($U95="","",SUMIFS([1]SummaryHelper!$G$2:$G$5000,[1]SummaryHelper!$A$2:$A$5000,$T95,[1]SummaryHelper!$B$2:$B$5000,$U95,[1]SummaryHelper!$C$2:$C$5000,$V95))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12" t="str">
        <f t="shared" si="12"/>
        <v/>
      </c>
      <c r="C96" s="9" t="str">
        <f t="shared" ca="1" si="13"/>
        <v/>
      </c>
      <c r="D96" s="9" t="str">
        <f t="shared" ca="1" si="14"/>
        <v/>
      </c>
      <c r="E96" s="9" t="str">
        <f t="shared" ca="1" si="15"/>
        <v/>
      </c>
      <c r="F96" s="9" t="str">
        <f t="shared" si="16"/>
        <v/>
      </c>
      <c r="G96" s="9" t="str">
        <f t="shared" si="17"/>
        <v/>
      </c>
      <c r="I96" t="str">
        <v>MATERIALS</v>
      </c>
      <c r="J96" t="str">
        <v>Tile 300mm x 300mm</v>
      </c>
      <c r="K96" t="str">
        <v>PCS</v>
      </c>
      <c r="L96" s="9">
        <f>IF($J96="","",IFERROR(SUMIFS(SummaryHelper!$H$2:$H$5000,SummaryHelper!$A$2:$A$5000,$I96,SummaryHelper!$B$2:$B$5000,$J96,SummaryHelper!$C$2:$C$5000,$K96)/SUMIFS(SummaryHelper!$G$2:$G$5000,SummaryHelper!$A$2:$A$5000,$I96,SummaryHelper!$B$2:$B$5000,$J96,SummaryHelper!$C$2:$C$5000,$K96),""))</f>
        <v>4.5</v>
      </c>
      <c r="M96" s="9">
        <f>IF($J96="","",SUMIFS(SummaryHelper!$E$2:$E$5000,SummaryHelper!$A$2:$A$5000,$I96,SummaryHelper!$B$2:$B$5000,$J96,SummaryHelper!$C$2:$C$5000,$K96))</f>
        <v>273</v>
      </c>
      <c r="N96" s="9">
        <f>IF($J96="","",SUMIFS(SummaryHelper!$F$2:$F$5000,SummaryHelper!$A$2:$A$5000,$I96,SummaryHelper!$B$2:$B$5000,$J96,SummaryHelper!$C$2:$C$5000,$K96))</f>
        <v>0</v>
      </c>
      <c r="O96" s="9">
        <f>IF($J96="","",SUMIFS(SummaryHelper!$G$2:$G$5000,SummaryHelper!$A$2:$A$5000,$I96,SummaryHelper!$B$2:$B$5000,$J96,SummaryHelper!$C$2:$C$5000,$K96))</f>
        <v>273</v>
      </c>
      <c r="Q96" s="9">
        <f t="shared" si="18"/>
        <v>273</v>
      </c>
      <c r="R96" s="9">
        <f t="shared" si="19"/>
        <v>1228.5</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IF($U96="","",SUMIFS([1]SummaryHelper!$G$2:$G$5000,[1]SummaryHelper!$A$2:$A$5000,$T96,[1]SummaryHelper!$B$2:$B$5000,$U96,[1]SummaryHelper!$C$2:$C$5000,$V96))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12" t="str">
        <f t="shared" si="12"/>
        <v/>
      </c>
      <c r="C97" s="9" t="str">
        <f t="shared" ca="1" si="13"/>
        <v/>
      </c>
      <c r="D97" s="9" t="str">
        <f t="shared" ca="1" si="14"/>
        <v/>
      </c>
      <c r="E97" s="9" t="str">
        <f t="shared" ca="1" si="15"/>
        <v/>
      </c>
      <c r="F97" s="9" t="str">
        <f t="shared" si="16"/>
        <v/>
      </c>
      <c r="G97" s="9" t="str">
        <f t="shared" si="17"/>
        <v/>
      </c>
      <c r="I97" t="str">
        <v>MATERIALS</v>
      </c>
      <c r="J97" t="str">
        <v>Tile 300mm x 600mm</v>
      </c>
      <c r="K97" t="str">
        <v>PCS</v>
      </c>
      <c r="L97" s="9">
        <f>IF($J97="","",IFERROR(SUMIFS(SummaryHelper!$H$2:$H$5000,SummaryHelper!$A$2:$A$5000,$I97,SummaryHelper!$B$2:$B$5000,$J97,SummaryHelper!$C$2:$C$5000,$K97)/SUMIFS(SummaryHelper!$G$2:$G$5000,SummaryHelper!$A$2:$A$5000,$I97,SummaryHelper!$B$2:$B$5000,$J97,SummaryHelper!$C$2:$C$5000,$K97),""))</f>
        <v>6.5</v>
      </c>
      <c r="M97" s="9">
        <f>IF($J97="","",SUMIFS(SummaryHelper!$E$2:$E$5000,SummaryHelper!$A$2:$A$5000,$I97,SummaryHelper!$B$2:$B$5000,$J97,SummaryHelper!$C$2:$C$5000,$K97))</f>
        <v>166</v>
      </c>
      <c r="N97" s="9">
        <f>IF($J97="","",SUMIFS(SummaryHelper!$F$2:$F$5000,SummaryHelper!$A$2:$A$5000,$I97,SummaryHelper!$B$2:$B$5000,$J97,SummaryHelper!$C$2:$C$5000,$K97))</f>
        <v>0</v>
      </c>
      <c r="O97" s="9">
        <f>IF($J97="","",SUMIFS(SummaryHelper!$G$2:$G$5000,SummaryHelper!$A$2:$A$5000,$I97,SummaryHelper!$B$2:$B$5000,$J97,SummaryHelper!$C$2:$C$5000,$K97))</f>
        <v>166</v>
      </c>
      <c r="Q97" s="9">
        <f t="shared" si="18"/>
        <v>166</v>
      </c>
      <c r="R97" s="9">
        <f t="shared" si="19"/>
        <v>1079</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IF($U97="","",SUMIFS([1]SummaryHelper!$G$2:$G$5000,[1]SummaryHelper!$A$2:$A$5000,$T97,[1]SummaryHelper!$B$2:$B$5000,$U97,[1]SummaryHelper!$C$2:$C$5000,$V97))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12" t="str">
        <f t="shared" si="12"/>
        <v/>
      </c>
      <c r="C98" s="9" t="str">
        <f t="shared" ca="1" si="13"/>
        <v/>
      </c>
      <c r="D98" s="9" t="str">
        <f t="shared" ca="1" si="14"/>
        <v/>
      </c>
      <c r="E98" s="9" t="str">
        <f t="shared" ca="1" si="15"/>
        <v/>
      </c>
      <c r="F98" s="9" t="str">
        <f t="shared" si="16"/>
        <v/>
      </c>
      <c r="G98" s="9" t="str">
        <f t="shared" si="17"/>
        <v/>
      </c>
      <c r="I98" t="str">
        <v>MATERIALS</v>
      </c>
      <c r="J98" t="str">
        <v>Tile 600mm x 600mm</v>
      </c>
      <c r="K98" t="str">
        <v>PCS</v>
      </c>
      <c r="L98" s="9">
        <f>IF($J98="","",IFERROR(SUMIFS(SummaryHelper!$H$2:$H$5000,SummaryHelper!$A$2:$A$5000,$I98,SummaryHelper!$B$2:$B$5000,$J98,SummaryHelper!$C$2:$C$5000,$K98)/SUMIFS(SummaryHelper!$G$2:$G$5000,SummaryHelper!$A$2:$A$5000,$I98,SummaryHelper!$B$2:$B$5000,$J98,SummaryHelper!$C$2:$C$5000,$K98),""))</f>
        <v>15</v>
      </c>
      <c r="M98" s="9">
        <f>IF($J98="","",SUMIFS(SummaryHelper!$E$2:$E$5000,SummaryHelper!$A$2:$A$5000,$I98,SummaryHelper!$B$2:$B$5000,$J98,SummaryHelper!$C$2:$C$5000,$K98))</f>
        <v>84</v>
      </c>
      <c r="N98" s="9">
        <f>IF($J98="","",SUMIFS(SummaryHelper!$F$2:$F$5000,SummaryHelper!$A$2:$A$5000,$I98,SummaryHelper!$B$2:$B$5000,$J98,SummaryHelper!$C$2:$C$5000,$K98))</f>
        <v>0</v>
      </c>
      <c r="O98" s="9">
        <f>IF($J98="","",SUMIFS(SummaryHelper!$G$2:$G$5000,SummaryHelper!$A$2:$A$5000,$I98,SummaryHelper!$B$2:$B$5000,$J98,SummaryHelper!$C$2:$C$5000,$K98))</f>
        <v>84</v>
      </c>
      <c r="Q98" s="9">
        <f t="shared" si="18"/>
        <v>84</v>
      </c>
      <c r="R98" s="9">
        <f t="shared" si="19"/>
        <v>1260</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IF($U98="","",SUMIFS([1]SummaryHelper!$G$2:$G$5000,[1]SummaryHelper!$A$2:$A$5000,$T98,[1]SummaryHelper!$B$2:$B$5000,$U98,[1]SummaryHelper!$C$2:$C$5000,$V98))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12" t="str">
        <f t="shared" si="12"/>
        <v/>
      </c>
      <c r="C99" s="9" t="str">
        <f t="shared" ca="1" si="13"/>
        <v/>
      </c>
      <c r="D99" s="9" t="str">
        <f t="shared" ca="1" si="14"/>
        <v/>
      </c>
      <c r="E99" s="9" t="str">
        <f t="shared" ca="1" si="15"/>
        <v/>
      </c>
      <c r="F99" s="9" t="str">
        <f t="shared" si="16"/>
        <v/>
      </c>
      <c r="G99" s="9" t="str">
        <f t="shared" si="17"/>
        <v/>
      </c>
      <c r="I99" t="str">
        <v>MATERIALS</v>
      </c>
      <c r="J99" t="str">
        <v>Tile Adhesive Weber 99</v>
      </c>
      <c r="K99" t="str">
        <v>BAG</v>
      </c>
      <c r="L99" s="9">
        <f>IF($J99="","",IFERROR(SUMIFS(SummaryHelper!$H$2:$H$5000,SummaryHelper!$A$2:$A$5000,$I99,SummaryHelper!$B$2:$B$5000,$J99,SummaryHelper!$C$2:$C$5000,$K99)/SUMIFS(SummaryHelper!$G$2:$G$5000,SummaryHelper!$A$2:$A$5000,$I99,SummaryHelper!$B$2:$B$5000,$J99,SummaryHelper!$C$2:$C$5000,$K99),""))</f>
        <v>25</v>
      </c>
      <c r="M99" s="9">
        <f>IF($J99="","",SUMIFS(SummaryHelper!$E$2:$E$5000,SummaryHelper!$A$2:$A$5000,$I99,SummaryHelper!$B$2:$B$5000,$J99,SummaryHelper!$C$2:$C$5000,$K99))</f>
        <v>29</v>
      </c>
      <c r="N99" s="9">
        <f>IF($J99="","",SUMIFS(SummaryHelper!$F$2:$F$5000,SummaryHelper!$A$2:$A$5000,$I99,SummaryHelper!$B$2:$B$5000,$J99,SummaryHelper!$C$2:$C$5000,$K99))</f>
        <v>0</v>
      </c>
      <c r="O99" s="9">
        <f>IF($J99="","",SUMIFS(SummaryHelper!$G$2:$G$5000,SummaryHelper!$A$2:$A$5000,$I99,SummaryHelper!$B$2:$B$5000,$J99,SummaryHelper!$C$2:$C$5000,$K99))</f>
        <v>29</v>
      </c>
      <c r="Q99" s="9">
        <f t="shared" si="18"/>
        <v>29</v>
      </c>
      <c r="R99" s="9">
        <f t="shared" si="19"/>
        <v>725</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IF($U99="","",SUMIFS([1]SummaryHelper!$G$2:$G$5000,[1]SummaryHelper!$A$2:$A$5000,$T99,[1]SummaryHelper!$B$2:$B$5000,$U99,[1]SummaryHelper!$C$2:$C$5000,$V99))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12" t="str">
        <f t="shared" si="12"/>
        <v/>
      </c>
      <c r="C100" s="9" t="str">
        <f t="shared" ca="1" si="13"/>
        <v/>
      </c>
      <c r="D100" s="9" t="str">
        <f t="shared" ca="1" si="14"/>
        <v/>
      </c>
      <c r="E100" s="9" t="str">
        <f t="shared" ca="1" si="15"/>
        <v/>
      </c>
      <c r="F100" s="9" t="str">
        <f t="shared" si="16"/>
        <v/>
      </c>
      <c r="G100" s="9" t="str">
        <f t="shared" si="17"/>
        <v/>
      </c>
      <c r="I100" t="str">
        <v>MATERIALS</v>
      </c>
      <c r="J100" t="str">
        <v>Twins Shower Square 8"</v>
      </c>
      <c r="K100" t="str">
        <v>pc</v>
      </c>
      <c r="L100" s="9">
        <f>IF($J100="","",IFERROR(SUMIFS(SummaryHelper!$H$2:$H$5000,SummaryHelper!$A$2:$A$5000,$I100,SummaryHelper!$B$2:$B$5000,$J100,SummaryHelper!$C$2:$C$5000,$K100)/SUMIFS(SummaryHelper!$G$2:$G$5000,SummaryHelper!$A$2:$A$5000,$I100,SummaryHelper!$B$2:$B$5000,$J100,SummaryHelper!$C$2:$C$5000,$K100),""))</f>
        <v>35</v>
      </c>
      <c r="M100" s="9">
        <f>IF($J100="","",SUMIFS(SummaryHelper!$E$2:$E$5000,SummaryHelper!$A$2:$A$5000,$I100,SummaryHelper!$B$2:$B$5000,$J100,SummaryHelper!$C$2:$C$5000,$K100))</f>
        <v>1</v>
      </c>
      <c r="N100" s="9">
        <f>IF($J100="","",SUMIFS(SummaryHelper!$F$2:$F$5000,SummaryHelper!$A$2:$A$5000,$I100,SummaryHelper!$B$2:$B$5000,$J100,SummaryHelper!$C$2:$C$5000,$K100))</f>
        <v>0</v>
      </c>
      <c r="O100" s="9">
        <f>IF($J100="","",SUMIFS(SummaryHelper!$G$2:$G$5000,SummaryHelper!$A$2:$A$5000,$I100,SummaryHelper!$B$2:$B$5000,$J100,SummaryHelper!$C$2:$C$5000,$K100))</f>
        <v>1</v>
      </c>
      <c r="Q100" s="9">
        <f t="shared" si="18"/>
        <v>1</v>
      </c>
      <c r="R100" s="9">
        <f t="shared" si="19"/>
        <v>35</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IF($U100="","",SUMIFS([1]SummaryHelper!$G$2:$G$5000,[1]SummaryHelper!$A$2:$A$5000,$T100,[1]SummaryHelper!$B$2:$B$5000,$U100,[1]SummaryHelper!$C$2:$C$5000,$V100))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37"/>
      <c r="B101" s="38"/>
      <c r="C101" s="39"/>
      <c r="D101" s="39"/>
      <c r="E101" s="39"/>
      <c r="F101" s="39"/>
      <c r="G101" s="39"/>
      <c r="I101" t="str">
        <v>MATERIALS</v>
      </c>
      <c r="J101" t="str">
        <v>UPVC Pipe With SIRIM (2") x 5.8m</v>
      </c>
      <c r="K101" t="str">
        <v>PCS</v>
      </c>
      <c r="L101" s="9">
        <f>IF($J101="","",IFERROR(SUMIFS(SummaryHelper!$H$2:$H$5000,SummaryHelper!$A$2:$A$5000,$I101,SummaryHelper!$B$2:$B$5000,$J101,SummaryHelper!$C$2:$C$5000,$K101)/SUMIFS(SummaryHelper!$G$2:$G$5000,SummaryHelper!$A$2:$A$5000,$I101,SummaryHelper!$B$2:$B$5000,$J101,SummaryHelper!$C$2:$C$5000,$K101),""))</f>
        <v>49</v>
      </c>
      <c r="M101" s="9">
        <f>IF($J101="","",SUMIFS(SummaryHelper!$E$2:$E$5000,SummaryHelper!$A$2:$A$5000,$I101,SummaryHelper!$B$2:$B$5000,$J101,SummaryHelper!$C$2:$C$5000,$K101))</f>
        <v>3</v>
      </c>
      <c r="N101" s="9">
        <f>IF($J101="","",SUMIFS(SummaryHelper!$F$2:$F$5000,SummaryHelper!$A$2:$A$5000,$I101,SummaryHelper!$B$2:$B$5000,$J101,SummaryHelper!$C$2:$C$5000,$K101))</f>
        <v>0.05</v>
      </c>
      <c r="O101" s="9">
        <f>IF($J101="","",SUMIFS(SummaryHelper!$G$2:$G$5000,SummaryHelper!$A$2:$A$5000,$I101,SummaryHelper!$B$2:$B$5000,$J101,SummaryHelper!$C$2:$C$5000,$K101))</f>
        <v>3.1500000000000004</v>
      </c>
      <c r="Q101" s="9">
        <f t="shared" si="18"/>
        <v>4</v>
      </c>
      <c r="R101" s="9">
        <f t="shared" si="19"/>
        <v>196</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IF($U101="","",SUMIFS([1]SummaryHelper!$G$2:$G$5000,[1]SummaryHelper!$A$2:$A$5000,$T101,[1]SummaryHelper!$B$2:$B$5000,$U101,[1]SummaryHelper!$C$2:$C$5000,$V101))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C102" s="9"/>
      <c r="D102" s="9"/>
      <c r="E102" s="9"/>
      <c r="F102" s="9"/>
      <c r="G102" s="9"/>
      <c r="I102" t="str">
        <v>MATERIALS</v>
      </c>
      <c r="J102" t="str">
        <v>UPVC Pipe With SIRIM (4") x 5.8m</v>
      </c>
      <c r="K102" t="str">
        <v>PCS</v>
      </c>
      <c r="L102" s="9">
        <f>IF($J102="","",IFERROR(SUMIFS(SummaryHelper!$H$2:$H$5000,SummaryHelper!$A$2:$A$5000,$I102,SummaryHelper!$B$2:$B$5000,$J102,SummaryHelper!$C$2:$C$5000,$K102)/SUMIFS(SummaryHelper!$G$2:$G$5000,SummaryHelper!$A$2:$A$5000,$I102,SummaryHelper!$B$2:$B$5000,$J102,SummaryHelper!$C$2:$C$5000,$K102),""))</f>
        <v>91</v>
      </c>
      <c r="M102" s="9">
        <f>IF($J102="","",SUMIFS(SummaryHelper!$E$2:$E$5000,SummaryHelper!$A$2:$A$5000,$I102,SummaryHelper!$B$2:$B$5000,$J102,SummaryHelper!$C$2:$C$5000,$K102))</f>
        <v>2</v>
      </c>
      <c r="N102" s="9">
        <f>IF($J102="","",SUMIFS(SummaryHelper!$F$2:$F$5000,SummaryHelper!$A$2:$A$5000,$I102,SummaryHelper!$B$2:$B$5000,$J102,SummaryHelper!$C$2:$C$5000,$K102))</f>
        <v>0.05</v>
      </c>
      <c r="O102" s="9">
        <f>IF($J102="","",SUMIFS(SummaryHelper!$G$2:$G$5000,SummaryHelper!$A$2:$A$5000,$I102,SummaryHelper!$B$2:$B$5000,$J102,SummaryHelper!$C$2:$C$5000,$K102))</f>
        <v>2.1</v>
      </c>
      <c r="Q102" s="9">
        <f t="shared" si="18"/>
        <v>3</v>
      </c>
      <c r="R102" s="9">
        <f t="shared" si="19"/>
        <v>273</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IF($U102="","",SUMIFS([1]SummaryHelper!$G$2:$G$5000,[1]SummaryHelper!$A$2:$A$5000,$T102,[1]SummaryHelper!$B$2:$B$5000,$U102,[1]SummaryHelper!$C$2:$C$5000,$V102))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C103" s="9"/>
      <c r="D103" s="9"/>
      <c r="E103" s="9"/>
      <c r="F103" s="9"/>
      <c r="G103" s="9"/>
      <c r="I103" t="str">
        <v>MATERIALS</v>
      </c>
      <c r="J103" t="str">
        <v>Weatherflex Base A (White) 18L</v>
      </c>
      <c r="K103" t="str">
        <v>tong</v>
      </c>
      <c r="L103" s="9">
        <f>IF($J103="","",IFERROR(SUMIFS(SummaryHelper!$H$2:$H$5000,SummaryHelper!$A$2:$A$5000,$I103,SummaryHelper!$B$2:$B$5000,$J103,SummaryHelper!$C$2:$C$5000,$K103)/SUMIFS(SummaryHelper!$G$2:$G$5000,SummaryHelper!$A$2:$A$5000,$I103,SummaryHelper!$B$2:$B$5000,$J103,SummaryHelper!$C$2:$C$5000,$K103),""))</f>
        <v>330</v>
      </c>
      <c r="M103" s="9">
        <f>IF($J103="","",SUMIFS(SummaryHelper!$E$2:$E$5000,SummaryHelper!$A$2:$A$5000,$I103,SummaryHelper!$B$2:$B$5000,$J103,SummaryHelper!$C$2:$C$5000,$K103))</f>
        <v>2</v>
      </c>
      <c r="N103" s="9">
        <f>IF($J103="","",SUMIFS(SummaryHelper!$F$2:$F$5000,SummaryHelper!$A$2:$A$5000,$I103,SummaryHelper!$B$2:$B$5000,$J103,SummaryHelper!$C$2:$C$5000,$K103))</f>
        <v>0</v>
      </c>
      <c r="O103" s="9">
        <f>IF($J103="","",SUMIFS(SummaryHelper!$G$2:$G$5000,SummaryHelper!$A$2:$A$5000,$I103,SummaryHelper!$B$2:$B$5000,$J103,SummaryHelper!$C$2:$C$5000,$K103))</f>
        <v>2</v>
      </c>
      <c r="Q103" s="9">
        <f t="shared" si="18"/>
        <v>2</v>
      </c>
      <c r="R103" s="9">
        <f t="shared" si="19"/>
        <v>660</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IF($U103="","",SUMIFS([1]SummaryHelper!$G$2:$G$5000,[1]SummaryHelper!$A$2:$A$5000,$T103,[1]SummaryHelper!$B$2:$B$5000,$U103,[1]SummaryHelper!$C$2:$C$5000,$V103))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C104" s="9"/>
      <c r="D104" s="9"/>
      <c r="E104" s="9"/>
      <c r="F104" s="9"/>
      <c r="G104" s="9"/>
      <c r="I104" t="str">
        <v>MATERIALS</v>
      </c>
      <c r="J104" t="str">
        <v>Weber Weberfill Fine Grout Coloured Grout For Narrow Tile Joint (3.5kg)</v>
      </c>
      <c r="K104" t="str">
        <v>BAG</v>
      </c>
      <c r="L104" s="9">
        <f>IF($J104="","",IFERROR(SUMIFS(SummaryHelper!$H$2:$H$5000,SummaryHelper!$A$2:$A$5000,$I104,SummaryHelper!$B$2:$B$5000,$J104,SummaryHelper!$C$2:$C$5000,$K104)/SUMIFS(SummaryHelper!$G$2:$G$5000,SummaryHelper!$A$2:$A$5000,$I104,SummaryHelper!$B$2:$B$5000,$J104,SummaryHelper!$C$2:$C$5000,$K104),""))</f>
        <v>18</v>
      </c>
      <c r="M104" s="9">
        <f>IF($J104="","",SUMIFS(SummaryHelper!$E$2:$E$5000,SummaryHelper!$A$2:$A$5000,$I104,SummaryHelper!$B$2:$B$5000,$J104,SummaryHelper!$C$2:$C$5000,$K104))</f>
        <v>12</v>
      </c>
      <c r="N104" s="9">
        <f>IF($J104="","",SUMIFS(SummaryHelper!$F$2:$F$5000,SummaryHelper!$A$2:$A$5000,$I104,SummaryHelper!$B$2:$B$5000,$J104,SummaryHelper!$C$2:$C$5000,$K104))</f>
        <v>0</v>
      </c>
      <c r="O104" s="9">
        <f>IF($J104="","",SUMIFS(SummaryHelper!$G$2:$G$5000,SummaryHelper!$A$2:$A$5000,$I104,SummaryHelper!$B$2:$B$5000,$J104,SummaryHelper!$C$2:$C$5000,$K104))</f>
        <v>12</v>
      </c>
      <c r="Q104" s="9">
        <f t="shared" si="18"/>
        <v>12</v>
      </c>
      <c r="R104" s="9">
        <f t="shared" si="19"/>
        <v>216</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IF($U104="","",SUMIFS([1]SummaryHelper!$G$2:$G$5000,[1]SummaryHelper!$A$2:$A$5000,$T104,[1]SummaryHelper!$B$2:$B$5000,$U104,[1]SummaryHelper!$C$2:$C$5000,$V104))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C105" s="9"/>
      <c r="D105" s="9"/>
      <c r="E105" s="9"/>
      <c r="F105" s="9"/>
      <c r="G105" s="9"/>
      <c r="I105" t="str">
        <v>MATERIALS</v>
      </c>
      <c r="J105" t="str">
        <v>White Gloss Paint 5L</v>
      </c>
      <c r="K105" t="str">
        <v>TIN</v>
      </c>
      <c r="L105" s="9">
        <f>IF($J105="","",IFERROR(SUMIFS(SummaryHelper!$H$2:$H$5000,SummaryHelper!$A$2:$A$5000,$I105,SummaryHelper!$B$2:$B$5000,$J105,SummaryHelper!$C$2:$C$5000,$K105)/SUMIFS(SummaryHelper!$G$2:$G$5000,SummaryHelper!$A$2:$A$5000,$I105,SummaryHelper!$B$2:$B$5000,$J105,SummaryHelper!$C$2:$C$5000,$K105),""))</f>
        <v>93.999999999999986</v>
      </c>
      <c r="M105" s="9">
        <f>IF($J105="","",SUMIFS(SummaryHelper!$E$2:$E$5000,SummaryHelper!$A$2:$A$5000,$I105,SummaryHelper!$B$2:$B$5000,$J105,SummaryHelper!$C$2:$C$5000,$K105))</f>
        <v>3.05</v>
      </c>
      <c r="N105" s="9">
        <f>IF($J105="","",SUMIFS(SummaryHelper!$F$2:$F$5000,SummaryHelper!$A$2:$A$5000,$I105,SummaryHelper!$B$2:$B$5000,$J105,SummaryHelper!$C$2:$C$5000,$K105))</f>
        <v>0.05</v>
      </c>
      <c r="O105" s="9">
        <f>IF($J105="","",SUMIFS(SummaryHelper!$G$2:$G$5000,SummaryHelper!$A$2:$A$5000,$I105,SummaryHelper!$B$2:$B$5000,$J105,SummaryHelper!$C$2:$C$5000,$K105))</f>
        <v>3.1</v>
      </c>
      <c r="Q105" s="9">
        <f t="shared" si="18"/>
        <v>4</v>
      </c>
      <c r="R105" s="9">
        <f t="shared" si="19"/>
        <v>375.99999999999994</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IF($U105="","",SUMIFS([1]SummaryHelper!$G$2:$G$5000,[1]SummaryHelper!$A$2:$A$5000,$T105,[1]SummaryHelper!$B$2:$B$5000,$U105,[1]SummaryHelper!$C$2:$C$5000,$V105))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C106" s="9"/>
      <c r="D106" s="9"/>
      <c r="E106" s="9"/>
      <c r="F106" s="9"/>
      <c r="G106" s="9"/>
      <c r="I106" t="str">
        <v>MATERIALS</v>
      </c>
      <c r="J106" t="str">
        <v>Yessy Tile Floor Trap</v>
      </c>
      <c r="K106" t="str">
        <v>PCS</v>
      </c>
      <c r="L106" s="9">
        <f>IF($J106="","",IFERROR(SUMIFS(SummaryHelper!$H$2:$H$5000,SummaryHelper!$A$2:$A$5000,$I106,SummaryHelper!$B$2:$B$5000,$J106,SummaryHelper!$C$2:$C$5000,$K106)/SUMIFS(SummaryHelper!$G$2:$G$5000,SummaryHelper!$A$2:$A$5000,$I106,SummaryHelper!$B$2:$B$5000,$J106,SummaryHelper!$C$2:$C$5000,$K106),""))</f>
        <v>15</v>
      </c>
      <c r="M106" s="9">
        <f>IF($J106="","",SUMIFS(SummaryHelper!$E$2:$E$5000,SummaryHelper!$A$2:$A$5000,$I106,SummaryHelper!$B$2:$B$5000,$J106,SummaryHelper!$C$2:$C$5000,$K106))</f>
        <v>1</v>
      </c>
      <c r="N106" s="9">
        <f>IF($J106="","",SUMIFS(SummaryHelper!$F$2:$F$5000,SummaryHelper!$A$2:$A$5000,$I106,SummaryHelper!$B$2:$B$5000,$J106,SummaryHelper!$C$2:$C$5000,$K106))</f>
        <v>0</v>
      </c>
      <c r="O106" s="9">
        <f>IF($J106="","",SUMIFS(SummaryHelper!$G$2:$G$5000,SummaryHelper!$A$2:$A$5000,$I106,SummaryHelper!$B$2:$B$5000,$J106,SummaryHelper!$C$2:$C$5000,$K106))</f>
        <v>1</v>
      </c>
      <c r="Q106" s="9">
        <f t="shared" si="18"/>
        <v>1</v>
      </c>
      <c r="R106" s="9">
        <f t="shared" si="19"/>
        <v>15</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IF($U106="","",SUMIFS([1]SummaryHelper!$G$2:$G$5000,[1]SummaryHelper!$A$2:$A$5000,$T106,[1]SummaryHelper!$B$2:$B$5000,$U106,[1]SummaryHelper!$C$2:$C$5000,$V106))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C107" s="9"/>
      <c r="D107" s="9"/>
      <c r="E107" s="9"/>
      <c r="F107" s="9"/>
      <c r="G107" s="9"/>
      <c r="I107" t="str">
        <v>MATERIALS</v>
      </c>
      <c r="J107" t="str">
        <v>Yessy Tile Floor Trap</v>
      </c>
      <c r="K107" t="str">
        <v>pc</v>
      </c>
      <c r="L107" s="9">
        <f>IF($J107="","",IFERROR(SUMIFS(SummaryHelper!$H$2:$H$5000,SummaryHelper!$A$2:$A$5000,$I107,SummaryHelper!$B$2:$B$5000,$J107,SummaryHelper!$C$2:$C$5000,$K107)/SUMIFS(SummaryHelper!$G$2:$G$5000,SummaryHelper!$A$2:$A$5000,$I107,SummaryHelper!$B$2:$B$5000,$J107,SummaryHelper!$C$2:$C$5000,$K107),""))</f>
        <v>15</v>
      </c>
      <c r="M107" s="9">
        <f>IF($J107="","",SUMIFS(SummaryHelper!$E$2:$E$5000,SummaryHelper!$A$2:$A$5000,$I107,SummaryHelper!$B$2:$B$5000,$J107,SummaryHelper!$C$2:$C$5000,$K107))</f>
        <v>1</v>
      </c>
      <c r="N107" s="9">
        <f>IF($J107="","",SUMIFS(SummaryHelper!$F$2:$F$5000,SummaryHelper!$A$2:$A$5000,$I107,SummaryHelper!$B$2:$B$5000,$J107,SummaryHelper!$C$2:$C$5000,$K107))</f>
        <v>0</v>
      </c>
      <c r="O107" s="9">
        <f>IF($J107="","",SUMIFS(SummaryHelper!$G$2:$G$5000,SummaryHelper!$A$2:$A$5000,$I107,SummaryHelper!$B$2:$B$5000,$J107,SummaryHelper!$C$2:$C$5000,$K107))</f>
        <v>1</v>
      </c>
      <c r="Q107" s="9">
        <f t="shared" si="18"/>
        <v>1</v>
      </c>
      <c r="R107" s="9">
        <f t="shared" si="19"/>
        <v>15</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IF($U107="","",SUMIFS([1]SummaryHelper!$G$2:$G$5000,[1]SummaryHelper!$A$2:$A$5000,$T107,[1]SummaryHelper!$B$2:$B$5000,$U107,[1]SummaryHelper!$C$2:$C$5000,$V107))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C108" s="9"/>
      <c r="D108" s="9"/>
      <c r="E108" s="9"/>
      <c r="F108" s="9"/>
      <c r="G108" s="9"/>
      <c r="I108" t="str">
        <v>MATERIALS</v>
      </c>
      <c r="J108" t="str">
        <v>Yessy Two-Way Hand Bidet</v>
      </c>
      <c r="K108" t="str">
        <v>pc</v>
      </c>
      <c r="L108" s="9">
        <f>IF($J108="","",IFERROR(SUMIFS(SummaryHelper!$H$2:$H$5000,SummaryHelper!$A$2:$A$5000,$I108,SummaryHelper!$B$2:$B$5000,$J108,SummaryHelper!$C$2:$C$5000,$K108)/SUMIFS(SummaryHelper!$G$2:$G$5000,SummaryHelper!$A$2:$A$5000,$I108,SummaryHelper!$B$2:$B$5000,$J108,SummaryHelper!$C$2:$C$5000,$K108),""))</f>
        <v>60</v>
      </c>
      <c r="M108" s="9">
        <f>IF($J108="","",SUMIFS(SummaryHelper!$E$2:$E$5000,SummaryHelper!$A$2:$A$5000,$I108,SummaryHelper!$B$2:$B$5000,$J108,SummaryHelper!$C$2:$C$5000,$K108))</f>
        <v>1</v>
      </c>
      <c r="N108" s="9">
        <f>IF($J108="","",SUMIFS(SummaryHelper!$F$2:$F$5000,SummaryHelper!$A$2:$A$5000,$I108,SummaryHelper!$B$2:$B$5000,$J108,SummaryHelper!$C$2:$C$5000,$K108))</f>
        <v>0</v>
      </c>
      <c r="O108" s="9">
        <f>IF($J108="","",SUMIFS(SummaryHelper!$G$2:$G$5000,SummaryHelper!$A$2:$A$5000,$I108,SummaryHelper!$B$2:$B$5000,$J108,SummaryHelper!$C$2:$C$5000,$K108))</f>
        <v>1</v>
      </c>
      <c r="Q108" s="9">
        <f t="shared" si="18"/>
        <v>1</v>
      </c>
      <c r="R108" s="9">
        <f t="shared" si="19"/>
        <v>60</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IF($U108="","",SUMIFS([1]SummaryHelper!$G$2:$G$5000,[1]SummaryHelper!$A$2:$A$5000,$T108,[1]SummaryHelper!$B$2:$B$5000,$U108,[1]SummaryHelper!$C$2:$C$5000,$V108))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C109" s="9"/>
      <c r="D109" s="9"/>
      <c r="E109" s="9"/>
      <c r="F109" s="9"/>
      <c r="G109" s="9"/>
      <c r="I109" t="str">
        <v>MATERIALS</v>
      </c>
      <c r="J109" t="str">
        <v>YTL PCC Cement Castle 50kg Bag</v>
      </c>
      <c r="K109" t="str">
        <v>BAG</v>
      </c>
      <c r="L109" s="9">
        <f>IF($J109="","",IFERROR(SUMIFS(SummaryHelper!$H$2:$H$5000,SummaryHelper!$A$2:$A$5000,$I109,SummaryHelper!$B$2:$B$5000,$J109,SummaryHelper!$C$2:$C$5000,$K109)/SUMIFS(SummaryHelper!$G$2:$G$5000,SummaryHelper!$A$2:$A$5000,$I109,SummaryHelper!$B$2:$B$5000,$J109,SummaryHelper!$C$2:$C$5000,$K109),""))</f>
        <v>24</v>
      </c>
      <c r="M109" s="9">
        <f>IF($J109="","",SUMIFS(SummaryHelper!$E$2:$E$5000,SummaryHelper!$A$2:$A$5000,$I109,SummaryHelper!$B$2:$B$5000,$J109,SummaryHelper!$C$2:$C$5000,$K109))</f>
        <v>138</v>
      </c>
      <c r="N109" s="9">
        <f>IF($J109="","",SUMIFS(SummaryHelper!$F$2:$F$5000,SummaryHelper!$A$2:$A$5000,$I109,SummaryHelper!$B$2:$B$5000,$J109,SummaryHelper!$C$2:$C$5000,$K109))</f>
        <v>0.05</v>
      </c>
      <c r="O109" s="9">
        <f>IF($J109="","",SUMIFS(SummaryHelper!$G$2:$G$5000,SummaryHelper!$A$2:$A$5000,$I109,SummaryHelper!$B$2:$B$5000,$J109,SummaryHelper!$C$2:$C$5000,$K109))</f>
        <v>138.6</v>
      </c>
      <c r="Q109" s="9">
        <f t="shared" si="18"/>
        <v>139</v>
      </c>
      <c r="R109" s="9">
        <f t="shared" si="19"/>
        <v>3336</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IF($U109="","",SUMIFS([1]SummaryHelper!$G$2:$G$5000,[1]SummaryHelper!$A$2:$A$5000,$T109,[1]SummaryHelper!$B$2:$B$5000,$U109,[1]SummaryHelper!$C$2:$C$5000,$V109))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C110" s="9"/>
      <c r="D110" s="9"/>
      <c r="E110" s="9"/>
      <c r="F110" s="9"/>
      <c r="G110" s="9"/>
      <c r="L110" s="9" t="str">
        <f>IF($J110="","",IFERROR(SUMIFS(SummaryHelper!$H$2:$H$5000,SummaryHelper!$A$2:$A$5000,$I110,SummaryHelper!$B$2:$B$5000,$J110,SummaryHelper!$C$2:$C$5000,$K110)/SUMIFS(SummaryHelper!$G$2:$G$5000,SummaryHelper!$A$2:$A$5000,$I110,SummaryHelper!$B$2:$B$5000,$J110,SummaryHelper!$C$2:$C$5000,$K110),""))</f>
        <v/>
      </c>
      <c r="M110" s="9" t="str">
        <f>IF($J110="","",SUMIFS(SummaryHelper!$E$2:$E$5000,SummaryHelper!$A$2:$A$5000,$I110,SummaryHelper!$B$2:$B$5000,$J110,SummaryHelper!$C$2:$C$5000,$K110))</f>
        <v/>
      </c>
      <c r="N110" s="9" t="str">
        <f>IF($J110="","",SUMIFS(SummaryHelper!$F$2:$F$5000,SummaryHelper!$A$2:$A$5000,$I110,SummaryHelper!$B$2:$B$5000,$J110,SummaryHelper!$C$2:$C$5000,$K110))</f>
        <v/>
      </c>
      <c r="O110" s="9" t="str">
        <f>IF($J110="","",SUMIFS(SummaryHelper!$G$2:$G$5000,SummaryHelper!$A$2:$A$5000,$I110,SummaryHelper!$B$2:$B$5000,$J110,SummaryHelper!$C$2:$C$5000,$K110))</f>
        <v/>
      </c>
      <c r="Q110" s="9" t="str">
        <f t="shared" si="18"/>
        <v/>
      </c>
      <c r="R110" s="9" t="str">
        <f t="shared" si="19"/>
        <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IF($U110="","",SUMIFS([1]SummaryHelper!$G$2:$G$5000,[1]SummaryHelper!$A$2:$A$5000,$T110,[1]SummaryHelper!$B$2:$B$5000,$U110,[1]SummaryHelper!$C$2:$C$5000,$V110))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C111" s="9"/>
      <c r="D111" s="9"/>
      <c r="E111" s="9"/>
      <c r="F111" s="9"/>
      <c r="G111" s="9"/>
      <c r="L111" s="9" t="str">
        <f>IF($J111="","",IFERROR(SUMIFS(SummaryHelper!$H$2:$H$5000,SummaryHelper!$A$2:$A$5000,$I111,SummaryHelper!$B$2:$B$5000,$J111,SummaryHelper!$C$2:$C$5000,$K111)/SUMIFS(SummaryHelper!$G$2:$G$5000,SummaryHelper!$A$2:$A$5000,$I111,SummaryHelper!$B$2:$B$5000,$J111,SummaryHelper!$C$2:$C$5000,$K111),""))</f>
        <v/>
      </c>
      <c r="M111" s="9" t="str">
        <f>IF($J111="","",SUMIFS(SummaryHelper!$E$2:$E$5000,SummaryHelper!$A$2:$A$5000,$I111,SummaryHelper!$B$2:$B$5000,$J111,SummaryHelper!$C$2:$C$5000,$K111))</f>
        <v/>
      </c>
      <c r="N111" s="9" t="str">
        <f>IF($J111="","",SUMIFS(SummaryHelper!$F$2:$F$5000,SummaryHelper!$A$2:$A$5000,$I111,SummaryHelper!$B$2:$B$5000,$J111,SummaryHelper!$C$2:$C$5000,$K111))</f>
        <v/>
      </c>
      <c r="O111" s="9" t="str">
        <f>IF($J111="","",SUMIFS(SummaryHelper!$G$2:$G$5000,SummaryHelper!$A$2:$A$5000,$I111,SummaryHelper!$B$2:$B$5000,$J111,SummaryHelper!$C$2:$C$5000,$K111))</f>
        <v/>
      </c>
      <c r="Q111" s="9" t="str">
        <f t="shared" si="18"/>
        <v/>
      </c>
      <c r="R111" s="9" t="str">
        <f t="shared" si="19"/>
        <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IF($U111="","",SUMIFS([1]SummaryHelper!$G$2:$G$5000,[1]SummaryHelper!$A$2:$A$5000,$T111,[1]SummaryHelper!$B$2:$B$5000,$U111,[1]SummaryHelper!$C$2:$C$5000,$V111))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C112" s="9"/>
      <c r="D112" s="9"/>
      <c r="E112" s="9"/>
      <c r="F112" s="9"/>
      <c r="G112" s="9"/>
      <c r="L112" s="9" t="str">
        <f>IF($J112="","",IFERROR(SUMIFS(SummaryHelper!$H$2:$H$5000,SummaryHelper!$A$2:$A$5000,$I112,SummaryHelper!$B$2:$B$5000,$J112,SummaryHelper!$C$2:$C$5000,$K112)/SUMIFS(SummaryHelper!$G$2:$G$5000,SummaryHelper!$A$2:$A$5000,$I112,SummaryHelper!$B$2:$B$5000,$J112,SummaryHelper!$C$2:$C$5000,$K112),""))</f>
        <v/>
      </c>
      <c r="M112" s="9" t="str">
        <f>IF($J112="","",SUMIFS(SummaryHelper!$E$2:$E$5000,SummaryHelper!$A$2:$A$5000,$I112,SummaryHelper!$B$2:$B$5000,$J112,SummaryHelper!$C$2:$C$5000,$K112))</f>
        <v/>
      </c>
      <c r="N112" s="9" t="str">
        <f>IF($J112="","",SUMIFS(SummaryHelper!$F$2:$F$5000,SummaryHelper!$A$2:$A$5000,$I112,SummaryHelper!$B$2:$B$5000,$J112,SummaryHelper!$C$2:$C$5000,$K112))</f>
        <v/>
      </c>
      <c r="O112" s="9" t="str">
        <f>IF($J112="","",SUMIFS(SummaryHelper!$G$2:$G$5000,SummaryHelper!$A$2:$A$5000,$I112,SummaryHelper!$B$2:$B$5000,$J112,SummaryHelper!$C$2:$C$5000,$K112))</f>
        <v/>
      </c>
      <c r="Q112" s="9" t="str">
        <f t="shared" si="18"/>
        <v/>
      </c>
      <c r="R112" s="9" t="str">
        <f t="shared" si="19"/>
        <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IF($U112="","",SUMIFS([1]SummaryHelper!$G$2:$G$5000,[1]SummaryHelper!$A$2:$A$5000,$T112,[1]SummaryHelper!$B$2:$B$5000,$U112,[1]SummaryHelper!$C$2:$C$5000,$V112))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C113" s="9"/>
      <c r="D113" s="9"/>
      <c r="E113" s="9"/>
      <c r="F113" s="9"/>
      <c r="G113" s="9"/>
      <c r="L113" s="9" t="str">
        <f>IF($J113="","",IFERROR(SUMIFS(SummaryHelper!$H$2:$H$5000,SummaryHelper!$A$2:$A$5000,$I113,SummaryHelper!$B$2:$B$5000,$J113,SummaryHelper!$C$2:$C$5000,$K113)/SUMIFS(SummaryHelper!$G$2:$G$5000,SummaryHelper!$A$2:$A$5000,$I113,SummaryHelper!$B$2:$B$5000,$J113,SummaryHelper!$C$2:$C$5000,$K113),""))</f>
        <v/>
      </c>
      <c r="M113" s="9" t="str">
        <f>IF($J113="","",SUMIFS(SummaryHelper!$E$2:$E$5000,SummaryHelper!$A$2:$A$5000,$I113,SummaryHelper!$B$2:$B$5000,$J113,SummaryHelper!$C$2:$C$5000,$K113))</f>
        <v/>
      </c>
      <c r="N113" s="9" t="str">
        <f>IF($J113="","",SUMIFS(SummaryHelper!$F$2:$F$5000,SummaryHelper!$A$2:$A$5000,$I113,SummaryHelper!$B$2:$B$5000,$J113,SummaryHelper!$C$2:$C$5000,$K113))</f>
        <v/>
      </c>
      <c r="O113" s="9" t="str">
        <f>IF($J113="","",SUMIFS(SummaryHelper!$G$2:$G$5000,SummaryHelper!$A$2:$A$5000,$I113,SummaryHelper!$B$2:$B$5000,$J113,SummaryHelper!$C$2:$C$5000,$K113))</f>
        <v/>
      </c>
      <c r="Q113" s="9" t="str">
        <f t="shared" si="18"/>
        <v/>
      </c>
      <c r="R113" s="9" t="str">
        <f t="shared" si="19"/>
        <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IF($U113="","",SUMIFS([1]SummaryHelper!$G$2:$G$5000,[1]SummaryHelper!$A$2:$A$5000,$T113,[1]SummaryHelper!$B$2:$B$5000,$U113,[1]SummaryHelper!$C$2:$C$5000,$V113))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C114" s="9"/>
      <c r="D114" s="9"/>
      <c r="E114" s="9"/>
      <c r="F114" s="9"/>
      <c r="G114" s="9"/>
      <c r="L114" s="9" t="str">
        <f>IF($J114="","",IFERROR(SUMIFS(SummaryHelper!$H$2:$H$5000,SummaryHelper!$A$2:$A$5000,$I114,SummaryHelper!$B$2:$B$5000,$J114,SummaryHelper!$C$2:$C$5000,$K114)/SUMIFS(SummaryHelper!$G$2:$G$5000,SummaryHelper!$A$2:$A$5000,$I114,SummaryHelper!$B$2:$B$5000,$J114,SummaryHelper!$C$2:$C$5000,$K114),""))</f>
        <v/>
      </c>
      <c r="M114" s="9" t="str">
        <f>IF($J114="","",SUMIFS(SummaryHelper!$E$2:$E$5000,SummaryHelper!$A$2:$A$5000,$I114,SummaryHelper!$B$2:$B$5000,$J114,SummaryHelper!$C$2:$C$5000,$K114))</f>
        <v/>
      </c>
      <c r="N114" s="9" t="str">
        <f>IF($J114="","",SUMIFS(SummaryHelper!$F$2:$F$5000,SummaryHelper!$A$2:$A$5000,$I114,SummaryHelper!$B$2:$B$5000,$J114,SummaryHelper!$C$2:$C$5000,$K114))</f>
        <v/>
      </c>
      <c r="O114" s="9" t="str">
        <f>IF($J114="","",SUMIFS(SummaryHelper!$G$2:$G$5000,SummaryHelper!$A$2:$A$5000,$I114,SummaryHelper!$B$2:$B$5000,$J114,SummaryHelper!$C$2:$C$5000,$K114))</f>
        <v/>
      </c>
      <c r="Q114" s="9" t="str">
        <f t="shared" si="18"/>
        <v/>
      </c>
      <c r="R114" s="9" t="str">
        <f t="shared" si="19"/>
        <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IF($U114="","",SUMIFS([1]SummaryHelper!$G$2:$G$5000,[1]SummaryHelper!$A$2:$A$5000,$T114,[1]SummaryHelper!$B$2:$B$5000,$U114,[1]SummaryHelper!$C$2:$C$5000,$V114))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C115" s="9"/>
      <c r="D115" s="9"/>
      <c r="E115" s="9"/>
      <c r="F115" s="9"/>
      <c r="G115" s="9"/>
      <c r="L115" s="9" t="str">
        <f>IF($J115="","",IFERROR(SUMIFS(SummaryHelper!$H$2:$H$5000,SummaryHelper!$A$2:$A$5000,$I115,SummaryHelper!$B$2:$B$5000,$J115,SummaryHelper!$C$2:$C$5000,$K115)/SUMIFS(SummaryHelper!$G$2:$G$5000,SummaryHelper!$A$2:$A$5000,$I115,SummaryHelper!$B$2:$B$5000,$J115,SummaryHelper!$C$2:$C$5000,$K115),""))</f>
        <v/>
      </c>
      <c r="M115" s="9" t="str">
        <f>IF($J115="","",SUMIFS(SummaryHelper!$E$2:$E$5000,SummaryHelper!$A$2:$A$5000,$I115,SummaryHelper!$B$2:$B$5000,$J115,SummaryHelper!$C$2:$C$5000,$K115))</f>
        <v/>
      </c>
      <c r="N115" s="9" t="str">
        <f>IF($J115="","",SUMIFS(SummaryHelper!$F$2:$F$5000,SummaryHelper!$A$2:$A$5000,$I115,SummaryHelper!$B$2:$B$5000,$J115,SummaryHelper!$C$2:$C$5000,$K115))</f>
        <v/>
      </c>
      <c r="O115" s="9" t="str">
        <f>IF($J115="","",SUMIFS(SummaryHelper!$G$2:$G$5000,SummaryHelper!$A$2:$A$5000,$I115,SummaryHelper!$B$2:$B$5000,$J115,SummaryHelper!$C$2:$C$5000,$K115))</f>
        <v/>
      </c>
      <c r="Q115" s="9" t="str">
        <f t="shared" si="18"/>
        <v/>
      </c>
      <c r="R115" s="9" t="str">
        <f t="shared" si="19"/>
        <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IF($U115="","",SUMIFS([1]SummaryHelper!$G$2:$G$5000,[1]SummaryHelper!$A$2:$A$5000,$T115,[1]SummaryHelper!$B$2:$B$5000,$U115,[1]SummaryHelper!$C$2:$C$5000,$V115))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C116" s="9"/>
      <c r="D116" s="9"/>
      <c r="E116" s="9"/>
      <c r="F116" s="9"/>
      <c r="G116" s="9"/>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IF($U116="","",SUMIFS([1]SummaryHelper!$G$2:$G$5000,[1]SummaryHelper!$A$2:$A$5000,$T116,[1]SummaryHelper!$B$2:$B$5000,$U116,[1]SummaryHelper!$C$2:$C$5000,$V116))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C117" s="9"/>
      <c r="D117" s="9"/>
      <c r="E117" s="9"/>
      <c r="F117" s="9"/>
      <c r="G117" s="9"/>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IF($U117="","",SUMIFS([1]SummaryHelper!$G$2:$G$5000,[1]SummaryHelper!$A$2:$A$5000,$T117,[1]SummaryHelper!$B$2:$B$5000,$U117,[1]SummaryHelper!$C$2:$C$5000,$V117))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C118" s="9"/>
      <c r="D118" s="9"/>
      <c r="E118" s="9"/>
      <c r="F118" s="9"/>
      <c r="G118" s="9"/>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IF($U118="","",SUMIFS([1]SummaryHelper!$G$2:$G$5000,[1]SummaryHelper!$A$2:$A$5000,$T118,[1]SummaryHelper!$B$2:$B$5000,$U118,[1]SummaryHelper!$C$2:$C$5000,$V118))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C119" s="9"/>
      <c r="D119" s="9"/>
      <c r="E119" s="9"/>
      <c r="F119" s="9"/>
      <c r="G119" s="9"/>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IF($U119="","",SUMIFS([1]SummaryHelper!$G$2:$G$5000,[1]SummaryHelper!$A$2:$A$5000,$T119,[1]SummaryHelper!$B$2:$B$5000,$U119,[1]SummaryHelper!$C$2:$C$5000,$V119))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C120" s="9"/>
      <c r="D120" s="9"/>
      <c r="E120" s="9"/>
      <c r="F120" s="9"/>
      <c r="G120" s="9"/>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IF($U120="","",SUMIFS([1]SummaryHelper!$G$2:$G$5000,[1]SummaryHelper!$A$2:$A$5000,$T120,[1]SummaryHelper!$B$2:$B$5000,$U120,[1]SummaryHelper!$C$2:$C$5000,$V120))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C121" s="9"/>
      <c r="D121" s="9"/>
      <c r="E121" s="9"/>
      <c r="F121" s="9"/>
      <c r="G121" s="9"/>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IF($U121="","",SUMIFS([1]SummaryHelper!$G$2:$G$5000,[1]SummaryHelper!$A$2:$A$5000,$T121,[1]SummaryHelper!$B$2:$B$5000,$U121,[1]SummaryHelper!$C$2:$C$5000,$V121))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C122" s="9"/>
      <c r="D122" s="9"/>
      <c r="E122" s="9"/>
      <c r="F122" s="9"/>
      <c r="G122" s="9"/>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IF($U122="","",SUMIFS([1]SummaryHelper!$G$2:$G$5000,[1]SummaryHelper!$A$2:$A$5000,$T122,[1]SummaryHelper!$B$2:$B$5000,$U122,[1]SummaryHelper!$C$2:$C$5000,$V122))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C123" s="9"/>
      <c r="D123" s="9"/>
      <c r="E123" s="9"/>
      <c r="F123" s="9"/>
      <c r="G123" s="9"/>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IF($U123="","",SUMIFS([1]SummaryHelper!$G$2:$G$5000,[1]SummaryHelper!$A$2:$A$5000,$T123,[1]SummaryHelper!$B$2:$B$5000,$U123,[1]SummaryHelper!$C$2:$C$5000,$V123))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C124" s="9"/>
      <c r="D124" s="9"/>
      <c r="E124" s="9"/>
      <c r="F124" s="9"/>
      <c r="G124" s="9"/>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IF($U124="","",SUMIFS([1]SummaryHelper!$G$2:$G$5000,[1]SummaryHelper!$A$2:$A$5000,$T124,[1]SummaryHelper!$B$2:$B$5000,$U124,[1]SummaryHelper!$C$2:$C$5000,$V124))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C125" s="9"/>
      <c r="D125" s="9"/>
      <c r="E125" s="9"/>
      <c r="F125" s="9"/>
      <c r="G125" s="9"/>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IF($U125="","",SUMIFS([1]SummaryHelper!$G$2:$G$5000,[1]SummaryHelper!$A$2:$A$5000,$T125,[1]SummaryHelper!$B$2:$B$5000,$U125,[1]SummaryHelper!$C$2:$C$5000,$V125))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C126" s="9"/>
      <c r="D126" s="9"/>
      <c r="E126" s="9"/>
      <c r="F126" s="9"/>
      <c r="G126" s="9"/>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IF($U126="","",SUMIFS([1]SummaryHelper!$G$2:$G$5000,[1]SummaryHelper!$A$2:$A$5000,$T126,[1]SummaryHelper!$B$2:$B$5000,$U126,[1]SummaryHelper!$C$2:$C$5000,$V126))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C127" s="9"/>
      <c r="D127" s="9"/>
      <c r="E127" s="9"/>
      <c r="F127" s="9"/>
      <c r="G127" s="9"/>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IF($U127="","",SUMIFS([1]SummaryHelper!$G$2:$G$5000,[1]SummaryHelper!$A$2:$A$5000,$T127,[1]SummaryHelper!$B$2:$B$5000,$U127,[1]SummaryHelper!$C$2:$C$5000,$V127))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C128" s="9"/>
      <c r="D128" s="9"/>
      <c r="E128" s="9"/>
      <c r="F128" s="9"/>
      <c r="G128" s="9"/>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IF($U128="","",SUMIFS([1]SummaryHelper!$G$2:$G$5000,[1]SummaryHelper!$A$2:$A$5000,$T128,[1]SummaryHelper!$B$2:$B$5000,$U128,[1]SummaryHelper!$C$2:$C$5000,$V128))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C129" s="9"/>
      <c r="D129" s="9"/>
      <c r="E129" s="9"/>
      <c r="F129" s="9"/>
      <c r="G129" s="9"/>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IF($U129="","",SUMIFS([1]SummaryHelper!$G$2:$G$5000,[1]SummaryHelper!$A$2:$A$5000,$T129,[1]SummaryHelper!$B$2:$B$5000,$U129,[1]SummaryHelper!$C$2:$C$5000,$V129))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C130" s="9"/>
      <c r="D130" s="9"/>
      <c r="E130" s="9"/>
      <c r="F130" s="9"/>
      <c r="G130" s="9"/>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IF($U130="","",SUMIFS([1]SummaryHelper!$G$2:$G$5000,[1]SummaryHelper!$A$2:$A$5000,$T130,[1]SummaryHelper!$B$2:$B$5000,$U130,[1]SummaryHelper!$C$2:$C$5000,$V130))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C131" s="9"/>
      <c r="D131" s="9"/>
      <c r="E131" s="9"/>
      <c r="F131" s="9"/>
      <c r="G131" s="9"/>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IF($U131="","",SUMIFS([1]SummaryHelper!$G$2:$G$5000,[1]SummaryHelper!$A$2:$A$5000,$T131,[1]SummaryHelper!$B$2:$B$5000,$U131,[1]SummaryHelper!$C$2:$C$5000,$V131))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C132" s="9"/>
      <c r="D132" s="9"/>
      <c r="E132" s="9"/>
      <c r="F132" s="9"/>
      <c r="G132" s="9"/>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24">IF($J132="","",IF($P132="",ROUNDUP($O132,0),$P132))</f>
        <v/>
      </c>
      <c r="R132" s="9" t="str">
        <f t="shared" ref="R132:R195" si="25">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IF($U132="","",SUMIFS([1]SummaryHelper!$G$2:$G$5000,[1]SummaryHelper!$A$2:$A$5000,$T132,[1]SummaryHelper!$B$2:$B$5000,$U132,[1]SummaryHelper!$C$2:$C$5000,$V132))</f>
        <v/>
      </c>
      <c r="AB132" s="9" t="str">
        <f t="shared" ref="AB132:AB195" si="26">IF($U132="","",IF($AA132="",$Z132,$AA132))</f>
        <v/>
      </c>
      <c r="AC132" s="9" t="str">
        <f t="shared" ref="AC132:AC195" si="27">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28">IF($AF132="","",IF($AL132="",$AK132,$AL132))</f>
        <v/>
      </c>
      <c r="AN132" t="str">
        <f t="shared" ref="AN132:AN195" si="29">IF($AF132="","",$AM132*$AH132)</f>
        <v/>
      </c>
    </row>
    <row r="133" spans="1:40" x14ac:dyDescent="0.25">
      <c r="A133" s="12"/>
      <c r="C133" s="9"/>
      <c r="D133" s="9"/>
      <c r="E133" s="9"/>
      <c r="F133" s="9"/>
      <c r="G133" s="9"/>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24"/>
        <v/>
      </c>
      <c r="R133" s="9" t="str">
        <f t="shared" si="25"/>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IF($U133="","",SUMIFS([1]SummaryHelper!$G$2:$G$5000,[1]SummaryHelper!$A$2:$A$5000,$T133,[1]SummaryHelper!$B$2:$B$5000,$U133,[1]SummaryHelper!$C$2:$C$5000,$V133))</f>
        <v/>
      </c>
      <c r="AB133" s="9" t="str">
        <f t="shared" si="26"/>
        <v/>
      </c>
      <c r="AC133" s="9" t="str">
        <f t="shared" si="27"/>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28"/>
        <v/>
      </c>
      <c r="AN133" t="str">
        <f t="shared" si="29"/>
        <v/>
      </c>
    </row>
    <row r="134" spans="1:40" x14ac:dyDescent="0.25">
      <c r="A134" s="12"/>
      <c r="C134" s="9"/>
      <c r="D134" s="9"/>
      <c r="E134" s="9"/>
      <c r="F134" s="9"/>
      <c r="G134" s="9"/>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24"/>
        <v/>
      </c>
      <c r="R134" s="9" t="str">
        <f t="shared" si="25"/>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IF($U134="","",SUMIFS([1]SummaryHelper!$G$2:$G$5000,[1]SummaryHelper!$A$2:$A$5000,$T134,[1]SummaryHelper!$B$2:$B$5000,$U134,[1]SummaryHelper!$C$2:$C$5000,$V134))</f>
        <v/>
      </c>
      <c r="AB134" s="9" t="str">
        <f t="shared" si="26"/>
        <v/>
      </c>
      <c r="AC134" s="9" t="str">
        <f t="shared" si="27"/>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28"/>
        <v/>
      </c>
      <c r="AN134" t="str">
        <f t="shared" si="29"/>
        <v/>
      </c>
    </row>
    <row r="135" spans="1:40" x14ac:dyDescent="0.25">
      <c r="A135" s="12"/>
      <c r="C135" s="9"/>
      <c r="D135" s="9"/>
      <c r="E135" s="9"/>
      <c r="F135" s="9"/>
      <c r="G135" s="9"/>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24"/>
        <v/>
      </c>
      <c r="R135" s="9" t="str">
        <f t="shared" si="25"/>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IF($U135="","",SUMIFS([1]SummaryHelper!$G$2:$G$5000,[1]SummaryHelper!$A$2:$A$5000,$T135,[1]SummaryHelper!$B$2:$B$5000,$U135,[1]SummaryHelper!$C$2:$C$5000,$V135))</f>
        <v/>
      </c>
      <c r="AB135" s="9" t="str">
        <f t="shared" si="26"/>
        <v/>
      </c>
      <c r="AC135" s="9" t="str">
        <f t="shared" si="27"/>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28"/>
        <v/>
      </c>
      <c r="AN135" t="str">
        <f t="shared" si="29"/>
        <v/>
      </c>
    </row>
    <row r="136" spans="1:40" x14ac:dyDescent="0.25">
      <c r="A136" s="12"/>
      <c r="C136" s="9"/>
      <c r="D136" s="9"/>
      <c r="E136" s="9"/>
      <c r="F136" s="9"/>
      <c r="G136" s="9"/>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24"/>
        <v/>
      </c>
      <c r="R136" s="9" t="str">
        <f t="shared" si="25"/>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IF($U136="","",SUMIFS([1]SummaryHelper!$G$2:$G$5000,[1]SummaryHelper!$A$2:$A$5000,$T136,[1]SummaryHelper!$B$2:$B$5000,$U136,[1]SummaryHelper!$C$2:$C$5000,$V136))</f>
        <v/>
      </c>
      <c r="AB136" s="9" t="str">
        <f t="shared" si="26"/>
        <v/>
      </c>
      <c r="AC136" s="9" t="str">
        <f t="shared" si="27"/>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28"/>
        <v/>
      </c>
      <c r="AN136" t="str">
        <f t="shared" si="29"/>
        <v/>
      </c>
    </row>
    <row r="137" spans="1:40" x14ac:dyDescent="0.25">
      <c r="A137" s="12"/>
      <c r="C137" s="9"/>
      <c r="D137" s="9"/>
      <c r="E137" s="9"/>
      <c r="F137" s="9"/>
      <c r="G137" s="9"/>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24"/>
        <v/>
      </c>
      <c r="R137" s="9" t="str">
        <f t="shared" si="25"/>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IF($U137="","",SUMIFS([1]SummaryHelper!$G$2:$G$5000,[1]SummaryHelper!$A$2:$A$5000,$T137,[1]SummaryHelper!$B$2:$B$5000,$U137,[1]SummaryHelper!$C$2:$C$5000,$V137))</f>
        <v/>
      </c>
      <c r="AB137" s="9" t="str">
        <f t="shared" si="26"/>
        <v/>
      </c>
      <c r="AC137" s="9" t="str">
        <f t="shared" si="27"/>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28"/>
        <v/>
      </c>
      <c r="AN137" t="str">
        <f t="shared" si="29"/>
        <v/>
      </c>
    </row>
    <row r="138" spans="1:40" x14ac:dyDescent="0.25">
      <c r="A138" s="12"/>
      <c r="C138" s="9"/>
      <c r="D138" s="9"/>
      <c r="E138" s="9"/>
      <c r="F138" s="9"/>
      <c r="G138" s="9"/>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24"/>
        <v/>
      </c>
      <c r="R138" s="9" t="str">
        <f t="shared" si="25"/>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IF($U138="","",SUMIFS([1]SummaryHelper!$G$2:$G$5000,[1]SummaryHelper!$A$2:$A$5000,$T138,[1]SummaryHelper!$B$2:$B$5000,$U138,[1]SummaryHelper!$C$2:$C$5000,$V138))</f>
        <v/>
      </c>
      <c r="AB138" s="9" t="str">
        <f t="shared" si="26"/>
        <v/>
      </c>
      <c r="AC138" s="9" t="str">
        <f t="shared" si="27"/>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28"/>
        <v/>
      </c>
      <c r="AN138" t="str">
        <f t="shared" si="29"/>
        <v/>
      </c>
    </row>
    <row r="139" spans="1:40" x14ac:dyDescent="0.25">
      <c r="A139" s="12"/>
      <c r="C139" s="9"/>
      <c r="D139" s="9"/>
      <c r="E139" s="9"/>
      <c r="F139" s="9"/>
      <c r="G139" s="9"/>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24"/>
        <v/>
      </c>
      <c r="R139" s="9" t="str">
        <f t="shared" si="25"/>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IF($U139="","",SUMIFS([1]SummaryHelper!$G$2:$G$5000,[1]SummaryHelper!$A$2:$A$5000,$T139,[1]SummaryHelper!$B$2:$B$5000,$U139,[1]SummaryHelper!$C$2:$C$5000,$V139))</f>
        <v/>
      </c>
      <c r="AB139" s="9" t="str">
        <f t="shared" si="26"/>
        <v/>
      </c>
      <c r="AC139" s="9" t="str">
        <f t="shared" si="27"/>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28"/>
        <v/>
      </c>
      <c r="AN139" t="str">
        <f t="shared" si="29"/>
        <v/>
      </c>
    </row>
    <row r="140" spans="1:40" x14ac:dyDescent="0.25">
      <c r="A140" s="12"/>
      <c r="C140" s="9"/>
      <c r="D140" s="9"/>
      <c r="E140" s="9"/>
      <c r="F140" s="9"/>
      <c r="G140" s="9"/>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24"/>
        <v/>
      </c>
      <c r="R140" s="9" t="str">
        <f t="shared" si="25"/>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IF($U140="","",SUMIFS([1]SummaryHelper!$G$2:$G$5000,[1]SummaryHelper!$A$2:$A$5000,$T140,[1]SummaryHelper!$B$2:$B$5000,$U140,[1]SummaryHelper!$C$2:$C$5000,$V140))</f>
        <v/>
      </c>
      <c r="AB140" s="9" t="str">
        <f t="shared" si="26"/>
        <v/>
      </c>
      <c r="AC140" s="9" t="str">
        <f t="shared" si="27"/>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28"/>
        <v/>
      </c>
      <c r="AN140" t="str">
        <f t="shared" si="29"/>
        <v/>
      </c>
    </row>
    <row r="141" spans="1:40" x14ac:dyDescent="0.25">
      <c r="A141" s="12"/>
      <c r="C141" s="9"/>
      <c r="D141" s="9"/>
      <c r="E141" s="9"/>
      <c r="F141" s="9"/>
      <c r="G141" s="9"/>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24"/>
        <v/>
      </c>
      <c r="R141" s="9" t="str">
        <f t="shared" si="25"/>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IF($U141="","",SUMIFS([1]SummaryHelper!$G$2:$G$5000,[1]SummaryHelper!$A$2:$A$5000,$T141,[1]SummaryHelper!$B$2:$B$5000,$U141,[1]SummaryHelper!$C$2:$C$5000,$V141))</f>
        <v/>
      </c>
      <c r="AB141" s="9" t="str">
        <f t="shared" si="26"/>
        <v/>
      </c>
      <c r="AC141" s="9" t="str">
        <f t="shared" si="27"/>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28"/>
        <v/>
      </c>
      <c r="AN141" t="str">
        <f t="shared" si="29"/>
        <v/>
      </c>
    </row>
    <row r="142" spans="1:40" x14ac:dyDescent="0.25">
      <c r="A142" s="12"/>
      <c r="C142" s="9"/>
      <c r="D142" s="9"/>
      <c r="E142" s="9"/>
      <c r="F142" s="9"/>
      <c r="G142" s="9"/>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24"/>
        <v/>
      </c>
      <c r="R142" s="9" t="str">
        <f t="shared" si="25"/>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IF($U142="","",SUMIFS([1]SummaryHelper!$G$2:$G$5000,[1]SummaryHelper!$A$2:$A$5000,$T142,[1]SummaryHelper!$B$2:$B$5000,$U142,[1]SummaryHelper!$C$2:$C$5000,$V142))</f>
        <v/>
      </c>
      <c r="AB142" s="9" t="str">
        <f t="shared" si="26"/>
        <v/>
      </c>
      <c r="AC142" s="9" t="str">
        <f t="shared" si="27"/>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28"/>
        <v/>
      </c>
      <c r="AN142" t="str">
        <f t="shared" si="29"/>
        <v/>
      </c>
    </row>
    <row r="143" spans="1:40" x14ac:dyDescent="0.25">
      <c r="A143" s="12"/>
      <c r="C143" s="9"/>
      <c r="D143" s="9"/>
      <c r="E143" s="9"/>
      <c r="F143" s="9"/>
      <c r="G143" s="9"/>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24"/>
        <v/>
      </c>
      <c r="R143" s="9" t="str">
        <f t="shared" si="25"/>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IF($U143="","",SUMIFS([1]SummaryHelper!$G$2:$G$5000,[1]SummaryHelper!$A$2:$A$5000,$T143,[1]SummaryHelper!$B$2:$B$5000,$U143,[1]SummaryHelper!$C$2:$C$5000,$V143))</f>
        <v/>
      </c>
      <c r="AB143" s="9" t="str">
        <f t="shared" si="26"/>
        <v/>
      </c>
      <c r="AC143" s="9" t="str">
        <f t="shared" si="27"/>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28"/>
        <v/>
      </c>
      <c r="AN143" t="str">
        <f t="shared" si="29"/>
        <v/>
      </c>
    </row>
    <row r="144" spans="1:40" x14ac:dyDescent="0.25">
      <c r="A144" s="12"/>
      <c r="C144" s="9"/>
      <c r="D144" s="9"/>
      <c r="E144" s="9"/>
      <c r="F144" s="9"/>
      <c r="G144" s="9"/>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24"/>
        <v/>
      </c>
      <c r="R144" s="9" t="str">
        <f t="shared" si="25"/>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IF($U144="","",SUMIFS([1]SummaryHelper!$G$2:$G$5000,[1]SummaryHelper!$A$2:$A$5000,$T144,[1]SummaryHelper!$B$2:$B$5000,$U144,[1]SummaryHelper!$C$2:$C$5000,$V144))</f>
        <v/>
      </c>
      <c r="AB144" s="9" t="str">
        <f t="shared" si="26"/>
        <v/>
      </c>
      <c r="AC144" s="9" t="str">
        <f t="shared" si="27"/>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28"/>
        <v/>
      </c>
      <c r="AN144" t="str">
        <f t="shared" si="29"/>
        <v/>
      </c>
    </row>
    <row r="145" spans="1:40" x14ac:dyDescent="0.25">
      <c r="A145" s="12"/>
      <c r="C145" s="9"/>
      <c r="D145" s="9"/>
      <c r="E145" s="9"/>
      <c r="F145" s="9"/>
      <c r="G145" s="9"/>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24"/>
        <v/>
      </c>
      <c r="R145" s="9" t="str">
        <f t="shared" si="25"/>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IF($U145="","",SUMIFS([1]SummaryHelper!$G$2:$G$5000,[1]SummaryHelper!$A$2:$A$5000,$T145,[1]SummaryHelper!$B$2:$B$5000,$U145,[1]SummaryHelper!$C$2:$C$5000,$V145))</f>
        <v/>
      </c>
      <c r="AB145" s="9" t="str">
        <f t="shared" si="26"/>
        <v/>
      </c>
      <c r="AC145" s="9" t="str">
        <f t="shared" si="27"/>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28"/>
        <v/>
      </c>
      <c r="AN145" t="str">
        <f t="shared" si="29"/>
        <v/>
      </c>
    </row>
    <row r="146" spans="1:40" x14ac:dyDescent="0.25">
      <c r="A146" s="12"/>
      <c r="C146" s="9"/>
      <c r="D146" s="9"/>
      <c r="E146" s="9"/>
      <c r="F146" s="9"/>
      <c r="G146" s="9"/>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24"/>
        <v/>
      </c>
      <c r="R146" s="9" t="str">
        <f t="shared" si="25"/>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IF($U146="","",SUMIFS([1]SummaryHelper!$G$2:$G$5000,[1]SummaryHelper!$A$2:$A$5000,$T146,[1]SummaryHelper!$B$2:$B$5000,$U146,[1]SummaryHelper!$C$2:$C$5000,$V146))</f>
        <v/>
      </c>
      <c r="AB146" s="9" t="str">
        <f t="shared" si="26"/>
        <v/>
      </c>
      <c r="AC146" s="9" t="str">
        <f t="shared" si="27"/>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28"/>
        <v/>
      </c>
      <c r="AN146" t="str">
        <f t="shared" si="29"/>
        <v/>
      </c>
    </row>
    <row r="147" spans="1:40" x14ac:dyDescent="0.25">
      <c r="A147" s="12"/>
      <c r="C147" s="9"/>
      <c r="D147" s="9"/>
      <c r="E147" s="9"/>
      <c r="F147" s="9"/>
      <c r="G147" s="9"/>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24"/>
        <v/>
      </c>
      <c r="R147" s="9" t="str">
        <f t="shared" si="25"/>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IF($U147="","",SUMIFS([1]SummaryHelper!$G$2:$G$5000,[1]SummaryHelper!$A$2:$A$5000,$T147,[1]SummaryHelper!$B$2:$B$5000,$U147,[1]SummaryHelper!$C$2:$C$5000,$V147))</f>
        <v/>
      </c>
      <c r="AB147" s="9" t="str">
        <f t="shared" si="26"/>
        <v/>
      </c>
      <c r="AC147" s="9" t="str">
        <f t="shared" si="27"/>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28"/>
        <v/>
      </c>
      <c r="AN147" t="str">
        <f t="shared" si="29"/>
        <v/>
      </c>
    </row>
    <row r="148" spans="1:40" x14ac:dyDescent="0.25">
      <c r="A148" s="12"/>
      <c r="C148" s="9"/>
      <c r="D148" s="9"/>
      <c r="E148" s="9"/>
      <c r="F148" s="9"/>
      <c r="G148" s="9"/>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24"/>
        <v/>
      </c>
      <c r="R148" s="9" t="str">
        <f t="shared" si="25"/>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IF($U148="","",SUMIFS([1]SummaryHelper!$G$2:$G$5000,[1]SummaryHelper!$A$2:$A$5000,$T148,[1]SummaryHelper!$B$2:$B$5000,$U148,[1]SummaryHelper!$C$2:$C$5000,$V148))</f>
        <v/>
      </c>
      <c r="AB148" s="9" t="str">
        <f t="shared" si="26"/>
        <v/>
      </c>
      <c r="AC148" s="9" t="str">
        <f t="shared" si="27"/>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28"/>
        <v/>
      </c>
      <c r="AN148" t="str">
        <f t="shared" si="29"/>
        <v/>
      </c>
    </row>
    <row r="149" spans="1:40" x14ac:dyDescent="0.25">
      <c r="A149" s="12"/>
      <c r="C149" s="9"/>
      <c r="D149" s="9"/>
      <c r="E149" s="9"/>
      <c r="F149" s="9"/>
      <c r="G149" s="9"/>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24"/>
        <v/>
      </c>
      <c r="R149" s="9" t="str">
        <f t="shared" si="25"/>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IF($U149="","",SUMIFS([1]SummaryHelper!$G$2:$G$5000,[1]SummaryHelper!$A$2:$A$5000,$T149,[1]SummaryHelper!$B$2:$B$5000,$U149,[1]SummaryHelper!$C$2:$C$5000,$V149))</f>
        <v/>
      </c>
      <c r="AB149" s="9" t="str">
        <f t="shared" si="26"/>
        <v/>
      </c>
      <c r="AC149" s="9" t="str">
        <f t="shared" si="27"/>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28"/>
        <v/>
      </c>
      <c r="AN149" t="str">
        <f t="shared" si="29"/>
        <v/>
      </c>
    </row>
    <row r="150" spans="1:40" x14ac:dyDescent="0.25">
      <c r="A150" s="12"/>
      <c r="C150" s="9"/>
      <c r="D150" s="9"/>
      <c r="E150" s="9"/>
      <c r="F150" s="9"/>
      <c r="G150" s="9"/>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24"/>
        <v/>
      </c>
      <c r="R150" s="9" t="str">
        <f t="shared" si="25"/>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IF($U150="","",SUMIFS([1]SummaryHelper!$G$2:$G$5000,[1]SummaryHelper!$A$2:$A$5000,$T150,[1]SummaryHelper!$B$2:$B$5000,$U150,[1]SummaryHelper!$C$2:$C$5000,$V150))</f>
        <v/>
      </c>
      <c r="AB150" s="9" t="str">
        <f t="shared" si="26"/>
        <v/>
      </c>
      <c r="AC150" s="9" t="str">
        <f t="shared" si="27"/>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28"/>
        <v/>
      </c>
      <c r="AN150" t="str">
        <f t="shared" si="29"/>
        <v/>
      </c>
    </row>
    <row r="151" spans="1:40" x14ac:dyDescent="0.25">
      <c r="A151" s="12"/>
      <c r="C151" s="9"/>
      <c r="D151" s="9"/>
      <c r="E151" s="9"/>
      <c r="F151" s="9"/>
      <c r="G151" s="9"/>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24"/>
        <v/>
      </c>
      <c r="R151" s="9" t="str">
        <f t="shared" si="25"/>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IF($U151="","",SUMIFS([1]SummaryHelper!$G$2:$G$5000,[1]SummaryHelper!$A$2:$A$5000,$T151,[1]SummaryHelper!$B$2:$B$5000,$U151,[1]SummaryHelper!$C$2:$C$5000,$V151))</f>
        <v/>
      </c>
      <c r="AB151" s="9" t="str">
        <f t="shared" si="26"/>
        <v/>
      </c>
      <c r="AC151" s="9" t="str">
        <f t="shared" si="27"/>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28"/>
        <v/>
      </c>
      <c r="AN151" t="str">
        <f t="shared" si="29"/>
        <v/>
      </c>
    </row>
    <row r="152" spans="1:40" x14ac:dyDescent="0.25">
      <c r="A152" s="12"/>
      <c r="C152" s="9"/>
      <c r="D152" s="9"/>
      <c r="E152" s="9"/>
      <c r="F152" s="9"/>
      <c r="G152" s="9"/>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24"/>
        <v/>
      </c>
      <c r="R152" s="9" t="str">
        <f t="shared" si="25"/>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IF($U152="","",SUMIFS([1]SummaryHelper!$G$2:$G$5000,[1]SummaryHelper!$A$2:$A$5000,$T152,[1]SummaryHelper!$B$2:$B$5000,$U152,[1]SummaryHelper!$C$2:$C$5000,$V152))</f>
        <v/>
      </c>
      <c r="AB152" s="9" t="str">
        <f t="shared" si="26"/>
        <v/>
      </c>
      <c r="AC152" s="9" t="str">
        <f t="shared" si="27"/>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28"/>
        <v/>
      </c>
      <c r="AN152" t="str">
        <f t="shared" si="29"/>
        <v/>
      </c>
    </row>
    <row r="153" spans="1:40" x14ac:dyDescent="0.25">
      <c r="A153" s="12"/>
      <c r="C153" s="9"/>
      <c r="D153" s="9"/>
      <c r="E153" s="9"/>
      <c r="F153" s="9"/>
      <c r="G153" s="9"/>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24"/>
        <v/>
      </c>
      <c r="R153" s="9" t="str">
        <f t="shared" si="25"/>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IF($U153="","",SUMIFS([1]SummaryHelper!$G$2:$G$5000,[1]SummaryHelper!$A$2:$A$5000,$T153,[1]SummaryHelper!$B$2:$B$5000,$U153,[1]SummaryHelper!$C$2:$C$5000,$V153))</f>
        <v/>
      </c>
      <c r="AB153" s="9" t="str">
        <f t="shared" si="26"/>
        <v/>
      </c>
      <c r="AC153" s="9" t="str">
        <f t="shared" si="27"/>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28"/>
        <v/>
      </c>
      <c r="AN153" t="str">
        <f t="shared" si="29"/>
        <v/>
      </c>
    </row>
    <row r="154" spans="1:40" x14ac:dyDescent="0.25">
      <c r="A154" s="12"/>
      <c r="C154" s="9"/>
      <c r="D154" s="9"/>
      <c r="E154" s="9"/>
      <c r="F154" s="9"/>
      <c r="G154" s="9"/>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24"/>
        <v/>
      </c>
      <c r="R154" s="9" t="str">
        <f t="shared" si="25"/>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IF($U154="","",SUMIFS([1]SummaryHelper!$G$2:$G$5000,[1]SummaryHelper!$A$2:$A$5000,$T154,[1]SummaryHelper!$B$2:$B$5000,$U154,[1]SummaryHelper!$C$2:$C$5000,$V154))</f>
        <v/>
      </c>
      <c r="AB154" s="9" t="str">
        <f t="shared" si="26"/>
        <v/>
      </c>
      <c r="AC154" s="9" t="str">
        <f t="shared" si="27"/>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28"/>
        <v/>
      </c>
      <c r="AN154" t="str">
        <f t="shared" si="29"/>
        <v/>
      </c>
    </row>
    <row r="155" spans="1:40" x14ac:dyDescent="0.25">
      <c r="A155" s="12"/>
      <c r="C155" s="9"/>
      <c r="D155" s="9"/>
      <c r="E155" s="9"/>
      <c r="F155" s="9"/>
      <c r="G155" s="9"/>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24"/>
        <v/>
      </c>
      <c r="R155" s="9" t="str">
        <f t="shared" si="25"/>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IF($U155="","",SUMIFS([1]SummaryHelper!$G$2:$G$5000,[1]SummaryHelper!$A$2:$A$5000,$T155,[1]SummaryHelper!$B$2:$B$5000,$U155,[1]SummaryHelper!$C$2:$C$5000,$V155))</f>
        <v/>
      </c>
      <c r="AB155" s="9" t="str">
        <f t="shared" si="26"/>
        <v/>
      </c>
      <c r="AC155" s="9" t="str">
        <f t="shared" si="27"/>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28"/>
        <v/>
      </c>
      <c r="AN155" t="str">
        <f t="shared" si="29"/>
        <v/>
      </c>
    </row>
    <row r="156" spans="1:40" x14ac:dyDescent="0.25">
      <c r="A156" s="12"/>
      <c r="C156" s="9"/>
      <c r="D156" s="9"/>
      <c r="E156" s="9"/>
      <c r="F156" s="9"/>
      <c r="G156" s="9"/>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24"/>
        <v/>
      </c>
      <c r="R156" s="9" t="str">
        <f t="shared" si="25"/>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IF($U156="","",SUMIFS([1]SummaryHelper!$G$2:$G$5000,[1]SummaryHelper!$A$2:$A$5000,$T156,[1]SummaryHelper!$B$2:$B$5000,$U156,[1]SummaryHelper!$C$2:$C$5000,$V156))</f>
        <v/>
      </c>
      <c r="AB156" s="9" t="str">
        <f t="shared" si="26"/>
        <v/>
      </c>
      <c r="AC156" s="9" t="str">
        <f t="shared" si="27"/>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28"/>
        <v/>
      </c>
      <c r="AN156" t="str">
        <f t="shared" si="29"/>
        <v/>
      </c>
    </row>
    <row r="157" spans="1:40" x14ac:dyDescent="0.25">
      <c r="A157" s="12"/>
      <c r="C157" s="9"/>
      <c r="D157" s="9"/>
      <c r="E157" s="9"/>
      <c r="F157" s="9"/>
      <c r="G157" s="9"/>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24"/>
        <v/>
      </c>
      <c r="R157" s="9" t="str">
        <f t="shared" si="25"/>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IF($U157="","",SUMIFS([1]SummaryHelper!$G$2:$G$5000,[1]SummaryHelper!$A$2:$A$5000,$T157,[1]SummaryHelper!$B$2:$B$5000,$U157,[1]SummaryHelper!$C$2:$C$5000,$V157))</f>
        <v/>
      </c>
      <c r="AB157" s="9" t="str">
        <f t="shared" si="26"/>
        <v/>
      </c>
      <c r="AC157" s="9" t="str">
        <f t="shared" si="27"/>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28"/>
        <v/>
      </c>
      <c r="AN157" t="str">
        <f t="shared" si="29"/>
        <v/>
      </c>
    </row>
    <row r="158" spans="1:40" x14ac:dyDescent="0.25">
      <c r="A158" s="12"/>
      <c r="C158" s="9"/>
      <c r="D158" s="9"/>
      <c r="E158" s="9"/>
      <c r="F158" s="9"/>
      <c r="G158" s="9"/>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24"/>
        <v/>
      </c>
      <c r="R158" s="9" t="str">
        <f t="shared" si="25"/>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IF($U158="","",SUMIFS([1]SummaryHelper!$G$2:$G$5000,[1]SummaryHelper!$A$2:$A$5000,$T158,[1]SummaryHelper!$B$2:$B$5000,$U158,[1]SummaryHelper!$C$2:$C$5000,$V158))</f>
        <v/>
      </c>
      <c r="AB158" s="9" t="str">
        <f t="shared" si="26"/>
        <v/>
      </c>
      <c r="AC158" s="9" t="str">
        <f t="shared" si="27"/>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28"/>
        <v/>
      </c>
      <c r="AN158" t="str">
        <f t="shared" si="29"/>
        <v/>
      </c>
    </row>
    <row r="159" spans="1:40" x14ac:dyDescent="0.25">
      <c r="A159" s="12"/>
      <c r="C159" s="9"/>
      <c r="D159" s="9"/>
      <c r="E159" s="9"/>
      <c r="F159" s="9"/>
      <c r="G159" s="9"/>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24"/>
        <v/>
      </c>
      <c r="R159" s="9" t="str">
        <f t="shared" si="25"/>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IF($U159="","",SUMIFS([1]SummaryHelper!$G$2:$G$5000,[1]SummaryHelper!$A$2:$A$5000,$T159,[1]SummaryHelper!$B$2:$B$5000,$U159,[1]SummaryHelper!$C$2:$C$5000,$V159))</f>
        <v/>
      </c>
      <c r="AB159" s="9" t="str">
        <f t="shared" si="26"/>
        <v/>
      </c>
      <c r="AC159" s="9" t="str">
        <f t="shared" si="27"/>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28"/>
        <v/>
      </c>
      <c r="AN159" t="str">
        <f t="shared" si="29"/>
        <v/>
      </c>
    </row>
    <row r="160" spans="1:40" x14ac:dyDescent="0.25">
      <c r="A160" s="12"/>
      <c r="C160" s="9"/>
      <c r="D160" s="9"/>
      <c r="E160" s="9"/>
      <c r="F160" s="9"/>
      <c r="G160" s="9"/>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24"/>
        <v/>
      </c>
      <c r="R160" s="9" t="str">
        <f t="shared" si="25"/>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IF($U160="","",SUMIFS([1]SummaryHelper!$G$2:$G$5000,[1]SummaryHelper!$A$2:$A$5000,$T160,[1]SummaryHelper!$B$2:$B$5000,$U160,[1]SummaryHelper!$C$2:$C$5000,$V160))</f>
        <v/>
      </c>
      <c r="AB160" s="9" t="str">
        <f t="shared" si="26"/>
        <v/>
      </c>
      <c r="AC160" s="9" t="str">
        <f t="shared" si="27"/>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28"/>
        <v/>
      </c>
      <c r="AN160" t="str">
        <f t="shared" si="29"/>
        <v/>
      </c>
    </row>
    <row r="161" spans="1:40" x14ac:dyDescent="0.25">
      <c r="A161" s="12"/>
      <c r="C161" s="9"/>
      <c r="D161" s="9"/>
      <c r="E161" s="9"/>
      <c r="F161" s="9"/>
      <c r="G161" s="9"/>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24"/>
        <v/>
      </c>
      <c r="R161" s="9" t="str">
        <f t="shared" si="25"/>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IF($U161="","",SUMIFS([1]SummaryHelper!$G$2:$G$5000,[1]SummaryHelper!$A$2:$A$5000,$T161,[1]SummaryHelper!$B$2:$B$5000,$U161,[1]SummaryHelper!$C$2:$C$5000,$V161))</f>
        <v/>
      </c>
      <c r="AB161" s="9" t="str">
        <f t="shared" si="26"/>
        <v/>
      </c>
      <c r="AC161" s="9" t="str">
        <f t="shared" si="27"/>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28"/>
        <v/>
      </c>
      <c r="AN161" t="str">
        <f t="shared" si="29"/>
        <v/>
      </c>
    </row>
    <row r="162" spans="1:40" x14ac:dyDescent="0.25">
      <c r="A162" s="12"/>
      <c r="C162" s="9"/>
      <c r="D162" s="9"/>
      <c r="E162" s="9"/>
      <c r="F162" s="9"/>
      <c r="G162" s="9"/>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24"/>
        <v/>
      </c>
      <c r="R162" s="9" t="str">
        <f t="shared" si="25"/>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IF($U162="","",SUMIFS([1]SummaryHelper!$G$2:$G$5000,[1]SummaryHelper!$A$2:$A$5000,$T162,[1]SummaryHelper!$B$2:$B$5000,$U162,[1]SummaryHelper!$C$2:$C$5000,$V162))</f>
        <v/>
      </c>
      <c r="AB162" s="9" t="str">
        <f t="shared" si="26"/>
        <v/>
      </c>
      <c r="AC162" s="9" t="str">
        <f t="shared" si="27"/>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28"/>
        <v/>
      </c>
      <c r="AN162" t="str">
        <f t="shared" si="29"/>
        <v/>
      </c>
    </row>
    <row r="163" spans="1:40" x14ac:dyDescent="0.25">
      <c r="A163" s="12"/>
      <c r="C163" s="9"/>
      <c r="D163" s="9"/>
      <c r="E163" s="9"/>
      <c r="F163" s="9"/>
      <c r="G163" s="9"/>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24"/>
        <v/>
      </c>
      <c r="R163" s="9" t="str">
        <f t="shared" si="25"/>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IF($U163="","",SUMIFS([1]SummaryHelper!$G$2:$G$5000,[1]SummaryHelper!$A$2:$A$5000,$T163,[1]SummaryHelper!$B$2:$B$5000,$U163,[1]SummaryHelper!$C$2:$C$5000,$V163))</f>
        <v/>
      </c>
      <c r="AB163" s="9" t="str">
        <f t="shared" si="26"/>
        <v/>
      </c>
      <c r="AC163" s="9" t="str">
        <f t="shared" si="27"/>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28"/>
        <v/>
      </c>
      <c r="AN163" t="str">
        <f t="shared" si="29"/>
        <v/>
      </c>
    </row>
    <row r="164" spans="1:40" x14ac:dyDescent="0.25">
      <c r="A164" s="12"/>
      <c r="C164" s="9"/>
      <c r="D164" s="9"/>
      <c r="E164" s="9"/>
      <c r="F164" s="9"/>
      <c r="G164" s="9"/>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24"/>
        <v/>
      </c>
      <c r="R164" s="9" t="str">
        <f t="shared" si="25"/>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IF($U164="","",SUMIFS([1]SummaryHelper!$G$2:$G$5000,[1]SummaryHelper!$A$2:$A$5000,$T164,[1]SummaryHelper!$B$2:$B$5000,$U164,[1]SummaryHelper!$C$2:$C$5000,$V164))</f>
        <v/>
      </c>
      <c r="AB164" s="9" t="str">
        <f t="shared" si="26"/>
        <v/>
      </c>
      <c r="AC164" s="9" t="str">
        <f t="shared" si="27"/>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28"/>
        <v/>
      </c>
      <c r="AN164" t="str">
        <f t="shared" si="29"/>
        <v/>
      </c>
    </row>
    <row r="165" spans="1:40" x14ac:dyDescent="0.25">
      <c r="A165" s="12"/>
      <c r="C165" s="9"/>
      <c r="D165" s="9"/>
      <c r="E165" s="9"/>
      <c r="F165" s="9"/>
      <c r="G165" s="9"/>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24"/>
        <v/>
      </c>
      <c r="R165" s="9" t="str">
        <f t="shared" si="25"/>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IF($U165="","",SUMIFS([1]SummaryHelper!$G$2:$G$5000,[1]SummaryHelper!$A$2:$A$5000,$T165,[1]SummaryHelper!$B$2:$B$5000,$U165,[1]SummaryHelper!$C$2:$C$5000,$V165))</f>
        <v/>
      </c>
      <c r="AB165" s="9" t="str">
        <f t="shared" si="26"/>
        <v/>
      </c>
      <c r="AC165" s="9" t="str">
        <f t="shared" si="27"/>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28"/>
        <v/>
      </c>
      <c r="AN165" t="str">
        <f t="shared" si="29"/>
        <v/>
      </c>
    </row>
    <row r="166" spans="1:40" x14ac:dyDescent="0.25">
      <c r="A166" s="12"/>
      <c r="C166" s="9"/>
      <c r="D166" s="9"/>
      <c r="E166" s="9"/>
      <c r="F166" s="9"/>
      <c r="G166" s="9"/>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24"/>
        <v/>
      </c>
      <c r="R166" s="9" t="str">
        <f t="shared" si="25"/>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IF($U166="","",SUMIFS([1]SummaryHelper!$G$2:$G$5000,[1]SummaryHelper!$A$2:$A$5000,$T166,[1]SummaryHelper!$B$2:$B$5000,$U166,[1]SummaryHelper!$C$2:$C$5000,$V166))</f>
        <v/>
      </c>
      <c r="AB166" s="9" t="str">
        <f t="shared" si="26"/>
        <v/>
      </c>
      <c r="AC166" s="9" t="str">
        <f t="shared" si="27"/>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28"/>
        <v/>
      </c>
      <c r="AN166" t="str">
        <f t="shared" si="29"/>
        <v/>
      </c>
    </row>
    <row r="167" spans="1:40" x14ac:dyDescent="0.25">
      <c r="A167" s="12"/>
      <c r="C167" s="9"/>
      <c r="D167" s="9"/>
      <c r="E167" s="9"/>
      <c r="F167" s="9"/>
      <c r="G167" s="9"/>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24"/>
        <v/>
      </c>
      <c r="R167" s="9" t="str">
        <f t="shared" si="25"/>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IF($U167="","",SUMIFS([1]SummaryHelper!$G$2:$G$5000,[1]SummaryHelper!$A$2:$A$5000,$T167,[1]SummaryHelper!$B$2:$B$5000,$U167,[1]SummaryHelper!$C$2:$C$5000,$V167))</f>
        <v/>
      </c>
      <c r="AB167" s="9" t="str">
        <f t="shared" si="26"/>
        <v/>
      </c>
      <c r="AC167" s="9" t="str">
        <f t="shared" si="27"/>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28"/>
        <v/>
      </c>
      <c r="AN167" t="str">
        <f t="shared" si="29"/>
        <v/>
      </c>
    </row>
    <row r="168" spans="1:40" x14ac:dyDescent="0.25">
      <c r="A168" s="12"/>
      <c r="C168" s="9"/>
      <c r="D168" s="9"/>
      <c r="E168" s="9"/>
      <c r="F168" s="9"/>
      <c r="G168" s="9"/>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24"/>
        <v/>
      </c>
      <c r="R168" s="9" t="str">
        <f t="shared" si="25"/>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IF($U168="","",SUMIFS([1]SummaryHelper!$G$2:$G$5000,[1]SummaryHelper!$A$2:$A$5000,$T168,[1]SummaryHelper!$B$2:$B$5000,$U168,[1]SummaryHelper!$C$2:$C$5000,$V168))</f>
        <v/>
      </c>
      <c r="AB168" s="9" t="str">
        <f t="shared" si="26"/>
        <v/>
      </c>
      <c r="AC168" s="9" t="str">
        <f t="shared" si="27"/>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28"/>
        <v/>
      </c>
      <c r="AN168" t="str">
        <f t="shared" si="29"/>
        <v/>
      </c>
    </row>
    <row r="169" spans="1:40" x14ac:dyDescent="0.25">
      <c r="A169" s="12"/>
      <c r="C169" s="9"/>
      <c r="D169" s="9"/>
      <c r="E169" s="9"/>
      <c r="F169" s="9"/>
      <c r="G169" s="9"/>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24"/>
        <v/>
      </c>
      <c r="R169" s="9" t="str">
        <f t="shared" si="25"/>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IF($U169="","",SUMIFS([1]SummaryHelper!$G$2:$G$5000,[1]SummaryHelper!$A$2:$A$5000,$T169,[1]SummaryHelper!$B$2:$B$5000,$U169,[1]SummaryHelper!$C$2:$C$5000,$V169))</f>
        <v/>
      </c>
      <c r="AB169" s="9" t="str">
        <f t="shared" si="26"/>
        <v/>
      </c>
      <c r="AC169" s="9" t="str">
        <f t="shared" si="27"/>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28"/>
        <v/>
      </c>
      <c r="AN169" t="str">
        <f t="shared" si="29"/>
        <v/>
      </c>
    </row>
    <row r="170" spans="1:40" x14ac:dyDescent="0.25">
      <c r="A170" s="12"/>
      <c r="C170" s="9"/>
      <c r="D170" s="9"/>
      <c r="E170" s="9"/>
      <c r="F170" s="9"/>
      <c r="G170" s="9"/>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24"/>
        <v/>
      </c>
      <c r="R170" s="9" t="str">
        <f t="shared" si="25"/>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IF($U170="","",SUMIFS([1]SummaryHelper!$G$2:$G$5000,[1]SummaryHelper!$A$2:$A$5000,$T170,[1]SummaryHelper!$B$2:$B$5000,$U170,[1]SummaryHelper!$C$2:$C$5000,$V170))</f>
        <v/>
      </c>
      <c r="AB170" s="9" t="str">
        <f t="shared" si="26"/>
        <v/>
      </c>
      <c r="AC170" s="9" t="str">
        <f t="shared" si="27"/>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28"/>
        <v/>
      </c>
      <c r="AN170" t="str">
        <f t="shared" si="29"/>
        <v/>
      </c>
    </row>
    <row r="171" spans="1:40" x14ac:dyDescent="0.25">
      <c r="A171" s="12"/>
      <c r="C171" s="9"/>
      <c r="D171" s="9"/>
      <c r="E171" s="9"/>
      <c r="F171" s="9"/>
      <c r="G171" s="9"/>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24"/>
        <v/>
      </c>
      <c r="R171" s="9" t="str">
        <f t="shared" si="25"/>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IF($U171="","",SUMIFS([1]SummaryHelper!$G$2:$G$5000,[1]SummaryHelper!$A$2:$A$5000,$T171,[1]SummaryHelper!$B$2:$B$5000,$U171,[1]SummaryHelper!$C$2:$C$5000,$V171))</f>
        <v/>
      </c>
      <c r="AB171" s="9" t="str">
        <f t="shared" si="26"/>
        <v/>
      </c>
      <c r="AC171" s="9" t="str">
        <f t="shared" si="27"/>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28"/>
        <v/>
      </c>
      <c r="AN171" t="str">
        <f t="shared" si="29"/>
        <v/>
      </c>
    </row>
    <row r="172" spans="1:40" x14ac:dyDescent="0.25">
      <c r="A172" s="12"/>
      <c r="C172" s="9"/>
      <c r="D172" s="9"/>
      <c r="E172" s="9"/>
      <c r="F172" s="9"/>
      <c r="G172" s="9"/>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24"/>
        <v/>
      </c>
      <c r="R172" s="9" t="str">
        <f t="shared" si="25"/>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IF($U172="","",SUMIFS([1]SummaryHelper!$G$2:$G$5000,[1]SummaryHelper!$A$2:$A$5000,$T172,[1]SummaryHelper!$B$2:$B$5000,$U172,[1]SummaryHelper!$C$2:$C$5000,$V172))</f>
        <v/>
      </c>
      <c r="AB172" s="9" t="str">
        <f t="shared" si="26"/>
        <v/>
      </c>
      <c r="AC172" s="9" t="str">
        <f t="shared" si="27"/>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28"/>
        <v/>
      </c>
      <c r="AN172" t="str">
        <f t="shared" si="29"/>
        <v/>
      </c>
    </row>
    <row r="173" spans="1:40" x14ac:dyDescent="0.25">
      <c r="A173" s="12"/>
      <c r="C173" s="9"/>
      <c r="D173" s="9"/>
      <c r="E173" s="9"/>
      <c r="F173" s="9"/>
      <c r="G173" s="9"/>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24"/>
        <v/>
      </c>
      <c r="R173" s="9" t="str">
        <f t="shared" si="25"/>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IF($U173="","",SUMIFS([1]SummaryHelper!$G$2:$G$5000,[1]SummaryHelper!$A$2:$A$5000,$T173,[1]SummaryHelper!$B$2:$B$5000,$U173,[1]SummaryHelper!$C$2:$C$5000,$V173))</f>
        <v/>
      </c>
      <c r="AB173" s="9" t="str">
        <f t="shared" si="26"/>
        <v/>
      </c>
      <c r="AC173" s="9" t="str">
        <f t="shared" si="27"/>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28"/>
        <v/>
      </c>
      <c r="AN173" t="str">
        <f t="shared" si="29"/>
        <v/>
      </c>
    </row>
    <row r="174" spans="1:40" x14ac:dyDescent="0.25">
      <c r="A174" s="12"/>
      <c r="C174" s="9"/>
      <c r="D174" s="9"/>
      <c r="E174" s="9"/>
      <c r="F174" s="9"/>
      <c r="G174" s="9"/>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24"/>
        <v/>
      </c>
      <c r="R174" s="9" t="str">
        <f t="shared" si="25"/>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IF($U174="","",SUMIFS([1]SummaryHelper!$G$2:$G$5000,[1]SummaryHelper!$A$2:$A$5000,$T174,[1]SummaryHelper!$B$2:$B$5000,$U174,[1]SummaryHelper!$C$2:$C$5000,$V174))</f>
        <v/>
      </c>
      <c r="AB174" s="9" t="str">
        <f t="shared" si="26"/>
        <v/>
      </c>
      <c r="AC174" s="9" t="str">
        <f t="shared" si="27"/>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28"/>
        <v/>
      </c>
      <c r="AN174" t="str">
        <f t="shared" si="29"/>
        <v/>
      </c>
    </row>
    <row r="175" spans="1:40" x14ac:dyDescent="0.25">
      <c r="A175" s="12"/>
      <c r="C175" s="9"/>
      <c r="D175" s="9"/>
      <c r="E175" s="9"/>
      <c r="F175" s="9"/>
      <c r="G175" s="9"/>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24"/>
        <v/>
      </c>
      <c r="R175" s="9" t="str">
        <f t="shared" si="25"/>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IF($U175="","",SUMIFS([1]SummaryHelper!$G$2:$G$5000,[1]SummaryHelper!$A$2:$A$5000,$T175,[1]SummaryHelper!$B$2:$B$5000,$U175,[1]SummaryHelper!$C$2:$C$5000,$V175))</f>
        <v/>
      </c>
      <c r="AB175" s="9" t="str">
        <f t="shared" si="26"/>
        <v/>
      </c>
      <c r="AC175" s="9" t="str">
        <f t="shared" si="27"/>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28"/>
        <v/>
      </c>
      <c r="AN175" t="str">
        <f t="shared" si="29"/>
        <v/>
      </c>
    </row>
    <row r="176" spans="1:40" x14ac:dyDescent="0.25">
      <c r="A176" s="12"/>
      <c r="C176" s="9"/>
      <c r="D176" s="9"/>
      <c r="E176" s="9"/>
      <c r="F176" s="9"/>
      <c r="G176" s="9"/>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24"/>
        <v/>
      </c>
      <c r="R176" s="9" t="str">
        <f t="shared" si="25"/>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IF($U176="","",SUMIFS([1]SummaryHelper!$G$2:$G$5000,[1]SummaryHelper!$A$2:$A$5000,$T176,[1]SummaryHelper!$B$2:$B$5000,$U176,[1]SummaryHelper!$C$2:$C$5000,$V176))</f>
        <v/>
      </c>
      <c r="AB176" s="9" t="str">
        <f t="shared" si="26"/>
        <v/>
      </c>
      <c r="AC176" s="9" t="str">
        <f t="shared" si="27"/>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28"/>
        <v/>
      </c>
      <c r="AN176" t="str">
        <f t="shared" si="29"/>
        <v/>
      </c>
    </row>
    <row r="177" spans="1:40" x14ac:dyDescent="0.25">
      <c r="A177" s="12"/>
      <c r="C177" s="9"/>
      <c r="D177" s="9"/>
      <c r="E177" s="9"/>
      <c r="F177" s="9"/>
      <c r="G177" s="9"/>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24"/>
        <v/>
      </c>
      <c r="R177" s="9" t="str">
        <f t="shared" si="25"/>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IF($U177="","",SUMIFS([1]SummaryHelper!$G$2:$G$5000,[1]SummaryHelper!$A$2:$A$5000,$T177,[1]SummaryHelper!$B$2:$B$5000,$U177,[1]SummaryHelper!$C$2:$C$5000,$V177))</f>
        <v/>
      </c>
      <c r="AB177" s="9" t="str">
        <f t="shared" si="26"/>
        <v/>
      </c>
      <c r="AC177" s="9" t="str">
        <f t="shared" si="27"/>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28"/>
        <v/>
      </c>
      <c r="AN177" t="str">
        <f t="shared" si="29"/>
        <v/>
      </c>
    </row>
    <row r="178" spans="1:40" x14ac:dyDescent="0.25">
      <c r="A178" s="12"/>
      <c r="C178" s="9"/>
      <c r="D178" s="9"/>
      <c r="E178" s="9"/>
      <c r="F178" s="9"/>
      <c r="G178" s="9"/>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24"/>
        <v/>
      </c>
      <c r="R178" s="9" t="str">
        <f t="shared" si="25"/>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IF($U178="","",SUMIFS([1]SummaryHelper!$G$2:$G$5000,[1]SummaryHelper!$A$2:$A$5000,$T178,[1]SummaryHelper!$B$2:$B$5000,$U178,[1]SummaryHelper!$C$2:$C$5000,$V178))</f>
        <v/>
      </c>
      <c r="AB178" s="9" t="str">
        <f t="shared" si="26"/>
        <v/>
      </c>
      <c r="AC178" s="9" t="str">
        <f t="shared" si="27"/>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28"/>
        <v/>
      </c>
      <c r="AN178" t="str">
        <f t="shared" si="29"/>
        <v/>
      </c>
    </row>
    <row r="179" spans="1:40" x14ac:dyDescent="0.25">
      <c r="A179" s="12"/>
      <c r="C179" s="9"/>
      <c r="D179" s="9"/>
      <c r="E179" s="9"/>
      <c r="F179" s="9"/>
      <c r="G179" s="9"/>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24"/>
        <v/>
      </c>
      <c r="R179" s="9" t="str">
        <f t="shared" si="25"/>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IF($U179="","",SUMIFS([1]SummaryHelper!$G$2:$G$5000,[1]SummaryHelper!$A$2:$A$5000,$T179,[1]SummaryHelper!$B$2:$B$5000,$U179,[1]SummaryHelper!$C$2:$C$5000,$V179))</f>
        <v/>
      </c>
      <c r="AB179" s="9" t="str">
        <f t="shared" si="26"/>
        <v/>
      </c>
      <c r="AC179" s="9" t="str">
        <f t="shared" si="27"/>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28"/>
        <v/>
      </c>
      <c r="AN179" t="str">
        <f t="shared" si="29"/>
        <v/>
      </c>
    </row>
    <row r="180" spans="1:40" x14ac:dyDescent="0.25">
      <c r="A180" s="12"/>
      <c r="C180" s="9"/>
      <c r="D180" s="9"/>
      <c r="E180" s="9"/>
      <c r="F180" s="9"/>
      <c r="G180" s="9"/>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24"/>
        <v/>
      </c>
      <c r="R180" s="9" t="str">
        <f t="shared" si="25"/>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IF($U180="","",SUMIFS([1]SummaryHelper!$G$2:$G$5000,[1]SummaryHelper!$A$2:$A$5000,$T180,[1]SummaryHelper!$B$2:$B$5000,$U180,[1]SummaryHelper!$C$2:$C$5000,$V180))</f>
        <v/>
      </c>
      <c r="AB180" s="9" t="str">
        <f t="shared" si="26"/>
        <v/>
      </c>
      <c r="AC180" s="9" t="str">
        <f t="shared" si="27"/>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28"/>
        <v/>
      </c>
      <c r="AN180" t="str">
        <f t="shared" si="29"/>
        <v/>
      </c>
    </row>
    <row r="181" spans="1:40" x14ac:dyDescent="0.25">
      <c r="A181" s="12"/>
      <c r="C181" s="9"/>
      <c r="D181" s="9"/>
      <c r="E181" s="9"/>
      <c r="F181" s="9"/>
      <c r="G181" s="9"/>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24"/>
        <v/>
      </c>
      <c r="R181" s="9" t="str">
        <f t="shared" si="25"/>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IF($U181="","",SUMIFS([1]SummaryHelper!$G$2:$G$5000,[1]SummaryHelper!$A$2:$A$5000,$T181,[1]SummaryHelper!$B$2:$B$5000,$U181,[1]SummaryHelper!$C$2:$C$5000,$V181))</f>
        <v/>
      </c>
      <c r="AB181" s="9" t="str">
        <f t="shared" si="26"/>
        <v/>
      </c>
      <c r="AC181" s="9" t="str">
        <f t="shared" si="27"/>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28"/>
        <v/>
      </c>
      <c r="AN181" t="str">
        <f t="shared" si="29"/>
        <v/>
      </c>
    </row>
    <row r="182" spans="1:40" x14ac:dyDescent="0.25">
      <c r="A182" s="12"/>
      <c r="C182" s="9"/>
      <c r="D182" s="9"/>
      <c r="E182" s="9"/>
      <c r="F182" s="9"/>
      <c r="G182" s="9"/>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24"/>
        <v/>
      </c>
      <c r="R182" s="9" t="str">
        <f t="shared" si="25"/>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IF($U182="","",SUMIFS([1]SummaryHelper!$G$2:$G$5000,[1]SummaryHelper!$A$2:$A$5000,$T182,[1]SummaryHelper!$B$2:$B$5000,$U182,[1]SummaryHelper!$C$2:$C$5000,$V182))</f>
        <v/>
      </c>
      <c r="AB182" s="9" t="str">
        <f t="shared" si="26"/>
        <v/>
      </c>
      <c r="AC182" s="9" t="str">
        <f t="shared" si="27"/>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28"/>
        <v/>
      </c>
      <c r="AN182" t="str">
        <f t="shared" si="29"/>
        <v/>
      </c>
    </row>
    <row r="183" spans="1:40" x14ac:dyDescent="0.25">
      <c r="A183" s="12"/>
      <c r="C183" s="9"/>
      <c r="D183" s="9"/>
      <c r="E183" s="9"/>
      <c r="F183" s="9"/>
      <c r="G183" s="9"/>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24"/>
        <v/>
      </c>
      <c r="R183" s="9" t="str">
        <f t="shared" si="25"/>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IF($U183="","",SUMIFS([1]SummaryHelper!$G$2:$G$5000,[1]SummaryHelper!$A$2:$A$5000,$T183,[1]SummaryHelper!$B$2:$B$5000,$U183,[1]SummaryHelper!$C$2:$C$5000,$V183))</f>
        <v/>
      </c>
      <c r="AB183" s="9" t="str">
        <f t="shared" si="26"/>
        <v/>
      </c>
      <c r="AC183" s="9" t="str">
        <f t="shared" si="27"/>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28"/>
        <v/>
      </c>
      <c r="AN183" t="str">
        <f t="shared" si="29"/>
        <v/>
      </c>
    </row>
    <row r="184" spans="1:40" x14ac:dyDescent="0.25">
      <c r="A184" s="12"/>
      <c r="C184" s="9"/>
      <c r="D184" s="9"/>
      <c r="E184" s="9"/>
      <c r="F184" s="9"/>
      <c r="G184" s="9"/>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24"/>
        <v/>
      </c>
      <c r="R184" s="9" t="str">
        <f t="shared" si="25"/>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IF($U184="","",SUMIFS([1]SummaryHelper!$G$2:$G$5000,[1]SummaryHelper!$A$2:$A$5000,$T184,[1]SummaryHelper!$B$2:$B$5000,$U184,[1]SummaryHelper!$C$2:$C$5000,$V184))</f>
        <v/>
      </c>
      <c r="AB184" s="9" t="str">
        <f t="shared" si="26"/>
        <v/>
      </c>
      <c r="AC184" s="9" t="str">
        <f t="shared" si="27"/>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28"/>
        <v/>
      </c>
      <c r="AN184" t="str">
        <f t="shared" si="29"/>
        <v/>
      </c>
    </row>
    <row r="185" spans="1:40" x14ac:dyDescent="0.25">
      <c r="A185" s="12"/>
      <c r="C185" s="9"/>
      <c r="D185" s="9"/>
      <c r="E185" s="9"/>
      <c r="F185" s="9"/>
      <c r="G185" s="9"/>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24"/>
        <v/>
      </c>
      <c r="R185" s="9" t="str">
        <f t="shared" si="25"/>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IF($U185="","",SUMIFS([1]SummaryHelper!$G$2:$G$5000,[1]SummaryHelper!$A$2:$A$5000,$T185,[1]SummaryHelper!$B$2:$B$5000,$U185,[1]SummaryHelper!$C$2:$C$5000,$V185))</f>
        <v/>
      </c>
      <c r="AB185" s="9" t="str">
        <f t="shared" si="26"/>
        <v/>
      </c>
      <c r="AC185" s="9" t="str">
        <f t="shared" si="27"/>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28"/>
        <v/>
      </c>
      <c r="AN185" t="str">
        <f t="shared" si="29"/>
        <v/>
      </c>
    </row>
    <row r="186" spans="1:40" x14ac:dyDescent="0.25">
      <c r="A186" s="12"/>
      <c r="C186" s="9"/>
      <c r="D186" s="9"/>
      <c r="E186" s="9"/>
      <c r="F186" s="9"/>
      <c r="G186" s="9"/>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24"/>
        <v/>
      </c>
      <c r="R186" s="9" t="str">
        <f t="shared" si="25"/>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IF($U186="","",SUMIFS([1]SummaryHelper!$G$2:$G$5000,[1]SummaryHelper!$A$2:$A$5000,$T186,[1]SummaryHelper!$B$2:$B$5000,$U186,[1]SummaryHelper!$C$2:$C$5000,$V186))</f>
        <v/>
      </c>
      <c r="AB186" s="9" t="str">
        <f t="shared" si="26"/>
        <v/>
      </c>
      <c r="AC186" s="9" t="str">
        <f t="shared" si="27"/>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28"/>
        <v/>
      </c>
      <c r="AN186" t="str">
        <f t="shared" si="29"/>
        <v/>
      </c>
    </row>
    <row r="187" spans="1:40" x14ac:dyDescent="0.25">
      <c r="A187" s="12"/>
      <c r="C187" s="9"/>
      <c r="D187" s="9"/>
      <c r="E187" s="9"/>
      <c r="F187" s="9"/>
      <c r="G187" s="9"/>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24"/>
        <v/>
      </c>
      <c r="R187" s="9" t="str">
        <f t="shared" si="25"/>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IF($U187="","",SUMIFS([1]SummaryHelper!$G$2:$G$5000,[1]SummaryHelper!$A$2:$A$5000,$T187,[1]SummaryHelper!$B$2:$B$5000,$U187,[1]SummaryHelper!$C$2:$C$5000,$V187))</f>
        <v/>
      </c>
      <c r="AB187" s="9" t="str">
        <f t="shared" si="26"/>
        <v/>
      </c>
      <c r="AC187" s="9" t="str">
        <f t="shared" si="27"/>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28"/>
        <v/>
      </c>
      <c r="AN187" t="str">
        <f t="shared" si="29"/>
        <v/>
      </c>
    </row>
    <row r="188" spans="1:40" x14ac:dyDescent="0.25">
      <c r="A188" s="12"/>
      <c r="C188" s="9"/>
      <c r="D188" s="9"/>
      <c r="E188" s="9"/>
      <c r="F188" s="9"/>
      <c r="G188" s="9"/>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24"/>
        <v/>
      </c>
      <c r="R188" s="9" t="str">
        <f t="shared" si="25"/>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IF($U188="","",SUMIFS([1]SummaryHelper!$G$2:$G$5000,[1]SummaryHelper!$A$2:$A$5000,$T188,[1]SummaryHelper!$B$2:$B$5000,$U188,[1]SummaryHelper!$C$2:$C$5000,$V188))</f>
        <v/>
      </c>
      <c r="AB188" s="9" t="str">
        <f t="shared" si="26"/>
        <v/>
      </c>
      <c r="AC188" s="9" t="str">
        <f t="shared" si="27"/>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28"/>
        <v/>
      </c>
      <c r="AN188" t="str">
        <f t="shared" si="29"/>
        <v/>
      </c>
    </row>
    <row r="189" spans="1:40" x14ac:dyDescent="0.25">
      <c r="A189" s="12"/>
      <c r="C189" s="9"/>
      <c r="D189" s="9"/>
      <c r="E189" s="9"/>
      <c r="F189" s="9"/>
      <c r="G189" s="9"/>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24"/>
        <v/>
      </c>
      <c r="R189" s="9" t="str">
        <f t="shared" si="25"/>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IF($U189="","",SUMIFS([1]SummaryHelper!$G$2:$G$5000,[1]SummaryHelper!$A$2:$A$5000,$T189,[1]SummaryHelper!$B$2:$B$5000,$U189,[1]SummaryHelper!$C$2:$C$5000,$V189))</f>
        <v/>
      </c>
      <c r="AB189" s="9" t="str">
        <f t="shared" si="26"/>
        <v/>
      </c>
      <c r="AC189" s="9" t="str">
        <f t="shared" si="27"/>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28"/>
        <v/>
      </c>
      <c r="AN189" t="str">
        <f t="shared" si="29"/>
        <v/>
      </c>
    </row>
    <row r="190" spans="1:40" x14ac:dyDescent="0.25">
      <c r="A190" s="12"/>
      <c r="C190" s="9"/>
      <c r="D190" s="9"/>
      <c r="E190" s="9"/>
      <c r="F190" s="9"/>
      <c r="G190" s="9"/>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24"/>
        <v/>
      </c>
      <c r="R190" s="9" t="str">
        <f t="shared" si="25"/>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IF($U190="","",SUMIFS([1]SummaryHelper!$G$2:$G$5000,[1]SummaryHelper!$A$2:$A$5000,$T190,[1]SummaryHelper!$B$2:$B$5000,$U190,[1]SummaryHelper!$C$2:$C$5000,$V190))</f>
        <v/>
      </c>
      <c r="AB190" s="9" t="str">
        <f t="shared" si="26"/>
        <v/>
      </c>
      <c r="AC190" s="9" t="str">
        <f t="shared" si="27"/>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28"/>
        <v/>
      </c>
      <c r="AN190" t="str">
        <f t="shared" si="29"/>
        <v/>
      </c>
    </row>
    <row r="191" spans="1:40" x14ac:dyDescent="0.25">
      <c r="A191" s="12"/>
      <c r="C191" s="9"/>
      <c r="D191" s="9"/>
      <c r="E191" s="9"/>
      <c r="F191" s="9"/>
      <c r="G191" s="9"/>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24"/>
        <v/>
      </c>
      <c r="R191" s="9" t="str">
        <f t="shared" si="25"/>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IF($U191="","",SUMIFS([1]SummaryHelper!$G$2:$G$5000,[1]SummaryHelper!$A$2:$A$5000,$T191,[1]SummaryHelper!$B$2:$B$5000,$U191,[1]SummaryHelper!$C$2:$C$5000,$V191))</f>
        <v/>
      </c>
      <c r="AB191" s="9" t="str">
        <f t="shared" si="26"/>
        <v/>
      </c>
      <c r="AC191" s="9" t="str">
        <f t="shared" si="27"/>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28"/>
        <v/>
      </c>
      <c r="AN191" t="str">
        <f t="shared" si="29"/>
        <v/>
      </c>
    </row>
    <row r="192" spans="1:40" x14ac:dyDescent="0.25">
      <c r="A192" s="12"/>
      <c r="C192" s="9"/>
      <c r="D192" s="9"/>
      <c r="E192" s="9"/>
      <c r="F192" s="9"/>
      <c r="G192" s="9"/>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24"/>
        <v/>
      </c>
      <c r="R192" s="9" t="str">
        <f t="shared" si="25"/>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IF($U192="","",SUMIFS([1]SummaryHelper!$G$2:$G$5000,[1]SummaryHelper!$A$2:$A$5000,$T192,[1]SummaryHelper!$B$2:$B$5000,$U192,[1]SummaryHelper!$C$2:$C$5000,$V192))</f>
        <v/>
      </c>
      <c r="AB192" s="9" t="str">
        <f t="shared" si="26"/>
        <v/>
      </c>
      <c r="AC192" s="9" t="str">
        <f t="shared" si="27"/>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28"/>
        <v/>
      </c>
      <c r="AN192" t="str">
        <f t="shared" si="29"/>
        <v/>
      </c>
    </row>
    <row r="193" spans="1:40" x14ac:dyDescent="0.25">
      <c r="A193" s="12"/>
      <c r="C193" s="9"/>
      <c r="D193" s="9"/>
      <c r="E193" s="9"/>
      <c r="F193" s="9"/>
      <c r="G193" s="9"/>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24"/>
        <v/>
      </c>
      <c r="R193" s="9" t="str">
        <f t="shared" si="25"/>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IF($U193="","",SUMIFS([1]SummaryHelper!$G$2:$G$5000,[1]SummaryHelper!$A$2:$A$5000,$T193,[1]SummaryHelper!$B$2:$B$5000,$U193,[1]SummaryHelper!$C$2:$C$5000,$V193))</f>
        <v/>
      </c>
      <c r="AB193" s="9" t="str">
        <f t="shared" si="26"/>
        <v/>
      </c>
      <c r="AC193" s="9" t="str">
        <f t="shared" si="27"/>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28"/>
        <v/>
      </c>
      <c r="AN193" t="str">
        <f t="shared" si="29"/>
        <v/>
      </c>
    </row>
    <row r="194" spans="1:40" x14ac:dyDescent="0.25">
      <c r="A194" s="12"/>
      <c r="C194" s="9"/>
      <c r="D194" s="9"/>
      <c r="E194" s="9"/>
      <c r="F194" s="9"/>
      <c r="G194" s="9"/>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24"/>
        <v/>
      </c>
      <c r="R194" s="9" t="str">
        <f t="shared" si="25"/>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IF($U194="","",SUMIFS([1]SummaryHelper!$G$2:$G$5000,[1]SummaryHelper!$A$2:$A$5000,$T194,[1]SummaryHelper!$B$2:$B$5000,$U194,[1]SummaryHelper!$C$2:$C$5000,$V194))</f>
        <v/>
      </c>
      <c r="AB194" s="9" t="str">
        <f t="shared" si="26"/>
        <v/>
      </c>
      <c r="AC194" s="9" t="str">
        <f t="shared" si="27"/>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28"/>
        <v/>
      </c>
      <c r="AN194" t="str">
        <f t="shared" si="29"/>
        <v/>
      </c>
    </row>
    <row r="195" spans="1:40" x14ac:dyDescent="0.25">
      <c r="A195" s="12"/>
      <c r="C195" s="9"/>
      <c r="D195" s="9"/>
      <c r="E195" s="9"/>
      <c r="F195" s="9"/>
      <c r="G195" s="9"/>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24"/>
        <v/>
      </c>
      <c r="R195" s="9" t="str">
        <f t="shared" si="25"/>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IF($U195="","",SUMIFS([1]SummaryHelper!$G$2:$G$5000,[1]SummaryHelper!$A$2:$A$5000,$T195,[1]SummaryHelper!$B$2:$B$5000,$U195,[1]SummaryHelper!$C$2:$C$5000,$V195))</f>
        <v/>
      </c>
      <c r="AB195" s="9" t="str">
        <f t="shared" si="26"/>
        <v/>
      </c>
      <c r="AC195" s="9" t="str">
        <f t="shared" si="27"/>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28"/>
        <v/>
      </c>
      <c r="AN195" t="str">
        <f t="shared" si="29"/>
        <v/>
      </c>
    </row>
    <row r="196" spans="1:40" x14ac:dyDescent="0.25">
      <c r="A196" s="12"/>
      <c r="C196" s="9"/>
      <c r="D196" s="9"/>
      <c r="E196" s="9"/>
      <c r="F196" s="9"/>
      <c r="G196" s="9"/>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30">IF($J196="","",IF($P196="",ROUNDUP($O196,0),$P196))</f>
        <v/>
      </c>
      <c r="R196" s="9" t="str">
        <f t="shared" ref="R196:R259" si="31">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IF($U196="","",SUMIFS([1]SummaryHelper!$G$2:$G$5000,[1]SummaryHelper!$A$2:$A$5000,$T196,[1]SummaryHelper!$B$2:$B$5000,$U196,[1]SummaryHelper!$C$2:$C$5000,$V196))</f>
        <v/>
      </c>
      <c r="AB196" s="9" t="str">
        <f t="shared" ref="AB196:AB259" si="32">IF($U196="","",IF($AA196="",$Z196,$AA196))</f>
        <v/>
      </c>
      <c r="AC196" s="9" t="str">
        <f t="shared" ref="AC196:AC259" si="33">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34">IF($AF196="","",IF($AL196="",$AK196,$AL196))</f>
        <v/>
      </c>
      <c r="AN196" t="str">
        <f t="shared" ref="AN196:AN259" si="35">IF($AF196="","",$AM196*$AH196)</f>
        <v/>
      </c>
    </row>
    <row r="197" spans="1:40" x14ac:dyDescent="0.25">
      <c r="A197" s="12"/>
      <c r="C197" s="9"/>
      <c r="D197" s="9"/>
      <c r="E197" s="9"/>
      <c r="F197" s="9"/>
      <c r="G197" s="9"/>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30"/>
        <v/>
      </c>
      <c r="R197" s="9" t="str">
        <f t="shared" si="31"/>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IF($U197="","",SUMIFS([1]SummaryHelper!$G$2:$G$5000,[1]SummaryHelper!$A$2:$A$5000,$T197,[1]SummaryHelper!$B$2:$B$5000,$U197,[1]SummaryHelper!$C$2:$C$5000,$V197))</f>
        <v/>
      </c>
      <c r="AB197" s="9" t="str">
        <f t="shared" si="32"/>
        <v/>
      </c>
      <c r="AC197" s="9" t="str">
        <f t="shared" si="33"/>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34"/>
        <v/>
      </c>
      <c r="AN197" t="str">
        <f t="shared" si="35"/>
        <v/>
      </c>
    </row>
    <row r="198" spans="1:40" x14ac:dyDescent="0.25">
      <c r="A198" s="12"/>
      <c r="C198" s="9"/>
      <c r="D198" s="9"/>
      <c r="E198" s="9"/>
      <c r="F198" s="9"/>
      <c r="G198" s="9"/>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30"/>
        <v/>
      </c>
      <c r="R198" s="9" t="str">
        <f t="shared" si="31"/>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IF($U198="","",SUMIFS([1]SummaryHelper!$G$2:$G$5000,[1]SummaryHelper!$A$2:$A$5000,$T198,[1]SummaryHelper!$B$2:$B$5000,$U198,[1]SummaryHelper!$C$2:$C$5000,$V198))</f>
        <v/>
      </c>
      <c r="AB198" s="9" t="str">
        <f t="shared" si="32"/>
        <v/>
      </c>
      <c r="AC198" s="9" t="str">
        <f t="shared" si="33"/>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34"/>
        <v/>
      </c>
      <c r="AN198" t="str">
        <f t="shared" si="35"/>
        <v/>
      </c>
    </row>
    <row r="199" spans="1:40" x14ac:dyDescent="0.25">
      <c r="A199" s="12"/>
      <c r="C199" s="9"/>
      <c r="D199" s="9"/>
      <c r="E199" s="9"/>
      <c r="F199" s="9"/>
      <c r="G199" s="9"/>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30"/>
        <v/>
      </c>
      <c r="R199" s="9" t="str">
        <f t="shared" si="31"/>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IF($U199="","",SUMIFS([1]SummaryHelper!$G$2:$G$5000,[1]SummaryHelper!$A$2:$A$5000,$T199,[1]SummaryHelper!$B$2:$B$5000,$U199,[1]SummaryHelper!$C$2:$C$5000,$V199))</f>
        <v/>
      </c>
      <c r="AB199" s="9" t="str">
        <f t="shared" si="32"/>
        <v/>
      </c>
      <c r="AC199" s="9" t="str">
        <f t="shared" si="33"/>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34"/>
        <v/>
      </c>
      <c r="AN199" t="str">
        <f t="shared" si="35"/>
        <v/>
      </c>
    </row>
    <row r="200" spans="1:40" x14ac:dyDescent="0.25">
      <c r="A200" s="12"/>
      <c r="C200" s="9"/>
      <c r="D200" s="9"/>
      <c r="E200" s="9"/>
      <c r="F200" s="9"/>
      <c r="G200" s="9"/>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30"/>
        <v/>
      </c>
      <c r="R200" s="9" t="str">
        <f t="shared" si="31"/>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IF($U200="","",SUMIFS([1]SummaryHelper!$G$2:$G$5000,[1]SummaryHelper!$A$2:$A$5000,$T200,[1]SummaryHelper!$B$2:$B$5000,$U200,[1]SummaryHelper!$C$2:$C$5000,$V200))</f>
        <v/>
      </c>
      <c r="AB200" s="9" t="str">
        <f t="shared" si="32"/>
        <v/>
      </c>
      <c r="AC200" s="9" t="str">
        <f t="shared" si="33"/>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34"/>
        <v/>
      </c>
      <c r="AN200" t="str">
        <f t="shared" si="35"/>
        <v/>
      </c>
    </row>
    <row r="201" spans="1:40" x14ac:dyDescent="0.25">
      <c r="A201" s="12"/>
      <c r="C201" s="9"/>
      <c r="D201" s="9"/>
      <c r="E201" s="9"/>
      <c r="F201" s="9"/>
      <c r="G201" s="9"/>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30"/>
        <v/>
      </c>
      <c r="R201" s="9" t="str">
        <f t="shared" si="31"/>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IF($U201="","",SUMIFS([1]SummaryHelper!$G$2:$G$5000,[1]SummaryHelper!$A$2:$A$5000,$T201,[1]SummaryHelper!$B$2:$B$5000,$U201,[1]SummaryHelper!$C$2:$C$5000,$V201))</f>
        <v/>
      </c>
      <c r="AB201" s="9" t="str">
        <f t="shared" si="32"/>
        <v/>
      </c>
      <c r="AC201" s="9" t="str">
        <f t="shared" si="33"/>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34"/>
        <v/>
      </c>
      <c r="AN201" t="str">
        <f t="shared" si="35"/>
        <v/>
      </c>
    </row>
    <row r="202" spans="1:40" x14ac:dyDescent="0.25">
      <c r="A202" s="12"/>
      <c r="C202" s="9"/>
      <c r="D202" s="9"/>
      <c r="E202" s="9"/>
      <c r="F202" s="9"/>
      <c r="G202" s="9"/>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30"/>
        <v/>
      </c>
      <c r="R202" s="9" t="str">
        <f t="shared" si="31"/>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IF($U202="","",SUMIFS([1]SummaryHelper!$G$2:$G$5000,[1]SummaryHelper!$A$2:$A$5000,$T202,[1]SummaryHelper!$B$2:$B$5000,$U202,[1]SummaryHelper!$C$2:$C$5000,$V202))</f>
        <v/>
      </c>
      <c r="AB202" s="9" t="str">
        <f t="shared" si="32"/>
        <v/>
      </c>
      <c r="AC202" s="9" t="str">
        <f t="shared" si="33"/>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34"/>
        <v/>
      </c>
      <c r="AN202" t="str">
        <f t="shared" si="35"/>
        <v/>
      </c>
    </row>
    <row r="203" spans="1:40" x14ac:dyDescent="0.25">
      <c r="A203" s="12"/>
      <c r="C203" s="9"/>
      <c r="D203" s="9"/>
      <c r="E203" s="9"/>
      <c r="F203" s="9"/>
      <c r="G203" s="9"/>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30"/>
        <v/>
      </c>
      <c r="R203" s="9" t="str">
        <f t="shared" si="31"/>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IF($U203="","",SUMIFS([1]SummaryHelper!$G$2:$G$5000,[1]SummaryHelper!$A$2:$A$5000,$T203,[1]SummaryHelper!$B$2:$B$5000,$U203,[1]SummaryHelper!$C$2:$C$5000,$V203))</f>
        <v/>
      </c>
      <c r="AB203" s="9" t="str">
        <f t="shared" si="32"/>
        <v/>
      </c>
      <c r="AC203" s="9" t="str">
        <f t="shared" si="33"/>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34"/>
        <v/>
      </c>
      <c r="AN203" t="str">
        <f t="shared" si="35"/>
        <v/>
      </c>
    </row>
    <row r="204" spans="1:40" x14ac:dyDescent="0.25">
      <c r="A204" s="12"/>
      <c r="C204" s="9"/>
      <c r="D204" s="9"/>
      <c r="E204" s="9"/>
      <c r="F204" s="9"/>
      <c r="G204" s="9"/>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30"/>
        <v/>
      </c>
      <c r="R204" s="9" t="str">
        <f t="shared" si="31"/>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IF($U204="","",SUMIFS([1]SummaryHelper!$G$2:$G$5000,[1]SummaryHelper!$A$2:$A$5000,$T204,[1]SummaryHelper!$B$2:$B$5000,$U204,[1]SummaryHelper!$C$2:$C$5000,$V204))</f>
        <v/>
      </c>
      <c r="AB204" s="9" t="str">
        <f t="shared" si="32"/>
        <v/>
      </c>
      <c r="AC204" s="9" t="str">
        <f t="shared" si="33"/>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34"/>
        <v/>
      </c>
      <c r="AN204" t="str">
        <f t="shared" si="35"/>
        <v/>
      </c>
    </row>
    <row r="205" spans="1:40" x14ac:dyDescent="0.25">
      <c r="A205" s="12"/>
      <c r="C205" s="9"/>
      <c r="D205" s="9"/>
      <c r="E205" s="9"/>
      <c r="F205" s="9"/>
      <c r="G205" s="9"/>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30"/>
        <v/>
      </c>
      <c r="R205" s="9" t="str">
        <f t="shared" si="31"/>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IF($U205="","",SUMIFS([1]SummaryHelper!$G$2:$G$5000,[1]SummaryHelper!$A$2:$A$5000,$T205,[1]SummaryHelper!$B$2:$B$5000,$U205,[1]SummaryHelper!$C$2:$C$5000,$V205))</f>
        <v/>
      </c>
      <c r="AB205" s="9" t="str">
        <f t="shared" si="32"/>
        <v/>
      </c>
      <c r="AC205" s="9" t="str">
        <f t="shared" si="33"/>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34"/>
        <v/>
      </c>
      <c r="AN205" t="str">
        <f t="shared" si="35"/>
        <v/>
      </c>
    </row>
    <row r="206" spans="1:40" x14ac:dyDescent="0.25">
      <c r="A206" s="12"/>
      <c r="C206" s="9"/>
      <c r="D206" s="9"/>
      <c r="E206" s="9"/>
      <c r="F206" s="9"/>
      <c r="G206" s="9"/>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30"/>
        <v/>
      </c>
      <c r="R206" s="9" t="str">
        <f t="shared" si="31"/>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IF($U206="","",SUMIFS([1]SummaryHelper!$G$2:$G$5000,[1]SummaryHelper!$A$2:$A$5000,$T206,[1]SummaryHelper!$B$2:$B$5000,$U206,[1]SummaryHelper!$C$2:$C$5000,$V206))</f>
        <v/>
      </c>
      <c r="AB206" s="9" t="str">
        <f t="shared" si="32"/>
        <v/>
      </c>
      <c r="AC206" s="9" t="str">
        <f t="shared" si="33"/>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34"/>
        <v/>
      </c>
      <c r="AN206" t="str">
        <f t="shared" si="35"/>
        <v/>
      </c>
    </row>
    <row r="207" spans="1:40" x14ac:dyDescent="0.25">
      <c r="A207" s="12"/>
      <c r="C207" s="9"/>
      <c r="D207" s="9"/>
      <c r="E207" s="9"/>
      <c r="F207" s="9"/>
      <c r="G207" s="9"/>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30"/>
        <v/>
      </c>
      <c r="R207" s="9" t="str">
        <f t="shared" si="31"/>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IF($U207="","",SUMIFS([1]SummaryHelper!$G$2:$G$5000,[1]SummaryHelper!$A$2:$A$5000,$T207,[1]SummaryHelper!$B$2:$B$5000,$U207,[1]SummaryHelper!$C$2:$C$5000,$V207))</f>
        <v/>
      </c>
      <c r="AB207" s="9" t="str">
        <f t="shared" si="32"/>
        <v/>
      </c>
      <c r="AC207" s="9" t="str">
        <f t="shared" si="33"/>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34"/>
        <v/>
      </c>
      <c r="AN207" t="str">
        <f t="shared" si="35"/>
        <v/>
      </c>
    </row>
    <row r="208" spans="1:40" x14ac:dyDescent="0.25">
      <c r="A208" s="12"/>
      <c r="C208" s="9"/>
      <c r="D208" s="9"/>
      <c r="E208" s="9"/>
      <c r="F208" s="9"/>
      <c r="G208" s="9"/>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30"/>
        <v/>
      </c>
      <c r="R208" s="9" t="str">
        <f t="shared" si="31"/>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IF($U208="","",SUMIFS([1]SummaryHelper!$G$2:$G$5000,[1]SummaryHelper!$A$2:$A$5000,$T208,[1]SummaryHelper!$B$2:$B$5000,$U208,[1]SummaryHelper!$C$2:$C$5000,$V208))</f>
        <v/>
      </c>
      <c r="AB208" s="9" t="str">
        <f t="shared" si="32"/>
        <v/>
      </c>
      <c r="AC208" s="9" t="str">
        <f t="shared" si="33"/>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34"/>
        <v/>
      </c>
      <c r="AN208" t="str">
        <f t="shared" si="35"/>
        <v/>
      </c>
    </row>
    <row r="209" spans="1:40" x14ac:dyDescent="0.25">
      <c r="A209" s="12"/>
      <c r="C209" s="9"/>
      <c r="D209" s="9"/>
      <c r="E209" s="9"/>
      <c r="F209" s="9"/>
      <c r="G209" s="9"/>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30"/>
        <v/>
      </c>
      <c r="R209" s="9" t="str">
        <f t="shared" si="31"/>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IF($U209="","",SUMIFS([1]SummaryHelper!$G$2:$G$5000,[1]SummaryHelper!$A$2:$A$5000,$T209,[1]SummaryHelper!$B$2:$B$5000,$U209,[1]SummaryHelper!$C$2:$C$5000,$V209))</f>
        <v/>
      </c>
      <c r="AB209" s="9" t="str">
        <f t="shared" si="32"/>
        <v/>
      </c>
      <c r="AC209" s="9" t="str">
        <f t="shared" si="33"/>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34"/>
        <v/>
      </c>
      <c r="AN209" t="str">
        <f t="shared" si="35"/>
        <v/>
      </c>
    </row>
    <row r="210" spans="1:40" x14ac:dyDescent="0.25">
      <c r="A210" s="12"/>
      <c r="C210" s="9"/>
      <c r="D210" s="9"/>
      <c r="E210" s="9"/>
      <c r="F210" s="9"/>
      <c r="G210" s="9"/>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30"/>
        <v/>
      </c>
      <c r="R210" s="9" t="str">
        <f t="shared" si="31"/>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IF($U210="","",SUMIFS([1]SummaryHelper!$G$2:$G$5000,[1]SummaryHelper!$A$2:$A$5000,$T210,[1]SummaryHelper!$B$2:$B$5000,$U210,[1]SummaryHelper!$C$2:$C$5000,$V210))</f>
        <v/>
      </c>
      <c r="AB210" s="9" t="str">
        <f t="shared" si="32"/>
        <v/>
      </c>
      <c r="AC210" s="9" t="str">
        <f t="shared" si="33"/>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34"/>
        <v/>
      </c>
      <c r="AN210" t="str">
        <f t="shared" si="35"/>
        <v/>
      </c>
    </row>
    <row r="211" spans="1:40" x14ac:dyDescent="0.25">
      <c r="A211" s="12"/>
      <c r="C211" s="9"/>
      <c r="D211" s="9"/>
      <c r="E211" s="9"/>
      <c r="F211" s="9"/>
      <c r="G211" s="9"/>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30"/>
        <v/>
      </c>
      <c r="R211" s="9" t="str">
        <f t="shared" si="31"/>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IF($U211="","",SUMIFS([1]SummaryHelper!$G$2:$G$5000,[1]SummaryHelper!$A$2:$A$5000,$T211,[1]SummaryHelper!$B$2:$B$5000,$U211,[1]SummaryHelper!$C$2:$C$5000,$V211))</f>
        <v/>
      </c>
      <c r="AB211" s="9" t="str">
        <f t="shared" si="32"/>
        <v/>
      </c>
      <c r="AC211" s="9" t="str">
        <f t="shared" si="33"/>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34"/>
        <v/>
      </c>
      <c r="AN211" t="str">
        <f t="shared" si="35"/>
        <v/>
      </c>
    </row>
    <row r="212" spans="1:40" x14ac:dyDescent="0.25">
      <c r="A212" s="12"/>
      <c r="C212" s="9"/>
      <c r="D212" s="9"/>
      <c r="E212" s="9"/>
      <c r="F212" s="9"/>
      <c r="G212" s="9"/>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30"/>
        <v/>
      </c>
      <c r="R212" s="9" t="str">
        <f t="shared" si="31"/>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IF($U212="","",SUMIFS([1]SummaryHelper!$G$2:$G$5000,[1]SummaryHelper!$A$2:$A$5000,$T212,[1]SummaryHelper!$B$2:$B$5000,$U212,[1]SummaryHelper!$C$2:$C$5000,$V212))</f>
        <v/>
      </c>
      <c r="AB212" s="9" t="str">
        <f t="shared" si="32"/>
        <v/>
      </c>
      <c r="AC212" s="9" t="str">
        <f t="shared" si="33"/>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34"/>
        <v/>
      </c>
      <c r="AN212" t="str">
        <f t="shared" si="35"/>
        <v/>
      </c>
    </row>
    <row r="213" spans="1:40" x14ac:dyDescent="0.25">
      <c r="A213" s="12"/>
      <c r="C213" s="9"/>
      <c r="D213" s="9"/>
      <c r="E213" s="9"/>
      <c r="F213" s="9"/>
      <c r="G213" s="9"/>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30"/>
        <v/>
      </c>
      <c r="R213" s="9" t="str">
        <f t="shared" si="31"/>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IF($U213="","",SUMIFS([1]SummaryHelper!$G$2:$G$5000,[1]SummaryHelper!$A$2:$A$5000,$T213,[1]SummaryHelper!$B$2:$B$5000,$U213,[1]SummaryHelper!$C$2:$C$5000,$V213))</f>
        <v/>
      </c>
      <c r="AB213" s="9" t="str">
        <f t="shared" si="32"/>
        <v/>
      </c>
      <c r="AC213" s="9" t="str">
        <f t="shared" si="33"/>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34"/>
        <v/>
      </c>
      <c r="AN213" t="str">
        <f t="shared" si="35"/>
        <v/>
      </c>
    </row>
    <row r="214" spans="1:40" x14ac:dyDescent="0.25">
      <c r="A214" s="12"/>
      <c r="C214" s="9"/>
      <c r="D214" s="9"/>
      <c r="E214" s="9"/>
      <c r="F214" s="9"/>
      <c r="G214" s="9"/>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30"/>
        <v/>
      </c>
      <c r="R214" s="9" t="str">
        <f t="shared" si="31"/>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IF($U214="","",SUMIFS([1]SummaryHelper!$G$2:$G$5000,[1]SummaryHelper!$A$2:$A$5000,$T214,[1]SummaryHelper!$B$2:$B$5000,$U214,[1]SummaryHelper!$C$2:$C$5000,$V214))</f>
        <v/>
      </c>
      <c r="AB214" s="9" t="str">
        <f t="shared" si="32"/>
        <v/>
      </c>
      <c r="AC214" s="9" t="str">
        <f t="shared" si="33"/>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34"/>
        <v/>
      </c>
      <c r="AN214" t="str">
        <f t="shared" si="35"/>
        <v/>
      </c>
    </row>
    <row r="215" spans="1:40" x14ac:dyDescent="0.25">
      <c r="A215" s="12"/>
      <c r="C215" s="9"/>
      <c r="D215" s="9"/>
      <c r="E215" s="9"/>
      <c r="F215" s="9"/>
      <c r="G215" s="9"/>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30"/>
        <v/>
      </c>
      <c r="R215" s="9" t="str">
        <f t="shared" si="31"/>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IF($U215="","",SUMIFS([1]SummaryHelper!$G$2:$G$5000,[1]SummaryHelper!$A$2:$A$5000,$T215,[1]SummaryHelper!$B$2:$B$5000,$U215,[1]SummaryHelper!$C$2:$C$5000,$V215))</f>
        <v/>
      </c>
      <c r="AB215" s="9" t="str">
        <f t="shared" si="32"/>
        <v/>
      </c>
      <c r="AC215" s="9" t="str">
        <f t="shared" si="33"/>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34"/>
        <v/>
      </c>
      <c r="AN215" t="str">
        <f t="shared" si="35"/>
        <v/>
      </c>
    </row>
    <row r="216" spans="1:40" x14ac:dyDescent="0.25">
      <c r="A216" s="12"/>
      <c r="C216" s="9"/>
      <c r="D216" s="9"/>
      <c r="E216" s="9"/>
      <c r="F216" s="9"/>
      <c r="G216" s="9"/>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30"/>
        <v/>
      </c>
      <c r="R216" s="9" t="str">
        <f t="shared" si="31"/>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IF($U216="","",SUMIFS([1]SummaryHelper!$G$2:$G$5000,[1]SummaryHelper!$A$2:$A$5000,$T216,[1]SummaryHelper!$B$2:$B$5000,$U216,[1]SummaryHelper!$C$2:$C$5000,$V216))</f>
        <v/>
      </c>
      <c r="AB216" s="9" t="str">
        <f t="shared" si="32"/>
        <v/>
      </c>
      <c r="AC216" s="9" t="str">
        <f t="shared" si="33"/>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34"/>
        <v/>
      </c>
      <c r="AN216" t="str">
        <f t="shared" si="35"/>
        <v/>
      </c>
    </row>
    <row r="217" spans="1:40" x14ac:dyDescent="0.25">
      <c r="A217" s="12"/>
      <c r="C217" s="9"/>
      <c r="D217" s="9"/>
      <c r="E217" s="9"/>
      <c r="F217" s="9"/>
      <c r="G217" s="9"/>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30"/>
        <v/>
      </c>
      <c r="R217" s="9" t="str">
        <f t="shared" si="31"/>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IF($U217="","",SUMIFS([1]SummaryHelper!$G$2:$G$5000,[1]SummaryHelper!$A$2:$A$5000,$T217,[1]SummaryHelper!$B$2:$B$5000,$U217,[1]SummaryHelper!$C$2:$C$5000,$V217))</f>
        <v/>
      </c>
      <c r="AB217" s="9" t="str">
        <f t="shared" si="32"/>
        <v/>
      </c>
      <c r="AC217" s="9" t="str">
        <f t="shared" si="33"/>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34"/>
        <v/>
      </c>
      <c r="AN217" t="str">
        <f t="shared" si="35"/>
        <v/>
      </c>
    </row>
    <row r="218" spans="1:40" x14ac:dyDescent="0.25">
      <c r="A218" s="12"/>
      <c r="C218" s="9"/>
      <c r="D218" s="9"/>
      <c r="E218" s="9"/>
      <c r="F218" s="9"/>
      <c r="G218" s="9"/>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30"/>
        <v/>
      </c>
      <c r="R218" s="9" t="str">
        <f t="shared" si="31"/>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IF($U218="","",SUMIFS([1]SummaryHelper!$G$2:$G$5000,[1]SummaryHelper!$A$2:$A$5000,$T218,[1]SummaryHelper!$B$2:$B$5000,$U218,[1]SummaryHelper!$C$2:$C$5000,$V218))</f>
        <v/>
      </c>
      <c r="AB218" s="9" t="str">
        <f t="shared" si="32"/>
        <v/>
      </c>
      <c r="AC218" s="9" t="str">
        <f t="shared" si="33"/>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34"/>
        <v/>
      </c>
      <c r="AN218" t="str">
        <f t="shared" si="35"/>
        <v/>
      </c>
    </row>
    <row r="219" spans="1:40" x14ac:dyDescent="0.25">
      <c r="A219" s="12"/>
      <c r="C219" s="9"/>
      <c r="D219" s="9"/>
      <c r="E219" s="9"/>
      <c r="F219" s="9"/>
      <c r="G219" s="9"/>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30"/>
        <v/>
      </c>
      <c r="R219" s="9" t="str">
        <f t="shared" si="31"/>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IF($U219="","",SUMIFS([1]SummaryHelper!$G$2:$G$5000,[1]SummaryHelper!$A$2:$A$5000,$T219,[1]SummaryHelper!$B$2:$B$5000,$U219,[1]SummaryHelper!$C$2:$C$5000,$V219))</f>
        <v/>
      </c>
      <c r="AB219" s="9" t="str">
        <f t="shared" si="32"/>
        <v/>
      </c>
      <c r="AC219" s="9" t="str">
        <f t="shared" si="33"/>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34"/>
        <v/>
      </c>
      <c r="AN219" t="str">
        <f t="shared" si="35"/>
        <v/>
      </c>
    </row>
    <row r="220" spans="1:40" x14ac:dyDescent="0.25">
      <c r="A220" s="12"/>
      <c r="C220" s="9"/>
      <c r="D220" s="9"/>
      <c r="E220" s="9"/>
      <c r="F220" s="9"/>
      <c r="G220" s="9"/>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30"/>
        <v/>
      </c>
      <c r="R220" s="9" t="str">
        <f t="shared" si="31"/>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IF($U220="","",SUMIFS([1]SummaryHelper!$G$2:$G$5000,[1]SummaryHelper!$A$2:$A$5000,$T220,[1]SummaryHelper!$B$2:$B$5000,$U220,[1]SummaryHelper!$C$2:$C$5000,$V220))</f>
        <v/>
      </c>
      <c r="AB220" s="9" t="str">
        <f t="shared" si="32"/>
        <v/>
      </c>
      <c r="AC220" s="9" t="str">
        <f t="shared" si="33"/>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34"/>
        <v/>
      </c>
      <c r="AN220" t="str">
        <f t="shared" si="35"/>
        <v/>
      </c>
    </row>
    <row r="221" spans="1:40" x14ac:dyDescent="0.25">
      <c r="A221" s="12"/>
      <c r="C221" s="9"/>
      <c r="D221" s="9"/>
      <c r="E221" s="9"/>
      <c r="F221" s="9"/>
      <c r="G221" s="9"/>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30"/>
        <v/>
      </c>
      <c r="R221" s="9" t="str">
        <f t="shared" si="31"/>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IF($U221="","",SUMIFS([1]SummaryHelper!$G$2:$G$5000,[1]SummaryHelper!$A$2:$A$5000,$T221,[1]SummaryHelper!$B$2:$B$5000,$U221,[1]SummaryHelper!$C$2:$C$5000,$V221))</f>
        <v/>
      </c>
      <c r="AB221" s="9" t="str">
        <f t="shared" si="32"/>
        <v/>
      </c>
      <c r="AC221" s="9" t="str">
        <f t="shared" si="33"/>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34"/>
        <v/>
      </c>
      <c r="AN221" t="str">
        <f t="shared" si="35"/>
        <v/>
      </c>
    </row>
    <row r="222" spans="1:40" x14ac:dyDescent="0.25">
      <c r="A222" s="12"/>
      <c r="C222" s="9"/>
      <c r="D222" s="9"/>
      <c r="E222" s="9"/>
      <c r="F222" s="9"/>
      <c r="G222" s="9"/>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30"/>
        <v/>
      </c>
      <c r="R222" s="9" t="str">
        <f t="shared" si="31"/>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IF($U222="","",SUMIFS([1]SummaryHelper!$G$2:$G$5000,[1]SummaryHelper!$A$2:$A$5000,$T222,[1]SummaryHelper!$B$2:$B$5000,$U222,[1]SummaryHelper!$C$2:$C$5000,$V222))</f>
        <v/>
      </c>
      <c r="AB222" s="9" t="str">
        <f t="shared" si="32"/>
        <v/>
      </c>
      <c r="AC222" s="9" t="str">
        <f t="shared" si="33"/>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34"/>
        <v/>
      </c>
      <c r="AN222" t="str">
        <f t="shared" si="35"/>
        <v/>
      </c>
    </row>
    <row r="223" spans="1:40" x14ac:dyDescent="0.25">
      <c r="A223" s="12"/>
      <c r="C223" s="9"/>
      <c r="D223" s="9"/>
      <c r="E223" s="9"/>
      <c r="F223" s="9"/>
      <c r="G223" s="9"/>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30"/>
        <v/>
      </c>
      <c r="R223" s="9" t="str">
        <f t="shared" si="31"/>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IF($U223="","",SUMIFS([1]SummaryHelper!$G$2:$G$5000,[1]SummaryHelper!$A$2:$A$5000,$T223,[1]SummaryHelper!$B$2:$B$5000,$U223,[1]SummaryHelper!$C$2:$C$5000,$V223))</f>
        <v/>
      </c>
      <c r="AB223" s="9" t="str">
        <f t="shared" si="32"/>
        <v/>
      </c>
      <c r="AC223" s="9" t="str">
        <f t="shared" si="33"/>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34"/>
        <v/>
      </c>
      <c r="AN223" t="str">
        <f t="shared" si="35"/>
        <v/>
      </c>
    </row>
    <row r="224" spans="1:40" x14ac:dyDescent="0.25">
      <c r="A224" s="12"/>
      <c r="C224" s="9"/>
      <c r="D224" s="9"/>
      <c r="E224" s="9"/>
      <c r="F224" s="9"/>
      <c r="G224" s="9"/>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30"/>
        <v/>
      </c>
      <c r="R224" s="9" t="str">
        <f t="shared" si="31"/>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IF($U224="","",SUMIFS([1]SummaryHelper!$G$2:$G$5000,[1]SummaryHelper!$A$2:$A$5000,$T224,[1]SummaryHelper!$B$2:$B$5000,$U224,[1]SummaryHelper!$C$2:$C$5000,$V224))</f>
        <v/>
      </c>
      <c r="AB224" s="9" t="str">
        <f t="shared" si="32"/>
        <v/>
      </c>
      <c r="AC224" s="9" t="str">
        <f t="shared" si="33"/>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34"/>
        <v/>
      </c>
      <c r="AN224" t="str">
        <f t="shared" si="35"/>
        <v/>
      </c>
    </row>
    <row r="225" spans="1:40" x14ac:dyDescent="0.25">
      <c r="A225" s="12"/>
      <c r="C225" s="9"/>
      <c r="D225" s="9"/>
      <c r="E225" s="9"/>
      <c r="F225" s="9"/>
      <c r="G225" s="9"/>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30"/>
        <v/>
      </c>
      <c r="R225" s="9" t="str">
        <f t="shared" si="31"/>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IF($U225="","",SUMIFS([1]SummaryHelper!$G$2:$G$5000,[1]SummaryHelper!$A$2:$A$5000,$T225,[1]SummaryHelper!$B$2:$B$5000,$U225,[1]SummaryHelper!$C$2:$C$5000,$V225))</f>
        <v/>
      </c>
      <c r="AB225" s="9" t="str">
        <f t="shared" si="32"/>
        <v/>
      </c>
      <c r="AC225" s="9" t="str">
        <f t="shared" si="33"/>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34"/>
        <v/>
      </c>
      <c r="AN225" t="str">
        <f t="shared" si="35"/>
        <v/>
      </c>
    </row>
    <row r="226" spans="1:40" x14ac:dyDescent="0.25">
      <c r="A226" s="12"/>
      <c r="C226" s="9"/>
      <c r="D226" s="9"/>
      <c r="E226" s="9"/>
      <c r="F226" s="9"/>
      <c r="G226" s="9"/>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30"/>
        <v/>
      </c>
      <c r="R226" s="9" t="str">
        <f t="shared" si="31"/>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IF($U226="","",SUMIFS([1]SummaryHelper!$G$2:$G$5000,[1]SummaryHelper!$A$2:$A$5000,$T226,[1]SummaryHelper!$B$2:$B$5000,$U226,[1]SummaryHelper!$C$2:$C$5000,$V226))</f>
        <v/>
      </c>
      <c r="AB226" s="9" t="str">
        <f t="shared" si="32"/>
        <v/>
      </c>
      <c r="AC226" s="9" t="str">
        <f t="shared" si="33"/>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34"/>
        <v/>
      </c>
      <c r="AN226" t="str">
        <f t="shared" si="35"/>
        <v/>
      </c>
    </row>
    <row r="227" spans="1:40" x14ac:dyDescent="0.25">
      <c r="A227" s="12"/>
      <c r="C227" s="9"/>
      <c r="D227" s="9"/>
      <c r="E227" s="9"/>
      <c r="F227" s="9"/>
      <c r="G227" s="9"/>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30"/>
        <v/>
      </c>
      <c r="R227" s="9" t="str">
        <f t="shared" si="31"/>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IF($U227="","",SUMIFS([1]SummaryHelper!$G$2:$G$5000,[1]SummaryHelper!$A$2:$A$5000,$T227,[1]SummaryHelper!$B$2:$B$5000,$U227,[1]SummaryHelper!$C$2:$C$5000,$V227))</f>
        <v/>
      </c>
      <c r="AB227" s="9" t="str">
        <f t="shared" si="32"/>
        <v/>
      </c>
      <c r="AC227" s="9" t="str">
        <f t="shared" si="33"/>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34"/>
        <v/>
      </c>
      <c r="AN227" t="str">
        <f t="shared" si="35"/>
        <v/>
      </c>
    </row>
    <row r="228" spans="1:40" x14ac:dyDescent="0.25">
      <c r="A228" s="12"/>
      <c r="C228" s="9"/>
      <c r="D228" s="9"/>
      <c r="E228" s="9"/>
      <c r="F228" s="9"/>
      <c r="G228" s="9"/>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30"/>
        <v/>
      </c>
      <c r="R228" s="9" t="str">
        <f t="shared" si="31"/>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IF($U228="","",SUMIFS([1]SummaryHelper!$G$2:$G$5000,[1]SummaryHelper!$A$2:$A$5000,$T228,[1]SummaryHelper!$B$2:$B$5000,$U228,[1]SummaryHelper!$C$2:$C$5000,$V228))</f>
        <v/>
      </c>
      <c r="AB228" s="9" t="str">
        <f t="shared" si="32"/>
        <v/>
      </c>
      <c r="AC228" s="9" t="str">
        <f t="shared" si="33"/>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34"/>
        <v/>
      </c>
      <c r="AN228" t="str">
        <f t="shared" si="35"/>
        <v/>
      </c>
    </row>
    <row r="229" spans="1:40" x14ac:dyDescent="0.25">
      <c r="A229" s="12"/>
      <c r="C229" s="9"/>
      <c r="D229" s="9"/>
      <c r="E229" s="9"/>
      <c r="F229" s="9"/>
      <c r="G229" s="9"/>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30"/>
        <v/>
      </c>
      <c r="R229" s="9" t="str">
        <f t="shared" si="31"/>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IF($U229="","",SUMIFS([1]SummaryHelper!$G$2:$G$5000,[1]SummaryHelper!$A$2:$A$5000,$T229,[1]SummaryHelper!$B$2:$B$5000,$U229,[1]SummaryHelper!$C$2:$C$5000,$V229))</f>
        <v/>
      </c>
      <c r="AB229" s="9" t="str">
        <f t="shared" si="32"/>
        <v/>
      </c>
      <c r="AC229" s="9" t="str">
        <f t="shared" si="33"/>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34"/>
        <v/>
      </c>
      <c r="AN229" t="str">
        <f t="shared" si="35"/>
        <v/>
      </c>
    </row>
    <row r="230" spans="1:40" x14ac:dyDescent="0.25">
      <c r="A230" s="12"/>
      <c r="C230" s="9"/>
      <c r="D230" s="9"/>
      <c r="E230" s="9"/>
      <c r="F230" s="9"/>
      <c r="G230" s="9"/>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30"/>
        <v/>
      </c>
      <c r="R230" s="9" t="str">
        <f t="shared" si="31"/>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IF($U230="","",SUMIFS([1]SummaryHelper!$G$2:$G$5000,[1]SummaryHelper!$A$2:$A$5000,$T230,[1]SummaryHelper!$B$2:$B$5000,$U230,[1]SummaryHelper!$C$2:$C$5000,$V230))</f>
        <v/>
      </c>
      <c r="AB230" s="9" t="str">
        <f t="shared" si="32"/>
        <v/>
      </c>
      <c r="AC230" s="9" t="str">
        <f t="shared" si="33"/>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34"/>
        <v/>
      </c>
      <c r="AN230" t="str">
        <f t="shared" si="35"/>
        <v/>
      </c>
    </row>
    <row r="231" spans="1:40" x14ac:dyDescent="0.25">
      <c r="A231" s="12"/>
      <c r="C231" s="9"/>
      <c r="D231" s="9"/>
      <c r="E231" s="9"/>
      <c r="F231" s="9"/>
      <c r="G231" s="9"/>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30"/>
        <v/>
      </c>
      <c r="R231" s="9" t="str">
        <f t="shared" si="31"/>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IF($U231="","",SUMIFS([1]SummaryHelper!$G$2:$G$5000,[1]SummaryHelper!$A$2:$A$5000,$T231,[1]SummaryHelper!$B$2:$B$5000,$U231,[1]SummaryHelper!$C$2:$C$5000,$V231))</f>
        <v/>
      </c>
      <c r="AB231" s="9" t="str">
        <f t="shared" si="32"/>
        <v/>
      </c>
      <c r="AC231" s="9" t="str">
        <f t="shared" si="33"/>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34"/>
        <v/>
      </c>
      <c r="AN231" t="str">
        <f t="shared" si="35"/>
        <v/>
      </c>
    </row>
    <row r="232" spans="1:40" x14ac:dyDescent="0.25">
      <c r="A232" s="12"/>
      <c r="C232" s="9"/>
      <c r="D232" s="9"/>
      <c r="E232" s="9"/>
      <c r="F232" s="9"/>
      <c r="G232" s="9"/>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30"/>
        <v/>
      </c>
      <c r="R232" s="9" t="str">
        <f t="shared" si="31"/>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IF($U232="","",SUMIFS([1]SummaryHelper!$G$2:$G$5000,[1]SummaryHelper!$A$2:$A$5000,$T232,[1]SummaryHelper!$B$2:$B$5000,$U232,[1]SummaryHelper!$C$2:$C$5000,$V232))</f>
        <v/>
      </c>
      <c r="AB232" s="9" t="str">
        <f t="shared" si="32"/>
        <v/>
      </c>
      <c r="AC232" s="9" t="str">
        <f t="shared" si="33"/>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34"/>
        <v/>
      </c>
      <c r="AN232" t="str">
        <f t="shared" si="35"/>
        <v/>
      </c>
    </row>
    <row r="233" spans="1:40" x14ac:dyDescent="0.25">
      <c r="A233" s="12"/>
      <c r="C233" s="9"/>
      <c r="D233" s="9"/>
      <c r="E233" s="9"/>
      <c r="F233" s="9"/>
      <c r="G233" s="9"/>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30"/>
        <v/>
      </c>
      <c r="R233" s="9" t="str">
        <f t="shared" si="31"/>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IF($U233="","",SUMIFS([1]SummaryHelper!$G$2:$G$5000,[1]SummaryHelper!$A$2:$A$5000,$T233,[1]SummaryHelper!$B$2:$B$5000,$U233,[1]SummaryHelper!$C$2:$C$5000,$V233))</f>
        <v/>
      </c>
      <c r="AB233" s="9" t="str">
        <f t="shared" si="32"/>
        <v/>
      </c>
      <c r="AC233" s="9" t="str">
        <f t="shared" si="33"/>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34"/>
        <v/>
      </c>
      <c r="AN233" t="str">
        <f t="shared" si="35"/>
        <v/>
      </c>
    </row>
    <row r="234" spans="1:40" x14ac:dyDescent="0.25">
      <c r="A234" s="12"/>
      <c r="C234" s="9"/>
      <c r="D234" s="9"/>
      <c r="E234" s="9"/>
      <c r="F234" s="9"/>
      <c r="G234" s="9"/>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30"/>
        <v/>
      </c>
      <c r="R234" s="9" t="str">
        <f t="shared" si="31"/>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IF($U234="","",SUMIFS([1]SummaryHelper!$G$2:$G$5000,[1]SummaryHelper!$A$2:$A$5000,$T234,[1]SummaryHelper!$B$2:$B$5000,$U234,[1]SummaryHelper!$C$2:$C$5000,$V234))</f>
        <v/>
      </c>
      <c r="AB234" s="9" t="str">
        <f t="shared" si="32"/>
        <v/>
      </c>
      <c r="AC234" s="9" t="str">
        <f t="shared" si="33"/>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34"/>
        <v/>
      </c>
      <c r="AN234" t="str">
        <f t="shared" si="35"/>
        <v/>
      </c>
    </row>
    <row r="235" spans="1:40" x14ac:dyDescent="0.25">
      <c r="A235" s="12"/>
      <c r="C235" s="9"/>
      <c r="D235" s="9"/>
      <c r="E235" s="9"/>
      <c r="F235" s="9"/>
      <c r="G235" s="9"/>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30"/>
        <v/>
      </c>
      <c r="R235" s="9" t="str">
        <f t="shared" si="31"/>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IF($U235="","",SUMIFS([1]SummaryHelper!$G$2:$G$5000,[1]SummaryHelper!$A$2:$A$5000,$T235,[1]SummaryHelper!$B$2:$B$5000,$U235,[1]SummaryHelper!$C$2:$C$5000,$V235))</f>
        <v/>
      </c>
      <c r="AB235" s="9" t="str">
        <f t="shared" si="32"/>
        <v/>
      </c>
      <c r="AC235" s="9" t="str">
        <f t="shared" si="33"/>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34"/>
        <v/>
      </c>
      <c r="AN235" t="str">
        <f t="shared" si="35"/>
        <v/>
      </c>
    </row>
    <row r="236" spans="1:40" x14ac:dyDescent="0.25">
      <c r="A236" s="12"/>
      <c r="C236" s="9"/>
      <c r="D236" s="9"/>
      <c r="E236" s="9"/>
      <c r="F236" s="9"/>
      <c r="G236" s="9"/>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30"/>
        <v/>
      </c>
      <c r="R236" s="9" t="str">
        <f t="shared" si="31"/>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IF($U236="","",SUMIFS([1]SummaryHelper!$G$2:$G$5000,[1]SummaryHelper!$A$2:$A$5000,$T236,[1]SummaryHelper!$B$2:$B$5000,$U236,[1]SummaryHelper!$C$2:$C$5000,$V236))</f>
        <v/>
      </c>
      <c r="AB236" s="9" t="str">
        <f t="shared" si="32"/>
        <v/>
      </c>
      <c r="AC236" s="9" t="str">
        <f t="shared" si="33"/>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34"/>
        <v/>
      </c>
      <c r="AN236" t="str">
        <f t="shared" si="35"/>
        <v/>
      </c>
    </row>
    <row r="237" spans="1:40" x14ac:dyDescent="0.25">
      <c r="A237" s="12"/>
      <c r="C237" s="9"/>
      <c r="D237" s="9"/>
      <c r="E237" s="9"/>
      <c r="F237" s="9"/>
      <c r="G237" s="9"/>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30"/>
        <v/>
      </c>
      <c r="R237" s="9" t="str">
        <f t="shared" si="31"/>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IF($U237="","",SUMIFS([1]SummaryHelper!$G$2:$G$5000,[1]SummaryHelper!$A$2:$A$5000,$T237,[1]SummaryHelper!$B$2:$B$5000,$U237,[1]SummaryHelper!$C$2:$C$5000,$V237))</f>
        <v/>
      </c>
      <c r="AB237" s="9" t="str">
        <f t="shared" si="32"/>
        <v/>
      </c>
      <c r="AC237" s="9" t="str">
        <f t="shared" si="33"/>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34"/>
        <v/>
      </c>
      <c r="AN237" t="str">
        <f t="shared" si="35"/>
        <v/>
      </c>
    </row>
    <row r="238" spans="1:40" x14ac:dyDescent="0.25">
      <c r="A238" s="12"/>
      <c r="C238" s="9"/>
      <c r="D238" s="9"/>
      <c r="E238" s="9"/>
      <c r="F238" s="9"/>
      <c r="G238" s="9"/>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30"/>
        <v/>
      </c>
      <c r="R238" s="9" t="str">
        <f t="shared" si="31"/>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IF($U238="","",SUMIFS([1]SummaryHelper!$G$2:$G$5000,[1]SummaryHelper!$A$2:$A$5000,$T238,[1]SummaryHelper!$B$2:$B$5000,$U238,[1]SummaryHelper!$C$2:$C$5000,$V238))</f>
        <v/>
      </c>
      <c r="AB238" s="9" t="str">
        <f t="shared" si="32"/>
        <v/>
      </c>
      <c r="AC238" s="9" t="str">
        <f t="shared" si="33"/>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34"/>
        <v/>
      </c>
      <c r="AN238" t="str">
        <f t="shared" si="35"/>
        <v/>
      </c>
    </row>
    <row r="239" spans="1:40" x14ac:dyDescent="0.25">
      <c r="A239" s="12"/>
      <c r="C239" s="9"/>
      <c r="D239" s="9"/>
      <c r="E239" s="9"/>
      <c r="F239" s="9"/>
      <c r="G239" s="9"/>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30"/>
        <v/>
      </c>
      <c r="R239" s="9" t="str">
        <f t="shared" si="31"/>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IF($U239="","",SUMIFS([1]SummaryHelper!$G$2:$G$5000,[1]SummaryHelper!$A$2:$A$5000,$T239,[1]SummaryHelper!$B$2:$B$5000,$U239,[1]SummaryHelper!$C$2:$C$5000,$V239))</f>
        <v/>
      </c>
      <c r="AB239" s="9" t="str">
        <f t="shared" si="32"/>
        <v/>
      </c>
      <c r="AC239" s="9" t="str">
        <f t="shared" si="33"/>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34"/>
        <v/>
      </c>
      <c r="AN239" t="str">
        <f t="shared" si="35"/>
        <v/>
      </c>
    </row>
    <row r="240" spans="1:40" x14ac:dyDescent="0.25">
      <c r="A240" s="12"/>
      <c r="C240" s="9"/>
      <c r="D240" s="9"/>
      <c r="E240" s="9"/>
      <c r="F240" s="9"/>
      <c r="G240" s="9"/>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30"/>
        <v/>
      </c>
      <c r="R240" s="9" t="str">
        <f t="shared" si="31"/>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IF($U240="","",SUMIFS([1]SummaryHelper!$G$2:$G$5000,[1]SummaryHelper!$A$2:$A$5000,$T240,[1]SummaryHelper!$B$2:$B$5000,$U240,[1]SummaryHelper!$C$2:$C$5000,$V240))</f>
        <v/>
      </c>
      <c r="AB240" s="9" t="str">
        <f t="shared" si="32"/>
        <v/>
      </c>
      <c r="AC240" s="9" t="str">
        <f t="shared" si="33"/>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34"/>
        <v/>
      </c>
      <c r="AN240" t="str">
        <f t="shared" si="35"/>
        <v/>
      </c>
    </row>
    <row r="241" spans="1:40" x14ac:dyDescent="0.25">
      <c r="A241" s="12"/>
      <c r="C241" s="9"/>
      <c r="D241" s="9"/>
      <c r="E241" s="9"/>
      <c r="F241" s="9"/>
      <c r="G241" s="9"/>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30"/>
        <v/>
      </c>
      <c r="R241" s="9" t="str">
        <f t="shared" si="31"/>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IF($U241="","",SUMIFS([1]SummaryHelper!$G$2:$G$5000,[1]SummaryHelper!$A$2:$A$5000,$T241,[1]SummaryHelper!$B$2:$B$5000,$U241,[1]SummaryHelper!$C$2:$C$5000,$V241))</f>
        <v/>
      </c>
      <c r="AB241" s="9" t="str">
        <f t="shared" si="32"/>
        <v/>
      </c>
      <c r="AC241" s="9" t="str">
        <f t="shared" si="33"/>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34"/>
        <v/>
      </c>
      <c r="AN241" t="str">
        <f t="shared" si="35"/>
        <v/>
      </c>
    </row>
    <row r="242" spans="1:40" x14ac:dyDescent="0.25">
      <c r="A242" s="12"/>
      <c r="C242" s="9"/>
      <c r="D242" s="9"/>
      <c r="E242" s="9"/>
      <c r="F242" s="9"/>
      <c r="G242" s="9"/>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30"/>
        <v/>
      </c>
      <c r="R242" s="9" t="str">
        <f t="shared" si="31"/>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IF($U242="","",SUMIFS([1]SummaryHelper!$G$2:$G$5000,[1]SummaryHelper!$A$2:$A$5000,$T242,[1]SummaryHelper!$B$2:$B$5000,$U242,[1]SummaryHelper!$C$2:$C$5000,$V242))</f>
        <v/>
      </c>
      <c r="AB242" s="9" t="str">
        <f t="shared" si="32"/>
        <v/>
      </c>
      <c r="AC242" s="9" t="str">
        <f t="shared" si="33"/>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34"/>
        <v/>
      </c>
      <c r="AN242" t="str">
        <f t="shared" si="35"/>
        <v/>
      </c>
    </row>
    <row r="243" spans="1:40" x14ac:dyDescent="0.25">
      <c r="A243" s="12"/>
      <c r="C243" s="9"/>
      <c r="D243" s="9"/>
      <c r="E243" s="9"/>
      <c r="F243" s="9"/>
      <c r="G243" s="9"/>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30"/>
        <v/>
      </c>
      <c r="R243" s="9" t="str">
        <f t="shared" si="31"/>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IF($U243="","",SUMIFS([1]SummaryHelper!$G$2:$G$5000,[1]SummaryHelper!$A$2:$A$5000,$T243,[1]SummaryHelper!$B$2:$B$5000,$U243,[1]SummaryHelper!$C$2:$C$5000,$V243))</f>
        <v/>
      </c>
      <c r="AB243" s="9" t="str">
        <f t="shared" si="32"/>
        <v/>
      </c>
      <c r="AC243" s="9" t="str">
        <f t="shared" si="33"/>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34"/>
        <v/>
      </c>
      <c r="AN243" t="str">
        <f t="shared" si="35"/>
        <v/>
      </c>
    </row>
    <row r="244" spans="1:40" x14ac:dyDescent="0.25">
      <c r="A244" s="12"/>
      <c r="C244" s="9"/>
      <c r="D244" s="9"/>
      <c r="E244" s="9"/>
      <c r="F244" s="9"/>
      <c r="G244" s="9"/>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30"/>
        <v/>
      </c>
      <c r="R244" s="9" t="str">
        <f t="shared" si="31"/>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IF($U244="","",SUMIFS([1]SummaryHelper!$G$2:$G$5000,[1]SummaryHelper!$A$2:$A$5000,$T244,[1]SummaryHelper!$B$2:$B$5000,$U244,[1]SummaryHelper!$C$2:$C$5000,$V244))</f>
        <v/>
      </c>
      <c r="AB244" s="9" t="str">
        <f t="shared" si="32"/>
        <v/>
      </c>
      <c r="AC244" s="9" t="str">
        <f t="shared" si="33"/>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34"/>
        <v/>
      </c>
      <c r="AN244" t="str">
        <f t="shared" si="35"/>
        <v/>
      </c>
    </row>
    <row r="245" spans="1:40" x14ac:dyDescent="0.25">
      <c r="A245" s="12"/>
      <c r="C245" s="9"/>
      <c r="D245" s="9"/>
      <c r="E245" s="9"/>
      <c r="F245" s="9"/>
      <c r="G245" s="9"/>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30"/>
        <v/>
      </c>
      <c r="R245" s="9" t="str">
        <f t="shared" si="31"/>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IF($U245="","",SUMIFS([1]SummaryHelper!$G$2:$G$5000,[1]SummaryHelper!$A$2:$A$5000,$T245,[1]SummaryHelper!$B$2:$B$5000,$U245,[1]SummaryHelper!$C$2:$C$5000,$V245))</f>
        <v/>
      </c>
      <c r="AB245" s="9" t="str">
        <f t="shared" si="32"/>
        <v/>
      </c>
      <c r="AC245" s="9" t="str">
        <f t="shared" si="33"/>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34"/>
        <v/>
      </c>
      <c r="AN245" t="str">
        <f t="shared" si="35"/>
        <v/>
      </c>
    </row>
    <row r="246" spans="1:40" x14ac:dyDescent="0.25">
      <c r="A246" s="12"/>
      <c r="C246" s="9"/>
      <c r="D246" s="9"/>
      <c r="E246" s="9"/>
      <c r="F246" s="9"/>
      <c r="G246" s="9"/>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30"/>
        <v/>
      </c>
      <c r="R246" s="9" t="str">
        <f t="shared" si="31"/>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IF($U246="","",SUMIFS([1]SummaryHelper!$G$2:$G$5000,[1]SummaryHelper!$A$2:$A$5000,$T246,[1]SummaryHelper!$B$2:$B$5000,$U246,[1]SummaryHelper!$C$2:$C$5000,$V246))</f>
        <v/>
      </c>
      <c r="AB246" s="9" t="str">
        <f t="shared" si="32"/>
        <v/>
      </c>
      <c r="AC246" s="9" t="str">
        <f t="shared" si="33"/>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34"/>
        <v/>
      </c>
      <c r="AN246" t="str">
        <f t="shared" si="35"/>
        <v/>
      </c>
    </row>
    <row r="247" spans="1:40" x14ac:dyDescent="0.25">
      <c r="A247" s="12"/>
      <c r="C247" s="9"/>
      <c r="D247" s="9"/>
      <c r="E247" s="9"/>
      <c r="F247" s="9"/>
      <c r="G247" s="9"/>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30"/>
        <v/>
      </c>
      <c r="R247" s="9" t="str">
        <f t="shared" si="31"/>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IF($U247="","",SUMIFS([1]SummaryHelper!$G$2:$G$5000,[1]SummaryHelper!$A$2:$A$5000,$T247,[1]SummaryHelper!$B$2:$B$5000,$U247,[1]SummaryHelper!$C$2:$C$5000,$V247))</f>
        <v/>
      </c>
      <c r="AB247" s="9" t="str">
        <f t="shared" si="32"/>
        <v/>
      </c>
      <c r="AC247" s="9" t="str">
        <f t="shared" si="33"/>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34"/>
        <v/>
      </c>
      <c r="AN247" t="str">
        <f t="shared" si="35"/>
        <v/>
      </c>
    </row>
    <row r="248" spans="1:40" x14ac:dyDescent="0.25">
      <c r="A248" s="12"/>
      <c r="C248" s="9"/>
      <c r="D248" s="9"/>
      <c r="E248" s="9"/>
      <c r="F248" s="9"/>
      <c r="G248" s="9"/>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30"/>
        <v/>
      </c>
      <c r="R248" s="9" t="str">
        <f t="shared" si="31"/>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IF($U248="","",SUMIFS([1]SummaryHelper!$G$2:$G$5000,[1]SummaryHelper!$A$2:$A$5000,$T248,[1]SummaryHelper!$B$2:$B$5000,$U248,[1]SummaryHelper!$C$2:$C$5000,$V248))</f>
        <v/>
      </c>
      <c r="AB248" s="9" t="str">
        <f t="shared" si="32"/>
        <v/>
      </c>
      <c r="AC248" s="9" t="str">
        <f t="shared" si="33"/>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34"/>
        <v/>
      </c>
      <c r="AN248" t="str">
        <f t="shared" si="35"/>
        <v/>
      </c>
    </row>
    <row r="249" spans="1:40" x14ac:dyDescent="0.25">
      <c r="A249" s="12"/>
      <c r="C249" s="9"/>
      <c r="D249" s="9"/>
      <c r="E249" s="9"/>
      <c r="F249" s="9"/>
      <c r="G249" s="9"/>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30"/>
        <v/>
      </c>
      <c r="R249" s="9" t="str">
        <f t="shared" si="31"/>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IF($U249="","",SUMIFS([1]SummaryHelper!$G$2:$G$5000,[1]SummaryHelper!$A$2:$A$5000,$T249,[1]SummaryHelper!$B$2:$B$5000,$U249,[1]SummaryHelper!$C$2:$C$5000,$V249))</f>
        <v/>
      </c>
      <c r="AB249" s="9" t="str">
        <f t="shared" si="32"/>
        <v/>
      </c>
      <c r="AC249" s="9" t="str">
        <f t="shared" si="33"/>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34"/>
        <v/>
      </c>
      <c r="AN249" t="str">
        <f t="shared" si="35"/>
        <v/>
      </c>
    </row>
    <row r="250" spans="1:40" x14ac:dyDescent="0.25">
      <c r="A250" s="12"/>
      <c r="C250" s="9"/>
      <c r="D250" s="9"/>
      <c r="E250" s="9"/>
      <c r="F250" s="9"/>
      <c r="G250" s="9"/>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30"/>
        <v/>
      </c>
      <c r="R250" s="9" t="str">
        <f t="shared" si="31"/>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IF($U250="","",SUMIFS([1]SummaryHelper!$G$2:$G$5000,[1]SummaryHelper!$A$2:$A$5000,$T250,[1]SummaryHelper!$B$2:$B$5000,$U250,[1]SummaryHelper!$C$2:$C$5000,$V250))</f>
        <v/>
      </c>
      <c r="AB250" s="9" t="str">
        <f t="shared" si="32"/>
        <v/>
      </c>
      <c r="AC250" s="9" t="str">
        <f t="shared" si="33"/>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34"/>
        <v/>
      </c>
      <c r="AN250" t="str">
        <f t="shared" si="35"/>
        <v/>
      </c>
    </row>
    <row r="251" spans="1:40" x14ac:dyDescent="0.25">
      <c r="A251" s="12"/>
      <c r="C251" s="9"/>
      <c r="D251" s="9"/>
      <c r="E251" s="9"/>
      <c r="F251" s="9"/>
      <c r="G251" s="9"/>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30"/>
        <v/>
      </c>
      <c r="R251" s="9" t="str">
        <f t="shared" si="31"/>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IF($U251="","",SUMIFS([1]SummaryHelper!$G$2:$G$5000,[1]SummaryHelper!$A$2:$A$5000,$T251,[1]SummaryHelper!$B$2:$B$5000,$U251,[1]SummaryHelper!$C$2:$C$5000,$V251))</f>
        <v/>
      </c>
      <c r="AB251" s="9" t="str">
        <f t="shared" si="32"/>
        <v/>
      </c>
      <c r="AC251" s="9" t="str">
        <f t="shared" si="33"/>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34"/>
        <v/>
      </c>
      <c r="AN251" t="str">
        <f t="shared" si="35"/>
        <v/>
      </c>
    </row>
    <row r="252" spans="1:40" x14ac:dyDescent="0.25">
      <c r="A252" s="12"/>
      <c r="C252" s="9"/>
      <c r="D252" s="9"/>
      <c r="E252" s="9"/>
      <c r="F252" s="9"/>
      <c r="G252" s="9"/>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30"/>
        <v/>
      </c>
      <c r="R252" s="9" t="str">
        <f t="shared" si="31"/>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IF($U252="","",SUMIFS([1]SummaryHelper!$G$2:$G$5000,[1]SummaryHelper!$A$2:$A$5000,$T252,[1]SummaryHelper!$B$2:$B$5000,$U252,[1]SummaryHelper!$C$2:$C$5000,$V252))</f>
        <v/>
      </c>
      <c r="AB252" s="9" t="str">
        <f t="shared" si="32"/>
        <v/>
      </c>
      <c r="AC252" s="9" t="str">
        <f t="shared" si="33"/>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34"/>
        <v/>
      </c>
      <c r="AN252" t="str">
        <f t="shared" si="35"/>
        <v/>
      </c>
    </row>
    <row r="253" spans="1:40" x14ac:dyDescent="0.25">
      <c r="A253" s="12"/>
      <c r="C253" s="9"/>
      <c r="D253" s="9"/>
      <c r="E253" s="9"/>
      <c r="F253" s="9"/>
      <c r="G253" s="9"/>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30"/>
        <v/>
      </c>
      <c r="R253" s="9" t="str">
        <f t="shared" si="31"/>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IF($U253="","",SUMIFS([1]SummaryHelper!$G$2:$G$5000,[1]SummaryHelper!$A$2:$A$5000,$T253,[1]SummaryHelper!$B$2:$B$5000,$U253,[1]SummaryHelper!$C$2:$C$5000,$V253))</f>
        <v/>
      </c>
      <c r="AB253" s="9" t="str">
        <f t="shared" si="32"/>
        <v/>
      </c>
      <c r="AC253" s="9" t="str">
        <f t="shared" si="33"/>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34"/>
        <v/>
      </c>
      <c r="AN253" t="str">
        <f t="shared" si="35"/>
        <v/>
      </c>
    </row>
    <row r="254" spans="1:40" x14ac:dyDescent="0.25">
      <c r="A254" s="12"/>
      <c r="C254" s="9"/>
      <c r="D254" s="9"/>
      <c r="E254" s="9"/>
      <c r="F254" s="9"/>
      <c r="G254" s="9"/>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30"/>
        <v/>
      </c>
      <c r="R254" s="9" t="str">
        <f t="shared" si="31"/>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IF($U254="","",SUMIFS([1]SummaryHelper!$G$2:$G$5000,[1]SummaryHelper!$A$2:$A$5000,$T254,[1]SummaryHelper!$B$2:$B$5000,$U254,[1]SummaryHelper!$C$2:$C$5000,$V254))</f>
        <v/>
      </c>
      <c r="AB254" s="9" t="str">
        <f t="shared" si="32"/>
        <v/>
      </c>
      <c r="AC254" s="9" t="str">
        <f t="shared" si="33"/>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34"/>
        <v/>
      </c>
      <c r="AN254" t="str">
        <f t="shared" si="35"/>
        <v/>
      </c>
    </row>
    <row r="255" spans="1:40" x14ac:dyDescent="0.25">
      <c r="A255" s="12"/>
      <c r="C255" s="9"/>
      <c r="D255" s="9"/>
      <c r="E255" s="9"/>
      <c r="F255" s="9"/>
      <c r="G255" s="9"/>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30"/>
        <v/>
      </c>
      <c r="R255" s="9" t="str">
        <f t="shared" si="31"/>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IF($U255="","",SUMIFS([1]SummaryHelper!$G$2:$G$5000,[1]SummaryHelper!$A$2:$A$5000,$T255,[1]SummaryHelper!$B$2:$B$5000,$U255,[1]SummaryHelper!$C$2:$C$5000,$V255))</f>
        <v/>
      </c>
      <c r="AB255" s="9" t="str">
        <f t="shared" si="32"/>
        <v/>
      </c>
      <c r="AC255" s="9" t="str">
        <f t="shared" si="33"/>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34"/>
        <v/>
      </c>
      <c r="AN255" t="str">
        <f t="shared" si="35"/>
        <v/>
      </c>
    </row>
    <row r="256" spans="1:40" x14ac:dyDescent="0.25">
      <c r="A256" s="12"/>
      <c r="C256" s="9"/>
      <c r="D256" s="9"/>
      <c r="E256" s="9"/>
      <c r="F256" s="9"/>
      <c r="G256" s="9"/>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30"/>
        <v/>
      </c>
      <c r="R256" s="9" t="str">
        <f t="shared" si="31"/>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IF($U256="","",SUMIFS([1]SummaryHelper!$G$2:$G$5000,[1]SummaryHelper!$A$2:$A$5000,$T256,[1]SummaryHelper!$B$2:$B$5000,$U256,[1]SummaryHelper!$C$2:$C$5000,$V256))</f>
        <v/>
      </c>
      <c r="AB256" s="9" t="str">
        <f t="shared" si="32"/>
        <v/>
      </c>
      <c r="AC256" s="9" t="str">
        <f t="shared" si="33"/>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34"/>
        <v/>
      </c>
      <c r="AN256" t="str">
        <f t="shared" si="35"/>
        <v/>
      </c>
    </row>
    <row r="257" spans="1:40" x14ac:dyDescent="0.25">
      <c r="A257" s="12"/>
      <c r="C257" s="9"/>
      <c r="D257" s="9"/>
      <c r="E257" s="9"/>
      <c r="F257" s="9"/>
      <c r="G257" s="9"/>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30"/>
        <v/>
      </c>
      <c r="R257" s="9" t="str">
        <f t="shared" si="31"/>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IF($U257="","",SUMIFS([1]SummaryHelper!$G$2:$G$5000,[1]SummaryHelper!$A$2:$A$5000,$T257,[1]SummaryHelper!$B$2:$B$5000,$U257,[1]SummaryHelper!$C$2:$C$5000,$V257))</f>
        <v/>
      </c>
      <c r="AB257" s="9" t="str">
        <f t="shared" si="32"/>
        <v/>
      </c>
      <c r="AC257" s="9" t="str">
        <f t="shared" si="33"/>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34"/>
        <v/>
      </c>
      <c r="AN257" t="str">
        <f t="shared" si="35"/>
        <v/>
      </c>
    </row>
    <row r="258" spans="1:40" x14ac:dyDescent="0.25">
      <c r="A258" s="12"/>
      <c r="C258" s="9"/>
      <c r="D258" s="9"/>
      <c r="E258" s="9"/>
      <c r="F258" s="9"/>
      <c r="G258" s="9"/>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30"/>
        <v/>
      </c>
      <c r="R258" s="9" t="str">
        <f t="shared" si="31"/>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IF($U258="","",SUMIFS([1]SummaryHelper!$G$2:$G$5000,[1]SummaryHelper!$A$2:$A$5000,$T258,[1]SummaryHelper!$B$2:$B$5000,$U258,[1]SummaryHelper!$C$2:$C$5000,$V258))</f>
        <v/>
      </c>
      <c r="AB258" s="9" t="str">
        <f t="shared" si="32"/>
        <v/>
      </c>
      <c r="AC258" s="9" t="str">
        <f t="shared" si="33"/>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34"/>
        <v/>
      </c>
      <c r="AN258" t="str">
        <f t="shared" si="35"/>
        <v/>
      </c>
    </row>
    <row r="259" spans="1:40" x14ac:dyDescent="0.25">
      <c r="A259" s="12"/>
      <c r="C259" s="9"/>
      <c r="D259" s="9"/>
      <c r="E259" s="9"/>
      <c r="F259" s="9"/>
      <c r="G259" s="9"/>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30"/>
        <v/>
      </c>
      <c r="R259" s="9" t="str">
        <f t="shared" si="31"/>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IF($U259="","",SUMIFS([1]SummaryHelper!$G$2:$G$5000,[1]SummaryHelper!$A$2:$A$5000,$T259,[1]SummaryHelper!$B$2:$B$5000,$U259,[1]SummaryHelper!$C$2:$C$5000,$V259))</f>
        <v/>
      </c>
      <c r="AB259" s="9" t="str">
        <f t="shared" si="32"/>
        <v/>
      </c>
      <c r="AC259" s="9" t="str">
        <f t="shared" si="33"/>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34"/>
        <v/>
      </c>
      <c r="AN259" t="str">
        <f t="shared" si="35"/>
        <v/>
      </c>
    </row>
    <row r="260" spans="1:40" x14ac:dyDescent="0.25">
      <c r="A260" s="12"/>
      <c r="C260" s="9"/>
      <c r="D260" s="9"/>
      <c r="E260" s="9"/>
      <c r="F260" s="9"/>
      <c r="G260" s="9"/>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36">IF($J260="","",IF($P260="",ROUNDUP($O260,0),$P260))</f>
        <v/>
      </c>
      <c r="R260" s="9" t="str">
        <f t="shared" ref="R260:R300" si="37">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IF($U260="","",SUMIFS([1]SummaryHelper!$G$2:$G$5000,[1]SummaryHelper!$A$2:$A$5000,$T260,[1]SummaryHelper!$B$2:$B$5000,$U260,[1]SummaryHelper!$C$2:$C$5000,$V260))</f>
        <v/>
      </c>
      <c r="AB260" s="9" t="str">
        <f t="shared" ref="AB260:AB300" si="38">IF($U260="","",IF($AA260="",$Z260,$AA260))</f>
        <v/>
      </c>
      <c r="AC260" s="9" t="str">
        <f t="shared" ref="AC260:AC300" si="39">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40">IF($AF260="","",IF($AL260="",$AK260,$AL260))</f>
        <v/>
      </c>
      <c r="AN260" t="str">
        <f t="shared" ref="AN260:AN299" si="41">IF($AF260="","",$AM260*$AH260)</f>
        <v/>
      </c>
    </row>
    <row r="261" spans="1:40" x14ac:dyDescent="0.25">
      <c r="A261" s="12"/>
      <c r="C261" s="9"/>
      <c r="D261" s="9"/>
      <c r="E261" s="9"/>
      <c r="F261" s="9"/>
      <c r="G261" s="9"/>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36"/>
        <v/>
      </c>
      <c r="R261" s="9" t="str">
        <f t="shared" si="37"/>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IF($U261="","",SUMIFS([1]SummaryHelper!$G$2:$G$5000,[1]SummaryHelper!$A$2:$A$5000,$T261,[1]SummaryHelper!$B$2:$B$5000,$U261,[1]SummaryHelper!$C$2:$C$5000,$V261))</f>
        <v/>
      </c>
      <c r="AB261" s="9" t="str">
        <f t="shared" si="38"/>
        <v/>
      </c>
      <c r="AC261" s="9" t="str">
        <f t="shared" si="39"/>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40"/>
        <v/>
      </c>
      <c r="AN261" t="str">
        <f t="shared" si="41"/>
        <v/>
      </c>
    </row>
    <row r="262" spans="1:40" x14ac:dyDescent="0.25">
      <c r="A262" s="12"/>
      <c r="C262" s="9"/>
      <c r="D262" s="9"/>
      <c r="E262" s="9"/>
      <c r="F262" s="9"/>
      <c r="G262" s="9"/>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36"/>
        <v/>
      </c>
      <c r="R262" s="9" t="str">
        <f t="shared" si="37"/>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IF($U262="","",SUMIFS([1]SummaryHelper!$G$2:$G$5000,[1]SummaryHelper!$A$2:$A$5000,$T262,[1]SummaryHelper!$B$2:$B$5000,$U262,[1]SummaryHelper!$C$2:$C$5000,$V262))</f>
        <v/>
      </c>
      <c r="AB262" s="9" t="str">
        <f t="shared" si="38"/>
        <v/>
      </c>
      <c r="AC262" s="9" t="str">
        <f t="shared" si="39"/>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40"/>
        <v/>
      </c>
      <c r="AN262" t="str">
        <f t="shared" si="41"/>
        <v/>
      </c>
    </row>
    <row r="263" spans="1:40" x14ac:dyDescent="0.25">
      <c r="A263" s="12"/>
      <c r="C263" s="9"/>
      <c r="D263" s="9"/>
      <c r="E263" s="9"/>
      <c r="F263" s="9"/>
      <c r="G263" s="9"/>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36"/>
        <v/>
      </c>
      <c r="R263" s="9" t="str">
        <f t="shared" si="37"/>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IF($U263="","",SUMIFS([1]SummaryHelper!$G$2:$G$5000,[1]SummaryHelper!$A$2:$A$5000,$T263,[1]SummaryHelper!$B$2:$B$5000,$U263,[1]SummaryHelper!$C$2:$C$5000,$V263))</f>
        <v/>
      </c>
      <c r="AB263" s="9" t="str">
        <f t="shared" si="38"/>
        <v/>
      </c>
      <c r="AC263" s="9" t="str">
        <f t="shared" si="39"/>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40"/>
        <v/>
      </c>
      <c r="AN263" t="str">
        <f t="shared" si="41"/>
        <v/>
      </c>
    </row>
    <row r="264" spans="1:40" x14ac:dyDescent="0.25">
      <c r="A264" s="12"/>
      <c r="C264" s="9"/>
      <c r="D264" s="9"/>
      <c r="E264" s="9"/>
      <c r="F264" s="9"/>
      <c r="G264" s="9"/>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36"/>
        <v/>
      </c>
      <c r="R264" s="9" t="str">
        <f t="shared" si="37"/>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IF($U264="","",SUMIFS([1]SummaryHelper!$G$2:$G$5000,[1]SummaryHelper!$A$2:$A$5000,$T264,[1]SummaryHelper!$B$2:$B$5000,$U264,[1]SummaryHelper!$C$2:$C$5000,$V264))</f>
        <v/>
      </c>
      <c r="AB264" s="9" t="str">
        <f t="shared" si="38"/>
        <v/>
      </c>
      <c r="AC264" s="9" t="str">
        <f t="shared" si="39"/>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40"/>
        <v/>
      </c>
      <c r="AN264" t="str">
        <f t="shared" si="41"/>
        <v/>
      </c>
    </row>
    <row r="265" spans="1:40" x14ac:dyDescent="0.25">
      <c r="A265" s="12"/>
      <c r="C265" s="9"/>
      <c r="D265" s="9"/>
      <c r="E265" s="9"/>
      <c r="F265" s="9"/>
      <c r="G265" s="9"/>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36"/>
        <v/>
      </c>
      <c r="R265" s="9" t="str">
        <f t="shared" si="37"/>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IF($U265="","",SUMIFS([1]SummaryHelper!$G$2:$G$5000,[1]SummaryHelper!$A$2:$A$5000,$T265,[1]SummaryHelper!$B$2:$B$5000,$U265,[1]SummaryHelper!$C$2:$C$5000,$V265))</f>
        <v/>
      </c>
      <c r="AB265" s="9" t="str">
        <f t="shared" si="38"/>
        <v/>
      </c>
      <c r="AC265" s="9" t="str">
        <f t="shared" si="39"/>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40"/>
        <v/>
      </c>
      <c r="AN265" t="str">
        <f t="shared" si="41"/>
        <v/>
      </c>
    </row>
    <row r="266" spans="1:40" x14ac:dyDescent="0.25">
      <c r="A266" s="12"/>
      <c r="C266" s="9"/>
      <c r="D266" s="9"/>
      <c r="E266" s="9"/>
      <c r="F266" s="9"/>
      <c r="G266" s="9"/>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36"/>
        <v/>
      </c>
      <c r="R266" s="9" t="str">
        <f t="shared" si="37"/>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IF($U266="","",SUMIFS([1]SummaryHelper!$G$2:$G$5000,[1]SummaryHelper!$A$2:$A$5000,$T266,[1]SummaryHelper!$B$2:$B$5000,$U266,[1]SummaryHelper!$C$2:$C$5000,$V266))</f>
        <v/>
      </c>
      <c r="AB266" s="9" t="str">
        <f t="shared" si="38"/>
        <v/>
      </c>
      <c r="AC266" s="9" t="str">
        <f t="shared" si="39"/>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40"/>
        <v/>
      </c>
      <c r="AN266" t="str">
        <f t="shared" si="41"/>
        <v/>
      </c>
    </row>
    <row r="267" spans="1:40" x14ac:dyDescent="0.25">
      <c r="A267" s="12"/>
      <c r="C267" s="9"/>
      <c r="D267" s="9"/>
      <c r="E267" s="9"/>
      <c r="F267" s="9"/>
      <c r="G267" s="9"/>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36"/>
        <v/>
      </c>
      <c r="R267" s="9" t="str">
        <f t="shared" si="37"/>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IF($U267="","",SUMIFS([1]SummaryHelper!$G$2:$G$5000,[1]SummaryHelper!$A$2:$A$5000,$T267,[1]SummaryHelper!$B$2:$B$5000,$U267,[1]SummaryHelper!$C$2:$C$5000,$V267))</f>
        <v/>
      </c>
      <c r="AB267" s="9" t="str">
        <f t="shared" si="38"/>
        <v/>
      </c>
      <c r="AC267" s="9" t="str">
        <f t="shared" si="39"/>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40"/>
        <v/>
      </c>
      <c r="AN267" t="str">
        <f t="shared" si="41"/>
        <v/>
      </c>
    </row>
    <row r="268" spans="1:40" x14ac:dyDescent="0.25">
      <c r="A268" s="12"/>
      <c r="C268" s="9"/>
      <c r="D268" s="9"/>
      <c r="E268" s="9"/>
      <c r="F268" s="9"/>
      <c r="G268" s="9"/>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36"/>
        <v/>
      </c>
      <c r="R268" s="9" t="str">
        <f t="shared" si="37"/>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IF($U268="","",SUMIFS([1]SummaryHelper!$G$2:$G$5000,[1]SummaryHelper!$A$2:$A$5000,$T268,[1]SummaryHelper!$B$2:$B$5000,$U268,[1]SummaryHelper!$C$2:$C$5000,$V268))</f>
        <v/>
      </c>
      <c r="AB268" s="9" t="str">
        <f t="shared" si="38"/>
        <v/>
      </c>
      <c r="AC268" s="9" t="str">
        <f t="shared" si="39"/>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40"/>
        <v/>
      </c>
      <c r="AN268" t="str">
        <f t="shared" si="41"/>
        <v/>
      </c>
    </row>
    <row r="269" spans="1:40" x14ac:dyDescent="0.25">
      <c r="A269" s="12"/>
      <c r="C269" s="9"/>
      <c r="D269" s="9"/>
      <c r="E269" s="9"/>
      <c r="F269" s="9"/>
      <c r="G269" s="9"/>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36"/>
        <v/>
      </c>
      <c r="R269" s="9" t="str">
        <f t="shared" si="37"/>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IF($U269="","",SUMIFS([1]SummaryHelper!$G$2:$G$5000,[1]SummaryHelper!$A$2:$A$5000,$T269,[1]SummaryHelper!$B$2:$B$5000,$U269,[1]SummaryHelper!$C$2:$C$5000,$V269))</f>
        <v/>
      </c>
      <c r="AB269" s="9" t="str">
        <f t="shared" si="38"/>
        <v/>
      </c>
      <c r="AC269" s="9" t="str">
        <f t="shared" si="39"/>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40"/>
        <v/>
      </c>
      <c r="AN269" t="str">
        <f t="shared" si="41"/>
        <v/>
      </c>
    </row>
    <row r="270" spans="1:40" x14ac:dyDescent="0.25">
      <c r="A270" s="12"/>
      <c r="C270" s="9"/>
      <c r="D270" s="9"/>
      <c r="E270" s="9"/>
      <c r="F270" s="9"/>
      <c r="G270" s="9"/>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36"/>
        <v/>
      </c>
      <c r="R270" s="9" t="str">
        <f t="shared" si="37"/>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IF($U270="","",SUMIFS([1]SummaryHelper!$G$2:$G$5000,[1]SummaryHelper!$A$2:$A$5000,$T270,[1]SummaryHelper!$B$2:$B$5000,$U270,[1]SummaryHelper!$C$2:$C$5000,$V270))</f>
        <v/>
      </c>
      <c r="AB270" s="9" t="str">
        <f t="shared" si="38"/>
        <v/>
      </c>
      <c r="AC270" s="9" t="str">
        <f t="shared" si="39"/>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40"/>
        <v/>
      </c>
      <c r="AN270" t="str">
        <f t="shared" si="41"/>
        <v/>
      </c>
    </row>
    <row r="271" spans="1:40" x14ac:dyDescent="0.25">
      <c r="A271" s="12"/>
      <c r="C271" s="9"/>
      <c r="D271" s="9"/>
      <c r="E271" s="9"/>
      <c r="F271" s="9"/>
      <c r="G271" s="9"/>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36"/>
        <v/>
      </c>
      <c r="R271" s="9" t="str">
        <f t="shared" si="37"/>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IF($U271="","",SUMIFS([1]SummaryHelper!$G$2:$G$5000,[1]SummaryHelper!$A$2:$A$5000,$T271,[1]SummaryHelper!$B$2:$B$5000,$U271,[1]SummaryHelper!$C$2:$C$5000,$V271))</f>
        <v/>
      </c>
      <c r="AB271" s="9" t="str">
        <f t="shared" si="38"/>
        <v/>
      </c>
      <c r="AC271" s="9" t="str">
        <f t="shared" si="39"/>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40"/>
        <v/>
      </c>
      <c r="AN271" t="str">
        <f t="shared" si="41"/>
        <v/>
      </c>
    </row>
    <row r="272" spans="1:40" x14ac:dyDescent="0.25">
      <c r="A272" s="12"/>
      <c r="C272" s="9"/>
      <c r="D272" s="9"/>
      <c r="E272" s="9"/>
      <c r="F272" s="9"/>
      <c r="G272" s="9"/>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36"/>
        <v/>
      </c>
      <c r="R272" s="9" t="str">
        <f t="shared" si="37"/>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IF($U272="","",SUMIFS([1]SummaryHelper!$G$2:$G$5000,[1]SummaryHelper!$A$2:$A$5000,$T272,[1]SummaryHelper!$B$2:$B$5000,$U272,[1]SummaryHelper!$C$2:$C$5000,$V272))</f>
        <v/>
      </c>
      <c r="AB272" s="9" t="str">
        <f t="shared" si="38"/>
        <v/>
      </c>
      <c r="AC272" s="9" t="str">
        <f t="shared" si="39"/>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40"/>
        <v/>
      </c>
      <c r="AN272" t="str">
        <f t="shared" si="41"/>
        <v/>
      </c>
    </row>
    <row r="273" spans="1:40" x14ac:dyDescent="0.25">
      <c r="A273" s="12"/>
      <c r="C273" s="9"/>
      <c r="D273" s="9"/>
      <c r="E273" s="9"/>
      <c r="F273" s="9"/>
      <c r="G273" s="9"/>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36"/>
        <v/>
      </c>
      <c r="R273" s="9" t="str">
        <f t="shared" si="37"/>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IF($U273="","",SUMIFS([1]SummaryHelper!$G$2:$G$5000,[1]SummaryHelper!$A$2:$A$5000,$T273,[1]SummaryHelper!$B$2:$B$5000,$U273,[1]SummaryHelper!$C$2:$C$5000,$V273))</f>
        <v/>
      </c>
      <c r="AB273" s="9" t="str">
        <f t="shared" si="38"/>
        <v/>
      </c>
      <c r="AC273" s="9" t="str">
        <f t="shared" si="39"/>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40"/>
        <v/>
      </c>
      <c r="AN273" t="str">
        <f t="shared" si="41"/>
        <v/>
      </c>
    </row>
    <row r="274" spans="1:40" x14ac:dyDescent="0.25">
      <c r="A274" s="12"/>
      <c r="C274" s="9"/>
      <c r="D274" s="9"/>
      <c r="E274" s="9"/>
      <c r="F274" s="9"/>
      <c r="G274" s="9"/>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36"/>
        <v/>
      </c>
      <c r="R274" s="9" t="str">
        <f t="shared" si="37"/>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IF($U274="","",SUMIFS([1]SummaryHelper!$G$2:$G$5000,[1]SummaryHelper!$A$2:$A$5000,$T274,[1]SummaryHelper!$B$2:$B$5000,$U274,[1]SummaryHelper!$C$2:$C$5000,$V274))</f>
        <v/>
      </c>
      <c r="AB274" s="9" t="str">
        <f t="shared" si="38"/>
        <v/>
      </c>
      <c r="AC274" s="9" t="str">
        <f t="shared" si="39"/>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40"/>
        <v/>
      </c>
      <c r="AN274" t="str">
        <f t="shared" si="41"/>
        <v/>
      </c>
    </row>
    <row r="275" spans="1:40" x14ac:dyDescent="0.25">
      <c r="A275" s="12"/>
      <c r="C275" s="9"/>
      <c r="D275" s="9"/>
      <c r="E275" s="9"/>
      <c r="F275" s="9"/>
      <c r="G275" s="9"/>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36"/>
        <v/>
      </c>
      <c r="R275" s="9" t="str">
        <f t="shared" si="37"/>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IF($U275="","",SUMIFS([1]SummaryHelper!$G$2:$G$5000,[1]SummaryHelper!$A$2:$A$5000,$T275,[1]SummaryHelper!$B$2:$B$5000,$U275,[1]SummaryHelper!$C$2:$C$5000,$V275))</f>
        <v/>
      </c>
      <c r="AB275" s="9" t="str">
        <f t="shared" si="38"/>
        <v/>
      </c>
      <c r="AC275" s="9" t="str">
        <f t="shared" si="39"/>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40"/>
        <v/>
      </c>
      <c r="AN275" t="str">
        <f t="shared" si="41"/>
        <v/>
      </c>
    </row>
    <row r="276" spans="1:40" x14ac:dyDescent="0.25">
      <c r="A276" s="12"/>
      <c r="C276" s="9"/>
      <c r="D276" s="9"/>
      <c r="E276" s="9"/>
      <c r="F276" s="9"/>
      <c r="G276" s="9"/>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36"/>
        <v/>
      </c>
      <c r="R276" s="9" t="str">
        <f t="shared" si="37"/>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IF($U276="","",SUMIFS([1]SummaryHelper!$G$2:$G$5000,[1]SummaryHelper!$A$2:$A$5000,$T276,[1]SummaryHelper!$B$2:$B$5000,$U276,[1]SummaryHelper!$C$2:$C$5000,$V276))</f>
        <v/>
      </c>
      <c r="AB276" s="9" t="str">
        <f t="shared" si="38"/>
        <v/>
      </c>
      <c r="AC276" s="9" t="str">
        <f t="shared" si="39"/>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40"/>
        <v/>
      </c>
      <c r="AN276" t="str">
        <f t="shared" si="41"/>
        <v/>
      </c>
    </row>
    <row r="277" spans="1:40" x14ac:dyDescent="0.25">
      <c r="A277" s="12"/>
      <c r="C277" s="9"/>
      <c r="D277" s="9"/>
      <c r="E277" s="9"/>
      <c r="F277" s="9"/>
      <c r="G277" s="9"/>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36"/>
        <v/>
      </c>
      <c r="R277" s="9" t="str">
        <f t="shared" si="37"/>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IF($U277="","",SUMIFS([1]SummaryHelper!$G$2:$G$5000,[1]SummaryHelper!$A$2:$A$5000,$T277,[1]SummaryHelper!$B$2:$B$5000,$U277,[1]SummaryHelper!$C$2:$C$5000,$V277))</f>
        <v/>
      </c>
      <c r="AB277" s="9" t="str">
        <f t="shared" si="38"/>
        <v/>
      </c>
      <c r="AC277" s="9" t="str">
        <f t="shared" si="39"/>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40"/>
        <v/>
      </c>
      <c r="AN277" t="str">
        <f t="shared" si="41"/>
        <v/>
      </c>
    </row>
    <row r="278" spans="1:40" x14ac:dyDescent="0.25">
      <c r="A278" s="12"/>
      <c r="C278" s="9"/>
      <c r="D278" s="9"/>
      <c r="E278" s="9"/>
      <c r="F278" s="9"/>
      <c r="G278" s="9"/>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36"/>
        <v/>
      </c>
      <c r="R278" s="9" t="str">
        <f t="shared" si="37"/>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IF($U278="","",SUMIFS([1]SummaryHelper!$G$2:$G$5000,[1]SummaryHelper!$A$2:$A$5000,$T278,[1]SummaryHelper!$B$2:$B$5000,$U278,[1]SummaryHelper!$C$2:$C$5000,$V278))</f>
        <v/>
      </c>
      <c r="AB278" s="9" t="str">
        <f t="shared" si="38"/>
        <v/>
      </c>
      <c r="AC278" s="9" t="str">
        <f t="shared" si="39"/>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40"/>
        <v/>
      </c>
      <c r="AN278" t="str">
        <f t="shared" si="41"/>
        <v/>
      </c>
    </row>
    <row r="279" spans="1:40" x14ac:dyDescent="0.25">
      <c r="A279" s="12"/>
      <c r="C279" s="9"/>
      <c r="D279" s="9"/>
      <c r="E279" s="9"/>
      <c r="F279" s="9"/>
      <c r="G279" s="9"/>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36"/>
        <v/>
      </c>
      <c r="R279" s="9" t="str">
        <f t="shared" si="37"/>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IF($U279="","",SUMIFS([1]SummaryHelper!$G$2:$G$5000,[1]SummaryHelper!$A$2:$A$5000,$T279,[1]SummaryHelper!$B$2:$B$5000,$U279,[1]SummaryHelper!$C$2:$C$5000,$V279))</f>
        <v/>
      </c>
      <c r="AB279" s="9" t="str">
        <f t="shared" si="38"/>
        <v/>
      </c>
      <c r="AC279" s="9" t="str">
        <f t="shared" si="39"/>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40"/>
        <v/>
      </c>
      <c r="AN279" t="str">
        <f t="shared" si="41"/>
        <v/>
      </c>
    </row>
    <row r="280" spans="1:40" x14ac:dyDescent="0.25">
      <c r="A280" s="12"/>
      <c r="C280" s="9"/>
      <c r="D280" s="9"/>
      <c r="E280" s="9"/>
      <c r="F280" s="9"/>
      <c r="G280" s="9"/>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36"/>
        <v/>
      </c>
      <c r="R280" s="9" t="str">
        <f t="shared" si="37"/>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IF($U280="","",SUMIFS([1]SummaryHelper!$G$2:$G$5000,[1]SummaryHelper!$A$2:$A$5000,$T280,[1]SummaryHelper!$B$2:$B$5000,$U280,[1]SummaryHelper!$C$2:$C$5000,$V280))</f>
        <v/>
      </c>
      <c r="AB280" s="9" t="str">
        <f t="shared" si="38"/>
        <v/>
      </c>
      <c r="AC280" s="9" t="str">
        <f t="shared" si="39"/>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40"/>
        <v/>
      </c>
      <c r="AN280" t="str">
        <f t="shared" si="41"/>
        <v/>
      </c>
    </row>
    <row r="281" spans="1:40" x14ac:dyDescent="0.25">
      <c r="A281" s="12"/>
      <c r="C281" s="9"/>
      <c r="D281" s="9"/>
      <c r="E281" s="9"/>
      <c r="F281" s="9"/>
      <c r="G281" s="9"/>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36"/>
        <v/>
      </c>
      <c r="R281" s="9" t="str">
        <f t="shared" si="37"/>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IF($U281="","",SUMIFS([1]SummaryHelper!$G$2:$G$5000,[1]SummaryHelper!$A$2:$A$5000,$T281,[1]SummaryHelper!$B$2:$B$5000,$U281,[1]SummaryHelper!$C$2:$C$5000,$V281))</f>
        <v/>
      </c>
      <c r="AB281" s="9" t="str">
        <f t="shared" si="38"/>
        <v/>
      </c>
      <c r="AC281" s="9" t="str">
        <f t="shared" si="39"/>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40"/>
        <v/>
      </c>
      <c r="AN281" t="str">
        <f t="shared" si="41"/>
        <v/>
      </c>
    </row>
    <row r="282" spans="1:40" x14ac:dyDescent="0.25">
      <c r="A282" s="12"/>
      <c r="C282" s="9"/>
      <c r="D282" s="9"/>
      <c r="E282" s="9"/>
      <c r="F282" s="9"/>
      <c r="G282" s="9"/>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36"/>
        <v/>
      </c>
      <c r="R282" s="9" t="str">
        <f t="shared" si="37"/>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IF($U282="","",SUMIFS([1]SummaryHelper!$G$2:$G$5000,[1]SummaryHelper!$A$2:$A$5000,$T282,[1]SummaryHelper!$B$2:$B$5000,$U282,[1]SummaryHelper!$C$2:$C$5000,$V282))</f>
        <v/>
      </c>
      <c r="AB282" s="9" t="str">
        <f t="shared" si="38"/>
        <v/>
      </c>
      <c r="AC282" s="9" t="str">
        <f t="shared" si="39"/>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40"/>
        <v/>
      </c>
      <c r="AN282" t="str">
        <f t="shared" si="41"/>
        <v/>
      </c>
    </row>
    <row r="283" spans="1:40" x14ac:dyDescent="0.25">
      <c r="A283" s="12"/>
      <c r="C283" s="9"/>
      <c r="D283" s="9"/>
      <c r="E283" s="9"/>
      <c r="F283" s="9"/>
      <c r="G283" s="9"/>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36"/>
        <v/>
      </c>
      <c r="R283" s="9" t="str">
        <f t="shared" si="37"/>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IF($U283="","",SUMIFS([1]SummaryHelper!$G$2:$G$5000,[1]SummaryHelper!$A$2:$A$5000,$T283,[1]SummaryHelper!$B$2:$B$5000,$U283,[1]SummaryHelper!$C$2:$C$5000,$V283))</f>
        <v/>
      </c>
      <c r="AB283" s="9" t="str">
        <f t="shared" si="38"/>
        <v/>
      </c>
      <c r="AC283" s="9" t="str">
        <f t="shared" si="39"/>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40"/>
        <v/>
      </c>
      <c r="AN283" t="str">
        <f t="shared" si="41"/>
        <v/>
      </c>
    </row>
    <row r="284" spans="1:40" x14ac:dyDescent="0.25">
      <c r="A284" s="12"/>
      <c r="C284" s="9"/>
      <c r="D284" s="9"/>
      <c r="E284" s="9"/>
      <c r="F284" s="9"/>
      <c r="G284" s="9"/>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36"/>
        <v/>
      </c>
      <c r="R284" s="9" t="str">
        <f t="shared" si="37"/>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IF($U284="","",SUMIFS([1]SummaryHelper!$G$2:$G$5000,[1]SummaryHelper!$A$2:$A$5000,$T284,[1]SummaryHelper!$B$2:$B$5000,$U284,[1]SummaryHelper!$C$2:$C$5000,$V284))</f>
        <v/>
      </c>
      <c r="AB284" s="9" t="str">
        <f t="shared" si="38"/>
        <v/>
      </c>
      <c r="AC284" s="9" t="str">
        <f t="shared" si="39"/>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40"/>
        <v/>
      </c>
      <c r="AN284" t="str">
        <f t="shared" si="41"/>
        <v/>
      </c>
    </row>
    <row r="285" spans="1:40" x14ac:dyDescent="0.25">
      <c r="A285" s="12"/>
      <c r="C285" s="9"/>
      <c r="D285" s="9"/>
      <c r="E285" s="9"/>
      <c r="F285" s="9"/>
      <c r="G285" s="9"/>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36"/>
        <v/>
      </c>
      <c r="R285" s="9" t="str">
        <f t="shared" si="37"/>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IF($U285="","",SUMIFS([1]SummaryHelper!$G$2:$G$5000,[1]SummaryHelper!$A$2:$A$5000,$T285,[1]SummaryHelper!$B$2:$B$5000,$U285,[1]SummaryHelper!$C$2:$C$5000,$V285))</f>
        <v/>
      </c>
      <c r="AB285" s="9" t="str">
        <f t="shared" si="38"/>
        <v/>
      </c>
      <c r="AC285" s="9" t="str">
        <f t="shared" si="39"/>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40"/>
        <v/>
      </c>
      <c r="AN285" t="str">
        <f t="shared" si="41"/>
        <v/>
      </c>
    </row>
    <row r="286" spans="1:40" x14ac:dyDescent="0.25">
      <c r="A286" s="12"/>
      <c r="C286" s="9"/>
      <c r="D286" s="9"/>
      <c r="E286" s="9"/>
      <c r="F286" s="9"/>
      <c r="G286" s="9"/>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36"/>
        <v/>
      </c>
      <c r="R286" s="9" t="str">
        <f t="shared" si="37"/>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IF($U286="","",SUMIFS([1]SummaryHelper!$G$2:$G$5000,[1]SummaryHelper!$A$2:$A$5000,$T286,[1]SummaryHelper!$B$2:$B$5000,$U286,[1]SummaryHelper!$C$2:$C$5000,$V286))</f>
        <v/>
      </c>
      <c r="AB286" s="9" t="str">
        <f t="shared" si="38"/>
        <v/>
      </c>
      <c r="AC286" s="9" t="str">
        <f t="shared" si="39"/>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40"/>
        <v/>
      </c>
      <c r="AN286" t="str">
        <f t="shared" si="41"/>
        <v/>
      </c>
    </row>
    <row r="287" spans="1:40" x14ac:dyDescent="0.25">
      <c r="A287" s="12"/>
      <c r="C287" s="9"/>
      <c r="D287" s="9"/>
      <c r="E287" s="9"/>
      <c r="F287" s="9"/>
      <c r="G287" s="9"/>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36"/>
        <v/>
      </c>
      <c r="R287" s="9" t="str">
        <f t="shared" si="37"/>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IF($U287="","",SUMIFS([1]SummaryHelper!$G$2:$G$5000,[1]SummaryHelper!$A$2:$A$5000,$T287,[1]SummaryHelper!$B$2:$B$5000,$U287,[1]SummaryHelper!$C$2:$C$5000,$V287))</f>
        <v/>
      </c>
      <c r="AB287" s="9" t="str">
        <f t="shared" si="38"/>
        <v/>
      </c>
      <c r="AC287" s="9" t="str">
        <f t="shared" si="39"/>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40"/>
        <v/>
      </c>
      <c r="AN287" t="str">
        <f t="shared" si="41"/>
        <v/>
      </c>
    </row>
    <row r="288" spans="1:40" x14ac:dyDescent="0.25">
      <c r="A288" s="12"/>
      <c r="C288" s="9"/>
      <c r="D288" s="9"/>
      <c r="E288" s="9"/>
      <c r="F288" s="9"/>
      <c r="G288" s="9"/>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36"/>
        <v/>
      </c>
      <c r="R288" s="9" t="str">
        <f t="shared" si="37"/>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IF($U288="","",SUMIFS([1]SummaryHelper!$G$2:$G$5000,[1]SummaryHelper!$A$2:$A$5000,$T288,[1]SummaryHelper!$B$2:$B$5000,$U288,[1]SummaryHelper!$C$2:$C$5000,$V288))</f>
        <v/>
      </c>
      <c r="AB288" s="9" t="str">
        <f t="shared" si="38"/>
        <v/>
      </c>
      <c r="AC288" s="9" t="str">
        <f t="shared" si="39"/>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40"/>
        <v/>
      </c>
      <c r="AN288" t="str">
        <f t="shared" si="41"/>
        <v/>
      </c>
    </row>
    <row r="289" spans="1:40" x14ac:dyDescent="0.25">
      <c r="A289" s="12"/>
      <c r="C289" s="9"/>
      <c r="D289" s="9"/>
      <c r="E289" s="9"/>
      <c r="F289" s="9"/>
      <c r="G289" s="9"/>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36"/>
        <v/>
      </c>
      <c r="R289" s="9" t="str">
        <f t="shared" si="37"/>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IF($U289="","",SUMIFS([1]SummaryHelper!$G$2:$G$5000,[1]SummaryHelper!$A$2:$A$5000,$T289,[1]SummaryHelper!$B$2:$B$5000,$U289,[1]SummaryHelper!$C$2:$C$5000,$V289))</f>
        <v/>
      </c>
      <c r="AB289" s="9" t="str">
        <f t="shared" si="38"/>
        <v/>
      </c>
      <c r="AC289" s="9" t="str">
        <f t="shared" si="39"/>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40"/>
        <v/>
      </c>
      <c r="AN289" t="str">
        <f t="shared" si="41"/>
        <v/>
      </c>
    </row>
    <row r="290" spans="1:40" x14ac:dyDescent="0.25">
      <c r="A290" s="12"/>
      <c r="C290" s="9"/>
      <c r="D290" s="9"/>
      <c r="E290" s="9"/>
      <c r="F290" s="9"/>
      <c r="G290" s="9"/>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36"/>
        <v/>
      </c>
      <c r="R290" s="9" t="str">
        <f t="shared" si="37"/>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IF($U290="","",SUMIFS([1]SummaryHelper!$G$2:$G$5000,[1]SummaryHelper!$A$2:$A$5000,$T290,[1]SummaryHelper!$B$2:$B$5000,$U290,[1]SummaryHelper!$C$2:$C$5000,$V290))</f>
        <v/>
      </c>
      <c r="AB290" s="9" t="str">
        <f t="shared" si="38"/>
        <v/>
      </c>
      <c r="AC290" s="9" t="str">
        <f t="shared" si="39"/>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40"/>
        <v/>
      </c>
      <c r="AN290" t="str">
        <f t="shared" si="41"/>
        <v/>
      </c>
    </row>
    <row r="291" spans="1:40" x14ac:dyDescent="0.25">
      <c r="A291" s="12"/>
      <c r="C291" s="9"/>
      <c r="D291" s="9"/>
      <c r="E291" s="9"/>
      <c r="F291" s="9"/>
      <c r="G291" s="9"/>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36"/>
        <v/>
      </c>
      <c r="R291" s="9" t="str">
        <f t="shared" si="37"/>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IF($U291="","",SUMIFS([1]SummaryHelper!$G$2:$G$5000,[1]SummaryHelper!$A$2:$A$5000,$T291,[1]SummaryHelper!$B$2:$B$5000,$U291,[1]SummaryHelper!$C$2:$C$5000,$V291))</f>
        <v/>
      </c>
      <c r="AB291" s="9" t="str">
        <f t="shared" si="38"/>
        <v/>
      </c>
      <c r="AC291" s="9" t="str">
        <f t="shared" si="39"/>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40"/>
        <v/>
      </c>
      <c r="AN291" t="str">
        <f t="shared" si="41"/>
        <v/>
      </c>
    </row>
    <row r="292" spans="1:40" x14ac:dyDescent="0.25">
      <c r="A292" s="12"/>
      <c r="C292" s="9"/>
      <c r="D292" s="9"/>
      <c r="E292" s="9"/>
      <c r="F292" s="9"/>
      <c r="G292" s="9"/>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36"/>
        <v/>
      </c>
      <c r="R292" s="9" t="str">
        <f t="shared" si="37"/>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IF($U292="","",SUMIFS([1]SummaryHelper!$G$2:$G$5000,[1]SummaryHelper!$A$2:$A$5000,$T292,[1]SummaryHelper!$B$2:$B$5000,$U292,[1]SummaryHelper!$C$2:$C$5000,$V292))</f>
        <v/>
      </c>
      <c r="AB292" s="9" t="str">
        <f t="shared" si="38"/>
        <v/>
      </c>
      <c r="AC292" s="9" t="str">
        <f t="shared" si="39"/>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40"/>
        <v/>
      </c>
      <c r="AN292" t="str">
        <f t="shared" si="41"/>
        <v/>
      </c>
    </row>
    <row r="293" spans="1:40" x14ac:dyDescent="0.25">
      <c r="A293" s="12"/>
      <c r="C293" s="9"/>
      <c r="D293" s="9"/>
      <c r="E293" s="9"/>
      <c r="F293" s="9"/>
      <c r="G293" s="9"/>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36"/>
        <v/>
      </c>
      <c r="R293" s="9" t="str">
        <f t="shared" si="37"/>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IF($U293="","",SUMIFS([1]SummaryHelper!$G$2:$G$5000,[1]SummaryHelper!$A$2:$A$5000,$T293,[1]SummaryHelper!$B$2:$B$5000,$U293,[1]SummaryHelper!$C$2:$C$5000,$V293))</f>
        <v/>
      </c>
      <c r="AB293" s="9" t="str">
        <f t="shared" si="38"/>
        <v/>
      </c>
      <c r="AC293" s="9" t="str">
        <f t="shared" si="39"/>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40"/>
        <v/>
      </c>
      <c r="AN293" t="str">
        <f t="shared" si="41"/>
        <v/>
      </c>
    </row>
    <row r="294" spans="1:40" x14ac:dyDescent="0.25">
      <c r="A294" s="12"/>
      <c r="C294" s="9"/>
      <c r="D294" s="9"/>
      <c r="E294" s="9"/>
      <c r="F294" s="9"/>
      <c r="G294" s="9"/>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36"/>
        <v/>
      </c>
      <c r="R294" s="9" t="str">
        <f t="shared" si="37"/>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IF($U294="","",SUMIFS([1]SummaryHelper!$G$2:$G$5000,[1]SummaryHelper!$A$2:$A$5000,$T294,[1]SummaryHelper!$B$2:$B$5000,$U294,[1]SummaryHelper!$C$2:$C$5000,$V294))</f>
        <v/>
      </c>
      <c r="AB294" s="9" t="str">
        <f t="shared" si="38"/>
        <v/>
      </c>
      <c r="AC294" s="9" t="str">
        <f t="shared" si="39"/>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40"/>
        <v/>
      </c>
      <c r="AN294" t="str">
        <f t="shared" si="41"/>
        <v/>
      </c>
    </row>
    <row r="295" spans="1:40" x14ac:dyDescent="0.25">
      <c r="A295" s="12"/>
      <c r="C295" s="9"/>
      <c r="D295" s="9"/>
      <c r="E295" s="9"/>
      <c r="F295" s="9"/>
      <c r="G295" s="9"/>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36"/>
        <v/>
      </c>
      <c r="R295" s="9" t="str">
        <f t="shared" si="37"/>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IF($U295="","",SUMIFS([1]SummaryHelper!$G$2:$G$5000,[1]SummaryHelper!$A$2:$A$5000,$T295,[1]SummaryHelper!$B$2:$B$5000,$U295,[1]SummaryHelper!$C$2:$C$5000,$V295))</f>
        <v/>
      </c>
      <c r="AB295" s="9" t="str">
        <f t="shared" si="38"/>
        <v/>
      </c>
      <c r="AC295" s="9" t="str">
        <f t="shared" si="39"/>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40"/>
        <v/>
      </c>
      <c r="AN295" t="str">
        <f t="shared" si="41"/>
        <v/>
      </c>
    </row>
    <row r="296" spans="1:40" x14ac:dyDescent="0.25">
      <c r="A296" s="12"/>
      <c r="C296" s="9"/>
      <c r="D296" s="9"/>
      <c r="E296" s="9"/>
      <c r="F296" s="9"/>
      <c r="G296" s="9"/>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36"/>
        <v/>
      </c>
      <c r="R296" s="9" t="str">
        <f t="shared" si="37"/>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IF($U296="","",SUMIFS([1]SummaryHelper!$G$2:$G$5000,[1]SummaryHelper!$A$2:$A$5000,$T296,[1]SummaryHelper!$B$2:$B$5000,$U296,[1]SummaryHelper!$C$2:$C$5000,$V296))</f>
        <v/>
      </c>
      <c r="AB296" s="9" t="str">
        <f t="shared" si="38"/>
        <v/>
      </c>
      <c r="AC296" s="9" t="str">
        <f t="shared" si="39"/>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40"/>
        <v/>
      </c>
      <c r="AN296" t="str">
        <f t="shared" si="41"/>
        <v/>
      </c>
    </row>
    <row r="297" spans="1:40" x14ac:dyDescent="0.25">
      <c r="A297" s="12"/>
      <c r="C297" s="9"/>
      <c r="D297" s="9"/>
      <c r="E297" s="9"/>
      <c r="F297" s="9"/>
      <c r="G297" s="9"/>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36"/>
        <v/>
      </c>
      <c r="R297" s="9" t="str">
        <f t="shared" si="37"/>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IF($U297="","",SUMIFS([1]SummaryHelper!$G$2:$G$5000,[1]SummaryHelper!$A$2:$A$5000,$T297,[1]SummaryHelper!$B$2:$B$5000,$U297,[1]SummaryHelper!$C$2:$C$5000,$V297))</f>
        <v/>
      </c>
      <c r="AB297" s="9" t="str">
        <f t="shared" si="38"/>
        <v/>
      </c>
      <c r="AC297" s="9" t="str">
        <f t="shared" si="39"/>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40"/>
        <v/>
      </c>
      <c r="AN297" t="str">
        <f t="shared" si="41"/>
        <v/>
      </c>
    </row>
    <row r="298" spans="1:40" x14ac:dyDescent="0.25">
      <c r="A298" s="12"/>
      <c r="C298" s="9"/>
      <c r="D298" s="9"/>
      <c r="E298" s="9"/>
      <c r="F298" s="9"/>
      <c r="G298" s="9"/>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36"/>
        <v/>
      </c>
      <c r="R298" s="9" t="str">
        <f t="shared" si="37"/>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IF($U298="","",SUMIFS([1]SummaryHelper!$G$2:$G$5000,[1]SummaryHelper!$A$2:$A$5000,$T298,[1]SummaryHelper!$B$2:$B$5000,$U298,[1]SummaryHelper!$C$2:$C$5000,$V298))</f>
        <v/>
      </c>
      <c r="AB298" s="9" t="str">
        <f t="shared" si="38"/>
        <v/>
      </c>
      <c r="AC298" s="9" t="str">
        <f t="shared" si="39"/>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40"/>
        <v/>
      </c>
      <c r="AN298" t="str">
        <f t="shared" si="41"/>
        <v/>
      </c>
    </row>
    <row r="299" spans="1:40" x14ac:dyDescent="0.25">
      <c r="A299" s="12"/>
      <c r="C299" s="9"/>
      <c r="D299" s="9"/>
      <c r="E299" s="9"/>
      <c r="F299" s="9"/>
      <c r="G299" s="9"/>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36"/>
        <v/>
      </c>
      <c r="R299" s="9" t="str">
        <f t="shared" si="37"/>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IF($U299="","",SUMIFS([1]SummaryHelper!$G$2:$G$5000,[1]SummaryHelper!$A$2:$A$5000,$T299,[1]SummaryHelper!$B$2:$B$5000,$U299,[1]SummaryHelper!$C$2:$C$5000,$V299))</f>
        <v/>
      </c>
      <c r="AB299" s="9" t="str">
        <f t="shared" si="38"/>
        <v/>
      </c>
      <c r="AC299" s="9" t="str">
        <f t="shared" si="39"/>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40"/>
        <v/>
      </c>
      <c r="AN299" t="str">
        <f t="shared" si="41"/>
        <v/>
      </c>
    </row>
    <row r="300" spans="1:40" x14ac:dyDescent="0.25">
      <c r="A300" s="12"/>
      <c r="C300" s="9"/>
      <c r="D300" s="9"/>
      <c r="E300" s="9"/>
      <c r="F300" s="9"/>
      <c r="G300" s="9"/>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36"/>
        <v/>
      </c>
      <c r="R300" s="9" t="str">
        <f t="shared" si="37"/>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IF($U300="","",SUMIFS([1]SummaryHelper!$G$2:$G$5000,[1]SummaryHelper!$A$2:$A$5000,$T300,[1]SummaryHelper!$B$2:$B$5000,$U300,[1]SummaryHelper!$C$2:$C$5000,$V300))</f>
        <v/>
      </c>
      <c r="AB300" s="9" t="str">
        <f t="shared" si="38"/>
        <v/>
      </c>
      <c r="AC300" s="9" t="str">
        <f t="shared" si="39"/>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40"/>
        <v/>
      </c>
      <c r="AN300" t="str">
        <f t="shared" ref="AN300" si="42">IF($AF300="","",$AM300*$AH300)</f>
        <v/>
      </c>
    </row>
    <row r="301" spans="1:40" s="28" customFormat="1" x14ac:dyDescent="0.25">
      <c r="A301"/>
      <c r="B301" s="20"/>
      <c r="C301"/>
      <c r="D301"/>
      <c r="E301"/>
      <c r="F301"/>
      <c r="G301"/>
      <c r="H301" s="1"/>
      <c r="L301" s="29" t="str">
        <f>IF($J301="","",IFERROR(SUMIFS(SummaryHelper!$H$2:$H$5000,SummaryHelper!$A$2:$A$5000,$I301,SummaryHelper!$B$2:$B$5000,$J301,SummaryHelper!$C$2:$C$5000,$K301)/SUMIFS(SummaryHelper!$G$2:$G$5000,SummaryHelper!$A$2:$A$5000,$I301,SummaryHelper!$B$2:$B$5000,$J301,SummaryHelper!$C$2:$C$5000,$K301),""))</f>
        <v/>
      </c>
      <c r="M301" s="29"/>
      <c r="N301" s="29"/>
      <c r="O301" s="29"/>
      <c r="P301" s="29"/>
      <c r="Q301" s="29"/>
      <c r="R301" s="29"/>
      <c r="W301" s="29"/>
      <c r="X301" s="29"/>
      <c r="Y301" s="29"/>
      <c r="Z301" s="29"/>
      <c r="AA301" s="29"/>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S01</v>
      </c>
      <c r="B1" s="40"/>
      <c r="C1" s="40"/>
      <c r="E1" s="41" t="str" cm="1">
        <f t="array" aca="1" ref="E1" ca="1">IFERROR(MID(CELL("filename",$A$1),FIND("]",CELL("filename",$A$1))+1,99),"SXX")&amp;" MATERIALS (USAGE + STANDALONE)"</f>
        <v>S01 MATERIALS (USAGE + STANDALONE)</v>
      </c>
      <c r="F1" s="41"/>
      <c r="G1" s="41"/>
      <c r="H1" s="41"/>
      <c r="I1" s="41"/>
      <c r="J1" s="41"/>
      <c r="K1" s="41"/>
      <c r="L1" s="13"/>
      <c r="M1" s="13"/>
      <c r="N1" s="17">
        <f>SUM(N3:N49)</f>
        <v>149</v>
      </c>
      <c r="P1" s="41" t="str" cm="1">
        <f t="array" aca="1" ref="P1" ca="1">IFERROR(MID(CELL("filename",$A$1),FIND("]",CELL("filename",$A$1))+1,99),"SXX")&amp;" LABOUR (USAGE + STANDALONE)"</f>
        <v>S01 LABOUR (USAGE + STANDALONE)</v>
      </c>
      <c r="Q1" s="41"/>
      <c r="R1" s="41"/>
      <c r="S1" s="41"/>
      <c r="T1" s="41"/>
      <c r="U1" s="41"/>
      <c r="V1" s="41"/>
      <c r="Y1" s="17">
        <f>SUM(Y3:Y49)</f>
        <v>315</v>
      </c>
      <c r="AA1" s="42" t="str" cm="1">
        <f t="array" aca="1" ref="AA1" ca="1">IFERROR(MID(CELL("filename",$A$1),FIND("]",CELL("filename",$A$1))+1,99),"SXX")&amp;" RENTAL / SERVICE (USAGE + STANDALONE)"</f>
        <v>S01 RENTAL / SERVICE (USAGE + STANDALONE)</v>
      </c>
      <c r="AB1" s="42"/>
      <c r="AC1" s="42"/>
      <c r="AD1" s="42"/>
      <c r="AE1" s="42"/>
      <c r="AF1" s="42"/>
      <c r="AG1" s="42"/>
      <c r="AH1" s="6"/>
      <c r="AI1" s="6"/>
      <c r="AJ1" s="17">
        <f>SUM(AJ3:AJ49)</f>
        <v>3800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v>
      </c>
      <c r="B3" s="3" t="s">
        <v>1365</v>
      </c>
      <c r="C3" s="3" t="s">
        <v>1814</v>
      </c>
      <c r="E3" t="s">
        <v>1845</v>
      </c>
      <c r="F3" t="s">
        <v>253</v>
      </c>
      <c r="G3" t="s">
        <v>254</v>
      </c>
      <c r="H3" t="s">
        <v>8</v>
      </c>
      <c r="I3">
        <v>2</v>
      </c>
      <c r="J3" s="19">
        <v>0</v>
      </c>
      <c r="K3">
        <v>65</v>
      </c>
      <c r="L3" s="8">
        <f t="shared" ref="L3:L49" si="0">IF($G3="","",$I3*(1+IF($J3="",0,$J3)))</f>
        <v>2</v>
      </c>
      <c r="M3" s="8">
        <f t="shared" ref="M3:M49" si="1">IF($G3="","",$L3)</f>
        <v>2</v>
      </c>
      <c r="N3" s="8">
        <f t="shared" ref="N3:N49" si="2">IF($G3="","",IF($K3="","",$M3*$K3))</f>
        <v>130</v>
      </c>
      <c r="P3" t="s">
        <v>1891</v>
      </c>
      <c r="Q3" t="s">
        <v>1848</v>
      </c>
      <c r="R3" t="s">
        <v>251</v>
      </c>
      <c r="S3" t="s">
        <v>29</v>
      </c>
      <c r="T3">
        <v>14</v>
      </c>
      <c r="U3" s="19">
        <v>0</v>
      </c>
      <c r="V3">
        <v>22.5</v>
      </c>
      <c r="W3" s="8">
        <f>IF($R3="","",$T3*(1+IF($U3="",0,$U3)))</f>
        <v>14</v>
      </c>
      <c r="X3" s="8">
        <f>IF($R3="","",$W3)</f>
        <v>14</v>
      </c>
      <c r="Y3" s="8">
        <f>IF($R3="","",IF($V3="","",$X3*$V3))</f>
        <v>315</v>
      </c>
      <c r="AA3" s="6" t="s">
        <v>1382</v>
      </c>
      <c r="AB3" t="s">
        <v>1383</v>
      </c>
      <c r="AC3" t="s">
        <v>493</v>
      </c>
      <c r="AD3" t="s">
        <v>494</v>
      </c>
      <c r="AE3">
        <v>1</v>
      </c>
      <c r="AF3">
        <v>0</v>
      </c>
      <c r="AG3">
        <v>650</v>
      </c>
      <c r="AH3" s="8">
        <f>IF($AC3="","",$AE3*(1+IF($AF3="",0,$AF3)))</f>
        <v>1</v>
      </c>
      <c r="AI3" s="8">
        <f>IF($AC3="","",$AH3)</f>
        <v>1</v>
      </c>
      <c r="AJ3" s="8">
        <f>IF($AC3="","",IF($AG3="","",$AI3*$AG3))</f>
        <v>650</v>
      </c>
    </row>
    <row r="4" spans="1:37" x14ac:dyDescent="0.25">
      <c r="A4" s="3" t="s">
        <v>37</v>
      </c>
      <c r="B4" s="3" t="s">
        <v>1815</v>
      </c>
      <c r="C4" s="3" t="s">
        <v>1816</v>
      </c>
      <c r="E4" t="s">
        <v>1846</v>
      </c>
      <c r="F4" t="s">
        <v>253</v>
      </c>
      <c r="G4" t="s">
        <v>255</v>
      </c>
      <c r="H4" t="s">
        <v>256</v>
      </c>
      <c r="I4">
        <v>1</v>
      </c>
      <c r="J4" s="19">
        <v>0</v>
      </c>
      <c r="K4">
        <v>15</v>
      </c>
      <c r="L4" s="8">
        <f t="shared" si="0"/>
        <v>1</v>
      </c>
      <c r="M4" s="8">
        <f t="shared" si="1"/>
        <v>1</v>
      </c>
      <c r="N4" s="8">
        <f t="shared" si="2"/>
        <v>15</v>
      </c>
      <c r="U4" s="19"/>
      <c r="W4" s="8" t="str">
        <f t="shared" ref="W4:W49" si="3">IF($R4="","",$T4*(1+IF($U4="",0,$U4)))</f>
        <v/>
      </c>
      <c r="X4" s="8" t="str">
        <f t="shared" ref="X4:X49" si="4">IF($R4="","",$W4)</f>
        <v/>
      </c>
      <c r="Y4" s="8" t="str">
        <f t="shared" ref="Y4:Y49" si="5">IF($R4="","",IF($V4="","",$X4*$V4))</f>
        <v/>
      </c>
      <c r="AA4" s="6" t="s">
        <v>1384</v>
      </c>
      <c r="AB4" t="s">
        <v>1383</v>
      </c>
      <c r="AC4" t="s">
        <v>1385</v>
      </c>
      <c r="AD4" t="s">
        <v>494</v>
      </c>
      <c r="AE4">
        <v>1</v>
      </c>
      <c r="AF4">
        <v>0</v>
      </c>
      <c r="AG4">
        <v>450</v>
      </c>
      <c r="AH4" s="8">
        <f t="shared" ref="AH4:AH49" si="6">IF($AC4="","",$AE4*(1+IF($AF4="",0,$AF4)))</f>
        <v>1</v>
      </c>
      <c r="AI4" s="8">
        <f t="shared" ref="AI4:AI49" si="7">IF($AC4="","",$AH4)</f>
        <v>1</v>
      </c>
      <c r="AJ4" s="8">
        <f t="shared" ref="AJ4:AJ49" si="8">IF($AC4="","",IF($AG4="","",$AI4*$AG4))</f>
        <v>450</v>
      </c>
    </row>
    <row r="5" spans="1:37" x14ac:dyDescent="0.25">
      <c r="A5" s="3" t="s">
        <v>252</v>
      </c>
      <c r="B5" s="3" t="s">
        <v>1366</v>
      </c>
      <c r="C5" s="3" t="s">
        <v>1817</v>
      </c>
      <c r="E5" t="s">
        <v>1847</v>
      </c>
      <c r="F5" t="s">
        <v>257</v>
      </c>
      <c r="G5" t="s">
        <v>258</v>
      </c>
      <c r="H5" t="s">
        <v>8</v>
      </c>
      <c r="I5">
        <v>1</v>
      </c>
      <c r="J5" s="19">
        <v>0</v>
      </c>
      <c r="K5">
        <v>4</v>
      </c>
      <c r="L5" s="8">
        <f t="shared" si="0"/>
        <v>1</v>
      </c>
      <c r="M5" s="8">
        <f t="shared" si="1"/>
        <v>1</v>
      </c>
      <c r="N5" s="8">
        <f t="shared" si="2"/>
        <v>4</v>
      </c>
      <c r="W5" s="8" t="str">
        <f t="shared" si="3"/>
        <v/>
      </c>
      <c r="X5" s="8" t="str">
        <f t="shared" si="4"/>
        <v/>
      </c>
      <c r="Y5" s="8" t="str">
        <f t="shared" si="5"/>
        <v/>
      </c>
      <c r="AA5" s="6" t="s">
        <v>1386</v>
      </c>
      <c r="AB5" t="s">
        <v>1387</v>
      </c>
      <c r="AC5" t="s">
        <v>31</v>
      </c>
      <c r="AD5" t="s">
        <v>10</v>
      </c>
      <c r="AE5">
        <v>60</v>
      </c>
      <c r="AF5">
        <v>0</v>
      </c>
      <c r="AG5">
        <v>45</v>
      </c>
      <c r="AH5" s="8">
        <f t="shared" si="6"/>
        <v>60</v>
      </c>
      <c r="AI5" s="8">
        <f t="shared" si="7"/>
        <v>60</v>
      </c>
      <c r="AJ5" s="8">
        <f t="shared" si="8"/>
        <v>2700</v>
      </c>
    </row>
    <row r="6" spans="1:37" x14ac:dyDescent="0.25">
      <c r="A6" s="3" t="s">
        <v>292</v>
      </c>
      <c r="B6" s="3" t="s">
        <v>367</v>
      </c>
      <c r="C6" s="3" t="s">
        <v>1367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368</v>
      </c>
      <c r="B7" s="3" t="s">
        <v>369</v>
      </c>
      <c r="C7" s="3" t="s">
        <v>1818</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368</v>
      </c>
      <c r="B8" s="3" t="s">
        <v>370</v>
      </c>
      <c r="C8" s="3" t="s">
        <v>1819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293</v>
      </c>
      <c r="B9" s="3" t="s">
        <v>371</v>
      </c>
      <c r="C9" s="3" t="s">
        <v>1368</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368</v>
      </c>
      <c r="B10" s="3" t="s">
        <v>372</v>
      </c>
      <c r="C10" s="3" t="s">
        <v>373</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293</v>
      </c>
      <c r="B11" s="3" t="s">
        <v>374</v>
      </c>
      <c r="C11" s="3" t="s">
        <v>1369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368</v>
      </c>
      <c r="B12" s="3" t="s">
        <v>375</v>
      </c>
      <c r="C12" s="3" t="s">
        <v>1820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293</v>
      </c>
      <c r="B13" s="3" t="s">
        <v>1370</v>
      </c>
      <c r="C13" s="3" t="s">
        <v>1821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293</v>
      </c>
      <c r="B14" s="3" t="s">
        <v>1371</v>
      </c>
      <c r="C14" s="3" t="s">
        <v>1822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1372</v>
      </c>
      <c r="B15" s="3" t="s">
        <v>1373</v>
      </c>
      <c r="C15" s="3" t="s">
        <v>1823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1374</v>
      </c>
      <c r="B16" s="3" t="s">
        <v>1375</v>
      </c>
      <c r="C16" s="3" t="s">
        <v>1824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1376</v>
      </c>
      <c r="B17" s="3" t="s">
        <v>1377</v>
      </c>
      <c r="C17" s="3" t="s">
        <v>1825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368</v>
      </c>
      <c r="B18" s="3" t="s">
        <v>487</v>
      </c>
      <c r="C18" s="3" t="s">
        <v>1826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368</v>
      </c>
      <c r="B19" s="3" t="s">
        <v>488</v>
      </c>
      <c r="C19" s="3" t="s">
        <v>1827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368</v>
      </c>
      <c r="B20" s="3" t="s">
        <v>492</v>
      </c>
      <c r="C20" s="3" t="s">
        <v>1828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368</v>
      </c>
      <c r="B21" s="3" t="s">
        <v>1829</v>
      </c>
      <c r="C21" s="3" t="s">
        <v>1830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368</v>
      </c>
      <c r="B22" s="3" t="s">
        <v>1831</v>
      </c>
      <c r="C22" s="3" t="s">
        <v>1832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376</v>
      </c>
      <c r="B23" s="3" t="s">
        <v>377</v>
      </c>
      <c r="C23" s="3" t="s">
        <v>378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293</v>
      </c>
      <c r="B24" s="3" t="s">
        <v>386</v>
      </c>
      <c r="C24" s="3" t="s">
        <v>1833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376</v>
      </c>
      <c r="B25" s="3" t="s">
        <v>1378</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293</v>
      </c>
      <c r="B26" s="3" t="s">
        <v>1834</v>
      </c>
      <c r="C26" s="3" t="s">
        <v>1890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376</v>
      </c>
      <c r="B27" s="3" t="s">
        <v>379</v>
      </c>
      <c r="C27" s="3" t="s">
        <v>380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293</v>
      </c>
      <c r="B28" s="3" t="s">
        <v>387</v>
      </c>
      <c r="C28" s="3" t="s">
        <v>388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376</v>
      </c>
      <c r="B29" s="3" t="s">
        <v>1378</v>
      </c>
      <c r="C29" s="3" t="s">
        <v>381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293</v>
      </c>
      <c r="B30" s="3" t="s">
        <v>1834</v>
      </c>
      <c r="C30" s="3" t="s">
        <v>1835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376</v>
      </c>
      <c r="B31" s="3" t="s">
        <v>489</v>
      </c>
      <c r="C31" s="3" t="s">
        <v>1379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293</v>
      </c>
      <c r="B32" s="3" t="s">
        <v>1836</v>
      </c>
      <c r="C32" s="3" t="s">
        <v>1837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376</v>
      </c>
      <c r="B33" s="3" t="s">
        <v>490</v>
      </c>
      <c r="C33" s="3" t="s">
        <v>1380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293</v>
      </c>
      <c r="B34" s="3" t="s">
        <v>1838</v>
      </c>
      <c r="C34" s="3" t="s">
        <v>1839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376</v>
      </c>
      <c r="B35" s="3" t="s">
        <v>1381</v>
      </c>
      <c r="C35" s="3" t="s">
        <v>491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293</v>
      </c>
      <c r="B36" s="3" t="s">
        <v>1840</v>
      </c>
      <c r="C36" s="3" t="s">
        <v>1841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368</v>
      </c>
      <c r="B37" s="3" t="s">
        <v>382</v>
      </c>
      <c r="C37" s="3" t="s">
        <v>1842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383</v>
      </c>
      <c r="B38" s="3" t="s">
        <v>384</v>
      </c>
      <c r="C38" s="3" t="s">
        <v>385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250</v>
      </c>
      <c r="B39" s="3" t="s">
        <v>1843</v>
      </c>
      <c r="C39" s="3" t="s">
        <v>1844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S02</v>
      </c>
      <c r="B1" s="40"/>
      <c r="C1" s="40"/>
      <c r="E1" s="41" t="str" cm="1">
        <f t="array" aca="1" ref="E1" ca="1">IFERROR(MID(CELL("filename",$A$1),FIND("]",CELL("filename",$A$1))+1,99),"SXX")&amp;" MATERIALS (USAGE + STANDALONE)"</f>
        <v>S02 MATERIALS (USAGE + STANDALONE)</v>
      </c>
      <c r="F1" s="41"/>
      <c r="G1" s="41"/>
      <c r="H1" s="41"/>
      <c r="I1" s="41"/>
      <c r="J1" s="41"/>
      <c r="K1" s="41"/>
      <c r="L1" s="13"/>
      <c r="M1" s="13"/>
      <c r="N1" s="17">
        <f>SUM(N3:N49)</f>
        <v>0</v>
      </c>
      <c r="P1" s="41" t="str" cm="1">
        <f t="array" aca="1" ref="P1" ca="1">IFERROR(MID(CELL("filename",$A$1),FIND("]",CELL("filename",$A$1))+1,99),"SXX")&amp;" LABOUR (USAGE + STANDALONE)"</f>
        <v>S02 LABOUR (USAGE + STANDALONE)</v>
      </c>
      <c r="Q1" s="41"/>
      <c r="R1" s="41"/>
      <c r="S1" s="41"/>
      <c r="T1" s="41"/>
      <c r="U1" s="41"/>
      <c r="V1" s="41"/>
      <c r="Y1" s="17">
        <f>SUM(Y3:Y49)</f>
        <v>0</v>
      </c>
      <c r="AA1" s="42" t="str" cm="1">
        <f t="array" aca="1" ref="AA1" ca="1">IFERROR(MID(CELL("filename",$A$1),FIND("]",CELL("filename",$A$1))+1,99),"SXX")&amp;" RENTAL / SERVICE (USAGE + STANDALONE)"</f>
        <v>S02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262</v>
      </c>
      <c r="B3" s="3" t="s">
        <v>389</v>
      </c>
      <c r="C3" s="3" t="s">
        <v>390</v>
      </c>
      <c r="J3" s="19"/>
      <c r="L3" s="8" t="str">
        <f t="shared" ref="L3:L49" si="0">IF($G3="","",$I3*(1+IF($J3="",0,$J3)))</f>
        <v/>
      </c>
      <c r="M3" s="8" t="str">
        <f t="shared" ref="M3:M49" si="1">IF($G3="","",$L3)</f>
        <v/>
      </c>
      <c r="N3" s="8" t="str">
        <f t="shared" ref="N3:N49" si="2">IF($G3="","",IF($K3="","",$M3*$K3))</f>
        <v/>
      </c>
      <c r="U3" s="19"/>
      <c r="W3" s="8" t="str">
        <f>IF($R3="","",$T3*(1+IF($U3="",0,$U3)))</f>
        <v/>
      </c>
      <c r="X3" s="8" t="str">
        <f>IF($R3="","",$W3)</f>
        <v/>
      </c>
      <c r="Y3" s="8" t="str">
        <f>IF($R3="","",IF($V3="","",$X3*$V3))</f>
        <v/>
      </c>
      <c r="AH3" s="8" t="str">
        <f>IF($AC3="","",$AE3*(1+IF($AF3="",0,$AF3)))</f>
        <v/>
      </c>
      <c r="AI3" s="8" t="str">
        <f>IF($AC3="","",$AH3)</f>
        <v/>
      </c>
      <c r="AJ3" s="8" t="str">
        <f>IF($AC3="","",IF($AG3="","",$AI3*$AG3))</f>
        <v/>
      </c>
    </row>
    <row r="4" spans="1:37" x14ac:dyDescent="0.25">
      <c r="A4" s="3" t="s">
        <v>263</v>
      </c>
      <c r="B4" s="3" t="s">
        <v>391</v>
      </c>
      <c r="C4" s="3" t="s">
        <v>392</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393</v>
      </c>
      <c r="B5" s="3" t="s">
        <v>394</v>
      </c>
      <c r="C5" s="3" t="s">
        <v>395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264</v>
      </c>
      <c r="B6" s="3" t="s">
        <v>396</v>
      </c>
      <c r="C6" s="3" t="s">
        <v>397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264</v>
      </c>
      <c r="B7" s="3" t="s">
        <v>398</v>
      </c>
      <c r="C7" s="3" t="s">
        <v>399</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264</v>
      </c>
      <c r="B8" s="3" t="s">
        <v>400</v>
      </c>
      <c r="C8" s="3" t="s">
        <v>401</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264</v>
      </c>
      <c r="B9" s="3" t="s">
        <v>402</v>
      </c>
      <c r="C9" s="3" t="s">
        <v>403</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264</v>
      </c>
      <c r="B10" s="3" t="s">
        <v>404</v>
      </c>
      <c r="C10" s="3" t="s">
        <v>405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265</v>
      </c>
      <c r="B11" s="3" t="s">
        <v>406</v>
      </c>
      <c r="C11" s="3" t="s">
        <v>407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264</v>
      </c>
      <c r="B12" s="3" t="s">
        <v>408</v>
      </c>
      <c r="C12" s="3" t="s">
        <v>409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410</v>
      </c>
      <c r="B13" s="3" t="s">
        <v>411</v>
      </c>
      <c r="C13" s="3" t="s">
        <v>412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266</v>
      </c>
      <c r="B14" s="3" t="s">
        <v>413</v>
      </c>
      <c r="C14" s="3" t="s">
        <v>414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S03</v>
      </c>
      <c r="B1" s="40"/>
      <c r="C1" s="40"/>
      <c r="E1" s="41" t="str" cm="1">
        <f t="array" aca="1" ref="E1" ca="1">IFERROR(MID(CELL("filename",$A$1),FIND("]",CELL("filename",$A$1))+1,99),"SXX")&amp;" MATERIALS (USAGE + STANDALONE)"</f>
        <v>S03 MATERIALS (USAGE + STANDALONE)</v>
      </c>
      <c r="F1" s="41"/>
      <c r="G1" s="41"/>
      <c r="H1" s="41"/>
      <c r="I1" s="41"/>
      <c r="J1" s="41"/>
      <c r="K1" s="41"/>
      <c r="L1" s="13"/>
      <c r="M1" s="13"/>
      <c r="N1" s="17">
        <f>SUM(N3:N49)</f>
        <v>0</v>
      </c>
      <c r="P1" s="41" t="str" cm="1">
        <f t="array" aca="1" ref="P1" ca="1">IFERROR(MID(CELL("filename",$A$1),FIND("]",CELL("filename",$A$1))+1,99),"SXX")&amp;" LABOUR (USAGE + STANDALONE)"</f>
        <v>S03 LABOUR (USAGE + STANDALONE)</v>
      </c>
      <c r="Q1" s="41"/>
      <c r="R1" s="41"/>
      <c r="S1" s="41"/>
      <c r="T1" s="41"/>
      <c r="U1" s="41"/>
      <c r="V1" s="41"/>
      <c r="Y1" s="17">
        <f>SUM(Y3:Y49)</f>
        <v>2250</v>
      </c>
      <c r="AA1" s="42" t="str" cm="1">
        <f t="array" aca="1" ref="AA1" ca="1">IFERROR(MID(CELL("filename",$A$1),FIND("]",CELL("filename",$A$1))+1,99),"SXX")&amp;" RENTAL / SERVICE (USAGE + STANDALONE)"</f>
        <v>S03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267</v>
      </c>
      <c r="B3" s="3" t="s">
        <v>432</v>
      </c>
      <c r="C3" s="3" t="s">
        <v>433</v>
      </c>
      <c r="J3" s="19"/>
      <c r="L3" s="8" t="str">
        <f t="shared" ref="L3:L49" si="0">IF($G3="","",$I3*(1+IF($J3="",0,$J3)))</f>
        <v/>
      </c>
      <c r="M3" s="8" t="str">
        <f t="shared" ref="M3:M49" si="1">IF($G3="","",$L3)</f>
        <v/>
      </c>
      <c r="N3" s="8" t="str">
        <f t="shared" ref="N3:N49" si="2">IF($G3="","",IF($K3="","",$M3*$K3))</f>
        <v/>
      </c>
      <c r="P3" t="s">
        <v>1895</v>
      </c>
      <c r="Q3" t="s">
        <v>469</v>
      </c>
      <c r="R3" t="s">
        <v>251</v>
      </c>
      <c r="S3" t="s">
        <v>29</v>
      </c>
      <c r="T3">
        <v>100</v>
      </c>
      <c r="U3" s="19">
        <v>0</v>
      </c>
      <c r="V3">
        <v>22.5</v>
      </c>
      <c r="W3" s="8">
        <f>IF($R3="","",$T3*(1+IF($U3="",0,$U3)))</f>
        <v>100</v>
      </c>
      <c r="X3" s="8">
        <f>IF($R3="","",$W3)</f>
        <v>100</v>
      </c>
      <c r="Y3" s="8">
        <f>IF($R3="","",IF($V3="","",$X3*$V3))</f>
        <v>2250</v>
      </c>
      <c r="AH3" s="8" t="str">
        <f>IF($AC3="","",$AE3*(1+IF($AF3="",0,$AF3)))</f>
        <v/>
      </c>
      <c r="AI3" s="8" t="str">
        <f>IF($AC3="","",$AH3)</f>
        <v/>
      </c>
      <c r="AJ3" s="8" t="str">
        <f>IF($AC3="","",IF($AG3="","",$AI3*$AG3))</f>
        <v/>
      </c>
    </row>
    <row r="4" spans="1:37" x14ac:dyDescent="0.25">
      <c r="A4" s="3" t="s">
        <v>268</v>
      </c>
      <c r="B4" s="3" t="s">
        <v>1849</v>
      </c>
      <c r="C4" s="3" t="s">
        <v>434</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415</v>
      </c>
      <c r="B5" s="3" t="s">
        <v>416</v>
      </c>
      <c r="C5" s="3" t="s">
        <v>435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417</v>
      </c>
      <c r="B6" s="3" t="s">
        <v>418</v>
      </c>
      <c r="C6" s="3" t="s">
        <v>436</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419</v>
      </c>
      <c r="B7" s="3" t="s">
        <v>420</v>
      </c>
      <c r="C7" s="3" t="s">
        <v>421</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422</v>
      </c>
      <c r="B8" s="3" t="s">
        <v>420</v>
      </c>
      <c r="C8" s="3" t="s">
        <v>423</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424</v>
      </c>
      <c r="B9" s="3" t="s">
        <v>425</v>
      </c>
      <c r="C9" s="3" t="s">
        <v>426</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269</v>
      </c>
      <c r="B10" s="3" t="s">
        <v>437</v>
      </c>
      <c r="C10" s="3" t="s">
        <v>438</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269</v>
      </c>
      <c r="B11" s="3" t="s">
        <v>428</v>
      </c>
      <c r="C11" s="3" t="s">
        <v>439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269</v>
      </c>
      <c r="B12" s="3" t="s">
        <v>440</v>
      </c>
      <c r="C12" s="3" t="s">
        <v>441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270</v>
      </c>
      <c r="B13" s="3" t="s">
        <v>427</v>
      </c>
      <c r="C13" s="3" t="s">
        <v>442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270</v>
      </c>
      <c r="B14" s="3" t="s">
        <v>443</v>
      </c>
      <c r="C14" s="3" t="s">
        <v>444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270</v>
      </c>
      <c r="B15" s="3" t="s">
        <v>445</v>
      </c>
      <c r="C15" s="3" t="s">
        <v>446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270</v>
      </c>
      <c r="B16" s="3" t="s">
        <v>447</v>
      </c>
      <c r="C16" s="3" t="s">
        <v>448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270</v>
      </c>
      <c r="B17" s="3" t="s">
        <v>449</v>
      </c>
      <c r="C17" s="3" t="s">
        <v>450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270</v>
      </c>
      <c r="B18" s="3" t="s">
        <v>451</v>
      </c>
      <c r="C18" s="3" t="s">
        <v>452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270</v>
      </c>
      <c r="B19" s="3" t="s">
        <v>453</v>
      </c>
      <c r="C19" s="3" t="s">
        <v>454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270</v>
      </c>
      <c r="B20" s="3" t="s">
        <v>455</v>
      </c>
      <c r="C20" s="3" t="s">
        <v>456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270</v>
      </c>
      <c r="B21" s="3" t="s">
        <v>429</v>
      </c>
      <c r="C21" s="3" t="s">
        <v>457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270</v>
      </c>
      <c r="B22" s="3" t="s">
        <v>430</v>
      </c>
      <c r="C22" s="3" t="s">
        <v>458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270</v>
      </c>
      <c r="B23" s="3" t="s">
        <v>295</v>
      </c>
      <c r="C23" s="3" t="s">
        <v>459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460</v>
      </c>
      <c r="B24" s="3" t="s">
        <v>461</v>
      </c>
      <c r="C24" s="3" t="s">
        <v>462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460</v>
      </c>
      <c r="B25" s="3" t="s">
        <v>1850</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269</v>
      </c>
      <c r="B26" s="3" t="s">
        <v>1892</v>
      </c>
      <c r="C26" s="3" t="s">
        <v>1893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270</v>
      </c>
      <c r="B27" s="3" t="s">
        <v>463</v>
      </c>
      <c r="C27" s="3" t="s">
        <v>1894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270</v>
      </c>
      <c r="B28" s="3" t="s">
        <v>464</v>
      </c>
      <c r="C28" s="3" t="s">
        <v>465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466</v>
      </c>
      <c r="B29" s="3" t="s">
        <v>467</v>
      </c>
      <c r="C29" s="3" t="s">
        <v>468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271</v>
      </c>
      <c r="B30" s="3" t="s">
        <v>431</v>
      </c>
      <c r="C30" s="3" t="s">
        <v>1851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S04</v>
      </c>
      <c r="B1" s="40"/>
      <c r="C1" s="40"/>
      <c r="E1" s="41" t="str" cm="1">
        <f t="array" aca="1" ref="E1" ca="1">IFERROR(MID(CELL("filename",$A$1),FIND("]",CELL("filename",$A$1))+1,99),"SXX")&amp;" MATERIALS (USAGE + STANDALONE)"</f>
        <v>S04 MATERIALS (USAGE + STANDALONE)</v>
      </c>
      <c r="F1" s="41"/>
      <c r="G1" s="41"/>
      <c r="H1" s="41"/>
      <c r="I1" s="41"/>
      <c r="J1" s="41"/>
      <c r="K1" s="41"/>
      <c r="L1" s="13"/>
      <c r="M1" s="13"/>
      <c r="N1" s="17">
        <f>SUM(N3:N49)</f>
        <v>4126.8999999999996</v>
      </c>
      <c r="P1" s="41" t="str" cm="1">
        <f t="array" aca="1" ref="P1" ca="1">IFERROR(MID(CELL("filename",$A$1),FIND("]",CELL("filename",$A$1))+1,99),"SXX")&amp;" LABOUR (USAGE + STANDALONE)"</f>
        <v>S04 LABOUR (USAGE + STANDALONE)</v>
      </c>
      <c r="Q1" s="41"/>
      <c r="R1" s="41"/>
      <c r="S1" s="41"/>
      <c r="T1" s="41"/>
      <c r="U1" s="41"/>
      <c r="V1" s="41"/>
      <c r="Y1" s="17">
        <f>SUM(Y3:Y49)</f>
        <v>1822.5</v>
      </c>
      <c r="AA1" s="42" t="str" cm="1">
        <f t="array" aca="1" ref="AA1" ca="1">IFERROR(MID(CELL("filename",$A$1),FIND("]",CELL("filename",$A$1))+1,99),"SXX")&amp;" RENTAL / SERVICE (USAGE + STANDALONE)"</f>
        <v>S04 RENTAL / SERVICE (USAGE + STANDALONE)</v>
      </c>
      <c r="AB1" s="42"/>
      <c r="AC1" s="42"/>
      <c r="AD1" s="42"/>
      <c r="AE1" s="42"/>
      <c r="AF1" s="42"/>
      <c r="AG1" s="42"/>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272</v>
      </c>
      <c r="B3" s="3" t="s">
        <v>957</v>
      </c>
      <c r="C3" s="3" t="s">
        <v>958</v>
      </c>
      <c r="E3" t="s">
        <v>1856</v>
      </c>
      <c r="F3" t="s">
        <v>480</v>
      </c>
      <c r="G3" t="s">
        <v>481</v>
      </c>
      <c r="H3" t="s">
        <v>11</v>
      </c>
      <c r="I3">
        <v>0.26</v>
      </c>
      <c r="J3" s="19">
        <v>0</v>
      </c>
      <c r="K3">
        <v>830</v>
      </c>
      <c r="L3" s="8">
        <f t="shared" ref="L3:L49" si="0">IF($G3="","",$I3*(1+IF($J3="",0,$J3)))</f>
        <v>0.26</v>
      </c>
      <c r="M3" s="8">
        <f t="shared" ref="M3:M49" si="1">IF($G3="","",$L3)</f>
        <v>0.26</v>
      </c>
      <c r="N3" s="8">
        <f t="shared" ref="N3:N49" si="2">IF($G3="","",IF($K3="","",$M3*$K3))</f>
        <v>215.8</v>
      </c>
      <c r="P3" t="s">
        <v>1899</v>
      </c>
      <c r="Q3" t="s">
        <v>518</v>
      </c>
      <c r="R3" t="s">
        <v>251</v>
      </c>
      <c r="S3" t="s">
        <v>29</v>
      </c>
      <c r="T3">
        <v>81</v>
      </c>
      <c r="U3" s="19">
        <v>0</v>
      </c>
      <c r="V3">
        <v>22.5</v>
      </c>
      <c r="W3" s="8">
        <f>IF($R3="","",$T3*(1+IF($U3="",0,$U3)))</f>
        <v>81</v>
      </c>
      <c r="X3" s="8">
        <f>IF($R3="","",$W3)</f>
        <v>81</v>
      </c>
      <c r="Y3" s="8">
        <f>IF($R3="","",IF($V3="","",$X3*$V3))</f>
        <v>1822.5</v>
      </c>
      <c r="AA3" s="6" t="s">
        <v>1865</v>
      </c>
      <c r="AB3" t="s">
        <v>519</v>
      </c>
      <c r="AC3" t="s">
        <v>520</v>
      </c>
      <c r="AD3" t="s">
        <v>521</v>
      </c>
      <c r="AE3">
        <v>1</v>
      </c>
      <c r="AF3">
        <v>0</v>
      </c>
      <c r="AG3">
        <v>900</v>
      </c>
      <c r="AH3" s="8">
        <f>IF($AC3="","",$AE3*(1+IF($AF3="",0,$AF3)))</f>
        <v>1</v>
      </c>
      <c r="AI3" s="8">
        <f>IF($AC3="","",$AH3)</f>
        <v>1</v>
      </c>
      <c r="AJ3" s="8">
        <f>IF($AC3="","",IF($AG3="","",$AI3*$AG3))</f>
        <v>900</v>
      </c>
    </row>
    <row r="4" spans="1:37" x14ac:dyDescent="0.25">
      <c r="A4" s="3" t="s">
        <v>273</v>
      </c>
      <c r="B4" s="3" t="s">
        <v>1852</v>
      </c>
      <c r="C4" s="3" t="s">
        <v>959</v>
      </c>
      <c r="E4" t="s">
        <v>1857</v>
      </c>
      <c r="F4" t="s">
        <v>480</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470</v>
      </c>
      <c r="B5" s="3" t="s">
        <v>960</v>
      </c>
      <c r="C5" s="3" t="s">
        <v>961</v>
      </c>
      <c r="E5" t="s">
        <v>1858</v>
      </c>
      <c r="F5" t="s">
        <v>639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962</v>
      </c>
      <c r="B6" s="3" t="s">
        <v>963</v>
      </c>
      <c r="C6" s="3" t="s">
        <v>1345</v>
      </c>
      <c r="E6" t="s">
        <v>1859</v>
      </c>
      <c r="F6" t="s">
        <v>641</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296</v>
      </c>
      <c r="B7" s="3" t="s">
        <v>964</v>
      </c>
      <c r="C7" s="3" t="s">
        <v>965</v>
      </c>
      <c r="E7" t="s">
        <v>951</v>
      </c>
      <c r="F7" t="s">
        <v>484</v>
      </c>
      <c r="G7" t="s">
        <v>485</v>
      </c>
      <c r="H7" t="s">
        <v>486</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296</v>
      </c>
      <c r="B8" s="3" t="s">
        <v>966</v>
      </c>
      <c r="C8" s="3" t="s">
        <v>967</v>
      </c>
      <c r="E8" t="s">
        <v>1860</v>
      </c>
      <c r="F8" t="s">
        <v>1861</v>
      </c>
      <c r="G8" t="s">
        <v>481</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296</v>
      </c>
      <c r="B9" s="3" t="s">
        <v>471</v>
      </c>
      <c r="C9" s="3" t="s">
        <v>495</v>
      </c>
      <c r="E9" t="s">
        <v>1860</v>
      </c>
      <c r="F9" t="s">
        <v>1861</v>
      </c>
      <c r="G9" t="s">
        <v>482</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296</v>
      </c>
      <c r="B10" s="3" t="s">
        <v>968</v>
      </c>
      <c r="C10" s="3" t="s">
        <v>969</v>
      </c>
      <c r="E10" t="s">
        <v>1862</v>
      </c>
      <c r="F10" t="s">
        <v>1861</v>
      </c>
      <c r="G10" t="s">
        <v>483</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296</v>
      </c>
      <c r="B11" s="3" t="s">
        <v>1346</v>
      </c>
      <c r="C11" s="3" t="s">
        <v>1853</v>
      </c>
      <c r="E11" t="s">
        <v>1863</v>
      </c>
      <c r="F11" t="s">
        <v>1861</v>
      </c>
      <c r="G11" t="s">
        <v>485</v>
      </c>
      <c r="H11" t="s">
        <v>486</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296</v>
      </c>
      <c r="B12" s="3" t="s">
        <v>970</v>
      </c>
      <c r="C12" s="3" t="s">
        <v>1348</v>
      </c>
      <c r="E12" t="s">
        <v>1864</v>
      </c>
      <c r="F12" t="s">
        <v>642</v>
      </c>
      <c r="G12" t="s">
        <v>643</v>
      </c>
      <c r="H12" t="s">
        <v>644</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296</v>
      </c>
      <c r="B13" s="3" t="s">
        <v>971</v>
      </c>
      <c r="C13" s="3" t="s">
        <v>1349</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274</v>
      </c>
      <c r="B14" s="3" t="s">
        <v>472</v>
      </c>
      <c r="C14" s="3" t="s">
        <v>972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274</v>
      </c>
      <c r="B15" s="3" t="s">
        <v>622</v>
      </c>
      <c r="C15" s="3" t="s">
        <v>623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274</v>
      </c>
      <c r="B16" s="3" t="s">
        <v>473</v>
      </c>
      <c r="C16" s="3" t="s">
        <v>973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274</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274</v>
      </c>
      <c r="B18" s="3" t="s">
        <v>496</v>
      </c>
      <c r="C18" s="3" t="s">
        <v>975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274</v>
      </c>
      <c r="B19" s="3" t="s">
        <v>497</v>
      </c>
      <c r="C19" s="3" t="s">
        <v>976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274</v>
      </c>
      <c r="B20" s="3" t="s">
        <v>498</v>
      </c>
      <c r="C20" s="3" t="s">
        <v>977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296</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296</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296</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275</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296</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275</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296</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275</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296</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274</v>
      </c>
      <c r="B30" s="3" t="s">
        <v>625</v>
      </c>
      <c r="C30" s="3" t="s">
        <v>993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274</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274</v>
      </c>
      <c r="B32" s="3" t="s">
        <v>627</v>
      </c>
      <c r="C32" s="3" t="s">
        <v>995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274</v>
      </c>
      <c r="B33" s="3" t="s">
        <v>996</v>
      </c>
      <c r="C33" s="3" t="s">
        <v>997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274</v>
      </c>
      <c r="B34" s="3" t="s">
        <v>628</v>
      </c>
      <c r="C34" s="3" t="s">
        <v>998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275</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296</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274</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296</v>
      </c>
      <c r="B38" s="3" t="s">
        <v>1003</v>
      </c>
      <c r="C38" s="3" t="s">
        <v>1004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275</v>
      </c>
      <c r="B39" s="3" t="s">
        <v>1005</v>
      </c>
      <c r="C39" s="3" t="s">
        <v>478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296</v>
      </c>
      <c r="B40" s="3" t="s">
        <v>1006</v>
      </c>
      <c r="C40" s="3" t="s">
        <v>1350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296</v>
      </c>
      <c r="B41" s="3" t="s">
        <v>1007</v>
      </c>
      <c r="C41" s="3" t="s">
        <v>1351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296</v>
      </c>
      <c r="B42" s="3" t="s">
        <v>1008</v>
      </c>
      <c r="C42" s="3" t="s">
        <v>1352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296</v>
      </c>
      <c r="B43" s="3" t="s">
        <v>1009</v>
      </c>
      <c r="C43" s="3" t="s">
        <v>1353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296</v>
      </c>
      <c r="B44" s="3" t="s">
        <v>1010</v>
      </c>
      <c r="C44" s="3" t="s">
        <v>1354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296</v>
      </c>
      <c r="B45" s="3" t="s">
        <v>1011</v>
      </c>
      <c r="C45" s="3" t="s">
        <v>1355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296</v>
      </c>
      <c r="B46" s="3" t="s">
        <v>1012</v>
      </c>
      <c r="C46" s="3" t="s">
        <v>1356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274</v>
      </c>
      <c r="B47" s="3" t="s">
        <v>1013</v>
      </c>
      <c r="C47" s="3" t="s">
        <v>1014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274</v>
      </c>
      <c r="B48" s="3" t="s">
        <v>1015</v>
      </c>
      <c r="C48" s="3" t="s">
        <v>1016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274</v>
      </c>
      <c r="B49" s="3" t="s">
        <v>1017</v>
      </c>
      <c r="C49" s="3" t="s">
        <v>1018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274</v>
      </c>
      <c r="B50" s="3" t="s">
        <v>1019</v>
      </c>
      <c r="C50" s="3" t="s">
        <v>1020</v>
      </c>
    </row>
    <row r="51" spans="1:36" x14ac:dyDescent="0.25">
      <c r="A51" s="3" t="s">
        <v>275</v>
      </c>
      <c r="B51" s="3" t="s">
        <v>629</v>
      </c>
      <c r="C51" s="3" t="s">
        <v>630</v>
      </c>
    </row>
    <row r="52" spans="1:36" x14ac:dyDescent="0.25">
      <c r="A52" s="3" t="s">
        <v>296</v>
      </c>
      <c r="B52" s="3" t="s">
        <v>657</v>
      </c>
      <c r="C52" s="3" t="s">
        <v>1021</v>
      </c>
    </row>
    <row r="53" spans="1:36" x14ac:dyDescent="0.25">
      <c r="A53" s="3" t="s">
        <v>274</v>
      </c>
      <c r="B53" s="3" t="s">
        <v>631</v>
      </c>
      <c r="C53" s="3" t="s">
        <v>1022</v>
      </c>
    </row>
    <row r="54" spans="1:36" x14ac:dyDescent="0.25">
      <c r="A54" s="3" t="s">
        <v>296</v>
      </c>
      <c r="B54" s="3" t="s">
        <v>500</v>
      </c>
      <c r="C54" s="3" t="s">
        <v>1023</v>
      </c>
    </row>
    <row r="55" spans="1:36" x14ac:dyDescent="0.25">
      <c r="A55" s="3" t="s">
        <v>296</v>
      </c>
      <c r="B55" s="3" t="s">
        <v>479</v>
      </c>
      <c r="C55" s="3" t="s">
        <v>1024</v>
      </c>
    </row>
    <row r="56" spans="1:36" x14ac:dyDescent="0.25">
      <c r="A56" s="3" t="s">
        <v>274</v>
      </c>
      <c r="B56" s="3" t="s">
        <v>501</v>
      </c>
      <c r="C56" s="3" t="s">
        <v>502</v>
      </c>
    </row>
    <row r="57" spans="1:36" x14ac:dyDescent="0.25">
      <c r="A57" s="3" t="s">
        <v>274</v>
      </c>
      <c r="B57" s="3" t="s">
        <v>503</v>
      </c>
      <c r="C57" s="3" t="s">
        <v>504</v>
      </c>
    </row>
    <row r="58" spans="1:36" x14ac:dyDescent="0.25">
      <c r="A58" s="3" t="s">
        <v>274</v>
      </c>
      <c r="B58" s="3" t="s">
        <v>505</v>
      </c>
      <c r="C58" s="3" t="s">
        <v>1025</v>
      </c>
    </row>
    <row r="59" spans="1:36" x14ac:dyDescent="0.25">
      <c r="A59" s="3" t="s">
        <v>274</v>
      </c>
      <c r="B59" s="3" t="s">
        <v>506</v>
      </c>
      <c r="C59" s="3" t="s">
        <v>507</v>
      </c>
    </row>
    <row r="60" spans="1:36" x14ac:dyDescent="0.25">
      <c r="A60" s="3" t="s">
        <v>274</v>
      </c>
      <c r="B60" s="3" t="s">
        <v>508</v>
      </c>
      <c r="C60" s="3" t="s">
        <v>632</v>
      </c>
    </row>
    <row r="61" spans="1:36" x14ac:dyDescent="0.25">
      <c r="A61" s="3" t="s">
        <v>509</v>
      </c>
      <c r="B61" s="3" t="s">
        <v>510</v>
      </c>
      <c r="C61" s="3" t="s">
        <v>381</v>
      </c>
    </row>
    <row r="62" spans="1:36" x14ac:dyDescent="0.25">
      <c r="A62" s="3" t="s">
        <v>274</v>
      </c>
      <c r="B62" s="3" t="s">
        <v>1854</v>
      </c>
      <c r="C62" s="3" t="s">
        <v>1896</v>
      </c>
    </row>
    <row r="63" spans="1:36" x14ac:dyDescent="0.25">
      <c r="A63" s="3" t="s">
        <v>296</v>
      </c>
      <c r="B63" s="3" t="s">
        <v>1897</v>
      </c>
      <c r="C63" s="3" t="s">
        <v>1898</v>
      </c>
    </row>
    <row r="64" spans="1:36" x14ac:dyDescent="0.25">
      <c r="A64" s="3" t="s">
        <v>274</v>
      </c>
      <c r="B64" s="3" t="s">
        <v>511</v>
      </c>
      <c r="C64" s="3" t="s">
        <v>1026</v>
      </c>
    </row>
    <row r="65" spans="1:3" x14ac:dyDescent="0.25">
      <c r="A65" s="3" t="s">
        <v>512</v>
      </c>
      <c r="B65" s="3" t="s">
        <v>513</v>
      </c>
      <c r="C65" s="3" t="s">
        <v>514</v>
      </c>
    </row>
    <row r="66" spans="1:3" x14ac:dyDescent="0.25">
      <c r="A66" s="3" t="s">
        <v>296</v>
      </c>
      <c r="B66" s="3" t="s">
        <v>581</v>
      </c>
      <c r="C66" s="3" t="s">
        <v>1027</v>
      </c>
    </row>
    <row r="67" spans="1:3" x14ac:dyDescent="0.25">
      <c r="A67" s="3" t="s">
        <v>274</v>
      </c>
      <c r="B67" s="3" t="s">
        <v>515</v>
      </c>
      <c r="C67" s="3" t="s">
        <v>516</v>
      </c>
    </row>
    <row r="68" spans="1:3" x14ac:dyDescent="0.25">
      <c r="A68" s="3" t="s">
        <v>274</v>
      </c>
      <c r="B68" s="3" t="s">
        <v>294</v>
      </c>
      <c r="C68" s="3" t="s">
        <v>633</v>
      </c>
    </row>
    <row r="69" spans="1:3" x14ac:dyDescent="0.25">
      <c r="A69" s="3" t="s">
        <v>276</v>
      </c>
      <c r="B69" s="3" t="s">
        <v>1357</v>
      </c>
      <c r="C69" s="3" t="s">
        <v>1855</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S05</v>
      </c>
      <c r="B1" s="40"/>
      <c r="C1" s="40"/>
      <c r="E1" s="41" t="str" cm="1">
        <f t="array" aca="1" ref="E1" ca="1">IFERROR(MID(CELL("filename",$A$1),FIND("]",CELL("filename",$A$1))+1,99),"SXX")&amp;" MATERIALS (USAGE + STANDALONE)"</f>
        <v>S05 MATERIALS (USAGE + STANDALONE)</v>
      </c>
      <c r="F1" s="41"/>
      <c r="G1" s="41"/>
      <c r="H1" s="41"/>
      <c r="I1" s="41"/>
      <c r="J1" s="41"/>
      <c r="K1" s="41"/>
      <c r="L1" s="13"/>
      <c r="M1" s="13"/>
      <c r="N1" s="17">
        <f>SUM(N3:N49)</f>
        <v>3586.95</v>
      </c>
      <c r="P1" s="41" t="str" cm="1">
        <f t="array" aca="1" ref="P1" ca="1">IFERROR(MID(CELL("filename",$A$1),FIND("]",CELL("filename",$A$1))+1,99),"SXX")&amp;" LABOUR (USAGE + STANDALONE)"</f>
        <v>S05 LABOUR (USAGE + STANDALONE)</v>
      </c>
      <c r="Q1" s="41"/>
      <c r="R1" s="41"/>
      <c r="S1" s="41"/>
      <c r="T1" s="41"/>
      <c r="U1" s="41"/>
      <c r="V1" s="41"/>
      <c r="Y1" s="17">
        <f>SUM(Y3:Y49)</f>
        <v>3172.5</v>
      </c>
      <c r="AA1" s="42" t="str" cm="1">
        <f t="array" aca="1" ref="AA1" ca="1">IFERROR(MID(CELL("filename",$A$1),FIND("]",CELL("filename",$A$1))+1,99),"SXX")&amp;" RENTAL / SERVICE (USAGE + STANDALONE)"</f>
        <v>S05 RENTAL / SERVICE (USAGE + STANDALONE)</v>
      </c>
      <c r="AB1" s="42"/>
      <c r="AC1" s="42"/>
      <c r="AD1" s="42"/>
      <c r="AE1" s="42"/>
      <c r="AF1" s="42"/>
      <c r="AG1" s="42"/>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277</v>
      </c>
      <c r="B3" s="3" t="s">
        <v>522</v>
      </c>
      <c r="C3" s="3" t="s">
        <v>523</v>
      </c>
      <c r="E3" t="s">
        <v>1872</v>
      </c>
      <c r="F3" t="s">
        <v>645</v>
      </c>
      <c r="G3" t="s">
        <v>646</v>
      </c>
      <c r="H3" t="s">
        <v>486</v>
      </c>
      <c r="I3">
        <v>0.45</v>
      </c>
      <c r="J3" s="19">
        <v>0</v>
      </c>
      <c r="K3">
        <v>340</v>
      </c>
      <c r="L3" s="8">
        <f t="shared" ref="L3:L49" si="0">IF($G3="","",$I3*(1+IF($J3="",0,$J3)))</f>
        <v>0.45</v>
      </c>
      <c r="M3" s="8">
        <f t="shared" ref="M3:M49" si="1">IF($G3="","",$L3)</f>
        <v>0.45</v>
      </c>
      <c r="N3" s="8">
        <f t="shared" ref="N3:N49" si="2">IF($G3="","",IF($K3="","",$M3*$K3))</f>
        <v>153</v>
      </c>
      <c r="P3" t="s">
        <v>1901</v>
      </c>
      <c r="Q3" t="s">
        <v>596</v>
      </c>
      <c r="R3" t="s">
        <v>251</v>
      </c>
      <c r="S3" t="s">
        <v>29</v>
      </c>
      <c r="T3">
        <v>141</v>
      </c>
      <c r="U3" s="19">
        <v>0</v>
      </c>
      <c r="V3">
        <v>22.5</v>
      </c>
      <c r="W3" s="8">
        <f>IF($R3="","",$T3*(1+IF($U3="",0,$U3)))</f>
        <v>141</v>
      </c>
      <c r="X3" s="8">
        <f>IF($R3="","",$W3)</f>
        <v>141</v>
      </c>
      <c r="Y3" s="8">
        <f>IF($R3="","",IF($V3="","",$X3*$V3))</f>
        <v>3172.5</v>
      </c>
      <c r="AA3" s="6" t="s">
        <v>1879</v>
      </c>
      <c r="AB3" t="s">
        <v>597</v>
      </c>
      <c r="AC3" t="s">
        <v>520</v>
      </c>
      <c r="AD3" t="s">
        <v>521</v>
      </c>
      <c r="AE3">
        <v>1</v>
      </c>
      <c r="AF3">
        <v>0</v>
      </c>
      <c r="AG3">
        <v>900</v>
      </c>
      <c r="AH3" s="8">
        <f>IF($AC3="","",$AE3*(1+IF($AF3="",0,$AF3)))</f>
        <v>1</v>
      </c>
      <c r="AI3" s="8">
        <f>IF($AC3="","",$AH3)</f>
        <v>1</v>
      </c>
      <c r="AJ3" s="8">
        <f>IF($AC3="","",IF($AG3="","",$AI3*$AG3))</f>
        <v>900</v>
      </c>
    </row>
    <row r="4" spans="1:37" x14ac:dyDescent="0.25">
      <c r="A4" s="3" t="s">
        <v>278</v>
      </c>
      <c r="B4" s="3" t="s">
        <v>524</v>
      </c>
      <c r="C4" s="3" t="s">
        <v>1866</v>
      </c>
      <c r="E4" t="s">
        <v>1873</v>
      </c>
      <c r="F4" t="s">
        <v>588</v>
      </c>
      <c r="G4" t="s">
        <v>646</v>
      </c>
      <c r="H4" t="s">
        <v>486</v>
      </c>
      <c r="I4">
        <v>4.0999999999999996</v>
      </c>
      <c r="J4" s="19">
        <v>0</v>
      </c>
      <c r="K4">
        <v>340</v>
      </c>
      <c r="L4" s="8">
        <f t="shared" si="0"/>
        <v>4.0999999999999996</v>
      </c>
      <c r="M4" s="8">
        <f t="shared" si="1"/>
        <v>4.0999999999999996</v>
      </c>
      <c r="N4" s="8">
        <f t="shared" si="2"/>
        <v>1393.9999999999998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525</v>
      </c>
      <c r="B5" s="3" t="s">
        <v>526</v>
      </c>
      <c r="C5" s="3" t="s">
        <v>527</v>
      </c>
      <c r="E5" t="s">
        <v>1874</v>
      </c>
      <c r="F5" t="s">
        <v>589</v>
      </c>
      <c r="G5" t="s">
        <v>590</v>
      </c>
      <c r="H5" t="s">
        <v>591</v>
      </c>
      <c r="I5">
        <v>28</v>
      </c>
      <c r="J5" s="19">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279</v>
      </c>
      <c r="B6" s="3" t="s">
        <v>528</v>
      </c>
      <c r="C6" s="3" t="s">
        <v>529</v>
      </c>
      <c r="E6" t="s">
        <v>1875</v>
      </c>
      <c r="F6" t="s">
        <v>589</v>
      </c>
      <c r="G6" t="s">
        <v>592</v>
      </c>
      <c r="H6" t="s">
        <v>591</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279</v>
      </c>
      <c r="B7" s="3" t="s">
        <v>530</v>
      </c>
      <c r="C7" s="3" t="s">
        <v>531</v>
      </c>
      <c r="E7" t="s">
        <v>1876</v>
      </c>
      <c r="F7" t="s">
        <v>593</v>
      </c>
      <c r="G7" t="s">
        <v>594</v>
      </c>
      <c r="H7" t="s">
        <v>595</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279</v>
      </c>
      <c r="B8" s="3" t="s">
        <v>532</v>
      </c>
      <c r="C8" s="3" t="s">
        <v>533</v>
      </c>
      <c r="E8" t="s">
        <v>1877</v>
      </c>
      <c r="F8" t="s">
        <v>593</v>
      </c>
      <c r="G8" t="s">
        <v>651</v>
      </c>
      <c r="H8" t="s">
        <v>652</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279</v>
      </c>
      <c r="B9" s="3" t="s">
        <v>280</v>
      </c>
      <c r="C9" s="3" t="s">
        <v>534</v>
      </c>
      <c r="E9" t="s">
        <v>1878</v>
      </c>
      <c r="F9" t="s">
        <v>653</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279</v>
      </c>
      <c r="B10" s="3" t="s">
        <v>281</v>
      </c>
      <c r="C10" s="3" t="s">
        <v>535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279</v>
      </c>
      <c r="B11" s="3" t="s">
        <v>536</v>
      </c>
      <c r="C11" s="3" t="s">
        <v>537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279</v>
      </c>
      <c r="B12" s="3" t="s">
        <v>538</v>
      </c>
      <c r="C12" s="3" t="s">
        <v>539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279</v>
      </c>
      <c r="B13" s="3" t="s">
        <v>540</v>
      </c>
      <c r="C13" s="3" t="s">
        <v>541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279</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282</v>
      </c>
      <c r="B15" s="3" t="s">
        <v>544</v>
      </c>
      <c r="C15" s="3" t="s">
        <v>545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282</v>
      </c>
      <c r="B16" s="3" t="s">
        <v>546</v>
      </c>
      <c r="C16" s="3" t="s">
        <v>547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282</v>
      </c>
      <c r="B17" s="3" t="s">
        <v>548</v>
      </c>
      <c r="C17" s="3" t="s">
        <v>549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282</v>
      </c>
      <c r="B18" s="3" t="s">
        <v>550</v>
      </c>
      <c r="C18" s="3" t="s">
        <v>551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282</v>
      </c>
      <c r="B19" s="3" t="s">
        <v>552</v>
      </c>
      <c r="C19" s="3" t="s">
        <v>553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279</v>
      </c>
      <c r="B20" s="3" t="s">
        <v>554</v>
      </c>
      <c r="C20" s="3" t="s">
        <v>555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279</v>
      </c>
      <c r="B21" s="3" t="s">
        <v>634</v>
      </c>
      <c r="C21" s="3" t="s">
        <v>635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279</v>
      </c>
      <c r="B22" s="3" t="s">
        <v>675</v>
      </c>
      <c r="C22" s="3" t="s">
        <v>676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282</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282</v>
      </c>
      <c r="B24" s="3" t="s">
        <v>556</v>
      </c>
      <c r="C24" s="3" t="s">
        <v>557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282</v>
      </c>
      <c r="B25" s="3" t="s">
        <v>558</v>
      </c>
      <c r="C25" s="3" t="s">
        <v>559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282</v>
      </c>
      <c r="B26" s="3" t="s">
        <v>560</v>
      </c>
      <c r="C26" s="3" t="s">
        <v>1867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282</v>
      </c>
      <c r="B27" s="3" t="s">
        <v>561</v>
      </c>
      <c r="C27" s="3" t="s">
        <v>1868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562</v>
      </c>
      <c r="B28" s="3" t="s">
        <v>563</v>
      </c>
      <c r="C28" s="3" t="s">
        <v>774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562</v>
      </c>
      <c r="B29" s="3" t="s">
        <v>564</v>
      </c>
      <c r="C29" s="3" t="s">
        <v>700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562</v>
      </c>
      <c r="B30" s="3" t="s">
        <v>565</v>
      </c>
      <c r="C30" s="3" t="s">
        <v>701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562</v>
      </c>
      <c r="B31" s="3" t="s">
        <v>566</v>
      </c>
      <c r="C31" s="3" t="s">
        <v>702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562</v>
      </c>
      <c r="B32" s="3" t="s">
        <v>1869</v>
      </c>
      <c r="C32" s="3" t="s">
        <v>704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282</v>
      </c>
      <c r="B33" s="3" t="s">
        <v>567</v>
      </c>
      <c r="C33" s="3" t="s">
        <v>568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282</v>
      </c>
      <c r="B34" s="3" t="s">
        <v>569</v>
      </c>
      <c r="C34" s="3" t="s">
        <v>570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282</v>
      </c>
      <c r="B35" s="3" t="s">
        <v>571</v>
      </c>
      <c r="C35" s="3" t="s">
        <v>572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282</v>
      </c>
      <c r="B36" s="3" t="s">
        <v>573</v>
      </c>
      <c r="C36" s="3" t="s">
        <v>574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282</v>
      </c>
      <c r="B37" s="3" t="s">
        <v>575</v>
      </c>
      <c r="C37" s="3" t="s">
        <v>576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279</v>
      </c>
      <c r="B38" s="3" t="s">
        <v>577</v>
      </c>
      <c r="C38" s="3" t="s">
        <v>578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579</v>
      </c>
      <c r="B39" s="3" t="s">
        <v>510</v>
      </c>
      <c r="C39" s="3" t="s">
        <v>381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282</v>
      </c>
      <c r="B40" s="3" t="s">
        <v>1854</v>
      </c>
      <c r="C40" s="3" t="s">
        <v>1896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279</v>
      </c>
      <c r="B41" s="3" t="s">
        <v>1897</v>
      </c>
      <c r="C41" s="3" t="s">
        <v>1900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282</v>
      </c>
      <c r="B42" s="3" t="s">
        <v>511</v>
      </c>
      <c r="C42" s="3" t="s">
        <v>1870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580</v>
      </c>
      <c r="B43" s="3" t="s">
        <v>513</v>
      </c>
      <c r="C43" s="3" t="s">
        <v>514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279</v>
      </c>
      <c r="B44" s="3" t="s">
        <v>581</v>
      </c>
      <c r="C44" s="3" t="s">
        <v>582</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282</v>
      </c>
      <c r="B45" s="3" t="s">
        <v>583</v>
      </c>
      <c r="C45" s="3" t="s">
        <v>584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282</v>
      </c>
      <c r="B46" s="3" t="s">
        <v>585</v>
      </c>
      <c r="C46" s="3" t="s">
        <v>586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562</v>
      </c>
      <c r="B47" s="3" t="s">
        <v>629</v>
      </c>
      <c r="C47" s="3" t="s">
        <v>630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282</v>
      </c>
      <c r="B48" s="3" t="s">
        <v>631</v>
      </c>
      <c r="C48" s="3" t="s">
        <v>638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282</v>
      </c>
      <c r="B49" s="3" t="s">
        <v>294</v>
      </c>
      <c r="C49" s="3" t="s">
        <v>587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283</v>
      </c>
      <c r="B50" s="3" t="s">
        <v>517</v>
      </c>
      <c r="C50" s="3" t="s">
        <v>1871</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S06</v>
      </c>
      <c r="B1" s="40"/>
      <c r="C1" s="40"/>
      <c r="E1" s="41" t="str" cm="1">
        <f t="array" aca="1" ref="E1" ca="1">IFERROR(MID(CELL("filename",$A$1),FIND("]",CELL("filename",$A$1))+1,99),"SXX")&amp;" MATERIALS (USAGE + STANDALONE)"</f>
        <v>S06 MATERIALS (USAGE + STANDALONE)</v>
      </c>
      <c r="F1" s="41"/>
      <c r="G1" s="41"/>
      <c r="H1" s="41"/>
      <c r="I1" s="41"/>
      <c r="J1" s="41"/>
      <c r="K1" s="41"/>
      <c r="L1" s="13"/>
      <c r="M1" s="13"/>
      <c r="N1" s="17">
        <f>SUM(N3:N49)</f>
        <v>2692.75</v>
      </c>
      <c r="P1" s="41" t="str" cm="1">
        <f t="array" aca="1" ref="P1" ca="1">IFERROR(MID(CELL("filename",$A$1),FIND("]",CELL("filename",$A$1))+1,99),"SXX")&amp;" LABOUR (USAGE + STANDALONE)"</f>
        <v>S06 LABOUR (USAGE + STANDALONE)</v>
      </c>
      <c r="Q1" s="41"/>
      <c r="R1" s="41"/>
      <c r="S1" s="41"/>
      <c r="T1" s="41"/>
      <c r="U1" s="41"/>
      <c r="V1" s="41"/>
      <c r="Y1" s="17">
        <f>SUM(Y3:Y49)</f>
        <v>2475</v>
      </c>
      <c r="AA1" s="42" t="str" cm="1">
        <f t="array" aca="1" ref="AA1" ca="1">IFERROR(MID(CELL("filename",$A$1),FIND("]",CELL("filename",$A$1))+1,99),"SXX")&amp;" RENTAL / SERVICE (USAGE + STANDALONE)"</f>
        <v>S06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284</v>
      </c>
      <c r="B3" s="3" t="s">
        <v>727</v>
      </c>
      <c r="C3" s="3" t="s">
        <v>728</v>
      </c>
      <c r="E3" t="s">
        <v>1882</v>
      </c>
      <c r="F3" t="s">
        <v>794</v>
      </c>
      <c r="G3" t="s">
        <v>646</v>
      </c>
      <c r="H3" t="s">
        <v>486</v>
      </c>
      <c r="I3">
        <v>1.5</v>
      </c>
      <c r="J3" s="19">
        <v>0</v>
      </c>
      <c r="K3">
        <v>340</v>
      </c>
      <c r="L3" s="8">
        <f t="shared" ref="L3:L49" si="0">IF($G3="","",$I3*(1+IF($J3="",0,$J3)))</f>
        <v>1.5</v>
      </c>
      <c r="M3" s="8">
        <f t="shared" ref="M3:M49" si="1">IF($G3="","",$L3)</f>
        <v>1.5</v>
      </c>
      <c r="N3" s="8">
        <f t="shared" ref="N3:N49" si="2">IF($G3="","",IF($K3="","",$M3*$K3))</f>
        <v>510</v>
      </c>
      <c r="P3" t="s">
        <v>1904</v>
      </c>
      <c r="Q3" t="s">
        <v>798</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285</v>
      </c>
      <c r="B4" s="3" t="s">
        <v>729</v>
      </c>
      <c r="C4" s="3" t="s">
        <v>730</v>
      </c>
      <c r="E4" t="s">
        <v>1883</v>
      </c>
      <c r="F4" t="s">
        <v>1884</v>
      </c>
      <c r="G4" t="s">
        <v>590</v>
      </c>
      <c r="H4" t="s">
        <v>591</v>
      </c>
      <c r="I4">
        <v>12</v>
      </c>
      <c r="J4" s="19">
        <v>0.05</v>
      </c>
      <c r="K4">
        <v>28</v>
      </c>
      <c r="L4" s="8">
        <f t="shared" si="0"/>
        <v>12.600000000000001</v>
      </c>
      <c r="M4" s="8">
        <f t="shared" si="1"/>
        <v>12.600000000000001</v>
      </c>
      <c r="N4" s="8">
        <f t="shared" si="2"/>
        <v>352.80000000000007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731</v>
      </c>
      <c r="B5" s="3" t="s">
        <v>732</v>
      </c>
      <c r="C5" s="3" t="s">
        <v>733</v>
      </c>
      <c r="E5" t="s">
        <v>1885</v>
      </c>
      <c r="F5" t="s">
        <v>1884</v>
      </c>
      <c r="G5" t="s">
        <v>795</v>
      </c>
      <c r="H5" t="s">
        <v>591</v>
      </c>
      <c r="I5">
        <v>17</v>
      </c>
      <c r="J5" s="19">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260</v>
      </c>
      <c r="B6" s="3" t="s">
        <v>734</v>
      </c>
      <c r="C6" s="3" t="s">
        <v>735</v>
      </c>
      <c r="E6" t="s">
        <v>1886</v>
      </c>
      <c r="F6" t="s">
        <v>1884</v>
      </c>
      <c r="G6" t="s">
        <v>592</v>
      </c>
      <c r="H6" t="s">
        <v>591</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260</v>
      </c>
      <c r="B7" s="3" t="s">
        <v>736</v>
      </c>
      <c r="C7" s="3" t="s">
        <v>737</v>
      </c>
      <c r="E7" t="s">
        <v>1887</v>
      </c>
      <c r="F7" t="s">
        <v>796</v>
      </c>
      <c r="G7" t="s">
        <v>594</v>
      </c>
      <c r="H7" t="s">
        <v>595</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260</v>
      </c>
      <c r="B8" s="3" t="s">
        <v>738</v>
      </c>
      <c r="C8" s="3" t="s">
        <v>739</v>
      </c>
      <c r="E8" t="s">
        <v>1888</v>
      </c>
      <c r="F8" t="s">
        <v>796</v>
      </c>
      <c r="G8" t="s">
        <v>651</v>
      </c>
      <c r="H8" t="s">
        <v>652</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260</v>
      </c>
      <c r="B9" s="3" t="s">
        <v>286</v>
      </c>
      <c r="C9" s="3" t="s">
        <v>740</v>
      </c>
      <c r="E9" t="s">
        <v>1889</v>
      </c>
      <c r="F9" t="s">
        <v>797</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260</v>
      </c>
      <c r="B10" s="3" t="s">
        <v>287</v>
      </c>
      <c r="C10" s="3" t="s">
        <v>741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260</v>
      </c>
      <c r="B11" s="3" t="s">
        <v>742</v>
      </c>
      <c r="C11" s="3" t="s">
        <v>743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260</v>
      </c>
      <c r="B12" s="3" t="s">
        <v>744</v>
      </c>
      <c r="C12" s="3" t="s">
        <v>745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260</v>
      </c>
      <c r="B13" s="3" t="s">
        <v>746</v>
      </c>
      <c r="C13" s="3" t="s">
        <v>747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260</v>
      </c>
      <c r="B14" s="3" t="s">
        <v>748</v>
      </c>
      <c r="C14" s="3" t="s">
        <v>749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260</v>
      </c>
      <c r="B15" s="3" t="s">
        <v>750</v>
      </c>
      <c r="C15" s="3" t="s">
        <v>751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260</v>
      </c>
      <c r="B16" s="3" t="s">
        <v>752</v>
      </c>
      <c r="C16" s="3" t="s">
        <v>753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259</v>
      </c>
      <c r="B17" s="3" t="s">
        <v>299</v>
      </c>
      <c r="C17" s="3" t="s">
        <v>754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259</v>
      </c>
      <c r="B18" s="3" t="s">
        <v>297</v>
      </c>
      <c r="C18" s="3" t="s">
        <v>755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259</v>
      </c>
      <c r="B19" s="3" t="s">
        <v>300</v>
      </c>
      <c r="C19" s="3" t="s">
        <v>756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259</v>
      </c>
      <c r="B20" s="3" t="s">
        <v>757</v>
      </c>
      <c r="C20" s="3" t="s">
        <v>758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259</v>
      </c>
      <c r="B21" s="3" t="s">
        <v>759</v>
      </c>
      <c r="C21" s="3" t="s">
        <v>760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259</v>
      </c>
      <c r="B22" s="3" t="s">
        <v>301</v>
      </c>
      <c r="C22" s="3" t="s">
        <v>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259</v>
      </c>
      <c r="B23" s="3" t="s">
        <v>762</v>
      </c>
      <c r="C23" s="3" t="s">
        <v>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259</v>
      </c>
      <c r="B24" s="3" t="s">
        <v>302</v>
      </c>
      <c r="C24" s="3" t="s">
        <v>764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259</v>
      </c>
      <c r="B25" s="3" t="s">
        <v>303</v>
      </c>
      <c r="C25" s="3" t="s">
        <v>765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259</v>
      </c>
      <c r="B26" s="3" t="s">
        <v>766</v>
      </c>
      <c r="C26" s="3" t="s">
        <v>767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259</v>
      </c>
      <c r="B27" s="3" t="s">
        <v>768</v>
      </c>
      <c r="C27" s="3" t="s">
        <v>769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259</v>
      </c>
      <c r="B28" s="3" t="s">
        <v>770</v>
      </c>
      <c r="C28" s="3" t="s">
        <v>771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772</v>
      </c>
      <c r="B29" s="3" t="s">
        <v>773</v>
      </c>
      <c r="C29" s="3" t="s">
        <v>774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772</v>
      </c>
      <c r="B30" s="3" t="s">
        <v>775</v>
      </c>
      <c r="C30" s="3" t="s">
        <v>700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772</v>
      </c>
      <c r="B31" s="3" t="s">
        <v>776</v>
      </c>
      <c r="C31" s="3" t="s">
        <v>1880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772</v>
      </c>
      <c r="B32" s="3" t="s">
        <v>565</v>
      </c>
      <c r="C32" s="3" t="s">
        <v>701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772</v>
      </c>
      <c r="B33" s="3" t="s">
        <v>566</v>
      </c>
      <c r="C33" s="3" t="s">
        <v>702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772</v>
      </c>
      <c r="B34" s="3" t="s">
        <v>703</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772</v>
      </c>
      <c r="B35" s="3" t="s">
        <v>629</v>
      </c>
      <c r="C35" s="3" t="s">
        <v>630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259</v>
      </c>
      <c r="B36" s="3" t="s">
        <v>567</v>
      </c>
      <c r="C36" s="3" t="s">
        <v>777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259</v>
      </c>
      <c r="B37" s="3" t="s">
        <v>569</v>
      </c>
      <c r="C37" s="3" t="s">
        <v>778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259</v>
      </c>
      <c r="B38" s="3" t="s">
        <v>631</v>
      </c>
      <c r="C38" s="3" t="s">
        <v>779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260</v>
      </c>
      <c r="B39" s="3" t="s">
        <v>288</v>
      </c>
      <c r="C39" s="3" t="s">
        <v>780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259</v>
      </c>
      <c r="B40" s="3" t="s">
        <v>289</v>
      </c>
      <c r="C40" s="3" t="s">
        <v>781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259</v>
      </c>
      <c r="B41" s="3" t="s">
        <v>290</v>
      </c>
      <c r="C41" s="3" t="s">
        <v>782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259</v>
      </c>
      <c r="B42" s="3" t="s">
        <v>298</v>
      </c>
      <c r="C42" s="3" t="s">
        <v>783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259</v>
      </c>
      <c r="B43" s="3" t="s">
        <v>784</v>
      </c>
      <c r="C43" s="3" t="s">
        <v>785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259</v>
      </c>
      <c r="B44" s="3" t="s">
        <v>786</v>
      </c>
      <c r="C44" s="3" t="s">
        <v>787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259</v>
      </c>
      <c r="B45" s="3" t="s">
        <v>291</v>
      </c>
      <c r="C45" s="3" t="s">
        <v>788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259</v>
      </c>
      <c r="B46" s="3" t="s">
        <v>789</v>
      </c>
      <c r="C46" s="3" t="s">
        <v>790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259</v>
      </c>
      <c r="B47" s="3" t="s">
        <v>791</v>
      </c>
      <c r="C47" s="3" t="s">
        <v>792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259</v>
      </c>
      <c r="B48" s="3" t="s">
        <v>1854</v>
      </c>
      <c r="C48" s="3" t="s">
        <v>1902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260</v>
      </c>
      <c r="B49" s="3" t="s">
        <v>1897</v>
      </c>
      <c r="C49" s="3" t="s">
        <v>1903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259</v>
      </c>
      <c r="B50" s="3" t="s">
        <v>294</v>
      </c>
      <c r="C50" s="3" t="s">
        <v>793</v>
      </c>
    </row>
    <row r="51" spans="1:36" x14ac:dyDescent="0.25">
      <c r="A51" s="3" t="s">
        <v>261</v>
      </c>
      <c r="B51" s="3" t="s">
        <v>304</v>
      </c>
      <c r="C51" s="3" t="s">
        <v>1881</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S07</v>
      </c>
      <c r="B1" s="40"/>
      <c r="C1" s="40"/>
      <c r="E1" s="41" t="str" cm="1">
        <f t="array" aca="1" ref="E1" ca="1">IFERROR(MID(CELL("filename",$A$1),FIND("]",CELL("filename",$A$1))+1,99),"SXX")&amp;" MATERIALS (USAGE + STANDALONE)"</f>
        <v>S07 MATERIALS (USAGE + STANDALONE)</v>
      </c>
      <c r="F1" s="41"/>
      <c r="G1" s="41"/>
      <c r="H1" s="41"/>
      <c r="I1" s="41"/>
      <c r="J1" s="41"/>
      <c r="K1" s="41"/>
      <c r="L1" s="13"/>
      <c r="M1" s="13"/>
      <c r="N1" s="17">
        <f>SUM(N3:N49)</f>
        <v>531.56000000000006</v>
      </c>
      <c r="P1" s="41" t="str" cm="1">
        <f t="array" aca="1" ref="P1" ca="1">IFERROR(MID(CELL("filename",$A$1),FIND("]",CELL("filename",$A$1))+1,99),"SXX")&amp;" LABOUR (USAGE + STANDALONE)"</f>
        <v>S07 LABOUR (USAGE + STANDALONE)</v>
      </c>
      <c r="Q1" s="41"/>
      <c r="R1" s="41"/>
      <c r="S1" s="41"/>
      <c r="T1" s="41"/>
      <c r="U1" s="41"/>
      <c r="V1" s="41"/>
      <c r="Y1" s="17">
        <f>SUM(Y3:Y49)</f>
        <v>1440</v>
      </c>
      <c r="AA1" s="42" t="str" cm="1">
        <f t="array" aca="1" ref="AA1" ca="1">IFERROR(MID(CELL("filename",$A$1),FIND("]",CELL("filename",$A$1))+1,99),"SXX")&amp;" RENTAL / SERVICE (USAGE + STANDALONE)"</f>
        <v>S07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305</v>
      </c>
      <c r="B3" s="3" t="s">
        <v>306</v>
      </c>
      <c r="C3" s="3" t="s">
        <v>799</v>
      </c>
      <c r="E3" t="s">
        <v>1926</v>
      </c>
      <c r="F3" t="s">
        <v>1927</v>
      </c>
      <c r="G3" t="s">
        <v>877</v>
      </c>
      <c r="H3" t="s">
        <v>652</v>
      </c>
      <c r="I3">
        <v>4</v>
      </c>
      <c r="J3" s="19">
        <v>0.05</v>
      </c>
      <c r="K3">
        <v>12.6</v>
      </c>
      <c r="L3" s="8">
        <f t="shared" ref="L3:L49" si="0">IF($G3="","",$I3*(1+IF($J3="",0,$J3)))</f>
        <v>4.2</v>
      </c>
      <c r="M3" s="8">
        <f t="shared" ref="M3:M49" si="1">IF($G3="","",$L3)</f>
        <v>4.2</v>
      </c>
      <c r="N3" s="8">
        <f t="shared" ref="N3:N49" si="2">IF($G3="","",IF($K3="","",$M3*$K3))</f>
        <v>52.92</v>
      </c>
      <c r="P3" t="s">
        <v>1942</v>
      </c>
      <c r="Q3" t="s">
        <v>891</v>
      </c>
      <c r="R3" t="s">
        <v>251</v>
      </c>
      <c r="S3" t="s">
        <v>29</v>
      </c>
      <c r="T3">
        <v>64</v>
      </c>
      <c r="U3" s="19">
        <v>0</v>
      </c>
      <c r="V3">
        <v>22.5</v>
      </c>
      <c r="W3" s="8">
        <f>IF($R3="","",$T3*(1+IF($U3="",0,$U3)))</f>
        <v>64</v>
      </c>
      <c r="X3" s="8">
        <f>IF($R3="","",$W3)</f>
        <v>64</v>
      </c>
      <c r="Y3" s="8">
        <f>IF($R3="","",IF($V3="","",$X3*$V3))</f>
        <v>1440</v>
      </c>
      <c r="AH3" s="8" t="str">
        <f>IF($AC3="","",$AE3*(1+IF($AF3="",0,$AF3)))</f>
        <v/>
      </c>
      <c r="AI3" s="8" t="str">
        <f>IF($AC3="","",$AH3)</f>
        <v/>
      </c>
      <c r="AJ3" s="8" t="str">
        <f>IF($AC3="","",IF($AG3="","",$AI3*$AG3))</f>
        <v/>
      </c>
    </row>
    <row r="4" spans="1:37" x14ac:dyDescent="0.25">
      <c r="A4" s="3" t="s">
        <v>307</v>
      </c>
      <c r="B4" s="3" t="s">
        <v>800</v>
      </c>
      <c r="C4" s="3" t="s">
        <v>1454</v>
      </c>
      <c r="E4" t="s">
        <v>1928</v>
      </c>
      <c r="F4" t="s">
        <v>1927</v>
      </c>
      <c r="G4" t="s">
        <v>1929</v>
      </c>
      <c r="H4" t="s">
        <v>8</v>
      </c>
      <c r="I4">
        <v>5</v>
      </c>
      <c r="J4" s="19">
        <v>0.05</v>
      </c>
      <c r="K4">
        <v>3</v>
      </c>
      <c r="L4" s="8">
        <f t="shared" si="0"/>
        <v>5.25</v>
      </c>
      <c r="M4" s="8">
        <f t="shared" si="1"/>
        <v>5.25</v>
      </c>
      <c r="N4" s="8">
        <f t="shared" si="2"/>
        <v>15.75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801</v>
      </c>
      <c r="B5" s="3" t="s">
        <v>802</v>
      </c>
      <c r="C5" s="3" t="s">
        <v>1455</v>
      </c>
      <c r="E5" t="s">
        <v>878</v>
      </c>
      <c r="F5" t="s">
        <v>1927</v>
      </c>
      <c r="G5" t="s">
        <v>879</v>
      </c>
      <c r="H5" t="s">
        <v>8</v>
      </c>
      <c r="I5">
        <v>2</v>
      </c>
      <c r="J5" s="19">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308</v>
      </c>
      <c r="B6" s="3" t="s">
        <v>309</v>
      </c>
      <c r="C6" s="3" t="s">
        <v>1456</v>
      </c>
      <c r="E6" t="s">
        <v>1930</v>
      </c>
      <c r="F6" t="s">
        <v>1927</v>
      </c>
      <c r="G6" t="s">
        <v>880</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310</v>
      </c>
      <c r="B7" s="3" t="s">
        <v>311</v>
      </c>
      <c r="C7" s="3" t="s">
        <v>1457</v>
      </c>
      <c r="E7" t="s">
        <v>1931</v>
      </c>
      <c r="F7" t="s">
        <v>881</v>
      </c>
      <c r="G7" t="s">
        <v>882</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310</v>
      </c>
      <c r="B8" s="3" t="s">
        <v>312</v>
      </c>
      <c r="C8" s="3" t="s">
        <v>1458</v>
      </c>
      <c r="E8" t="s">
        <v>1932</v>
      </c>
      <c r="F8" t="s">
        <v>881</v>
      </c>
      <c r="G8" t="s">
        <v>883</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310</v>
      </c>
      <c r="B9" s="3" t="s">
        <v>313</v>
      </c>
      <c r="C9" s="3" t="s">
        <v>1459</v>
      </c>
      <c r="E9" t="s">
        <v>1933</v>
      </c>
      <c r="F9" t="s">
        <v>881</v>
      </c>
      <c r="G9" t="s">
        <v>44</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310</v>
      </c>
      <c r="B10" s="3" t="s">
        <v>803</v>
      </c>
      <c r="C10" s="3" t="s">
        <v>804</v>
      </c>
      <c r="E10" t="s">
        <v>1934</v>
      </c>
      <c r="F10" t="s">
        <v>881</v>
      </c>
      <c r="G10" t="s">
        <v>1935</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310</v>
      </c>
      <c r="B11" s="3" t="s">
        <v>805</v>
      </c>
      <c r="C11" s="3" t="s">
        <v>1460</v>
      </c>
      <c r="E11" t="s">
        <v>1936</v>
      </c>
      <c r="F11" t="s">
        <v>881</v>
      </c>
      <c r="G11" t="s">
        <v>1937</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308</v>
      </c>
      <c r="B12" s="3" t="s">
        <v>806</v>
      </c>
      <c r="C12" s="3" t="s">
        <v>807</v>
      </c>
      <c r="E12" t="s">
        <v>1938</v>
      </c>
      <c r="F12" t="s">
        <v>884</v>
      </c>
      <c r="G12" t="s">
        <v>885</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308</v>
      </c>
      <c r="B13" s="3" t="s">
        <v>808</v>
      </c>
      <c r="C13" s="3" t="s">
        <v>809</v>
      </c>
      <c r="E13" t="s">
        <v>1939</v>
      </c>
      <c r="F13" t="s">
        <v>884</v>
      </c>
      <c r="G13" t="s">
        <v>886</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308</v>
      </c>
      <c r="B14" s="3" t="s">
        <v>810</v>
      </c>
      <c r="C14" s="3" t="s">
        <v>811</v>
      </c>
      <c r="E14" t="s">
        <v>1940</v>
      </c>
      <c r="F14" t="s">
        <v>884</v>
      </c>
      <c r="G14" t="s">
        <v>887</v>
      </c>
      <c r="H14" t="s">
        <v>888</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310</v>
      </c>
      <c r="B15" s="3" t="s">
        <v>1461</v>
      </c>
      <c r="C15" s="3" t="s">
        <v>1462</v>
      </c>
      <c r="E15" t="s">
        <v>1941</v>
      </c>
      <c r="F15" t="s">
        <v>889</v>
      </c>
      <c r="G15" t="s">
        <v>890</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308</v>
      </c>
      <c r="B16" s="3" t="s">
        <v>1463</v>
      </c>
      <c r="C16" s="3" t="s">
        <v>1464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310</v>
      </c>
      <c r="B17" s="3" t="s">
        <v>1465</v>
      </c>
      <c r="C17" s="3" t="s">
        <v>1466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310</v>
      </c>
      <c r="B18" s="3" t="s">
        <v>1467</v>
      </c>
      <c r="C18" s="3" t="s">
        <v>1468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308</v>
      </c>
      <c r="B19" s="3" t="s">
        <v>1469</v>
      </c>
      <c r="C19" s="3" t="s">
        <v>1470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310</v>
      </c>
      <c r="B20" s="3" t="s">
        <v>812</v>
      </c>
      <c r="C20" s="3" t="s">
        <v>813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308</v>
      </c>
      <c r="B21" s="3" t="s">
        <v>314</v>
      </c>
      <c r="C21" s="3" t="s">
        <v>1471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308</v>
      </c>
      <c r="B22" s="3" t="s">
        <v>814</v>
      </c>
      <c r="C22" s="3" t="s">
        <v>1472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310</v>
      </c>
      <c r="B23" s="3" t="s">
        <v>815</v>
      </c>
      <c r="C23" s="3" t="s">
        <v>816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308</v>
      </c>
      <c r="B24" s="3" t="s">
        <v>315</v>
      </c>
      <c r="C24" s="3" t="s">
        <v>1473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308</v>
      </c>
      <c r="B25" s="3" t="s">
        <v>316</v>
      </c>
      <c r="C25" s="3" t="s">
        <v>1474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310</v>
      </c>
      <c r="B26" s="3" t="s">
        <v>817</v>
      </c>
      <c r="C26" s="3" t="s">
        <v>1475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308</v>
      </c>
      <c r="B27" s="3" t="s">
        <v>818</v>
      </c>
      <c r="C27" s="3" t="s">
        <v>1476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308</v>
      </c>
      <c r="B28" s="3" t="s">
        <v>819</v>
      </c>
      <c r="C28" s="3" t="s">
        <v>820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308</v>
      </c>
      <c r="B29" s="3" t="s">
        <v>821</v>
      </c>
      <c r="C29" s="3" t="s">
        <v>822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308</v>
      </c>
      <c r="B30" s="3" t="s">
        <v>823</v>
      </c>
      <c r="C30" s="3" t="s">
        <v>824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308</v>
      </c>
      <c r="B31" s="3" t="s">
        <v>825</v>
      </c>
      <c r="C31" s="3" t="s">
        <v>826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310</v>
      </c>
      <c r="B32" s="3" t="s">
        <v>827</v>
      </c>
      <c r="C32" s="3" t="s">
        <v>828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308</v>
      </c>
      <c r="B33" s="3" t="s">
        <v>829</v>
      </c>
      <c r="C33" s="3" t="s">
        <v>1477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308</v>
      </c>
      <c r="B34" s="3" t="s">
        <v>830</v>
      </c>
      <c r="C34" s="3" t="s">
        <v>831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308</v>
      </c>
      <c r="B35" s="3" t="s">
        <v>832</v>
      </c>
      <c r="C35" s="3" t="s">
        <v>833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308</v>
      </c>
      <c r="B36" s="3" t="s">
        <v>834</v>
      </c>
      <c r="C36" s="3" t="s">
        <v>1478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308</v>
      </c>
      <c r="B37" s="3" t="s">
        <v>835</v>
      </c>
      <c r="C37" s="3" t="s">
        <v>836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308</v>
      </c>
      <c r="B38" s="3" t="s">
        <v>837</v>
      </c>
      <c r="C38" s="3" t="s">
        <v>1479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310</v>
      </c>
      <c r="B39" s="3" t="s">
        <v>838</v>
      </c>
      <c r="C39" s="3" t="s">
        <v>839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310</v>
      </c>
      <c r="B40" s="3" t="s">
        <v>840</v>
      </c>
      <c r="C40" s="3" t="s">
        <v>841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310</v>
      </c>
      <c r="B41" s="3" t="s">
        <v>842</v>
      </c>
      <c r="C41" s="3" t="s">
        <v>843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310</v>
      </c>
      <c r="B42" s="3" t="s">
        <v>844</v>
      </c>
      <c r="C42" s="3" t="s">
        <v>845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310</v>
      </c>
      <c r="B43" s="3" t="s">
        <v>846</v>
      </c>
      <c r="C43" s="3" t="s">
        <v>847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310</v>
      </c>
      <c r="B44" s="3" t="s">
        <v>848</v>
      </c>
      <c r="C44" s="3" t="s">
        <v>1480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308</v>
      </c>
      <c r="B45" s="3" t="s">
        <v>849</v>
      </c>
      <c r="C45" s="3" t="s">
        <v>1481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308</v>
      </c>
      <c r="B46" s="3" t="s">
        <v>850</v>
      </c>
      <c r="C46" s="3" t="s">
        <v>851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308</v>
      </c>
      <c r="B47" s="3" t="s">
        <v>852</v>
      </c>
      <c r="C47" s="3" t="s">
        <v>1482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308</v>
      </c>
      <c r="B48" s="3" t="s">
        <v>317</v>
      </c>
      <c r="C48" s="3" t="s">
        <v>1483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308</v>
      </c>
      <c r="B49" s="3" t="s">
        <v>853</v>
      </c>
      <c r="C49" s="3" t="s">
        <v>1484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308</v>
      </c>
      <c r="B50" s="3" t="s">
        <v>318</v>
      </c>
      <c r="C50" s="3" t="s">
        <v>1485</v>
      </c>
    </row>
    <row r="51" spans="1:36" x14ac:dyDescent="0.25">
      <c r="A51" s="3" t="s">
        <v>308</v>
      </c>
      <c r="B51" s="3" t="s">
        <v>854</v>
      </c>
      <c r="C51" s="3" t="s">
        <v>855</v>
      </c>
    </row>
    <row r="52" spans="1:36" x14ac:dyDescent="0.25">
      <c r="A52" s="3" t="s">
        <v>308</v>
      </c>
      <c r="B52" s="3" t="s">
        <v>1486</v>
      </c>
      <c r="C52" s="3" t="s">
        <v>856</v>
      </c>
    </row>
    <row r="53" spans="1:36" x14ac:dyDescent="0.25">
      <c r="A53" s="3" t="s">
        <v>308</v>
      </c>
      <c r="B53" s="3" t="s">
        <v>857</v>
      </c>
      <c r="C53" s="3" t="s">
        <v>1487</v>
      </c>
    </row>
    <row r="54" spans="1:36" x14ac:dyDescent="0.25">
      <c r="A54" s="3" t="s">
        <v>308</v>
      </c>
      <c r="B54" s="3" t="s">
        <v>294</v>
      </c>
      <c r="C54" s="3" t="s">
        <v>858</v>
      </c>
    </row>
    <row r="55" spans="1:36" x14ac:dyDescent="0.25">
      <c r="A55" s="3" t="s">
        <v>859</v>
      </c>
      <c r="B55" s="3" t="s">
        <v>860</v>
      </c>
      <c r="C55" s="3" t="s">
        <v>1905</v>
      </c>
    </row>
    <row r="56" spans="1:36" x14ac:dyDescent="0.25">
      <c r="A56" s="3" t="s">
        <v>859</v>
      </c>
      <c r="B56" s="3" t="s">
        <v>861</v>
      </c>
      <c r="C56" s="3" t="s">
        <v>1906</v>
      </c>
    </row>
    <row r="57" spans="1:36" x14ac:dyDescent="0.25">
      <c r="A57" s="3" t="s">
        <v>859</v>
      </c>
      <c r="B57" s="3" t="s">
        <v>862</v>
      </c>
      <c r="C57" s="3" t="s">
        <v>1907</v>
      </c>
    </row>
    <row r="58" spans="1:36" x14ac:dyDescent="0.25">
      <c r="A58" s="3" t="s">
        <v>859</v>
      </c>
      <c r="B58" s="3" t="s">
        <v>863</v>
      </c>
      <c r="C58" s="3" t="s">
        <v>1908</v>
      </c>
    </row>
    <row r="59" spans="1:36" x14ac:dyDescent="0.25">
      <c r="A59" s="3" t="s">
        <v>859</v>
      </c>
      <c r="B59" s="3" t="s">
        <v>864</v>
      </c>
      <c r="C59" s="3" t="s">
        <v>1909</v>
      </c>
    </row>
    <row r="60" spans="1:36" x14ac:dyDescent="0.25">
      <c r="A60" s="3" t="s">
        <v>859</v>
      </c>
      <c r="B60" s="3" t="s">
        <v>865</v>
      </c>
      <c r="C60" s="3" t="s">
        <v>1910</v>
      </c>
    </row>
    <row r="61" spans="1:36" x14ac:dyDescent="0.25">
      <c r="A61" s="3" t="s">
        <v>859</v>
      </c>
      <c r="B61" s="3" t="s">
        <v>866</v>
      </c>
      <c r="C61" s="3" t="s">
        <v>1911</v>
      </c>
    </row>
    <row r="62" spans="1:36" x14ac:dyDescent="0.25">
      <c r="A62" s="3" t="s">
        <v>859</v>
      </c>
      <c r="B62" s="3" t="s">
        <v>867</v>
      </c>
      <c r="C62" s="3" t="s">
        <v>1912</v>
      </c>
    </row>
    <row r="63" spans="1:36" x14ac:dyDescent="0.25">
      <c r="A63" s="3" t="s">
        <v>859</v>
      </c>
      <c r="B63" s="3" t="s">
        <v>868</v>
      </c>
      <c r="C63" s="3" t="s">
        <v>1913</v>
      </c>
    </row>
    <row r="64" spans="1:36" x14ac:dyDescent="0.25">
      <c r="A64" s="3" t="s">
        <v>859</v>
      </c>
      <c r="B64" s="3" t="s">
        <v>869</v>
      </c>
      <c r="C64" s="3" t="s">
        <v>1914</v>
      </c>
    </row>
    <row r="65" spans="1:3" x14ac:dyDescent="0.25">
      <c r="A65" s="3" t="s">
        <v>859</v>
      </c>
      <c r="B65" s="3" t="s">
        <v>870</v>
      </c>
      <c r="C65" s="3" t="s">
        <v>871</v>
      </c>
    </row>
    <row r="66" spans="1:3" x14ac:dyDescent="0.25">
      <c r="A66" s="3" t="s">
        <v>859</v>
      </c>
      <c r="B66" s="3" t="s">
        <v>872</v>
      </c>
      <c r="C66" s="3" t="s">
        <v>873</v>
      </c>
    </row>
    <row r="67" spans="1:3" x14ac:dyDescent="0.25">
      <c r="A67" s="3" t="s">
        <v>859</v>
      </c>
      <c r="B67" s="3" t="s">
        <v>874</v>
      </c>
      <c r="C67" s="3" t="s">
        <v>875</v>
      </c>
    </row>
    <row r="68" spans="1:3" x14ac:dyDescent="0.25">
      <c r="A68" s="3" t="s">
        <v>876</v>
      </c>
      <c r="B68" s="3" t="s">
        <v>1439</v>
      </c>
      <c r="C68" s="3" t="s">
        <v>381</v>
      </c>
    </row>
    <row r="69" spans="1:3" x14ac:dyDescent="0.25">
      <c r="A69" s="3" t="s">
        <v>310</v>
      </c>
      <c r="B69" s="3" t="s">
        <v>1915</v>
      </c>
      <c r="C69" s="3" t="s">
        <v>1916</v>
      </c>
    </row>
    <row r="70" spans="1:3" x14ac:dyDescent="0.25">
      <c r="A70" s="3" t="s">
        <v>310</v>
      </c>
      <c r="B70" s="3" t="s">
        <v>1917</v>
      </c>
      <c r="C70" s="3" t="s">
        <v>1918</v>
      </c>
    </row>
    <row r="71" spans="1:3" x14ac:dyDescent="0.25">
      <c r="A71" s="3" t="s">
        <v>310</v>
      </c>
      <c r="B71" s="3" t="s">
        <v>1919</v>
      </c>
      <c r="C71" s="3" t="s">
        <v>1920</v>
      </c>
    </row>
    <row r="72" spans="1:3" x14ac:dyDescent="0.25">
      <c r="A72" s="3" t="s">
        <v>310</v>
      </c>
      <c r="B72" s="3" t="s">
        <v>1921</v>
      </c>
      <c r="C72" s="3" t="s">
        <v>1922</v>
      </c>
    </row>
    <row r="73" spans="1:3" x14ac:dyDescent="0.25">
      <c r="A73" s="3" t="s">
        <v>310</v>
      </c>
      <c r="B73" s="3" t="s">
        <v>1897</v>
      </c>
      <c r="C73" s="3" t="s">
        <v>1923</v>
      </c>
    </row>
    <row r="74" spans="1:3" x14ac:dyDescent="0.25">
      <c r="A74" s="3" t="s">
        <v>308</v>
      </c>
      <c r="B74" s="3" t="s">
        <v>511</v>
      </c>
      <c r="C74" s="3" t="s">
        <v>1924</v>
      </c>
    </row>
    <row r="75" spans="1:3" x14ac:dyDescent="0.25">
      <c r="A75" s="3" t="s">
        <v>319</v>
      </c>
      <c r="B75" s="3" t="s">
        <v>320</v>
      </c>
      <c r="C75" s="3" t="s">
        <v>1925</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S08</v>
      </c>
      <c r="B1" s="40"/>
      <c r="C1" s="40"/>
      <c r="E1" s="41" t="str" cm="1">
        <f t="array" aca="1" ref="E1" ca="1">IFERROR(MID(CELL("filename",$A$1),FIND("]",CELL("filename",$A$1))+1,99),"SXX")&amp;" MATERIALS (USAGE + STANDALONE)"</f>
        <v>S08 MATERIALS (USAGE + STANDALONE)</v>
      </c>
      <c r="F1" s="41"/>
      <c r="G1" s="41"/>
      <c r="H1" s="41"/>
      <c r="I1" s="41"/>
      <c r="J1" s="41"/>
      <c r="K1" s="41"/>
      <c r="L1" s="13"/>
      <c r="M1" s="13"/>
      <c r="N1" s="17">
        <f>SUM(N3:N49)</f>
        <v>8527.7800000000025</v>
      </c>
      <c r="P1" s="41" t="str" cm="1">
        <f t="array" aca="1" ref="P1" ca="1">IFERROR(MID(CELL("filename",$A$1),FIND("]",CELL("filename",$A$1))+1,99),"SXX")&amp;" LABOUR (USAGE + STANDALONE)"</f>
        <v>S08 LABOUR (USAGE + STANDALONE)</v>
      </c>
      <c r="Q1" s="41"/>
      <c r="R1" s="41"/>
      <c r="S1" s="41"/>
      <c r="T1" s="41"/>
      <c r="U1" s="41"/>
      <c r="V1" s="41"/>
      <c r="Y1" s="17">
        <f>SUM(Y3:Y49)</f>
        <v>2002.5</v>
      </c>
      <c r="AA1" s="42" t="str" cm="1">
        <f t="array" aca="1" ref="AA1" ca="1">IFERROR(MID(CELL("filename",$A$1),FIND("]",CELL("filename",$A$1))+1,99),"SXX")&amp;" RENTAL / SERVICE (USAGE + STANDALONE)"</f>
        <v>S08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321</v>
      </c>
      <c r="B3" s="3" t="s">
        <v>1388</v>
      </c>
      <c r="C3" s="3" t="s">
        <v>892</v>
      </c>
      <c r="E3" t="s">
        <v>1977</v>
      </c>
      <c r="F3" t="s">
        <v>932</v>
      </c>
      <c r="G3" t="s">
        <v>1978</v>
      </c>
      <c r="H3" t="s">
        <v>652</v>
      </c>
      <c r="I3">
        <v>16</v>
      </c>
      <c r="J3" s="19">
        <v>0.05</v>
      </c>
      <c r="K3">
        <v>55</v>
      </c>
      <c r="L3" s="8">
        <f t="shared" ref="L3:L49" si="0">IF($G3="","",$I3*(1+IF($J3="",0,$J3)))</f>
        <v>16.8</v>
      </c>
      <c r="M3" s="8">
        <f t="shared" ref="M3:M49" si="1">IF($G3="","",$L3)</f>
        <v>16.8</v>
      </c>
      <c r="N3" s="8">
        <f t="shared" ref="N3:N49" si="2">IF($G3="","",IF($K3="","",$M3*$K3))</f>
        <v>924</v>
      </c>
      <c r="P3" t="s">
        <v>1987</v>
      </c>
      <c r="Q3" t="s">
        <v>946</v>
      </c>
      <c r="R3" t="s">
        <v>251</v>
      </c>
      <c r="S3" t="s">
        <v>29</v>
      </c>
      <c r="T3">
        <v>89</v>
      </c>
      <c r="U3" s="19">
        <v>0</v>
      </c>
      <c r="V3">
        <v>22.5</v>
      </c>
      <c r="W3" s="8">
        <f>IF($R3="","",$T3*(1+IF($U3="",0,$U3)))</f>
        <v>89</v>
      </c>
      <c r="X3" s="8">
        <f>IF($R3="","",$W3)</f>
        <v>89</v>
      </c>
      <c r="Y3" s="8">
        <f>IF($R3="","",IF($V3="","",$X3*$V3))</f>
        <v>2002.5</v>
      </c>
      <c r="AA3" s="6" t="s">
        <v>944</v>
      </c>
      <c r="AB3" t="s">
        <v>945</v>
      </c>
      <c r="AE3">
        <v>0</v>
      </c>
      <c r="AF3">
        <v>0</v>
      </c>
      <c r="AG3">
        <v>0</v>
      </c>
      <c r="AH3" s="8" t="str">
        <f>IF($AC3="","",$AE3*(1+IF($AF3="",0,$AF3)))</f>
        <v/>
      </c>
      <c r="AI3" s="8" t="str">
        <f>IF($AC3="","",$AH3)</f>
        <v/>
      </c>
      <c r="AJ3" s="8" t="str">
        <f>IF($AC3="","",IF($AG3="","",$AI3*$AG3))</f>
        <v/>
      </c>
    </row>
    <row r="4" spans="1:37" x14ac:dyDescent="0.25">
      <c r="A4" s="3" t="s">
        <v>322</v>
      </c>
      <c r="B4" s="3" t="s">
        <v>1389</v>
      </c>
      <c r="C4" s="3" t="s">
        <v>1390</v>
      </c>
      <c r="E4" t="s">
        <v>1979</v>
      </c>
      <c r="F4" t="s">
        <v>933</v>
      </c>
      <c r="G4" t="s">
        <v>934</v>
      </c>
      <c r="H4" t="s">
        <v>8</v>
      </c>
      <c r="I4">
        <v>26</v>
      </c>
      <c r="J4" s="19">
        <v>0.05</v>
      </c>
      <c r="K4">
        <v>22</v>
      </c>
      <c r="L4" s="8">
        <f t="shared" si="0"/>
        <v>27.3</v>
      </c>
      <c r="M4" s="8">
        <f t="shared" si="1"/>
        <v>27.3</v>
      </c>
      <c r="N4" s="8">
        <f t="shared" si="2"/>
        <v>600.6</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894</v>
      </c>
      <c r="B5" s="3" t="s">
        <v>895</v>
      </c>
      <c r="C5" s="3" t="s">
        <v>1391</v>
      </c>
      <c r="E5" t="s">
        <v>1980</v>
      </c>
      <c r="F5" t="s">
        <v>935</v>
      </c>
      <c r="G5" t="s">
        <v>936</v>
      </c>
      <c r="H5" t="s">
        <v>937</v>
      </c>
      <c r="I5">
        <v>958</v>
      </c>
      <c r="J5" s="19">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893</v>
      </c>
      <c r="B6" s="3" t="s">
        <v>1392</v>
      </c>
      <c r="C6" s="3" t="s">
        <v>1393</v>
      </c>
      <c r="E6" t="s">
        <v>1981</v>
      </c>
      <c r="F6" t="s">
        <v>938</v>
      </c>
      <c r="G6" t="s">
        <v>1442</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323</v>
      </c>
      <c r="B7" s="3" t="s">
        <v>896</v>
      </c>
      <c r="C7" s="3" t="s">
        <v>897</v>
      </c>
      <c r="E7" t="s">
        <v>1982</v>
      </c>
      <c r="F7" t="s">
        <v>939</v>
      </c>
      <c r="G7" t="s">
        <v>940</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323</v>
      </c>
      <c r="B8" s="3" t="s">
        <v>1394</v>
      </c>
      <c r="C8" s="3" t="s">
        <v>1395</v>
      </c>
      <c r="E8" t="s">
        <v>1983</v>
      </c>
      <c r="F8" t="s">
        <v>939</v>
      </c>
      <c r="G8" t="s">
        <v>941</v>
      </c>
      <c r="H8" t="s">
        <v>256</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325</v>
      </c>
      <c r="B9" s="3" t="s">
        <v>898</v>
      </c>
      <c r="C9" s="3" t="s">
        <v>1396</v>
      </c>
      <c r="E9" t="s">
        <v>1984</v>
      </c>
      <c r="F9" t="s">
        <v>942</v>
      </c>
      <c r="G9" t="s">
        <v>1443</v>
      </c>
      <c r="H9" t="s">
        <v>652</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325</v>
      </c>
      <c r="B10" s="3" t="s">
        <v>899</v>
      </c>
      <c r="C10" s="3" t="s">
        <v>900</v>
      </c>
      <c r="E10" t="s">
        <v>1444</v>
      </c>
      <c r="F10" t="s">
        <v>942</v>
      </c>
      <c r="G10" t="s">
        <v>1445</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325</v>
      </c>
      <c r="B11" s="3" t="s">
        <v>1397</v>
      </c>
      <c r="C11" s="3" t="s">
        <v>901</v>
      </c>
      <c r="E11" t="s">
        <v>1985</v>
      </c>
      <c r="F11" t="s">
        <v>942</v>
      </c>
      <c r="G11" t="s">
        <v>1446</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323</v>
      </c>
      <c r="B12" s="3" t="s">
        <v>902</v>
      </c>
      <c r="C12" s="3" t="s">
        <v>903</v>
      </c>
      <c r="E12" t="s">
        <v>1447</v>
      </c>
      <c r="F12" t="s">
        <v>1448</v>
      </c>
      <c r="G12" t="s">
        <v>1449</v>
      </c>
      <c r="H12" t="s">
        <v>652</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323</v>
      </c>
      <c r="B13" s="3" t="s">
        <v>904</v>
      </c>
      <c r="C13" s="3" t="s">
        <v>1398</v>
      </c>
      <c r="E13" t="s">
        <v>1450</v>
      </c>
      <c r="F13" t="s">
        <v>1448</v>
      </c>
      <c r="G13" t="s">
        <v>1451</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323</v>
      </c>
      <c r="B14" s="3" t="s">
        <v>1943</v>
      </c>
      <c r="C14" s="3" t="s">
        <v>1944</v>
      </c>
      <c r="E14" t="s">
        <v>1452</v>
      </c>
      <c r="F14" t="s">
        <v>1448</v>
      </c>
      <c r="G14" t="s">
        <v>1453</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323</v>
      </c>
      <c r="B15" s="3" t="s">
        <v>1945</v>
      </c>
      <c r="C15" s="3" t="s">
        <v>1946</v>
      </c>
      <c r="E15" t="s">
        <v>1986</v>
      </c>
      <c r="F15" t="s">
        <v>1448</v>
      </c>
      <c r="G15" t="s">
        <v>943</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323</v>
      </c>
      <c r="B16" s="3" t="s">
        <v>324</v>
      </c>
      <c r="C16" s="3" t="s">
        <v>905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323</v>
      </c>
      <c r="B17" s="3" t="s">
        <v>906</v>
      </c>
      <c r="C17" s="3" t="s">
        <v>907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323</v>
      </c>
      <c r="B18" s="3" t="s">
        <v>908</v>
      </c>
      <c r="C18" s="3" t="s">
        <v>909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323</v>
      </c>
      <c r="B19" s="3" t="s">
        <v>910</v>
      </c>
      <c r="C19" s="3" t="s">
        <v>911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323</v>
      </c>
      <c r="B20" s="3" t="s">
        <v>917</v>
      </c>
      <c r="C20" s="3" t="s">
        <v>918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323</v>
      </c>
      <c r="B21" s="3" t="s">
        <v>919</v>
      </c>
      <c r="C21" s="3" t="s">
        <v>1399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323</v>
      </c>
      <c r="B22" s="3" t="s">
        <v>1400</v>
      </c>
      <c r="C22" s="3" t="s">
        <v>1401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325</v>
      </c>
      <c r="B23" s="3" t="s">
        <v>1402</v>
      </c>
      <c r="C23" s="3" t="s">
        <v>1403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325</v>
      </c>
      <c r="B24" s="3" t="s">
        <v>1404</v>
      </c>
      <c r="C24" s="3" t="s">
        <v>1405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325</v>
      </c>
      <c r="B25" s="3" t="s">
        <v>1406</v>
      </c>
      <c r="C25" s="3" t="s">
        <v>1407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325</v>
      </c>
      <c r="B26" s="3" t="s">
        <v>1408</v>
      </c>
      <c r="C26" s="3" t="s">
        <v>1409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325</v>
      </c>
      <c r="B27" s="3" t="s">
        <v>1410</v>
      </c>
      <c r="C27" s="3" t="s">
        <v>1411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323</v>
      </c>
      <c r="B28" s="3" t="s">
        <v>912</v>
      </c>
      <c r="C28" s="3" t="s">
        <v>913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323</v>
      </c>
      <c r="B29" s="3" t="s">
        <v>914</v>
      </c>
      <c r="C29" s="3" t="s">
        <v>915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323</v>
      </c>
      <c r="B30" s="3" t="s">
        <v>916</v>
      </c>
      <c r="C30" s="3" t="s">
        <v>1412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323</v>
      </c>
      <c r="B31" s="3" t="s">
        <v>1413</v>
      </c>
      <c r="C31" s="3" t="s">
        <v>1947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323</v>
      </c>
      <c r="B32" s="3" t="s">
        <v>920</v>
      </c>
      <c r="C32" s="3" t="s">
        <v>1414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323</v>
      </c>
      <c r="B33" s="3" t="s">
        <v>921</v>
      </c>
      <c r="C33" s="3" t="s">
        <v>1415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325</v>
      </c>
      <c r="B34" s="3" t="s">
        <v>1948</v>
      </c>
      <c r="C34" s="3" t="s">
        <v>1949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325</v>
      </c>
      <c r="B35" s="3" t="s">
        <v>1950</v>
      </c>
      <c r="C35" s="3" t="s">
        <v>1951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325</v>
      </c>
      <c r="B36" s="3" t="s">
        <v>1952</v>
      </c>
      <c r="C36" s="3" t="s">
        <v>1953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325</v>
      </c>
      <c r="B37" s="3" t="s">
        <v>1954</v>
      </c>
      <c r="C37" s="3" t="s">
        <v>1955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325</v>
      </c>
      <c r="B38" s="3" t="s">
        <v>1956</v>
      </c>
      <c r="C38" s="3" t="s">
        <v>1957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325</v>
      </c>
      <c r="B39" s="3" t="s">
        <v>1958</v>
      </c>
      <c r="C39" s="3" t="s">
        <v>1959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325</v>
      </c>
      <c r="B40" s="3" t="s">
        <v>1960</v>
      </c>
      <c r="C40" s="3" t="s">
        <v>1961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325</v>
      </c>
      <c r="B41" s="3" t="s">
        <v>1962</v>
      </c>
      <c r="C41" s="3" t="s">
        <v>1963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325</v>
      </c>
      <c r="B42" s="3" t="s">
        <v>1964</v>
      </c>
      <c r="C42" s="3" t="s">
        <v>1965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325</v>
      </c>
      <c r="B43" s="3" t="s">
        <v>1966</v>
      </c>
      <c r="C43" s="3" t="s">
        <v>1967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325</v>
      </c>
      <c r="B44" s="3" t="s">
        <v>1968</v>
      </c>
      <c r="C44" s="3" t="s">
        <v>1969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325</v>
      </c>
      <c r="B45" s="3" t="s">
        <v>1970</v>
      </c>
      <c r="C45" s="3" t="s">
        <v>1971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325</v>
      </c>
      <c r="B46" s="3" t="s">
        <v>1972</v>
      </c>
      <c r="C46" s="3" t="s">
        <v>1973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922</v>
      </c>
      <c r="B47" s="3" t="s">
        <v>1416</v>
      </c>
      <c r="C47" s="3" t="s">
        <v>1974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922</v>
      </c>
      <c r="B48" s="3" t="s">
        <v>1417</v>
      </c>
      <c r="C48" s="3" t="s">
        <v>1418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922</v>
      </c>
      <c r="B49" s="3" t="s">
        <v>1419</v>
      </c>
      <c r="C49" s="3" t="s">
        <v>1420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922</v>
      </c>
      <c r="B50" s="3" t="s">
        <v>1421</v>
      </c>
      <c r="C50" s="3" t="s">
        <v>1422</v>
      </c>
    </row>
    <row r="51" spans="1:36" x14ac:dyDescent="0.25">
      <c r="A51" s="3" t="s">
        <v>922</v>
      </c>
      <c r="B51" s="3" t="s">
        <v>1423</v>
      </c>
      <c r="C51" s="3" t="s">
        <v>1424</v>
      </c>
    </row>
    <row r="52" spans="1:36" x14ac:dyDescent="0.25">
      <c r="A52" s="3" t="s">
        <v>922</v>
      </c>
      <c r="B52" s="3" t="s">
        <v>923</v>
      </c>
      <c r="C52" s="3" t="s">
        <v>924</v>
      </c>
    </row>
    <row r="53" spans="1:36" x14ac:dyDescent="0.25">
      <c r="A53" s="3" t="s">
        <v>922</v>
      </c>
      <c r="B53" s="3" t="s">
        <v>1425</v>
      </c>
      <c r="C53" s="3" t="s">
        <v>1426</v>
      </c>
    </row>
    <row r="54" spans="1:36" x14ac:dyDescent="0.25">
      <c r="A54" s="3" t="s">
        <v>922</v>
      </c>
      <c r="B54" s="3" t="s">
        <v>1427</v>
      </c>
      <c r="C54" s="3" t="s">
        <v>1428</v>
      </c>
    </row>
    <row r="55" spans="1:36" x14ac:dyDescent="0.25">
      <c r="A55" s="3" t="s">
        <v>922</v>
      </c>
      <c r="B55" s="3" t="s">
        <v>1429</v>
      </c>
      <c r="C55" s="3" t="s">
        <v>1430</v>
      </c>
    </row>
    <row r="56" spans="1:36" x14ac:dyDescent="0.25">
      <c r="A56" s="3" t="s">
        <v>922</v>
      </c>
      <c r="B56" s="3" t="s">
        <v>1431</v>
      </c>
      <c r="C56" s="3" t="s">
        <v>1432</v>
      </c>
    </row>
    <row r="57" spans="1:36" x14ac:dyDescent="0.25">
      <c r="A57" s="3" t="s">
        <v>922</v>
      </c>
      <c r="B57" s="3" t="s">
        <v>1433</v>
      </c>
      <c r="C57" s="3" t="s">
        <v>1434</v>
      </c>
    </row>
    <row r="58" spans="1:36" x14ac:dyDescent="0.25">
      <c r="A58" s="3" t="s">
        <v>922</v>
      </c>
      <c r="B58" s="3" t="s">
        <v>925</v>
      </c>
      <c r="C58" s="3" t="s">
        <v>1435</v>
      </c>
    </row>
    <row r="59" spans="1:36" x14ac:dyDescent="0.25">
      <c r="A59" s="3" t="s">
        <v>922</v>
      </c>
      <c r="B59" s="3" t="s">
        <v>926</v>
      </c>
      <c r="C59" s="3" t="s">
        <v>927</v>
      </c>
    </row>
    <row r="60" spans="1:36" x14ac:dyDescent="0.25">
      <c r="A60" s="3" t="s">
        <v>323</v>
      </c>
      <c r="B60" s="3" t="s">
        <v>928</v>
      </c>
      <c r="C60" s="3" t="s">
        <v>1436</v>
      </c>
    </row>
    <row r="61" spans="1:36" x14ac:dyDescent="0.25">
      <c r="A61" s="3" t="s">
        <v>323</v>
      </c>
      <c r="B61" s="3" t="s">
        <v>1437</v>
      </c>
      <c r="C61" s="3" t="s">
        <v>1438</v>
      </c>
    </row>
    <row r="62" spans="1:36" x14ac:dyDescent="0.25">
      <c r="A62" s="3" t="s">
        <v>929</v>
      </c>
      <c r="B62" s="3" t="s">
        <v>1439</v>
      </c>
      <c r="C62" s="3" t="s">
        <v>381</v>
      </c>
    </row>
    <row r="63" spans="1:36" x14ac:dyDescent="0.25">
      <c r="A63" s="3" t="s">
        <v>325</v>
      </c>
      <c r="B63" s="3" t="s">
        <v>1897</v>
      </c>
      <c r="C63" s="3" t="s">
        <v>1975</v>
      </c>
    </row>
    <row r="64" spans="1:36" x14ac:dyDescent="0.25">
      <c r="A64" s="3" t="s">
        <v>323</v>
      </c>
      <c r="B64" s="3" t="s">
        <v>511</v>
      </c>
      <c r="C64" s="3" t="s">
        <v>1976</v>
      </c>
    </row>
    <row r="65" spans="1:3" x14ac:dyDescent="0.25">
      <c r="A65" s="3" t="s">
        <v>323</v>
      </c>
      <c r="B65" s="3" t="s">
        <v>382</v>
      </c>
      <c r="C65" s="3" t="s">
        <v>1440</v>
      </c>
    </row>
    <row r="66" spans="1:3" x14ac:dyDescent="0.25">
      <c r="A66" s="3" t="s">
        <v>323</v>
      </c>
      <c r="B66" s="3" t="s">
        <v>294</v>
      </c>
      <c r="C66" s="3" t="s">
        <v>930</v>
      </c>
    </row>
    <row r="67" spans="1:3" x14ac:dyDescent="0.25">
      <c r="A67" s="3" t="s">
        <v>326</v>
      </c>
      <c r="B67" s="3" t="s">
        <v>931</v>
      </c>
      <c r="C67" s="3" t="s">
        <v>1441</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S09</v>
      </c>
      <c r="B1" s="40"/>
      <c r="C1" s="40"/>
      <c r="E1" s="41" t="str" cm="1">
        <f t="array" aca="1" ref="E1" ca="1">IFERROR(MID(CELL("filename",$A$1),FIND("]",CELL("filename",$A$1))+1,99),"SXX")&amp;" MATERIALS (USAGE + STANDALONE)"</f>
        <v>S09 MATERIALS (USAGE + STANDALONE)</v>
      </c>
      <c r="F1" s="41"/>
      <c r="G1" s="41"/>
      <c r="H1" s="41"/>
      <c r="I1" s="41"/>
      <c r="J1" s="41"/>
      <c r="K1" s="41"/>
      <c r="L1" s="13"/>
      <c r="M1" s="13"/>
      <c r="N1" s="17">
        <f>SUM(N3:N49)</f>
        <v>1840.8600000000004</v>
      </c>
      <c r="P1" s="41" t="str" cm="1">
        <f t="array" aca="1" ref="P1" ca="1">IFERROR(MID(CELL("filename",$A$1),FIND("]",CELL("filename",$A$1))+1,99),"SXX")&amp;" LABOUR (USAGE + STANDALONE)"</f>
        <v>S09 LABOUR (USAGE + STANDALONE)</v>
      </c>
      <c r="Q1" s="41"/>
      <c r="R1" s="41"/>
      <c r="S1" s="41"/>
      <c r="T1" s="41"/>
      <c r="U1" s="41"/>
      <c r="V1" s="41"/>
      <c r="Y1" s="17">
        <f>SUM(Y3:Y49)</f>
        <v>3060</v>
      </c>
      <c r="AA1" s="42" t="str" cm="1">
        <f t="array" aca="1" ref="AA1" ca="1">IFERROR(MID(CELL("filename",$A$1),FIND("]",CELL("filename",$A$1))+1,99),"SXX")&amp;" RENTAL / SERVICE (USAGE + STANDALONE)"</f>
        <v>S09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327</v>
      </c>
      <c r="B3" s="3" t="s">
        <v>1059</v>
      </c>
      <c r="C3" s="3" t="s">
        <v>1060</v>
      </c>
      <c r="E3" t="s">
        <v>2003</v>
      </c>
      <c r="F3" t="s">
        <v>1130</v>
      </c>
      <c r="G3" t="s">
        <v>1131</v>
      </c>
      <c r="H3" t="s">
        <v>8</v>
      </c>
      <c r="I3">
        <v>3900</v>
      </c>
      <c r="J3" s="19">
        <v>0.03</v>
      </c>
      <c r="K3">
        <v>0.28000000000000003</v>
      </c>
      <c r="L3" s="8">
        <f t="shared" ref="L3:L49" si="0">IF($G3="","",$I3*(1+IF($J3="",0,$J3)))</f>
        <v>4017</v>
      </c>
      <c r="M3" s="8">
        <f t="shared" ref="M3:M49" si="1">IF($G3="","",$L3)</f>
        <v>4017</v>
      </c>
      <c r="N3" s="8">
        <f t="shared" ref="N3:N49" si="2">IF($G3="","",IF($K3="","",$M3*$K3))</f>
        <v>1124.7600000000002</v>
      </c>
      <c r="P3" t="s">
        <v>2011</v>
      </c>
      <c r="Q3" t="s">
        <v>1134</v>
      </c>
      <c r="R3" t="s">
        <v>251</v>
      </c>
      <c r="S3" t="s">
        <v>29</v>
      </c>
      <c r="T3">
        <v>136</v>
      </c>
      <c r="U3" s="19">
        <v>0</v>
      </c>
      <c r="V3">
        <v>22.5</v>
      </c>
      <c r="W3" s="8">
        <f>IF($R3="","",$T3*(1+IF($U3="",0,$U3)))</f>
        <v>136</v>
      </c>
      <c r="X3" s="8">
        <f>IF($R3="","",$W3)</f>
        <v>136</v>
      </c>
      <c r="Y3" s="8">
        <f>IF($R3="","",IF($V3="","",$X3*$V3))</f>
        <v>3060</v>
      </c>
      <c r="AH3" s="8" t="str">
        <f>IF($AC3="","",$AE3*(1+IF($AF3="",0,$AF3)))</f>
        <v/>
      </c>
      <c r="AI3" s="8" t="str">
        <f>IF($AC3="","",$AH3)</f>
        <v/>
      </c>
      <c r="AJ3" s="8" t="str">
        <f>IF($AC3="","",IF($AG3="","",$AI3*$AG3))</f>
        <v/>
      </c>
    </row>
    <row r="4" spans="1:37" x14ac:dyDescent="0.25">
      <c r="A4" s="3" t="s">
        <v>328</v>
      </c>
      <c r="B4" s="3" t="s">
        <v>1061</v>
      </c>
      <c r="C4" s="3" t="s">
        <v>1062</v>
      </c>
      <c r="E4" t="s">
        <v>2004</v>
      </c>
      <c r="F4" t="s">
        <v>1132</v>
      </c>
      <c r="G4" t="s">
        <v>2005</v>
      </c>
      <c r="H4" t="s">
        <v>9</v>
      </c>
      <c r="I4">
        <v>12</v>
      </c>
      <c r="J4" s="19">
        <v>0.05</v>
      </c>
      <c r="K4">
        <v>24</v>
      </c>
      <c r="L4" s="8">
        <f t="shared" si="0"/>
        <v>12.600000000000001</v>
      </c>
      <c r="M4" s="8">
        <f t="shared" si="1"/>
        <v>12.600000000000001</v>
      </c>
      <c r="N4" s="8">
        <f t="shared" si="2"/>
        <v>302.40000000000003</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1063</v>
      </c>
      <c r="B5" s="3" t="s">
        <v>1064</v>
      </c>
      <c r="C5" s="3" t="s">
        <v>1065</v>
      </c>
      <c r="E5" t="s">
        <v>2006</v>
      </c>
      <c r="F5" t="s">
        <v>1132</v>
      </c>
      <c r="G5" t="s">
        <v>662</v>
      </c>
      <c r="H5" t="s">
        <v>11</v>
      </c>
      <c r="I5">
        <v>0.2</v>
      </c>
      <c r="J5" s="19">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1066</v>
      </c>
      <c r="B6" s="3" t="s">
        <v>1067</v>
      </c>
      <c r="C6" s="3" t="s">
        <v>1068</v>
      </c>
      <c r="E6" t="s">
        <v>2007</v>
      </c>
      <c r="F6" t="s">
        <v>1133</v>
      </c>
      <c r="G6" t="s">
        <v>795</v>
      </c>
      <c r="H6" t="s">
        <v>591</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330</v>
      </c>
      <c r="B7" s="3" t="s">
        <v>1069</v>
      </c>
      <c r="C7" s="3" t="s">
        <v>1070</v>
      </c>
      <c r="E7" t="s">
        <v>2008</v>
      </c>
      <c r="F7" t="s">
        <v>1133</v>
      </c>
      <c r="G7" t="s">
        <v>592</v>
      </c>
      <c r="H7" t="s">
        <v>591</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329</v>
      </c>
      <c r="B8" s="3" t="s">
        <v>1071</v>
      </c>
      <c r="C8" s="3" t="s">
        <v>1072</v>
      </c>
      <c r="E8" t="s">
        <v>2009</v>
      </c>
      <c r="F8" t="s">
        <v>1133</v>
      </c>
      <c r="G8" t="s">
        <v>594</v>
      </c>
      <c r="H8" t="s">
        <v>595</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329</v>
      </c>
      <c r="B9" s="3" t="s">
        <v>1073</v>
      </c>
      <c r="C9" s="3" t="s">
        <v>1988</v>
      </c>
      <c r="E9" t="s">
        <v>2010</v>
      </c>
      <c r="F9" t="s">
        <v>1133</v>
      </c>
      <c r="G9" t="s">
        <v>651</v>
      </c>
      <c r="H9" t="s">
        <v>652</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329</v>
      </c>
      <c r="B10" s="3" t="s">
        <v>1074</v>
      </c>
      <c r="C10" s="3" t="s">
        <v>655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330</v>
      </c>
      <c r="B11" s="3" t="s">
        <v>1075</v>
      </c>
      <c r="C11" s="3" t="s">
        <v>1076</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331</v>
      </c>
      <c r="B12" s="3" t="s">
        <v>1077</v>
      </c>
      <c r="C12" s="3" t="s">
        <v>1078</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330</v>
      </c>
      <c r="B13" s="3" t="s">
        <v>1079</v>
      </c>
      <c r="C13" s="3" t="s">
        <v>1080</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330</v>
      </c>
      <c r="B14" s="3" t="s">
        <v>1081</v>
      </c>
      <c r="C14" s="3" t="s">
        <v>1082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330</v>
      </c>
      <c r="B15" s="3" t="s">
        <v>1083</v>
      </c>
      <c r="C15" s="3" t="s">
        <v>1084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330</v>
      </c>
      <c r="B16" s="3" t="s">
        <v>1085</v>
      </c>
      <c r="C16" s="3" t="s">
        <v>1086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330</v>
      </c>
      <c r="B17" s="3" t="s">
        <v>1087</v>
      </c>
      <c r="C17" s="3" t="s">
        <v>1088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330</v>
      </c>
      <c r="B18" s="3" t="s">
        <v>333</v>
      </c>
      <c r="C18" s="3" t="s">
        <v>1089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330</v>
      </c>
      <c r="B19" s="3" t="s">
        <v>1090</v>
      </c>
      <c r="C19" s="3" t="s">
        <v>1091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330</v>
      </c>
      <c r="B20" s="3" t="s">
        <v>1092</v>
      </c>
      <c r="C20" s="3" t="s">
        <v>1093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331</v>
      </c>
      <c r="B21" s="3" t="s">
        <v>1094</v>
      </c>
      <c r="C21" s="3" t="s">
        <v>1095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331</v>
      </c>
      <c r="B22" s="3" t="s">
        <v>1096</v>
      </c>
      <c r="C22" s="3" t="s">
        <v>1097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330</v>
      </c>
      <c r="B23" s="3" t="s">
        <v>1989</v>
      </c>
      <c r="C23" s="3" t="s">
        <v>1990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331</v>
      </c>
      <c r="B24" s="3" t="s">
        <v>1098</v>
      </c>
      <c r="C24" s="3" t="s">
        <v>1099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331</v>
      </c>
      <c r="B25" s="3" t="s">
        <v>1100</v>
      </c>
      <c r="C25" s="3" t="s">
        <v>1101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331</v>
      </c>
      <c r="B26" s="3" t="s">
        <v>1102</v>
      </c>
      <c r="C26" s="3" t="s">
        <v>1103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330</v>
      </c>
      <c r="B27" s="3" t="s">
        <v>1104</v>
      </c>
      <c r="C27" s="3" t="s">
        <v>1105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330</v>
      </c>
      <c r="B28" s="3" t="s">
        <v>1106</v>
      </c>
      <c r="C28" s="3" t="s">
        <v>1107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330</v>
      </c>
      <c r="B29" s="3" t="s">
        <v>332</v>
      </c>
      <c r="C29" s="3" t="s">
        <v>1108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329</v>
      </c>
      <c r="B30" s="3" t="s">
        <v>1109</v>
      </c>
      <c r="C30" s="3" t="s">
        <v>1880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329</v>
      </c>
      <c r="B31" s="3" t="s">
        <v>1110</v>
      </c>
      <c r="C31" s="3" t="s">
        <v>701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329</v>
      </c>
      <c r="B32" s="3" t="s">
        <v>1111</v>
      </c>
      <c r="C32" s="3" t="s">
        <v>702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329</v>
      </c>
      <c r="B33" s="3" t="s">
        <v>1991</v>
      </c>
      <c r="C33" s="3" t="s">
        <v>704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330</v>
      </c>
      <c r="B34" s="3" t="s">
        <v>1112</v>
      </c>
      <c r="C34" s="3" t="s">
        <v>1113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330</v>
      </c>
      <c r="B35" s="3" t="s">
        <v>1114</v>
      </c>
      <c r="C35" s="3" t="s">
        <v>1115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330</v>
      </c>
      <c r="B36" s="3" t="s">
        <v>1116</v>
      </c>
      <c r="C36" s="3" t="s">
        <v>1117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330</v>
      </c>
      <c r="B37" s="3" t="s">
        <v>1118</v>
      </c>
      <c r="C37" s="3" t="s">
        <v>1119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330</v>
      </c>
      <c r="B38" s="3" t="s">
        <v>1120</v>
      </c>
      <c r="C38" s="3" t="s">
        <v>1121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330</v>
      </c>
      <c r="B39" s="3" t="s">
        <v>1122</v>
      </c>
      <c r="C39" s="3" t="s">
        <v>1123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330</v>
      </c>
      <c r="B40" s="3" t="s">
        <v>1124</v>
      </c>
      <c r="C40" s="3" t="s">
        <v>1125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330</v>
      </c>
      <c r="B41" s="3" t="s">
        <v>1126</v>
      </c>
      <c r="C41" s="3" t="s">
        <v>1127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331</v>
      </c>
      <c r="B42" s="3" t="s">
        <v>1992</v>
      </c>
      <c r="C42" s="3" t="s">
        <v>1993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331</v>
      </c>
      <c r="B43" s="3" t="s">
        <v>1994</v>
      </c>
      <c r="C43" s="3" t="s">
        <v>1995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331</v>
      </c>
      <c r="B44" s="3" t="s">
        <v>1996</v>
      </c>
      <c r="C44" s="3" t="s">
        <v>1997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331</v>
      </c>
      <c r="B45" s="3" t="s">
        <v>1998</v>
      </c>
      <c r="C45" s="3" t="s">
        <v>1999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330</v>
      </c>
      <c r="B46" s="3" t="s">
        <v>294</v>
      </c>
      <c r="C46" s="3" t="s">
        <v>1128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1129</v>
      </c>
      <c r="B47" s="3" t="s">
        <v>1439</v>
      </c>
      <c r="C47" s="3" t="s">
        <v>381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331</v>
      </c>
      <c r="B48" s="3" t="s">
        <v>1897</v>
      </c>
      <c r="C48" s="3" t="s">
        <v>2000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330</v>
      </c>
      <c r="B49" s="3" t="s">
        <v>511</v>
      </c>
      <c r="C49" s="3" t="s">
        <v>2001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334</v>
      </c>
      <c r="B50" s="3" t="s">
        <v>335</v>
      </c>
      <c r="C50" s="3" t="s">
        <v>2002</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activeCell="H19" sqref="H1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S10</v>
      </c>
      <c r="B1" s="40"/>
      <c r="C1" s="40"/>
      <c r="E1" s="41" t="str" cm="1">
        <f t="array" aca="1" ref="E1" ca="1">IFERROR(MID(CELL("filename",$A$1),FIND("]",CELL("filename",$A$1))+1,99),"SXX")&amp;" MATERIALS (USAGE + STANDALONE)"</f>
        <v>S10 MATERIALS (USAGE + STANDALONE)</v>
      </c>
      <c r="F1" s="41"/>
      <c r="G1" s="41"/>
      <c r="H1" s="41"/>
      <c r="I1" s="41"/>
      <c r="J1" s="41"/>
      <c r="K1" s="41"/>
      <c r="L1" s="13"/>
      <c r="M1" s="13"/>
      <c r="N1" s="17">
        <f>SUM(N3:N49)</f>
        <v>3388.8574999999992</v>
      </c>
      <c r="P1" s="41" t="str" cm="1">
        <f t="array" aca="1" ref="P1" ca="1">IFERROR(MID(CELL("filename",$A$1),FIND("]",CELL("filename",$A$1))+1,99),"SXX")&amp;" LABOUR (USAGE + STANDALONE)"</f>
        <v>S10 LABOUR (USAGE + STANDALONE)</v>
      </c>
      <c r="Q1" s="41"/>
      <c r="R1" s="41"/>
      <c r="S1" s="41"/>
      <c r="T1" s="41"/>
      <c r="U1" s="41"/>
      <c r="V1" s="41"/>
      <c r="Y1" s="17">
        <f>SUM(Y3:Y49)</f>
        <v>1912.5</v>
      </c>
      <c r="AA1" s="42" t="str" cm="1">
        <f t="array" aca="1" ref="AA1" ca="1">IFERROR(MID(CELL("filename",$A$1),FIND("]",CELL("filename",$A$1))+1,99),"SXX")&amp;" RENTAL / SERVICE (USAGE + STANDALONE)"</f>
        <v>S10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336</v>
      </c>
      <c r="B3" s="3" t="s">
        <v>1135</v>
      </c>
      <c r="C3" s="3" t="s">
        <v>1136</v>
      </c>
      <c r="E3" t="s">
        <v>2021</v>
      </c>
      <c r="F3" t="s">
        <v>1213</v>
      </c>
      <c r="G3" t="s">
        <v>2022</v>
      </c>
      <c r="H3" t="s">
        <v>10</v>
      </c>
      <c r="I3">
        <v>1</v>
      </c>
      <c r="J3" s="19">
        <v>0</v>
      </c>
      <c r="K3">
        <v>480</v>
      </c>
      <c r="L3" s="8">
        <f t="shared" ref="L3:L49" si="0">IF($G3="","",$I3*(1+IF($J3="",0,$J3)))</f>
        <v>1</v>
      </c>
      <c r="M3" s="8">
        <f t="shared" ref="M3:M49" si="1">IF($G3="","",$L3)</f>
        <v>1</v>
      </c>
      <c r="N3" s="8">
        <f t="shared" ref="N3:N49" si="2">IF($G3="","",IF($K3="","",$M3*$K3))</f>
        <v>480</v>
      </c>
      <c r="P3" t="s">
        <v>2040</v>
      </c>
      <c r="Q3" t="s">
        <v>1228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337</v>
      </c>
      <c r="B4" s="3" t="s">
        <v>1137</v>
      </c>
      <c r="C4" s="3" t="s">
        <v>1138</v>
      </c>
      <c r="E4" t="s">
        <v>2023</v>
      </c>
      <c r="F4" t="s">
        <v>1214</v>
      </c>
      <c r="G4" t="s">
        <v>2024</v>
      </c>
      <c r="H4" t="s">
        <v>10</v>
      </c>
      <c r="I4">
        <v>3</v>
      </c>
      <c r="J4" s="19">
        <v>0</v>
      </c>
      <c r="K4">
        <v>300</v>
      </c>
      <c r="L4" s="8">
        <f t="shared" si="0"/>
        <v>3</v>
      </c>
      <c r="M4" s="8">
        <f t="shared" si="1"/>
        <v>3</v>
      </c>
      <c r="N4" s="8">
        <f t="shared" si="2"/>
        <v>900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1139</v>
      </c>
      <c r="B5" s="3" t="s">
        <v>1140</v>
      </c>
      <c r="C5" s="3" t="s">
        <v>1141</v>
      </c>
      <c r="E5" t="s">
        <v>2025</v>
      </c>
      <c r="F5" t="s">
        <v>1214</v>
      </c>
      <c r="G5" t="s">
        <v>2026</v>
      </c>
      <c r="H5" t="s">
        <v>10</v>
      </c>
      <c r="I5">
        <v>1</v>
      </c>
      <c r="J5" s="19">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338</v>
      </c>
      <c r="B6" s="3" t="s">
        <v>339</v>
      </c>
      <c r="C6" s="3" t="s">
        <v>1142</v>
      </c>
      <c r="E6" t="s">
        <v>2027</v>
      </c>
      <c r="F6" t="s">
        <v>2028</v>
      </c>
      <c r="G6" t="s">
        <v>2029</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338</v>
      </c>
      <c r="B7" s="3" t="s">
        <v>1143</v>
      </c>
      <c r="C7" s="3" t="s">
        <v>1144</v>
      </c>
      <c r="E7" t="s">
        <v>2030</v>
      </c>
      <c r="F7" t="s">
        <v>2028</v>
      </c>
      <c r="G7" t="s">
        <v>2031</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338</v>
      </c>
      <c r="B8" s="3" t="s">
        <v>1145</v>
      </c>
      <c r="C8" s="3" t="s">
        <v>1146</v>
      </c>
      <c r="E8" t="s">
        <v>2032</v>
      </c>
      <c r="F8" t="s">
        <v>2028</v>
      </c>
      <c r="G8" t="s">
        <v>2033</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340</v>
      </c>
      <c r="B9" s="3" t="s">
        <v>1147</v>
      </c>
      <c r="C9" s="3" t="s">
        <v>1148</v>
      </c>
      <c r="E9" t="s">
        <v>2034</v>
      </c>
      <c r="F9" t="s">
        <v>2035</v>
      </c>
      <c r="G9" t="s">
        <v>1215</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338</v>
      </c>
      <c r="B10" s="3" t="s">
        <v>1149</v>
      </c>
      <c r="C10" s="3" t="s">
        <v>1150</v>
      </c>
      <c r="E10" t="s">
        <v>2036</v>
      </c>
      <c r="F10" t="s">
        <v>1216</v>
      </c>
      <c r="G10" t="s">
        <v>651</v>
      </c>
      <c r="H10" t="s">
        <v>652</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340</v>
      </c>
      <c r="B11" s="3" t="s">
        <v>1151</v>
      </c>
      <c r="C11" s="3" t="s">
        <v>1152</v>
      </c>
      <c r="E11" t="s">
        <v>2037</v>
      </c>
      <c r="F11" t="s">
        <v>1217</v>
      </c>
      <c r="G11" t="s">
        <v>1218</v>
      </c>
      <c r="H11" t="s">
        <v>644</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338</v>
      </c>
      <c r="B12" s="3" t="s">
        <v>1153</v>
      </c>
      <c r="C12" s="3" t="s">
        <v>1154</v>
      </c>
      <c r="E12" t="s">
        <v>2038</v>
      </c>
      <c r="F12" t="s">
        <v>1217</v>
      </c>
      <c r="G12" t="s">
        <v>1219</v>
      </c>
      <c r="H12" t="s">
        <v>28</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338</v>
      </c>
      <c r="B13" s="3" t="s">
        <v>1155</v>
      </c>
      <c r="C13" s="3" t="s">
        <v>1156</v>
      </c>
      <c r="E13" t="s">
        <v>2039</v>
      </c>
      <c r="F13" t="s">
        <v>1217</v>
      </c>
      <c r="G13" t="s">
        <v>1220</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338</v>
      </c>
      <c r="B14" s="3" t="s">
        <v>1157</v>
      </c>
      <c r="C14" s="3" t="s">
        <v>1158</v>
      </c>
      <c r="E14" t="s">
        <v>2039</v>
      </c>
      <c r="F14" t="s">
        <v>1217</v>
      </c>
      <c r="G14" t="s">
        <v>1221</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338</v>
      </c>
      <c r="B15" s="3" t="s">
        <v>1159</v>
      </c>
      <c r="C15" s="3" t="s">
        <v>1160</v>
      </c>
      <c r="E15" t="s">
        <v>2039</v>
      </c>
      <c r="F15" t="s">
        <v>1217</v>
      </c>
      <c r="G15" t="s">
        <v>1222</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338</v>
      </c>
      <c r="B16" s="3" t="s">
        <v>1161</v>
      </c>
      <c r="C16" s="3" t="s">
        <v>1162</v>
      </c>
      <c r="E16" t="s">
        <v>1223</v>
      </c>
      <c r="F16" t="s">
        <v>1224</v>
      </c>
      <c r="G16" t="s">
        <v>1225</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340</v>
      </c>
      <c r="B17" s="3" t="s">
        <v>1163</v>
      </c>
      <c r="C17" s="3" t="s">
        <v>1164</v>
      </c>
      <c r="E17" t="s">
        <v>1226</v>
      </c>
      <c r="F17" t="s">
        <v>1224</v>
      </c>
      <c r="G17" t="s">
        <v>1227</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340</v>
      </c>
      <c r="B18" s="3" t="s">
        <v>1165</v>
      </c>
      <c r="C18" s="3" t="s">
        <v>1166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338</v>
      </c>
      <c r="B19" s="3" t="s">
        <v>1167</v>
      </c>
      <c r="C19" s="3" t="s">
        <v>1168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338</v>
      </c>
      <c r="B20" s="3" t="s">
        <v>1169</v>
      </c>
      <c r="C20" s="3" t="s">
        <v>1170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340</v>
      </c>
      <c r="B21" s="3" t="s">
        <v>1171</v>
      </c>
      <c r="C21" s="3" t="s">
        <v>1172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340</v>
      </c>
      <c r="B22" s="3" t="s">
        <v>1173</v>
      </c>
      <c r="C22" s="3" t="s">
        <v>1174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340</v>
      </c>
      <c r="B23" s="3" t="s">
        <v>1175</v>
      </c>
      <c r="C23" s="3" t="s">
        <v>1176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338</v>
      </c>
      <c r="B24" s="3" t="s">
        <v>341</v>
      </c>
      <c r="C24" s="3" t="s">
        <v>1177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338</v>
      </c>
      <c r="B25" s="3" t="s">
        <v>1178</v>
      </c>
      <c r="C25" s="3" t="s">
        <v>1179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338</v>
      </c>
      <c r="B26" s="3" t="s">
        <v>1180</v>
      </c>
      <c r="C26" s="3" t="s">
        <v>1181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338</v>
      </c>
      <c r="B27" s="3" t="s">
        <v>342</v>
      </c>
      <c r="C27" s="3" t="s">
        <v>1182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338</v>
      </c>
      <c r="B28" s="3" t="s">
        <v>1183</v>
      </c>
      <c r="C28" s="3" t="s">
        <v>1184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338</v>
      </c>
      <c r="B29" s="3" t="s">
        <v>1185</v>
      </c>
      <c r="C29" s="3" t="s">
        <v>1186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338</v>
      </c>
      <c r="B30" s="3" t="s">
        <v>1187</v>
      </c>
      <c r="C30" s="3" t="s">
        <v>1188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338</v>
      </c>
      <c r="B31" s="3" t="s">
        <v>1189</v>
      </c>
      <c r="C31" s="3" t="s">
        <v>1190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338</v>
      </c>
      <c r="B32" s="3" t="s">
        <v>1191</v>
      </c>
      <c r="C32" s="3" t="s">
        <v>1192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1193</v>
      </c>
      <c r="B33" s="3" t="s">
        <v>1194</v>
      </c>
      <c r="C33" s="3" t="s">
        <v>1195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1193</v>
      </c>
      <c r="B34" s="3" t="s">
        <v>2012</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1193</v>
      </c>
      <c r="B35" s="3" t="s">
        <v>1196</v>
      </c>
      <c r="C35" s="3" t="s">
        <v>1197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1193</v>
      </c>
      <c r="B36" s="3" t="s">
        <v>1198</v>
      </c>
      <c r="C36" s="3" t="s">
        <v>1199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1193</v>
      </c>
      <c r="B37" s="3" t="s">
        <v>1200</v>
      </c>
      <c r="C37" s="3" t="s">
        <v>1201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1193</v>
      </c>
      <c r="B38" s="3" t="s">
        <v>1202</v>
      </c>
      <c r="C38" s="3" t="s">
        <v>1203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1193</v>
      </c>
      <c r="B39" s="3" t="s">
        <v>1204</v>
      </c>
      <c r="C39" s="3" t="s">
        <v>1205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1193</v>
      </c>
      <c r="B40" s="3" t="s">
        <v>2013</v>
      </c>
      <c r="C40" s="3" t="s">
        <v>2014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1193</v>
      </c>
      <c r="B41" s="3" t="s">
        <v>2015</v>
      </c>
      <c r="C41" s="3" t="s">
        <v>2016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1193</v>
      </c>
      <c r="B42" s="3" t="s">
        <v>1206</v>
      </c>
      <c r="C42" s="3" t="s">
        <v>1207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338</v>
      </c>
      <c r="B43" s="3" t="s">
        <v>1208</v>
      </c>
      <c r="C43" s="3" t="s">
        <v>2017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338</v>
      </c>
      <c r="B44" s="3" t="s">
        <v>1209</v>
      </c>
      <c r="C44" s="3" t="s">
        <v>1210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1211</v>
      </c>
      <c r="B45" s="3" t="s">
        <v>1439</v>
      </c>
      <c r="C45" s="3" t="s">
        <v>381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340</v>
      </c>
      <c r="B46" s="3" t="s">
        <v>1897</v>
      </c>
      <c r="C46" s="3" t="s">
        <v>2018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338</v>
      </c>
      <c r="B47" s="3" t="s">
        <v>511</v>
      </c>
      <c r="C47" s="3" t="s">
        <v>2019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338</v>
      </c>
      <c r="B48" s="3" t="s">
        <v>294</v>
      </c>
      <c r="C48" s="3" t="s">
        <v>1212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343</v>
      </c>
      <c r="B49" s="3" t="s">
        <v>344</v>
      </c>
      <c r="C49" s="3" t="s">
        <v>2020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S11</v>
      </c>
      <c r="B1" s="40"/>
      <c r="C1" s="40"/>
      <c r="E1" s="41" t="str" cm="1">
        <f t="array" aca="1" ref="E1" ca="1">IFERROR(MID(CELL("filename",$A$1),FIND("]",CELL("filename",$A$1))+1,99),"SXX")&amp;" MATERIALS (USAGE + STANDALONE)"</f>
        <v>S11 MATERIALS (USAGE + STANDALONE)</v>
      </c>
      <c r="F1" s="41"/>
      <c r="G1" s="41"/>
      <c r="H1" s="41"/>
      <c r="I1" s="41"/>
      <c r="J1" s="41"/>
      <c r="K1" s="41"/>
      <c r="L1" s="13"/>
      <c r="M1" s="13"/>
      <c r="N1" s="17">
        <f>SUM(N3:N49)</f>
        <v>675.67500000000007</v>
      </c>
      <c r="P1" s="41" t="str" cm="1">
        <f t="array" aca="1" ref="P1" ca="1">IFERROR(MID(CELL("filename",$A$1),FIND("]",CELL("filename",$A$1))+1,99),"SXX")&amp;" LABOUR (USAGE + STANDALONE)"</f>
        <v>S11 LABOUR (USAGE + STANDALONE)</v>
      </c>
      <c r="Q1" s="41"/>
      <c r="R1" s="41"/>
      <c r="S1" s="41"/>
      <c r="T1" s="41"/>
      <c r="U1" s="41"/>
      <c r="V1" s="41"/>
      <c r="Y1" s="17">
        <f>SUM(Y3:Y49)</f>
        <v>2475</v>
      </c>
      <c r="AA1" s="42" t="str" cm="1">
        <f t="array" aca="1" ref="AA1" ca="1">IFERROR(MID(CELL("filename",$A$1),FIND("]",CELL("filename",$A$1))+1,99),"SXX")&amp;" RENTAL / SERVICE (USAGE + STANDALONE)"</f>
        <v>S11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345</v>
      </c>
      <c r="B3" s="3" t="s">
        <v>346</v>
      </c>
      <c r="C3" s="3" t="s">
        <v>1229</v>
      </c>
      <c r="E3" t="s">
        <v>2055</v>
      </c>
      <c r="F3" t="s">
        <v>2056</v>
      </c>
      <c r="G3" t="s">
        <v>2005</v>
      </c>
      <c r="H3" t="s">
        <v>9</v>
      </c>
      <c r="I3">
        <v>12</v>
      </c>
      <c r="J3" s="19">
        <v>0.05</v>
      </c>
      <c r="K3">
        <v>24</v>
      </c>
      <c r="L3" s="8">
        <f t="shared" ref="L3:L49" si="0">IF($G3="","",$I3*(1+IF($J3="",0,$J3)))</f>
        <v>12.600000000000001</v>
      </c>
      <c r="M3" s="8">
        <f t="shared" ref="M3:M49" si="1">IF($G3="","",$L3)</f>
        <v>12.600000000000001</v>
      </c>
      <c r="N3" s="8">
        <f t="shared" ref="N3:N49" si="2">IF($G3="","",IF($K3="","",$M3*$K3))</f>
        <v>302.40000000000003</v>
      </c>
      <c r="P3" t="s">
        <v>2061</v>
      </c>
      <c r="Q3" t="s">
        <v>1287</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347</v>
      </c>
      <c r="B4" s="3" t="s">
        <v>1230</v>
      </c>
      <c r="C4" s="3" t="s">
        <v>1231</v>
      </c>
      <c r="E4" t="s">
        <v>2057</v>
      </c>
      <c r="F4" t="s">
        <v>2056</v>
      </c>
      <c r="G4" t="s">
        <v>662</v>
      </c>
      <c r="H4" t="s">
        <v>11</v>
      </c>
      <c r="I4">
        <v>0.15</v>
      </c>
      <c r="J4" s="19">
        <v>0.05</v>
      </c>
      <c r="K4">
        <v>850</v>
      </c>
      <c r="L4" s="8">
        <f t="shared" si="0"/>
        <v>0.1575</v>
      </c>
      <c r="M4" s="8">
        <f t="shared" si="1"/>
        <v>0.1575</v>
      </c>
      <c r="N4" s="8">
        <f t="shared" si="2"/>
        <v>133.875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1232</v>
      </c>
      <c r="B5" s="3" t="s">
        <v>1233</v>
      </c>
      <c r="C5" s="3" t="s">
        <v>1234</v>
      </c>
      <c r="E5" t="s">
        <v>2058</v>
      </c>
      <c r="F5" t="s">
        <v>1283</v>
      </c>
      <c r="G5" t="s">
        <v>41</v>
      </c>
      <c r="H5" t="s">
        <v>9</v>
      </c>
      <c r="I5">
        <v>4</v>
      </c>
      <c r="J5" s="19">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348</v>
      </c>
      <c r="B6" s="3" t="s">
        <v>1235</v>
      </c>
      <c r="C6" s="3" t="s">
        <v>1236</v>
      </c>
      <c r="E6" t="s">
        <v>2059</v>
      </c>
      <c r="F6" t="s">
        <v>1284</v>
      </c>
      <c r="G6" t="s">
        <v>1285</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348</v>
      </c>
      <c r="B7" s="3" t="s">
        <v>1237</v>
      </c>
      <c r="C7" s="3" t="s">
        <v>1238</v>
      </c>
      <c r="E7" t="s">
        <v>2060</v>
      </c>
      <c r="F7" t="s">
        <v>1284</v>
      </c>
      <c r="G7" t="s">
        <v>1286</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348</v>
      </c>
      <c r="B8" s="3" t="s">
        <v>622</v>
      </c>
      <c r="C8" s="3" t="s">
        <v>1239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348</v>
      </c>
      <c r="B9" s="3" t="s">
        <v>349</v>
      </c>
      <c r="C9" s="3" t="s">
        <v>1240</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348</v>
      </c>
      <c r="B10" s="3" t="s">
        <v>350</v>
      </c>
      <c r="C10" s="3" t="s">
        <v>1241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348</v>
      </c>
      <c r="B11" s="3" t="s">
        <v>351</v>
      </c>
      <c r="C11" s="3" t="s">
        <v>1242</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348</v>
      </c>
      <c r="B12" s="3" t="s">
        <v>1243</v>
      </c>
      <c r="C12" s="3" t="s">
        <v>1244</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348</v>
      </c>
      <c r="B13" s="3" t="s">
        <v>352</v>
      </c>
      <c r="C13" s="3" t="s">
        <v>1245</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348</v>
      </c>
      <c r="B14" s="3" t="s">
        <v>1246</v>
      </c>
      <c r="C14" s="3" t="s">
        <v>1247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348</v>
      </c>
      <c r="B15" s="3" t="s">
        <v>1248</v>
      </c>
      <c r="C15" s="3" t="s">
        <v>1249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348</v>
      </c>
      <c r="B16" s="3" t="s">
        <v>353</v>
      </c>
      <c r="C16" s="3" t="s">
        <v>1250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348</v>
      </c>
      <c r="B17" s="3" t="s">
        <v>919</v>
      </c>
      <c r="C17" s="3" t="s">
        <v>1251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348</v>
      </c>
      <c r="B18" s="3" t="s">
        <v>354</v>
      </c>
      <c r="C18" s="3" t="s">
        <v>1252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348</v>
      </c>
      <c r="B19" s="3" t="s">
        <v>355</v>
      </c>
      <c r="C19" s="3" t="s">
        <v>1253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348</v>
      </c>
      <c r="B20" s="3" t="s">
        <v>1254</v>
      </c>
      <c r="C20" s="3" t="s">
        <v>1255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348</v>
      </c>
      <c r="B21" s="3" t="s">
        <v>1256</v>
      </c>
      <c r="C21" s="3" t="s">
        <v>1257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348</v>
      </c>
      <c r="B22" s="3" t="s">
        <v>1258</v>
      </c>
      <c r="C22" s="3" t="s">
        <v>1259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348</v>
      </c>
      <c r="B23" s="3" t="s">
        <v>1260</v>
      </c>
      <c r="C23" s="3" t="s">
        <v>1261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348</v>
      </c>
      <c r="B24" s="3" t="s">
        <v>1262</v>
      </c>
      <c r="C24" s="3" t="s">
        <v>1263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2041</v>
      </c>
      <c r="B25" s="3" t="s">
        <v>2042</v>
      </c>
      <c r="C25" s="3" t="s">
        <v>2043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2041</v>
      </c>
      <c r="B26" s="3" t="s">
        <v>2044</v>
      </c>
      <c r="C26" s="3" t="s">
        <v>2045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2041</v>
      </c>
      <c r="B27" s="3" t="s">
        <v>2046</v>
      </c>
      <c r="C27" s="3" t="s">
        <v>2047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2041</v>
      </c>
      <c r="B28" s="3" t="s">
        <v>2048</v>
      </c>
      <c r="C28" s="3" t="s">
        <v>2049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2041</v>
      </c>
      <c r="B29" s="3" t="s">
        <v>2050</v>
      </c>
      <c r="C29" s="3" t="s">
        <v>2051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1264</v>
      </c>
      <c r="B30" s="3" t="s">
        <v>1265</v>
      </c>
      <c r="C30" s="3" t="s">
        <v>1988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1264</v>
      </c>
      <c r="B31" s="3" t="s">
        <v>1266</v>
      </c>
      <c r="C31" s="3" t="s">
        <v>655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1264</v>
      </c>
      <c r="B32" s="3" t="s">
        <v>1267</v>
      </c>
      <c r="C32" s="3" t="s">
        <v>1268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1264</v>
      </c>
      <c r="B33" s="3" t="s">
        <v>1269</v>
      </c>
      <c r="C33" s="3" t="s">
        <v>1270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1264</v>
      </c>
      <c r="B34" s="3" t="s">
        <v>1271</v>
      </c>
      <c r="C34" s="3" t="s">
        <v>1272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348</v>
      </c>
      <c r="B35" s="3" t="s">
        <v>1273</v>
      </c>
      <c r="C35" s="3" t="s">
        <v>1274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348</v>
      </c>
      <c r="B36" s="3" t="s">
        <v>1275</v>
      </c>
      <c r="C36" s="3" t="s">
        <v>1276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348</v>
      </c>
      <c r="B37" s="3" t="s">
        <v>1277</v>
      </c>
      <c r="C37" s="3" t="s">
        <v>1278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348</v>
      </c>
      <c r="B38" s="3" t="s">
        <v>1279</v>
      </c>
      <c r="C38" s="3" t="s">
        <v>1280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348</v>
      </c>
      <c r="B39" s="3" t="s">
        <v>294</v>
      </c>
      <c r="C39" s="3" t="s">
        <v>1281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1282</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2041</v>
      </c>
      <c r="B41" s="3" t="s">
        <v>1897</v>
      </c>
      <c r="C41" s="3" t="s">
        <v>2052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348</v>
      </c>
      <c r="B42" s="3" t="s">
        <v>511</v>
      </c>
      <c r="C42" s="3" t="s">
        <v>2053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356</v>
      </c>
      <c r="B43" s="3" t="s">
        <v>357</v>
      </c>
      <c r="C43" s="3" t="s">
        <v>2054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S12</v>
      </c>
      <c r="B1" s="40"/>
      <c r="C1" s="40"/>
      <c r="E1" s="41" t="str" cm="1">
        <f t="array" aca="1" ref="E1" ca="1">IFERROR(MID(CELL("filename",$A$1),FIND("]",CELL("filename",$A$1))+1,99),"SXX")&amp;" MATERIALS (USAGE + STANDALONE)"</f>
        <v>S12 MATERIALS (USAGE + STANDALONE)</v>
      </c>
      <c r="F1" s="41"/>
      <c r="G1" s="41"/>
      <c r="H1" s="41"/>
      <c r="I1" s="41"/>
      <c r="J1" s="41"/>
      <c r="K1" s="41"/>
      <c r="L1" s="13"/>
      <c r="M1" s="13"/>
      <c r="N1" s="17">
        <f>SUM(N3:N49)</f>
        <v>963.125</v>
      </c>
      <c r="P1" s="41" t="str" cm="1">
        <f t="array" aca="1" ref="P1" ca="1">IFERROR(MID(CELL("filename",$A$1),FIND("]",CELL("filename",$A$1))+1,99),"SXX")&amp;" LABOUR (USAGE + STANDALONE)"</f>
        <v>S12 LABOUR (USAGE + STANDALONE)</v>
      </c>
      <c r="Q1" s="41"/>
      <c r="R1" s="41"/>
      <c r="S1" s="41"/>
      <c r="T1" s="41"/>
      <c r="U1" s="41"/>
      <c r="V1" s="41"/>
      <c r="Y1" s="17">
        <f>SUM(Y3:Y49)</f>
        <v>1912.5</v>
      </c>
      <c r="AA1" s="42" t="str" cm="1">
        <f t="array" aca="1" ref="AA1" ca="1">IFERROR(MID(CELL("filename",$A$1),FIND("]",CELL("filename",$A$1))+1,99),"SXX")&amp;" RENTAL / SERVICE (USAGE + STANDALONE)"</f>
        <v>S12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2062</v>
      </c>
      <c r="B3" s="3" t="s">
        <v>2063</v>
      </c>
      <c r="C3" s="3" t="s">
        <v>2064</v>
      </c>
      <c r="E3" t="s">
        <v>2144</v>
      </c>
      <c r="F3" t="s">
        <v>1288</v>
      </c>
      <c r="G3" t="s">
        <v>1289</v>
      </c>
      <c r="H3" t="s">
        <v>595</v>
      </c>
      <c r="I3">
        <v>13</v>
      </c>
      <c r="J3" s="19">
        <v>0.05</v>
      </c>
      <c r="K3">
        <v>25</v>
      </c>
      <c r="L3" s="8">
        <f t="shared" ref="L3:L49" si="0">IF($G3="","",$I3*(1+IF($J3="",0,$J3)))</f>
        <v>13.65</v>
      </c>
      <c r="M3" s="8">
        <f t="shared" ref="M3:M49" si="1">IF($G3="","",$L3)</f>
        <v>13.65</v>
      </c>
      <c r="N3" s="8">
        <f t="shared" ref="N3:N49" si="2">IF($G3="","",IF($K3="","",$M3*$K3))</f>
        <v>341.25</v>
      </c>
      <c r="P3" t="s">
        <v>2154</v>
      </c>
      <c r="Q3" t="s">
        <v>1298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2065</v>
      </c>
      <c r="B4" s="3" t="s">
        <v>2066</v>
      </c>
      <c r="C4" s="3" t="s">
        <v>2067</v>
      </c>
      <c r="E4" t="s">
        <v>2145</v>
      </c>
      <c r="F4" t="s">
        <v>1288</v>
      </c>
      <c r="G4" t="s">
        <v>1290</v>
      </c>
      <c r="H4" t="s">
        <v>595</v>
      </c>
      <c r="I4">
        <v>5</v>
      </c>
      <c r="J4" s="19">
        <v>0.05</v>
      </c>
      <c r="K4">
        <v>13</v>
      </c>
      <c r="L4" s="8">
        <f t="shared" si="0"/>
        <v>5.25</v>
      </c>
      <c r="M4" s="8">
        <f t="shared" si="1"/>
        <v>5.25</v>
      </c>
      <c r="N4" s="8">
        <f t="shared" si="2"/>
        <v>68.25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2068</v>
      </c>
      <c r="B5" s="3" t="s">
        <v>2069</v>
      </c>
      <c r="C5" s="3" t="s">
        <v>2070</v>
      </c>
      <c r="E5" t="s">
        <v>2146</v>
      </c>
      <c r="F5" t="s">
        <v>2147</v>
      </c>
      <c r="G5" t="s">
        <v>1291</v>
      </c>
      <c r="H5" t="s">
        <v>652</v>
      </c>
      <c r="I5">
        <v>30</v>
      </c>
      <c r="J5" s="19">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2071</v>
      </c>
      <c r="B6" s="3" t="s">
        <v>2072</v>
      </c>
      <c r="C6" s="3" t="s">
        <v>2073</v>
      </c>
      <c r="E6" t="s">
        <v>2148</v>
      </c>
      <c r="F6" t="s">
        <v>2147</v>
      </c>
      <c r="G6" t="s">
        <v>1292</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2071</v>
      </c>
      <c r="B7" s="3" t="s">
        <v>2074</v>
      </c>
      <c r="C7" s="3" t="s">
        <v>2075</v>
      </c>
      <c r="E7" t="s">
        <v>2149</v>
      </c>
      <c r="F7" t="s">
        <v>2150</v>
      </c>
      <c r="G7" t="s">
        <v>1293</v>
      </c>
      <c r="H7" t="s">
        <v>652</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2076</v>
      </c>
      <c r="B8" s="3" t="s">
        <v>2077</v>
      </c>
      <c r="C8" s="3" t="s">
        <v>2078</v>
      </c>
      <c r="E8" t="s">
        <v>1294</v>
      </c>
      <c r="F8" t="s">
        <v>2151</v>
      </c>
      <c r="G8" t="s">
        <v>1295</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2071</v>
      </c>
      <c r="B9" s="3" t="s">
        <v>1079</v>
      </c>
      <c r="C9" s="3" t="s">
        <v>2079</v>
      </c>
      <c r="E9" t="s">
        <v>2152</v>
      </c>
      <c r="F9" t="s">
        <v>2151</v>
      </c>
      <c r="G9" t="s">
        <v>41</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2071</v>
      </c>
      <c r="B10" s="3" t="s">
        <v>2080</v>
      </c>
      <c r="C10" s="3" t="s">
        <v>2081</v>
      </c>
      <c r="E10" t="s">
        <v>2153</v>
      </c>
      <c r="F10" t="s">
        <v>1296</v>
      </c>
      <c r="G10" t="s">
        <v>1297</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2076</v>
      </c>
      <c r="B11" s="3" t="s">
        <v>2082</v>
      </c>
      <c r="C11" s="3" t="s">
        <v>2083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2076</v>
      </c>
      <c r="B12" s="3" t="s">
        <v>2084</v>
      </c>
      <c r="C12" s="3" t="s">
        <v>2085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2076</v>
      </c>
      <c r="B13" s="3" t="s">
        <v>2086</v>
      </c>
      <c r="C13" s="3" t="s">
        <v>2087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2071</v>
      </c>
      <c r="B14" s="3" t="s">
        <v>2088</v>
      </c>
      <c r="C14" s="3" t="s">
        <v>2089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2071</v>
      </c>
      <c r="B15" s="3" t="s">
        <v>2090</v>
      </c>
      <c r="C15" s="3" t="s">
        <v>2091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2071</v>
      </c>
      <c r="B16" s="3" t="s">
        <v>2092</v>
      </c>
      <c r="C16" s="3" t="s">
        <v>2093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2071</v>
      </c>
      <c r="B17" s="3" t="s">
        <v>2094</v>
      </c>
      <c r="C17" s="3" t="s">
        <v>2095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2071</v>
      </c>
      <c r="B18" s="3" t="s">
        <v>2096</v>
      </c>
      <c r="C18" s="3" t="s">
        <v>2097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2071</v>
      </c>
      <c r="B19" s="3" t="s">
        <v>2098</v>
      </c>
      <c r="C19" s="3" t="s">
        <v>2099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2071</v>
      </c>
      <c r="B20" s="3" t="s">
        <v>2100</v>
      </c>
      <c r="C20" s="3" t="s">
        <v>2101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2071</v>
      </c>
      <c r="B21" s="3" t="s">
        <v>2102</v>
      </c>
      <c r="C21" s="3" t="s">
        <v>2103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2071</v>
      </c>
      <c r="B22" s="3" t="s">
        <v>508</v>
      </c>
      <c r="C22" s="3" t="s">
        <v>2104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2071</v>
      </c>
      <c r="B23" s="3" t="s">
        <v>294</v>
      </c>
      <c r="C23" s="3" t="s">
        <v>2105</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2106</v>
      </c>
      <c r="B24" s="3" t="s">
        <v>2107</v>
      </c>
      <c r="C24" s="3" t="s">
        <v>2108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2106</v>
      </c>
      <c r="B25" s="3" t="s">
        <v>2109</v>
      </c>
      <c r="C25" s="3" t="s">
        <v>2110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2106</v>
      </c>
      <c r="B26" s="3" t="s">
        <v>2111</v>
      </c>
      <c r="C26" s="3" t="s">
        <v>2112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2106</v>
      </c>
      <c r="B27" s="3" t="s">
        <v>2113</v>
      </c>
      <c r="C27" s="3" t="s">
        <v>2114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2106</v>
      </c>
      <c r="B28" s="3" t="s">
        <v>2115</v>
      </c>
      <c r="C28" s="3" t="s">
        <v>2116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2106</v>
      </c>
      <c r="B29" s="3" t="s">
        <v>2117</v>
      </c>
      <c r="C29" s="3" t="s">
        <v>2118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2106</v>
      </c>
      <c r="B30" s="3" t="s">
        <v>2119</v>
      </c>
      <c r="C30" s="3" t="s">
        <v>1268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2106</v>
      </c>
      <c r="B31" s="3" t="s">
        <v>2120</v>
      </c>
      <c r="C31" s="3" t="s">
        <v>2121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2076</v>
      </c>
      <c r="B32" s="3" t="s">
        <v>2122</v>
      </c>
      <c r="C32" s="3" t="s">
        <v>2123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2076</v>
      </c>
      <c r="B33" s="3" t="s">
        <v>2124</v>
      </c>
      <c r="C33" s="3" t="s">
        <v>2125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2076</v>
      </c>
      <c r="B34" s="3" t="s">
        <v>2126</v>
      </c>
      <c r="C34" s="3" t="s">
        <v>2127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2076</v>
      </c>
      <c r="B35" s="3" t="s">
        <v>2128</v>
      </c>
      <c r="C35" s="3" t="s">
        <v>2129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2076</v>
      </c>
      <c r="B36" s="3" t="s">
        <v>2130</v>
      </c>
      <c r="C36" s="3" t="s">
        <v>2131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2076</v>
      </c>
      <c r="B37" s="3" t="s">
        <v>2132</v>
      </c>
      <c r="C37" s="3" t="s">
        <v>2133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2076</v>
      </c>
      <c r="B38" s="3" t="s">
        <v>2134</v>
      </c>
      <c r="C38" s="3" t="s">
        <v>2135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2076</v>
      </c>
      <c r="B39" s="3" t="s">
        <v>2136</v>
      </c>
      <c r="C39" s="3" t="s">
        <v>2137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2138</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2076</v>
      </c>
      <c r="B41" s="3" t="s">
        <v>1897</v>
      </c>
      <c r="C41" s="3" t="s">
        <v>2139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2071</v>
      </c>
      <c r="B42" s="3" t="s">
        <v>511</v>
      </c>
      <c r="C42" s="3" t="s">
        <v>2140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2141</v>
      </c>
      <c r="B43" s="3" t="s">
        <v>2142</v>
      </c>
      <c r="C43" s="3" t="s">
        <v>2143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activeCell="I15" sqref="I15"/>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S13</v>
      </c>
      <c r="B1" s="40"/>
      <c r="C1" s="40"/>
      <c r="E1" s="41" t="str" cm="1">
        <f t="array" aca="1" ref="E1" ca="1">IFERROR(MID(CELL("filename",$A$1),FIND("]",CELL("filename",$A$1))+1,99),"SXX")&amp;" MATERIALS (USAGE + STANDALONE)"</f>
        <v>S13 MATERIALS (USAGE + STANDALONE)</v>
      </c>
      <c r="F1" s="41"/>
      <c r="G1" s="41"/>
      <c r="H1" s="41"/>
      <c r="I1" s="41"/>
      <c r="J1" s="41"/>
      <c r="K1" s="41"/>
      <c r="L1" s="13"/>
      <c r="M1" s="13"/>
      <c r="N1" s="17">
        <f>SUM(N3:N49)</f>
        <v>5277.5</v>
      </c>
      <c r="P1" s="41" t="str" cm="1">
        <f t="array" aca="1" ref="P1" ca="1">IFERROR(MID(CELL("filename",$A$1),FIND("]",CELL("filename",$A$1))+1,99),"SXX")&amp;" LABOUR (USAGE + STANDALONE)"</f>
        <v>S13 LABOUR (USAGE + STANDALONE)</v>
      </c>
      <c r="Q1" s="41"/>
      <c r="R1" s="41"/>
      <c r="S1" s="41"/>
      <c r="T1" s="41"/>
      <c r="U1" s="41"/>
      <c r="V1" s="41"/>
      <c r="Y1" s="17">
        <f>SUM(Y3:Y49)</f>
        <v>5040</v>
      </c>
      <c r="AA1" s="42" t="str" cm="1">
        <f t="array" aca="1" ref="AA1" ca="1">IFERROR(MID(CELL("filename",$A$1),FIND("]",CELL("filename",$A$1))+1,99),"SXX")&amp;" RENTAL / SERVICE (USAGE + STANDALONE)"</f>
        <v>S13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358</v>
      </c>
      <c r="B3" s="3" t="s">
        <v>1488</v>
      </c>
      <c r="C3" s="3" t="s">
        <v>1489</v>
      </c>
      <c r="E3" t="s">
        <v>1544</v>
      </c>
      <c r="F3" t="s">
        <v>1545</v>
      </c>
      <c r="G3" t="s">
        <v>1546</v>
      </c>
      <c r="H3" t="s">
        <v>10</v>
      </c>
      <c r="I3">
        <v>5</v>
      </c>
      <c r="J3" s="19">
        <v>0</v>
      </c>
      <c r="K3">
        <v>105</v>
      </c>
      <c r="L3" s="8">
        <f t="shared" ref="L3:L49" si="0">IF($G3="","",$I3*(1+IF($J3="",0,$J3)))</f>
        <v>5</v>
      </c>
      <c r="M3" s="8">
        <f t="shared" ref="M3:M49" si="1">IF($G3="","",$L3)</f>
        <v>5</v>
      </c>
      <c r="N3" s="8">
        <f t="shared" ref="N3:N49" si="2">IF($G3="","",IF($K3="","",$M3*$K3))</f>
        <v>525</v>
      </c>
      <c r="P3" t="s">
        <v>2163</v>
      </c>
      <c r="Q3" t="s">
        <v>1565</v>
      </c>
      <c r="R3" t="s">
        <v>251</v>
      </c>
      <c r="S3" t="s">
        <v>29</v>
      </c>
      <c r="T3">
        <v>224</v>
      </c>
      <c r="U3" s="19">
        <v>0</v>
      </c>
      <c r="V3">
        <v>22.5</v>
      </c>
      <c r="W3" s="8">
        <f>IF($R3="","",$T3*(1+IF($U3="",0,$U3)))</f>
        <v>224</v>
      </c>
      <c r="X3" s="8">
        <f>IF($R3="","",$W3)</f>
        <v>224</v>
      </c>
      <c r="Y3" s="8">
        <f>IF($R3="","",IF($V3="","",$X3*$V3))</f>
        <v>5040</v>
      </c>
      <c r="AH3" s="8" t="str">
        <f>IF($AC3="","",$AE3*(1+IF($AF3="",0,$AF3)))</f>
        <v/>
      </c>
      <c r="AI3" s="8" t="str">
        <f>IF($AC3="","",$AH3)</f>
        <v/>
      </c>
      <c r="AJ3" s="8" t="str">
        <f>IF($AC3="","",IF($AG3="","",$AI3*$AG3))</f>
        <v/>
      </c>
    </row>
    <row r="4" spans="1:37" x14ac:dyDescent="0.25">
      <c r="A4" s="3" t="s">
        <v>359</v>
      </c>
      <c r="B4" s="3" t="s">
        <v>1490</v>
      </c>
      <c r="C4" s="3" t="s">
        <v>1491</v>
      </c>
      <c r="E4" t="s">
        <v>2157</v>
      </c>
      <c r="F4" t="s">
        <v>1547</v>
      </c>
      <c r="G4" t="s">
        <v>1548</v>
      </c>
      <c r="H4" t="s">
        <v>8</v>
      </c>
      <c r="I4">
        <v>84</v>
      </c>
      <c r="J4" s="19">
        <v>0</v>
      </c>
      <c r="K4">
        <v>15</v>
      </c>
      <c r="L4" s="8">
        <f t="shared" si="0"/>
        <v>84</v>
      </c>
      <c r="M4" s="8">
        <f t="shared" si="1"/>
        <v>84</v>
      </c>
      <c r="N4" s="8">
        <f t="shared" si="2"/>
        <v>1260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1299</v>
      </c>
      <c r="B5" s="3" t="s">
        <v>1492</v>
      </c>
      <c r="C5" s="3" t="s">
        <v>1493</v>
      </c>
      <c r="E5" t="s">
        <v>2158</v>
      </c>
      <c r="F5" t="s">
        <v>1549</v>
      </c>
      <c r="G5" t="s">
        <v>1550</v>
      </c>
      <c r="H5" t="s">
        <v>8</v>
      </c>
      <c r="I5">
        <v>75</v>
      </c>
      <c r="J5" s="19">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360</v>
      </c>
      <c r="B6" s="3" t="s">
        <v>1494</v>
      </c>
      <c r="C6" s="3" t="s">
        <v>1495</v>
      </c>
      <c r="E6" t="s">
        <v>2159</v>
      </c>
      <c r="F6" t="s">
        <v>1551</v>
      </c>
      <c r="G6" t="s">
        <v>1550</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360</v>
      </c>
      <c r="B7" s="3" t="s">
        <v>1496</v>
      </c>
      <c r="C7" s="3" t="s">
        <v>1497</v>
      </c>
      <c r="E7" t="s">
        <v>2160</v>
      </c>
      <c r="F7" t="s">
        <v>1552</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360</v>
      </c>
      <c r="B8" s="3" t="s">
        <v>1498</v>
      </c>
      <c r="C8" s="3" t="s">
        <v>1499</v>
      </c>
      <c r="E8" t="s">
        <v>2161</v>
      </c>
      <c r="F8" t="s">
        <v>1553</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360</v>
      </c>
      <c r="B9" s="3" t="s">
        <v>1500</v>
      </c>
      <c r="C9" s="3" t="s">
        <v>1501</v>
      </c>
      <c r="E9" t="s">
        <v>1554</v>
      </c>
      <c r="F9" t="s">
        <v>1555</v>
      </c>
      <c r="G9" t="s">
        <v>38</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1300</v>
      </c>
      <c r="B10" s="3" t="s">
        <v>1301</v>
      </c>
      <c r="C10" s="3" t="s">
        <v>1502</v>
      </c>
      <c r="E10" t="s">
        <v>1556</v>
      </c>
      <c r="F10" t="s">
        <v>1557</v>
      </c>
      <c r="G10" t="s">
        <v>1558</v>
      </c>
      <c r="H10" t="s">
        <v>1559</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1300</v>
      </c>
      <c r="B11" s="3" t="s">
        <v>1302</v>
      </c>
      <c r="C11" s="3" t="s">
        <v>1303</v>
      </c>
      <c r="E11" t="s">
        <v>1560</v>
      </c>
      <c r="F11" t="s">
        <v>1561</v>
      </c>
      <c r="G11" t="s">
        <v>39</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1300</v>
      </c>
      <c r="B12" s="3" t="s">
        <v>1304</v>
      </c>
      <c r="C12" s="3" t="s">
        <v>1503</v>
      </c>
      <c r="E12" t="s">
        <v>2162</v>
      </c>
      <c r="F12" t="s">
        <v>1562</v>
      </c>
      <c r="G12" t="s">
        <v>2005</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1300</v>
      </c>
      <c r="B13" s="3" t="s">
        <v>1504</v>
      </c>
      <c r="C13" s="3" t="s">
        <v>1505</v>
      </c>
      <c r="E13" t="s">
        <v>1563</v>
      </c>
      <c r="F13" t="s">
        <v>1562</v>
      </c>
      <c r="G13" t="s">
        <v>1564</v>
      </c>
      <c r="H13" t="s">
        <v>40</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1300</v>
      </c>
      <c r="B14" s="3" t="s">
        <v>1506</v>
      </c>
      <c r="C14" s="3" t="s">
        <v>1507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360</v>
      </c>
      <c r="B15" s="3" t="s">
        <v>1508</v>
      </c>
      <c r="C15" s="3" t="s">
        <v>1509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360</v>
      </c>
      <c r="B16" s="3" t="s">
        <v>1305</v>
      </c>
      <c r="C16" s="3" t="s">
        <v>1306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360</v>
      </c>
      <c r="B17" s="3" t="s">
        <v>1307</v>
      </c>
      <c r="C17" s="3" t="s">
        <v>1308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360</v>
      </c>
      <c r="B18" s="3" t="s">
        <v>1015</v>
      </c>
      <c r="C18" s="3" t="s">
        <v>1510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1300</v>
      </c>
      <c r="B19" s="3" t="s">
        <v>1309</v>
      </c>
      <c r="C19" s="3" t="s">
        <v>1310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1300</v>
      </c>
      <c r="B20" s="3" t="s">
        <v>1311</v>
      </c>
      <c r="C20" s="3" t="s">
        <v>1511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1300</v>
      </c>
      <c r="B21" s="3" t="s">
        <v>1312</v>
      </c>
      <c r="C21" s="3" t="s">
        <v>1313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1300</v>
      </c>
      <c r="B22" s="3" t="s">
        <v>1314</v>
      </c>
      <c r="C22" s="3" t="s">
        <v>1315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360</v>
      </c>
      <c r="B23" s="3" t="s">
        <v>1316</v>
      </c>
      <c r="C23" s="3" t="s">
        <v>1512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1300</v>
      </c>
      <c r="B24" s="3" t="s">
        <v>1513</v>
      </c>
      <c r="C24" s="3" t="s">
        <v>1514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1300</v>
      </c>
      <c r="B25" s="3" t="s">
        <v>1515</v>
      </c>
      <c r="C25" s="3" t="s">
        <v>1516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1300</v>
      </c>
      <c r="B26" s="3" t="s">
        <v>1517</v>
      </c>
      <c r="C26" s="3" t="s">
        <v>1518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1300</v>
      </c>
      <c r="B27" s="3" t="s">
        <v>1519</v>
      </c>
      <c r="C27" s="3" t="s">
        <v>1520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360</v>
      </c>
      <c r="B28" s="3" t="s">
        <v>1521</v>
      </c>
      <c r="C28" s="3" t="s">
        <v>1522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360</v>
      </c>
      <c r="B29" s="3" t="s">
        <v>1523</v>
      </c>
      <c r="C29" s="3" t="s">
        <v>1524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360</v>
      </c>
      <c r="B30" s="3" t="s">
        <v>1317</v>
      </c>
      <c r="C30" s="3" t="s">
        <v>1525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1318</v>
      </c>
      <c r="B31" s="3" t="s">
        <v>1319</v>
      </c>
      <c r="C31" s="3" t="s">
        <v>1320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360</v>
      </c>
      <c r="B32" s="3" t="s">
        <v>1321</v>
      </c>
      <c r="C32" s="3" t="s">
        <v>1526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1318</v>
      </c>
      <c r="B33" s="3" t="s">
        <v>1322</v>
      </c>
      <c r="C33" s="3" t="s">
        <v>1323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1318</v>
      </c>
      <c r="B34" s="3" t="s">
        <v>1324</v>
      </c>
      <c r="C34" s="3" t="s">
        <v>1325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1318</v>
      </c>
      <c r="B35" s="3" t="s">
        <v>1326</v>
      </c>
      <c r="C35" s="3" t="s">
        <v>1325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1318</v>
      </c>
      <c r="B36" s="3" t="s">
        <v>1327</v>
      </c>
      <c r="C36" s="3" t="s">
        <v>1328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1318</v>
      </c>
      <c r="B37" s="3" t="s">
        <v>1527</v>
      </c>
      <c r="C37" s="3" t="s">
        <v>1328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1318</v>
      </c>
      <c r="B38" s="3" t="s">
        <v>1330</v>
      </c>
      <c r="C38" s="3" t="s">
        <v>1331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1318</v>
      </c>
      <c r="B39" s="3" t="s">
        <v>1332</v>
      </c>
      <c r="C39" s="3" t="s">
        <v>1333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1318</v>
      </c>
      <c r="B40" s="3" t="s">
        <v>1334</v>
      </c>
      <c r="C40" s="3" t="s">
        <v>1335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1318</v>
      </c>
      <c r="B41" s="3" t="s">
        <v>1528</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1318</v>
      </c>
      <c r="B42" s="3" t="s">
        <v>1529</v>
      </c>
      <c r="C42" s="3" t="s">
        <v>1530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360</v>
      </c>
      <c r="B43" s="3" t="s">
        <v>1329</v>
      </c>
      <c r="C43" s="3" t="s">
        <v>1531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360</v>
      </c>
      <c r="B44" s="3" t="s">
        <v>1532</v>
      </c>
      <c r="C44" s="3" t="s">
        <v>1533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360</v>
      </c>
      <c r="B45" s="3" t="s">
        <v>1336</v>
      </c>
      <c r="C45" s="3" t="s">
        <v>1534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360</v>
      </c>
      <c r="B46" s="3" t="s">
        <v>1337</v>
      </c>
      <c r="C46" s="3" t="s">
        <v>1535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360</v>
      </c>
      <c r="B47" s="3" t="s">
        <v>1536</v>
      </c>
      <c r="C47" s="3" t="s">
        <v>1537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360</v>
      </c>
      <c r="B48" s="3" t="s">
        <v>1338</v>
      </c>
      <c r="C48" s="3" t="s">
        <v>1538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360</v>
      </c>
      <c r="B49" s="3" t="s">
        <v>1339</v>
      </c>
      <c r="C49" s="3" t="s">
        <v>1539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360</v>
      </c>
      <c r="B50" s="3" t="s">
        <v>1340</v>
      </c>
      <c r="C50" s="3" t="s">
        <v>1540</v>
      </c>
    </row>
    <row r="51" spans="1:36" x14ac:dyDescent="0.25">
      <c r="A51" s="3" t="s">
        <v>360</v>
      </c>
      <c r="B51" s="3" t="s">
        <v>1341</v>
      </c>
      <c r="C51" s="3" t="s">
        <v>1541</v>
      </c>
    </row>
    <row r="52" spans="1:36" x14ac:dyDescent="0.25">
      <c r="A52" s="3" t="s">
        <v>360</v>
      </c>
      <c r="B52" s="3" t="s">
        <v>1342</v>
      </c>
      <c r="C52" s="3" t="s">
        <v>1542</v>
      </c>
    </row>
    <row r="53" spans="1:36" x14ac:dyDescent="0.25">
      <c r="A53" s="3" t="s">
        <v>360</v>
      </c>
      <c r="B53" s="3" t="s">
        <v>294</v>
      </c>
      <c r="C53" s="3" t="s">
        <v>1343</v>
      </c>
    </row>
    <row r="54" spans="1:36" x14ac:dyDescent="0.25">
      <c r="A54" s="3" t="s">
        <v>1344</v>
      </c>
      <c r="B54" s="3" t="s">
        <v>1439</v>
      </c>
      <c r="C54" s="3" t="s">
        <v>381</v>
      </c>
    </row>
    <row r="55" spans="1:36" x14ac:dyDescent="0.25">
      <c r="A55" s="3" t="s">
        <v>1300</v>
      </c>
      <c r="B55" s="3" t="s">
        <v>1897</v>
      </c>
      <c r="C55" s="3" t="s">
        <v>2155</v>
      </c>
    </row>
    <row r="56" spans="1:36" x14ac:dyDescent="0.25">
      <c r="A56" s="3" t="s">
        <v>360</v>
      </c>
      <c r="B56" s="3" t="s">
        <v>511</v>
      </c>
      <c r="C56" s="3" t="s">
        <v>1543</v>
      </c>
    </row>
    <row r="57" spans="1:36" x14ac:dyDescent="0.25">
      <c r="A57" s="3" t="s">
        <v>361</v>
      </c>
      <c r="B57" s="3" t="s">
        <v>362</v>
      </c>
      <c r="C57" s="3" t="s">
        <v>2156</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S14</v>
      </c>
      <c r="B1" s="40"/>
      <c r="C1" s="40"/>
      <c r="E1" s="41" t="str" cm="1">
        <f t="array" aca="1" ref="E1" ca="1">IFERROR(MID(CELL("filename",$A$1),FIND("]",CELL("filename",$A$1))+1,99),"SXX")&amp;" MATERIALS (USAGE + STANDALONE)"</f>
        <v>S14 MATERIALS (USAGE + STANDALONE)</v>
      </c>
      <c r="F1" s="41"/>
      <c r="G1" s="41"/>
      <c r="H1" s="41"/>
      <c r="I1" s="41"/>
      <c r="J1" s="41"/>
      <c r="K1" s="41"/>
      <c r="L1" s="13"/>
      <c r="M1" s="13"/>
      <c r="N1" s="17">
        <f>SUM(N3:N49)</f>
        <v>1825.2700000000002</v>
      </c>
      <c r="P1" s="41" t="str" cm="1">
        <f t="array" aca="1" ref="P1" ca="1">IFERROR(MID(CELL("filename",$A$1),FIND("]",CELL("filename",$A$1))+1,99),"SXX")&amp;" LABOUR (USAGE + STANDALONE)"</f>
        <v>S14 LABOUR (USAGE + STANDALONE)</v>
      </c>
      <c r="Q1" s="41"/>
      <c r="R1" s="41"/>
      <c r="S1" s="41"/>
      <c r="T1" s="41"/>
      <c r="U1" s="41"/>
      <c r="V1" s="41"/>
      <c r="Y1" s="17">
        <f>SUM(Y3:Y49)</f>
        <v>1440</v>
      </c>
      <c r="AA1" s="42" t="str" cm="1">
        <f t="array" aca="1" ref="AA1" ca="1">IFERROR(MID(CELL("filename",$A$1),FIND("]",CELL("filename",$A$1))+1,99),"SXX")&amp;" RENTAL / SERVICE (USAGE + STANDALONE)"</f>
        <v>S14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363</v>
      </c>
      <c r="B3" s="3" t="s">
        <v>1566</v>
      </c>
      <c r="C3" s="3" t="s">
        <v>1694</v>
      </c>
      <c r="E3" t="s">
        <v>1650</v>
      </c>
      <c r="F3" t="s">
        <v>1651</v>
      </c>
      <c r="G3" t="s">
        <v>1652</v>
      </c>
      <c r="H3" t="s">
        <v>256</v>
      </c>
      <c r="I3">
        <v>1</v>
      </c>
      <c r="J3" s="19">
        <v>0</v>
      </c>
      <c r="K3">
        <v>92</v>
      </c>
      <c r="L3" s="8">
        <f t="shared" ref="L3:L49" si="0">IF($G3="","",$I3*(1+IF($J3="",0,$J3)))</f>
        <v>1</v>
      </c>
      <c r="M3" s="8">
        <f t="shared" ref="M3:M49" si="1">IF($G3="","",$L3)</f>
        <v>1</v>
      </c>
      <c r="N3" s="8">
        <f t="shared" ref="N3:N49" si="2">IF($G3="","",IF($K3="","",$M3*$K3))</f>
        <v>92</v>
      </c>
      <c r="P3" t="s">
        <v>2166</v>
      </c>
      <c r="Q3" t="s">
        <v>1693</v>
      </c>
      <c r="R3" t="s">
        <v>251</v>
      </c>
      <c r="S3" t="s">
        <v>29</v>
      </c>
      <c r="T3">
        <v>38</v>
      </c>
      <c r="U3" s="19">
        <v>0</v>
      </c>
      <c r="V3">
        <v>22.5</v>
      </c>
      <c r="W3" s="8">
        <f>IF($R3="","",$T3*(1+IF($U3="",0,$U3)))</f>
        <v>38</v>
      </c>
      <c r="X3" s="8">
        <f>IF($R3="","",$W3)</f>
        <v>38</v>
      </c>
      <c r="Y3" s="8">
        <f>IF($R3="","",IF($V3="","",$X3*$V3))</f>
        <v>855</v>
      </c>
      <c r="AH3" s="8" t="str">
        <f>IF($AC3="","",$AE3*(1+IF($AF3="",0,$AF3)))</f>
        <v/>
      </c>
      <c r="AI3" s="8" t="str">
        <f>IF($AC3="","",$AH3)</f>
        <v/>
      </c>
      <c r="AJ3" s="8" t="str">
        <f>IF($AC3="","",IF($AG3="","",$AI3*$AG3))</f>
        <v/>
      </c>
    </row>
    <row r="4" spans="1:37" x14ac:dyDescent="0.25">
      <c r="A4" s="3" t="s">
        <v>364</v>
      </c>
      <c r="B4" s="3" t="s">
        <v>1695</v>
      </c>
      <c r="C4" s="3" t="s">
        <v>1696</v>
      </c>
      <c r="E4" t="s">
        <v>1650</v>
      </c>
      <c r="F4" t="s">
        <v>1651</v>
      </c>
      <c r="G4" t="s">
        <v>1653</v>
      </c>
      <c r="H4" t="s">
        <v>256</v>
      </c>
      <c r="I4">
        <v>1</v>
      </c>
      <c r="J4" s="19">
        <v>0</v>
      </c>
      <c r="K4">
        <v>92</v>
      </c>
      <c r="L4" s="8">
        <f t="shared" si="0"/>
        <v>1</v>
      </c>
      <c r="M4" s="8">
        <f t="shared" si="1"/>
        <v>1</v>
      </c>
      <c r="N4" s="8">
        <f t="shared" si="2"/>
        <v>92</v>
      </c>
      <c r="P4" t="s">
        <v>2167</v>
      </c>
      <c r="Q4" t="s">
        <v>1693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1567</v>
      </c>
      <c r="B5" s="3" t="s">
        <v>1568</v>
      </c>
      <c r="C5" s="3" t="s">
        <v>1697</v>
      </c>
      <c r="E5" t="s">
        <v>1650</v>
      </c>
      <c r="F5" t="s">
        <v>1651</v>
      </c>
      <c r="G5" t="s">
        <v>1654</v>
      </c>
      <c r="H5" t="s">
        <v>256</v>
      </c>
      <c r="I5">
        <v>1</v>
      </c>
      <c r="J5" s="19">
        <v>0</v>
      </c>
      <c r="K5">
        <v>92</v>
      </c>
      <c r="L5" s="8">
        <f t="shared" si="0"/>
        <v>1</v>
      </c>
      <c r="M5" s="8">
        <f t="shared" si="1"/>
        <v>1</v>
      </c>
      <c r="N5" s="8">
        <f t="shared" si="2"/>
        <v>92</v>
      </c>
      <c r="P5" t="s">
        <v>2168</v>
      </c>
      <c r="Q5" t="s">
        <v>1693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365</v>
      </c>
      <c r="B6" s="3" t="s">
        <v>1569</v>
      </c>
      <c r="C6" s="3" t="s">
        <v>1698</v>
      </c>
      <c r="E6" t="s">
        <v>1655</v>
      </c>
      <c r="F6" t="s">
        <v>1651</v>
      </c>
      <c r="G6" t="s">
        <v>1656</v>
      </c>
      <c r="H6" t="s">
        <v>256</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365</v>
      </c>
      <c r="B7" s="3" t="s">
        <v>1570</v>
      </c>
      <c r="C7" s="3" t="s">
        <v>1699</v>
      </c>
      <c r="E7" t="s">
        <v>1655</v>
      </c>
      <c r="F7" t="s">
        <v>1651</v>
      </c>
      <c r="G7" t="s">
        <v>1657</v>
      </c>
      <c r="H7" t="s">
        <v>256</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365</v>
      </c>
      <c r="B8" s="3" t="s">
        <v>1571</v>
      </c>
      <c r="C8" s="3" t="s">
        <v>1700</v>
      </c>
      <c r="E8" t="s">
        <v>1655</v>
      </c>
      <c r="F8" t="s">
        <v>1651</v>
      </c>
      <c r="G8" t="s">
        <v>1658</v>
      </c>
      <c r="H8" t="s">
        <v>256</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365</v>
      </c>
      <c r="B9" s="3" t="s">
        <v>1572</v>
      </c>
      <c r="C9" s="3" t="s">
        <v>1701</v>
      </c>
      <c r="E9" t="s">
        <v>1659</v>
      </c>
      <c r="F9" t="s">
        <v>1660</v>
      </c>
      <c r="G9" t="s">
        <v>1661</v>
      </c>
      <c r="H9" t="s">
        <v>1662</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365</v>
      </c>
      <c r="B10" s="3" t="s">
        <v>1573</v>
      </c>
      <c r="C10" s="3" t="s">
        <v>1702</v>
      </c>
      <c r="E10" t="s">
        <v>1663</v>
      </c>
      <c r="F10" t="s">
        <v>1664</v>
      </c>
      <c r="G10" t="s">
        <v>1665</v>
      </c>
      <c r="H10" t="s">
        <v>652</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365</v>
      </c>
      <c r="B11" s="3" t="s">
        <v>1596</v>
      </c>
      <c r="C11" s="3" t="s">
        <v>1597</v>
      </c>
      <c r="E11" t="s">
        <v>1666</v>
      </c>
      <c r="F11" t="s">
        <v>1664</v>
      </c>
      <c r="G11" t="s">
        <v>1667</v>
      </c>
      <c r="H11" t="s">
        <v>652</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1574</v>
      </c>
      <c r="B12" s="3" t="s">
        <v>1575</v>
      </c>
      <c r="C12" s="3" t="s">
        <v>1703</v>
      </c>
      <c r="E12" t="s">
        <v>1668</v>
      </c>
      <c r="F12" t="s">
        <v>1664</v>
      </c>
      <c r="G12" t="s">
        <v>1669</v>
      </c>
      <c r="H12" t="s">
        <v>888</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1574</v>
      </c>
      <c r="B13" s="3" t="s">
        <v>1576</v>
      </c>
      <c r="C13" s="3" t="s">
        <v>1577</v>
      </c>
      <c r="E13" t="s">
        <v>1670</v>
      </c>
      <c r="F13" t="s">
        <v>1671</v>
      </c>
      <c r="G13" t="s">
        <v>1672</v>
      </c>
      <c r="H13" t="s">
        <v>30</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1574</v>
      </c>
      <c r="B14" s="3" t="s">
        <v>1578</v>
      </c>
      <c r="C14" s="3" t="s">
        <v>1704</v>
      </c>
      <c r="E14" t="s">
        <v>1714</v>
      </c>
      <c r="F14" t="s">
        <v>1673</v>
      </c>
      <c r="G14" t="s">
        <v>1674</v>
      </c>
      <c r="H14" t="s">
        <v>30</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1574</v>
      </c>
      <c r="B15" s="3" t="s">
        <v>1579</v>
      </c>
      <c r="C15" s="3" t="s">
        <v>1705</v>
      </c>
      <c r="E15" t="s">
        <v>1715</v>
      </c>
      <c r="F15" t="s">
        <v>1675</v>
      </c>
      <c r="G15" t="s">
        <v>1676</v>
      </c>
      <c r="H15" t="s">
        <v>30</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1574</v>
      </c>
      <c r="B16" s="3" t="s">
        <v>1580</v>
      </c>
      <c r="C16" s="3" t="s">
        <v>1581</v>
      </c>
      <c r="E16" t="s">
        <v>1677</v>
      </c>
      <c r="F16" t="s">
        <v>1678</v>
      </c>
      <c r="G16" t="s">
        <v>42</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1574</v>
      </c>
      <c r="B17" s="3" t="s">
        <v>1582</v>
      </c>
      <c r="C17" s="3" t="s">
        <v>1583</v>
      </c>
      <c r="E17" t="s">
        <v>1716</v>
      </c>
      <c r="F17" t="s">
        <v>1678</v>
      </c>
      <c r="G17" t="s">
        <v>1679</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1574</v>
      </c>
      <c r="B18" s="3" t="s">
        <v>1584</v>
      </c>
      <c r="C18" s="3" t="s">
        <v>1585</v>
      </c>
      <c r="E18" t="s">
        <v>1680</v>
      </c>
      <c r="F18" t="s">
        <v>1681</v>
      </c>
      <c r="G18" t="s">
        <v>1682</v>
      </c>
      <c r="H18" t="s">
        <v>30</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1574</v>
      </c>
      <c r="B19" s="3" t="s">
        <v>1586</v>
      </c>
      <c r="C19" s="3" t="s">
        <v>1706</v>
      </c>
      <c r="E19" t="s">
        <v>1683</v>
      </c>
      <c r="F19" t="s">
        <v>1681</v>
      </c>
      <c r="G19" t="s">
        <v>1684</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1574</v>
      </c>
      <c r="B20" s="3" t="s">
        <v>1587</v>
      </c>
      <c r="C20" s="3" t="s">
        <v>1588</v>
      </c>
      <c r="E20" t="s">
        <v>1685</v>
      </c>
      <c r="F20" t="s">
        <v>1681</v>
      </c>
      <c r="G20" t="s">
        <v>1686</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365</v>
      </c>
      <c r="B21" s="3" t="s">
        <v>1589</v>
      </c>
      <c r="C21" s="3" t="s">
        <v>1590</v>
      </c>
      <c r="E21" t="s">
        <v>1687</v>
      </c>
      <c r="F21" t="s">
        <v>1681</v>
      </c>
      <c r="G21" t="s">
        <v>1688</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365</v>
      </c>
      <c r="B22" s="3" t="s">
        <v>1591</v>
      </c>
      <c r="C22" s="3" t="s">
        <v>1707</v>
      </c>
      <c r="E22" t="s">
        <v>1689</v>
      </c>
      <c r="F22" t="s">
        <v>1660</v>
      </c>
      <c r="G22" t="s">
        <v>1690</v>
      </c>
      <c r="H22" t="s">
        <v>652</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365</v>
      </c>
      <c r="B23" s="3" t="s">
        <v>1592</v>
      </c>
      <c r="C23" s="3" t="s">
        <v>1593</v>
      </c>
      <c r="E23" t="s">
        <v>1691</v>
      </c>
      <c r="F23" t="s">
        <v>1660</v>
      </c>
      <c r="G23" t="s">
        <v>1692</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365</v>
      </c>
      <c r="B24" s="3" t="s">
        <v>1594</v>
      </c>
      <c r="C24" s="3" t="s">
        <v>1595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365</v>
      </c>
      <c r="B25" s="3" t="s">
        <v>1598</v>
      </c>
      <c r="C25" s="3" t="s">
        <v>1599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365</v>
      </c>
      <c r="B26" s="3" t="s">
        <v>1600</v>
      </c>
      <c r="C26" s="3" t="s">
        <v>1601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365</v>
      </c>
      <c r="B27" s="3" t="s">
        <v>1602</v>
      </c>
      <c r="C27" s="3" t="s">
        <v>1603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365</v>
      </c>
      <c r="B28" s="3" t="s">
        <v>1604</v>
      </c>
      <c r="C28" s="3" t="s">
        <v>1708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365</v>
      </c>
      <c r="B29" s="3" t="s">
        <v>1709</v>
      </c>
      <c r="C29" s="3" t="s">
        <v>1710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1605</v>
      </c>
      <c r="B30" s="3" t="s">
        <v>1606</v>
      </c>
      <c r="C30" s="3" t="s">
        <v>1607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1605</v>
      </c>
      <c r="B31" s="3" t="s">
        <v>1608</v>
      </c>
      <c r="C31" s="3" t="s">
        <v>1609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1605</v>
      </c>
      <c r="B32" s="3" t="s">
        <v>1610</v>
      </c>
      <c r="C32" s="3" t="s">
        <v>1611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1605</v>
      </c>
      <c r="B33" s="3" t="s">
        <v>1612</v>
      </c>
      <c r="C33" s="3" t="s">
        <v>1613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1605</v>
      </c>
      <c r="B34" s="3" t="s">
        <v>1614</v>
      </c>
      <c r="C34" s="3" t="s">
        <v>1615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1605</v>
      </c>
      <c r="B35" s="3" t="s">
        <v>1616</v>
      </c>
      <c r="C35" s="3" t="s">
        <v>1617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1605</v>
      </c>
      <c r="B36" s="3" t="s">
        <v>1618</v>
      </c>
      <c r="C36" s="3" t="s">
        <v>1619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1605</v>
      </c>
      <c r="B37" s="3" t="s">
        <v>1620</v>
      </c>
      <c r="C37" s="3" t="s">
        <v>1621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1605</v>
      </c>
      <c r="B38" s="3" t="s">
        <v>1622</v>
      </c>
      <c r="C38" s="3" t="s">
        <v>1623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1605</v>
      </c>
      <c r="B39" s="3" t="s">
        <v>1624</v>
      </c>
      <c r="C39" s="3" t="s">
        <v>1625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1605</v>
      </c>
      <c r="B40" s="3" t="s">
        <v>1626</v>
      </c>
      <c r="C40" s="3" t="s">
        <v>1627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1605</v>
      </c>
      <c r="B41" s="3" t="s">
        <v>1628</v>
      </c>
      <c r="C41" s="3" t="s">
        <v>1629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1605</v>
      </c>
      <c r="B42" s="3" t="s">
        <v>1630</v>
      </c>
      <c r="C42" s="3" t="s">
        <v>1631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1605</v>
      </c>
      <c r="B43" s="3" t="s">
        <v>1632</v>
      </c>
      <c r="C43" s="3" t="s">
        <v>1633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1605</v>
      </c>
      <c r="B44" s="3" t="s">
        <v>1634</v>
      </c>
      <c r="C44" s="3" t="s">
        <v>1635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1605</v>
      </c>
      <c r="B45" s="3" t="s">
        <v>1636</v>
      </c>
      <c r="C45" s="3" t="s">
        <v>1637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1605</v>
      </c>
      <c r="B46" s="3" t="s">
        <v>1638</v>
      </c>
      <c r="C46" s="3" t="s">
        <v>1639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1605</v>
      </c>
      <c r="B47" s="3" t="s">
        <v>1640</v>
      </c>
      <c r="C47" s="3" t="s">
        <v>1641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1605</v>
      </c>
      <c r="B48" s="3" t="s">
        <v>1642</v>
      </c>
      <c r="C48" s="3" t="s">
        <v>1643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1605</v>
      </c>
      <c r="B49" s="3" t="s">
        <v>1644</v>
      </c>
      <c r="C49" s="3" t="s">
        <v>1645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1605</v>
      </c>
      <c r="B50" s="3" t="s">
        <v>1646</v>
      </c>
      <c r="C50" s="3" t="s">
        <v>1647</v>
      </c>
    </row>
    <row r="51" spans="1:36" x14ac:dyDescent="0.25">
      <c r="A51" s="3" t="s">
        <v>1648</v>
      </c>
      <c r="B51" s="3" t="s">
        <v>1711</v>
      </c>
      <c r="C51" s="3" t="s">
        <v>381</v>
      </c>
    </row>
    <row r="52" spans="1:36" x14ac:dyDescent="0.25">
      <c r="A52" s="3" t="s">
        <v>1574</v>
      </c>
      <c r="B52" s="3" t="s">
        <v>1897</v>
      </c>
      <c r="C52" s="3" t="s">
        <v>2164</v>
      </c>
    </row>
    <row r="53" spans="1:36" x14ac:dyDescent="0.25">
      <c r="A53" s="3" t="s">
        <v>365</v>
      </c>
      <c r="B53" s="3" t="s">
        <v>511</v>
      </c>
      <c r="C53" s="3" t="s">
        <v>2165</v>
      </c>
    </row>
    <row r="54" spans="1:36" x14ac:dyDescent="0.25">
      <c r="A54" s="3" t="s">
        <v>366</v>
      </c>
      <c r="B54" s="3" t="s">
        <v>1712</v>
      </c>
      <c r="C54" s="3" t="s">
        <v>1713</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S15</v>
      </c>
      <c r="B1" s="40"/>
      <c r="C1" s="40"/>
      <c r="E1" s="41" t="str" cm="1">
        <f t="array" aca="1" ref="E1" ca="1">IFERROR(MID(CELL("filename",$A$1),FIND("]",CELL("filename",$A$1))+1,99),"SXX")&amp;" MATERIALS (USAGE + STANDALONE)"</f>
        <v>S15 MATERIALS (USAGE + STANDALONE)</v>
      </c>
      <c r="F1" s="41"/>
      <c r="G1" s="41"/>
      <c r="H1" s="41"/>
      <c r="I1" s="41"/>
      <c r="J1" s="41"/>
      <c r="K1" s="41"/>
      <c r="L1" s="13"/>
      <c r="M1" s="13"/>
      <c r="N1" s="17">
        <f>SUM(N3:N49)</f>
        <v>1233.76</v>
      </c>
      <c r="P1" s="41" t="str" cm="1">
        <f t="array" aca="1" ref="P1" ca="1">IFERROR(MID(CELL("filename",$A$1),FIND("]",CELL("filename",$A$1))+1,99),"SXX")&amp;" LABOUR (USAGE + STANDALONE)"</f>
        <v>S15 LABOUR (USAGE + STANDALONE)</v>
      </c>
      <c r="Q1" s="41"/>
      <c r="R1" s="41"/>
      <c r="S1" s="41"/>
      <c r="T1" s="41"/>
      <c r="U1" s="41"/>
      <c r="V1" s="41"/>
      <c r="Y1" s="17">
        <f>SUM(Y3:Y49)</f>
        <v>1057.5</v>
      </c>
      <c r="AA1" s="42" t="str" cm="1">
        <f t="array" aca="1" ref="AA1" ca="1">IFERROR(MID(CELL("filename",$A$1),FIND("]",CELL("filename",$A$1))+1,99),"SXX")&amp;" RENTAL / SERVICE (USAGE + STANDALONE)"</f>
        <v>S15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1717</v>
      </c>
      <c r="B3" s="3" t="s">
        <v>1718</v>
      </c>
      <c r="C3" s="3" t="s">
        <v>1719</v>
      </c>
      <c r="E3" t="s">
        <v>1791</v>
      </c>
      <c r="F3" t="s">
        <v>1792</v>
      </c>
      <c r="G3" t="s">
        <v>1218</v>
      </c>
      <c r="H3" t="s">
        <v>644</v>
      </c>
      <c r="I3">
        <v>1</v>
      </c>
      <c r="J3" s="19">
        <v>0.05</v>
      </c>
      <c r="K3">
        <v>160</v>
      </c>
      <c r="L3" s="8">
        <f t="shared" ref="L3:L49" si="0">IF($G3="","",$I3*(1+IF($J3="",0,$J3)))</f>
        <v>1.05</v>
      </c>
      <c r="M3" s="8">
        <f t="shared" ref="M3:M49" si="1">IF($G3="","",$L3)</f>
        <v>1.05</v>
      </c>
      <c r="N3" s="8">
        <f t="shared" ref="N3:N49" si="2">IF($G3="","",IF($K3="","",$M3*$K3))</f>
        <v>168</v>
      </c>
      <c r="P3" t="s">
        <v>2171</v>
      </c>
      <c r="Q3" t="s">
        <v>1813</v>
      </c>
      <c r="R3" t="s">
        <v>251</v>
      </c>
      <c r="S3" t="s">
        <v>29</v>
      </c>
      <c r="T3">
        <v>21</v>
      </c>
      <c r="U3" s="19">
        <v>0</v>
      </c>
      <c r="V3">
        <v>22.5</v>
      </c>
      <c r="W3" s="8">
        <f>IF($R3="","",$T3*(1+IF($U3="",0,$U3)))</f>
        <v>21</v>
      </c>
      <c r="X3" s="8">
        <f>IF($R3="","",$W3)</f>
        <v>21</v>
      </c>
      <c r="Y3" s="8">
        <f>IF($R3="","",IF($V3="","",$X3*$V3))</f>
        <v>472.5</v>
      </c>
      <c r="AH3" s="8" t="str">
        <f>IF($AC3="","",$AE3*(1+IF($AF3="",0,$AF3)))</f>
        <v/>
      </c>
      <c r="AI3" s="8" t="str">
        <f>IF($AC3="","",$AH3)</f>
        <v/>
      </c>
      <c r="AJ3" s="8" t="str">
        <f>IF($AC3="","",IF($AG3="","",$AI3*$AG3))</f>
        <v/>
      </c>
    </row>
    <row r="4" spans="1:37" x14ac:dyDescent="0.25">
      <c r="A4" s="3" t="s">
        <v>1720</v>
      </c>
      <c r="B4" s="3" t="s">
        <v>1721</v>
      </c>
      <c r="C4" s="3" t="s">
        <v>1722</v>
      </c>
      <c r="E4" t="s">
        <v>1793</v>
      </c>
      <c r="F4" t="s">
        <v>1792</v>
      </c>
      <c r="G4" t="s">
        <v>1794</v>
      </c>
      <c r="H4" t="s">
        <v>644</v>
      </c>
      <c r="I4">
        <v>2</v>
      </c>
      <c r="J4" s="19">
        <v>0.05</v>
      </c>
      <c r="K4">
        <v>80</v>
      </c>
      <c r="L4" s="8">
        <f t="shared" si="0"/>
        <v>2.1</v>
      </c>
      <c r="M4" s="8">
        <f t="shared" si="1"/>
        <v>2.1</v>
      </c>
      <c r="N4" s="8">
        <f t="shared" si="2"/>
        <v>168</v>
      </c>
      <c r="P4" t="s">
        <v>2172</v>
      </c>
      <c r="Q4" t="s">
        <v>1813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1723</v>
      </c>
      <c r="B5" s="3" t="s">
        <v>1724</v>
      </c>
      <c r="C5" s="3" t="s">
        <v>1725</v>
      </c>
      <c r="E5" t="s">
        <v>1795</v>
      </c>
      <c r="F5" t="s">
        <v>1792</v>
      </c>
      <c r="G5" t="s">
        <v>1219</v>
      </c>
      <c r="H5" t="s">
        <v>28</v>
      </c>
      <c r="I5">
        <v>1</v>
      </c>
      <c r="J5" s="19">
        <v>0.05</v>
      </c>
      <c r="K5">
        <v>94</v>
      </c>
      <c r="L5" s="8">
        <f t="shared" si="0"/>
        <v>1.05</v>
      </c>
      <c r="M5" s="8">
        <f t="shared" si="1"/>
        <v>1.05</v>
      </c>
      <c r="N5" s="8">
        <f t="shared" si="2"/>
        <v>98.7</v>
      </c>
      <c r="P5" t="s">
        <v>2173</v>
      </c>
      <c r="Q5" t="s">
        <v>1813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1726</v>
      </c>
      <c r="B6" s="3" t="s">
        <v>1727</v>
      </c>
      <c r="C6" s="3" t="s">
        <v>1728</v>
      </c>
      <c r="E6" t="s">
        <v>1796</v>
      </c>
      <c r="F6" t="s">
        <v>1797</v>
      </c>
      <c r="G6" t="s">
        <v>1220</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1726</v>
      </c>
      <c r="B7" s="3" t="s">
        <v>1729</v>
      </c>
      <c r="C7" s="3" t="s">
        <v>1730</v>
      </c>
      <c r="E7" t="s">
        <v>1798</v>
      </c>
      <c r="F7" t="s">
        <v>1797</v>
      </c>
      <c r="G7" t="s">
        <v>1221</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1726</v>
      </c>
      <c r="B8" s="3" t="s">
        <v>1731</v>
      </c>
      <c r="C8" s="3" t="s">
        <v>1732</v>
      </c>
      <c r="E8" t="s">
        <v>1799</v>
      </c>
      <c r="F8" t="s">
        <v>1797</v>
      </c>
      <c r="G8" t="s">
        <v>1222</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1726</v>
      </c>
      <c r="B9" s="3" t="s">
        <v>1733</v>
      </c>
      <c r="C9" s="3" t="s">
        <v>1734</v>
      </c>
      <c r="E9" t="s">
        <v>1800</v>
      </c>
      <c r="F9" t="s">
        <v>1801</v>
      </c>
      <c r="G9" t="s">
        <v>1802</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1726</v>
      </c>
      <c r="B10" s="3" t="s">
        <v>1735</v>
      </c>
      <c r="C10" s="3" t="s">
        <v>1736</v>
      </c>
      <c r="E10" t="s">
        <v>1803</v>
      </c>
      <c r="F10" t="s">
        <v>1804</v>
      </c>
      <c r="G10" t="s">
        <v>1805</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1726</v>
      </c>
      <c r="B11" s="3" t="s">
        <v>1737</v>
      </c>
      <c r="C11" s="3" t="s">
        <v>1738</v>
      </c>
      <c r="E11" t="s">
        <v>1806</v>
      </c>
      <c r="F11" t="s">
        <v>1804</v>
      </c>
      <c r="G11" t="s">
        <v>1807</v>
      </c>
      <c r="H11" t="s">
        <v>43</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1726</v>
      </c>
      <c r="B12" s="3" t="s">
        <v>1739</v>
      </c>
      <c r="C12" s="3" t="s">
        <v>1740</v>
      </c>
      <c r="E12" t="s">
        <v>1808</v>
      </c>
      <c r="F12" t="s">
        <v>1804</v>
      </c>
      <c r="G12" t="s">
        <v>1809</v>
      </c>
      <c r="H12" t="s">
        <v>43</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1726</v>
      </c>
      <c r="B13" s="3" t="s">
        <v>1741</v>
      </c>
      <c r="C13" s="3" t="s">
        <v>1742</v>
      </c>
      <c r="E13" t="s">
        <v>1810</v>
      </c>
      <c r="F13" t="s">
        <v>1804</v>
      </c>
      <c r="G13" t="s">
        <v>44</v>
      </c>
      <c r="H13" t="s">
        <v>43</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1726</v>
      </c>
      <c r="B14" s="3" t="s">
        <v>1743</v>
      </c>
      <c r="C14" s="3" t="s">
        <v>1744</v>
      </c>
      <c r="E14" t="s">
        <v>1811</v>
      </c>
      <c r="F14" t="s">
        <v>1804</v>
      </c>
      <c r="G14" t="s">
        <v>1812</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1745</v>
      </c>
      <c r="B15" s="3" t="s">
        <v>1746</v>
      </c>
      <c r="C15" s="3" t="s">
        <v>1747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1745</v>
      </c>
      <c r="B16" s="3" t="s">
        <v>1748</v>
      </c>
      <c r="C16" s="3" t="s">
        <v>1749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1745</v>
      </c>
      <c r="B17" s="3" t="s">
        <v>1750</v>
      </c>
      <c r="C17" s="3" t="s">
        <v>1751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1745</v>
      </c>
      <c r="B18" s="3" t="s">
        <v>1752</v>
      </c>
      <c r="C18" s="3" t="s">
        <v>1753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1745</v>
      </c>
      <c r="B19" s="3" t="s">
        <v>1754</v>
      </c>
      <c r="C19" s="3" t="s">
        <v>1755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1745</v>
      </c>
      <c r="B20" s="3" t="s">
        <v>1756</v>
      </c>
      <c r="C20" s="3" t="s">
        <v>1757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1745</v>
      </c>
      <c r="B21" s="3" t="s">
        <v>1758</v>
      </c>
      <c r="C21" s="3" t="s">
        <v>1759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1745</v>
      </c>
      <c r="B22" s="3" t="s">
        <v>1760</v>
      </c>
      <c r="C22" s="3" t="s">
        <v>1761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1745</v>
      </c>
      <c r="B23" s="3" t="s">
        <v>1762</v>
      </c>
      <c r="C23" s="3" t="s">
        <v>1763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1745</v>
      </c>
      <c r="B24" s="3" t="s">
        <v>1764</v>
      </c>
      <c r="C24" s="3" t="s">
        <v>1765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1766</v>
      </c>
      <c r="B25" s="3" t="s">
        <v>1767</v>
      </c>
      <c r="C25" s="3" t="s">
        <v>1768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1766</v>
      </c>
      <c r="B26" s="3" t="s">
        <v>1769</v>
      </c>
      <c r="C26" s="3" t="s">
        <v>1770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1766</v>
      </c>
      <c r="B27" s="3" t="s">
        <v>1771</v>
      </c>
      <c r="C27" s="3" t="s">
        <v>1199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1766</v>
      </c>
      <c r="B28" s="3" t="s">
        <v>1772</v>
      </c>
      <c r="C28" s="3" t="s">
        <v>1201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1766</v>
      </c>
      <c r="B29" s="3" t="s">
        <v>1773</v>
      </c>
      <c r="C29" s="3" t="s">
        <v>1203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1766</v>
      </c>
      <c r="B30" s="3" t="s">
        <v>1774</v>
      </c>
      <c r="C30" s="3" t="s">
        <v>1205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1766</v>
      </c>
      <c r="B31" s="3" t="s">
        <v>1775</v>
      </c>
      <c r="C31" s="3" t="s">
        <v>1776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1766</v>
      </c>
      <c r="B32" s="3" t="s">
        <v>1777</v>
      </c>
      <c r="C32" s="3" t="s">
        <v>1778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1766</v>
      </c>
      <c r="B33" s="3" t="s">
        <v>1779</v>
      </c>
      <c r="C33" s="3" t="s">
        <v>1780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1766</v>
      </c>
      <c r="B34" s="3" t="s">
        <v>1781</v>
      </c>
      <c r="C34" s="3" t="s">
        <v>1782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1766</v>
      </c>
      <c r="B35" s="3" t="s">
        <v>1783</v>
      </c>
      <c r="C35" s="3" t="s">
        <v>1784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1766</v>
      </c>
      <c r="B36" s="3" t="s">
        <v>1785</v>
      </c>
      <c r="C36" s="3" t="s">
        <v>1786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1787</v>
      </c>
      <c r="B37" s="3" t="s">
        <v>1711</v>
      </c>
      <c r="C37" s="3" t="s">
        <v>381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1745</v>
      </c>
      <c r="B38" s="3" t="s">
        <v>1897</v>
      </c>
      <c r="C38" s="3" t="s">
        <v>2169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1726</v>
      </c>
      <c r="B39" s="3" t="s">
        <v>511</v>
      </c>
      <c r="C39" s="3" t="s">
        <v>2170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1788</v>
      </c>
      <c r="B40" s="3" t="s">
        <v>1789</v>
      </c>
      <c r="C40" s="3" t="s">
        <v>1790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S16</v>
      </c>
      <c r="B1" s="40"/>
      <c r="C1" s="40"/>
      <c r="E1" s="41" t="str" cm="1">
        <f t="array" aca="1" ref="E1" ca="1">IFERROR(MID(CELL("filename",$A$1),FIND("]",CELL("filename",$A$1))+1,99),"SXX")&amp;" MATERIALS (USAGE + STANDALONE)"</f>
        <v>S16 MATERIALS (USAGE + STANDALONE)</v>
      </c>
      <c r="F1" s="41"/>
      <c r="G1" s="41"/>
      <c r="H1" s="41"/>
      <c r="I1" s="41"/>
      <c r="J1" s="41"/>
      <c r="K1" s="41"/>
      <c r="L1" s="13"/>
      <c r="M1" s="13"/>
      <c r="N1" s="17">
        <f>SUM(N3:N49)</f>
        <v>3677.7999999999997</v>
      </c>
      <c r="P1" s="41" t="str" cm="1">
        <f t="array" aca="1" ref="P1" ca="1">IFERROR(MID(CELL("filename",$A$1),FIND("]",CELL("filename",$A$1))+1,99),"SXX")&amp;" LABOUR (USAGE + STANDALONE)"</f>
        <v>S16 LABOUR (USAGE + STANDALONE)</v>
      </c>
      <c r="Q1" s="41"/>
      <c r="R1" s="41"/>
      <c r="S1" s="41"/>
      <c r="T1" s="41"/>
      <c r="U1" s="41"/>
      <c r="V1" s="41"/>
      <c r="Y1" s="17">
        <f>SUM(Y3:Y49)</f>
        <v>2700</v>
      </c>
      <c r="AA1" s="42" t="str" cm="1">
        <f t="array" aca="1" ref="AA1" ca="1">IFERROR(MID(CELL("filename",$A$1),FIND("]",CELL("filename",$A$1))+1,99),"SXX")&amp;" RENTAL / SERVICE (USAGE + STANDALONE)"</f>
        <v>S16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598</v>
      </c>
      <c r="B3" s="3" t="s">
        <v>1028</v>
      </c>
      <c r="C3" s="3" t="s">
        <v>1029</v>
      </c>
      <c r="E3" t="s">
        <v>947</v>
      </c>
      <c r="F3" t="s">
        <v>658</v>
      </c>
      <c r="G3" t="s">
        <v>481</v>
      </c>
      <c r="H3" t="s">
        <v>11</v>
      </c>
      <c r="I3">
        <v>0.26</v>
      </c>
      <c r="J3" s="19">
        <v>0</v>
      </c>
      <c r="K3">
        <v>830</v>
      </c>
      <c r="L3" s="8">
        <f t="shared" ref="L3:L49" si="0">IF($G3="","",$I3*(1+IF($J3="",0,$J3)))</f>
        <v>0.26</v>
      </c>
      <c r="M3" s="8">
        <f t="shared" ref="M3:M49" si="1">IF($G3="","",$L3)</f>
        <v>0.26</v>
      </c>
      <c r="N3" s="8">
        <f t="shared" ref="N3:N49" si="2">IF($G3="","",IF($K3="","",$M3*$K3))</f>
        <v>215.8</v>
      </c>
      <c r="P3" t="s">
        <v>2179</v>
      </c>
      <c r="Q3" t="s">
        <v>665</v>
      </c>
      <c r="R3" t="s">
        <v>251</v>
      </c>
      <c r="S3" t="s">
        <v>29</v>
      </c>
      <c r="T3">
        <v>120</v>
      </c>
      <c r="U3" s="19">
        <v>0</v>
      </c>
      <c r="V3">
        <v>22.5</v>
      </c>
      <c r="W3" s="8">
        <f>IF($R3="","",$T3*(1+IF($U3="",0,$U3)))</f>
        <v>120</v>
      </c>
      <c r="X3" s="8">
        <f>IF($R3="","",$W3)</f>
        <v>120</v>
      </c>
      <c r="Y3" s="8">
        <f>IF($R3="","",IF($V3="","",$X3*$V3))</f>
        <v>2700</v>
      </c>
      <c r="AH3" s="8" t="str">
        <f>IF($AC3="","",$AE3*(1+IF($AF3="",0,$AF3)))</f>
        <v/>
      </c>
      <c r="AI3" s="8" t="str">
        <f>IF($AC3="","",$AH3)</f>
        <v/>
      </c>
      <c r="AJ3" s="8" t="str">
        <f>IF($AC3="","",IF($AG3="","",$AI3*$AG3))</f>
        <v/>
      </c>
    </row>
    <row r="4" spans="1:37" x14ac:dyDescent="0.25">
      <c r="A4" s="3" t="s">
        <v>599</v>
      </c>
      <c r="B4" s="3" t="s">
        <v>1030</v>
      </c>
      <c r="C4" s="3" t="s">
        <v>1031</v>
      </c>
      <c r="E4" t="s">
        <v>948</v>
      </c>
      <c r="F4" t="s">
        <v>658</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600</v>
      </c>
      <c r="B5" s="3" t="s">
        <v>960</v>
      </c>
      <c r="C5" s="3" t="s">
        <v>1032</v>
      </c>
      <c r="E5" t="s">
        <v>949</v>
      </c>
      <c r="F5" t="s">
        <v>659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1033</v>
      </c>
      <c r="B6" s="3" t="s">
        <v>963</v>
      </c>
      <c r="C6" s="3" t="s">
        <v>1345</v>
      </c>
      <c r="E6" t="s">
        <v>950</v>
      </c>
      <c r="F6" t="s">
        <v>660</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601</v>
      </c>
      <c r="B7" s="3" t="s">
        <v>964</v>
      </c>
      <c r="C7" s="3" t="s">
        <v>965</v>
      </c>
      <c r="E7" t="s">
        <v>2177</v>
      </c>
      <c r="F7" t="s">
        <v>661</v>
      </c>
      <c r="G7" t="s">
        <v>2005</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601</v>
      </c>
      <c r="B8" s="3" t="s">
        <v>966</v>
      </c>
      <c r="C8" s="3" t="s">
        <v>967</v>
      </c>
      <c r="E8" t="s">
        <v>952</v>
      </c>
      <c r="F8" t="s">
        <v>661</v>
      </c>
      <c r="G8" t="s">
        <v>662</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601</v>
      </c>
      <c r="B9" s="3" t="s">
        <v>471</v>
      </c>
      <c r="C9" s="3" t="s">
        <v>495</v>
      </c>
      <c r="E9" t="s">
        <v>952</v>
      </c>
      <c r="F9" t="s">
        <v>661</v>
      </c>
      <c r="G9" t="s">
        <v>663</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601</v>
      </c>
      <c r="B10" s="3" t="s">
        <v>968</v>
      </c>
      <c r="C10" s="3" t="s">
        <v>969</v>
      </c>
      <c r="E10" t="s">
        <v>1358</v>
      </c>
      <c r="F10" t="s">
        <v>953</v>
      </c>
      <c r="G10" t="s">
        <v>481</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601</v>
      </c>
      <c r="B11" s="3" t="s">
        <v>1346</v>
      </c>
      <c r="C11" s="3" t="s">
        <v>1347</v>
      </c>
      <c r="E11" t="s">
        <v>1358</v>
      </c>
      <c r="F11" t="s">
        <v>953</v>
      </c>
      <c r="G11" t="s">
        <v>482</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601</v>
      </c>
      <c r="B12" s="3" t="s">
        <v>970</v>
      </c>
      <c r="C12" s="3" t="s">
        <v>1348</v>
      </c>
      <c r="E12" t="s">
        <v>1358</v>
      </c>
      <c r="F12" t="s">
        <v>954</v>
      </c>
      <c r="G12" t="s">
        <v>483</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601</v>
      </c>
      <c r="B13" s="3" t="s">
        <v>971</v>
      </c>
      <c r="C13" s="3" t="s">
        <v>1359</v>
      </c>
      <c r="E13" t="s">
        <v>2178</v>
      </c>
      <c r="F13" t="s">
        <v>955</v>
      </c>
      <c r="G13" t="s">
        <v>2005</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602</v>
      </c>
      <c r="B14" s="3" t="s">
        <v>472</v>
      </c>
      <c r="C14" s="3" t="s">
        <v>972</v>
      </c>
      <c r="E14" t="s">
        <v>1364</v>
      </c>
      <c r="F14" t="s">
        <v>955</v>
      </c>
      <c r="G14" t="s">
        <v>662</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602</v>
      </c>
      <c r="B15" s="3" t="s">
        <v>622</v>
      </c>
      <c r="C15" s="3" t="s">
        <v>654</v>
      </c>
      <c r="E15" t="s">
        <v>1364</v>
      </c>
      <c r="F15" t="s">
        <v>955</v>
      </c>
      <c r="G15" t="s">
        <v>663</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602</v>
      </c>
      <c r="B16" s="3" t="s">
        <v>473</v>
      </c>
      <c r="C16" s="3" t="s">
        <v>973</v>
      </c>
      <c r="E16" t="s">
        <v>956</v>
      </c>
      <c r="F16" t="s">
        <v>664</v>
      </c>
      <c r="G16" t="s">
        <v>643</v>
      </c>
      <c r="H16" t="s">
        <v>644</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602</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602</v>
      </c>
      <c r="B18" s="3" t="s">
        <v>496</v>
      </c>
      <c r="C18" s="3" t="s">
        <v>1034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602</v>
      </c>
      <c r="B19" s="3" t="s">
        <v>603</v>
      </c>
      <c r="C19" s="3" t="s">
        <v>604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602</v>
      </c>
      <c r="B20" s="3" t="s">
        <v>605</v>
      </c>
      <c r="C20" s="3" t="s">
        <v>1035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601</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601</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601</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606</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601</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606</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601</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606</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601</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602</v>
      </c>
      <c r="B30" s="3" t="s">
        <v>625</v>
      </c>
      <c r="C30" s="3" t="s">
        <v>1036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602</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602</v>
      </c>
      <c r="B32" s="3" t="s">
        <v>627</v>
      </c>
      <c r="C32" s="3" t="s">
        <v>1037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602</v>
      </c>
      <c r="B33" s="3" t="s">
        <v>996</v>
      </c>
      <c r="C33" s="3" t="s">
        <v>1038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602</v>
      </c>
      <c r="B34" s="3" t="s">
        <v>628</v>
      </c>
      <c r="C34" s="3" t="s">
        <v>1039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606</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601</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602</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601</v>
      </c>
      <c r="B38" s="3" t="s">
        <v>1040</v>
      </c>
      <c r="C38" s="3" t="s">
        <v>1041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602</v>
      </c>
      <c r="B39" s="3" t="s">
        <v>1042</v>
      </c>
      <c r="C39" s="3" t="s">
        <v>1043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602</v>
      </c>
      <c r="B40" s="3" t="s">
        <v>608</v>
      </c>
      <c r="C40" s="3" t="s">
        <v>686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606</v>
      </c>
      <c r="B41" s="3" t="s">
        <v>609</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606</v>
      </c>
      <c r="B42" s="3" t="s">
        <v>611</v>
      </c>
      <c r="C42" s="3" t="s">
        <v>655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606</v>
      </c>
      <c r="B43" s="3" t="s">
        <v>612</v>
      </c>
      <c r="C43" s="3" t="s">
        <v>656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601</v>
      </c>
      <c r="B44" s="3" t="s">
        <v>1044</v>
      </c>
      <c r="C44" s="3" t="s">
        <v>1045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601</v>
      </c>
      <c r="B45" s="3" t="s">
        <v>1046</v>
      </c>
      <c r="C45" s="3" t="s">
        <v>1047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601</v>
      </c>
      <c r="B46" s="3" t="s">
        <v>1048</v>
      </c>
      <c r="C46" s="3" t="s">
        <v>1049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601</v>
      </c>
      <c r="B47" s="3" t="s">
        <v>1006</v>
      </c>
      <c r="C47" s="3" t="s">
        <v>1350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601</v>
      </c>
      <c r="B48" s="3" t="s">
        <v>1007</v>
      </c>
      <c r="C48" s="3" t="s">
        <v>1351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601</v>
      </c>
      <c r="B49" s="3" t="s">
        <v>1008</v>
      </c>
      <c r="C49" s="3" t="s">
        <v>1352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601</v>
      </c>
      <c r="B50" s="3" t="s">
        <v>1009</v>
      </c>
      <c r="C50" s="3" t="s">
        <v>1353</v>
      </c>
    </row>
    <row r="51" spans="1:36" x14ac:dyDescent="0.25">
      <c r="A51" s="3" t="s">
        <v>601</v>
      </c>
      <c r="B51" s="3" t="s">
        <v>1010</v>
      </c>
      <c r="C51" s="3" t="s">
        <v>1354</v>
      </c>
    </row>
    <row r="52" spans="1:36" x14ac:dyDescent="0.25">
      <c r="A52" s="3" t="s">
        <v>601</v>
      </c>
      <c r="B52" s="3" t="s">
        <v>1011</v>
      </c>
      <c r="C52" s="3" t="s">
        <v>1355</v>
      </c>
    </row>
    <row r="53" spans="1:36" x14ac:dyDescent="0.25">
      <c r="A53" s="3" t="s">
        <v>601</v>
      </c>
      <c r="B53" s="3" t="s">
        <v>1050</v>
      </c>
      <c r="C53" s="3" t="s">
        <v>1360</v>
      </c>
    </row>
    <row r="54" spans="1:36" x14ac:dyDescent="0.25">
      <c r="A54" s="3" t="s">
        <v>601</v>
      </c>
      <c r="B54" s="3" t="s">
        <v>1051</v>
      </c>
      <c r="C54" s="3" t="s">
        <v>1361</v>
      </c>
    </row>
    <row r="55" spans="1:36" x14ac:dyDescent="0.25">
      <c r="A55" s="3" t="s">
        <v>601</v>
      </c>
      <c r="B55" s="3" t="s">
        <v>1052</v>
      </c>
      <c r="C55" s="3" t="s">
        <v>1362</v>
      </c>
    </row>
    <row r="56" spans="1:36" x14ac:dyDescent="0.25">
      <c r="A56" s="3" t="s">
        <v>601</v>
      </c>
      <c r="B56" s="3" t="s">
        <v>1053</v>
      </c>
      <c r="C56" s="3" t="s">
        <v>1363</v>
      </c>
    </row>
    <row r="57" spans="1:36" x14ac:dyDescent="0.25">
      <c r="A57" s="3" t="s">
        <v>602</v>
      </c>
      <c r="B57" s="3" t="s">
        <v>1013</v>
      </c>
      <c r="C57" s="3" t="s">
        <v>1014</v>
      </c>
    </row>
    <row r="58" spans="1:36" x14ac:dyDescent="0.25">
      <c r="A58" s="3" t="s">
        <v>602</v>
      </c>
      <c r="B58" s="3" t="s">
        <v>1015</v>
      </c>
      <c r="C58" s="3" t="s">
        <v>1016</v>
      </c>
    </row>
    <row r="59" spans="1:36" x14ac:dyDescent="0.25">
      <c r="A59" s="3" t="s">
        <v>602</v>
      </c>
      <c r="B59" s="3" t="s">
        <v>1017</v>
      </c>
      <c r="C59" s="3" t="s">
        <v>1054</v>
      </c>
    </row>
    <row r="60" spans="1:36" x14ac:dyDescent="0.25">
      <c r="A60" s="3" t="s">
        <v>602</v>
      </c>
      <c r="B60" s="3" t="s">
        <v>1019</v>
      </c>
      <c r="C60" s="3" t="s">
        <v>1055</v>
      </c>
    </row>
    <row r="61" spans="1:36" x14ac:dyDescent="0.25">
      <c r="A61" s="3" t="s">
        <v>606</v>
      </c>
      <c r="B61" s="3" t="s">
        <v>629</v>
      </c>
      <c r="C61" s="3" t="s">
        <v>630</v>
      </c>
    </row>
    <row r="62" spans="1:36" x14ac:dyDescent="0.25">
      <c r="A62" s="3" t="s">
        <v>601</v>
      </c>
      <c r="B62" s="3" t="s">
        <v>657</v>
      </c>
      <c r="C62" s="3" t="s">
        <v>1056</v>
      </c>
    </row>
    <row r="63" spans="1:36" x14ac:dyDescent="0.25">
      <c r="A63" s="3" t="s">
        <v>602</v>
      </c>
      <c r="B63" s="3" t="s">
        <v>631</v>
      </c>
      <c r="C63" s="3" t="s">
        <v>1057</v>
      </c>
    </row>
    <row r="64" spans="1:36" x14ac:dyDescent="0.25">
      <c r="A64" s="3" t="s">
        <v>601</v>
      </c>
      <c r="B64" s="3" t="s">
        <v>500</v>
      </c>
      <c r="C64" s="3" t="s">
        <v>1023</v>
      </c>
    </row>
    <row r="65" spans="1:3" x14ac:dyDescent="0.25">
      <c r="A65" s="3" t="s">
        <v>601</v>
      </c>
      <c r="B65" s="3" t="s">
        <v>479</v>
      </c>
      <c r="C65" s="3" t="s">
        <v>1024</v>
      </c>
    </row>
    <row r="66" spans="1:3" x14ac:dyDescent="0.25">
      <c r="A66" s="3" t="s">
        <v>602</v>
      </c>
      <c r="B66" s="3" t="s">
        <v>501</v>
      </c>
      <c r="C66" s="3" t="s">
        <v>502</v>
      </c>
    </row>
    <row r="67" spans="1:3" x14ac:dyDescent="0.25">
      <c r="A67" s="3" t="s">
        <v>602</v>
      </c>
      <c r="B67" s="3" t="s">
        <v>503</v>
      </c>
      <c r="C67" s="3" t="s">
        <v>504</v>
      </c>
    </row>
    <row r="68" spans="1:3" x14ac:dyDescent="0.25">
      <c r="A68" s="3" t="s">
        <v>602</v>
      </c>
      <c r="B68" s="3" t="s">
        <v>505</v>
      </c>
      <c r="C68" s="3" t="s">
        <v>1025</v>
      </c>
    </row>
    <row r="69" spans="1:3" x14ac:dyDescent="0.25">
      <c r="A69" s="3" t="s">
        <v>602</v>
      </c>
      <c r="B69" s="3" t="s">
        <v>506</v>
      </c>
      <c r="C69" s="3" t="s">
        <v>614</v>
      </c>
    </row>
    <row r="70" spans="1:3" x14ac:dyDescent="0.25">
      <c r="A70" s="3" t="s">
        <v>602</v>
      </c>
      <c r="B70" s="3" t="s">
        <v>508</v>
      </c>
      <c r="C70" s="3" t="s">
        <v>632</v>
      </c>
    </row>
    <row r="71" spans="1:3" x14ac:dyDescent="0.25">
      <c r="A71" s="3" t="s">
        <v>615</v>
      </c>
      <c r="B71" s="3" t="s">
        <v>510</v>
      </c>
      <c r="C71" s="3" t="s">
        <v>381</v>
      </c>
    </row>
    <row r="72" spans="1:3" x14ac:dyDescent="0.25">
      <c r="A72" s="3" t="s">
        <v>602</v>
      </c>
      <c r="B72" s="3" t="s">
        <v>1854</v>
      </c>
      <c r="C72" s="3" t="s">
        <v>2174</v>
      </c>
    </row>
    <row r="73" spans="1:3" x14ac:dyDescent="0.25">
      <c r="A73" s="3" t="s">
        <v>601</v>
      </c>
      <c r="B73" s="3" t="s">
        <v>1897</v>
      </c>
      <c r="C73" s="3" t="s">
        <v>2175</v>
      </c>
    </row>
    <row r="74" spans="1:3" x14ac:dyDescent="0.25">
      <c r="A74" s="3" t="s">
        <v>602</v>
      </c>
      <c r="B74" s="3" t="s">
        <v>511</v>
      </c>
      <c r="C74" s="3" t="s">
        <v>1058</v>
      </c>
    </row>
    <row r="75" spans="1:3" x14ac:dyDescent="0.25">
      <c r="A75" s="3" t="s">
        <v>602</v>
      </c>
      <c r="B75" s="3" t="s">
        <v>617</v>
      </c>
      <c r="C75" s="3" t="s">
        <v>618</v>
      </c>
    </row>
    <row r="76" spans="1:3" x14ac:dyDescent="0.25">
      <c r="A76" s="3" t="s">
        <v>602</v>
      </c>
      <c r="B76" s="3" t="s">
        <v>515</v>
      </c>
      <c r="C76" s="3" t="s">
        <v>619</v>
      </c>
    </row>
    <row r="77" spans="1:3" x14ac:dyDescent="0.25">
      <c r="A77" s="3" t="s">
        <v>602</v>
      </c>
      <c r="B77" s="3" t="s">
        <v>294</v>
      </c>
      <c r="C77" s="3" t="s">
        <v>620</v>
      </c>
    </row>
    <row r="78" spans="1:3" x14ac:dyDescent="0.25">
      <c r="A78" s="3" t="s">
        <v>621</v>
      </c>
      <c r="B78" s="3" t="s">
        <v>1357</v>
      </c>
      <c r="C78" s="3" t="s">
        <v>2176</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activeCell="F10" sqref="F10"/>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S17</v>
      </c>
      <c r="B1" s="40"/>
      <c r="C1" s="40"/>
      <c r="E1" s="41" t="str" cm="1">
        <f t="array" aca="1" ref="E1" ca="1">IFERROR(MID(CELL("filename",$A$1),FIND("]",CELL("filename",$A$1))+1,99),"SXX")&amp;" MATERIALS (USAGE + STANDALONE)"</f>
        <v>S17 MATERIALS (USAGE + STANDALONE)</v>
      </c>
      <c r="F1" s="41"/>
      <c r="G1" s="41"/>
      <c r="H1" s="41"/>
      <c r="I1" s="41"/>
      <c r="J1" s="41"/>
      <c r="K1" s="41"/>
      <c r="L1" s="13"/>
      <c r="M1" s="13"/>
      <c r="N1" s="17">
        <f>SUM(N3:N49)</f>
        <v>2888</v>
      </c>
      <c r="P1" s="41" t="str" cm="1">
        <f t="array" aca="1" ref="P1" ca="1">IFERROR(MID(CELL("filename",$A$1),FIND("]",CELL("filename",$A$1))+1,99),"SXX")&amp;" LABOUR (USAGE + STANDALONE)"</f>
        <v>S17 LABOUR (USAGE + STANDALONE)</v>
      </c>
      <c r="Q1" s="41"/>
      <c r="R1" s="41"/>
      <c r="S1" s="41"/>
      <c r="T1" s="41"/>
      <c r="U1" s="41"/>
      <c r="V1" s="41"/>
      <c r="Y1" s="17">
        <f>SUM(Y3:Y49)</f>
        <v>2520</v>
      </c>
      <c r="AA1" s="42" t="str" cm="1">
        <f t="array" aca="1" ref="AA1" ca="1">IFERROR(MID(CELL("filename",$A$1),FIND("]",CELL("filename",$A$1))+1,99),"SXX")&amp;" RENTAL / SERVICE (USAGE + STANDALONE)"</f>
        <v>S17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666</v>
      </c>
      <c r="B3" s="3" t="s">
        <v>667</v>
      </c>
      <c r="C3" s="3" t="s">
        <v>668</v>
      </c>
      <c r="E3" t="s">
        <v>2183</v>
      </c>
      <c r="F3" t="s">
        <v>719</v>
      </c>
      <c r="G3" t="s">
        <v>2005</v>
      </c>
      <c r="H3" t="s">
        <v>9</v>
      </c>
      <c r="I3">
        <v>3</v>
      </c>
      <c r="J3" s="19">
        <v>0</v>
      </c>
      <c r="K3">
        <v>24</v>
      </c>
      <c r="L3" s="8">
        <f t="shared" ref="L3:L49" si="0">IF($G3="","",$I3*(1+IF($J3="",0,$J3)))</f>
        <v>3</v>
      </c>
      <c r="M3" s="8">
        <f t="shared" ref="M3:M49" si="1">IF($G3="","",$L3)</f>
        <v>3</v>
      </c>
      <c r="N3" s="8">
        <f t="shared" ref="N3:N49" si="2">IF($G3="","",IF($K3="","",$M3*$K3))</f>
        <v>72</v>
      </c>
      <c r="P3" t="s">
        <v>2185</v>
      </c>
      <c r="Q3" t="s">
        <v>726</v>
      </c>
      <c r="R3" t="s">
        <v>251</v>
      </c>
      <c r="S3" t="s">
        <v>29</v>
      </c>
      <c r="T3">
        <v>112</v>
      </c>
      <c r="U3" s="19">
        <v>0</v>
      </c>
      <c r="V3">
        <v>22.5</v>
      </c>
      <c r="W3" s="8">
        <f>IF($R3="","",$T3*(1+IF($U3="",0,$U3)))</f>
        <v>112</v>
      </c>
      <c r="X3" s="8">
        <f>IF($R3="","",$W3)</f>
        <v>112</v>
      </c>
      <c r="Y3" s="8">
        <f>IF($R3="","",IF($V3="","",$X3*$V3))</f>
        <v>2520</v>
      </c>
      <c r="AH3" s="8" t="str">
        <f>IF($AC3="","",$AE3*(1+IF($AF3="",0,$AF3)))</f>
        <v/>
      </c>
      <c r="AI3" s="8" t="str">
        <f>IF($AC3="","",$AH3)</f>
        <v/>
      </c>
      <c r="AJ3" s="8" t="str">
        <f>IF($AC3="","",IF($AG3="","",$AI3*$AG3))</f>
        <v/>
      </c>
    </row>
    <row r="4" spans="1:37" x14ac:dyDescent="0.25">
      <c r="A4" s="3" t="s">
        <v>669</v>
      </c>
      <c r="B4" s="3" t="s">
        <v>670</v>
      </c>
      <c r="C4" s="3" t="s">
        <v>671</v>
      </c>
      <c r="E4" t="s">
        <v>718</v>
      </c>
      <c r="F4" t="s">
        <v>719</v>
      </c>
      <c r="G4" t="s">
        <v>662</v>
      </c>
      <c r="H4" t="s">
        <v>11</v>
      </c>
      <c r="I4">
        <v>0.02</v>
      </c>
      <c r="J4" s="19">
        <v>0</v>
      </c>
      <c r="K4">
        <v>850</v>
      </c>
      <c r="L4" s="8">
        <f t="shared" si="0"/>
        <v>0.02</v>
      </c>
      <c r="M4" s="8">
        <f t="shared" si="1"/>
        <v>0.02</v>
      </c>
      <c r="N4" s="8">
        <f t="shared" si="2"/>
        <v>17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672</v>
      </c>
      <c r="B5" s="3" t="s">
        <v>526</v>
      </c>
      <c r="C5" s="3" t="s">
        <v>673</v>
      </c>
      <c r="E5" t="s">
        <v>718</v>
      </c>
      <c r="F5" t="s">
        <v>719</v>
      </c>
      <c r="G5" t="s">
        <v>663</v>
      </c>
      <c r="H5" t="s">
        <v>11</v>
      </c>
      <c r="I5">
        <v>0.04</v>
      </c>
      <c r="J5" s="19">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674</v>
      </c>
      <c r="B6" s="3" t="s">
        <v>528</v>
      </c>
      <c r="C6" s="3" t="s">
        <v>529</v>
      </c>
      <c r="E6" t="s">
        <v>2184</v>
      </c>
      <c r="F6" t="s">
        <v>721</v>
      </c>
      <c r="G6" t="s">
        <v>2005</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674</v>
      </c>
      <c r="B7" s="3" t="s">
        <v>530</v>
      </c>
      <c r="C7" s="3" t="s">
        <v>531</v>
      </c>
      <c r="E7" t="s">
        <v>720</v>
      </c>
      <c r="F7" t="s">
        <v>721</v>
      </c>
      <c r="G7" t="s">
        <v>662</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674</v>
      </c>
      <c r="B8" s="3" t="s">
        <v>532</v>
      </c>
      <c r="C8" s="3" t="s">
        <v>533</v>
      </c>
      <c r="E8" t="s">
        <v>720</v>
      </c>
      <c r="F8" t="s">
        <v>721</v>
      </c>
      <c r="G8" t="s">
        <v>663</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674</v>
      </c>
      <c r="B9" s="3" t="s">
        <v>280</v>
      </c>
      <c r="C9" s="3" t="s">
        <v>534</v>
      </c>
      <c r="E9" t="s">
        <v>647</v>
      </c>
      <c r="F9" t="s">
        <v>722</v>
      </c>
      <c r="G9" t="s">
        <v>590</v>
      </c>
      <c r="H9" t="s">
        <v>591</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674</v>
      </c>
      <c r="B10" s="3" t="s">
        <v>281</v>
      </c>
      <c r="C10" s="3" t="s">
        <v>535</v>
      </c>
      <c r="E10" t="s">
        <v>648</v>
      </c>
      <c r="F10" t="s">
        <v>722</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674</v>
      </c>
      <c r="B11" s="3" t="s">
        <v>536</v>
      </c>
      <c r="C11" s="3" t="s">
        <v>537</v>
      </c>
      <c r="E11" t="s">
        <v>649</v>
      </c>
      <c r="F11" t="s">
        <v>723</v>
      </c>
      <c r="G11" t="s">
        <v>594</v>
      </c>
      <c r="H11" t="s">
        <v>595</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674</v>
      </c>
      <c r="B12" s="3" t="s">
        <v>538</v>
      </c>
      <c r="C12" s="3" t="s">
        <v>539</v>
      </c>
      <c r="E12" t="s">
        <v>650</v>
      </c>
      <c r="F12" t="s">
        <v>723</v>
      </c>
      <c r="G12" t="s">
        <v>651</v>
      </c>
      <c r="H12" t="s">
        <v>652</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674</v>
      </c>
      <c r="B13" s="3" t="s">
        <v>540</v>
      </c>
      <c r="C13" s="3" t="s">
        <v>541</v>
      </c>
      <c r="E13" t="s">
        <v>724</v>
      </c>
      <c r="F13" t="s">
        <v>725</v>
      </c>
      <c r="G13" t="s">
        <v>643</v>
      </c>
      <c r="H13" t="s">
        <v>644</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674</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674</v>
      </c>
      <c r="B15" s="3" t="s">
        <v>634</v>
      </c>
      <c r="C15" s="3" t="s">
        <v>635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674</v>
      </c>
      <c r="B16" s="3" t="s">
        <v>675</v>
      </c>
      <c r="C16" s="3" t="s">
        <v>676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677</v>
      </c>
      <c r="B17" s="3" t="s">
        <v>544</v>
      </c>
      <c r="C17" s="3" t="s">
        <v>678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677</v>
      </c>
      <c r="B18" s="3" t="s">
        <v>546</v>
      </c>
      <c r="C18" s="3" t="s">
        <v>679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677</v>
      </c>
      <c r="B19" s="3" t="s">
        <v>548</v>
      </c>
      <c r="C19" s="3" t="s">
        <v>549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677</v>
      </c>
      <c r="B20" s="3" t="s">
        <v>550</v>
      </c>
      <c r="C20" s="3" t="s">
        <v>680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677</v>
      </c>
      <c r="B21" s="3" t="s">
        <v>552</v>
      </c>
      <c r="C21" s="3" t="s">
        <v>681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674</v>
      </c>
      <c r="B22" s="3" t="s">
        <v>554</v>
      </c>
      <c r="C22" s="3" t="s">
        <v>555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677</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556</v>
      </c>
      <c r="C24" s="3" t="s">
        <v>682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677</v>
      </c>
      <c r="B25" s="3" t="s">
        <v>558</v>
      </c>
      <c r="C25" s="3" t="s">
        <v>683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496</v>
      </c>
      <c r="C26" s="3" t="s">
        <v>684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677</v>
      </c>
      <c r="B27" s="3" t="s">
        <v>607</v>
      </c>
      <c r="C27" s="3" t="s">
        <v>685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608</v>
      </c>
      <c r="C28" s="3" t="s">
        <v>686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677</v>
      </c>
      <c r="B29" s="3" t="s">
        <v>687</v>
      </c>
      <c r="C29" s="3" t="s">
        <v>604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677</v>
      </c>
      <c r="B30" s="3" t="s">
        <v>688</v>
      </c>
      <c r="C30" s="3" t="s">
        <v>689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674</v>
      </c>
      <c r="B31" s="3" t="s">
        <v>690</v>
      </c>
      <c r="C31" s="3" t="s">
        <v>691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674</v>
      </c>
      <c r="B32" s="3" t="s">
        <v>692</v>
      </c>
      <c r="C32" s="3" t="s">
        <v>693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694</v>
      </c>
      <c r="B33" s="3" t="s">
        <v>609</v>
      </c>
      <c r="C33" s="3" t="s">
        <v>1988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694</v>
      </c>
      <c r="B34" s="3" t="s">
        <v>695</v>
      </c>
      <c r="C34" s="3" t="s">
        <v>655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694</v>
      </c>
      <c r="B35" s="3" t="s">
        <v>612</v>
      </c>
      <c r="C35" s="3" t="s">
        <v>656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674</v>
      </c>
      <c r="B36" s="3" t="s">
        <v>610</v>
      </c>
      <c r="C36" s="3" t="s">
        <v>696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674</v>
      </c>
      <c r="B37" s="3" t="s">
        <v>697</v>
      </c>
      <c r="C37" s="3" t="s">
        <v>698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674</v>
      </c>
      <c r="B38" s="3" t="s">
        <v>613</v>
      </c>
      <c r="C38" s="3" t="s">
        <v>699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694</v>
      </c>
      <c r="B39" s="3" t="s">
        <v>564</v>
      </c>
      <c r="C39" s="3" t="s">
        <v>700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694</v>
      </c>
      <c r="B40" s="3" t="s">
        <v>565</v>
      </c>
      <c r="C40" s="3" t="s">
        <v>701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694</v>
      </c>
      <c r="B41" s="3" t="s">
        <v>566</v>
      </c>
      <c r="C41" s="3" t="s">
        <v>702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694</v>
      </c>
      <c r="B42" s="3" t="s">
        <v>703</v>
      </c>
      <c r="C42" s="3" t="s">
        <v>704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567</v>
      </c>
      <c r="C43" s="3" t="s">
        <v>705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677</v>
      </c>
      <c r="B44" s="3" t="s">
        <v>569</v>
      </c>
      <c r="C44" s="3" t="s">
        <v>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677</v>
      </c>
      <c r="B45" s="3" t="s">
        <v>571</v>
      </c>
      <c r="C45" s="3" t="s">
        <v>707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677</v>
      </c>
      <c r="B46" s="3" t="s">
        <v>573</v>
      </c>
      <c r="C46" s="3" t="s">
        <v>708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677</v>
      </c>
      <c r="B47" s="3" t="s">
        <v>575</v>
      </c>
      <c r="C47" s="3" t="s">
        <v>709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674</v>
      </c>
      <c r="B48" s="3" t="s">
        <v>577</v>
      </c>
      <c r="C48" s="3" t="s">
        <v>710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694</v>
      </c>
      <c r="B49" s="3" t="s">
        <v>629</v>
      </c>
      <c r="C49" s="3" t="s">
        <v>630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677</v>
      </c>
      <c r="B50" s="3" t="s">
        <v>631</v>
      </c>
      <c r="C50" s="3" t="s">
        <v>711</v>
      </c>
    </row>
    <row r="51" spans="1:36" x14ac:dyDescent="0.25">
      <c r="A51" s="3" t="s">
        <v>712</v>
      </c>
      <c r="B51" s="3" t="s">
        <v>510</v>
      </c>
      <c r="C51" s="3" t="s">
        <v>381</v>
      </c>
    </row>
    <row r="52" spans="1:36" x14ac:dyDescent="0.25">
      <c r="A52" s="3" t="s">
        <v>677</v>
      </c>
      <c r="B52" s="3" t="s">
        <v>1854</v>
      </c>
      <c r="C52" s="3" t="s">
        <v>2180</v>
      </c>
    </row>
    <row r="53" spans="1:36" x14ac:dyDescent="0.25">
      <c r="A53" s="3" t="s">
        <v>677</v>
      </c>
      <c r="B53" s="3" t="s">
        <v>511</v>
      </c>
      <c r="C53" s="3" t="s">
        <v>713</v>
      </c>
    </row>
    <row r="54" spans="1:36" x14ac:dyDescent="0.25">
      <c r="A54" s="3" t="s">
        <v>674</v>
      </c>
      <c r="B54" s="3" t="s">
        <v>616</v>
      </c>
      <c r="C54" s="3" t="s">
        <v>2181</v>
      </c>
    </row>
    <row r="55" spans="1:36" x14ac:dyDescent="0.25">
      <c r="A55" s="3" t="s">
        <v>677</v>
      </c>
      <c r="B55" s="3" t="s">
        <v>617</v>
      </c>
      <c r="C55" s="3" t="s">
        <v>714</v>
      </c>
    </row>
    <row r="56" spans="1:36" x14ac:dyDescent="0.25">
      <c r="A56" s="3" t="s">
        <v>677</v>
      </c>
      <c r="B56" s="3" t="s">
        <v>515</v>
      </c>
      <c r="C56" s="3" t="s">
        <v>715</v>
      </c>
    </row>
    <row r="57" spans="1:36" x14ac:dyDescent="0.25">
      <c r="A57" s="3" t="s">
        <v>677</v>
      </c>
      <c r="B57" s="3" t="s">
        <v>294</v>
      </c>
      <c r="C57" s="3" t="s">
        <v>716</v>
      </c>
    </row>
    <row r="58" spans="1:36" x14ac:dyDescent="0.25">
      <c r="A58" s="3" t="s">
        <v>717</v>
      </c>
      <c r="B58" s="3" t="s">
        <v>517</v>
      </c>
      <c r="C58" s="3" t="s">
        <v>2182</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C8E50-3C8B-429C-8CCF-1DA798DD03EE}">
  <sheetPr codeName="Sheet29"/>
  <dimension ref="A1:AK60"/>
  <sheetViews>
    <sheetView zoomScale="75" zoomScaleNormal="75" workbookViewId="0">
      <pane ySplit="40" topLeftCell="A41" activePane="bottomLeft" state="frozen"/>
      <selection pane="bottomLeft" activeCell="T4" sqref="T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S18</v>
      </c>
      <c r="B1" s="40"/>
      <c r="C1" s="40"/>
      <c r="E1" s="41" t="str" cm="1">
        <f t="array" aca="1" ref="E1" ca="1">IFERROR(MID(CELL("filename",$A$1),FIND("]",CELL("filename",$A$1))+1,99),"SXX")&amp;" MATERIALS (USAGE + STANDALONE)"</f>
        <v>S18 MATERIALS (USAGE + STANDALONE)</v>
      </c>
      <c r="F1" s="41"/>
      <c r="G1" s="41"/>
      <c r="H1" s="41"/>
      <c r="I1" s="41"/>
      <c r="J1" s="41"/>
      <c r="K1" s="41"/>
      <c r="L1" s="13"/>
      <c r="M1" s="13"/>
      <c r="N1" s="17">
        <f>SUM(N3:N49)</f>
        <v>22426.147000000001</v>
      </c>
      <c r="P1" s="41" t="str" cm="1">
        <f t="array" aca="1" ref="P1" ca="1">IFERROR(MID(CELL("filename",$A$1),FIND("]",CELL("filename",$A$1))+1,99),"SXX")&amp;" LABOUR (USAGE + STANDALONE)"</f>
        <v>S18 LABOUR (USAGE + STANDALONE)</v>
      </c>
      <c r="Q1" s="41"/>
      <c r="R1" s="41"/>
      <c r="S1" s="41"/>
      <c r="T1" s="41"/>
      <c r="U1" s="41"/>
      <c r="V1" s="41"/>
      <c r="Y1" s="17">
        <f>SUM(Y3:Y49)</f>
        <v>2947.5</v>
      </c>
      <c r="AA1" s="42" t="str" cm="1">
        <f t="array" aca="1" ref="AA1" ca="1">IFERROR(MID(CELL("filename",$A$1),FIND("]",CELL("filename",$A$1))+1,99),"SXX")&amp;" RENTAL / SERVICE (USAGE + STANDALONE)"</f>
        <v>S18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2220</v>
      </c>
      <c r="B3" s="3" t="s">
        <v>2325</v>
      </c>
      <c r="C3" s="3" t="s">
        <v>2221</v>
      </c>
      <c r="E3" t="s">
        <v>2304</v>
      </c>
      <c r="F3" t="s">
        <v>2268</v>
      </c>
      <c r="G3" t="s">
        <v>481</v>
      </c>
      <c r="H3" t="s">
        <v>11</v>
      </c>
      <c r="I3">
        <v>0.19</v>
      </c>
      <c r="J3" s="19">
        <v>0.01</v>
      </c>
      <c r="K3">
        <v>830</v>
      </c>
      <c r="L3" s="8">
        <f t="shared" ref="L3:L49" si="0">IF($G3="","",$I3*(1+IF($J3="",0,$J3)))</f>
        <v>0.19190000000000002</v>
      </c>
      <c r="M3" s="8">
        <f t="shared" ref="M3:M49" si="1">IF($G3="","",$L3)</f>
        <v>0.19190000000000002</v>
      </c>
      <c r="N3" s="8">
        <f t="shared" ref="N3:N49" si="2">IF($G3="","",IF($K3="","",$M3*$K3))</f>
        <v>159.27700000000002</v>
      </c>
      <c r="P3" t="s">
        <v>2410</v>
      </c>
      <c r="Q3" t="s">
        <v>2323</v>
      </c>
      <c r="R3" t="s">
        <v>251</v>
      </c>
      <c r="S3" t="s">
        <v>29</v>
      </c>
      <c r="T3">
        <v>131</v>
      </c>
      <c r="U3" s="19">
        <v>0</v>
      </c>
      <c r="V3">
        <v>22.5</v>
      </c>
      <c r="W3" s="8">
        <f>IF($R3="","",$T3*(1+IF($U3="",0,$U3)))</f>
        <v>131</v>
      </c>
      <c r="X3" s="8">
        <f>IF($R3="","",$W3)</f>
        <v>131</v>
      </c>
      <c r="Y3" s="8">
        <f>IF($R3="","",IF($V3="","",$X3*$V3))</f>
        <v>2947.5</v>
      </c>
      <c r="AH3" s="8" t="str">
        <f>IF($AC3="","",$AE3*(1+IF($AF3="",0,$AF3)))</f>
        <v/>
      </c>
      <c r="AI3" s="8" t="str">
        <f>IF($AC3="","",$AH3)</f>
        <v/>
      </c>
      <c r="AJ3" s="8" t="str">
        <f>IF($AC3="","",IF($AG3="","",$AI3*$AG3))</f>
        <v/>
      </c>
    </row>
    <row r="4" spans="1:37" x14ac:dyDescent="0.25">
      <c r="A4" s="3" t="s">
        <v>2222</v>
      </c>
      <c r="B4" s="3" t="s">
        <v>2326</v>
      </c>
      <c r="C4" s="3" t="s">
        <v>2327</v>
      </c>
      <c r="E4" t="s">
        <v>2305</v>
      </c>
      <c r="F4" t="s">
        <v>2268</v>
      </c>
      <c r="G4" t="s">
        <v>482</v>
      </c>
      <c r="H4" t="s">
        <v>11</v>
      </c>
      <c r="I4">
        <v>0.04</v>
      </c>
      <c r="J4" s="19">
        <v>0</v>
      </c>
      <c r="K4">
        <v>950</v>
      </c>
      <c r="L4" s="8">
        <f t="shared" si="0"/>
        <v>0.04</v>
      </c>
      <c r="M4" s="8">
        <f t="shared" si="1"/>
        <v>0.04</v>
      </c>
      <c r="N4" s="8">
        <f t="shared" si="2"/>
        <v>38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2328</v>
      </c>
      <c r="B5" s="3" t="s">
        <v>2329</v>
      </c>
      <c r="C5" s="3" t="s">
        <v>2330</v>
      </c>
      <c r="E5" t="s">
        <v>2306</v>
      </c>
      <c r="F5" t="s">
        <v>2268</v>
      </c>
      <c r="G5" t="s">
        <v>483</v>
      </c>
      <c r="H5" t="s">
        <v>8</v>
      </c>
      <c r="I5">
        <v>3.15</v>
      </c>
      <c r="J5" s="19">
        <v>0.32</v>
      </c>
      <c r="K5">
        <v>215</v>
      </c>
      <c r="L5" s="8">
        <f t="shared" si="0"/>
        <v>4.1580000000000004</v>
      </c>
      <c r="M5" s="8">
        <f t="shared" si="1"/>
        <v>4.1580000000000004</v>
      </c>
      <c r="N5" s="8">
        <f t="shared" si="2"/>
        <v>893.97</v>
      </c>
      <c r="W5" s="8" t="str">
        <f t="shared" si="3"/>
        <v/>
      </c>
      <c r="X5" s="8" t="str">
        <f t="shared" si="4"/>
        <v/>
      </c>
      <c r="Y5" s="8" t="str">
        <f t="shared" si="5"/>
        <v/>
      </c>
      <c r="AH5" s="8" t="str">
        <f t="shared" si="6"/>
        <v/>
      </c>
      <c r="AI5" s="8" t="str">
        <f t="shared" si="7"/>
        <v/>
      </c>
      <c r="AJ5" s="8" t="str">
        <f t="shared" si="8"/>
        <v/>
      </c>
    </row>
    <row r="6" spans="1:37" x14ac:dyDescent="0.25">
      <c r="A6" s="3" t="s">
        <v>2223</v>
      </c>
      <c r="B6" s="3" t="s">
        <v>2224</v>
      </c>
      <c r="C6" s="3" t="s">
        <v>2225</v>
      </c>
      <c r="E6" t="s">
        <v>2389</v>
      </c>
      <c r="F6" t="s">
        <v>2390</v>
      </c>
      <c r="G6" t="s">
        <v>646</v>
      </c>
      <c r="H6" t="s">
        <v>486</v>
      </c>
      <c r="I6">
        <v>7.81</v>
      </c>
      <c r="J6">
        <v>0</v>
      </c>
      <c r="K6">
        <v>340</v>
      </c>
      <c r="L6" s="8">
        <f t="shared" si="0"/>
        <v>7.81</v>
      </c>
      <c r="M6" s="8">
        <f t="shared" si="1"/>
        <v>7.81</v>
      </c>
      <c r="N6" s="8">
        <f t="shared" si="2"/>
        <v>2655.4</v>
      </c>
      <c r="W6" s="8" t="str">
        <f t="shared" si="3"/>
        <v/>
      </c>
      <c r="X6" s="8" t="str">
        <f t="shared" si="4"/>
        <v/>
      </c>
      <c r="Y6" s="8" t="str">
        <f t="shared" si="5"/>
        <v/>
      </c>
      <c r="AH6" s="8" t="str">
        <f t="shared" si="6"/>
        <v/>
      </c>
      <c r="AI6" s="8" t="str">
        <f t="shared" si="7"/>
        <v/>
      </c>
      <c r="AJ6" s="8" t="str">
        <f t="shared" si="8"/>
        <v/>
      </c>
    </row>
    <row r="7" spans="1:37" x14ac:dyDescent="0.25">
      <c r="A7" s="3" t="s">
        <v>2226</v>
      </c>
      <c r="B7" s="3" t="s">
        <v>2227</v>
      </c>
      <c r="C7" s="3" t="s">
        <v>2228</v>
      </c>
      <c r="E7" t="s">
        <v>2391</v>
      </c>
      <c r="F7" t="s">
        <v>2307</v>
      </c>
      <c r="G7" t="s">
        <v>590</v>
      </c>
      <c r="H7" t="s">
        <v>591</v>
      </c>
      <c r="I7">
        <v>18</v>
      </c>
      <c r="J7">
        <v>0</v>
      </c>
      <c r="K7">
        <v>28</v>
      </c>
      <c r="L7" s="8">
        <f t="shared" si="0"/>
        <v>18</v>
      </c>
      <c r="M7" s="8">
        <f t="shared" si="1"/>
        <v>18</v>
      </c>
      <c r="N7" s="8">
        <f t="shared" si="2"/>
        <v>504</v>
      </c>
      <c r="W7" s="8" t="str">
        <f t="shared" si="3"/>
        <v/>
      </c>
      <c r="X7" s="8" t="str">
        <f t="shared" si="4"/>
        <v/>
      </c>
      <c r="Y7" s="8" t="str">
        <f t="shared" si="5"/>
        <v/>
      </c>
      <c r="AH7" s="8" t="str">
        <f t="shared" si="6"/>
        <v/>
      </c>
      <c r="AI7" s="8" t="str">
        <f t="shared" si="7"/>
        <v/>
      </c>
      <c r="AJ7" s="8" t="str">
        <f t="shared" si="8"/>
        <v/>
      </c>
    </row>
    <row r="8" spans="1:37" x14ac:dyDescent="0.25">
      <c r="A8" s="3" t="s">
        <v>2229</v>
      </c>
      <c r="B8" s="3" t="s">
        <v>2230</v>
      </c>
      <c r="C8" s="3" t="s">
        <v>2231</v>
      </c>
      <c r="E8" t="s">
        <v>2392</v>
      </c>
      <c r="F8" t="s">
        <v>2307</v>
      </c>
      <c r="G8" t="s">
        <v>592</v>
      </c>
      <c r="H8" t="s">
        <v>591</v>
      </c>
      <c r="I8">
        <v>12</v>
      </c>
      <c r="J8">
        <v>0</v>
      </c>
      <c r="K8">
        <v>15</v>
      </c>
      <c r="L8" s="8">
        <f t="shared" si="0"/>
        <v>12</v>
      </c>
      <c r="M8" s="8">
        <f t="shared" si="1"/>
        <v>12</v>
      </c>
      <c r="N8" s="8">
        <f t="shared" si="2"/>
        <v>180</v>
      </c>
      <c r="W8" s="8" t="str">
        <f t="shared" si="3"/>
        <v/>
      </c>
      <c r="X8" s="8" t="str">
        <f t="shared" si="4"/>
        <v/>
      </c>
      <c r="Y8" s="8" t="str">
        <f t="shared" si="5"/>
        <v/>
      </c>
      <c r="AH8" s="8" t="str">
        <f t="shared" si="6"/>
        <v/>
      </c>
      <c r="AI8" s="8" t="str">
        <f t="shared" si="7"/>
        <v/>
      </c>
      <c r="AJ8" s="8" t="str">
        <f t="shared" si="8"/>
        <v/>
      </c>
    </row>
    <row r="9" spans="1:37" x14ac:dyDescent="0.25">
      <c r="A9" s="3" t="s">
        <v>2229</v>
      </c>
      <c r="B9" s="3" t="s">
        <v>2232</v>
      </c>
      <c r="C9" s="3" t="s">
        <v>2233</v>
      </c>
      <c r="E9" t="s">
        <v>2393</v>
      </c>
      <c r="F9" t="s">
        <v>2307</v>
      </c>
      <c r="G9" t="s">
        <v>2394</v>
      </c>
      <c r="H9" t="s">
        <v>256</v>
      </c>
      <c r="I9">
        <v>1</v>
      </c>
      <c r="J9">
        <v>0</v>
      </c>
      <c r="K9">
        <v>14</v>
      </c>
      <c r="L9" s="8">
        <f t="shared" si="0"/>
        <v>1</v>
      </c>
      <c r="M9" s="8">
        <f t="shared" si="1"/>
        <v>1</v>
      </c>
      <c r="N9" s="8">
        <f t="shared" si="2"/>
        <v>14</v>
      </c>
      <c r="W9" s="8" t="str">
        <f t="shared" si="3"/>
        <v/>
      </c>
      <c r="X9" s="8" t="str">
        <f t="shared" si="4"/>
        <v/>
      </c>
      <c r="Y9" s="8" t="str">
        <f t="shared" si="5"/>
        <v/>
      </c>
      <c r="AH9" s="8" t="str">
        <f t="shared" si="6"/>
        <v/>
      </c>
      <c r="AI9" s="8" t="str">
        <f t="shared" si="7"/>
        <v/>
      </c>
      <c r="AJ9" s="8" t="str">
        <f t="shared" si="8"/>
        <v/>
      </c>
    </row>
    <row r="10" spans="1:37" x14ac:dyDescent="0.25">
      <c r="A10" s="3" t="s">
        <v>2229</v>
      </c>
      <c r="B10" s="3" t="s">
        <v>2234</v>
      </c>
      <c r="C10" s="3" t="s">
        <v>2235</v>
      </c>
      <c r="E10" t="s">
        <v>2395</v>
      </c>
      <c r="F10" t="s">
        <v>2307</v>
      </c>
      <c r="G10" t="s">
        <v>594</v>
      </c>
      <c r="H10" t="s">
        <v>595</v>
      </c>
      <c r="I10">
        <v>8</v>
      </c>
      <c r="J10">
        <v>0</v>
      </c>
      <c r="K10">
        <v>45</v>
      </c>
      <c r="L10" s="8">
        <f t="shared" si="0"/>
        <v>8</v>
      </c>
      <c r="M10" s="8">
        <f t="shared" si="1"/>
        <v>8</v>
      </c>
      <c r="N10" s="8">
        <f t="shared" si="2"/>
        <v>360</v>
      </c>
      <c r="W10" s="8" t="str">
        <f t="shared" si="3"/>
        <v/>
      </c>
      <c r="X10" s="8" t="str">
        <f t="shared" si="4"/>
        <v/>
      </c>
      <c r="Y10" s="8" t="str">
        <f t="shared" si="5"/>
        <v/>
      </c>
      <c r="AH10" s="8" t="str">
        <f t="shared" si="6"/>
        <v/>
      </c>
      <c r="AI10" s="8" t="str">
        <f t="shared" si="7"/>
        <v/>
      </c>
      <c r="AJ10" s="8" t="str">
        <f t="shared" si="8"/>
        <v/>
      </c>
    </row>
    <row r="11" spans="1:37" x14ac:dyDescent="0.25">
      <c r="A11" s="3" t="s">
        <v>2229</v>
      </c>
      <c r="B11" s="3" t="s">
        <v>2236</v>
      </c>
      <c r="C11" s="3" t="s">
        <v>2237</v>
      </c>
      <c r="E11" t="s">
        <v>2396</v>
      </c>
      <c r="F11" t="s">
        <v>2271</v>
      </c>
      <c r="G11" t="s">
        <v>2397</v>
      </c>
      <c r="H11" t="s">
        <v>8</v>
      </c>
      <c r="I11">
        <v>470</v>
      </c>
      <c r="J11">
        <v>24</v>
      </c>
      <c r="K11">
        <v>0.27</v>
      </c>
      <c r="L11" s="8">
        <f t="shared" si="0"/>
        <v>11750</v>
      </c>
      <c r="M11" s="8">
        <f t="shared" si="1"/>
        <v>11750</v>
      </c>
      <c r="N11" s="8">
        <f t="shared" si="2"/>
        <v>3172.5</v>
      </c>
      <c r="W11" s="8" t="str">
        <f t="shared" si="3"/>
        <v/>
      </c>
      <c r="X11" s="8" t="str">
        <f t="shared" si="4"/>
        <v/>
      </c>
      <c r="Y11" s="8" t="str">
        <f t="shared" si="5"/>
        <v/>
      </c>
      <c r="AH11" s="8" t="str">
        <f t="shared" si="6"/>
        <v/>
      </c>
      <c r="AI11" s="8" t="str">
        <f t="shared" si="7"/>
        <v/>
      </c>
      <c r="AJ11" s="8" t="str">
        <f t="shared" si="8"/>
        <v/>
      </c>
    </row>
    <row r="12" spans="1:37" x14ac:dyDescent="0.25">
      <c r="A12" s="3" t="s">
        <v>2229</v>
      </c>
      <c r="B12" s="3" t="s">
        <v>2238</v>
      </c>
      <c r="C12" s="3" t="s">
        <v>2239</v>
      </c>
      <c r="E12" t="s">
        <v>2398</v>
      </c>
      <c r="F12" t="s">
        <v>2271</v>
      </c>
      <c r="G12" t="s">
        <v>2399</v>
      </c>
      <c r="H12" t="s">
        <v>9</v>
      </c>
      <c r="I12">
        <v>4</v>
      </c>
      <c r="J12">
        <v>0</v>
      </c>
      <c r="K12">
        <v>24</v>
      </c>
      <c r="L12" s="8">
        <f t="shared" si="0"/>
        <v>4</v>
      </c>
      <c r="M12" s="8">
        <f t="shared" si="1"/>
        <v>4</v>
      </c>
      <c r="N12" s="8">
        <f t="shared" si="2"/>
        <v>96</v>
      </c>
      <c r="W12" s="8" t="str">
        <f t="shared" si="3"/>
        <v/>
      </c>
      <c r="X12" s="8" t="str">
        <f t="shared" si="4"/>
        <v/>
      </c>
      <c r="Y12" s="8" t="str">
        <f t="shared" si="5"/>
        <v/>
      </c>
      <c r="AH12" s="8" t="str">
        <f t="shared" si="6"/>
        <v/>
      </c>
      <c r="AI12" s="8" t="str">
        <f t="shared" si="7"/>
        <v/>
      </c>
      <c r="AJ12" s="8" t="str">
        <f t="shared" si="8"/>
        <v/>
      </c>
    </row>
    <row r="13" spans="1:37" x14ac:dyDescent="0.25">
      <c r="A13" s="3" t="s">
        <v>2240</v>
      </c>
      <c r="B13" s="3" t="s">
        <v>2241</v>
      </c>
      <c r="C13" s="3" t="s">
        <v>2242</v>
      </c>
      <c r="E13" t="s">
        <v>2400</v>
      </c>
      <c r="F13" t="s">
        <v>2271</v>
      </c>
      <c r="G13" t="s">
        <v>662</v>
      </c>
      <c r="H13" t="s">
        <v>11</v>
      </c>
      <c r="I13">
        <v>0.03</v>
      </c>
      <c r="J13">
        <v>0</v>
      </c>
      <c r="K13">
        <v>850</v>
      </c>
      <c r="L13" s="8">
        <f t="shared" si="0"/>
        <v>0.03</v>
      </c>
      <c r="M13" s="8">
        <f t="shared" si="1"/>
        <v>0.03</v>
      </c>
      <c r="N13" s="8">
        <f t="shared" si="2"/>
        <v>25.5</v>
      </c>
      <c r="W13" s="8" t="str">
        <f t="shared" si="3"/>
        <v/>
      </c>
      <c r="X13" s="8" t="str">
        <f t="shared" si="4"/>
        <v/>
      </c>
      <c r="Y13" s="8" t="str">
        <f t="shared" si="5"/>
        <v/>
      </c>
      <c r="AH13" s="8" t="str">
        <f t="shared" si="6"/>
        <v/>
      </c>
      <c r="AI13" s="8" t="str">
        <f t="shared" si="7"/>
        <v/>
      </c>
      <c r="AJ13" s="8" t="str">
        <f t="shared" si="8"/>
        <v/>
      </c>
    </row>
    <row r="14" spans="1:37" x14ac:dyDescent="0.25">
      <c r="A14" s="3" t="s">
        <v>2243</v>
      </c>
      <c r="B14" s="3" t="s">
        <v>2244</v>
      </c>
      <c r="C14" s="3" t="s">
        <v>2245</v>
      </c>
      <c r="E14" t="s">
        <v>2401</v>
      </c>
      <c r="F14" t="s">
        <v>2279</v>
      </c>
      <c r="G14" t="s">
        <v>2308</v>
      </c>
      <c r="H14" t="s">
        <v>8</v>
      </c>
      <c r="I14">
        <v>3</v>
      </c>
      <c r="J14">
        <v>0</v>
      </c>
      <c r="K14">
        <v>163</v>
      </c>
      <c r="L14" s="8">
        <f t="shared" si="0"/>
        <v>3</v>
      </c>
      <c r="M14" s="8">
        <f t="shared" si="1"/>
        <v>3</v>
      </c>
      <c r="N14" s="8">
        <f t="shared" si="2"/>
        <v>489</v>
      </c>
      <c r="W14" s="8" t="str">
        <f t="shared" si="3"/>
        <v/>
      </c>
      <c r="X14" s="8" t="str">
        <f t="shared" si="4"/>
        <v/>
      </c>
      <c r="Y14" s="8" t="str">
        <f t="shared" si="5"/>
        <v/>
      </c>
      <c r="AH14" s="8" t="str">
        <f t="shared" si="6"/>
        <v/>
      </c>
      <c r="AI14" s="8" t="str">
        <f t="shared" si="7"/>
        <v/>
      </c>
      <c r="AJ14" s="8" t="str">
        <f t="shared" si="8"/>
        <v/>
      </c>
    </row>
    <row r="15" spans="1:37" x14ac:dyDescent="0.25">
      <c r="A15" s="3" t="s">
        <v>2243</v>
      </c>
      <c r="B15" s="3" t="s">
        <v>2246</v>
      </c>
      <c r="C15" s="3" t="s">
        <v>2247</v>
      </c>
      <c r="E15" t="s">
        <v>2402</v>
      </c>
      <c r="F15" t="s">
        <v>2279</v>
      </c>
      <c r="G15" t="s">
        <v>2309</v>
      </c>
      <c r="H15" t="s">
        <v>8</v>
      </c>
      <c r="I15">
        <v>8</v>
      </c>
      <c r="J15">
        <v>0</v>
      </c>
      <c r="K15">
        <v>107</v>
      </c>
      <c r="L15" s="8">
        <f t="shared" si="0"/>
        <v>8</v>
      </c>
      <c r="M15" s="8">
        <f t="shared" si="1"/>
        <v>8</v>
      </c>
      <c r="N15" s="8">
        <f t="shared" si="2"/>
        <v>856</v>
      </c>
      <c r="W15" s="8" t="str">
        <f t="shared" si="3"/>
        <v/>
      </c>
      <c r="X15" s="8" t="str">
        <f t="shared" si="4"/>
        <v/>
      </c>
      <c r="Y15" s="8" t="str">
        <f t="shared" si="5"/>
        <v/>
      </c>
      <c r="AH15" s="8" t="str">
        <f t="shared" si="6"/>
        <v/>
      </c>
      <c r="AI15" s="8" t="str">
        <f t="shared" si="7"/>
        <v/>
      </c>
      <c r="AJ15" s="8" t="str">
        <f t="shared" si="8"/>
        <v/>
      </c>
    </row>
    <row r="16" spans="1:37" x14ac:dyDescent="0.25">
      <c r="A16" s="3" t="s">
        <v>2331</v>
      </c>
      <c r="B16" s="3" t="s">
        <v>2332</v>
      </c>
      <c r="C16" s="3" t="s">
        <v>2333</v>
      </c>
      <c r="E16" t="s">
        <v>2310</v>
      </c>
      <c r="F16" t="s">
        <v>2279</v>
      </c>
      <c r="G16" t="s">
        <v>2311</v>
      </c>
      <c r="H16" t="s">
        <v>8</v>
      </c>
      <c r="I16">
        <v>10</v>
      </c>
      <c r="J16">
        <v>0</v>
      </c>
      <c r="K16">
        <v>17</v>
      </c>
      <c r="L16" s="8">
        <f t="shared" si="0"/>
        <v>10</v>
      </c>
      <c r="M16" s="8">
        <f t="shared" si="1"/>
        <v>10</v>
      </c>
      <c r="N16" s="8">
        <f t="shared" si="2"/>
        <v>170</v>
      </c>
      <c r="W16" s="8" t="str">
        <f t="shared" si="3"/>
        <v/>
      </c>
      <c r="X16" s="8" t="str">
        <f t="shared" si="4"/>
        <v/>
      </c>
      <c r="Y16" s="8" t="str">
        <f t="shared" si="5"/>
        <v/>
      </c>
      <c r="AH16" s="8" t="str">
        <f t="shared" si="6"/>
        <v/>
      </c>
      <c r="AI16" s="8" t="str">
        <f t="shared" si="7"/>
        <v/>
      </c>
      <c r="AJ16" s="8" t="str">
        <f t="shared" si="8"/>
        <v/>
      </c>
    </row>
    <row r="17" spans="1:36" x14ac:dyDescent="0.25">
      <c r="A17" s="3" t="s">
        <v>2331</v>
      </c>
      <c r="B17" s="3" t="s">
        <v>2334</v>
      </c>
      <c r="C17" s="3" t="s">
        <v>2335</v>
      </c>
      <c r="E17" t="s">
        <v>2403</v>
      </c>
      <c r="F17" t="s">
        <v>2279</v>
      </c>
      <c r="G17" t="s">
        <v>2324</v>
      </c>
      <c r="H17" t="s">
        <v>937</v>
      </c>
      <c r="I17">
        <v>176</v>
      </c>
      <c r="J17">
        <v>18</v>
      </c>
      <c r="K17">
        <v>3.5</v>
      </c>
      <c r="L17" s="8">
        <f t="shared" si="0"/>
        <v>3344</v>
      </c>
      <c r="M17" s="8">
        <f t="shared" si="1"/>
        <v>3344</v>
      </c>
      <c r="N17" s="8">
        <f t="shared" si="2"/>
        <v>11704</v>
      </c>
      <c r="W17" s="8" t="str">
        <f t="shared" si="3"/>
        <v/>
      </c>
      <c r="X17" s="8" t="str">
        <f t="shared" si="4"/>
        <v/>
      </c>
      <c r="Y17" s="8" t="str">
        <f t="shared" si="5"/>
        <v/>
      </c>
      <c r="AH17" s="8" t="str">
        <f t="shared" si="6"/>
        <v/>
      </c>
      <c r="AI17" s="8" t="str">
        <f t="shared" si="7"/>
        <v/>
      </c>
      <c r="AJ17" s="8" t="str">
        <f t="shared" si="8"/>
        <v/>
      </c>
    </row>
    <row r="18" spans="1:36" x14ac:dyDescent="0.25">
      <c r="A18" s="3" t="s">
        <v>2331</v>
      </c>
      <c r="B18" s="3" t="s">
        <v>2336</v>
      </c>
      <c r="C18" s="3" t="s">
        <v>2337</v>
      </c>
      <c r="E18" t="s">
        <v>2404</v>
      </c>
      <c r="F18" t="s">
        <v>2279</v>
      </c>
      <c r="G18" t="s">
        <v>940</v>
      </c>
      <c r="H18" t="s">
        <v>8</v>
      </c>
      <c r="I18">
        <v>4</v>
      </c>
      <c r="J18">
        <v>0</v>
      </c>
      <c r="K18">
        <v>28</v>
      </c>
      <c r="L18" s="8">
        <f t="shared" si="0"/>
        <v>4</v>
      </c>
      <c r="M18" s="8">
        <f t="shared" si="1"/>
        <v>4</v>
      </c>
      <c r="N18" s="8">
        <f t="shared" si="2"/>
        <v>112</v>
      </c>
      <c r="W18" s="8" t="str">
        <f t="shared" si="3"/>
        <v/>
      </c>
      <c r="X18" s="8" t="str">
        <f t="shared" si="4"/>
        <v/>
      </c>
      <c r="Y18" s="8" t="str">
        <f t="shared" si="5"/>
        <v/>
      </c>
      <c r="AH18" s="8" t="str">
        <f t="shared" si="6"/>
        <v/>
      </c>
      <c r="AI18" s="8" t="str">
        <f t="shared" si="7"/>
        <v/>
      </c>
      <c r="AJ18" s="8" t="str">
        <f t="shared" si="8"/>
        <v/>
      </c>
    </row>
    <row r="19" spans="1:36" x14ac:dyDescent="0.25">
      <c r="A19" s="3" t="s">
        <v>2248</v>
      </c>
      <c r="B19" s="3" t="s">
        <v>2249</v>
      </c>
      <c r="C19" s="3" t="s">
        <v>2250</v>
      </c>
      <c r="E19" t="s">
        <v>2405</v>
      </c>
      <c r="F19" t="s">
        <v>2279</v>
      </c>
      <c r="G19" t="s">
        <v>2312</v>
      </c>
      <c r="H19" t="s">
        <v>8</v>
      </c>
      <c r="I19">
        <v>2</v>
      </c>
      <c r="J19">
        <v>0</v>
      </c>
      <c r="K19">
        <v>25</v>
      </c>
      <c r="L19" s="8">
        <f t="shared" si="0"/>
        <v>2</v>
      </c>
      <c r="M19" s="8">
        <f t="shared" si="1"/>
        <v>2</v>
      </c>
      <c r="N19" s="8">
        <f t="shared" si="2"/>
        <v>50</v>
      </c>
      <c r="W19" s="8" t="str">
        <f t="shared" si="3"/>
        <v/>
      </c>
      <c r="X19" s="8" t="str">
        <f t="shared" si="4"/>
        <v/>
      </c>
      <c r="Y19" s="8" t="str">
        <f t="shared" si="5"/>
        <v/>
      </c>
      <c r="AH19" s="8" t="str">
        <f t="shared" si="6"/>
        <v/>
      </c>
      <c r="AI19" s="8" t="str">
        <f t="shared" si="7"/>
        <v/>
      </c>
      <c r="AJ19" s="8" t="str">
        <f t="shared" si="8"/>
        <v/>
      </c>
    </row>
    <row r="20" spans="1:36" x14ac:dyDescent="0.25">
      <c r="A20" s="3" t="s">
        <v>2248</v>
      </c>
      <c r="B20" s="3" t="s">
        <v>2251</v>
      </c>
      <c r="C20" s="3" t="s">
        <v>2252</v>
      </c>
      <c r="E20" t="s">
        <v>2406</v>
      </c>
      <c r="F20" t="s">
        <v>2279</v>
      </c>
      <c r="G20" t="s">
        <v>1442</v>
      </c>
      <c r="H20" t="s">
        <v>8</v>
      </c>
      <c r="I20">
        <v>200</v>
      </c>
      <c r="J20">
        <v>0</v>
      </c>
      <c r="K20">
        <v>0.13</v>
      </c>
      <c r="L20" s="8">
        <f t="shared" si="0"/>
        <v>200</v>
      </c>
      <c r="M20" s="8">
        <f t="shared" si="1"/>
        <v>200</v>
      </c>
      <c r="N20" s="8">
        <f t="shared" si="2"/>
        <v>26</v>
      </c>
      <c r="W20" s="8" t="str">
        <f t="shared" si="3"/>
        <v/>
      </c>
      <c r="X20" s="8" t="str">
        <f t="shared" si="4"/>
        <v/>
      </c>
      <c r="Y20" s="8" t="str">
        <f t="shared" si="5"/>
        <v/>
      </c>
      <c r="AH20" s="8" t="str">
        <f t="shared" si="6"/>
        <v/>
      </c>
      <c r="AI20" s="8" t="str">
        <f t="shared" si="7"/>
        <v/>
      </c>
      <c r="AJ20" s="8" t="str">
        <f t="shared" si="8"/>
        <v/>
      </c>
    </row>
    <row r="21" spans="1:36" x14ac:dyDescent="0.25">
      <c r="A21" s="3" t="s">
        <v>2253</v>
      </c>
      <c r="B21" s="3" t="s">
        <v>2254</v>
      </c>
      <c r="C21" s="3" t="s">
        <v>2255</v>
      </c>
      <c r="E21" t="s">
        <v>2407</v>
      </c>
      <c r="F21" t="s">
        <v>2290</v>
      </c>
      <c r="G21" t="s">
        <v>1652</v>
      </c>
      <c r="H21" t="s">
        <v>256</v>
      </c>
      <c r="I21">
        <v>1</v>
      </c>
      <c r="J21">
        <v>0</v>
      </c>
      <c r="K21">
        <v>92</v>
      </c>
      <c r="L21" s="8">
        <f t="shared" si="0"/>
        <v>1</v>
      </c>
      <c r="M21" s="8">
        <f t="shared" si="1"/>
        <v>1</v>
      </c>
      <c r="N21" s="8">
        <f t="shared" si="2"/>
        <v>92</v>
      </c>
      <c r="W21" s="8" t="str">
        <f t="shared" si="3"/>
        <v/>
      </c>
      <c r="X21" s="8" t="str">
        <f t="shared" si="4"/>
        <v/>
      </c>
      <c r="Y21" s="8" t="str">
        <f t="shared" si="5"/>
        <v/>
      </c>
      <c r="AH21" s="8" t="str">
        <f t="shared" si="6"/>
        <v/>
      </c>
      <c r="AI21" s="8" t="str">
        <f t="shared" si="7"/>
        <v/>
      </c>
      <c r="AJ21" s="8" t="str">
        <f t="shared" si="8"/>
        <v/>
      </c>
    </row>
    <row r="22" spans="1:36" x14ac:dyDescent="0.25">
      <c r="A22" s="3" t="s">
        <v>2253</v>
      </c>
      <c r="B22" s="3" t="s">
        <v>2256</v>
      </c>
      <c r="C22" s="3" t="s">
        <v>2257</v>
      </c>
      <c r="E22" t="s">
        <v>2408</v>
      </c>
      <c r="F22" t="s">
        <v>2290</v>
      </c>
      <c r="G22" t="s">
        <v>1653</v>
      </c>
      <c r="H22" t="s">
        <v>256</v>
      </c>
      <c r="I22">
        <v>1</v>
      </c>
      <c r="J22">
        <v>0</v>
      </c>
      <c r="K22">
        <v>92</v>
      </c>
      <c r="L22" s="8">
        <f t="shared" si="0"/>
        <v>1</v>
      </c>
      <c r="M22" s="8">
        <f t="shared" si="1"/>
        <v>1</v>
      </c>
      <c r="N22" s="8">
        <f t="shared" si="2"/>
        <v>92</v>
      </c>
      <c r="W22" s="8" t="str">
        <f t="shared" si="3"/>
        <v/>
      </c>
      <c r="X22" s="8" t="str">
        <f t="shared" si="4"/>
        <v/>
      </c>
      <c r="Y22" s="8" t="str">
        <f t="shared" si="5"/>
        <v/>
      </c>
      <c r="AH22" s="8" t="str">
        <f t="shared" si="6"/>
        <v/>
      </c>
      <c r="AI22" s="8" t="str">
        <f t="shared" si="7"/>
        <v/>
      </c>
      <c r="AJ22" s="8" t="str">
        <f t="shared" si="8"/>
        <v/>
      </c>
    </row>
    <row r="23" spans="1:36" x14ac:dyDescent="0.25">
      <c r="A23" s="3" t="s">
        <v>2253</v>
      </c>
      <c r="B23" s="3" t="s">
        <v>2258</v>
      </c>
      <c r="C23" s="3" t="s">
        <v>2259</v>
      </c>
      <c r="E23" t="s">
        <v>2409</v>
      </c>
      <c r="F23" t="s">
        <v>2290</v>
      </c>
      <c r="G23" t="s">
        <v>1654</v>
      </c>
      <c r="H23" t="s">
        <v>256</v>
      </c>
      <c r="I23">
        <v>1</v>
      </c>
      <c r="J23">
        <v>0</v>
      </c>
      <c r="K23">
        <v>92</v>
      </c>
      <c r="L23" s="8">
        <f t="shared" si="0"/>
        <v>1</v>
      </c>
      <c r="M23" s="8">
        <f t="shared" si="1"/>
        <v>1</v>
      </c>
      <c r="N23" s="8">
        <f t="shared" si="2"/>
        <v>92</v>
      </c>
      <c r="W23" s="8" t="str">
        <f t="shared" si="3"/>
        <v/>
      </c>
      <c r="X23" s="8" t="str">
        <f t="shared" si="4"/>
        <v/>
      </c>
      <c r="Y23" s="8" t="str">
        <f t="shared" si="5"/>
        <v/>
      </c>
      <c r="AH23" s="8" t="str">
        <f t="shared" si="6"/>
        <v/>
      </c>
      <c r="AI23" s="8" t="str">
        <f t="shared" si="7"/>
        <v/>
      </c>
      <c r="AJ23" s="8" t="str">
        <f t="shared" si="8"/>
        <v/>
      </c>
    </row>
    <row r="24" spans="1:36" x14ac:dyDescent="0.25">
      <c r="A24" s="3" t="s">
        <v>2331</v>
      </c>
      <c r="B24" s="3" t="s">
        <v>2338</v>
      </c>
      <c r="C24" s="3" t="s">
        <v>2339</v>
      </c>
      <c r="E24" t="s">
        <v>2313</v>
      </c>
      <c r="F24" t="s">
        <v>2290</v>
      </c>
      <c r="G24" t="s">
        <v>1665</v>
      </c>
      <c r="H24" t="s">
        <v>652</v>
      </c>
      <c r="I24">
        <v>4</v>
      </c>
      <c r="J24">
        <v>0</v>
      </c>
      <c r="K24">
        <v>6.8</v>
      </c>
      <c r="L24" s="8">
        <f t="shared" si="0"/>
        <v>4</v>
      </c>
      <c r="M24" s="8">
        <f t="shared" si="1"/>
        <v>4</v>
      </c>
      <c r="N24" s="8">
        <f t="shared" si="2"/>
        <v>27.2</v>
      </c>
      <c r="W24" s="8" t="str">
        <f t="shared" si="3"/>
        <v/>
      </c>
      <c r="X24" s="8" t="str">
        <f t="shared" si="4"/>
        <v/>
      </c>
      <c r="Y24" s="8" t="str">
        <f t="shared" si="5"/>
        <v/>
      </c>
      <c r="AH24" s="8" t="str">
        <f t="shared" si="6"/>
        <v/>
      </c>
      <c r="AI24" s="8" t="str">
        <f t="shared" si="7"/>
        <v/>
      </c>
      <c r="AJ24" s="8" t="str">
        <f t="shared" si="8"/>
        <v/>
      </c>
    </row>
    <row r="25" spans="1:36" x14ac:dyDescent="0.25">
      <c r="A25" s="3" t="s">
        <v>2260</v>
      </c>
      <c r="B25" s="3" t="s">
        <v>2261</v>
      </c>
      <c r="C25" s="3" t="s">
        <v>2262</v>
      </c>
      <c r="E25" t="s">
        <v>2314</v>
      </c>
      <c r="F25" t="s">
        <v>2290</v>
      </c>
      <c r="G25" t="s">
        <v>1676</v>
      </c>
      <c r="H25" t="s">
        <v>8</v>
      </c>
      <c r="I25">
        <v>1</v>
      </c>
      <c r="J25">
        <v>0</v>
      </c>
      <c r="K25">
        <v>6.8</v>
      </c>
      <c r="L25" s="8">
        <f t="shared" si="0"/>
        <v>1</v>
      </c>
      <c r="M25" s="8">
        <f t="shared" si="1"/>
        <v>1</v>
      </c>
      <c r="N25" s="8">
        <f t="shared" si="2"/>
        <v>6.8</v>
      </c>
      <c r="W25" s="8" t="str">
        <f t="shared" si="3"/>
        <v/>
      </c>
      <c r="X25" s="8" t="str">
        <f t="shared" si="4"/>
        <v/>
      </c>
      <c r="Y25" s="8" t="str">
        <f t="shared" si="5"/>
        <v/>
      </c>
      <c r="AH25" s="8" t="str">
        <f t="shared" si="6"/>
        <v/>
      </c>
      <c r="AI25" s="8" t="str">
        <f t="shared" si="7"/>
        <v/>
      </c>
      <c r="AJ25" s="8" t="str">
        <f t="shared" si="8"/>
        <v/>
      </c>
    </row>
    <row r="26" spans="1:36" x14ac:dyDescent="0.25">
      <c r="A26" s="3" t="s">
        <v>2331</v>
      </c>
      <c r="B26" s="3" t="s">
        <v>2340</v>
      </c>
      <c r="C26" s="3" t="s">
        <v>2341</v>
      </c>
      <c r="D26" s="1" t="s">
        <v>2342</v>
      </c>
      <c r="E26" t="s">
        <v>2315</v>
      </c>
      <c r="F26" t="s">
        <v>2290</v>
      </c>
      <c r="G26" t="s">
        <v>1679</v>
      </c>
      <c r="H26" t="s">
        <v>10</v>
      </c>
      <c r="I26">
        <v>2</v>
      </c>
      <c r="J26">
        <v>0</v>
      </c>
      <c r="K26">
        <v>13</v>
      </c>
      <c r="L26" s="8">
        <f t="shared" si="0"/>
        <v>2</v>
      </c>
      <c r="M26" s="8">
        <f t="shared" si="1"/>
        <v>2</v>
      </c>
      <c r="N26" s="8">
        <f t="shared" si="2"/>
        <v>26</v>
      </c>
      <c r="W26" s="8" t="str">
        <f t="shared" si="3"/>
        <v/>
      </c>
      <c r="X26" s="8" t="str">
        <f t="shared" si="4"/>
        <v/>
      </c>
      <c r="Y26" s="8" t="str">
        <f t="shared" si="5"/>
        <v/>
      </c>
      <c r="AH26" s="8" t="str">
        <f t="shared" si="6"/>
        <v/>
      </c>
      <c r="AI26" s="8" t="str">
        <f t="shared" si="7"/>
        <v/>
      </c>
      <c r="AJ26" s="8" t="str">
        <f t="shared" si="8"/>
        <v/>
      </c>
    </row>
    <row r="27" spans="1:36" x14ac:dyDescent="0.25">
      <c r="A27" t="s">
        <v>2263</v>
      </c>
      <c r="B27" s="3" t="s">
        <v>2264</v>
      </c>
      <c r="C27" s="3" t="s">
        <v>2343</v>
      </c>
      <c r="E27" t="s">
        <v>2316</v>
      </c>
      <c r="F27" t="s">
        <v>2290</v>
      </c>
      <c r="G27" t="s">
        <v>2317</v>
      </c>
      <c r="H27" t="s">
        <v>8</v>
      </c>
      <c r="I27">
        <v>1</v>
      </c>
      <c r="J27">
        <v>0</v>
      </c>
      <c r="K27">
        <v>0.5</v>
      </c>
      <c r="L27" s="8">
        <f t="shared" si="0"/>
        <v>1</v>
      </c>
      <c r="M27" s="8">
        <f t="shared" si="1"/>
        <v>1</v>
      </c>
      <c r="N27" s="8">
        <f t="shared" si="2"/>
        <v>0.5</v>
      </c>
      <c r="W27" s="8" t="str">
        <f t="shared" si="3"/>
        <v/>
      </c>
      <c r="X27" s="8" t="str">
        <f t="shared" si="4"/>
        <v/>
      </c>
      <c r="Y27" s="8" t="str">
        <f t="shared" si="5"/>
        <v/>
      </c>
      <c r="AH27" s="8" t="str">
        <f t="shared" si="6"/>
        <v/>
      </c>
      <c r="AI27" s="8" t="str">
        <f t="shared" si="7"/>
        <v/>
      </c>
      <c r="AJ27" s="8" t="str">
        <f t="shared" si="8"/>
        <v/>
      </c>
    </row>
    <row r="28" spans="1:36" x14ac:dyDescent="0.25">
      <c r="A28" s="3" t="s">
        <v>2331</v>
      </c>
      <c r="B28" s="3" t="s">
        <v>2344</v>
      </c>
      <c r="C28" s="3" t="s">
        <v>2345</v>
      </c>
      <c r="D28" s="1" t="s">
        <v>2346</v>
      </c>
      <c r="E28" t="s">
        <v>2318</v>
      </c>
      <c r="F28" t="s">
        <v>2294</v>
      </c>
      <c r="G28" t="s">
        <v>2198</v>
      </c>
      <c r="H28" t="s">
        <v>644</v>
      </c>
      <c r="I28">
        <v>1</v>
      </c>
      <c r="J28">
        <v>0</v>
      </c>
      <c r="K28">
        <v>160</v>
      </c>
      <c r="L28" s="8">
        <f t="shared" si="0"/>
        <v>1</v>
      </c>
      <c r="M28" s="8">
        <f t="shared" si="1"/>
        <v>1</v>
      </c>
      <c r="N28" s="8">
        <f t="shared" si="2"/>
        <v>160</v>
      </c>
      <c r="W28" s="8" t="str">
        <f t="shared" si="3"/>
        <v/>
      </c>
      <c r="X28" s="8" t="str">
        <f t="shared" si="4"/>
        <v/>
      </c>
      <c r="Y28" s="8" t="str">
        <f t="shared" si="5"/>
        <v/>
      </c>
      <c r="AH28" s="8" t="str">
        <f t="shared" si="6"/>
        <v/>
      </c>
      <c r="AI28" s="8" t="str">
        <f t="shared" si="7"/>
        <v/>
      </c>
      <c r="AJ28" s="8" t="str">
        <f t="shared" si="8"/>
        <v/>
      </c>
    </row>
    <row r="29" spans="1:36" x14ac:dyDescent="0.25">
      <c r="A29" s="3" t="s">
        <v>2265</v>
      </c>
      <c r="B29" s="3" t="s">
        <v>2266</v>
      </c>
      <c r="C29" s="3" t="s">
        <v>2267</v>
      </c>
      <c r="E29" t="s">
        <v>2319</v>
      </c>
      <c r="F29" t="s">
        <v>2294</v>
      </c>
      <c r="G29" t="s">
        <v>2320</v>
      </c>
      <c r="H29" t="s">
        <v>2321</v>
      </c>
      <c r="I29">
        <v>1</v>
      </c>
      <c r="J29">
        <v>0</v>
      </c>
      <c r="K29">
        <v>330</v>
      </c>
      <c r="L29" s="8">
        <f t="shared" si="0"/>
        <v>1</v>
      </c>
      <c r="M29" s="8">
        <f t="shared" si="1"/>
        <v>1</v>
      </c>
      <c r="N29" s="8">
        <f t="shared" si="2"/>
        <v>330</v>
      </c>
      <c r="W29" s="8" t="str">
        <f t="shared" si="3"/>
        <v/>
      </c>
      <c r="X29" s="8" t="str">
        <f t="shared" si="4"/>
        <v/>
      </c>
      <c r="Y29" s="8" t="str">
        <f t="shared" si="5"/>
        <v/>
      </c>
      <c r="AH29" s="8" t="str">
        <f t="shared" si="6"/>
        <v/>
      </c>
      <c r="AI29" s="8" t="str">
        <f t="shared" si="7"/>
        <v/>
      </c>
      <c r="AJ29" s="8" t="str">
        <f t="shared" si="8"/>
        <v/>
      </c>
    </row>
    <row r="30" spans="1:36" x14ac:dyDescent="0.25">
      <c r="A30" s="3" t="s">
        <v>2331</v>
      </c>
      <c r="B30" s="3" t="s">
        <v>2347</v>
      </c>
      <c r="C30" s="3" t="s">
        <v>2348</v>
      </c>
      <c r="D30" s="1" t="s">
        <v>2349</v>
      </c>
      <c r="E30" t="s">
        <v>2322</v>
      </c>
      <c r="F30" t="s">
        <v>2294</v>
      </c>
      <c r="G30" t="s">
        <v>1219</v>
      </c>
      <c r="H30" t="s">
        <v>28</v>
      </c>
      <c r="I30">
        <v>1</v>
      </c>
      <c r="J30">
        <v>0</v>
      </c>
      <c r="K30">
        <v>94</v>
      </c>
      <c r="L30" s="8">
        <f t="shared" si="0"/>
        <v>1</v>
      </c>
      <c r="M30" s="8">
        <f t="shared" si="1"/>
        <v>1</v>
      </c>
      <c r="N30" s="8">
        <f t="shared" si="2"/>
        <v>94</v>
      </c>
      <c r="W30" s="8" t="str">
        <f t="shared" si="3"/>
        <v/>
      </c>
      <c r="X30" s="8" t="str">
        <f t="shared" si="4"/>
        <v/>
      </c>
      <c r="Y30" s="8" t="str">
        <f t="shared" si="5"/>
        <v/>
      </c>
      <c r="AH30" s="8" t="str">
        <f t="shared" si="6"/>
        <v/>
      </c>
      <c r="AI30" s="8" t="str">
        <f t="shared" si="7"/>
        <v/>
      </c>
      <c r="AJ30" s="8" t="str">
        <f t="shared" si="8"/>
        <v/>
      </c>
    </row>
    <row r="31" spans="1:36" x14ac:dyDescent="0.25">
      <c r="A31" s="3" t="s">
        <v>2268</v>
      </c>
      <c r="B31" s="3" t="s">
        <v>2269</v>
      </c>
      <c r="C31" s="3" t="s">
        <v>2270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2240</v>
      </c>
      <c r="B32" s="3" t="s">
        <v>2350</v>
      </c>
      <c r="C32" s="3" t="s">
        <v>2351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2331</v>
      </c>
      <c r="B33" s="3" t="s">
        <v>2352</v>
      </c>
      <c r="C33" s="3" t="s">
        <v>2353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2240</v>
      </c>
      <c r="B34" s="3" t="s">
        <v>496</v>
      </c>
      <c r="C34" s="3" t="s">
        <v>2354</v>
      </c>
      <c r="D34" s="1" t="s">
        <v>2355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2240</v>
      </c>
      <c r="B35" s="3" t="s">
        <v>2356</v>
      </c>
      <c r="C35" s="3" t="s">
        <v>2357</v>
      </c>
      <c r="D35" s="1" t="s">
        <v>2358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2359</v>
      </c>
      <c r="B36" s="3" t="s">
        <v>2360</v>
      </c>
      <c r="C36" s="3" t="s">
        <v>2361</v>
      </c>
      <c r="D36" s="1" t="s">
        <v>2362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2240</v>
      </c>
      <c r="B37" s="3" t="s">
        <v>2363</v>
      </c>
      <c r="C37" s="3" t="s">
        <v>2364</v>
      </c>
      <c r="D37" s="1" t="s">
        <v>2365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2271</v>
      </c>
      <c r="B38" s="3" t="s">
        <v>2272</v>
      </c>
      <c r="C38" s="3" t="s">
        <v>2273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2331</v>
      </c>
      <c r="B39" s="3" t="s">
        <v>2366</v>
      </c>
      <c r="C39" s="3" t="s">
        <v>2367</v>
      </c>
      <c r="D39" s="1" t="s">
        <v>2368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2331</v>
      </c>
      <c r="B40" s="3" t="s">
        <v>2369</v>
      </c>
      <c r="C40" s="3" t="s">
        <v>2370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2240</v>
      </c>
      <c r="B41" s="3" t="s">
        <v>2274</v>
      </c>
      <c r="C41" s="3" t="s">
        <v>2371</v>
      </c>
      <c r="D41" s="1" t="s">
        <v>2372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2240</v>
      </c>
      <c r="B42" s="3" t="s">
        <v>2275</v>
      </c>
      <c r="C42" s="3" t="s">
        <v>2373</v>
      </c>
      <c r="D42" s="1" t="s">
        <v>2374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2276</v>
      </c>
      <c r="B43" s="3" t="s">
        <v>2277</v>
      </c>
      <c r="C43" s="3" t="s">
        <v>2278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2331</v>
      </c>
      <c r="B44" s="3" t="s">
        <v>2375</v>
      </c>
      <c r="C44" s="3" t="s">
        <v>2376</v>
      </c>
      <c r="D44" s="1" t="s">
        <v>2377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2279</v>
      </c>
      <c r="B45" s="3" t="s">
        <v>2280</v>
      </c>
      <c r="C45" s="3" t="s">
        <v>2281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2240</v>
      </c>
      <c r="B46" s="3" t="s">
        <v>2378</v>
      </c>
      <c r="C46" s="3" t="s">
        <v>2379</v>
      </c>
      <c r="D46" s="1" t="s">
        <v>2380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2240</v>
      </c>
      <c r="B47" s="3" t="s">
        <v>2381</v>
      </c>
      <c r="C47" s="3" t="s">
        <v>2282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2240</v>
      </c>
      <c r="B48" s="3" t="s">
        <v>2382</v>
      </c>
      <c r="C48" s="3" t="s">
        <v>2283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2331</v>
      </c>
      <c r="B49" s="3" t="s">
        <v>2383</v>
      </c>
      <c r="C49" s="3" t="s">
        <v>2384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2240</v>
      </c>
      <c r="B50" s="3" t="s">
        <v>2284</v>
      </c>
      <c r="C50" s="3" t="s">
        <v>2285</v>
      </c>
    </row>
    <row r="51" spans="1:36" x14ac:dyDescent="0.25">
      <c r="A51" s="3" t="s">
        <v>2240</v>
      </c>
      <c r="B51" s="3" t="s">
        <v>2286</v>
      </c>
      <c r="C51" s="3" t="s">
        <v>2287</v>
      </c>
    </row>
    <row r="52" spans="1:36" x14ac:dyDescent="0.25">
      <c r="A52" s="3" t="s">
        <v>2240</v>
      </c>
      <c r="B52" s="3" t="s">
        <v>2288</v>
      </c>
      <c r="C52" s="3" t="s">
        <v>2289</v>
      </c>
    </row>
    <row r="53" spans="1:36" x14ac:dyDescent="0.25">
      <c r="A53" s="3" t="s">
        <v>2290</v>
      </c>
      <c r="B53" s="3" t="s">
        <v>2291</v>
      </c>
      <c r="C53" s="3" t="s">
        <v>2292</v>
      </c>
    </row>
    <row r="54" spans="1:36" x14ac:dyDescent="0.25">
      <c r="A54" s="3" t="s">
        <v>2240</v>
      </c>
      <c r="B54" s="3" t="s">
        <v>1572</v>
      </c>
      <c r="C54" s="3" t="s">
        <v>2293</v>
      </c>
    </row>
    <row r="55" spans="1:36" x14ac:dyDescent="0.25">
      <c r="A55" s="3" t="s">
        <v>2331</v>
      </c>
      <c r="B55" s="3" t="s">
        <v>2385</v>
      </c>
      <c r="C55" s="3" t="s">
        <v>2386</v>
      </c>
    </row>
    <row r="56" spans="1:36" x14ac:dyDescent="0.25">
      <c r="A56" s="3" t="s">
        <v>2331</v>
      </c>
      <c r="B56" s="3" t="s">
        <v>2387</v>
      </c>
      <c r="C56" s="3" t="s">
        <v>2388</v>
      </c>
    </row>
    <row r="57" spans="1:36" x14ac:dyDescent="0.25">
      <c r="A57" s="3" t="s">
        <v>2294</v>
      </c>
      <c r="B57" s="3" t="s">
        <v>1729</v>
      </c>
      <c r="C57" s="3" t="s">
        <v>2295</v>
      </c>
    </row>
    <row r="58" spans="1:36" x14ac:dyDescent="0.25">
      <c r="A58" s="3" t="s">
        <v>2240</v>
      </c>
      <c r="B58" s="3" t="s">
        <v>2296</v>
      </c>
      <c r="C58" s="3" t="s">
        <v>2297</v>
      </c>
    </row>
    <row r="59" spans="1:36" x14ac:dyDescent="0.25">
      <c r="A59" s="3" t="s">
        <v>2298</v>
      </c>
      <c r="B59" s="3" t="s">
        <v>2299</v>
      </c>
      <c r="C59" s="3" t="s">
        <v>2300</v>
      </c>
    </row>
    <row r="60" spans="1:36" x14ac:dyDescent="0.25">
      <c r="A60" s="3" t="s">
        <v>2301</v>
      </c>
      <c r="B60" s="3" t="s">
        <v>2302</v>
      </c>
      <c r="C60" s="3" t="s">
        <v>2303</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2A2B5-ADA8-49BE-92B6-B05CACA4F717}">
  <sheetPr codeName="Sheet30"/>
  <dimension ref="A1:AK67"/>
  <sheetViews>
    <sheetView zoomScale="75" zoomScaleNormal="75" workbookViewId="0">
      <pane ySplit="40" topLeftCell="A41" activePane="bottomLeft" state="frozen"/>
      <selection pane="bottomLeft" activeCell="P36" sqref="P36"/>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S19</v>
      </c>
      <c r="B1" s="40"/>
      <c r="C1" s="40"/>
      <c r="E1" s="41" t="str" cm="1">
        <f t="array" aca="1" ref="E1" ca="1">IFERROR(MID(CELL("filename",$A$1),FIND("]",CELL("filename",$A$1))+1,99),"SXX")&amp;" MATERIALS (USAGE + STANDALONE)"</f>
        <v>S19 MATERIALS (USAGE + STANDALONE)</v>
      </c>
      <c r="F1" s="41"/>
      <c r="G1" s="41"/>
      <c r="H1" s="41"/>
      <c r="I1" s="41"/>
      <c r="J1" s="41"/>
      <c r="K1" s="41"/>
      <c r="L1" s="13"/>
      <c r="M1" s="13"/>
      <c r="N1" s="17">
        <f>SUM(N3:N49)</f>
        <v>21841.319</v>
      </c>
      <c r="P1" s="41" t="str" cm="1">
        <f t="array" aca="1" ref="P1" ca="1">IFERROR(MID(CELL("filename",$A$1),FIND("]",CELL("filename",$A$1))+1,99),"SXX")&amp;" LABOUR (USAGE + STANDALONE)"</f>
        <v>S19 LABOUR (USAGE + STANDALONE)</v>
      </c>
      <c r="Q1" s="41"/>
      <c r="R1" s="41"/>
      <c r="S1" s="41"/>
      <c r="T1" s="41"/>
      <c r="U1" s="41"/>
      <c r="V1" s="41"/>
      <c r="Y1" s="17">
        <f>SUM(Y3:Y49)</f>
        <v>3622.5</v>
      </c>
      <c r="AA1" s="42" t="str" cm="1">
        <f t="array" aca="1" ref="AA1" ca="1">IFERROR(MID(CELL("filename",$A$1),FIND("]",CELL("filename",$A$1))+1,99),"SXX")&amp;" RENTAL / SERVICE (USAGE + STANDALONE)"</f>
        <v>S19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2411</v>
      </c>
      <c r="B3" s="3" t="s">
        <v>2412</v>
      </c>
      <c r="C3" s="3" t="s">
        <v>2413</v>
      </c>
      <c r="E3" t="s">
        <v>2304</v>
      </c>
      <c r="F3" t="s">
        <v>2434</v>
      </c>
      <c r="G3" t="s">
        <v>481</v>
      </c>
      <c r="H3" t="s">
        <v>11</v>
      </c>
      <c r="I3">
        <v>0.19</v>
      </c>
      <c r="J3" s="19">
        <v>0.01</v>
      </c>
      <c r="K3">
        <v>830</v>
      </c>
      <c r="L3" s="8">
        <f t="shared" ref="L3:L49" si="0">IF($G3="","",$I3*(1+IF($J3="",0,$J3)))</f>
        <v>0.19190000000000002</v>
      </c>
      <c r="M3" s="8">
        <f t="shared" ref="M3:M49" si="1">IF($G3="","",$L3)</f>
        <v>0.19190000000000002</v>
      </c>
      <c r="N3" s="8">
        <f t="shared" ref="N3:N49" si="2">IF($G3="","",IF($K3="","",$M3*$K3))</f>
        <v>159.27700000000002</v>
      </c>
      <c r="P3" t="s">
        <v>2485</v>
      </c>
      <c r="Q3" t="s">
        <v>2449</v>
      </c>
      <c r="R3" t="s">
        <v>251</v>
      </c>
      <c r="S3" t="s">
        <v>29</v>
      </c>
      <c r="T3">
        <v>161</v>
      </c>
      <c r="U3" s="19">
        <v>0</v>
      </c>
      <c r="V3">
        <v>22.5</v>
      </c>
      <c r="W3" s="8">
        <f>IF($R3="","",$T3*(1+IF($U3="",0,$U3)))</f>
        <v>161</v>
      </c>
      <c r="X3" s="8">
        <f>IF($R3="","",$W3)</f>
        <v>161</v>
      </c>
      <c r="Y3" s="8">
        <f>IF($R3="","",IF($V3="","",$X3*$V3))</f>
        <v>3622.5</v>
      </c>
      <c r="AH3" s="8" t="str">
        <f>IF($AC3="","",$AE3*(1+IF($AF3="",0,$AF3)))</f>
        <v/>
      </c>
      <c r="AI3" s="8" t="str">
        <f>IF($AC3="","",$AH3)</f>
        <v/>
      </c>
      <c r="AJ3" s="8" t="str">
        <f>IF($AC3="","",IF($AG3="","",$AI3*$AG3))</f>
        <v/>
      </c>
    </row>
    <row r="4" spans="1:37" x14ac:dyDescent="0.25">
      <c r="A4" s="3" t="s">
        <v>2414</v>
      </c>
      <c r="B4" s="3" t="s">
        <v>2415</v>
      </c>
      <c r="C4" s="3" t="s">
        <v>2416</v>
      </c>
      <c r="E4" t="s">
        <v>2469</v>
      </c>
      <c r="F4" t="s">
        <v>2434</v>
      </c>
      <c r="G4" t="s">
        <v>482</v>
      </c>
      <c r="H4" t="s">
        <v>11</v>
      </c>
      <c r="I4">
        <v>0.04</v>
      </c>
      <c r="J4" s="19">
        <v>0</v>
      </c>
      <c r="K4">
        <v>950</v>
      </c>
      <c r="L4" s="8">
        <f t="shared" si="0"/>
        <v>0.04</v>
      </c>
      <c r="M4" s="8">
        <f t="shared" si="1"/>
        <v>0.04</v>
      </c>
      <c r="N4" s="8">
        <f t="shared" si="2"/>
        <v>38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2417</v>
      </c>
      <c r="B5" s="3" t="s">
        <v>2329</v>
      </c>
      <c r="C5" s="3" t="s">
        <v>2418</v>
      </c>
      <c r="E5" t="s">
        <v>2306</v>
      </c>
      <c r="F5" t="s">
        <v>2434</v>
      </c>
      <c r="G5" t="s">
        <v>483</v>
      </c>
      <c r="H5" t="s">
        <v>8</v>
      </c>
      <c r="I5">
        <v>3.15</v>
      </c>
      <c r="J5" s="19">
        <v>0.32</v>
      </c>
      <c r="K5">
        <v>215</v>
      </c>
      <c r="L5" s="8">
        <f t="shared" si="0"/>
        <v>4.1580000000000004</v>
      </c>
      <c r="M5" s="8">
        <f t="shared" si="1"/>
        <v>4.1580000000000004</v>
      </c>
      <c r="N5" s="8">
        <f t="shared" si="2"/>
        <v>893.97</v>
      </c>
      <c r="W5" s="8" t="str">
        <f t="shared" si="3"/>
        <v/>
      </c>
      <c r="X5" s="8" t="str">
        <f t="shared" si="4"/>
        <v/>
      </c>
      <c r="Y5" s="8" t="str">
        <f t="shared" si="5"/>
        <v/>
      </c>
      <c r="AH5" s="8" t="str">
        <f t="shared" si="6"/>
        <v/>
      </c>
      <c r="AI5" s="8" t="str">
        <f t="shared" si="7"/>
        <v/>
      </c>
      <c r="AJ5" s="8" t="str">
        <f t="shared" si="8"/>
        <v/>
      </c>
    </row>
    <row r="6" spans="1:37" x14ac:dyDescent="0.25">
      <c r="A6" s="3" t="s">
        <v>2419</v>
      </c>
      <c r="B6" s="3" t="s">
        <v>2224</v>
      </c>
      <c r="C6" s="3" t="s">
        <v>2225</v>
      </c>
      <c r="E6" t="s">
        <v>2470</v>
      </c>
      <c r="F6" t="s">
        <v>2471</v>
      </c>
      <c r="G6" t="s">
        <v>2005</v>
      </c>
      <c r="H6" t="s">
        <v>9</v>
      </c>
      <c r="I6">
        <v>54</v>
      </c>
      <c r="J6">
        <v>0</v>
      </c>
      <c r="K6">
        <v>24</v>
      </c>
      <c r="L6" s="8">
        <f t="shared" si="0"/>
        <v>54</v>
      </c>
      <c r="M6" s="8">
        <f t="shared" si="1"/>
        <v>54</v>
      </c>
      <c r="N6" s="8">
        <f t="shared" si="2"/>
        <v>1296</v>
      </c>
      <c r="W6" s="8" t="str">
        <f t="shared" si="3"/>
        <v/>
      </c>
      <c r="X6" s="8" t="str">
        <f t="shared" si="4"/>
        <v/>
      </c>
      <c r="Y6" s="8" t="str">
        <f t="shared" si="5"/>
        <v/>
      </c>
      <c r="AH6" s="8" t="str">
        <f t="shared" si="6"/>
        <v/>
      </c>
      <c r="AI6" s="8" t="str">
        <f t="shared" si="7"/>
        <v/>
      </c>
      <c r="AJ6" s="8" t="str">
        <f t="shared" si="8"/>
        <v/>
      </c>
    </row>
    <row r="7" spans="1:37" x14ac:dyDescent="0.25">
      <c r="A7" s="3" t="s">
        <v>2420</v>
      </c>
      <c r="B7" s="3" t="s">
        <v>2227</v>
      </c>
      <c r="C7" s="3" t="s">
        <v>2228</v>
      </c>
      <c r="E7" t="s">
        <v>2472</v>
      </c>
      <c r="F7" t="s">
        <v>2471</v>
      </c>
      <c r="G7" t="s">
        <v>662</v>
      </c>
      <c r="H7" t="s">
        <v>11</v>
      </c>
      <c r="I7">
        <v>0.37</v>
      </c>
      <c r="J7">
        <v>0.01</v>
      </c>
      <c r="K7">
        <v>850</v>
      </c>
      <c r="L7" s="8">
        <f t="shared" si="0"/>
        <v>0.37369999999999998</v>
      </c>
      <c r="M7" s="8">
        <f t="shared" si="1"/>
        <v>0.37369999999999998</v>
      </c>
      <c r="N7" s="8">
        <f t="shared" si="2"/>
        <v>317.64499999999998</v>
      </c>
      <c r="W7" s="8" t="str">
        <f t="shared" si="3"/>
        <v/>
      </c>
      <c r="X7" s="8" t="str">
        <f t="shared" si="4"/>
        <v/>
      </c>
      <c r="Y7" s="8" t="str">
        <f t="shared" si="5"/>
        <v/>
      </c>
      <c r="AH7" s="8" t="str">
        <f t="shared" si="6"/>
        <v/>
      </c>
      <c r="AI7" s="8" t="str">
        <f t="shared" si="7"/>
        <v/>
      </c>
      <c r="AJ7" s="8" t="str">
        <f t="shared" si="8"/>
        <v/>
      </c>
    </row>
    <row r="8" spans="1:37" x14ac:dyDescent="0.25">
      <c r="A8" s="3" t="s">
        <v>2421</v>
      </c>
      <c r="B8" s="3" t="s">
        <v>2230</v>
      </c>
      <c r="C8" s="3" t="s">
        <v>2231</v>
      </c>
      <c r="E8" t="s">
        <v>2473</v>
      </c>
      <c r="F8" t="s">
        <v>2471</v>
      </c>
      <c r="G8" t="s">
        <v>663</v>
      </c>
      <c r="H8" t="s">
        <v>11</v>
      </c>
      <c r="I8">
        <v>0.69</v>
      </c>
      <c r="J8">
        <v>0.01</v>
      </c>
      <c r="K8">
        <v>830</v>
      </c>
      <c r="L8" s="8">
        <f t="shared" si="0"/>
        <v>0.69689999999999996</v>
      </c>
      <c r="M8" s="8">
        <f t="shared" si="1"/>
        <v>0.69689999999999996</v>
      </c>
      <c r="N8" s="8">
        <f t="shared" si="2"/>
        <v>578.42700000000002</v>
      </c>
      <c r="W8" s="8" t="str">
        <f t="shared" si="3"/>
        <v/>
      </c>
      <c r="X8" s="8" t="str">
        <f t="shared" si="4"/>
        <v/>
      </c>
      <c r="Y8" s="8" t="str">
        <f t="shared" si="5"/>
        <v/>
      </c>
      <c r="AH8" s="8" t="str">
        <f t="shared" si="6"/>
        <v/>
      </c>
      <c r="AI8" s="8" t="str">
        <f t="shared" si="7"/>
        <v/>
      </c>
      <c r="AJ8" s="8" t="str">
        <f t="shared" si="8"/>
        <v/>
      </c>
    </row>
    <row r="9" spans="1:37" x14ac:dyDescent="0.25">
      <c r="A9" s="3" t="s">
        <v>2421</v>
      </c>
      <c r="B9" s="3" t="s">
        <v>2232</v>
      </c>
      <c r="C9" s="3" t="s">
        <v>2233</v>
      </c>
      <c r="E9" t="s">
        <v>2474</v>
      </c>
      <c r="F9" t="s">
        <v>2475</v>
      </c>
      <c r="G9" t="s">
        <v>590</v>
      </c>
      <c r="H9" t="s">
        <v>591</v>
      </c>
      <c r="I9">
        <v>18</v>
      </c>
      <c r="J9">
        <v>0</v>
      </c>
      <c r="K9">
        <v>28</v>
      </c>
      <c r="L9" s="8">
        <f t="shared" si="0"/>
        <v>18</v>
      </c>
      <c r="M9" s="8">
        <f t="shared" si="1"/>
        <v>18</v>
      </c>
      <c r="N9" s="8">
        <f t="shared" si="2"/>
        <v>504</v>
      </c>
      <c r="W9" s="8" t="str">
        <f t="shared" si="3"/>
        <v/>
      </c>
      <c r="X9" s="8" t="str">
        <f t="shared" si="4"/>
        <v/>
      </c>
      <c r="Y9" s="8" t="str">
        <f t="shared" si="5"/>
        <v/>
      </c>
      <c r="AH9" s="8" t="str">
        <f t="shared" si="6"/>
        <v/>
      </c>
      <c r="AI9" s="8" t="str">
        <f t="shared" si="7"/>
        <v/>
      </c>
      <c r="AJ9" s="8" t="str">
        <f t="shared" si="8"/>
        <v/>
      </c>
    </row>
    <row r="10" spans="1:37" x14ac:dyDescent="0.25">
      <c r="A10" s="3" t="s">
        <v>2421</v>
      </c>
      <c r="B10" s="3" t="s">
        <v>2234</v>
      </c>
      <c r="C10" s="3" t="s">
        <v>2235</v>
      </c>
      <c r="E10" t="s">
        <v>2476</v>
      </c>
      <c r="F10" t="s">
        <v>2475</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2421</v>
      </c>
      <c r="B11" s="3" t="s">
        <v>2236</v>
      </c>
      <c r="C11" s="3" t="s">
        <v>2422</v>
      </c>
      <c r="E11" t="s">
        <v>2477</v>
      </c>
      <c r="F11" t="s">
        <v>2475</v>
      </c>
      <c r="G11" t="s">
        <v>2394</v>
      </c>
      <c r="H11" t="s">
        <v>256</v>
      </c>
      <c r="I11">
        <v>1</v>
      </c>
      <c r="J11">
        <v>0</v>
      </c>
      <c r="K11">
        <v>14</v>
      </c>
      <c r="L11" s="8">
        <f t="shared" si="0"/>
        <v>1</v>
      </c>
      <c r="M11" s="8">
        <f t="shared" si="1"/>
        <v>1</v>
      </c>
      <c r="N11" s="8">
        <f t="shared" si="2"/>
        <v>14</v>
      </c>
      <c r="W11" s="8" t="str">
        <f t="shared" si="3"/>
        <v/>
      </c>
      <c r="X11" s="8" t="str">
        <f t="shared" si="4"/>
        <v/>
      </c>
      <c r="Y11" s="8" t="str">
        <f t="shared" si="5"/>
        <v/>
      </c>
      <c r="AH11" s="8" t="str">
        <f t="shared" si="6"/>
        <v/>
      </c>
      <c r="AI11" s="8" t="str">
        <f t="shared" si="7"/>
        <v/>
      </c>
      <c r="AJ11" s="8" t="str">
        <f t="shared" si="8"/>
        <v/>
      </c>
    </row>
    <row r="12" spans="1:37" x14ac:dyDescent="0.25">
      <c r="A12" s="3" t="s">
        <v>2421</v>
      </c>
      <c r="B12" s="3" t="s">
        <v>2238</v>
      </c>
      <c r="C12" s="3" t="s">
        <v>2423</v>
      </c>
      <c r="E12" t="s">
        <v>2478</v>
      </c>
      <c r="F12" t="s">
        <v>2475</v>
      </c>
      <c r="G12" t="s">
        <v>594</v>
      </c>
      <c r="H12" t="s">
        <v>595</v>
      </c>
      <c r="I12">
        <v>8</v>
      </c>
      <c r="J12">
        <v>0</v>
      </c>
      <c r="K12">
        <v>45</v>
      </c>
      <c r="L12" s="8">
        <f t="shared" si="0"/>
        <v>8</v>
      </c>
      <c r="M12" s="8">
        <f t="shared" si="1"/>
        <v>8</v>
      </c>
      <c r="N12" s="8">
        <f t="shared" si="2"/>
        <v>360</v>
      </c>
      <c r="W12" s="8" t="str">
        <f t="shared" si="3"/>
        <v/>
      </c>
      <c r="X12" s="8" t="str">
        <f t="shared" si="4"/>
        <v/>
      </c>
      <c r="Y12" s="8" t="str">
        <f t="shared" si="5"/>
        <v/>
      </c>
      <c r="AH12" s="8" t="str">
        <f t="shared" si="6"/>
        <v/>
      </c>
      <c r="AI12" s="8" t="str">
        <f t="shared" si="7"/>
        <v/>
      </c>
      <c r="AJ12" s="8" t="str">
        <f t="shared" si="8"/>
        <v/>
      </c>
    </row>
    <row r="13" spans="1:37" x14ac:dyDescent="0.25">
      <c r="A13" s="3" t="s">
        <v>2424</v>
      </c>
      <c r="B13" s="3" t="s">
        <v>2241</v>
      </c>
      <c r="C13" s="3" t="s">
        <v>2425</v>
      </c>
      <c r="E13" t="s">
        <v>2479</v>
      </c>
      <c r="F13" t="s">
        <v>2442</v>
      </c>
      <c r="G13" t="s">
        <v>2397</v>
      </c>
      <c r="H13" t="s">
        <v>8</v>
      </c>
      <c r="I13">
        <v>470</v>
      </c>
      <c r="J13">
        <v>24</v>
      </c>
      <c r="K13">
        <v>0.27</v>
      </c>
      <c r="L13" s="8">
        <f t="shared" si="0"/>
        <v>11750</v>
      </c>
      <c r="M13" s="8">
        <f t="shared" si="1"/>
        <v>11750</v>
      </c>
      <c r="N13" s="8">
        <f t="shared" si="2"/>
        <v>3172.5</v>
      </c>
      <c r="W13" s="8" t="str">
        <f t="shared" si="3"/>
        <v/>
      </c>
      <c r="X13" s="8" t="str">
        <f t="shared" si="4"/>
        <v/>
      </c>
      <c r="Y13" s="8" t="str">
        <f t="shared" si="5"/>
        <v/>
      </c>
      <c r="AH13" s="8" t="str">
        <f t="shared" si="6"/>
        <v/>
      </c>
      <c r="AI13" s="8" t="str">
        <f t="shared" si="7"/>
        <v/>
      </c>
      <c r="AJ13" s="8" t="str">
        <f t="shared" si="8"/>
        <v/>
      </c>
    </row>
    <row r="14" spans="1:37" x14ac:dyDescent="0.25">
      <c r="A14" s="3" t="s">
        <v>2426</v>
      </c>
      <c r="B14" s="3" t="s">
        <v>2244</v>
      </c>
      <c r="C14" s="3" t="s">
        <v>2245</v>
      </c>
      <c r="E14" t="s">
        <v>2401</v>
      </c>
      <c r="F14" t="s">
        <v>2444</v>
      </c>
      <c r="G14" t="s">
        <v>2308</v>
      </c>
      <c r="H14" t="s">
        <v>8</v>
      </c>
      <c r="I14">
        <v>3</v>
      </c>
      <c r="J14">
        <v>0</v>
      </c>
      <c r="K14">
        <v>163</v>
      </c>
      <c r="L14" s="8">
        <f t="shared" si="0"/>
        <v>3</v>
      </c>
      <c r="M14" s="8">
        <f t="shared" si="1"/>
        <v>3</v>
      </c>
      <c r="N14" s="8">
        <f t="shared" si="2"/>
        <v>489</v>
      </c>
      <c r="W14" s="8" t="str">
        <f t="shared" si="3"/>
        <v/>
      </c>
      <c r="X14" s="8" t="str">
        <f t="shared" si="4"/>
        <v/>
      </c>
      <c r="Y14" s="8" t="str">
        <f t="shared" si="5"/>
        <v/>
      </c>
      <c r="AH14" s="8" t="str">
        <f t="shared" si="6"/>
        <v/>
      </c>
      <c r="AI14" s="8" t="str">
        <f t="shared" si="7"/>
        <v/>
      </c>
      <c r="AJ14" s="8" t="str">
        <f t="shared" si="8"/>
        <v/>
      </c>
    </row>
    <row r="15" spans="1:37" x14ac:dyDescent="0.25">
      <c r="A15" s="3" t="s">
        <v>2426</v>
      </c>
      <c r="B15" s="3" t="s">
        <v>2246</v>
      </c>
      <c r="C15" s="3" t="s">
        <v>2247</v>
      </c>
      <c r="E15" t="s">
        <v>2402</v>
      </c>
      <c r="F15" t="s">
        <v>2444</v>
      </c>
      <c r="G15" t="s">
        <v>2309</v>
      </c>
      <c r="H15" t="s">
        <v>8</v>
      </c>
      <c r="I15">
        <v>8</v>
      </c>
      <c r="J15">
        <v>0</v>
      </c>
      <c r="K15">
        <v>107</v>
      </c>
      <c r="L15" s="8">
        <f t="shared" si="0"/>
        <v>8</v>
      </c>
      <c r="M15" s="8">
        <f t="shared" si="1"/>
        <v>8</v>
      </c>
      <c r="N15" s="8">
        <f t="shared" si="2"/>
        <v>856</v>
      </c>
      <c r="W15" s="8" t="str">
        <f t="shared" si="3"/>
        <v/>
      </c>
      <c r="X15" s="8" t="str">
        <f t="shared" si="4"/>
        <v/>
      </c>
      <c r="Y15" s="8" t="str">
        <f t="shared" si="5"/>
        <v/>
      </c>
      <c r="AH15" s="8" t="str">
        <f t="shared" si="6"/>
        <v/>
      </c>
      <c r="AI15" s="8" t="str">
        <f t="shared" si="7"/>
        <v/>
      </c>
      <c r="AJ15" s="8" t="str">
        <f t="shared" si="8"/>
        <v/>
      </c>
    </row>
    <row r="16" spans="1:37" x14ac:dyDescent="0.25">
      <c r="A16" s="3" t="s">
        <v>2427</v>
      </c>
      <c r="B16" s="3" t="s">
        <v>2332</v>
      </c>
      <c r="C16" s="3" t="s">
        <v>2333</v>
      </c>
      <c r="E16" t="s">
        <v>2310</v>
      </c>
      <c r="F16" t="s">
        <v>2444</v>
      </c>
      <c r="G16" t="s">
        <v>2311</v>
      </c>
      <c r="H16" t="s">
        <v>8</v>
      </c>
      <c r="I16">
        <v>10</v>
      </c>
      <c r="J16">
        <v>0</v>
      </c>
      <c r="K16">
        <v>17</v>
      </c>
      <c r="L16" s="8">
        <f t="shared" si="0"/>
        <v>10</v>
      </c>
      <c r="M16" s="8">
        <f t="shared" si="1"/>
        <v>10</v>
      </c>
      <c r="N16" s="8">
        <f t="shared" si="2"/>
        <v>170</v>
      </c>
      <c r="W16" s="8" t="str">
        <f t="shared" si="3"/>
        <v/>
      </c>
      <c r="X16" s="8" t="str">
        <f t="shared" si="4"/>
        <v/>
      </c>
      <c r="Y16" s="8" t="str">
        <f t="shared" si="5"/>
        <v/>
      </c>
      <c r="AH16" s="8" t="str">
        <f t="shared" si="6"/>
        <v/>
      </c>
      <c r="AI16" s="8" t="str">
        <f t="shared" si="7"/>
        <v/>
      </c>
      <c r="AJ16" s="8" t="str">
        <f t="shared" si="8"/>
        <v/>
      </c>
    </row>
    <row r="17" spans="1:36" x14ac:dyDescent="0.25">
      <c r="A17" s="3" t="s">
        <v>2427</v>
      </c>
      <c r="B17" s="3" t="s">
        <v>2334</v>
      </c>
      <c r="C17" s="3" t="s">
        <v>2335</v>
      </c>
      <c r="E17" t="s">
        <v>2403</v>
      </c>
      <c r="F17" t="s">
        <v>2444</v>
      </c>
      <c r="G17" t="s">
        <v>2324</v>
      </c>
      <c r="H17" t="s">
        <v>937</v>
      </c>
      <c r="I17">
        <v>176</v>
      </c>
      <c r="J17">
        <v>18</v>
      </c>
      <c r="K17">
        <v>3.5</v>
      </c>
      <c r="L17" s="8">
        <f t="shared" si="0"/>
        <v>3344</v>
      </c>
      <c r="M17" s="8">
        <f t="shared" si="1"/>
        <v>3344</v>
      </c>
      <c r="N17" s="8">
        <f t="shared" si="2"/>
        <v>11704</v>
      </c>
      <c r="W17" s="8" t="str">
        <f t="shared" si="3"/>
        <v/>
      </c>
      <c r="X17" s="8" t="str">
        <f t="shared" si="4"/>
        <v/>
      </c>
      <c r="Y17" s="8" t="str">
        <f t="shared" si="5"/>
        <v/>
      </c>
      <c r="AH17" s="8" t="str">
        <f t="shared" si="6"/>
        <v/>
      </c>
      <c r="AI17" s="8" t="str">
        <f t="shared" si="7"/>
        <v/>
      </c>
      <c r="AJ17" s="8" t="str">
        <f t="shared" si="8"/>
        <v/>
      </c>
    </row>
    <row r="18" spans="1:36" x14ac:dyDescent="0.25">
      <c r="A18" s="3" t="s">
        <v>2427</v>
      </c>
      <c r="B18" s="3" t="s">
        <v>2336</v>
      </c>
      <c r="C18" s="3" t="s">
        <v>2428</v>
      </c>
      <c r="E18" t="s">
        <v>2404</v>
      </c>
      <c r="F18" t="s">
        <v>2444</v>
      </c>
      <c r="G18" t="s">
        <v>940</v>
      </c>
      <c r="H18" t="s">
        <v>8</v>
      </c>
      <c r="I18">
        <v>4</v>
      </c>
      <c r="J18">
        <v>0</v>
      </c>
      <c r="K18">
        <v>28</v>
      </c>
      <c r="L18" s="8">
        <f t="shared" si="0"/>
        <v>4</v>
      </c>
      <c r="M18" s="8">
        <f t="shared" si="1"/>
        <v>4</v>
      </c>
      <c r="N18" s="8">
        <f t="shared" si="2"/>
        <v>112</v>
      </c>
      <c r="W18" s="8" t="str">
        <f t="shared" si="3"/>
        <v/>
      </c>
      <c r="X18" s="8" t="str">
        <f t="shared" si="4"/>
        <v/>
      </c>
      <c r="Y18" s="8" t="str">
        <f t="shared" si="5"/>
        <v/>
      </c>
      <c r="AH18" s="8" t="str">
        <f t="shared" si="6"/>
        <v/>
      </c>
      <c r="AI18" s="8" t="str">
        <f t="shared" si="7"/>
        <v/>
      </c>
      <c r="AJ18" s="8" t="str">
        <f t="shared" si="8"/>
        <v/>
      </c>
    </row>
    <row r="19" spans="1:36" x14ac:dyDescent="0.25">
      <c r="A19" s="3" t="s">
        <v>2429</v>
      </c>
      <c r="B19" s="3" t="s">
        <v>2249</v>
      </c>
      <c r="C19" s="3" t="s">
        <v>2250</v>
      </c>
      <c r="E19" t="s">
        <v>2405</v>
      </c>
      <c r="F19" t="s">
        <v>2444</v>
      </c>
      <c r="G19" t="s">
        <v>2312</v>
      </c>
      <c r="H19" t="s">
        <v>8</v>
      </c>
      <c r="I19">
        <v>2</v>
      </c>
      <c r="J19">
        <v>0</v>
      </c>
      <c r="K19">
        <v>25</v>
      </c>
      <c r="L19" s="8">
        <f t="shared" si="0"/>
        <v>2</v>
      </c>
      <c r="M19" s="8">
        <f t="shared" si="1"/>
        <v>2</v>
      </c>
      <c r="N19" s="8">
        <f t="shared" si="2"/>
        <v>50</v>
      </c>
      <c r="W19" s="8" t="str">
        <f t="shared" si="3"/>
        <v/>
      </c>
      <c r="X19" s="8" t="str">
        <f t="shared" si="4"/>
        <v/>
      </c>
      <c r="Y19" s="8" t="str">
        <f t="shared" si="5"/>
        <v/>
      </c>
      <c r="AH19" s="8" t="str">
        <f t="shared" si="6"/>
        <v/>
      </c>
      <c r="AI19" s="8" t="str">
        <f t="shared" si="7"/>
        <v/>
      </c>
      <c r="AJ19" s="8" t="str">
        <f t="shared" si="8"/>
        <v/>
      </c>
    </row>
    <row r="20" spans="1:36" x14ac:dyDescent="0.25">
      <c r="A20" s="3" t="s">
        <v>2429</v>
      </c>
      <c r="B20" s="3" t="s">
        <v>2251</v>
      </c>
      <c r="C20" s="3" t="s">
        <v>2252</v>
      </c>
      <c r="E20" t="s">
        <v>2480</v>
      </c>
      <c r="F20" t="s">
        <v>2444</v>
      </c>
      <c r="G20" t="s">
        <v>1442</v>
      </c>
      <c r="H20" t="s">
        <v>8</v>
      </c>
      <c r="I20">
        <v>200</v>
      </c>
      <c r="J20">
        <v>0</v>
      </c>
      <c r="K20">
        <v>0.13</v>
      </c>
      <c r="L20" s="8">
        <f t="shared" si="0"/>
        <v>200</v>
      </c>
      <c r="M20" s="8">
        <f t="shared" si="1"/>
        <v>200</v>
      </c>
      <c r="N20" s="8">
        <f t="shared" si="2"/>
        <v>26</v>
      </c>
      <c r="W20" s="8" t="str">
        <f t="shared" si="3"/>
        <v/>
      </c>
      <c r="X20" s="8" t="str">
        <f t="shared" si="4"/>
        <v/>
      </c>
      <c r="Y20" s="8" t="str">
        <f t="shared" si="5"/>
        <v/>
      </c>
      <c r="AH20" s="8" t="str">
        <f t="shared" si="6"/>
        <v/>
      </c>
      <c r="AI20" s="8" t="str">
        <f t="shared" si="7"/>
        <v/>
      </c>
      <c r="AJ20" s="8" t="str">
        <f t="shared" si="8"/>
        <v/>
      </c>
    </row>
    <row r="21" spans="1:36" x14ac:dyDescent="0.25">
      <c r="A21" s="3" t="s">
        <v>2430</v>
      </c>
      <c r="B21" s="3" t="s">
        <v>2254</v>
      </c>
      <c r="C21" s="3" t="s">
        <v>2255</v>
      </c>
      <c r="E21" t="s">
        <v>2407</v>
      </c>
      <c r="F21" t="s">
        <v>2447</v>
      </c>
      <c r="G21" t="s">
        <v>1652</v>
      </c>
      <c r="H21" t="s">
        <v>256</v>
      </c>
      <c r="I21">
        <v>1</v>
      </c>
      <c r="J21">
        <v>0</v>
      </c>
      <c r="K21">
        <v>92</v>
      </c>
      <c r="L21" s="8">
        <f t="shared" si="0"/>
        <v>1</v>
      </c>
      <c r="M21" s="8">
        <f t="shared" si="1"/>
        <v>1</v>
      </c>
      <c r="N21" s="8">
        <f t="shared" si="2"/>
        <v>92</v>
      </c>
      <c r="W21" s="8" t="str">
        <f t="shared" si="3"/>
        <v/>
      </c>
      <c r="X21" s="8" t="str">
        <f t="shared" si="4"/>
        <v/>
      </c>
      <c r="Y21" s="8" t="str">
        <f t="shared" si="5"/>
        <v/>
      </c>
      <c r="AH21" s="8" t="str">
        <f t="shared" si="6"/>
        <v/>
      </c>
      <c r="AI21" s="8" t="str">
        <f t="shared" si="7"/>
        <v/>
      </c>
      <c r="AJ21" s="8" t="str">
        <f t="shared" si="8"/>
        <v/>
      </c>
    </row>
    <row r="22" spans="1:36" x14ac:dyDescent="0.25">
      <c r="A22" s="3" t="s">
        <v>2430</v>
      </c>
      <c r="B22" s="3" t="s">
        <v>2256</v>
      </c>
      <c r="C22" s="3" t="s">
        <v>2257</v>
      </c>
      <c r="E22" t="s">
        <v>2408</v>
      </c>
      <c r="F22" t="s">
        <v>2447</v>
      </c>
      <c r="G22" t="s">
        <v>1653</v>
      </c>
      <c r="H22" t="s">
        <v>256</v>
      </c>
      <c r="I22">
        <v>1</v>
      </c>
      <c r="J22">
        <v>0</v>
      </c>
      <c r="K22">
        <v>92</v>
      </c>
      <c r="L22" s="8">
        <f t="shared" si="0"/>
        <v>1</v>
      </c>
      <c r="M22" s="8">
        <f t="shared" si="1"/>
        <v>1</v>
      </c>
      <c r="N22" s="8">
        <f t="shared" si="2"/>
        <v>92</v>
      </c>
      <c r="W22" s="8" t="str">
        <f t="shared" si="3"/>
        <v/>
      </c>
      <c r="X22" s="8" t="str">
        <f t="shared" si="4"/>
        <v/>
      </c>
      <c r="Y22" s="8" t="str">
        <f t="shared" si="5"/>
        <v/>
      </c>
      <c r="AH22" s="8" t="str">
        <f t="shared" si="6"/>
        <v/>
      </c>
      <c r="AI22" s="8" t="str">
        <f t="shared" si="7"/>
        <v/>
      </c>
      <c r="AJ22" s="8" t="str">
        <f t="shared" si="8"/>
        <v/>
      </c>
    </row>
    <row r="23" spans="1:36" x14ac:dyDescent="0.25">
      <c r="A23" s="3" t="s">
        <v>2430</v>
      </c>
      <c r="B23" s="3" t="s">
        <v>2258</v>
      </c>
      <c r="C23" s="3" t="s">
        <v>2259</v>
      </c>
      <c r="E23" t="s">
        <v>2409</v>
      </c>
      <c r="F23" t="s">
        <v>2447</v>
      </c>
      <c r="G23" t="s">
        <v>1654</v>
      </c>
      <c r="H23" t="s">
        <v>256</v>
      </c>
      <c r="I23">
        <v>1</v>
      </c>
      <c r="J23">
        <v>0</v>
      </c>
      <c r="K23">
        <v>92</v>
      </c>
      <c r="L23" s="8">
        <f t="shared" si="0"/>
        <v>1</v>
      </c>
      <c r="M23" s="8">
        <f t="shared" si="1"/>
        <v>1</v>
      </c>
      <c r="N23" s="8">
        <f t="shared" si="2"/>
        <v>92</v>
      </c>
      <c r="W23" s="8" t="str">
        <f t="shared" si="3"/>
        <v/>
      </c>
      <c r="X23" s="8" t="str">
        <f t="shared" si="4"/>
        <v/>
      </c>
      <c r="Y23" s="8" t="str">
        <f t="shared" si="5"/>
        <v/>
      </c>
      <c r="AH23" s="8" t="str">
        <f t="shared" si="6"/>
        <v/>
      </c>
      <c r="AI23" s="8" t="str">
        <f t="shared" si="7"/>
        <v/>
      </c>
      <c r="AJ23" s="8" t="str">
        <f t="shared" si="8"/>
        <v/>
      </c>
    </row>
    <row r="24" spans="1:36" x14ac:dyDescent="0.25">
      <c r="A24" s="3" t="s">
        <v>2427</v>
      </c>
      <c r="B24" s="3" t="s">
        <v>2338</v>
      </c>
      <c r="C24" s="3" t="s">
        <v>2339</v>
      </c>
      <c r="E24" t="s">
        <v>2313</v>
      </c>
      <c r="F24" t="s">
        <v>2447</v>
      </c>
      <c r="G24" t="s">
        <v>1665</v>
      </c>
      <c r="H24" t="s">
        <v>652</v>
      </c>
      <c r="I24">
        <v>4</v>
      </c>
      <c r="J24">
        <v>0</v>
      </c>
      <c r="K24">
        <v>6.8</v>
      </c>
      <c r="L24" s="8">
        <f t="shared" si="0"/>
        <v>4</v>
      </c>
      <c r="M24" s="8">
        <f t="shared" si="1"/>
        <v>4</v>
      </c>
      <c r="N24" s="8">
        <f t="shared" si="2"/>
        <v>27.2</v>
      </c>
      <c r="W24" s="8" t="str">
        <f t="shared" si="3"/>
        <v/>
      </c>
      <c r="X24" s="8" t="str">
        <f t="shared" si="4"/>
        <v/>
      </c>
      <c r="Y24" s="8" t="str">
        <f t="shared" si="5"/>
        <v/>
      </c>
      <c r="AH24" s="8" t="str">
        <f t="shared" si="6"/>
        <v/>
      </c>
      <c r="AI24" s="8" t="str">
        <f t="shared" si="7"/>
        <v/>
      </c>
      <c r="AJ24" s="8" t="str">
        <f t="shared" si="8"/>
        <v/>
      </c>
    </row>
    <row r="25" spans="1:36" x14ac:dyDescent="0.25">
      <c r="A25" s="3" t="s">
        <v>2431</v>
      </c>
      <c r="B25" s="3" t="s">
        <v>2261</v>
      </c>
      <c r="C25" s="3" t="s">
        <v>2262</v>
      </c>
      <c r="E25" t="s">
        <v>2314</v>
      </c>
      <c r="F25" t="s">
        <v>2447</v>
      </c>
      <c r="G25" t="s">
        <v>1676</v>
      </c>
      <c r="H25" t="s">
        <v>8</v>
      </c>
      <c r="I25">
        <v>1</v>
      </c>
      <c r="J25">
        <v>0</v>
      </c>
      <c r="K25">
        <v>6.8</v>
      </c>
      <c r="L25" s="8">
        <f t="shared" si="0"/>
        <v>1</v>
      </c>
      <c r="M25" s="8">
        <f t="shared" si="1"/>
        <v>1</v>
      </c>
      <c r="N25" s="8">
        <f t="shared" si="2"/>
        <v>6.8</v>
      </c>
      <c r="W25" s="8" t="str">
        <f t="shared" si="3"/>
        <v/>
      </c>
      <c r="X25" s="8" t="str">
        <f t="shared" si="4"/>
        <v/>
      </c>
      <c r="Y25" s="8" t="str">
        <f t="shared" si="5"/>
        <v/>
      </c>
      <c r="AH25" s="8" t="str">
        <f t="shared" si="6"/>
        <v/>
      </c>
      <c r="AI25" s="8" t="str">
        <f t="shared" si="7"/>
        <v/>
      </c>
      <c r="AJ25" s="8" t="str">
        <f t="shared" si="8"/>
        <v/>
      </c>
    </row>
    <row r="26" spans="1:36" x14ac:dyDescent="0.25">
      <c r="A26" s="3" t="s">
        <v>2427</v>
      </c>
      <c r="B26" s="3" t="s">
        <v>2340</v>
      </c>
      <c r="C26" s="3" t="s">
        <v>2455</v>
      </c>
      <c r="E26" t="s">
        <v>2481</v>
      </c>
      <c r="F26" t="s">
        <v>2447</v>
      </c>
      <c r="G26" t="s">
        <v>1679</v>
      </c>
      <c r="H26" t="s">
        <v>10</v>
      </c>
      <c r="I26">
        <v>2</v>
      </c>
      <c r="J26">
        <v>0</v>
      </c>
      <c r="K26">
        <v>13</v>
      </c>
      <c r="L26" s="8">
        <f t="shared" si="0"/>
        <v>2</v>
      </c>
      <c r="M26" s="8">
        <f t="shared" si="1"/>
        <v>2</v>
      </c>
      <c r="N26" s="8">
        <f t="shared" si="2"/>
        <v>26</v>
      </c>
      <c r="W26" s="8" t="str">
        <f t="shared" si="3"/>
        <v/>
      </c>
      <c r="X26" s="8" t="str">
        <f t="shared" si="4"/>
        <v/>
      </c>
      <c r="Y26" s="8" t="str">
        <f t="shared" si="5"/>
        <v/>
      </c>
      <c r="AH26" s="8" t="str">
        <f t="shared" si="6"/>
        <v/>
      </c>
      <c r="AI26" s="8" t="str">
        <f t="shared" si="7"/>
        <v/>
      </c>
      <c r="AJ26" s="8" t="str">
        <f t="shared" si="8"/>
        <v/>
      </c>
    </row>
    <row r="27" spans="1:36" x14ac:dyDescent="0.25">
      <c r="A27" t="s">
        <v>2432</v>
      </c>
      <c r="B27" s="3" t="s">
        <v>2264</v>
      </c>
      <c r="C27" s="3" t="s">
        <v>2343</v>
      </c>
      <c r="E27" t="s">
        <v>2316</v>
      </c>
      <c r="F27" t="s">
        <v>2447</v>
      </c>
      <c r="G27" t="s">
        <v>2317</v>
      </c>
      <c r="H27" t="s">
        <v>8</v>
      </c>
      <c r="I27">
        <v>1</v>
      </c>
      <c r="J27">
        <v>0</v>
      </c>
      <c r="K27">
        <v>0.5</v>
      </c>
      <c r="L27" s="8">
        <f t="shared" si="0"/>
        <v>1</v>
      </c>
      <c r="M27" s="8">
        <f t="shared" si="1"/>
        <v>1</v>
      </c>
      <c r="N27" s="8">
        <f t="shared" si="2"/>
        <v>0.5</v>
      </c>
      <c r="W27" s="8" t="str">
        <f t="shared" si="3"/>
        <v/>
      </c>
      <c r="X27" s="8" t="str">
        <f t="shared" si="4"/>
        <v/>
      </c>
      <c r="Y27" s="8" t="str">
        <f t="shared" si="5"/>
        <v/>
      </c>
      <c r="AH27" s="8" t="str">
        <f t="shared" si="6"/>
        <v/>
      </c>
      <c r="AI27" s="8" t="str">
        <f t="shared" si="7"/>
        <v/>
      </c>
      <c r="AJ27" s="8" t="str">
        <f t="shared" si="8"/>
        <v/>
      </c>
    </row>
    <row r="28" spans="1:36" x14ac:dyDescent="0.25">
      <c r="A28" s="3" t="s">
        <v>2427</v>
      </c>
      <c r="B28" s="3" t="s">
        <v>2344</v>
      </c>
      <c r="C28" s="3" t="s">
        <v>2456</v>
      </c>
      <c r="E28" t="s">
        <v>2482</v>
      </c>
      <c r="F28" t="s">
        <v>2448</v>
      </c>
      <c r="G28" t="s">
        <v>2198</v>
      </c>
      <c r="H28" t="s">
        <v>644</v>
      </c>
      <c r="I28">
        <v>1</v>
      </c>
      <c r="J28">
        <v>0</v>
      </c>
      <c r="K28">
        <v>160</v>
      </c>
      <c r="L28" s="8">
        <f t="shared" si="0"/>
        <v>1</v>
      </c>
      <c r="M28" s="8">
        <f t="shared" si="1"/>
        <v>1</v>
      </c>
      <c r="N28" s="8">
        <f t="shared" si="2"/>
        <v>160</v>
      </c>
      <c r="W28" s="8" t="str">
        <f t="shared" si="3"/>
        <v/>
      </c>
      <c r="X28" s="8" t="str">
        <f t="shared" si="4"/>
        <v/>
      </c>
      <c r="Y28" s="8" t="str">
        <f t="shared" si="5"/>
        <v/>
      </c>
      <c r="AH28" s="8" t="str">
        <f t="shared" si="6"/>
        <v/>
      </c>
      <c r="AI28" s="8" t="str">
        <f t="shared" si="7"/>
        <v/>
      </c>
      <c r="AJ28" s="8" t="str">
        <f t="shared" si="8"/>
        <v/>
      </c>
    </row>
    <row r="29" spans="1:36" x14ac:dyDescent="0.25">
      <c r="A29" s="3" t="s">
        <v>2433</v>
      </c>
      <c r="B29" s="3" t="s">
        <v>2266</v>
      </c>
      <c r="C29" s="3" t="s">
        <v>2267</v>
      </c>
      <c r="E29" t="s">
        <v>2483</v>
      </c>
      <c r="F29" t="s">
        <v>2448</v>
      </c>
      <c r="G29" t="s">
        <v>2320</v>
      </c>
      <c r="H29" t="s">
        <v>2321</v>
      </c>
      <c r="I29">
        <v>1</v>
      </c>
      <c r="J29">
        <v>0</v>
      </c>
      <c r="K29">
        <v>330</v>
      </c>
      <c r="L29" s="8">
        <f t="shared" si="0"/>
        <v>1</v>
      </c>
      <c r="M29" s="8">
        <f t="shared" si="1"/>
        <v>1</v>
      </c>
      <c r="N29" s="8">
        <f t="shared" si="2"/>
        <v>330</v>
      </c>
      <c r="W29" s="8" t="str">
        <f t="shared" si="3"/>
        <v/>
      </c>
      <c r="X29" s="8" t="str">
        <f t="shared" si="4"/>
        <v/>
      </c>
      <c r="Y29" s="8" t="str">
        <f t="shared" si="5"/>
        <v/>
      </c>
      <c r="AH29" s="8" t="str">
        <f t="shared" si="6"/>
        <v/>
      </c>
      <c r="AI29" s="8" t="str">
        <f t="shared" si="7"/>
        <v/>
      </c>
      <c r="AJ29" s="8" t="str">
        <f t="shared" si="8"/>
        <v/>
      </c>
    </row>
    <row r="30" spans="1:36" x14ac:dyDescent="0.25">
      <c r="A30" s="3" t="s">
        <v>2427</v>
      </c>
      <c r="B30" s="3" t="s">
        <v>2347</v>
      </c>
      <c r="C30" s="3" t="s">
        <v>2457</v>
      </c>
      <c r="E30" t="s">
        <v>2484</v>
      </c>
      <c r="F30" t="s">
        <v>2448</v>
      </c>
      <c r="G30" t="s">
        <v>1219</v>
      </c>
      <c r="H30" t="s">
        <v>28</v>
      </c>
      <c r="I30">
        <v>1</v>
      </c>
      <c r="J30">
        <v>0</v>
      </c>
      <c r="K30">
        <v>94</v>
      </c>
      <c r="L30" s="8">
        <f t="shared" si="0"/>
        <v>1</v>
      </c>
      <c r="M30" s="8">
        <f t="shared" si="1"/>
        <v>1</v>
      </c>
      <c r="N30" s="8">
        <f t="shared" si="2"/>
        <v>94</v>
      </c>
      <c r="W30" s="8" t="str">
        <f t="shared" si="3"/>
        <v/>
      </c>
      <c r="X30" s="8" t="str">
        <f t="shared" si="4"/>
        <v/>
      </c>
      <c r="Y30" s="8" t="str">
        <f t="shared" si="5"/>
        <v/>
      </c>
      <c r="AH30" s="8" t="str">
        <f t="shared" si="6"/>
        <v/>
      </c>
      <c r="AI30" s="8" t="str">
        <f t="shared" si="7"/>
        <v/>
      </c>
      <c r="AJ30" s="8" t="str">
        <f t="shared" si="8"/>
        <v/>
      </c>
    </row>
    <row r="31" spans="1:36" x14ac:dyDescent="0.25">
      <c r="A31" s="3" t="s">
        <v>2434</v>
      </c>
      <c r="B31" s="3" t="s">
        <v>2269</v>
      </c>
      <c r="C31" s="3" t="s">
        <v>2270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2424</v>
      </c>
      <c r="B32" s="3" t="s">
        <v>2350</v>
      </c>
      <c r="C32" s="3" t="s">
        <v>2351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2427</v>
      </c>
      <c r="B33" s="3" t="s">
        <v>2352</v>
      </c>
      <c r="C33" s="3" t="s">
        <v>2353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2424</v>
      </c>
      <c r="B34" s="3" t="s">
        <v>496</v>
      </c>
      <c r="C34" s="3" t="s">
        <v>2458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2424</v>
      </c>
      <c r="B35" s="3" t="s">
        <v>603</v>
      </c>
      <c r="C35" s="3" t="s">
        <v>2459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2424</v>
      </c>
      <c r="B36" s="3" t="s">
        <v>605</v>
      </c>
      <c r="C36" s="3" t="s">
        <v>2460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2424</v>
      </c>
      <c r="B37" s="3" t="s">
        <v>2435</v>
      </c>
      <c r="C37" s="3" t="s">
        <v>2436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2437</v>
      </c>
      <c r="B38" s="3" t="s">
        <v>2438</v>
      </c>
      <c r="C38" s="3" t="s">
        <v>1988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2437</v>
      </c>
      <c r="B39" s="3" t="s">
        <v>2439</v>
      </c>
      <c r="C39" s="3" t="s">
        <v>655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2437</v>
      </c>
      <c r="B40" s="3" t="s">
        <v>2440</v>
      </c>
      <c r="C40" s="3" t="s">
        <v>656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2424</v>
      </c>
      <c r="B41" s="3" t="s">
        <v>2441</v>
      </c>
      <c r="C41" s="3" t="s">
        <v>2461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2437</v>
      </c>
      <c r="B42" s="3" t="s">
        <v>2360</v>
      </c>
      <c r="C42" s="3" t="s">
        <v>477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2424</v>
      </c>
      <c r="B43" s="3" t="s">
        <v>2363</v>
      </c>
      <c r="C43" s="3" t="s">
        <v>2462</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2442</v>
      </c>
      <c r="B44" s="3" t="s">
        <v>2272</v>
      </c>
      <c r="C44" s="3" t="s">
        <v>2273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2427</v>
      </c>
      <c r="B45" s="3" t="s">
        <v>2366</v>
      </c>
      <c r="C45" s="3" t="s">
        <v>2463</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2427</v>
      </c>
      <c r="B46" s="3" t="s">
        <v>2369</v>
      </c>
      <c r="C46" s="3" t="s">
        <v>2370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2424</v>
      </c>
      <c r="B47" s="3" t="s">
        <v>2274</v>
      </c>
      <c r="C47" s="3" t="s">
        <v>2464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2424</v>
      </c>
      <c r="B48" s="3" t="s">
        <v>2275</v>
      </c>
      <c r="C48" s="3" t="s">
        <v>2465</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2443</v>
      </c>
      <c r="B49" s="3" t="s">
        <v>2277</v>
      </c>
      <c r="C49" s="3" t="s">
        <v>2278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2427</v>
      </c>
      <c r="B50" s="3" t="s">
        <v>2375</v>
      </c>
      <c r="C50" s="3" t="s">
        <v>2466</v>
      </c>
    </row>
    <row r="51" spans="1:36" x14ac:dyDescent="0.25">
      <c r="A51" s="3" t="s">
        <v>2444</v>
      </c>
      <c r="B51" s="3" t="s">
        <v>2280</v>
      </c>
      <c r="C51" s="3" t="s">
        <v>2281</v>
      </c>
    </row>
    <row r="52" spans="1:36" x14ac:dyDescent="0.25">
      <c r="A52" s="3" t="s">
        <v>2424</v>
      </c>
      <c r="B52" s="3" t="s">
        <v>2378</v>
      </c>
      <c r="C52" s="3" t="s">
        <v>2467</v>
      </c>
    </row>
    <row r="53" spans="1:36" x14ac:dyDescent="0.25">
      <c r="A53" s="3" t="s">
        <v>2424</v>
      </c>
      <c r="B53" s="3" t="s">
        <v>2381</v>
      </c>
      <c r="C53" s="3" t="s">
        <v>2282</v>
      </c>
    </row>
    <row r="54" spans="1:36" x14ac:dyDescent="0.25">
      <c r="A54" s="3" t="s">
        <v>2424</v>
      </c>
      <c r="B54" s="3" t="s">
        <v>2382</v>
      </c>
      <c r="C54" s="3" t="s">
        <v>2445</v>
      </c>
    </row>
    <row r="55" spans="1:36" x14ac:dyDescent="0.25">
      <c r="A55" s="3" t="s">
        <v>2427</v>
      </c>
      <c r="B55" s="3" t="s">
        <v>2383</v>
      </c>
      <c r="C55" s="3" t="s">
        <v>2384</v>
      </c>
    </row>
    <row r="56" spans="1:36" x14ac:dyDescent="0.25">
      <c r="A56" s="3" t="s">
        <v>2424</v>
      </c>
      <c r="B56" s="3" t="s">
        <v>2284</v>
      </c>
      <c r="C56" s="3" t="s">
        <v>2285</v>
      </c>
    </row>
    <row r="57" spans="1:36" x14ac:dyDescent="0.25">
      <c r="A57" s="3" t="s">
        <v>2424</v>
      </c>
      <c r="B57" s="3" t="s">
        <v>2286</v>
      </c>
      <c r="C57" s="3" t="s">
        <v>2287</v>
      </c>
    </row>
    <row r="58" spans="1:36" x14ac:dyDescent="0.25">
      <c r="A58" s="3" t="s">
        <v>2424</v>
      </c>
      <c r="B58" s="3" t="s">
        <v>2288</v>
      </c>
      <c r="C58" s="3" t="s">
        <v>2446</v>
      </c>
    </row>
    <row r="59" spans="1:36" x14ac:dyDescent="0.25">
      <c r="A59" s="3" t="s">
        <v>2447</v>
      </c>
      <c r="B59" s="3" t="s">
        <v>2291</v>
      </c>
      <c r="C59" s="3" t="s">
        <v>2292</v>
      </c>
    </row>
    <row r="60" spans="1:36" x14ac:dyDescent="0.25">
      <c r="A60" s="3" t="s">
        <v>2424</v>
      </c>
      <c r="B60" s="3" t="s">
        <v>1572</v>
      </c>
      <c r="C60" s="3" t="s">
        <v>2293</v>
      </c>
    </row>
    <row r="61" spans="1:36" x14ac:dyDescent="0.25">
      <c r="A61" s="3" t="s">
        <v>2427</v>
      </c>
      <c r="B61" s="3" t="s">
        <v>2385</v>
      </c>
      <c r="C61" s="3" t="s">
        <v>2386</v>
      </c>
    </row>
    <row r="62" spans="1:36" x14ac:dyDescent="0.25">
      <c r="A62" s="3" t="s">
        <v>2427</v>
      </c>
      <c r="B62" s="3" t="s">
        <v>2387</v>
      </c>
      <c r="C62" s="3" t="s">
        <v>2388</v>
      </c>
    </row>
    <row r="63" spans="1:36" x14ac:dyDescent="0.25">
      <c r="A63" s="3" t="s">
        <v>2448</v>
      </c>
      <c r="B63" s="3" t="s">
        <v>1729</v>
      </c>
      <c r="C63" s="3" t="s">
        <v>2295</v>
      </c>
    </row>
    <row r="64" spans="1:36" x14ac:dyDescent="0.25">
      <c r="A64" s="3" t="s">
        <v>2424</v>
      </c>
      <c r="B64" s="3" t="s">
        <v>2296</v>
      </c>
      <c r="C64" s="3" t="s">
        <v>2297</v>
      </c>
    </row>
    <row r="65" spans="1:3" x14ac:dyDescent="0.25">
      <c r="A65" s="3" t="s">
        <v>2449</v>
      </c>
      <c r="B65" s="3" t="s">
        <v>2450</v>
      </c>
      <c r="C65" s="3" t="s">
        <v>2468</v>
      </c>
    </row>
    <row r="66" spans="1:3" x14ac:dyDescent="0.25">
      <c r="A66" s="3" t="s">
        <v>2451</v>
      </c>
      <c r="B66" s="3" t="s">
        <v>2299</v>
      </c>
      <c r="C66" s="3" t="s">
        <v>2300</v>
      </c>
    </row>
    <row r="67" spans="1:3" x14ac:dyDescent="0.25">
      <c r="A67" s="3" t="s">
        <v>2452</v>
      </c>
      <c r="B67" s="3" t="s">
        <v>2453</v>
      </c>
      <c r="C67" s="3" t="s">
        <v>2454</v>
      </c>
    </row>
  </sheetData>
  <mergeCells count="4">
    <mergeCell ref="A1:C1"/>
    <mergeCell ref="E1:K1"/>
    <mergeCell ref="P1:V1"/>
    <mergeCell ref="AA1:AG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SummaryHelper</vt:lpstr>
      <vt:lpstr>README</vt:lpstr>
      <vt:lpstr>ProcurementHelper</vt:lpstr>
      <vt:lpstr>Procurement</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lpstr>S18</vt:lpstr>
      <vt:lpstr>S19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2026-04-03T23:54:59Z</dcterms:modified>
</cp:coreProperties>
</file>