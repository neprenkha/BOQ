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HOME-SERVER\k\Client Sharing Storage\KERJA\QUOTATION\belum quote\Surau Al Ihsan Desa Vista\EXTEND\SIZE BARU\"/>
    </mc:Choice>
  </mc:AlternateContent>
  <xr:revisionPtr revIDLastSave="0" documentId="8_{95BD38F7-26D3-4BAF-A9A3-EB7F2B5F936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ADME" sheetId="16" r:id="rId1"/>
    <sheet name="Archive_A" sheetId="13" state="hidden" r:id="rId2"/>
    <sheet name="Summary" sheetId="12" r:id="rId3"/>
    <sheet name="S01" sheetId="2" r:id="rId4"/>
    <sheet name="S02" sheetId="7" r:id="rId5"/>
    <sheet name="S03" sheetId="8" r:id="rId6"/>
    <sheet name="S04" sheetId="9" r:id="rId7"/>
    <sheet name="S05" sheetId="10" r:id="rId8"/>
    <sheet name="S06" sheetId="11" r:id="rId9"/>
    <sheet name="Scope 2" sheetId="3" state="hidden" r:id="rId10"/>
    <sheet name="Scope 3" sheetId="4" state="hidden" r:id="rId11"/>
    <sheet name="Scope 4" sheetId="1" state="hidden" r:id="rId12"/>
    <sheet name="Scope 5" sheetId="5" state="hidden" r:id="rId13"/>
    <sheet name="Scope 6" sheetId="6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AK5" i="8"/>
  <c r="AB5" i="8"/>
  <c r="T3" i="8"/>
  <c r="T4" i="8"/>
  <c r="T5" i="8"/>
  <c r="T6" i="8"/>
  <c r="T7" i="8"/>
  <c r="T8" i="8"/>
  <c r="T9" i="8"/>
  <c r="E4" i="12" a="1"/>
  <c r="E20" i="12" a="1"/>
  <c r="E36" i="12" a="1"/>
  <c r="E46" i="12" a="1"/>
  <c r="E5" i="12" a="1"/>
  <c r="E37" i="12" a="1"/>
  <c r="E38" i="12" a="1"/>
  <c r="E11" i="12" a="1"/>
  <c r="E29" i="12" a="1"/>
  <c r="E33" i="12" a="1"/>
  <c r="E21" i="12" a="1"/>
  <c r="E45" i="12" a="1"/>
  <c r="E22" i="12" a="1"/>
  <c r="E14" i="12" a="1"/>
  <c r="E19" i="12" a="1"/>
  <c r="E6" i="12" a="1"/>
  <c r="E30" i="12" a="1"/>
  <c r="E23" i="12" a="1"/>
  <c r="E39" i="12" a="1"/>
  <c r="E41" i="12" a="1"/>
  <c r="E26" i="12" a="1"/>
  <c r="E12" i="12" a="1"/>
  <c r="E48" i="12" a="1"/>
  <c r="E7" i="12" a="1"/>
  <c r="E27" i="12" a="1"/>
  <c r="E15" i="12" a="1"/>
  <c r="E24" i="12" a="1"/>
  <c r="E40" i="12" a="1"/>
  <c r="E42" i="12" a="1"/>
  <c r="E44" i="12" a="1"/>
  <c r="E49" i="12" a="1"/>
  <c r="E8" i="12" a="1"/>
  <c r="E13" i="12" a="1"/>
  <c r="E32" i="12" a="1"/>
  <c r="E35" i="12" a="1"/>
  <c r="E25" i="12" a="1"/>
  <c r="E31" i="12" a="1"/>
  <c r="E18" i="12" a="1"/>
  <c r="E9" i="12" a="1"/>
  <c r="E47" i="12" a="1"/>
  <c r="E28" i="12" a="1"/>
  <c r="E10" i="12" a="1"/>
  <c r="E34" i="12" a="1"/>
  <c r="E16" i="12" a="1"/>
  <c r="E43" i="12" a="1"/>
  <c r="E17" i="12" a="1"/>
  <c r="E3" i="12" a="1"/>
  <c r="D4" i="12" a="1"/>
  <c r="D20" i="12" a="1"/>
  <c r="D36" i="12" a="1"/>
  <c r="D37" i="12" a="1"/>
  <c r="D24" i="12" a="1"/>
  <c r="D9" i="12" a="1"/>
  <c r="D41" i="12" a="1"/>
  <c r="D26" i="12" a="1"/>
  <c r="D43" i="12" a="1"/>
  <c r="D44" i="12" a="1"/>
  <c r="D30" i="12" a="1"/>
  <c r="D16" i="12" a="1"/>
  <c r="D18" i="12" a="1"/>
  <c r="D21" i="12" a="1"/>
  <c r="D31" i="12" a="1"/>
  <c r="D49" i="12" a="1"/>
  <c r="D19" i="12" a="1"/>
  <c r="D5" i="12" a="1"/>
  <c r="D12" i="12" a="1"/>
  <c r="D46" i="12" a="1"/>
  <c r="D35" i="12" a="1"/>
  <c r="D29" i="12" a="1"/>
  <c r="D6" i="12" a="1"/>
  <c r="D22" i="12" a="1"/>
  <c r="D38" i="12" a="1"/>
  <c r="D40" i="12" a="1"/>
  <c r="D25" i="12" a="1"/>
  <c r="D42" i="12" a="1"/>
  <c r="D48" i="12" a="1"/>
  <c r="D34" i="12" a="1"/>
  <c r="D23" i="12" a="1"/>
  <c r="D27" i="12" a="1"/>
  <c r="D14" i="12" a="1"/>
  <c r="D7" i="12" a="1"/>
  <c r="D39" i="12" a="1"/>
  <c r="D45" i="12" a="1"/>
  <c r="D15" i="12" a="1"/>
  <c r="D17" i="12" a="1"/>
  <c r="D11" i="12" a="1"/>
  <c r="D8" i="12" a="1"/>
  <c r="D13" i="12" a="1"/>
  <c r="D32" i="12" a="1"/>
  <c r="D10" i="12" a="1"/>
  <c r="D28" i="12" a="1"/>
  <c r="D47" i="12" a="1"/>
  <c r="D33" i="12" a="1"/>
  <c r="D3" i="12" a="1"/>
  <c r="C4" i="12" a="1"/>
  <c r="C20" i="12" a="1"/>
  <c r="C36" i="12" a="1"/>
  <c r="C41" i="12" a="1"/>
  <c r="C26" i="12" a="1"/>
  <c r="C27" i="12" a="1"/>
  <c r="C13" i="12" a="1"/>
  <c r="C14" i="12" a="1"/>
  <c r="C15" i="12" a="1"/>
  <c r="C33" i="12" a="1"/>
  <c r="C19" i="12" a="1"/>
  <c r="C21" i="12" a="1"/>
  <c r="C37" i="12" a="1"/>
  <c r="C22" i="12" a="1"/>
  <c r="C23" i="12" a="1"/>
  <c r="C24" i="12" a="1"/>
  <c r="C25" i="12" a="1"/>
  <c r="C42" i="12" a="1"/>
  <c r="C11" i="12" a="1"/>
  <c r="C29" i="12" a="1"/>
  <c r="C30" i="12" a="1"/>
  <c r="C31" i="12" a="1"/>
  <c r="C17" i="12" a="1"/>
  <c r="C18" i="12" a="1"/>
  <c r="C5" i="12" a="1"/>
  <c r="C38" i="12" a="1"/>
  <c r="C39" i="12" a="1"/>
  <c r="C40" i="12" a="1"/>
  <c r="C9" i="12" a="1"/>
  <c r="C10" i="12" a="1"/>
  <c r="C43" i="12" a="1"/>
  <c r="C12" i="12" a="1"/>
  <c r="C46" i="12" a="1"/>
  <c r="C32" i="12" a="1"/>
  <c r="C48" i="12" a="1"/>
  <c r="C6" i="12" a="1"/>
  <c r="C28" i="12" a="1"/>
  <c r="C7" i="12" a="1"/>
  <c r="C45" i="12" a="1"/>
  <c r="C47" i="12" a="1"/>
  <c r="C16" i="12" a="1"/>
  <c r="C49" i="12" a="1"/>
  <c r="C35" i="12" a="1"/>
  <c r="C44" i="12" a="1"/>
  <c r="C34" i="12" a="1"/>
  <c r="C8" i="12" a="1"/>
  <c r="C3" i="12" a="1"/>
  <c r="B4" i="12" a="1"/>
  <c r="B20" i="12" a="1"/>
  <c r="B36" i="12" a="1"/>
  <c r="B37" i="12" a="1"/>
  <c r="B38" i="12" a="1"/>
  <c r="B26" i="12" a="1"/>
  <c r="B45" i="12" a="1"/>
  <c r="B47" i="12" a="1"/>
  <c r="B33" i="12" a="1"/>
  <c r="B21" i="12" a="1"/>
  <c r="B41" i="12" a="1"/>
  <c r="B43" i="12" a="1"/>
  <c r="B13" i="12" a="1"/>
  <c r="B5" i="12" a="1"/>
  <c r="B19" i="12" a="1"/>
  <c r="B22" i="12" a="1"/>
  <c r="B29" i="12" a="1"/>
  <c r="B49" i="12" a="1"/>
  <c r="B6" i="12" a="1"/>
  <c r="B23" i="12" a="1"/>
  <c r="B40" i="12" a="1"/>
  <c r="B11" i="12" a="1"/>
  <c r="B28" i="12" a="1"/>
  <c r="B14" i="12" a="1"/>
  <c r="B31" i="12" a="1"/>
  <c r="B17" i="12" a="1"/>
  <c r="B7" i="12" a="1"/>
  <c r="B39" i="12" a="1"/>
  <c r="B25" i="12" a="1"/>
  <c r="B10" i="12" a="1"/>
  <c r="B27" i="12" a="1"/>
  <c r="B44" i="12" a="1"/>
  <c r="B30" i="12" a="1"/>
  <c r="B16" i="12" a="1"/>
  <c r="B35" i="12" a="1"/>
  <c r="B24" i="12" a="1"/>
  <c r="B42" i="12" a="1"/>
  <c r="B12" i="12" a="1"/>
  <c r="B48" i="12" a="1"/>
  <c r="B8" i="12" a="1"/>
  <c r="B34" i="12" a="1"/>
  <c r="B18" i="12" a="1"/>
  <c r="B9" i="12" a="1"/>
  <c r="B46" i="12" a="1"/>
  <c r="B15" i="12" a="1"/>
  <c r="B32" i="12" a="1"/>
  <c r="B3" i="12" a="1"/>
  <c r="E17" i="12" l="1"/>
  <c r="E43" i="12"/>
  <c r="E16" i="12"/>
  <c r="E34" i="12"/>
  <c r="E10" i="12"/>
  <c r="E28" i="12"/>
  <c r="E47" i="12"/>
  <c r="E9" i="12"/>
  <c r="E18" i="12"/>
  <c r="E31" i="12"/>
  <c r="E25" i="12"/>
  <c r="E35" i="12"/>
  <c r="E32" i="12"/>
  <c r="E13" i="12"/>
  <c r="E8" i="12"/>
  <c r="E49" i="12"/>
  <c r="E44" i="12"/>
  <c r="E42" i="12"/>
  <c r="E40" i="12"/>
  <c r="E24" i="12"/>
  <c r="E15" i="12"/>
  <c r="E27" i="12"/>
  <c r="E7" i="12"/>
  <c r="E48" i="12"/>
  <c r="E12" i="12"/>
  <c r="E26" i="12"/>
  <c r="E41" i="12"/>
  <c r="E39" i="12"/>
  <c r="E23" i="12"/>
  <c r="E30" i="12"/>
  <c r="E6" i="12"/>
  <c r="E19" i="12"/>
  <c r="E14" i="12"/>
  <c r="E22" i="12"/>
  <c r="E45" i="12"/>
  <c r="E21" i="12"/>
  <c r="E33" i="12"/>
  <c r="E29" i="12"/>
  <c r="E11" i="12"/>
  <c r="E38" i="12"/>
  <c r="E37" i="12"/>
  <c r="E5" i="12"/>
  <c r="E46" i="12"/>
  <c r="E36" i="12"/>
  <c r="E20" i="12"/>
  <c r="E4" i="12"/>
  <c r="E3" i="12"/>
  <c r="D33" i="12"/>
  <c r="D47" i="12"/>
  <c r="D28" i="12"/>
  <c r="D10" i="12"/>
  <c r="D32" i="12"/>
  <c r="D13" i="12"/>
  <c r="D8" i="12"/>
  <c r="D11" i="12"/>
  <c r="D17" i="12"/>
  <c r="D15" i="12"/>
  <c r="D45" i="12"/>
  <c r="D39" i="12"/>
  <c r="D7" i="12"/>
  <c r="D14" i="12"/>
  <c r="D27" i="12"/>
  <c r="D23" i="12"/>
  <c r="D34" i="12"/>
  <c r="D48" i="12"/>
  <c r="D42" i="12"/>
  <c r="D25" i="12"/>
  <c r="D40" i="12"/>
  <c r="D38" i="12"/>
  <c r="D22" i="12"/>
  <c r="D6" i="12"/>
  <c r="D29" i="12"/>
  <c r="D35" i="12"/>
  <c r="D46" i="12"/>
  <c r="D12" i="12"/>
  <c r="D5" i="12"/>
  <c r="D19" i="12"/>
  <c r="D49" i="12"/>
  <c r="D31" i="12"/>
  <c r="D21" i="12"/>
  <c r="D18" i="12"/>
  <c r="D16" i="12"/>
  <c r="D30" i="12"/>
  <c r="D44" i="12"/>
  <c r="D43" i="12"/>
  <c r="D26" i="12"/>
  <c r="D41" i="12"/>
  <c r="D9" i="12"/>
  <c r="D24" i="12"/>
  <c r="D37" i="12"/>
  <c r="D36" i="12"/>
  <c r="D20" i="12"/>
  <c r="D4" i="12"/>
  <c r="D3" i="12"/>
  <c r="C8" i="12"/>
  <c r="C34" i="12"/>
  <c r="C44" i="12"/>
  <c r="C35" i="12"/>
  <c r="C49" i="12"/>
  <c r="C16" i="12"/>
  <c r="C47" i="12"/>
  <c r="C45" i="12"/>
  <c r="C7" i="12"/>
  <c r="C28" i="12"/>
  <c r="C6" i="12"/>
  <c r="C48" i="12"/>
  <c r="C32" i="12"/>
  <c r="C46" i="12"/>
  <c r="C12" i="12"/>
  <c r="C43" i="12"/>
  <c r="C10" i="12"/>
  <c r="C9" i="12"/>
  <c r="C40" i="12"/>
  <c r="C39" i="12"/>
  <c r="C38" i="12"/>
  <c r="F38" i="12" s="1"/>
  <c r="C5" i="12"/>
  <c r="C18" i="12"/>
  <c r="F18" i="12" s="1"/>
  <c r="C17" i="12"/>
  <c r="C31" i="12"/>
  <c r="C30" i="12"/>
  <c r="C29" i="12"/>
  <c r="F29" i="12" s="1"/>
  <c r="C11" i="12"/>
  <c r="C42" i="12"/>
  <c r="C25" i="12"/>
  <c r="C24" i="12"/>
  <c r="C23" i="12"/>
  <c r="C22" i="12"/>
  <c r="C37" i="12"/>
  <c r="C21" i="12"/>
  <c r="C19" i="12"/>
  <c r="C33" i="12"/>
  <c r="C15" i="12"/>
  <c r="C14" i="12"/>
  <c r="C13" i="12"/>
  <c r="C27" i="12"/>
  <c r="C26" i="12"/>
  <c r="C41" i="12"/>
  <c r="C36" i="12"/>
  <c r="C20" i="12"/>
  <c r="C4" i="12"/>
  <c r="C3" i="12"/>
  <c r="B32" i="12"/>
  <c r="B15" i="12"/>
  <c r="B46" i="12"/>
  <c r="B9" i="12"/>
  <c r="B18" i="12"/>
  <c r="B34" i="12"/>
  <c r="B8" i="12"/>
  <c r="B48" i="12"/>
  <c r="B12" i="12"/>
  <c r="B42" i="12"/>
  <c r="B24" i="12"/>
  <c r="B35" i="12"/>
  <c r="B16" i="12"/>
  <c r="B30" i="12"/>
  <c r="B44" i="12"/>
  <c r="B27" i="12"/>
  <c r="B10" i="12"/>
  <c r="B25" i="12"/>
  <c r="B39" i="12"/>
  <c r="B7" i="12"/>
  <c r="B17" i="12"/>
  <c r="B31" i="12"/>
  <c r="B14" i="12"/>
  <c r="B28" i="12"/>
  <c r="B11" i="12"/>
  <c r="B40" i="12"/>
  <c r="B23" i="12"/>
  <c r="B6" i="12"/>
  <c r="B49" i="12"/>
  <c r="B29" i="12"/>
  <c r="B22" i="12"/>
  <c r="B19" i="12"/>
  <c r="B5" i="12"/>
  <c r="B13" i="12"/>
  <c r="B43" i="12"/>
  <c r="B41" i="12"/>
  <c r="B21" i="12"/>
  <c r="B33" i="12"/>
  <c r="B47" i="12"/>
  <c r="B45" i="12"/>
  <c r="B26" i="12"/>
  <c r="B38" i="12"/>
  <c r="B37" i="12"/>
  <c r="B36" i="12"/>
  <c r="B20" i="12"/>
  <c r="B4" i="12"/>
  <c r="B3" i="12"/>
  <c r="F25" i="12" l="1"/>
  <c r="F31" i="12"/>
  <c r="F5" i="12"/>
  <c r="F34" i="12"/>
  <c r="F22" i="12"/>
  <c r="F24" i="12"/>
  <c r="F11" i="12"/>
  <c r="F8" i="12"/>
  <c r="F46" i="12"/>
  <c r="F42" i="12"/>
  <c r="F37" i="12"/>
  <c r="F12" i="12"/>
  <c r="F17" i="12"/>
  <c r="F4" i="12"/>
  <c r="F32" i="12"/>
  <c r="F48" i="12"/>
  <c r="F6" i="12"/>
  <c r="F30" i="12"/>
  <c r="F28" i="12"/>
  <c r="F43" i="12"/>
  <c r="F27" i="12"/>
  <c r="F7" i="12"/>
  <c r="F26" i="12"/>
  <c r="F13" i="12"/>
  <c r="F45" i="12"/>
  <c r="F40" i="12"/>
  <c r="F10" i="12"/>
  <c r="F14" i="12"/>
  <c r="F47" i="12"/>
  <c r="F23" i="12"/>
  <c r="F9" i="12"/>
  <c r="F36" i="12"/>
  <c r="F15" i="12"/>
  <c r="F16" i="12"/>
  <c r="F20" i="12"/>
  <c r="F33" i="12"/>
  <c r="F49" i="12"/>
  <c r="F41" i="12"/>
  <c r="F19" i="12"/>
  <c r="F35" i="12"/>
  <c r="F39" i="12"/>
  <c r="F21" i="12"/>
  <c r="F44" i="12"/>
  <c r="F3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<sst xmlns="http://schemas.openxmlformats.org/spreadsheetml/2006/main" count="1925" uniqueCount="1207">
  <si>
    <t>Scope</t>
  </si>
  <si>
    <t>Item</t>
  </si>
  <si>
    <t>Spec</t>
  </si>
  <si>
    <t>UOM</t>
  </si>
  <si>
    <t>Base Qty</t>
  </si>
  <si>
    <t>Waste%</t>
  </si>
  <si>
    <t>Final Qty</t>
  </si>
  <si>
    <t>Basis/Notes</t>
  </si>
  <si>
    <t>Scope 4</t>
  </si>
  <si>
    <t>Preparation only</t>
  </si>
  <si>
    <t>Setting out / minor tools</t>
  </si>
  <si>
    <t>lot</t>
  </si>
  <si>
    <t>Full fence BOQ excluded (client already has)</t>
  </si>
  <si>
    <t>pcs</t>
  </si>
  <si>
    <t>20kg bag, 5.0 kg/sqm</t>
  </si>
  <si>
    <t>bag</t>
  </si>
  <si>
    <t>Tile grout</t>
  </si>
  <si>
    <t>5kg bag, 0.192 kg/sqm</t>
  </si>
  <si>
    <t>BRC A7 mesh</t>
  </si>
  <si>
    <t>13.2 sqm/sheet</t>
  </si>
  <si>
    <t>sheet</t>
  </si>
  <si>
    <t>Wuduk demo concrete removal</t>
  </si>
  <si>
    <t>5ft x 12ft x 6in</t>
  </si>
  <si>
    <t>m3</t>
  </si>
  <si>
    <t>Scope 2</t>
  </si>
  <si>
    <t>Tile 300x600 (floor)</t>
  </si>
  <si>
    <t>Floor area locked 800 sqft</t>
  </si>
  <si>
    <t>74.322 sqm / 0.18, then +10%</t>
  </si>
  <si>
    <t>Tile adhesive thinset (floor)</t>
  </si>
  <si>
    <t>CEIL((74.322x5.0x1.10)/20)</t>
  </si>
  <si>
    <t>Tile grout (floor)</t>
  </si>
  <si>
    <t>CEIL((74.322x0.192x1.10)/5)</t>
  </si>
  <si>
    <t>BRC A7 mesh (floor only)</t>
  </si>
  <si>
    <t>CEIL((74.322x1.05)/13.2)</t>
  </si>
  <si>
    <t>Build-up to screed underside</t>
  </si>
  <si>
    <t>Thickness 0.2517m</t>
  </si>
  <si>
    <t>74.322 x 0.2517</t>
  </si>
  <si>
    <t>Cement brick build-up allowance</t>
  </si>
  <si>
    <t>brick_ratio 0.40</t>
  </si>
  <si>
    <t>18.709 x 0.40 x 1.10</t>
  </si>
  <si>
    <t>Screed/concrete infill allowance</t>
  </si>
  <si>
    <t>infill_ratio 0.60</t>
  </si>
  <si>
    <t>18.709 x 0.60 x 1.10</t>
  </si>
  <si>
    <t>Skirting Option A area</t>
  </si>
  <si>
    <t>Run 12.960m x height 0.203m</t>
  </si>
  <si>
    <t>sqm</t>
  </si>
  <si>
    <t>Locked run; option height 8in (203mm)</t>
  </si>
  <si>
    <t>Skirting Option A tiles</t>
  </si>
  <si>
    <t>300x600</t>
  </si>
  <si>
    <t>CEIL((2.63088/0.18) x 1.10)</t>
  </si>
  <si>
    <t>Skirting Option A adhesive</t>
  </si>
  <si>
    <t>20kg bag</t>
  </si>
  <si>
    <t>CEIL((2.63088 x 5.0 x 1.10)/20)</t>
  </si>
  <si>
    <t>Skirting Option A grout</t>
  </si>
  <si>
    <t>5kg bag</t>
  </si>
  <si>
    <t>CEIL((2.63088 x 0.192 x 1.10)/5)</t>
  </si>
  <si>
    <t>Skirting Option B area</t>
  </si>
  <si>
    <t>Run 12.960m x height 0.305m</t>
  </si>
  <si>
    <t>Locked run; option height 12in (305mm)</t>
  </si>
  <si>
    <t>Skirting Option B tiles</t>
  </si>
  <si>
    <t>CEIL((3.9528/0.18) x 1.10)</t>
  </si>
  <si>
    <t>Skirting Option B adhesive</t>
  </si>
  <si>
    <t>CEIL((3.9528 x 5.0 x 1.10)/20)</t>
  </si>
  <si>
    <t>Skirting Option B grout</t>
  </si>
  <si>
    <t>CEIL((3.9528 x 0.192 x 1.10)/5)</t>
  </si>
  <si>
    <t>Scope 3</t>
  </si>
  <si>
    <t>Concrete (2 pillars)</t>
  </si>
  <si>
    <t>300x300x1800mm each</t>
  </si>
  <si>
    <t>Base locked</t>
  </si>
  <si>
    <t>Y12 rebar</t>
  </si>
  <si>
    <t>Retained assumption</t>
  </si>
  <si>
    <t>kg</t>
  </si>
  <si>
    <t>Assumption retained</t>
  </si>
  <si>
    <t>R6 stirrups</t>
  </si>
  <si>
    <t>Formwork</t>
  </si>
  <si>
    <t>4 sides x 2 pillars</t>
  </si>
  <si>
    <t>m2</t>
  </si>
  <si>
    <t>Gate fixing plate</t>
  </si>
  <si>
    <t>200x200x10mm</t>
  </si>
  <si>
    <t>2 plates per pillar</t>
  </si>
  <si>
    <t>Chemical anchor bolts</t>
  </si>
  <si>
    <t>M14 complete set</t>
  </si>
  <si>
    <t>4 holes/plate x 4 plates</t>
  </si>
  <si>
    <t>Scope 5</t>
  </si>
  <si>
    <t>Surface cleaning/grinding</t>
  </si>
  <si>
    <t>Finishing-only slab</t>
  </si>
  <si>
    <t>Existing concrete slab; finishing only</t>
  </si>
  <si>
    <t>Patch repair mortar</t>
  </si>
  <si>
    <t>Defect dependent</t>
  </si>
  <si>
    <t>PENDING</t>
  </si>
  <si>
    <t>Yield pending; base area 18.378 sqm</t>
  </si>
  <si>
    <t>Bonding agent (optional)</t>
  </si>
  <si>
    <t>Coverage-based</t>
  </si>
  <si>
    <t>liter</t>
  </si>
  <si>
    <t>Coverage pending; base area 18.378 sqm</t>
  </si>
  <si>
    <t>Skim 1:3 cement (3mm)</t>
  </si>
  <si>
    <t>Density 1440 kg/m3</t>
  </si>
  <si>
    <t>Locked value</t>
  </si>
  <si>
    <t>Skim 1:3 sand (3mm)</t>
  </si>
  <si>
    <t>Dry factor 1.54</t>
  </si>
  <si>
    <t>Skim 1:3 cement (5mm)</t>
  </si>
  <si>
    <t>Skim 1:3 sand (5mm)</t>
  </si>
  <si>
    <t>Skim 1:3 cement (10mm)</t>
  </si>
  <si>
    <t>Skim 1:3 sand (10mm)</t>
  </si>
  <si>
    <t>Scope 6</t>
  </si>
  <si>
    <t>Metaldeck strip lengths sum (13 strips)</t>
  </si>
  <si>
    <t>G27 0.4mm, cover 762mm</t>
  </si>
  <si>
    <t>mm</t>
  </si>
  <si>
    <t>Base total run length</t>
  </si>
  <si>
    <t>Converted from mm</t>
  </si>
  <si>
    <t>m</t>
  </si>
  <si>
    <t>115772/1000</t>
  </si>
  <si>
    <t>Converted from m</t>
  </si>
  <si>
    <t>Fr</t>
  </si>
  <si>
    <t>115.772 x 3.28084</t>
  </si>
  <si>
    <t>Waste-adjusted total</t>
  </si>
  <si>
    <t>Default waste</t>
  </si>
  <si>
    <t>Base FR x 1.10</t>
  </si>
  <si>
    <t>Purchase length formula (gutter extension)</t>
  </si>
  <si>
    <t>Gutter direction extension only</t>
  </si>
  <si>
    <t>115772 + (13 x gutter_overhang_mm)</t>
  </si>
  <si>
    <t>gutter_overhang_mm pending</t>
  </si>
  <si>
    <t>Fasteners (roofing screws + washers)</t>
  </si>
  <si>
    <t>Screw density/spec pending</t>
  </si>
  <si>
    <t>Need screw_per_sqm or per strip standard</t>
  </si>
  <si>
    <t>Sealant + flashing</t>
  </si>
  <si>
    <t>Profile/edge details pending</t>
  </si>
  <si>
    <t>Need flashing edges/spec; sealant coverage pending</t>
  </si>
  <si>
    <t>Roof frame members (rafter/purlin/ledger/columns/bracing/plates/anchors)</t>
  </si>
  <si>
    <t>Member sizes/spacing pending</t>
  </si>
  <si>
    <t>Must be added for complete Scope 6</t>
  </si>
  <si>
    <t>Optional gutter</t>
  </si>
  <si>
    <t>Gutter length</t>
  </si>
  <si>
    <t>Optional item</t>
  </si>
  <si>
    <t>Gutter accessories (brackets/outlet/endcap/downpipe/clamps)</t>
  </si>
  <si>
    <t>Counts pending</t>
  </si>
  <si>
    <t>set</t>
  </si>
  <si>
    <t>Need outlet count + downpipe count/length</t>
  </si>
  <si>
    <t>Metaldeck strip 01</t>
  </si>
  <si>
    <t>Run length per strip</t>
  </si>
  <si>
    <t>Metaldeck strip 02</t>
  </si>
  <si>
    <t>Metaldeck strip 03</t>
  </si>
  <si>
    <t>Metaldeck strip 04</t>
  </si>
  <si>
    <t>Metaldeck strip 05</t>
  </si>
  <si>
    <t>Metaldeck strip 06</t>
  </si>
  <si>
    <t>Metaldeck strip 07</t>
  </si>
  <si>
    <t>Metaldeck strip 08</t>
  </si>
  <si>
    <t>Metaldeck strip 09</t>
  </si>
  <si>
    <t>Metaldeck strip 10</t>
  </si>
  <si>
    <t>Metaldeck strip 11</t>
  </si>
  <si>
    <t>Metaldeck strip 12</t>
  </si>
  <si>
    <t>Metaldeck strip 13</t>
  </si>
  <si>
    <t>Confirmed sum of 13 strips</t>
  </si>
  <si>
    <t>Notes</t>
  </si>
  <si>
    <t>Tile adhesive (thinset)</t>
  </si>
  <si>
    <t>Tile 300x600</t>
  </si>
  <si>
    <t>M1-B floor only</t>
  </si>
  <si>
    <t>Cement 50kg bag</t>
  </si>
  <si>
    <t>Disposal/haulage</t>
  </si>
  <si>
    <t>Tap head (brass/copper)</t>
  </si>
  <si>
    <t>Bib tap head</t>
  </si>
  <si>
    <t>bag (25kg)</t>
  </si>
  <si>
    <t>bag (20kg)</t>
  </si>
  <si>
    <t>Tap head</t>
  </si>
  <si>
    <t>Wuduk demo + loading</t>
  </si>
  <si>
    <t>1 tiler + 2 helpers</t>
  </si>
  <si>
    <t>Small volume</t>
  </si>
  <si>
    <t>Qty</t>
  </si>
  <si>
    <t>Small mixer (optional)</t>
  </si>
  <si>
    <t>day</t>
  </si>
  <si>
    <t>CEIL((30.900*1.05)/13.2)=3</t>
  </si>
  <si>
    <t>Wuduk Area Demolish, Retile, Rebuild new Tempat Wuduk</t>
  </si>
  <si>
    <t>3000 x 10300</t>
  </si>
  <si>
    <t>300 x 600</t>
  </si>
  <si>
    <t>13.2 sqm per sheet</t>
  </si>
  <si>
    <t>Worpro Tile Adhesive 25kg</t>
  </si>
  <si>
    <t>Bostik DryTile Grout 20kg</t>
  </si>
  <si>
    <t>Debris disposal</t>
  </si>
  <si>
    <t>PVC pipe run (inside wall/concrete)</t>
  </si>
  <si>
    <t>PVC pipe run + fittings + stop valve</t>
  </si>
  <si>
    <t>If not listed in 1.2, keep allowance line for pricing</t>
  </si>
  <si>
    <t>3 general workers</t>
  </si>
  <si>
    <t>Floor prep + BRC + tile + grout</t>
  </si>
  <si>
    <t>3 masons</t>
  </si>
  <si>
    <t>1 plumber + 1 helper</t>
  </si>
  <si>
    <t>Chipping/breaker set</t>
  </si>
  <si>
    <t>Tile adhesive thinset</t>
  </si>
  <si>
    <t>Waste default</t>
  </si>
  <si>
    <t>BRC waste</t>
  </si>
  <si>
    <t>Disposal transport</t>
  </si>
  <si>
    <t>Wuduk rebuild base works (site-mix)</t>
  </si>
  <si>
    <t>Numeric only</t>
  </si>
  <si>
    <t>Option A only</t>
  </si>
  <si>
    <t>25kg bag</t>
  </si>
  <si>
    <t>Option B only</t>
  </si>
  <si>
    <t>Brick build-up allowance</t>
  </si>
  <si>
    <t>Set level + build-up + infill</t>
  </si>
  <si>
    <t>18.709 m3</t>
  </si>
  <si>
    <t>BRC placement (floor)</t>
  </si>
  <si>
    <t>2 helpers</t>
  </si>
  <si>
    <t>Tile + grout floor</t>
  </si>
  <si>
    <t>Skirting install Option A</t>
  </si>
  <si>
    <t>2 tilers/helpers</t>
  </si>
  <si>
    <t>12.960 m</t>
  </si>
  <si>
    <t>Skirting install Option B</t>
  </si>
  <si>
    <t>Concrete/mortar mixer</t>
  </si>
  <si>
    <t>Self-mix build-up/infill</t>
  </si>
  <si>
    <t>Water hose/pump setup</t>
  </si>
  <si>
    <t>Mixing + curing support</t>
  </si>
  <si>
    <t>Scope Title</t>
  </si>
  <si>
    <t>Tile Size</t>
  </si>
  <si>
    <t>Grout Consumption</t>
  </si>
  <si>
    <t>Skirting Option A Height</t>
  </si>
  <si>
    <t>Skirting Option B Height</t>
  </si>
  <si>
    <t>Description</t>
  </si>
  <si>
    <t>Price/Unit (RM)</t>
  </si>
  <si>
    <t>Wastage/Buffer</t>
  </si>
  <si>
    <t>Total (RM)</t>
  </si>
  <si>
    <t>Note</t>
  </si>
  <si>
    <t>Tiles Area (mm)</t>
  </si>
  <si>
    <t>Tiles Area (sqm)</t>
  </si>
  <si>
    <t>Area per piece = 0.18 sqm</t>
  </si>
  <si>
    <t>Concrete method (Scope 1)</t>
  </si>
  <si>
    <t>Site-mix only (NOT ready-mix)</t>
  </si>
  <si>
    <t>Concrete mix ratio</t>
  </si>
  <si>
    <t>1:2:4 (cement:sand:aggregate)</t>
  </si>
  <si>
    <t>Dry factor</t>
  </si>
  <si>
    <t>Used for site-mix conversion</t>
  </si>
  <si>
    <t>As per earlier calc</t>
  </si>
  <si>
    <t>Pipe scope summary</t>
  </si>
  <si>
    <t>PVC inside concrete + fittings; tap head brass/copper</t>
  </si>
  <si>
    <t>Pipe run cap (assumption)</t>
  </si>
  <si>
    <t>Main connection nearby</t>
  </si>
  <si>
    <t>PVC fittings minimum set</t>
  </si>
  <si>
    <t>Elbow x4, Tee x2, Coupler x4, Stop valve x1</t>
  </si>
  <si>
    <t>S01 MATERIAL USAGE (QTY ONLY - NO RM)</t>
  </si>
  <si>
    <t>Final qty already includes 10% waste from 30.900 sqm</t>
  </si>
  <si>
    <t>Purchase qty converted: CEIL((30.900*5.0*1.10)/25)=7</t>
  </si>
  <si>
    <t>Purchase qty converted: CEIL((30.900*0.192*1.10)/20)=1</t>
  </si>
  <si>
    <t>6.0m x 2.2m sheet (13.2 sqm/sheet)</t>
  </si>
  <si>
    <t>Wuduk rebuild cement (site-mix)</t>
  </si>
  <si>
    <t>Based on 0.779 m3 concrete (volume already includes 10% waste); rounded up</t>
  </si>
  <si>
    <t>Wuduk rebuild sand (site-mix)</t>
  </si>
  <si>
    <t>Sand (bulk)</t>
  </si>
  <si>
    <t>Final includes 10% waste; purchase UOM conversion handled in pricing block if needed</t>
  </si>
  <si>
    <t>Wuduk rebuild aggregate (site-mix)</t>
  </si>
  <si>
    <t>Aggregate (bulk)</t>
  </si>
  <si>
    <t>Qty for removal handling</t>
  </si>
  <si>
    <t>Conversion to trip/roro/bin pending (keep qty)</t>
  </si>
  <si>
    <t>PVC pipe (allowance cap)</t>
  </si>
  <si>
    <t>Includes 10% buffer over 3m</t>
  </si>
  <si>
    <t>PVC fittings + stop valve bundle</t>
  </si>
  <si>
    <t>Minimum fitting set</t>
  </si>
  <si>
    <t>Brass/copper head only</t>
  </si>
  <si>
    <t>S01 MATERIAL STANDALONE / PRICING (RM)</t>
  </si>
  <si>
    <t>Rate from 1.2 Materials.txt</t>
  </si>
  <si>
    <t>Worpro tile adhesive 25kg</t>
  </si>
  <si>
    <t>Bostik DryTile grout 20kg</t>
  </si>
  <si>
    <t>BRC A7 sheet 6.0m x 2.2m</t>
  </si>
  <si>
    <t>OPC cement 50kg</t>
  </si>
  <si>
    <t>Wuduk rebuild sand (converted)</t>
  </si>
  <si>
    <t>Sand 20kg bag (conversion from 0.377 m3)</t>
  </si>
  <si>
    <t>Conversion: CEIL((0.377*1600)/20)=31; density editable in header</t>
  </si>
  <si>
    <t>Wuduk rebuild aggregate (converted)</t>
  </si>
  <si>
    <t>Aggregate 20kg bag (conversion from 0.755 m3)</t>
  </si>
  <si>
    <t>Conversion: CEIL((0.755*1500)/20)=57; density editable in header</t>
  </si>
  <si>
    <t>Demo/removal handling</t>
  </si>
  <si>
    <t>Rate not in 1.2; keep for later pricing</t>
  </si>
  <si>
    <t>Need disposal mode + unit rate (trip/roro/bin)</t>
  </si>
  <si>
    <t>PVC + fittings bundle</t>
  </si>
  <si>
    <t>S01 MATERIAL SUBTOTAL (priced items only)</t>
  </si>
  <si>
    <t>SUM of priced lines above; pending lines are zero-rated here</t>
  </si>
  <si>
    <t>S01 LABOUR (PLAN - DAYS)</t>
  </si>
  <si>
    <t>Productivity: 0.5 m3/day for 0.934 m3 (rounded)</t>
  </si>
  <si>
    <t>Productivity: 12 sqm/day for 30.900 sqm (rounded)</t>
  </si>
  <si>
    <t>Concrete placing/finishing for 0.779 m3 (small job)</t>
  </si>
  <si>
    <t>Plumbing (PVC + fittings + tap head)</t>
  </si>
  <si>
    <t>PVC in concrete + fittings bundle + tap head install</t>
  </si>
  <si>
    <t>S01 RENTAL / SERVICE</t>
  </si>
  <si>
    <t>Demolition tools</t>
  </si>
  <si>
    <t>For wuduk demo duration</t>
  </si>
  <si>
    <t>Site-mix concrete support</t>
  </si>
  <si>
    <t>Only if needed for mixing small volume</t>
  </si>
  <si>
    <t>Trip/roro/bin</t>
  </si>
  <si>
    <t>Final method + unit rate pending; keep placeholder line</t>
  </si>
  <si>
    <t>Locked reference</t>
  </si>
  <si>
    <t>Used for tile quantities</t>
  </si>
  <si>
    <t>Tiles Area (sqft)</t>
  </si>
  <si>
    <t>30.900 x 10.7639</t>
  </si>
  <si>
    <t>Editable if mix changes</t>
  </si>
  <si>
    <t>Default waste (general)</t>
  </si>
  <si>
    <t>Unless overridden by item rule</t>
  </si>
  <si>
    <t>&lt; 3 m</t>
  </si>
  <si>
    <t>Use buffer in material block if needed</t>
  </si>
  <si>
    <t>Minimum practical set</t>
  </si>
  <si>
    <t>1 pc</t>
  </si>
  <si>
    <t>Header rule</t>
  </si>
  <si>
    <t>This header is editable; do not delete old rows</t>
  </si>
  <si>
    <t>Add new rows if spec expands</t>
  </si>
  <si>
    <t>S02 SPEC (HEADER - EDITABLE)</t>
  </si>
  <si>
    <t>0.2517 m</t>
  </si>
  <si>
    <t>Scope 2 - Tile Works on Tar Area (New Floor)</t>
  </si>
  <si>
    <t>locked scope name</t>
  </si>
  <si>
    <t>Floor Area (locked)</t>
  </si>
  <si>
    <t>800 sqft</t>
  </si>
  <si>
    <t>= 74.322 sqm</t>
  </si>
  <si>
    <t>Tile Type</t>
  </si>
  <si>
    <t>Tile 300x600 M1-B</t>
  </si>
  <si>
    <t>floor only</t>
  </si>
  <si>
    <t>Tile Coverage Assumption</t>
  </si>
  <si>
    <t>0.18 sqm per pc</t>
  </si>
  <si>
    <t>Thinset Consumption</t>
  </si>
  <si>
    <t>5.0 kg per sqm</t>
  </si>
  <si>
    <t>adhesive basis</t>
  </si>
  <si>
    <t>0.192 kg per sqm</t>
  </si>
  <si>
    <t>grout basis</t>
  </si>
  <si>
    <t>Waste Assumption (default)</t>
  </si>
  <si>
    <t>applies where relevant</t>
  </si>
  <si>
    <t>BRC Mesh Type</t>
  </si>
  <si>
    <t>Build-up Thickness (locked)</t>
  </si>
  <si>
    <t>to screed underside</t>
  </si>
  <si>
    <t>Build-up Total Volume</t>
  </si>
  <si>
    <t>Build-up Split Ratio (locked)</t>
  </si>
  <si>
    <t>brick 0.40 / infill 0.60</t>
  </si>
  <si>
    <t>allowance basis</t>
  </si>
  <si>
    <t>Brick Build-up Volume (base)</t>
  </si>
  <si>
    <t>7.484 m3</t>
  </si>
  <si>
    <t>18.709 x 0.40</t>
  </si>
  <si>
    <t>Infill Volume (base)</t>
  </si>
  <si>
    <t>11.225 m3</t>
  </si>
  <si>
    <t>18.709 x 0.60</t>
  </si>
  <si>
    <t>Skirting Run (locked)</t>
  </si>
  <si>
    <t>locked run length</t>
  </si>
  <si>
    <t>8 in (203mm)</t>
  </si>
  <si>
    <t>area 2.631 sqm</t>
  </si>
  <si>
    <t>12 in (305mm)</t>
  </si>
  <si>
    <t>area 3.953 sqm</t>
  </si>
  <si>
    <t>Header is editable anytime; downstream blocks may change if spec changes</t>
  </si>
  <si>
    <t>do not treat as locked</t>
  </si>
  <si>
    <t>S02 MATERIAL STANDALONE / PRICING</t>
  </si>
  <si>
    <t>M1-B floor only (800 sqft)</t>
  </si>
  <si>
    <t>Qty includes 10% waste: CEIL((74.322/0.18)*1.10)=455</t>
  </si>
  <si>
    <t>Purchase qty converted: CEIL((74.322*5.0*1.10)/25)=17</t>
  </si>
  <si>
    <t>Purchase qty converted: CEIL((74.322*0.192*1.10)/20)=1</t>
  </si>
  <si>
    <t>BRC A7 sheet 6.0m x 2.2m (13.2 sqm/sheet)</t>
  </si>
  <si>
    <t>Qty includes 5% lap: CEIL((74.322*1.05)/13.2)=6</t>
  </si>
  <si>
    <t>Build-up (brick portion)</t>
  </si>
  <si>
    <t>Brick build-up allowance volume</t>
  </si>
  <si>
    <t>Qty includes 10% waste; pricing needs convert m3 to pcs/pallet or rate per m3</t>
  </si>
  <si>
    <t>Build-up (infill portion)</t>
  </si>
  <si>
    <t>Screed/concrete infill allowance volume</t>
  </si>
  <si>
    <t>Qty includes 10% waste; pricing depends method (site-mix vs ready-mix) + material list mapping</t>
  </si>
  <si>
    <t>12.960m run x 203mm height</t>
  </si>
  <si>
    <t>Option line only (choose A or B)</t>
  </si>
  <si>
    <t>Tile 300x600 (skirting A)</t>
  </si>
  <si>
    <t>CEIL((2.631/0.18)*1.10)=17</t>
  </si>
  <si>
    <t>CEIL((2.631*5.0*1.10)/25)=1</t>
  </si>
  <si>
    <t>CEIL((2.631*0.192*1.10)/20)=1</t>
  </si>
  <si>
    <t>12.960m run x 305mm height</t>
  </si>
  <si>
    <t>Tile 300x600 (skirting B)</t>
  </si>
  <si>
    <t>CEIL((3.953/0.18)*1.10)=25</t>
  </si>
  <si>
    <t>CEIL((3.953*5.0*1.10)/25)=2</t>
  </si>
  <si>
    <t>CEIL((3.953*0.192*1.10)/20)=1</t>
  </si>
  <si>
    <t>SUBTOTAL (priced items only)</t>
  </si>
  <si>
    <t>Excludes blank-price items and option selection</t>
  </si>
  <si>
    <t>Includes floor tiles+adh+grout+BRC; skirting priced but depends option chosen</t>
  </si>
  <si>
    <t>S02 LABOUR (PLAN - EDITABLE)</t>
  </si>
  <si>
    <t>4 masons (volume works)</t>
  </si>
  <si>
    <t>Productivity basis earlier: 3.0 m3/day on 18.709 m3</t>
  </si>
  <si>
    <t>Basis earlier: 100 sqm/day on 74.322 sqm</t>
  </si>
  <si>
    <t>Basis earlier: 12 sqm/day on 74.322 sqm</t>
  </si>
  <si>
    <t>Only if Option A selected</t>
  </si>
  <si>
    <t>Only if Option B selected</t>
  </si>
  <si>
    <t>S02 RENTAL / SERVICE (EDITABLE)</t>
  </si>
  <si>
    <t>Duration matches build-up works</t>
  </si>
  <si>
    <t>S02 MATERIAL USAGE (NO RM)</t>
  </si>
  <si>
    <t>M1-B floor only (area locked 74.322 sqm)</t>
  </si>
  <si>
    <t>Base pcs = 74.322/0.18</t>
  </si>
  <si>
    <t>Tile 300x600 (with waste)</t>
  </si>
  <si>
    <t>M1-B floor only (purchase qty)</t>
  </si>
  <si>
    <t>Final pcs = CEIL((74.322/0.18)*1.10)=455</t>
  </si>
  <si>
    <t>Consumption 5.0 kg/sqm</t>
  </si>
  <si>
    <t>bag (20kg eq)</t>
  </si>
  <si>
    <t>Base bags20 = (74.322*5.0)/20</t>
  </si>
  <si>
    <t>Tile adhesive thinset (purchase)</t>
  </si>
  <si>
    <t>Purchase conversion to 25kg bag</t>
  </si>
  <si>
    <t>Purchase = CEIL((74.322*5.0*1.10)/25)=17</t>
  </si>
  <si>
    <t>Consumption 0.192 kg/sqm</t>
  </si>
  <si>
    <t>bag (5kg eq)</t>
  </si>
  <si>
    <t>Base bags5 = (74.322*0.192)/5</t>
  </si>
  <si>
    <t>Tile grout (purchase)</t>
  </si>
  <si>
    <t>Purchase conversion to 20kg bag</t>
  </si>
  <si>
    <t>Purchase = CEIL((74.322*0.192*1.10)/20)=1</t>
  </si>
  <si>
    <t>Base sheets = (74.322*1.05)/13.2</t>
  </si>
  <si>
    <t>BRC A7 mesh (final)</t>
  </si>
  <si>
    <t>Purchase sheets</t>
  </si>
  <si>
    <t>Final sheets = CEIL((74.322*1.05)/13.2)=6</t>
  </si>
  <si>
    <t>Thickness locked 0.2517m</t>
  </si>
  <si>
    <t>Volume = 74.322*0.2517</t>
  </si>
  <si>
    <t>Base brick = 18.709*0.40</t>
  </si>
  <si>
    <t>Brick build-up allowance (final)</t>
  </si>
  <si>
    <t>Final brick = 18.709*0.40*1.10</t>
  </si>
  <si>
    <t>Base infill = 18.709*0.60</t>
  </si>
  <si>
    <t>Screed/concrete infill allowance (final)</t>
  </si>
  <si>
    <t>Final infill = 18.709*0.60*1.10</t>
  </si>
  <si>
    <t>run 12.960m x 0.203m</t>
  </si>
  <si>
    <t>Base pcs from area</t>
  </si>
  <si>
    <t>Base pcs = 2.631/0.18</t>
  </si>
  <si>
    <t>Skirting Option A tiles (final)</t>
  </si>
  <si>
    <t>Purchase pcs</t>
  </si>
  <si>
    <t>Final pcs = CEIL((2.631/0.18)*1.10)=17</t>
  </si>
  <si>
    <t>Base bags20 = (2.631*5.0)/20</t>
  </si>
  <si>
    <t>Skirting Option A adhesive (purchase)</t>
  </si>
  <si>
    <t>Purchase = CEIL((2.631*5.0*1.10)/25)=1</t>
  </si>
  <si>
    <t>Base bags5 = (2.631*0.192)/5</t>
  </si>
  <si>
    <t>Skirting Option A grout (purchase)</t>
  </si>
  <si>
    <t>Purchase = CEIL((2.631*0.192*1.10)/20)=1</t>
  </si>
  <si>
    <t>run 12.960m x 0.305m</t>
  </si>
  <si>
    <t>Base pcs = 3.953/0.18</t>
  </si>
  <si>
    <t>Skirting Option B tiles (final)</t>
  </si>
  <si>
    <t>Final pcs = CEIL((3.953/0.18)*1.10)=25</t>
  </si>
  <si>
    <t>Base bags20 = (3.953*5.0)/20</t>
  </si>
  <si>
    <t>Skirting Option B adhesive (purchase)</t>
  </si>
  <si>
    <t>Purchase = CEIL((3.953*5.0*1.10)/25)=2</t>
  </si>
  <si>
    <t>Base bags5 = (3.953*0.192)/5</t>
  </si>
  <si>
    <t>Skirting Option B grout (purchase)</t>
  </si>
  <si>
    <t>Purchase = CEIL((3.953*0.192*1.10)/20)=1</t>
  </si>
  <si>
    <t>Description (Exact name from Materials.txt/Labour.txt)</t>
  </si>
  <si>
    <t>S03 MATERIAL USAGE (NO RM)</t>
  </si>
  <si>
    <t>2 pcs per pillar</t>
  </si>
  <si>
    <t>Chemical anchors</t>
  </si>
  <si>
    <t>S03 SPEC (HEADER - EDITABLE)</t>
  </si>
  <si>
    <t>Scope 3 - Pillars Gate</t>
  </si>
  <si>
    <t>Concrete pillar + gate hinge plate/anchors</t>
  </si>
  <si>
    <t>Pillar qty</t>
  </si>
  <si>
    <t>2 units</t>
  </si>
  <si>
    <t>Each 300x300x1800mm</t>
  </si>
  <si>
    <t>Pillar size</t>
  </si>
  <si>
    <t>300x300x1800 mm</t>
  </si>
  <si>
    <t>Concrete volume base</t>
  </si>
  <si>
    <t>0.324 m3</t>
  </si>
  <si>
    <t>Before waste (5%)</t>
  </si>
  <si>
    <t>Concrete volume final</t>
  </si>
  <si>
    <t>0.340 m3</t>
  </si>
  <si>
    <t>After 5% waste</t>
  </si>
  <si>
    <t>Rebar main</t>
  </si>
  <si>
    <t>Y12</t>
  </si>
  <si>
    <t>Rebar main qty base</t>
  </si>
  <si>
    <t>12.787 kg</t>
  </si>
  <si>
    <t>Before waste (10%)</t>
  </si>
  <si>
    <t>Rebar main qty final</t>
  </si>
  <si>
    <t>14.07 kg</t>
  </si>
  <si>
    <t>After 10% waste</t>
  </si>
  <si>
    <t>Stirrups</t>
  </si>
  <si>
    <t>R6</t>
  </si>
  <si>
    <t>Stirrups qty base</t>
  </si>
  <si>
    <t>6.000 kg</t>
  </si>
  <si>
    <t>Stirrups qty final</t>
  </si>
  <si>
    <t>6.60 kg</t>
  </si>
  <si>
    <t>Formwork area base</t>
  </si>
  <si>
    <t>4.320 m2</t>
  </si>
  <si>
    <t>Formwork area final</t>
  </si>
  <si>
    <t>4.752 m2</t>
  </si>
  <si>
    <t>2 pcs per pillar = 4 pcs</t>
  </si>
  <si>
    <t>Anchors</t>
  </si>
  <si>
    <t>M14 chemical anchor set</t>
  </si>
  <si>
    <t>4 holes/plate x 4 plates = 16 sets</t>
  </si>
  <si>
    <t>Anchor method</t>
  </si>
  <si>
    <t>Bolted (chemical)</t>
  </si>
  <si>
    <t>Assumed from current plan</t>
  </si>
  <si>
    <t>Remarks</t>
  </si>
  <si>
    <t>No change unless spec changes</t>
  </si>
  <si>
    <t>If spec changes, update materials/labour/rental blocks</t>
  </si>
  <si>
    <t>Concrete (Exact name from 1.2 Materials.txt)</t>
  </si>
  <si>
    <t>Base 0.324 m3, waste 5% =&gt; 0.340 m3</t>
  </si>
  <si>
    <t>Y12 rebar (Exact name from 1.2 Materials.txt)</t>
  </si>
  <si>
    <t>Retained assumption: 12.787 kg, waste 10% =&gt; 14.07 kg</t>
  </si>
  <si>
    <t>R6 stirrups (Exact name from 1.2 Materials.txt)</t>
  </si>
  <si>
    <t>Retained assumption: 6.000 kg, waste 10% =&gt; 6.60 kg</t>
  </si>
  <si>
    <t>Formwork (Exact name from 1.2 Materials.txt)</t>
  </si>
  <si>
    <t>Retained assumption: 4.320 m2, waste 10% =&gt; 4.752 m2</t>
  </si>
  <si>
    <t>MS plate 200x200x10mm (Exact name from 1.2 Materials.txt)</t>
  </si>
  <si>
    <t>M14 chemical anchor complete set (Exact name from 1.2 Materials.txt)</t>
  </si>
  <si>
    <t>S03 MATERIAL STANDALONE / PRICING (RM)</t>
  </si>
  <si>
    <t>Fill unit rate from 1.2; Total = Qty*Price</t>
  </si>
  <si>
    <t>S03 MATERIAL SUBTOTAL (RM)</t>
  </si>
  <si>
    <t>SUBTOTAL</t>
  </si>
  <si>
    <t>Subtotal of Total (RM) column</t>
  </si>
  <si>
    <t>S03 LABOUR (NO RM)</t>
  </si>
  <si>
    <t>RC work (rebar+form+pour)</t>
  </si>
  <si>
    <t>Labour: RC crew (Exact name from Labour.txt)</t>
  </si>
  <si>
    <t>From plan: 1 day for 0.340 m3</t>
  </si>
  <si>
    <t>Plate + anchors install</t>
  </si>
  <si>
    <t>Labour: welder + helper (Exact name from Labour.txt)</t>
  </si>
  <si>
    <t>From plan: 1 day for 4 plates + 16 anchors</t>
  </si>
  <si>
    <t>S03 LABOUR SUBTOTAL (RM)</t>
  </si>
  <si>
    <t>Subtotal of Total (RM) column (if later priced)</t>
  </si>
  <si>
    <t>S03 RENTAL / SERVICE (NO RM)</t>
  </si>
  <si>
    <t>Concrete works support</t>
  </si>
  <si>
    <t>Rental: small mixer</t>
  </si>
  <si>
    <t>1 day for pillar concrete work</t>
  </si>
  <si>
    <t>Rebar preparation</t>
  </si>
  <si>
    <t>Rental: rebar cutter/bender</t>
  </si>
  <si>
    <t>1 day for Y12 + R6 prep</t>
  </si>
  <si>
    <t>S03 RENTAL/SERVICE SUBTOTAL (RM)</t>
  </si>
  <si>
    <t>S04 SPEC (HEADER - EDITABLE)</t>
  </si>
  <si>
    <t>Scope 4 - Preparation only (setting out / minor tools)</t>
  </si>
  <si>
    <t>Exclude full fence BOQ (not in scope)</t>
  </si>
  <si>
    <t>Work</t>
  </si>
  <si>
    <t>Type</t>
  </si>
  <si>
    <t>Prep/setting out only</t>
  </si>
  <si>
    <t>Qty basis</t>
  </si>
  <si>
    <t>Basis</t>
  </si>
  <si>
    <t>1 lot</t>
  </si>
  <si>
    <t>Assumption</t>
  </si>
  <si>
    <t>Small prep only; no major material</t>
  </si>
  <si>
    <t>S04 MATERIAL USAGE (NO RM)</t>
  </si>
  <si>
    <t>Preparation / setting out</t>
  </si>
  <si>
    <t>Preparation only (setting out / minor tools)</t>
  </si>
  <si>
    <t>No specific material items mapped; keep as scope allowance line</t>
  </si>
  <si>
    <t>S04 MATERIAL STANDALONE / PRICING (RM)</t>
  </si>
  <si>
    <t>If pricing later, rate comes from supplier/own allowance (not Materials.txt)</t>
  </si>
  <si>
    <t>S04 LABOUR (NO RM)</t>
  </si>
  <si>
    <t>Prep / setting out</t>
  </si>
  <si>
    <t>General worker (setting out + minor tools)</t>
  </si>
  <si>
    <t>man-day</t>
  </si>
  <si>
    <t>Basis: 2 workers x 1 day (8 hours) as earlier plan</t>
  </si>
  <si>
    <t>S04 RENTAL / SERVICE (NO RM)</t>
  </si>
  <si>
    <t>Minor tools allowance</t>
  </si>
  <si>
    <t>Minor tools / consumables (tape, stringline, marker, nails, etc.)</t>
  </si>
  <si>
    <t>Keep as service allowance; no rental equipment locked</t>
  </si>
  <si>
    <t>S05 SPEC (HEADER - EDITABLE)</t>
  </si>
  <si>
    <t>Scope 5 - Cement / industrial finishing (surface cleaning + skim finish)</t>
  </si>
  <si>
    <t>Finishing-only slab; no major new concrete</t>
  </si>
  <si>
    <t>Area</t>
  </si>
  <si>
    <t>Surface area to treat</t>
  </si>
  <si>
    <t>18.378 m2 (existing slab)</t>
  </si>
  <si>
    <t>Default skim thickness</t>
  </si>
  <si>
    <t>Skim thickness default</t>
  </si>
  <si>
    <t>10 mm (editable)</t>
  </si>
  <si>
    <t>Bonding agent</t>
  </si>
  <si>
    <t>Optional</t>
  </si>
  <si>
    <t>Use if required (coverage-based; can stay pending)</t>
  </si>
  <si>
    <t>Patch repair</t>
  </si>
  <si>
    <t>Condition-based</t>
  </si>
  <si>
    <t>Qty depends defect; yield/coverage may be pending</t>
  </si>
  <si>
    <t>Location note</t>
  </si>
  <si>
    <t>Pathway / access area</t>
  </si>
  <si>
    <t>User note: laluan about 10ft x 10ft; wall thickness side 8in-12in (context)</t>
  </si>
  <si>
    <t>S05 MATERIAL USAGE (NO RM)</t>
  </si>
  <si>
    <t>Surface cleaning / grinding</t>
  </si>
  <si>
    <t>Surface cleaning/grinding (finishing-only slab)</t>
  </si>
  <si>
    <t>Patch repair mortar (defect dependent)</t>
  </si>
  <si>
    <t>Bonding agent / primer (optional)</t>
  </si>
  <si>
    <t>Cement (skim 1:3) - 3mm option</t>
  </si>
  <si>
    <t>Sand (skim 1:3) - 3mm option</t>
  </si>
  <si>
    <t>Cement (skim 1:3) - 5mm option</t>
  </si>
  <si>
    <t>Sand (skim 1:3) - 5mm option</t>
  </si>
  <si>
    <t>Cement (skim 1:3) - 10mm default</t>
  </si>
  <si>
    <t>Sand (skim 1:3) - 10mm default</t>
  </si>
  <si>
    <t>Locked area</t>
  </si>
  <si>
    <t>Qty pending; keep 0 until yield/defect confirmed</t>
  </si>
  <si>
    <t>Coverage pending; keep 0 until confirmed</t>
  </si>
  <si>
    <t>Skim cement (3mm option)</t>
  </si>
  <si>
    <t>Option line (use only if selected)</t>
  </si>
  <si>
    <t>Skim sand (3mm option)</t>
  </si>
  <si>
    <t>Option line (needs sand rate later)</t>
  </si>
  <si>
    <t>Skim cement (5mm option)</t>
  </si>
  <si>
    <t>Skim sand (5mm option)</t>
  </si>
  <si>
    <t>Skim cement (10mm default)</t>
  </si>
  <si>
    <t>Default thickness</t>
  </si>
  <si>
    <t>Skim sand (10mm default)</t>
  </si>
  <si>
    <t>Default thickness (needs sand rate later)</t>
  </si>
  <si>
    <t>S05 MATERIAL STANDALONE / PRICING (RM)</t>
  </si>
  <si>
    <t>Fill rate later from Materials.txt/supplier</t>
  </si>
  <si>
    <t>Qty+rate pending; keep 0 not text</t>
  </si>
  <si>
    <t>Option line</t>
  </si>
  <si>
    <t>Need sand rate later</t>
  </si>
  <si>
    <t>Default thickness pricing line</t>
  </si>
  <si>
    <t>S05 LABOUR (NO RM)</t>
  </si>
  <si>
    <t>Surface prep + skim finish</t>
  </si>
  <si>
    <t>Finish workers (surface prep + skim)</t>
  </si>
  <si>
    <t>2 workers x 1 day (area 18.378 m2)</t>
  </si>
  <si>
    <t>S05 RENTAL / SERVICE (NO RM)</t>
  </si>
  <si>
    <t>Grinder / pressure washer</t>
  </si>
  <si>
    <t>Grinder / pressure washer (prep)</t>
  </si>
  <si>
    <t>1 day allowance</t>
  </si>
  <si>
    <t>S06 SPEC (HEADER - EDITABLE)</t>
  </si>
  <si>
    <t>Scope 6 - Roof metaldeck + flashing/sealant + optional gutter</t>
  </si>
  <si>
    <t>G27 0.4mm cover 762mm (effective)</t>
  </si>
  <si>
    <t>Deck profile</t>
  </si>
  <si>
    <t>G27 0.4mm</t>
  </si>
  <si>
    <t>Track: deck profile info from scope 6</t>
  </si>
  <si>
    <t>Cover width</t>
  </si>
  <si>
    <t>0.762 m</t>
  </si>
  <si>
    <t>Used for area-to-length conversion if needed</t>
  </si>
  <si>
    <t>Strip count</t>
  </si>
  <si>
    <t>13 strips</t>
  </si>
  <si>
    <t>Base run-lengths already summed</t>
  </si>
  <si>
    <t>Strip lengths sum</t>
  </si>
  <si>
    <t>115772 mm</t>
  </si>
  <si>
    <t>Base confirmed sum</t>
  </si>
  <si>
    <t>Base run length</t>
  </si>
  <si>
    <t>115.772 m</t>
  </si>
  <si>
    <t>Base run length (FR)</t>
  </si>
  <si>
    <t>379.829 Fr</t>
  </si>
  <si>
    <t>Editable; used on FR total</t>
  </si>
  <si>
    <t>Waste-adjusted FR</t>
  </si>
  <si>
    <t>417.812 Fr</t>
  </si>
  <si>
    <t>379.829 x 1.10</t>
  </si>
  <si>
    <t>Optional gutter length</t>
  </si>
  <si>
    <t>10.860 m</t>
  </si>
  <si>
    <t>Selected edge only</t>
  </si>
  <si>
    <t>Gutter overhang per strip</t>
  </si>
  <si>
    <t>PENDING mm</t>
  </si>
  <si>
    <t>Needed only if you want purchase length including overhang: 115772 + 13 x overhang</t>
  </si>
  <si>
    <t>Fastener density</t>
  </si>
  <si>
    <t>screw per sqm or screw per strip acceptable; can remain pending with 0 qty</t>
  </si>
  <si>
    <t>Flashing/sealant scope</t>
  </si>
  <si>
    <t>Profile/details pending; can stay as 0 qty until confirmed</t>
  </si>
  <si>
    <t>S06 MATERIAL USAGE (NO RM)</t>
  </si>
  <si>
    <t>Metaldeck base run length</t>
  </si>
  <si>
    <t>Metaldeck G27 0.4mm (cover 762mm)</t>
  </si>
  <si>
    <t>Base FR from strip sum</t>
  </si>
  <si>
    <t>Metaldeck waste-adjusted</t>
  </si>
  <si>
    <t>Use this FR as purchase qty basis (default waste)</t>
  </si>
  <si>
    <t>Gutter (optional)</t>
  </si>
  <si>
    <t>Optional line only</t>
  </si>
  <si>
    <t>Fasteners (pending density)</t>
  </si>
  <si>
    <t>Roof fasteners / screws set</t>
  </si>
  <si>
    <t>Qty pending; keep 0 not text</t>
  </si>
  <si>
    <t>Sealant / flashing (pending)</t>
  </si>
  <si>
    <t>Sealant / flashing (waterproofing)</t>
  </si>
  <si>
    <t>Purchase length add-on (overhang)</t>
  </si>
  <si>
    <t>Gutter overhang add-on (per strip)</t>
  </si>
  <si>
    <t>Only compute if gutter_overhang_mm confirmed</t>
  </si>
  <si>
    <t>S06 MATERIAL STANDALONE / PRICING (RM)</t>
  </si>
  <si>
    <t>Metaldeck (purchase basis)</t>
  </si>
  <si>
    <t>Fill rate later from Materials.txt supplier</t>
  </si>
  <si>
    <t>Optional; fill rate later</t>
  </si>
  <si>
    <t>Keep 0 until density confirmed</t>
  </si>
  <si>
    <t>Keep 0 until details confirmed</t>
  </si>
  <si>
    <t>S06 LABOUR (NO RM)</t>
  </si>
  <si>
    <t>Deck install by run length</t>
  </si>
  <si>
    <t>Roofing crew (metaldeck install)</t>
  </si>
  <si>
    <t>4 roofers x 3 days (based on 115.772m base)</t>
  </si>
  <si>
    <t>Flashing/sealant/gutter works</t>
  </si>
  <si>
    <t>Roof finishers (flashing/sealant/gutter)</t>
  </si>
  <si>
    <t>Leave 0 until flashing length/details confirmed</t>
  </si>
  <si>
    <t>S06 RENTAL / SERVICE (NO RM)</t>
  </si>
  <si>
    <t>Mobile scaffold / lift</t>
  </si>
  <si>
    <t>Qty depends roof height/site setup; keep 0 until confirmed</t>
  </si>
  <si>
    <t>Safety harness/lifeline set</t>
  </si>
  <si>
    <t>Safety harness / lifeline set</t>
  </si>
  <si>
    <t>1 lot for duration</t>
  </si>
  <si>
    <t>Deck delivery/logistics</t>
  </si>
  <si>
    <t>Deck delivery / logistics</t>
  </si>
  <si>
    <t>One-time delivery/logistics</t>
  </si>
  <si>
    <t>SUMMARY_SCOPE_TOTAL (AUTO S01-S100)</t>
  </si>
  <si>
    <t>Sheet</t>
  </si>
  <si>
    <t>Scope Title (manual/optional)</t>
  </si>
  <si>
    <t>Material Standalone Subtotal (RM)</t>
  </si>
  <si>
    <t>Labour Subtotal (RM/qty)</t>
  </si>
  <si>
    <t>Rental/Service Subtotal (RM/qty)</t>
  </si>
  <si>
    <t>Grand Total (RM)</t>
  </si>
  <si>
    <t>S01</t>
  </si>
  <si>
    <t>Edit cell refs to your fixed subtotal cells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</si>
  <si>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</si>
  <si>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</si>
  <si>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</si>
  <si>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</si>
  <si>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</si>
  <si>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</si>
  <si>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</si>
  <si>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</si>
  <si>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</si>
  <si>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</si>
  <si>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</si>
  <si>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</si>
  <si>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</si>
  <si>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</si>
  <si>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</si>
  <si>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</si>
  <si>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</si>
  <si>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</si>
  <si>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</si>
  <si>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</si>
  <si>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</si>
  <si>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</si>
  <si>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</si>
  <si>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</si>
  <si>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</si>
  <si>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</si>
  <si>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</si>
  <si>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</si>
  <si>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</si>
  <si>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</si>
  <si>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</si>
  <si>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</si>
  <si>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</si>
  <si>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</si>
  <si>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</si>
  <si>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</si>
  <si>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</si>
  <si>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</si>
  <si>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</si>
  <si>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</si>
  <si>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</si>
  <si>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</si>
  <si>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</si>
  <si>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</si>
  <si>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</si>
  <si>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</si>
  <si>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TRACKER - BOQ EXCEL WORKFLOW (S01-S100 + SUMMARY)</t>
  </si>
  <si>
    <t>============================================================</t>
  </si>
  <si>
    <t xml:space="preserve">  A = Spec</t>
  </si>
  <si>
    <t xml:space="preserve">  B = Description</t>
  </si>
  <si>
    <t xml:space="preserve">  C = Note</t>
  </si>
  <si>
    <t xml:space="preserve">  A2 = "Spec"</t>
  </si>
  <si>
    <t xml:space="preserve">  B2 = "Description"</t>
  </si>
  <si>
    <t xml:space="preserve">  C2 = "Note"</t>
  </si>
  <si>
    <t>IMPORTANT:</t>
  </si>
  <si>
    <t>- Materials Usage (NO RM):</t>
  </si>
  <si>
    <t>- Materials Standalone / Pricing (RM):</t>
  </si>
  <si>
    <t>- Labour (NO RM):</t>
  </si>
  <si>
    <t>- Rental/Service (NO RM):</t>
  </si>
  <si>
    <t>C = Material Standalone Subtotal (RM)</t>
  </si>
  <si>
    <t>Allowed to remain pending (put in Note only):</t>
  </si>
  <si>
    <t>- Yield/coverage (paint/adhesive), if base qty still can be computed</t>
  </si>
  <si>
    <t>- Waste % default 10% if not provided (state assumption in Note)</t>
  </si>
  <si>
    <t>- Disposal conversion (trip/roro/bin) if hauling not finalized</t>
  </si>
  <si>
    <t>Never put pending text in:</t>
  </si>
  <si>
    <t>Pending always goes in Note (L).</t>
  </si>
  <si>
    <t>8) CODEx UPDATE RULE (NO DELETION)</t>
  </si>
  <si>
    <t>When updating:</t>
  </si>
  <si>
    <t>- If spec changes cause qty change:</t>
  </si>
  <si>
    <t xml:space="preserve">  - Update affected lines only.</t>
  </si>
  <si>
    <t xml:space="preserve">  - Leave unrelated blocks untouched.</t>
  </si>
  <si>
    <t>9) NAMING RULES (GENERAL USE, NOT PROJECT-SPECIFIC)</t>
  </si>
  <si>
    <t>SXX naming:</t>
  </si>
  <si>
    <t>- Each sheet may represent:</t>
  </si>
  <si>
    <t xml:space="preserve">  - a scope</t>
  </si>
  <si>
    <t xml:space="preserve">  - a section of work</t>
  </si>
  <si>
    <t xml:space="preserve">  - a work package</t>
  </si>
  <si>
    <t xml:space="preserve">  - a variation order</t>
  </si>
  <si>
    <t>This keeps summary formulas stable for any future projects.</t>
  </si>
  <si>
    <t>Block naming:</t>
  </si>
  <si>
    <t>- Use generic titles:</t>
  </si>
  <si>
    <t xml:space="preserve">  - "MATERIAL USAGE (NO RM)"</t>
  </si>
  <si>
    <t xml:space="preserve">  - "MATERIAL STANDALONE / PRICING (RM)"</t>
  </si>
  <si>
    <t xml:space="preserve">  - "LABOUR (NO RM)"</t>
  </si>
  <si>
    <t xml:space="preserve">  - "RENTAL / SERVICE (NO RM)"</t>
  </si>
  <si>
    <t>10) CHECKLIST (QUALITY CONTROL)</t>
  </si>
  <si>
    <t>For each SXX:</t>
  </si>
  <si>
    <t>- [ ] A:C SPEC filled with sizes + assumptions</t>
  </si>
  <si>
    <t>- [ ] Column D blank (spacer)</t>
  </si>
  <si>
    <t>- [ ] Each block uses exactly 8 columns E:L</t>
  </si>
  <si>
    <t>- [ ] Column M blank (spacer)</t>
  </si>
  <si>
    <t>- [ ] Pending written only in Note column L</t>
  </si>
  <si>
    <t>- [ ] Subtotals exist at fixed K cells used by SUMMARY</t>
  </si>
  <si>
    <t>- [ ] A1 title exists and matches scope</t>
  </si>
  <si>
    <t>For SUMMARY:</t>
  </si>
  <si>
    <t>- [ ] Row3 formulas reference A3 (not A2)</t>
  </si>
  <si>
    <t>- [ ] Subtotal cell references match the fixed subtotal cells in SXX</t>
  </si>
  <si>
    <t>- [ ] Fill down until S100</t>
  </si>
  <si>
    <t>=IFERROR(INDIRECT("'"&amp;TRIM($A3)&amp;"'!$A$1"),"")</t>
  </si>
  <si>
    <t>=SUM(C3:E3)</t>
  </si>
  <si>
    <t>- Night rate only if scope explicitly includes night work</t>
  </si>
  <si>
    <t>- Qty (G)</t>
  </si>
  <si>
    <t>- Price/Unit (I)</t>
  </si>
  <si>
    <t>- Total (K)</t>
  </si>
  <si>
    <t>- Add new lines below existing lines, OR edit only requested lines.</t>
  </si>
  <si>
    <t>- Do not delete old lines.</t>
  </si>
  <si>
    <t>- Always S01..S100</t>
  </si>
  <si>
    <t>TRACKER RULE WAJIB - BOQ EXCEL S01-S100 (UPDATE-ONLY, NO REWORK)</t>
  </si>
  <si>
    <t>GOAL</t>
  </si>
  <si>
    <t>- One-time setup, repeatable workflow.</t>
  </si>
  <si>
    <t>- Prevent rework, prevent accidental overwrite, prevent deletion of past data.</t>
  </si>
  <si>
    <t>- Codex computes quantities only. GPT maps exact item names + prepares paste blocks for Excel.</t>
  </si>
  <si>
    <t>- Total (RM) column is formula-only and must never be overwritten.</t>
  </si>
  <si>
    <t>A) SHEET NAMING (STRICT)</t>
  </si>
  <si>
    <t>- Work sheets: S01, S02, ... S100 (no spaces, exact uppercase S + 2 digits).</t>
  </si>
  <si>
    <t>- One Summary sheet: Summary (or SUMMARY) only.</t>
  </si>
  <si>
    <t>- Do not rename sheets after formulas are set.</t>
  </si>
  <si>
    <t>B) LAYOUT STANDARD (EACH SXX)</t>
  </si>
  <si>
    <t>1) SPEC BLOCK (A:C) = editable reference</t>
  </si>
  <si>
    <t>- A1: SXX SPEC (HEADER - EDITABLE)</t>
  </si>
  <si>
    <t>- Row 2 header: Spec | Description | Note</t>
  </si>
  <si>
    <t>- A:C used to store "Spec Asal" and any assumptions/notes that define scope.</t>
  </si>
  <si>
    <t>- D column is spacer (unused forever).</t>
  </si>
  <si>
    <t>2) DATA BLOCKS (E onwards) = each block uses SAME 8 logical fields</t>
  </si>
  <si>
    <t>- Logical fields (8):</t>
  </si>
  <si>
    <t xml:space="preserve">  1 Spec</t>
  </si>
  <si>
    <t xml:space="preserve">  2 Description (Exact name from Materials.txt / Labour.txt)</t>
  </si>
  <si>
    <t xml:space="preserve">  3 Qty</t>
  </si>
  <si>
    <t xml:space="preserve">  4 UOM</t>
  </si>
  <si>
    <t xml:space="preserve">  5 Price/Unit (RM)</t>
  </si>
  <si>
    <t xml:space="preserve">  6 Wastage/Buffer</t>
  </si>
  <si>
    <t xml:space="preserve">  7 Total (RM)  &lt;-- FORMULA ONLY (LOCKED)</t>
  </si>
  <si>
    <t xml:space="preserve">  8 Note</t>
  </si>
  <si>
    <t>- Total (RM) is formula-only and must never be typed/pasted by GPT or Codex.</t>
  </si>
  <si>
    <t>3) BLOCK TITLES (MANDATORY, 1 row each)</t>
  </si>
  <si>
    <t>- Each table starts with its own title row, e.g.:</t>
  </si>
  <si>
    <t xml:space="preserve">  - SXX MATERIAL USAGE (NO RM)</t>
  </si>
  <si>
    <t xml:space="preserve">  - SXX MATERIAL STANDALONE / PRICING</t>
  </si>
  <si>
    <t xml:space="preserve">  - SXX LABOUR (NO RM)</t>
  </si>
  <si>
    <t xml:space="preserve">  - SXX RENTAL / SERVICE (NO RM)</t>
  </si>
  <si>
    <t>- Title row is separate from the header row.</t>
  </si>
  <si>
    <t>C) PASTE RULE (CRITICAL - TO PROTECT TOTAL FORMULA)</t>
  </si>
  <si>
    <t>- GPT must output paste data in TWO RANGES so Total (RM) is never touched:</t>
  </si>
  <si>
    <t xml:space="preserve">  Range 1 (6 cols): Spec | Description | Qty | UOM | Price/Unit | Wastage/Buffer</t>
  </si>
  <si>
    <t xml:space="preserve">  Range 2 (1 col): Note</t>
  </si>
  <si>
    <t>- Total (RM) column is skipped always.</t>
  </si>
  <si>
    <t>- Any "PENDING" status goes into Note only (never into Qty/UOM/Price/Total).</t>
  </si>
  <si>
    <t>D) UPDATE-ONLY RULE (NO DELETE, NO REPLACE WHOLE TABLE)</t>
  </si>
  <si>
    <t>- Never delete old rows.</t>
  </si>
  <si>
    <t>- When editing: modify only the requested lines/items.</t>
  </si>
  <si>
    <t>- If a change affects dependent quantities, update only the affected related lines.</t>
  </si>
  <si>
    <t>- Keep original spec reference in A:C (SPEC BLOCK) so changes are traceable.</t>
  </si>
  <si>
    <t>E) ROLE SPLIT (GPT vs CODEX)</t>
  </si>
  <si>
    <t>1) Codex (Quantities only)</t>
  </si>
  <si>
    <t>- Computes Qty + UOM + Wastage/Buffer (if requested) based on supplied Spec Asal.</t>
  </si>
  <si>
    <t>- Does NOT rename items.</t>
  </si>
  <si>
    <t>- Does NOT delete any existing items.</t>
  </si>
  <si>
    <t>- If data missing, Codex returns "Inputs needed" list; GPT collects those from user (not Codex asking repeatedly).</t>
  </si>
  <si>
    <t>2) GPT (Mapping + Excel-ready paste blocks)</t>
  </si>
  <si>
    <t>- Reads Materials.txt/Labour.txt and sets Description to exact canonical names.</t>
  </si>
  <si>
    <t>- Converts to supplier purchase UOM if needed (bags/sheets/pcs), but only when rate/UOM exists.</t>
  </si>
  <si>
    <t>- Prepares Excel paste blocks using the TWO-RANGE method (skip Total).</t>
  </si>
  <si>
    <t>- Ensures all pending/unknown rates are logged in Note (not in numeric columns).</t>
  </si>
  <si>
    <t>F) MATERIALS PRICING RULE</t>
  </si>
  <si>
    <t>- Standalone pricing must work per-scope (even if customer picks only 1 scope).</t>
  </si>
  <si>
    <t>- Combined pricing (whole job) is done in Summary aggregation, not by overwriting SXX.</t>
  </si>
  <si>
    <t>- If supplier UOM differs from calculation UOM, GPT must write conversion logic in Note (not in Total column).</t>
  </si>
  <si>
    <t>G) SUMMARY SHEET RULE (AUTO S01-S100)</t>
  </si>
  <si>
    <t>- Summary lists sheet names (S01..S100) and pulls:</t>
  </si>
  <si>
    <t xml:space="preserve">  - Scope Title (from SXX!A1)</t>
  </si>
  <si>
    <t xml:space="preserve">  - Subtotals for each block (Material Usage / Standalone / Labour / Rental)</t>
  </si>
  <si>
    <t xml:space="preserve">  - Grand total per scope</t>
  </si>
  <si>
    <t>- Summary formulas must handle blank/non-existent sheets without errors.</t>
  </si>
  <si>
    <t>- Summary must never depend on text values inside numeric columns.</t>
  </si>
  <si>
    <t>H) REQUIRED "INPUTS NEEDED" CHECKLIST (ASK USER ONCE, UPFRONT)</t>
  </si>
  <si>
    <t>Before sending to Codex for any scope, GPT must ensure these exist (otherwise collect now):</t>
  </si>
  <si>
    <t>- Full Spec Asal dimensions/areas/lengths and any options (A/B) that change quantities.</t>
  </si>
  <si>
    <t>- Waste% default and any scope-specific overrides.</t>
  </si>
  <si>
    <t>- Supplier purchase UOM for key materials (bags size, sheet size, pcs per pack).</t>
  </si>
  <si>
    <t>- Any "rate missing" items: define whether to keep as allowance line or add to Materials list.</t>
  </si>
  <si>
    <t>- For demolition/disposal: disposal mode (trip/roro/bin) + unit basis.</t>
  </si>
  <si>
    <t>- For roof/gutter: overhang, lap, fastener density, flashing details (if applicable).</t>
  </si>
  <si>
    <t>I) OPTIONAL HARDENING (RECOMMENDED)</t>
  </si>
  <si>
    <t>- Protect/lock Total (RM) column in each SXX (sheet protection) to prevent accidental paste overwrite.</t>
  </si>
  <si>
    <t>- Pre-fill Total formulas for a fixed row window (e.g., 200 rows per block) so future paste never needs to touch Total.</t>
  </si>
  <si>
    <t>END</t>
  </si>
  <si>
    <t>- This tracker is the authoritative workflow rule for BOQ Excel S01-S100.</t>
  </si>
  <si>
    <t>- Any future instructions must comply: skip Total, two-range paste, update-only, no delete.</t>
  </si>
  <si>
    <t>Version: 2.0 (Consolidated / No-conflict)</t>
  </si>
  <si>
    <t>Source: README.txt + latest chat rules (authoritative)  :contentReference[oaicite:0]{index=0}</t>
  </si>
  <si>
    <t>- General-use BOQ workbook (not project-specific).</t>
  </si>
  <si>
    <t>- S01..S100 store data per scope/work package.</t>
  </si>
  <si>
    <t>- SUMMARY collects totals automatically.</t>
  </si>
  <si>
    <t>- CODEX = quantities only.</t>
  </si>
  <si>
    <t>- GPT = map exact item names from Materials.txt/Labour.txt + prepare Excel paste blocks.</t>
  </si>
  <si>
    <t>- CRITICAL: Total (RM) column is formula-only and must NEVER be pasted/typed over.</t>
  </si>
  <si>
    <t>1) SHEET NAMING (STRICT)</t>
  </si>
  <si>
    <t>- Work sheets: S01, S02, ... S100 (exact uppercase S + 2 digits).</t>
  </si>
  <si>
    <t>- Summary sheet: SUMMARY (or Summary) only.</t>
  </si>
  <si>
    <t>- Do not rename SXX sheets after Summary formulas are set.</t>
  </si>
  <si>
    <t>2) SXX LAYOUT STANDARD (ONE TEMPLATE FOR ALL S01-S100)</t>
  </si>
  <si>
    <t>A) SPEC BLOCK (Editable reference only)</t>
  </si>
  <si>
    <t>- Columns: A:C only</t>
  </si>
  <si>
    <t>- A1: "SXX SPEC (HEADER - EDITABLE)"  (example: S01 SPEC (HEADER - EDITABLE))</t>
  </si>
  <si>
    <t>- Row 2 header:</t>
  </si>
  <si>
    <t>- A3:C... are editable and can grow (no fixed end).</t>
  </si>
  <si>
    <t>- This block is the "Spec Asal (locked reference)" for human + GPT + Codex.</t>
  </si>
  <si>
    <t>- Summary does NOT calculate from SPEC.</t>
  </si>
  <si>
    <t>B) SPACER</t>
  </si>
  <si>
    <t>- Column D is ALWAYS blank, unused forever (visual separator).</t>
  </si>
  <si>
    <t>C) DATA BLOCKS (All non-SPEC tables)</t>
  </si>
  <si>
    <t>- Every data block uses EXACTLY 8 columns: E:L</t>
  </si>
  <si>
    <t xml:space="preserve">  E = Spec</t>
  </si>
  <si>
    <t xml:space="preserve">  F = Description (Exact name from Materials.txt / Labour.txt / service list)</t>
  </si>
  <si>
    <t xml:space="preserve">  G = Qty</t>
  </si>
  <si>
    <t xml:space="preserve">  H = UOM</t>
  </si>
  <si>
    <t xml:space="preserve">  I = Price/Unit (RM)   (blank for NO RM blocks)</t>
  </si>
  <si>
    <t xml:space="preserve">  J = Wastage/Buffer (%)</t>
  </si>
  <si>
    <t xml:space="preserve">  K = Total (RM)        &lt;-- FORMULA ONLY (LOCKED, never paste)</t>
  </si>
  <si>
    <t xml:space="preserve">  L = Note              (ONLY place for PENDING/OK/comments/status)</t>
  </si>
  <si>
    <t>D) OPTIONAL SPACER</t>
  </si>
  <si>
    <t>- Column M can be kept blank as a visual spacer between blocks (optional).</t>
  </si>
  <si>
    <t>- If you use it, it must stay blank always (no data/formulas).</t>
  </si>
  <si>
    <t>3) DATA BLOCK RULES (MANDATORY FORMAT)</t>
  </si>
  <si>
    <t>For EACH block in E:L:</t>
  </si>
  <si>
    <t>1) Title row (1 full row)</t>
  </si>
  <si>
    <t>- Put title in column E only, e.g.:</t>
  </si>
  <si>
    <t xml:space="preserve">  "S01 MATERIAL USAGE (NO RM)"</t>
  </si>
  <si>
    <t xml:space="preserve">  "S01 MATERIAL STANDALONE / PRICING (RM)"</t>
  </si>
  <si>
    <t xml:space="preserve">  "S01 LABOUR (NO RM)"</t>
  </si>
  <si>
    <t xml:space="preserve">  "S01 RENTAL / SERVICE (NO RM)"</t>
  </si>
  <si>
    <t>- Columns F..L on the title row must be blank.</t>
  </si>
  <si>
    <t>2) Header row (next row)</t>
  </si>
  <si>
    <t>E: "Spec"</t>
  </si>
  <si>
    <t>F: "Description (Exact name from Materials.txt/Labour.txt)"</t>
  </si>
  <si>
    <t>G: "Qty"</t>
  </si>
  <si>
    <t>H: "UOM"</t>
  </si>
  <si>
    <t>I: "Price/Unit (RM)"</t>
  </si>
  <si>
    <t>J: "Wastage/Buffer (%)"</t>
  </si>
  <si>
    <t>K: "Total (RM)"   (formula-only column)</t>
  </si>
  <si>
    <t>L: "Note"</t>
  </si>
  <si>
    <t>3) Data rows</t>
  </si>
  <si>
    <t xml:space="preserve">  - I blank.</t>
  </si>
  <si>
    <t xml:space="preserve">  - J can be 0 or default 10 if not provided (state in Note if assumed).</t>
  </si>
  <si>
    <t xml:space="preserve">  - K can be "Final Qty" formula OR left blank if your block does not use totals.</t>
  </si>
  <si>
    <t xml:space="preserve">  - If K is used, it must remain formula-only.</t>
  </si>
  <si>
    <t xml:space="preserve">  - G purchase qty in supplier UOM.</t>
  </si>
  <si>
    <t xml:space="preserve">  - I unit rate.</t>
  </si>
  <si>
    <t xml:space="preserve">  - J optional buffer (0 or %).</t>
  </si>
  <si>
    <t xml:space="preserve">  - K formula-only per-row: Qty * Rate * (1 + buffer).</t>
  </si>
  <si>
    <t xml:space="preserve">  - G is qty (days or hours) and H is UOM (day/hour).</t>
  </si>
  <si>
    <t xml:space="preserve">  - J buffer optional.</t>
  </si>
  <si>
    <t xml:space="preserve">  - K formula-only if you want "qty after buffer"; otherwise keep K as formula that returns G.</t>
  </si>
  <si>
    <t xml:space="preserve">  - Similar to labour: qty + UOM, buffer optional, K formula-only if used.</t>
  </si>
  <si>
    <t>4) SUBTOTAL rows (required for Summary)</t>
  </si>
  <si>
    <t>- Each block must have a subtotal row with subtotal value in column K only (formula).</t>
  </si>
  <si>
    <t>- Notes go to column L only.</t>
  </si>
  <si>
    <t>- No merged cells.</t>
  </si>
  <si>
    <t>4) PENDING RULES (CRITICAL: PENDING MUST NOT BREAK EXCEL)</t>
  </si>
  <si>
    <t>Allowed to be pending WITHOUT blocking quantity:</t>
  </si>
  <si>
    <t>- Yield/coverage (paint/adhesive) if base qty still computable.</t>
  </si>
  <si>
    <t>- Waste% default 10% if not given (state assumption in Note).</t>
  </si>
  <si>
    <t>- Disposal conversion (trip/roro/bin) if hauling mode not finalized.</t>
  </si>
  <si>
    <t>- Night-rate only if scope explicitly includes night work.</t>
  </si>
  <si>
    <t>PENDING placement rule:</t>
  </si>
  <si>
    <t>- NEVER put "PENDING/OK/text" into numeric columns:</t>
  </si>
  <si>
    <t xml:space="preserve">  G (Qty), I (Price/Unit), J (Wastage/Buffer), K (Total).</t>
  </si>
  <si>
    <t>- Put all pending/status text ONLY in column L (Note).</t>
  </si>
  <si>
    <t>5) UPDATE-ONLY RULE (NO DELETE, NO REPLACE WHOLE TABLE)</t>
  </si>
  <si>
    <t>- When editing: modify ONLY requested lines/items.</t>
  </si>
  <si>
    <t>- If spec changes cause quantity changes:</t>
  </si>
  <si>
    <t xml:space="preserve">  - Update ONLY affected related lines.</t>
  </si>
  <si>
    <t>- Keep spec history in SPEC block (A:C) as reference.</t>
  </si>
  <si>
    <t>6) ROLE SPLIT (GPT vs CODEX) - NON-NEGOTIABLE</t>
  </si>
  <si>
    <t>A) CODEX (Quantities only)</t>
  </si>
  <si>
    <t>- Output: Qty + UOM + Wastage/Buffer (if requested).</t>
  </si>
  <si>
    <t>- Does NOT:</t>
  </si>
  <si>
    <t xml:space="preserve">  - map/rename items to Materials.txt names</t>
  </si>
  <si>
    <t xml:space="preserve">  - delete existing items</t>
  </si>
  <si>
    <t xml:space="preserve">  - touch pricing logic</t>
  </si>
  <si>
    <t>- If inputs missing: return "Inputs needed" list only.</t>
  </si>
  <si>
    <t>B) GPT (Mapping + Excel-ready paste blocks)</t>
  </si>
  <si>
    <t>- Reads Materials.txt / Labour.txt and sets Description to exact canonical names.</t>
  </si>
  <si>
    <t>- Converts to supplier purchase UOM ONLY when supplier UOM is defined/available.</t>
  </si>
  <si>
    <t>- Produces Excel paste blocks using TWO-RANGE method (skip Total column K).</t>
  </si>
  <si>
    <t>- Keeps pending as Note text only (column L).</t>
  </si>
  <si>
    <t>7) CRITICAL PASTE RULE (SKIP TOTAL COLUMN K ALWAYS)</t>
  </si>
  <si>
    <t>Because K is formula-only, GPT must output paste data in TWO RANGES:</t>
  </si>
  <si>
    <t>RANGE 1 (6 columns) -&gt; paste into E:J</t>
  </si>
  <si>
    <t>- Spec | Description | Qty | UOM | Price/Unit | Wastage/Buffer</t>
  </si>
  <si>
    <t>RANGE 2 (1 column) -&gt; paste into L only</t>
  </si>
  <si>
    <t>- Note</t>
  </si>
  <si>
    <t>GPT must NOT output anything for column K.</t>
  </si>
  <si>
    <t>If user requests "tab delimited", GPT MUST provide:</t>
  </si>
  <si>
    <t>- One copy block for E:J</t>
  </si>
  <si>
    <t>- One copy block for L</t>
  </si>
  <si>
    <t>(never a single big block that includes Total column)</t>
  </si>
  <si>
    <t>8) SUMMARY SHEET (AUTO S01-S100, FUTURE-PROOF)</t>
  </si>
  <si>
    <t>Summary must work even if future projects add more SXX sheets (up to S100).</t>
  </si>
  <si>
    <t>Approach:</t>
  </si>
  <si>
    <t>- SUMMARY column A generates S01..S100 automatically.</t>
  </si>
  <si>
    <t>- SUMMARY reads:</t>
  </si>
  <si>
    <t xml:space="preserve">  - Scope title from each SXX A1</t>
  </si>
  <si>
    <t xml:space="preserve">  - Block subtotals from fixed cells (you decide the fixed cell addresses)</t>
  </si>
  <si>
    <t>- MUST return blanks/0 gracefully if a sheet does not exist.</t>
  </si>
  <si>
    <t>A) SUMMARY COLUMN SETUP (RECOMMENDED)</t>
  </si>
  <si>
    <t>A: SheetName</t>
  </si>
  <si>
    <t>B: Scope Title (from SXX!A1)</t>
  </si>
  <si>
    <t>C: Material Usage Subtotal (NO RM or qty)  (optional)</t>
  </si>
  <si>
    <t>D: Material Standalone Subtotal (RM)</t>
  </si>
  <si>
    <t>E: Labour Subtotal (days/hours or RM)      (your choice, keep consistent)</t>
  </si>
  <si>
    <t>F: Rental/Service Subtotal (qty or RM)     (your choice)</t>
  </si>
  <si>
    <t>G: Scope Grand Total (RM) (if same unit type; usually from Standalone only)</t>
  </si>
  <si>
    <t>H: Notes</t>
  </si>
  <si>
    <t>B) AUTO LIST SHEET NAMES (Excel 365)</t>
  </si>
  <si>
    <t>In SUMMARY!A3:</t>
  </si>
  <si>
    <t>=LET(n,100,"S"&amp;TEXT(SEQUENCE(n),"00"))</t>
  </si>
  <si>
    <t>If you cannot use SEQUENCE, manual fill-down alternative:</t>
  </si>
  <si>
    <t>- Put in A3: ="S"&amp;TEXT(ROW(A1),"00")</t>
  </si>
  <si>
    <t>- Copy down until row 102 (100 rows total).</t>
  </si>
  <si>
    <t>C) PULL TITLE FROM EACH SXX</t>
  </si>
  <si>
    <t>In SUMMARY!B3 (then fill down):</t>
  </si>
  <si>
    <t>D) PULL SUBTOTALS (YOU MUST STANDARDIZE FIXED CELLS)</t>
  </si>
  <si>
    <t>To avoid conflicts, we define these as REQUIRED fixed cells (choose once, then keep forever):</t>
  </si>
  <si>
    <t>- Material Usage subtotal cell:   SXX!$K$40</t>
  </si>
  <si>
    <t>- Standalone subtotal cell:       SXX!$K$80</t>
  </si>
  <si>
    <t>- Labour subtotal cell:           SXX!$K$120</t>
  </si>
  <si>
    <t>- Rental/Service subtotal cell:   SXX!$K$160</t>
  </si>
  <si>
    <t>Then formulas:</t>
  </si>
  <si>
    <t>SUMMARY!C3 =IFERROR(INDIRECT("'"&amp;TRIM($A3)&amp;"'!$K$40"),0)</t>
  </si>
  <si>
    <t>SUMMARY!D3 =IFERROR(INDIRECT("'"&amp;TRIM($A3)&amp;"'!$K$80"),0)</t>
  </si>
  <si>
    <t>SUMMARY!E3 =IFERROR(INDIRECT("'"&amp;TRIM($A3)&amp;"'!$K$120"),0)</t>
  </si>
  <si>
    <t>SUMMARY!F3 =IFERROR(INDIRECT("'"&amp;TRIM($A3)&amp;"'!$K$160"),0)</t>
  </si>
  <si>
    <t>Grand total example (Standalone RM only):</t>
  </si>
  <si>
    <t>SUMMARY!G3 =D3</t>
  </si>
  <si>
    <t>Or if you want combine (only if units are compatible):</t>
  </si>
  <si>
    <t>SUMMARY!G3 =SUM(D3:F3)</t>
  </si>
  <si>
    <t>E) COMMON ERROR (WHY ROW 3 BECOMES BLANK)</t>
  </si>
  <si>
    <t>If B3 is blank while row4 works, usually:</t>
  </si>
  <si>
    <t>- A3 is blank (sheet name formula starts in A4 by mistake), OR</t>
  </si>
  <si>
    <t>- B3 references $A4 accidentally.</t>
  </si>
  <si>
    <t>Fix rule:</t>
  </si>
  <si>
    <t>- Row3 formulas must ALWAYS reference A3 (not A2, not A4).</t>
  </si>
  <si>
    <t>9) REQUIRED "ASK ONCE UPFRONT" CHECKLIST (TO AVOID REPEAT / LIMIT WASTE)</t>
  </si>
  <si>
    <t>Before sending any scope to Codex, GPT must ensure these are captured in SPEC (A:C):</t>
  </si>
  <si>
    <t>- Full Spec Asal dimensions/areas/lengths and options (A/B) that change quantities.</t>
  </si>
  <si>
    <t>- Waste% default (10% if not specified) and any scope-specific overrides.</t>
  </si>
  <si>
    <t>- Supplier purchase UOM for key materials (bag size, sheet size, pcs/box).</t>
  </si>
  <si>
    <t>- If a needed item is missing from Materials.txt:</t>
  </si>
  <si>
    <t xml:space="preserve">  - decide: (1) keep allowance line, OR (2) add new material entry to Materials.txt later.</t>
  </si>
  <si>
    <t>- Demolition/disposal:</t>
  </si>
  <si>
    <t xml:space="preserve">  - disposal mode (trip/roro/bin) + basis for charging.</t>
  </si>
  <si>
    <t>- Roof/gutter (if scope includes):</t>
  </si>
  <si>
    <t xml:space="preserve">  - overhang, lap, fastener density, flashing detail.</t>
  </si>
  <si>
    <t>10) HARDENING (RECOMMENDED)</t>
  </si>
  <si>
    <t>- Protect/lock column K (Total) in every SXX sheet to prevent accidental paste overwrite.</t>
  </si>
  <si>
    <t>- Pre-fill Total formulas for a fixed row window (e.g., 200 rows per block) so future paste never touches K.</t>
  </si>
  <si>
    <t>11) CONFLICTS FIXED FROM OLD README (WHAT CHANGED)</t>
  </si>
  <si>
    <t>- Removed conflict about "fixed cells not confirmed":</t>
  </si>
  <si>
    <t xml:space="preserve">  Now fixed cells are defined explicitly (K40/K80/K120/K160).</t>
  </si>
  <si>
    <t xml:space="preserve">  If you later choose different cells, update Summary once and keep forever.</t>
  </si>
  <si>
    <t>- Clarified that PENDING must NEVER appear in numeric columns (only Note).</t>
  </si>
  <si>
    <t>- Clarified TWO-RANGE paste method (E:J and L) to always skip Total column K.</t>
  </si>
  <si>
    <t>END OF TRACKER v2.0</t>
  </si>
  <si>
    <t>S01 - kerja pecah tiles lama, tukar tiles baru, pecah tempat duduk lama, bina tempat wuduk baru</t>
  </si>
  <si>
    <t>Tempat Wuduk Lama</t>
  </si>
  <si>
    <t>5ft x 12ft x 6"thk</t>
  </si>
  <si>
    <t>Tempat Wuduk Baru</t>
  </si>
  <si>
    <t>5ft x 10ft x 6"thk</t>
  </si>
  <si>
    <t>Tiles size 300 x 600</t>
  </si>
  <si>
    <t>Last updated: 2026-02-14</t>
  </si>
  <si>
    <t>TRACKER / README FINAL - BOQ.xls WORKFLOW (S01-S100 + SUMMARY)</t>
  </si>
  <si>
    <t>Version: FINAL</t>
  </si>
  <si>
    <t>- BOQ.xls is the single source of truth for all scopes (general use, not project-specific).</t>
  </si>
  <si>
    <t>- Sheets S01..S100 store scope data using a fixed template.</t>
  </si>
  <si>
    <t>- SUMMARY auto-collects scope titles and subtotals.</t>
  </si>
  <si>
    <t>- Update-only forever: never delete useful history; avoid double-count and avoid missing items.</t>
  </si>
  <si>
    <t>FILES IN REPO (RECOMMENDED)</t>
  </si>
  <si>
    <t>- BOQ.xls</t>
  </si>
  <si>
    <t>- Materials.txt   (reference list for exact material names + UOM + rates if available)</t>
  </si>
  <si>
    <t>- Labour.txt      (reference list for exact labour names + UOM + rates if available)</t>
  </si>
  <si>
    <t>- README.txt      (this file)</t>
  </si>
  <si>
    <t>- Work sheets must be named exactly:</t>
  </si>
  <si>
    <t xml:space="preserve">  S01, S02, ... S100  (uppercase S + 2 digits, no spaces)</t>
  </si>
  <si>
    <t>- Summary sheet name:</t>
  </si>
  <si>
    <t xml:space="preserve">  SUMMARY  (recommended uppercase; do not rename after formulas are set)</t>
  </si>
  <si>
    <t>2) TEMPLATE LAYOUT PER SXX (LOCKED STRUCTURE)</t>
  </si>
  <si>
    <t>(A) SPEC AREA (USER-OWNED, EDITABLE)</t>
  </si>
  <si>
    <t>- Columns A:C only</t>
  </si>
  <si>
    <t>- A1: Scope title line (editable)</t>
  </si>
  <si>
    <t xml:space="preserve">  Example: "S01 SPEC (HEADER - EDITABLE)"</t>
  </si>
  <si>
    <t>- Row 2: headers</t>
  </si>
  <si>
    <t>- Rows A3..C?? are editable, no fixed end.</t>
  </si>
  <si>
    <t>- SPEC is NOT used by SUMMARY calculations directly.</t>
  </si>
  <si>
    <t>- SPEC defines the scope; if SPEC changes, related quantities/items may need update.</t>
  </si>
  <si>
    <t>(B) SPACER COLUMNS (MUST STAY BLANK FOREVER)</t>
  </si>
  <si>
    <t>- Column D  = spacer after SPEC</t>
  </si>
  <si>
    <t>- Column M  = spacer after Block 1</t>
  </si>
  <si>
    <t>- Column V  = spacer after Block 2</t>
  </si>
  <si>
    <t>- Column AE = spacer after Block 3</t>
  </si>
  <si>
    <t>- Do not write data or formulas in spacer columns.</t>
  </si>
  <si>
    <t>(C) 4 DATA BLOCKS (CODEX WRITES HERE, FIXED POSITIONS)</t>
  </si>
  <si>
    <t>Each block is exactly 8 columns wide with the same logical fields:</t>
  </si>
  <si>
    <t xml:space="preserve">  1) Spec</t>
  </si>
  <si>
    <t xml:space="preserve">  2) Description (Exact name from Materials.txt / Labour.txt)</t>
  </si>
  <si>
    <t xml:space="preserve">  3) Qty</t>
  </si>
  <si>
    <t xml:space="preserve">  4) UOM</t>
  </si>
  <si>
    <t xml:space="preserve">  5) Price/Unit (RM)  (blank if NO RM block)</t>
  </si>
  <si>
    <t xml:space="preserve">  6) Wastage/Buffer (%)</t>
  </si>
  <si>
    <t xml:space="preserve">  7) Total (RM)       (FORMULA ONLY; must never be overwritten)</t>
  </si>
  <si>
    <t xml:space="preserve">  8) Note             (all status/pending/remarks go here only)</t>
  </si>
  <si>
    <t>Block positions (LOCKED):</t>
  </si>
  <si>
    <t>- Block 1: E:L    Total column = K (FORMULA ONLY)</t>
  </si>
  <si>
    <t>- Block 2: N:U    Total column = T (FORMULA ONLY)</t>
  </si>
  <si>
    <t>- Block 3: W:AD   Total column = AC (FORMULA ONLY)</t>
  </si>
  <si>
    <t>- Block 4: AF:AM  Total column = AL (FORMULA ONLY)</t>
  </si>
  <si>
    <t>(D) BLOCK TITLES + HEADERS (MANDATORY)</t>
  </si>
  <si>
    <t>Inside each block:</t>
  </si>
  <si>
    <t>- Title row (1 full row): title text in the first column of that block only.</t>
  </si>
  <si>
    <t>- Header row (next row): the 8 headers:</t>
  </si>
  <si>
    <t xml:space="preserve">  Spec | Description (Exact name from Materials.txt/Labour.txt) | Qty | UOM | Price/Unit (RM) | Wastage/Buffer (%) | Total (RM) | Note</t>
  </si>
  <si>
    <t>- Data rows follow below.</t>
  </si>
  <si>
    <t>- Subtotal row: subtotal in the block Total column only (K / T / AC / AL), note in Note column.</t>
  </si>
  <si>
    <t>3) CRITICAL DATA RULES (APPLY TO ALL SXX)</t>
  </si>
  <si>
    <t>(A) TOTAL COLUMNS ARE FORMULA-ONLY</t>
  </si>
  <si>
    <t>- Never type or paste into these columns:</t>
  </si>
  <si>
    <t xml:space="preserve">  K (Block1), T (Block2), AC (Block3), AL (Block4)</t>
  </si>
  <si>
    <t>(B) PENDING / STATUS TEXT RULE</t>
  </si>
  <si>
    <t>- Never put text like "PENDING", "OK" inside numeric cells:</t>
  </si>
  <si>
    <t xml:space="preserve">  Qty / Price/Unit / Total columns</t>
  </si>
  <si>
    <t>- Put all pending/status text only in Note column:</t>
  </si>
  <si>
    <t xml:space="preserve">  L (Block1), U (Block2), AD (Block3), AM (Block4)</t>
  </si>
  <si>
    <t>(C) UPDATE-ONLY (NO DELETE)</t>
  </si>
  <si>
    <t>- Never delete old useful lines.</t>
  </si>
  <si>
    <t>- If an old item becomes obsolete due to spec change:</t>
  </si>
  <si>
    <t xml:space="preserve">  set Qty = 0 and explain in Note (do not delete).</t>
  </si>
  <si>
    <t>- Add new rows below when adding new items.</t>
  </si>
  <si>
    <t>4) BLOCK PURPOSES (GENERAL USE)</t>
  </si>
  <si>
    <t>Block 1 (E:L) - MATERIAL USAGE (NO RM)</t>
  </si>
  <si>
    <t>- Stores calculated usage quantities (base qty + wastage).</t>
  </si>
  <si>
    <t>- Price/Unit normally blank.</t>
  </si>
  <si>
    <t>- Total column may be "final qty" or remain formula-based per your template choice.</t>
  </si>
  <si>
    <t>Block 2 (N:U) - MATERIAL STANDALONE / PRICING (RM)</t>
  </si>
  <si>
    <t>- Stores supplier purchase UOM + purchase qty + unit rate (RM).</t>
  </si>
  <si>
    <t>- Total = per-line RM amount formula (do not overwrite Total column).</t>
  </si>
  <si>
    <t>- Must work per-scope even if customer selects only one scope.</t>
  </si>
  <si>
    <t>Block 3 (W:AD) - LABOUR (NO RM by default)</t>
  </si>
  <si>
    <t>- Stores labour items in days/hours (pick one standard).</t>
  </si>
  <si>
    <t>- Price/Unit optional (only if you later decide to rate labour).</t>
  </si>
  <si>
    <t>- Total column can be buffered days/hours.</t>
  </si>
  <si>
    <t>Block 4 (AF:AM) - RENTAL / SERVICE (NO RM by default)</t>
  </si>
  <si>
    <t>- Stores rental/service quantities + duration or lot basis.</t>
  </si>
  <si>
    <t>- Price/Unit optional if later rated.</t>
  </si>
  <si>
    <t>- Total column can be buffered qty/duration.</t>
  </si>
  <si>
    <t>5) ROLE SPLIT (FINAL - NO CONFLICT)</t>
  </si>
  <si>
    <t>(A) CODEX = PRIMARY WRITER (DOES THE WORK)</t>
  </si>
  <si>
    <t>Codex must:</t>
  </si>
  <si>
    <t>- Read BOQ.xls and ONLY work on specified sheet(s) SXX.</t>
  </si>
  <si>
    <t>- Read Materials.txt and Labour.txt.</t>
  </si>
  <si>
    <t>- Expand SPEC into complete lists:</t>
  </si>
  <si>
    <t xml:space="preserve">  - materials usage (Block 1)</t>
  </si>
  <si>
    <t xml:space="preserve">  - materials standalone/pricing (Block 2) if rates/UOM exist</t>
  </si>
  <si>
    <t xml:space="preserve">  - labour (Block 3)</t>
  </si>
  <si>
    <t xml:space="preserve">  - rental/service (Block 4)</t>
  </si>
  <si>
    <t>- Map "Description" to EXACT names from Materials.txt / Labour.txt.</t>
  </si>
  <si>
    <t>- Choose correct UOM and compute Qty + Wastage/Buffer.</t>
  </si>
  <si>
    <t>- Update-only: do not delete old useful lines.</t>
  </si>
  <si>
    <t>- Never overwrite Total columns (K/T/AC/AL).</t>
  </si>
  <si>
    <t>- Put pending status only in Note columns.</t>
  </si>
  <si>
    <t>If inputs are missing:</t>
  </si>
  <si>
    <t>- Return ONE "INPUTS NEEDED" list only (no repeated questions every run).</t>
  </si>
  <si>
    <t>(B) GPT (CHATGPT) = CHECKER / AUDITOR (NOT PRIMARY WRITER)</t>
  </si>
  <si>
    <t>GPT must:</t>
  </si>
  <si>
    <t>- Review Codex output for compliance:</t>
  </si>
  <si>
    <t xml:space="preserve">  - correct block columns (no drift)</t>
  </si>
  <si>
    <t xml:space="preserve">  - Total columns untouched</t>
  </si>
  <si>
    <t xml:space="preserve">  - no text in numeric cells</t>
  </si>
  <si>
    <t xml:space="preserve">  - exact name mapping matches Materials/Labour list</t>
  </si>
  <si>
    <t xml:space="preserve">  - update-only respected (no deletions, obsolete -&gt; Qty=0)</t>
  </si>
  <si>
    <t>- Help user rewrite SPEC (A:C) more clearly for Codex when inputs are missing.</t>
  </si>
  <si>
    <t>- Provide correction notes (what to fix, where, why).</t>
  </si>
  <si>
    <t>- GPT should NOT be the one filling E:AM as the main workflow in this plan.</t>
  </si>
  <si>
    <t>6) SUMMARY SHEET (AUTO S01-S100)</t>
  </si>
  <si>
    <t>SUMMARY recommended columns:</t>
  </si>
  <si>
    <t>A = SheetName (S01..S100)</t>
  </si>
  <si>
    <t>B = Scope Title (reads SXX!A1)</t>
  </si>
  <si>
    <t>D = Labour Subtotal (days or RM)</t>
  </si>
  <si>
    <t>E = Rental/Service Subtotal (qty or RM)</t>
  </si>
  <si>
    <t>F = Grand Total (RM) = C + D + E (only if units are RM; otherwise keep separate)</t>
  </si>
  <si>
    <t>A column list:</t>
  </si>
  <si>
    <t>- A3 = S01</t>
  </si>
  <si>
    <t>- A4 = S02</t>
  </si>
  <si>
    <t>- ...</t>
  </si>
  <si>
    <t>- A102 = S100</t>
  </si>
  <si>
    <t>Formulas (start at row 3, fill down):</t>
  </si>
  <si>
    <t>B3:</t>
  </si>
  <si>
    <t>C3/D3/E3:</t>
  </si>
  <si>
    <t>- You MUST standardize fixed subtotal cell positions in each SXX.</t>
  </si>
  <si>
    <t>- Example fixed cells (edit to your final template):</t>
  </si>
  <si>
    <t xml:space="preserve">  C3 (Material standalone subtotal):</t>
  </si>
  <si>
    <t xml:space="preserve">  =IFERROR(INDIRECT("'"&amp;TRIM($A3)&amp;"'!$T$40"),0)</t>
  </si>
  <si>
    <t xml:space="preserve">  D3 (Labour subtotal):</t>
  </si>
  <si>
    <t xml:space="preserve">  =IFERROR(INDIRECT("'"&amp;TRIM($A3)&amp;"'!$AC$40"),0)</t>
  </si>
  <si>
    <t xml:space="preserve">  E3 (Rental/service subtotal):</t>
  </si>
  <si>
    <t xml:space="preserve">  =IFERROR(INDIRECT("'"&amp;TRIM($A3)&amp;"'!$AL$40"),0)</t>
  </si>
  <si>
    <t>F3:</t>
  </si>
  <si>
    <t>If row 3 shows blank:</t>
  </si>
  <si>
    <t>- Most common causes:</t>
  </si>
  <si>
    <t xml:space="preserve">  - formula references A2 instead of A3</t>
  </si>
  <si>
    <t xml:space="preserve">  - A3 sheet name has leading/trailing spaces (use TRIM)</t>
  </si>
  <si>
    <t xml:space="preserve">  - sheet name typo (must match exact S01)</t>
  </si>
  <si>
    <t xml:space="preserve">  - missing quotes in INDIRECT</t>
  </si>
  <si>
    <t>7) SAFE MANUAL PASTE METHOD (ONLY IF YOU MUST PASTE)</t>
  </si>
  <si>
    <t>Because Total columns are formula-only, manual paste must SKIP them.</t>
  </si>
  <si>
    <t>Per block, use TWO-RANGE paste:</t>
  </si>
  <si>
    <t>- Range A (6 cols): Spec, Description, Qty, UOM, Price/Unit, Wastage/Buffer</t>
  </si>
  <si>
    <t>- Range B (1 col): Note</t>
  </si>
  <si>
    <t>Block 1 (E:L) skip K:</t>
  </si>
  <si>
    <t>- Paste Range A into E:J</t>
  </si>
  <si>
    <t>- Paste Range B into L</t>
  </si>
  <si>
    <t>Block 2 (N:U) skip T:</t>
  </si>
  <si>
    <t>- Paste Range A into N:S</t>
  </si>
  <si>
    <t>- Paste Range B into U</t>
  </si>
  <si>
    <t>Block 3 (W:AD) skip AC:</t>
  </si>
  <si>
    <t>- Paste Range A into W:AB</t>
  </si>
  <si>
    <t>- Paste Range B into AD</t>
  </si>
  <si>
    <t>Block 4 (AF:AM) skip AL:</t>
  </si>
  <si>
    <t>- Paste Range A into AF:AK</t>
  </si>
  <si>
    <t>- Paste Range B into AM</t>
  </si>
  <si>
    <t>Never paste into K/T/AC/AL.</t>
  </si>
  <si>
    <t>8) HANDOVER (FOR NEW AI SESSION)</t>
  </si>
  <si>
    <t>When starting a new chat, paste this:</t>
  </si>
  <si>
    <t>- "We are using BOQ.xls template S01..S100 + SUMMARY. Follow README FINAL role split:</t>
  </si>
  <si>
    <t xml:space="preserve">   Codex is primary writer (maps exact names + fills E:AM blocks update-only),</t>
  </si>
  <si>
    <t xml:space="preserve">   GPT is checker/auditor only.</t>
  </si>
  <si>
    <t xml:space="preserve">   Do not overwrite Total columns K/T/AC/AL.</t>
  </si>
  <si>
    <t xml:space="preserve">   No text in numeric columns; pending only in Note columns.</t>
  </si>
  <si>
    <t xml:space="preserve">   Spacer columns D/M/V/AE must stay blank.</t>
  </si>
  <si>
    <t xml:space="preserve">   Work only on specified sheet(s)."</t>
  </si>
  <si>
    <t>END OF README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</si>
</sst>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ill="1"/>
    <xf numFmtId="9" fontId="0" fillId="0" borderId="0" xfId="0" applyNumberFormat="1"/>
    <xf numFmtId="0" fontId="0" fillId="3" borderId="0" xfId="0" applyFill="1"/>
    <xf numFmtId="9" fontId="0" fillId="0" borderId="0" xfId="0" applyNumberFormat="1" applyFill="1"/>
    <xf numFmtId="0" fontId="0" fillId="3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6F63-7B1B-4620-B9C0-BB2BE7C9A42B}">
  <dimension ref="A1:A232"/>
  <sheetViews>
    <sheetView tabSelected="1" workbookViewId="0">
      <selection activeCell="A28" sqref="A28"/>
    </sheetView>
  </sheetViews>
  <sheetFormatPr defaultRowHeight="15" x14ac:dyDescent="0.25"/>
  <cols>
    <col min="1" max="1" width="120.140625" style="7" bestFit="1" customWidth="1"/>
    <col min="2" max="16384" width="9.140625" style="7"/>
  </cols>
  <sheetData>
    <row r="1" spans="1:1" x14ac:dyDescent="0.25">
      <c r="A1" s="7" t="s">
        <v>1038</v>
      </c>
    </row>
    <row r="2" spans="1:1" x14ac:dyDescent="0.25">
      <c r="A2" s="7" t="s">
        <v>1039</v>
      </c>
    </row>
    <row r="3" spans="1:1" x14ac:dyDescent="0.25">
      <c r="A3" s="7" t="s">
        <v>1037</v>
      </c>
    </row>
    <row r="5" spans="1:1" x14ac:dyDescent="0.25">
      <c r="A5" s="7" t="s">
        <v>775</v>
      </c>
    </row>
    <row r="6" spans="1:1" x14ac:dyDescent="0.25">
      <c r="A6" s="7" t="s">
        <v>1040</v>
      </c>
    </row>
    <row r="7" spans="1:1" x14ac:dyDescent="0.25">
      <c r="A7" s="7" t="s">
        <v>1041</v>
      </c>
    </row>
    <row r="8" spans="1:1" x14ac:dyDescent="0.25">
      <c r="A8" s="7" t="s">
        <v>1042</v>
      </c>
    </row>
    <row r="9" spans="1:1" x14ac:dyDescent="0.25">
      <c r="A9" s="7" t="s">
        <v>1043</v>
      </c>
    </row>
    <row r="11" spans="1:1" x14ac:dyDescent="0.25">
      <c r="A11" s="7" t="s">
        <v>1044</v>
      </c>
    </row>
    <row r="12" spans="1:1" x14ac:dyDescent="0.25">
      <c r="A12" s="7" t="s">
        <v>1045</v>
      </c>
    </row>
    <row r="13" spans="1:1" x14ac:dyDescent="0.25">
      <c r="A13" s="7" t="s">
        <v>1046</v>
      </c>
    </row>
    <row r="14" spans="1:1" x14ac:dyDescent="0.25">
      <c r="A14" s="7" t="s">
        <v>1047</v>
      </c>
    </row>
    <row r="15" spans="1:1" x14ac:dyDescent="0.25">
      <c r="A15" s="7" t="s">
        <v>1048</v>
      </c>
    </row>
    <row r="17" spans="1:1" x14ac:dyDescent="0.25">
      <c r="A17" s="7" t="s">
        <v>714</v>
      </c>
    </row>
    <row r="18" spans="1:1" x14ac:dyDescent="0.25">
      <c r="A18" s="7" t="s">
        <v>863</v>
      </c>
    </row>
    <row r="19" spans="1:1" x14ac:dyDescent="0.25">
      <c r="A19" s="7" t="s">
        <v>714</v>
      </c>
    </row>
    <row r="20" spans="1:1" x14ac:dyDescent="0.25">
      <c r="A20" s="7" t="s">
        <v>1049</v>
      </c>
    </row>
    <row r="21" spans="1:1" x14ac:dyDescent="0.25">
      <c r="A21" s="7" t="s">
        <v>1050</v>
      </c>
    </row>
    <row r="22" spans="1:1" x14ac:dyDescent="0.25">
      <c r="A22" s="7" t="s">
        <v>1051</v>
      </c>
    </row>
    <row r="23" spans="1:1" x14ac:dyDescent="0.25">
      <c r="A23" s="7" t="s">
        <v>1052</v>
      </c>
    </row>
    <row r="25" spans="1:1" x14ac:dyDescent="0.25">
      <c r="A25" s="7" t="s">
        <v>714</v>
      </c>
    </row>
    <row r="26" spans="1:1" x14ac:dyDescent="0.25">
      <c r="A26" s="7" t="s">
        <v>1053</v>
      </c>
    </row>
    <row r="27" spans="1:1" x14ac:dyDescent="0.25">
      <c r="A27" s="7" t="s">
        <v>714</v>
      </c>
    </row>
    <row r="29" spans="1:1" x14ac:dyDescent="0.25">
      <c r="A29" s="7" t="s">
        <v>1054</v>
      </c>
    </row>
    <row r="30" spans="1:1" x14ac:dyDescent="0.25">
      <c r="A30" s="7" t="s">
        <v>1055</v>
      </c>
    </row>
    <row r="31" spans="1:1" x14ac:dyDescent="0.25">
      <c r="A31" s="7" t="s">
        <v>715</v>
      </c>
    </row>
    <row r="32" spans="1:1" x14ac:dyDescent="0.25">
      <c r="A32" s="7" t="s">
        <v>716</v>
      </c>
    </row>
    <row r="33" spans="1:1" x14ac:dyDescent="0.25">
      <c r="A33" s="7" t="s">
        <v>717</v>
      </c>
    </row>
    <row r="34" spans="1:1" x14ac:dyDescent="0.25">
      <c r="A34" s="7" t="s">
        <v>1056</v>
      </c>
    </row>
    <row r="35" spans="1:1" x14ac:dyDescent="0.25">
      <c r="A35" s="7" t="s">
        <v>1057</v>
      </c>
    </row>
    <row r="36" spans="1:1" x14ac:dyDescent="0.25">
      <c r="A36" s="7" t="s">
        <v>1058</v>
      </c>
    </row>
    <row r="37" spans="1:1" x14ac:dyDescent="0.25">
      <c r="A37" s="7" t="s">
        <v>718</v>
      </c>
    </row>
    <row r="38" spans="1:1" x14ac:dyDescent="0.25">
      <c r="A38" s="7" t="s">
        <v>719</v>
      </c>
    </row>
    <row r="39" spans="1:1" x14ac:dyDescent="0.25">
      <c r="A39" s="7" t="s">
        <v>720</v>
      </c>
    </row>
    <row r="40" spans="1:1" x14ac:dyDescent="0.25">
      <c r="A40" s="7" t="s">
        <v>1059</v>
      </c>
    </row>
    <row r="41" spans="1:1" x14ac:dyDescent="0.25">
      <c r="A41" s="7" t="s">
        <v>1060</v>
      </c>
    </row>
    <row r="42" spans="1:1" x14ac:dyDescent="0.25">
      <c r="A42" s="7" t="s">
        <v>1061</v>
      </c>
    </row>
    <row r="44" spans="1:1" x14ac:dyDescent="0.25">
      <c r="A44" s="7" t="s">
        <v>1062</v>
      </c>
    </row>
    <row r="45" spans="1:1" x14ac:dyDescent="0.25">
      <c r="A45" s="7" t="s">
        <v>1063</v>
      </c>
    </row>
    <row r="46" spans="1:1" x14ac:dyDescent="0.25">
      <c r="A46" s="7" t="s">
        <v>1064</v>
      </c>
    </row>
    <row r="47" spans="1:1" x14ac:dyDescent="0.25">
      <c r="A47" s="7" t="s">
        <v>1065</v>
      </c>
    </row>
    <row r="48" spans="1:1" x14ac:dyDescent="0.25">
      <c r="A48" s="7" t="s">
        <v>1066</v>
      </c>
    </row>
    <row r="49" spans="1:1" x14ac:dyDescent="0.25">
      <c r="A49" s="7" t="s">
        <v>1067</v>
      </c>
    </row>
    <row r="51" spans="1:1" x14ac:dyDescent="0.25">
      <c r="A51" s="7" t="s">
        <v>1068</v>
      </c>
    </row>
    <row r="52" spans="1:1" x14ac:dyDescent="0.25">
      <c r="A52" s="7" t="s">
        <v>1069</v>
      </c>
    </row>
    <row r="53" spans="1:1" x14ac:dyDescent="0.25">
      <c r="A53" s="7" t="s">
        <v>1070</v>
      </c>
    </row>
    <row r="54" spans="1:1" x14ac:dyDescent="0.25">
      <c r="A54" s="7" t="s">
        <v>1071</v>
      </c>
    </row>
    <row r="55" spans="1:1" x14ac:dyDescent="0.25">
      <c r="A55" s="7" t="s">
        <v>1072</v>
      </c>
    </row>
    <row r="56" spans="1:1" x14ac:dyDescent="0.25">
      <c r="A56" s="7" t="s">
        <v>1073</v>
      </c>
    </row>
    <row r="57" spans="1:1" x14ac:dyDescent="0.25">
      <c r="A57" s="7" t="s">
        <v>1074</v>
      </c>
    </row>
    <row r="58" spans="1:1" x14ac:dyDescent="0.25">
      <c r="A58" s="7" t="s">
        <v>1075</v>
      </c>
    </row>
    <row r="59" spans="1:1" x14ac:dyDescent="0.25">
      <c r="A59" s="7" t="s">
        <v>1076</v>
      </c>
    </row>
    <row r="60" spans="1:1" x14ac:dyDescent="0.25">
      <c r="A60" s="7" t="s">
        <v>1077</v>
      </c>
    </row>
    <row r="62" spans="1:1" x14ac:dyDescent="0.25">
      <c r="A62" s="7" t="s">
        <v>1078</v>
      </c>
    </row>
    <row r="63" spans="1:1" x14ac:dyDescent="0.25">
      <c r="A63" s="7" t="s">
        <v>1079</v>
      </c>
    </row>
    <row r="64" spans="1:1" x14ac:dyDescent="0.25">
      <c r="A64" s="7" t="s">
        <v>1080</v>
      </c>
    </row>
    <row r="65" spans="1:1" x14ac:dyDescent="0.25">
      <c r="A65" s="7" t="s">
        <v>1081</v>
      </c>
    </row>
    <row r="66" spans="1:1" x14ac:dyDescent="0.25">
      <c r="A66" s="7" t="s">
        <v>1082</v>
      </c>
    </row>
    <row r="68" spans="1:1" x14ac:dyDescent="0.25">
      <c r="A68" s="7" t="s">
        <v>1083</v>
      </c>
    </row>
    <row r="69" spans="1:1" x14ac:dyDescent="0.25">
      <c r="A69" s="7" t="s">
        <v>1084</v>
      </c>
    </row>
    <row r="70" spans="1:1" x14ac:dyDescent="0.25">
      <c r="A70" s="7" t="s">
        <v>1085</v>
      </c>
    </row>
    <row r="71" spans="1:1" x14ac:dyDescent="0.25">
      <c r="A71" s="7" t="s">
        <v>1086</v>
      </c>
    </row>
    <row r="72" spans="1:1" x14ac:dyDescent="0.25">
      <c r="A72" s="7" t="s">
        <v>1087</v>
      </c>
    </row>
    <row r="73" spans="1:1" x14ac:dyDescent="0.25">
      <c r="A73" s="7" t="s">
        <v>1088</v>
      </c>
    </row>
    <row r="74" spans="1:1" x14ac:dyDescent="0.25">
      <c r="A74" s="7" t="s">
        <v>1089</v>
      </c>
    </row>
    <row r="76" spans="1:1" x14ac:dyDescent="0.25">
      <c r="A76" s="7" t="s">
        <v>714</v>
      </c>
    </row>
    <row r="77" spans="1:1" x14ac:dyDescent="0.25">
      <c r="A77" s="7" t="s">
        <v>1090</v>
      </c>
    </row>
    <row r="78" spans="1:1" x14ac:dyDescent="0.25">
      <c r="A78" s="7" t="s">
        <v>714</v>
      </c>
    </row>
    <row r="79" spans="1:1" x14ac:dyDescent="0.25">
      <c r="A79" s="7" t="s">
        <v>1091</v>
      </c>
    </row>
    <row r="80" spans="1:1" x14ac:dyDescent="0.25">
      <c r="A80" s="7" t="s">
        <v>1092</v>
      </c>
    </row>
    <row r="81" spans="1:1" x14ac:dyDescent="0.25">
      <c r="A81" s="7" t="s">
        <v>1093</v>
      </c>
    </row>
    <row r="83" spans="1:1" x14ac:dyDescent="0.25">
      <c r="A83" s="7" t="s">
        <v>1094</v>
      </c>
    </row>
    <row r="84" spans="1:1" x14ac:dyDescent="0.25">
      <c r="A84" s="7" t="s">
        <v>1095</v>
      </c>
    </row>
    <row r="85" spans="1:1" x14ac:dyDescent="0.25">
      <c r="A85" s="7" t="s">
        <v>1096</v>
      </c>
    </row>
    <row r="86" spans="1:1" x14ac:dyDescent="0.25">
      <c r="A86" s="7" t="s">
        <v>1097</v>
      </c>
    </row>
    <row r="87" spans="1:1" x14ac:dyDescent="0.25">
      <c r="A87" s="7" t="s">
        <v>1098</v>
      </c>
    </row>
    <row r="89" spans="1:1" x14ac:dyDescent="0.25">
      <c r="A89" s="7" t="s">
        <v>1099</v>
      </c>
    </row>
    <row r="90" spans="1:1" x14ac:dyDescent="0.25">
      <c r="A90" s="7" t="s">
        <v>1100</v>
      </c>
    </row>
    <row r="91" spans="1:1" x14ac:dyDescent="0.25">
      <c r="A91" s="7" t="s">
        <v>1101</v>
      </c>
    </row>
    <row r="92" spans="1:1" x14ac:dyDescent="0.25">
      <c r="A92" s="7" t="s">
        <v>1102</v>
      </c>
    </row>
    <row r="93" spans="1:1" x14ac:dyDescent="0.25">
      <c r="A93" s="7" t="s">
        <v>1103</v>
      </c>
    </row>
    <row r="95" spans="1:1" x14ac:dyDescent="0.25">
      <c r="A95" s="7" t="s">
        <v>714</v>
      </c>
    </row>
    <row r="96" spans="1:1" x14ac:dyDescent="0.25">
      <c r="A96" s="7" t="s">
        <v>1104</v>
      </c>
    </row>
    <row r="97" spans="1:1" x14ac:dyDescent="0.25">
      <c r="A97" s="7" t="s">
        <v>714</v>
      </c>
    </row>
    <row r="98" spans="1:1" x14ac:dyDescent="0.25">
      <c r="A98" s="7" t="s">
        <v>1105</v>
      </c>
    </row>
    <row r="99" spans="1:1" x14ac:dyDescent="0.25">
      <c r="A99" s="7" t="s">
        <v>1106</v>
      </c>
    </row>
    <row r="100" spans="1:1" x14ac:dyDescent="0.25">
      <c r="A100" s="7" t="s">
        <v>1107</v>
      </c>
    </row>
    <row r="101" spans="1:1" x14ac:dyDescent="0.25">
      <c r="A101" s="7" t="s">
        <v>1108</v>
      </c>
    </row>
    <row r="103" spans="1:1" x14ac:dyDescent="0.25">
      <c r="A103" s="7" t="s">
        <v>1109</v>
      </c>
    </row>
    <row r="104" spans="1:1" x14ac:dyDescent="0.25">
      <c r="A104" s="7" t="s">
        <v>1110</v>
      </c>
    </row>
    <row r="105" spans="1:1" x14ac:dyDescent="0.25">
      <c r="A105" s="7" t="s">
        <v>1111</v>
      </c>
    </row>
    <row r="106" spans="1:1" x14ac:dyDescent="0.25">
      <c r="A106" s="7" t="s">
        <v>1112</v>
      </c>
    </row>
    <row r="108" spans="1:1" x14ac:dyDescent="0.25">
      <c r="A108" s="7" t="s">
        <v>1113</v>
      </c>
    </row>
    <row r="109" spans="1:1" x14ac:dyDescent="0.25">
      <c r="A109" s="7" t="s">
        <v>1114</v>
      </c>
    </row>
    <row r="110" spans="1:1" x14ac:dyDescent="0.25">
      <c r="A110" s="7" t="s">
        <v>1115</v>
      </c>
    </row>
    <row r="111" spans="1:1" x14ac:dyDescent="0.25">
      <c r="A111" s="7" t="s">
        <v>1116</v>
      </c>
    </row>
    <row r="113" spans="1:1" x14ac:dyDescent="0.25">
      <c r="A113" s="7" t="s">
        <v>1117</v>
      </c>
    </row>
    <row r="114" spans="1:1" x14ac:dyDescent="0.25">
      <c r="A114" s="7" t="s">
        <v>1118</v>
      </c>
    </row>
    <row r="115" spans="1:1" x14ac:dyDescent="0.25">
      <c r="A115" s="7" t="s">
        <v>1119</v>
      </c>
    </row>
    <row r="116" spans="1:1" x14ac:dyDescent="0.25">
      <c r="A116" s="7" t="s">
        <v>1120</v>
      </c>
    </row>
    <row r="118" spans="1:1" x14ac:dyDescent="0.25">
      <c r="A118" s="7" t="s">
        <v>714</v>
      </c>
    </row>
    <row r="119" spans="1:1" x14ac:dyDescent="0.25">
      <c r="A119" s="7" t="s">
        <v>1121</v>
      </c>
    </row>
    <row r="120" spans="1:1" x14ac:dyDescent="0.25">
      <c r="A120" s="7" t="s">
        <v>714</v>
      </c>
    </row>
    <row r="121" spans="1:1" x14ac:dyDescent="0.25">
      <c r="A121" s="7" t="s">
        <v>1122</v>
      </c>
    </row>
    <row r="122" spans="1:1" x14ac:dyDescent="0.25">
      <c r="A122" s="7" t="s">
        <v>1123</v>
      </c>
    </row>
    <row r="123" spans="1:1" x14ac:dyDescent="0.25">
      <c r="A123" s="7" t="s">
        <v>1124</v>
      </c>
    </row>
    <row r="124" spans="1:1" x14ac:dyDescent="0.25">
      <c r="A124" s="7" t="s">
        <v>1125</v>
      </c>
    </row>
    <row r="125" spans="1:1" x14ac:dyDescent="0.25">
      <c r="A125" s="7" t="s">
        <v>1126</v>
      </c>
    </row>
    <row r="126" spans="1:1" x14ac:dyDescent="0.25">
      <c r="A126" s="7" t="s">
        <v>1127</v>
      </c>
    </row>
    <row r="127" spans="1:1" x14ac:dyDescent="0.25">
      <c r="A127" s="7" t="s">
        <v>1128</v>
      </c>
    </row>
    <row r="128" spans="1:1" x14ac:dyDescent="0.25">
      <c r="A128" s="7" t="s">
        <v>1129</v>
      </c>
    </row>
    <row r="129" spans="1:1" x14ac:dyDescent="0.25">
      <c r="A129" s="7" t="s">
        <v>1130</v>
      </c>
    </row>
    <row r="130" spans="1:1" x14ac:dyDescent="0.25">
      <c r="A130" s="7" t="s">
        <v>1131</v>
      </c>
    </row>
    <row r="131" spans="1:1" x14ac:dyDescent="0.25">
      <c r="A131" s="7" t="s">
        <v>1132</v>
      </c>
    </row>
    <row r="132" spans="1:1" x14ac:dyDescent="0.25">
      <c r="A132" s="7" t="s">
        <v>1133</v>
      </c>
    </row>
    <row r="133" spans="1:1" x14ac:dyDescent="0.25">
      <c r="A133" s="7" t="s">
        <v>1134</v>
      </c>
    </row>
    <row r="134" spans="1:1" x14ac:dyDescent="0.25">
      <c r="A134" s="7" t="s">
        <v>1135</v>
      </c>
    </row>
    <row r="135" spans="1:1" x14ac:dyDescent="0.25">
      <c r="A135" s="7" t="s">
        <v>1136</v>
      </c>
    </row>
    <row r="136" spans="1:1" x14ac:dyDescent="0.25">
      <c r="A136" s="7" t="s">
        <v>1137</v>
      </c>
    </row>
    <row r="138" spans="1:1" x14ac:dyDescent="0.25">
      <c r="A138" s="7" t="s">
        <v>1138</v>
      </c>
    </row>
    <row r="139" spans="1:1" x14ac:dyDescent="0.25">
      <c r="A139" s="7" t="s">
        <v>1139</v>
      </c>
    </row>
    <row r="140" spans="1:1" x14ac:dyDescent="0.25">
      <c r="A140" s="7" t="s">
        <v>1140</v>
      </c>
    </row>
    <row r="141" spans="1:1" x14ac:dyDescent="0.25">
      <c r="A141" s="7" t="s">
        <v>1141</v>
      </c>
    </row>
    <row r="142" spans="1:1" x14ac:dyDescent="0.25">
      <c r="A142" s="7" t="s">
        <v>1142</v>
      </c>
    </row>
    <row r="143" spans="1:1" x14ac:dyDescent="0.25">
      <c r="A143" s="7" t="s">
        <v>1143</v>
      </c>
    </row>
    <row r="144" spans="1:1" x14ac:dyDescent="0.25">
      <c r="A144" s="7" t="s">
        <v>1144</v>
      </c>
    </row>
    <row r="145" spans="1:1" x14ac:dyDescent="0.25">
      <c r="A145" s="7" t="s">
        <v>1145</v>
      </c>
    </row>
    <row r="146" spans="1:1" x14ac:dyDescent="0.25">
      <c r="A146" s="7" t="s">
        <v>1146</v>
      </c>
    </row>
    <row r="147" spans="1:1" x14ac:dyDescent="0.25">
      <c r="A147" s="7" t="s">
        <v>1147</v>
      </c>
    </row>
    <row r="149" spans="1:1" x14ac:dyDescent="0.25">
      <c r="A149" s="7" t="s">
        <v>721</v>
      </c>
    </row>
    <row r="150" spans="1:1" x14ac:dyDescent="0.25">
      <c r="A150" s="7" t="s">
        <v>1148</v>
      </c>
    </row>
    <row r="152" spans="1:1" x14ac:dyDescent="0.25">
      <c r="A152" s="7" t="s">
        <v>714</v>
      </c>
    </row>
    <row r="153" spans="1:1" x14ac:dyDescent="0.25">
      <c r="A153" s="7" t="s">
        <v>1149</v>
      </c>
    </row>
    <row r="154" spans="1:1" x14ac:dyDescent="0.25">
      <c r="A154" s="7" t="s">
        <v>714</v>
      </c>
    </row>
    <row r="155" spans="1:1" x14ac:dyDescent="0.25">
      <c r="A155" s="7" t="s">
        <v>1150</v>
      </c>
    </row>
    <row r="156" spans="1:1" x14ac:dyDescent="0.25">
      <c r="A156" s="7" t="s">
        <v>1151</v>
      </c>
    </row>
    <row r="157" spans="1:1" x14ac:dyDescent="0.25">
      <c r="A157" s="7" t="s">
        <v>1152</v>
      </c>
    </row>
    <row r="158" spans="1:1" x14ac:dyDescent="0.25">
      <c r="A158" s="7" t="s">
        <v>726</v>
      </c>
    </row>
    <row r="159" spans="1:1" x14ac:dyDescent="0.25">
      <c r="A159" s="7" t="s">
        <v>1153</v>
      </c>
    </row>
    <row r="160" spans="1:1" x14ac:dyDescent="0.25">
      <c r="A160" s="7" t="s">
        <v>1154</v>
      </c>
    </row>
    <row r="161" spans="1:1" x14ac:dyDescent="0.25">
      <c r="A161" s="7" t="s">
        <v>1155</v>
      </c>
    </row>
    <row r="163" spans="1:1" x14ac:dyDescent="0.25">
      <c r="A163" s="7" t="s">
        <v>1156</v>
      </c>
    </row>
    <row r="164" spans="1:1" x14ac:dyDescent="0.25">
      <c r="A164" s="7" t="s">
        <v>1157</v>
      </c>
    </row>
    <row r="165" spans="1:1" x14ac:dyDescent="0.25">
      <c r="A165" s="7" t="s">
        <v>1158</v>
      </c>
    </row>
    <row r="166" spans="1:1" x14ac:dyDescent="0.25">
      <c r="A166" s="7" t="s">
        <v>1159</v>
      </c>
    </row>
    <row r="167" spans="1:1" x14ac:dyDescent="0.25">
      <c r="A167" s="7" t="s">
        <v>1160</v>
      </c>
    </row>
    <row r="169" spans="1:1" x14ac:dyDescent="0.25">
      <c r="A169" s="7" t="s">
        <v>1161</v>
      </c>
    </row>
    <row r="170" spans="1:1" x14ac:dyDescent="0.25">
      <c r="A170" s="7" t="s">
        <v>1162</v>
      </c>
    </row>
    <row r="171" spans="1:1" x14ac:dyDescent="0.25">
      <c r="A171" s="7" t="s">
        <v>765</v>
      </c>
    </row>
    <row r="173" spans="1:1" x14ac:dyDescent="0.25">
      <c r="A173" s="7" t="s">
        <v>1163</v>
      </c>
    </row>
    <row r="174" spans="1:1" x14ac:dyDescent="0.25">
      <c r="A174" s="7" t="s">
        <v>1164</v>
      </c>
    </row>
    <row r="175" spans="1:1" x14ac:dyDescent="0.25">
      <c r="A175" s="7" t="s">
        <v>1165</v>
      </c>
    </row>
    <row r="176" spans="1:1" x14ac:dyDescent="0.25">
      <c r="A176" s="7" t="s">
        <v>1166</v>
      </c>
    </row>
    <row r="177" spans="1:1" x14ac:dyDescent="0.25">
      <c r="A177" s="7" t="s">
        <v>1167</v>
      </c>
    </row>
    <row r="178" spans="1:1" x14ac:dyDescent="0.25">
      <c r="A178" s="7" t="s">
        <v>1168</v>
      </c>
    </row>
    <row r="179" spans="1:1" x14ac:dyDescent="0.25">
      <c r="A179" s="7" t="s">
        <v>1169</v>
      </c>
    </row>
    <row r="180" spans="1:1" x14ac:dyDescent="0.25">
      <c r="A180" s="7" t="s">
        <v>1170</v>
      </c>
    </row>
    <row r="181" spans="1:1" x14ac:dyDescent="0.25">
      <c r="A181" s="7" t="s">
        <v>1171</v>
      </c>
    </row>
    <row r="183" spans="1:1" x14ac:dyDescent="0.25">
      <c r="A183" s="7" t="s">
        <v>1172</v>
      </c>
    </row>
    <row r="184" spans="1:1" x14ac:dyDescent="0.25">
      <c r="A184" s="7" t="s">
        <v>766</v>
      </c>
    </row>
    <row r="186" spans="1:1" x14ac:dyDescent="0.25">
      <c r="A186" s="7" t="s">
        <v>1173</v>
      </c>
    </row>
    <row r="187" spans="1:1" x14ac:dyDescent="0.25">
      <c r="A187" s="7" t="s">
        <v>1174</v>
      </c>
    </row>
    <row r="188" spans="1:1" x14ac:dyDescent="0.25">
      <c r="A188" s="7" t="s">
        <v>1175</v>
      </c>
    </row>
    <row r="189" spans="1:1" x14ac:dyDescent="0.25">
      <c r="A189" s="7" t="s">
        <v>1176</v>
      </c>
    </row>
    <row r="190" spans="1:1" x14ac:dyDescent="0.25">
      <c r="A190" s="7" t="s">
        <v>1177</v>
      </c>
    </row>
    <row r="191" spans="1:1" x14ac:dyDescent="0.25">
      <c r="A191" s="7" t="s">
        <v>1178</v>
      </c>
    </row>
    <row r="193" spans="1:1" x14ac:dyDescent="0.25">
      <c r="A193" s="7" t="s">
        <v>714</v>
      </c>
    </row>
    <row r="194" spans="1:1" x14ac:dyDescent="0.25">
      <c r="A194" s="7" t="s">
        <v>1179</v>
      </c>
    </row>
    <row r="195" spans="1:1" x14ac:dyDescent="0.25">
      <c r="A195" s="7" t="s">
        <v>714</v>
      </c>
    </row>
    <row r="196" spans="1:1" x14ac:dyDescent="0.25">
      <c r="A196" s="7" t="s">
        <v>1180</v>
      </c>
    </row>
    <row r="198" spans="1:1" x14ac:dyDescent="0.25">
      <c r="A198" s="7" t="s">
        <v>1181</v>
      </c>
    </row>
    <row r="199" spans="1:1" x14ac:dyDescent="0.25">
      <c r="A199" s="7" t="s">
        <v>1182</v>
      </c>
    </row>
    <row r="200" spans="1:1" x14ac:dyDescent="0.25">
      <c r="A200" s="7" t="s">
        <v>1183</v>
      </c>
    </row>
    <row r="202" spans="1:1" x14ac:dyDescent="0.25">
      <c r="A202" s="7" t="s">
        <v>1184</v>
      </c>
    </row>
    <row r="203" spans="1:1" x14ac:dyDescent="0.25">
      <c r="A203" s="7" t="s">
        <v>1185</v>
      </c>
    </row>
    <row r="204" spans="1:1" x14ac:dyDescent="0.25">
      <c r="A204" s="7" t="s">
        <v>1186</v>
      </c>
    </row>
    <row r="206" spans="1:1" x14ac:dyDescent="0.25">
      <c r="A206" s="7" t="s">
        <v>1187</v>
      </c>
    </row>
    <row r="207" spans="1:1" x14ac:dyDescent="0.25">
      <c r="A207" s="7" t="s">
        <v>1188</v>
      </c>
    </row>
    <row r="208" spans="1:1" x14ac:dyDescent="0.25">
      <c r="A208" s="7" t="s">
        <v>1189</v>
      </c>
    </row>
    <row r="210" spans="1:1" x14ac:dyDescent="0.25">
      <c r="A210" s="7" t="s">
        <v>1190</v>
      </c>
    </row>
    <row r="211" spans="1:1" x14ac:dyDescent="0.25">
      <c r="A211" s="7" t="s">
        <v>1191</v>
      </c>
    </row>
    <row r="212" spans="1:1" x14ac:dyDescent="0.25">
      <c r="A212" s="7" t="s">
        <v>1192</v>
      </c>
    </row>
    <row r="214" spans="1:1" x14ac:dyDescent="0.25">
      <c r="A214" s="7" t="s">
        <v>1193</v>
      </c>
    </row>
    <row r="215" spans="1:1" x14ac:dyDescent="0.25">
      <c r="A215" s="7" t="s">
        <v>1194</v>
      </c>
    </row>
    <row r="216" spans="1:1" x14ac:dyDescent="0.25">
      <c r="A216" s="7" t="s">
        <v>1195</v>
      </c>
    </row>
    <row r="218" spans="1:1" x14ac:dyDescent="0.25">
      <c r="A218" s="7" t="s">
        <v>1196</v>
      </c>
    </row>
    <row r="220" spans="1:1" x14ac:dyDescent="0.25">
      <c r="A220" s="7" t="s">
        <v>714</v>
      </c>
    </row>
    <row r="221" spans="1:1" x14ac:dyDescent="0.25">
      <c r="A221" s="7" t="s">
        <v>1197</v>
      </c>
    </row>
    <row r="222" spans="1:1" x14ac:dyDescent="0.25">
      <c r="A222" s="7" t="s">
        <v>714</v>
      </c>
    </row>
    <row r="223" spans="1:1" x14ac:dyDescent="0.25">
      <c r="A223" s="7" t="s">
        <v>1198</v>
      </c>
    </row>
    <row r="224" spans="1:1" x14ac:dyDescent="0.25">
      <c r="A224" s="7" t="s">
        <v>1199</v>
      </c>
    </row>
    <row r="225" spans="1:1" x14ac:dyDescent="0.25">
      <c r="A225" s="7" t="s">
        <v>1200</v>
      </c>
    </row>
    <row r="226" spans="1:1" x14ac:dyDescent="0.25">
      <c r="A226" s="7" t="s">
        <v>1201</v>
      </c>
    </row>
    <row r="227" spans="1:1" x14ac:dyDescent="0.25">
      <c r="A227" s="7" t="s">
        <v>1202</v>
      </c>
    </row>
    <row r="228" spans="1:1" x14ac:dyDescent="0.25">
      <c r="A228" s="7" t="s">
        <v>1203</v>
      </c>
    </row>
    <row r="229" spans="1:1" x14ac:dyDescent="0.25">
      <c r="A229" s="7" t="s">
        <v>1204</v>
      </c>
    </row>
    <row r="230" spans="1:1" x14ac:dyDescent="0.25">
      <c r="A230" s="7" t="s">
        <v>1205</v>
      </c>
    </row>
    <row r="232" spans="1:1" x14ac:dyDescent="0.25">
      <c r="A232" s="7" t="s">
        <v>1206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E25B-74E9-4BB6-8D4F-92BFC99F9745}">
  <dimension ref="A1:A400"/>
  <sheetViews>
    <sheetView workbookViewId="0">
      <selection activeCell="I21" sqref="I21"/>
    </sheetView>
  </sheetViews>
  <sheetFormatPr defaultRowHeight="15" x14ac:dyDescent="0.25"/>
  <cols>
    <col min="1" max="1" width="120.140625" style="7" bestFit="1" customWidth="1"/>
    <col min="2" max="16384" width="9.140625" style="7"/>
  </cols>
  <sheetData>
    <row r="1" spans="1:1" x14ac:dyDescent="0.25">
      <c r="A1" s="7" t="s">
        <v>713</v>
      </c>
    </row>
    <row r="2" spans="1:1" x14ac:dyDescent="0.25">
      <c r="A2" s="7" t="s">
        <v>855</v>
      </c>
    </row>
    <row r="3" spans="1:1" x14ac:dyDescent="0.25">
      <c r="A3" s="7" t="s">
        <v>856</v>
      </c>
    </row>
    <row r="5" spans="1:1" x14ac:dyDescent="0.25">
      <c r="A5" s="7" t="s">
        <v>775</v>
      </c>
    </row>
    <row r="6" spans="1:1" x14ac:dyDescent="0.25">
      <c r="A6" s="7" t="s">
        <v>857</v>
      </c>
    </row>
    <row r="7" spans="1:1" x14ac:dyDescent="0.25">
      <c r="A7" s="7" t="s">
        <v>858</v>
      </c>
    </row>
    <row r="8" spans="1:1" x14ac:dyDescent="0.25">
      <c r="A8" s="7" t="s">
        <v>859</v>
      </c>
    </row>
    <row r="9" spans="1:1" x14ac:dyDescent="0.25">
      <c r="A9" s="7" t="s">
        <v>860</v>
      </c>
    </row>
    <row r="10" spans="1:1" x14ac:dyDescent="0.25">
      <c r="A10" s="7" t="s">
        <v>861</v>
      </c>
    </row>
    <row r="11" spans="1:1" x14ac:dyDescent="0.25">
      <c r="A11" s="7" t="s">
        <v>862</v>
      </c>
    </row>
    <row r="13" spans="1:1" x14ac:dyDescent="0.25">
      <c r="A13" s="7" t="s">
        <v>714</v>
      </c>
    </row>
    <row r="14" spans="1:1" x14ac:dyDescent="0.25">
      <c r="A14" s="7" t="s">
        <v>863</v>
      </c>
    </row>
    <row r="15" spans="1:1" x14ac:dyDescent="0.25">
      <c r="A15" s="7" t="s">
        <v>714</v>
      </c>
    </row>
    <row r="16" spans="1:1" x14ac:dyDescent="0.25">
      <c r="A16" s="7" t="s">
        <v>864</v>
      </c>
    </row>
    <row r="17" spans="1:1" x14ac:dyDescent="0.25">
      <c r="A17" s="7" t="s">
        <v>865</v>
      </c>
    </row>
    <row r="18" spans="1:1" x14ac:dyDescent="0.25">
      <c r="A18" s="7" t="s">
        <v>866</v>
      </c>
    </row>
    <row r="20" spans="1:1" x14ac:dyDescent="0.25">
      <c r="A20" s="7" t="s">
        <v>714</v>
      </c>
    </row>
    <row r="21" spans="1:1" x14ac:dyDescent="0.25">
      <c r="A21" s="7" t="s">
        <v>867</v>
      </c>
    </row>
    <row r="22" spans="1:1" x14ac:dyDescent="0.25">
      <c r="A22" s="7" t="s">
        <v>714</v>
      </c>
    </row>
    <row r="24" spans="1:1" x14ac:dyDescent="0.25">
      <c r="A24" s="7" t="s">
        <v>868</v>
      </c>
    </row>
    <row r="25" spans="1:1" x14ac:dyDescent="0.25">
      <c r="A25" s="7" t="s">
        <v>869</v>
      </c>
    </row>
    <row r="26" spans="1:1" x14ac:dyDescent="0.25">
      <c r="A26" s="7" t="s">
        <v>870</v>
      </c>
    </row>
    <row r="27" spans="1:1" x14ac:dyDescent="0.25">
      <c r="A27" s="7" t="s">
        <v>871</v>
      </c>
    </row>
    <row r="28" spans="1:1" x14ac:dyDescent="0.25">
      <c r="A28" s="7" t="s">
        <v>718</v>
      </c>
    </row>
    <row r="29" spans="1:1" x14ac:dyDescent="0.25">
      <c r="A29" s="7" t="s">
        <v>719</v>
      </c>
    </row>
    <row r="30" spans="1:1" x14ac:dyDescent="0.25">
      <c r="A30" s="7" t="s">
        <v>720</v>
      </c>
    </row>
    <row r="31" spans="1:1" x14ac:dyDescent="0.25">
      <c r="A31" s="7" t="s">
        <v>872</v>
      </c>
    </row>
    <row r="32" spans="1:1" x14ac:dyDescent="0.25">
      <c r="A32" s="7" t="s">
        <v>873</v>
      </c>
    </row>
    <row r="33" spans="1:1" x14ac:dyDescent="0.25">
      <c r="A33" s="7" t="s">
        <v>874</v>
      </c>
    </row>
    <row r="35" spans="1:1" x14ac:dyDescent="0.25">
      <c r="A35" s="7" t="s">
        <v>875</v>
      </c>
    </row>
    <row r="36" spans="1:1" x14ac:dyDescent="0.25">
      <c r="A36" s="7" t="s">
        <v>876</v>
      </c>
    </row>
    <row r="38" spans="1:1" x14ac:dyDescent="0.25">
      <c r="A38" s="7" t="s">
        <v>877</v>
      </c>
    </row>
    <row r="39" spans="1:1" x14ac:dyDescent="0.25">
      <c r="A39" s="7" t="s">
        <v>878</v>
      </c>
    </row>
    <row r="40" spans="1:1" x14ac:dyDescent="0.25">
      <c r="A40" s="7" t="s">
        <v>879</v>
      </c>
    </row>
    <row r="41" spans="1:1" x14ac:dyDescent="0.25">
      <c r="A41" s="7" t="s">
        <v>880</v>
      </c>
    </row>
    <row r="42" spans="1:1" x14ac:dyDescent="0.25">
      <c r="A42" s="7" t="s">
        <v>881</v>
      </c>
    </row>
    <row r="43" spans="1:1" x14ac:dyDescent="0.25">
      <c r="A43" s="7" t="s">
        <v>882</v>
      </c>
    </row>
    <row r="44" spans="1:1" x14ac:dyDescent="0.25">
      <c r="A44" s="7" t="s">
        <v>883</v>
      </c>
    </row>
    <row r="45" spans="1:1" x14ac:dyDescent="0.25">
      <c r="A45" s="7" t="s">
        <v>884</v>
      </c>
    </row>
    <row r="46" spans="1:1" x14ac:dyDescent="0.25">
      <c r="A46" s="7" t="s">
        <v>885</v>
      </c>
    </row>
    <row r="47" spans="1:1" x14ac:dyDescent="0.25">
      <c r="A47" s="7" t="s">
        <v>886</v>
      </c>
    </row>
    <row r="49" spans="1:1" x14ac:dyDescent="0.25">
      <c r="A49" s="7" t="s">
        <v>887</v>
      </c>
    </row>
    <row r="50" spans="1:1" x14ac:dyDescent="0.25">
      <c r="A50" s="7" t="s">
        <v>888</v>
      </c>
    </row>
    <row r="51" spans="1:1" x14ac:dyDescent="0.25">
      <c r="A51" s="7" t="s">
        <v>889</v>
      </c>
    </row>
    <row r="53" spans="1:1" x14ac:dyDescent="0.25">
      <c r="A53" s="7" t="s">
        <v>714</v>
      </c>
    </row>
    <row r="54" spans="1:1" x14ac:dyDescent="0.25">
      <c r="A54" s="7" t="s">
        <v>890</v>
      </c>
    </row>
    <row r="55" spans="1:1" x14ac:dyDescent="0.25">
      <c r="A55" s="7" t="s">
        <v>714</v>
      </c>
    </row>
    <row r="57" spans="1:1" x14ac:dyDescent="0.25">
      <c r="A57" s="7" t="s">
        <v>891</v>
      </c>
    </row>
    <row r="58" spans="1:1" x14ac:dyDescent="0.25">
      <c r="A58" s="7" t="s">
        <v>892</v>
      </c>
    </row>
    <row r="59" spans="1:1" x14ac:dyDescent="0.25">
      <c r="A59" s="7" t="s">
        <v>893</v>
      </c>
    </row>
    <row r="60" spans="1:1" x14ac:dyDescent="0.25">
      <c r="A60" s="7" t="s">
        <v>894</v>
      </c>
    </row>
    <row r="61" spans="1:1" x14ac:dyDescent="0.25">
      <c r="A61" s="7" t="s">
        <v>895</v>
      </c>
    </row>
    <row r="62" spans="1:1" x14ac:dyDescent="0.25">
      <c r="A62" s="7" t="s">
        <v>896</v>
      </c>
    </row>
    <row r="63" spans="1:1" x14ac:dyDescent="0.25">
      <c r="A63" s="7" t="s">
        <v>897</v>
      </c>
    </row>
    <row r="64" spans="1:1" x14ac:dyDescent="0.25">
      <c r="A64" s="7" t="s">
        <v>898</v>
      </c>
    </row>
    <row r="66" spans="1:1" x14ac:dyDescent="0.25">
      <c r="A66" s="7" t="s">
        <v>899</v>
      </c>
    </row>
    <row r="67" spans="1:1" x14ac:dyDescent="0.25">
      <c r="A67" s="7" t="s">
        <v>900</v>
      </c>
    </row>
    <row r="68" spans="1:1" x14ac:dyDescent="0.25">
      <c r="A68" s="7" t="s">
        <v>901</v>
      </c>
    </row>
    <row r="69" spans="1:1" x14ac:dyDescent="0.25">
      <c r="A69" s="7" t="s">
        <v>902</v>
      </c>
    </row>
    <row r="70" spans="1:1" x14ac:dyDescent="0.25">
      <c r="A70" s="7" t="s">
        <v>903</v>
      </c>
    </row>
    <row r="71" spans="1:1" x14ac:dyDescent="0.25">
      <c r="A71" s="7" t="s">
        <v>904</v>
      </c>
    </row>
    <row r="72" spans="1:1" x14ac:dyDescent="0.25">
      <c r="A72" s="7" t="s">
        <v>905</v>
      </c>
    </row>
    <row r="73" spans="1:1" x14ac:dyDescent="0.25">
      <c r="A73" s="7" t="s">
        <v>906</v>
      </c>
    </row>
    <row r="74" spans="1:1" x14ac:dyDescent="0.25">
      <c r="A74" s="7" t="s">
        <v>907</v>
      </c>
    </row>
    <row r="76" spans="1:1" x14ac:dyDescent="0.25">
      <c r="A76" s="7" t="s">
        <v>908</v>
      </c>
    </row>
    <row r="77" spans="1:1" x14ac:dyDescent="0.25">
      <c r="A77" s="7" t="s">
        <v>722</v>
      </c>
    </row>
    <row r="78" spans="1:1" x14ac:dyDescent="0.25">
      <c r="A78" s="7" t="s">
        <v>909</v>
      </c>
    </row>
    <row r="79" spans="1:1" x14ac:dyDescent="0.25">
      <c r="A79" s="7" t="s">
        <v>910</v>
      </c>
    </row>
    <row r="80" spans="1:1" x14ac:dyDescent="0.25">
      <c r="A80" s="7" t="s">
        <v>911</v>
      </c>
    </row>
    <row r="81" spans="1:1" x14ac:dyDescent="0.25">
      <c r="A81" s="7" t="s">
        <v>912</v>
      </c>
    </row>
    <row r="82" spans="1:1" x14ac:dyDescent="0.25">
      <c r="A82" s="7" t="s">
        <v>723</v>
      </c>
    </row>
    <row r="83" spans="1:1" x14ac:dyDescent="0.25">
      <c r="A83" s="7" t="s">
        <v>913</v>
      </c>
    </row>
    <row r="84" spans="1:1" x14ac:dyDescent="0.25">
      <c r="A84" s="7" t="s">
        <v>914</v>
      </c>
    </row>
    <row r="85" spans="1:1" x14ac:dyDescent="0.25">
      <c r="A85" s="7" t="s">
        <v>915</v>
      </c>
    </row>
    <row r="86" spans="1:1" x14ac:dyDescent="0.25">
      <c r="A86" s="7" t="s">
        <v>916</v>
      </c>
    </row>
    <row r="87" spans="1:1" x14ac:dyDescent="0.25">
      <c r="A87" s="7" t="s">
        <v>724</v>
      </c>
    </row>
    <row r="88" spans="1:1" x14ac:dyDescent="0.25">
      <c r="A88" s="7" t="s">
        <v>909</v>
      </c>
    </row>
    <row r="89" spans="1:1" x14ac:dyDescent="0.25">
      <c r="A89" s="7" t="s">
        <v>917</v>
      </c>
    </row>
    <row r="90" spans="1:1" x14ac:dyDescent="0.25">
      <c r="A90" s="7" t="s">
        <v>918</v>
      </c>
    </row>
    <row r="91" spans="1:1" x14ac:dyDescent="0.25">
      <c r="A91" s="7" t="s">
        <v>919</v>
      </c>
    </row>
    <row r="92" spans="1:1" x14ac:dyDescent="0.25">
      <c r="A92" s="7" t="s">
        <v>725</v>
      </c>
    </row>
    <row r="93" spans="1:1" x14ac:dyDescent="0.25">
      <c r="A93" s="7" t="s">
        <v>920</v>
      </c>
    </row>
    <row r="95" spans="1:1" x14ac:dyDescent="0.25">
      <c r="A95" s="7" t="s">
        <v>921</v>
      </c>
    </row>
    <row r="96" spans="1:1" x14ac:dyDescent="0.25">
      <c r="A96" s="7" t="s">
        <v>922</v>
      </c>
    </row>
    <row r="97" spans="1:1" x14ac:dyDescent="0.25">
      <c r="A97" s="7" t="s">
        <v>923</v>
      </c>
    </row>
    <row r="98" spans="1:1" x14ac:dyDescent="0.25">
      <c r="A98" s="7" t="s">
        <v>924</v>
      </c>
    </row>
    <row r="100" spans="1:1" x14ac:dyDescent="0.25">
      <c r="A100" s="7" t="s">
        <v>714</v>
      </c>
    </row>
    <row r="101" spans="1:1" x14ac:dyDescent="0.25">
      <c r="A101" s="7" t="s">
        <v>925</v>
      </c>
    </row>
    <row r="102" spans="1:1" x14ac:dyDescent="0.25">
      <c r="A102" s="7" t="s">
        <v>714</v>
      </c>
    </row>
    <row r="103" spans="1:1" x14ac:dyDescent="0.25">
      <c r="A103" s="7" t="s">
        <v>926</v>
      </c>
    </row>
    <row r="104" spans="1:1" x14ac:dyDescent="0.25">
      <c r="A104" s="7" t="s">
        <v>927</v>
      </c>
    </row>
    <row r="105" spans="1:1" x14ac:dyDescent="0.25">
      <c r="A105" s="7" t="s">
        <v>928</v>
      </c>
    </row>
    <row r="106" spans="1:1" x14ac:dyDescent="0.25">
      <c r="A106" s="7" t="s">
        <v>929</v>
      </c>
    </row>
    <row r="107" spans="1:1" x14ac:dyDescent="0.25">
      <c r="A107" s="7" t="s">
        <v>930</v>
      </c>
    </row>
    <row r="109" spans="1:1" x14ac:dyDescent="0.25">
      <c r="A109" s="7" t="s">
        <v>931</v>
      </c>
    </row>
    <row r="110" spans="1:1" x14ac:dyDescent="0.25">
      <c r="A110" s="7" t="s">
        <v>932</v>
      </c>
    </row>
    <row r="111" spans="1:1" x14ac:dyDescent="0.25">
      <c r="A111" s="7" t="s">
        <v>933</v>
      </c>
    </row>
    <row r="112" spans="1:1" x14ac:dyDescent="0.25">
      <c r="A112" s="7" t="s">
        <v>934</v>
      </c>
    </row>
    <row r="114" spans="1:1" x14ac:dyDescent="0.25">
      <c r="A114" s="7" t="s">
        <v>714</v>
      </c>
    </row>
    <row r="115" spans="1:1" x14ac:dyDescent="0.25">
      <c r="A115" s="7" t="s">
        <v>935</v>
      </c>
    </row>
    <row r="116" spans="1:1" x14ac:dyDescent="0.25">
      <c r="A116" s="7" t="s">
        <v>714</v>
      </c>
    </row>
    <row r="117" spans="1:1" x14ac:dyDescent="0.25">
      <c r="A117" s="7" t="s">
        <v>815</v>
      </c>
    </row>
    <row r="118" spans="1:1" x14ac:dyDescent="0.25">
      <c r="A118" s="7" t="s">
        <v>936</v>
      </c>
    </row>
    <row r="119" spans="1:1" x14ac:dyDescent="0.25">
      <c r="A119" s="7" t="s">
        <v>937</v>
      </c>
    </row>
    <row r="120" spans="1:1" x14ac:dyDescent="0.25">
      <c r="A120" s="7" t="s">
        <v>938</v>
      </c>
    </row>
    <row r="121" spans="1:1" x14ac:dyDescent="0.25">
      <c r="A121" s="7" t="s">
        <v>737</v>
      </c>
    </row>
    <row r="122" spans="1:1" x14ac:dyDescent="0.25">
      <c r="A122" s="7" t="s">
        <v>939</v>
      </c>
    </row>
    <row r="124" spans="1:1" x14ac:dyDescent="0.25">
      <c r="A124" s="7" t="s">
        <v>714</v>
      </c>
    </row>
    <row r="125" spans="1:1" x14ac:dyDescent="0.25">
      <c r="A125" s="7" t="s">
        <v>940</v>
      </c>
    </row>
    <row r="126" spans="1:1" x14ac:dyDescent="0.25">
      <c r="A126" s="7" t="s">
        <v>714</v>
      </c>
    </row>
    <row r="128" spans="1:1" x14ac:dyDescent="0.25">
      <c r="A128" s="7" t="s">
        <v>941</v>
      </c>
    </row>
    <row r="129" spans="1:1" x14ac:dyDescent="0.25">
      <c r="A129" s="7" t="s">
        <v>942</v>
      </c>
    </row>
    <row r="130" spans="1:1" x14ac:dyDescent="0.25">
      <c r="A130" s="7" t="s">
        <v>943</v>
      </c>
    </row>
    <row r="131" spans="1:1" x14ac:dyDescent="0.25">
      <c r="A131" s="7" t="s">
        <v>944</v>
      </c>
    </row>
    <row r="132" spans="1:1" x14ac:dyDescent="0.25">
      <c r="A132" s="7" t="s">
        <v>945</v>
      </c>
    </row>
    <row r="133" spans="1:1" x14ac:dyDescent="0.25">
      <c r="A133" s="7" t="s">
        <v>946</v>
      </c>
    </row>
    <row r="134" spans="1:1" x14ac:dyDescent="0.25">
      <c r="A134" s="7" t="s">
        <v>947</v>
      </c>
    </row>
    <row r="136" spans="1:1" x14ac:dyDescent="0.25">
      <c r="A136" s="7" t="s">
        <v>948</v>
      </c>
    </row>
    <row r="137" spans="1:1" x14ac:dyDescent="0.25">
      <c r="A137" s="7" t="s">
        <v>949</v>
      </c>
    </row>
    <row r="138" spans="1:1" x14ac:dyDescent="0.25">
      <c r="A138" s="7" t="s">
        <v>950</v>
      </c>
    </row>
    <row r="139" spans="1:1" x14ac:dyDescent="0.25">
      <c r="A139" s="7" t="s">
        <v>951</v>
      </c>
    </row>
    <row r="140" spans="1:1" x14ac:dyDescent="0.25">
      <c r="A140" s="7" t="s">
        <v>952</v>
      </c>
    </row>
    <row r="142" spans="1:1" x14ac:dyDescent="0.25">
      <c r="A142" s="7" t="s">
        <v>714</v>
      </c>
    </row>
    <row r="143" spans="1:1" x14ac:dyDescent="0.25">
      <c r="A143" s="7" t="s">
        <v>953</v>
      </c>
    </row>
    <row r="144" spans="1:1" x14ac:dyDescent="0.25">
      <c r="A144" s="7" t="s">
        <v>714</v>
      </c>
    </row>
    <row r="145" spans="1:1" x14ac:dyDescent="0.25">
      <c r="A145" s="7" t="s">
        <v>954</v>
      </c>
    </row>
    <row r="147" spans="1:1" x14ac:dyDescent="0.25">
      <c r="A147" s="7" t="s">
        <v>955</v>
      </c>
    </row>
    <row r="148" spans="1:1" x14ac:dyDescent="0.25">
      <c r="A148" s="7" t="s">
        <v>956</v>
      </c>
    </row>
    <row r="150" spans="1:1" x14ac:dyDescent="0.25">
      <c r="A150" s="7" t="s">
        <v>957</v>
      </c>
    </row>
    <row r="151" spans="1:1" x14ac:dyDescent="0.25">
      <c r="A151" s="7" t="s">
        <v>958</v>
      </c>
    </row>
    <row r="153" spans="1:1" x14ac:dyDescent="0.25">
      <c r="A153" s="7" t="s">
        <v>959</v>
      </c>
    </row>
    <row r="154" spans="1:1" x14ac:dyDescent="0.25">
      <c r="A154" s="7" t="s">
        <v>960</v>
      </c>
    </row>
    <row r="155" spans="1:1" x14ac:dyDescent="0.25">
      <c r="A155" s="7" t="s">
        <v>961</v>
      </c>
    </row>
    <row r="156" spans="1:1" x14ac:dyDescent="0.25">
      <c r="A156" s="7" t="s">
        <v>962</v>
      </c>
    </row>
    <row r="157" spans="1:1" x14ac:dyDescent="0.25">
      <c r="A157" s="7" t="s">
        <v>963</v>
      </c>
    </row>
    <row r="159" spans="1:1" x14ac:dyDescent="0.25">
      <c r="A159" s="7" t="s">
        <v>714</v>
      </c>
    </row>
    <row r="160" spans="1:1" x14ac:dyDescent="0.25">
      <c r="A160" s="7" t="s">
        <v>964</v>
      </c>
    </row>
    <row r="161" spans="1:1" x14ac:dyDescent="0.25">
      <c r="A161" s="7" t="s">
        <v>714</v>
      </c>
    </row>
    <row r="162" spans="1:1" x14ac:dyDescent="0.25">
      <c r="A162" s="7" t="s">
        <v>965</v>
      </c>
    </row>
    <row r="163" spans="1:1" x14ac:dyDescent="0.25">
      <c r="A163" s="7" t="s">
        <v>966</v>
      </c>
    </row>
    <row r="164" spans="1:1" x14ac:dyDescent="0.25">
      <c r="A164" s="7" t="s">
        <v>967</v>
      </c>
    </row>
    <row r="165" spans="1:1" x14ac:dyDescent="0.25">
      <c r="A165" s="7" t="s">
        <v>968</v>
      </c>
    </row>
    <row r="166" spans="1:1" x14ac:dyDescent="0.25">
      <c r="A166" s="7" t="s">
        <v>969</v>
      </c>
    </row>
    <row r="167" spans="1:1" x14ac:dyDescent="0.25">
      <c r="A167" s="7" t="s">
        <v>970</v>
      </c>
    </row>
    <row r="168" spans="1:1" x14ac:dyDescent="0.25">
      <c r="A168" s="7" t="s">
        <v>971</v>
      </c>
    </row>
    <row r="170" spans="1:1" x14ac:dyDescent="0.25">
      <c r="A170" s="7" t="s">
        <v>972</v>
      </c>
    </row>
    <row r="171" spans="1:1" x14ac:dyDescent="0.25">
      <c r="A171" s="7" t="s">
        <v>973</v>
      </c>
    </row>
    <row r="172" spans="1:1" x14ac:dyDescent="0.25">
      <c r="A172" s="7" t="s">
        <v>974</v>
      </c>
    </row>
    <row r="173" spans="1:1" x14ac:dyDescent="0.25">
      <c r="A173" s="7" t="s">
        <v>975</v>
      </c>
    </row>
    <row r="174" spans="1:1" x14ac:dyDescent="0.25">
      <c r="A174" s="7" t="s">
        <v>976</v>
      </c>
    </row>
    <row r="175" spans="1:1" x14ac:dyDescent="0.25">
      <c r="A175" s="7" t="s">
        <v>977</v>
      </c>
    </row>
    <row r="176" spans="1:1" x14ac:dyDescent="0.25">
      <c r="A176" s="7" t="s">
        <v>978</v>
      </c>
    </row>
    <row r="177" spans="1:1" x14ac:dyDescent="0.25">
      <c r="A177" s="7" t="s">
        <v>979</v>
      </c>
    </row>
    <row r="178" spans="1:1" x14ac:dyDescent="0.25">
      <c r="A178" s="7" t="s">
        <v>980</v>
      </c>
    </row>
    <row r="180" spans="1:1" x14ac:dyDescent="0.25">
      <c r="A180" s="7" t="s">
        <v>981</v>
      </c>
    </row>
    <row r="181" spans="1:1" x14ac:dyDescent="0.25">
      <c r="A181" s="7" t="s">
        <v>982</v>
      </c>
    </row>
    <row r="182" spans="1:1" x14ac:dyDescent="0.25">
      <c r="A182" s="7" t="s">
        <v>983</v>
      </c>
    </row>
    <row r="184" spans="1:1" x14ac:dyDescent="0.25">
      <c r="A184" s="7" t="s">
        <v>984</v>
      </c>
    </row>
    <row r="185" spans="1:1" x14ac:dyDescent="0.25">
      <c r="A185" s="7" t="s">
        <v>985</v>
      </c>
    </row>
    <row r="186" spans="1:1" x14ac:dyDescent="0.25">
      <c r="A186" s="7" t="s">
        <v>986</v>
      </c>
    </row>
    <row r="188" spans="1:1" x14ac:dyDescent="0.25">
      <c r="A188" s="7" t="s">
        <v>987</v>
      </c>
    </row>
    <row r="189" spans="1:1" x14ac:dyDescent="0.25">
      <c r="A189" s="7" t="s">
        <v>988</v>
      </c>
    </row>
    <row r="190" spans="1:1" x14ac:dyDescent="0.25">
      <c r="A190" s="7" t="s">
        <v>765</v>
      </c>
    </row>
    <row r="192" spans="1:1" x14ac:dyDescent="0.25">
      <c r="A192" s="7" t="s">
        <v>989</v>
      </c>
    </row>
    <row r="193" spans="1:1" x14ac:dyDescent="0.25">
      <c r="A193" s="7" t="s">
        <v>990</v>
      </c>
    </row>
    <row r="194" spans="1:1" x14ac:dyDescent="0.25">
      <c r="A194" s="7" t="s">
        <v>991</v>
      </c>
    </row>
    <row r="195" spans="1:1" x14ac:dyDescent="0.25">
      <c r="A195" s="7" t="s">
        <v>992</v>
      </c>
    </row>
    <row r="196" spans="1:1" x14ac:dyDescent="0.25">
      <c r="A196" s="7" t="s">
        <v>993</v>
      </c>
    </row>
    <row r="197" spans="1:1" x14ac:dyDescent="0.25">
      <c r="A197" s="7" t="s">
        <v>994</v>
      </c>
    </row>
    <row r="199" spans="1:1" x14ac:dyDescent="0.25">
      <c r="A199" s="7" t="s">
        <v>995</v>
      </c>
    </row>
    <row r="200" spans="1:1" x14ac:dyDescent="0.25">
      <c r="A200" s="7" t="s">
        <v>996</v>
      </c>
    </row>
    <row r="201" spans="1:1" x14ac:dyDescent="0.25">
      <c r="A201" s="7" t="s">
        <v>997</v>
      </c>
    </row>
    <row r="202" spans="1:1" x14ac:dyDescent="0.25">
      <c r="A202" s="7" t="s">
        <v>998</v>
      </c>
    </row>
    <row r="203" spans="1:1" x14ac:dyDescent="0.25">
      <c r="A203" s="7" t="s">
        <v>999</v>
      </c>
    </row>
    <row r="205" spans="1:1" x14ac:dyDescent="0.25">
      <c r="A205" s="7" t="s">
        <v>1000</v>
      </c>
    </row>
    <row r="206" spans="1:1" x14ac:dyDescent="0.25">
      <c r="A206" s="7" t="s">
        <v>1001</v>
      </c>
    </row>
    <row r="208" spans="1:1" x14ac:dyDescent="0.25">
      <c r="A208" s="7" t="s">
        <v>1002</v>
      </c>
    </row>
    <row r="209" spans="1:1" x14ac:dyDescent="0.25">
      <c r="A209" s="7" t="s">
        <v>1003</v>
      </c>
    </row>
    <row r="211" spans="1:1" x14ac:dyDescent="0.25">
      <c r="A211" s="7" t="s">
        <v>1004</v>
      </c>
    </row>
    <row r="212" spans="1:1" x14ac:dyDescent="0.25">
      <c r="A212" s="7" t="s">
        <v>1005</v>
      </c>
    </row>
    <row r="213" spans="1:1" x14ac:dyDescent="0.25">
      <c r="A213" s="7" t="s">
        <v>1006</v>
      </c>
    </row>
    <row r="214" spans="1:1" x14ac:dyDescent="0.25">
      <c r="A214" s="7" t="s">
        <v>1007</v>
      </c>
    </row>
    <row r="215" spans="1:1" x14ac:dyDescent="0.25">
      <c r="A215" s="7" t="s">
        <v>1008</v>
      </c>
    </row>
    <row r="216" spans="1:1" x14ac:dyDescent="0.25">
      <c r="A216" s="7" t="s">
        <v>1009</v>
      </c>
    </row>
    <row r="218" spans="1:1" x14ac:dyDescent="0.25">
      <c r="A218" s="7" t="s">
        <v>714</v>
      </c>
    </row>
    <row r="219" spans="1:1" x14ac:dyDescent="0.25">
      <c r="A219" s="7" t="s">
        <v>1010</v>
      </c>
    </row>
    <row r="220" spans="1:1" x14ac:dyDescent="0.25">
      <c r="A220" s="7" t="s">
        <v>714</v>
      </c>
    </row>
    <row r="221" spans="1:1" x14ac:dyDescent="0.25">
      <c r="A221" s="7" t="s">
        <v>1011</v>
      </c>
    </row>
    <row r="222" spans="1:1" x14ac:dyDescent="0.25">
      <c r="A222" s="7" t="s">
        <v>1012</v>
      </c>
    </row>
    <row r="223" spans="1:1" x14ac:dyDescent="0.25">
      <c r="A223" s="7" t="s">
        <v>1013</v>
      </c>
    </row>
    <row r="224" spans="1:1" x14ac:dyDescent="0.25">
      <c r="A224" s="7" t="s">
        <v>1014</v>
      </c>
    </row>
    <row r="225" spans="1:1" x14ac:dyDescent="0.25">
      <c r="A225" s="7" t="s">
        <v>1015</v>
      </c>
    </row>
    <row r="226" spans="1:1" x14ac:dyDescent="0.25">
      <c r="A226" s="7" t="s">
        <v>1016</v>
      </c>
    </row>
    <row r="227" spans="1:1" x14ac:dyDescent="0.25">
      <c r="A227" s="7" t="s">
        <v>1017</v>
      </c>
    </row>
    <row r="228" spans="1:1" x14ac:dyDescent="0.25">
      <c r="A228" s="7" t="s">
        <v>1018</v>
      </c>
    </row>
    <row r="229" spans="1:1" x14ac:dyDescent="0.25">
      <c r="A229" s="7" t="s">
        <v>1019</v>
      </c>
    </row>
    <row r="230" spans="1:1" x14ac:dyDescent="0.25">
      <c r="A230" s="7" t="s">
        <v>1020</v>
      </c>
    </row>
    <row r="232" spans="1:1" x14ac:dyDescent="0.25">
      <c r="A232" s="7" t="s">
        <v>714</v>
      </c>
    </row>
    <row r="233" spans="1:1" x14ac:dyDescent="0.25">
      <c r="A233" s="7" t="s">
        <v>1021</v>
      </c>
    </row>
    <row r="234" spans="1:1" x14ac:dyDescent="0.25">
      <c r="A234" s="7" t="s">
        <v>714</v>
      </c>
    </row>
    <row r="235" spans="1:1" x14ac:dyDescent="0.25">
      <c r="A235" s="7" t="s">
        <v>1022</v>
      </c>
    </row>
    <row r="236" spans="1:1" x14ac:dyDescent="0.25">
      <c r="A236" s="7" t="s">
        <v>1023</v>
      </c>
    </row>
    <row r="238" spans="1:1" x14ac:dyDescent="0.25">
      <c r="A238" s="7" t="s">
        <v>714</v>
      </c>
    </row>
    <row r="239" spans="1:1" x14ac:dyDescent="0.25">
      <c r="A239" s="7" t="s">
        <v>1024</v>
      </c>
    </row>
    <row r="240" spans="1:1" x14ac:dyDescent="0.25">
      <c r="A240" s="7" t="s">
        <v>714</v>
      </c>
    </row>
    <row r="241" spans="1:1" x14ac:dyDescent="0.25">
      <c r="A241" s="7" t="s">
        <v>1025</v>
      </c>
    </row>
    <row r="242" spans="1:1" x14ac:dyDescent="0.25">
      <c r="A242" s="7" t="s">
        <v>1026</v>
      </c>
    </row>
    <row r="243" spans="1:1" x14ac:dyDescent="0.25">
      <c r="A243" s="7" t="s">
        <v>1027</v>
      </c>
    </row>
    <row r="244" spans="1:1" x14ac:dyDescent="0.25">
      <c r="A244" s="7" t="s">
        <v>1028</v>
      </c>
    </row>
    <row r="245" spans="1:1" x14ac:dyDescent="0.25">
      <c r="A245" s="7" t="s">
        <v>1029</v>
      </c>
    </row>
    <row r="247" spans="1:1" x14ac:dyDescent="0.25">
      <c r="A247" s="7" t="s">
        <v>1030</v>
      </c>
    </row>
    <row r="248" spans="1:1" x14ac:dyDescent="0.25">
      <c r="A248" s="7" t="s">
        <v>727</v>
      </c>
    </row>
    <row r="249" spans="1:1" x14ac:dyDescent="0.25">
      <c r="A249" s="7" t="s">
        <v>728</v>
      </c>
    </row>
    <row r="250" spans="1:1" x14ac:dyDescent="0.25">
      <c r="A250" s="7" t="s">
        <v>729</v>
      </c>
    </row>
    <row r="251" spans="1:1" x14ac:dyDescent="0.25">
      <c r="A251" s="7" t="s">
        <v>730</v>
      </c>
    </row>
    <row r="252" spans="1:1" x14ac:dyDescent="0.25">
      <c r="A252" s="7" t="s">
        <v>767</v>
      </c>
    </row>
    <row r="254" spans="1:1" x14ac:dyDescent="0.25">
      <c r="A254" s="7" t="s">
        <v>731</v>
      </c>
    </row>
    <row r="255" spans="1:1" x14ac:dyDescent="0.25">
      <c r="A255" s="7" t="s">
        <v>768</v>
      </c>
    </row>
    <row r="256" spans="1:1" x14ac:dyDescent="0.25">
      <c r="A256" s="7" t="s">
        <v>769</v>
      </c>
    </row>
    <row r="257" spans="1:1" x14ac:dyDescent="0.25">
      <c r="A257" s="7" t="s">
        <v>770</v>
      </c>
    </row>
    <row r="258" spans="1:1" x14ac:dyDescent="0.25">
      <c r="A258" s="7" t="s">
        <v>732</v>
      </c>
    </row>
    <row r="260" spans="1:1" x14ac:dyDescent="0.25">
      <c r="A260" s="7" t="s">
        <v>714</v>
      </c>
    </row>
    <row r="261" spans="1:1" x14ac:dyDescent="0.25">
      <c r="A261" s="7" t="s">
        <v>733</v>
      </c>
    </row>
    <row r="262" spans="1:1" x14ac:dyDescent="0.25">
      <c r="A262" s="7" t="s">
        <v>714</v>
      </c>
    </row>
    <row r="263" spans="1:1" x14ac:dyDescent="0.25">
      <c r="A263" s="7" t="s">
        <v>734</v>
      </c>
    </row>
    <row r="264" spans="1:1" x14ac:dyDescent="0.25">
      <c r="A264" s="7" t="s">
        <v>771</v>
      </c>
    </row>
    <row r="265" spans="1:1" x14ac:dyDescent="0.25">
      <c r="A265" s="7" t="s">
        <v>772</v>
      </c>
    </row>
    <row r="266" spans="1:1" x14ac:dyDescent="0.25">
      <c r="A266" s="7" t="s">
        <v>735</v>
      </c>
    </row>
    <row r="267" spans="1:1" x14ac:dyDescent="0.25">
      <c r="A267" s="7" t="s">
        <v>736</v>
      </c>
    </row>
    <row r="268" spans="1:1" x14ac:dyDescent="0.25">
      <c r="A268" s="7" t="s">
        <v>737</v>
      </c>
    </row>
    <row r="270" spans="1:1" x14ac:dyDescent="0.25">
      <c r="A270" s="7" t="s">
        <v>714</v>
      </c>
    </row>
    <row r="271" spans="1:1" x14ac:dyDescent="0.25">
      <c r="A271" s="7" t="s">
        <v>738</v>
      </c>
    </row>
    <row r="272" spans="1:1" x14ac:dyDescent="0.25">
      <c r="A272" s="7" t="s">
        <v>714</v>
      </c>
    </row>
    <row r="273" spans="1:1" x14ac:dyDescent="0.25">
      <c r="A273" s="7" t="s">
        <v>739</v>
      </c>
    </row>
    <row r="274" spans="1:1" x14ac:dyDescent="0.25">
      <c r="A274" s="7" t="s">
        <v>773</v>
      </c>
    </row>
    <row r="275" spans="1:1" x14ac:dyDescent="0.25">
      <c r="A275" s="7" t="s">
        <v>740</v>
      </c>
    </row>
    <row r="276" spans="1:1" x14ac:dyDescent="0.25">
      <c r="A276" s="7" t="s">
        <v>741</v>
      </c>
    </row>
    <row r="277" spans="1:1" x14ac:dyDescent="0.25">
      <c r="A277" s="7" t="s">
        <v>742</v>
      </c>
    </row>
    <row r="278" spans="1:1" x14ac:dyDescent="0.25">
      <c r="A278" s="7" t="s">
        <v>743</v>
      </c>
    </row>
    <row r="279" spans="1:1" x14ac:dyDescent="0.25">
      <c r="A279" s="7" t="s">
        <v>744</v>
      </c>
    </row>
    <row r="280" spans="1:1" x14ac:dyDescent="0.25">
      <c r="A280" s="7" t="s">
        <v>745</v>
      </c>
    </row>
    <row r="282" spans="1:1" x14ac:dyDescent="0.25">
      <c r="A282" s="7" t="s">
        <v>746</v>
      </c>
    </row>
    <row r="283" spans="1:1" x14ac:dyDescent="0.25">
      <c r="A283" s="7" t="s">
        <v>747</v>
      </c>
    </row>
    <row r="284" spans="1:1" x14ac:dyDescent="0.25">
      <c r="A284" s="7" t="s">
        <v>748</v>
      </c>
    </row>
    <row r="285" spans="1:1" x14ac:dyDescent="0.25">
      <c r="A285" s="7" t="s">
        <v>749</v>
      </c>
    </row>
    <row r="286" spans="1:1" x14ac:dyDescent="0.25">
      <c r="A286" s="7" t="s">
        <v>750</v>
      </c>
    </row>
    <row r="287" spans="1:1" x14ac:dyDescent="0.25">
      <c r="A287" s="7" t="s">
        <v>751</v>
      </c>
    </row>
    <row r="289" spans="1:1" x14ac:dyDescent="0.25">
      <c r="A289" s="7" t="s">
        <v>714</v>
      </c>
    </row>
    <row r="290" spans="1:1" x14ac:dyDescent="0.25">
      <c r="A290" s="7" t="s">
        <v>752</v>
      </c>
    </row>
    <row r="291" spans="1:1" x14ac:dyDescent="0.25">
      <c r="A291" s="7" t="s">
        <v>714</v>
      </c>
    </row>
    <row r="292" spans="1:1" x14ac:dyDescent="0.25">
      <c r="A292" s="7" t="s">
        <v>753</v>
      </c>
    </row>
    <row r="293" spans="1:1" x14ac:dyDescent="0.25">
      <c r="A293" s="7" t="s">
        <v>754</v>
      </c>
    </row>
    <row r="294" spans="1:1" x14ac:dyDescent="0.25">
      <c r="A294" s="7" t="s">
        <v>755</v>
      </c>
    </row>
    <row r="295" spans="1:1" x14ac:dyDescent="0.25">
      <c r="A295" s="7" t="s">
        <v>756</v>
      </c>
    </row>
    <row r="296" spans="1:1" x14ac:dyDescent="0.25">
      <c r="A296" s="7" t="s">
        <v>757</v>
      </c>
    </row>
    <row r="297" spans="1:1" x14ac:dyDescent="0.25">
      <c r="A297" s="7" t="s">
        <v>758</v>
      </c>
    </row>
    <row r="298" spans="1:1" x14ac:dyDescent="0.25">
      <c r="A298" s="7" t="s">
        <v>759</v>
      </c>
    </row>
    <row r="299" spans="1:1" x14ac:dyDescent="0.25">
      <c r="A299" s="7" t="s">
        <v>760</v>
      </c>
    </row>
    <row r="301" spans="1:1" x14ac:dyDescent="0.25">
      <c r="A301" s="7" t="s">
        <v>761</v>
      </c>
    </row>
    <row r="302" spans="1:1" x14ac:dyDescent="0.25">
      <c r="A302" s="7" t="s">
        <v>762</v>
      </c>
    </row>
    <row r="303" spans="1:1" x14ac:dyDescent="0.25">
      <c r="A303" s="7" t="s">
        <v>763</v>
      </c>
    </row>
    <row r="304" spans="1:1" x14ac:dyDescent="0.25">
      <c r="A304" s="7" t="s">
        <v>764</v>
      </c>
    </row>
    <row r="306" spans="1:1" x14ac:dyDescent="0.25">
      <c r="A306" s="7" t="s">
        <v>774</v>
      </c>
    </row>
    <row r="308" spans="1:1" x14ac:dyDescent="0.25">
      <c r="A308" s="7" t="s">
        <v>775</v>
      </c>
    </row>
    <row r="309" spans="1:1" x14ac:dyDescent="0.25">
      <c r="A309" s="7" t="s">
        <v>776</v>
      </c>
    </row>
    <row r="310" spans="1:1" x14ac:dyDescent="0.25">
      <c r="A310" s="7" t="s">
        <v>777</v>
      </c>
    </row>
    <row r="311" spans="1:1" x14ac:dyDescent="0.25">
      <c r="A311" s="7" t="s">
        <v>778</v>
      </c>
    </row>
    <row r="312" spans="1:1" x14ac:dyDescent="0.25">
      <c r="A312" s="7" t="s">
        <v>779</v>
      </c>
    </row>
    <row r="314" spans="1:1" x14ac:dyDescent="0.25">
      <c r="A314" s="7" t="s">
        <v>780</v>
      </c>
    </row>
    <row r="315" spans="1:1" x14ac:dyDescent="0.25">
      <c r="A315" s="7" t="s">
        <v>781</v>
      </c>
    </row>
    <row r="316" spans="1:1" x14ac:dyDescent="0.25">
      <c r="A316" s="7" t="s">
        <v>782</v>
      </c>
    </row>
    <row r="317" spans="1:1" x14ac:dyDescent="0.25">
      <c r="A317" s="7" t="s">
        <v>783</v>
      </c>
    </row>
    <row r="319" spans="1:1" x14ac:dyDescent="0.25">
      <c r="A319" s="7" t="s">
        <v>784</v>
      </c>
    </row>
    <row r="320" spans="1:1" x14ac:dyDescent="0.25">
      <c r="A320" s="7" t="s">
        <v>785</v>
      </c>
    </row>
    <row r="321" spans="1:1" x14ac:dyDescent="0.25">
      <c r="A321" s="7" t="s">
        <v>786</v>
      </c>
    </row>
    <row r="322" spans="1:1" x14ac:dyDescent="0.25">
      <c r="A322" s="7" t="s">
        <v>787</v>
      </c>
    </row>
    <row r="323" spans="1:1" x14ac:dyDescent="0.25">
      <c r="A323" s="7" t="s">
        <v>788</v>
      </c>
    </row>
    <row r="324" spans="1:1" x14ac:dyDescent="0.25">
      <c r="A324" s="7" t="s">
        <v>789</v>
      </c>
    </row>
    <row r="326" spans="1:1" x14ac:dyDescent="0.25">
      <c r="A326" s="7" t="s">
        <v>790</v>
      </c>
    </row>
    <row r="327" spans="1:1" x14ac:dyDescent="0.25">
      <c r="A327" s="7" t="s">
        <v>791</v>
      </c>
    </row>
    <row r="328" spans="1:1" x14ac:dyDescent="0.25">
      <c r="A328" s="7" t="s">
        <v>792</v>
      </c>
    </row>
    <row r="329" spans="1:1" x14ac:dyDescent="0.25">
      <c r="A329" s="7" t="s">
        <v>793</v>
      </c>
    </row>
    <row r="330" spans="1:1" x14ac:dyDescent="0.25">
      <c r="A330" s="7" t="s">
        <v>794</v>
      </c>
    </row>
    <row r="331" spans="1:1" x14ac:dyDescent="0.25">
      <c r="A331" s="7" t="s">
        <v>795</v>
      </c>
    </row>
    <row r="332" spans="1:1" x14ac:dyDescent="0.25">
      <c r="A332" s="7" t="s">
        <v>796</v>
      </c>
    </row>
    <row r="333" spans="1:1" x14ac:dyDescent="0.25">
      <c r="A333" s="7" t="s">
        <v>797</v>
      </c>
    </row>
    <row r="334" spans="1:1" x14ac:dyDescent="0.25">
      <c r="A334" s="7" t="s">
        <v>798</v>
      </c>
    </row>
    <row r="335" spans="1:1" x14ac:dyDescent="0.25">
      <c r="A335" s="7" t="s">
        <v>799</v>
      </c>
    </row>
    <row r="336" spans="1:1" x14ac:dyDescent="0.25">
      <c r="A336" s="7" t="s">
        <v>800</v>
      </c>
    </row>
    <row r="338" spans="1:1" x14ac:dyDescent="0.25">
      <c r="A338" s="7" t="s">
        <v>801</v>
      </c>
    </row>
    <row r="339" spans="1:1" x14ac:dyDescent="0.25">
      <c r="A339" s="7" t="s">
        <v>802</v>
      </c>
    </row>
    <row r="340" spans="1:1" x14ac:dyDescent="0.25">
      <c r="A340" s="7" t="s">
        <v>803</v>
      </c>
    </row>
    <row r="341" spans="1:1" x14ac:dyDescent="0.25">
      <c r="A341" s="7" t="s">
        <v>804</v>
      </c>
    </row>
    <row r="342" spans="1:1" x14ac:dyDescent="0.25">
      <c r="A342" s="7" t="s">
        <v>805</v>
      </c>
    </row>
    <row r="343" spans="1:1" x14ac:dyDescent="0.25">
      <c r="A343" s="7" t="s">
        <v>806</v>
      </c>
    </row>
    <row r="344" spans="1:1" x14ac:dyDescent="0.25">
      <c r="A344" s="7" t="s">
        <v>807</v>
      </c>
    </row>
    <row r="346" spans="1:1" x14ac:dyDescent="0.25">
      <c r="A346" s="7" t="s">
        <v>808</v>
      </c>
    </row>
    <row r="347" spans="1:1" x14ac:dyDescent="0.25">
      <c r="A347" s="7" t="s">
        <v>809</v>
      </c>
    </row>
    <row r="348" spans="1:1" x14ac:dyDescent="0.25">
      <c r="A348" s="7" t="s">
        <v>810</v>
      </c>
    </row>
    <row r="349" spans="1:1" x14ac:dyDescent="0.25">
      <c r="A349" s="7" t="s">
        <v>811</v>
      </c>
    </row>
    <row r="350" spans="1:1" x14ac:dyDescent="0.25">
      <c r="A350" s="7" t="s">
        <v>812</v>
      </c>
    </row>
    <row r="351" spans="1:1" x14ac:dyDescent="0.25">
      <c r="A351" s="7" t="s">
        <v>813</v>
      </c>
    </row>
    <row r="353" spans="1:1" x14ac:dyDescent="0.25">
      <c r="A353" s="7" t="s">
        <v>814</v>
      </c>
    </row>
    <row r="354" spans="1:1" x14ac:dyDescent="0.25">
      <c r="A354" s="7" t="s">
        <v>815</v>
      </c>
    </row>
    <row r="355" spans="1:1" x14ac:dyDescent="0.25">
      <c r="A355" s="7" t="s">
        <v>816</v>
      </c>
    </row>
    <row r="356" spans="1:1" x14ac:dyDescent="0.25">
      <c r="A356" s="7" t="s">
        <v>817</v>
      </c>
    </row>
    <row r="357" spans="1:1" x14ac:dyDescent="0.25">
      <c r="A357" s="7" t="s">
        <v>818</v>
      </c>
    </row>
    <row r="359" spans="1:1" x14ac:dyDescent="0.25">
      <c r="A359" s="7" t="s">
        <v>819</v>
      </c>
    </row>
    <row r="360" spans="1:1" x14ac:dyDescent="0.25">
      <c r="A360" s="7" t="s">
        <v>820</v>
      </c>
    </row>
    <row r="361" spans="1:1" x14ac:dyDescent="0.25">
      <c r="A361" s="7" t="s">
        <v>821</v>
      </c>
    </row>
    <row r="362" spans="1:1" x14ac:dyDescent="0.25">
      <c r="A362" s="7" t="s">
        <v>822</v>
      </c>
    </row>
    <row r="363" spans="1:1" x14ac:dyDescent="0.25">
      <c r="A363" s="7" t="s">
        <v>823</v>
      </c>
    </row>
    <row r="364" spans="1:1" x14ac:dyDescent="0.25">
      <c r="A364" s="7" t="s">
        <v>824</v>
      </c>
    </row>
    <row r="366" spans="1:1" x14ac:dyDescent="0.25">
      <c r="A366" s="7" t="s">
        <v>825</v>
      </c>
    </row>
    <row r="367" spans="1:1" x14ac:dyDescent="0.25">
      <c r="A367" s="7" t="s">
        <v>826</v>
      </c>
    </row>
    <row r="368" spans="1:1" x14ac:dyDescent="0.25">
      <c r="A368" s="7" t="s">
        <v>827</v>
      </c>
    </row>
    <row r="369" spans="1:1" x14ac:dyDescent="0.25">
      <c r="A369" s="7" t="s">
        <v>828</v>
      </c>
    </row>
    <row r="370" spans="1:1" x14ac:dyDescent="0.25">
      <c r="A370" s="7" t="s">
        <v>829</v>
      </c>
    </row>
    <row r="372" spans="1:1" x14ac:dyDescent="0.25">
      <c r="A372" s="7" t="s">
        <v>830</v>
      </c>
    </row>
    <row r="373" spans="1:1" x14ac:dyDescent="0.25">
      <c r="A373" s="7" t="s">
        <v>831</v>
      </c>
    </row>
    <row r="374" spans="1:1" x14ac:dyDescent="0.25">
      <c r="A374" s="7" t="s">
        <v>832</v>
      </c>
    </row>
    <row r="375" spans="1:1" x14ac:dyDescent="0.25">
      <c r="A375" s="7" t="s">
        <v>833</v>
      </c>
    </row>
    <row r="377" spans="1:1" x14ac:dyDescent="0.25">
      <c r="A377" s="7" t="s">
        <v>834</v>
      </c>
    </row>
    <row r="378" spans="1:1" x14ac:dyDescent="0.25">
      <c r="A378" s="7" t="s">
        <v>835</v>
      </c>
    </row>
    <row r="379" spans="1:1" x14ac:dyDescent="0.25">
      <c r="A379" s="7" t="s">
        <v>836</v>
      </c>
    </row>
    <row r="380" spans="1:1" x14ac:dyDescent="0.25">
      <c r="A380" s="7" t="s">
        <v>837</v>
      </c>
    </row>
    <row r="381" spans="1:1" x14ac:dyDescent="0.25">
      <c r="A381" s="7" t="s">
        <v>838</v>
      </c>
    </row>
    <row r="382" spans="1:1" x14ac:dyDescent="0.25">
      <c r="A382" s="7" t="s">
        <v>839</v>
      </c>
    </row>
    <row r="383" spans="1:1" x14ac:dyDescent="0.25">
      <c r="A383" s="7" t="s">
        <v>840</v>
      </c>
    </row>
    <row r="385" spans="1:1" x14ac:dyDescent="0.25">
      <c r="A385" s="7" t="s">
        <v>841</v>
      </c>
    </row>
    <row r="386" spans="1:1" x14ac:dyDescent="0.25">
      <c r="A386" s="7" t="s">
        <v>842</v>
      </c>
    </row>
    <row r="387" spans="1:1" x14ac:dyDescent="0.25">
      <c r="A387" s="7" t="s">
        <v>843</v>
      </c>
    </row>
    <row r="388" spans="1:1" x14ac:dyDescent="0.25">
      <c r="A388" s="7" t="s">
        <v>844</v>
      </c>
    </row>
    <row r="389" spans="1:1" x14ac:dyDescent="0.25">
      <c r="A389" s="7" t="s">
        <v>845</v>
      </c>
    </row>
    <row r="390" spans="1:1" x14ac:dyDescent="0.25">
      <c r="A390" s="7" t="s">
        <v>846</v>
      </c>
    </row>
    <row r="391" spans="1:1" x14ac:dyDescent="0.25">
      <c r="A391" s="7" t="s">
        <v>847</v>
      </c>
    </row>
    <row r="392" spans="1:1" x14ac:dyDescent="0.25">
      <c r="A392" s="7" t="s">
        <v>848</v>
      </c>
    </row>
    <row r="394" spans="1:1" x14ac:dyDescent="0.25">
      <c r="A394" s="7" t="s">
        <v>849</v>
      </c>
    </row>
    <row r="395" spans="1:1" x14ac:dyDescent="0.25">
      <c r="A395" s="7" t="s">
        <v>850</v>
      </c>
    </row>
    <row r="396" spans="1:1" x14ac:dyDescent="0.25">
      <c r="A396" s="7" t="s">
        <v>851</v>
      </c>
    </row>
    <row r="398" spans="1:1" x14ac:dyDescent="0.25">
      <c r="A398" s="7" t="s">
        <v>852</v>
      </c>
    </row>
    <row r="399" spans="1:1" x14ac:dyDescent="0.25">
      <c r="A399" s="7" t="s">
        <v>853</v>
      </c>
    </row>
    <row r="400" spans="1:1" x14ac:dyDescent="0.25">
      <c r="A400" s="7" t="s">
        <v>854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80DC-425D-483C-9567-24B8A70C7C32}">
  <dimension ref="A1:AC49"/>
  <sheetViews>
    <sheetView zoomScale="75" zoomScaleNormal="75" workbookViewId="0">
      <pane ySplit="49" topLeftCell="A50" activePane="bottomLeft" state="frozen"/>
      <selection pane="bottomLeft" activeCell="A36" sqref="A36"/>
    </sheetView>
  </sheetViews>
  <sheetFormatPr defaultColWidth="8.7109375" defaultRowHeight="15" x14ac:dyDescent="0.25"/>
  <cols>
    <col min="1" max="1" width="118.85546875" style="2" bestFit="1" customWidth="1"/>
    <col min="2" max="2" width="28.28515625" style="2" bestFit="1" customWidth="1"/>
    <col min="3" max="3" width="32.85546875" style="2" bestFit="1" customWidth="1"/>
    <col min="4" max="4" width="24" style="2" bestFit="1" customWidth="1"/>
    <col min="5" max="5" width="31.140625" style="2" bestFit="1" customWidth="1"/>
    <col min="6" max="6" width="16.28515625" style="2" bestFit="1" customWidth="1"/>
    <col min="7" max="7" width="37.140625" style="2" bestFit="1" customWidth="1"/>
    <col min="8" max="16384" width="8.7109375" style="2"/>
  </cols>
  <sheetData>
    <row r="1" spans="1:29" x14ac:dyDescent="0.25">
      <c r="A1" s="2" t="s">
        <v>658</v>
      </c>
    </row>
    <row r="2" spans="1:29" s="6" customFormat="1" x14ac:dyDescent="0.25">
      <c r="A2" s="6" t="s">
        <v>659</v>
      </c>
      <c r="B2" s="6" t="s">
        <v>660</v>
      </c>
      <c r="C2" s="6" t="s">
        <v>661</v>
      </c>
      <c r="D2" s="6" t="s">
        <v>662</v>
      </c>
      <c r="E2" s="6" t="s">
        <v>663</v>
      </c>
      <c r="F2" s="6" t="s">
        <v>664</v>
      </c>
      <c r="G2" s="6" t="s">
        <v>153</v>
      </c>
    </row>
    <row r="3" spans="1:29" x14ac:dyDescent="0.25">
      <c r="A3" s="2" t="s">
        <v>665</v>
      </c>
      <c r="B3" s="2" t="str" cm="1">
        <f t="array" aca="1" ref="B3" ca="1">_xlfn.LET(_xlpm.s,TRIM($A3),IF(_xlpm.s="","",IFERROR(INDIRECT("'"&amp;_xlpm.s&amp;"'!$A$1"),"")))</f>
        <v>S01 - kerja pecah tiles lama, tukar tiles baru, pecah tempat duduk lama, bina tempat wuduk baru</v>
      </c>
      <c r="C3" s="2" cm="1">
        <f t="array" aca="1" ref="C3" ca="1">IFERROR(INDIRECT("'"&amp;TRIM($A3)&amp;"'!$K$40"),0)</f>
        <v>0</v>
      </c>
      <c r="D3" s="2" cm="1">
        <f t="array" aca="1" ref="D3" ca="1">IFERROR(INDIRECT("'"&amp;TRIM($A3)&amp;"'!$K$80"),0)</f>
        <v>0</v>
      </c>
      <c r="E3" s="2" cm="1">
        <f t="array" aca="1" ref="E3" ca="1">IFERROR(INDIRECT("'"&amp;TRIM($A3)&amp;"'!$K$120"),0)</f>
        <v>0</v>
      </c>
      <c r="F3" s="2">
        <f ca="1">SUM(C3:E3)</f>
        <v>0</v>
      </c>
      <c r="G3" s="2" t="s">
        <v>666</v>
      </c>
      <c r="J3" s="5"/>
      <c r="AC3" s="5"/>
    </row>
    <row r="4" spans="1:29" x14ac:dyDescent="0.25">
      <c r="A4" s="2" t="s">
        <v>667</v>
      </c>
      <c r="B4" s="2" t="str" cm="1">
        <f t="array" aca="1" ref="B4" ca="1">_xlfn.LET(_xlpm.s,TRIM($A4),IF(_xlpm.s="","",IFERROR(INDIRECT("'"&amp;_xlpm.s&amp;"'!$A$1"),"")))</f>
        <v>S02 SPEC (HEADER - EDITABLE)</v>
      </c>
      <c r="C4" s="2" cm="1">
        <f t="array" aca="1" ref="C4" ca="1">IFERROR(INDIRECT("'"&amp;TRIM($A4)&amp;"'!$K$40"),0)</f>
        <v>0</v>
      </c>
      <c r="D4" s="2" cm="1">
        <f t="array" aca="1" ref="D4" ca="1">IFERROR(INDIRECT("'"&amp;TRIM($A4)&amp;"'!$K$80"),0)</f>
        <v>0</v>
      </c>
      <c r="E4" s="2" cm="1">
        <f t="array" aca="1" ref="E4" ca="1">IFERROR(INDIRECT("'"&amp;TRIM($A4)&amp;"'!$K$120"),0)</f>
        <v>0</v>
      </c>
      <c r="F4" s="2">
        <f t="shared" ref="F4:F49" ca="1" si="0">SUM(C4:E4)</f>
        <v>0</v>
      </c>
      <c r="J4" s="5"/>
      <c r="AC4" s="5"/>
    </row>
    <row r="5" spans="1:29" x14ac:dyDescent="0.25">
      <c r="A5" s="2" t="s">
        <v>668</v>
      </c>
      <c r="B5" s="2" t="str" cm="1">
        <f t="array" aca="1" ref="B5" ca="1">_xlfn.LET(_xlpm.s,TRIM($A5),IF(_xlpm.s="","",IFERROR(INDIRECT("'"&amp;_xlpm.s&amp;"'!$A$1"),"")))</f>
        <v>S03 SPEC (HEADER - EDITABLE)</v>
      </c>
      <c r="C5" s="2" cm="1">
        <f t="array" aca="1" ref="C5" ca="1">IFERROR(INDIRECT("'"&amp;TRIM($A5)&amp;"'!$K$40"),0)</f>
        <v>0</v>
      </c>
      <c r="D5" s="2" cm="1">
        <f t="array" aca="1" ref="D5" ca="1">IFERROR(INDIRECT("'"&amp;TRIM($A5)&amp;"'!$K$80"),0)</f>
        <v>0</v>
      </c>
      <c r="E5" s="2" cm="1">
        <f t="array" aca="1" ref="E5" ca="1">IFERROR(INDIRECT("'"&amp;TRIM($A5)&amp;"'!$K$120"),0)</f>
        <v>0</v>
      </c>
      <c r="F5" s="2">
        <f t="shared" ca="1" si="0"/>
        <v>0</v>
      </c>
      <c r="J5" s="5"/>
    </row>
    <row r="6" spans="1:29" x14ac:dyDescent="0.25">
      <c r="A6" s="2" t="s">
        <v>669</v>
      </c>
      <c r="B6" s="2" t="str" cm="1">
        <f t="array" aca="1" ref="B6" ca="1">_xlfn.LET(_xlpm.s,TRIM($A6),IF(_xlpm.s="","",IFERROR(INDIRECT("'"&amp;_xlpm.s&amp;"'!$A$1"),"")))</f>
        <v>S04 SPEC (HEADER - EDITABLE)</v>
      </c>
      <c r="C6" s="2" cm="1">
        <f t="array" aca="1" ref="C6" ca="1">IFERROR(INDIRECT("'"&amp;TRIM($A6)&amp;"'!$K$40"),0)</f>
        <v>0</v>
      </c>
      <c r="D6" s="2" cm="1">
        <f t="array" aca="1" ref="D6" ca="1">IFERROR(INDIRECT("'"&amp;TRIM($A6)&amp;"'!$K$80"),0)</f>
        <v>0</v>
      </c>
      <c r="E6" s="2" cm="1">
        <f t="array" aca="1" ref="E6" ca="1">IFERROR(INDIRECT("'"&amp;TRIM($A6)&amp;"'!$K$120"),0)</f>
        <v>0</v>
      </c>
      <c r="F6" s="2">
        <f t="shared" ca="1" si="0"/>
        <v>0</v>
      </c>
      <c r="J6" s="5"/>
    </row>
    <row r="7" spans="1:29" x14ac:dyDescent="0.25">
      <c r="A7" s="2" t="s">
        <v>670</v>
      </c>
      <c r="B7" s="2" t="str" cm="1">
        <f t="array" aca="1" ref="B7" ca="1">_xlfn.LET(_xlpm.s,TRIM($A7),IF(_xlpm.s="","",IFERROR(INDIRECT("'"&amp;_xlpm.s&amp;"'!$A$1"),"")))</f>
        <v>S05 SPEC (HEADER - EDITABLE)</v>
      </c>
      <c r="C7" s="2" cm="1">
        <f t="array" aca="1" ref="C7" ca="1">IFERROR(INDIRECT("'"&amp;TRIM($A7)&amp;"'!$K$40"),0)</f>
        <v>0</v>
      </c>
      <c r="D7" s="2" cm="1">
        <f t="array" aca="1" ref="D7" ca="1">IFERROR(INDIRECT("'"&amp;TRIM($A7)&amp;"'!$K$80"),0)</f>
        <v>0</v>
      </c>
      <c r="E7" s="2" cm="1">
        <f t="array" aca="1" ref="E7" ca="1">IFERROR(INDIRECT("'"&amp;TRIM($A7)&amp;"'!$K$120"),0)</f>
        <v>0</v>
      </c>
      <c r="F7" s="2">
        <f t="shared" ca="1" si="0"/>
        <v>0</v>
      </c>
      <c r="J7" s="5"/>
    </row>
    <row r="8" spans="1:29" x14ac:dyDescent="0.25">
      <c r="A8" s="2" t="s">
        <v>671</v>
      </c>
      <c r="B8" s="2" t="str" cm="1">
        <f t="array" aca="1" ref="B8" ca="1">_xlfn.LET(_xlpm.s,TRIM($A8),IF(_xlpm.s="","",IFERROR(INDIRECT("'"&amp;_xlpm.s&amp;"'!$A$1"),"")))</f>
        <v>S06 SPEC (HEADER - EDITABLE)</v>
      </c>
      <c r="C8" s="2" cm="1">
        <f t="array" aca="1" ref="C8" ca="1">IFERROR(INDIRECT("'"&amp;TRIM($A8)&amp;"'!$K$40"),0)</f>
        <v>0</v>
      </c>
      <c r="D8" s="2" cm="1">
        <f t="array" aca="1" ref="D8" ca="1">IFERROR(INDIRECT("'"&amp;TRIM($A8)&amp;"'!$K$80"),0)</f>
        <v>0</v>
      </c>
      <c r="E8" s="2" cm="1">
        <f t="array" aca="1" ref="E8" ca="1">IFERROR(INDIRECT("'"&amp;TRIM($A8)&amp;"'!$K$120"),0)</f>
        <v>0</v>
      </c>
      <c r="F8" s="2">
        <f t="shared" ca="1" si="0"/>
        <v>0</v>
      </c>
      <c r="J8" s="5"/>
    </row>
    <row r="9" spans="1:29" x14ac:dyDescent="0.25">
      <c r="A9" s="2" t="s">
        <v>672</v>
      </c>
      <c r="B9" s="2" t="str" cm="1">
        <f t="array" aca="1" ref="B9" ca="1">_xlfn.LET(_xlpm.s,TRIM($A9),IF(_xlpm.s="","",IFERROR(INDIRECT("'"&amp;_xlpm.s&amp;"'!$A$1"),"")))</f>
        <v/>
      </c>
      <c r="C9" s="2" cm="1">
        <f t="array" aca="1" ref="C9" ca="1">IFERROR(INDIRECT("'"&amp;TRIM($A9)&amp;"'!$K$40"),0)</f>
        <v>0</v>
      </c>
      <c r="D9" s="2" cm="1">
        <f t="array" aca="1" ref="D9" ca="1">IFERROR(INDIRECT("'"&amp;TRIM($A9)&amp;"'!$K$80"),0)</f>
        <v>0</v>
      </c>
      <c r="E9" s="2" cm="1">
        <f t="array" aca="1" ref="E9" ca="1">IFERROR(INDIRECT("'"&amp;TRIM($A9)&amp;"'!$K$120"),0)</f>
        <v>0</v>
      </c>
      <c r="F9" s="2">
        <f t="shared" ca="1" si="0"/>
        <v>0</v>
      </c>
      <c r="J9" s="5"/>
    </row>
    <row r="10" spans="1:29" x14ac:dyDescent="0.25">
      <c r="A10" s="2" t="s">
        <v>673</v>
      </c>
      <c r="B10" s="2" t="str" cm="1">
        <f t="array" aca="1" ref="B10" ca="1">_xlfn.LET(_xlpm.s,TRIM($A10),IF(_xlpm.s="","",IFERROR(INDIRECT("'"&amp;_xlpm.s&amp;"'!$A$1"),"")))</f>
        <v/>
      </c>
      <c r="C10" s="2" cm="1">
        <f t="array" aca="1" ref="C10" ca="1">IFERROR(INDIRECT("'"&amp;TRIM($A10)&amp;"'!$K$40"),0)</f>
        <v>0</v>
      </c>
      <c r="D10" s="2" cm="1">
        <f t="array" aca="1" ref="D10" ca="1">IFERROR(INDIRECT("'"&amp;TRIM($A10)&amp;"'!$K$80"),0)</f>
        <v>0</v>
      </c>
      <c r="E10" s="2" cm="1">
        <f t="array" aca="1" ref="E10" ca="1">IFERROR(INDIRECT("'"&amp;TRIM($A10)&amp;"'!$K$120"),0)</f>
        <v>0</v>
      </c>
      <c r="F10" s="2">
        <f t="shared" ca="1" si="0"/>
        <v>0</v>
      </c>
      <c r="J10" s="5"/>
    </row>
    <row r="11" spans="1:29" x14ac:dyDescent="0.25">
      <c r="A11" s="2" t="s">
        <v>674</v>
      </c>
      <c r="B11" s="2" t="str" cm="1">
        <f t="array" aca="1" ref="B11" ca="1">_xlfn.LET(_xlpm.s,TRIM($A11),IF(_xlpm.s="","",IFERROR(INDIRECT("'"&amp;_xlpm.s&amp;"'!$A$1"),"")))</f>
        <v/>
      </c>
      <c r="C11" s="2" cm="1">
        <f t="array" aca="1" ref="C11" ca="1">IFERROR(INDIRECT("'"&amp;TRIM($A11)&amp;"'!$K$40"),0)</f>
        <v>0</v>
      </c>
      <c r="D11" s="2" cm="1">
        <f t="array" aca="1" ref="D11" ca="1">IFERROR(INDIRECT("'"&amp;TRIM($A11)&amp;"'!$K$80"),0)</f>
        <v>0</v>
      </c>
      <c r="E11" s="2" cm="1">
        <f t="array" aca="1" ref="E11" ca="1">IFERROR(INDIRECT("'"&amp;TRIM($A11)&amp;"'!$K$120"),0)</f>
        <v>0</v>
      </c>
      <c r="F11" s="2">
        <f t="shared" ca="1" si="0"/>
        <v>0</v>
      </c>
      <c r="J11" s="5"/>
    </row>
    <row r="12" spans="1:29" x14ac:dyDescent="0.25">
      <c r="A12" s="2" t="s">
        <v>675</v>
      </c>
      <c r="B12" s="2" t="str" cm="1">
        <f t="array" aca="1" ref="B12" ca="1">_xlfn.LET(_xlpm.s,TRIM($A12),IF(_xlpm.s="","",IFERROR(INDIRECT("'"&amp;_xlpm.s&amp;"'!$A$1"),"")))</f>
        <v/>
      </c>
      <c r="C12" s="2" cm="1">
        <f t="array" aca="1" ref="C12" ca="1">IFERROR(INDIRECT("'"&amp;TRIM($A12)&amp;"'!$K$40"),0)</f>
        <v>0</v>
      </c>
      <c r="D12" s="2" cm="1">
        <f t="array" aca="1" ref="D12" ca="1">IFERROR(INDIRECT("'"&amp;TRIM($A12)&amp;"'!$K$80"),0)</f>
        <v>0</v>
      </c>
      <c r="E12" s="2" cm="1">
        <f t="array" aca="1" ref="E12" ca="1">IFERROR(INDIRECT("'"&amp;TRIM($A12)&amp;"'!$K$120"),0)</f>
        <v>0</v>
      </c>
      <c r="F12" s="2">
        <f t="shared" ca="1" si="0"/>
        <v>0</v>
      </c>
      <c r="J12" s="5"/>
    </row>
    <row r="13" spans="1:29" x14ac:dyDescent="0.25">
      <c r="A13" s="2" t="s">
        <v>676</v>
      </c>
      <c r="B13" s="2" t="str" cm="1">
        <f t="array" aca="1" ref="B13" ca="1">_xlfn.LET(_xlpm.s,TRIM($A13),IF(_xlpm.s="","",IFERROR(INDIRECT("'"&amp;_xlpm.s&amp;"'!$A$1"),"")))</f>
        <v/>
      </c>
      <c r="C13" s="2" cm="1">
        <f t="array" aca="1" ref="C13" ca="1">IFERROR(INDIRECT("'"&amp;TRIM($A13)&amp;"'!$K$40"),0)</f>
        <v>0</v>
      </c>
      <c r="D13" s="2" cm="1">
        <f t="array" aca="1" ref="D13" ca="1">IFERROR(INDIRECT("'"&amp;TRIM($A13)&amp;"'!$K$80"),0)</f>
        <v>0</v>
      </c>
      <c r="E13" s="2" cm="1">
        <f t="array" aca="1" ref="E13" ca="1">IFERROR(INDIRECT("'"&amp;TRIM($A13)&amp;"'!$K$120"),0)</f>
        <v>0</v>
      </c>
      <c r="F13" s="2">
        <f t="shared" ca="1" si="0"/>
        <v>0</v>
      </c>
      <c r="J13" s="5"/>
    </row>
    <row r="14" spans="1:29" x14ac:dyDescent="0.25">
      <c r="A14" s="2" t="s">
        <v>677</v>
      </c>
      <c r="B14" s="2" t="str" cm="1">
        <f t="array" aca="1" ref="B14" ca="1">_xlfn.LET(_xlpm.s,TRIM($A14),IF(_xlpm.s="","",IFERROR(INDIRECT("'"&amp;_xlpm.s&amp;"'!$A$1"),"")))</f>
        <v/>
      </c>
      <c r="C14" s="2" cm="1">
        <f t="array" aca="1" ref="C14" ca="1">IFERROR(INDIRECT("'"&amp;TRIM($A14)&amp;"'!$K$40"),0)</f>
        <v>0</v>
      </c>
      <c r="D14" s="2" cm="1">
        <f t="array" aca="1" ref="D14" ca="1">IFERROR(INDIRECT("'"&amp;TRIM($A14)&amp;"'!$K$80"),0)</f>
        <v>0</v>
      </c>
      <c r="E14" s="2" cm="1">
        <f t="array" aca="1" ref="E14" ca="1">IFERROR(INDIRECT("'"&amp;TRIM($A14)&amp;"'!$K$120"),0)</f>
        <v>0</v>
      </c>
      <c r="F14" s="2">
        <f t="shared" ca="1" si="0"/>
        <v>0</v>
      </c>
      <c r="J14" s="5"/>
    </row>
    <row r="15" spans="1:29" x14ac:dyDescent="0.25">
      <c r="A15" s="2" t="s">
        <v>678</v>
      </c>
      <c r="B15" s="2" t="str" cm="1">
        <f t="array" aca="1" ref="B15" ca="1">_xlfn.LET(_xlpm.s,TRIM($A15),IF(_xlpm.s="","",IFERROR(INDIRECT("'"&amp;_xlpm.s&amp;"'!$A$1"),"")))</f>
        <v/>
      </c>
      <c r="C15" s="2" cm="1">
        <f t="array" aca="1" ref="C15" ca="1">IFERROR(INDIRECT("'"&amp;TRIM($A15)&amp;"'!$K$40"),0)</f>
        <v>0</v>
      </c>
      <c r="D15" s="2" cm="1">
        <f t="array" aca="1" ref="D15" ca="1">IFERROR(INDIRECT("'"&amp;TRIM($A15)&amp;"'!$K$80"),0)</f>
        <v>0</v>
      </c>
      <c r="E15" s="2" cm="1">
        <f t="array" aca="1" ref="E15" ca="1">IFERROR(INDIRECT("'"&amp;TRIM($A15)&amp;"'!$K$120"),0)</f>
        <v>0</v>
      </c>
      <c r="F15" s="2">
        <f t="shared" ca="1" si="0"/>
        <v>0</v>
      </c>
      <c r="J15" s="5"/>
    </row>
    <row r="16" spans="1:29" x14ac:dyDescent="0.25">
      <c r="A16" s="2" t="s">
        <v>679</v>
      </c>
      <c r="B16" s="2" t="str" cm="1">
        <f t="array" aca="1" ref="B16" ca="1">_xlfn.LET(_xlpm.s,TRIM($A16),IF(_xlpm.s="","",IFERROR(INDIRECT("'"&amp;_xlpm.s&amp;"'!$A$1"),"")))</f>
        <v/>
      </c>
      <c r="C16" s="2" cm="1">
        <f t="array" aca="1" ref="C16" ca="1">IFERROR(INDIRECT("'"&amp;TRIM($A16)&amp;"'!$K$40"),0)</f>
        <v>0</v>
      </c>
      <c r="D16" s="2" cm="1">
        <f t="array" aca="1" ref="D16" ca="1">IFERROR(INDIRECT("'"&amp;TRIM($A16)&amp;"'!$K$80"),0)</f>
        <v>0</v>
      </c>
      <c r="E16" s="2" cm="1">
        <f t="array" aca="1" ref="E16" ca="1">IFERROR(INDIRECT("'"&amp;TRIM($A16)&amp;"'!$K$120"),0)</f>
        <v>0</v>
      </c>
      <c r="F16" s="2">
        <f t="shared" ca="1" si="0"/>
        <v>0</v>
      </c>
      <c r="J16" s="5"/>
    </row>
    <row r="17" spans="1:20" x14ac:dyDescent="0.25">
      <c r="A17" s="2" t="s">
        <v>680</v>
      </c>
      <c r="B17" s="2" t="str" cm="1">
        <f t="array" aca="1" ref="B17" ca="1">_xlfn.LET(_xlpm.s,TRIM($A17),IF(_xlpm.s="","",IFERROR(INDIRECT("'"&amp;_xlpm.s&amp;"'!$A$1"),"")))</f>
        <v/>
      </c>
      <c r="C17" s="2" cm="1">
        <f t="array" aca="1" ref="C17" ca="1">IFERROR(INDIRECT("'"&amp;TRIM($A17)&amp;"'!$K$40"),0)</f>
        <v>0</v>
      </c>
      <c r="D17" s="2" cm="1">
        <f t="array" aca="1" ref="D17" ca="1">IFERROR(INDIRECT("'"&amp;TRIM($A17)&amp;"'!$K$80"),0)</f>
        <v>0</v>
      </c>
      <c r="E17" s="2" cm="1">
        <f t="array" aca="1" ref="E17" ca="1">IFERROR(INDIRECT("'"&amp;TRIM($A17)&amp;"'!$K$120"),0)</f>
        <v>0</v>
      </c>
      <c r="F17" s="2">
        <f t="shared" ca="1" si="0"/>
        <v>0</v>
      </c>
      <c r="J17" s="5"/>
    </row>
    <row r="18" spans="1:20" x14ac:dyDescent="0.25">
      <c r="A18" s="2" t="s">
        <v>681</v>
      </c>
      <c r="B18" s="2" t="str" cm="1">
        <f t="array" aca="1" ref="B18" ca="1">_xlfn.LET(_xlpm.s,TRIM($A18),IF(_xlpm.s="","",IFERROR(INDIRECT("'"&amp;_xlpm.s&amp;"'!$A$1"),"")))</f>
        <v/>
      </c>
      <c r="C18" s="2" cm="1">
        <f t="array" aca="1" ref="C18" ca="1">IFERROR(INDIRECT("'"&amp;TRIM($A18)&amp;"'!$K$40"),0)</f>
        <v>0</v>
      </c>
      <c r="D18" s="2" cm="1">
        <f t="array" aca="1" ref="D18" ca="1">IFERROR(INDIRECT("'"&amp;TRIM($A18)&amp;"'!$K$80"),0)</f>
        <v>0</v>
      </c>
      <c r="E18" s="2" cm="1">
        <f t="array" aca="1" ref="E18" ca="1">IFERROR(INDIRECT("'"&amp;TRIM($A18)&amp;"'!$K$120"),0)</f>
        <v>0</v>
      </c>
      <c r="F18" s="2">
        <f t="shared" ca="1" si="0"/>
        <v>0</v>
      </c>
      <c r="J18" s="5"/>
    </row>
    <row r="19" spans="1:20" x14ac:dyDescent="0.25">
      <c r="A19" s="2" t="s">
        <v>682</v>
      </c>
      <c r="B19" s="2" t="str" cm="1">
        <f t="array" aca="1" ref="B19" ca="1">_xlfn.LET(_xlpm.s,TRIM($A19),IF(_xlpm.s="","",IFERROR(INDIRECT("'"&amp;_xlpm.s&amp;"'!$A$1"),"")))</f>
        <v/>
      </c>
      <c r="C19" s="2" cm="1">
        <f t="array" aca="1" ref="C19" ca="1">IFERROR(INDIRECT("'"&amp;TRIM($A19)&amp;"'!$K$40"),0)</f>
        <v>0</v>
      </c>
      <c r="D19" s="2" cm="1">
        <f t="array" aca="1" ref="D19" ca="1">IFERROR(INDIRECT("'"&amp;TRIM($A19)&amp;"'!$K$80"),0)</f>
        <v>0</v>
      </c>
      <c r="E19" s="2" cm="1">
        <f t="array" aca="1" ref="E19" ca="1">IFERROR(INDIRECT("'"&amp;TRIM($A19)&amp;"'!$K$120"),0)</f>
        <v>0</v>
      </c>
      <c r="F19" s="2">
        <f t="shared" ca="1" si="0"/>
        <v>0</v>
      </c>
      <c r="J19" s="5"/>
      <c r="T19" s="5"/>
    </row>
    <row r="20" spans="1:20" x14ac:dyDescent="0.25">
      <c r="A20" s="2" t="s">
        <v>683</v>
      </c>
      <c r="B20" s="2" t="str" cm="1">
        <f t="array" aca="1" ref="B20" ca="1">_xlfn.LET(_xlpm.s,TRIM($A20),IF(_xlpm.s="","",IFERROR(INDIRECT("'"&amp;_xlpm.s&amp;"'!$A$1"),"")))</f>
        <v/>
      </c>
      <c r="C20" s="2" cm="1">
        <f t="array" aca="1" ref="C20" ca="1">IFERROR(INDIRECT("'"&amp;TRIM($A20)&amp;"'!$K$40"),0)</f>
        <v>0</v>
      </c>
      <c r="D20" s="2" cm="1">
        <f t="array" aca="1" ref="D20" ca="1">IFERROR(INDIRECT("'"&amp;TRIM($A20)&amp;"'!$K$80"),0)</f>
        <v>0</v>
      </c>
      <c r="E20" s="2" cm="1">
        <f t="array" aca="1" ref="E20" ca="1">IFERROR(INDIRECT("'"&amp;TRIM($A20)&amp;"'!$K$120"),0)</f>
        <v>0</v>
      </c>
      <c r="F20" s="2">
        <f t="shared" ca="1" si="0"/>
        <v>0</v>
      </c>
      <c r="J20" s="5"/>
      <c r="T20" s="5"/>
    </row>
    <row r="21" spans="1:20" x14ac:dyDescent="0.25">
      <c r="A21" s="2" t="s">
        <v>684</v>
      </c>
      <c r="B21" s="2" t="str" cm="1">
        <f t="array" aca="1" ref="B21" ca="1">_xlfn.LET(_xlpm.s,TRIM($A21),IF(_xlpm.s="","",IFERROR(INDIRECT("'"&amp;_xlpm.s&amp;"'!$A$1"),"")))</f>
        <v/>
      </c>
      <c r="C21" s="2" cm="1">
        <f t="array" aca="1" ref="C21" ca="1">IFERROR(INDIRECT("'"&amp;TRIM($A21)&amp;"'!$K$40"),0)</f>
        <v>0</v>
      </c>
      <c r="D21" s="2" cm="1">
        <f t="array" aca="1" ref="D21" ca="1">IFERROR(INDIRECT("'"&amp;TRIM($A21)&amp;"'!$K$80"),0)</f>
        <v>0</v>
      </c>
      <c r="E21" s="2" cm="1">
        <f t="array" aca="1" ref="E21" ca="1">IFERROR(INDIRECT("'"&amp;TRIM($A21)&amp;"'!$K$120"),0)</f>
        <v>0</v>
      </c>
      <c r="F21" s="2">
        <f t="shared" ca="1" si="0"/>
        <v>0</v>
      </c>
      <c r="J21" s="5"/>
    </row>
    <row r="22" spans="1:20" x14ac:dyDescent="0.25">
      <c r="A22" s="2" t="s">
        <v>685</v>
      </c>
      <c r="B22" s="2" t="str" cm="1">
        <f t="array" aca="1" ref="B22" ca="1">_xlfn.LET(_xlpm.s,TRIM($A22),IF(_xlpm.s="","",IFERROR(INDIRECT("'"&amp;_xlpm.s&amp;"'!$A$1"),"")))</f>
        <v/>
      </c>
      <c r="C22" s="2" cm="1">
        <f t="array" aca="1" ref="C22" ca="1">IFERROR(INDIRECT("'"&amp;TRIM($A22)&amp;"'!$K$40"),0)</f>
        <v>0</v>
      </c>
      <c r="D22" s="2" cm="1">
        <f t="array" aca="1" ref="D22" ca="1">IFERROR(INDIRECT("'"&amp;TRIM($A22)&amp;"'!$K$80"),0)</f>
        <v>0</v>
      </c>
      <c r="E22" s="2" cm="1">
        <f t="array" aca="1" ref="E22" ca="1">IFERROR(INDIRECT("'"&amp;TRIM($A22)&amp;"'!$K$120"),0)</f>
        <v>0</v>
      </c>
      <c r="F22" s="2">
        <f t="shared" ca="1" si="0"/>
        <v>0</v>
      </c>
      <c r="J22" s="5"/>
    </row>
    <row r="23" spans="1:20" x14ac:dyDescent="0.25">
      <c r="A23" s="2" t="s">
        <v>686</v>
      </c>
      <c r="B23" s="2" t="str" cm="1">
        <f t="array" aca="1" ref="B23" ca="1">_xlfn.LET(_xlpm.s,TRIM($A23),IF(_xlpm.s="","",IFERROR(INDIRECT("'"&amp;_xlpm.s&amp;"'!$A$1"),"")))</f>
        <v/>
      </c>
      <c r="C23" s="2" cm="1">
        <f t="array" aca="1" ref="C23" ca="1">IFERROR(INDIRECT("'"&amp;TRIM($A23)&amp;"'!$K$40"),0)</f>
        <v>0</v>
      </c>
      <c r="D23" s="2" cm="1">
        <f t="array" aca="1" ref="D23" ca="1">IFERROR(INDIRECT("'"&amp;TRIM($A23)&amp;"'!$K$80"),0)</f>
        <v>0</v>
      </c>
      <c r="E23" s="2" cm="1">
        <f t="array" aca="1" ref="E23" ca="1">IFERROR(INDIRECT("'"&amp;TRIM($A23)&amp;"'!$K$120"),0)</f>
        <v>0</v>
      </c>
      <c r="F23" s="2">
        <f t="shared" ca="1" si="0"/>
        <v>0</v>
      </c>
      <c r="J23" s="5"/>
    </row>
    <row r="24" spans="1:20" x14ac:dyDescent="0.25">
      <c r="A24" s="2" t="s">
        <v>687</v>
      </c>
      <c r="B24" s="2" t="str" cm="1">
        <f t="array" aca="1" ref="B24" ca="1">_xlfn.LET(_xlpm.s,TRIM($A24),IF(_xlpm.s="","",IFERROR(INDIRECT("'"&amp;_xlpm.s&amp;"'!$A$1"),"")))</f>
        <v/>
      </c>
      <c r="C24" s="2" cm="1">
        <f t="array" aca="1" ref="C24" ca="1">IFERROR(INDIRECT("'"&amp;TRIM($A24)&amp;"'!$K$40"),0)</f>
        <v>0</v>
      </c>
      <c r="D24" s="2" cm="1">
        <f t="array" aca="1" ref="D24" ca="1">IFERROR(INDIRECT("'"&amp;TRIM($A24)&amp;"'!$K$80"),0)</f>
        <v>0</v>
      </c>
      <c r="E24" s="2" cm="1">
        <f t="array" aca="1" ref="E24" ca="1">IFERROR(INDIRECT("'"&amp;TRIM($A24)&amp;"'!$K$120"),0)</f>
        <v>0</v>
      </c>
      <c r="F24" s="2">
        <f t="shared" ca="1" si="0"/>
        <v>0</v>
      </c>
      <c r="J24" s="5"/>
    </row>
    <row r="25" spans="1:20" x14ac:dyDescent="0.25">
      <c r="A25" s="2" t="s">
        <v>688</v>
      </c>
      <c r="B25" s="2" t="str" cm="1">
        <f t="array" aca="1" ref="B25" ca="1">_xlfn.LET(_xlpm.s,TRIM($A25),IF(_xlpm.s="","",IFERROR(INDIRECT("'"&amp;_xlpm.s&amp;"'!$A$1"),"")))</f>
        <v/>
      </c>
      <c r="C25" s="2" cm="1">
        <f t="array" aca="1" ref="C25" ca="1">IFERROR(INDIRECT("'"&amp;TRIM($A25)&amp;"'!$K$40"),0)</f>
        <v>0</v>
      </c>
      <c r="D25" s="2" cm="1">
        <f t="array" aca="1" ref="D25" ca="1">IFERROR(INDIRECT("'"&amp;TRIM($A25)&amp;"'!$K$80"),0)</f>
        <v>0</v>
      </c>
      <c r="E25" s="2" cm="1">
        <f t="array" aca="1" ref="E25" ca="1">IFERROR(INDIRECT("'"&amp;TRIM($A25)&amp;"'!$K$120"),0)</f>
        <v>0</v>
      </c>
      <c r="F25" s="2">
        <f t="shared" ca="1" si="0"/>
        <v>0</v>
      </c>
      <c r="J25" s="5"/>
    </row>
    <row r="26" spans="1:20" x14ac:dyDescent="0.25">
      <c r="A26" s="2" t="s">
        <v>689</v>
      </c>
      <c r="B26" s="2" t="str" cm="1">
        <f t="array" aca="1" ref="B26" ca="1">_xlfn.LET(_xlpm.s,TRIM($A26),IF(_xlpm.s="","",IFERROR(INDIRECT("'"&amp;_xlpm.s&amp;"'!$A$1"),"")))</f>
        <v/>
      </c>
      <c r="C26" s="2" cm="1">
        <f t="array" aca="1" ref="C26" ca="1">IFERROR(INDIRECT("'"&amp;TRIM($A26)&amp;"'!$K$40"),0)</f>
        <v>0</v>
      </c>
      <c r="D26" s="2" cm="1">
        <f t="array" aca="1" ref="D26" ca="1">IFERROR(INDIRECT("'"&amp;TRIM($A26)&amp;"'!$K$80"),0)</f>
        <v>0</v>
      </c>
      <c r="E26" s="2" cm="1">
        <f t="array" aca="1" ref="E26" ca="1">IFERROR(INDIRECT("'"&amp;TRIM($A26)&amp;"'!$K$120"),0)</f>
        <v>0</v>
      </c>
      <c r="F26" s="2">
        <f t="shared" ca="1" si="0"/>
        <v>0</v>
      </c>
      <c r="J26" s="5"/>
    </row>
    <row r="27" spans="1:20" x14ac:dyDescent="0.25">
      <c r="A27" s="2" t="s">
        <v>690</v>
      </c>
      <c r="B27" s="2" t="str" cm="1">
        <f t="array" aca="1" ref="B27" ca="1">_xlfn.LET(_xlpm.s,TRIM($A27),IF(_xlpm.s="","",IFERROR(INDIRECT("'"&amp;_xlpm.s&amp;"'!$A$1"),"")))</f>
        <v/>
      </c>
      <c r="C27" s="2" cm="1">
        <f t="array" aca="1" ref="C27" ca="1">IFERROR(INDIRECT("'"&amp;TRIM($A27)&amp;"'!$K$40"),0)</f>
        <v>0</v>
      </c>
      <c r="D27" s="2" cm="1">
        <f t="array" aca="1" ref="D27" ca="1">IFERROR(INDIRECT("'"&amp;TRIM($A27)&amp;"'!$K$80"),0)</f>
        <v>0</v>
      </c>
      <c r="E27" s="2" cm="1">
        <f t="array" aca="1" ref="E27" ca="1">IFERROR(INDIRECT("'"&amp;TRIM($A27)&amp;"'!$K$120"),0)</f>
        <v>0</v>
      </c>
      <c r="F27" s="2">
        <f t="shared" ca="1" si="0"/>
        <v>0</v>
      </c>
      <c r="J27" s="5"/>
    </row>
    <row r="28" spans="1:20" x14ac:dyDescent="0.25">
      <c r="A28" s="2" t="s">
        <v>691</v>
      </c>
      <c r="B28" s="2" t="str" cm="1">
        <f t="array" aca="1" ref="B28" ca="1">_xlfn.LET(_xlpm.s,TRIM($A28),IF(_xlpm.s="","",IFERROR(INDIRECT("'"&amp;_xlpm.s&amp;"'!$A$1"),"")))</f>
        <v/>
      </c>
      <c r="C28" s="2" cm="1">
        <f t="array" aca="1" ref="C28" ca="1">IFERROR(INDIRECT("'"&amp;TRIM($A28)&amp;"'!$K$40"),0)</f>
        <v>0</v>
      </c>
      <c r="D28" s="2" cm="1">
        <f t="array" aca="1" ref="D28" ca="1">IFERROR(INDIRECT("'"&amp;TRIM($A28)&amp;"'!$K$80"),0)</f>
        <v>0</v>
      </c>
      <c r="E28" s="2" cm="1">
        <f t="array" aca="1" ref="E28" ca="1">IFERROR(INDIRECT("'"&amp;TRIM($A28)&amp;"'!$K$120"),0)</f>
        <v>0</v>
      </c>
      <c r="F28" s="2">
        <f t="shared" ca="1" si="0"/>
        <v>0</v>
      </c>
      <c r="J28" s="5"/>
    </row>
    <row r="29" spans="1:20" x14ac:dyDescent="0.25">
      <c r="A29" s="2" t="s">
        <v>692</v>
      </c>
      <c r="B29" s="2" t="str" cm="1">
        <f t="array" aca="1" ref="B29" ca="1">_xlfn.LET(_xlpm.s,TRIM($A29),IF(_xlpm.s="","",IFERROR(INDIRECT("'"&amp;_xlpm.s&amp;"'!$A$1"),"")))</f>
        <v/>
      </c>
      <c r="C29" s="2" cm="1">
        <f t="array" aca="1" ref="C29" ca="1">IFERROR(INDIRECT("'"&amp;TRIM($A29)&amp;"'!$K$40"),0)</f>
        <v>0</v>
      </c>
      <c r="D29" s="2" cm="1">
        <f t="array" aca="1" ref="D29" ca="1">IFERROR(INDIRECT("'"&amp;TRIM($A29)&amp;"'!$K$80"),0)</f>
        <v>0</v>
      </c>
      <c r="E29" s="2" cm="1">
        <f t="array" aca="1" ref="E29" ca="1">IFERROR(INDIRECT("'"&amp;TRIM($A29)&amp;"'!$K$120"),0)</f>
        <v>0</v>
      </c>
      <c r="F29" s="2">
        <f t="shared" ca="1" si="0"/>
        <v>0</v>
      </c>
      <c r="J29" s="5"/>
    </row>
    <row r="30" spans="1:20" x14ac:dyDescent="0.25">
      <c r="A30" s="2" t="s">
        <v>693</v>
      </c>
      <c r="B30" s="2" t="str" cm="1">
        <f t="array" aca="1" ref="B30" ca="1">_xlfn.LET(_xlpm.s,TRIM($A30),IF(_xlpm.s="","",IFERROR(INDIRECT("'"&amp;_xlpm.s&amp;"'!$A$1"),"")))</f>
        <v/>
      </c>
      <c r="C30" s="2" cm="1">
        <f t="array" aca="1" ref="C30" ca="1">IFERROR(INDIRECT("'"&amp;TRIM($A30)&amp;"'!$K$40"),0)</f>
        <v>0</v>
      </c>
      <c r="D30" s="2" cm="1">
        <f t="array" aca="1" ref="D30" ca="1">IFERROR(INDIRECT("'"&amp;TRIM($A30)&amp;"'!$K$80"),0)</f>
        <v>0</v>
      </c>
      <c r="E30" s="2" cm="1">
        <f t="array" aca="1" ref="E30" ca="1">IFERROR(INDIRECT("'"&amp;TRIM($A30)&amp;"'!$K$120"),0)</f>
        <v>0</v>
      </c>
      <c r="F30" s="2">
        <f t="shared" ca="1" si="0"/>
        <v>0</v>
      </c>
    </row>
    <row r="31" spans="1:20" x14ac:dyDescent="0.25">
      <c r="A31" s="2" t="s">
        <v>694</v>
      </c>
      <c r="B31" s="2" t="str" cm="1">
        <f t="array" aca="1" ref="B31" ca="1">_xlfn.LET(_xlpm.s,TRIM($A31),IF(_xlpm.s="","",IFERROR(INDIRECT("'"&amp;_xlpm.s&amp;"'!$A$1"),"")))</f>
        <v/>
      </c>
      <c r="C31" s="2" cm="1">
        <f t="array" aca="1" ref="C31" ca="1">IFERROR(INDIRECT("'"&amp;TRIM($A31)&amp;"'!$K$40"),0)</f>
        <v>0</v>
      </c>
      <c r="D31" s="2" cm="1">
        <f t="array" aca="1" ref="D31" ca="1">IFERROR(INDIRECT("'"&amp;TRIM($A31)&amp;"'!$K$80"),0)</f>
        <v>0</v>
      </c>
      <c r="E31" s="2" cm="1">
        <f t="array" aca="1" ref="E31" ca="1">IFERROR(INDIRECT("'"&amp;TRIM($A31)&amp;"'!$K$120"),0)</f>
        <v>0</v>
      </c>
      <c r="F31" s="2">
        <f t="shared" ca="1" si="0"/>
        <v>0</v>
      </c>
    </row>
    <row r="32" spans="1:20" x14ac:dyDescent="0.25">
      <c r="A32" s="2" t="s">
        <v>695</v>
      </c>
      <c r="B32" s="2" t="str" cm="1">
        <f t="array" aca="1" ref="B32" ca="1">_xlfn.LET(_xlpm.s,TRIM($A32),IF(_xlpm.s="","",IFERROR(INDIRECT("'"&amp;_xlpm.s&amp;"'!$A$1"),"")))</f>
        <v/>
      </c>
      <c r="C32" s="2" cm="1">
        <f t="array" aca="1" ref="C32" ca="1">IFERROR(INDIRECT("'"&amp;TRIM($A32)&amp;"'!$K$40"),0)</f>
        <v>0</v>
      </c>
      <c r="D32" s="2" cm="1">
        <f t="array" aca="1" ref="D32" ca="1">IFERROR(INDIRECT("'"&amp;TRIM($A32)&amp;"'!$K$80"),0)</f>
        <v>0</v>
      </c>
      <c r="E32" s="2" cm="1">
        <f t="array" aca="1" ref="E32" ca="1">IFERROR(INDIRECT("'"&amp;TRIM($A32)&amp;"'!$K$120"),0)</f>
        <v>0</v>
      </c>
      <c r="F32" s="2">
        <f t="shared" ca="1" si="0"/>
        <v>0</v>
      </c>
    </row>
    <row r="33" spans="1:6" x14ac:dyDescent="0.25">
      <c r="A33" s="2" t="s">
        <v>696</v>
      </c>
      <c r="B33" s="2" t="str" cm="1">
        <f t="array" aca="1" ref="B33" ca="1">_xlfn.LET(_xlpm.s,TRIM($A33),IF(_xlpm.s="","",IFERROR(INDIRECT("'"&amp;_xlpm.s&amp;"'!$A$1"),"")))</f>
        <v/>
      </c>
      <c r="C33" s="2" cm="1">
        <f t="array" aca="1" ref="C33" ca="1">IFERROR(INDIRECT("'"&amp;TRIM($A33)&amp;"'!$K$40"),0)</f>
        <v>0</v>
      </c>
      <c r="D33" s="2" cm="1">
        <f t="array" aca="1" ref="D33" ca="1">IFERROR(INDIRECT("'"&amp;TRIM($A33)&amp;"'!$K$80"),0)</f>
        <v>0</v>
      </c>
      <c r="E33" s="2" cm="1">
        <f t="array" aca="1" ref="E33" ca="1">IFERROR(INDIRECT("'"&amp;TRIM($A33)&amp;"'!$K$120"),0)</f>
        <v>0</v>
      </c>
      <c r="F33" s="2">
        <f t="shared" ca="1" si="0"/>
        <v>0</v>
      </c>
    </row>
    <row r="34" spans="1:6" x14ac:dyDescent="0.25">
      <c r="A34" s="2" t="s">
        <v>697</v>
      </c>
      <c r="B34" s="2" t="str" cm="1">
        <f t="array" aca="1" ref="B34" ca="1">_xlfn.LET(_xlpm.s,TRIM($A34),IF(_xlpm.s="","",IFERROR(INDIRECT("'"&amp;_xlpm.s&amp;"'!$A$1"),"")))</f>
        <v/>
      </c>
      <c r="C34" s="2" cm="1">
        <f t="array" aca="1" ref="C34" ca="1">IFERROR(INDIRECT("'"&amp;TRIM($A34)&amp;"'!$K$40"),0)</f>
        <v>0</v>
      </c>
      <c r="D34" s="2" cm="1">
        <f t="array" aca="1" ref="D34" ca="1">IFERROR(INDIRECT("'"&amp;TRIM($A34)&amp;"'!$K$80"),0)</f>
        <v>0</v>
      </c>
      <c r="E34" s="2" cm="1">
        <f t="array" aca="1" ref="E34" ca="1">IFERROR(INDIRECT("'"&amp;TRIM($A34)&amp;"'!$K$120"),0)</f>
        <v>0</v>
      </c>
      <c r="F34" s="2">
        <f t="shared" ca="1" si="0"/>
        <v>0</v>
      </c>
    </row>
    <row r="35" spans="1:6" x14ac:dyDescent="0.25">
      <c r="A35" s="2" t="s">
        <v>698</v>
      </c>
      <c r="B35" s="2" t="str" cm="1">
        <f t="array" aca="1" ref="B35" ca="1">_xlfn.LET(_xlpm.s,TRIM($A35),IF(_xlpm.s="","",IFERROR(INDIRECT("'"&amp;_xlpm.s&amp;"'!$A$1"),"")))</f>
        <v/>
      </c>
      <c r="C35" s="2" cm="1">
        <f t="array" aca="1" ref="C35" ca="1">IFERROR(INDIRECT("'"&amp;TRIM($A35)&amp;"'!$K$40"),0)</f>
        <v>0</v>
      </c>
      <c r="D35" s="2" cm="1">
        <f t="array" aca="1" ref="D35" ca="1">IFERROR(INDIRECT("'"&amp;TRIM($A35)&amp;"'!$K$80"),0)</f>
        <v>0</v>
      </c>
      <c r="E35" s="2" cm="1">
        <f t="array" aca="1" ref="E35" ca="1">IFERROR(INDIRECT("'"&amp;TRIM($A35)&amp;"'!$K$120"),0)</f>
        <v>0</v>
      </c>
      <c r="F35" s="2">
        <f t="shared" ca="1" si="0"/>
        <v>0</v>
      </c>
    </row>
    <row r="36" spans="1:6" x14ac:dyDescent="0.25">
      <c r="A36" s="2" t="s">
        <v>699</v>
      </c>
      <c r="B36" s="2" t="str" cm="1">
        <f t="array" aca="1" ref="B36" ca="1">_xlfn.LET(_xlpm.s,TRIM($A36),IF(_xlpm.s="","",IFERROR(INDIRECT("'"&amp;_xlpm.s&amp;"'!$A$1"),"")))</f>
        <v/>
      </c>
      <c r="C36" s="2" cm="1">
        <f t="array" aca="1" ref="C36" ca="1">IFERROR(INDIRECT("'"&amp;TRIM($A36)&amp;"'!$K$40"),0)</f>
        <v>0</v>
      </c>
      <c r="D36" s="2" cm="1">
        <f t="array" aca="1" ref="D36" ca="1">IFERROR(INDIRECT("'"&amp;TRIM($A36)&amp;"'!$K$80"),0)</f>
        <v>0</v>
      </c>
      <c r="E36" s="2" cm="1">
        <f t="array" aca="1" ref="E36" ca="1">IFERROR(INDIRECT("'"&amp;TRIM($A36)&amp;"'!$K$120"),0)</f>
        <v>0</v>
      </c>
      <c r="F36" s="2">
        <f t="shared" ca="1" si="0"/>
        <v>0</v>
      </c>
    </row>
    <row r="37" spans="1:6" x14ac:dyDescent="0.25">
      <c r="A37" s="2" t="s">
        <v>700</v>
      </c>
      <c r="B37" s="2" t="str" cm="1">
        <f t="array" aca="1" ref="B37" ca="1">_xlfn.LET(_xlpm.s,TRIM($A37),IF(_xlpm.s="","",IFERROR(INDIRECT("'"&amp;_xlpm.s&amp;"'!$A$1"),"")))</f>
        <v/>
      </c>
      <c r="C37" s="2" cm="1">
        <f t="array" aca="1" ref="C37" ca="1">IFERROR(INDIRECT("'"&amp;TRIM($A37)&amp;"'!$K$40"),0)</f>
        <v>0</v>
      </c>
      <c r="D37" s="2" cm="1">
        <f t="array" aca="1" ref="D37" ca="1">IFERROR(INDIRECT("'"&amp;TRIM($A37)&amp;"'!$K$80"),0)</f>
        <v>0</v>
      </c>
      <c r="E37" s="2" cm="1">
        <f t="array" aca="1" ref="E37" ca="1">IFERROR(INDIRECT("'"&amp;TRIM($A37)&amp;"'!$K$120"),0)</f>
        <v>0</v>
      </c>
      <c r="F37" s="2">
        <f t="shared" ca="1" si="0"/>
        <v>0</v>
      </c>
    </row>
    <row r="38" spans="1:6" x14ac:dyDescent="0.25">
      <c r="A38" s="2" t="s">
        <v>701</v>
      </c>
      <c r="B38" s="2" t="str" cm="1">
        <f t="array" aca="1" ref="B38" ca="1">_xlfn.LET(_xlpm.s,TRIM($A38),IF(_xlpm.s="","",IFERROR(INDIRECT("'"&amp;_xlpm.s&amp;"'!$A$1"),"")))</f>
        <v/>
      </c>
      <c r="C38" s="2" cm="1">
        <f t="array" aca="1" ref="C38" ca="1">IFERROR(INDIRECT("'"&amp;TRIM($A38)&amp;"'!$K$40"),0)</f>
        <v>0</v>
      </c>
      <c r="D38" s="2" cm="1">
        <f t="array" aca="1" ref="D38" ca="1">IFERROR(INDIRECT("'"&amp;TRIM($A38)&amp;"'!$K$80"),0)</f>
        <v>0</v>
      </c>
      <c r="E38" s="2" cm="1">
        <f t="array" aca="1" ref="E38" ca="1">IFERROR(INDIRECT("'"&amp;TRIM($A38)&amp;"'!$K$120"),0)</f>
        <v>0</v>
      </c>
      <c r="F38" s="2">
        <f t="shared" ca="1" si="0"/>
        <v>0</v>
      </c>
    </row>
    <row r="39" spans="1:6" x14ac:dyDescent="0.25">
      <c r="A39" s="2" t="s">
        <v>702</v>
      </c>
      <c r="B39" s="2" t="str" cm="1">
        <f t="array" aca="1" ref="B39" ca="1">_xlfn.LET(_xlpm.s,TRIM($A39),IF(_xlpm.s="","",IFERROR(INDIRECT("'"&amp;_xlpm.s&amp;"'!$A$1"),"")))</f>
        <v/>
      </c>
      <c r="C39" s="2" cm="1">
        <f t="array" aca="1" ref="C39" ca="1">IFERROR(INDIRECT("'"&amp;TRIM($A39)&amp;"'!$K$40"),0)</f>
        <v>0</v>
      </c>
      <c r="D39" s="2" cm="1">
        <f t="array" aca="1" ref="D39" ca="1">IFERROR(INDIRECT("'"&amp;TRIM($A39)&amp;"'!$K$80"),0)</f>
        <v>0</v>
      </c>
      <c r="E39" s="2" cm="1">
        <f t="array" aca="1" ref="E39" ca="1">IFERROR(INDIRECT("'"&amp;TRIM($A39)&amp;"'!$K$120"),0)</f>
        <v>0</v>
      </c>
      <c r="F39" s="2">
        <f t="shared" ca="1" si="0"/>
        <v>0</v>
      </c>
    </row>
    <row r="40" spans="1:6" x14ac:dyDescent="0.25">
      <c r="A40" s="2" t="s">
        <v>703</v>
      </c>
      <c r="B40" s="2" t="str" cm="1">
        <f t="array" aca="1" ref="B40" ca="1">_xlfn.LET(_xlpm.s,TRIM($A40),IF(_xlpm.s="","",IFERROR(INDIRECT("'"&amp;_xlpm.s&amp;"'!$A$1"),"")))</f>
        <v/>
      </c>
      <c r="C40" s="2" cm="1">
        <f t="array" aca="1" ref="C40" ca="1">IFERROR(INDIRECT("'"&amp;TRIM($A40)&amp;"'!$K$40"),0)</f>
        <v>0</v>
      </c>
      <c r="D40" s="2" cm="1">
        <f t="array" aca="1" ref="D40" ca="1">IFERROR(INDIRECT("'"&amp;TRIM($A40)&amp;"'!$K$80"),0)</f>
        <v>0</v>
      </c>
      <c r="E40" s="2" cm="1">
        <f t="array" aca="1" ref="E40" ca="1">IFERROR(INDIRECT("'"&amp;TRIM($A40)&amp;"'!$K$120"),0)</f>
        <v>0</v>
      </c>
      <c r="F40" s="2">
        <f t="shared" ca="1" si="0"/>
        <v>0</v>
      </c>
    </row>
    <row r="41" spans="1:6" x14ac:dyDescent="0.25">
      <c r="A41" s="2" t="s">
        <v>704</v>
      </c>
      <c r="B41" s="2" t="str" cm="1">
        <f t="array" aca="1" ref="B41" ca="1">_xlfn.LET(_xlpm.s,TRIM($A41),IF(_xlpm.s="","",IFERROR(INDIRECT("'"&amp;_xlpm.s&amp;"'!$A$1"),"")))</f>
        <v/>
      </c>
      <c r="C41" s="2" cm="1">
        <f t="array" aca="1" ref="C41" ca="1">IFERROR(INDIRECT("'"&amp;TRIM($A41)&amp;"'!$K$40"),0)</f>
        <v>0</v>
      </c>
      <c r="D41" s="2" cm="1">
        <f t="array" aca="1" ref="D41" ca="1">IFERROR(INDIRECT("'"&amp;TRIM($A41)&amp;"'!$K$80"),0)</f>
        <v>0</v>
      </c>
      <c r="E41" s="2" cm="1">
        <f t="array" aca="1" ref="E41" ca="1">IFERROR(INDIRECT("'"&amp;TRIM($A41)&amp;"'!$K$120"),0)</f>
        <v>0</v>
      </c>
      <c r="F41" s="2">
        <f t="shared" ca="1" si="0"/>
        <v>0</v>
      </c>
    </row>
    <row r="42" spans="1:6" x14ac:dyDescent="0.25">
      <c r="A42" s="2" t="s">
        <v>705</v>
      </c>
      <c r="B42" s="2" t="str" cm="1">
        <f t="array" aca="1" ref="B42" ca="1">_xlfn.LET(_xlpm.s,TRIM($A42),IF(_xlpm.s="","",IFERROR(INDIRECT("'"&amp;_xlpm.s&amp;"'!$A$1"),"")))</f>
        <v/>
      </c>
      <c r="C42" s="2" cm="1">
        <f t="array" aca="1" ref="C42" ca="1">IFERROR(INDIRECT("'"&amp;TRIM($A42)&amp;"'!$K$40"),0)</f>
        <v>0</v>
      </c>
      <c r="D42" s="2" cm="1">
        <f t="array" aca="1" ref="D42" ca="1">IFERROR(INDIRECT("'"&amp;TRIM($A42)&amp;"'!$K$80"),0)</f>
        <v>0</v>
      </c>
      <c r="E42" s="2" cm="1">
        <f t="array" aca="1" ref="E42" ca="1">IFERROR(INDIRECT("'"&amp;TRIM($A42)&amp;"'!$K$120"),0)</f>
        <v>0</v>
      </c>
      <c r="F42" s="2">
        <f t="shared" ca="1" si="0"/>
        <v>0</v>
      </c>
    </row>
    <row r="43" spans="1:6" x14ac:dyDescent="0.25">
      <c r="A43" s="2" t="s">
        <v>706</v>
      </c>
      <c r="B43" s="2" t="str" cm="1">
        <f t="array" aca="1" ref="B43" ca="1">_xlfn.LET(_xlpm.s,TRIM($A43),IF(_xlpm.s="","",IFERROR(INDIRECT("'"&amp;_xlpm.s&amp;"'!$A$1"),"")))</f>
        <v/>
      </c>
      <c r="C43" s="2" cm="1">
        <f t="array" aca="1" ref="C43" ca="1">IFERROR(INDIRECT("'"&amp;TRIM($A43)&amp;"'!$K$40"),0)</f>
        <v>0</v>
      </c>
      <c r="D43" s="2" cm="1">
        <f t="array" aca="1" ref="D43" ca="1">IFERROR(INDIRECT("'"&amp;TRIM($A43)&amp;"'!$K$80"),0)</f>
        <v>0</v>
      </c>
      <c r="E43" s="2" cm="1">
        <f t="array" aca="1" ref="E43" ca="1">IFERROR(INDIRECT("'"&amp;TRIM($A43)&amp;"'!$K$120"),0)</f>
        <v>0</v>
      </c>
      <c r="F43" s="2">
        <f t="shared" ca="1" si="0"/>
        <v>0</v>
      </c>
    </row>
    <row r="44" spans="1:6" x14ac:dyDescent="0.25">
      <c r="A44" s="2" t="s">
        <v>707</v>
      </c>
      <c r="B44" s="2" t="str" cm="1">
        <f t="array" aca="1" ref="B44" ca="1">_xlfn.LET(_xlpm.s,TRIM($A44),IF(_xlpm.s="","",IFERROR(INDIRECT("'"&amp;_xlpm.s&amp;"'!$A$1"),"")))</f>
        <v/>
      </c>
      <c r="C44" s="2" cm="1">
        <f t="array" aca="1" ref="C44" ca="1">IFERROR(INDIRECT("'"&amp;TRIM($A44)&amp;"'!$K$40"),0)</f>
        <v>0</v>
      </c>
      <c r="D44" s="2" cm="1">
        <f t="array" aca="1" ref="D44" ca="1">IFERROR(INDIRECT("'"&amp;TRIM($A44)&amp;"'!$K$80"),0)</f>
        <v>0</v>
      </c>
      <c r="E44" s="2" cm="1">
        <f t="array" aca="1" ref="E44" ca="1">IFERROR(INDIRECT("'"&amp;TRIM($A44)&amp;"'!$K$120"),0)</f>
        <v>0</v>
      </c>
      <c r="F44" s="2">
        <f t="shared" ca="1" si="0"/>
        <v>0</v>
      </c>
    </row>
    <row r="45" spans="1:6" x14ac:dyDescent="0.25">
      <c r="A45" s="2" t="s">
        <v>708</v>
      </c>
      <c r="B45" s="2" t="str" cm="1">
        <f t="array" aca="1" ref="B45" ca="1">_xlfn.LET(_xlpm.s,TRIM($A45),IF(_xlpm.s="","",IFERROR(INDIRECT("'"&amp;_xlpm.s&amp;"'!$A$1"),"")))</f>
        <v/>
      </c>
      <c r="C45" s="2" cm="1">
        <f t="array" aca="1" ref="C45" ca="1">IFERROR(INDIRECT("'"&amp;TRIM($A45)&amp;"'!$K$40"),0)</f>
        <v>0</v>
      </c>
      <c r="D45" s="2" cm="1">
        <f t="array" aca="1" ref="D45" ca="1">IFERROR(INDIRECT("'"&amp;TRIM($A45)&amp;"'!$K$80"),0)</f>
        <v>0</v>
      </c>
      <c r="E45" s="2" cm="1">
        <f t="array" aca="1" ref="E45" ca="1">IFERROR(INDIRECT("'"&amp;TRIM($A45)&amp;"'!$K$120"),0)</f>
        <v>0</v>
      </c>
      <c r="F45" s="2">
        <f t="shared" ca="1" si="0"/>
        <v>0</v>
      </c>
    </row>
    <row r="46" spans="1:6" x14ac:dyDescent="0.25">
      <c r="A46" s="2" t="s">
        <v>709</v>
      </c>
      <c r="B46" s="2" t="str" cm="1">
        <f t="array" aca="1" ref="B46" ca="1">_xlfn.LET(_xlpm.s,TRIM($A46),IF(_xlpm.s="","",IFERROR(INDIRECT("'"&amp;_xlpm.s&amp;"'!$A$1"),"")))</f>
        <v/>
      </c>
      <c r="C46" s="2" cm="1">
        <f t="array" aca="1" ref="C46" ca="1">IFERROR(INDIRECT("'"&amp;TRIM($A46)&amp;"'!$K$40"),0)</f>
        <v>0</v>
      </c>
      <c r="D46" s="2" cm="1">
        <f t="array" aca="1" ref="D46" ca="1">IFERROR(INDIRECT("'"&amp;TRIM($A46)&amp;"'!$K$80"),0)</f>
        <v>0</v>
      </c>
      <c r="E46" s="2" cm="1">
        <f t="array" aca="1" ref="E46" ca="1">IFERROR(INDIRECT("'"&amp;TRIM($A46)&amp;"'!$K$120"),0)</f>
        <v>0</v>
      </c>
      <c r="F46" s="2">
        <f t="shared" ca="1" si="0"/>
        <v>0</v>
      </c>
    </row>
    <row r="47" spans="1:6" x14ac:dyDescent="0.25">
      <c r="A47" s="2" t="s">
        <v>710</v>
      </c>
      <c r="B47" s="2" t="str" cm="1">
        <f t="array" aca="1" ref="B47" ca="1">_xlfn.LET(_xlpm.s,TRIM($A47),IF(_xlpm.s="","",IFERROR(INDIRECT("'"&amp;_xlpm.s&amp;"'!$A$1"),"")))</f>
        <v/>
      </c>
      <c r="C47" s="2" cm="1">
        <f t="array" aca="1" ref="C47" ca="1">IFERROR(INDIRECT("'"&amp;TRIM($A47)&amp;"'!$K$40"),0)</f>
        <v>0</v>
      </c>
      <c r="D47" s="2" cm="1">
        <f t="array" aca="1" ref="D47" ca="1">IFERROR(INDIRECT("'"&amp;TRIM($A47)&amp;"'!$K$80"),0)</f>
        <v>0</v>
      </c>
      <c r="E47" s="2" cm="1">
        <f t="array" aca="1" ref="E47" ca="1">IFERROR(INDIRECT("'"&amp;TRIM($A47)&amp;"'!$K$120"),0)</f>
        <v>0</v>
      </c>
      <c r="F47" s="2">
        <f t="shared" ca="1" si="0"/>
        <v>0</v>
      </c>
    </row>
    <row r="48" spans="1:6" x14ac:dyDescent="0.25">
      <c r="A48" s="2" t="s">
        <v>711</v>
      </c>
      <c r="B48" s="2" t="str" cm="1">
        <f t="array" aca="1" ref="B48" ca="1">_xlfn.LET(_xlpm.s,TRIM($A48),IF(_xlpm.s="","",IFERROR(INDIRECT("'"&amp;_xlpm.s&amp;"'!$A$1"),"")))</f>
        <v/>
      </c>
      <c r="C48" s="2" cm="1">
        <f t="array" aca="1" ref="C48" ca="1">IFERROR(INDIRECT("'"&amp;TRIM($A48)&amp;"'!$K$40"),0)</f>
        <v>0</v>
      </c>
      <c r="D48" s="2" cm="1">
        <f t="array" aca="1" ref="D48" ca="1">IFERROR(INDIRECT("'"&amp;TRIM($A48)&amp;"'!$K$80"),0)</f>
        <v>0</v>
      </c>
      <c r="E48" s="2" cm="1">
        <f t="array" aca="1" ref="E48" ca="1">IFERROR(INDIRECT("'"&amp;TRIM($A48)&amp;"'!$K$120"),0)</f>
        <v>0</v>
      </c>
      <c r="F48" s="2">
        <f t="shared" ca="1" si="0"/>
        <v>0</v>
      </c>
    </row>
    <row r="49" spans="1:6" x14ac:dyDescent="0.25">
      <c r="A49" s="2" t="s">
        <v>712</v>
      </c>
      <c r="B49" s="2" t="str" cm="1">
        <f t="array" aca="1" ref="B49" ca="1">_xlfn.LET(_xlpm.s,TRIM($A49),IF(_xlpm.s="","",IFERROR(INDIRECT("'"&amp;_xlpm.s&amp;"'!$A$1"),"")))</f>
        <v/>
      </c>
      <c r="C49" s="2" cm="1">
        <f t="array" aca="1" ref="C49" ca="1">IFERROR(INDIRECT("'"&amp;TRIM($A49)&amp;"'!$K$40"),0)</f>
        <v>0</v>
      </c>
      <c r="D49" s="2" cm="1">
        <f t="array" aca="1" ref="D49" ca="1">IFERROR(INDIRECT("'"&amp;TRIM($A49)&amp;"'!$K$80"),0)</f>
        <v>0</v>
      </c>
      <c r="E49" s="2" cm="1">
        <f t="array" aca="1" ref="E49" ca="1">IFERROR(INDIRECT("'"&amp;TRIM($A49)&amp;"'!$K$120"),0)</f>
        <v>0</v>
      </c>
      <c r="F49" s="2">
        <f t="shared" ca="1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BCC8-7496-4DB4-B2B7-B3757BF031FA}">
  <dimension ref="A1:AM28"/>
  <sheetViews>
    <sheetView zoomScale="75" zoomScaleNormal="75" workbookViewId="0">
      <pane ySplit="49" topLeftCell="A50" activePane="bottomLeft" state="frozen"/>
      <selection pane="bottomLeft" activeCell="E3" sqref="E3"/>
    </sheetView>
  </sheetViews>
  <sheetFormatPr defaultRowHeight="15" x14ac:dyDescent="0.25"/>
  <cols>
    <col min="1" max="1" width="30.42578125" bestFit="1" customWidth="1"/>
    <col min="2" max="2" width="55" bestFit="1" customWidth="1"/>
    <col min="3" max="3" width="52" bestFit="1" customWidth="1"/>
    <col min="4" max="4" width="1.7109375" style="1" customWidth="1"/>
    <col min="5" max="5" width="8.7109375" style="2" customWidth="1"/>
    <col min="6" max="12" width="8.7109375" customWidth="1"/>
    <col min="13" max="13" width="1.7109375" style="1" customWidth="1"/>
    <col min="14" max="14" width="44" bestFit="1" customWidth="1"/>
    <col min="15" max="15" width="17.85546875" bestFit="1" customWidth="1"/>
    <col min="16" max="16" width="13.140625" bestFit="1" customWidth="1"/>
    <col min="17" max="17" width="14" bestFit="1" customWidth="1"/>
    <col min="18" max="18" width="12.85546875" bestFit="1" customWidth="1"/>
    <col min="19" max="19" width="12.42578125" bestFit="1" customWidth="1"/>
    <col min="20" max="20" width="24.7109375" bestFit="1" customWidth="1"/>
    <col min="21" max="21" width="50.28515625" bestFit="1" customWidth="1"/>
    <col min="22" max="22" width="1.7109375" style="1" customWidth="1"/>
    <col min="23" max="30" width="5.7109375" customWidth="1"/>
    <col min="31" max="31" width="1.7109375" style="1" customWidth="1"/>
    <col min="32" max="41" width="5.7109375" customWidth="1"/>
  </cols>
  <sheetData>
    <row r="1" spans="1:39" x14ac:dyDescent="0.25">
      <c r="A1" t="s">
        <v>1031</v>
      </c>
      <c r="E1" s="2" t="s">
        <v>235</v>
      </c>
      <c r="N1" t="s">
        <v>254</v>
      </c>
      <c r="W1" t="s">
        <v>272</v>
      </c>
      <c r="AF1" t="s">
        <v>278</v>
      </c>
    </row>
    <row r="2" spans="1:39" s="4" customFormat="1" x14ac:dyDescent="0.25">
      <c r="A2" s="4" t="s">
        <v>2</v>
      </c>
      <c r="B2" s="4" t="s">
        <v>214</v>
      </c>
      <c r="C2" s="4" t="s">
        <v>218</v>
      </c>
      <c r="D2" s="4" t="s">
        <v>3</v>
      </c>
      <c r="E2" s="4" t="s">
        <v>2</v>
      </c>
      <c r="F2" s="4" t="s">
        <v>427</v>
      </c>
      <c r="G2" s="4" t="s">
        <v>167</v>
      </c>
      <c r="H2" s="4" t="s">
        <v>3</v>
      </c>
      <c r="I2" s="4" t="s">
        <v>215</v>
      </c>
      <c r="J2" s="4" t="s">
        <v>216</v>
      </c>
      <c r="K2" s="4" t="s">
        <v>217</v>
      </c>
      <c r="L2" s="4" t="s">
        <v>218</v>
      </c>
      <c r="N2" s="4" t="s">
        <v>2</v>
      </c>
      <c r="O2" s="4" t="s">
        <v>427</v>
      </c>
      <c r="P2" s="4" t="s">
        <v>167</v>
      </c>
      <c r="Q2" s="4" t="s">
        <v>3</v>
      </c>
      <c r="R2" s="4" t="s">
        <v>215</v>
      </c>
      <c r="S2" s="4" t="s">
        <v>216</v>
      </c>
      <c r="T2" s="4" t="s">
        <v>217</v>
      </c>
      <c r="U2" s="4" t="s">
        <v>218</v>
      </c>
      <c r="W2" s="4" t="s">
        <v>2</v>
      </c>
      <c r="X2" s="4" t="s">
        <v>427</v>
      </c>
      <c r="Y2" s="4" t="s">
        <v>167</v>
      </c>
      <c r="Z2" s="4" t="s">
        <v>3</v>
      </c>
      <c r="AA2" s="4" t="s">
        <v>215</v>
      </c>
      <c r="AB2" s="4" t="s">
        <v>216</v>
      </c>
      <c r="AC2" s="4" t="s">
        <v>217</v>
      </c>
      <c r="AD2" s="4" t="s">
        <v>218</v>
      </c>
      <c r="AF2" s="4" t="s">
        <v>2</v>
      </c>
      <c r="AG2" s="4" t="s">
        <v>427</v>
      </c>
      <c r="AH2" s="4" t="s">
        <v>167</v>
      </c>
      <c r="AI2" s="4" t="s">
        <v>3</v>
      </c>
      <c r="AJ2" s="4" t="s">
        <v>215</v>
      </c>
      <c r="AK2" s="4" t="s">
        <v>216</v>
      </c>
      <c r="AL2" s="4" t="s">
        <v>217</v>
      </c>
      <c r="AM2" s="4" t="s">
        <v>218</v>
      </c>
    </row>
    <row r="3" spans="1:39" x14ac:dyDescent="0.25">
      <c r="A3" t="s">
        <v>209</v>
      </c>
      <c r="B3" t="s">
        <v>171</v>
      </c>
      <c r="E3" s="2" t="s">
        <v>155</v>
      </c>
      <c r="F3" t="s">
        <v>156</v>
      </c>
      <c r="G3">
        <v>189</v>
      </c>
      <c r="H3" t="s">
        <v>13</v>
      </c>
      <c r="I3">
        <v>10</v>
      </c>
      <c r="K3">
        <f>G3*I3*J3</f>
        <v>0</v>
      </c>
      <c r="L3" t="s">
        <v>236</v>
      </c>
      <c r="N3" t="s">
        <v>155</v>
      </c>
      <c r="O3" t="s">
        <v>156</v>
      </c>
      <c r="P3">
        <v>189</v>
      </c>
      <c r="Q3" t="s">
        <v>13</v>
      </c>
      <c r="R3">
        <v>6.5</v>
      </c>
      <c r="S3">
        <v>0</v>
      </c>
      <c r="T3">
        <v>1228.5</v>
      </c>
      <c r="U3" t="s">
        <v>255</v>
      </c>
      <c r="W3" t="s">
        <v>164</v>
      </c>
      <c r="X3" t="s">
        <v>181</v>
      </c>
      <c r="Y3">
        <v>2</v>
      </c>
      <c r="Z3" t="s">
        <v>169</v>
      </c>
      <c r="AA3">
        <v>0</v>
      </c>
      <c r="AB3">
        <v>0</v>
      </c>
      <c r="AC3">
        <v>0</v>
      </c>
      <c r="AD3" t="s">
        <v>273</v>
      </c>
      <c r="AF3" t="s">
        <v>185</v>
      </c>
      <c r="AG3" t="s">
        <v>279</v>
      </c>
      <c r="AH3">
        <v>2</v>
      </c>
      <c r="AI3" t="s">
        <v>169</v>
      </c>
      <c r="AJ3">
        <v>0</v>
      </c>
      <c r="AK3">
        <v>0</v>
      </c>
      <c r="AL3">
        <v>0</v>
      </c>
      <c r="AM3" t="s">
        <v>280</v>
      </c>
    </row>
    <row r="4" spans="1:39" x14ac:dyDescent="0.25">
      <c r="A4" t="s">
        <v>219</v>
      </c>
      <c r="B4" t="s">
        <v>172</v>
      </c>
      <c r="C4" t="s">
        <v>285</v>
      </c>
      <c r="E4" s="2" t="s">
        <v>154</v>
      </c>
      <c r="F4" t="s">
        <v>193</v>
      </c>
      <c r="G4">
        <v>7</v>
      </c>
      <c r="H4" t="s">
        <v>15</v>
      </c>
      <c r="I4">
        <v>0</v>
      </c>
      <c r="J4">
        <v>0</v>
      </c>
      <c r="K4">
        <v>0</v>
      </c>
      <c r="L4" t="s">
        <v>237</v>
      </c>
      <c r="N4" t="s">
        <v>154</v>
      </c>
      <c r="O4" t="s">
        <v>256</v>
      </c>
      <c r="P4">
        <v>7</v>
      </c>
      <c r="Q4" t="s">
        <v>15</v>
      </c>
      <c r="R4">
        <v>18</v>
      </c>
      <c r="S4">
        <v>0</v>
      </c>
      <c r="T4">
        <v>126</v>
      </c>
      <c r="U4" t="s">
        <v>255</v>
      </c>
      <c r="W4" t="s">
        <v>182</v>
      </c>
      <c r="X4" t="s">
        <v>165</v>
      </c>
      <c r="Y4">
        <v>5</v>
      </c>
      <c r="Z4" t="s">
        <v>169</v>
      </c>
      <c r="AA4">
        <v>0</v>
      </c>
      <c r="AB4">
        <v>0</v>
      </c>
      <c r="AC4">
        <v>0</v>
      </c>
      <c r="AD4" t="s">
        <v>274</v>
      </c>
      <c r="AF4" t="s">
        <v>168</v>
      </c>
      <c r="AG4" t="s">
        <v>281</v>
      </c>
      <c r="AH4">
        <v>1</v>
      </c>
      <c r="AI4" t="s">
        <v>169</v>
      </c>
      <c r="AJ4">
        <v>0</v>
      </c>
      <c r="AK4">
        <v>0</v>
      </c>
      <c r="AL4">
        <v>0</v>
      </c>
      <c r="AM4" t="s">
        <v>282</v>
      </c>
    </row>
    <row r="5" spans="1:39" x14ac:dyDescent="0.25">
      <c r="A5" t="s">
        <v>220</v>
      </c>
      <c r="B5">
        <v>30.9</v>
      </c>
      <c r="C5" t="s">
        <v>286</v>
      </c>
      <c r="E5" s="2" t="s">
        <v>16</v>
      </c>
      <c r="F5" t="s">
        <v>51</v>
      </c>
      <c r="G5">
        <v>1</v>
      </c>
      <c r="H5" t="s">
        <v>15</v>
      </c>
      <c r="I5">
        <v>0</v>
      </c>
      <c r="J5">
        <v>0</v>
      </c>
      <c r="K5">
        <v>0</v>
      </c>
      <c r="L5" t="s">
        <v>238</v>
      </c>
      <c r="N5" t="s">
        <v>16</v>
      </c>
      <c r="O5" t="s">
        <v>257</v>
      </c>
      <c r="P5">
        <v>1</v>
      </c>
      <c r="Q5" t="s">
        <v>15</v>
      </c>
      <c r="R5">
        <v>46.2</v>
      </c>
      <c r="S5">
        <v>0</v>
      </c>
      <c r="T5">
        <v>46.2</v>
      </c>
      <c r="U5" t="s">
        <v>255</v>
      </c>
      <c r="W5" t="s">
        <v>190</v>
      </c>
      <c r="X5" t="s">
        <v>183</v>
      </c>
      <c r="Y5">
        <v>1</v>
      </c>
      <c r="Z5" t="s">
        <v>169</v>
      </c>
      <c r="AA5">
        <v>0</v>
      </c>
      <c r="AB5">
        <v>0</v>
      </c>
      <c r="AC5">
        <v>0</v>
      </c>
      <c r="AD5" t="s">
        <v>275</v>
      </c>
      <c r="AF5" t="s">
        <v>189</v>
      </c>
      <c r="AG5" t="s">
        <v>283</v>
      </c>
      <c r="AH5">
        <v>1</v>
      </c>
      <c r="AI5" t="s">
        <v>11</v>
      </c>
      <c r="AJ5">
        <v>0</v>
      </c>
      <c r="AK5">
        <v>0</v>
      </c>
      <c r="AL5">
        <v>0</v>
      </c>
      <c r="AM5" t="s">
        <v>284</v>
      </c>
    </row>
    <row r="6" spans="1:39" x14ac:dyDescent="0.25">
      <c r="A6" t="s">
        <v>287</v>
      </c>
      <c r="B6">
        <v>332.60500000000002</v>
      </c>
      <c r="C6" t="s">
        <v>288</v>
      </c>
      <c r="E6" s="2" t="s">
        <v>18</v>
      </c>
      <c r="F6" t="s">
        <v>239</v>
      </c>
      <c r="G6">
        <v>3</v>
      </c>
      <c r="H6" t="s">
        <v>20</v>
      </c>
      <c r="I6">
        <v>0</v>
      </c>
      <c r="J6">
        <v>0</v>
      </c>
      <c r="K6">
        <v>0</v>
      </c>
      <c r="L6" t="s">
        <v>170</v>
      </c>
      <c r="N6" t="s">
        <v>18</v>
      </c>
      <c r="O6" t="s">
        <v>258</v>
      </c>
      <c r="P6">
        <v>3</v>
      </c>
      <c r="Q6" t="s">
        <v>20</v>
      </c>
      <c r="R6">
        <v>148</v>
      </c>
      <c r="S6">
        <v>0</v>
      </c>
      <c r="T6">
        <v>444</v>
      </c>
      <c r="U6" t="s">
        <v>255</v>
      </c>
      <c r="W6" t="s">
        <v>276</v>
      </c>
      <c r="X6" t="s">
        <v>184</v>
      </c>
      <c r="Y6">
        <v>1</v>
      </c>
      <c r="Z6" t="s">
        <v>169</v>
      </c>
      <c r="AA6">
        <v>0</v>
      </c>
      <c r="AB6">
        <v>0</v>
      </c>
      <c r="AC6">
        <v>0</v>
      </c>
      <c r="AD6" t="s">
        <v>277</v>
      </c>
    </row>
    <row r="7" spans="1:39" x14ac:dyDescent="0.25">
      <c r="A7" t="s">
        <v>210</v>
      </c>
      <c r="B7" t="s">
        <v>173</v>
      </c>
      <c r="C7" t="s">
        <v>221</v>
      </c>
      <c r="E7" s="2" t="s">
        <v>240</v>
      </c>
      <c r="F7" t="s">
        <v>157</v>
      </c>
      <c r="G7">
        <v>6</v>
      </c>
      <c r="H7" t="s">
        <v>15</v>
      </c>
      <c r="I7">
        <v>0</v>
      </c>
      <c r="J7">
        <v>0</v>
      </c>
      <c r="K7">
        <v>0</v>
      </c>
      <c r="L7" t="s">
        <v>241</v>
      </c>
      <c r="N7" t="s">
        <v>240</v>
      </c>
      <c r="O7" t="s">
        <v>259</v>
      </c>
      <c r="P7">
        <v>6</v>
      </c>
      <c r="Q7" t="s">
        <v>15</v>
      </c>
      <c r="R7">
        <v>24</v>
      </c>
      <c r="S7">
        <v>0</v>
      </c>
      <c r="T7">
        <v>144</v>
      </c>
      <c r="U7" t="s">
        <v>255</v>
      </c>
    </row>
    <row r="8" spans="1:39" x14ac:dyDescent="0.25">
      <c r="A8" t="s">
        <v>1032</v>
      </c>
      <c r="B8" t="s">
        <v>1033</v>
      </c>
      <c r="C8" t="s">
        <v>1036</v>
      </c>
      <c r="E8" s="2" t="s">
        <v>242</v>
      </c>
      <c r="F8" t="s">
        <v>243</v>
      </c>
      <c r="G8">
        <v>0.377</v>
      </c>
      <c r="H8" t="s">
        <v>23</v>
      </c>
      <c r="I8">
        <v>0</v>
      </c>
      <c r="J8">
        <v>10</v>
      </c>
      <c r="K8">
        <v>0</v>
      </c>
      <c r="L8" t="s">
        <v>244</v>
      </c>
      <c r="N8" t="s">
        <v>260</v>
      </c>
      <c r="O8" t="s">
        <v>261</v>
      </c>
      <c r="P8">
        <v>31</v>
      </c>
      <c r="Q8" t="s">
        <v>15</v>
      </c>
      <c r="R8">
        <v>6</v>
      </c>
      <c r="S8">
        <v>0</v>
      </c>
      <c r="T8">
        <v>186</v>
      </c>
      <c r="U8" t="s">
        <v>262</v>
      </c>
    </row>
    <row r="9" spans="1:39" x14ac:dyDescent="0.25">
      <c r="A9" t="s">
        <v>1034</v>
      </c>
      <c r="B9" t="s">
        <v>1035</v>
      </c>
      <c r="E9" s="2" t="s">
        <v>245</v>
      </c>
      <c r="F9" t="s">
        <v>246</v>
      </c>
      <c r="G9">
        <v>0.755</v>
      </c>
      <c r="H9" t="s">
        <v>23</v>
      </c>
      <c r="I9">
        <v>0</v>
      </c>
      <c r="J9">
        <v>10</v>
      </c>
      <c r="K9">
        <v>0</v>
      </c>
      <c r="L9" t="s">
        <v>244</v>
      </c>
      <c r="N9" t="s">
        <v>263</v>
      </c>
      <c r="O9" t="s">
        <v>264</v>
      </c>
      <c r="P9">
        <v>57</v>
      </c>
      <c r="Q9" t="s">
        <v>15</v>
      </c>
      <c r="R9">
        <v>5</v>
      </c>
      <c r="S9">
        <v>0</v>
      </c>
      <c r="T9">
        <v>285</v>
      </c>
      <c r="U9" t="s">
        <v>265</v>
      </c>
    </row>
    <row r="10" spans="1:39" x14ac:dyDescent="0.25">
      <c r="A10" t="s">
        <v>222</v>
      </c>
      <c r="B10" t="s">
        <v>223</v>
      </c>
      <c r="C10" t="s">
        <v>166</v>
      </c>
      <c r="E10" s="2" t="s">
        <v>21</v>
      </c>
      <c r="F10" t="s">
        <v>22</v>
      </c>
      <c r="G10">
        <v>0.93400000000000005</v>
      </c>
      <c r="H10" t="s">
        <v>23</v>
      </c>
      <c r="I10">
        <v>0</v>
      </c>
      <c r="J10">
        <v>10</v>
      </c>
      <c r="K10">
        <v>0</v>
      </c>
      <c r="L10" t="s">
        <v>247</v>
      </c>
      <c r="N10" t="s">
        <v>21</v>
      </c>
      <c r="O10" t="s">
        <v>266</v>
      </c>
      <c r="P10">
        <v>0.93400000000000005</v>
      </c>
      <c r="Q10" t="s">
        <v>23</v>
      </c>
      <c r="R10">
        <v>0</v>
      </c>
      <c r="S10">
        <v>0</v>
      </c>
      <c r="T10">
        <v>0</v>
      </c>
      <c r="U10" t="s">
        <v>267</v>
      </c>
    </row>
    <row r="11" spans="1:39" x14ac:dyDescent="0.25">
      <c r="A11" t="s">
        <v>224</v>
      </c>
      <c r="B11" t="s">
        <v>225</v>
      </c>
      <c r="C11" t="s">
        <v>289</v>
      </c>
      <c r="E11" s="2" t="s">
        <v>158</v>
      </c>
      <c r="F11" t="s">
        <v>177</v>
      </c>
      <c r="G11">
        <v>0.93400000000000005</v>
      </c>
      <c r="H11" t="s">
        <v>23</v>
      </c>
      <c r="I11">
        <v>0</v>
      </c>
      <c r="J11">
        <v>10</v>
      </c>
      <c r="K11">
        <v>0</v>
      </c>
      <c r="L11" t="s">
        <v>248</v>
      </c>
      <c r="N11" t="s">
        <v>158</v>
      </c>
      <c r="O11" t="s">
        <v>177</v>
      </c>
      <c r="P11">
        <v>0.93400000000000005</v>
      </c>
      <c r="Q11" t="s">
        <v>23</v>
      </c>
      <c r="R11">
        <v>0</v>
      </c>
      <c r="S11">
        <v>0</v>
      </c>
      <c r="T11">
        <v>0</v>
      </c>
      <c r="U11" t="s">
        <v>268</v>
      </c>
    </row>
    <row r="12" spans="1:39" x14ac:dyDescent="0.25">
      <c r="A12" t="s">
        <v>226</v>
      </c>
      <c r="B12">
        <v>1.54</v>
      </c>
      <c r="C12" t="s">
        <v>227</v>
      </c>
      <c r="E12" s="2" t="s">
        <v>178</v>
      </c>
      <c r="F12" t="s">
        <v>249</v>
      </c>
      <c r="G12">
        <v>3.3</v>
      </c>
      <c r="H12" t="s">
        <v>110</v>
      </c>
      <c r="I12">
        <v>0</v>
      </c>
      <c r="J12">
        <v>10</v>
      </c>
      <c r="K12">
        <v>0</v>
      </c>
      <c r="L12" t="s">
        <v>250</v>
      </c>
      <c r="N12" t="s">
        <v>179</v>
      </c>
      <c r="O12" t="s">
        <v>269</v>
      </c>
      <c r="P12">
        <v>1</v>
      </c>
      <c r="Q12" t="s">
        <v>136</v>
      </c>
      <c r="R12">
        <v>0</v>
      </c>
      <c r="S12">
        <v>0</v>
      </c>
      <c r="T12">
        <v>0</v>
      </c>
      <c r="U12" t="s">
        <v>180</v>
      </c>
    </row>
    <row r="13" spans="1:39" x14ac:dyDescent="0.25">
      <c r="A13" t="s">
        <v>290</v>
      </c>
      <c r="B13" s="3">
        <v>0.1</v>
      </c>
      <c r="C13" t="s">
        <v>291</v>
      </c>
      <c r="E13" s="2" t="s">
        <v>251</v>
      </c>
      <c r="F13" t="s">
        <v>252</v>
      </c>
      <c r="G13">
        <v>1</v>
      </c>
      <c r="H13" t="s">
        <v>136</v>
      </c>
      <c r="I13">
        <v>0</v>
      </c>
      <c r="J13">
        <v>0</v>
      </c>
      <c r="K13">
        <v>0</v>
      </c>
      <c r="L13" t="s">
        <v>234</v>
      </c>
      <c r="N13" t="s">
        <v>159</v>
      </c>
      <c r="O13" t="s">
        <v>160</v>
      </c>
      <c r="P13">
        <v>1</v>
      </c>
      <c r="Q13" t="s">
        <v>13</v>
      </c>
      <c r="R13">
        <v>0</v>
      </c>
      <c r="S13">
        <v>0</v>
      </c>
      <c r="T13">
        <v>0</v>
      </c>
      <c r="U13" t="s">
        <v>180</v>
      </c>
    </row>
    <row r="14" spans="1:39" x14ac:dyDescent="0.25">
      <c r="A14" t="s">
        <v>188</v>
      </c>
      <c r="B14" s="3">
        <v>0.05</v>
      </c>
      <c r="C14" t="s">
        <v>228</v>
      </c>
      <c r="E14" s="2" t="s">
        <v>159</v>
      </c>
      <c r="F14" t="s">
        <v>160</v>
      </c>
      <c r="G14">
        <v>1</v>
      </c>
      <c r="H14" t="s">
        <v>13</v>
      </c>
      <c r="I14">
        <v>0</v>
      </c>
      <c r="J14">
        <v>0</v>
      </c>
      <c r="K14">
        <v>0</v>
      </c>
      <c r="L14" t="s">
        <v>253</v>
      </c>
      <c r="N14" t="s">
        <v>270</v>
      </c>
      <c r="P14">
        <v>1</v>
      </c>
      <c r="Q14" t="s">
        <v>11</v>
      </c>
      <c r="R14">
        <v>2459.6999999999998</v>
      </c>
      <c r="S14">
        <v>0</v>
      </c>
      <c r="T14">
        <v>2459.6999999999998</v>
      </c>
      <c r="U14" t="s">
        <v>271</v>
      </c>
    </row>
    <row r="15" spans="1:39" x14ac:dyDescent="0.25">
      <c r="A15" t="s">
        <v>229</v>
      </c>
      <c r="B15" t="s">
        <v>230</v>
      </c>
      <c r="C15" t="s">
        <v>232</v>
      </c>
    </row>
    <row r="16" spans="1:39" x14ac:dyDescent="0.25">
      <c r="A16" t="s">
        <v>231</v>
      </c>
      <c r="B16" t="s">
        <v>292</v>
      </c>
      <c r="C16" t="s">
        <v>293</v>
      </c>
    </row>
    <row r="17" spans="1:3" x14ac:dyDescent="0.25">
      <c r="A17" t="s">
        <v>233</v>
      </c>
      <c r="B17" t="s">
        <v>234</v>
      </c>
      <c r="C17" t="s">
        <v>294</v>
      </c>
    </row>
    <row r="18" spans="1:3" x14ac:dyDescent="0.25">
      <c r="A18" t="s">
        <v>163</v>
      </c>
      <c r="B18" t="s">
        <v>295</v>
      </c>
      <c r="C18" t="s">
        <v>253</v>
      </c>
    </row>
    <row r="19" spans="1:3" x14ac:dyDescent="0.25">
      <c r="A19" t="s">
        <v>296</v>
      </c>
      <c r="B19" t="s">
        <v>297</v>
      </c>
      <c r="C19" t="s">
        <v>298</v>
      </c>
    </row>
    <row r="27" spans="1:3" x14ac:dyDescent="0.25">
      <c r="B27" s="3"/>
    </row>
    <row r="28" spans="1:3" x14ac:dyDescent="0.25">
      <c r="B2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973B-A754-42CC-A5F8-82D816BD90F4}">
  <dimension ref="A1:AN29"/>
  <sheetViews>
    <sheetView zoomScale="75" zoomScaleNormal="75" workbookViewId="0">
      <pane ySplit="49" topLeftCell="A50" activePane="bottomLeft" state="frozen"/>
      <selection pane="bottomLeft" activeCell="AG3" sqref="AG3"/>
    </sheetView>
  </sheetViews>
  <sheetFormatPr defaultRowHeight="15" x14ac:dyDescent="0.25"/>
  <cols>
    <col min="1" max="1" width="30.42578125" bestFit="1" customWidth="1"/>
    <col min="2" max="2" width="55" bestFit="1" customWidth="1"/>
    <col min="3" max="3" width="52" bestFit="1" customWidth="1"/>
    <col min="4" max="4" width="1.7109375" style="1" customWidth="1"/>
    <col min="5" max="5" width="35" style="2" bestFit="1" customWidth="1"/>
    <col min="6" max="6" width="22.42578125" bestFit="1" customWidth="1"/>
    <col min="7" max="12" width="8.7109375" customWidth="1"/>
    <col min="13" max="13" width="1.7109375" style="1" customWidth="1"/>
    <col min="14" max="14" width="44" bestFit="1" customWidth="1"/>
    <col min="15" max="15" width="17.85546875" bestFit="1" customWidth="1"/>
    <col min="16" max="16" width="13.140625" bestFit="1" customWidth="1"/>
    <col min="17" max="17" width="14" bestFit="1" customWidth="1"/>
    <col min="18" max="18" width="12.85546875" bestFit="1" customWidth="1"/>
    <col min="19" max="19" width="12.42578125" bestFit="1" customWidth="1"/>
    <col min="20" max="20" width="24.7109375" bestFit="1" customWidth="1"/>
    <col min="21" max="21" width="50.28515625" bestFit="1" customWidth="1"/>
    <col min="22" max="22" width="1.7109375" style="1" customWidth="1"/>
    <col min="23" max="30" width="5.7109375" customWidth="1"/>
    <col min="31" max="31" width="1.7109375" style="1" customWidth="1"/>
    <col min="32" max="41" width="5.7109375" customWidth="1"/>
  </cols>
  <sheetData>
    <row r="1" spans="1:40" x14ac:dyDescent="0.25">
      <c r="A1" t="s">
        <v>299</v>
      </c>
      <c r="E1" s="2" t="s">
        <v>375</v>
      </c>
      <c r="N1" t="s">
        <v>339</v>
      </c>
      <c r="W1" t="s">
        <v>366</v>
      </c>
      <c r="AF1" t="s">
        <v>373</v>
      </c>
    </row>
    <row r="2" spans="1:40" s="4" customFormat="1" x14ac:dyDescent="0.25">
      <c r="A2" s="4" t="s">
        <v>2</v>
      </c>
      <c r="B2" s="4" t="s">
        <v>214</v>
      </c>
      <c r="C2" s="4" t="s">
        <v>218</v>
      </c>
      <c r="E2" s="4" t="s">
        <v>2</v>
      </c>
      <c r="F2" s="4" t="s">
        <v>427</v>
      </c>
      <c r="G2" s="4" t="s">
        <v>167</v>
      </c>
      <c r="H2" s="4" t="s">
        <v>3</v>
      </c>
      <c r="I2" s="4" t="s">
        <v>215</v>
      </c>
      <c r="J2" s="4" t="s">
        <v>216</v>
      </c>
      <c r="K2" s="4" t="s">
        <v>217</v>
      </c>
      <c r="L2" s="4" t="s">
        <v>218</v>
      </c>
      <c r="N2" s="4" t="s">
        <v>2</v>
      </c>
      <c r="O2" s="4" t="s">
        <v>427</v>
      </c>
      <c r="P2" s="4" t="s">
        <v>167</v>
      </c>
      <c r="Q2" s="4" t="s">
        <v>3</v>
      </c>
      <c r="R2" s="4" t="s">
        <v>215</v>
      </c>
      <c r="S2" s="4" t="s">
        <v>216</v>
      </c>
      <c r="T2" s="4" t="s">
        <v>217</v>
      </c>
      <c r="U2" s="4" t="s">
        <v>218</v>
      </c>
      <c r="W2" s="4" t="s">
        <v>2</v>
      </c>
      <c r="X2" s="4" t="s">
        <v>427</v>
      </c>
      <c r="Y2" s="4" t="s">
        <v>167</v>
      </c>
      <c r="Z2" s="4" t="s">
        <v>3</v>
      </c>
      <c r="AA2" s="4" t="s">
        <v>215</v>
      </c>
      <c r="AB2" s="4" t="s">
        <v>216</v>
      </c>
      <c r="AC2" s="4" t="s">
        <v>217</v>
      </c>
      <c r="AD2" s="4" t="s">
        <v>218</v>
      </c>
      <c r="AF2" s="4" t="s">
        <v>2</v>
      </c>
      <c r="AG2" s="4" t="s">
        <v>427</v>
      </c>
      <c r="AH2" s="4" t="s">
        <v>167</v>
      </c>
      <c r="AI2" s="4" t="s">
        <v>3</v>
      </c>
      <c r="AJ2" s="4" t="s">
        <v>215</v>
      </c>
      <c r="AK2" s="4" t="s">
        <v>216</v>
      </c>
      <c r="AL2" s="4" t="s">
        <v>217</v>
      </c>
      <c r="AM2" s="4" t="s">
        <v>218</v>
      </c>
    </row>
    <row r="3" spans="1:40" x14ac:dyDescent="0.25">
      <c r="A3" t="s">
        <v>209</v>
      </c>
      <c r="B3" t="s">
        <v>301</v>
      </c>
      <c r="C3" t="s">
        <v>302</v>
      </c>
      <c r="E3" s="2" t="s">
        <v>155</v>
      </c>
      <c r="F3" t="s">
        <v>376</v>
      </c>
      <c r="G3">
        <v>412.89699999999999</v>
      </c>
      <c r="H3" t="s">
        <v>13</v>
      </c>
      <c r="J3" s="3">
        <v>0.1</v>
      </c>
      <c r="L3" t="s">
        <v>377</v>
      </c>
      <c r="N3" t="s">
        <v>155</v>
      </c>
      <c r="O3" t="s">
        <v>340</v>
      </c>
      <c r="P3">
        <v>455</v>
      </c>
      <c r="Q3" t="s">
        <v>13</v>
      </c>
      <c r="R3">
        <v>6.5</v>
      </c>
      <c r="S3">
        <v>0</v>
      </c>
      <c r="T3">
        <v>2957.5</v>
      </c>
      <c r="U3" t="s">
        <v>341</v>
      </c>
      <c r="W3" t="s">
        <v>196</v>
      </c>
      <c r="X3" t="s">
        <v>367</v>
      </c>
      <c r="Y3">
        <v>7</v>
      </c>
      <c r="Z3" t="s">
        <v>169</v>
      </c>
      <c r="AB3">
        <v>0</v>
      </c>
      <c r="AE3" s="1" t="s">
        <v>368</v>
      </c>
      <c r="AF3" t="s">
        <v>205</v>
      </c>
      <c r="AG3" t="s">
        <v>206</v>
      </c>
      <c r="AH3">
        <v>7</v>
      </c>
      <c r="AI3" t="s">
        <v>169</v>
      </c>
      <c r="AK3">
        <v>0</v>
      </c>
      <c r="AN3" t="s">
        <v>374</v>
      </c>
    </row>
    <row r="4" spans="1:40" x14ac:dyDescent="0.25">
      <c r="A4" t="s">
        <v>303</v>
      </c>
      <c r="B4" t="s">
        <v>304</v>
      </c>
      <c r="C4" t="s">
        <v>305</v>
      </c>
      <c r="E4" s="2" t="s">
        <v>378</v>
      </c>
      <c r="F4" t="s">
        <v>379</v>
      </c>
      <c r="G4">
        <v>455</v>
      </c>
      <c r="H4" t="s">
        <v>13</v>
      </c>
      <c r="J4" s="3">
        <v>0</v>
      </c>
      <c r="L4" t="s">
        <v>380</v>
      </c>
      <c r="N4" t="s">
        <v>154</v>
      </c>
      <c r="O4" t="s">
        <v>175</v>
      </c>
      <c r="P4">
        <v>17</v>
      </c>
      <c r="Q4" t="s">
        <v>15</v>
      </c>
      <c r="R4">
        <v>18</v>
      </c>
      <c r="S4">
        <v>0</v>
      </c>
      <c r="T4">
        <v>306</v>
      </c>
      <c r="U4" t="s">
        <v>342</v>
      </c>
      <c r="W4" t="s">
        <v>198</v>
      </c>
      <c r="X4" t="s">
        <v>199</v>
      </c>
      <c r="Y4">
        <v>1</v>
      </c>
      <c r="Z4" t="s">
        <v>169</v>
      </c>
      <c r="AB4">
        <v>0</v>
      </c>
      <c r="AE4" s="1" t="s">
        <v>369</v>
      </c>
      <c r="AF4" t="s">
        <v>207</v>
      </c>
      <c r="AG4" t="s">
        <v>208</v>
      </c>
      <c r="AH4">
        <v>7</v>
      </c>
      <c r="AI4" t="s">
        <v>169</v>
      </c>
      <c r="AK4">
        <v>0</v>
      </c>
      <c r="AN4" t="s">
        <v>374</v>
      </c>
    </row>
    <row r="5" spans="1:40" x14ac:dyDescent="0.25">
      <c r="A5" t="s">
        <v>306</v>
      </c>
      <c r="B5" t="s">
        <v>307</v>
      </c>
      <c r="C5" t="s">
        <v>308</v>
      </c>
      <c r="E5" s="2" t="s">
        <v>186</v>
      </c>
      <c r="F5" t="s">
        <v>381</v>
      </c>
      <c r="G5">
        <v>20.437999999999999</v>
      </c>
      <c r="H5" t="s">
        <v>382</v>
      </c>
      <c r="J5" s="3">
        <v>0.1</v>
      </c>
      <c r="L5" t="s">
        <v>383</v>
      </c>
      <c r="N5" t="s">
        <v>16</v>
      </c>
      <c r="O5" t="s">
        <v>176</v>
      </c>
      <c r="P5">
        <v>1</v>
      </c>
      <c r="Q5" t="s">
        <v>15</v>
      </c>
      <c r="R5">
        <v>46.2</v>
      </c>
      <c r="S5">
        <v>0</v>
      </c>
      <c r="T5">
        <v>46.2</v>
      </c>
      <c r="U5" t="s">
        <v>343</v>
      </c>
      <c r="W5" t="s">
        <v>200</v>
      </c>
      <c r="X5" t="s">
        <v>165</v>
      </c>
      <c r="Y5">
        <v>7</v>
      </c>
      <c r="Z5" t="s">
        <v>169</v>
      </c>
      <c r="AB5">
        <v>0</v>
      </c>
      <c r="AE5" s="1" t="s">
        <v>370</v>
      </c>
    </row>
    <row r="6" spans="1:40" x14ac:dyDescent="0.25">
      <c r="A6" t="s">
        <v>309</v>
      </c>
      <c r="B6" t="s">
        <v>310</v>
      </c>
      <c r="C6" t="s">
        <v>48</v>
      </c>
      <c r="E6" s="2" t="s">
        <v>384</v>
      </c>
      <c r="F6" t="s">
        <v>385</v>
      </c>
      <c r="G6">
        <v>17</v>
      </c>
      <c r="H6" t="s">
        <v>161</v>
      </c>
      <c r="J6" s="3">
        <v>0</v>
      </c>
      <c r="L6" t="s">
        <v>386</v>
      </c>
      <c r="N6" t="s">
        <v>18</v>
      </c>
      <c r="O6" t="s">
        <v>344</v>
      </c>
      <c r="P6">
        <v>6</v>
      </c>
      <c r="Q6" t="s">
        <v>20</v>
      </c>
      <c r="R6">
        <v>148</v>
      </c>
      <c r="S6">
        <v>0</v>
      </c>
      <c r="T6">
        <v>888</v>
      </c>
      <c r="U6" t="s">
        <v>345</v>
      </c>
      <c r="W6" t="s">
        <v>201</v>
      </c>
      <c r="X6" t="s">
        <v>202</v>
      </c>
      <c r="Y6">
        <v>1</v>
      </c>
      <c r="Z6" t="s">
        <v>169</v>
      </c>
      <c r="AB6">
        <v>0</v>
      </c>
      <c r="AE6" s="1" t="s">
        <v>371</v>
      </c>
    </row>
    <row r="7" spans="1:40" x14ac:dyDescent="0.25">
      <c r="A7" t="s">
        <v>311</v>
      </c>
      <c r="B7" t="s">
        <v>312</v>
      </c>
      <c r="C7" t="s">
        <v>313</v>
      </c>
      <c r="E7" s="2" t="s">
        <v>16</v>
      </c>
      <c r="F7" t="s">
        <v>387</v>
      </c>
      <c r="G7">
        <v>3.1379999999999999</v>
      </c>
      <c r="H7" t="s">
        <v>388</v>
      </c>
      <c r="J7" s="3">
        <v>0.1</v>
      </c>
      <c r="L7" t="s">
        <v>389</v>
      </c>
      <c r="N7" t="s">
        <v>346</v>
      </c>
      <c r="O7" t="s">
        <v>347</v>
      </c>
      <c r="P7">
        <v>8.2319999999999993</v>
      </c>
      <c r="Q7" t="s">
        <v>23</v>
      </c>
      <c r="S7">
        <v>0</v>
      </c>
      <c r="V7" s="1" t="s">
        <v>348</v>
      </c>
      <c r="W7" t="s">
        <v>204</v>
      </c>
      <c r="X7" t="s">
        <v>202</v>
      </c>
      <c r="Y7">
        <v>1</v>
      </c>
      <c r="Z7" t="s">
        <v>169</v>
      </c>
      <c r="AB7">
        <v>0</v>
      </c>
      <c r="AE7" s="1" t="s">
        <v>372</v>
      </c>
    </row>
    <row r="8" spans="1:40" x14ac:dyDescent="0.25">
      <c r="A8" t="s">
        <v>211</v>
      </c>
      <c r="B8" t="s">
        <v>314</v>
      </c>
      <c r="C8" t="s">
        <v>315</v>
      </c>
      <c r="E8" s="2" t="s">
        <v>390</v>
      </c>
      <c r="F8" t="s">
        <v>391</v>
      </c>
      <c r="G8">
        <v>1</v>
      </c>
      <c r="H8" t="s">
        <v>162</v>
      </c>
      <c r="J8" s="3">
        <v>0</v>
      </c>
      <c r="L8" t="s">
        <v>392</v>
      </c>
      <c r="N8" t="s">
        <v>349</v>
      </c>
      <c r="O8" t="s">
        <v>350</v>
      </c>
      <c r="P8">
        <v>12.348000000000001</v>
      </c>
      <c r="Q8" t="s">
        <v>23</v>
      </c>
      <c r="S8">
        <v>0</v>
      </c>
      <c r="V8" s="1" t="s">
        <v>351</v>
      </c>
      <c r="AE8" s="1" t="s">
        <v>191</v>
      </c>
    </row>
    <row r="9" spans="1:40" x14ac:dyDescent="0.25">
      <c r="A9" t="s">
        <v>316</v>
      </c>
      <c r="B9" s="3">
        <v>0.1</v>
      </c>
      <c r="C9" t="s">
        <v>317</v>
      </c>
      <c r="E9" s="2" t="s">
        <v>18</v>
      </c>
      <c r="F9" t="s">
        <v>174</v>
      </c>
      <c r="G9">
        <v>5.9109999999999996</v>
      </c>
      <c r="H9" t="s">
        <v>20</v>
      </c>
      <c r="J9" s="3">
        <v>0.05</v>
      </c>
      <c r="L9" t="s">
        <v>393</v>
      </c>
      <c r="N9" t="s">
        <v>43</v>
      </c>
      <c r="O9" t="s">
        <v>352</v>
      </c>
      <c r="P9">
        <v>2.6309999999999998</v>
      </c>
      <c r="Q9" t="s">
        <v>45</v>
      </c>
      <c r="S9">
        <v>0</v>
      </c>
      <c r="V9" s="1" t="s">
        <v>353</v>
      </c>
    </row>
    <row r="10" spans="1:40" x14ac:dyDescent="0.25">
      <c r="A10" t="s">
        <v>318</v>
      </c>
      <c r="B10" t="s">
        <v>18</v>
      </c>
      <c r="C10" t="s">
        <v>174</v>
      </c>
      <c r="E10" s="2" t="s">
        <v>394</v>
      </c>
      <c r="F10" t="s">
        <v>395</v>
      </c>
      <c r="G10">
        <v>6</v>
      </c>
      <c r="H10" t="s">
        <v>20</v>
      </c>
      <c r="J10" s="3">
        <v>0</v>
      </c>
      <c r="L10" t="s">
        <v>396</v>
      </c>
      <c r="N10" t="s">
        <v>47</v>
      </c>
      <c r="O10" t="s">
        <v>354</v>
      </c>
      <c r="P10">
        <v>17</v>
      </c>
      <c r="Q10" t="s">
        <v>13</v>
      </c>
      <c r="R10">
        <v>6.5</v>
      </c>
      <c r="S10">
        <v>0</v>
      </c>
      <c r="T10">
        <v>110.5</v>
      </c>
      <c r="U10" t="s">
        <v>355</v>
      </c>
    </row>
    <row r="11" spans="1:40" x14ac:dyDescent="0.25">
      <c r="A11" t="s">
        <v>319</v>
      </c>
      <c r="B11" t="s">
        <v>300</v>
      </c>
      <c r="C11" t="s">
        <v>320</v>
      </c>
      <c r="E11" s="2" t="s">
        <v>34</v>
      </c>
      <c r="F11" t="s">
        <v>397</v>
      </c>
      <c r="G11">
        <v>18.709</v>
      </c>
      <c r="H11" t="s">
        <v>23</v>
      </c>
      <c r="J11" s="3">
        <v>0</v>
      </c>
      <c r="L11" t="s">
        <v>398</v>
      </c>
      <c r="N11" t="s">
        <v>50</v>
      </c>
      <c r="O11" t="s">
        <v>175</v>
      </c>
      <c r="P11">
        <v>1</v>
      </c>
      <c r="Q11" t="s">
        <v>15</v>
      </c>
      <c r="R11">
        <v>18</v>
      </c>
      <c r="S11">
        <v>0</v>
      </c>
      <c r="T11">
        <v>18</v>
      </c>
      <c r="U11" t="s">
        <v>356</v>
      </c>
    </row>
    <row r="12" spans="1:40" x14ac:dyDescent="0.25">
      <c r="A12" t="s">
        <v>321</v>
      </c>
      <c r="B12" s="3" t="s">
        <v>197</v>
      </c>
      <c r="C12" t="s">
        <v>36</v>
      </c>
      <c r="E12" s="2" t="s">
        <v>195</v>
      </c>
      <c r="F12" t="s">
        <v>38</v>
      </c>
      <c r="G12">
        <v>7.484</v>
      </c>
      <c r="H12" t="s">
        <v>23</v>
      </c>
      <c r="J12" s="3">
        <v>0.1</v>
      </c>
      <c r="L12" t="s">
        <v>399</v>
      </c>
      <c r="N12" t="s">
        <v>53</v>
      </c>
      <c r="O12" t="s">
        <v>176</v>
      </c>
      <c r="P12">
        <v>1</v>
      </c>
      <c r="Q12" t="s">
        <v>15</v>
      </c>
      <c r="R12">
        <v>46.2</v>
      </c>
      <c r="S12">
        <v>0</v>
      </c>
      <c r="T12">
        <v>46.2</v>
      </c>
      <c r="U12" t="s">
        <v>357</v>
      </c>
    </row>
    <row r="13" spans="1:40" x14ac:dyDescent="0.25">
      <c r="A13" t="s">
        <v>322</v>
      </c>
      <c r="B13" t="s">
        <v>323</v>
      </c>
      <c r="C13" t="s">
        <v>324</v>
      </c>
      <c r="E13" s="2" t="s">
        <v>400</v>
      </c>
      <c r="F13" t="s">
        <v>38</v>
      </c>
      <c r="G13">
        <v>8.2319999999999993</v>
      </c>
      <c r="H13" t="s">
        <v>23</v>
      </c>
      <c r="J13" s="3">
        <v>0</v>
      </c>
      <c r="L13" t="s">
        <v>401</v>
      </c>
      <c r="N13" t="s">
        <v>56</v>
      </c>
      <c r="O13" t="s">
        <v>358</v>
      </c>
      <c r="P13">
        <v>3.9529999999999998</v>
      </c>
      <c r="Q13" t="s">
        <v>45</v>
      </c>
      <c r="S13">
        <v>0</v>
      </c>
      <c r="V13" s="1" t="s">
        <v>353</v>
      </c>
    </row>
    <row r="14" spans="1:40" x14ac:dyDescent="0.25">
      <c r="A14" t="s">
        <v>325</v>
      </c>
      <c r="B14" t="s">
        <v>326</v>
      </c>
      <c r="C14" t="s">
        <v>327</v>
      </c>
      <c r="E14" s="2" t="s">
        <v>40</v>
      </c>
      <c r="F14" t="s">
        <v>41</v>
      </c>
      <c r="G14">
        <v>11.225</v>
      </c>
      <c r="H14" t="s">
        <v>23</v>
      </c>
      <c r="J14" s="3">
        <v>0.1</v>
      </c>
      <c r="L14" t="s">
        <v>402</v>
      </c>
      <c r="N14" t="s">
        <v>59</v>
      </c>
      <c r="O14" t="s">
        <v>359</v>
      </c>
      <c r="P14">
        <v>25</v>
      </c>
      <c r="Q14" t="s">
        <v>13</v>
      </c>
      <c r="R14">
        <v>6.5</v>
      </c>
      <c r="S14">
        <v>0</v>
      </c>
      <c r="T14">
        <v>162.5</v>
      </c>
      <c r="U14" t="s">
        <v>360</v>
      </c>
    </row>
    <row r="15" spans="1:40" x14ac:dyDescent="0.25">
      <c r="A15" t="s">
        <v>328</v>
      </c>
      <c r="B15" t="s">
        <v>329</v>
      </c>
      <c r="C15" t="s">
        <v>330</v>
      </c>
      <c r="E15" s="2" t="s">
        <v>403</v>
      </c>
      <c r="F15" t="s">
        <v>41</v>
      </c>
      <c r="G15">
        <v>12.348000000000001</v>
      </c>
      <c r="H15" t="s">
        <v>23</v>
      </c>
      <c r="J15" s="3">
        <v>0</v>
      </c>
      <c r="L15" t="s">
        <v>404</v>
      </c>
      <c r="N15" t="s">
        <v>61</v>
      </c>
      <c r="O15" t="s">
        <v>175</v>
      </c>
      <c r="P15">
        <v>2</v>
      </c>
      <c r="Q15" t="s">
        <v>15</v>
      </c>
      <c r="R15">
        <v>18</v>
      </c>
      <c r="S15">
        <v>0</v>
      </c>
      <c r="T15">
        <v>36</v>
      </c>
      <c r="U15" t="s">
        <v>361</v>
      </c>
    </row>
    <row r="16" spans="1:40" x14ac:dyDescent="0.25">
      <c r="A16" t="s">
        <v>331</v>
      </c>
      <c r="B16" t="s">
        <v>203</v>
      </c>
      <c r="C16" t="s">
        <v>332</v>
      </c>
      <c r="E16" s="2" t="s">
        <v>43</v>
      </c>
      <c r="F16" t="s">
        <v>405</v>
      </c>
      <c r="G16">
        <v>2.6309999999999998</v>
      </c>
      <c r="H16" t="s">
        <v>45</v>
      </c>
      <c r="J16" s="3">
        <v>0</v>
      </c>
      <c r="L16" t="s">
        <v>192</v>
      </c>
      <c r="N16" t="s">
        <v>63</v>
      </c>
      <c r="O16" t="s">
        <v>176</v>
      </c>
      <c r="P16">
        <v>1</v>
      </c>
      <c r="Q16" t="s">
        <v>15</v>
      </c>
      <c r="R16">
        <v>46.2</v>
      </c>
      <c r="S16">
        <v>0</v>
      </c>
      <c r="T16">
        <v>46.2</v>
      </c>
      <c r="U16" t="s">
        <v>362</v>
      </c>
    </row>
    <row r="17" spans="1:21" x14ac:dyDescent="0.25">
      <c r="A17" t="s">
        <v>212</v>
      </c>
      <c r="B17" t="s">
        <v>333</v>
      </c>
      <c r="C17" t="s">
        <v>334</v>
      </c>
      <c r="E17" s="2" t="s">
        <v>47</v>
      </c>
      <c r="F17" t="s">
        <v>406</v>
      </c>
      <c r="G17">
        <v>14.616</v>
      </c>
      <c r="H17" t="s">
        <v>13</v>
      </c>
      <c r="J17" s="3">
        <v>0.1</v>
      </c>
      <c r="L17" t="s">
        <v>407</v>
      </c>
      <c r="N17" t="s">
        <v>363</v>
      </c>
      <c r="O17" t="s">
        <v>364</v>
      </c>
      <c r="P17">
        <v>0</v>
      </c>
      <c r="Q17" t="s">
        <v>11</v>
      </c>
      <c r="S17">
        <v>0</v>
      </c>
      <c r="T17">
        <v>4617.8</v>
      </c>
      <c r="U17" t="s">
        <v>365</v>
      </c>
    </row>
    <row r="18" spans="1:21" x14ac:dyDescent="0.25">
      <c r="A18" t="s">
        <v>213</v>
      </c>
      <c r="B18" s="3" t="s">
        <v>335</v>
      </c>
      <c r="C18" t="s">
        <v>336</v>
      </c>
      <c r="E18" s="2" t="s">
        <v>408</v>
      </c>
      <c r="F18" t="s">
        <v>409</v>
      </c>
      <c r="G18">
        <v>17</v>
      </c>
      <c r="H18" t="s">
        <v>13</v>
      </c>
      <c r="J18" s="3">
        <v>0</v>
      </c>
      <c r="L18" t="s">
        <v>410</v>
      </c>
    </row>
    <row r="19" spans="1:21" x14ac:dyDescent="0.25">
      <c r="A19" t="s">
        <v>218</v>
      </c>
      <c r="B19" t="s">
        <v>337</v>
      </c>
      <c r="C19" t="s">
        <v>338</v>
      </c>
      <c r="E19" s="2" t="s">
        <v>50</v>
      </c>
      <c r="F19" t="s">
        <v>381</v>
      </c>
      <c r="G19">
        <v>0.65800000000000003</v>
      </c>
      <c r="H19" t="s">
        <v>382</v>
      </c>
      <c r="J19" s="3">
        <v>0.1</v>
      </c>
      <c r="L19" t="s">
        <v>411</v>
      </c>
    </row>
    <row r="20" spans="1:21" x14ac:dyDescent="0.25">
      <c r="E20" s="2" t="s">
        <v>412</v>
      </c>
      <c r="F20" t="s">
        <v>385</v>
      </c>
      <c r="G20">
        <v>1</v>
      </c>
      <c r="H20" t="s">
        <v>161</v>
      </c>
      <c r="J20" s="3">
        <v>0</v>
      </c>
      <c r="L20" t="s">
        <v>413</v>
      </c>
    </row>
    <row r="21" spans="1:21" x14ac:dyDescent="0.25">
      <c r="E21" s="2" t="s">
        <v>53</v>
      </c>
      <c r="F21" t="s">
        <v>387</v>
      </c>
      <c r="G21">
        <v>0.10100000000000001</v>
      </c>
      <c r="H21" t="s">
        <v>388</v>
      </c>
      <c r="J21" s="3">
        <v>0.1</v>
      </c>
      <c r="L21" t="s">
        <v>414</v>
      </c>
    </row>
    <row r="22" spans="1:21" x14ac:dyDescent="0.25">
      <c r="E22" s="2" t="s">
        <v>415</v>
      </c>
      <c r="F22" t="s">
        <v>391</v>
      </c>
      <c r="G22">
        <v>1</v>
      </c>
      <c r="H22" t="s">
        <v>162</v>
      </c>
      <c r="J22" s="3">
        <v>0</v>
      </c>
      <c r="L22" t="s">
        <v>416</v>
      </c>
    </row>
    <row r="23" spans="1:21" x14ac:dyDescent="0.25">
      <c r="E23" s="2" t="s">
        <v>56</v>
      </c>
      <c r="F23" t="s">
        <v>417</v>
      </c>
      <c r="G23">
        <v>3.9529999999999998</v>
      </c>
      <c r="H23" t="s">
        <v>45</v>
      </c>
      <c r="J23" s="3">
        <v>0</v>
      </c>
      <c r="L23" t="s">
        <v>194</v>
      </c>
    </row>
    <row r="24" spans="1:21" x14ac:dyDescent="0.25">
      <c r="E24" s="2" t="s">
        <v>59</v>
      </c>
      <c r="F24" t="s">
        <v>406</v>
      </c>
      <c r="G24">
        <v>21.96</v>
      </c>
      <c r="H24" t="s">
        <v>13</v>
      </c>
      <c r="J24" s="3">
        <v>0.1</v>
      </c>
      <c r="L24" t="s">
        <v>418</v>
      </c>
    </row>
    <row r="25" spans="1:21" x14ac:dyDescent="0.25">
      <c r="E25" s="2" t="s">
        <v>419</v>
      </c>
      <c r="F25" t="s">
        <v>409</v>
      </c>
      <c r="G25">
        <v>25</v>
      </c>
      <c r="H25" t="s">
        <v>13</v>
      </c>
      <c r="J25" s="3">
        <v>0</v>
      </c>
      <c r="L25" t="s">
        <v>420</v>
      </c>
    </row>
    <row r="26" spans="1:21" x14ac:dyDescent="0.25">
      <c r="E26" s="2" t="s">
        <v>61</v>
      </c>
      <c r="F26" t="s">
        <v>381</v>
      </c>
      <c r="G26">
        <v>0.98799999999999999</v>
      </c>
      <c r="H26" t="s">
        <v>382</v>
      </c>
      <c r="J26" s="3">
        <v>0.1</v>
      </c>
      <c r="L26" t="s">
        <v>421</v>
      </c>
    </row>
    <row r="27" spans="1:21" x14ac:dyDescent="0.25">
      <c r="E27" s="2" t="s">
        <v>422</v>
      </c>
      <c r="F27" t="s">
        <v>385</v>
      </c>
      <c r="G27">
        <v>2</v>
      </c>
      <c r="H27" t="s">
        <v>161</v>
      </c>
      <c r="J27" s="3">
        <v>0</v>
      </c>
      <c r="L27" t="s">
        <v>423</v>
      </c>
    </row>
    <row r="28" spans="1:21" x14ac:dyDescent="0.25">
      <c r="E28" s="2" t="s">
        <v>63</v>
      </c>
      <c r="F28" t="s">
        <v>387</v>
      </c>
      <c r="G28">
        <v>0.152</v>
      </c>
      <c r="H28" t="s">
        <v>388</v>
      </c>
      <c r="J28" s="3">
        <v>0.1</v>
      </c>
      <c r="L28" t="s">
        <v>424</v>
      </c>
    </row>
    <row r="29" spans="1:21" x14ac:dyDescent="0.25">
      <c r="E29" s="2" t="s">
        <v>425</v>
      </c>
      <c r="F29" t="s">
        <v>391</v>
      </c>
      <c r="G29">
        <v>1</v>
      </c>
      <c r="H29" t="s">
        <v>162</v>
      </c>
      <c r="J29" s="3">
        <v>0</v>
      </c>
      <c r="L29" t="s">
        <v>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C97B-E8F1-44E2-80B4-ED03D9416D48}">
  <dimension ref="A1:AM29"/>
  <sheetViews>
    <sheetView zoomScale="75" zoomScaleNormal="75" workbookViewId="0">
      <pane ySplit="49" topLeftCell="A50" activePane="bottomLeft" state="frozen"/>
      <selection pane="bottomLeft" activeCell="AF1" sqref="AF1:AM5"/>
    </sheetView>
  </sheetViews>
  <sheetFormatPr defaultRowHeight="15" x14ac:dyDescent="0.25"/>
  <cols>
    <col min="1" max="1" width="30.42578125" bestFit="1" customWidth="1"/>
    <col min="2" max="2" width="55" bestFit="1" customWidth="1"/>
    <col min="3" max="3" width="52" bestFit="1" customWidth="1"/>
    <col min="4" max="4" width="1.7109375" style="1" customWidth="1"/>
    <col min="5" max="5" width="35" style="2" bestFit="1" customWidth="1"/>
    <col min="6" max="6" width="22.42578125" bestFit="1" customWidth="1"/>
    <col min="7" max="12" width="8.7109375" customWidth="1"/>
    <col min="13" max="13" width="1.7109375" style="1" customWidth="1"/>
    <col min="14" max="14" width="44" bestFit="1" customWidth="1"/>
    <col min="15" max="15" width="17.85546875" bestFit="1" customWidth="1"/>
    <col min="16" max="16" width="13.140625" bestFit="1" customWidth="1"/>
    <col min="17" max="17" width="14" bestFit="1" customWidth="1"/>
    <col min="18" max="18" width="12.85546875" bestFit="1" customWidth="1"/>
    <col min="19" max="19" width="12.42578125" bestFit="1" customWidth="1"/>
    <col min="20" max="20" width="24.7109375" bestFit="1" customWidth="1"/>
    <col min="21" max="21" width="50.28515625" bestFit="1" customWidth="1"/>
    <col min="22" max="22" width="1.7109375" style="1" customWidth="1"/>
    <col min="23" max="30" width="5.7109375" customWidth="1"/>
    <col min="31" max="31" width="1.7109375" style="1" customWidth="1"/>
    <col min="32" max="41" width="5.7109375" customWidth="1"/>
  </cols>
  <sheetData>
    <row r="1" spans="1:39" x14ac:dyDescent="0.25">
      <c r="A1" t="s">
        <v>431</v>
      </c>
      <c r="E1" s="2" t="s">
        <v>428</v>
      </c>
      <c r="N1" t="s">
        <v>483</v>
      </c>
      <c r="W1" t="s">
        <v>488</v>
      </c>
      <c r="AF1" t="s">
        <v>497</v>
      </c>
    </row>
    <row r="2" spans="1:39" s="4" customFormat="1" x14ac:dyDescent="0.25">
      <c r="A2" s="4" t="s">
        <v>2</v>
      </c>
      <c r="B2" s="4" t="s">
        <v>214</v>
      </c>
      <c r="C2" s="4" t="s">
        <v>218</v>
      </c>
      <c r="E2" s="4" t="s">
        <v>2</v>
      </c>
      <c r="F2" s="4" t="s">
        <v>427</v>
      </c>
      <c r="G2" s="4" t="s">
        <v>167</v>
      </c>
      <c r="H2" s="4" t="s">
        <v>3</v>
      </c>
      <c r="I2" s="4" t="s">
        <v>215</v>
      </c>
      <c r="J2" s="4" t="s">
        <v>216</v>
      </c>
      <c r="K2" s="4" t="s">
        <v>217</v>
      </c>
      <c r="L2" s="4" t="s">
        <v>218</v>
      </c>
      <c r="N2" s="4" t="s">
        <v>2</v>
      </c>
      <c r="O2" s="4" t="s">
        <v>427</v>
      </c>
      <c r="P2" s="4" t="s">
        <v>167</v>
      </c>
      <c r="Q2" s="4" t="s">
        <v>3</v>
      </c>
      <c r="R2" s="4" t="s">
        <v>215</v>
      </c>
      <c r="S2" s="4" t="s">
        <v>216</v>
      </c>
      <c r="T2" s="4" t="s">
        <v>217</v>
      </c>
      <c r="U2" s="4" t="s">
        <v>218</v>
      </c>
      <c r="W2" s="4" t="s">
        <v>2</v>
      </c>
      <c r="X2" s="4" t="s">
        <v>427</v>
      </c>
      <c r="Y2" s="4" t="s">
        <v>167</v>
      </c>
      <c r="Z2" s="4" t="s">
        <v>3</v>
      </c>
      <c r="AA2" s="4" t="s">
        <v>215</v>
      </c>
      <c r="AB2" s="4" t="s">
        <v>216</v>
      </c>
      <c r="AC2" s="4" t="s">
        <v>217</v>
      </c>
      <c r="AD2" s="4" t="s">
        <v>218</v>
      </c>
      <c r="AF2" s="4" t="s">
        <v>2</v>
      </c>
      <c r="AG2" s="4" t="s">
        <v>427</v>
      </c>
      <c r="AH2" s="4" t="s">
        <v>167</v>
      </c>
      <c r="AI2" s="4" t="s">
        <v>3</v>
      </c>
      <c r="AJ2" s="4" t="s">
        <v>215</v>
      </c>
      <c r="AK2" s="4" t="s">
        <v>216</v>
      </c>
      <c r="AL2" s="4" t="s">
        <v>217</v>
      </c>
      <c r="AM2" s="4" t="s">
        <v>218</v>
      </c>
    </row>
    <row r="3" spans="1:39" x14ac:dyDescent="0.25">
      <c r="A3" t="s">
        <v>0</v>
      </c>
      <c r="B3" t="s">
        <v>432</v>
      </c>
      <c r="C3" t="s">
        <v>433</v>
      </c>
      <c r="E3" s="2" t="s">
        <v>66</v>
      </c>
      <c r="F3" t="s">
        <v>473</v>
      </c>
      <c r="G3">
        <v>0.34</v>
      </c>
      <c r="H3" t="s">
        <v>23</v>
      </c>
      <c r="J3" s="3">
        <v>0.05</v>
      </c>
      <c r="L3" t="s">
        <v>474</v>
      </c>
      <c r="N3" t="s">
        <v>66</v>
      </c>
      <c r="O3" t="s">
        <v>473</v>
      </c>
      <c r="P3">
        <v>0.34</v>
      </c>
      <c r="Q3" t="s">
        <v>23</v>
      </c>
      <c r="T3" t="e">
        <f>E2*F2</f>
        <v>#VALUE!</v>
      </c>
      <c r="U3" t="s">
        <v>484</v>
      </c>
      <c r="W3" t="s">
        <v>489</v>
      </c>
      <c r="X3" t="s">
        <v>490</v>
      </c>
      <c r="Y3">
        <v>1</v>
      </c>
      <c r="Z3" t="s">
        <v>169</v>
      </c>
      <c r="AB3">
        <v>0</v>
      </c>
      <c r="AC3" s="3"/>
      <c r="AD3" t="s">
        <v>491</v>
      </c>
      <c r="AF3" t="s">
        <v>498</v>
      </c>
      <c r="AG3" t="s">
        <v>499</v>
      </c>
      <c r="AH3">
        <v>1</v>
      </c>
      <c r="AI3" t="s">
        <v>169</v>
      </c>
      <c r="AK3">
        <v>0</v>
      </c>
      <c r="AM3" t="s">
        <v>500</v>
      </c>
    </row>
    <row r="4" spans="1:39" x14ac:dyDescent="0.25">
      <c r="A4" t="s">
        <v>434</v>
      </c>
      <c r="B4" t="s">
        <v>435</v>
      </c>
      <c r="C4" t="s">
        <v>436</v>
      </c>
      <c r="E4" s="2" t="s">
        <v>445</v>
      </c>
      <c r="F4" t="s">
        <v>475</v>
      </c>
      <c r="G4">
        <v>14.07</v>
      </c>
      <c r="H4" t="s">
        <v>71</v>
      </c>
      <c r="J4" s="3">
        <v>0.1</v>
      </c>
      <c r="L4" t="s">
        <v>476</v>
      </c>
      <c r="N4" t="s">
        <v>445</v>
      </c>
      <c r="O4" t="s">
        <v>475</v>
      </c>
      <c r="P4">
        <v>14.07</v>
      </c>
      <c r="Q4" t="s">
        <v>71</v>
      </c>
      <c r="T4" t="e">
        <f>E3*F3</f>
        <v>#VALUE!</v>
      </c>
      <c r="U4" t="s">
        <v>484</v>
      </c>
      <c r="W4" t="s">
        <v>492</v>
      </c>
      <c r="X4" t="s">
        <v>493</v>
      </c>
      <c r="Y4">
        <v>1</v>
      </c>
      <c r="Z4" t="s">
        <v>169</v>
      </c>
      <c r="AB4">
        <v>0</v>
      </c>
      <c r="AC4" s="3"/>
      <c r="AD4" t="s">
        <v>494</v>
      </c>
      <c r="AF4" t="s">
        <v>501</v>
      </c>
      <c r="AG4" t="s">
        <v>502</v>
      </c>
      <c r="AH4">
        <v>1</v>
      </c>
      <c r="AI4" t="s">
        <v>169</v>
      </c>
      <c r="AK4">
        <v>0</v>
      </c>
      <c r="AM4" t="s">
        <v>503</v>
      </c>
    </row>
    <row r="5" spans="1:39" x14ac:dyDescent="0.25">
      <c r="A5" t="s">
        <v>437</v>
      </c>
      <c r="B5" t="s">
        <v>438</v>
      </c>
      <c r="C5" t="s">
        <v>68</v>
      </c>
      <c r="E5" s="2" t="s">
        <v>453</v>
      </c>
      <c r="F5" t="s">
        <v>477</v>
      </c>
      <c r="G5">
        <v>6.6</v>
      </c>
      <c r="H5" t="s">
        <v>71</v>
      </c>
      <c r="J5" s="3">
        <v>0.1</v>
      </c>
      <c r="L5" t="s">
        <v>478</v>
      </c>
      <c r="N5" t="s">
        <v>453</v>
      </c>
      <c r="O5" t="s">
        <v>477</v>
      </c>
      <c r="P5">
        <v>6.6</v>
      </c>
      <c r="Q5" t="s">
        <v>71</v>
      </c>
      <c r="T5" t="e">
        <f>E4*F4</f>
        <v>#VALUE!</v>
      </c>
      <c r="U5" t="s">
        <v>484</v>
      </c>
      <c r="W5" t="s">
        <v>495</v>
      </c>
      <c r="X5" t="s">
        <v>486</v>
      </c>
      <c r="AB5">
        <f>SUM(G3:G4)</f>
        <v>14.41</v>
      </c>
      <c r="AC5" t="s">
        <v>496</v>
      </c>
      <c r="AF5" t="s">
        <v>504</v>
      </c>
      <c r="AG5" t="s">
        <v>486</v>
      </c>
      <c r="AK5">
        <f>SUM(G3:G4)</f>
        <v>14.41</v>
      </c>
      <c r="AL5" t="s">
        <v>496</v>
      </c>
    </row>
    <row r="6" spans="1:39" x14ac:dyDescent="0.25">
      <c r="A6" t="s">
        <v>439</v>
      </c>
      <c r="B6" t="s">
        <v>440</v>
      </c>
      <c r="C6" t="s">
        <v>441</v>
      </c>
      <c r="E6" s="2" t="s">
        <v>74</v>
      </c>
      <c r="F6" t="s">
        <v>479</v>
      </c>
      <c r="G6">
        <v>4.7519999999999998</v>
      </c>
      <c r="H6" t="s">
        <v>76</v>
      </c>
      <c r="J6" s="3">
        <v>0.1</v>
      </c>
      <c r="L6" t="s">
        <v>480</v>
      </c>
      <c r="N6" t="s">
        <v>74</v>
      </c>
      <c r="O6" t="s">
        <v>479</v>
      </c>
      <c r="P6">
        <v>4.7519999999999998</v>
      </c>
      <c r="Q6" t="s">
        <v>76</v>
      </c>
      <c r="T6" t="e">
        <f>E5*F5</f>
        <v>#VALUE!</v>
      </c>
      <c r="U6" t="s">
        <v>484</v>
      </c>
    </row>
    <row r="7" spans="1:39" x14ac:dyDescent="0.25">
      <c r="A7" t="s">
        <v>442</v>
      </c>
      <c r="B7" t="s">
        <v>443</v>
      </c>
      <c r="C7" t="s">
        <v>444</v>
      </c>
      <c r="E7" s="2" t="s">
        <v>77</v>
      </c>
      <c r="F7" t="s">
        <v>481</v>
      </c>
      <c r="G7">
        <v>4</v>
      </c>
      <c r="H7" t="s">
        <v>13</v>
      </c>
      <c r="J7" s="3">
        <v>0</v>
      </c>
      <c r="L7" t="s">
        <v>429</v>
      </c>
      <c r="N7" t="s">
        <v>77</v>
      </c>
      <c r="O7" t="s">
        <v>481</v>
      </c>
      <c r="P7">
        <v>4</v>
      </c>
      <c r="Q7" t="s">
        <v>13</v>
      </c>
      <c r="T7" t="e">
        <f>E6*F6</f>
        <v>#VALUE!</v>
      </c>
      <c r="U7" t="s">
        <v>484</v>
      </c>
    </row>
    <row r="8" spans="1:39" x14ac:dyDescent="0.25">
      <c r="A8" t="s">
        <v>445</v>
      </c>
      <c r="B8" t="s">
        <v>446</v>
      </c>
      <c r="C8" t="s">
        <v>70</v>
      </c>
      <c r="E8" s="2" t="s">
        <v>430</v>
      </c>
      <c r="F8" t="s">
        <v>482</v>
      </c>
      <c r="G8">
        <v>16</v>
      </c>
      <c r="H8" t="s">
        <v>13</v>
      </c>
      <c r="J8" s="3">
        <v>0</v>
      </c>
      <c r="L8" t="s">
        <v>82</v>
      </c>
      <c r="N8" t="s">
        <v>430</v>
      </c>
      <c r="O8" t="s">
        <v>482</v>
      </c>
      <c r="P8">
        <v>16</v>
      </c>
      <c r="Q8" t="s">
        <v>13</v>
      </c>
      <c r="T8" t="e">
        <f>E7*F7</f>
        <v>#VALUE!</v>
      </c>
      <c r="U8" t="s">
        <v>484</v>
      </c>
    </row>
    <row r="9" spans="1:39" x14ac:dyDescent="0.25">
      <c r="A9" t="s">
        <v>447</v>
      </c>
      <c r="B9" s="3" t="s">
        <v>448</v>
      </c>
      <c r="C9" t="s">
        <v>449</v>
      </c>
      <c r="J9" s="3"/>
      <c r="N9" t="s">
        <v>485</v>
      </c>
      <c r="O9" t="s">
        <v>486</v>
      </c>
      <c r="P9">
        <v>0</v>
      </c>
      <c r="Q9" t="s">
        <v>11</v>
      </c>
      <c r="T9">
        <f>SUM(G2:G7)</f>
        <v>29.761999999999997</v>
      </c>
      <c r="U9" t="s">
        <v>487</v>
      </c>
    </row>
    <row r="10" spans="1:39" x14ac:dyDescent="0.25">
      <c r="A10" t="s">
        <v>450</v>
      </c>
      <c r="B10" t="s">
        <v>451</v>
      </c>
      <c r="C10" t="s">
        <v>452</v>
      </c>
      <c r="J10" s="3"/>
    </row>
    <row r="11" spans="1:39" x14ac:dyDescent="0.25">
      <c r="A11" t="s">
        <v>453</v>
      </c>
      <c r="B11" t="s">
        <v>454</v>
      </c>
      <c r="C11" t="s">
        <v>70</v>
      </c>
      <c r="J11" s="3"/>
    </row>
    <row r="12" spans="1:39" x14ac:dyDescent="0.25">
      <c r="A12" t="s">
        <v>455</v>
      </c>
      <c r="B12" s="3" t="s">
        <v>456</v>
      </c>
      <c r="C12" t="s">
        <v>449</v>
      </c>
      <c r="J12" s="3"/>
    </row>
    <row r="13" spans="1:39" x14ac:dyDescent="0.25">
      <c r="A13" t="s">
        <v>457</v>
      </c>
      <c r="B13" t="s">
        <v>458</v>
      </c>
      <c r="C13" t="s">
        <v>452</v>
      </c>
      <c r="J13" s="3"/>
    </row>
    <row r="14" spans="1:39" x14ac:dyDescent="0.25">
      <c r="A14" t="s">
        <v>459</v>
      </c>
      <c r="B14" t="s">
        <v>460</v>
      </c>
      <c r="C14" t="s">
        <v>449</v>
      </c>
      <c r="J14" s="3"/>
    </row>
    <row r="15" spans="1:39" x14ac:dyDescent="0.25">
      <c r="A15" t="s">
        <v>461</v>
      </c>
      <c r="B15" t="s">
        <v>462</v>
      </c>
      <c r="C15" t="s">
        <v>452</v>
      </c>
      <c r="J15" s="3"/>
    </row>
    <row r="16" spans="1:39" x14ac:dyDescent="0.25">
      <c r="A16" t="s">
        <v>77</v>
      </c>
      <c r="B16" t="s">
        <v>78</v>
      </c>
      <c r="C16" t="s">
        <v>463</v>
      </c>
      <c r="J16" s="3"/>
    </row>
    <row r="17" spans="1:20" x14ac:dyDescent="0.25">
      <c r="A17" t="s">
        <v>464</v>
      </c>
      <c r="B17" t="s">
        <v>465</v>
      </c>
      <c r="C17" t="s">
        <v>466</v>
      </c>
      <c r="J17" s="3"/>
    </row>
    <row r="18" spans="1:20" x14ac:dyDescent="0.25">
      <c r="A18" t="s">
        <v>467</v>
      </c>
      <c r="B18" s="3" t="s">
        <v>468</v>
      </c>
      <c r="C18" t="s">
        <v>469</v>
      </c>
      <c r="J18" s="3"/>
    </row>
    <row r="19" spans="1:20" x14ac:dyDescent="0.25">
      <c r="A19" t="s">
        <v>470</v>
      </c>
      <c r="B19" t="s">
        <v>471</v>
      </c>
      <c r="C19" t="s">
        <v>472</v>
      </c>
      <c r="J19" s="3"/>
      <c r="T19" s="3"/>
    </row>
    <row r="20" spans="1:20" x14ac:dyDescent="0.25">
      <c r="J20" s="3"/>
      <c r="T20" s="3"/>
    </row>
    <row r="21" spans="1:20" x14ac:dyDescent="0.25">
      <c r="J21" s="3"/>
    </row>
    <row r="22" spans="1:20" x14ac:dyDescent="0.25">
      <c r="J22" s="3"/>
    </row>
    <row r="23" spans="1:20" x14ac:dyDescent="0.25">
      <c r="J23" s="3"/>
    </row>
    <row r="24" spans="1:20" x14ac:dyDescent="0.25">
      <c r="J24" s="3"/>
    </row>
    <row r="25" spans="1:20" x14ac:dyDescent="0.25">
      <c r="J25" s="3"/>
    </row>
    <row r="26" spans="1:20" x14ac:dyDescent="0.25">
      <c r="J26" s="3"/>
    </row>
    <row r="27" spans="1:20" x14ac:dyDescent="0.25">
      <c r="J27" s="3"/>
    </row>
    <row r="28" spans="1:20" x14ac:dyDescent="0.25">
      <c r="J28" s="3"/>
    </row>
    <row r="29" spans="1:20" x14ac:dyDescent="0.25">
      <c r="J2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70BE-E12E-4E54-8835-2331DACFC52F}">
  <dimension ref="A1:AN29"/>
  <sheetViews>
    <sheetView zoomScale="75" zoomScaleNormal="75" workbookViewId="0">
      <pane ySplit="49" topLeftCell="A50" activePane="bottomLeft" state="frozen"/>
      <selection pane="bottomLeft" activeCell="AF1" sqref="AF1:AN3"/>
    </sheetView>
  </sheetViews>
  <sheetFormatPr defaultRowHeight="15" x14ac:dyDescent="0.25"/>
  <cols>
    <col min="1" max="1" width="30.42578125" bestFit="1" customWidth="1"/>
    <col min="2" max="2" width="55" bestFit="1" customWidth="1"/>
    <col min="3" max="3" width="52" bestFit="1" customWidth="1"/>
    <col min="4" max="4" width="1.7109375" style="1" customWidth="1"/>
    <col min="5" max="5" width="35" style="2" bestFit="1" customWidth="1"/>
    <col min="6" max="6" width="22.42578125" bestFit="1" customWidth="1"/>
    <col min="7" max="12" width="8.7109375" customWidth="1"/>
    <col min="13" max="13" width="1.7109375" style="1" customWidth="1"/>
    <col min="14" max="14" width="44" bestFit="1" customWidth="1"/>
    <col min="15" max="15" width="17.85546875" bestFit="1" customWidth="1"/>
    <col min="16" max="16" width="13.140625" bestFit="1" customWidth="1"/>
    <col min="17" max="17" width="14" bestFit="1" customWidth="1"/>
    <col min="18" max="18" width="12.85546875" bestFit="1" customWidth="1"/>
    <col min="19" max="19" width="12.42578125" bestFit="1" customWidth="1"/>
    <col min="20" max="20" width="24.7109375" bestFit="1" customWidth="1"/>
    <col min="21" max="21" width="50.28515625" bestFit="1" customWidth="1"/>
    <col min="22" max="22" width="1.7109375" style="1" customWidth="1"/>
    <col min="23" max="30" width="5.7109375" customWidth="1"/>
    <col min="31" max="31" width="1.7109375" style="1" customWidth="1"/>
    <col min="32" max="41" width="5.7109375" customWidth="1"/>
  </cols>
  <sheetData>
    <row r="1" spans="1:40" x14ac:dyDescent="0.25">
      <c r="A1" t="s">
        <v>505</v>
      </c>
      <c r="E1" s="2" t="s">
        <v>516</v>
      </c>
      <c r="N1" t="s">
        <v>520</v>
      </c>
      <c r="W1" t="s">
        <v>522</v>
      </c>
      <c r="AF1" t="s">
        <v>527</v>
      </c>
    </row>
    <row r="2" spans="1:40" s="4" customFormat="1" x14ac:dyDescent="0.25">
      <c r="A2" s="4" t="s">
        <v>2</v>
      </c>
      <c r="B2" s="4" t="s">
        <v>214</v>
      </c>
      <c r="C2" s="4" t="s">
        <v>218</v>
      </c>
      <c r="E2" s="4" t="s">
        <v>2</v>
      </c>
      <c r="F2" s="4" t="s">
        <v>427</v>
      </c>
      <c r="G2" s="4" t="s">
        <v>167</v>
      </c>
      <c r="H2" s="4" t="s">
        <v>3</v>
      </c>
      <c r="I2" s="4" t="s">
        <v>215</v>
      </c>
      <c r="J2" s="4" t="s">
        <v>216</v>
      </c>
      <c r="K2" s="4" t="s">
        <v>217</v>
      </c>
      <c r="L2" s="4" t="s">
        <v>218</v>
      </c>
      <c r="N2" s="4" t="s">
        <v>2</v>
      </c>
      <c r="O2" s="4" t="s">
        <v>427</v>
      </c>
      <c r="P2" s="4" t="s">
        <v>167</v>
      </c>
      <c r="Q2" s="4" t="s">
        <v>3</v>
      </c>
      <c r="R2" s="4" t="s">
        <v>215</v>
      </c>
      <c r="S2" s="4" t="s">
        <v>216</v>
      </c>
      <c r="T2" s="4" t="s">
        <v>217</v>
      </c>
      <c r="U2" s="4" t="s">
        <v>218</v>
      </c>
      <c r="W2" s="4" t="s">
        <v>2</v>
      </c>
      <c r="X2" s="4" t="s">
        <v>427</v>
      </c>
      <c r="Y2" s="4" t="s">
        <v>167</v>
      </c>
      <c r="Z2" s="4" t="s">
        <v>3</v>
      </c>
      <c r="AA2" s="4" t="s">
        <v>215</v>
      </c>
      <c r="AB2" s="4" t="s">
        <v>216</v>
      </c>
      <c r="AC2" s="4" t="s">
        <v>217</v>
      </c>
      <c r="AD2" s="4" t="s">
        <v>218</v>
      </c>
      <c r="AF2" s="4" t="s">
        <v>2</v>
      </c>
      <c r="AG2" s="4" t="s">
        <v>427</v>
      </c>
      <c r="AH2" s="4" t="s">
        <v>167</v>
      </c>
      <c r="AI2" s="4" t="s">
        <v>3</v>
      </c>
      <c r="AJ2" s="4" t="s">
        <v>215</v>
      </c>
      <c r="AK2" s="4" t="s">
        <v>216</v>
      </c>
      <c r="AL2" s="4" t="s">
        <v>217</v>
      </c>
      <c r="AM2" s="4" t="s">
        <v>218</v>
      </c>
    </row>
    <row r="3" spans="1:40" x14ac:dyDescent="0.25">
      <c r="A3" t="s">
        <v>0</v>
      </c>
      <c r="B3" t="s">
        <v>506</v>
      </c>
      <c r="C3" t="s">
        <v>507</v>
      </c>
      <c r="E3" s="2" t="s">
        <v>517</v>
      </c>
      <c r="F3" t="s">
        <v>518</v>
      </c>
      <c r="G3">
        <v>1</v>
      </c>
      <c r="H3" t="s">
        <v>11</v>
      </c>
      <c r="J3" s="3"/>
      <c r="K3">
        <v>0</v>
      </c>
      <c r="M3" s="1" t="s">
        <v>519</v>
      </c>
      <c r="N3" t="s">
        <v>517</v>
      </c>
      <c r="O3" t="s">
        <v>518</v>
      </c>
      <c r="P3">
        <v>1</v>
      </c>
      <c r="Q3" t="s">
        <v>11</v>
      </c>
      <c r="T3">
        <v>0</v>
      </c>
      <c r="V3" s="1" t="s">
        <v>521</v>
      </c>
      <c r="W3" t="s">
        <v>523</v>
      </c>
      <c r="X3" t="s">
        <v>524</v>
      </c>
      <c r="Y3">
        <v>2</v>
      </c>
      <c r="Z3" t="s">
        <v>525</v>
      </c>
      <c r="AC3" s="3">
        <v>0</v>
      </c>
      <c r="AE3" s="1" t="s">
        <v>526</v>
      </c>
      <c r="AF3" t="s">
        <v>528</v>
      </c>
      <c r="AG3" t="s">
        <v>529</v>
      </c>
      <c r="AH3">
        <v>1</v>
      </c>
      <c r="AI3" t="s">
        <v>11</v>
      </c>
      <c r="AL3">
        <v>0</v>
      </c>
      <c r="AN3" t="s">
        <v>530</v>
      </c>
    </row>
    <row r="4" spans="1:40" x14ac:dyDescent="0.25">
      <c r="A4" t="s">
        <v>508</v>
      </c>
      <c r="B4" t="s">
        <v>509</v>
      </c>
      <c r="C4" t="s">
        <v>510</v>
      </c>
      <c r="J4" s="3"/>
      <c r="AC4" s="3"/>
    </row>
    <row r="5" spans="1:40" x14ac:dyDescent="0.25">
      <c r="A5" t="s">
        <v>511</v>
      </c>
      <c r="B5" t="s">
        <v>512</v>
      </c>
      <c r="C5" t="s">
        <v>513</v>
      </c>
      <c r="J5" s="3"/>
    </row>
    <row r="6" spans="1:40" x14ac:dyDescent="0.25">
      <c r="A6" t="s">
        <v>514</v>
      </c>
      <c r="B6" t="s">
        <v>218</v>
      </c>
      <c r="C6" t="s">
        <v>515</v>
      </c>
      <c r="J6" s="3"/>
    </row>
    <row r="7" spans="1:40" x14ac:dyDescent="0.25">
      <c r="J7" s="3"/>
    </row>
    <row r="8" spans="1:40" x14ac:dyDescent="0.25">
      <c r="J8" s="3"/>
    </row>
    <row r="9" spans="1:40" x14ac:dyDescent="0.25">
      <c r="B9" s="3"/>
      <c r="J9" s="3"/>
    </row>
    <row r="10" spans="1:40" x14ac:dyDescent="0.25">
      <c r="J10" s="3"/>
    </row>
    <row r="11" spans="1:40" x14ac:dyDescent="0.25">
      <c r="J11" s="3"/>
    </row>
    <row r="12" spans="1:40" x14ac:dyDescent="0.25">
      <c r="B12" s="3"/>
      <c r="J12" s="3"/>
    </row>
    <row r="13" spans="1:40" x14ac:dyDescent="0.25">
      <c r="J13" s="3"/>
    </row>
    <row r="14" spans="1:40" x14ac:dyDescent="0.25">
      <c r="J14" s="3"/>
    </row>
    <row r="15" spans="1:40" x14ac:dyDescent="0.25">
      <c r="J15" s="3"/>
    </row>
    <row r="16" spans="1:40" x14ac:dyDescent="0.25">
      <c r="J16" s="3"/>
    </row>
    <row r="17" spans="2:20" x14ac:dyDescent="0.25">
      <c r="J17" s="3"/>
    </row>
    <row r="18" spans="2:20" x14ac:dyDescent="0.25">
      <c r="B18" s="3"/>
      <c r="J18" s="3"/>
    </row>
    <row r="19" spans="2:20" x14ac:dyDescent="0.25">
      <c r="J19" s="3"/>
      <c r="T19" s="3"/>
    </row>
    <row r="20" spans="2:20" x14ac:dyDescent="0.25">
      <c r="J20" s="3"/>
      <c r="T20" s="3"/>
    </row>
    <row r="21" spans="2:20" x14ac:dyDescent="0.25">
      <c r="J21" s="3"/>
    </row>
    <row r="22" spans="2:20" x14ac:dyDescent="0.25">
      <c r="J22" s="3"/>
    </row>
    <row r="23" spans="2:20" x14ac:dyDescent="0.25">
      <c r="J23" s="3"/>
    </row>
    <row r="24" spans="2:20" x14ac:dyDescent="0.25">
      <c r="J24" s="3"/>
    </row>
    <row r="25" spans="2:20" x14ac:dyDescent="0.25">
      <c r="J25" s="3"/>
    </row>
    <row r="26" spans="2:20" x14ac:dyDescent="0.25">
      <c r="J26" s="3"/>
    </row>
    <row r="27" spans="2:20" x14ac:dyDescent="0.25">
      <c r="J27" s="3"/>
    </row>
    <row r="28" spans="2:20" x14ac:dyDescent="0.25">
      <c r="J28" s="3"/>
    </row>
    <row r="29" spans="2:20" x14ac:dyDescent="0.25">
      <c r="J2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F354-B8EB-48FC-986B-77000B8C5626}">
  <dimension ref="A1:AM29"/>
  <sheetViews>
    <sheetView zoomScale="75" zoomScaleNormal="75" workbookViewId="0">
      <pane ySplit="49" topLeftCell="A50" activePane="bottomLeft" state="frozen"/>
      <selection pane="bottomLeft" activeCell="C45" sqref="C45"/>
    </sheetView>
  </sheetViews>
  <sheetFormatPr defaultRowHeight="15" x14ac:dyDescent="0.25"/>
  <cols>
    <col min="1" max="1" width="27.85546875" bestFit="1" customWidth="1"/>
    <col min="2" max="2" width="64.28515625" bestFit="1" customWidth="1"/>
    <col min="3" max="3" width="68.140625" bestFit="1" customWidth="1"/>
    <col min="4" max="4" width="1.7109375" style="1" customWidth="1"/>
    <col min="5" max="5" width="28.140625" style="2" bestFit="1" customWidth="1"/>
    <col min="6" max="6" width="52" bestFit="1" customWidth="1"/>
    <col min="7" max="7" width="8.140625" bestFit="1" customWidth="1"/>
    <col min="8" max="8" width="5.7109375" bestFit="1" customWidth="1"/>
    <col min="9" max="9" width="14.85546875" bestFit="1" customWidth="1"/>
    <col min="10" max="10" width="15.5703125" bestFit="1" customWidth="1"/>
    <col min="11" max="11" width="10.28515625" bestFit="1" customWidth="1"/>
    <col min="12" max="12" width="45.42578125" bestFit="1" customWidth="1"/>
    <col min="13" max="13" width="1.7109375" style="1" customWidth="1"/>
    <col min="14" max="14" width="40.42578125" bestFit="1" customWidth="1"/>
    <col min="15" max="15" width="52" bestFit="1" customWidth="1"/>
    <col min="16" max="16" width="8.140625" bestFit="1" customWidth="1"/>
    <col min="17" max="17" width="5.7109375" bestFit="1" customWidth="1"/>
    <col min="18" max="18" width="14.85546875" bestFit="1" customWidth="1"/>
    <col min="19" max="19" width="15.5703125" bestFit="1" customWidth="1"/>
    <col min="20" max="20" width="10.28515625" bestFit="1" customWidth="1"/>
    <col min="21" max="21" width="39" bestFit="1" customWidth="1"/>
    <col min="22" max="22" width="1.7109375" style="1" customWidth="1"/>
    <col min="23" max="23" width="24.140625" bestFit="1" customWidth="1"/>
    <col min="24" max="24" width="52" bestFit="1" customWidth="1"/>
    <col min="25" max="25" width="4.28515625" bestFit="1" customWidth="1"/>
    <col min="26" max="26" width="9.140625" bestFit="1" customWidth="1"/>
    <col min="27" max="27" width="14.85546875" bestFit="1" customWidth="1"/>
    <col min="28" max="28" width="15.5703125" bestFit="1" customWidth="1"/>
    <col min="29" max="29" width="10.28515625" bestFit="1" customWidth="1"/>
    <col min="30" max="30" width="32.85546875" bestFit="1" customWidth="1"/>
    <col min="31" max="31" width="1.7109375" style="1" customWidth="1"/>
    <col min="32" max="32" width="28.5703125" bestFit="1" customWidth="1"/>
    <col min="33" max="33" width="52" bestFit="1" customWidth="1"/>
    <col min="34" max="34" width="4.28515625" bestFit="1" customWidth="1"/>
    <col min="35" max="35" width="5.7109375" customWidth="1"/>
    <col min="36" max="36" width="14.85546875" bestFit="1" customWidth="1"/>
    <col min="37" max="37" width="15.5703125" bestFit="1" customWidth="1"/>
    <col min="38" max="38" width="10.28515625" bestFit="1" customWidth="1"/>
    <col min="39" max="39" width="16" bestFit="1" customWidth="1"/>
    <col min="40" max="41" width="5.7109375" customWidth="1"/>
  </cols>
  <sheetData>
    <row r="1" spans="1:39" x14ac:dyDescent="0.25">
      <c r="A1" t="s">
        <v>531</v>
      </c>
      <c r="E1" s="2" t="s">
        <v>549</v>
      </c>
      <c r="N1" t="s">
        <v>573</v>
      </c>
      <c r="W1" t="s">
        <v>579</v>
      </c>
      <c r="AF1" t="s">
        <v>583</v>
      </c>
    </row>
    <row r="2" spans="1:39" s="4" customFormat="1" x14ac:dyDescent="0.25">
      <c r="A2" s="4" t="s">
        <v>2</v>
      </c>
      <c r="B2" s="4" t="s">
        <v>214</v>
      </c>
      <c r="C2" s="4" t="s">
        <v>218</v>
      </c>
      <c r="E2" s="4" t="s">
        <v>2</v>
      </c>
      <c r="F2" s="4" t="s">
        <v>427</v>
      </c>
      <c r="G2" s="4" t="s">
        <v>167</v>
      </c>
      <c r="H2" s="4" t="s">
        <v>3</v>
      </c>
      <c r="I2" s="4" t="s">
        <v>215</v>
      </c>
      <c r="J2" s="4" t="s">
        <v>216</v>
      </c>
      <c r="K2" s="4" t="s">
        <v>217</v>
      </c>
      <c r="L2" s="4" t="s">
        <v>218</v>
      </c>
      <c r="N2" s="4" t="s">
        <v>2</v>
      </c>
      <c r="O2" s="4" t="s">
        <v>427</v>
      </c>
      <c r="P2" s="4" t="s">
        <v>167</v>
      </c>
      <c r="Q2" s="4" t="s">
        <v>3</v>
      </c>
      <c r="R2" s="4" t="s">
        <v>215</v>
      </c>
      <c r="S2" s="4" t="s">
        <v>216</v>
      </c>
      <c r="T2" s="4" t="s">
        <v>217</v>
      </c>
      <c r="U2" s="4" t="s">
        <v>218</v>
      </c>
      <c r="W2" s="4" t="s">
        <v>2</v>
      </c>
      <c r="X2" s="4" t="s">
        <v>427</v>
      </c>
      <c r="Y2" s="4" t="s">
        <v>167</v>
      </c>
      <c r="Z2" s="4" t="s">
        <v>3</v>
      </c>
      <c r="AA2" s="4" t="s">
        <v>215</v>
      </c>
      <c r="AB2" s="4" t="s">
        <v>216</v>
      </c>
      <c r="AC2" s="4" t="s">
        <v>217</v>
      </c>
      <c r="AD2" s="4" t="s">
        <v>218</v>
      </c>
      <c r="AF2" s="4" t="s">
        <v>2</v>
      </c>
      <c r="AG2" s="4" t="s">
        <v>427</v>
      </c>
      <c r="AH2" s="4" t="s">
        <v>167</v>
      </c>
      <c r="AI2" s="4" t="s">
        <v>3</v>
      </c>
      <c r="AJ2" s="4" t="s">
        <v>215</v>
      </c>
      <c r="AK2" s="4" t="s">
        <v>216</v>
      </c>
      <c r="AL2" s="4" t="s">
        <v>217</v>
      </c>
      <c r="AM2" s="4" t="s">
        <v>218</v>
      </c>
    </row>
    <row r="3" spans="1:39" x14ac:dyDescent="0.25">
      <c r="A3" t="s">
        <v>0</v>
      </c>
      <c r="B3" t="s">
        <v>532</v>
      </c>
      <c r="C3" t="s">
        <v>533</v>
      </c>
      <c r="E3" s="2" t="s">
        <v>550</v>
      </c>
      <c r="F3" t="s">
        <v>551</v>
      </c>
      <c r="G3">
        <v>18.378</v>
      </c>
      <c r="H3" t="s">
        <v>76</v>
      </c>
      <c r="J3" s="3">
        <v>0</v>
      </c>
      <c r="K3">
        <v>0</v>
      </c>
      <c r="L3" t="s">
        <v>560</v>
      </c>
      <c r="N3" t="s">
        <v>550</v>
      </c>
      <c r="O3" t="s">
        <v>551</v>
      </c>
      <c r="P3">
        <v>18.378</v>
      </c>
      <c r="Q3" t="s">
        <v>76</v>
      </c>
      <c r="R3">
        <v>0</v>
      </c>
      <c r="S3">
        <v>0</v>
      </c>
      <c r="T3">
        <v>0</v>
      </c>
      <c r="U3" t="s">
        <v>574</v>
      </c>
      <c r="W3" t="s">
        <v>580</v>
      </c>
      <c r="X3" t="s">
        <v>581</v>
      </c>
      <c r="Y3">
        <v>2</v>
      </c>
      <c r="Z3" t="s">
        <v>525</v>
      </c>
      <c r="AB3">
        <v>0</v>
      </c>
      <c r="AC3" s="3">
        <v>0</v>
      </c>
      <c r="AD3" t="s">
        <v>582</v>
      </c>
      <c r="AF3" t="s">
        <v>584</v>
      </c>
      <c r="AG3" t="s">
        <v>585</v>
      </c>
      <c r="AH3">
        <v>1</v>
      </c>
      <c r="AI3" t="s">
        <v>169</v>
      </c>
      <c r="AK3">
        <v>0</v>
      </c>
      <c r="AL3">
        <v>0</v>
      </c>
      <c r="AM3" t="s">
        <v>586</v>
      </c>
    </row>
    <row r="4" spans="1:39" x14ac:dyDescent="0.25">
      <c r="A4" t="s">
        <v>534</v>
      </c>
      <c r="B4" t="s">
        <v>535</v>
      </c>
      <c r="C4" t="s">
        <v>536</v>
      </c>
      <c r="E4" s="2" t="s">
        <v>87</v>
      </c>
      <c r="F4" t="s">
        <v>552</v>
      </c>
      <c r="G4">
        <v>0</v>
      </c>
      <c r="H4" t="s">
        <v>15</v>
      </c>
      <c r="J4" s="3">
        <v>0</v>
      </c>
      <c r="K4">
        <v>0</v>
      </c>
      <c r="L4" t="s">
        <v>561</v>
      </c>
      <c r="N4" t="s">
        <v>87</v>
      </c>
      <c r="O4" t="s">
        <v>552</v>
      </c>
      <c r="P4">
        <v>0</v>
      </c>
      <c r="Q4" t="s">
        <v>15</v>
      </c>
      <c r="R4">
        <v>0</v>
      </c>
      <c r="S4">
        <v>0</v>
      </c>
      <c r="T4">
        <v>0</v>
      </c>
      <c r="U4" t="s">
        <v>575</v>
      </c>
      <c r="AC4" s="3"/>
    </row>
    <row r="5" spans="1:39" x14ac:dyDescent="0.25">
      <c r="A5" t="s">
        <v>537</v>
      </c>
      <c r="B5" t="s">
        <v>538</v>
      </c>
      <c r="C5" t="s">
        <v>539</v>
      </c>
      <c r="E5" s="2" t="s">
        <v>91</v>
      </c>
      <c r="F5" t="s">
        <v>553</v>
      </c>
      <c r="G5">
        <v>0</v>
      </c>
      <c r="H5" t="s">
        <v>93</v>
      </c>
      <c r="J5" s="3">
        <v>0</v>
      </c>
      <c r="K5">
        <v>0</v>
      </c>
      <c r="L5" t="s">
        <v>562</v>
      </c>
      <c r="N5" t="s">
        <v>91</v>
      </c>
      <c r="O5" t="s">
        <v>553</v>
      </c>
      <c r="P5">
        <v>0</v>
      </c>
      <c r="Q5" t="s">
        <v>93</v>
      </c>
      <c r="R5">
        <v>0</v>
      </c>
      <c r="S5">
        <v>0</v>
      </c>
      <c r="T5">
        <v>0</v>
      </c>
      <c r="U5" t="s">
        <v>575</v>
      </c>
    </row>
    <row r="6" spans="1:39" x14ac:dyDescent="0.25">
      <c r="A6" t="s">
        <v>540</v>
      </c>
      <c r="B6" t="s">
        <v>541</v>
      </c>
      <c r="C6" t="s">
        <v>542</v>
      </c>
      <c r="E6" s="2" t="s">
        <v>563</v>
      </c>
      <c r="F6" t="s">
        <v>554</v>
      </c>
      <c r="G6">
        <v>1</v>
      </c>
      <c r="H6" t="s">
        <v>15</v>
      </c>
      <c r="J6" s="3">
        <v>0</v>
      </c>
      <c r="K6">
        <v>0</v>
      </c>
      <c r="L6" t="s">
        <v>564</v>
      </c>
      <c r="N6" t="s">
        <v>563</v>
      </c>
      <c r="O6" t="s">
        <v>554</v>
      </c>
      <c r="P6">
        <v>1</v>
      </c>
      <c r="Q6" t="s">
        <v>15</v>
      </c>
      <c r="R6">
        <v>0</v>
      </c>
      <c r="S6">
        <v>0</v>
      </c>
      <c r="T6">
        <v>0</v>
      </c>
      <c r="U6" t="s">
        <v>576</v>
      </c>
    </row>
    <row r="7" spans="1:39" x14ac:dyDescent="0.25">
      <c r="A7" t="s">
        <v>543</v>
      </c>
      <c r="B7" t="s">
        <v>544</v>
      </c>
      <c r="C7" t="s">
        <v>545</v>
      </c>
      <c r="E7" s="2" t="s">
        <v>565</v>
      </c>
      <c r="F7" t="s">
        <v>555</v>
      </c>
      <c r="G7">
        <v>7.0000000000000007E-2</v>
      </c>
      <c r="H7" t="s">
        <v>23</v>
      </c>
      <c r="J7" s="3">
        <v>0</v>
      </c>
      <c r="K7">
        <v>0</v>
      </c>
      <c r="L7" t="s">
        <v>566</v>
      </c>
      <c r="N7" t="s">
        <v>565</v>
      </c>
      <c r="O7" t="s">
        <v>555</v>
      </c>
      <c r="P7">
        <v>7.0000000000000007E-2</v>
      </c>
      <c r="Q7" t="s">
        <v>23</v>
      </c>
      <c r="R7">
        <v>0</v>
      </c>
      <c r="S7">
        <v>0</v>
      </c>
      <c r="T7">
        <v>0</v>
      </c>
      <c r="U7" t="s">
        <v>577</v>
      </c>
    </row>
    <row r="8" spans="1:39" x14ac:dyDescent="0.25">
      <c r="A8" t="s">
        <v>546</v>
      </c>
      <c r="B8" t="s">
        <v>547</v>
      </c>
      <c r="C8" t="s">
        <v>548</v>
      </c>
      <c r="E8" s="2" t="s">
        <v>567</v>
      </c>
      <c r="F8" t="s">
        <v>556</v>
      </c>
      <c r="G8">
        <v>2</v>
      </c>
      <c r="H8" t="s">
        <v>15</v>
      </c>
      <c r="J8" s="3">
        <v>0</v>
      </c>
      <c r="K8">
        <v>0</v>
      </c>
      <c r="L8" t="s">
        <v>564</v>
      </c>
      <c r="N8" t="s">
        <v>567</v>
      </c>
      <c r="O8" t="s">
        <v>556</v>
      </c>
      <c r="P8">
        <v>2</v>
      </c>
      <c r="Q8" t="s">
        <v>15</v>
      </c>
      <c r="R8">
        <v>0</v>
      </c>
      <c r="S8">
        <v>0</v>
      </c>
      <c r="T8">
        <v>0</v>
      </c>
      <c r="U8" t="s">
        <v>576</v>
      </c>
    </row>
    <row r="9" spans="1:39" x14ac:dyDescent="0.25">
      <c r="B9" s="3"/>
      <c r="E9" s="2" t="s">
        <v>568</v>
      </c>
      <c r="F9" t="s">
        <v>557</v>
      </c>
      <c r="G9">
        <v>0.11700000000000001</v>
      </c>
      <c r="H9" t="s">
        <v>23</v>
      </c>
      <c r="J9" s="3">
        <v>0</v>
      </c>
      <c r="K9">
        <v>0</v>
      </c>
      <c r="L9" t="s">
        <v>566</v>
      </c>
      <c r="N9" t="s">
        <v>568</v>
      </c>
      <c r="O9" t="s">
        <v>557</v>
      </c>
      <c r="P9">
        <v>0.11700000000000001</v>
      </c>
      <c r="Q9" t="s">
        <v>23</v>
      </c>
      <c r="R9">
        <v>0</v>
      </c>
      <c r="S9">
        <v>0</v>
      </c>
      <c r="T9">
        <v>0</v>
      </c>
      <c r="U9" t="s">
        <v>577</v>
      </c>
    </row>
    <row r="10" spans="1:39" x14ac:dyDescent="0.25">
      <c r="E10" s="2" t="s">
        <v>569</v>
      </c>
      <c r="F10" t="s">
        <v>558</v>
      </c>
      <c r="G10">
        <v>3</v>
      </c>
      <c r="H10" t="s">
        <v>15</v>
      </c>
      <c r="J10" s="3">
        <v>0</v>
      </c>
      <c r="K10">
        <v>0</v>
      </c>
      <c r="L10" t="s">
        <v>570</v>
      </c>
      <c r="N10" t="s">
        <v>569</v>
      </c>
      <c r="O10" t="s">
        <v>558</v>
      </c>
      <c r="P10">
        <v>3</v>
      </c>
      <c r="Q10" t="s">
        <v>15</v>
      </c>
      <c r="R10">
        <v>0</v>
      </c>
      <c r="S10">
        <v>0</v>
      </c>
      <c r="T10">
        <v>0</v>
      </c>
      <c r="U10" t="s">
        <v>578</v>
      </c>
    </row>
    <row r="11" spans="1:39" x14ac:dyDescent="0.25">
      <c r="E11" s="2" t="s">
        <v>571</v>
      </c>
      <c r="F11" t="s">
        <v>559</v>
      </c>
      <c r="G11">
        <v>0.23400000000000001</v>
      </c>
      <c r="H11" t="s">
        <v>23</v>
      </c>
      <c r="J11" s="3">
        <v>0</v>
      </c>
      <c r="K11">
        <v>0</v>
      </c>
      <c r="L11" t="s">
        <v>572</v>
      </c>
      <c r="N11" t="s">
        <v>571</v>
      </c>
      <c r="O11" t="s">
        <v>559</v>
      </c>
      <c r="P11">
        <v>0.23400000000000001</v>
      </c>
      <c r="Q11" t="s">
        <v>23</v>
      </c>
      <c r="R11">
        <v>0</v>
      </c>
      <c r="S11">
        <v>0</v>
      </c>
      <c r="T11">
        <v>0</v>
      </c>
      <c r="U11" t="s">
        <v>577</v>
      </c>
    </row>
    <row r="12" spans="1:39" x14ac:dyDescent="0.25">
      <c r="B12" s="3"/>
      <c r="J12" s="3"/>
    </row>
    <row r="13" spans="1:39" x14ac:dyDescent="0.25">
      <c r="J13" s="3"/>
    </row>
    <row r="14" spans="1:39" x14ac:dyDescent="0.25">
      <c r="J14" s="3"/>
    </row>
    <row r="15" spans="1:39" x14ac:dyDescent="0.25">
      <c r="J15" s="3"/>
    </row>
    <row r="16" spans="1:39" x14ac:dyDescent="0.25">
      <c r="J16" s="3"/>
    </row>
    <row r="17" spans="2:20" x14ac:dyDescent="0.25">
      <c r="J17" s="3"/>
    </row>
    <row r="18" spans="2:20" x14ac:dyDescent="0.25">
      <c r="B18" s="3"/>
      <c r="J18" s="3"/>
    </row>
    <row r="19" spans="2:20" x14ac:dyDescent="0.25">
      <c r="J19" s="3"/>
      <c r="T19" s="3"/>
    </row>
    <row r="20" spans="2:20" x14ac:dyDescent="0.25">
      <c r="J20" s="3"/>
      <c r="T20" s="3"/>
    </row>
    <row r="21" spans="2:20" x14ac:dyDescent="0.25">
      <c r="J21" s="3"/>
    </row>
    <row r="22" spans="2:20" x14ac:dyDescent="0.25">
      <c r="J22" s="3"/>
    </row>
    <row r="23" spans="2:20" x14ac:dyDescent="0.25">
      <c r="J23" s="3"/>
    </row>
    <row r="24" spans="2:20" x14ac:dyDescent="0.25">
      <c r="J24" s="3"/>
    </row>
    <row r="25" spans="2:20" x14ac:dyDescent="0.25">
      <c r="J25" s="3"/>
    </row>
    <row r="26" spans="2:20" x14ac:dyDescent="0.25">
      <c r="J26" s="3"/>
    </row>
    <row r="27" spans="2:20" x14ac:dyDescent="0.25">
      <c r="J27" s="3"/>
    </row>
    <row r="28" spans="2:20" x14ac:dyDescent="0.25">
      <c r="J28" s="3"/>
    </row>
    <row r="29" spans="2:20" x14ac:dyDescent="0.25">
      <c r="J2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7B8B-E2AC-4EA1-9648-C9EB4713219B}">
  <dimension ref="A1:AM29"/>
  <sheetViews>
    <sheetView topLeftCell="U1" zoomScale="75" zoomScaleNormal="75" workbookViewId="0">
      <pane ySplit="49" topLeftCell="A50" activePane="bottomLeft" state="frozen"/>
      <selection pane="bottomLeft" activeCell="U47" sqref="U47"/>
    </sheetView>
  </sheetViews>
  <sheetFormatPr defaultRowHeight="15" x14ac:dyDescent="0.25"/>
  <cols>
    <col min="1" max="1" width="27.85546875" bestFit="1" customWidth="1"/>
    <col min="2" max="2" width="64.28515625" bestFit="1" customWidth="1"/>
    <col min="3" max="3" width="68.140625" bestFit="1" customWidth="1"/>
    <col min="4" max="4" width="1.7109375" style="1" customWidth="1"/>
    <col min="5" max="5" width="28.140625" style="2" bestFit="1" customWidth="1"/>
    <col min="6" max="6" width="52" bestFit="1" customWidth="1"/>
    <col min="7" max="7" width="8.140625" bestFit="1" customWidth="1"/>
    <col min="8" max="8" width="5.7109375" bestFit="1" customWidth="1"/>
    <col min="9" max="9" width="14.85546875" bestFit="1" customWidth="1"/>
    <col min="10" max="10" width="15.5703125" bestFit="1" customWidth="1"/>
    <col min="11" max="11" width="10.28515625" bestFit="1" customWidth="1"/>
    <col min="12" max="12" width="45.42578125" bestFit="1" customWidth="1"/>
    <col min="13" max="13" width="1.7109375" style="1" customWidth="1"/>
    <col min="14" max="14" width="40.42578125" bestFit="1" customWidth="1"/>
    <col min="15" max="15" width="52" bestFit="1" customWidth="1"/>
    <col min="16" max="16" width="8.140625" bestFit="1" customWidth="1"/>
    <col min="17" max="17" width="5.7109375" bestFit="1" customWidth="1"/>
    <col min="18" max="18" width="14.85546875" bestFit="1" customWidth="1"/>
    <col min="19" max="19" width="15.5703125" bestFit="1" customWidth="1"/>
    <col min="20" max="20" width="10.28515625" bestFit="1" customWidth="1"/>
    <col min="21" max="21" width="39" bestFit="1" customWidth="1"/>
    <col min="22" max="22" width="1.7109375" style="1" customWidth="1"/>
    <col min="23" max="23" width="24.140625" bestFit="1" customWidth="1"/>
    <col min="24" max="24" width="52" bestFit="1" customWidth="1"/>
    <col min="25" max="25" width="4.28515625" bestFit="1" customWidth="1"/>
    <col min="26" max="26" width="9.140625" bestFit="1" customWidth="1"/>
    <col min="27" max="27" width="14.85546875" bestFit="1" customWidth="1"/>
    <col min="28" max="28" width="15.5703125" bestFit="1" customWidth="1"/>
    <col min="29" max="29" width="10.28515625" bestFit="1" customWidth="1"/>
    <col min="30" max="30" width="32.85546875" bestFit="1" customWidth="1"/>
    <col min="31" max="31" width="1.7109375" style="1" customWidth="1"/>
    <col min="32" max="32" width="28.5703125" bestFit="1" customWidth="1"/>
    <col min="33" max="33" width="52" bestFit="1" customWidth="1"/>
    <col min="34" max="34" width="4.28515625" bestFit="1" customWidth="1"/>
    <col min="35" max="35" width="5.7109375" customWidth="1"/>
    <col min="36" max="36" width="14.85546875" bestFit="1" customWidth="1"/>
    <col min="37" max="37" width="15.5703125" bestFit="1" customWidth="1"/>
    <col min="38" max="38" width="10.28515625" bestFit="1" customWidth="1"/>
    <col min="39" max="39" width="16" bestFit="1" customWidth="1"/>
    <col min="40" max="41" width="5.7109375" customWidth="1"/>
  </cols>
  <sheetData>
    <row r="1" spans="1:39" x14ac:dyDescent="0.25">
      <c r="A1" t="s">
        <v>587</v>
      </c>
      <c r="E1" s="2" t="s">
        <v>620</v>
      </c>
      <c r="N1" t="s">
        <v>636</v>
      </c>
      <c r="W1" t="s">
        <v>642</v>
      </c>
      <c r="AF1" t="s">
        <v>649</v>
      </c>
    </row>
    <row r="2" spans="1:39" s="4" customFormat="1" x14ac:dyDescent="0.25">
      <c r="A2" s="4" t="s">
        <v>2</v>
      </c>
      <c r="B2" s="4" t="s">
        <v>214</v>
      </c>
      <c r="C2" s="4" t="s">
        <v>218</v>
      </c>
      <c r="E2" s="4" t="s">
        <v>2</v>
      </c>
      <c r="F2" s="4" t="s">
        <v>427</v>
      </c>
      <c r="G2" s="4" t="s">
        <v>167</v>
      </c>
      <c r="H2" s="4" t="s">
        <v>3</v>
      </c>
      <c r="I2" s="4" t="s">
        <v>215</v>
      </c>
      <c r="J2" s="4" t="s">
        <v>216</v>
      </c>
      <c r="K2" s="4" t="s">
        <v>217</v>
      </c>
      <c r="L2" s="4" t="s">
        <v>218</v>
      </c>
      <c r="N2" s="4" t="s">
        <v>2</v>
      </c>
      <c r="O2" s="4" t="s">
        <v>427</v>
      </c>
      <c r="P2" s="4" t="s">
        <v>167</v>
      </c>
      <c r="Q2" s="4" t="s">
        <v>3</v>
      </c>
      <c r="R2" s="4" t="s">
        <v>215</v>
      </c>
      <c r="S2" s="4" t="s">
        <v>216</v>
      </c>
      <c r="T2" s="4" t="s">
        <v>217</v>
      </c>
      <c r="U2" s="4" t="s">
        <v>218</v>
      </c>
      <c r="W2" s="4" t="s">
        <v>2</v>
      </c>
      <c r="X2" s="4" t="s">
        <v>427</v>
      </c>
      <c r="Y2" s="4" t="s">
        <v>167</v>
      </c>
      <c r="Z2" s="4" t="s">
        <v>3</v>
      </c>
      <c r="AA2" s="4" t="s">
        <v>215</v>
      </c>
      <c r="AB2" s="4" t="s">
        <v>216</v>
      </c>
      <c r="AC2" s="4" t="s">
        <v>217</v>
      </c>
      <c r="AD2" s="4" t="s">
        <v>218</v>
      </c>
      <c r="AF2" s="4" t="s">
        <v>2</v>
      </c>
      <c r="AG2" s="4" t="s">
        <v>427</v>
      </c>
      <c r="AH2" s="4" t="s">
        <v>167</v>
      </c>
      <c r="AI2" s="4" t="s">
        <v>3</v>
      </c>
      <c r="AJ2" s="4" t="s">
        <v>215</v>
      </c>
      <c r="AK2" s="4" t="s">
        <v>216</v>
      </c>
      <c r="AL2" s="4" t="s">
        <v>217</v>
      </c>
      <c r="AM2" s="4" t="s">
        <v>218</v>
      </c>
    </row>
    <row r="3" spans="1:39" x14ac:dyDescent="0.25">
      <c r="A3" t="s">
        <v>0</v>
      </c>
      <c r="B3" t="s">
        <v>588</v>
      </c>
      <c r="C3" t="s">
        <v>589</v>
      </c>
      <c r="E3" s="2" t="s">
        <v>621</v>
      </c>
      <c r="F3" t="s">
        <v>622</v>
      </c>
      <c r="G3">
        <v>379.82900000000001</v>
      </c>
      <c r="H3" t="s">
        <v>113</v>
      </c>
      <c r="J3" s="3">
        <v>0</v>
      </c>
      <c r="K3">
        <v>0</v>
      </c>
      <c r="L3" t="s">
        <v>623</v>
      </c>
      <c r="N3" t="s">
        <v>637</v>
      </c>
      <c r="O3" t="s">
        <v>622</v>
      </c>
      <c r="P3">
        <v>417.81200000000001</v>
      </c>
      <c r="Q3" t="s">
        <v>113</v>
      </c>
      <c r="R3">
        <v>0</v>
      </c>
      <c r="S3">
        <v>0</v>
      </c>
      <c r="T3">
        <v>0</v>
      </c>
      <c r="U3" t="s">
        <v>638</v>
      </c>
      <c r="W3" t="s">
        <v>643</v>
      </c>
      <c r="X3" t="s">
        <v>644</v>
      </c>
      <c r="Y3">
        <v>3</v>
      </c>
      <c r="Z3" t="s">
        <v>169</v>
      </c>
      <c r="AB3">
        <v>0</v>
      </c>
      <c r="AC3" s="3">
        <v>0</v>
      </c>
      <c r="AD3" t="s">
        <v>645</v>
      </c>
      <c r="AF3" t="s">
        <v>650</v>
      </c>
      <c r="AG3" t="s">
        <v>650</v>
      </c>
      <c r="AH3">
        <v>0</v>
      </c>
      <c r="AI3" t="s">
        <v>169</v>
      </c>
      <c r="AK3">
        <v>0</v>
      </c>
      <c r="AL3">
        <v>0</v>
      </c>
      <c r="AM3" t="s">
        <v>651</v>
      </c>
    </row>
    <row r="4" spans="1:39" x14ac:dyDescent="0.25">
      <c r="A4" t="s">
        <v>590</v>
      </c>
      <c r="B4" t="s">
        <v>591</v>
      </c>
      <c r="C4" t="s">
        <v>592</v>
      </c>
      <c r="E4" s="2" t="s">
        <v>624</v>
      </c>
      <c r="F4" t="s">
        <v>622</v>
      </c>
      <c r="G4">
        <v>417.81200000000001</v>
      </c>
      <c r="H4" t="s">
        <v>113</v>
      </c>
      <c r="J4" s="3">
        <v>0.1</v>
      </c>
      <c r="K4">
        <v>0</v>
      </c>
      <c r="L4" t="s">
        <v>625</v>
      </c>
      <c r="N4" t="s">
        <v>626</v>
      </c>
      <c r="O4" t="s">
        <v>626</v>
      </c>
      <c r="P4">
        <v>10.86</v>
      </c>
      <c r="Q4" t="s">
        <v>110</v>
      </c>
      <c r="R4">
        <v>0</v>
      </c>
      <c r="S4">
        <v>0</v>
      </c>
      <c r="T4">
        <v>0</v>
      </c>
      <c r="U4" t="s">
        <v>639</v>
      </c>
      <c r="W4" t="s">
        <v>646</v>
      </c>
      <c r="X4" t="s">
        <v>647</v>
      </c>
      <c r="Y4">
        <v>0</v>
      </c>
      <c r="Z4" t="s">
        <v>169</v>
      </c>
      <c r="AB4">
        <v>0</v>
      </c>
      <c r="AC4" s="3">
        <v>0</v>
      </c>
      <c r="AD4" t="s">
        <v>648</v>
      </c>
      <c r="AF4" t="s">
        <v>652</v>
      </c>
      <c r="AG4" t="s">
        <v>653</v>
      </c>
      <c r="AH4">
        <v>1</v>
      </c>
      <c r="AI4" t="s">
        <v>11</v>
      </c>
      <c r="AK4">
        <v>0</v>
      </c>
      <c r="AL4">
        <v>0</v>
      </c>
      <c r="AM4" t="s">
        <v>654</v>
      </c>
    </row>
    <row r="5" spans="1:39" x14ac:dyDescent="0.25">
      <c r="A5" t="s">
        <v>593</v>
      </c>
      <c r="B5" t="s">
        <v>594</v>
      </c>
      <c r="C5" t="s">
        <v>595</v>
      </c>
      <c r="E5" s="2" t="s">
        <v>626</v>
      </c>
      <c r="F5" t="s">
        <v>626</v>
      </c>
      <c r="G5">
        <v>10.86</v>
      </c>
      <c r="H5" t="s">
        <v>110</v>
      </c>
      <c r="J5" s="3">
        <v>0</v>
      </c>
      <c r="K5">
        <v>0</v>
      </c>
      <c r="L5" t="s">
        <v>627</v>
      </c>
      <c r="N5" t="s">
        <v>628</v>
      </c>
      <c r="O5" t="s">
        <v>629</v>
      </c>
      <c r="P5">
        <v>0</v>
      </c>
      <c r="Q5" t="s">
        <v>11</v>
      </c>
      <c r="R5">
        <v>0</v>
      </c>
      <c r="S5">
        <v>0</v>
      </c>
      <c r="T5">
        <v>0</v>
      </c>
      <c r="U5" t="s">
        <v>640</v>
      </c>
      <c r="AF5" t="s">
        <v>655</v>
      </c>
      <c r="AG5" t="s">
        <v>656</v>
      </c>
      <c r="AH5">
        <v>1</v>
      </c>
      <c r="AI5" t="s">
        <v>11</v>
      </c>
      <c r="AK5">
        <v>0</v>
      </c>
      <c r="AL5">
        <v>0</v>
      </c>
      <c r="AM5" t="s">
        <v>657</v>
      </c>
    </row>
    <row r="6" spans="1:39" x14ac:dyDescent="0.25">
      <c r="A6" t="s">
        <v>596</v>
      </c>
      <c r="B6" t="s">
        <v>597</v>
      </c>
      <c r="C6" t="s">
        <v>598</v>
      </c>
      <c r="E6" s="2" t="s">
        <v>628</v>
      </c>
      <c r="F6" t="s">
        <v>629</v>
      </c>
      <c r="G6">
        <v>0</v>
      </c>
      <c r="H6" t="s">
        <v>11</v>
      </c>
      <c r="J6" s="3">
        <v>0.1</v>
      </c>
      <c r="K6">
        <v>0</v>
      </c>
      <c r="L6" t="s">
        <v>630</v>
      </c>
      <c r="N6" t="s">
        <v>631</v>
      </c>
      <c r="O6" t="s">
        <v>632</v>
      </c>
      <c r="P6">
        <v>0</v>
      </c>
      <c r="Q6" t="s">
        <v>11</v>
      </c>
      <c r="R6">
        <v>0</v>
      </c>
      <c r="S6">
        <v>0</v>
      </c>
      <c r="T6">
        <v>0</v>
      </c>
      <c r="U6" t="s">
        <v>641</v>
      </c>
    </row>
    <row r="7" spans="1:39" x14ac:dyDescent="0.25">
      <c r="A7" t="s">
        <v>599</v>
      </c>
      <c r="B7" t="s">
        <v>600</v>
      </c>
      <c r="C7" t="s">
        <v>601</v>
      </c>
      <c r="E7" s="2" t="s">
        <v>631</v>
      </c>
      <c r="F7" t="s">
        <v>632</v>
      </c>
      <c r="G7">
        <v>0</v>
      </c>
      <c r="H7" t="s">
        <v>11</v>
      </c>
      <c r="J7" s="3">
        <v>0.1</v>
      </c>
      <c r="K7">
        <v>0</v>
      </c>
      <c r="L7" t="s">
        <v>630</v>
      </c>
    </row>
    <row r="8" spans="1:39" x14ac:dyDescent="0.25">
      <c r="A8" t="s">
        <v>602</v>
      </c>
      <c r="B8" t="s">
        <v>603</v>
      </c>
      <c r="C8" t="s">
        <v>111</v>
      </c>
      <c r="E8" s="2" t="s">
        <v>633</v>
      </c>
      <c r="F8" t="s">
        <v>634</v>
      </c>
      <c r="G8">
        <v>0</v>
      </c>
      <c r="H8" t="s">
        <v>107</v>
      </c>
      <c r="J8" s="3">
        <v>0</v>
      </c>
      <c r="K8">
        <v>0</v>
      </c>
      <c r="L8" t="s">
        <v>635</v>
      </c>
    </row>
    <row r="9" spans="1:39" x14ac:dyDescent="0.25">
      <c r="A9" t="s">
        <v>604</v>
      </c>
      <c r="B9" s="3" t="s">
        <v>605</v>
      </c>
      <c r="C9" t="s">
        <v>114</v>
      </c>
      <c r="J9" s="3"/>
    </row>
    <row r="10" spans="1:39" x14ac:dyDescent="0.25">
      <c r="A10" t="s">
        <v>187</v>
      </c>
      <c r="B10" s="3">
        <v>0.1</v>
      </c>
      <c r="C10" t="s">
        <v>606</v>
      </c>
      <c r="J10" s="3"/>
    </row>
    <row r="11" spans="1:39" x14ac:dyDescent="0.25">
      <c r="A11" t="s">
        <v>607</v>
      </c>
      <c r="B11" t="s">
        <v>608</v>
      </c>
      <c r="C11" t="s">
        <v>609</v>
      </c>
      <c r="J11" s="3"/>
    </row>
    <row r="12" spans="1:39" x14ac:dyDescent="0.25">
      <c r="A12" t="s">
        <v>610</v>
      </c>
      <c r="B12" s="3" t="s">
        <v>611</v>
      </c>
      <c r="C12" t="s">
        <v>612</v>
      </c>
      <c r="J12" s="3"/>
    </row>
    <row r="13" spans="1:39" x14ac:dyDescent="0.25">
      <c r="A13" t="s">
        <v>613</v>
      </c>
      <c r="B13" t="s">
        <v>614</v>
      </c>
      <c r="C13" t="s">
        <v>615</v>
      </c>
      <c r="J13" s="3"/>
    </row>
    <row r="14" spans="1:39" x14ac:dyDescent="0.25">
      <c r="A14" t="s">
        <v>616</v>
      </c>
      <c r="B14" t="s">
        <v>89</v>
      </c>
      <c r="C14" t="s">
        <v>617</v>
      </c>
      <c r="J14" s="3"/>
    </row>
    <row r="15" spans="1:39" x14ac:dyDescent="0.25">
      <c r="A15" t="s">
        <v>618</v>
      </c>
      <c r="B15" t="s">
        <v>89</v>
      </c>
      <c r="C15" t="s">
        <v>619</v>
      </c>
      <c r="J15" s="3"/>
    </row>
    <row r="16" spans="1:39" x14ac:dyDescent="0.25">
      <c r="J16" s="3"/>
    </row>
    <row r="17" spans="2:20" x14ac:dyDescent="0.25">
      <c r="J17" s="3"/>
    </row>
    <row r="18" spans="2:20" x14ac:dyDescent="0.25">
      <c r="B18" s="3"/>
      <c r="J18" s="3"/>
    </row>
    <row r="19" spans="2:20" x14ac:dyDescent="0.25">
      <c r="J19" s="3"/>
      <c r="T19" s="3"/>
    </row>
    <row r="20" spans="2:20" x14ac:dyDescent="0.25">
      <c r="J20" s="3"/>
      <c r="T20" s="3"/>
    </row>
    <row r="21" spans="2:20" x14ac:dyDescent="0.25">
      <c r="J21" s="3"/>
    </row>
    <row r="22" spans="2:20" x14ac:dyDescent="0.25">
      <c r="J22" s="3"/>
    </row>
    <row r="23" spans="2:20" x14ac:dyDescent="0.25">
      <c r="J23" s="3"/>
    </row>
    <row r="24" spans="2:20" x14ac:dyDescent="0.25">
      <c r="J24" s="3"/>
    </row>
    <row r="25" spans="2:20" x14ac:dyDescent="0.25">
      <c r="J25" s="3"/>
    </row>
    <row r="26" spans="2:20" x14ac:dyDescent="0.25">
      <c r="J26" s="3"/>
    </row>
    <row r="27" spans="2:20" x14ac:dyDescent="0.25">
      <c r="J27" s="3"/>
    </row>
    <row r="28" spans="2:20" x14ac:dyDescent="0.25">
      <c r="J28" s="3"/>
    </row>
    <row r="29" spans="2:20" x14ac:dyDescent="0.25">
      <c r="J2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D813-3D5A-4364-99B3-5B37CC3606B7}">
  <dimension ref="A1:H16"/>
  <sheetViews>
    <sheetView workbookViewId="0">
      <selection activeCell="G31" sqref="G31"/>
    </sheetView>
  </sheetViews>
  <sheetFormatPr defaultRowHeight="15" x14ac:dyDescent="0.25"/>
  <cols>
    <col min="1" max="1" width="7.7109375" bestFit="1" customWidth="1"/>
    <col min="2" max="2" width="30.85546875" bestFit="1" customWidth="1"/>
    <col min="3" max="3" width="20.42578125" bestFit="1" customWidth="1"/>
    <col min="4" max="4" width="6" bestFit="1" customWidth="1"/>
    <col min="5" max="5" width="8.7109375" bestFit="1" customWidth="1"/>
    <col min="6" max="6" width="8.140625" bestFit="1" customWidth="1"/>
    <col min="7" max="7" width="8.85546875" bestFit="1" customWidth="1"/>
    <col min="8" max="8" width="4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24</v>
      </c>
      <c r="B2" t="s">
        <v>25</v>
      </c>
      <c r="C2" t="s">
        <v>26</v>
      </c>
      <c r="D2" t="s">
        <v>13</v>
      </c>
      <c r="E2">
        <v>412.89699999999999</v>
      </c>
      <c r="F2">
        <v>10</v>
      </c>
      <c r="G2">
        <v>455</v>
      </c>
      <c r="H2" t="s">
        <v>27</v>
      </c>
    </row>
    <row r="3" spans="1:8" x14ac:dyDescent="0.25">
      <c r="A3" t="s">
        <v>24</v>
      </c>
      <c r="B3" t="s">
        <v>28</v>
      </c>
      <c r="C3" t="s">
        <v>14</v>
      </c>
      <c r="D3" t="s">
        <v>15</v>
      </c>
      <c r="E3">
        <v>20.437999999999999</v>
      </c>
      <c r="F3">
        <v>10</v>
      </c>
      <c r="G3">
        <v>21</v>
      </c>
      <c r="H3" t="s">
        <v>29</v>
      </c>
    </row>
    <row r="4" spans="1:8" x14ac:dyDescent="0.25">
      <c r="A4" t="s">
        <v>24</v>
      </c>
      <c r="B4" t="s">
        <v>30</v>
      </c>
      <c r="C4" t="s">
        <v>17</v>
      </c>
      <c r="D4" t="s">
        <v>15</v>
      </c>
      <c r="E4">
        <v>3.1379999999999999</v>
      </c>
      <c r="F4">
        <v>10</v>
      </c>
      <c r="G4">
        <v>4</v>
      </c>
      <c r="H4" t="s">
        <v>31</v>
      </c>
    </row>
    <row r="5" spans="1:8" x14ac:dyDescent="0.25">
      <c r="A5" t="s">
        <v>24</v>
      </c>
      <c r="B5" t="s">
        <v>32</v>
      </c>
      <c r="C5" t="s">
        <v>19</v>
      </c>
      <c r="D5" t="s">
        <v>20</v>
      </c>
      <c r="E5">
        <v>5.9109999999999996</v>
      </c>
      <c r="F5">
        <v>5</v>
      </c>
      <c r="G5">
        <v>6</v>
      </c>
      <c r="H5" t="s">
        <v>33</v>
      </c>
    </row>
    <row r="6" spans="1:8" x14ac:dyDescent="0.25">
      <c r="A6" t="s">
        <v>24</v>
      </c>
      <c r="B6" t="s">
        <v>34</v>
      </c>
      <c r="C6" t="s">
        <v>35</v>
      </c>
      <c r="D6" t="s">
        <v>23</v>
      </c>
      <c r="E6">
        <v>18.709</v>
      </c>
      <c r="F6">
        <v>0</v>
      </c>
      <c r="G6">
        <v>18.709</v>
      </c>
      <c r="H6" t="s">
        <v>36</v>
      </c>
    </row>
    <row r="7" spans="1:8" x14ac:dyDescent="0.25">
      <c r="A7" t="s">
        <v>24</v>
      </c>
      <c r="B7" t="s">
        <v>37</v>
      </c>
      <c r="C7" t="s">
        <v>38</v>
      </c>
      <c r="D7" t="s">
        <v>23</v>
      </c>
      <c r="E7">
        <v>7.484</v>
      </c>
      <c r="F7">
        <v>10</v>
      </c>
      <c r="G7">
        <v>8.2319999999999993</v>
      </c>
      <c r="H7" t="s">
        <v>39</v>
      </c>
    </row>
    <row r="8" spans="1:8" x14ac:dyDescent="0.25">
      <c r="A8" t="s">
        <v>24</v>
      </c>
      <c r="B8" t="s">
        <v>40</v>
      </c>
      <c r="C8" t="s">
        <v>41</v>
      </c>
      <c r="D8" t="s">
        <v>23</v>
      </c>
      <c r="E8">
        <v>11.225</v>
      </c>
      <c r="F8">
        <v>10</v>
      </c>
      <c r="G8">
        <v>12.348000000000001</v>
      </c>
      <c r="H8" t="s">
        <v>42</v>
      </c>
    </row>
    <row r="9" spans="1:8" x14ac:dyDescent="0.25">
      <c r="A9" t="s">
        <v>24</v>
      </c>
      <c r="B9" t="s">
        <v>43</v>
      </c>
      <c r="C9" t="s">
        <v>44</v>
      </c>
      <c r="D9" t="s">
        <v>45</v>
      </c>
      <c r="E9">
        <v>2.6309999999999998</v>
      </c>
      <c r="F9">
        <v>0</v>
      </c>
      <c r="G9">
        <v>2.6309999999999998</v>
      </c>
      <c r="H9" t="s">
        <v>46</v>
      </c>
    </row>
    <row r="10" spans="1:8" x14ac:dyDescent="0.25">
      <c r="A10" t="s">
        <v>24</v>
      </c>
      <c r="B10" t="s">
        <v>47</v>
      </c>
      <c r="C10" t="s">
        <v>48</v>
      </c>
      <c r="D10" t="s">
        <v>13</v>
      </c>
      <c r="E10">
        <v>14.616</v>
      </c>
      <c r="F10">
        <v>10</v>
      </c>
      <c r="G10">
        <v>17</v>
      </c>
      <c r="H10" t="s">
        <v>49</v>
      </c>
    </row>
    <row r="11" spans="1:8" x14ac:dyDescent="0.25">
      <c r="A11" t="s">
        <v>24</v>
      </c>
      <c r="B11" t="s">
        <v>50</v>
      </c>
      <c r="C11" t="s">
        <v>51</v>
      </c>
      <c r="D11" t="s">
        <v>15</v>
      </c>
      <c r="E11">
        <v>0.72399999999999998</v>
      </c>
      <c r="F11">
        <v>10</v>
      </c>
      <c r="G11">
        <v>1</v>
      </c>
      <c r="H11" t="s">
        <v>52</v>
      </c>
    </row>
    <row r="12" spans="1:8" x14ac:dyDescent="0.25">
      <c r="A12" t="s">
        <v>24</v>
      </c>
      <c r="B12" t="s">
        <v>53</v>
      </c>
      <c r="C12" t="s">
        <v>54</v>
      </c>
      <c r="D12" t="s">
        <v>15</v>
      </c>
      <c r="E12">
        <v>0.111</v>
      </c>
      <c r="F12">
        <v>10</v>
      </c>
      <c r="G12">
        <v>1</v>
      </c>
      <c r="H12" t="s">
        <v>55</v>
      </c>
    </row>
    <row r="13" spans="1:8" x14ac:dyDescent="0.25">
      <c r="A13" t="s">
        <v>24</v>
      </c>
      <c r="B13" t="s">
        <v>56</v>
      </c>
      <c r="C13" t="s">
        <v>57</v>
      </c>
      <c r="D13" t="s">
        <v>45</v>
      </c>
      <c r="E13">
        <v>3.9529999999999998</v>
      </c>
      <c r="F13">
        <v>0</v>
      </c>
      <c r="G13">
        <v>3.9529999999999998</v>
      </c>
      <c r="H13" t="s">
        <v>58</v>
      </c>
    </row>
    <row r="14" spans="1:8" x14ac:dyDescent="0.25">
      <c r="A14" t="s">
        <v>24</v>
      </c>
      <c r="B14" t="s">
        <v>59</v>
      </c>
      <c r="C14" t="s">
        <v>48</v>
      </c>
      <c r="D14" t="s">
        <v>13</v>
      </c>
      <c r="E14">
        <v>21.96</v>
      </c>
      <c r="F14">
        <v>10</v>
      </c>
      <c r="G14">
        <v>25</v>
      </c>
      <c r="H14" t="s">
        <v>60</v>
      </c>
    </row>
    <row r="15" spans="1:8" x14ac:dyDescent="0.25">
      <c r="A15" t="s">
        <v>24</v>
      </c>
      <c r="B15" t="s">
        <v>61</v>
      </c>
      <c r="C15" t="s">
        <v>51</v>
      </c>
      <c r="D15" t="s">
        <v>15</v>
      </c>
      <c r="E15">
        <v>1.087</v>
      </c>
      <c r="F15">
        <v>10</v>
      </c>
      <c r="G15">
        <v>2</v>
      </c>
      <c r="H15" t="s">
        <v>62</v>
      </c>
    </row>
    <row r="16" spans="1:8" x14ac:dyDescent="0.25">
      <c r="A16" t="s">
        <v>24</v>
      </c>
      <c r="B16" t="s">
        <v>63</v>
      </c>
      <c r="C16" t="s">
        <v>54</v>
      </c>
      <c r="D16" t="s">
        <v>15</v>
      </c>
      <c r="E16">
        <v>0.16700000000000001</v>
      </c>
      <c r="F16">
        <v>10</v>
      </c>
      <c r="G16">
        <v>1</v>
      </c>
      <c r="H16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BDEB-50B7-4A9E-A72B-AA6EACE5D2F8}">
  <dimension ref="A1:H7"/>
  <sheetViews>
    <sheetView workbookViewId="0">
      <selection activeCell="B17" sqref="B17"/>
    </sheetView>
  </sheetViews>
  <sheetFormatPr defaultRowHeight="15" x14ac:dyDescent="0.25"/>
  <cols>
    <col min="1" max="1" width="7.7109375" bestFit="1" customWidth="1"/>
    <col min="2" max="2" width="30.85546875" bestFit="1" customWidth="1"/>
    <col min="3" max="3" width="20.42578125" bestFit="1" customWidth="1"/>
    <col min="4" max="4" width="6" bestFit="1" customWidth="1"/>
    <col min="5" max="5" width="8.7109375" bestFit="1" customWidth="1"/>
    <col min="6" max="6" width="8.140625" bestFit="1" customWidth="1"/>
    <col min="7" max="7" width="8.85546875" bestFit="1" customWidth="1"/>
    <col min="8" max="8" width="4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65</v>
      </c>
      <c r="B2" t="s">
        <v>66</v>
      </c>
      <c r="C2" t="s">
        <v>67</v>
      </c>
      <c r="D2" t="s">
        <v>23</v>
      </c>
      <c r="E2">
        <v>0.32400000000000001</v>
      </c>
      <c r="F2">
        <v>5</v>
      </c>
      <c r="G2">
        <v>0.34</v>
      </c>
      <c r="H2" t="s">
        <v>68</v>
      </c>
    </row>
    <row r="3" spans="1:8" x14ac:dyDescent="0.25">
      <c r="A3" t="s">
        <v>65</v>
      </c>
      <c r="B3" t="s">
        <v>69</v>
      </c>
      <c r="C3" t="s">
        <v>70</v>
      </c>
      <c r="D3" t="s">
        <v>71</v>
      </c>
      <c r="E3">
        <v>12.787000000000001</v>
      </c>
      <c r="F3">
        <v>10</v>
      </c>
      <c r="G3">
        <v>14.07</v>
      </c>
      <c r="H3" t="s">
        <v>72</v>
      </c>
    </row>
    <row r="4" spans="1:8" x14ac:dyDescent="0.25">
      <c r="A4" t="s">
        <v>65</v>
      </c>
      <c r="B4" t="s">
        <v>73</v>
      </c>
      <c r="C4" t="s">
        <v>70</v>
      </c>
      <c r="D4" t="s">
        <v>71</v>
      </c>
      <c r="E4">
        <v>6</v>
      </c>
      <c r="F4">
        <v>10</v>
      </c>
      <c r="G4">
        <v>6.6</v>
      </c>
      <c r="H4" t="s">
        <v>72</v>
      </c>
    </row>
    <row r="5" spans="1:8" x14ac:dyDescent="0.25">
      <c r="A5" t="s">
        <v>65</v>
      </c>
      <c r="B5" t="s">
        <v>74</v>
      </c>
      <c r="C5" t="s">
        <v>75</v>
      </c>
      <c r="D5" t="s">
        <v>76</v>
      </c>
      <c r="E5">
        <v>4.32</v>
      </c>
      <c r="F5">
        <v>10</v>
      </c>
      <c r="G5">
        <v>4.7519999999999998</v>
      </c>
      <c r="H5" t="s">
        <v>72</v>
      </c>
    </row>
    <row r="6" spans="1:8" x14ac:dyDescent="0.25">
      <c r="A6" t="s">
        <v>65</v>
      </c>
      <c r="B6" t="s">
        <v>77</v>
      </c>
      <c r="C6" t="s">
        <v>78</v>
      </c>
      <c r="D6" t="s">
        <v>13</v>
      </c>
      <c r="E6">
        <v>4</v>
      </c>
      <c r="F6">
        <v>0</v>
      </c>
      <c r="G6">
        <v>4</v>
      </c>
      <c r="H6" t="s">
        <v>79</v>
      </c>
    </row>
    <row r="7" spans="1:8" x14ac:dyDescent="0.25">
      <c r="A7" t="s">
        <v>65</v>
      </c>
      <c r="B7" t="s">
        <v>80</v>
      </c>
      <c r="C7" t="s">
        <v>81</v>
      </c>
      <c r="D7" t="s">
        <v>13</v>
      </c>
      <c r="E7">
        <v>16</v>
      </c>
      <c r="F7">
        <v>0</v>
      </c>
      <c r="G7">
        <v>16</v>
      </c>
      <c r="H7" t="s">
        <v>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H9" sqref="H9"/>
    </sheetView>
  </sheetViews>
  <sheetFormatPr defaultRowHeight="15" x14ac:dyDescent="0.25"/>
  <cols>
    <col min="1" max="1" width="7.7109375" bestFit="1" customWidth="1"/>
    <col min="2" max="2" width="15.85546875" bestFit="1" customWidth="1"/>
    <col min="3" max="3" width="23" bestFit="1" customWidth="1"/>
    <col min="4" max="4" width="5.42578125" bestFit="1" customWidth="1"/>
    <col min="5" max="5" width="8.7109375" bestFit="1" customWidth="1"/>
    <col min="6" max="6" width="8.140625" bestFit="1" customWidth="1"/>
    <col min="8" max="8" width="4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0</v>
      </c>
      <c r="G2">
        <v>1</v>
      </c>
      <c r="H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60D0-9A42-444A-9E68-BB66EE3A1460}">
  <dimension ref="A1:H10"/>
  <sheetViews>
    <sheetView workbookViewId="0">
      <selection activeCell="H17" sqref="H17"/>
    </sheetView>
  </sheetViews>
  <sheetFormatPr defaultRowHeight="15" x14ac:dyDescent="0.25"/>
  <cols>
    <col min="1" max="1" width="7.7109375" bestFit="1" customWidth="1"/>
    <col min="2" max="2" width="24" bestFit="1" customWidth="1"/>
    <col min="3" max="3" width="23" bestFit="1" customWidth="1"/>
    <col min="4" max="4" width="5.42578125" bestFit="1" customWidth="1"/>
    <col min="5" max="5" width="8.7109375" bestFit="1" customWidth="1"/>
    <col min="6" max="6" width="8.140625" bestFit="1" customWidth="1"/>
    <col min="8" max="8" width="37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83</v>
      </c>
      <c r="B2" t="s">
        <v>84</v>
      </c>
      <c r="C2" t="s">
        <v>85</v>
      </c>
      <c r="D2" t="s">
        <v>76</v>
      </c>
      <c r="E2">
        <v>18.378</v>
      </c>
      <c r="F2">
        <v>0</v>
      </c>
      <c r="G2">
        <v>18.378</v>
      </c>
      <c r="H2" t="s">
        <v>86</v>
      </c>
    </row>
    <row r="3" spans="1:8" x14ac:dyDescent="0.25">
      <c r="A3" t="s">
        <v>83</v>
      </c>
      <c r="B3" t="s">
        <v>87</v>
      </c>
      <c r="C3" t="s">
        <v>88</v>
      </c>
      <c r="D3" t="s">
        <v>15</v>
      </c>
      <c r="E3" t="s">
        <v>89</v>
      </c>
      <c r="F3">
        <v>10</v>
      </c>
      <c r="G3" t="s">
        <v>89</v>
      </c>
      <c r="H3" t="s">
        <v>90</v>
      </c>
    </row>
    <row r="4" spans="1:8" x14ac:dyDescent="0.25">
      <c r="A4" t="s">
        <v>83</v>
      </c>
      <c r="B4" t="s">
        <v>91</v>
      </c>
      <c r="C4" t="s">
        <v>92</v>
      </c>
      <c r="D4" t="s">
        <v>93</v>
      </c>
      <c r="E4" t="s">
        <v>89</v>
      </c>
      <c r="F4">
        <v>10</v>
      </c>
      <c r="G4" t="s">
        <v>89</v>
      </c>
      <c r="H4" t="s">
        <v>94</v>
      </c>
    </row>
    <row r="5" spans="1:8" x14ac:dyDescent="0.25">
      <c r="A5" t="s">
        <v>83</v>
      </c>
      <c r="B5" t="s">
        <v>95</v>
      </c>
      <c r="C5" t="s">
        <v>96</v>
      </c>
      <c r="D5" t="s">
        <v>15</v>
      </c>
      <c r="E5">
        <v>0.67</v>
      </c>
      <c r="F5">
        <v>10</v>
      </c>
      <c r="G5">
        <v>1</v>
      </c>
      <c r="H5" t="s">
        <v>97</v>
      </c>
    </row>
    <row r="6" spans="1:8" x14ac:dyDescent="0.25">
      <c r="A6" t="s">
        <v>83</v>
      </c>
      <c r="B6" t="s">
        <v>98</v>
      </c>
      <c r="C6" t="s">
        <v>99</v>
      </c>
      <c r="D6" t="s">
        <v>23</v>
      </c>
      <c r="E6">
        <v>6.9900000000000004E-2</v>
      </c>
      <c r="F6">
        <v>10</v>
      </c>
      <c r="G6">
        <v>7.0000000000000007E-2</v>
      </c>
      <c r="H6" t="s">
        <v>97</v>
      </c>
    </row>
    <row r="7" spans="1:8" x14ac:dyDescent="0.25">
      <c r="A7" t="s">
        <v>83</v>
      </c>
      <c r="B7" t="s">
        <v>100</v>
      </c>
      <c r="C7" t="s">
        <v>96</v>
      </c>
      <c r="D7" t="s">
        <v>15</v>
      </c>
      <c r="E7">
        <v>1.1200000000000001</v>
      </c>
      <c r="F7">
        <v>10</v>
      </c>
      <c r="G7">
        <v>2</v>
      </c>
      <c r="H7" t="s">
        <v>97</v>
      </c>
    </row>
    <row r="8" spans="1:8" x14ac:dyDescent="0.25">
      <c r="A8" t="s">
        <v>83</v>
      </c>
      <c r="B8" t="s">
        <v>101</v>
      </c>
      <c r="C8" t="s">
        <v>99</v>
      </c>
      <c r="D8" t="s">
        <v>23</v>
      </c>
      <c r="E8">
        <v>0.11650000000000001</v>
      </c>
      <c r="F8">
        <v>10</v>
      </c>
      <c r="G8">
        <v>0.11700000000000001</v>
      </c>
      <c r="H8" t="s">
        <v>97</v>
      </c>
    </row>
    <row r="9" spans="1:8" x14ac:dyDescent="0.25">
      <c r="A9" t="s">
        <v>83</v>
      </c>
      <c r="B9" t="s">
        <v>102</v>
      </c>
      <c r="C9" t="s">
        <v>96</v>
      </c>
      <c r="D9" t="s">
        <v>15</v>
      </c>
      <c r="E9">
        <v>2.2400000000000002</v>
      </c>
      <c r="F9">
        <v>10</v>
      </c>
      <c r="G9">
        <v>3</v>
      </c>
      <c r="H9" t="s">
        <v>97</v>
      </c>
    </row>
    <row r="10" spans="1:8" x14ac:dyDescent="0.25">
      <c r="A10" t="s">
        <v>83</v>
      </c>
      <c r="B10" t="s">
        <v>103</v>
      </c>
      <c r="C10" t="s">
        <v>99</v>
      </c>
      <c r="D10" t="s">
        <v>23</v>
      </c>
      <c r="E10">
        <v>0.23300000000000001</v>
      </c>
      <c r="F10">
        <v>10</v>
      </c>
      <c r="G10">
        <v>0.23400000000000001</v>
      </c>
      <c r="H10" t="s">
        <v>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EFC8-F62D-4E86-A6E9-E02469AB3EC5}">
  <dimension ref="A1:H24"/>
  <sheetViews>
    <sheetView topLeftCell="A7" workbookViewId="0">
      <selection activeCell="A30" sqref="A30"/>
    </sheetView>
  </sheetViews>
  <sheetFormatPr defaultRowHeight="15" x14ac:dyDescent="0.25"/>
  <cols>
    <col min="1" max="1" width="7.7109375" bestFit="1" customWidth="1"/>
    <col min="2" max="2" width="70.85546875" bestFit="1" customWidth="1"/>
    <col min="3" max="3" width="29.28515625" bestFit="1" customWidth="1"/>
    <col min="4" max="4" width="5.42578125" bestFit="1" customWidth="1"/>
    <col min="5" max="5" width="34.140625" bestFit="1" customWidth="1"/>
    <col min="6" max="6" width="8.140625" bestFit="1" customWidth="1"/>
    <col min="8" max="8" width="4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104</v>
      </c>
      <c r="B2" t="s">
        <v>138</v>
      </c>
      <c r="C2" t="s">
        <v>106</v>
      </c>
      <c r="D2" t="s">
        <v>107</v>
      </c>
      <c r="E2">
        <v>10200</v>
      </c>
      <c r="F2">
        <v>0</v>
      </c>
      <c r="G2">
        <v>10200</v>
      </c>
      <c r="H2" t="s">
        <v>139</v>
      </c>
    </row>
    <row r="3" spans="1:8" x14ac:dyDescent="0.25">
      <c r="A3" t="s">
        <v>104</v>
      </c>
      <c r="B3" t="s">
        <v>140</v>
      </c>
      <c r="C3" t="s">
        <v>106</v>
      </c>
      <c r="D3" t="s">
        <v>107</v>
      </c>
      <c r="E3">
        <v>10200</v>
      </c>
      <c r="F3">
        <v>0</v>
      </c>
      <c r="G3">
        <v>10200</v>
      </c>
      <c r="H3" t="s">
        <v>139</v>
      </c>
    </row>
    <row r="4" spans="1:8" x14ac:dyDescent="0.25">
      <c r="A4" t="s">
        <v>104</v>
      </c>
      <c r="B4" t="s">
        <v>141</v>
      </c>
      <c r="C4" t="s">
        <v>106</v>
      </c>
      <c r="D4" t="s">
        <v>107</v>
      </c>
      <c r="E4">
        <v>10093</v>
      </c>
      <c r="F4">
        <v>0</v>
      </c>
      <c r="G4">
        <v>10093</v>
      </c>
      <c r="H4" t="s">
        <v>139</v>
      </c>
    </row>
    <row r="5" spans="1:8" x14ac:dyDescent="0.25">
      <c r="A5" t="s">
        <v>104</v>
      </c>
      <c r="B5" t="s">
        <v>142</v>
      </c>
      <c r="C5" t="s">
        <v>106</v>
      </c>
      <c r="D5" t="s">
        <v>107</v>
      </c>
      <c r="E5">
        <v>9809</v>
      </c>
      <c r="F5">
        <v>0</v>
      </c>
      <c r="G5">
        <v>9809</v>
      </c>
      <c r="H5" t="s">
        <v>139</v>
      </c>
    </row>
    <row r="6" spans="1:8" x14ac:dyDescent="0.25">
      <c r="A6" t="s">
        <v>104</v>
      </c>
      <c r="B6" t="s">
        <v>143</v>
      </c>
      <c r="C6" t="s">
        <v>106</v>
      </c>
      <c r="D6" t="s">
        <v>107</v>
      </c>
      <c r="E6">
        <v>9524</v>
      </c>
      <c r="F6">
        <v>0</v>
      </c>
      <c r="G6">
        <v>9524</v>
      </c>
      <c r="H6" t="s">
        <v>139</v>
      </c>
    </row>
    <row r="7" spans="1:8" x14ac:dyDescent="0.25">
      <c r="A7" t="s">
        <v>104</v>
      </c>
      <c r="B7" t="s">
        <v>144</v>
      </c>
      <c r="C7" t="s">
        <v>106</v>
      </c>
      <c r="D7" t="s">
        <v>107</v>
      </c>
      <c r="E7">
        <v>9239</v>
      </c>
      <c r="F7">
        <v>0</v>
      </c>
      <c r="G7">
        <v>9239</v>
      </c>
      <c r="H7" t="s">
        <v>139</v>
      </c>
    </row>
    <row r="8" spans="1:8" x14ac:dyDescent="0.25">
      <c r="A8" t="s">
        <v>104</v>
      </c>
      <c r="B8" t="s">
        <v>145</v>
      </c>
      <c r="C8" t="s">
        <v>106</v>
      </c>
      <c r="D8" t="s">
        <v>107</v>
      </c>
      <c r="E8">
        <v>8955</v>
      </c>
      <c r="F8">
        <v>0</v>
      </c>
      <c r="G8">
        <v>8955</v>
      </c>
      <c r="H8" t="s">
        <v>139</v>
      </c>
    </row>
    <row r="9" spans="1:8" x14ac:dyDescent="0.25">
      <c r="A9" t="s">
        <v>104</v>
      </c>
      <c r="B9" t="s">
        <v>146</v>
      </c>
      <c r="C9" t="s">
        <v>106</v>
      </c>
      <c r="D9" t="s">
        <v>107</v>
      </c>
      <c r="E9">
        <v>8670</v>
      </c>
      <c r="F9">
        <v>0</v>
      </c>
      <c r="G9">
        <v>8670</v>
      </c>
      <c r="H9" t="s">
        <v>139</v>
      </c>
    </row>
    <row r="10" spans="1:8" x14ac:dyDescent="0.25">
      <c r="A10" t="s">
        <v>104</v>
      </c>
      <c r="B10" t="s">
        <v>147</v>
      </c>
      <c r="C10" t="s">
        <v>106</v>
      </c>
      <c r="D10" t="s">
        <v>107</v>
      </c>
      <c r="E10">
        <v>8386</v>
      </c>
      <c r="F10">
        <v>0</v>
      </c>
      <c r="G10">
        <v>8386</v>
      </c>
      <c r="H10" t="s">
        <v>139</v>
      </c>
    </row>
    <row r="11" spans="1:8" x14ac:dyDescent="0.25">
      <c r="A11" t="s">
        <v>104</v>
      </c>
      <c r="B11" t="s">
        <v>148</v>
      </c>
      <c r="C11" t="s">
        <v>106</v>
      </c>
      <c r="D11" t="s">
        <v>107</v>
      </c>
      <c r="E11">
        <v>8101</v>
      </c>
      <c r="F11">
        <v>0</v>
      </c>
      <c r="G11">
        <v>8101</v>
      </c>
      <c r="H11" t="s">
        <v>139</v>
      </c>
    </row>
    <row r="12" spans="1:8" x14ac:dyDescent="0.25">
      <c r="A12" t="s">
        <v>104</v>
      </c>
      <c r="B12" t="s">
        <v>149</v>
      </c>
      <c r="C12" t="s">
        <v>106</v>
      </c>
      <c r="D12" t="s">
        <v>107</v>
      </c>
      <c r="E12">
        <v>7816</v>
      </c>
      <c r="F12">
        <v>0</v>
      </c>
      <c r="G12">
        <v>7816</v>
      </c>
      <c r="H12" t="s">
        <v>139</v>
      </c>
    </row>
    <row r="13" spans="1:8" x14ac:dyDescent="0.25">
      <c r="A13" t="s">
        <v>104</v>
      </c>
      <c r="B13" t="s">
        <v>150</v>
      </c>
      <c r="C13" t="s">
        <v>106</v>
      </c>
      <c r="D13" t="s">
        <v>107</v>
      </c>
      <c r="E13">
        <v>7532</v>
      </c>
      <c r="F13">
        <v>0</v>
      </c>
      <c r="G13">
        <v>7532</v>
      </c>
      <c r="H13" t="s">
        <v>139</v>
      </c>
    </row>
    <row r="14" spans="1:8" x14ac:dyDescent="0.25">
      <c r="A14" t="s">
        <v>104</v>
      </c>
      <c r="B14" t="s">
        <v>151</v>
      </c>
      <c r="C14" t="s">
        <v>106</v>
      </c>
      <c r="D14" t="s">
        <v>107</v>
      </c>
      <c r="E14">
        <v>7247</v>
      </c>
      <c r="F14">
        <v>0</v>
      </c>
      <c r="G14">
        <v>7247</v>
      </c>
      <c r="H14" t="s">
        <v>139</v>
      </c>
    </row>
    <row r="15" spans="1:8" x14ac:dyDescent="0.25">
      <c r="A15" t="s">
        <v>104</v>
      </c>
      <c r="B15" t="s">
        <v>105</v>
      </c>
      <c r="C15" t="s">
        <v>106</v>
      </c>
      <c r="D15" t="s">
        <v>107</v>
      </c>
      <c r="E15">
        <v>115772</v>
      </c>
      <c r="F15">
        <v>0</v>
      </c>
      <c r="G15">
        <v>115772</v>
      </c>
      <c r="H15" t="s">
        <v>152</v>
      </c>
    </row>
    <row r="16" spans="1:8" x14ac:dyDescent="0.25">
      <c r="A16" t="s">
        <v>104</v>
      </c>
      <c r="B16" t="s">
        <v>108</v>
      </c>
      <c r="C16" t="s">
        <v>109</v>
      </c>
      <c r="D16" t="s">
        <v>110</v>
      </c>
      <c r="E16">
        <v>115.77200000000001</v>
      </c>
      <c r="F16">
        <v>0</v>
      </c>
      <c r="G16">
        <v>115.77200000000001</v>
      </c>
      <c r="H16" t="s">
        <v>111</v>
      </c>
    </row>
    <row r="17" spans="1:8" x14ac:dyDescent="0.25">
      <c r="A17" t="s">
        <v>104</v>
      </c>
      <c r="B17" t="s">
        <v>108</v>
      </c>
      <c r="C17" t="s">
        <v>112</v>
      </c>
      <c r="D17" t="s">
        <v>113</v>
      </c>
      <c r="E17">
        <v>379.82900000000001</v>
      </c>
      <c r="F17">
        <v>0</v>
      </c>
      <c r="G17">
        <v>379.82900000000001</v>
      </c>
      <c r="H17" t="s">
        <v>114</v>
      </c>
    </row>
    <row r="18" spans="1:8" x14ac:dyDescent="0.25">
      <c r="A18" t="s">
        <v>104</v>
      </c>
      <c r="B18" t="s">
        <v>115</v>
      </c>
      <c r="C18" t="s">
        <v>116</v>
      </c>
      <c r="D18" t="s">
        <v>113</v>
      </c>
      <c r="E18">
        <v>379.82900000000001</v>
      </c>
      <c r="F18">
        <v>10</v>
      </c>
      <c r="G18">
        <v>417.81200000000001</v>
      </c>
      <c r="H18" t="s">
        <v>117</v>
      </c>
    </row>
    <row r="19" spans="1:8" x14ac:dyDescent="0.25">
      <c r="A19" t="s">
        <v>104</v>
      </c>
      <c r="B19" t="s">
        <v>118</v>
      </c>
      <c r="C19" t="s">
        <v>119</v>
      </c>
      <c r="D19" t="s">
        <v>107</v>
      </c>
      <c r="E19" t="s">
        <v>120</v>
      </c>
      <c r="F19">
        <v>0</v>
      </c>
      <c r="G19" t="s">
        <v>89</v>
      </c>
      <c r="H19" t="s">
        <v>121</v>
      </c>
    </row>
    <row r="20" spans="1:8" x14ac:dyDescent="0.25">
      <c r="A20" t="s">
        <v>104</v>
      </c>
      <c r="B20" t="s">
        <v>131</v>
      </c>
      <c r="C20" t="s">
        <v>132</v>
      </c>
      <c r="D20" t="s">
        <v>110</v>
      </c>
      <c r="E20">
        <v>10.86</v>
      </c>
      <c r="F20">
        <v>0</v>
      </c>
      <c r="G20">
        <v>10.86</v>
      </c>
      <c r="H20" t="s">
        <v>133</v>
      </c>
    </row>
    <row r="21" spans="1:8" x14ac:dyDescent="0.25">
      <c r="A21" t="s">
        <v>104</v>
      </c>
      <c r="B21" t="s">
        <v>122</v>
      </c>
      <c r="C21" t="s">
        <v>123</v>
      </c>
      <c r="D21" t="s">
        <v>11</v>
      </c>
      <c r="E21" t="s">
        <v>89</v>
      </c>
      <c r="F21">
        <v>10</v>
      </c>
      <c r="G21" t="s">
        <v>89</v>
      </c>
      <c r="H21" t="s">
        <v>124</v>
      </c>
    </row>
    <row r="22" spans="1:8" x14ac:dyDescent="0.25">
      <c r="A22" t="s">
        <v>104</v>
      </c>
      <c r="B22" t="s">
        <v>125</v>
      </c>
      <c r="C22" t="s">
        <v>126</v>
      </c>
      <c r="D22" t="s">
        <v>11</v>
      </c>
      <c r="E22" t="s">
        <v>89</v>
      </c>
      <c r="F22">
        <v>10</v>
      </c>
      <c r="G22" t="s">
        <v>89</v>
      </c>
      <c r="H22" t="s">
        <v>127</v>
      </c>
    </row>
    <row r="23" spans="1:8" x14ac:dyDescent="0.25">
      <c r="A23" t="s">
        <v>104</v>
      </c>
      <c r="B23" t="s">
        <v>128</v>
      </c>
      <c r="C23" t="s">
        <v>129</v>
      </c>
      <c r="D23" t="s">
        <v>11</v>
      </c>
      <c r="E23" t="s">
        <v>89</v>
      </c>
      <c r="F23">
        <v>10</v>
      </c>
      <c r="G23" t="s">
        <v>89</v>
      </c>
      <c r="H23" t="s">
        <v>130</v>
      </c>
    </row>
    <row r="24" spans="1:8" x14ac:dyDescent="0.25">
      <c r="A24" t="s">
        <v>104</v>
      </c>
      <c r="B24" t="s">
        <v>134</v>
      </c>
      <c r="C24" t="s">
        <v>135</v>
      </c>
      <c r="D24" t="s">
        <v>136</v>
      </c>
      <c r="E24" t="s">
        <v>89</v>
      </c>
      <c r="F24">
        <v>10</v>
      </c>
      <c r="G24" t="s">
        <v>89</v>
      </c>
      <c r="H2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Archive_A</vt:lpstr>
      <vt:lpstr>Summary</vt:lpstr>
      <vt:lpstr>S01</vt:lpstr>
      <vt:lpstr>S02</vt:lpstr>
      <vt:lpstr>S03</vt:lpstr>
      <vt:lpstr>S04</vt:lpstr>
      <vt:lpstr>S05</vt:lpstr>
      <vt:lpstr>S06</vt:lpstr>
      <vt:lpstr>Scope 2</vt:lpstr>
      <vt:lpstr>Scope 3</vt:lpstr>
      <vt:lpstr>Scope 4</vt:lpstr>
      <vt:lpstr>Scope 5</vt:lpstr>
      <vt:lpstr>Scope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Pa` Din</dc:creator>
  <cp:lastModifiedBy>Pa` Din</cp:lastModifiedBy>
  <dcterms:created xsi:type="dcterms:W3CDTF">2015-06-05T18:17:20Z</dcterms:created>
  <dcterms:modified xsi:type="dcterms:W3CDTF">2026-02-14T10:55:58Z</dcterms:modified>
</cp:coreProperties>
</file>